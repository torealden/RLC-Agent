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LLM\RLC-Agent\Models\Feed Grains\"/>
    </mc:Choice>
  </mc:AlternateContent>
  <xr:revisionPtr revIDLastSave="0" documentId="13_ncr:1_{643CDD1A-97CC-4701-8A57-B6921784C7D9}" xr6:coauthVersionLast="47" xr6:coauthVersionMax="47" xr10:uidLastSave="{00000000-0000-0000-0000-000000000000}"/>
  <bookViews>
    <workbookView xWindow="6645" yWindow="2175" windowWidth="21600" windowHeight="11835" xr2:uid="{56799160-D0A8-42B8-A9F2-E8D4B191CEC3}"/>
  </bookViews>
  <sheets>
    <sheet name="Forecasts" sheetId="1" r:id="rId1"/>
    <sheet name="Prices" sheetId="2" r:id="rId2"/>
    <sheet name="Sheet1" sheetId="3" r:id="rId3"/>
    <sheet name="Barley" sheetId="4" r:id="rId4"/>
    <sheet name="Corn and Barley Monthly" sheetId="5" r:id="rId5"/>
    <sheet name="Chart1" sheetId="6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7" i="2" l="1"/>
  <c r="G7" i="1"/>
  <c r="J663" i="2"/>
  <c r="J664" i="2"/>
  <c r="J665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U4" i="1" l="1"/>
  <c r="U5" i="1"/>
  <c r="U6" i="1"/>
  <c r="U7" i="1"/>
  <c r="U3" i="1"/>
  <c r="Z4" i="1"/>
  <c r="Z5" i="1"/>
  <c r="Z6" i="1"/>
  <c r="Z7" i="1"/>
  <c r="Z3" i="1"/>
  <c r="B663" i="2"/>
  <c r="E663" i="2" s="1"/>
  <c r="B662" i="2"/>
  <c r="E662" i="2" s="1"/>
  <c r="C662" i="2"/>
  <c r="F662" i="2" s="1"/>
  <c r="G6" i="1"/>
  <c r="G5" i="1"/>
  <c r="Z653" i="4"/>
  <c r="Y653" i="4"/>
  <c r="X653" i="4"/>
  <c r="Z652" i="4"/>
  <c r="Y652" i="4"/>
  <c r="X652" i="4"/>
  <c r="Z651" i="4"/>
  <c r="Y651" i="4"/>
  <c r="X651" i="4"/>
  <c r="Z650" i="4"/>
  <c r="Y650" i="4"/>
  <c r="X650" i="4"/>
  <c r="Z649" i="4"/>
  <c r="Y649" i="4"/>
  <c r="X649" i="4"/>
  <c r="Z648" i="4"/>
  <c r="Y648" i="4"/>
  <c r="X648" i="4"/>
  <c r="Z647" i="4"/>
  <c r="Y647" i="4"/>
  <c r="X647" i="4"/>
  <c r="Z646" i="4"/>
  <c r="Y646" i="4"/>
  <c r="X646" i="4"/>
  <c r="Z645" i="4"/>
  <c r="Y645" i="4"/>
  <c r="X645" i="4"/>
  <c r="Z644" i="4"/>
  <c r="Y644" i="4"/>
  <c r="X644" i="4"/>
  <c r="Z643" i="4"/>
  <c r="Y643" i="4"/>
  <c r="X643" i="4"/>
  <c r="Z642" i="4"/>
  <c r="Y642" i="4"/>
  <c r="X642" i="4"/>
  <c r="Z641" i="4"/>
  <c r="Y641" i="4"/>
  <c r="X641" i="4"/>
  <c r="Z640" i="4"/>
  <c r="Y640" i="4"/>
  <c r="X640" i="4"/>
  <c r="Z639" i="4"/>
  <c r="Y639" i="4"/>
  <c r="X639" i="4"/>
  <c r="Z638" i="4"/>
  <c r="Y638" i="4"/>
  <c r="X638" i="4"/>
  <c r="Z637" i="4"/>
  <c r="Y637" i="4"/>
  <c r="X637" i="4"/>
  <c r="Z636" i="4"/>
  <c r="Y636" i="4"/>
  <c r="X636" i="4"/>
  <c r="Z635" i="4"/>
  <c r="Y635" i="4"/>
  <c r="X635" i="4"/>
  <c r="Z634" i="4"/>
  <c r="Y634" i="4"/>
  <c r="X634" i="4"/>
  <c r="T653" i="4"/>
  <c r="S653" i="4"/>
  <c r="R653" i="4"/>
  <c r="T652" i="4"/>
  <c r="S652" i="4"/>
  <c r="R652" i="4"/>
  <c r="T651" i="4"/>
  <c r="S651" i="4"/>
  <c r="R651" i="4"/>
  <c r="T650" i="4"/>
  <c r="S650" i="4"/>
  <c r="R650" i="4"/>
  <c r="T649" i="4"/>
  <c r="S649" i="4"/>
  <c r="R649" i="4"/>
  <c r="T648" i="4"/>
  <c r="S648" i="4"/>
  <c r="R648" i="4"/>
  <c r="T647" i="4"/>
  <c r="S647" i="4"/>
  <c r="R647" i="4"/>
  <c r="T646" i="4"/>
  <c r="S646" i="4"/>
  <c r="R646" i="4"/>
  <c r="T645" i="4"/>
  <c r="S645" i="4"/>
  <c r="R645" i="4"/>
  <c r="T644" i="4"/>
  <c r="S644" i="4"/>
  <c r="R644" i="4"/>
  <c r="T643" i="4"/>
  <c r="S643" i="4"/>
  <c r="R643" i="4"/>
  <c r="T642" i="4"/>
  <c r="S642" i="4"/>
  <c r="R642" i="4"/>
  <c r="T641" i="4"/>
  <c r="S641" i="4"/>
  <c r="R641" i="4"/>
  <c r="T640" i="4"/>
  <c r="S640" i="4"/>
  <c r="R640" i="4"/>
  <c r="T639" i="4"/>
  <c r="S639" i="4"/>
  <c r="R639" i="4"/>
  <c r="T638" i="4"/>
  <c r="S638" i="4"/>
  <c r="R638" i="4"/>
  <c r="T637" i="4"/>
  <c r="S637" i="4"/>
  <c r="R637" i="4"/>
  <c r="T636" i="4"/>
  <c r="S636" i="4"/>
  <c r="R636" i="4"/>
  <c r="T635" i="4"/>
  <c r="S635" i="4"/>
  <c r="R635" i="4"/>
  <c r="T634" i="4"/>
  <c r="S634" i="4"/>
  <c r="R634" i="4"/>
  <c r="N653" i="4"/>
  <c r="M653" i="4"/>
  <c r="L653" i="4"/>
  <c r="N652" i="4"/>
  <c r="M652" i="4"/>
  <c r="L652" i="4"/>
  <c r="N651" i="4"/>
  <c r="M651" i="4"/>
  <c r="L651" i="4"/>
  <c r="N650" i="4"/>
  <c r="M650" i="4"/>
  <c r="L650" i="4"/>
  <c r="N649" i="4"/>
  <c r="M649" i="4"/>
  <c r="L649" i="4"/>
  <c r="N648" i="4"/>
  <c r="M648" i="4"/>
  <c r="L648" i="4"/>
  <c r="N647" i="4"/>
  <c r="M647" i="4"/>
  <c r="L647" i="4"/>
  <c r="N646" i="4"/>
  <c r="M646" i="4"/>
  <c r="L646" i="4"/>
  <c r="N645" i="4"/>
  <c r="M645" i="4"/>
  <c r="L645" i="4"/>
  <c r="N644" i="4"/>
  <c r="M644" i="4"/>
  <c r="L644" i="4"/>
  <c r="N643" i="4"/>
  <c r="M643" i="4"/>
  <c r="L643" i="4"/>
  <c r="N642" i="4"/>
  <c r="M642" i="4"/>
  <c r="L642" i="4"/>
  <c r="N641" i="4"/>
  <c r="M641" i="4"/>
  <c r="L641" i="4"/>
  <c r="N640" i="4"/>
  <c r="M640" i="4"/>
  <c r="L640" i="4"/>
  <c r="N639" i="4"/>
  <c r="M639" i="4"/>
  <c r="L639" i="4"/>
  <c r="N638" i="4"/>
  <c r="M638" i="4"/>
  <c r="L638" i="4"/>
  <c r="N637" i="4"/>
  <c r="M637" i="4"/>
  <c r="L637" i="4"/>
  <c r="N636" i="4"/>
  <c r="M636" i="4"/>
  <c r="L636" i="4"/>
  <c r="N635" i="4"/>
  <c r="M635" i="4"/>
  <c r="L635" i="4"/>
  <c r="N634" i="4"/>
  <c r="M634" i="4"/>
  <c r="L634" i="4"/>
  <c r="N633" i="4"/>
  <c r="M633" i="4"/>
  <c r="L633" i="4"/>
  <c r="N632" i="4"/>
  <c r="M632" i="4"/>
  <c r="L632" i="4"/>
  <c r="N631" i="4"/>
  <c r="M631" i="4"/>
  <c r="L631" i="4"/>
  <c r="N630" i="4"/>
  <c r="M630" i="4"/>
  <c r="L630" i="4"/>
  <c r="N629" i="4"/>
  <c r="M629" i="4"/>
  <c r="L629" i="4"/>
  <c r="N628" i="4"/>
  <c r="M628" i="4"/>
  <c r="L628" i="4"/>
  <c r="N627" i="4"/>
  <c r="M627" i="4"/>
  <c r="L627" i="4"/>
  <c r="N626" i="4"/>
  <c r="M626" i="4"/>
  <c r="L626" i="4"/>
  <c r="N625" i="4"/>
  <c r="M625" i="4"/>
  <c r="L625" i="4"/>
  <c r="N624" i="4"/>
  <c r="M624" i="4"/>
  <c r="L624" i="4"/>
  <c r="N623" i="4"/>
  <c r="M623" i="4"/>
  <c r="L623" i="4"/>
  <c r="N622" i="4"/>
  <c r="M622" i="4"/>
  <c r="L622" i="4"/>
  <c r="N621" i="4"/>
  <c r="M621" i="4"/>
  <c r="L621" i="4"/>
  <c r="N620" i="4"/>
  <c r="M620" i="4"/>
  <c r="L620" i="4"/>
  <c r="N619" i="4"/>
  <c r="M619" i="4"/>
  <c r="L619" i="4"/>
  <c r="N618" i="4"/>
  <c r="M618" i="4"/>
  <c r="L618" i="4"/>
  <c r="N617" i="4"/>
  <c r="M617" i="4"/>
  <c r="L617" i="4"/>
  <c r="N616" i="4"/>
  <c r="M616" i="4"/>
  <c r="L616" i="4"/>
  <c r="N615" i="4"/>
  <c r="M615" i="4"/>
  <c r="L615" i="4"/>
  <c r="N614" i="4"/>
  <c r="M614" i="4"/>
  <c r="L614" i="4"/>
  <c r="N613" i="4"/>
  <c r="M613" i="4"/>
  <c r="L613" i="4"/>
  <c r="N612" i="4"/>
  <c r="M612" i="4"/>
  <c r="L612" i="4"/>
  <c r="N611" i="4"/>
  <c r="M611" i="4"/>
  <c r="L611" i="4"/>
  <c r="N610" i="4"/>
  <c r="M610" i="4"/>
  <c r="L610" i="4"/>
  <c r="N609" i="4"/>
  <c r="M609" i="4"/>
  <c r="L609" i="4"/>
  <c r="N608" i="4"/>
  <c r="M608" i="4"/>
  <c r="L608" i="4"/>
  <c r="N607" i="4"/>
  <c r="M607" i="4"/>
  <c r="L607" i="4"/>
  <c r="N606" i="4"/>
  <c r="M606" i="4"/>
  <c r="L606" i="4"/>
  <c r="N605" i="4"/>
  <c r="M605" i="4"/>
  <c r="L605" i="4"/>
  <c r="N604" i="4"/>
  <c r="M604" i="4"/>
  <c r="L604" i="4"/>
  <c r="N603" i="4"/>
  <c r="M603" i="4"/>
  <c r="L603" i="4"/>
  <c r="N602" i="4"/>
  <c r="M602" i="4"/>
  <c r="L602" i="4"/>
  <c r="N601" i="4"/>
  <c r="M601" i="4"/>
  <c r="L601" i="4"/>
  <c r="N600" i="4"/>
  <c r="M600" i="4"/>
  <c r="L600" i="4"/>
  <c r="N599" i="4"/>
  <c r="M599" i="4"/>
  <c r="L599" i="4"/>
  <c r="N598" i="4"/>
  <c r="M598" i="4"/>
  <c r="L598" i="4"/>
  <c r="N597" i="4"/>
  <c r="M597" i="4"/>
  <c r="L597" i="4"/>
  <c r="N596" i="4"/>
  <c r="M596" i="4"/>
  <c r="L596" i="4"/>
  <c r="N595" i="4"/>
  <c r="M595" i="4"/>
  <c r="L595" i="4"/>
  <c r="N594" i="4"/>
  <c r="M594" i="4"/>
  <c r="L594" i="4"/>
  <c r="N593" i="4"/>
  <c r="M593" i="4"/>
  <c r="L593" i="4"/>
  <c r="N592" i="4"/>
  <c r="M592" i="4"/>
  <c r="L592" i="4"/>
  <c r="N591" i="4"/>
  <c r="M591" i="4"/>
  <c r="L591" i="4"/>
  <c r="N590" i="4"/>
  <c r="M590" i="4"/>
  <c r="L590" i="4"/>
  <c r="N589" i="4"/>
  <c r="M589" i="4"/>
  <c r="L589" i="4"/>
  <c r="N588" i="4"/>
  <c r="M588" i="4"/>
  <c r="L588" i="4"/>
  <c r="N587" i="4"/>
  <c r="M587" i="4"/>
  <c r="L587" i="4"/>
  <c r="N586" i="4"/>
  <c r="M586" i="4"/>
  <c r="L586" i="4"/>
  <c r="N585" i="4"/>
  <c r="M585" i="4"/>
  <c r="L585" i="4"/>
  <c r="N584" i="4"/>
  <c r="M584" i="4"/>
  <c r="L584" i="4"/>
  <c r="N583" i="4"/>
  <c r="M583" i="4"/>
  <c r="L583" i="4"/>
  <c r="N582" i="4"/>
  <c r="M582" i="4"/>
  <c r="L582" i="4"/>
  <c r="N581" i="4"/>
  <c r="M581" i="4"/>
  <c r="L581" i="4"/>
  <c r="N580" i="4"/>
  <c r="M580" i="4"/>
  <c r="L580" i="4"/>
  <c r="N579" i="4"/>
  <c r="M579" i="4"/>
  <c r="L579" i="4"/>
  <c r="N578" i="4"/>
  <c r="M578" i="4"/>
  <c r="L578" i="4"/>
  <c r="N577" i="4"/>
  <c r="M577" i="4"/>
  <c r="L577" i="4"/>
  <c r="N576" i="4"/>
  <c r="M576" i="4"/>
  <c r="L576" i="4"/>
  <c r="N575" i="4"/>
  <c r="M575" i="4"/>
  <c r="L575" i="4"/>
  <c r="N574" i="4"/>
  <c r="M574" i="4"/>
  <c r="L574" i="4"/>
  <c r="N573" i="4"/>
  <c r="M573" i="4"/>
  <c r="L573" i="4"/>
  <c r="N572" i="4"/>
  <c r="M572" i="4"/>
  <c r="L572" i="4"/>
  <c r="N571" i="4"/>
  <c r="M571" i="4"/>
  <c r="L571" i="4"/>
  <c r="N570" i="4"/>
  <c r="M570" i="4"/>
  <c r="L570" i="4"/>
  <c r="C117" i="1"/>
  <c r="D661" i="2"/>
  <c r="H661" i="2" s="1"/>
  <c r="C661" i="2"/>
  <c r="B661" i="2"/>
  <c r="D660" i="2"/>
  <c r="H660" i="2" s="1"/>
  <c r="C660" i="2"/>
  <c r="B660" i="2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663" i="2" l="1"/>
  <c r="F663" i="2" s="1"/>
  <c r="BN4575" i="4"/>
  <c r="BM4575" i="4"/>
  <c r="BN4574" i="4"/>
  <c r="BM4574" i="4"/>
  <c r="BN4573" i="4"/>
  <c r="BM4573" i="4"/>
  <c r="BN4572" i="4"/>
  <c r="BM4572" i="4"/>
  <c r="BN4571" i="4"/>
  <c r="BM4571" i="4"/>
  <c r="BN4570" i="4"/>
  <c r="BM4570" i="4"/>
  <c r="BN4569" i="4"/>
  <c r="BM4569" i="4"/>
  <c r="BN4568" i="4"/>
  <c r="BM4568" i="4"/>
  <c r="BN4567" i="4"/>
  <c r="BM4567" i="4"/>
  <c r="BN4566" i="4"/>
  <c r="BM4566" i="4"/>
  <c r="BN4565" i="4"/>
  <c r="BM4565" i="4"/>
  <c r="BN4564" i="4"/>
  <c r="BM4564" i="4"/>
  <c r="BN4563" i="4"/>
  <c r="BM4563" i="4"/>
  <c r="BN4562" i="4"/>
  <c r="BM4562" i="4"/>
  <c r="BN4561" i="4"/>
  <c r="BM4561" i="4"/>
  <c r="BN4560" i="4"/>
  <c r="BM4560" i="4"/>
  <c r="BN4559" i="4"/>
  <c r="BM4559" i="4"/>
  <c r="BN4558" i="4"/>
  <c r="BM4558" i="4"/>
  <c r="BN4557" i="4"/>
  <c r="BM4557" i="4"/>
  <c r="BN4556" i="4"/>
  <c r="BM4556" i="4"/>
  <c r="BN4555" i="4"/>
  <c r="BM4555" i="4"/>
  <c r="BN4554" i="4"/>
  <c r="BM4554" i="4"/>
  <c r="BN4553" i="4"/>
  <c r="BM4553" i="4"/>
  <c r="BN4552" i="4"/>
  <c r="BM4552" i="4"/>
  <c r="BN4551" i="4"/>
  <c r="BM4551" i="4"/>
  <c r="BN4550" i="4"/>
  <c r="BM4550" i="4"/>
  <c r="BN4549" i="4"/>
  <c r="BM4549" i="4"/>
  <c r="BN4548" i="4"/>
  <c r="BM4548" i="4"/>
  <c r="BN4547" i="4"/>
  <c r="BM4547" i="4"/>
  <c r="BN4546" i="4"/>
  <c r="BM4546" i="4"/>
  <c r="BN4545" i="4"/>
  <c r="BM4545" i="4"/>
  <c r="BN4544" i="4"/>
  <c r="BM4544" i="4"/>
  <c r="BN4543" i="4"/>
  <c r="BM4543" i="4"/>
  <c r="BN4542" i="4"/>
  <c r="BM4542" i="4"/>
  <c r="BN4541" i="4"/>
  <c r="BM4541" i="4"/>
  <c r="BN4540" i="4"/>
  <c r="BM4540" i="4"/>
  <c r="BN4539" i="4"/>
  <c r="BM4539" i="4"/>
  <c r="BN4538" i="4"/>
  <c r="BM4538" i="4"/>
  <c r="BN4537" i="4"/>
  <c r="BM4537" i="4"/>
  <c r="BN4536" i="4"/>
  <c r="BM4536" i="4"/>
  <c r="BN4535" i="4"/>
  <c r="BM4535" i="4"/>
  <c r="BN4534" i="4"/>
  <c r="BM4534" i="4"/>
  <c r="BN4533" i="4"/>
  <c r="BM4533" i="4"/>
  <c r="BN4532" i="4"/>
  <c r="BM4532" i="4"/>
  <c r="BN4531" i="4"/>
  <c r="BM4531" i="4"/>
  <c r="BN4530" i="4"/>
  <c r="BM4530" i="4"/>
  <c r="BN4529" i="4"/>
  <c r="BM4529" i="4"/>
  <c r="BN4528" i="4"/>
  <c r="BM4528" i="4"/>
  <c r="BN4527" i="4"/>
  <c r="BM4527" i="4"/>
  <c r="BN4526" i="4"/>
  <c r="BM4526" i="4"/>
  <c r="BN4525" i="4"/>
  <c r="BM4525" i="4"/>
  <c r="BN4524" i="4"/>
  <c r="BM4524" i="4"/>
  <c r="BN4523" i="4"/>
  <c r="BM4523" i="4"/>
  <c r="BN4522" i="4"/>
  <c r="BM4522" i="4"/>
  <c r="BN4521" i="4"/>
  <c r="BM4521" i="4"/>
  <c r="BN4520" i="4"/>
  <c r="BM4520" i="4"/>
  <c r="BN4519" i="4"/>
  <c r="BM4519" i="4"/>
  <c r="BN4518" i="4"/>
  <c r="BM4518" i="4"/>
  <c r="BN4517" i="4"/>
  <c r="BM4517" i="4"/>
  <c r="BN4516" i="4"/>
  <c r="BM4516" i="4"/>
  <c r="BN4515" i="4"/>
  <c r="BM4515" i="4"/>
  <c r="BN4514" i="4"/>
  <c r="BM4514" i="4"/>
  <c r="BN4513" i="4"/>
  <c r="BM4513" i="4"/>
  <c r="BN4512" i="4"/>
  <c r="BM4512" i="4"/>
  <c r="BN4511" i="4"/>
  <c r="BM4511" i="4"/>
  <c r="BN4510" i="4"/>
  <c r="BM4510" i="4"/>
  <c r="BN4509" i="4"/>
  <c r="BM4509" i="4"/>
  <c r="BN4508" i="4"/>
  <c r="BM4508" i="4"/>
  <c r="BN4507" i="4"/>
  <c r="BM4507" i="4"/>
  <c r="BN4506" i="4"/>
  <c r="BM4506" i="4"/>
  <c r="BN4505" i="4"/>
  <c r="BM4505" i="4"/>
  <c r="BN4504" i="4"/>
  <c r="BM4504" i="4"/>
  <c r="BN4503" i="4"/>
  <c r="BM4503" i="4"/>
  <c r="BN4502" i="4"/>
  <c r="BM4502" i="4"/>
  <c r="BN4501" i="4"/>
  <c r="BM4501" i="4"/>
  <c r="BN4500" i="4"/>
  <c r="BM4500" i="4"/>
  <c r="BN4499" i="4"/>
  <c r="BM4499" i="4"/>
  <c r="BN4498" i="4"/>
  <c r="BM4498" i="4"/>
  <c r="BN4497" i="4"/>
  <c r="BM4497" i="4"/>
  <c r="BN4496" i="4"/>
  <c r="BM4496" i="4"/>
  <c r="BN4495" i="4"/>
  <c r="BM4495" i="4"/>
  <c r="BN4494" i="4"/>
  <c r="BM4494" i="4"/>
  <c r="BN4493" i="4"/>
  <c r="BM4493" i="4"/>
  <c r="BN4492" i="4"/>
  <c r="BM4492" i="4"/>
  <c r="BN4491" i="4"/>
  <c r="BM4491" i="4"/>
  <c r="BN4490" i="4"/>
  <c r="BM4490" i="4"/>
  <c r="BN4489" i="4"/>
  <c r="BM4489" i="4"/>
  <c r="BN4488" i="4"/>
  <c r="BM4488" i="4"/>
  <c r="BN4487" i="4"/>
  <c r="BM4487" i="4"/>
  <c r="BN4486" i="4"/>
  <c r="BM4486" i="4"/>
  <c r="BN4485" i="4"/>
  <c r="BM4485" i="4"/>
  <c r="BN4484" i="4"/>
  <c r="BM4484" i="4"/>
  <c r="BN4483" i="4"/>
  <c r="BM4483" i="4"/>
  <c r="BN4482" i="4"/>
  <c r="BM4482" i="4"/>
  <c r="BN4481" i="4"/>
  <c r="BM4481" i="4"/>
  <c r="BN4480" i="4"/>
  <c r="BM4480" i="4"/>
  <c r="BN4479" i="4"/>
  <c r="BM4479" i="4"/>
  <c r="BN4478" i="4"/>
  <c r="BM4478" i="4"/>
  <c r="BN4477" i="4"/>
  <c r="BM4477" i="4"/>
  <c r="BN4476" i="4"/>
  <c r="BM4476" i="4"/>
  <c r="BN4475" i="4"/>
  <c r="BM4475" i="4"/>
  <c r="BN4474" i="4"/>
  <c r="BM4474" i="4"/>
  <c r="BN4473" i="4"/>
  <c r="BM4473" i="4"/>
  <c r="BN4472" i="4"/>
  <c r="BM4472" i="4"/>
  <c r="BN4471" i="4"/>
  <c r="BM4471" i="4"/>
  <c r="BN4470" i="4"/>
  <c r="BM4470" i="4"/>
  <c r="BN4469" i="4"/>
  <c r="BM4469" i="4"/>
  <c r="BN4468" i="4"/>
  <c r="BM4468" i="4"/>
  <c r="BN4467" i="4"/>
  <c r="BM4467" i="4"/>
  <c r="BN4466" i="4"/>
  <c r="BM4466" i="4"/>
  <c r="BN4465" i="4"/>
  <c r="BM4465" i="4"/>
  <c r="BN4464" i="4"/>
  <c r="BM4464" i="4"/>
  <c r="BN4463" i="4"/>
  <c r="BM4463" i="4"/>
  <c r="BN4462" i="4"/>
  <c r="BM4462" i="4"/>
  <c r="BN4461" i="4"/>
  <c r="BM4461" i="4"/>
  <c r="BN4460" i="4"/>
  <c r="BM4460" i="4"/>
  <c r="BN4459" i="4"/>
  <c r="BM4459" i="4"/>
  <c r="BN4458" i="4"/>
  <c r="BM4458" i="4"/>
  <c r="BN4457" i="4"/>
  <c r="BM4457" i="4"/>
  <c r="BN4456" i="4"/>
  <c r="BM4456" i="4"/>
  <c r="BN4455" i="4"/>
  <c r="BM4455" i="4"/>
  <c r="BN4454" i="4"/>
  <c r="BM4454" i="4"/>
  <c r="BN4453" i="4"/>
  <c r="BM4453" i="4"/>
  <c r="BN4452" i="4"/>
  <c r="BM4452" i="4"/>
  <c r="BN4451" i="4"/>
  <c r="BM4451" i="4"/>
  <c r="BN4450" i="4"/>
  <c r="BM4450" i="4"/>
  <c r="BN4449" i="4"/>
  <c r="BM4449" i="4"/>
  <c r="BN4448" i="4"/>
  <c r="BM4448" i="4"/>
  <c r="BN4447" i="4"/>
  <c r="BM4447" i="4"/>
  <c r="BN4446" i="4"/>
  <c r="BM4446" i="4"/>
  <c r="BN4445" i="4"/>
  <c r="BM4445" i="4"/>
  <c r="BN4444" i="4"/>
  <c r="BM4444" i="4"/>
  <c r="BN4443" i="4"/>
  <c r="BM4443" i="4"/>
  <c r="BN4442" i="4"/>
  <c r="BM4442" i="4"/>
  <c r="BN4441" i="4"/>
  <c r="BM4441" i="4"/>
  <c r="BN4440" i="4"/>
  <c r="BM4440" i="4"/>
  <c r="BN4439" i="4"/>
  <c r="BM4439" i="4"/>
  <c r="BN4438" i="4"/>
  <c r="BM4438" i="4"/>
  <c r="BN4437" i="4"/>
  <c r="BM4437" i="4"/>
  <c r="BN4436" i="4"/>
  <c r="BM4436" i="4"/>
  <c r="BN4435" i="4"/>
  <c r="BM4435" i="4"/>
  <c r="BN4434" i="4"/>
  <c r="BM4434" i="4"/>
  <c r="BN4433" i="4"/>
  <c r="BM4433" i="4"/>
  <c r="BN4432" i="4"/>
  <c r="BM4432" i="4"/>
  <c r="BN4431" i="4"/>
  <c r="BM4431" i="4"/>
  <c r="BN4430" i="4"/>
  <c r="BM4430" i="4"/>
  <c r="BN4429" i="4"/>
  <c r="BM4429" i="4"/>
  <c r="BN4428" i="4"/>
  <c r="BM4428" i="4"/>
  <c r="BN4427" i="4"/>
  <c r="BM4427" i="4"/>
  <c r="BN4426" i="4"/>
  <c r="BM4426" i="4"/>
  <c r="BN4425" i="4"/>
  <c r="BM4425" i="4"/>
  <c r="BN4424" i="4"/>
  <c r="BM4424" i="4"/>
  <c r="BN4423" i="4"/>
  <c r="BM4423" i="4"/>
  <c r="BN4422" i="4"/>
  <c r="BM4422" i="4"/>
  <c r="BN4421" i="4"/>
  <c r="BM4421" i="4"/>
  <c r="BN4420" i="4"/>
  <c r="BM4420" i="4"/>
  <c r="BN4419" i="4"/>
  <c r="BM4419" i="4"/>
  <c r="BN4418" i="4"/>
  <c r="BM4418" i="4"/>
  <c r="BN4417" i="4"/>
  <c r="BM4417" i="4"/>
  <c r="BN4416" i="4"/>
  <c r="BM4416" i="4"/>
  <c r="BN4415" i="4"/>
  <c r="BM4415" i="4"/>
  <c r="BN4414" i="4"/>
  <c r="BM4414" i="4"/>
  <c r="BN4413" i="4"/>
  <c r="BM4413" i="4"/>
  <c r="BN4412" i="4"/>
  <c r="BM4412" i="4"/>
  <c r="BN4411" i="4"/>
  <c r="BM4411" i="4"/>
  <c r="BN4410" i="4"/>
  <c r="BM4410" i="4"/>
  <c r="BN4409" i="4"/>
  <c r="BM4409" i="4"/>
  <c r="BN4408" i="4"/>
  <c r="BM4408" i="4"/>
  <c r="BN4407" i="4"/>
  <c r="BM4407" i="4"/>
  <c r="BN4406" i="4"/>
  <c r="BM4406" i="4"/>
  <c r="BN4405" i="4"/>
  <c r="BM4405" i="4"/>
  <c r="BN4404" i="4"/>
  <c r="BM4404" i="4"/>
  <c r="BN4403" i="4"/>
  <c r="BM4403" i="4"/>
  <c r="BN4402" i="4"/>
  <c r="BM4402" i="4"/>
  <c r="BN4401" i="4"/>
  <c r="BM4401" i="4"/>
  <c r="BN4400" i="4"/>
  <c r="BM4400" i="4"/>
  <c r="BN4399" i="4"/>
  <c r="BM4399" i="4"/>
  <c r="BN4398" i="4"/>
  <c r="BM4398" i="4"/>
  <c r="BN4397" i="4"/>
  <c r="BM4397" i="4"/>
  <c r="BN4396" i="4"/>
  <c r="BM4396" i="4"/>
  <c r="BN4395" i="4"/>
  <c r="BM4395" i="4"/>
  <c r="BN4394" i="4"/>
  <c r="BM4394" i="4"/>
  <c r="BN4393" i="4"/>
  <c r="BM4393" i="4"/>
  <c r="BN4392" i="4"/>
  <c r="BM4392" i="4"/>
  <c r="BN4391" i="4"/>
  <c r="BM4391" i="4"/>
  <c r="BN4390" i="4"/>
  <c r="BM4390" i="4"/>
  <c r="BN4389" i="4"/>
  <c r="BM4389" i="4"/>
  <c r="BN4388" i="4"/>
  <c r="BM4388" i="4"/>
  <c r="BN4387" i="4"/>
  <c r="BM4387" i="4"/>
  <c r="BN4386" i="4"/>
  <c r="BM4386" i="4"/>
  <c r="BN4385" i="4"/>
  <c r="BM4385" i="4"/>
  <c r="BN4384" i="4"/>
  <c r="BM4384" i="4"/>
  <c r="BN4383" i="4"/>
  <c r="BM4383" i="4"/>
  <c r="BN4382" i="4"/>
  <c r="BM4382" i="4"/>
  <c r="BN4381" i="4"/>
  <c r="BM4381" i="4"/>
  <c r="BN4380" i="4"/>
  <c r="BM4380" i="4"/>
  <c r="BN4379" i="4"/>
  <c r="BM4379" i="4"/>
  <c r="BN4378" i="4"/>
  <c r="BM4378" i="4"/>
  <c r="BN4377" i="4"/>
  <c r="BM4377" i="4"/>
  <c r="BN4376" i="4"/>
  <c r="BM4376" i="4"/>
  <c r="BN4375" i="4"/>
  <c r="BM4375" i="4"/>
  <c r="BN4374" i="4"/>
  <c r="BM4374" i="4"/>
  <c r="BN4373" i="4"/>
  <c r="BM4373" i="4"/>
  <c r="BN4372" i="4"/>
  <c r="BM4372" i="4"/>
  <c r="BN4371" i="4"/>
  <c r="BM4371" i="4"/>
  <c r="BN4370" i="4"/>
  <c r="BM4370" i="4"/>
  <c r="BN4369" i="4"/>
  <c r="BM4369" i="4"/>
  <c r="BN4368" i="4"/>
  <c r="BM4368" i="4"/>
  <c r="BN4367" i="4"/>
  <c r="BM4367" i="4"/>
  <c r="BN4366" i="4"/>
  <c r="BM4366" i="4"/>
  <c r="BN4365" i="4"/>
  <c r="BM4365" i="4"/>
  <c r="BN4364" i="4"/>
  <c r="BM4364" i="4"/>
  <c r="BN4363" i="4"/>
  <c r="BM4363" i="4"/>
  <c r="BN4362" i="4"/>
  <c r="BM4362" i="4"/>
  <c r="BN4361" i="4"/>
  <c r="BM4361" i="4"/>
  <c r="BN4360" i="4"/>
  <c r="BM4360" i="4"/>
  <c r="BN4359" i="4"/>
  <c r="BM4359" i="4"/>
  <c r="BN4358" i="4"/>
  <c r="BM4358" i="4"/>
  <c r="BN4357" i="4"/>
  <c r="BM4357" i="4"/>
  <c r="BN4356" i="4"/>
  <c r="BM4356" i="4"/>
  <c r="BN4355" i="4"/>
  <c r="BM4355" i="4"/>
  <c r="BN4354" i="4"/>
  <c r="BM4354" i="4"/>
  <c r="BN4353" i="4"/>
  <c r="BM4353" i="4"/>
  <c r="BN4352" i="4"/>
  <c r="BM4352" i="4"/>
  <c r="BN4351" i="4"/>
  <c r="BM4351" i="4"/>
  <c r="BN4350" i="4"/>
  <c r="BM4350" i="4"/>
  <c r="BN4349" i="4"/>
  <c r="BM4349" i="4"/>
  <c r="BN4348" i="4"/>
  <c r="BM4348" i="4"/>
  <c r="BN4347" i="4"/>
  <c r="BM4347" i="4"/>
  <c r="BN4346" i="4"/>
  <c r="BM4346" i="4"/>
  <c r="BN4345" i="4"/>
  <c r="BM4345" i="4"/>
  <c r="BN4344" i="4"/>
  <c r="BM4344" i="4"/>
  <c r="BN4343" i="4"/>
  <c r="BM4343" i="4"/>
  <c r="BN4342" i="4"/>
  <c r="BM4342" i="4"/>
  <c r="BN4341" i="4"/>
  <c r="BM4341" i="4"/>
  <c r="BN4340" i="4"/>
  <c r="BM4340" i="4"/>
  <c r="BN4339" i="4"/>
  <c r="BM4339" i="4"/>
  <c r="BN4338" i="4"/>
  <c r="BM4338" i="4"/>
  <c r="BN4337" i="4"/>
  <c r="BM4337" i="4"/>
  <c r="BN4336" i="4"/>
  <c r="BM4336" i="4"/>
  <c r="BN4335" i="4"/>
  <c r="BM4335" i="4"/>
  <c r="BN4334" i="4"/>
  <c r="BM4334" i="4"/>
  <c r="BN4333" i="4"/>
  <c r="BM4333" i="4"/>
  <c r="BN4332" i="4"/>
  <c r="BM4332" i="4"/>
  <c r="BN4331" i="4"/>
  <c r="BM4331" i="4"/>
  <c r="BN4330" i="4"/>
  <c r="BM4330" i="4"/>
  <c r="BN4329" i="4"/>
  <c r="BM4329" i="4"/>
  <c r="BN4328" i="4"/>
  <c r="BM4328" i="4"/>
  <c r="BN4327" i="4"/>
  <c r="BM4327" i="4"/>
  <c r="BN4326" i="4"/>
  <c r="BM4326" i="4"/>
  <c r="BN4325" i="4"/>
  <c r="BM4325" i="4"/>
  <c r="BN4324" i="4"/>
  <c r="BM4324" i="4"/>
  <c r="BN4323" i="4"/>
  <c r="BM4323" i="4"/>
  <c r="BN4322" i="4"/>
  <c r="BM4322" i="4"/>
  <c r="BN4321" i="4"/>
  <c r="BM4321" i="4"/>
  <c r="BN4320" i="4"/>
  <c r="BM4320" i="4"/>
  <c r="BN4319" i="4"/>
  <c r="BM4319" i="4"/>
  <c r="BN4318" i="4"/>
  <c r="BM4318" i="4"/>
  <c r="BN4317" i="4"/>
  <c r="BM4317" i="4"/>
  <c r="BN4316" i="4"/>
  <c r="BM4316" i="4"/>
  <c r="BN4315" i="4"/>
  <c r="BM4315" i="4"/>
  <c r="BN4314" i="4"/>
  <c r="BM4314" i="4"/>
  <c r="BN4313" i="4"/>
  <c r="BM4313" i="4"/>
  <c r="BN4312" i="4"/>
  <c r="BM4312" i="4"/>
  <c r="BN4311" i="4"/>
  <c r="BM4311" i="4"/>
  <c r="BN4310" i="4"/>
  <c r="BM4310" i="4"/>
  <c r="BN4309" i="4"/>
  <c r="BM4309" i="4"/>
  <c r="BN4308" i="4"/>
  <c r="BM4308" i="4"/>
  <c r="BN4307" i="4"/>
  <c r="BM4307" i="4"/>
  <c r="BN4306" i="4"/>
  <c r="BM4306" i="4"/>
  <c r="BN4305" i="4"/>
  <c r="BM4305" i="4"/>
  <c r="BN4304" i="4"/>
  <c r="BM4304" i="4"/>
  <c r="BN4303" i="4"/>
  <c r="BM4303" i="4"/>
  <c r="BN4302" i="4"/>
  <c r="BM4302" i="4"/>
  <c r="BN4301" i="4"/>
  <c r="BM4301" i="4"/>
  <c r="BN4300" i="4"/>
  <c r="BM4300" i="4"/>
  <c r="BN4299" i="4"/>
  <c r="BM4299" i="4"/>
  <c r="BN4298" i="4"/>
  <c r="BM4298" i="4"/>
  <c r="BN4297" i="4"/>
  <c r="BM4297" i="4"/>
  <c r="BN4296" i="4"/>
  <c r="BM4296" i="4"/>
  <c r="BN4295" i="4"/>
  <c r="BM4295" i="4"/>
  <c r="BN4294" i="4"/>
  <c r="BM4294" i="4"/>
  <c r="BN4293" i="4"/>
  <c r="BM4293" i="4"/>
  <c r="BN4292" i="4"/>
  <c r="BM4292" i="4"/>
  <c r="BN4291" i="4"/>
  <c r="BM4291" i="4"/>
  <c r="BN4290" i="4"/>
  <c r="BM4290" i="4"/>
  <c r="BN4289" i="4"/>
  <c r="BM4289" i="4"/>
  <c r="BN4288" i="4"/>
  <c r="BM4288" i="4"/>
  <c r="BN4287" i="4"/>
  <c r="BM4287" i="4"/>
  <c r="BN4286" i="4"/>
  <c r="BM4286" i="4"/>
  <c r="BN4285" i="4"/>
  <c r="BM4285" i="4"/>
  <c r="BN4284" i="4"/>
  <c r="BM4284" i="4"/>
  <c r="BN4283" i="4"/>
  <c r="BM4283" i="4"/>
  <c r="BN4282" i="4"/>
  <c r="BM4282" i="4"/>
  <c r="BN4281" i="4"/>
  <c r="BM4281" i="4"/>
  <c r="BN4280" i="4"/>
  <c r="BM4280" i="4"/>
  <c r="BN4279" i="4"/>
  <c r="BM4279" i="4"/>
  <c r="BN4278" i="4"/>
  <c r="BM4278" i="4"/>
  <c r="BN4277" i="4"/>
  <c r="BM4277" i="4"/>
  <c r="BN4276" i="4"/>
  <c r="BM4276" i="4"/>
  <c r="BN4275" i="4"/>
  <c r="BM4275" i="4"/>
  <c r="BN4274" i="4"/>
  <c r="BM4274" i="4"/>
  <c r="BN4273" i="4"/>
  <c r="BM4273" i="4"/>
  <c r="BN4272" i="4"/>
  <c r="BM4272" i="4"/>
  <c r="BN4271" i="4"/>
  <c r="BM4271" i="4"/>
  <c r="BN4270" i="4"/>
  <c r="BM4270" i="4"/>
  <c r="BN4269" i="4"/>
  <c r="BM4269" i="4"/>
  <c r="BN4268" i="4"/>
  <c r="BM4268" i="4"/>
  <c r="BN4267" i="4"/>
  <c r="BM4267" i="4"/>
  <c r="BN4266" i="4"/>
  <c r="BM4266" i="4"/>
  <c r="BN4265" i="4"/>
  <c r="BM4265" i="4"/>
  <c r="BN4264" i="4"/>
  <c r="BM4264" i="4"/>
  <c r="BN4263" i="4"/>
  <c r="BM4263" i="4"/>
  <c r="BN4262" i="4"/>
  <c r="BM4262" i="4"/>
  <c r="BN4261" i="4"/>
  <c r="BM4261" i="4"/>
  <c r="BN4260" i="4"/>
  <c r="BM4260" i="4"/>
  <c r="BN4259" i="4"/>
  <c r="BM4259" i="4"/>
  <c r="BN4258" i="4"/>
  <c r="BM4258" i="4"/>
  <c r="BN4257" i="4"/>
  <c r="BM4257" i="4"/>
  <c r="BN4256" i="4"/>
  <c r="BM4256" i="4"/>
  <c r="BN4255" i="4"/>
  <c r="BM4255" i="4"/>
  <c r="BN4254" i="4"/>
  <c r="BM4254" i="4"/>
  <c r="BN4253" i="4"/>
  <c r="BM4253" i="4"/>
  <c r="BN4252" i="4"/>
  <c r="BM4252" i="4"/>
  <c r="BN4251" i="4"/>
  <c r="BM4251" i="4"/>
  <c r="BN4250" i="4"/>
  <c r="BM4250" i="4"/>
  <c r="BN4249" i="4"/>
  <c r="BM4249" i="4"/>
  <c r="BN4248" i="4"/>
  <c r="BM4248" i="4"/>
  <c r="BN4247" i="4"/>
  <c r="BM4247" i="4"/>
  <c r="BN4246" i="4"/>
  <c r="BM4246" i="4"/>
  <c r="BN4245" i="4"/>
  <c r="BM4245" i="4"/>
  <c r="BN4244" i="4"/>
  <c r="BM4244" i="4"/>
  <c r="BN4243" i="4"/>
  <c r="BM4243" i="4"/>
  <c r="BN4242" i="4"/>
  <c r="BM4242" i="4"/>
  <c r="BN4241" i="4"/>
  <c r="BM4241" i="4"/>
  <c r="BN4240" i="4"/>
  <c r="BM4240" i="4"/>
  <c r="BN4239" i="4"/>
  <c r="BM4239" i="4"/>
  <c r="BN4238" i="4"/>
  <c r="BM4238" i="4"/>
  <c r="BN4237" i="4"/>
  <c r="BM4237" i="4"/>
  <c r="BN4236" i="4"/>
  <c r="BM4236" i="4"/>
  <c r="BN4235" i="4"/>
  <c r="BM4235" i="4"/>
  <c r="BN4234" i="4"/>
  <c r="BM4234" i="4"/>
  <c r="BN4233" i="4"/>
  <c r="BM4233" i="4"/>
  <c r="BN4232" i="4"/>
  <c r="BM4232" i="4"/>
  <c r="BN4231" i="4"/>
  <c r="BM4231" i="4"/>
  <c r="BN4230" i="4"/>
  <c r="BM4230" i="4"/>
  <c r="BN4229" i="4"/>
  <c r="BM4229" i="4"/>
  <c r="BN4228" i="4"/>
  <c r="BM4228" i="4"/>
  <c r="BN4227" i="4"/>
  <c r="BM4227" i="4"/>
  <c r="BN4226" i="4"/>
  <c r="BM4226" i="4"/>
  <c r="BN4225" i="4"/>
  <c r="BM4225" i="4"/>
  <c r="BN4224" i="4"/>
  <c r="BM4224" i="4"/>
  <c r="BN4223" i="4"/>
  <c r="BM4223" i="4"/>
  <c r="BN4222" i="4"/>
  <c r="BM4222" i="4"/>
  <c r="BN4221" i="4"/>
  <c r="BM4221" i="4"/>
  <c r="BN4220" i="4"/>
  <c r="BM4220" i="4"/>
  <c r="BN4219" i="4"/>
  <c r="BM4219" i="4"/>
  <c r="BN4218" i="4"/>
  <c r="BM4218" i="4"/>
  <c r="BN4217" i="4"/>
  <c r="BM4217" i="4"/>
  <c r="BN4216" i="4"/>
  <c r="BM4216" i="4"/>
  <c r="BN4215" i="4"/>
  <c r="BM4215" i="4"/>
  <c r="BN4214" i="4"/>
  <c r="BM4214" i="4"/>
  <c r="BN4213" i="4"/>
  <c r="BM4213" i="4"/>
  <c r="BN4212" i="4"/>
  <c r="BM4212" i="4"/>
  <c r="BN4211" i="4"/>
  <c r="BM4211" i="4"/>
  <c r="BN4210" i="4"/>
  <c r="BM4210" i="4"/>
  <c r="BN4209" i="4"/>
  <c r="BM4209" i="4"/>
  <c r="BN4208" i="4"/>
  <c r="BM4208" i="4"/>
  <c r="BN4207" i="4"/>
  <c r="BM4207" i="4"/>
  <c r="BN4206" i="4"/>
  <c r="BM4206" i="4"/>
  <c r="BN4205" i="4"/>
  <c r="BM4205" i="4"/>
  <c r="BN4204" i="4"/>
  <c r="BM4204" i="4"/>
  <c r="BN4203" i="4"/>
  <c r="BM4203" i="4"/>
  <c r="BN4202" i="4"/>
  <c r="BM4202" i="4"/>
  <c r="BN4201" i="4"/>
  <c r="BM4201" i="4"/>
  <c r="BN4200" i="4"/>
  <c r="BM4200" i="4"/>
  <c r="BN4199" i="4"/>
  <c r="BM4199" i="4"/>
  <c r="BN4198" i="4"/>
  <c r="BM4198" i="4"/>
  <c r="BN4197" i="4"/>
  <c r="BM4197" i="4"/>
  <c r="BN4196" i="4"/>
  <c r="BM4196" i="4"/>
  <c r="BN4195" i="4"/>
  <c r="BM4195" i="4"/>
  <c r="BN4194" i="4"/>
  <c r="BM4194" i="4"/>
  <c r="BN4193" i="4"/>
  <c r="BM4193" i="4"/>
  <c r="BN4192" i="4"/>
  <c r="BM4192" i="4"/>
  <c r="BN4191" i="4"/>
  <c r="BM4191" i="4"/>
  <c r="BN4190" i="4"/>
  <c r="BM4190" i="4"/>
  <c r="BN4189" i="4"/>
  <c r="BM4189" i="4"/>
  <c r="BN4188" i="4"/>
  <c r="BM4188" i="4"/>
  <c r="BN4187" i="4"/>
  <c r="BM4187" i="4"/>
  <c r="BN4186" i="4"/>
  <c r="BM4186" i="4"/>
  <c r="BN4185" i="4"/>
  <c r="BM4185" i="4"/>
  <c r="BN4184" i="4"/>
  <c r="BM4184" i="4"/>
  <c r="BN4183" i="4"/>
  <c r="BM4183" i="4"/>
  <c r="BN4182" i="4"/>
  <c r="BM4182" i="4"/>
  <c r="BN4181" i="4"/>
  <c r="BM4181" i="4"/>
  <c r="BN4180" i="4"/>
  <c r="BM4180" i="4"/>
  <c r="BN4179" i="4"/>
  <c r="BM4179" i="4"/>
  <c r="BN4178" i="4"/>
  <c r="BM4178" i="4"/>
  <c r="BN4177" i="4"/>
  <c r="BM4177" i="4"/>
  <c r="BN4176" i="4"/>
  <c r="BM4176" i="4"/>
  <c r="BN4175" i="4"/>
  <c r="BM4175" i="4"/>
  <c r="BN4174" i="4"/>
  <c r="BM4174" i="4"/>
  <c r="BN4173" i="4"/>
  <c r="BM4173" i="4"/>
  <c r="BN4172" i="4"/>
  <c r="BM4172" i="4"/>
  <c r="BN4171" i="4"/>
  <c r="BM4171" i="4"/>
  <c r="BN4170" i="4"/>
  <c r="BM4170" i="4"/>
  <c r="BN4169" i="4"/>
  <c r="BM4169" i="4"/>
  <c r="BN4168" i="4"/>
  <c r="BM4168" i="4"/>
  <c r="BN4167" i="4"/>
  <c r="BM4167" i="4"/>
  <c r="BN4166" i="4"/>
  <c r="BM4166" i="4"/>
  <c r="BN4165" i="4"/>
  <c r="BM4165" i="4"/>
  <c r="BN4164" i="4"/>
  <c r="BM4164" i="4"/>
  <c r="BN4163" i="4"/>
  <c r="BM4163" i="4"/>
  <c r="BN4162" i="4"/>
  <c r="BM4162" i="4"/>
  <c r="BN4161" i="4"/>
  <c r="BM4161" i="4"/>
  <c r="BN4160" i="4"/>
  <c r="BM4160" i="4"/>
  <c r="BN4159" i="4"/>
  <c r="BM4159" i="4"/>
  <c r="BN4158" i="4"/>
  <c r="BM4158" i="4"/>
  <c r="BN4157" i="4"/>
  <c r="BM4157" i="4"/>
  <c r="BN4156" i="4"/>
  <c r="BM4156" i="4"/>
  <c r="BN4155" i="4"/>
  <c r="BM4155" i="4"/>
  <c r="BN4154" i="4"/>
  <c r="BM4154" i="4"/>
  <c r="BN4153" i="4"/>
  <c r="BM4153" i="4"/>
  <c r="BN4152" i="4"/>
  <c r="BM4152" i="4"/>
  <c r="BN4151" i="4"/>
  <c r="BM4151" i="4"/>
  <c r="BN4150" i="4"/>
  <c r="BM4150" i="4"/>
  <c r="BN4149" i="4"/>
  <c r="BM4149" i="4"/>
  <c r="BN4148" i="4"/>
  <c r="BM4148" i="4"/>
  <c r="BN4147" i="4"/>
  <c r="BM4147" i="4"/>
  <c r="BN4146" i="4"/>
  <c r="BM4146" i="4"/>
  <c r="BN4145" i="4"/>
  <c r="BM4145" i="4"/>
  <c r="BN4144" i="4"/>
  <c r="BM4144" i="4"/>
  <c r="BN4143" i="4"/>
  <c r="BM4143" i="4"/>
  <c r="BN4142" i="4"/>
  <c r="BM4142" i="4"/>
  <c r="BN4141" i="4"/>
  <c r="BM4141" i="4"/>
  <c r="BN4140" i="4"/>
  <c r="BM4140" i="4"/>
  <c r="BN4139" i="4"/>
  <c r="BM4139" i="4"/>
  <c r="BN4138" i="4"/>
  <c r="BM4138" i="4"/>
  <c r="BN4137" i="4"/>
  <c r="BM4137" i="4"/>
  <c r="BN4136" i="4"/>
  <c r="BM4136" i="4"/>
  <c r="BN4135" i="4"/>
  <c r="BM4135" i="4"/>
  <c r="BN4134" i="4"/>
  <c r="BM4134" i="4"/>
  <c r="BN4133" i="4"/>
  <c r="BM4133" i="4"/>
  <c r="BN4132" i="4"/>
  <c r="BM4132" i="4"/>
  <c r="BN4131" i="4"/>
  <c r="BM4131" i="4"/>
  <c r="BN4130" i="4"/>
  <c r="BM4130" i="4"/>
  <c r="BN4129" i="4"/>
  <c r="BM4129" i="4"/>
  <c r="BN4128" i="4"/>
  <c r="BM4128" i="4"/>
  <c r="BN4127" i="4"/>
  <c r="BM4127" i="4"/>
  <c r="BN4126" i="4"/>
  <c r="BM4126" i="4"/>
  <c r="BN4125" i="4"/>
  <c r="BM4125" i="4"/>
  <c r="BN4124" i="4"/>
  <c r="BM4124" i="4"/>
  <c r="BN4123" i="4"/>
  <c r="BM4123" i="4"/>
  <c r="BN4122" i="4"/>
  <c r="BM4122" i="4"/>
  <c r="BN4121" i="4"/>
  <c r="BM4121" i="4"/>
  <c r="BN4120" i="4"/>
  <c r="BM4120" i="4"/>
  <c r="BN4119" i="4"/>
  <c r="BM4119" i="4"/>
  <c r="BN4118" i="4"/>
  <c r="BM4118" i="4"/>
  <c r="BN4117" i="4"/>
  <c r="BM4117" i="4"/>
  <c r="BN4116" i="4"/>
  <c r="BM4116" i="4"/>
  <c r="BN4115" i="4"/>
  <c r="BM4115" i="4"/>
  <c r="BN4114" i="4"/>
  <c r="BM4114" i="4"/>
  <c r="BN4113" i="4"/>
  <c r="BM4113" i="4"/>
  <c r="BN4112" i="4"/>
  <c r="BM4112" i="4"/>
  <c r="BN4111" i="4"/>
  <c r="BM4111" i="4"/>
  <c r="BN4110" i="4"/>
  <c r="BM4110" i="4"/>
  <c r="BN4109" i="4"/>
  <c r="BM4109" i="4"/>
  <c r="BN4108" i="4"/>
  <c r="BM4108" i="4"/>
  <c r="BN4107" i="4"/>
  <c r="BM4107" i="4"/>
  <c r="BN4106" i="4"/>
  <c r="BM4106" i="4"/>
  <c r="BN4105" i="4"/>
  <c r="BM4105" i="4"/>
  <c r="BN4104" i="4"/>
  <c r="BM4104" i="4"/>
  <c r="BN4103" i="4"/>
  <c r="BM4103" i="4"/>
  <c r="BN4102" i="4"/>
  <c r="BM4102" i="4"/>
  <c r="BN4101" i="4"/>
  <c r="BM4101" i="4"/>
  <c r="BN4100" i="4"/>
  <c r="BM4100" i="4"/>
  <c r="BN4099" i="4"/>
  <c r="BM4099" i="4"/>
  <c r="BN4098" i="4"/>
  <c r="BM4098" i="4"/>
  <c r="BN4097" i="4"/>
  <c r="BM4097" i="4"/>
  <c r="BN4096" i="4"/>
  <c r="BM4096" i="4"/>
  <c r="BN4095" i="4"/>
  <c r="BM4095" i="4"/>
  <c r="BN4094" i="4"/>
  <c r="BM4094" i="4"/>
  <c r="BN4093" i="4"/>
  <c r="BM4093" i="4"/>
  <c r="BN4092" i="4"/>
  <c r="BM4092" i="4"/>
  <c r="BN4091" i="4"/>
  <c r="BM4091" i="4"/>
  <c r="BN4090" i="4"/>
  <c r="BM4090" i="4"/>
  <c r="BN4089" i="4"/>
  <c r="BM4089" i="4"/>
  <c r="BN4088" i="4"/>
  <c r="BM4088" i="4"/>
  <c r="BN4087" i="4"/>
  <c r="BM4087" i="4"/>
  <c r="BN4086" i="4"/>
  <c r="BM4086" i="4"/>
  <c r="BN4085" i="4"/>
  <c r="BM4085" i="4"/>
  <c r="BN4084" i="4"/>
  <c r="BM4084" i="4"/>
  <c r="BN4083" i="4"/>
  <c r="BM4083" i="4"/>
  <c r="BN4082" i="4"/>
  <c r="BM4082" i="4"/>
  <c r="BN4081" i="4"/>
  <c r="BM4081" i="4"/>
  <c r="BN4080" i="4"/>
  <c r="BM4080" i="4"/>
  <c r="BN4079" i="4"/>
  <c r="BM4079" i="4"/>
  <c r="BN4078" i="4"/>
  <c r="BM4078" i="4"/>
  <c r="BN4077" i="4"/>
  <c r="BM4077" i="4"/>
  <c r="BN4076" i="4"/>
  <c r="BM4076" i="4"/>
  <c r="BN4075" i="4"/>
  <c r="BM4075" i="4"/>
  <c r="BN4074" i="4"/>
  <c r="BM4074" i="4"/>
  <c r="BN4073" i="4"/>
  <c r="BM4073" i="4"/>
  <c r="BN4072" i="4"/>
  <c r="BM4072" i="4"/>
  <c r="BN4071" i="4"/>
  <c r="BM4071" i="4"/>
  <c r="BN4070" i="4"/>
  <c r="BM4070" i="4"/>
  <c r="BN4069" i="4"/>
  <c r="BM4069" i="4"/>
  <c r="BN4068" i="4"/>
  <c r="BM4068" i="4"/>
  <c r="BN4067" i="4"/>
  <c r="BM4067" i="4"/>
  <c r="BN4066" i="4"/>
  <c r="BM4066" i="4"/>
  <c r="BN4065" i="4"/>
  <c r="BM4065" i="4"/>
  <c r="BN4064" i="4"/>
  <c r="BM4064" i="4"/>
  <c r="BN4063" i="4"/>
  <c r="BM4063" i="4"/>
  <c r="BN4062" i="4"/>
  <c r="BM4062" i="4"/>
  <c r="BN4061" i="4"/>
  <c r="BM4061" i="4"/>
  <c r="BN4060" i="4"/>
  <c r="BM4060" i="4"/>
  <c r="BN4059" i="4"/>
  <c r="BM4059" i="4"/>
  <c r="BN4058" i="4"/>
  <c r="BM4058" i="4"/>
  <c r="BN4057" i="4"/>
  <c r="BM4057" i="4"/>
  <c r="BN4056" i="4"/>
  <c r="BM4056" i="4"/>
  <c r="BN4055" i="4"/>
  <c r="BM4055" i="4"/>
  <c r="BN4054" i="4"/>
  <c r="BM4054" i="4"/>
  <c r="BN4053" i="4"/>
  <c r="BM4053" i="4"/>
  <c r="BN4052" i="4"/>
  <c r="BM4052" i="4"/>
  <c r="BN4051" i="4"/>
  <c r="BM4051" i="4"/>
  <c r="BN4050" i="4"/>
  <c r="BM4050" i="4"/>
  <c r="BN4049" i="4"/>
  <c r="BM4049" i="4"/>
  <c r="BN4048" i="4"/>
  <c r="BM4048" i="4"/>
  <c r="BN4047" i="4"/>
  <c r="BM4047" i="4"/>
  <c r="BN4046" i="4"/>
  <c r="BM4046" i="4"/>
  <c r="BN4045" i="4"/>
  <c r="BM4045" i="4"/>
  <c r="BN4044" i="4"/>
  <c r="BM4044" i="4"/>
  <c r="BN4043" i="4"/>
  <c r="BM4043" i="4"/>
  <c r="BN4042" i="4"/>
  <c r="BM4042" i="4"/>
  <c r="BN4041" i="4"/>
  <c r="BM4041" i="4"/>
  <c r="BN4040" i="4"/>
  <c r="BM4040" i="4"/>
  <c r="BN4039" i="4"/>
  <c r="BM4039" i="4"/>
  <c r="BN4038" i="4"/>
  <c r="BM4038" i="4"/>
  <c r="BN4037" i="4"/>
  <c r="BM4037" i="4"/>
  <c r="BN4036" i="4"/>
  <c r="BM4036" i="4"/>
  <c r="BN4035" i="4"/>
  <c r="BM4035" i="4"/>
  <c r="BN4034" i="4"/>
  <c r="BM4034" i="4"/>
  <c r="BN4033" i="4"/>
  <c r="BM4033" i="4"/>
  <c r="BN4032" i="4"/>
  <c r="BM4032" i="4"/>
  <c r="BN4031" i="4"/>
  <c r="BM4031" i="4"/>
  <c r="BN4030" i="4"/>
  <c r="BM4030" i="4"/>
  <c r="BN4029" i="4"/>
  <c r="BM4029" i="4"/>
  <c r="BN4028" i="4"/>
  <c r="BM4028" i="4"/>
  <c r="BN4027" i="4"/>
  <c r="BM4027" i="4"/>
  <c r="BN4026" i="4"/>
  <c r="BM4026" i="4"/>
  <c r="BN4025" i="4"/>
  <c r="BM4025" i="4"/>
  <c r="BN4024" i="4"/>
  <c r="BM4024" i="4"/>
  <c r="BN4023" i="4"/>
  <c r="BM4023" i="4"/>
  <c r="BN4022" i="4"/>
  <c r="BM4022" i="4"/>
  <c r="BN4021" i="4"/>
  <c r="BM4021" i="4"/>
  <c r="BN4020" i="4"/>
  <c r="BM4020" i="4"/>
  <c r="BN4019" i="4"/>
  <c r="BM4019" i="4"/>
  <c r="BN4018" i="4"/>
  <c r="BM4018" i="4"/>
  <c r="BN4017" i="4"/>
  <c r="BM4017" i="4"/>
  <c r="BN4016" i="4"/>
  <c r="BM4016" i="4"/>
  <c r="BN4015" i="4"/>
  <c r="BM4015" i="4"/>
  <c r="BN4014" i="4"/>
  <c r="BM4014" i="4"/>
  <c r="BN4013" i="4"/>
  <c r="BM4013" i="4"/>
  <c r="BN4012" i="4"/>
  <c r="BM4012" i="4"/>
  <c r="BN4011" i="4"/>
  <c r="BM4011" i="4"/>
  <c r="BN4010" i="4"/>
  <c r="BM4010" i="4"/>
  <c r="BN4009" i="4"/>
  <c r="BM4009" i="4"/>
  <c r="BN4008" i="4"/>
  <c r="BM4008" i="4"/>
  <c r="BN4007" i="4"/>
  <c r="BM4007" i="4"/>
  <c r="BN4006" i="4"/>
  <c r="BM4006" i="4"/>
  <c r="BN4005" i="4"/>
  <c r="BM4005" i="4"/>
  <c r="BN4004" i="4"/>
  <c r="BM4004" i="4"/>
  <c r="BN4003" i="4"/>
  <c r="BM4003" i="4"/>
  <c r="BN4002" i="4"/>
  <c r="BM4002" i="4"/>
  <c r="BN4001" i="4"/>
  <c r="BM4001" i="4"/>
  <c r="BN4000" i="4"/>
  <c r="BM4000" i="4"/>
  <c r="BN3999" i="4"/>
  <c r="BM3999" i="4"/>
  <c r="BN3998" i="4"/>
  <c r="BM3998" i="4"/>
  <c r="BN3997" i="4"/>
  <c r="BM3997" i="4"/>
  <c r="BN3996" i="4"/>
  <c r="BM3996" i="4"/>
  <c r="BN3995" i="4"/>
  <c r="BM3995" i="4"/>
  <c r="BN3994" i="4"/>
  <c r="BM3994" i="4"/>
  <c r="BN3993" i="4"/>
  <c r="BM3993" i="4"/>
  <c r="BN3992" i="4"/>
  <c r="BM3992" i="4"/>
  <c r="BN3991" i="4"/>
  <c r="BM3991" i="4"/>
  <c r="BN3990" i="4"/>
  <c r="BM3990" i="4"/>
  <c r="BN3989" i="4"/>
  <c r="BM3989" i="4"/>
  <c r="BN3988" i="4"/>
  <c r="BM3988" i="4"/>
  <c r="BN3987" i="4"/>
  <c r="BM3987" i="4"/>
  <c r="BN3986" i="4"/>
  <c r="BM3986" i="4"/>
  <c r="BN3985" i="4"/>
  <c r="BM3985" i="4"/>
  <c r="BN3984" i="4"/>
  <c r="BM3984" i="4"/>
  <c r="BN3983" i="4"/>
  <c r="BM3983" i="4"/>
  <c r="BN3982" i="4"/>
  <c r="BM3982" i="4"/>
  <c r="BN3981" i="4"/>
  <c r="BM3981" i="4"/>
  <c r="BN3980" i="4"/>
  <c r="BM3980" i="4"/>
  <c r="BN3979" i="4"/>
  <c r="BM3979" i="4"/>
  <c r="BN3978" i="4"/>
  <c r="BM3978" i="4"/>
  <c r="BN3977" i="4"/>
  <c r="BM3977" i="4"/>
  <c r="BN3976" i="4"/>
  <c r="BM3976" i="4"/>
  <c r="BN3975" i="4"/>
  <c r="BM3975" i="4"/>
  <c r="BN3974" i="4"/>
  <c r="BM3974" i="4"/>
  <c r="BN3973" i="4"/>
  <c r="BM3973" i="4"/>
  <c r="BN3972" i="4"/>
  <c r="BM3972" i="4"/>
  <c r="BN3971" i="4"/>
  <c r="BM3971" i="4"/>
  <c r="BN3970" i="4"/>
  <c r="BM3970" i="4"/>
  <c r="BN3969" i="4"/>
  <c r="BM3969" i="4"/>
  <c r="BN3968" i="4"/>
  <c r="BM3968" i="4"/>
  <c r="BN3967" i="4"/>
  <c r="BM3967" i="4"/>
  <c r="BN3966" i="4"/>
  <c r="BM3966" i="4"/>
  <c r="BN3965" i="4"/>
  <c r="BM3965" i="4"/>
  <c r="BN3964" i="4"/>
  <c r="BM3964" i="4"/>
  <c r="BN3963" i="4"/>
  <c r="BM3963" i="4"/>
  <c r="BN3962" i="4"/>
  <c r="BM3962" i="4"/>
  <c r="BN3961" i="4"/>
  <c r="BM3961" i="4"/>
  <c r="BN3960" i="4"/>
  <c r="BM3960" i="4"/>
  <c r="BN3959" i="4"/>
  <c r="BM3959" i="4"/>
  <c r="BN3958" i="4"/>
  <c r="BM3958" i="4"/>
  <c r="BN3957" i="4"/>
  <c r="BM3957" i="4"/>
  <c r="BN3956" i="4"/>
  <c r="BM3956" i="4"/>
  <c r="BN3955" i="4"/>
  <c r="BM3955" i="4"/>
  <c r="BN3954" i="4"/>
  <c r="BM3954" i="4"/>
  <c r="BN3953" i="4"/>
  <c r="BM3953" i="4"/>
  <c r="BN3952" i="4"/>
  <c r="BM3952" i="4"/>
  <c r="BN3951" i="4"/>
  <c r="BM3951" i="4"/>
  <c r="BN3950" i="4"/>
  <c r="BM3950" i="4"/>
  <c r="BN3949" i="4"/>
  <c r="BM3949" i="4"/>
  <c r="BN3948" i="4"/>
  <c r="BM3948" i="4"/>
  <c r="BN3947" i="4"/>
  <c r="BM3947" i="4"/>
  <c r="BN3946" i="4"/>
  <c r="BM3946" i="4"/>
  <c r="BN3945" i="4"/>
  <c r="BM3945" i="4"/>
  <c r="BN3944" i="4"/>
  <c r="BM3944" i="4"/>
  <c r="BN3943" i="4"/>
  <c r="BM3943" i="4"/>
  <c r="BN3942" i="4"/>
  <c r="BM3942" i="4"/>
  <c r="BN3941" i="4"/>
  <c r="BM3941" i="4"/>
  <c r="BN3940" i="4"/>
  <c r="BM3940" i="4"/>
  <c r="BN3939" i="4"/>
  <c r="BM3939" i="4"/>
  <c r="BN3938" i="4"/>
  <c r="BM3938" i="4"/>
  <c r="BN3937" i="4"/>
  <c r="BM3937" i="4"/>
  <c r="BN3936" i="4"/>
  <c r="BM3936" i="4"/>
  <c r="BN3935" i="4"/>
  <c r="BM3935" i="4"/>
  <c r="BN3934" i="4"/>
  <c r="BM3934" i="4"/>
  <c r="BN3933" i="4"/>
  <c r="BM3933" i="4"/>
  <c r="BN3932" i="4"/>
  <c r="BM3932" i="4"/>
  <c r="BN3931" i="4"/>
  <c r="BM3931" i="4"/>
  <c r="BN3930" i="4"/>
  <c r="BM3930" i="4"/>
  <c r="BN3929" i="4"/>
  <c r="BM3929" i="4"/>
  <c r="BN3928" i="4"/>
  <c r="BM3928" i="4"/>
  <c r="BN3927" i="4"/>
  <c r="BM3927" i="4"/>
  <c r="BN3926" i="4"/>
  <c r="BM3926" i="4"/>
  <c r="BN3925" i="4"/>
  <c r="BM3925" i="4"/>
  <c r="BN3924" i="4"/>
  <c r="BM3924" i="4"/>
  <c r="BN3923" i="4"/>
  <c r="BM3923" i="4"/>
  <c r="BN3922" i="4"/>
  <c r="BM3922" i="4"/>
  <c r="BN3921" i="4"/>
  <c r="BM3921" i="4"/>
  <c r="BN3920" i="4"/>
  <c r="BM3920" i="4"/>
  <c r="BN3919" i="4"/>
  <c r="BM3919" i="4"/>
  <c r="BN3918" i="4"/>
  <c r="BM3918" i="4"/>
  <c r="BN3917" i="4"/>
  <c r="BM3917" i="4"/>
  <c r="BN3916" i="4"/>
  <c r="BM3916" i="4"/>
  <c r="BN3915" i="4"/>
  <c r="BM3915" i="4"/>
  <c r="BN3914" i="4"/>
  <c r="BM3914" i="4"/>
  <c r="BN3913" i="4"/>
  <c r="BM3913" i="4"/>
  <c r="BN3912" i="4"/>
  <c r="BM3912" i="4"/>
  <c r="BN3911" i="4"/>
  <c r="BM3911" i="4"/>
  <c r="BN3910" i="4"/>
  <c r="BM3910" i="4"/>
  <c r="BN3909" i="4"/>
  <c r="BM3909" i="4"/>
  <c r="BN3908" i="4"/>
  <c r="BM3908" i="4"/>
  <c r="BN3907" i="4"/>
  <c r="BM3907" i="4"/>
  <c r="BN3906" i="4"/>
  <c r="BM3906" i="4"/>
  <c r="BN3905" i="4"/>
  <c r="BM3905" i="4"/>
  <c r="BN3904" i="4"/>
  <c r="BM3904" i="4"/>
  <c r="BN3903" i="4"/>
  <c r="BM3903" i="4"/>
  <c r="BN3902" i="4"/>
  <c r="BM3902" i="4"/>
  <c r="BN3901" i="4"/>
  <c r="BM3901" i="4"/>
  <c r="BN3900" i="4"/>
  <c r="BM3900" i="4"/>
  <c r="BN3899" i="4"/>
  <c r="BM3899" i="4"/>
  <c r="BN3898" i="4"/>
  <c r="BM3898" i="4"/>
  <c r="BN3897" i="4"/>
  <c r="BM3897" i="4"/>
  <c r="BN3896" i="4"/>
  <c r="BM3896" i="4"/>
  <c r="BN3895" i="4"/>
  <c r="BM3895" i="4"/>
  <c r="BN3894" i="4"/>
  <c r="BM3894" i="4"/>
  <c r="BN3893" i="4"/>
  <c r="BM3893" i="4"/>
  <c r="BN3892" i="4"/>
  <c r="BM3892" i="4"/>
  <c r="BN3891" i="4"/>
  <c r="BM3891" i="4"/>
  <c r="BN3890" i="4"/>
  <c r="BM3890" i="4"/>
  <c r="BN3889" i="4"/>
  <c r="BM3889" i="4"/>
  <c r="BN3888" i="4"/>
  <c r="BM3888" i="4"/>
  <c r="BN3887" i="4"/>
  <c r="BM3887" i="4"/>
  <c r="BN3886" i="4"/>
  <c r="BM3886" i="4"/>
  <c r="BN3885" i="4"/>
  <c r="BM3885" i="4"/>
  <c r="BN3884" i="4"/>
  <c r="BM3884" i="4"/>
  <c r="BN3883" i="4"/>
  <c r="BM3883" i="4"/>
  <c r="BN3882" i="4"/>
  <c r="BM3882" i="4"/>
  <c r="BN3881" i="4"/>
  <c r="BM3881" i="4"/>
  <c r="BN3880" i="4"/>
  <c r="BM3880" i="4"/>
  <c r="BN3879" i="4"/>
  <c r="BM3879" i="4"/>
  <c r="BN3878" i="4"/>
  <c r="BM3878" i="4"/>
  <c r="BN3877" i="4"/>
  <c r="BM3877" i="4"/>
  <c r="BN3876" i="4"/>
  <c r="BM3876" i="4"/>
  <c r="BN3875" i="4"/>
  <c r="BM3875" i="4"/>
  <c r="BN3874" i="4"/>
  <c r="BM3874" i="4"/>
  <c r="BN3873" i="4"/>
  <c r="BM3873" i="4"/>
  <c r="BN3872" i="4"/>
  <c r="BM3872" i="4"/>
  <c r="BN3871" i="4"/>
  <c r="BM3871" i="4"/>
  <c r="BN3870" i="4"/>
  <c r="BM3870" i="4"/>
  <c r="BN3869" i="4"/>
  <c r="BM3869" i="4"/>
  <c r="BN3868" i="4"/>
  <c r="BM3868" i="4"/>
  <c r="BN3867" i="4"/>
  <c r="BM3867" i="4"/>
  <c r="BN3866" i="4"/>
  <c r="BM3866" i="4"/>
  <c r="BN3865" i="4"/>
  <c r="BM3865" i="4"/>
  <c r="BN3864" i="4"/>
  <c r="BM3864" i="4"/>
  <c r="BN3863" i="4"/>
  <c r="BM3863" i="4"/>
  <c r="BN3862" i="4"/>
  <c r="BM3862" i="4"/>
  <c r="BN3861" i="4"/>
  <c r="BM3861" i="4"/>
  <c r="BN3860" i="4"/>
  <c r="BM3860" i="4"/>
  <c r="BN3859" i="4"/>
  <c r="BM3859" i="4"/>
  <c r="BN3858" i="4"/>
  <c r="BM3858" i="4"/>
  <c r="BN3857" i="4"/>
  <c r="BM3857" i="4"/>
  <c r="BN3856" i="4"/>
  <c r="BM3856" i="4"/>
  <c r="BN3855" i="4"/>
  <c r="BM3855" i="4"/>
  <c r="BN3854" i="4"/>
  <c r="BM3854" i="4"/>
  <c r="BN3853" i="4"/>
  <c r="BM3853" i="4"/>
  <c r="BN3852" i="4"/>
  <c r="BM3852" i="4"/>
  <c r="BN3851" i="4"/>
  <c r="BM3851" i="4"/>
  <c r="BN3850" i="4"/>
  <c r="BM3850" i="4"/>
  <c r="BN3849" i="4"/>
  <c r="BM3849" i="4"/>
  <c r="BN3848" i="4"/>
  <c r="BM3848" i="4"/>
  <c r="BN3847" i="4"/>
  <c r="BM3847" i="4"/>
  <c r="BN3846" i="4"/>
  <c r="BM3846" i="4"/>
  <c r="BN3845" i="4"/>
  <c r="BM3845" i="4"/>
  <c r="BN3844" i="4"/>
  <c r="BM3844" i="4"/>
  <c r="BN3843" i="4"/>
  <c r="BM3843" i="4"/>
  <c r="BN3842" i="4"/>
  <c r="BM3842" i="4"/>
  <c r="BN3841" i="4"/>
  <c r="BM3841" i="4"/>
  <c r="BN3840" i="4"/>
  <c r="BM3840" i="4"/>
  <c r="BN3839" i="4"/>
  <c r="BM3839" i="4"/>
  <c r="BN3838" i="4"/>
  <c r="BM3838" i="4"/>
  <c r="BN3837" i="4"/>
  <c r="BM3837" i="4"/>
  <c r="BN3836" i="4"/>
  <c r="BM3836" i="4"/>
  <c r="BN3835" i="4"/>
  <c r="BM3835" i="4"/>
  <c r="BN3834" i="4"/>
  <c r="BM3834" i="4"/>
  <c r="BN3833" i="4"/>
  <c r="BM3833" i="4"/>
  <c r="BN3832" i="4"/>
  <c r="BM3832" i="4"/>
  <c r="BN3831" i="4"/>
  <c r="BM3831" i="4"/>
  <c r="BN3830" i="4"/>
  <c r="BM3830" i="4"/>
  <c r="BN3829" i="4"/>
  <c r="BM3829" i="4"/>
  <c r="BN3828" i="4"/>
  <c r="BM3828" i="4"/>
  <c r="BN3827" i="4"/>
  <c r="BM3827" i="4"/>
  <c r="BN3826" i="4"/>
  <c r="BM3826" i="4"/>
  <c r="BN3825" i="4"/>
  <c r="BM3825" i="4"/>
  <c r="BN3824" i="4"/>
  <c r="BM3824" i="4"/>
  <c r="BN3823" i="4"/>
  <c r="BM3823" i="4"/>
  <c r="BN3822" i="4"/>
  <c r="BM3822" i="4"/>
  <c r="BN3821" i="4"/>
  <c r="BM3821" i="4"/>
  <c r="BN3820" i="4"/>
  <c r="BM3820" i="4"/>
  <c r="BN3819" i="4"/>
  <c r="BM3819" i="4"/>
  <c r="BN3818" i="4"/>
  <c r="BM3818" i="4"/>
  <c r="BN3817" i="4"/>
  <c r="BM3817" i="4"/>
  <c r="BN3816" i="4"/>
  <c r="BM3816" i="4"/>
  <c r="BN3815" i="4"/>
  <c r="BM3815" i="4"/>
  <c r="BN3814" i="4"/>
  <c r="BM3814" i="4"/>
  <c r="BN3813" i="4"/>
  <c r="BM3813" i="4"/>
  <c r="BN3812" i="4"/>
  <c r="BM3812" i="4"/>
  <c r="BN3811" i="4"/>
  <c r="BM3811" i="4"/>
  <c r="BN3810" i="4"/>
  <c r="BM3810" i="4"/>
  <c r="BN3809" i="4"/>
  <c r="BM3809" i="4"/>
  <c r="BN3808" i="4"/>
  <c r="BM3808" i="4"/>
  <c r="BN3807" i="4"/>
  <c r="BM3807" i="4"/>
  <c r="BN3806" i="4"/>
  <c r="BM3806" i="4"/>
  <c r="BN3805" i="4"/>
  <c r="BM3805" i="4"/>
  <c r="BN3804" i="4"/>
  <c r="BM3804" i="4"/>
  <c r="BN3803" i="4"/>
  <c r="BM3803" i="4"/>
  <c r="BN3802" i="4"/>
  <c r="BM3802" i="4"/>
  <c r="BN3801" i="4"/>
  <c r="BM3801" i="4"/>
  <c r="BN3800" i="4"/>
  <c r="BM3800" i="4"/>
  <c r="BN3799" i="4"/>
  <c r="BM3799" i="4"/>
  <c r="BN3798" i="4"/>
  <c r="BM3798" i="4"/>
  <c r="BN3797" i="4"/>
  <c r="BM3797" i="4"/>
  <c r="BN3796" i="4"/>
  <c r="BM3796" i="4"/>
  <c r="BN3795" i="4"/>
  <c r="BM3795" i="4"/>
  <c r="BN3794" i="4"/>
  <c r="BM3794" i="4"/>
  <c r="BN3793" i="4"/>
  <c r="BM3793" i="4"/>
  <c r="BN3792" i="4"/>
  <c r="BM3792" i="4"/>
  <c r="BN3791" i="4"/>
  <c r="BM3791" i="4"/>
  <c r="BN3790" i="4"/>
  <c r="BM3790" i="4"/>
  <c r="BN3789" i="4"/>
  <c r="BM3789" i="4"/>
  <c r="BN3788" i="4"/>
  <c r="BM3788" i="4"/>
  <c r="BN3787" i="4"/>
  <c r="BM3787" i="4"/>
  <c r="BN3786" i="4"/>
  <c r="BM3786" i="4"/>
  <c r="BN3785" i="4"/>
  <c r="BM3785" i="4"/>
  <c r="BN3784" i="4"/>
  <c r="BM3784" i="4"/>
  <c r="BN3783" i="4"/>
  <c r="BM3783" i="4"/>
  <c r="BN3782" i="4"/>
  <c r="BM3782" i="4"/>
  <c r="BN3781" i="4"/>
  <c r="BM3781" i="4"/>
  <c r="BN3780" i="4"/>
  <c r="BM3780" i="4"/>
  <c r="BN3779" i="4"/>
  <c r="BM3779" i="4"/>
  <c r="BN3778" i="4"/>
  <c r="BM3778" i="4"/>
  <c r="BN3777" i="4"/>
  <c r="BM3777" i="4"/>
  <c r="BN3776" i="4"/>
  <c r="BM3776" i="4"/>
  <c r="BN3775" i="4"/>
  <c r="BM3775" i="4"/>
  <c r="BN3774" i="4"/>
  <c r="BM3774" i="4"/>
  <c r="BN3773" i="4"/>
  <c r="BM3773" i="4"/>
  <c r="BN3772" i="4"/>
  <c r="BM3772" i="4"/>
  <c r="BN3771" i="4"/>
  <c r="BM3771" i="4"/>
  <c r="BN3770" i="4"/>
  <c r="BM3770" i="4"/>
  <c r="BN3769" i="4"/>
  <c r="BM3769" i="4"/>
  <c r="BN3768" i="4"/>
  <c r="BM3768" i="4"/>
  <c r="BN3767" i="4"/>
  <c r="BM3767" i="4"/>
  <c r="BN3766" i="4"/>
  <c r="BM3766" i="4"/>
  <c r="BN3765" i="4"/>
  <c r="BM3765" i="4"/>
  <c r="BN3764" i="4"/>
  <c r="BM3764" i="4"/>
  <c r="BN3763" i="4"/>
  <c r="BM3763" i="4"/>
  <c r="BN3762" i="4"/>
  <c r="BM3762" i="4"/>
  <c r="BN3761" i="4"/>
  <c r="BM3761" i="4"/>
  <c r="BN3760" i="4"/>
  <c r="BM3760" i="4"/>
  <c r="BN3759" i="4"/>
  <c r="BM3759" i="4"/>
  <c r="BN3758" i="4"/>
  <c r="BM3758" i="4"/>
  <c r="BN3757" i="4"/>
  <c r="BM3757" i="4"/>
  <c r="BN3756" i="4"/>
  <c r="BM3756" i="4"/>
  <c r="BN3755" i="4"/>
  <c r="BM3755" i="4"/>
  <c r="BN3754" i="4"/>
  <c r="BM3754" i="4"/>
  <c r="BN3753" i="4"/>
  <c r="BM3753" i="4"/>
  <c r="BN3752" i="4"/>
  <c r="BM3752" i="4"/>
  <c r="BN3751" i="4"/>
  <c r="BM3751" i="4"/>
  <c r="BN3750" i="4"/>
  <c r="BM3750" i="4"/>
  <c r="BN3749" i="4"/>
  <c r="BM3749" i="4"/>
  <c r="BN3748" i="4"/>
  <c r="BM3748" i="4"/>
  <c r="BN3747" i="4"/>
  <c r="BM3747" i="4"/>
  <c r="BN3746" i="4"/>
  <c r="BM3746" i="4"/>
  <c r="BN3745" i="4"/>
  <c r="BM3745" i="4"/>
  <c r="BN3744" i="4"/>
  <c r="BM3744" i="4"/>
  <c r="BN3743" i="4"/>
  <c r="BM3743" i="4"/>
  <c r="BN3742" i="4"/>
  <c r="BM3742" i="4"/>
  <c r="BN3741" i="4"/>
  <c r="BM3741" i="4"/>
  <c r="BN3740" i="4"/>
  <c r="BM3740" i="4"/>
  <c r="BN3739" i="4"/>
  <c r="BM3739" i="4"/>
  <c r="BN3738" i="4"/>
  <c r="BM3738" i="4"/>
  <c r="BN3737" i="4"/>
  <c r="BM3737" i="4"/>
  <c r="BN3736" i="4"/>
  <c r="BM3736" i="4"/>
  <c r="BN3735" i="4"/>
  <c r="BM3735" i="4"/>
  <c r="BN3734" i="4"/>
  <c r="BM3734" i="4"/>
  <c r="BN3733" i="4"/>
  <c r="BM3733" i="4"/>
  <c r="BN3732" i="4"/>
  <c r="BM3732" i="4"/>
  <c r="BN3731" i="4"/>
  <c r="BM3731" i="4"/>
  <c r="BN3730" i="4"/>
  <c r="BM3730" i="4"/>
  <c r="BN3729" i="4"/>
  <c r="BM3729" i="4"/>
  <c r="BN3728" i="4"/>
  <c r="BM3728" i="4"/>
  <c r="BN3727" i="4"/>
  <c r="BM3727" i="4"/>
  <c r="BN3726" i="4"/>
  <c r="BM3726" i="4"/>
  <c r="BN3725" i="4"/>
  <c r="BM3725" i="4"/>
  <c r="BN3724" i="4"/>
  <c r="BM3724" i="4"/>
  <c r="BN3723" i="4"/>
  <c r="BM3723" i="4"/>
  <c r="BN3722" i="4"/>
  <c r="BM3722" i="4"/>
  <c r="BN3721" i="4"/>
  <c r="BM3721" i="4"/>
  <c r="BN3720" i="4"/>
  <c r="BM3720" i="4"/>
  <c r="BN3719" i="4"/>
  <c r="BM3719" i="4"/>
  <c r="BN3718" i="4"/>
  <c r="BM3718" i="4"/>
  <c r="BN3717" i="4"/>
  <c r="BM3717" i="4"/>
  <c r="BN3716" i="4"/>
  <c r="BM3716" i="4"/>
  <c r="BN3715" i="4"/>
  <c r="BM3715" i="4"/>
  <c r="BN3714" i="4"/>
  <c r="BM3714" i="4"/>
  <c r="BN3713" i="4"/>
  <c r="BM3713" i="4"/>
  <c r="BN3712" i="4"/>
  <c r="BM3712" i="4"/>
  <c r="BN3711" i="4"/>
  <c r="BM3711" i="4"/>
  <c r="BN3710" i="4"/>
  <c r="BM3710" i="4"/>
  <c r="BN3709" i="4"/>
  <c r="BM3709" i="4"/>
  <c r="BN3708" i="4"/>
  <c r="BM3708" i="4"/>
  <c r="BN3707" i="4"/>
  <c r="BM3707" i="4"/>
  <c r="BN3706" i="4"/>
  <c r="BM3706" i="4"/>
  <c r="BN3705" i="4"/>
  <c r="BM3705" i="4"/>
  <c r="BN3704" i="4"/>
  <c r="BM3704" i="4"/>
  <c r="BN3703" i="4"/>
  <c r="BM3703" i="4"/>
  <c r="BN3702" i="4"/>
  <c r="BM3702" i="4"/>
  <c r="BN3701" i="4"/>
  <c r="BM3701" i="4"/>
  <c r="BN3700" i="4"/>
  <c r="BM3700" i="4"/>
  <c r="BN3699" i="4"/>
  <c r="BM3699" i="4"/>
  <c r="BN3698" i="4"/>
  <c r="BM3698" i="4"/>
  <c r="BN3697" i="4"/>
  <c r="BM3697" i="4"/>
  <c r="BN3696" i="4"/>
  <c r="BM3696" i="4"/>
  <c r="BN3695" i="4"/>
  <c r="BM3695" i="4"/>
  <c r="BN3694" i="4"/>
  <c r="BM3694" i="4"/>
  <c r="BN3693" i="4"/>
  <c r="BM3693" i="4"/>
  <c r="BN3692" i="4"/>
  <c r="BM3692" i="4"/>
  <c r="BN3691" i="4"/>
  <c r="BM3691" i="4"/>
  <c r="BN3690" i="4"/>
  <c r="BM3690" i="4"/>
  <c r="BN3689" i="4"/>
  <c r="BM3689" i="4"/>
  <c r="BN3688" i="4"/>
  <c r="BM3688" i="4"/>
  <c r="BN3687" i="4"/>
  <c r="BM3687" i="4"/>
  <c r="BN3686" i="4"/>
  <c r="BM3686" i="4"/>
  <c r="BN3685" i="4"/>
  <c r="BM3685" i="4"/>
  <c r="BN3684" i="4"/>
  <c r="BM3684" i="4"/>
  <c r="BN3683" i="4"/>
  <c r="BM3683" i="4"/>
  <c r="BN3682" i="4"/>
  <c r="BM3682" i="4"/>
  <c r="BN3681" i="4"/>
  <c r="BM3681" i="4"/>
  <c r="BN3680" i="4"/>
  <c r="BM3680" i="4"/>
  <c r="BN3679" i="4"/>
  <c r="BM3679" i="4"/>
  <c r="BN3678" i="4"/>
  <c r="BM3678" i="4"/>
  <c r="BN3677" i="4"/>
  <c r="BM3677" i="4"/>
  <c r="BN3676" i="4"/>
  <c r="BM3676" i="4"/>
  <c r="BN3675" i="4"/>
  <c r="BM3675" i="4"/>
  <c r="BN3674" i="4"/>
  <c r="BM3674" i="4"/>
  <c r="BN3673" i="4"/>
  <c r="BM3673" i="4"/>
  <c r="BN3672" i="4"/>
  <c r="BM3672" i="4"/>
  <c r="BN3671" i="4"/>
  <c r="BM3671" i="4"/>
  <c r="BN3670" i="4"/>
  <c r="BM3670" i="4"/>
  <c r="BN3669" i="4"/>
  <c r="BM3669" i="4"/>
  <c r="BN3668" i="4"/>
  <c r="BM3668" i="4"/>
  <c r="BN3667" i="4"/>
  <c r="BM3667" i="4"/>
  <c r="BN3666" i="4"/>
  <c r="BM3666" i="4"/>
  <c r="BN3665" i="4"/>
  <c r="BM3665" i="4"/>
  <c r="BN3664" i="4"/>
  <c r="BM3664" i="4"/>
  <c r="BN3663" i="4"/>
  <c r="BM3663" i="4"/>
  <c r="BN3662" i="4"/>
  <c r="BM3662" i="4"/>
  <c r="BN3661" i="4"/>
  <c r="BM3661" i="4"/>
  <c r="BN3660" i="4"/>
  <c r="BM3660" i="4"/>
  <c r="BN3659" i="4"/>
  <c r="BM3659" i="4"/>
  <c r="BN3658" i="4"/>
  <c r="BM3658" i="4"/>
  <c r="BN3657" i="4"/>
  <c r="BM3657" i="4"/>
  <c r="BN3656" i="4"/>
  <c r="BM3656" i="4"/>
  <c r="BN3655" i="4"/>
  <c r="BM3655" i="4"/>
  <c r="BN3654" i="4"/>
  <c r="BM3654" i="4"/>
  <c r="BN3653" i="4"/>
  <c r="BM3653" i="4"/>
  <c r="BN3652" i="4"/>
  <c r="BM3652" i="4"/>
  <c r="BN3651" i="4"/>
  <c r="BM3651" i="4"/>
  <c r="BN3650" i="4"/>
  <c r="BM3650" i="4"/>
  <c r="BN3649" i="4"/>
  <c r="BM3649" i="4"/>
  <c r="BN3648" i="4"/>
  <c r="BM3648" i="4"/>
  <c r="BN3647" i="4"/>
  <c r="BM3647" i="4"/>
  <c r="BN3646" i="4"/>
  <c r="BM3646" i="4"/>
  <c r="BN3645" i="4"/>
  <c r="BM3645" i="4"/>
  <c r="BN3644" i="4"/>
  <c r="BM3644" i="4"/>
  <c r="BN3643" i="4"/>
  <c r="BM3643" i="4"/>
  <c r="BN3642" i="4"/>
  <c r="BM3642" i="4"/>
  <c r="BN3641" i="4"/>
  <c r="BM3641" i="4"/>
  <c r="BN3640" i="4"/>
  <c r="BM3640" i="4"/>
  <c r="BN3639" i="4"/>
  <c r="BM3639" i="4"/>
  <c r="BN3638" i="4"/>
  <c r="BM3638" i="4"/>
  <c r="BN3637" i="4"/>
  <c r="BM3637" i="4"/>
  <c r="BN3636" i="4"/>
  <c r="BM3636" i="4"/>
  <c r="BN3635" i="4"/>
  <c r="BM3635" i="4"/>
  <c r="BN3634" i="4"/>
  <c r="BM3634" i="4"/>
  <c r="BN3633" i="4"/>
  <c r="BM3633" i="4"/>
  <c r="BN3632" i="4"/>
  <c r="BM3632" i="4"/>
  <c r="BN3631" i="4"/>
  <c r="BM3631" i="4"/>
  <c r="BN3630" i="4"/>
  <c r="BM3630" i="4"/>
  <c r="BN3629" i="4"/>
  <c r="BM3629" i="4"/>
  <c r="BN3628" i="4"/>
  <c r="BM3628" i="4"/>
  <c r="BN3627" i="4"/>
  <c r="BM3627" i="4"/>
  <c r="BN3626" i="4"/>
  <c r="BM3626" i="4"/>
  <c r="BN3625" i="4"/>
  <c r="BM3625" i="4"/>
  <c r="BN3624" i="4"/>
  <c r="BM3624" i="4"/>
  <c r="BN3623" i="4"/>
  <c r="BM3623" i="4"/>
  <c r="BN3622" i="4"/>
  <c r="BM3622" i="4"/>
  <c r="BN3621" i="4"/>
  <c r="BM3621" i="4"/>
  <c r="BN3620" i="4"/>
  <c r="BM3620" i="4"/>
  <c r="BN3619" i="4"/>
  <c r="BM3619" i="4"/>
  <c r="BN3618" i="4"/>
  <c r="BM3618" i="4"/>
  <c r="BN3617" i="4"/>
  <c r="BM3617" i="4"/>
  <c r="BN3616" i="4"/>
  <c r="BM3616" i="4"/>
  <c r="BN3615" i="4"/>
  <c r="BM3615" i="4"/>
  <c r="BN3614" i="4"/>
  <c r="BM3614" i="4"/>
  <c r="BN3613" i="4"/>
  <c r="BM3613" i="4"/>
  <c r="BN3612" i="4"/>
  <c r="BM3612" i="4"/>
  <c r="BN3611" i="4"/>
  <c r="BM3611" i="4"/>
  <c r="BN3610" i="4"/>
  <c r="BM3610" i="4"/>
  <c r="BN3609" i="4"/>
  <c r="BM3609" i="4"/>
  <c r="BN3608" i="4"/>
  <c r="BM3608" i="4"/>
  <c r="BN3607" i="4"/>
  <c r="BM3607" i="4"/>
  <c r="BN3606" i="4"/>
  <c r="BM3606" i="4"/>
  <c r="BN3605" i="4"/>
  <c r="BM3605" i="4"/>
  <c r="BN3604" i="4"/>
  <c r="BM3604" i="4"/>
  <c r="BN3603" i="4"/>
  <c r="BM3603" i="4"/>
  <c r="BN3602" i="4"/>
  <c r="BM3602" i="4"/>
  <c r="BN3601" i="4"/>
  <c r="BM3601" i="4"/>
  <c r="BN3600" i="4"/>
  <c r="BM3600" i="4"/>
  <c r="BN3599" i="4"/>
  <c r="BM3599" i="4"/>
  <c r="BN3598" i="4"/>
  <c r="BM3598" i="4"/>
  <c r="BN3597" i="4"/>
  <c r="BM3597" i="4"/>
  <c r="BN3596" i="4"/>
  <c r="BM3596" i="4"/>
  <c r="BN3595" i="4"/>
  <c r="BM3595" i="4"/>
  <c r="BN3594" i="4"/>
  <c r="BM3594" i="4"/>
  <c r="BN3593" i="4"/>
  <c r="BM3593" i="4"/>
  <c r="BN3592" i="4"/>
  <c r="BM3592" i="4"/>
  <c r="BN3591" i="4"/>
  <c r="BM3591" i="4"/>
  <c r="BN3590" i="4"/>
  <c r="BM3590" i="4"/>
  <c r="BN3589" i="4"/>
  <c r="BM3589" i="4"/>
  <c r="BN3588" i="4"/>
  <c r="BM3588" i="4"/>
  <c r="BN3587" i="4"/>
  <c r="BM3587" i="4"/>
  <c r="BN3586" i="4"/>
  <c r="BM3586" i="4"/>
  <c r="BN3585" i="4"/>
  <c r="BM3585" i="4"/>
  <c r="BT709" i="4"/>
  <c r="BS709" i="4"/>
  <c r="BT708" i="4"/>
  <c r="BS708" i="4"/>
  <c r="BT707" i="4"/>
  <c r="BS707" i="4"/>
  <c r="BT706" i="4"/>
  <c r="BS706" i="4"/>
  <c r="I706" i="4"/>
  <c r="J706" i="4" s="1"/>
  <c r="BT705" i="4"/>
  <c r="BS705" i="4"/>
  <c r="I705" i="4"/>
  <c r="J705" i="4" s="1"/>
  <c r="BT704" i="4"/>
  <c r="BS704" i="4"/>
  <c r="I704" i="4"/>
  <c r="J704" i="4" s="1"/>
  <c r="BT703" i="4"/>
  <c r="BS703" i="4"/>
  <c r="I703" i="4"/>
  <c r="J703" i="4" s="1"/>
  <c r="BT702" i="4"/>
  <c r="BS702" i="4"/>
  <c r="I702" i="4"/>
  <c r="J702" i="4" s="1"/>
  <c r="BT701" i="4"/>
  <c r="BS701" i="4"/>
  <c r="I701" i="4"/>
  <c r="J701" i="4" s="1"/>
  <c r="BT700" i="4"/>
  <c r="BS700" i="4"/>
  <c r="I700" i="4"/>
  <c r="J700" i="4" s="1"/>
  <c r="BT699" i="4"/>
  <c r="BS699" i="4"/>
  <c r="I699" i="4"/>
  <c r="J699" i="4" s="1"/>
  <c r="BT698" i="4"/>
  <c r="BS698" i="4"/>
  <c r="I698" i="4"/>
  <c r="J698" i="4" s="1"/>
  <c r="BT697" i="4"/>
  <c r="BS697" i="4"/>
  <c r="I697" i="4"/>
  <c r="J697" i="4" s="1"/>
  <c r="BT696" i="4"/>
  <c r="BS696" i="4"/>
  <c r="J696" i="4"/>
  <c r="I696" i="4"/>
  <c r="BT695" i="4"/>
  <c r="BS695" i="4"/>
  <c r="I695" i="4"/>
  <c r="J695" i="4" s="1"/>
  <c r="BT694" i="4"/>
  <c r="BS694" i="4"/>
  <c r="I694" i="4"/>
  <c r="J694" i="4" s="1"/>
  <c r="BT693" i="4"/>
  <c r="BS693" i="4"/>
  <c r="I693" i="4"/>
  <c r="J693" i="4" s="1"/>
  <c r="BT692" i="4"/>
  <c r="BS692" i="4"/>
  <c r="I692" i="4"/>
  <c r="J692" i="4" s="1"/>
  <c r="BT691" i="4"/>
  <c r="BS691" i="4"/>
  <c r="I691" i="4"/>
  <c r="J691" i="4" s="1"/>
  <c r="BT690" i="4"/>
  <c r="BS690" i="4"/>
  <c r="I690" i="4"/>
  <c r="J690" i="4" s="1"/>
  <c r="BT689" i="4"/>
  <c r="BS689" i="4"/>
  <c r="I689" i="4"/>
  <c r="J689" i="4" s="1"/>
  <c r="BT688" i="4"/>
  <c r="BS688" i="4"/>
  <c r="I688" i="4"/>
  <c r="J688" i="4" s="1"/>
  <c r="BT687" i="4"/>
  <c r="BS687" i="4"/>
  <c r="I687" i="4"/>
  <c r="J687" i="4" s="1"/>
  <c r="BT686" i="4"/>
  <c r="BS686" i="4"/>
  <c r="I686" i="4"/>
  <c r="J686" i="4" s="1"/>
  <c r="BT685" i="4"/>
  <c r="BS685" i="4"/>
  <c r="I685" i="4"/>
  <c r="J685" i="4" s="1"/>
  <c r="BT684" i="4"/>
  <c r="BS684" i="4"/>
  <c r="I684" i="4"/>
  <c r="J684" i="4" s="1"/>
  <c r="BT683" i="4"/>
  <c r="BS683" i="4"/>
  <c r="I683" i="4"/>
  <c r="J683" i="4" s="1"/>
  <c r="BT682" i="4"/>
  <c r="BS682" i="4"/>
  <c r="J682" i="4"/>
  <c r="I682" i="4"/>
  <c r="BT681" i="4"/>
  <c r="BS681" i="4"/>
  <c r="I681" i="4"/>
  <c r="J681" i="4" s="1"/>
  <c r="BT680" i="4"/>
  <c r="BS680" i="4"/>
  <c r="BT679" i="4"/>
  <c r="BS679" i="4"/>
  <c r="A679" i="4"/>
  <c r="BB679" i="4" s="1"/>
  <c r="BT678" i="4"/>
  <c r="BS678" i="4"/>
  <c r="A678" i="4"/>
  <c r="BT677" i="4"/>
  <c r="BS677" i="4"/>
  <c r="A677" i="4"/>
  <c r="BA677" i="4" s="1"/>
  <c r="BT676" i="4"/>
  <c r="BS676" i="4"/>
  <c r="A676" i="4"/>
  <c r="BT675" i="4"/>
  <c r="BS675" i="4"/>
  <c r="A675" i="4"/>
  <c r="BT674" i="4"/>
  <c r="BS674" i="4"/>
  <c r="A674" i="4"/>
  <c r="BT673" i="4"/>
  <c r="BS673" i="4"/>
  <c r="A673" i="4"/>
  <c r="BB673" i="4" s="1"/>
  <c r="BT672" i="4"/>
  <c r="BS672" i="4"/>
  <c r="A672" i="4"/>
  <c r="BT671" i="4"/>
  <c r="BS671" i="4"/>
  <c r="A671" i="4"/>
  <c r="BB671" i="4" s="1"/>
  <c r="BT670" i="4"/>
  <c r="BS670" i="4"/>
  <c r="A670" i="4"/>
  <c r="BA670" i="4" s="1"/>
  <c r="BT669" i="4"/>
  <c r="BS669" i="4"/>
  <c r="A669" i="4"/>
  <c r="BT668" i="4"/>
  <c r="BS668" i="4"/>
  <c r="A668" i="4"/>
  <c r="BT667" i="4"/>
  <c r="BS667" i="4"/>
  <c r="A667" i="4"/>
  <c r="BA667" i="4" s="1"/>
  <c r="BT666" i="4"/>
  <c r="BS666" i="4"/>
  <c r="A666" i="4"/>
  <c r="BB666" i="4" s="1"/>
  <c r="BT665" i="4"/>
  <c r="BS665" i="4"/>
  <c r="A665" i="4"/>
  <c r="BA665" i="4" s="1"/>
  <c r="BT664" i="4"/>
  <c r="BS664" i="4"/>
  <c r="A664" i="4"/>
  <c r="BT663" i="4"/>
  <c r="BS663" i="4"/>
  <c r="A663" i="4"/>
  <c r="BB663" i="4" s="1"/>
  <c r="BT662" i="4"/>
  <c r="BS662" i="4"/>
  <c r="A662" i="4"/>
  <c r="BA662" i="4" s="1"/>
  <c r="BT661" i="4"/>
  <c r="BS661" i="4"/>
  <c r="A661" i="4"/>
  <c r="BT660" i="4"/>
  <c r="BS660" i="4"/>
  <c r="A660" i="4"/>
  <c r="BB660" i="4" s="1"/>
  <c r="BT659" i="4"/>
  <c r="BS659" i="4"/>
  <c r="A659" i="4"/>
  <c r="BT658" i="4"/>
  <c r="BS658" i="4"/>
  <c r="A658" i="4"/>
  <c r="BB658" i="4" s="1"/>
  <c r="BT657" i="4"/>
  <c r="BS657" i="4"/>
  <c r="A657" i="4"/>
  <c r="BB657" i="4" s="1"/>
  <c r="BT656" i="4"/>
  <c r="BS656" i="4"/>
  <c r="AQ656" i="4"/>
  <c r="AQ657" i="4" s="1"/>
  <c r="A656" i="4"/>
  <c r="BT655" i="4"/>
  <c r="BS655" i="4"/>
  <c r="AQ655" i="4"/>
  <c r="A655" i="4"/>
  <c r="BA655" i="4" s="1"/>
  <c r="BT654" i="4"/>
  <c r="BS654" i="4"/>
  <c r="AQ654" i="4"/>
  <c r="A654" i="4"/>
  <c r="BB654" i="4" s="1"/>
  <c r="BT653" i="4"/>
  <c r="BS653" i="4"/>
  <c r="A653" i="4"/>
  <c r="BT652" i="4"/>
  <c r="BS652" i="4"/>
  <c r="AA652" i="4"/>
  <c r="P652" i="4"/>
  <c r="O652" i="4"/>
  <c r="A652" i="4"/>
  <c r="BT651" i="4"/>
  <c r="BS651" i="4"/>
  <c r="AB651" i="4"/>
  <c r="U651" i="4"/>
  <c r="P651" i="4"/>
  <c r="O651" i="4"/>
  <c r="A651" i="4"/>
  <c r="BB651" i="4" s="1"/>
  <c r="BT650" i="4"/>
  <c r="BS650" i="4"/>
  <c r="AA650" i="4"/>
  <c r="V650" i="4"/>
  <c r="O650" i="4"/>
  <c r="P650" i="4"/>
  <c r="A650" i="4"/>
  <c r="BT649" i="4"/>
  <c r="BS649" i="4"/>
  <c r="AB649" i="4"/>
  <c r="AA649" i="4"/>
  <c r="A649" i="4"/>
  <c r="BT648" i="4"/>
  <c r="BS648" i="4"/>
  <c r="AA648" i="4"/>
  <c r="V648" i="4"/>
  <c r="U648" i="4"/>
  <c r="P648" i="4"/>
  <c r="A648" i="4"/>
  <c r="BB648" i="4" s="1"/>
  <c r="BT647" i="4"/>
  <c r="BS647" i="4"/>
  <c r="AB647" i="4"/>
  <c r="AA647" i="4"/>
  <c r="V647" i="4"/>
  <c r="O647" i="4"/>
  <c r="A647" i="4"/>
  <c r="BB647" i="4" s="1"/>
  <c r="BT646" i="4"/>
  <c r="BS646" i="4"/>
  <c r="P646" i="4"/>
  <c r="O646" i="4"/>
  <c r="A646" i="4"/>
  <c r="BB646" i="4" s="1"/>
  <c r="BT645" i="4"/>
  <c r="BS645" i="4"/>
  <c r="AB645" i="4"/>
  <c r="AA645" i="4"/>
  <c r="U645" i="4"/>
  <c r="V645" i="4"/>
  <c r="P645" i="4"/>
  <c r="O645" i="4"/>
  <c r="A645" i="4"/>
  <c r="BB645" i="4" s="1"/>
  <c r="BT644" i="4"/>
  <c r="BS644" i="4"/>
  <c r="U644" i="4"/>
  <c r="P644" i="4"/>
  <c r="A644" i="4"/>
  <c r="BB644" i="4" s="1"/>
  <c r="BT643" i="4"/>
  <c r="BS643" i="4"/>
  <c r="U643" i="4"/>
  <c r="V643" i="4"/>
  <c r="A643" i="4"/>
  <c r="BB643" i="4" s="1"/>
  <c r="BT642" i="4"/>
  <c r="BS642" i="4"/>
  <c r="AB642" i="4"/>
  <c r="AA642" i="4"/>
  <c r="V642" i="4"/>
  <c r="U642" i="4"/>
  <c r="A642" i="4"/>
  <c r="BT641" i="4"/>
  <c r="BS641" i="4"/>
  <c r="AB641" i="4"/>
  <c r="AA641" i="4"/>
  <c r="V641" i="4"/>
  <c r="P641" i="4"/>
  <c r="O641" i="4"/>
  <c r="A641" i="4"/>
  <c r="BB641" i="4" s="1"/>
  <c r="BT640" i="4"/>
  <c r="BS640" i="4"/>
  <c r="AB640" i="4"/>
  <c r="AA640" i="4"/>
  <c r="V640" i="4"/>
  <c r="U640" i="4"/>
  <c r="A640" i="4"/>
  <c r="BT639" i="4"/>
  <c r="BS639" i="4"/>
  <c r="AA639" i="4"/>
  <c r="U639" i="4"/>
  <c r="O639" i="4"/>
  <c r="P639" i="4"/>
  <c r="A639" i="4"/>
  <c r="BA639" i="4" s="1"/>
  <c r="BT638" i="4"/>
  <c r="BS638" i="4"/>
  <c r="AA638" i="4"/>
  <c r="O638" i="4"/>
  <c r="A638" i="4"/>
  <c r="BT637" i="4"/>
  <c r="BS637" i="4"/>
  <c r="AA637" i="4"/>
  <c r="P637" i="4"/>
  <c r="O637" i="4"/>
  <c r="A637" i="4"/>
  <c r="BB637" i="4" s="1"/>
  <c r="BT636" i="4"/>
  <c r="BS636" i="4"/>
  <c r="AA636" i="4"/>
  <c r="V636" i="4"/>
  <c r="P636" i="4"/>
  <c r="A636" i="4"/>
  <c r="BT635" i="4"/>
  <c r="BS635" i="4"/>
  <c r="AB635" i="4"/>
  <c r="V635" i="4"/>
  <c r="A635" i="4"/>
  <c r="BB635" i="4" s="1"/>
  <c r="BT634" i="4"/>
  <c r="BS634" i="4"/>
  <c r="AB634" i="4"/>
  <c r="AA634" i="4"/>
  <c r="V634" i="4"/>
  <c r="U634" i="4"/>
  <c r="O634" i="4"/>
  <c r="A634" i="4"/>
  <c r="BT633" i="4"/>
  <c r="BS633" i="4"/>
  <c r="P633" i="4"/>
  <c r="O633" i="4"/>
  <c r="A633" i="4"/>
  <c r="BA633" i="4" s="1"/>
  <c r="BT632" i="4"/>
  <c r="BS632" i="4"/>
  <c r="P632" i="4"/>
  <c r="A632" i="4"/>
  <c r="BA632" i="4" s="1"/>
  <c r="BT631" i="4"/>
  <c r="BS631" i="4"/>
  <c r="P631" i="4"/>
  <c r="O631" i="4"/>
  <c r="A631" i="4"/>
  <c r="BB631" i="4" s="1"/>
  <c r="BT630" i="4"/>
  <c r="BS630" i="4"/>
  <c r="O630" i="4"/>
  <c r="P630" i="4"/>
  <c r="A630" i="4"/>
  <c r="BB630" i="4" s="1"/>
  <c r="BT629" i="4"/>
  <c r="BS629" i="4"/>
  <c r="A629" i="4"/>
  <c r="BB629" i="4" s="1"/>
  <c r="BT628" i="4"/>
  <c r="BS628" i="4"/>
  <c r="P628" i="4"/>
  <c r="A628" i="4"/>
  <c r="BT627" i="4"/>
  <c r="BS627" i="4"/>
  <c r="P627" i="4"/>
  <c r="O627" i="4"/>
  <c r="A627" i="4"/>
  <c r="BT626" i="4"/>
  <c r="BS626" i="4"/>
  <c r="O626" i="4"/>
  <c r="A626" i="4"/>
  <c r="BB626" i="4" s="1"/>
  <c r="BT625" i="4"/>
  <c r="BS625" i="4"/>
  <c r="O625" i="4"/>
  <c r="A625" i="4"/>
  <c r="BT624" i="4"/>
  <c r="BS624" i="4"/>
  <c r="A624" i="4"/>
  <c r="BT623" i="4"/>
  <c r="BS623" i="4"/>
  <c r="P623" i="4"/>
  <c r="A623" i="4"/>
  <c r="BT622" i="4"/>
  <c r="BS622" i="4"/>
  <c r="P622" i="4"/>
  <c r="O622" i="4"/>
  <c r="A622" i="4"/>
  <c r="BA622" i="4" s="1"/>
  <c r="BT621" i="4"/>
  <c r="BS621" i="4"/>
  <c r="P621" i="4"/>
  <c r="A621" i="4"/>
  <c r="BT620" i="4"/>
  <c r="BS620" i="4"/>
  <c r="P620" i="4"/>
  <c r="O620" i="4"/>
  <c r="A620" i="4"/>
  <c r="BB620" i="4" s="1"/>
  <c r="BT619" i="4"/>
  <c r="BS619" i="4"/>
  <c r="P619" i="4"/>
  <c r="O619" i="4"/>
  <c r="A619" i="4"/>
  <c r="BT618" i="4"/>
  <c r="BS618" i="4"/>
  <c r="O618" i="4"/>
  <c r="A618" i="4"/>
  <c r="BT617" i="4"/>
  <c r="BS617" i="4"/>
  <c r="A617" i="4"/>
  <c r="BT616" i="4"/>
  <c r="BS616" i="4"/>
  <c r="P616" i="4"/>
  <c r="O616" i="4"/>
  <c r="A616" i="4"/>
  <c r="BT615" i="4"/>
  <c r="BS615" i="4"/>
  <c r="P615" i="4"/>
  <c r="O615" i="4"/>
  <c r="A615" i="4"/>
  <c r="BT614" i="4"/>
  <c r="BS614" i="4"/>
  <c r="O614" i="4"/>
  <c r="A614" i="4"/>
  <c r="BT613" i="4"/>
  <c r="BS613" i="4"/>
  <c r="P613" i="4"/>
  <c r="O613" i="4"/>
  <c r="A613" i="4"/>
  <c r="BT612" i="4"/>
  <c r="BS612" i="4"/>
  <c r="P612" i="4"/>
  <c r="O612" i="4"/>
  <c r="A612" i="4"/>
  <c r="BT611" i="4"/>
  <c r="BS611" i="4"/>
  <c r="P611" i="4"/>
  <c r="A611" i="4"/>
  <c r="BT610" i="4"/>
  <c r="BS610" i="4"/>
  <c r="A610" i="4"/>
  <c r="BB610" i="4" s="1"/>
  <c r="BT609" i="4"/>
  <c r="BS609" i="4"/>
  <c r="P609" i="4"/>
  <c r="O609" i="4"/>
  <c r="A609" i="4"/>
  <c r="BB609" i="4" s="1"/>
  <c r="BT608" i="4"/>
  <c r="BS608" i="4"/>
  <c r="O608" i="4"/>
  <c r="A608" i="4"/>
  <c r="BT607" i="4"/>
  <c r="BS607" i="4"/>
  <c r="A607" i="4"/>
  <c r="BB607" i="4" s="1"/>
  <c r="BT606" i="4"/>
  <c r="BS606" i="4"/>
  <c r="A606" i="4"/>
  <c r="BT605" i="4"/>
  <c r="BS605" i="4"/>
  <c r="P605" i="4"/>
  <c r="A605" i="4"/>
  <c r="BT604" i="4"/>
  <c r="BS604" i="4"/>
  <c r="A604" i="4"/>
  <c r="BB604" i="4" s="1"/>
  <c r="BT603" i="4"/>
  <c r="BS603" i="4"/>
  <c r="A603" i="4"/>
  <c r="BB603" i="4" s="1"/>
  <c r="BT602" i="4"/>
  <c r="BS602" i="4"/>
  <c r="O602" i="4"/>
  <c r="A602" i="4"/>
  <c r="BT601" i="4"/>
  <c r="BS601" i="4"/>
  <c r="P601" i="4"/>
  <c r="A601" i="4"/>
  <c r="BT600" i="4"/>
  <c r="BS600" i="4"/>
  <c r="O600" i="4"/>
  <c r="A600" i="4"/>
  <c r="BA600" i="4" s="1"/>
  <c r="BT599" i="4"/>
  <c r="BS599" i="4"/>
  <c r="O599" i="4"/>
  <c r="A599" i="4"/>
  <c r="BT598" i="4"/>
  <c r="BS598" i="4"/>
  <c r="P598" i="4"/>
  <c r="O598" i="4"/>
  <c r="A598" i="4"/>
  <c r="BB598" i="4" s="1"/>
  <c r="BT597" i="4"/>
  <c r="BS597" i="4"/>
  <c r="O597" i="4"/>
  <c r="A597" i="4"/>
  <c r="BT596" i="4"/>
  <c r="BS596" i="4"/>
  <c r="O596" i="4"/>
  <c r="A596" i="4"/>
  <c r="BB596" i="4" s="1"/>
  <c r="BT595" i="4"/>
  <c r="BS595" i="4"/>
  <c r="P595" i="4"/>
  <c r="A595" i="4"/>
  <c r="BT594" i="4"/>
  <c r="BS594" i="4"/>
  <c r="P594" i="4"/>
  <c r="O594" i="4"/>
  <c r="A594" i="4"/>
  <c r="BT593" i="4"/>
  <c r="BS593" i="4"/>
  <c r="P593" i="4"/>
  <c r="A593" i="4"/>
  <c r="BB593" i="4" s="1"/>
  <c r="BT592" i="4"/>
  <c r="BS592" i="4"/>
  <c r="A592" i="4"/>
  <c r="BB592" i="4" s="1"/>
  <c r="BT591" i="4"/>
  <c r="BS591" i="4"/>
  <c r="P591" i="4"/>
  <c r="A591" i="4"/>
  <c r="BT590" i="4"/>
  <c r="BS590" i="4"/>
  <c r="P590" i="4"/>
  <c r="A590" i="4"/>
  <c r="BB590" i="4" s="1"/>
  <c r="BT589" i="4"/>
  <c r="BS589" i="4"/>
  <c r="A589" i="4"/>
  <c r="BB589" i="4" s="1"/>
  <c r="BT588" i="4"/>
  <c r="BS588" i="4"/>
  <c r="O588" i="4"/>
  <c r="A588" i="4"/>
  <c r="BB588" i="4" s="1"/>
  <c r="BT587" i="4"/>
  <c r="BS587" i="4"/>
  <c r="P587" i="4"/>
  <c r="O587" i="4"/>
  <c r="A587" i="4"/>
  <c r="BT586" i="4"/>
  <c r="BS586" i="4"/>
  <c r="O586" i="4"/>
  <c r="A586" i="4"/>
  <c r="BB586" i="4" s="1"/>
  <c r="BT585" i="4"/>
  <c r="BS585" i="4"/>
  <c r="O585" i="4"/>
  <c r="A585" i="4"/>
  <c r="BT584" i="4"/>
  <c r="BS584" i="4"/>
  <c r="P584" i="4"/>
  <c r="O584" i="4"/>
  <c r="A584" i="4"/>
  <c r="BT583" i="4"/>
  <c r="BS583" i="4"/>
  <c r="O583" i="4"/>
  <c r="A583" i="4"/>
  <c r="BT582" i="4"/>
  <c r="BS582" i="4"/>
  <c r="P582" i="4"/>
  <c r="O582" i="4"/>
  <c r="A582" i="4"/>
  <c r="BA582" i="4" s="1"/>
  <c r="BT581" i="4"/>
  <c r="BS581" i="4"/>
  <c r="P581" i="4"/>
  <c r="O581" i="4"/>
  <c r="A581" i="4"/>
  <c r="BA581" i="4" s="1"/>
  <c r="BT580" i="4"/>
  <c r="BS580" i="4"/>
  <c r="O580" i="4"/>
  <c r="A580" i="4"/>
  <c r="BT579" i="4"/>
  <c r="BS579" i="4"/>
  <c r="A579" i="4"/>
  <c r="BB579" i="4" s="1"/>
  <c r="BT578" i="4"/>
  <c r="BS578" i="4"/>
  <c r="A578" i="4"/>
  <c r="BT577" i="4"/>
  <c r="BS577" i="4"/>
  <c r="O577" i="4"/>
  <c r="P577" i="4"/>
  <c r="A577" i="4"/>
  <c r="BB577" i="4" s="1"/>
  <c r="BT576" i="4"/>
  <c r="BS576" i="4"/>
  <c r="P576" i="4"/>
  <c r="O576" i="4"/>
  <c r="A576" i="4"/>
  <c r="BT575" i="4"/>
  <c r="BS575" i="4"/>
  <c r="P575" i="4"/>
  <c r="O575" i="4"/>
  <c r="A575" i="4"/>
  <c r="BB575" i="4" s="1"/>
  <c r="BT574" i="4"/>
  <c r="BS574" i="4"/>
  <c r="A574" i="4"/>
  <c r="BB574" i="4" s="1"/>
  <c r="BT573" i="4"/>
  <c r="BS573" i="4"/>
  <c r="A573" i="4"/>
  <c r="BT572" i="4"/>
  <c r="BS572" i="4"/>
  <c r="P572" i="4"/>
  <c r="A572" i="4"/>
  <c r="BT571" i="4"/>
  <c r="BS571" i="4"/>
  <c r="P571" i="4"/>
  <c r="A571" i="4"/>
  <c r="BB571" i="4" s="1"/>
  <c r="BT570" i="4"/>
  <c r="BS570" i="4"/>
  <c r="A570" i="4"/>
  <c r="BT569" i="4"/>
  <c r="BS569" i="4"/>
  <c r="A569" i="4"/>
  <c r="BT568" i="4"/>
  <c r="BS568" i="4"/>
  <c r="A568" i="4"/>
  <c r="BT567" i="4"/>
  <c r="BS567" i="4"/>
  <c r="A567" i="4"/>
  <c r="BT566" i="4"/>
  <c r="BS566" i="4"/>
  <c r="A566" i="4"/>
  <c r="BA566" i="4" s="1"/>
  <c r="BT565" i="4"/>
  <c r="BS565" i="4"/>
  <c r="A565" i="4"/>
  <c r="BB565" i="4" s="1"/>
  <c r="BT564" i="4"/>
  <c r="BS564" i="4"/>
  <c r="A564" i="4"/>
  <c r="BT563" i="4"/>
  <c r="BS563" i="4"/>
  <c r="A563" i="4"/>
  <c r="BB563" i="4" s="1"/>
  <c r="BT562" i="4"/>
  <c r="BS562" i="4"/>
  <c r="A562" i="4"/>
  <c r="BB562" i="4" s="1"/>
  <c r="BT561" i="4"/>
  <c r="BS561" i="4"/>
  <c r="A561" i="4"/>
  <c r="BT560" i="4"/>
  <c r="BS560" i="4"/>
  <c r="A560" i="4"/>
  <c r="BA560" i="4" s="1"/>
  <c r="BT559" i="4"/>
  <c r="BS559" i="4"/>
  <c r="A559" i="4"/>
  <c r="BT558" i="4"/>
  <c r="BS558" i="4"/>
  <c r="A558" i="4"/>
  <c r="BT557" i="4"/>
  <c r="BS557" i="4"/>
  <c r="A557" i="4"/>
  <c r="BB557" i="4" s="1"/>
  <c r="BT556" i="4"/>
  <c r="BS556" i="4"/>
  <c r="A556" i="4"/>
  <c r="BA556" i="4" s="1"/>
  <c r="BT555" i="4"/>
  <c r="BS555" i="4"/>
  <c r="A555" i="4"/>
  <c r="BA555" i="4" s="1"/>
  <c r="BT554" i="4"/>
  <c r="BS554" i="4"/>
  <c r="A554" i="4"/>
  <c r="BB554" i="4" s="1"/>
  <c r="BT553" i="4"/>
  <c r="BS553" i="4"/>
  <c r="A553" i="4"/>
  <c r="BT552" i="4"/>
  <c r="BS552" i="4"/>
  <c r="A552" i="4"/>
  <c r="BT551" i="4"/>
  <c r="BS551" i="4"/>
  <c r="A551" i="4"/>
  <c r="BB551" i="4" s="1"/>
  <c r="BT550" i="4"/>
  <c r="BS550" i="4"/>
  <c r="A550" i="4"/>
  <c r="BA550" i="4" s="1"/>
  <c r="BT549" i="4"/>
  <c r="BS549" i="4"/>
  <c r="A549" i="4"/>
  <c r="BB549" i="4" s="1"/>
  <c r="BT548" i="4"/>
  <c r="BS548" i="4"/>
  <c r="A548" i="4"/>
  <c r="BB548" i="4" s="1"/>
  <c r="BT547" i="4"/>
  <c r="BS547" i="4"/>
  <c r="A547" i="4"/>
  <c r="BT546" i="4"/>
  <c r="BS546" i="4"/>
  <c r="A546" i="4"/>
  <c r="BT545" i="4"/>
  <c r="BS545" i="4"/>
  <c r="A545" i="4"/>
  <c r="BT544" i="4"/>
  <c r="BS544" i="4"/>
  <c r="A544" i="4"/>
  <c r="BT543" i="4"/>
  <c r="BS543" i="4"/>
  <c r="A543" i="4"/>
  <c r="BT542" i="4"/>
  <c r="BS542" i="4"/>
  <c r="A542" i="4"/>
  <c r="BB542" i="4" s="1"/>
  <c r="BT541" i="4"/>
  <c r="BS541" i="4"/>
  <c r="A541" i="4"/>
  <c r="BT540" i="4"/>
  <c r="BS540" i="4"/>
  <c r="A540" i="4"/>
  <c r="BB540" i="4" s="1"/>
  <c r="BT539" i="4"/>
  <c r="BS539" i="4"/>
  <c r="A539" i="4"/>
  <c r="BT538" i="4"/>
  <c r="BS538" i="4"/>
  <c r="A538" i="4"/>
  <c r="BT537" i="4"/>
  <c r="BS537" i="4"/>
  <c r="A537" i="4"/>
  <c r="BT536" i="4"/>
  <c r="BS536" i="4"/>
  <c r="A536" i="4"/>
  <c r="BT535" i="4"/>
  <c r="BS535" i="4"/>
  <c r="A535" i="4"/>
  <c r="BT534" i="4"/>
  <c r="BS534" i="4"/>
  <c r="A534" i="4"/>
  <c r="BA534" i="4" s="1"/>
  <c r="BT533" i="4"/>
  <c r="BS533" i="4"/>
  <c r="A533" i="4"/>
  <c r="BB533" i="4" s="1"/>
  <c r="BT532" i="4"/>
  <c r="BS532" i="4"/>
  <c r="A532" i="4"/>
  <c r="BT531" i="4"/>
  <c r="BS531" i="4"/>
  <c r="A531" i="4"/>
  <c r="BT530" i="4"/>
  <c r="BS530" i="4"/>
  <c r="A530" i="4"/>
  <c r="BT529" i="4"/>
  <c r="BS529" i="4"/>
  <c r="A529" i="4"/>
  <c r="BT528" i="4"/>
  <c r="BS528" i="4"/>
  <c r="A528" i="4"/>
  <c r="BA528" i="4" s="1"/>
  <c r="BT527" i="4"/>
  <c r="BS527" i="4"/>
  <c r="A527" i="4"/>
  <c r="BT526" i="4"/>
  <c r="BS526" i="4"/>
  <c r="A526" i="4"/>
  <c r="BB526" i="4" s="1"/>
  <c r="BT525" i="4"/>
  <c r="BS525" i="4"/>
  <c r="BB525" i="4"/>
  <c r="A525" i="4"/>
  <c r="BA525" i="4" s="1"/>
  <c r="BT524" i="4"/>
  <c r="BS524" i="4"/>
  <c r="A524" i="4"/>
  <c r="BT523" i="4"/>
  <c r="BS523" i="4"/>
  <c r="A523" i="4"/>
  <c r="BT522" i="4"/>
  <c r="BS522" i="4"/>
  <c r="A522" i="4"/>
  <c r="BA522" i="4" s="1"/>
  <c r="BT521" i="4"/>
  <c r="BS521" i="4"/>
  <c r="A521" i="4"/>
  <c r="BT520" i="4"/>
  <c r="BS520" i="4"/>
  <c r="A520" i="4"/>
  <c r="BB520" i="4" s="1"/>
  <c r="BT519" i="4"/>
  <c r="BS519" i="4"/>
  <c r="A519" i="4"/>
  <c r="BT518" i="4"/>
  <c r="BS518" i="4"/>
  <c r="A518" i="4"/>
  <c r="BA518" i="4" s="1"/>
  <c r="BT517" i="4"/>
  <c r="BS517" i="4"/>
  <c r="A517" i="4"/>
  <c r="BT516" i="4"/>
  <c r="BS516" i="4"/>
  <c r="A516" i="4"/>
  <c r="BB516" i="4" s="1"/>
  <c r="BT515" i="4"/>
  <c r="BS515" i="4"/>
  <c r="A515" i="4"/>
  <c r="BT514" i="4"/>
  <c r="BS514" i="4"/>
  <c r="A514" i="4"/>
  <c r="BA514" i="4" s="1"/>
  <c r="BT513" i="4"/>
  <c r="BS513" i="4"/>
  <c r="A513" i="4"/>
  <c r="BB513" i="4" s="1"/>
  <c r="BT512" i="4"/>
  <c r="BS512" i="4"/>
  <c r="A512" i="4"/>
  <c r="BB512" i="4" s="1"/>
  <c r="BT511" i="4"/>
  <c r="BS511" i="4"/>
  <c r="A511" i="4"/>
  <c r="BT510" i="4"/>
  <c r="BS510" i="4"/>
  <c r="A510" i="4"/>
  <c r="BA510" i="4" s="1"/>
  <c r="BT509" i="4"/>
  <c r="BS509" i="4"/>
  <c r="A509" i="4"/>
  <c r="BA509" i="4" s="1"/>
  <c r="BT508" i="4"/>
  <c r="BS508" i="4"/>
  <c r="A508" i="4"/>
  <c r="BT507" i="4"/>
  <c r="BS507" i="4"/>
  <c r="A507" i="4"/>
  <c r="BT506" i="4"/>
  <c r="BS506" i="4"/>
  <c r="AQ506" i="4"/>
  <c r="A506" i="4"/>
  <c r="BB506" i="4" s="1"/>
  <c r="BT505" i="4"/>
  <c r="BS505" i="4"/>
  <c r="A505" i="4"/>
  <c r="BB505" i="4" s="1"/>
  <c r="BT504" i="4"/>
  <c r="BS504" i="4"/>
  <c r="A504" i="4"/>
  <c r="BA504" i="4" s="1"/>
  <c r="BT503" i="4"/>
  <c r="BS503" i="4"/>
  <c r="A503" i="4"/>
  <c r="BT502" i="4"/>
  <c r="BS502" i="4"/>
  <c r="A502" i="4"/>
  <c r="BT501" i="4"/>
  <c r="BS501" i="4"/>
  <c r="A501" i="4"/>
  <c r="BT500" i="4"/>
  <c r="BS500" i="4"/>
  <c r="A500" i="4"/>
  <c r="BB500" i="4" s="1"/>
  <c r="BT499" i="4"/>
  <c r="BS499" i="4"/>
  <c r="A499" i="4"/>
  <c r="BT498" i="4"/>
  <c r="BS498" i="4"/>
  <c r="A498" i="4"/>
  <c r="BT497" i="4"/>
  <c r="BS497" i="4"/>
  <c r="A497" i="4"/>
  <c r="BB497" i="4" s="1"/>
  <c r="BT496" i="4"/>
  <c r="BS496" i="4"/>
  <c r="A496" i="4"/>
  <c r="BT495" i="4"/>
  <c r="BS495" i="4"/>
  <c r="A495" i="4"/>
  <c r="BT494" i="4"/>
  <c r="BS494" i="4"/>
  <c r="A494" i="4"/>
  <c r="BA494" i="4" s="1"/>
  <c r="BT493" i="4"/>
  <c r="BS493" i="4"/>
  <c r="A493" i="4"/>
  <c r="BB493" i="4" s="1"/>
  <c r="BT492" i="4"/>
  <c r="BS492" i="4"/>
  <c r="A492" i="4"/>
  <c r="BT491" i="4"/>
  <c r="BS491" i="4"/>
  <c r="A491" i="4"/>
  <c r="BA491" i="4" s="1"/>
  <c r="BT490" i="4"/>
  <c r="BS490" i="4"/>
  <c r="A490" i="4"/>
  <c r="BA490" i="4" s="1"/>
  <c r="BT489" i="4"/>
  <c r="BS489" i="4"/>
  <c r="A489" i="4"/>
  <c r="BT488" i="4"/>
  <c r="BS488" i="4"/>
  <c r="A488" i="4"/>
  <c r="BT487" i="4"/>
  <c r="BS487" i="4"/>
  <c r="A487" i="4"/>
  <c r="BB487" i="4" s="1"/>
  <c r="BT486" i="4"/>
  <c r="BS486" i="4"/>
  <c r="A486" i="4"/>
  <c r="BA486" i="4" s="1"/>
  <c r="BT485" i="4"/>
  <c r="BS485" i="4"/>
  <c r="A485" i="4"/>
  <c r="BB485" i="4" s="1"/>
  <c r="BT484" i="4"/>
  <c r="BS484" i="4"/>
  <c r="A484" i="4"/>
  <c r="BB484" i="4" s="1"/>
  <c r="BT483" i="4"/>
  <c r="BS483" i="4"/>
  <c r="A483" i="4"/>
  <c r="BB483" i="4" s="1"/>
  <c r="BT482" i="4"/>
  <c r="BS482" i="4"/>
  <c r="A482" i="4"/>
  <c r="BT481" i="4"/>
  <c r="BS481" i="4"/>
  <c r="A481" i="4"/>
  <c r="BA481" i="4" s="1"/>
  <c r="BT480" i="4"/>
  <c r="BS480" i="4"/>
  <c r="A480" i="4"/>
  <c r="BT479" i="4"/>
  <c r="BS479" i="4"/>
  <c r="A479" i="4"/>
  <c r="BT478" i="4"/>
  <c r="BS478" i="4"/>
  <c r="A478" i="4"/>
  <c r="BA478" i="4" s="1"/>
  <c r="BT477" i="4"/>
  <c r="BS477" i="4"/>
  <c r="A477" i="4"/>
  <c r="BT476" i="4"/>
  <c r="BS476" i="4"/>
  <c r="A476" i="4"/>
  <c r="BA476" i="4" s="1"/>
  <c r="BT475" i="4"/>
  <c r="BS475" i="4"/>
  <c r="A475" i="4"/>
  <c r="BA475" i="4" s="1"/>
  <c r="BT474" i="4"/>
  <c r="BS474" i="4"/>
  <c r="A474" i="4"/>
  <c r="BA474" i="4" s="1"/>
  <c r="BT473" i="4"/>
  <c r="BS473" i="4"/>
  <c r="A473" i="4"/>
  <c r="BA473" i="4" s="1"/>
  <c r="BT472" i="4"/>
  <c r="BS472" i="4"/>
  <c r="A472" i="4"/>
  <c r="BB472" i="4" s="1"/>
  <c r="BT471" i="4"/>
  <c r="BS471" i="4"/>
  <c r="A471" i="4"/>
  <c r="BA471" i="4" s="1"/>
  <c r="BT470" i="4"/>
  <c r="BS470" i="4"/>
  <c r="A470" i="4"/>
  <c r="BT469" i="4"/>
  <c r="BS469" i="4"/>
  <c r="A469" i="4"/>
  <c r="BA469" i="4" s="1"/>
  <c r="BT468" i="4"/>
  <c r="BS468" i="4"/>
  <c r="A468" i="4"/>
  <c r="BA468" i="4" s="1"/>
  <c r="BT467" i="4"/>
  <c r="BS467" i="4"/>
  <c r="A467" i="4"/>
  <c r="BA467" i="4" s="1"/>
  <c r="BT466" i="4"/>
  <c r="BS466" i="4"/>
  <c r="A466" i="4"/>
  <c r="BT465" i="4"/>
  <c r="BS465" i="4"/>
  <c r="A465" i="4"/>
  <c r="BB465" i="4" s="1"/>
  <c r="BT464" i="4"/>
  <c r="BS464" i="4"/>
  <c r="A464" i="4"/>
  <c r="BA464" i="4" s="1"/>
  <c r="BT463" i="4"/>
  <c r="BS463" i="4"/>
  <c r="A463" i="4"/>
  <c r="BB463" i="4" s="1"/>
  <c r="BT462" i="4"/>
  <c r="BS462" i="4"/>
  <c r="A462" i="4"/>
  <c r="BB462" i="4" s="1"/>
  <c r="BT461" i="4"/>
  <c r="BS461" i="4"/>
  <c r="A461" i="4"/>
  <c r="BT460" i="4"/>
  <c r="BS460" i="4"/>
  <c r="A460" i="4"/>
  <c r="BA460" i="4" s="1"/>
  <c r="BT459" i="4"/>
  <c r="BS459" i="4"/>
  <c r="A459" i="4"/>
  <c r="BT458" i="4"/>
  <c r="BS458" i="4"/>
  <c r="A458" i="4"/>
  <c r="BT457" i="4"/>
  <c r="BS457" i="4"/>
  <c r="A457" i="4"/>
  <c r="BB457" i="4" s="1"/>
  <c r="BT456" i="4"/>
  <c r="BS456" i="4"/>
  <c r="A456" i="4"/>
  <c r="BB456" i="4" s="1"/>
  <c r="BT455" i="4"/>
  <c r="BS455" i="4"/>
  <c r="A455" i="4"/>
  <c r="BT454" i="4"/>
  <c r="BS454" i="4"/>
  <c r="A454" i="4"/>
  <c r="BT453" i="4"/>
  <c r="BS453" i="4"/>
  <c r="A453" i="4"/>
  <c r="BB453" i="4" s="1"/>
  <c r="BT452" i="4"/>
  <c r="BS452" i="4"/>
  <c r="A452" i="4"/>
  <c r="BB452" i="4" s="1"/>
  <c r="BT451" i="4"/>
  <c r="BS451" i="4"/>
  <c r="A451" i="4"/>
  <c r="BB451" i="4" s="1"/>
  <c r="BT450" i="4"/>
  <c r="BS450" i="4"/>
  <c r="A450" i="4"/>
  <c r="BA450" i="4" s="1"/>
  <c r="BT449" i="4"/>
  <c r="BS449" i="4"/>
  <c r="A449" i="4"/>
  <c r="BT448" i="4"/>
  <c r="BS448" i="4"/>
  <c r="A448" i="4"/>
  <c r="BA448" i="4" s="1"/>
  <c r="BT447" i="4"/>
  <c r="BS447" i="4"/>
  <c r="A447" i="4"/>
  <c r="BA447" i="4" s="1"/>
  <c r="BT446" i="4"/>
  <c r="BS446" i="4"/>
  <c r="A446" i="4"/>
  <c r="BT445" i="4"/>
  <c r="BS445" i="4"/>
  <c r="A445" i="4"/>
  <c r="BT444" i="4"/>
  <c r="BS444" i="4"/>
  <c r="A444" i="4"/>
  <c r="BB444" i="4" s="1"/>
  <c r="BT443" i="4"/>
  <c r="BS443" i="4"/>
  <c r="A443" i="4"/>
  <c r="BA443" i="4" s="1"/>
  <c r="BT442" i="4"/>
  <c r="BS442" i="4"/>
  <c r="A442" i="4"/>
  <c r="BT441" i="4"/>
  <c r="BS441" i="4"/>
  <c r="A441" i="4"/>
  <c r="BT440" i="4"/>
  <c r="BS440" i="4"/>
  <c r="A440" i="4"/>
  <c r="BT439" i="4"/>
  <c r="BS439" i="4"/>
  <c r="A439" i="4"/>
  <c r="BB439" i="4" s="1"/>
  <c r="BT438" i="4"/>
  <c r="BS438" i="4"/>
  <c r="A438" i="4"/>
  <c r="BB438" i="4" s="1"/>
  <c r="BT437" i="4"/>
  <c r="BS437" i="4"/>
  <c r="A437" i="4"/>
  <c r="BA437" i="4" s="1"/>
  <c r="BT436" i="4"/>
  <c r="BS436" i="4"/>
  <c r="A436" i="4"/>
  <c r="BA436" i="4" s="1"/>
  <c r="BT435" i="4"/>
  <c r="BS435" i="4"/>
  <c r="A435" i="4"/>
  <c r="BA435" i="4" s="1"/>
  <c r="BT434" i="4"/>
  <c r="BS434" i="4"/>
  <c r="A434" i="4"/>
  <c r="BB434" i="4" s="1"/>
  <c r="BT433" i="4"/>
  <c r="BS433" i="4"/>
  <c r="A433" i="4"/>
  <c r="BT432" i="4"/>
  <c r="BS432" i="4"/>
  <c r="A432" i="4"/>
  <c r="BA432" i="4" s="1"/>
  <c r="BT431" i="4"/>
  <c r="BS431" i="4"/>
  <c r="AQ431" i="4"/>
  <c r="A431" i="4"/>
  <c r="BB431" i="4" s="1"/>
  <c r="BT430" i="4"/>
  <c r="BS430" i="4"/>
  <c r="A430" i="4"/>
  <c r="BT429" i="4"/>
  <c r="BS429" i="4"/>
  <c r="A429" i="4"/>
  <c r="BB429" i="4" s="1"/>
  <c r="BT428" i="4"/>
  <c r="BS428" i="4"/>
  <c r="A428" i="4"/>
  <c r="BB428" i="4" s="1"/>
  <c r="BT427" i="4"/>
  <c r="BS427" i="4"/>
  <c r="A427" i="4"/>
  <c r="BT426" i="4"/>
  <c r="BS426" i="4"/>
  <c r="A426" i="4"/>
  <c r="BB426" i="4" s="1"/>
  <c r="BT425" i="4"/>
  <c r="BS425" i="4"/>
  <c r="A425" i="4"/>
  <c r="BA425" i="4" s="1"/>
  <c r="BT424" i="4"/>
  <c r="BS424" i="4"/>
  <c r="A424" i="4"/>
  <c r="BT423" i="4"/>
  <c r="BS423" i="4"/>
  <c r="A423" i="4"/>
  <c r="BB423" i="4" s="1"/>
  <c r="BT422" i="4"/>
  <c r="BS422" i="4"/>
  <c r="A422" i="4"/>
  <c r="BB422" i="4" s="1"/>
  <c r="BT421" i="4"/>
  <c r="BS421" i="4"/>
  <c r="A421" i="4"/>
  <c r="BB421" i="4" s="1"/>
  <c r="BT420" i="4"/>
  <c r="BS420" i="4"/>
  <c r="A420" i="4"/>
  <c r="BB420" i="4" s="1"/>
  <c r="BT419" i="4"/>
  <c r="BS419" i="4"/>
  <c r="A419" i="4"/>
  <c r="BA419" i="4" s="1"/>
  <c r="BT418" i="4"/>
  <c r="BS418" i="4"/>
  <c r="A418" i="4"/>
  <c r="BA418" i="4" s="1"/>
  <c r="BT417" i="4"/>
  <c r="BS417" i="4"/>
  <c r="A417" i="4"/>
  <c r="BT416" i="4"/>
  <c r="BS416" i="4"/>
  <c r="A416" i="4"/>
  <c r="BB416" i="4" s="1"/>
  <c r="BT415" i="4"/>
  <c r="BS415" i="4"/>
  <c r="A415" i="4"/>
  <c r="BT414" i="4"/>
  <c r="BS414" i="4"/>
  <c r="A414" i="4"/>
  <c r="BB414" i="4" s="1"/>
  <c r="BT413" i="4"/>
  <c r="BS413" i="4"/>
  <c r="A413" i="4"/>
  <c r="BT412" i="4"/>
  <c r="BS412" i="4"/>
  <c r="A412" i="4"/>
  <c r="BB412" i="4" s="1"/>
  <c r="BT411" i="4"/>
  <c r="BS411" i="4"/>
  <c r="A411" i="4"/>
  <c r="BB411" i="4" s="1"/>
  <c r="BT410" i="4"/>
  <c r="BS410" i="4"/>
  <c r="A410" i="4"/>
  <c r="BT409" i="4"/>
  <c r="BS409" i="4"/>
  <c r="A409" i="4"/>
  <c r="BB409" i="4" s="1"/>
  <c r="BT408" i="4"/>
  <c r="BS408" i="4"/>
  <c r="A408" i="4"/>
  <c r="BB408" i="4" s="1"/>
  <c r="BT407" i="4"/>
  <c r="BS407" i="4"/>
  <c r="A407" i="4"/>
  <c r="BT406" i="4"/>
  <c r="BS406" i="4"/>
  <c r="A406" i="4"/>
  <c r="BT405" i="4"/>
  <c r="BS405" i="4"/>
  <c r="A405" i="4"/>
  <c r="BB405" i="4" s="1"/>
  <c r="BT404" i="4"/>
  <c r="BS404" i="4"/>
  <c r="A404" i="4"/>
  <c r="BT403" i="4"/>
  <c r="BS403" i="4"/>
  <c r="A403" i="4"/>
  <c r="BT402" i="4"/>
  <c r="BS402" i="4"/>
  <c r="A402" i="4"/>
  <c r="BT401" i="4"/>
  <c r="BS401" i="4"/>
  <c r="A401" i="4"/>
  <c r="BT400" i="4"/>
  <c r="BS400" i="4"/>
  <c r="A400" i="4"/>
  <c r="BT399" i="4"/>
  <c r="BS399" i="4"/>
  <c r="A399" i="4"/>
  <c r="BT398" i="4"/>
  <c r="BS398" i="4"/>
  <c r="A398" i="4"/>
  <c r="BT397" i="4"/>
  <c r="BS397" i="4"/>
  <c r="A397" i="4"/>
  <c r="BT396" i="4"/>
  <c r="BS396" i="4"/>
  <c r="A396" i="4"/>
  <c r="BT395" i="4"/>
  <c r="BS395" i="4"/>
  <c r="A395" i="4"/>
  <c r="BT394" i="4"/>
  <c r="BS394" i="4"/>
  <c r="A394" i="4"/>
  <c r="BT393" i="4"/>
  <c r="BS393" i="4"/>
  <c r="A393" i="4"/>
  <c r="BT392" i="4"/>
  <c r="BS392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BJ3" i="4" a="1"/>
  <c r="BJ1541" i="4" s="1"/>
  <c r="BC2" i="4" a="1"/>
  <c r="BD3625" i="4" s="1"/>
  <c r="F6383" i="3"/>
  <c r="E6383" i="3"/>
  <c r="F6382" i="3"/>
  <c r="E6382" i="3"/>
  <c r="F6381" i="3"/>
  <c r="E6381" i="3"/>
  <c r="F6380" i="3"/>
  <c r="E6380" i="3"/>
  <c r="F6379" i="3"/>
  <c r="E6379" i="3"/>
  <c r="F6378" i="3"/>
  <c r="E6378" i="3"/>
  <c r="F6377" i="3"/>
  <c r="E6377" i="3"/>
  <c r="F6376" i="3"/>
  <c r="E6376" i="3"/>
  <c r="F6375" i="3"/>
  <c r="E6375" i="3"/>
  <c r="F6374" i="3"/>
  <c r="E6374" i="3"/>
  <c r="F6373" i="3"/>
  <c r="E6373" i="3"/>
  <c r="F6372" i="3"/>
  <c r="E6372" i="3"/>
  <c r="F6371" i="3"/>
  <c r="E6371" i="3"/>
  <c r="F6370" i="3"/>
  <c r="E6370" i="3"/>
  <c r="F6369" i="3"/>
  <c r="E6369" i="3"/>
  <c r="F6368" i="3"/>
  <c r="E6368" i="3"/>
  <c r="F6367" i="3"/>
  <c r="E6367" i="3"/>
  <c r="F6366" i="3"/>
  <c r="E6366" i="3"/>
  <c r="F6365" i="3"/>
  <c r="E6365" i="3"/>
  <c r="F6364" i="3"/>
  <c r="E6364" i="3"/>
  <c r="F6363" i="3"/>
  <c r="E6363" i="3"/>
  <c r="F6362" i="3"/>
  <c r="E6362" i="3"/>
  <c r="F6361" i="3"/>
  <c r="E6361" i="3"/>
  <c r="F6360" i="3"/>
  <c r="E6360" i="3"/>
  <c r="F6359" i="3"/>
  <c r="E6359" i="3"/>
  <c r="F6358" i="3"/>
  <c r="E6358" i="3"/>
  <c r="F6357" i="3"/>
  <c r="E6357" i="3"/>
  <c r="F6356" i="3"/>
  <c r="E6356" i="3"/>
  <c r="F6355" i="3"/>
  <c r="E6355" i="3"/>
  <c r="F6354" i="3"/>
  <c r="E6354" i="3"/>
  <c r="F6353" i="3"/>
  <c r="E6353" i="3"/>
  <c r="F6352" i="3"/>
  <c r="E6352" i="3"/>
  <c r="F6351" i="3"/>
  <c r="E6351" i="3"/>
  <c r="F6350" i="3"/>
  <c r="E6350" i="3"/>
  <c r="F6349" i="3"/>
  <c r="E6349" i="3"/>
  <c r="F6348" i="3"/>
  <c r="E6348" i="3"/>
  <c r="F6347" i="3"/>
  <c r="E6347" i="3"/>
  <c r="F6346" i="3"/>
  <c r="E6346" i="3"/>
  <c r="F6345" i="3"/>
  <c r="E6345" i="3"/>
  <c r="F6344" i="3"/>
  <c r="E6344" i="3"/>
  <c r="F6343" i="3"/>
  <c r="E6343" i="3"/>
  <c r="F6342" i="3"/>
  <c r="E6342" i="3"/>
  <c r="F6341" i="3"/>
  <c r="E6341" i="3"/>
  <c r="F6340" i="3"/>
  <c r="E6340" i="3"/>
  <c r="F6339" i="3"/>
  <c r="E6339" i="3"/>
  <c r="F6338" i="3"/>
  <c r="E6338" i="3"/>
  <c r="F6337" i="3"/>
  <c r="E6337" i="3"/>
  <c r="F6336" i="3"/>
  <c r="E6336" i="3"/>
  <c r="F6335" i="3"/>
  <c r="E6335" i="3"/>
  <c r="F6334" i="3"/>
  <c r="E6334" i="3"/>
  <c r="F6333" i="3"/>
  <c r="E6333" i="3"/>
  <c r="F6332" i="3"/>
  <c r="E6332" i="3"/>
  <c r="F6331" i="3"/>
  <c r="E6331" i="3"/>
  <c r="F6330" i="3"/>
  <c r="E6330" i="3"/>
  <c r="F6329" i="3"/>
  <c r="E6329" i="3"/>
  <c r="F6328" i="3"/>
  <c r="E6328" i="3"/>
  <c r="F6327" i="3"/>
  <c r="E6327" i="3"/>
  <c r="F6326" i="3"/>
  <c r="E6326" i="3"/>
  <c r="F6325" i="3"/>
  <c r="E6325" i="3"/>
  <c r="F6324" i="3"/>
  <c r="E6324" i="3"/>
  <c r="F6323" i="3"/>
  <c r="E6323" i="3"/>
  <c r="F6322" i="3"/>
  <c r="E6322" i="3"/>
  <c r="F6321" i="3"/>
  <c r="E6321" i="3"/>
  <c r="F6320" i="3"/>
  <c r="E6320" i="3"/>
  <c r="F6319" i="3"/>
  <c r="E6319" i="3"/>
  <c r="F6318" i="3"/>
  <c r="E6318" i="3"/>
  <c r="F6317" i="3"/>
  <c r="E6317" i="3"/>
  <c r="F6316" i="3"/>
  <c r="E6316" i="3"/>
  <c r="F6315" i="3"/>
  <c r="E6315" i="3"/>
  <c r="F6314" i="3"/>
  <c r="E6314" i="3"/>
  <c r="F6313" i="3"/>
  <c r="E6313" i="3"/>
  <c r="F6312" i="3"/>
  <c r="E6312" i="3"/>
  <c r="F6311" i="3"/>
  <c r="E6311" i="3"/>
  <c r="F6310" i="3"/>
  <c r="E6310" i="3"/>
  <c r="F6309" i="3"/>
  <c r="E6309" i="3"/>
  <c r="F6308" i="3"/>
  <c r="E6308" i="3"/>
  <c r="F6307" i="3"/>
  <c r="E6307" i="3"/>
  <c r="F6306" i="3"/>
  <c r="E6306" i="3"/>
  <c r="F6305" i="3"/>
  <c r="E6305" i="3"/>
  <c r="F6304" i="3"/>
  <c r="E6304" i="3"/>
  <c r="F6303" i="3"/>
  <c r="E6303" i="3"/>
  <c r="F6302" i="3"/>
  <c r="E6302" i="3"/>
  <c r="F6301" i="3"/>
  <c r="E6301" i="3"/>
  <c r="F6300" i="3"/>
  <c r="E6300" i="3"/>
  <c r="F6299" i="3"/>
  <c r="E6299" i="3"/>
  <c r="F6298" i="3"/>
  <c r="E6298" i="3"/>
  <c r="F6297" i="3"/>
  <c r="E6297" i="3"/>
  <c r="F6296" i="3"/>
  <c r="E6296" i="3"/>
  <c r="F6295" i="3"/>
  <c r="E6295" i="3"/>
  <c r="F6294" i="3"/>
  <c r="E6294" i="3"/>
  <c r="F6293" i="3"/>
  <c r="E6293" i="3"/>
  <c r="F6292" i="3"/>
  <c r="E6292" i="3"/>
  <c r="F6291" i="3"/>
  <c r="E6291" i="3"/>
  <c r="F6290" i="3"/>
  <c r="E6290" i="3"/>
  <c r="F6289" i="3"/>
  <c r="E6289" i="3"/>
  <c r="F6288" i="3"/>
  <c r="E6288" i="3"/>
  <c r="F6287" i="3"/>
  <c r="E6287" i="3"/>
  <c r="F6286" i="3"/>
  <c r="E6286" i="3"/>
  <c r="F6285" i="3"/>
  <c r="E6285" i="3"/>
  <c r="F6284" i="3"/>
  <c r="E6284" i="3"/>
  <c r="F6283" i="3"/>
  <c r="E6283" i="3"/>
  <c r="F6282" i="3"/>
  <c r="E6282" i="3"/>
  <c r="F6281" i="3"/>
  <c r="E6281" i="3"/>
  <c r="F6280" i="3"/>
  <c r="E6280" i="3"/>
  <c r="F6279" i="3"/>
  <c r="E6279" i="3"/>
  <c r="F6278" i="3"/>
  <c r="E6278" i="3"/>
  <c r="F6277" i="3"/>
  <c r="E6277" i="3"/>
  <c r="F6276" i="3"/>
  <c r="E6276" i="3"/>
  <c r="F6275" i="3"/>
  <c r="E6275" i="3"/>
  <c r="F6274" i="3"/>
  <c r="E6274" i="3"/>
  <c r="F6273" i="3"/>
  <c r="E6273" i="3"/>
  <c r="F6272" i="3"/>
  <c r="E6272" i="3"/>
  <c r="F6271" i="3"/>
  <c r="E6271" i="3"/>
  <c r="F6270" i="3"/>
  <c r="E6270" i="3"/>
  <c r="F6269" i="3"/>
  <c r="E6269" i="3"/>
  <c r="F6268" i="3"/>
  <c r="E6268" i="3"/>
  <c r="F6267" i="3"/>
  <c r="E6267" i="3"/>
  <c r="F6266" i="3"/>
  <c r="E6266" i="3"/>
  <c r="F6265" i="3"/>
  <c r="E6265" i="3"/>
  <c r="F6264" i="3"/>
  <c r="E6264" i="3"/>
  <c r="F6263" i="3"/>
  <c r="E6263" i="3"/>
  <c r="F6262" i="3"/>
  <c r="E6262" i="3"/>
  <c r="F6261" i="3"/>
  <c r="E6261" i="3"/>
  <c r="F6260" i="3"/>
  <c r="E6260" i="3"/>
  <c r="F6259" i="3"/>
  <c r="E6259" i="3"/>
  <c r="F6258" i="3"/>
  <c r="E6258" i="3"/>
  <c r="F6257" i="3"/>
  <c r="E6257" i="3"/>
  <c r="F6256" i="3"/>
  <c r="E6256" i="3"/>
  <c r="F6255" i="3"/>
  <c r="E6255" i="3"/>
  <c r="F6254" i="3"/>
  <c r="E6254" i="3"/>
  <c r="F6253" i="3"/>
  <c r="E6253" i="3"/>
  <c r="F6252" i="3"/>
  <c r="E6252" i="3"/>
  <c r="F6251" i="3"/>
  <c r="E6251" i="3"/>
  <c r="F6250" i="3"/>
  <c r="E6250" i="3"/>
  <c r="F6249" i="3"/>
  <c r="E6249" i="3"/>
  <c r="F6248" i="3"/>
  <c r="E6248" i="3"/>
  <c r="F6247" i="3"/>
  <c r="E6247" i="3"/>
  <c r="F6246" i="3"/>
  <c r="E6246" i="3"/>
  <c r="F6245" i="3"/>
  <c r="E6245" i="3"/>
  <c r="F6244" i="3"/>
  <c r="E6244" i="3"/>
  <c r="F6243" i="3"/>
  <c r="E6243" i="3"/>
  <c r="F6242" i="3"/>
  <c r="E6242" i="3"/>
  <c r="F6241" i="3"/>
  <c r="E6241" i="3"/>
  <c r="F6240" i="3"/>
  <c r="E6240" i="3"/>
  <c r="F6239" i="3"/>
  <c r="E6239" i="3"/>
  <c r="F6238" i="3"/>
  <c r="E6238" i="3"/>
  <c r="F6237" i="3"/>
  <c r="E6237" i="3"/>
  <c r="F6236" i="3"/>
  <c r="E6236" i="3"/>
  <c r="F6235" i="3"/>
  <c r="E6235" i="3"/>
  <c r="F6234" i="3"/>
  <c r="E6234" i="3"/>
  <c r="F6233" i="3"/>
  <c r="E6233" i="3"/>
  <c r="F6232" i="3"/>
  <c r="E6232" i="3"/>
  <c r="F6231" i="3"/>
  <c r="E6231" i="3"/>
  <c r="F6230" i="3"/>
  <c r="E6230" i="3"/>
  <c r="F6229" i="3"/>
  <c r="E6229" i="3"/>
  <c r="F6228" i="3"/>
  <c r="E6228" i="3"/>
  <c r="F6227" i="3"/>
  <c r="E6227" i="3"/>
  <c r="F6226" i="3"/>
  <c r="E6226" i="3"/>
  <c r="F6225" i="3"/>
  <c r="E6225" i="3"/>
  <c r="F6224" i="3"/>
  <c r="E6224" i="3"/>
  <c r="F6223" i="3"/>
  <c r="E6223" i="3"/>
  <c r="F6222" i="3"/>
  <c r="E6222" i="3"/>
  <c r="F6221" i="3"/>
  <c r="E6221" i="3"/>
  <c r="F6220" i="3"/>
  <c r="E6220" i="3"/>
  <c r="F6219" i="3"/>
  <c r="E6219" i="3"/>
  <c r="F6218" i="3"/>
  <c r="E6218" i="3"/>
  <c r="F6217" i="3"/>
  <c r="E6217" i="3"/>
  <c r="F6216" i="3"/>
  <c r="E6216" i="3"/>
  <c r="F6215" i="3"/>
  <c r="E6215" i="3"/>
  <c r="F6214" i="3"/>
  <c r="E6214" i="3"/>
  <c r="F6213" i="3"/>
  <c r="E6213" i="3"/>
  <c r="F6212" i="3"/>
  <c r="E6212" i="3"/>
  <c r="F6211" i="3"/>
  <c r="E6211" i="3"/>
  <c r="F6210" i="3"/>
  <c r="E6210" i="3"/>
  <c r="F6209" i="3"/>
  <c r="E6209" i="3"/>
  <c r="F6208" i="3"/>
  <c r="E6208" i="3"/>
  <c r="F6207" i="3"/>
  <c r="E6207" i="3"/>
  <c r="F6206" i="3"/>
  <c r="E6206" i="3"/>
  <c r="F6205" i="3"/>
  <c r="E6205" i="3"/>
  <c r="F6204" i="3"/>
  <c r="E6204" i="3"/>
  <c r="F6203" i="3"/>
  <c r="E6203" i="3"/>
  <c r="F6202" i="3"/>
  <c r="E6202" i="3"/>
  <c r="F6201" i="3"/>
  <c r="E6201" i="3"/>
  <c r="F6200" i="3"/>
  <c r="E6200" i="3"/>
  <c r="F6199" i="3"/>
  <c r="E6199" i="3"/>
  <c r="F6198" i="3"/>
  <c r="E6198" i="3"/>
  <c r="F6197" i="3"/>
  <c r="E6197" i="3"/>
  <c r="F6196" i="3"/>
  <c r="E6196" i="3"/>
  <c r="F6195" i="3"/>
  <c r="E6195" i="3"/>
  <c r="F6194" i="3"/>
  <c r="E6194" i="3"/>
  <c r="F6193" i="3"/>
  <c r="E6193" i="3"/>
  <c r="F6192" i="3"/>
  <c r="E6192" i="3"/>
  <c r="F6191" i="3"/>
  <c r="E6191" i="3"/>
  <c r="F6190" i="3"/>
  <c r="E6190" i="3"/>
  <c r="F6189" i="3"/>
  <c r="E6189" i="3"/>
  <c r="F6188" i="3"/>
  <c r="E6188" i="3"/>
  <c r="F6187" i="3"/>
  <c r="E6187" i="3"/>
  <c r="F6186" i="3"/>
  <c r="E6186" i="3"/>
  <c r="F6185" i="3"/>
  <c r="E6185" i="3"/>
  <c r="F6184" i="3"/>
  <c r="E6184" i="3"/>
  <c r="F6183" i="3"/>
  <c r="E6183" i="3"/>
  <c r="F6182" i="3"/>
  <c r="E6182" i="3"/>
  <c r="F6181" i="3"/>
  <c r="E6181" i="3"/>
  <c r="F6180" i="3"/>
  <c r="E6180" i="3"/>
  <c r="F6179" i="3"/>
  <c r="E6179" i="3"/>
  <c r="F6178" i="3"/>
  <c r="E6178" i="3"/>
  <c r="F6177" i="3"/>
  <c r="E6177" i="3"/>
  <c r="F6176" i="3"/>
  <c r="E6176" i="3"/>
  <c r="F6175" i="3"/>
  <c r="E6175" i="3"/>
  <c r="F6174" i="3"/>
  <c r="E6174" i="3"/>
  <c r="F6173" i="3"/>
  <c r="E6173" i="3"/>
  <c r="F6172" i="3"/>
  <c r="E6172" i="3"/>
  <c r="F6171" i="3"/>
  <c r="E6171" i="3"/>
  <c r="F6170" i="3"/>
  <c r="E6170" i="3"/>
  <c r="F6169" i="3"/>
  <c r="E6169" i="3"/>
  <c r="F6168" i="3"/>
  <c r="E6168" i="3"/>
  <c r="F6167" i="3"/>
  <c r="E6167" i="3"/>
  <c r="F6166" i="3"/>
  <c r="E6166" i="3"/>
  <c r="F6165" i="3"/>
  <c r="E6165" i="3"/>
  <c r="F6164" i="3"/>
  <c r="E6164" i="3"/>
  <c r="F6163" i="3"/>
  <c r="E6163" i="3"/>
  <c r="F6162" i="3"/>
  <c r="E6162" i="3"/>
  <c r="F6161" i="3"/>
  <c r="E6161" i="3"/>
  <c r="F6160" i="3"/>
  <c r="E6160" i="3"/>
  <c r="F6159" i="3"/>
  <c r="E6159" i="3"/>
  <c r="F6158" i="3"/>
  <c r="E6158" i="3"/>
  <c r="F6157" i="3"/>
  <c r="E6157" i="3"/>
  <c r="F6156" i="3"/>
  <c r="E6156" i="3"/>
  <c r="F6155" i="3"/>
  <c r="E6155" i="3"/>
  <c r="F6154" i="3"/>
  <c r="E6154" i="3"/>
  <c r="F6153" i="3"/>
  <c r="E6153" i="3"/>
  <c r="F6152" i="3"/>
  <c r="E6152" i="3"/>
  <c r="F6151" i="3"/>
  <c r="E6151" i="3"/>
  <c r="F6150" i="3"/>
  <c r="E6150" i="3"/>
  <c r="F6149" i="3"/>
  <c r="E6149" i="3"/>
  <c r="F6148" i="3"/>
  <c r="E6148" i="3"/>
  <c r="F6147" i="3"/>
  <c r="E6147" i="3"/>
  <c r="F6146" i="3"/>
  <c r="E6146" i="3"/>
  <c r="F6145" i="3"/>
  <c r="E6145" i="3"/>
  <c r="F6144" i="3"/>
  <c r="E6144" i="3"/>
  <c r="F6143" i="3"/>
  <c r="E6143" i="3"/>
  <c r="F6142" i="3"/>
  <c r="E6142" i="3"/>
  <c r="F6141" i="3"/>
  <c r="E6141" i="3"/>
  <c r="F6140" i="3"/>
  <c r="E6140" i="3"/>
  <c r="F6139" i="3"/>
  <c r="E6139" i="3"/>
  <c r="F6138" i="3"/>
  <c r="E6138" i="3"/>
  <c r="F6137" i="3"/>
  <c r="E6137" i="3"/>
  <c r="F6136" i="3"/>
  <c r="E6136" i="3"/>
  <c r="F6135" i="3"/>
  <c r="E6135" i="3"/>
  <c r="F6134" i="3"/>
  <c r="E6134" i="3"/>
  <c r="F6133" i="3"/>
  <c r="E6133" i="3"/>
  <c r="F6132" i="3"/>
  <c r="E6132" i="3"/>
  <c r="F6131" i="3"/>
  <c r="E6131" i="3"/>
  <c r="F6130" i="3"/>
  <c r="E6130" i="3"/>
  <c r="F6129" i="3"/>
  <c r="E6129" i="3"/>
  <c r="F6128" i="3"/>
  <c r="E6128" i="3"/>
  <c r="F6127" i="3"/>
  <c r="E6127" i="3"/>
  <c r="F6126" i="3"/>
  <c r="E6126" i="3"/>
  <c r="F6125" i="3"/>
  <c r="E6125" i="3"/>
  <c r="F6124" i="3"/>
  <c r="E6124" i="3"/>
  <c r="F6123" i="3"/>
  <c r="E6123" i="3"/>
  <c r="F6122" i="3"/>
  <c r="E6122" i="3"/>
  <c r="F6121" i="3"/>
  <c r="E6121" i="3"/>
  <c r="F6120" i="3"/>
  <c r="E6120" i="3"/>
  <c r="F6119" i="3"/>
  <c r="E6119" i="3"/>
  <c r="F6118" i="3"/>
  <c r="E6118" i="3"/>
  <c r="F6117" i="3"/>
  <c r="E6117" i="3"/>
  <c r="F6116" i="3"/>
  <c r="E6116" i="3"/>
  <c r="F6115" i="3"/>
  <c r="E6115" i="3"/>
  <c r="F6114" i="3"/>
  <c r="E6114" i="3"/>
  <c r="F6113" i="3"/>
  <c r="E6113" i="3"/>
  <c r="F6112" i="3"/>
  <c r="E6112" i="3"/>
  <c r="F6111" i="3"/>
  <c r="E6111" i="3"/>
  <c r="F6110" i="3"/>
  <c r="E6110" i="3"/>
  <c r="F6109" i="3"/>
  <c r="E6109" i="3"/>
  <c r="F6108" i="3"/>
  <c r="E6108" i="3"/>
  <c r="F6107" i="3"/>
  <c r="E6107" i="3"/>
  <c r="F6106" i="3"/>
  <c r="E6106" i="3"/>
  <c r="F6105" i="3"/>
  <c r="E6105" i="3"/>
  <c r="F6104" i="3"/>
  <c r="E6104" i="3"/>
  <c r="F6103" i="3"/>
  <c r="E6103" i="3"/>
  <c r="F6102" i="3"/>
  <c r="E6102" i="3"/>
  <c r="F6101" i="3"/>
  <c r="E6101" i="3"/>
  <c r="F6100" i="3"/>
  <c r="E6100" i="3"/>
  <c r="F6099" i="3"/>
  <c r="E6099" i="3"/>
  <c r="F6098" i="3"/>
  <c r="E6098" i="3"/>
  <c r="F6097" i="3"/>
  <c r="E6097" i="3"/>
  <c r="F6096" i="3"/>
  <c r="E6096" i="3"/>
  <c r="F6095" i="3"/>
  <c r="E6095" i="3"/>
  <c r="F6094" i="3"/>
  <c r="E6094" i="3"/>
  <c r="F6093" i="3"/>
  <c r="E6093" i="3"/>
  <c r="F6092" i="3"/>
  <c r="E6092" i="3"/>
  <c r="F6091" i="3"/>
  <c r="E6091" i="3"/>
  <c r="F6090" i="3"/>
  <c r="E6090" i="3"/>
  <c r="F6089" i="3"/>
  <c r="E6089" i="3"/>
  <c r="F6088" i="3"/>
  <c r="E6088" i="3"/>
  <c r="F6087" i="3"/>
  <c r="E6087" i="3"/>
  <c r="F6086" i="3"/>
  <c r="E6086" i="3"/>
  <c r="F6085" i="3"/>
  <c r="E6085" i="3"/>
  <c r="F6084" i="3"/>
  <c r="E6084" i="3"/>
  <c r="F6083" i="3"/>
  <c r="E6083" i="3"/>
  <c r="F6082" i="3"/>
  <c r="E6082" i="3"/>
  <c r="F6081" i="3"/>
  <c r="E6081" i="3"/>
  <c r="F6080" i="3"/>
  <c r="E6080" i="3"/>
  <c r="F6079" i="3"/>
  <c r="E6079" i="3"/>
  <c r="F6078" i="3"/>
  <c r="E6078" i="3"/>
  <c r="F6077" i="3"/>
  <c r="E6077" i="3"/>
  <c r="F6076" i="3"/>
  <c r="E6076" i="3"/>
  <c r="F6075" i="3"/>
  <c r="E6075" i="3"/>
  <c r="F6074" i="3"/>
  <c r="E6074" i="3"/>
  <c r="F6073" i="3"/>
  <c r="E6073" i="3"/>
  <c r="F6072" i="3"/>
  <c r="E6072" i="3"/>
  <c r="F6071" i="3"/>
  <c r="E6071" i="3"/>
  <c r="F6070" i="3"/>
  <c r="E6070" i="3"/>
  <c r="F6069" i="3"/>
  <c r="E6069" i="3"/>
  <c r="F6068" i="3"/>
  <c r="E6068" i="3"/>
  <c r="F6067" i="3"/>
  <c r="E6067" i="3"/>
  <c r="F6066" i="3"/>
  <c r="E6066" i="3"/>
  <c r="F6065" i="3"/>
  <c r="E6065" i="3"/>
  <c r="F6064" i="3"/>
  <c r="E6064" i="3"/>
  <c r="F6063" i="3"/>
  <c r="E6063" i="3"/>
  <c r="F6062" i="3"/>
  <c r="E6062" i="3"/>
  <c r="F6061" i="3"/>
  <c r="E6061" i="3"/>
  <c r="F6060" i="3"/>
  <c r="E6060" i="3"/>
  <c r="F6059" i="3"/>
  <c r="E6059" i="3"/>
  <c r="F6058" i="3"/>
  <c r="E6058" i="3"/>
  <c r="F6057" i="3"/>
  <c r="E6057" i="3"/>
  <c r="F6056" i="3"/>
  <c r="E6056" i="3"/>
  <c r="F6055" i="3"/>
  <c r="E6055" i="3"/>
  <c r="F6054" i="3"/>
  <c r="E6054" i="3"/>
  <c r="F6053" i="3"/>
  <c r="E6053" i="3"/>
  <c r="F6052" i="3"/>
  <c r="E6052" i="3"/>
  <c r="F6051" i="3"/>
  <c r="E6051" i="3"/>
  <c r="F6050" i="3"/>
  <c r="E6050" i="3"/>
  <c r="F6049" i="3"/>
  <c r="E6049" i="3"/>
  <c r="F6048" i="3"/>
  <c r="E6048" i="3"/>
  <c r="F6047" i="3"/>
  <c r="E6047" i="3"/>
  <c r="F6046" i="3"/>
  <c r="E6046" i="3"/>
  <c r="F6045" i="3"/>
  <c r="E6045" i="3"/>
  <c r="F6044" i="3"/>
  <c r="E6044" i="3"/>
  <c r="F6043" i="3"/>
  <c r="E6043" i="3"/>
  <c r="F6042" i="3"/>
  <c r="E6042" i="3"/>
  <c r="F6041" i="3"/>
  <c r="E6041" i="3"/>
  <c r="F6040" i="3"/>
  <c r="E6040" i="3"/>
  <c r="F6039" i="3"/>
  <c r="E6039" i="3"/>
  <c r="F6038" i="3"/>
  <c r="E6038" i="3"/>
  <c r="F6037" i="3"/>
  <c r="E6037" i="3"/>
  <c r="F6036" i="3"/>
  <c r="E6036" i="3"/>
  <c r="F6035" i="3"/>
  <c r="E6035" i="3"/>
  <c r="F6034" i="3"/>
  <c r="E6034" i="3"/>
  <c r="F6033" i="3"/>
  <c r="E6033" i="3"/>
  <c r="F6032" i="3"/>
  <c r="E6032" i="3"/>
  <c r="F6031" i="3"/>
  <c r="E6031" i="3"/>
  <c r="F6030" i="3"/>
  <c r="E6030" i="3"/>
  <c r="F6029" i="3"/>
  <c r="E6029" i="3"/>
  <c r="F6028" i="3"/>
  <c r="E6028" i="3"/>
  <c r="F6027" i="3"/>
  <c r="E6027" i="3"/>
  <c r="F6026" i="3"/>
  <c r="E6026" i="3"/>
  <c r="F6025" i="3"/>
  <c r="E6025" i="3"/>
  <c r="F6024" i="3"/>
  <c r="E6024" i="3"/>
  <c r="F6023" i="3"/>
  <c r="E6023" i="3"/>
  <c r="F6022" i="3"/>
  <c r="E6022" i="3"/>
  <c r="F6021" i="3"/>
  <c r="E6021" i="3"/>
  <c r="F6020" i="3"/>
  <c r="E6020" i="3"/>
  <c r="F6019" i="3"/>
  <c r="E6019" i="3"/>
  <c r="F6018" i="3"/>
  <c r="E6018" i="3"/>
  <c r="F6017" i="3"/>
  <c r="E6017" i="3"/>
  <c r="F6016" i="3"/>
  <c r="E6016" i="3"/>
  <c r="F6015" i="3"/>
  <c r="E6015" i="3"/>
  <c r="F6014" i="3"/>
  <c r="E6014" i="3"/>
  <c r="F6013" i="3"/>
  <c r="E6013" i="3"/>
  <c r="F6012" i="3"/>
  <c r="E6012" i="3"/>
  <c r="F6011" i="3"/>
  <c r="E6011" i="3"/>
  <c r="F6010" i="3"/>
  <c r="E6010" i="3"/>
  <c r="F6009" i="3"/>
  <c r="E6009" i="3"/>
  <c r="F6008" i="3"/>
  <c r="E6008" i="3"/>
  <c r="F6007" i="3"/>
  <c r="E6007" i="3"/>
  <c r="F6006" i="3"/>
  <c r="E6006" i="3"/>
  <c r="F6005" i="3"/>
  <c r="E6005" i="3"/>
  <c r="F6004" i="3"/>
  <c r="E6004" i="3"/>
  <c r="F6003" i="3"/>
  <c r="E6003" i="3"/>
  <c r="F6002" i="3"/>
  <c r="E6002" i="3"/>
  <c r="F6001" i="3"/>
  <c r="E6001" i="3"/>
  <c r="F6000" i="3"/>
  <c r="E6000" i="3"/>
  <c r="F5999" i="3"/>
  <c r="E5999" i="3"/>
  <c r="F5998" i="3"/>
  <c r="E5998" i="3"/>
  <c r="F5997" i="3"/>
  <c r="E5997" i="3"/>
  <c r="F5996" i="3"/>
  <c r="E5996" i="3"/>
  <c r="F5995" i="3"/>
  <c r="E5995" i="3"/>
  <c r="F5994" i="3"/>
  <c r="E5994" i="3"/>
  <c r="F5993" i="3"/>
  <c r="E5993" i="3"/>
  <c r="F5992" i="3"/>
  <c r="E5992" i="3"/>
  <c r="F5991" i="3"/>
  <c r="E5991" i="3"/>
  <c r="F5990" i="3"/>
  <c r="E5990" i="3"/>
  <c r="F5989" i="3"/>
  <c r="E5989" i="3"/>
  <c r="F5988" i="3"/>
  <c r="E5988" i="3"/>
  <c r="F5987" i="3"/>
  <c r="E5987" i="3"/>
  <c r="F5986" i="3"/>
  <c r="E5986" i="3"/>
  <c r="F5985" i="3"/>
  <c r="E5985" i="3"/>
  <c r="F5984" i="3"/>
  <c r="E5984" i="3"/>
  <c r="F5983" i="3"/>
  <c r="E5983" i="3"/>
  <c r="F5982" i="3"/>
  <c r="E5982" i="3"/>
  <c r="F5981" i="3"/>
  <c r="E5981" i="3"/>
  <c r="F5980" i="3"/>
  <c r="E5980" i="3"/>
  <c r="F5979" i="3"/>
  <c r="E5979" i="3"/>
  <c r="F5978" i="3"/>
  <c r="E5978" i="3"/>
  <c r="F5977" i="3"/>
  <c r="E5977" i="3"/>
  <c r="F5976" i="3"/>
  <c r="E5976" i="3"/>
  <c r="F5975" i="3"/>
  <c r="E5975" i="3"/>
  <c r="F5974" i="3"/>
  <c r="E5974" i="3"/>
  <c r="F5973" i="3"/>
  <c r="E5973" i="3"/>
  <c r="F5972" i="3"/>
  <c r="E5972" i="3"/>
  <c r="F5971" i="3"/>
  <c r="E5971" i="3"/>
  <c r="F5970" i="3"/>
  <c r="E5970" i="3"/>
  <c r="F5969" i="3"/>
  <c r="E5969" i="3"/>
  <c r="F5968" i="3"/>
  <c r="E5968" i="3"/>
  <c r="F5967" i="3"/>
  <c r="E5967" i="3"/>
  <c r="F5966" i="3"/>
  <c r="E5966" i="3"/>
  <c r="F5965" i="3"/>
  <c r="E5965" i="3"/>
  <c r="F5964" i="3"/>
  <c r="E5964" i="3"/>
  <c r="F5963" i="3"/>
  <c r="E5963" i="3"/>
  <c r="F5962" i="3"/>
  <c r="E5962" i="3"/>
  <c r="F5961" i="3"/>
  <c r="E5961" i="3"/>
  <c r="F5960" i="3"/>
  <c r="E5960" i="3"/>
  <c r="F5959" i="3"/>
  <c r="E5959" i="3"/>
  <c r="F5958" i="3"/>
  <c r="E5958" i="3"/>
  <c r="F5957" i="3"/>
  <c r="E5957" i="3"/>
  <c r="F5956" i="3"/>
  <c r="E5956" i="3"/>
  <c r="F5955" i="3"/>
  <c r="E5955" i="3"/>
  <c r="F5954" i="3"/>
  <c r="E5954" i="3"/>
  <c r="F5953" i="3"/>
  <c r="E5953" i="3"/>
  <c r="F5952" i="3"/>
  <c r="E5952" i="3"/>
  <c r="F5951" i="3"/>
  <c r="E5951" i="3"/>
  <c r="F5950" i="3"/>
  <c r="E5950" i="3"/>
  <c r="F5949" i="3"/>
  <c r="E5949" i="3"/>
  <c r="F5948" i="3"/>
  <c r="E5948" i="3"/>
  <c r="F5947" i="3"/>
  <c r="E5947" i="3"/>
  <c r="F5946" i="3"/>
  <c r="E5946" i="3"/>
  <c r="F5945" i="3"/>
  <c r="E5945" i="3"/>
  <c r="F5944" i="3"/>
  <c r="E5944" i="3"/>
  <c r="F5943" i="3"/>
  <c r="E5943" i="3"/>
  <c r="F5942" i="3"/>
  <c r="E5942" i="3"/>
  <c r="F5941" i="3"/>
  <c r="E5941" i="3"/>
  <c r="F5940" i="3"/>
  <c r="E5940" i="3"/>
  <c r="F5939" i="3"/>
  <c r="E5939" i="3"/>
  <c r="F5938" i="3"/>
  <c r="E5938" i="3"/>
  <c r="F5937" i="3"/>
  <c r="E5937" i="3"/>
  <c r="F5936" i="3"/>
  <c r="E5936" i="3"/>
  <c r="F5935" i="3"/>
  <c r="E5935" i="3"/>
  <c r="F5934" i="3"/>
  <c r="E5934" i="3"/>
  <c r="F5933" i="3"/>
  <c r="E5933" i="3"/>
  <c r="F5932" i="3"/>
  <c r="E5932" i="3"/>
  <c r="F5931" i="3"/>
  <c r="E5931" i="3"/>
  <c r="F5930" i="3"/>
  <c r="E5930" i="3"/>
  <c r="F5929" i="3"/>
  <c r="E5929" i="3"/>
  <c r="F5928" i="3"/>
  <c r="E5928" i="3"/>
  <c r="F5927" i="3"/>
  <c r="E5927" i="3"/>
  <c r="F5926" i="3"/>
  <c r="E5926" i="3"/>
  <c r="F5925" i="3"/>
  <c r="E5925" i="3"/>
  <c r="F5924" i="3"/>
  <c r="E5924" i="3"/>
  <c r="F5923" i="3"/>
  <c r="E5923" i="3"/>
  <c r="F5922" i="3"/>
  <c r="E5922" i="3"/>
  <c r="F5921" i="3"/>
  <c r="E5921" i="3"/>
  <c r="F5920" i="3"/>
  <c r="E5920" i="3"/>
  <c r="F5919" i="3"/>
  <c r="E5919" i="3"/>
  <c r="F5918" i="3"/>
  <c r="E5918" i="3"/>
  <c r="F5917" i="3"/>
  <c r="E5917" i="3"/>
  <c r="F5916" i="3"/>
  <c r="E5916" i="3"/>
  <c r="F5915" i="3"/>
  <c r="E5915" i="3"/>
  <c r="F5914" i="3"/>
  <c r="E5914" i="3"/>
  <c r="F5913" i="3"/>
  <c r="E5913" i="3"/>
  <c r="F5912" i="3"/>
  <c r="E5912" i="3"/>
  <c r="F5911" i="3"/>
  <c r="E5911" i="3"/>
  <c r="F5910" i="3"/>
  <c r="E5910" i="3"/>
  <c r="F5909" i="3"/>
  <c r="E5909" i="3"/>
  <c r="F5908" i="3"/>
  <c r="E5908" i="3"/>
  <c r="F5907" i="3"/>
  <c r="E5907" i="3"/>
  <c r="F5906" i="3"/>
  <c r="E5906" i="3"/>
  <c r="F5905" i="3"/>
  <c r="E5905" i="3"/>
  <c r="F5904" i="3"/>
  <c r="E5904" i="3"/>
  <c r="F5903" i="3"/>
  <c r="E5903" i="3"/>
  <c r="F5902" i="3"/>
  <c r="E5902" i="3"/>
  <c r="F5901" i="3"/>
  <c r="E5901" i="3"/>
  <c r="F5900" i="3"/>
  <c r="E5900" i="3"/>
  <c r="F5899" i="3"/>
  <c r="E5899" i="3"/>
  <c r="F5898" i="3"/>
  <c r="E5898" i="3"/>
  <c r="F5897" i="3"/>
  <c r="E5897" i="3"/>
  <c r="F5896" i="3"/>
  <c r="E5896" i="3"/>
  <c r="F5895" i="3"/>
  <c r="E5895" i="3"/>
  <c r="F5894" i="3"/>
  <c r="E5894" i="3"/>
  <c r="F5893" i="3"/>
  <c r="E5893" i="3"/>
  <c r="F5892" i="3"/>
  <c r="E5892" i="3"/>
  <c r="F5891" i="3"/>
  <c r="E5891" i="3"/>
  <c r="F5890" i="3"/>
  <c r="E5890" i="3"/>
  <c r="F5889" i="3"/>
  <c r="E5889" i="3"/>
  <c r="F5888" i="3"/>
  <c r="E5888" i="3"/>
  <c r="F5887" i="3"/>
  <c r="E5887" i="3"/>
  <c r="F5886" i="3"/>
  <c r="E5886" i="3"/>
  <c r="F5885" i="3"/>
  <c r="E5885" i="3"/>
  <c r="F5884" i="3"/>
  <c r="E5884" i="3"/>
  <c r="F5883" i="3"/>
  <c r="E5883" i="3"/>
  <c r="F5882" i="3"/>
  <c r="E5882" i="3"/>
  <c r="F5881" i="3"/>
  <c r="E5881" i="3"/>
  <c r="F5880" i="3"/>
  <c r="E5880" i="3"/>
  <c r="F5879" i="3"/>
  <c r="E5879" i="3"/>
  <c r="F5878" i="3"/>
  <c r="E5878" i="3"/>
  <c r="F5877" i="3"/>
  <c r="E5877" i="3"/>
  <c r="F5876" i="3"/>
  <c r="E5876" i="3"/>
  <c r="F5875" i="3"/>
  <c r="E5875" i="3"/>
  <c r="F5874" i="3"/>
  <c r="E5874" i="3"/>
  <c r="F5873" i="3"/>
  <c r="E5873" i="3"/>
  <c r="F5872" i="3"/>
  <c r="E5872" i="3"/>
  <c r="F5871" i="3"/>
  <c r="E5871" i="3"/>
  <c r="F5870" i="3"/>
  <c r="E5870" i="3"/>
  <c r="F5869" i="3"/>
  <c r="E5869" i="3"/>
  <c r="F5868" i="3"/>
  <c r="E5868" i="3"/>
  <c r="F5867" i="3"/>
  <c r="E5867" i="3"/>
  <c r="F5866" i="3"/>
  <c r="E5866" i="3"/>
  <c r="F5865" i="3"/>
  <c r="E5865" i="3"/>
  <c r="F5864" i="3"/>
  <c r="E5864" i="3"/>
  <c r="F5863" i="3"/>
  <c r="E5863" i="3"/>
  <c r="F5862" i="3"/>
  <c r="E5862" i="3"/>
  <c r="F5861" i="3"/>
  <c r="E5861" i="3"/>
  <c r="F5860" i="3"/>
  <c r="E5860" i="3"/>
  <c r="F5859" i="3"/>
  <c r="E5859" i="3"/>
  <c r="F5858" i="3"/>
  <c r="E5858" i="3"/>
  <c r="F5857" i="3"/>
  <c r="E5857" i="3"/>
  <c r="F5856" i="3"/>
  <c r="E5856" i="3"/>
  <c r="F5855" i="3"/>
  <c r="E5855" i="3"/>
  <c r="F5854" i="3"/>
  <c r="E5854" i="3"/>
  <c r="F5853" i="3"/>
  <c r="E5853" i="3"/>
  <c r="F5852" i="3"/>
  <c r="E5852" i="3"/>
  <c r="F5851" i="3"/>
  <c r="E5851" i="3"/>
  <c r="F5850" i="3"/>
  <c r="E5850" i="3"/>
  <c r="F5849" i="3"/>
  <c r="E5849" i="3"/>
  <c r="F5848" i="3"/>
  <c r="E5848" i="3"/>
  <c r="F5847" i="3"/>
  <c r="E5847" i="3"/>
  <c r="F5846" i="3"/>
  <c r="E5846" i="3"/>
  <c r="F5845" i="3"/>
  <c r="E5845" i="3"/>
  <c r="F5844" i="3"/>
  <c r="E5844" i="3"/>
  <c r="F5843" i="3"/>
  <c r="E5843" i="3"/>
  <c r="F5842" i="3"/>
  <c r="E5842" i="3"/>
  <c r="F5841" i="3"/>
  <c r="E5841" i="3"/>
  <c r="F5840" i="3"/>
  <c r="E5840" i="3"/>
  <c r="F5839" i="3"/>
  <c r="E5839" i="3"/>
  <c r="F5838" i="3"/>
  <c r="E5838" i="3"/>
  <c r="F5837" i="3"/>
  <c r="E5837" i="3"/>
  <c r="F5836" i="3"/>
  <c r="E5836" i="3"/>
  <c r="F5835" i="3"/>
  <c r="E5835" i="3"/>
  <c r="F5834" i="3"/>
  <c r="E5834" i="3"/>
  <c r="F5833" i="3"/>
  <c r="E5833" i="3"/>
  <c r="F5832" i="3"/>
  <c r="E5832" i="3"/>
  <c r="F5831" i="3"/>
  <c r="E5831" i="3"/>
  <c r="F5830" i="3"/>
  <c r="E5830" i="3"/>
  <c r="F5829" i="3"/>
  <c r="E5829" i="3"/>
  <c r="F5828" i="3"/>
  <c r="E5828" i="3"/>
  <c r="F5827" i="3"/>
  <c r="E5827" i="3"/>
  <c r="F5826" i="3"/>
  <c r="E5826" i="3"/>
  <c r="F5825" i="3"/>
  <c r="E5825" i="3"/>
  <c r="F5824" i="3"/>
  <c r="E5824" i="3"/>
  <c r="F5823" i="3"/>
  <c r="E5823" i="3"/>
  <c r="F5822" i="3"/>
  <c r="E5822" i="3"/>
  <c r="F5821" i="3"/>
  <c r="E5821" i="3"/>
  <c r="F5820" i="3"/>
  <c r="E5820" i="3"/>
  <c r="F5819" i="3"/>
  <c r="E5819" i="3"/>
  <c r="F5818" i="3"/>
  <c r="E5818" i="3"/>
  <c r="F5817" i="3"/>
  <c r="E5817" i="3"/>
  <c r="F5816" i="3"/>
  <c r="E5816" i="3"/>
  <c r="F5815" i="3"/>
  <c r="E5815" i="3"/>
  <c r="F5814" i="3"/>
  <c r="E5814" i="3"/>
  <c r="F5813" i="3"/>
  <c r="E5813" i="3"/>
  <c r="F5812" i="3"/>
  <c r="E5812" i="3"/>
  <c r="F5811" i="3"/>
  <c r="E5811" i="3"/>
  <c r="F5810" i="3"/>
  <c r="E5810" i="3"/>
  <c r="F5809" i="3"/>
  <c r="E5809" i="3"/>
  <c r="F5808" i="3"/>
  <c r="E5808" i="3"/>
  <c r="F5807" i="3"/>
  <c r="E5807" i="3"/>
  <c r="F5806" i="3"/>
  <c r="E5806" i="3"/>
  <c r="F5805" i="3"/>
  <c r="E5805" i="3"/>
  <c r="F5804" i="3"/>
  <c r="E5804" i="3"/>
  <c r="F5803" i="3"/>
  <c r="E5803" i="3"/>
  <c r="F5802" i="3"/>
  <c r="E5802" i="3"/>
  <c r="F5801" i="3"/>
  <c r="E5801" i="3"/>
  <c r="F5800" i="3"/>
  <c r="E5800" i="3"/>
  <c r="F5799" i="3"/>
  <c r="E5799" i="3"/>
  <c r="F5798" i="3"/>
  <c r="E5798" i="3"/>
  <c r="F5797" i="3"/>
  <c r="E5797" i="3"/>
  <c r="F5796" i="3"/>
  <c r="E5796" i="3"/>
  <c r="F5795" i="3"/>
  <c r="E5795" i="3"/>
  <c r="F5794" i="3"/>
  <c r="E5794" i="3"/>
  <c r="F5793" i="3"/>
  <c r="E5793" i="3"/>
  <c r="F5792" i="3"/>
  <c r="E5792" i="3"/>
  <c r="F5791" i="3"/>
  <c r="E5791" i="3"/>
  <c r="F5790" i="3"/>
  <c r="E5790" i="3"/>
  <c r="F5789" i="3"/>
  <c r="E5789" i="3"/>
  <c r="F5788" i="3"/>
  <c r="E5788" i="3"/>
  <c r="F5787" i="3"/>
  <c r="E5787" i="3"/>
  <c r="F5786" i="3"/>
  <c r="E5786" i="3"/>
  <c r="F5785" i="3"/>
  <c r="E5785" i="3"/>
  <c r="F5784" i="3"/>
  <c r="E5784" i="3"/>
  <c r="F5783" i="3"/>
  <c r="E5783" i="3"/>
  <c r="F5782" i="3"/>
  <c r="E5782" i="3"/>
  <c r="F5781" i="3"/>
  <c r="E5781" i="3"/>
  <c r="F5780" i="3"/>
  <c r="E5780" i="3"/>
  <c r="F5779" i="3"/>
  <c r="E5779" i="3"/>
  <c r="F5778" i="3"/>
  <c r="E5778" i="3"/>
  <c r="F5777" i="3"/>
  <c r="E5777" i="3"/>
  <c r="F5776" i="3"/>
  <c r="E5776" i="3"/>
  <c r="F5775" i="3"/>
  <c r="E5775" i="3"/>
  <c r="F5774" i="3"/>
  <c r="E5774" i="3"/>
  <c r="F5773" i="3"/>
  <c r="E5773" i="3"/>
  <c r="F5772" i="3"/>
  <c r="E5772" i="3"/>
  <c r="F5771" i="3"/>
  <c r="E5771" i="3"/>
  <c r="F5770" i="3"/>
  <c r="E5770" i="3"/>
  <c r="F5769" i="3"/>
  <c r="E5769" i="3"/>
  <c r="F5768" i="3"/>
  <c r="E5768" i="3"/>
  <c r="F5767" i="3"/>
  <c r="E5767" i="3"/>
  <c r="F5766" i="3"/>
  <c r="E5766" i="3"/>
  <c r="F5765" i="3"/>
  <c r="E5765" i="3"/>
  <c r="F5764" i="3"/>
  <c r="E5764" i="3"/>
  <c r="F5763" i="3"/>
  <c r="E5763" i="3"/>
  <c r="F5762" i="3"/>
  <c r="E5762" i="3"/>
  <c r="F5761" i="3"/>
  <c r="E5761" i="3"/>
  <c r="F5760" i="3"/>
  <c r="E5760" i="3"/>
  <c r="F5759" i="3"/>
  <c r="E5759" i="3"/>
  <c r="F5758" i="3"/>
  <c r="E5758" i="3"/>
  <c r="F5757" i="3"/>
  <c r="E5757" i="3"/>
  <c r="F5756" i="3"/>
  <c r="E5756" i="3"/>
  <c r="F5755" i="3"/>
  <c r="E5755" i="3"/>
  <c r="F5754" i="3"/>
  <c r="E5754" i="3"/>
  <c r="F5753" i="3"/>
  <c r="E5753" i="3"/>
  <c r="F5752" i="3"/>
  <c r="E5752" i="3"/>
  <c r="F5751" i="3"/>
  <c r="E5751" i="3"/>
  <c r="F5750" i="3"/>
  <c r="E5750" i="3"/>
  <c r="F5749" i="3"/>
  <c r="E5749" i="3"/>
  <c r="F5748" i="3"/>
  <c r="E5748" i="3"/>
  <c r="F5747" i="3"/>
  <c r="E5747" i="3"/>
  <c r="F5746" i="3"/>
  <c r="E5746" i="3"/>
  <c r="F5745" i="3"/>
  <c r="E5745" i="3"/>
  <c r="F5744" i="3"/>
  <c r="E5744" i="3"/>
  <c r="F5743" i="3"/>
  <c r="E5743" i="3"/>
  <c r="F5742" i="3"/>
  <c r="E5742" i="3"/>
  <c r="F5741" i="3"/>
  <c r="E5741" i="3"/>
  <c r="F5740" i="3"/>
  <c r="E5740" i="3"/>
  <c r="F5739" i="3"/>
  <c r="E5739" i="3"/>
  <c r="F5738" i="3"/>
  <c r="E5738" i="3"/>
  <c r="F5737" i="3"/>
  <c r="E5737" i="3"/>
  <c r="F5736" i="3"/>
  <c r="E5736" i="3"/>
  <c r="F5735" i="3"/>
  <c r="E5735" i="3"/>
  <c r="F5734" i="3"/>
  <c r="E5734" i="3"/>
  <c r="F5733" i="3"/>
  <c r="E5733" i="3"/>
  <c r="F5732" i="3"/>
  <c r="E5732" i="3"/>
  <c r="F5731" i="3"/>
  <c r="E5731" i="3"/>
  <c r="F5730" i="3"/>
  <c r="E5730" i="3"/>
  <c r="F5729" i="3"/>
  <c r="E5729" i="3"/>
  <c r="F5728" i="3"/>
  <c r="E5728" i="3"/>
  <c r="F5727" i="3"/>
  <c r="E5727" i="3"/>
  <c r="F5726" i="3"/>
  <c r="E5726" i="3"/>
  <c r="F5725" i="3"/>
  <c r="E5725" i="3"/>
  <c r="F5724" i="3"/>
  <c r="E5724" i="3"/>
  <c r="F5723" i="3"/>
  <c r="E5723" i="3"/>
  <c r="F5722" i="3"/>
  <c r="E5722" i="3"/>
  <c r="F5721" i="3"/>
  <c r="E5721" i="3"/>
  <c r="F5720" i="3"/>
  <c r="E5720" i="3"/>
  <c r="F5719" i="3"/>
  <c r="E5719" i="3"/>
  <c r="F5718" i="3"/>
  <c r="E5718" i="3"/>
  <c r="F5717" i="3"/>
  <c r="E5717" i="3"/>
  <c r="F5716" i="3"/>
  <c r="E5716" i="3"/>
  <c r="F5715" i="3"/>
  <c r="E5715" i="3"/>
  <c r="F5714" i="3"/>
  <c r="E5714" i="3"/>
  <c r="F5713" i="3"/>
  <c r="E5713" i="3"/>
  <c r="F5712" i="3"/>
  <c r="E5712" i="3"/>
  <c r="F5711" i="3"/>
  <c r="E5711" i="3"/>
  <c r="F5710" i="3"/>
  <c r="E5710" i="3"/>
  <c r="F5709" i="3"/>
  <c r="E5709" i="3"/>
  <c r="F5708" i="3"/>
  <c r="E5708" i="3"/>
  <c r="F5707" i="3"/>
  <c r="E5707" i="3"/>
  <c r="F5706" i="3"/>
  <c r="E5706" i="3"/>
  <c r="F5705" i="3"/>
  <c r="E5705" i="3"/>
  <c r="F5704" i="3"/>
  <c r="E5704" i="3"/>
  <c r="F5703" i="3"/>
  <c r="E5703" i="3"/>
  <c r="F5702" i="3"/>
  <c r="E5702" i="3"/>
  <c r="F5701" i="3"/>
  <c r="E5701" i="3"/>
  <c r="F5700" i="3"/>
  <c r="E5700" i="3"/>
  <c r="F5699" i="3"/>
  <c r="E5699" i="3"/>
  <c r="F5698" i="3"/>
  <c r="E5698" i="3"/>
  <c r="F5697" i="3"/>
  <c r="E5697" i="3"/>
  <c r="F5696" i="3"/>
  <c r="E5696" i="3"/>
  <c r="F5695" i="3"/>
  <c r="E5695" i="3"/>
  <c r="F5694" i="3"/>
  <c r="E5694" i="3"/>
  <c r="F5693" i="3"/>
  <c r="E5693" i="3"/>
  <c r="F5692" i="3"/>
  <c r="E5692" i="3"/>
  <c r="F5691" i="3"/>
  <c r="E5691" i="3"/>
  <c r="F5690" i="3"/>
  <c r="E5690" i="3"/>
  <c r="F5689" i="3"/>
  <c r="E5689" i="3"/>
  <c r="F5688" i="3"/>
  <c r="E5688" i="3"/>
  <c r="F5687" i="3"/>
  <c r="E5687" i="3"/>
  <c r="F5686" i="3"/>
  <c r="E5686" i="3"/>
  <c r="F5685" i="3"/>
  <c r="E5685" i="3"/>
  <c r="F5684" i="3"/>
  <c r="E5684" i="3"/>
  <c r="F5683" i="3"/>
  <c r="E5683" i="3"/>
  <c r="F5682" i="3"/>
  <c r="E5682" i="3"/>
  <c r="F5681" i="3"/>
  <c r="E5681" i="3"/>
  <c r="F5680" i="3"/>
  <c r="E5680" i="3"/>
  <c r="F5679" i="3"/>
  <c r="E5679" i="3"/>
  <c r="F5678" i="3"/>
  <c r="E5678" i="3"/>
  <c r="F5677" i="3"/>
  <c r="E5677" i="3"/>
  <c r="F5676" i="3"/>
  <c r="E5676" i="3"/>
  <c r="F5675" i="3"/>
  <c r="E5675" i="3"/>
  <c r="F5674" i="3"/>
  <c r="E5674" i="3"/>
  <c r="F5673" i="3"/>
  <c r="E5673" i="3"/>
  <c r="F5672" i="3"/>
  <c r="E5672" i="3"/>
  <c r="F5671" i="3"/>
  <c r="E5671" i="3"/>
  <c r="F5670" i="3"/>
  <c r="E5670" i="3"/>
  <c r="F5669" i="3"/>
  <c r="E5669" i="3"/>
  <c r="F5668" i="3"/>
  <c r="E5668" i="3"/>
  <c r="F5667" i="3"/>
  <c r="E5667" i="3"/>
  <c r="F5666" i="3"/>
  <c r="E5666" i="3"/>
  <c r="F5665" i="3"/>
  <c r="E5665" i="3"/>
  <c r="F5664" i="3"/>
  <c r="E5664" i="3"/>
  <c r="F5663" i="3"/>
  <c r="E5663" i="3"/>
  <c r="F5662" i="3"/>
  <c r="E5662" i="3"/>
  <c r="F5661" i="3"/>
  <c r="E5661" i="3"/>
  <c r="F5660" i="3"/>
  <c r="E5660" i="3"/>
  <c r="F5659" i="3"/>
  <c r="E5659" i="3"/>
  <c r="F5658" i="3"/>
  <c r="E5658" i="3"/>
  <c r="F5657" i="3"/>
  <c r="E5657" i="3"/>
  <c r="F5656" i="3"/>
  <c r="E5656" i="3"/>
  <c r="F5655" i="3"/>
  <c r="E5655" i="3"/>
  <c r="F5654" i="3"/>
  <c r="E5654" i="3"/>
  <c r="F5653" i="3"/>
  <c r="E5653" i="3"/>
  <c r="F5652" i="3"/>
  <c r="E5652" i="3"/>
  <c r="F5651" i="3"/>
  <c r="E5651" i="3"/>
  <c r="F5650" i="3"/>
  <c r="E5650" i="3"/>
  <c r="F5649" i="3"/>
  <c r="E5649" i="3"/>
  <c r="F5648" i="3"/>
  <c r="E5648" i="3"/>
  <c r="F5647" i="3"/>
  <c r="E5647" i="3"/>
  <c r="F5646" i="3"/>
  <c r="E5646" i="3"/>
  <c r="F5645" i="3"/>
  <c r="E5645" i="3"/>
  <c r="F5644" i="3"/>
  <c r="E5644" i="3"/>
  <c r="F5643" i="3"/>
  <c r="E5643" i="3"/>
  <c r="F5642" i="3"/>
  <c r="E5642" i="3"/>
  <c r="F5641" i="3"/>
  <c r="E5641" i="3"/>
  <c r="F5640" i="3"/>
  <c r="E5640" i="3"/>
  <c r="F5639" i="3"/>
  <c r="E5639" i="3"/>
  <c r="F5638" i="3"/>
  <c r="E5638" i="3"/>
  <c r="F5637" i="3"/>
  <c r="E5637" i="3"/>
  <c r="F5636" i="3"/>
  <c r="E5636" i="3"/>
  <c r="F5635" i="3"/>
  <c r="E5635" i="3"/>
  <c r="F5634" i="3"/>
  <c r="E5634" i="3"/>
  <c r="F5633" i="3"/>
  <c r="E5633" i="3"/>
  <c r="F5632" i="3"/>
  <c r="E5632" i="3"/>
  <c r="F5631" i="3"/>
  <c r="E5631" i="3"/>
  <c r="F5630" i="3"/>
  <c r="E5630" i="3"/>
  <c r="F5629" i="3"/>
  <c r="E5629" i="3"/>
  <c r="F5628" i="3"/>
  <c r="E5628" i="3"/>
  <c r="F5627" i="3"/>
  <c r="E5627" i="3"/>
  <c r="F5626" i="3"/>
  <c r="E5626" i="3"/>
  <c r="F5625" i="3"/>
  <c r="E5625" i="3"/>
  <c r="F5624" i="3"/>
  <c r="E5624" i="3"/>
  <c r="F5623" i="3"/>
  <c r="E5623" i="3"/>
  <c r="F5622" i="3"/>
  <c r="E5622" i="3"/>
  <c r="F5621" i="3"/>
  <c r="E5621" i="3"/>
  <c r="F5620" i="3"/>
  <c r="E5620" i="3"/>
  <c r="F5619" i="3"/>
  <c r="E5619" i="3"/>
  <c r="F5618" i="3"/>
  <c r="E5618" i="3"/>
  <c r="F5617" i="3"/>
  <c r="E5617" i="3"/>
  <c r="F5616" i="3"/>
  <c r="E5616" i="3"/>
  <c r="F5615" i="3"/>
  <c r="E5615" i="3"/>
  <c r="F5614" i="3"/>
  <c r="E5614" i="3"/>
  <c r="F5613" i="3"/>
  <c r="E5613" i="3"/>
  <c r="F5612" i="3"/>
  <c r="E5612" i="3"/>
  <c r="F5611" i="3"/>
  <c r="E5611" i="3"/>
  <c r="F5610" i="3"/>
  <c r="E5610" i="3"/>
  <c r="F5609" i="3"/>
  <c r="E5609" i="3"/>
  <c r="F5608" i="3"/>
  <c r="E5608" i="3"/>
  <c r="F5607" i="3"/>
  <c r="E5607" i="3"/>
  <c r="F5606" i="3"/>
  <c r="E5606" i="3"/>
  <c r="F5605" i="3"/>
  <c r="E5605" i="3"/>
  <c r="F5604" i="3"/>
  <c r="E5604" i="3"/>
  <c r="F5603" i="3"/>
  <c r="E5603" i="3"/>
  <c r="F5602" i="3"/>
  <c r="E5602" i="3"/>
  <c r="F5601" i="3"/>
  <c r="E5601" i="3"/>
  <c r="F5600" i="3"/>
  <c r="E5600" i="3"/>
  <c r="F5599" i="3"/>
  <c r="E5599" i="3"/>
  <c r="F5598" i="3"/>
  <c r="E5598" i="3"/>
  <c r="F5597" i="3"/>
  <c r="E5597" i="3"/>
  <c r="F5596" i="3"/>
  <c r="E5596" i="3"/>
  <c r="F5595" i="3"/>
  <c r="E5595" i="3"/>
  <c r="F5594" i="3"/>
  <c r="E5594" i="3"/>
  <c r="F5593" i="3"/>
  <c r="E5593" i="3"/>
  <c r="F5592" i="3"/>
  <c r="E5592" i="3"/>
  <c r="F5591" i="3"/>
  <c r="E5591" i="3"/>
  <c r="F5590" i="3"/>
  <c r="E5590" i="3"/>
  <c r="F5589" i="3"/>
  <c r="E5589" i="3"/>
  <c r="F5588" i="3"/>
  <c r="E5588" i="3"/>
  <c r="F5587" i="3"/>
  <c r="E5587" i="3"/>
  <c r="F5586" i="3"/>
  <c r="E5586" i="3"/>
  <c r="F5585" i="3"/>
  <c r="E5585" i="3"/>
  <c r="F5584" i="3"/>
  <c r="E5584" i="3"/>
  <c r="F5583" i="3"/>
  <c r="E5583" i="3"/>
  <c r="F5582" i="3"/>
  <c r="E5582" i="3"/>
  <c r="F5581" i="3"/>
  <c r="E5581" i="3"/>
  <c r="F5580" i="3"/>
  <c r="E5580" i="3"/>
  <c r="F5579" i="3"/>
  <c r="E5579" i="3"/>
  <c r="F5578" i="3"/>
  <c r="E5578" i="3"/>
  <c r="F5577" i="3"/>
  <c r="E5577" i="3"/>
  <c r="F5576" i="3"/>
  <c r="E5576" i="3"/>
  <c r="F5575" i="3"/>
  <c r="E5575" i="3"/>
  <c r="F5574" i="3"/>
  <c r="E5574" i="3"/>
  <c r="F5573" i="3"/>
  <c r="E5573" i="3"/>
  <c r="F5572" i="3"/>
  <c r="E5572" i="3"/>
  <c r="F5571" i="3"/>
  <c r="E5571" i="3"/>
  <c r="F5570" i="3"/>
  <c r="E5570" i="3"/>
  <c r="F5569" i="3"/>
  <c r="E5569" i="3"/>
  <c r="F5568" i="3"/>
  <c r="E5568" i="3"/>
  <c r="F5567" i="3"/>
  <c r="E5567" i="3"/>
  <c r="F5566" i="3"/>
  <c r="E5566" i="3"/>
  <c r="F5565" i="3"/>
  <c r="E5565" i="3"/>
  <c r="F5564" i="3"/>
  <c r="E5564" i="3"/>
  <c r="F5563" i="3"/>
  <c r="E5563" i="3"/>
  <c r="F5562" i="3"/>
  <c r="E5562" i="3"/>
  <c r="F5561" i="3"/>
  <c r="E5561" i="3"/>
  <c r="F5560" i="3"/>
  <c r="E5560" i="3"/>
  <c r="F5559" i="3"/>
  <c r="E5559" i="3"/>
  <c r="F5558" i="3"/>
  <c r="E5558" i="3"/>
  <c r="F5557" i="3"/>
  <c r="E5557" i="3"/>
  <c r="F5556" i="3"/>
  <c r="E5556" i="3"/>
  <c r="F5555" i="3"/>
  <c r="E5555" i="3"/>
  <c r="F5554" i="3"/>
  <c r="E5554" i="3"/>
  <c r="F5553" i="3"/>
  <c r="E5553" i="3"/>
  <c r="F5552" i="3"/>
  <c r="E5552" i="3"/>
  <c r="F5551" i="3"/>
  <c r="E5551" i="3"/>
  <c r="F5550" i="3"/>
  <c r="E5550" i="3"/>
  <c r="F5549" i="3"/>
  <c r="E5549" i="3"/>
  <c r="F5548" i="3"/>
  <c r="E5548" i="3"/>
  <c r="F5547" i="3"/>
  <c r="E5547" i="3"/>
  <c r="F5546" i="3"/>
  <c r="E5546" i="3"/>
  <c r="F5545" i="3"/>
  <c r="E5545" i="3"/>
  <c r="F5544" i="3"/>
  <c r="E5544" i="3"/>
  <c r="F5543" i="3"/>
  <c r="E5543" i="3"/>
  <c r="F5542" i="3"/>
  <c r="E5542" i="3"/>
  <c r="F5541" i="3"/>
  <c r="E5541" i="3"/>
  <c r="F5540" i="3"/>
  <c r="E5540" i="3"/>
  <c r="F5539" i="3"/>
  <c r="E5539" i="3"/>
  <c r="F5538" i="3"/>
  <c r="E5538" i="3"/>
  <c r="F5537" i="3"/>
  <c r="E5537" i="3"/>
  <c r="F5536" i="3"/>
  <c r="E5536" i="3"/>
  <c r="F5535" i="3"/>
  <c r="E5535" i="3"/>
  <c r="F5534" i="3"/>
  <c r="E5534" i="3"/>
  <c r="F5533" i="3"/>
  <c r="E5533" i="3"/>
  <c r="F5532" i="3"/>
  <c r="E5532" i="3"/>
  <c r="F5531" i="3"/>
  <c r="E5531" i="3"/>
  <c r="F5530" i="3"/>
  <c r="E5530" i="3"/>
  <c r="F5529" i="3"/>
  <c r="E5529" i="3"/>
  <c r="F5528" i="3"/>
  <c r="E5528" i="3"/>
  <c r="F5527" i="3"/>
  <c r="E5527" i="3"/>
  <c r="F5526" i="3"/>
  <c r="E5526" i="3"/>
  <c r="F5525" i="3"/>
  <c r="E5525" i="3"/>
  <c r="F5524" i="3"/>
  <c r="E5524" i="3"/>
  <c r="F5523" i="3"/>
  <c r="E5523" i="3"/>
  <c r="F5522" i="3"/>
  <c r="E5522" i="3"/>
  <c r="F5521" i="3"/>
  <c r="E5521" i="3"/>
  <c r="F5520" i="3"/>
  <c r="E5520" i="3"/>
  <c r="F5519" i="3"/>
  <c r="E5519" i="3"/>
  <c r="F5518" i="3"/>
  <c r="E5518" i="3"/>
  <c r="F5517" i="3"/>
  <c r="E5517" i="3"/>
  <c r="F5516" i="3"/>
  <c r="E5516" i="3"/>
  <c r="F5515" i="3"/>
  <c r="E5515" i="3"/>
  <c r="F5514" i="3"/>
  <c r="E5514" i="3"/>
  <c r="F5513" i="3"/>
  <c r="E5513" i="3"/>
  <c r="F5512" i="3"/>
  <c r="E5512" i="3"/>
  <c r="F5511" i="3"/>
  <c r="E5511" i="3"/>
  <c r="F5510" i="3"/>
  <c r="E5510" i="3"/>
  <c r="F5509" i="3"/>
  <c r="E5509" i="3"/>
  <c r="F5508" i="3"/>
  <c r="E5508" i="3"/>
  <c r="F5507" i="3"/>
  <c r="E5507" i="3"/>
  <c r="F5506" i="3"/>
  <c r="E5506" i="3"/>
  <c r="F5505" i="3"/>
  <c r="E5505" i="3"/>
  <c r="F5504" i="3"/>
  <c r="E5504" i="3"/>
  <c r="F5503" i="3"/>
  <c r="E5503" i="3"/>
  <c r="F5502" i="3"/>
  <c r="E5502" i="3"/>
  <c r="F5501" i="3"/>
  <c r="E5501" i="3"/>
  <c r="F5500" i="3"/>
  <c r="E5500" i="3"/>
  <c r="F5499" i="3"/>
  <c r="E5499" i="3"/>
  <c r="F5498" i="3"/>
  <c r="E5498" i="3"/>
  <c r="F5497" i="3"/>
  <c r="E5497" i="3"/>
  <c r="F5496" i="3"/>
  <c r="E5496" i="3"/>
  <c r="F5495" i="3"/>
  <c r="E5495" i="3"/>
  <c r="F5494" i="3"/>
  <c r="E5494" i="3"/>
  <c r="F5493" i="3"/>
  <c r="E5493" i="3"/>
  <c r="F5492" i="3"/>
  <c r="E5492" i="3"/>
  <c r="F5491" i="3"/>
  <c r="E5491" i="3"/>
  <c r="F5490" i="3"/>
  <c r="E5490" i="3"/>
  <c r="F5489" i="3"/>
  <c r="E5489" i="3"/>
  <c r="F5488" i="3"/>
  <c r="E5488" i="3"/>
  <c r="F5487" i="3"/>
  <c r="E5487" i="3"/>
  <c r="F5486" i="3"/>
  <c r="E5486" i="3"/>
  <c r="F5485" i="3"/>
  <c r="E5485" i="3"/>
  <c r="F5484" i="3"/>
  <c r="E5484" i="3"/>
  <c r="F5483" i="3"/>
  <c r="E5483" i="3"/>
  <c r="F5482" i="3"/>
  <c r="E5482" i="3"/>
  <c r="F5481" i="3"/>
  <c r="E5481" i="3"/>
  <c r="F5480" i="3"/>
  <c r="E5480" i="3"/>
  <c r="F5479" i="3"/>
  <c r="E5479" i="3"/>
  <c r="F5478" i="3"/>
  <c r="E5478" i="3"/>
  <c r="F5477" i="3"/>
  <c r="E5477" i="3"/>
  <c r="F5476" i="3"/>
  <c r="E5476" i="3"/>
  <c r="F5475" i="3"/>
  <c r="E5475" i="3"/>
  <c r="F5474" i="3"/>
  <c r="E5474" i="3"/>
  <c r="F5473" i="3"/>
  <c r="E5473" i="3"/>
  <c r="F5472" i="3"/>
  <c r="E5472" i="3"/>
  <c r="F5471" i="3"/>
  <c r="E5471" i="3"/>
  <c r="F5470" i="3"/>
  <c r="E5470" i="3"/>
  <c r="F5469" i="3"/>
  <c r="E5469" i="3"/>
  <c r="F5468" i="3"/>
  <c r="E5468" i="3"/>
  <c r="F5467" i="3"/>
  <c r="E5467" i="3"/>
  <c r="F5466" i="3"/>
  <c r="E5466" i="3"/>
  <c r="F5465" i="3"/>
  <c r="E5465" i="3"/>
  <c r="F5464" i="3"/>
  <c r="E5464" i="3"/>
  <c r="F5463" i="3"/>
  <c r="E5463" i="3"/>
  <c r="F5462" i="3"/>
  <c r="E5462" i="3"/>
  <c r="F5461" i="3"/>
  <c r="E5461" i="3"/>
  <c r="F5460" i="3"/>
  <c r="E5460" i="3"/>
  <c r="F5459" i="3"/>
  <c r="E5459" i="3"/>
  <c r="F5458" i="3"/>
  <c r="E5458" i="3"/>
  <c r="F5457" i="3"/>
  <c r="E5457" i="3"/>
  <c r="F5456" i="3"/>
  <c r="E5456" i="3"/>
  <c r="F5455" i="3"/>
  <c r="E5455" i="3"/>
  <c r="F5454" i="3"/>
  <c r="E5454" i="3"/>
  <c r="F5453" i="3"/>
  <c r="E5453" i="3"/>
  <c r="F5452" i="3"/>
  <c r="E5452" i="3"/>
  <c r="F5451" i="3"/>
  <c r="E5451" i="3"/>
  <c r="F5450" i="3"/>
  <c r="E5450" i="3"/>
  <c r="F5449" i="3"/>
  <c r="E5449" i="3"/>
  <c r="F5448" i="3"/>
  <c r="E5448" i="3"/>
  <c r="F5447" i="3"/>
  <c r="E5447" i="3"/>
  <c r="F5446" i="3"/>
  <c r="E5446" i="3"/>
  <c r="F5445" i="3"/>
  <c r="E5445" i="3"/>
  <c r="F5444" i="3"/>
  <c r="E5444" i="3"/>
  <c r="F5443" i="3"/>
  <c r="E5443" i="3"/>
  <c r="F5442" i="3"/>
  <c r="E5442" i="3"/>
  <c r="F5441" i="3"/>
  <c r="E5441" i="3"/>
  <c r="F5440" i="3"/>
  <c r="E5440" i="3"/>
  <c r="F5439" i="3"/>
  <c r="E5439" i="3"/>
  <c r="F5438" i="3"/>
  <c r="E5438" i="3"/>
  <c r="F5437" i="3"/>
  <c r="E5437" i="3"/>
  <c r="F5436" i="3"/>
  <c r="E5436" i="3"/>
  <c r="F5435" i="3"/>
  <c r="E5435" i="3"/>
  <c r="F5434" i="3"/>
  <c r="E5434" i="3"/>
  <c r="F5433" i="3"/>
  <c r="E5433" i="3"/>
  <c r="F5432" i="3"/>
  <c r="E5432" i="3"/>
  <c r="F5431" i="3"/>
  <c r="E5431" i="3"/>
  <c r="F5430" i="3"/>
  <c r="E5430" i="3"/>
  <c r="F5429" i="3"/>
  <c r="E5429" i="3"/>
  <c r="F5428" i="3"/>
  <c r="E5428" i="3"/>
  <c r="F5427" i="3"/>
  <c r="E5427" i="3"/>
  <c r="F5426" i="3"/>
  <c r="E5426" i="3"/>
  <c r="F5425" i="3"/>
  <c r="E5425" i="3"/>
  <c r="F5424" i="3"/>
  <c r="E5424" i="3"/>
  <c r="F5423" i="3"/>
  <c r="E5423" i="3"/>
  <c r="F5422" i="3"/>
  <c r="E5422" i="3"/>
  <c r="F5421" i="3"/>
  <c r="E5421" i="3"/>
  <c r="F5420" i="3"/>
  <c r="E5420" i="3"/>
  <c r="F5419" i="3"/>
  <c r="E5419" i="3"/>
  <c r="F5418" i="3"/>
  <c r="E5418" i="3"/>
  <c r="F5417" i="3"/>
  <c r="E5417" i="3"/>
  <c r="F5416" i="3"/>
  <c r="E5416" i="3"/>
  <c r="F5415" i="3"/>
  <c r="E5415" i="3"/>
  <c r="F5414" i="3"/>
  <c r="E5414" i="3"/>
  <c r="F5413" i="3"/>
  <c r="E5413" i="3"/>
  <c r="F5412" i="3"/>
  <c r="E5412" i="3"/>
  <c r="F5411" i="3"/>
  <c r="E5411" i="3"/>
  <c r="F5410" i="3"/>
  <c r="E5410" i="3"/>
  <c r="F5409" i="3"/>
  <c r="E5409" i="3"/>
  <c r="F5408" i="3"/>
  <c r="E5408" i="3"/>
  <c r="F5407" i="3"/>
  <c r="E5407" i="3"/>
  <c r="F5406" i="3"/>
  <c r="E5406" i="3"/>
  <c r="F5405" i="3"/>
  <c r="E5405" i="3"/>
  <c r="F5404" i="3"/>
  <c r="E5404" i="3"/>
  <c r="F5403" i="3"/>
  <c r="E5403" i="3"/>
  <c r="F5402" i="3"/>
  <c r="E5402" i="3"/>
  <c r="F5401" i="3"/>
  <c r="E5401" i="3"/>
  <c r="F5400" i="3"/>
  <c r="E5400" i="3"/>
  <c r="F5399" i="3"/>
  <c r="E5399" i="3"/>
  <c r="F5398" i="3"/>
  <c r="E5398" i="3"/>
  <c r="F5397" i="3"/>
  <c r="E5397" i="3"/>
  <c r="F5396" i="3"/>
  <c r="E5396" i="3"/>
  <c r="F5395" i="3"/>
  <c r="E5395" i="3"/>
  <c r="F5394" i="3"/>
  <c r="E5394" i="3"/>
  <c r="F5393" i="3"/>
  <c r="E5393" i="3"/>
  <c r="F5392" i="3"/>
  <c r="E5392" i="3"/>
  <c r="F5391" i="3"/>
  <c r="E5391" i="3"/>
  <c r="F5390" i="3"/>
  <c r="E5390" i="3"/>
  <c r="F5389" i="3"/>
  <c r="E5389" i="3"/>
  <c r="F5388" i="3"/>
  <c r="E5388" i="3"/>
  <c r="F5387" i="3"/>
  <c r="E5387" i="3"/>
  <c r="F5386" i="3"/>
  <c r="E5386" i="3"/>
  <c r="F5385" i="3"/>
  <c r="E5385" i="3"/>
  <c r="F5384" i="3"/>
  <c r="E5384" i="3"/>
  <c r="F5383" i="3"/>
  <c r="E5383" i="3"/>
  <c r="F5382" i="3"/>
  <c r="E5382" i="3"/>
  <c r="F5381" i="3"/>
  <c r="E5381" i="3"/>
  <c r="F5380" i="3"/>
  <c r="E5380" i="3"/>
  <c r="F5379" i="3"/>
  <c r="E5379" i="3"/>
  <c r="F5378" i="3"/>
  <c r="E5378" i="3"/>
  <c r="F5377" i="3"/>
  <c r="E5377" i="3"/>
  <c r="F5376" i="3"/>
  <c r="E5376" i="3"/>
  <c r="F5375" i="3"/>
  <c r="E5375" i="3"/>
  <c r="F5374" i="3"/>
  <c r="E5374" i="3"/>
  <c r="F5373" i="3"/>
  <c r="E5373" i="3"/>
  <c r="F5372" i="3"/>
  <c r="E5372" i="3"/>
  <c r="F5371" i="3"/>
  <c r="E5371" i="3"/>
  <c r="F5370" i="3"/>
  <c r="E5370" i="3"/>
  <c r="F5369" i="3"/>
  <c r="E5369" i="3"/>
  <c r="F5368" i="3"/>
  <c r="E5368" i="3"/>
  <c r="F5367" i="3"/>
  <c r="E5367" i="3"/>
  <c r="F5366" i="3"/>
  <c r="E5366" i="3"/>
  <c r="F5365" i="3"/>
  <c r="E5365" i="3"/>
  <c r="F5364" i="3"/>
  <c r="E5364" i="3"/>
  <c r="F5363" i="3"/>
  <c r="E5363" i="3"/>
  <c r="F5362" i="3"/>
  <c r="E5362" i="3"/>
  <c r="F5361" i="3"/>
  <c r="E5361" i="3"/>
  <c r="F5360" i="3"/>
  <c r="E5360" i="3"/>
  <c r="F5359" i="3"/>
  <c r="E5359" i="3"/>
  <c r="F5358" i="3"/>
  <c r="E5358" i="3"/>
  <c r="F5357" i="3"/>
  <c r="E5357" i="3"/>
  <c r="F5356" i="3"/>
  <c r="E5356" i="3"/>
  <c r="F5355" i="3"/>
  <c r="E5355" i="3"/>
  <c r="F5354" i="3"/>
  <c r="E5354" i="3"/>
  <c r="F5353" i="3"/>
  <c r="E5353" i="3"/>
  <c r="F5352" i="3"/>
  <c r="E5352" i="3"/>
  <c r="F5351" i="3"/>
  <c r="E5351" i="3"/>
  <c r="F5350" i="3"/>
  <c r="E5350" i="3"/>
  <c r="F5349" i="3"/>
  <c r="E5349" i="3"/>
  <c r="F5348" i="3"/>
  <c r="E5348" i="3"/>
  <c r="F5347" i="3"/>
  <c r="E5347" i="3"/>
  <c r="F5346" i="3"/>
  <c r="E5346" i="3"/>
  <c r="F5345" i="3"/>
  <c r="E5345" i="3"/>
  <c r="F5344" i="3"/>
  <c r="E5344" i="3"/>
  <c r="F5343" i="3"/>
  <c r="E5343" i="3"/>
  <c r="F5342" i="3"/>
  <c r="E5342" i="3"/>
  <c r="F5341" i="3"/>
  <c r="E5341" i="3"/>
  <c r="F5340" i="3"/>
  <c r="E5340" i="3"/>
  <c r="F5339" i="3"/>
  <c r="E5339" i="3"/>
  <c r="F5338" i="3"/>
  <c r="E5338" i="3"/>
  <c r="F5337" i="3"/>
  <c r="E5337" i="3"/>
  <c r="F5336" i="3"/>
  <c r="E5336" i="3"/>
  <c r="F5335" i="3"/>
  <c r="E5335" i="3"/>
  <c r="F5334" i="3"/>
  <c r="E5334" i="3"/>
  <c r="F5333" i="3"/>
  <c r="E5333" i="3"/>
  <c r="F5332" i="3"/>
  <c r="E5332" i="3"/>
  <c r="F5331" i="3"/>
  <c r="E5331" i="3"/>
  <c r="F5330" i="3"/>
  <c r="E5330" i="3"/>
  <c r="F5329" i="3"/>
  <c r="E5329" i="3"/>
  <c r="F5328" i="3"/>
  <c r="E5328" i="3"/>
  <c r="F5327" i="3"/>
  <c r="E5327" i="3"/>
  <c r="F5326" i="3"/>
  <c r="E5326" i="3"/>
  <c r="F5325" i="3"/>
  <c r="E5325" i="3"/>
  <c r="F5324" i="3"/>
  <c r="E5324" i="3"/>
  <c r="F5323" i="3"/>
  <c r="E5323" i="3"/>
  <c r="F5322" i="3"/>
  <c r="E5322" i="3"/>
  <c r="F5321" i="3"/>
  <c r="E5321" i="3"/>
  <c r="F5320" i="3"/>
  <c r="E5320" i="3"/>
  <c r="F5319" i="3"/>
  <c r="E5319" i="3"/>
  <c r="F5318" i="3"/>
  <c r="E5318" i="3"/>
  <c r="F5317" i="3"/>
  <c r="E5317" i="3"/>
  <c r="F5316" i="3"/>
  <c r="E5316" i="3"/>
  <c r="F5315" i="3"/>
  <c r="E5315" i="3"/>
  <c r="F5314" i="3"/>
  <c r="E5314" i="3"/>
  <c r="F5313" i="3"/>
  <c r="E5313" i="3"/>
  <c r="F5312" i="3"/>
  <c r="E5312" i="3"/>
  <c r="F5311" i="3"/>
  <c r="E5311" i="3"/>
  <c r="F5310" i="3"/>
  <c r="E5310" i="3"/>
  <c r="F5309" i="3"/>
  <c r="E5309" i="3"/>
  <c r="F5308" i="3"/>
  <c r="E5308" i="3"/>
  <c r="F5307" i="3"/>
  <c r="E5307" i="3"/>
  <c r="F5306" i="3"/>
  <c r="E5306" i="3"/>
  <c r="F5305" i="3"/>
  <c r="E5305" i="3"/>
  <c r="F5304" i="3"/>
  <c r="E5304" i="3"/>
  <c r="F5303" i="3"/>
  <c r="E5303" i="3"/>
  <c r="F5302" i="3"/>
  <c r="E5302" i="3"/>
  <c r="F5301" i="3"/>
  <c r="E5301" i="3"/>
  <c r="F5300" i="3"/>
  <c r="E5300" i="3"/>
  <c r="F5299" i="3"/>
  <c r="E5299" i="3"/>
  <c r="F5298" i="3"/>
  <c r="E5298" i="3"/>
  <c r="F5297" i="3"/>
  <c r="E5297" i="3"/>
  <c r="F5296" i="3"/>
  <c r="E5296" i="3"/>
  <c r="F5295" i="3"/>
  <c r="E5295" i="3"/>
  <c r="F5294" i="3"/>
  <c r="E5294" i="3"/>
  <c r="F5293" i="3"/>
  <c r="E5293" i="3"/>
  <c r="F5292" i="3"/>
  <c r="E5292" i="3"/>
  <c r="F5291" i="3"/>
  <c r="E5291" i="3"/>
  <c r="F5290" i="3"/>
  <c r="E5290" i="3"/>
  <c r="F5289" i="3"/>
  <c r="E5289" i="3"/>
  <c r="F5288" i="3"/>
  <c r="E5288" i="3"/>
  <c r="F5287" i="3"/>
  <c r="E5287" i="3"/>
  <c r="F5286" i="3"/>
  <c r="E5286" i="3"/>
  <c r="F5285" i="3"/>
  <c r="E5285" i="3"/>
  <c r="F5284" i="3"/>
  <c r="E5284" i="3"/>
  <c r="F5283" i="3"/>
  <c r="E5283" i="3"/>
  <c r="F5282" i="3"/>
  <c r="E5282" i="3"/>
  <c r="F5281" i="3"/>
  <c r="E5281" i="3"/>
  <c r="F5280" i="3"/>
  <c r="E5280" i="3"/>
  <c r="F5279" i="3"/>
  <c r="E5279" i="3"/>
  <c r="F5278" i="3"/>
  <c r="E5278" i="3"/>
  <c r="F5277" i="3"/>
  <c r="E5277" i="3"/>
  <c r="F5276" i="3"/>
  <c r="E5276" i="3"/>
  <c r="F5275" i="3"/>
  <c r="E5275" i="3"/>
  <c r="F5274" i="3"/>
  <c r="E5274" i="3"/>
  <c r="F5273" i="3"/>
  <c r="E5273" i="3"/>
  <c r="F5272" i="3"/>
  <c r="E5272" i="3"/>
  <c r="F5271" i="3"/>
  <c r="E5271" i="3"/>
  <c r="F5270" i="3"/>
  <c r="E5270" i="3"/>
  <c r="F5269" i="3"/>
  <c r="E5269" i="3"/>
  <c r="F5268" i="3"/>
  <c r="E5268" i="3"/>
  <c r="F5267" i="3"/>
  <c r="E5267" i="3"/>
  <c r="F5266" i="3"/>
  <c r="E5266" i="3"/>
  <c r="F5265" i="3"/>
  <c r="E5265" i="3"/>
  <c r="F5264" i="3"/>
  <c r="E5264" i="3"/>
  <c r="F5263" i="3"/>
  <c r="E5263" i="3"/>
  <c r="F5262" i="3"/>
  <c r="E5262" i="3"/>
  <c r="F5261" i="3"/>
  <c r="E5261" i="3"/>
  <c r="F5260" i="3"/>
  <c r="E5260" i="3"/>
  <c r="F5259" i="3"/>
  <c r="E5259" i="3"/>
  <c r="F5258" i="3"/>
  <c r="E5258" i="3"/>
  <c r="F5257" i="3"/>
  <c r="E5257" i="3"/>
  <c r="F5256" i="3"/>
  <c r="E5256" i="3"/>
  <c r="F5255" i="3"/>
  <c r="E5255" i="3"/>
  <c r="F5254" i="3"/>
  <c r="E5254" i="3"/>
  <c r="F5253" i="3"/>
  <c r="E5253" i="3"/>
  <c r="F5252" i="3"/>
  <c r="E5252" i="3"/>
  <c r="F5251" i="3"/>
  <c r="E5251" i="3"/>
  <c r="F5250" i="3"/>
  <c r="E5250" i="3"/>
  <c r="F5249" i="3"/>
  <c r="E5249" i="3"/>
  <c r="F5248" i="3"/>
  <c r="E5248" i="3"/>
  <c r="F5247" i="3"/>
  <c r="E5247" i="3"/>
  <c r="F5246" i="3"/>
  <c r="E5246" i="3"/>
  <c r="F5245" i="3"/>
  <c r="E5245" i="3"/>
  <c r="F5244" i="3"/>
  <c r="E5244" i="3"/>
  <c r="F5243" i="3"/>
  <c r="E5243" i="3"/>
  <c r="F5242" i="3"/>
  <c r="E5242" i="3"/>
  <c r="F5241" i="3"/>
  <c r="E5241" i="3"/>
  <c r="F5240" i="3"/>
  <c r="E5240" i="3"/>
  <c r="F5239" i="3"/>
  <c r="E5239" i="3"/>
  <c r="F5238" i="3"/>
  <c r="E5238" i="3"/>
  <c r="F5237" i="3"/>
  <c r="E5237" i="3"/>
  <c r="F5236" i="3"/>
  <c r="E5236" i="3"/>
  <c r="F5235" i="3"/>
  <c r="E5235" i="3"/>
  <c r="F5234" i="3"/>
  <c r="E5234" i="3"/>
  <c r="F5233" i="3"/>
  <c r="E5233" i="3"/>
  <c r="F5232" i="3"/>
  <c r="E5232" i="3"/>
  <c r="F5231" i="3"/>
  <c r="E5231" i="3"/>
  <c r="F5230" i="3"/>
  <c r="E5230" i="3"/>
  <c r="F5229" i="3"/>
  <c r="E5229" i="3"/>
  <c r="F5228" i="3"/>
  <c r="E5228" i="3"/>
  <c r="F5227" i="3"/>
  <c r="E5227" i="3"/>
  <c r="F5226" i="3"/>
  <c r="E5226" i="3"/>
  <c r="F5225" i="3"/>
  <c r="E5225" i="3"/>
  <c r="F5224" i="3"/>
  <c r="E5224" i="3"/>
  <c r="F5223" i="3"/>
  <c r="E5223" i="3"/>
  <c r="F5222" i="3"/>
  <c r="E5222" i="3"/>
  <c r="F5221" i="3"/>
  <c r="E5221" i="3"/>
  <c r="F5220" i="3"/>
  <c r="E5220" i="3"/>
  <c r="F5219" i="3"/>
  <c r="E5219" i="3"/>
  <c r="F5218" i="3"/>
  <c r="E5218" i="3"/>
  <c r="F5217" i="3"/>
  <c r="E5217" i="3"/>
  <c r="F5216" i="3"/>
  <c r="E5216" i="3"/>
  <c r="F5215" i="3"/>
  <c r="E5215" i="3"/>
  <c r="F5214" i="3"/>
  <c r="E5214" i="3"/>
  <c r="F5213" i="3"/>
  <c r="E5213" i="3"/>
  <c r="F5212" i="3"/>
  <c r="E5212" i="3"/>
  <c r="F5211" i="3"/>
  <c r="E5211" i="3"/>
  <c r="F5210" i="3"/>
  <c r="E5210" i="3"/>
  <c r="F5209" i="3"/>
  <c r="E5209" i="3"/>
  <c r="F5208" i="3"/>
  <c r="E5208" i="3"/>
  <c r="F5207" i="3"/>
  <c r="E5207" i="3"/>
  <c r="F5206" i="3"/>
  <c r="E5206" i="3"/>
  <c r="F5205" i="3"/>
  <c r="E5205" i="3"/>
  <c r="F5204" i="3"/>
  <c r="E5204" i="3"/>
  <c r="F5203" i="3"/>
  <c r="E5203" i="3"/>
  <c r="F5202" i="3"/>
  <c r="E5202" i="3"/>
  <c r="F5201" i="3"/>
  <c r="E5201" i="3"/>
  <c r="F5200" i="3"/>
  <c r="E5200" i="3"/>
  <c r="F5199" i="3"/>
  <c r="E5199" i="3"/>
  <c r="F5198" i="3"/>
  <c r="E5198" i="3"/>
  <c r="F5197" i="3"/>
  <c r="E5197" i="3"/>
  <c r="F5196" i="3"/>
  <c r="E5196" i="3"/>
  <c r="F5195" i="3"/>
  <c r="E5195" i="3"/>
  <c r="F5194" i="3"/>
  <c r="E5194" i="3"/>
  <c r="F5193" i="3"/>
  <c r="E5193" i="3"/>
  <c r="F5192" i="3"/>
  <c r="E5192" i="3"/>
  <c r="F5191" i="3"/>
  <c r="E5191" i="3"/>
  <c r="F5190" i="3"/>
  <c r="E5190" i="3"/>
  <c r="F5189" i="3"/>
  <c r="E5189" i="3"/>
  <c r="F5188" i="3"/>
  <c r="E5188" i="3"/>
  <c r="F5187" i="3"/>
  <c r="E5187" i="3"/>
  <c r="F5186" i="3"/>
  <c r="E5186" i="3"/>
  <c r="F5185" i="3"/>
  <c r="E5185" i="3"/>
  <c r="F5184" i="3"/>
  <c r="E5184" i="3"/>
  <c r="F5183" i="3"/>
  <c r="E5183" i="3"/>
  <c r="F5182" i="3"/>
  <c r="E5182" i="3"/>
  <c r="F5181" i="3"/>
  <c r="E5181" i="3"/>
  <c r="F5180" i="3"/>
  <c r="E5180" i="3"/>
  <c r="F5179" i="3"/>
  <c r="E5179" i="3"/>
  <c r="F5178" i="3"/>
  <c r="E5178" i="3"/>
  <c r="F5177" i="3"/>
  <c r="E5177" i="3"/>
  <c r="F5176" i="3"/>
  <c r="E5176" i="3"/>
  <c r="F5175" i="3"/>
  <c r="E5175" i="3"/>
  <c r="F5174" i="3"/>
  <c r="E5174" i="3"/>
  <c r="F5173" i="3"/>
  <c r="E5173" i="3"/>
  <c r="F5172" i="3"/>
  <c r="E5172" i="3"/>
  <c r="F5171" i="3"/>
  <c r="E5171" i="3"/>
  <c r="F5170" i="3"/>
  <c r="E5170" i="3"/>
  <c r="F5169" i="3"/>
  <c r="E5169" i="3"/>
  <c r="F5168" i="3"/>
  <c r="E5168" i="3"/>
  <c r="F5167" i="3"/>
  <c r="E5167" i="3"/>
  <c r="F5166" i="3"/>
  <c r="E5166" i="3"/>
  <c r="F5165" i="3"/>
  <c r="E5165" i="3"/>
  <c r="F5164" i="3"/>
  <c r="E5164" i="3"/>
  <c r="F5163" i="3"/>
  <c r="E5163" i="3"/>
  <c r="F5162" i="3"/>
  <c r="E5162" i="3"/>
  <c r="F5161" i="3"/>
  <c r="E5161" i="3"/>
  <c r="F5160" i="3"/>
  <c r="E5160" i="3"/>
  <c r="F5159" i="3"/>
  <c r="E5159" i="3"/>
  <c r="F5158" i="3"/>
  <c r="E5158" i="3"/>
  <c r="F5157" i="3"/>
  <c r="E5157" i="3"/>
  <c r="F5156" i="3"/>
  <c r="E5156" i="3"/>
  <c r="F5155" i="3"/>
  <c r="E5155" i="3"/>
  <c r="F5154" i="3"/>
  <c r="E5154" i="3"/>
  <c r="F5153" i="3"/>
  <c r="E5153" i="3"/>
  <c r="F5152" i="3"/>
  <c r="E5152" i="3"/>
  <c r="F5151" i="3"/>
  <c r="E5151" i="3"/>
  <c r="F5150" i="3"/>
  <c r="E5150" i="3"/>
  <c r="F5149" i="3"/>
  <c r="E5149" i="3"/>
  <c r="F5148" i="3"/>
  <c r="E5148" i="3"/>
  <c r="F5147" i="3"/>
  <c r="E5147" i="3"/>
  <c r="F5146" i="3"/>
  <c r="E5146" i="3"/>
  <c r="F5145" i="3"/>
  <c r="E5145" i="3"/>
  <c r="F5144" i="3"/>
  <c r="E5144" i="3"/>
  <c r="F5143" i="3"/>
  <c r="E5143" i="3"/>
  <c r="F5142" i="3"/>
  <c r="E5142" i="3"/>
  <c r="F5141" i="3"/>
  <c r="E5141" i="3"/>
  <c r="F5140" i="3"/>
  <c r="E5140" i="3"/>
  <c r="F5139" i="3"/>
  <c r="E5139" i="3"/>
  <c r="F5138" i="3"/>
  <c r="E5138" i="3"/>
  <c r="F5137" i="3"/>
  <c r="E5137" i="3"/>
  <c r="F5136" i="3"/>
  <c r="E5136" i="3"/>
  <c r="F5135" i="3"/>
  <c r="E5135" i="3"/>
  <c r="F5134" i="3"/>
  <c r="E5134" i="3"/>
  <c r="F5133" i="3"/>
  <c r="E5133" i="3"/>
  <c r="F5132" i="3"/>
  <c r="E5132" i="3"/>
  <c r="F5131" i="3"/>
  <c r="E5131" i="3"/>
  <c r="F5130" i="3"/>
  <c r="E5130" i="3"/>
  <c r="F5129" i="3"/>
  <c r="E5129" i="3"/>
  <c r="F5128" i="3"/>
  <c r="E5128" i="3"/>
  <c r="F5127" i="3"/>
  <c r="E5127" i="3"/>
  <c r="F5126" i="3"/>
  <c r="E5126" i="3"/>
  <c r="F5125" i="3"/>
  <c r="E5125" i="3"/>
  <c r="F5124" i="3"/>
  <c r="E5124" i="3"/>
  <c r="F5123" i="3"/>
  <c r="E5123" i="3"/>
  <c r="F5122" i="3"/>
  <c r="E5122" i="3"/>
  <c r="F5121" i="3"/>
  <c r="E5121" i="3"/>
  <c r="F5120" i="3"/>
  <c r="E5120" i="3"/>
  <c r="F5119" i="3"/>
  <c r="E5119" i="3"/>
  <c r="F5118" i="3"/>
  <c r="E5118" i="3"/>
  <c r="F5117" i="3"/>
  <c r="E5117" i="3"/>
  <c r="F5116" i="3"/>
  <c r="E5116" i="3"/>
  <c r="F5115" i="3"/>
  <c r="E5115" i="3"/>
  <c r="F5114" i="3"/>
  <c r="E5114" i="3"/>
  <c r="F5113" i="3"/>
  <c r="E5113" i="3"/>
  <c r="F5112" i="3"/>
  <c r="E5112" i="3"/>
  <c r="F5111" i="3"/>
  <c r="E5111" i="3"/>
  <c r="F5110" i="3"/>
  <c r="E5110" i="3"/>
  <c r="F5109" i="3"/>
  <c r="E5109" i="3"/>
  <c r="F5108" i="3"/>
  <c r="E5108" i="3"/>
  <c r="F5107" i="3"/>
  <c r="E5107" i="3"/>
  <c r="F5106" i="3"/>
  <c r="E5106" i="3"/>
  <c r="F5105" i="3"/>
  <c r="E5105" i="3"/>
  <c r="F5104" i="3"/>
  <c r="E5104" i="3"/>
  <c r="F5103" i="3"/>
  <c r="E5103" i="3"/>
  <c r="F5102" i="3"/>
  <c r="E5102" i="3"/>
  <c r="F5101" i="3"/>
  <c r="E5101" i="3"/>
  <c r="F5100" i="3"/>
  <c r="E5100" i="3"/>
  <c r="F5099" i="3"/>
  <c r="E5099" i="3"/>
  <c r="F5098" i="3"/>
  <c r="E5098" i="3"/>
  <c r="F5097" i="3"/>
  <c r="E5097" i="3"/>
  <c r="F5096" i="3"/>
  <c r="E5096" i="3"/>
  <c r="F5095" i="3"/>
  <c r="E5095" i="3"/>
  <c r="F5094" i="3"/>
  <c r="E5094" i="3"/>
  <c r="F5093" i="3"/>
  <c r="E5093" i="3"/>
  <c r="F5092" i="3"/>
  <c r="E5092" i="3"/>
  <c r="F5091" i="3"/>
  <c r="E5091" i="3"/>
  <c r="F5090" i="3"/>
  <c r="E5090" i="3"/>
  <c r="F5089" i="3"/>
  <c r="E5089" i="3"/>
  <c r="F5088" i="3"/>
  <c r="E5088" i="3"/>
  <c r="F5087" i="3"/>
  <c r="E5087" i="3"/>
  <c r="F5086" i="3"/>
  <c r="E5086" i="3"/>
  <c r="F5085" i="3"/>
  <c r="E5085" i="3"/>
  <c r="F5084" i="3"/>
  <c r="E5084" i="3"/>
  <c r="F5083" i="3"/>
  <c r="E5083" i="3"/>
  <c r="F5082" i="3"/>
  <c r="E5082" i="3"/>
  <c r="F5081" i="3"/>
  <c r="E5081" i="3"/>
  <c r="F5080" i="3"/>
  <c r="E5080" i="3"/>
  <c r="F5079" i="3"/>
  <c r="E5079" i="3"/>
  <c r="F5078" i="3"/>
  <c r="E5078" i="3"/>
  <c r="F5077" i="3"/>
  <c r="E5077" i="3"/>
  <c r="F5076" i="3"/>
  <c r="E5076" i="3"/>
  <c r="F5075" i="3"/>
  <c r="E5075" i="3"/>
  <c r="F5074" i="3"/>
  <c r="E5074" i="3"/>
  <c r="F5073" i="3"/>
  <c r="E5073" i="3"/>
  <c r="F5072" i="3"/>
  <c r="E5072" i="3"/>
  <c r="F5071" i="3"/>
  <c r="E5071" i="3"/>
  <c r="F5070" i="3"/>
  <c r="E5070" i="3"/>
  <c r="F5069" i="3"/>
  <c r="E5069" i="3"/>
  <c r="F5068" i="3"/>
  <c r="E5068" i="3"/>
  <c r="F5067" i="3"/>
  <c r="E5067" i="3"/>
  <c r="F5066" i="3"/>
  <c r="E5066" i="3"/>
  <c r="F5065" i="3"/>
  <c r="E5065" i="3"/>
  <c r="F5064" i="3"/>
  <c r="E5064" i="3"/>
  <c r="F5063" i="3"/>
  <c r="E5063" i="3"/>
  <c r="F5062" i="3"/>
  <c r="E5062" i="3"/>
  <c r="F5061" i="3"/>
  <c r="E5061" i="3"/>
  <c r="F5060" i="3"/>
  <c r="E5060" i="3"/>
  <c r="F5059" i="3"/>
  <c r="E5059" i="3"/>
  <c r="F5058" i="3"/>
  <c r="E5058" i="3"/>
  <c r="F5057" i="3"/>
  <c r="E5057" i="3"/>
  <c r="F5056" i="3"/>
  <c r="E5056" i="3"/>
  <c r="F5055" i="3"/>
  <c r="E5055" i="3"/>
  <c r="F5054" i="3"/>
  <c r="E5054" i="3"/>
  <c r="F5053" i="3"/>
  <c r="E5053" i="3"/>
  <c r="F5052" i="3"/>
  <c r="E5052" i="3"/>
  <c r="F5051" i="3"/>
  <c r="E5051" i="3"/>
  <c r="F5050" i="3"/>
  <c r="E5050" i="3"/>
  <c r="F5049" i="3"/>
  <c r="E5049" i="3"/>
  <c r="F5048" i="3"/>
  <c r="E5048" i="3"/>
  <c r="F5047" i="3"/>
  <c r="E5047" i="3"/>
  <c r="F5046" i="3"/>
  <c r="E5046" i="3"/>
  <c r="F5045" i="3"/>
  <c r="E5045" i="3"/>
  <c r="F5044" i="3"/>
  <c r="E5044" i="3"/>
  <c r="F5043" i="3"/>
  <c r="E5043" i="3"/>
  <c r="F5042" i="3"/>
  <c r="E5042" i="3"/>
  <c r="F5041" i="3"/>
  <c r="E5041" i="3"/>
  <c r="F5040" i="3"/>
  <c r="E5040" i="3"/>
  <c r="F5039" i="3"/>
  <c r="E5039" i="3"/>
  <c r="F5038" i="3"/>
  <c r="E5038" i="3"/>
  <c r="F5037" i="3"/>
  <c r="E5037" i="3"/>
  <c r="F5036" i="3"/>
  <c r="E5036" i="3"/>
  <c r="F5035" i="3"/>
  <c r="E5035" i="3"/>
  <c r="F5034" i="3"/>
  <c r="E5034" i="3"/>
  <c r="F5033" i="3"/>
  <c r="E5033" i="3"/>
  <c r="F5032" i="3"/>
  <c r="E5032" i="3"/>
  <c r="F5031" i="3"/>
  <c r="E5031" i="3"/>
  <c r="F5030" i="3"/>
  <c r="E5030" i="3"/>
  <c r="F5029" i="3"/>
  <c r="E5029" i="3"/>
  <c r="F5028" i="3"/>
  <c r="E5028" i="3"/>
  <c r="F5027" i="3"/>
  <c r="E5027" i="3"/>
  <c r="F5026" i="3"/>
  <c r="E5026" i="3"/>
  <c r="F5025" i="3"/>
  <c r="E5025" i="3"/>
  <c r="F5024" i="3"/>
  <c r="E5024" i="3"/>
  <c r="F5023" i="3"/>
  <c r="E5023" i="3"/>
  <c r="F5022" i="3"/>
  <c r="E5022" i="3"/>
  <c r="F5021" i="3"/>
  <c r="E5021" i="3"/>
  <c r="F5020" i="3"/>
  <c r="E5020" i="3"/>
  <c r="F5019" i="3"/>
  <c r="E5019" i="3"/>
  <c r="F5018" i="3"/>
  <c r="E5018" i="3"/>
  <c r="F5017" i="3"/>
  <c r="E5017" i="3"/>
  <c r="F5016" i="3"/>
  <c r="E5016" i="3"/>
  <c r="F5015" i="3"/>
  <c r="E5015" i="3"/>
  <c r="F5014" i="3"/>
  <c r="E5014" i="3"/>
  <c r="F5013" i="3"/>
  <c r="E5013" i="3"/>
  <c r="F5012" i="3"/>
  <c r="E5012" i="3"/>
  <c r="F5011" i="3"/>
  <c r="E5011" i="3"/>
  <c r="F5010" i="3"/>
  <c r="E5010" i="3"/>
  <c r="F5009" i="3"/>
  <c r="E5009" i="3"/>
  <c r="F5008" i="3"/>
  <c r="E5008" i="3"/>
  <c r="F5007" i="3"/>
  <c r="E5007" i="3"/>
  <c r="F5006" i="3"/>
  <c r="E5006" i="3"/>
  <c r="F5005" i="3"/>
  <c r="E5005" i="3"/>
  <c r="F5004" i="3"/>
  <c r="E5004" i="3"/>
  <c r="F5003" i="3"/>
  <c r="E5003" i="3"/>
  <c r="F5002" i="3"/>
  <c r="E5002" i="3"/>
  <c r="F5001" i="3"/>
  <c r="E5001" i="3"/>
  <c r="F5000" i="3"/>
  <c r="E5000" i="3"/>
  <c r="F4999" i="3"/>
  <c r="E4999" i="3"/>
  <c r="F4998" i="3"/>
  <c r="E4998" i="3"/>
  <c r="F4997" i="3"/>
  <c r="E4997" i="3"/>
  <c r="F4996" i="3"/>
  <c r="E4996" i="3"/>
  <c r="F4995" i="3"/>
  <c r="E4995" i="3"/>
  <c r="F4994" i="3"/>
  <c r="E4994" i="3"/>
  <c r="F4993" i="3"/>
  <c r="E4993" i="3"/>
  <c r="F4992" i="3"/>
  <c r="E4992" i="3"/>
  <c r="F4991" i="3"/>
  <c r="E4991" i="3"/>
  <c r="F4990" i="3"/>
  <c r="E4990" i="3"/>
  <c r="F4989" i="3"/>
  <c r="E4989" i="3"/>
  <c r="F4988" i="3"/>
  <c r="E4988" i="3"/>
  <c r="F4987" i="3"/>
  <c r="E4987" i="3"/>
  <c r="F4986" i="3"/>
  <c r="E4986" i="3"/>
  <c r="F4985" i="3"/>
  <c r="E4985" i="3"/>
  <c r="F4984" i="3"/>
  <c r="E4984" i="3"/>
  <c r="F4983" i="3"/>
  <c r="E4983" i="3"/>
  <c r="F4982" i="3"/>
  <c r="E4982" i="3"/>
  <c r="F4981" i="3"/>
  <c r="E4981" i="3"/>
  <c r="F4980" i="3"/>
  <c r="E4980" i="3"/>
  <c r="F4979" i="3"/>
  <c r="E4979" i="3"/>
  <c r="F4978" i="3"/>
  <c r="E4978" i="3"/>
  <c r="F4977" i="3"/>
  <c r="E4977" i="3"/>
  <c r="F4976" i="3"/>
  <c r="E4976" i="3"/>
  <c r="F4975" i="3"/>
  <c r="E4975" i="3"/>
  <c r="F4974" i="3"/>
  <c r="E4974" i="3"/>
  <c r="F4973" i="3"/>
  <c r="E4973" i="3"/>
  <c r="F4972" i="3"/>
  <c r="E4972" i="3"/>
  <c r="F4971" i="3"/>
  <c r="E4971" i="3"/>
  <c r="F4970" i="3"/>
  <c r="E4970" i="3"/>
  <c r="F4969" i="3"/>
  <c r="E4969" i="3"/>
  <c r="F4968" i="3"/>
  <c r="E4968" i="3"/>
  <c r="F4967" i="3"/>
  <c r="E4967" i="3"/>
  <c r="F4966" i="3"/>
  <c r="E4966" i="3"/>
  <c r="F4965" i="3"/>
  <c r="E4965" i="3"/>
  <c r="F4964" i="3"/>
  <c r="E4964" i="3"/>
  <c r="F4963" i="3"/>
  <c r="E4963" i="3"/>
  <c r="F4962" i="3"/>
  <c r="E4962" i="3"/>
  <c r="F4961" i="3"/>
  <c r="E4961" i="3"/>
  <c r="F4960" i="3"/>
  <c r="E4960" i="3"/>
  <c r="F4959" i="3"/>
  <c r="E4959" i="3"/>
  <c r="F4958" i="3"/>
  <c r="E4958" i="3"/>
  <c r="F4957" i="3"/>
  <c r="E4957" i="3"/>
  <c r="F4956" i="3"/>
  <c r="E4956" i="3"/>
  <c r="F4955" i="3"/>
  <c r="E4955" i="3"/>
  <c r="F4954" i="3"/>
  <c r="E4954" i="3"/>
  <c r="F4953" i="3"/>
  <c r="E4953" i="3"/>
  <c r="F4952" i="3"/>
  <c r="E4952" i="3"/>
  <c r="F4951" i="3"/>
  <c r="E4951" i="3"/>
  <c r="F4950" i="3"/>
  <c r="E4950" i="3"/>
  <c r="F4949" i="3"/>
  <c r="E4949" i="3"/>
  <c r="F4948" i="3"/>
  <c r="E4948" i="3"/>
  <c r="F4947" i="3"/>
  <c r="E4947" i="3"/>
  <c r="F4946" i="3"/>
  <c r="E4946" i="3"/>
  <c r="F4945" i="3"/>
  <c r="E4945" i="3"/>
  <c r="F4944" i="3"/>
  <c r="E4944" i="3"/>
  <c r="F4943" i="3"/>
  <c r="E4943" i="3"/>
  <c r="F4942" i="3"/>
  <c r="E4942" i="3"/>
  <c r="F4941" i="3"/>
  <c r="E4941" i="3"/>
  <c r="F4940" i="3"/>
  <c r="E4940" i="3"/>
  <c r="F4939" i="3"/>
  <c r="E4939" i="3"/>
  <c r="F4938" i="3"/>
  <c r="E4938" i="3"/>
  <c r="F4937" i="3"/>
  <c r="E4937" i="3"/>
  <c r="F4936" i="3"/>
  <c r="E4936" i="3"/>
  <c r="F4935" i="3"/>
  <c r="E4935" i="3"/>
  <c r="F4934" i="3"/>
  <c r="E4934" i="3"/>
  <c r="F4933" i="3"/>
  <c r="E4933" i="3"/>
  <c r="F4932" i="3"/>
  <c r="E4932" i="3"/>
  <c r="F4931" i="3"/>
  <c r="E4931" i="3"/>
  <c r="F4930" i="3"/>
  <c r="E4930" i="3"/>
  <c r="F4929" i="3"/>
  <c r="E4929" i="3"/>
  <c r="F4928" i="3"/>
  <c r="E4928" i="3"/>
  <c r="F4927" i="3"/>
  <c r="E4927" i="3"/>
  <c r="F4926" i="3"/>
  <c r="E4926" i="3"/>
  <c r="F4925" i="3"/>
  <c r="E4925" i="3"/>
  <c r="F4924" i="3"/>
  <c r="E4924" i="3"/>
  <c r="F4923" i="3"/>
  <c r="E4923" i="3"/>
  <c r="F4922" i="3"/>
  <c r="E4922" i="3"/>
  <c r="F4921" i="3"/>
  <c r="E4921" i="3"/>
  <c r="F4920" i="3"/>
  <c r="E4920" i="3"/>
  <c r="F4919" i="3"/>
  <c r="E4919" i="3"/>
  <c r="F4918" i="3"/>
  <c r="E4918" i="3"/>
  <c r="F4917" i="3"/>
  <c r="E4917" i="3"/>
  <c r="F4916" i="3"/>
  <c r="E4916" i="3"/>
  <c r="F4915" i="3"/>
  <c r="E4915" i="3"/>
  <c r="F4914" i="3"/>
  <c r="E4914" i="3"/>
  <c r="F4913" i="3"/>
  <c r="E4913" i="3"/>
  <c r="F4912" i="3"/>
  <c r="E4912" i="3"/>
  <c r="F4911" i="3"/>
  <c r="E4911" i="3"/>
  <c r="F4910" i="3"/>
  <c r="E4910" i="3"/>
  <c r="F4909" i="3"/>
  <c r="E4909" i="3"/>
  <c r="F4908" i="3"/>
  <c r="E4908" i="3"/>
  <c r="F4907" i="3"/>
  <c r="E4907" i="3"/>
  <c r="F4906" i="3"/>
  <c r="E4906" i="3"/>
  <c r="F4905" i="3"/>
  <c r="E4905" i="3"/>
  <c r="F4904" i="3"/>
  <c r="E4904" i="3"/>
  <c r="F4903" i="3"/>
  <c r="E4903" i="3"/>
  <c r="F4902" i="3"/>
  <c r="E4902" i="3"/>
  <c r="F4901" i="3"/>
  <c r="E4901" i="3"/>
  <c r="F4900" i="3"/>
  <c r="E4900" i="3"/>
  <c r="F4899" i="3"/>
  <c r="E4899" i="3"/>
  <c r="F4898" i="3"/>
  <c r="E4898" i="3"/>
  <c r="F4897" i="3"/>
  <c r="E4897" i="3"/>
  <c r="F4896" i="3"/>
  <c r="E4896" i="3"/>
  <c r="F4895" i="3"/>
  <c r="E4895" i="3"/>
  <c r="F4894" i="3"/>
  <c r="E4894" i="3"/>
  <c r="F4893" i="3"/>
  <c r="E4893" i="3"/>
  <c r="F4892" i="3"/>
  <c r="E4892" i="3"/>
  <c r="F4891" i="3"/>
  <c r="E4891" i="3"/>
  <c r="F4890" i="3"/>
  <c r="E4890" i="3"/>
  <c r="F4889" i="3"/>
  <c r="E4889" i="3"/>
  <c r="F4888" i="3"/>
  <c r="E4888" i="3"/>
  <c r="F4887" i="3"/>
  <c r="E4887" i="3"/>
  <c r="F4886" i="3"/>
  <c r="E4886" i="3"/>
  <c r="F4885" i="3"/>
  <c r="E4885" i="3"/>
  <c r="F4884" i="3"/>
  <c r="E4884" i="3"/>
  <c r="F4883" i="3"/>
  <c r="E4883" i="3"/>
  <c r="F4882" i="3"/>
  <c r="E4882" i="3"/>
  <c r="F4881" i="3"/>
  <c r="E4881" i="3"/>
  <c r="F4880" i="3"/>
  <c r="E4880" i="3"/>
  <c r="F4879" i="3"/>
  <c r="E4879" i="3"/>
  <c r="F4878" i="3"/>
  <c r="E4878" i="3"/>
  <c r="F4877" i="3"/>
  <c r="E4877" i="3"/>
  <c r="F4876" i="3"/>
  <c r="E4876" i="3"/>
  <c r="F4875" i="3"/>
  <c r="E4875" i="3"/>
  <c r="F4874" i="3"/>
  <c r="E4874" i="3"/>
  <c r="F4873" i="3"/>
  <c r="E4873" i="3"/>
  <c r="F4872" i="3"/>
  <c r="E4872" i="3"/>
  <c r="F4871" i="3"/>
  <c r="E4871" i="3"/>
  <c r="F4870" i="3"/>
  <c r="E4870" i="3"/>
  <c r="F4869" i="3"/>
  <c r="E4869" i="3"/>
  <c r="F4868" i="3"/>
  <c r="E4868" i="3"/>
  <c r="F4867" i="3"/>
  <c r="E4867" i="3"/>
  <c r="F4866" i="3"/>
  <c r="E4866" i="3"/>
  <c r="F4865" i="3"/>
  <c r="E4865" i="3"/>
  <c r="F4864" i="3"/>
  <c r="E4864" i="3"/>
  <c r="F4863" i="3"/>
  <c r="E4863" i="3"/>
  <c r="F4862" i="3"/>
  <c r="E4862" i="3"/>
  <c r="F4861" i="3"/>
  <c r="E4861" i="3"/>
  <c r="F4860" i="3"/>
  <c r="E4860" i="3"/>
  <c r="F4859" i="3"/>
  <c r="E4859" i="3"/>
  <c r="F4858" i="3"/>
  <c r="E4858" i="3"/>
  <c r="F4857" i="3"/>
  <c r="E4857" i="3"/>
  <c r="F4856" i="3"/>
  <c r="E4856" i="3"/>
  <c r="F4855" i="3"/>
  <c r="E4855" i="3"/>
  <c r="F4854" i="3"/>
  <c r="E4854" i="3"/>
  <c r="F4853" i="3"/>
  <c r="E4853" i="3"/>
  <c r="F4852" i="3"/>
  <c r="E4852" i="3"/>
  <c r="F4851" i="3"/>
  <c r="E4851" i="3"/>
  <c r="F4850" i="3"/>
  <c r="E4850" i="3"/>
  <c r="F4849" i="3"/>
  <c r="E4849" i="3"/>
  <c r="F4848" i="3"/>
  <c r="E4848" i="3"/>
  <c r="F4847" i="3"/>
  <c r="E4847" i="3"/>
  <c r="F4846" i="3"/>
  <c r="E4846" i="3"/>
  <c r="F4845" i="3"/>
  <c r="E4845" i="3"/>
  <c r="F4844" i="3"/>
  <c r="E4844" i="3"/>
  <c r="F4843" i="3"/>
  <c r="E4843" i="3"/>
  <c r="F4842" i="3"/>
  <c r="E4842" i="3"/>
  <c r="F4841" i="3"/>
  <c r="E4841" i="3"/>
  <c r="F4840" i="3"/>
  <c r="E4840" i="3"/>
  <c r="F4839" i="3"/>
  <c r="E4839" i="3"/>
  <c r="F4838" i="3"/>
  <c r="E4838" i="3"/>
  <c r="F4837" i="3"/>
  <c r="E4837" i="3"/>
  <c r="F4836" i="3"/>
  <c r="E4836" i="3"/>
  <c r="F4835" i="3"/>
  <c r="E4835" i="3"/>
  <c r="F4834" i="3"/>
  <c r="E4834" i="3"/>
  <c r="F4833" i="3"/>
  <c r="E4833" i="3"/>
  <c r="F4832" i="3"/>
  <c r="E4832" i="3"/>
  <c r="F4831" i="3"/>
  <c r="E4831" i="3"/>
  <c r="F4830" i="3"/>
  <c r="E4830" i="3"/>
  <c r="F4829" i="3"/>
  <c r="E4829" i="3"/>
  <c r="F4828" i="3"/>
  <c r="E4828" i="3"/>
  <c r="F4827" i="3"/>
  <c r="E4827" i="3"/>
  <c r="F4826" i="3"/>
  <c r="E4826" i="3"/>
  <c r="F4825" i="3"/>
  <c r="E4825" i="3"/>
  <c r="F4824" i="3"/>
  <c r="E4824" i="3"/>
  <c r="F4823" i="3"/>
  <c r="E4823" i="3"/>
  <c r="F4822" i="3"/>
  <c r="E4822" i="3"/>
  <c r="F4821" i="3"/>
  <c r="E4821" i="3"/>
  <c r="F4820" i="3"/>
  <c r="E4820" i="3"/>
  <c r="F4819" i="3"/>
  <c r="E4819" i="3"/>
  <c r="F4818" i="3"/>
  <c r="E4818" i="3"/>
  <c r="F4817" i="3"/>
  <c r="E4817" i="3"/>
  <c r="F4816" i="3"/>
  <c r="E4816" i="3"/>
  <c r="F4815" i="3"/>
  <c r="E4815" i="3"/>
  <c r="F4814" i="3"/>
  <c r="E4814" i="3"/>
  <c r="F4813" i="3"/>
  <c r="E4813" i="3"/>
  <c r="F4812" i="3"/>
  <c r="E4812" i="3"/>
  <c r="F4811" i="3"/>
  <c r="E4811" i="3"/>
  <c r="F4810" i="3"/>
  <c r="E4810" i="3"/>
  <c r="F4809" i="3"/>
  <c r="E4809" i="3"/>
  <c r="F4808" i="3"/>
  <c r="E4808" i="3"/>
  <c r="F4807" i="3"/>
  <c r="E4807" i="3"/>
  <c r="F4806" i="3"/>
  <c r="E4806" i="3"/>
  <c r="F4805" i="3"/>
  <c r="E4805" i="3"/>
  <c r="F4804" i="3"/>
  <c r="E4804" i="3"/>
  <c r="F4803" i="3"/>
  <c r="E4803" i="3"/>
  <c r="F4802" i="3"/>
  <c r="E4802" i="3"/>
  <c r="F4801" i="3"/>
  <c r="E4801" i="3"/>
  <c r="F4800" i="3"/>
  <c r="E4800" i="3"/>
  <c r="F4799" i="3"/>
  <c r="E4799" i="3"/>
  <c r="F4798" i="3"/>
  <c r="E4798" i="3"/>
  <c r="F4797" i="3"/>
  <c r="E4797" i="3"/>
  <c r="F4796" i="3"/>
  <c r="E4796" i="3"/>
  <c r="F4795" i="3"/>
  <c r="E4795" i="3"/>
  <c r="F4794" i="3"/>
  <c r="E4794" i="3"/>
  <c r="F4793" i="3"/>
  <c r="E4793" i="3"/>
  <c r="F4792" i="3"/>
  <c r="E4792" i="3"/>
  <c r="F4791" i="3"/>
  <c r="E4791" i="3"/>
  <c r="F4790" i="3"/>
  <c r="E4790" i="3"/>
  <c r="F4789" i="3"/>
  <c r="E4789" i="3"/>
  <c r="F4788" i="3"/>
  <c r="E4788" i="3"/>
  <c r="F4787" i="3"/>
  <c r="E4787" i="3"/>
  <c r="F4786" i="3"/>
  <c r="E4786" i="3"/>
  <c r="F4785" i="3"/>
  <c r="E4785" i="3"/>
  <c r="F4784" i="3"/>
  <c r="E4784" i="3"/>
  <c r="F4783" i="3"/>
  <c r="E4783" i="3"/>
  <c r="F4782" i="3"/>
  <c r="E4782" i="3"/>
  <c r="F4781" i="3"/>
  <c r="E4781" i="3"/>
  <c r="F4780" i="3"/>
  <c r="E4780" i="3"/>
  <c r="F4779" i="3"/>
  <c r="E4779" i="3"/>
  <c r="F4778" i="3"/>
  <c r="E4778" i="3"/>
  <c r="F4777" i="3"/>
  <c r="E4777" i="3"/>
  <c r="F4776" i="3"/>
  <c r="E4776" i="3"/>
  <c r="F4775" i="3"/>
  <c r="E4775" i="3"/>
  <c r="F4774" i="3"/>
  <c r="E4774" i="3"/>
  <c r="F4773" i="3"/>
  <c r="E4773" i="3"/>
  <c r="F4772" i="3"/>
  <c r="E4772" i="3"/>
  <c r="F4771" i="3"/>
  <c r="E4771" i="3"/>
  <c r="F4770" i="3"/>
  <c r="E4770" i="3"/>
  <c r="F4769" i="3"/>
  <c r="E4769" i="3"/>
  <c r="F4768" i="3"/>
  <c r="E4768" i="3"/>
  <c r="F4767" i="3"/>
  <c r="E4767" i="3"/>
  <c r="F4766" i="3"/>
  <c r="E4766" i="3"/>
  <c r="F4765" i="3"/>
  <c r="E4765" i="3"/>
  <c r="F4764" i="3"/>
  <c r="E4764" i="3"/>
  <c r="F4763" i="3"/>
  <c r="E4763" i="3"/>
  <c r="F4762" i="3"/>
  <c r="E4762" i="3"/>
  <c r="F4761" i="3"/>
  <c r="E4761" i="3"/>
  <c r="F4760" i="3"/>
  <c r="E4760" i="3"/>
  <c r="F4759" i="3"/>
  <c r="E4759" i="3"/>
  <c r="F4758" i="3"/>
  <c r="E4758" i="3"/>
  <c r="F4757" i="3"/>
  <c r="E4757" i="3"/>
  <c r="F4756" i="3"/>
  <c r="E4756" i="3"/>
  <c r="F4755" i="3"/>
  <c r="E4755" i="3"/>
  <c r="F4754" i="3"/>
  <c r="E4754" i="3"/>
  <c r="F4753" i="3"/>
  <c r="E4753" i="3"/>
  <c r="F4752" i="3"/>
  <c r="E4752" i="3"/>
  <c r="F4751" i="3"/>
  <c r="E4751" i="3"/>
  <c r="F4750" i="3"/>
  <c r="E4750" i="3"/>
  <c r="F4749" i="3"/>
  <c r="E4749" i="3"/>
  <c r="F4748" i="3"/>
  <c r="E4748" i="3"/>
  <c r="F4747" i="3"/>
  <c r="E4747" i="3"/>
  <c r="F4746" i="3"/>
  <c r="E4746" i="3"/>
  <c r="F4745" i="3"/>
  <c r="E4745" i="3"/>
  <c r="F4744" i="3"/>
  <c r="E4744" i="3"/>
  <c r="F4743" i="3"/>
  <c r="E4743" i="3"/>
  <c r="F4742" i="3"/>
  <c r="E4742" i="3"/>
  <c r="F4741" i="3"/>
  <c r="E4741" i="3"/>
  <c r="F4740" i="3"/>
  <c r="E4740" i="3"/>
  <c r="F4739" i="3"/>
  <c r="E4739" i="3"/>
  <c r="F4738" i="3"/>
  <c r="E4738" i="3"/>
  <c r="F4737" i="3"/>
  <c r="E4737" i="3"/>
  <c r="F4736" i="3"/>
  <c r="E4736" i="3"/>
  <c r="F4735" i="3"/>
  <c r="E4735" i="3"/>
  <c r="F4734" i="3"/>
  <c r="E4734" i="3"/>
  <c r="F4733" i="3"/>
  <c r="E4733" i="3"/>
  <c r="F4732" i="3"/>
  <c r="E4732" i="3"/>
  <c r="F4731" i="3"/>
  <c r="E4731" i="3"/>
  <c r="F4730" i="3"/>
  <c r="E4730" i="3"/>
  <c r="F4729" i="3"/>
  <c r="E4729" i="3"/>
  <c r="F4728" i="3"/>
  <c r="E4728" i="3"/>
  <c r="F4727" i="3"/>
  <c r="E4727" i="3"/>
  <c r="F4726" i="3"/>
  <c r="E4726" i="3"/>
  <c r="F4725" i="3"/>
  <c r="E4725" i="3"/>
  <c r="F4724" i="3"/>
  <c r="E4724" i="3"/>
  <c r="F4723" i="3"/>
  <c r="E4723" i="3"/>
  <c r="F4722" i="3"/>
  <c r="E4722" i="3"/>
  <c r="F4721" i="3"/>
  <c r="E4721" i="3"/>
  <c r="F4720" i="3"/>
  <c r="E4720" i="3"/>
  <c r="F4719" i="3"/>
  <c r="E4719" i="3"/>
  <c r="F4718" i="3"/>
  <c r="E4718" i="3"/>
  <c r="F4717" i="3"/>
  <c r="E4717" i="3"/>
  <c r="F4716" i="3"/>
  <c r="E4716" i="3"/>
  <c r="F4715" i="3"/>
  <c r="E4715" i="3"/>
  <c r="F4714" i="3"/>
  <c r="E4714" i="3"/>
  <c r="F4713" i="3"/>
  <c r="E4713" i="3"/>
  <c r="F4712" i="3"/>
  <c r="E4712" i="3"/>
  <c r="F4711" i="3"/>
  <c r="E4711" i="3"/>
  <c r="F4710" i="3"/>
  <c r="E4710" i="3"/>
  <c r="F4709" i="3"/>
  <c r="E4709" i="3"/>
  <c r="F4708" i="3"/>
  <c r="E4708" i="3"/>
  <c r="F4707" i="3"/>
  <c r="E4707" i="3"/>
  <c r="F4706" i="3"/>
  <c r="E4706" i="3"/>
  <c r="F4705" i="3"/>
  <c r="E4705" i="3"/>
  <c r="F4704" i="3"/>
  <c r="E4704" i="3"/>
  <c r="F4703" i="3"/>
  <c r="E4703" i="3"/>
  <c r="F4702" i="3"/>
  <c r="E4702" i="3"/>
  <c r="F4701" i="3"/>
  <c r="E4701" i="3"/>
  <c r="F4700" i="3"/>
  <c r="E4700" i="3"/>
  <c r="F4699" i="3"/>
  <c r="E4699" i="3"/>
  <c r="F4698" i="3"/>
  <c r="E4698" i="3"/>
  <c r="F4697" i="3"/>
  <c r="E4697" i="3"/>
  <c r="F4696" i="3"/>
  <c r="E4696" i="3"/>
  <c r="F4695" i="3"/>
  <c r="E4695" i="3"/>
  <c r="F4694" i="3"/>
  <c r="E4694" i="3"/>
  <c r="F4693" i="3"/>
  <c r="E4693" i="3"/>
  <c r="F4692" i="3"/>
  <c r="E4692" i="3"/>
  <c r="F4691" i="3"/>
  <c r="E4691" i="3"/>
  <c r="F4690" i="3"/>
  <c r="E4690" i="3"/>
  <c r="F4689" i="3"/>
  <c r="E4689" i="3"/>
  <c r="F4688" i="3"/>
  <c r="E4688" i="3"/>
  <c r="F4687" i="3"/>
  <c r="E4687" i="3"/>
  <c r="F4686" i="3"/>
  <c r="E4686" i="3"/>
  <c r="F4685" i="3"/>
  <c r="E4685" i="3"/>
  <c r="F4684" i="3"/>
  <c r="E4684" i="3"/>
  <c r="F4683" i="3"/>
  <c r="E4683" i="3"/>
  <c r="F4682" i="3"/>
  <c r="E4682" i="3"/>
  <c r="F4681" i="3"/>
  <c r="E4681" i="3"/>
  <c r="F4680" i="3"/>
  <c r="E4680" i="3"/>
  <c r="F4679" i="3"/>
  <c r="E4679" i="3"/>
  <c r="F4678" i="3"/>
  <c r="E4678" i="3"/>
  <c r="F4677" i="3"/>
  <c r="E4677" i="3"/>
  <c r="F4676" i="3"/>
  <c r="E4676" i="3"/>
  <c r="F4675" i="3"/>
  <c r="E4675" i="3"/>
  <c r="F4674" i="3"/>
  <c r="E4674" i="3"/>
  <c r="F4673" i="3"/>
  <c r="E4673" i="3"/>
  <c r="F4672" i="3"/>
  <c r="E4672" i="3"/>
  <c r="F4671" i="3"/>
  <c r="E4671" i="3"/>
  <c r="F4670" i="3"/>
  <c r="E4670" i="3"/>
  <c r="F4669" i="3"/>
  <c r="E4669" i="3"/>
  <c r="F4668" i="3"/>
  <c r="E4668" i="3"/>
  <c r="F4667" i="3"/>
  <c r="E4667" i="3"/>
  <c r="F4666" i="3"/>
  <c r="E4666" i="3"/>
  <c r="F4665" i="3"/>
  <c r="E4665" i="3"/>
  <c r="F4664" i="3"/>
  <c r="E4664" i="3"/>
  <c r="F4663" i="3"/>
  <c r="E4663" i="3"/>
  <c r="F4662" i="3"/>
  <c r="E4662" i="3"/>
  <c r="F4661" i="3"/>
  <c r="E4661" i="3"/>
  <c r="F4660" i="3"/>
  <c r="E4660" i="3"/>
  <c r="F4659" i="3"/>
  <c r="E4659" i="3"/>
  <c r="F4658" i="3"/>
  <c r="E4658" i="3"/>
  <c r="F4657" i="3"/>
  <c r="E4657" i="3"/>
  <c r="F4656" i="3"/>
  <c r="E4656" i="3"/>
  <c r="F4655" i="3"/>
  <c r="E4655" i="3"/>
  <c r="F4654" i="3"/>
  <c r="E4654" i="3"/>
  <c r="F4653" i="3"/>
  <c r="E4653" i="3"/>
  <c r="F4652" i="3"/>
  <c r="E4652" i="3"/>
  <c r="F4651" i="3"/>
  <c r="E4651" i="3"/>
  <c r="F4650" i="3"/>
  <c r="E4650" i="3"/>
  <c r="F4649" i="3"/>
  <c r="E4649" i="3"/>
  <c r="F4648" i="3"/>
  <c r="E4648" i="3"/>
  <c r="F4647" i="3"/>
  <c r="E4647" i="3"/>
  <c r="F4646" i="3"/>
  <c r="E4646" i="3"/>
  <c r="F4645" i="3"/>
  <c r="E4645" i="3"/>
  <c r="F4644" i="3"/>
  <c r="E4644" i="3"/>
  <c r="F4643" i="3"/>
  <c r="E4643" i="3"/>
  <c r="F4642" i="3"/>
  <c r="E4642" i="3"/>
  <c r="F4641" i="3"/>
  <c r="E4641" i="3"/>
  <c r="F4640" i="3"/>
  <c r="E4640" i="3"/>
  <c r="F4639" i="3"/>
  <c r="E4639" i="3"/>
  <c r="F4638" i="3"/>
  <c r="E4638" i="3"/>
  <c r="F4637" i="3"/>
  <c r="E4637" i="3"/>
  <c r="F4636" i="3"/>
  <c r="E4636" i="3"/>
  <c r="F4635" i="3"/>
  <c r="E4635" i="3"/>
  <c r="F4634" i="3"/>
  <c r="E4634" i="3"/>
  <c r="F4633" i="3"/>
  <c r="E4633" i="3"/>
  <c r="F4632" i="3"/>
  <c r="E4632" i="3"/>
  <c r="F4631" i="3"/>
  <c r="E4631" i="3"/>
  <c r="F4630" i="3"/>
  <c r="E4630" i="3"/>
  <c r="F4629" i="3"/>
  <c r="E4629" i="3"/>
  <c r="F4628" i="3"/>
  <c r="E4628" i="3"/>
  <c r="F4627" i="3"/>
  <c r="E4627" i="3"/>
  <c r="F4626" i="3"/>
  <c r="E4626" i="3"/>
  <c r="F4625" i="3"/>
  <c r="E4625" i="3"/>
  <c r="F4624" i="3"/>
  <c r="E4624" i="3"/>
  <c r="F4623" i="3"/>
  <c r="E4623" i="3"/>
  <c r="F4622" i="3"/>
  <c r="E4622" i="3"/>
  <c r="F4621" i="3"/>
  <c r="E4621" i="3"/>
  <c r="F4620" i="3"/>
  <c r="E4620" i="3"/>
  <c r="F4619" i="3"/>
  <c r="E4619" i="3"/>
  <c r="F4618" i="3"/>
  <c r="E4618" i="3"/>
  <c r="F4617" i="3"/>
  <c r="E4617" i="3"/>
  <c r="F4616" i="3"/>
  <c r="E4616" i="3"/>
  <c r="F4615" i="3"/>
  <c r="E4615" i="3"/>
  <c r="F4614" i="3"/>
  <c r="E4614" i="3"/>
  <c r="F4613" i="3"/>
  <c r="E4613" i="3"/>
  <c r="F4612" i="3"/>
  <c r="E4612" i="3"/>
  <c r="F4611" i="3"/>
  <c r="E4611" i="3"/>
  <c r="F4610" i="3"/>
  <c r="E4610" i="3"/>
  <c r="F4609" i="3"/>
  <c r="E4609" i="3"/>
  <c r="F4608" i="3"/>
  <c r="E4608" i="3"/>
  <c r="F4607" i="3"/>
  <c r="E4607" i="3"/>
  <c r="F4606" i="3"/>
  <c r="E4606" i="3"/>
  <c r="F4605" i="3"/>
  <c r="E4605" i="3"/>
  <c r="F4604" i="3"/>
  <c r="E4604" i="3"/>
  <c r="F4603" i="3"/>
  <c r="E4603" i="3"/>
  <c r="F4602" i="3"/>
  <c r="E4602" i="3"/>
  <c r="F4601" i="3"/>
  <c r="E4601" i="3"/>
  <c r="F4600" i="3"/>
  <c r="E4600" i="3"/>
  <c r="F4599" i="3"/>
  <c r="E4599" i="3"/>
  <c r="F4598" i="3"/>
  <c r="E4598" i="3"/>
  <c r="F4597" i="3"/>
  <c r="E4597" i="3"/>
  <c r="F4596" i="3"/>
  <c r="E4596" i="3"/>
  <c r="F4595" i="3"/>
  <c r="E4595" i="3"/>
  <c r="F4594" i="3"/>
  <c r="E4594" i="3"/>
  <c r="F4593" i="3"/>
  <c r="E4593" i="3"/>
  <c r="F4592" i="3"/>
  <c r="E4592" i="3"/>
  <c r="F4591" i="3"/>
  <c r="E4591" i="3"/>
  <c r="F4590" i="3"/>
  <c r="E4590" i="3"/>
  <c r="F4589" i="3"/>
  <c r="E4589" i="3"/>
  <c r="F4588" i="3"/>
  <c r="E4588" i="3"/>
  <c r="F4587" i="3"/>
  <c r="E4587" i="3"/>
  <c r="F4586" i="3"/>
  <c r="E4586" i="3"/>
  <c r="F4585" i="3"/>
  <c r="E4585" i="3"/>
  <c r="F4584" i="3"/>
  <c r="E4584" i="3"/>
  <c r="F4583" i="3"/>
  <c r="E4583" i="3"/>
  <c r="F4582" i="3"/>
  <c r="E4582" i="3"/>
  <c r="F4581" i="3"/>
  <c r="E4581" i="3"/>
  <c r="F4580" i="3"/>
  <c r="E4580" i="3"/>
  <c r="F4579" i="3"/>
  <c r="E4579" i="3"/>
  <c r="F4578" i="3"/>
  <c r="E4578" i="3"/>
  <c r="F4577" i="3"/>
  <c r="E4577" i="3"/>
  <c r="F4576" i="3"/>
  <c r="E4576" i="3"/>
  <c r="F4575" i="3"/>
  <c r="E4575" i="3"/>
  <c r="F4574" i="3"/>
  <c r="E4574" i="3"/>
  <c r="F4573" i="3"/>
  <c r="E4573" i="3"/>
  <c r="F4572" i="3"/>
  <c r="E4572" i="3"/>
  <c r="F4571" i="3"/>
  <c r="E4571" i="3"/>
  <c r="F4570" i="3"/>
  <c r="E4570" i="3"/>
  <c r="F4569" i="3"/>
  <c r="E4569" i="3"/>
  <c r="F4568" i="3"/>
  <c r="E4568" i="3"/>
  <c r="F4567" i="3"/>
  <c r="E4567" i="3"/>
  <c r="F4566" i="3"/>
  <c r="E4566" i="3"/>
  <c r="F4565" i="3"/>
  <c r="E4565" i="3"/>
  <c r="F4564" i="3"/>
  <c r="E4564" i="3"/>
  <c r="F4563" i="3"/>
  <c r="E4563" i="3"/>
  <c r="F4562" i="3"/>
  <c r="E4562" i="3"/>
  <c r="F4561" i="3"/>
  <c r="E4561" i="3"/>
  <c r="F4560" i="3"/>
  <c r="E4560" i="3"/>
  <c r="F4559" i="3"/>
  <c r="E4559" i="3"/>
  <c r="F4558" i="3"/>
  <c r="E4558" i="3"/>
  <c r="F4557" i="3"/>
  <c r="E4557" i="3"/>
  <c r="F4556" i="3"/>
  <c r="E4556" i="3"/>
  <c r="F4555" i="3"/>
  <c r="E4555" i="3"/>
  <c r="F4554" i="3"/>
  <c r="E4554" i="3"/>
  <c r="F4553" i="3"/>
  <c r="E4553" i="3"/>
  <c r="F4552" i="3"/>
  <c r="E4552" i="3"/>
  <c r="F4551" i="3"/>
  <c r="E4551" i="3"/>
  <c r="F4550" i="3"/>
  <c r="E4550" i="3"/>
  <c r="F4549" i="3"/>
  <c r="E4549" i="3"/>
  <c r="F4548" i="3"/>
  <c r="E4548" i="3"/>
  <c r="F4547" i="3"/>
  <c r="E4547" i="3"/>
  <c r="F4546" i="3"/>
  <c r="E4546" i="3"/>
  <c r="F4545" i="3"/>
  <c r="E4545" i="3"/>
  <c r="F4544" i="3"/>
  <c r="E4544" i="3"/>
  <c r="F4543" i="3"/>
  <c r="E4543" i="3"/>
  <c r="F4542" i="3"/>
  <c r="E4542" i="3"/>
  <c r="F4541" i="3"/>
  <c r="E4541" i="3"/>
  <c r="F4540" i="3"/>
  <c r="E4540" i="3"/>
  <c r="F4539" i="3"/>
  <c r="E4539" i="3"/>
  <c r="F4538" i="3"/>
  <c r="E4538" i="3"/>
  <c r="F4537" i="3"/>
  <c r="E4537" i="3"/>
  <c r="F4536" i="3"/>
  <c r="E4536" i="3"/>
  <c r="F4535" i="3"/>
  <c r="E4535" i="3"/>
  <c r="F4534" i="3"/>
  <c r="E4534" i="3"/>
  <c r="F4533" i="3"/>
  <c r="E4533" i="3"/>
  <c r="F4532" i="3"/>
  <c r="E4532" i="3"/>
  <c r="F4531" i="3"/>
  <c r="E4531" i="3"/>
  <c r="F4530" i="3"/>
  <c r="E4530" i="3"/>
  <c r="F4529" i="3"/>
  <c r="E4529" i="3"/>
  <c r="F4528" i="3"/>
  <c r="E4528" i="3"/>
  <c r="F4527" i="3"/>
  <c r="E4527" i="3"/>
  <c r="F4526" i="3"/>
  <c r="E4526" i="3"/>
  <c r="F4525" i="3"/>
  <c r="E4525" i="3"/>
  <c r="F4524" i="3"/>
  <c r="E4524" i="3"/>
  <c r="F4523" i="3"/>
  <c r="E4523" i="3"/>
  <c r="F4522" i="3"/>
  <c r="E4522" i="3"/>
  <c r="F4521" i="3"/>
  <c r="E4521" i="3"/>
  <c r="F4520" i="3"/>
  <c r="E4520" i="3"/>
  <c r="F4519" i="3"/>
  <c r="E4519" i="3"/>
  <c r="F4518" i="3"/>
  <c r="E4518" i="3"/>
  <c r="F4517" i="3"/>
  <c r="E4517" i="3"/>
  <c r="F4516" i="3"/>
  <c r="E4516" i="3"/>
  <c r="F4515" i="3"/>
  <c r="E4515" i="3"/>
  <c r="F4514" i="3"/>
  <c r="E4514" i="3"/>
  <c r="F4513" i="3"/>
  <c r="E4513" i="3"/>
  <c r="F4512" i="3"/>
  <c r="E4512" i="3"/>
  <c r="F4511" i="3"/>
  <c r="E4511" i="3"/>
  <c r="F4510" i="3"/>
  <c r="E4510" i="3"/>
  <c r="F4509" i="3"/>
  <c r="E4509" i="3"/>
  <c r="F4508" i="3"/>
  <c r="E4508" i="3"/>
  <c r="F4507" i="3"/>
  <c r="E4507" i="3"/>
  <c r="F4506" i="3"/>
  <c r="E4506" i="3"/>
  <c r="F4505" i="3"/>
  <c r="E4505" i="3"/>
  <c r="F4504" i="3"/>
  <c r="E4504" i="3"/>
  <c r="F4503" i="3"/>
  <c r="E4503" i="3"/>
  <c r="F4502" i="3"/>
  <c r="E4502" i="3"/>
  <c r="F4501" i="3"/>
  <c r="E4501" i="3"/>
  <c r="F4500" i="3"/>
  <c r="E4500" i="3"/>
  <c r="F4499" i="3"/>
  <c r="E4499" i="3"/>
  <c r="F4498" i="3"/>
  <c r="E4498" i="3"/>
  <c r="F4497" i="3"/>
  <c r="E4497" i="3"/>
  <c r="F4496" i="3"/>
  <c r="E4496" i="3"/>
  <c r="F4495" i="3"/>
  <c r="E4495" i="3"/>
  <c r="F4494" i="3"/>
  <c r="E4494" i="3"/>
  <c r="F4493" i="3"/>
  <c r="E4493" i="3"/>
  <c r="F4492" i="3"/>
  <c r="E4492" i="3"/>
  <c r="F4491" i="3"/>
  <c r="E4491" i="3"/>
  <c r="F4490" i="3"/>
  <c r="E4490" i="3"/>
  <c r="F4489" i="3"/>
  <c r="E4489" i="3"/>
  <c r="F4488" i="3"/>
  <c r="E4488" i="3"/>
  <c r="F4487" i="3"/>
  <c r="E4487" i="3"/>
  <c r="F4486" i="3"/>
  <c r="E4486" i="3"/>
  <c r="F4485" i="3"/>
  <c r="E4485" i="3"/>
  <c r="F4484" i="3"/>
  <c r="E4484" i="3"/>
  <c r="F4483" i="3"/>
  <c r="E4483" i="3"/>
  <c r="F4482" i="3"/>
  <c r="E4482" i="3"/>
  <c r="F4481" i="3"/>
  <c r="E4481" i="3"/>
  <c r="F4480" i="3"/>
  <c r="E4480" i="3"/>
  <c r="F4479" i="3"/>
  <c r="E4479" i="3"/>
  <c r="F4478" i="3"/>
  <c r="E4478" i="3"/>
  <c r="F4477" i="3"/>
  <c r="E4477" i="3"/>
  <c r="F4476" i="3"/>
  <c r="E4476" i="3"/>
  <c r="F4475" i="3"/>
  <c r="E4475" i="3"/>
  <c r="F4474" i="3"/>
  <c r="E4474" i="3"/>
  <c r="F4473" i="3"/>
  <c r="E4473" i="3"/>
  <c r="F4472" i="3"/>
  <c r="E4472" i="3"/>
  <c r="F4471" i="3"/>
  <c r="E4471" i="3"/>
  <c r="F4470" i="3"/>
  <c r="E4470" i="3"/>
  <c r="F4469" i="3"/>
  <c r="E4469" i="3"/>
  <c r="F4468" i="3"/>
  <c r="E4468" i="3"/>
  <c r="F4467" i="3"/>
  <c r="E4467" i="3"/>
  <c r="F4466" i="3"/>
  <c r="E4466" i="3"/>
  <c r="F4465" i="3"/>
  <c r="E4465" i="3"/>
  <c r="F4464" i="3"/>
  <c r="E4464" i="3"/>
  <c r="F4463" i="3"/>
  <c r="E4463" i="3"/>
  <c r="F4462" i="3"/>
  <c r="E4462" i="3"/>
  <c r="F4461" i="3"/>
  <c r="E4461" i="3"/>
  <c r="F4460" i="3"/>
  <c r="E4460" i="3"/>
  <c r="F4459" i="3"/>
  <c r="E4459" i="3"/>
  <c r="F4458" i="3"/>
  <c r="E4458" i="3"/>
  <c r="F4457" i="3"/>
  <c r="E4457" i="3"/>
  <c r="F4456" i="3"/>
  <c r="E4456" i="3"/>
  <c r="F4455" i="3"/>
  <c r="E4455" i="3"/>
  <c r="F4454" i="3"/>
  <c r="E4454" i="3"/>
  <c r="F4453" i="3"/>
  <c r="E4453" i="3"/>
  <c r="F4452" i="3"/>
  <c r="E4452" i="3"/>
  <c r="F4451" i="3"/>
  <c r="E4451" i="3"/>
  <c r="F4450" i="3"/>
  <c r="E4450" i="3"/>
  <c r="F4449" i="3"/>
  <c r="E4449" i="3"/>
  <c r="F4448" i="3"/>
  <c r="E4448" i="3"/>
  <c r="F4447" i="3"/>
  <c r="E4447" i="3"/>
  <c r="F4446" i="3"/>
  <c r="E4446" i="3"/>
  <c r="F4445" i="3"/>
  <c r="E4445" i="3"/>
  <c r="F4444" i="3"/>
  <c r="E4444" i="3"/>
  <c r="F4443" i="3"/>
  <c r="E4443" i="3"/>
  <c r="F4442" i="3"/>
  <c r="E4442" i="3"/>
  <c r="F4441" i="3"/>
  <c r="E4441" i="3"/>
  <c r="F4440" i="3"/>
  <c r="E4440" i="3"/>
  <c r="F4439" i="3"/>
  <c r="E4439" i="3"/>
  <c r="F4438" i="3"/>
  <c r="E4438" i="3"/>
  <c r="F4437" i="3"/>
  <c r="E4437" i="3"/>
  <c r="F4436" i="3"/>
  <c r="E4436" i="3"/>
  <c r="F4435" i="3"/>
  <c r="E4435" i="3"/>
  <c r="F4434" i="3"/>
  <c r="E4434" i="3"/>
  <c r="F4433" i="3"/>
  <c r="E4433" i="3"/>
  <c r="F4432" i="3"/>
  <c r="E4432" i="3"/>
  <c r="F4431" i="3"/>
  <c r="E4431" i="3"/>
  <c r="F4430" i="3"/>
  <c r="E4430" i="3"/>
  <c r="F4429" i="3"/>
  <c r="E4429" i="3"/>
  <c r="F4428" i="3"/>
  <c r="E4428" i="3"/>
  <c r="F4427" i="3"/>
  <c r="E4427" i="3"/>
  <c r="F4426" i="3"/>
  <c r="E4426" i="3"/>
  <c r="F4425" i="3"/>
  <c r="E4425" i="3"/>
  <c r="F4424" i="3"/>
  <c r="E4424" i="3"/>
  <c r="F4423" i="3"/>
  <c r="E4423" i="3"/>
  <c r="F4422" i="3"/>
  <c r="E4422" i="3"/>
  <c r="F4421" i="3"/>
  <c r="E4421" i="3"/>
  <c r="F4420" i="3"/>
  <c r="E4420" i="3"/>
  <c r="F4419" i="3"/>
  <c r="E4419" i="3"/>
  <c r="F4418" i="3"/>
  <c r="E4418" i="3"/>
  <c r="F4417" i="3"/>
  <c r="E4417" i="3"/>
  <c r="F4416" i="3"/>
  <c r="E4416" i="3"/>
  <c r="F4415" i="3"/>
  <c r="E4415" i="3"/>
  <c r="F4414" i="3"/>
  <c r="E4414" i="3"/>
  <c r="F4413" i="3"/>
  <c r="E4413" i="3"/>
  <c r="F4412" i="3"/>
  <c r="E4412" i="3"/>
  <c r="F4411" i="3"/>
  <c r="E4411" i="3"/>
  <c r="F4410" i="3"/>
  <c r="E4410" i="3"/>
  <c r="F4409" i="3"/>
  <c r="E4409" i="3"/>
  <c r="F4408" i="3"/>
  <c r="E4408" i="3"/>
  <c r="F4407" i="3"/>
  <c r="E4407" i="3"/>
  <c r="F4406" i="3"/>
  <c r="E4406" i="3"/>
  <c r="F4405" i="3"/>
  <c r="E4405" i="3"/>
  <c r="F4404" i="3"/>
  <c r="E4404" i="3"/>
  <c r="F4403" i="3"/>
  <c r="E4403" i="3"/>
  <c r="F4402" i="3"/>
  <c r="E4402" i="3"/>
  <c r="F4401" i="3"/>
  <c r="E4401" i="3"/>
  <c r="F4400" i="3"/>
  <c r="E4400" i="3"/>
  <c r="F4399" i="3"/>
  <c r="E4399" i="3"/>
  <c r="F4398" i="3"/>
  <c r="E4398" i="3"/>
  <c r="F4397" i="3"/>
  <c r="E4397" i="3"/>
  <c r="F4396" i="3"/>
  <c r="E4396" i="3"/>
  <c r="F4395" i="3"/>
  <c r="E4395" i="3"/>
  <c r="F4394" i="3"/>
  <c r="E4394" i="3"/>
  <c r="F4393" i="3"/>
  <c r="E4393" i="3"/>
  <c r="F4392" i="3"/>
  <c r="E4392" i="3"/>
  <c r="F4391" i="3"/>
  <c r="E4391" i="3"/>
  <c r="F4390" i="3"/>
  <c r="E4390" i="3"/>
  <c r="F4389" i="3"/>
  <c r="E4389" i="3"/>
  <c r="F4388" i="3"/>
  <c r="E4388" i="3"/>
  <c r="F4387" i="3"/>
  <c r="E4387" i="3"/>
  <c r="F4386" i="3"/>
  <c r="E4386" i="3"/>
  <c r="F4385" i="3"/>
  <c r="E4385" i="3"/>
  <c r="F4384" i="3"/>
  <c r="E4384" i="3"/>
  <c r="F4383" i="3"/>
  <c r="E4383" i="3"/>
  <c r="F4382" i="3"/>
  <c r="E4382" i="3"/>
  <c r="F4381" i="3"/>
  <c r="E4381" i="3"/>
  <c r="F4380" i="3"/>
  <c r="E4380" i="3"/>
  <c r="F4379" i="3"/>
  <c r="E4379" i="3"/>
  <c r="F4378" i="3"/>
  <c r="E4378" i="3"/>
  <c r="F4377" i="3"/>
  <c r="E4377" i="3"/>
  <c r="F4376" i="3"/>
  <c r="E4376" i="3"/>
  <c r="F4375" i="3"/>
  <c r="E4375" i="3"/>
  <c r="F4374" i="3"/>
  <c r="E4374" i="3"/>
  <c r="F4373" i="3"/>
  <c r="E4373" i="3"/>
  <c r="F4372" i="3"/>
  <c r="E4372" i="3"/>
  <c r="F4371" i="3"/>
  <c r="E4371" i="3"/>
  <c r="F4370" i="3"/>
  <c r="E4370" i="3"/>
  <c r="F4369" i="3"/>
  <c r="E4369" i="3"/>
  <c r="F4368" i="3"/>
  <c r="E4368" i="3"/>
  <c r="F4367" i="3"/>
  <c r="E4367" i="3"/>
  <c r="F4366" i="3"/>
  <c r="E4366" i="3"/>
  <c r="F4365" i="3"/>
  <c r="E4365" i="3"/>
  <c r="F4364" i="3"/>
  <c r="E4364" i="3"/>
  <c r="F4363" i="3"/>
  <c r="E4363" i="3"/>
  <c r="F4362" i="3"/>
  <c r="E4362" i="3"/>
  <c r="F4361" i="3"/>
  <c r="E4361" i="3"/>
  <c r="F4360" i="3"/>
  <c r="E4360" i="3"/>
  <c r="F4359" i="3"/>
  <c r="E4359" i="3"/>
  <c r="F4358" i="3"/>
  <c r="E4358" i="3"/>
  <c r="F4357" i="3"/>
  <c r="E4357" i="3"/>
  <c r="F4356" i="3"/>
  <c r="E4356" i="3"/>
  <c r="F4355" i="3"/>
  <c r="E4355" i="3"/>
  <c r="F4354" i="3"/>
  <c r="E4354" i="3"/>
  <c r="F4353" i="3"/>
  <c r="E4353" i="3"/>
  <c r="F4352" i="3"/>
  <c r="E4352" i="3"/>
  <c r="F4351" i="3"/>
  <c r="E4351" i="3"/>
  <c r="F4350" i="3"/>
  <c r="E4350" i="3"/>
  <c r="F4349" i="3"/>
  <c r="E4349" i="3"/>
  <c r="F4348" i="3"/>
  <c r="E4348" i="3"/>
  <c r="F4347" i="3"/>
  <c r="E4347" i="3"/>
  <c r="F4346" i="3"/>
  <c r="E4346" i="3"/>
  <c r="F4345" i="3"/>
  <c r="E4345" i="3"/>
  <c r="F4344" i="3"/>
  <c r="E4344" i="3"/>
  <c r="F4343" i="3"/>
  <c r="E4343" i="3"/>
  <c r="F4342" i="3"/>
  <c r="E4342" i="3"/>
  <c r="F4341" i="3"/>
  <c r="E4341" i="3"/>
  <c r="F4340" i="3"/>
  <c r="E4340" i="3"/>
  <c r="F4339" i="3"/>
  <c r="E4339" i="3"/>
  <c r="F4338" i="3"/>
  <c r="E4338" i="3"/>
  <c r="F4337" i="3"/>
  <c r="E4337" i="3"/>
  <c r="F4336" i="3"/>
  <c r="E4336" i="3"/>
  <c r="F4335" i="3"/>
  <c r="E4335" i="3"/>
  <c r="F4334" i="3"/>
  <c r="E4334" i="3"/>
  <c r="F4333" i="3"/>
  <c r="E4333" i="3"/>
  <c r="F4332" i="3"/>
  <c r="E4332" i="3"/>
  <c r="F4331" i="3"/>
  <c r="E4331" i="3"/>
  <c r="F4330" i="3"/>
  <c r="E4330" i="3"/>
  <c r="F4329" i="3"/>
  <c r="E4329" i="3"/>
  <c r="F4328" i="3"/>
  <c r="E4328" i="3"/>
  <c r="F4327" i="3"/>
  <c r="E4327" i="3"/>
  <c r="F4326" i="3"/>
  <c r="E4326" i="3"/>
  <c r="F4325" i="3"/>
  <c r="E4325" i="3"/>
  <c r="F4324" i="3"/>
  <c r="E4324" i="3"/>
  <c r="F4323" i="3"/>
  <c r="E4323" i="3"/>
  <c r="F4322" i="3"/>
  <c r="E4322" i="3"/>
  <c r="F4321" i="3"/>
  <c r="E4321" i="3"/>
  <c r="F4320" i="3"/>
  <c r="E4320" i="3"/>
  <c r="F4319" i="3"/>
  <c r="E4319" i="3"/>
  <c r="F4318" i="3"/>
  <c r="E4318" i="3"/>
  <c r="F4317" i="3"/>
  <c r="E4317" i="3"/>
  <c r="F4316" i="3"/>
  <c r="E4316" i="3"/>
  <c r="F4315" i="3"/>
  <c r="E4315" i="3"/>
  <c r="F4314" i="3"/>
  <c r="E4314" i="3"/>
  <c r="F4313" i="3"/>
  <c r="E4313" i="3"/>
  <c r="F4312" i="3"/>
  <c r="E4312" i="3"/>
  <c r="F4311" i="3"/>
  <c r="E4311" i="3"/>
  <c r="F4310" i="3"/>
  <c r="E4310" i="3"/>
  <c r="F4309" i="3"/>
  <c r="E4309" i="3"/>
  <c r="F4308" i="3"/>
  <c r="E4308" i="3"/>
  <c r="F4307" i="3"/>
  <c r="E4307" i="3"/>
  <c r="F4306" i="3"/>
  <c r="E4306" i="3"/>
  <c r="F4305" i="3"/>
  <c r="E4305" i="3"/>
  <c r="F4304" i="3"/>
  <c r="E4304" i="3"/>
  <c r="F4303" i="3"/>
  <c r="E4303" i="3"/>
  <c r="F4302" i="3"/>
  <c r="E4302" i="3"/>
  <c r="F4301" i="3"/>
  <c r="E4301" i="3"/>
  <c r="F4300" i="3"/>
  <c r="E4300" i="3"/>
  <c r="F4299" i="3"/>
  <c r="E4299" i="3"/>
  <c r="F4298" i="3"/>
  <c r="E4298" i="3"/>
  <c r="F4297" i="3"/>
  <c r="E4297" i="3"/>
  <c r="F4296" i="3"/>
  <c r="E4296" i="3"/>
  <c r="F4295" i="3"/>
  <c r="E4295" i="3"/>
  <c r="F4294" i="3"/>
  <c r="E4294" i="3"/>
  <c r="F4293" i="3"/>
  <c r="E4293" i="3"/>
  <c r="F4292" i="3"/>
  <c r="E4292" i="3"/>
  <c r="F4291" i="3"/>
  <c r="E4291" i="3"/>
  <c r="F4290" i="3"/>
  <c r="E4290" i="3"/>
  <c r="F4289" i="3"/>
  <c r="E4289" i="3"/>
  <c r="F4288" i="3"/>
  <c r="E4288" i="3"/>
  <c r="F4287" i="3"/>
  <c r="E4287" i="3"/>
  <c r="F4286" i="3"/>
  <c r="E4286" i="3"/>
  <c r="F4285" i="3"/>
  <c r="E4285" i="3"/>
  <c r="F4284" i="3"/>
  <c r="E4284" i="3"/>
  <c r="F4283" i="3"/>
  <c r="E4283" i="3"/>
  <c r="F4282" i="3"/>
  <c r="E4282" i="3"/>
  <c r="F4281" i="3"/>
  <c r="E4281" i="3"/>
  <c r="F4280" i="3"/>
  <c r="E4280" i="3"/>
  <c r="F4279" i="3"/>
  <c r="E4279" i="3"/>
  <c r="F4278" i="3"/>
  <c r="E4278" i="3"/>
  <c r="F4277" i="3"/>
  <c r="E4277" i="3"/>
  <c r="F4276" i="3"/>
  <c r="E4276" i="3"/>
  <c r="F4275" i="3"/>
  <c r="E4275" i="3"/>
  <c r="F4274" i="3"/>
  <c r="E4274" i="3"/>
  <c r="F4273" i="3"/>
  <c r="E4273" i="3"/>
  <c r="F4272" i="3"/>
  <c r="E4272" i="3"/>
  <c r="F4271" i="3"/>
  <c r="E4271" i="3"/>
  <c r="F4270" i="3"/>
  <c r="E4270" i="3"/>
  <c r="F4269" i="3"/>
  <c r="E4269" i="3"/>
  <c r="F4268" i="3"/>
  <c r="E4268" i="3"/>
  <c r="F4267" i="3"/>
  <c r="E4267" i="3"/>
  <c r="F4266" i="3"/>
  <c r="E4266" i="3"/>
  <c r="F4265" i="3"/>
  <c r="E4265" i="3"/>
  <c r="F4264" i="3"/>
  <c r="E4264" i="3"/>
  <c r="F4263" i="3"/>
  <c r="E4263" i="3"/>
  <c r="F4262" i="3"/>
  <c r="E4262" i="3"/>
  <c r="F4261" i="3"/>
  <c r="E4261" i="3"/>
  <c r="F4260" i="3"/>
  <c r="E4260" i="3"/>
  <c r="F4259" i="3"/>
  <c r="E4259" i="3"/>
  <c r="F4258" i="3"/>
  <c r="E4258" i="3"/>
  <c r="F4257" i="3"/>
  <c r="E4257" i="3"/>
  <c r="F4256" i="3"/>
  <c r="E4256" i="3"/>
  <c r="F4255" i="3"/>
  <c r="E4255" i="3"/>
  <c r="F4254" i="3"/>
  <c r="E4254" i="3"/>
  <c r="F4253" i="3"/>
  <c r="E4253" i="3"/>
  <c r="F4252" i="3"/>
  <c r="E4252" i="3"/>
  <c r="F4251" i="3"/>
  <c r="E4251" i="3"/>
  <c r="F4250" i="3"/>
  <c r="E4250" i="3"/>
  <c r="F4249" i="3"/>
  <c r="E4249" i="3"/>
  <c r="F4248" i="3"/>
  <c r="E4248" i="3"/>
  <c r="F4247" i="3"/>
  <c r="E4247" i="3"/>
  <c r="F4246" i="3"/>
  <c r="E4246" i="3"/>
  <c r="F4245" i="3"/>
  <c r="E4245" i="3"/>
  <c r="F4244" i="3"/>
  <c r="E4244" i="3"/>
  <c r="F4243" i="3"/>
  <c r="E4243" i="3"/>
  <c r="F4242" i="3"/>
  <c r="E4242" i="3"/>
  <c r="F4241" i="3"/>
  <c r="E4241" i="3"/>
  <c r="F4240" i="3"/>
  <c r="E4240" i="3"/>
  <c r="F4239" i="3"/>
  <c r="E4239" i="3"/>
  <c r="F4238" i="3"/>
  <c r="E4238" i="3"/>
  <c r="F4237" i="3"/>
  <c r="E4237" i="3"/>
  <c r="F4236" i="3"/>
  <c r="E4236" i="3"/>
  <c r="F4235" i="3"/>
  <c r="E4235" i="3"/>
  <c r="F4234" i="3"/>
  <c r="E4234" i="3"/>
  <c r="F4233" i="3"/>
  <c r="E4233" i="3"/>
  <c r="F4232" i="3"/>
  <c r="E4232" i="3"/>
  <c r="F4231" i="3"/>
  <c r="E4231" i="3"/>
  <c r="F4230" i="3"/>
  <c r="E4230" i="3"/>
  <c r="F4229" i="3"/>
  <c r="E4229" i="3"/>
  <c r="F4228" i="3"/>
  <c r="E4228" i="3"/>
  <c r="F4227" i="3"/>
  <c r="E4227" i="3"/>
  <c r="F4226" i="3"/>
  <c r="E4226" i="3"/>
  <c r="F4225" i="3"/>
  <c r="E4225" i="3"/>
  <c r="F4224" i="3"/>
  <c r="E4224" i="3"/>
  <c r="F4223" i="3"/>
  <c r="E4223" i="3"/>
  <c r="F4222" i="3"/>
  <c r="E4222" i="3"/>
  <c r="F4221" i="3"/>
  <c r="E4221" i="3"/>
  <c r="F4220" i="3"/>
  <c r="E4220" i="3"/>
  <c r="F4219" i="3"/>
  <c r="E4219" i="3"/>
  <c r="F4218" i="3"/>
  <c r="E4218" i="3"/>
  <c r="F4217" i="3"/>
  <c r="E4217" i="3"/>
  <c r="F4216" i="3"/>
  <c r="E4216" i="3"/>
  <c r="F4215" i="3"/>
  <c r="E4215" i="3"/>
  <c r="F4214" i="3"/>
  <c r="E4214" i="3"/>
  <c r="F4213" i="3"/>
  <c r="E4213" i="3"/>
  <c r="F4212" i="3"/>
  <c r="E4212" i="3"/>
  <c r="F4211" i="3"/>
  <c r="E4211" i="3"/>
  <c r="F4210" i="3"/>
  <c r="E4210" i="3"/>
  <c r="F4209" i="3"/>
  <c r="E4209" i="3"/>
  <c r="F4208" i="3"/>
  <c r="E4208" i="3"/>
  <c r="F4207" i="3"/>
  <c r="E4207" i="3"/>
  <c r="F4206" i="3"/>
  <c r="E4206" i="3"/>
  <c r="F4205" i="3"/>
  <c r="E4205" i="3"/>
  <c r="F4204" i="3"/>
  <c r="E4204" i="3"/>
  <c r="F4203" i="3"/>
  <c r="E4203" i="3"/>
  <c r="F4202" i="3"/>
  <c r="E4202" i="3"/>
  <c r="F4201" i="3"/>
  <c r="E4201" i="3"/>
  <c r="F4200" i="3"/>
  <c r="E4200" i="3"/>
  <c r="F4199" i="3"/>
  <c r="E4199" i="3"/>
  <c r="F4198" i="3"/>
  <c r="E4198" i="3"/>
  <c r="F4197" i="3"/>
  <c r="E4197" i="3"/>
  <c r="F4196" i="3"/>
  <c r="E4196" i="3"/>
  <c r="F4195" i="3"/>
  <c r="E4195" i="3"/>
  <c r="F4194" i="3"/>
  <c r="E4194" i="3"/>
  <c r="F4193" i="3"/>
  <c r="E4193" i="3"/>
  <c r="F4192" i="3"/>
  <c r="E4192" i="3"/>
  <c r="F4191" i="3"/>
  <c r="E4191" i="3"/>
  <c r="F4190" i="3"/>
  <c r="E4190" i="3"/>
  <c r="F4189" i="3"/>
  <c r="E4189" i="3"/>
  <c r="F4188" i="3"/>
  <c r="E4188" i="3"/>
  <c r="F4187" i="3"/>
  <c r="E4187" i="3"/>
  <c r="F4186" i="3"/>
  <c r="E4186" i="3"/>
  <c r="F4185" i="3"/>
  <c r="E4185" i="3"/>
  <c r="F4184" i="3"/>
  <c r="E4184" i="3"/>
  <c r="F4183" i="3"/>
  <c r="E4183" i="3"/>
  <c r="F4182" i="3"/>
  <c r="E4182" i="3"/>
  <c r="F4181" i="3"/>
  <c r="E4181" i="3"/>
  <c r="F4180" i="3"/>
  <c r="E4180" i="3"/>
  <c r="F4179" i="3"/>
  <c r="E4179" i="3"/>
  <c r="F4178" i="3"/>
  <c r="E4178" i="3"/>
  <c r="F4177" i="3"/>
  <c r="E4177" i="3"/>
  <c r="F4176" i="3"/>
  <c r="E4176" i="3"/>
  <c r="F4175" i="3"/>
  <c r="E4175" i="3"/>
  <c r="F4174" i="3"/>
  <c r="E4174" i="3"/>
  <c r="F4173" i="3"/>
  <c r="E4173" i="3"/>
  <c r="F4172" i="3"/>
  <c r="E4172" i="3"/>
  <c r="F4171" i="3"/>
  <c r="E4171" i="3"/>
  <c r="F4170" i="3"/>
  <c r="E4170" i="3"/>
  <c r="F4169" i="3"/>
  <c r="E4169" i="3"/>
  <c r="F4168" i="3"/>
  <c r="E4168" i="3"/>
  <c r="F4167" i="3"/>
  <c r="E4167" i="3"/>
  <c r="F4166" i="3"/>
  <c r="E4166" i="3"/>
  <c r="F4165" i="3"/>
  <c r="E4165" i="3"/>
  <c r="F4164" i="3"/>
  <c r="E4164" i="3"/>
  <c r="F4163" i="3"/>
  <c r="E4163" i="3"/>
  <c r="F4162" i="3"/>
  <c r="E4162" i="3"/>
  <c r="F4161" i="3"/>
  <c r="E4161" i="3"/>
  <c r="F4160" i="3"/>
  <c r="E4160" i="3"/>
  <c r="F4159" i="3"/>
  <c r="E4159" i="3"/>
  <c r="F4158" i="3"/>
  <c r="E4158" i="3"/>
  <c r="F4157" i="3"/>
  <c r="E4157" i="3"/>
  <c r="F4156" i="3"/>
  <c r="E4156" i="3"/>
  <c r="F4155" i="3"/>
  <c r="E4155" i="3"/>
  <c r="F4154" i="3"/>
  <c r="E4154" i="3"/>
  <c r="F4153" i="3"/>
  <c r="E4153" i="3"/>
  <c r="F4152" i="3"/>
  <c r="E4152" i="3"/>
  <c r="F4151" i="3"/>
  <c r="E4151" i="3"/>
  <c r="F4150" i="3"/>
  <c r="E4150" i="3"/>
  <c r="F4149" i="3"/>
  <c r="E4149" i="3"/>
  <c r="F4148" i="3"/>
  <c r="E4148" i="3"/>
  <c r="F4147" i="3"/>
  <c r="E4147" i="3"/>
  <c r="F4146" i="3"/>
  <c r="E4146" i="3"/>
  <c r="F4145" i="3"/>
  <c r="E4145" i="3"/>
  <c r="F4144" i="3"/>
  <c r="E4144" i="3"/>
  <c r="F4143" i="3"/>
  <c r="E4143" i="3"/>
  <c r="F4142" i="3"/>
  <c r="E4142" i="3"/>
  <c r="F4141" i="3"/>
  <c r="E4141" i="3"/>
  <c r="F4140" i="3"/>
  <c r="E4140" i="3"/>
  <c r="F4139" i="3"/>
  <c r="E4139" i="3"/>
  <c r="F4138" i="3"/>
  <c r="E4138" i="3"/>
  <c r="F4137" i="3"/>
  <c r="E4137" i="3"/>
  <c r="F4136" i="3"/>
  <c r="E4136" i="3"/>
  <c r="F4135" i="3"/>
  <c r="E4135" i="3"/>
  <c r="F4134" i="3"/>
  <c r="E4134" i="3"/>
  <c r="F4133" i="3"/>
  <c r="E4133" i="3"/>
  <c r="F4132" i="3"/>
  <c r="E4132" i="3"/>
  <c r="F4131" i="3"/>
  <c r="E4131" i="3"/>
  <c r="F4130" i="3"/>
  <c r="E4130" i="3"/>
  <c r="F4129" i="3"/>
  <c r="E4129" i="3"/>
  <c r="F4128" i="3"/>
  <c r="E4128" i="3"/>
  <c r="F4127" i="3"/>
  <c r="E4127" i="3"/>
  <c r="F4126" i="3"/>
  <c r="E4126" i="3"/>
  <c r="F4125" i="3"/>
  <c r="E4125" i="3"/>
  <c r="F4124" i="3"/>
  <c r="E4124" i="3"/>
  <c r="F4123" i="3"/>
  <c r="E4123" i="3"/>
  <c r="F4122" i="3"/>
  <c r="E4122" i="3"/>
  <c r="F4121" i="3"/>
  <c r="E4121" i="3"/>
  <c r="F4120" i="3"/>
  <c r="E4120" i="3"/>
  <c r="F4119" i="3"/>
  <c r="E4119" i="3"/>
  <c r="F4118" i="3"/>
  <c r="E4118" i="3"/>
  <c r="F4117" i="3"/>
  <c r="E4117" i="3"/>
  <c r="F4116" i="3"/>
  <c r="E4116" i="3"/>
  <c r="F4115" i="3"/>
  <c r="E4115" i="3"/>
  <c r="F4114" i="3"/>
  <c r="E4114" i="3"/>
  <c r="F4113" i="3"/>
  <c r="E4113" i="3"/>
  <c r="F4112" i="3"/>
  <c r="E4112" i="3"/>
  <c r="F4111" i="3"/>
  <c r="E4111" i="3"/>
  <c r="F4110" i="3"/>
  <c r="E4110" i="3"/>
  <c r="F4109" i="3"/>
  <c r="E4109" i="3"/>
  <c r="F4108" i="3"/>
  <c r="E4108" i="3"/>
  <c r="F4107" i="3"/>
  <c r="E4107" i="3"/>
  <c r="F4106" i="3"/>
  <c r="E4106" i="3"/>
  <c r="F4105" i="3"/>
  <c r="E4105" i="3"/>
  <c r="F4104" i="3"/>
  <c r="E4104" i="3"/>
  <c r="F4103" i="3"/>
  <c r="E4103" i="3"/>
  <c r="F4102" i="3"/>
  <c r="E4102" i="3"/>
  <c r="F4101" i="3"/>
  <c r="E4101" i="3"/>
  <c r="F4100" i="3"/>
  <c r="E4100" i="3"/>
  <c r="F4099" i="3"/>
  <c r="E4099" i="3"/>
  <c r="F4098" i="3"/>
  <c r="E4098" i="3"/>
  <c r="F4097" i="3"/>
  <c r="E4097" i="3"/>
  <c r="F4096" i="3"/>
  <c r="E4096" i="3"/>
  <c r="F4095" i="3"/>
  <c r="E4095" i="3"/>
  <c r="F4094" i="3"/>
  <c r="E4094" i="3"/>
  <c r="F4093" i="3"/>
  <c r="E4093" i="3"/>
  <c r="F4092" i="3"/>
  <c r="E4092" i="3"/>
  <c r="F4091" i="3"/>
  <c r="E4091" i="3"/>
  <c r="F4090" i="3"/>
  <c r="E4090" i="3"/>
  <c r="F4089" i="3"/>
  <c r="E4089" i="3"/>
  <c r="F4088" i="3"/>
  <c r="E4088" i="3"/>
  <c r="F4087" i="3"/>
  <c r="E4087" i="3"/>
  <c r="F4086" i="3"/>
  <c r="E4086" i="3"/>
  <c r="F4085" i="3"/>
  <c r="E4085" i="3"/>
  <c r="F4084" i="3"/>
  <c r="E4084" i="3"/>
  <c r="F4083" i="3"/>
  <c r="E4083" i="3"/>
  <c r="F4082" i="3"/>
  <c r="E4082" i="3"/>
  <c r="F4081" i="3"/>
  <c r="E4081" i="3"/>
  <c r="F4080" i="3"/>
  <c r="E4080" i="3"/>
  <c r="F4079" i="3"/>
  <c r="E4079" i="3"/>
  <c r="F4078" i="3"/>
  <c r="E4078" i="3"/>
  <c r="F4077" i="3"/>
  <c r="E4077" i="3"/>
  <c r="F4076" i="3"/>
  <c r="E4076" i="3"/>
  <c r="F4075" i="3"/>
  <c r="E4075" i="3"/>
  <c r="F4074" i="3"/>
  <c r="E4074" i="3"/>
  <c r="F4073" i="3"/>
  <c r="E4073" i="3"/>
  <c r="F4072" i="3"/>
  <c r="E4072" i="3"/>
  <c r="F4071" i="3"/>
  <c r="E4071" i="3"/>
  <c r="F4070" i="3"/>
  <c r="E4070" i="3"/>
  <c r="F4069" i="3"/>
  <c r="E4069" i="3"/>
  <c r="F4068" i="3"/>
  <c r="E4068" i="3"/>
  <c r="F4067" i="3"/>
  <c r="E4067" i="3"/>
  <c r="F4066" i="3"/>
  <c r="E4066" i="3"/>
  <c r="F4065" i="3"/>
  <c r="E4065" i="3"/>
  <c r="F4064" i="3"/>
  <c r="E4064" i="3"/>
  <c r="F4063" i="3"/>
  <c r="E4063" i="3"/>
  <c r="F4062" i="3"/>
  <c r="E4062" i="3"/>
  <c r="F4061" i="3"/>
  <c r="E4061" i="3"/>
  <c r="F4060" i="3"/>
  <c r="E4060" i="3"/>
  <c r="F4059" i="3"/>
  <c r="E4059" i="3"/>
  <c r="F4058" i="3"/>
  <c r="E4058" i="3"/>
  <c r="F4057" i="3"/>
  <c r="E4057" i="3"/>
  <c r="F4056" i="3"/>
  <c r="E4056" i="3"/>
  <c r="F4055" i="3"/>
  <c r="E4055" i="3"/>
  <c r="F4054" i="3"/>
  <c r="E4054" i="3"/>
  <c r="F4053" i="3"/>
  <c r="E4053" i="3"/>
  <c r="F4052" i="3"/>
  <c r="E4052" i="3"/>
  <c r="F4051" i="3"/>
  <c r="E4051" i="3"/>
  <c r="F4050" i="3"/>
  <c r="E4050" i="3"/>
  <c r="F4049" i="3"/>
  <c r="E4049" i="3"/>
  <c r="F4048" i="3"/>
  <c r="E4048" i="3"/>
  <c r="F4047" i="3"/>
  <c r="E4047" i="3"/>
  <c r="F4046" i="3"/>
  <c r="E4046" i="3"/>
  <c r="F4045" i="3"/>
  <c r="E4045" i="3"/>
  <c r="F4044" i="3"/>
  <c r="E4044" i="3"/>
  <c r="F4043" i="3"/>
  <c r="E4043" i="3"/>
  <c r="F4042" i="3"/>
  <c r="E4042" i="3"/>
  <c r="F4041" i="3"/>
  <c r="E4041" i="3"/>
  <c r="F4040" i="3"/>
  <c r="E4040" i="3"/>
  <c r="F4039" i="3"/>
  <c r="E4039" i="3"/>
  <c r="F4038" i="3"/>
  <c r="E4038" i="3"/>
  <c r="F4037" i="3"/>
  <c r="E4037" i="3"/>
  <c r="F4036" i="3"/>
  <c r="E4036" i="3"/>
  <c r="F4035" i="3"/>
  <c r="E4035" i="3"/>
  <c r="F4034" i="3"/>
  <c r="E4034" i="3"/>
  <c r="F4033" i="3"/>
  <c r="E4033" i="3"/>
  <c r="F4032" i="3"/>
  <c r="E4032" i="3"/>
  <c r="F4031" i="3"/>
  <c r="E4031" i="3"/>
  <c r="F4030" i="3"/>
  <c r="E4030" i="3"/>
  <c r="F4029" i="3"/>
  <c r="E4029" i="3"/>
  <c r="F4028" i="3"/>
  <c r="E4028" i="3"/>
  <c r="F4027" i="3"/>
  <c r="E4027" i="3"/>
  <c r="F4026" i="3"/>
  <c r="E4026" i="3"/>
  <c r="F4025" i="3"/>
  <c r="E4025" i="3"/>
  <c r="F4024" i="3"/>
  <c r="E4024" i="3"/>
  <c r="F4023" i="3"/>
  <c r="E4023" i="3"/>
  <c r="F4022" i="3"/>
  <c r="E4022" i="3"/>
  <c r="F4021" i="3"/>
  <c r="E4021" i="3"/>
  <c r="F4020" i="3"/>
  <c r="E4020" i="3"/>
  <c r="F4019" i="3"/>
  <c r="E4019" i="3"/>
  <c r="F4018" i="3"/>
  <c r="E4018" i="3"/>
  <c r="F4017" i="3"/>
  <c r="E4017" i="3"/>
  <c r="F4016" i="3"/>
  <c r="E4016" i="3"/>
  <c r="F4015" i="3"/>
  <c r="E4015" i="3"/>
  <c r="F4014" i="3"/>
  <c r="E4014" i="3"/>
  <c r="F4013" i="3"/>
  <c r="E4013" i="3"/>
  <c r="F4012" i="3"/>
  <c r="E4012" i="3"/>
  <c r="F4011" i="3"/>
  <c r="E4011" i="3"/>
  <c r="F4010" i="3"/>
  <c r="E4010" i="3"/>
  <c r="F4009" i="3"/>
  <c r="E4009" i="3"/>
  <c r="F4008" i="3"/>
  <c r="E4008" i="3"/>
  <c r="F4007" i="3"/>
  <c r="E4007" i="3"/>
  <c r="F4006" i="3"/>
  <c r="E4006" i="3"/>
  <c r="F4005" i="3"/>
  <c r="E4005" i="3"/>
  <c r="F4004" i="3"/>
  <c r="E4004" i="3"/>
  <c r="F4003" i="3"/>
  <c r="E4003" i="3"/>
  <c r="F4002" i="3"/>
  <c r="E4002" i="3"/>
  <c r="F4001" i="3"/>
  <c r="E4001" i="3"/>
  <c r="F4000" i="3"/>
  <c r="E4000" i="3"/>
  <c r="F3999" i="3"/>
  <c r="E3999" i="3"/>
  <c r="F3998" i="3"/>
  <c r="E3998" i="3"/>
  <c r="F3997" i="3"/>
  <c r="E3997" i="3"/>
  <c r="F3996" i="3"/>
  <c r="E3996" i="3"/>
  <c r="F3995" i="3"/>
  <c r="E3995" i="3"/>
  <c r="F3994" i="3"/>
  <c r="E3994" i="3"/>
  <c r="F3993" i="3"/>
  <c r="E3993" i="3"/>
  <c r="F3992" i="3"/>
  <c r="E3992" i="3"/>
  <c r="F3991" i="3"/>
  <c r="E3991" i="3"/>
  <c r="F3990" i="3"/>
  <c r="E3990" i="3"/>
  <c r="F3989" i="3"/>
  <c r="E3989" i="3"/>
  <c r="F3988" i="3"/>
  <c r="E3988" i="3"/>
  <c r="F3987" i="3"/>
  <c r="E3987" i="3"/>
  <c r="F3986" i="3"/>
  <c r="E3986" i="3"/>
  <c r="F3985" i="3"/>
  <c r="E3985" i="3"/>
  <c r="F3984" i="3"/>
  <c r="E3984" i="3"/>
  <c r="F3983" i="3"/>
  <c r="E3983" i="3"/>
  <c r="F3982" i="3"/>
  <c r="E3982" i="3"/>
  <c r="F3981" i="3"/>
  <c r="E3981" i="3"/>
  <c r="F3980" i="3"/>
  <c r="E3980" i="3"/>
  <c r="F3979" i="3"/>
  <c r="E3979" i="3"/>
  <c r="F3978" i="3"/>
  <c r="E3978" i="3"/>
  <c r="F3977" i="3"/>
  <c r="E3977" i="3"/>
  <c r="F3976" i="3"/>
  <c r="E3976" i="3"/>
  <c r="F3975" i="3"/>
  <c r="E3975" i="3"/>
  <c r="F3974" i="3"/>
  <c r="E3974" i="3"/>
  <c r="F3973" i="3"/>
  <c r="E3973" i="3"/>
  <c r="F3972" i="3"/>
  <c r="E3972" i="3"/>
  <c r="F3971" i="3"/>
  <c r="E3971" i="3"/>
  <c r="F3970" i="3"/>
  <c r="E3970" i="3"/>
  <c r="F3969" i="3"/>
  <c r="E3969" i="3"/>
  <c r="F3968" i="3"/>
  <c r="E3968" i="3"/>
  <c r="F3967" i="3"/>
  <c r="E3967" i="3"/>
  <c r="F3966" i="3"/>
  <c r="E3966" i="3"/>
  <c r="F3965" i="3"/>
  <c r="E3965" i="3"/>
  <c r="F3964" i="3"/>
  <c r="E3964" i="3"/>
  <c r="F3963" i="3"/>
  <c r="E3963" i="3"/>
  <c r="F3962" i="3"/>
  <c r="E3962" i="3"/>
  <c r="F3961" i="3"/>
  <c r="E3961" i="3"/>
  <c r="F3960" i="3"/>
  <c r="E3960" i="3"/>
  <c r="F3959" i="3"/>
  <c r="E3959" i="3"/>
  <c r="F3958" i="3"/>
  <c r="E3958" i="3"/>
  <c r="F3957" i="3"/>
  <c r="E3957" i="3"/>
  <c r="F3956" i="3"/>
  <c r="E3956" i="3"/>
  <c r="F3955" i="3"/>
  <c r="E3955" i="3"/>
  <c r="F3954" i="3"/>
  <c r="E3954" i="3"/>
  <c r="F3953" i="3"/>
  <c r="E3953" i="3"/>
  <c r="F3952" i="3"/>
  <c r="E3952" i="3"/>
  <c r="F3951" i="3"/>
  <c r="E3951" i="3"/>
  <c r="F3950" i="3"/>
  <c r="E3950" i="3"/>
  <c r="F3949" i="3"/>
  <c r="E3949" i="3"/>
  <c r="F3948" i="3"/>
  <c r="E3948" i="3"/>
  <c r="F3947" i="3"/>
  <c r="E3947" i="3"/>
  <c r="F3946" i="3"/>
  <c r="E3946" i="3"/>
  <c r="F3945" i="3"/>
  <c r="E3945" i="3"/>
  <c r="F3944" i="3"/>
  <c r="E3944" i="3"/>
  <c r="F3943" i="3"/>
  <c r="E3943" i="3"/>
  <c r="F3942" i="3"/>
  <c r="E3942" i="3"/>
  <c r="F3941" i="3"/>
  <c r="E3941" i="3"/>
  <c r="F3940" i="3"/>
  <c r="E3940" i="3"/>
  <c r="F3939" i="3"/>
  <c r="E3939" i="3"/>
  <c r="F3938" i="3"/>
  <c r="E3938" i="3"/>
  <c r="F3937" i="3"/>
  <c r="E3937" i="3"/>
  <c r="F3936" i="3"/>
  <c r="E3936" i="3"/>
  <c r="F3935" i="3"/>
  <c r="E3935" i="3"/>
  <c r="F3934" i="3"/>
  <c r="E3934" i="3"/>
  <c r="F3933" i="3"/>
  <c r="E3933" i="3"/>
  <c r="F3932" i="3"/>
  <c r="E3932" i="3"/>
  <c r="F3931" i="3"/>
  <c r="E3931" i="3"/>
  <c r="F3930" i="3"/>
  <c r="E3930" i="3"/>
  <c r="F3929" i="3"/>
  <c r="E3929" i="3"/>
  <c r="F3928" i="3"/>
  <c r="E3928" i="3"/>
  <c r="F3927" i="3"/>
  <c r="E3927" i="3"/>
  <c r="F3926" i="3"/>
  <c r="E3926" i="3"/>
  <c r="F3925" i="3"/>
  <c r="E3925" i="3"/>
  <c r="F3924" i="3"/>
  <c r="E3924" i="3"/>
  <c r="F3923" i="3"/>
  <c r="E3923" i="3"/>
  <c r="F3922" i="3"/>
  <c r="E3922" i="3"/>
  <c r="F3921" i="3"/>
  <c r="E3921" i="3"/>
  <c r="F3920" i="3"/>
  <c r="E3920" i="3"/>
  <c r="F3919" i="3"/>
  <c r="E3919" i="3"/>
  <c r="F3918" i="3"/>
  <c r="E3918" i="3"/>
  <c r="F3917" i="3"/>
  <c r="E3917" i="3"/>
  <c r="F3916" i="3"/>
  <c r="E3916" i="3"/>
  <c r="F3915" i="3"/>
  <c r="E3915" i="3"/>
  <c r="F3914" i="3"/>
  <c r="E3914" i="3"/>
  <c r="F3913" i="3"/>
  <c r="E3913" i="3"/>
  <c r="F3912" i="3"/>
  <c r="E3912" i="3"/>
  <c r="F3911" i="3"/>
  <c r="E3911" i="3"/>
  <c r="F3910" i="3"/>
  <c r="E3910" i="3"/>
  <c r="F3909" i="3"/>
  <c r="E3909" i="3"/>
  <c r="F3908" i="3"/>
  <c r="E3908" i="3"/>
  <c r="F3907" i="3"/>
  <c r="E3907" i="3"/>
  <c r="F3906" i="3"/>
  <c r="E3906" i="3"/>
  <c r="F3905" i="3"/>
  <c r="E3905" i="3"/>
  <c r="F3904" i="3"/>
  <c r="E3904" i="3"/>
  <c r="F3903" i="3"/>
  <c r="E3903" i="3"/>
  <c r="F3902" i="3"/>
  <c r="E3902" i="3"/>
  <c r="F3901" i="3"/>
  <c r="E3901" i="3"/>
  <c r="F3900" i="3"/>
  <c r="E3900" i="3"/>
  <c r="F3899" i="3"/>
  <c r="E3899" i="3"/>
  <c r="F3898" i="3"/>
  <c r="E3898" i="3"/>
  <c r="F3897" i="3"/>
  <c r="E3897" i="3"/>
  <c r="F3896" i="3"/>
  <c r="E3896" i="3"/>
  <c r="F3895" i="3"/>
  <c r="E3895" i="3"/>
  <c r="F3894" i="3"/>
  <c r="E3894" i="3"/>
  <c r="F3893" i="3"/>
  <c r="E3893" i="3"/>
  <c r="F3892" i="3"/>
  <c r="E3892" i="3"/>
  <c r="F3891" i="3"/>
  <c r="E3891" i="3"/>
  <c r="F3890" i="3"/>
  <c r="E3890" i="3"/>
  <c r="F3889" i="3"/>
  <c r="E3889" i="3"/>
  <c r="F3888" i="3"/>
  <c r="E3888" i="3"/>
  <c r="F3887" i="3"/>
  <c r="E3887" i="3"/>
  <c r="F3886" i="3"/>
  <c r="E3886" i="3"/>
  <c r="F3885" i="3"/>
  <c r="E3885" i="3"/>
  <c r="F3884" i="3"/>
  <c r="E3884" i="3"/>
  <c r="F3883" i="3"/>
  <c r="E3883" i="3"/>
  <c r="F3882" i="3"/>
  <c r="E3882" i="3"/>
  <c r="F3881" i="3"/>
  <c r="E3881" i="3"/>
  <c r="F3880" i="3"/>
  <c r="E3880" i="3"/>
  <c r="F3879" i="3"/>
  <c r="E3879" i="3"/>
  <c r="F3878" i="3"/>
  <c r="E3878" i="3"/>
  <c r="F3877" i="3"/>
  <c r="E3877" i="3"/>
  <c r="F3876" i="3"/>
  <c r="E3876" i="3"/>
  <c r="F3875" i="3"/>
  <c r="E3875" i="3"/>
  <c r="F3874" i="3"/>
  <c r="E3874" i="3"/>
  <c r="F3873" i="3"/>
  <c r="E3873" i="3"/>
  <c r="F3872" i="3"/>
  <c r="E3872" i="3"/>
  <c r="F3871" i="3"/>
  <c r="E3871" i="3"/>
  <c r="F3870" i="3"/>
  <c r="E3870" i="3"/>
  <c r="F3869" i="3"/>
  <c r="E3869" i="3"/>
  <c r="F3868" i="3"/>
  <c r="E3868" i="3"/>
  <c r="F3867" i="3"/>
  <c r="E3867" i="3"/>
  <c r="F3866" i="3"/>
  <c r="E3866" i="3"/>
  <c r="F3865" i="3"/>
  <c r="E3865" i="3"/>
  <c r="F3864" i="3"/>
  <c r="E3864" i="3"/>
  <c r="F3863" i="3"/>
  <c r="E3863" i="3"/>
  <c r="F3862" i="3"/>
  <c r="E3862" i="3"/>
  <c r="F3861" i="3"/>
  <c r="E3861" i="3"/>
  <c r="F3860" i="3"/>
  <c r="E3860" i="3"/>
  <c r="F3859" i="3"/>
  <c r="E3859" i="3"/>
  <c r="F3858" i="3"/>
  <c r="E3858" i="3"/>
  <c r="F3857" i="3"/>
  <c r="E3857" i="3"/>
  <c r="F3856" i="3"/>
  <c r="E3856" i="3"/>
  <c r="F3855" i="3"/>
  <c r="E3855" i="3"/>
  <c r="F3854" i="3"/>
  <c r="E3854" i="3"/>
  <c r="F3853" i="3"/>
  <c r="E3853" i="3"/>
  <c r="F3852" i="3"/>
  <c r="E3852" i="3"/>
  <c r="F3851" i="3"/>
  <c r="E3851" i="3"/>
  <c r="F3850" i="3"/>
  <c r="E3850" i="3"/>
  <c r="F3849" i="3"/>
  <c r="E3849" i="3"/>
  <c r="F3848" i="3"/>
  <c r="E3848" i="3"/>
  <c r="F3847" i="3"/>
  <c r="E3847" i="3"/>
  <c r="F3846" i="3"/>
  <c r="E3846" i="3"/>
  <c r="F3845" i="3"/>
  <c r="E3845" i="3"/>
  <c r="F3844" i="3"/>
  <c r="E3844" i="3"/>
  <c r="F3843" i="3"/>
  <c r="E3843" i="3"/>
  <c r="F3842" i="3"/>
  <c r="E3842" i="3"/>
  <c r="F3841" i="3"/>
  <c r="E3841" i="3"/>
  <c r="F3840" i="3"/>
  <c r="E3840" i="3"/>
  <c r="F3839" i="3"/>
  <c r="E3839" i="3"/>
  <c r="F3838" i="3"/>
  <c r="E3838" i="3"/>
  <c r="F3837" i="3"/>
  <c r="E3837" i="3"/>
  <c r="F3836" i="3"/>
  <c r="E3836" i="3"/>
  <c r="F3835" i="3"/>
  <c r="E3835" i="3"/>
  <c r="F3834" i="3"/>
  <c r="E3834" i="3"/>
  <c r="F3833" i="3"/>
  <c r="E3833" i="3"/>
  <c r="F3832" i="3"/>
  <c r="E3832" i="3"/>
  <c r="F3831" i="3"/>
  <c r="E3831" i="3"/>
  <c r="F3830" i="3"/>
  <c r="E3830" i="3"/>
  <c r="F3829" i="3"/>
  <c r="E3829" i="3"/>
  <c r="F3828" i="3"/>
  <c r="E3828" i="3"/>
  <c r="F3827" i="3"/>
  <c r="E3827" i="3"/>
  <c r="F3826" i="3"/>
  <c r="E3826" i="3"/>
  <c r="F3825" i="3"/>
  <c r="E3825" i="3"/>
  <c r="F3824" i="3"/>
  <c r="E3824" i="3"/>
  <c r="F3823" i="3"/>
  <c r="E3823" i="3"/>
  <c r="F3822" i="3"/>
  <c r="E3822" i="3"/>
  <c r="F3821" i="3"/>
  <c r="E3821" i="3"/>
  <c r="F3820" i="3"/>
  <c r="E3820" i="3"/>
  <c r="F3819" i="3"/>
  <c r="E3819" i="3"/>
  <c r="F3818" i="3"/>
  <c r="E3818" i="3"/>
  <c r="F3817" i="3"/>
  <c r="E3817" i="3"/>
  <c r="F3816" i="3"/>
  <c r="E3816" i="3"/>
  <c r="F3815" i="3"/>
  <c r="E3815" i="3"/>
  <c r="F3814" i="3"/>
  <c r="E3814" i="3"/>
  <c r="F3813" i="3"/>
  <c r="E3813" i="3"/>
  <c r="F3812" i="3"/>
  <c r="E3812" i="3"/>
  <c r="F3811" i="3"/>
  <c r="E3811" i="3"/>
  <c r="F3810" i="3"/>
  <c r="E3810" i="3"/>
  <c r="F3809" i="3"/>
  <c r="E3809" i="3"/>
  <c r="F3808" i="3"/>
  <c r="E3808" i="3"/>
  <c r="F3807" i="3"/>
  <c r="E3807" i="3"/>
  <c r="F3806" i="3"/>
  <c r="E3806" i="3"/>
  <c r="F3805" i="3"/>
  <c r="E3805" i="3"/>
  <c r="F3804" i="3"/>
  <c r="E3804" i="3"/>
  <c r="F3803" i="3"/>
  <c r="E3803" i="3"/>
  <c r="F3802" i="3"/>
  <c r="E3802" i="3"/>
  <c r="F3801" i="3"/>
  <c r="E3801" i="3"/>
  <c r="F3800" i="3"/>
  <c r="E3800" i="3"/>
  <c r="F3799" i="3"/>
  <c r="E3799" i="3"/>
  <c r="F3798" i="3"/>
  <c r="E3798" i="3"/>
  <c r="F3797" i="3"/>
  <c r="E3797" i="3"/>
  <c r="F3796" i="3"/>
  <c r="E3796" i="3"/>
  <c r="F3795" i="3"/>
  <c r="E3795" i="3"/>
  <c r="F3794" i="3"/>
  <c r="E3794" i="3"/>
  <c r="F3793" i="3"/>
  <c r="E3793" i="3"/>
  <c r="F3792" i="3"/>
  <c r="E3792" i="3"/>
  <c r="F3791" i="3"/>
  <c r="E3791" i="3"/>
  <c r="F3790" i="3"/>
  <c r="E3790" i="3"/>
  <c r="F3789" i="3"/>
  <c r="E3789" i="3"/>
  <c r="F3788" i="3"/>
  <c r="E3788" i="3"/>
  <c r="F3787" i="3"/>
  <c r="E3787" i="3"/>
  <c r="F3786" i="3"/>
  <c r="E3786" i="3"/>
  <c r="F3785" i="3"/>
  <c r="E3785" i="3"/>
  <c r="F3784" i="3"/>
  <c r="E3784" i="3"/>
  <c r="F3783" i="3"/>
  <c r="E3783" i="3"/>
  <c r="F3782" i="3"/>
  <c r="E3782" i="3"/>
  <c r="F3781" i="3"/>
  <c r="E3781" i="3"/>
  <c r="F3780" i="3"/>
  <c r="E3780" i="3"/>
  <c r="F3779" i="3"/>
  <c r="E3779" i="3"/>
  <c r="F3778" i="3"/>
  <c r="E3778" i="3"/>
  <c r="F3777" i="3"/>
  <c r="E3777" i="3"/>
  <c r="F3776" i="3"/>
  <c r="E3776" i="3"/>
  <c r="F3775" i="3"/>
  <c r="E3775" i="3"/>
  <c r="F3774" i="3"/>
  <c r="E3774" i="3"/>
  <c r="F3773" i="3"/>
  <c r="E3773" i="3"/>
  <c r="F3772" i="3"/>
  <c r="E3772" i="3"/>
  <c r="F3771" i="3"/>
  <c r="E3771" i="3"/>
  <c r="F3770" i="3"/>
  <c r="E3770" i="3"/>
  <c r="F3769" i="3"/>
  <c r="E3769" i="3"/>
  <c r="F3768" i="3"/>
  <c r="E3768" i="3"/>
  <c r="F3767" i="3"/>
  <c r="E3767" i="3"/>
  <c r="F3766" i="3"/>
  <c r="E3766" i="3"/>
  <c r="F3765" i="3"/>
  <c r="E3765" i="3"/>
  <c r="F3764" i="3"/>
  <c r="E3764" i="3"/>
  <c r="F3763" i="3"/>
  <c r="E3763" i="3"/>
  <c r="F3762" i="3"/>
  <c r="E3762" i="3"/>
  <c r="F3761" i="3"/>
  <c r="E3761" i="3"/>
  <c r="F3760" i="3"/>
  <c r="E3760" i="3"/>
  <c r="F3759" i="3"/>
  <c r="E3759" i="3"/>
  <c r="F3758" i="3"/>
  <c r="E3758" i="3"/>
  <c r="F3757" i="3"/>
  <c r="E3757" i="3"/>
  <c r="F3756" i="3"/>
  <c r="E3756" i="3"/>
  <c r="F3755" i="3"/>
  <c r="E3755" i="3"/>
  <c r="F3754" i="3"/>
  <c r="E3754" i="3"/>
  <c r="F3753" i="3"/>
  <c r="E3753" i="3"/>
  <c r="F3752" i="3"/>
  <c r="E3752" i="3"/>
  <c r="F3751" i="3"/>
  <c r="E3751" i="3"/>
  <c r="F3750" i="3"/>
  <c r="E3750" i="3"/>
  <c r="F3749" i="3"/>
  <c r="E3749" i="3"/>
  <c r="F3748" i="3"/>
  <c r="E3748" i="3"/>
  <c r="F3747" i="3"/>
  <c r="E3747" i="3"/>
  <c r="F3746" i="3"/>
  <c r="E3746" i="3"/>
  <c r="F3745" i="3"/>
  <c r="E3745" i="3"/>
  <c r="F3744" i="3"/>
  <c r="E3744" i="3"/>
  <c r="F3743" i="3"/>
  <c r="E3743" i="3"/>
  <c r="F3742" i="3"/>
  <c r="E3742" i="3"/>
  <c r="F3741" i="3"/>
  <c r="E3741" i="3"/>
  <c r="F3740" i="3"/>
  <c r="E3740" i="3"/>
  <c r="F3739" i="3"/>
  <c r="E3739" i="3"/>
  <c r="F3738" i="3"/>
  <c r="E3738" i="3"/>
  <c r="F3737" i="3"/>
  <c r="E3737" i="3"/>
  <c r="F3736" i="3"/>
  <c r="E3736" i="3"/>
  <c r="F3735" i="3"/>
  <c r="E3735" i="3"/>
  <c r="F3734" i="3"/>
  <c r="E3734" i="3"/>
  <c r="F3733" i="3"/>
  <c r="E3733" i="3"/>
  <c r="F3732" i="3"/>
  <c r="E3732" i="3"/>
  <c r="F3731" i="3"/>
  <c r="E3731" i="3"/>
  <c r="F3730" i="3"/>
  <c r="E3730" i="3"/>
  <c r="F3729" i="3"/>
  <c r="E3729" i="3"/>
  <c r="F3728" i="3"/>
  <c r="E3728" i="3"/>
  <c r="F3727" i="3"/>
  <c r="E3727" i="3"/>
  <c r="F3726" i="3"/>
  <c r="E3726" i="3"/>
  <c r="F3725" i="3"/>
  <c r="E3725" i="3"/>
  <c r="F3724" i="3"/>
  <c r="E3724" i="3"/>
  <c r="F3723" i="3"/>
  <c r="E3723" i="3"/>
  <c r="F3722" i="3"/>
  <c r="E3722" i="3"/>
  <c r="F3721" i="3"/>
  <c r="E3721" i="3"/>
  <c r="F3720" i="3"/>
  <c r="E3720" i="3"/>
  <c r="F3719" i="3"/>
  <c r="E3719" i="3"/>
  <c r="F3718" i="3"/>
  <c r="E3718" i="3"/>
  <c r="F3717" i="3"/>
  <c r="E3717" i="3"/>
  <c r="F3716" i="3"/>
  <c r="E3716" i="3"/>
  <c r="F3715" i="3"/>
  <c r="E3715" i="3"/>
  <c r="F3714" i="3"/>
  <c r="E3714" i="3"/>
  <c r="F3713" i="3"/>
  <c r="E3713" i="3"/>
  <c r="F3712" i="3"/>
  <c r="E3712" i="3"/>
  <c r="F3711" i="3"/>
  <c r="E3711" i="3"/>
  <c r="F3710" i="3"/>
  <c r="E3710" i="3"/>
  <c r="F3709" i="3"/>
  <c r="E3709" i="3"/>
  <c r="F3708" i="3"/>
  <c r="E3708" i="3"/>
  <c r="F3707" i="3"/>
  <c r="E3707" i="3"/>
  <c r="F3706" i="3"/>
  <c r="E3706" i="3"/>
  <c r="F3705" i="3"/>
  <c r="E3705" i="3"/>
  <c r="F3704" i="3"/>
  <c r="E3704" i="3"/>
  <c r="F3703" i="3"/>
  <c r="E3703" i="3"/>
  <c r="F3702" i="3"/>
  <c r="E3702" i="3"/>
  <c r="F3701" i="3"/>
  <c r="E3701" i="3"/>
  <c r="F3700" i="3"/>
  <c r="E3700" i="3"/>
  <c r="F3699" i="3"/>
  <c r="E3699" i="3"/>
  <c r="F3698" i="3"/>
  <c r="E3698" i="3"/>
  <c r="F3697" i="3"/>
  <c r="E3697" i="3"/>
  <c r="F3696" i="3"/>
  <c r="E3696" i="3"/>
  <c r="F3695" i="3"/>
  <c r="E3695" i="3"/>
  <c r="F3694" i="3"/>
  <c r="E3694" i="3"/>
  <c r="F3693" i="3"/>
  <c r="E3693" i="3"/>
  <c r="F3692" i="3"/>
  <c r="E3692" i="3"/>
  <c r="F3691" i="3"/>
  <c r="E3691" i="3"/>
  <c r="F3690" i="3"/>
  <c r="E3690" i="3"/>
  <c r="F3689" i="3"/>
  <c r="E3689" i="3"/>
  <c r="F3688" i="3"/>
  <c r="E3688" i="3"/>
  <c r="F3687" i="3"/>
  <c r="E3687" i="3"/>
  <c r="F3686" i="3"/>
  <c r="E3686" i="3"/>
  <c r="F3685" i="3"/>
  <c r="E3685" i="3"/>
  <c r="F3684" i="3"/>
  <c r="E3684" i="3"/>
  <c r="F3683" i="3"/>
  <c r="E3683" i="3"/>
  <c r="F3682" i="3"/>
  <c r="E3682" i="3"/>
  <c r="F3681" i="3"/>
  <c r="E3681" i="3"/>
  <c r="F3680" i="3"/>
  <c r="E3680" i="3"/>
  <c r="F3679" i="3"/>
  <c r="E3679" i="3"/>
  <c r="F3678" i="3"/>
  <c r="E3678" i="3"/>
  <c r="F3677" i="3"/>
  <c r="E3677" i="3"/>
  <c r="F3676" i="3"/>
  <c r="E3676" i="3"/>
  <c r="F3675" i="3"/>
  <c r="E3675" i="3"/>
  <c r="F3674" i="3"/>
  <c r="E3674" i="3"/>
  <c r="F3673" i="3"/>
  <c r="E3673" i="3"/>
  <c r="F3672" i="3"/>
  <c r="E3672" i="3"/>
  <c r="F3671" i="3"/>
  <c r="E3671" i="3"/>
  <c r="F3670" i="3"/>
  <c r="E3670" i="3"/>
  <c r="F3669" i="3"/>
  <c r="E3669" i="3"/>
  <c r="F3668" i="3"/>
  <c r="E3668" i="3"/>
  <c r="F3667" i="3"/>
  <c r="E3667" i="3"/>
  <c r="F3666" i="3"/>
  <c r="E3666" i="3"/>
  <c r="F3665" i="3"/>
  <c r="E3665" i="3"/>
  <c r="F3664" i="3"/>
  <c r="E3664" i="3"/>
  <c r="F3663" i="3"/>
  <c r="E3663" i="3"/>
  <c r="F3662" i="3"/>
  <c r="E3662" i="3"/>
  <c r="F3661" i="3"/>
  <c r="E3661" i="3"/>
  <c r="F3660" i="3"/>
  <c r="E3660" i="3"/>
  <c r="F3659" i="3"/>
  <c r="E3659" i="3"/>
  <c r="F3658" i="3"/>
  <c r="E3658" i="3"/>
  <c r="F3657" i="3"/>
  <c r="E3657" i="3"/>
  <c r="F3656" i="3"/>
  <c r="E3656" i="3"/>
  <c r="F3655" i="3"/>
  <c r="E3655" i="3"/>
  <c r="F3654" i="3"/>
  <c r="E3654" i="3"/>
  <c r="F3653" i="3"/>
  <c r="E3653" i="3"/>
  <c r="F3652" i="3"/>
  <c r="E3652" i="3"/>
  <c r="F3651" i="3"/>
  <c r="E3651" i="3"/>
  <c r="F3650" i="3"/>
  <c r="E3650" i="3"/>
  <c r="F3649" i="3"/>
  <c r="E3649" i="3"/>
  <c r="F3648" i="3"/>
  <c r="E3648" i="3"/>
  <c r="F3647" i="3"/>
  <c r="E3647" i="3"/>
  <c r="F3646" i="3"/>
  <c r="E3646" i="3"/>
  <c r="F3645" i="3"/>
  <c r="E3645" i="3"/>
  <c r="F3644" i="3"/>
  <c r="E3644" i="3"/>
  <c r="F3643" i="3"/>
  <c r="E3643" i="3"/>
  <c r="F3642" i="3"/>
  <c r="E3642" i="3"/>
  <c r="F3641" i="3"/>
  <c r="E3641" i="3"/>
  <c r="F3640" i="3"/>
  <c r="E3640" i="3"/>
  <c r="F3639" i="3"/>
  <c r="E3639" i="3"/>
  <c r="F3638" i="3"/>
  <c r="E3638" i="3"/>
  <c r="F3637" i="3"/>
  <c r="E3637" i="3"/>
  <c r="F3636" i="3"/>
  <c r="E3636" i="3"/>
  <c r="F3635" i="3"/>
  <c r="E3635" i="3"/>
  <c r="F3634" i="3"/>
  <c r="E3634" i="3"/>
  <c r="F3633" i="3"/>
  <c r="E3633" i="3"/>
  <c r="F3632" i="3"/>
  <c r="E3632" i="3"/>
  <c r="F3631" i="3"/>
  <c r="E3631" i="3"/>
  <c r="F3630" i="3"/>
  <c r="E3630" i="3"/>
  <c r="F3629" i="3"/>
  <c r="E3629" i="3"/>
  <c r="F3628" i="3"/>
  <c r="E3628" i="3"/>
  <c r="F3627" i="3"/>
  <c r="E3627" i="3"/>
  <c r="F3626" i="3"/>
  <c r="E3626" i="3"/>
  <c r="F3625" i="3"/>
  <c r="E3625" i="3"/>
  <c r="F3624" i="3"/>
  <c r="E3624" i="3"/>
  <c r="F3623" i="3"/>
  <c r="E3623" i="3"/>
  <c r="F3622" i="3"/>
  <c r="E3622" i="3"/>
  <c r="F3621" i="3"/>
  <c r="E3621" i="3"/>
  <c r="F3620" i="3"/>
  <c r="E3620" i="3"/>
  <c r="F3619" i="3"/>
  <c r="E3619" i="3"/>
  <c r="F3618" i="3"/>
  <c r="E3618" i="3"/>
  <c r="F3617" i="3"/>
  <c r="E3617" i="3"/>
  <c r="F3616" i="3"/>
  <c r="E3616" i="3"/>
  <c r="F3615" i="3"/>
  <c r="E3615" i="3"/>
  <c r="F3614" i="3"/>
  <c r="E3614" i="3"/>
  <c r="F3613" i="3"/>
  <c r="E3613" i="3"/>
  <c r="F3612" i="3"/>
  <c r="E3612" i="3"/>
  <c r="F3611" i="3"/>
  <c r="E3611" i="3"/>
  <c r="F3610" i="3"/>
  <c r="E3610" i="3"/>
  <c r="F3609" i="3"/>
  <c r="E3609" i="3"/>
  <c r="F3608" i="3"/>
  <c r="E3608" i="3"/>
  <c r="F3607" i="3"/>
  <c r="E3607" i="3"/>
  <c r="F3606" i="3"/>
  <c r="E3606" i="3"/>
  <c r="F3605" i="3"/>
  <c r="E3605" i="3"/>
  <c r="F3604" i="3"/>
  <c r="E3604" i="3"/>
  <c r="F3603" i="3"/>
  <c r="E3603" i="3"/>
  <c r="F3602" i="3"/>
  <c r="E3602" i="3"/>
  <c r="F3601" i="3"/>
  <c r="E3601" i="3"/>
  <c r="F3600" i="3"/>
  <c r="E3600" i="3"/>
  <c r="F3599" i="3"/>
  <c r="E3599" i="3"/>
  <c r="F3598" i="3"/>
  <c r="E3598" i="3"/>
  <c r="F3597" i="3"/>
  <c r="E3597" i="3"/>
  <c r="F3596" i="3"/>
  <c r="E3596" i="3"/>
  <c r="F3595" i="3"/>
  <c r="E3595" i="3"/>
  <c r="F3594" i="3"/>
  <c r="E3594" i="3"/>
  <c r="F3593" i="3"/>
  <c r="E3593" i="3"/>
  <c r="F3592" i="3"/>
  <c r="E3592" i="3"/>
  <c r="F3591" i="3"/>
  <c r="E3591" i="3"/>
  <c r="F3590" i="3"/>
  <c r="E3590" i="3"/>
  <c r="F3589" i="3"/>
  <c r="E3589" i="3"/>
  <c r="F3588" i="3"/>
  <c r="E3588" i="3"/>
  <c r="F3587" i="3"/>
  <c r="E3587" i="3"/>
  <c r="F3586" i="3"/>
  <c r="E3586" i="3"/>
  <c r="F3585" i="3"/>
  <c r="E3585" i="3"/>
  <c r="F3584" i="3"/>
  <c r="E3584" i="3"/>
  <c r="F3583" i="3"/>
  <c r="E3583" i="3"/>
  <c r="F3582" i="3"/>
  <c r="E3582" i="3"/>
  <c r="F3581" i="3"/>
  <c r="E3581" i="3"/>
  <c r="F3580" i="3"/>
  <c r="E3580" i="3"/>
  <c r="F3579" i="3"/>
  <c r="E3579" i="3"/>
  <c r="F3578" i="3"/>
  <c r="E3578" i="3"/>
  <c r="F3577" i="3"/>
  <c r="E3577" i="3"/>
  <c r="F3576" i="3"/>
  <c r="E3576" i="3"/>
  <c r="F3575" i="3"/>
  <c r="E3575" i="3"/>
  <c r="F3574" i="3"/>
  <c r="E3574" i="3"/>
  <c r="F3573" i="3"/>
  <c r="E3573" i="3"/>
  <c r="F3572" i="3"/>
  <c r="E3572" i="3"/>
  <c r="F3571" i="3"/>
  <c r="E3571" i="3"/>
  <c r="F3570" i="3"/>
  <c r="E3570" i="3"/>
  <c r="F3569" i="3"/>
  <c r="E3569" i="3"/>
  <c r="F3568" i="3"/>
  <c r="E3568" i="3"/>
  <c r="F3567" i="3"/>
  <c r="E3567" i="3"/>
  <c r="F3566" i="3"/>
  <c r="E3566" i="3"/>
  <c r="F3565" i="3"/>
  <c r="E3565" i="3"/>
  <c r="F3564" i="3"/>
  <c r="E3564" i="3"/>
  <c r="F3563" i="3"/>
  <c r="E3563" i="3"/>
  <c r="F3562" i="3"/>
  <c r="E3562" i="3"/>
  <c r="F3561" i="3"/>
  <c r="E3561" i="3"/>
  <c r="F3560" i="3"/>
  <c r="E3560" i="3"/>
  <c r="F3559" i="3"/>
  <c r="E3559" i="3"/>
  <c r="F3558" i="3"/>
  <c r="E3558" i="3"/>
  <c r="F3557" i="3"/>
  <c r="E3557" i="3"/>
  <c r="F3556" i="3"/>
  <c r="E3556" i="3"/>
  <c r="F3555" i="3"/>
  <c r="E3555" i="3"/>
  <c r="F3554" i="3"/>
  <c r="E3554" i="3"/>
  <c r="F3553" i="3"/>
  <c r="E3553" i="3"/>
  <c r="F3552" i="3"/>
  <c r="E3552" i="3"/>
  <c r="F3551" i="3"/>
  <c r="E3551" i="3"/>
  <c r="F3550" i="3"/>
  <c r="E3550" i="3"/>
  <c r="F3549" i="3"/>
  <c r="E3549" i="3"/>
  <c r="F3548" i="3"/>
  <c r="E3548" i="3"/>
  <c r="F3547" i="3"/>
  <c r="E3547" i="3"/>
  <c r="F3546" i="3"/>
  <c r="E3546" i="3"/>
  <c r="F3545" i="3"/>
  <c r="E3545" i="3"/>
  <c r="F3544" i="3"/>
  <c r="E3544" i="3"/>
  <c r="F3543" i="3"/>
  <c r="E3543" i="3"/>
  <c r="F3542" i="3"/>
  <c r="E3542" i="3"/>
  <c r="F3541" i="3"/>
  <c r="E3541" i="3"/>
  <c r="F3540" i="3"/>
  <c r="E3540" i="3"/>
  <c r="F3539" i="3"/>
  <c r="E3539" i="3"/>
  <c r="F3538" i="3"/>
  <c r="E3538" i="3"/>
  <c r="F3537" i="3"/>
  <c r="E3537" i="3"/>
  <c r="F3536" i="3"/>
  <c r="E3536" i="3"/>
  <c r="F3535" i="3"/>
  <c r="E3535" i="3"/>
  <c r="F3534" i="3"/>
  <c r="E3534" i="3"/>
  <c r="F3533" i="3"/>
  <c r="E3533" i="3"/>
  <c r="F3532" i="3"/>
  <c r="E3532" i="3"/>
  <c r="F3531" i="3"/>
  <c r="E3531" i="3"/>
  <c r="F3530" i="3"/>
  <c r="E3530" i="3"/>
  <c r="F3529" i="3"/>
  <c r="E3529" i="3"/>
  <c r="F3528" i="3"/>
  <c r="E3528" i="3"/>
  <c r="F3527" i="3"/>
  <c r="E3527" i="3"/>
  <c r="F3526" i="3"/>
  <c r="E3526" i="3"/>
  <c r="F3525" i="3"/>
  <c r="E3525" i="3"/>
  <c r="F3524" i="3"/>
  <c r="E3524" i="3"/>
  <c r="F3523" i="3"/>
  <c r="E3523" i="3"/>
  <c r="F3522" i="3"/>
  <c r="E3522" i="3"/>
  <c r="F3521" i="3"/>
  <c r="E3521" i="3"/>
  <c r="F3520" i="3"/>
  <c r="E3520" i="3"/>
  <c r="F3519" i="3"/>
  <c r="E3519" i="3"/>
  <c r="F3518" i="3"/>
  <c r="E3518" i="3"/>
  <c r="F3517" i="3"/>
  <c r="E3517" i="3"/>
  <c r="F3516" i="3"/>
  <c r="E3516" i="3"/>
  <c r="F3515" i="3"/>
  <c r="E3515" i="3"/>
  <c r="F3514" i="3"/>
  <c r="E3514" i="3"/>
  <c r="F3513" i="3"/>
  <c r="E3513" i="3"/>
  <c r="F3512" i="3"/>
  <c r="E3512" i="3"/>
  <c r="F3511" i="3"/>
  <c r="E3511" i="3"/>
  <c r="F3510" i="3"/>
  <c r="E3510" i="3"/>
  <c r="F3509" i="3"/>
  <c r="E3509" i="3"/>
  <c r="F3508" i="3"/>
  <c r="E3508" i="3"/>
  <c r="F3507" i="3"/>
  <c r="E3507" i="3"/>
  <c r="F3506" i="3"/>
  <c r="E3506" i="3"/>
  <c r="F3505" i="3"/>
  <c r="E3505" i="3"/>
  <c r="F3504" i="3"/>
  <c r="E3504" i="3"/>
  <c r="F3503" i="3"/>
  <c r="E3503" i="3"/>
  <c r="F3502" i="3"/>
  <c r="E3502" i="3"/>
  <c r="F3501" i="3"/>
  <c r="E3501" i="3"/>
  <c r="F3500" i="3"/>
  <c r="E3500" i="3"/>
  <c r="F3499" i="3"/>
  <c r="E3499" i="3"/>
  <c r="F3498" i="3"/>
  <c r="E3498" i="3"/>
  <c r="F3497" i="3"/>
  <c r="E3497" i="3"/>
  <c r="F3496" i="3"/>
  <c r="E3496" i="3"/>
  <c r="F3495" i="3"/>
  <c r="E3495" i="3"/>
  <c r="F3494" i="3"/>
  <c r="E3494" i="3"/>
  <c r="F3493" i="3"/>
  <c r="E3493" i="3"/>
  <c r="F3492" i="3"/>
  <c r="E3492" i="3"/>
  <c r="F3491" i="3"/>
  <c r="E3491" i="3"/>
  <c r="F3490" i="3"/>
  <c r="E3490" i="3"/>
  <c r="F3489" i="3"/>
  <c r="E3489" i="3"/>
  <c r="F3488" i="3"/>
  <c r="E3488" i="3"/>
  <c r="F3487" i="3"/>
  <c r="E3487" i="3"/>
  <c r="F3486" i="3"/>
  <c r="E3486" i="3"/>
  <c r="F3485" i="3"/>
  <c r="E3485" i="3"/>
  <c r="F3484" i="3"/>
  <c r="E3484" i="3"/>
  <c r="F3483" i="3"/>
  <c r="E3483" i="3"/>
  <c r="F3482" i="3"/>
  <c r="E3482" i="3"/>
  <c r="F3481" i="3"/>
  <c r="E3481" i="3"/>
  <c r="F3480" i="3"/>
  <c r="E3480" i="3"/>
  <c r="F3479" i="3"/>
  <c r="E3479" i="3"/>
  <c r="F3478" i="3"/>
  <c r="E3478" i="3"/>
  <c r="F3477" i="3"/>
  <c r="E3477" i="3"/>
  <c r="F3476" i="3"/>
  <c r="E3476" i="3"/>
  <c r="F3475" i="3"/>
  <c r="E3475" i="3"/>
  <c r="F3474" i="3"/>
  <c r="E3474" i="3"/>
  <c r="F3473" i="3"/>
  <c r="E3473" i="3"/>
  <c r="F3472" i="3"/>
  <c r="E3472" i="3"/>
  <c r="F3471" i="3"/>
  <c r="E3471" i="3"/>
  <c r="F3470" i="3"/>
  <c r="E3470" i="3"/>
  <c r="F3469" i="3"/>
  <c r="E3469" i="3"/>
  <c r="F3468" i="3"/>
  <c r="E3468" i="3"/>
  <c r="F3467" i="3"/>
  <c r="E3467" i="3"/>
  <c r="F3466" i="3"/>
  <c r="E3466" i="3"/>
  <c r="F3465" i="3"/>
  <c r="E3465" i="3"/>
  <c r="F3464" i="3"/>
  <c r="E3464" i="3"/>
  <c r="F3463" i="3"/>
  <c r="E3463" i="3"/>
  <c r="F3462" i="3"/>
  <c r="E3462" i="3"/>
  <c r="F3461" i="3"/>
  <c r="E3461" i="3"/>
  <c r="F3460" i="3"/>
  <c r="E3460" i="3"/>
  <c r="F3459" i="3"/>
  <c r="E3459" i="3"/>
  <c r="F3458" i="3"/>
  <c r="E3458" i="3"/>
  <c r="F3457" i="3"/>
  <c r="E3457" i="3"/>
  <c r="F3456" i="3"/>
  <c r="E3456" i="3"/>
  <c r="F3455" i="3"/>
  <c r="E3455" i="3"/>
  <c r="F3454" i="3"/>
  <c r="E3454" i="3"/>
  <c r="F3453" i="3"/>
  <c r="E3453" i="3"/>
  <c r="F3452" i="3"/>
  <c r="E3452" i="3"/>
  <c r="F3451" i="3"/>
  <c r="E3451" i="3"/>
  <c r="F3450" i="3"/>
  <c r="E3450" i="3"/>
  <c r="F3449" i="3"/>
  <c r="E3449" i="3"/>
  <c r="F3448" i="3"/>
  <c r="E3448" i="3"/>
  <c r="F3447" i="3"/>
  <c r="E3447" i="3"/>
  <c r="F3446" i="3"/>
  <c r="E3446" i="3"/>
  <c r="F3445" i="3"/>
  <c r="E3445" i="3"/>
  <c r="F3444" i="3"/>
  <c r="E3444" i="3"/>
  <c r="F3443" i="3"/>
  <c r="E3443" i="3"/>
  <c r="F3442" i="3"/>
  <c r="E3442" i="3"/>
  <c r="F3441" i="3"/>
  <c r="E3441" i="3"/>
  <c r="F3440" i="3"/>
  <c r="E3440" i="3"/>
  <c r="F3439" i="3"/>
  <c r="E3439" i="3"/>
  <c r="F3438" i="3"/>
  <c r="E3438" i="3"/>
  <c r="F3437" i="3"/>
  <c r="E3437" i="3"/>
  <c r="F3436" i="3"/>
  <c r="E3436" i="3"/>
  <c r="F3435" i="3"/>
  <c r="E3435" i="3"/>
  <c r="F3434" i="3"/>
  <c r="E3434" i="3"/>
  <c r="F3433" i="3"/>
  <c r="E3433" i="3"/>
  <c r="F3432" i="3"/>
  <c r="E3432" i="3"/>
  <c r="F3431" i="3"/>
  <c r="E3431" i="3"/>
  <c r="F3430" i="3"/>
  <c r="E3430" i="3"/>
  <c r="F3429" i="3"/>
  <c r="E3429" i="3"/>
  <c r="F3428" i="3"/>
  <c r="E3428" i="3"/>
  <c r="F3427" i="3"/>
  <c r="E3427" i="3"/>
  <c r="F3426" i="3"/>
  <c r="E3426" i="3"/>
  <c r="F3425" i="3"/>
  <c r="E3425" i="3"/>
  <c r="F3424" i="3"/>
  <c r="E3424" i="3"/>
  <c r="F3423" i="3"/>
  <c r="E3423" i="3"/>
  <c r="F3422" i="3"/>
  <c r="E3422" i="3"/>
  <c r="F3421" i="3"/>
  <c r="E3421" i="3"/>
  <c r="F3420" i="3"/>
  <c r="E3420" i="3"/>
  <c r="F3419" i="3"/>
  <c r="E3419" i="3"/>
  <c r="F3418" i="3"/>
  <c r="E3418" i="3"/>
  <c r="F3417" i="3"/>
  <c r="E3417" i="3"/>
  <c r="F3416" i="3"/>
  <c r="E3416" i="3"/>
  <c r="F3415" i="3"/>
  <c r="E3415" i="3"/>
  <c r="F3414" i="3"/>
  <c r="E3414" i="3"/>
  <c r="F3413" i="3"/>
  <c r="E3413" i="3"/>
  <c r="F3412" i="3"/>
  <c r="E3412" i="3"/>
  <c r="F3411" i="3"/>
  <c r="E3411" i="3"/>
  <c r="F3410" i="3"/>
  <c r="E3410" i="3"/>
  <c r="F3409" i="3"/>
  <c r="E3409" i="3"/>
  <c r="F3408" i="3"/>
  <c r="E3408" i="3"/>
  <c r="F3407" i="3"/>
  <c r="E3407" i="3"/>
  <c r="F3406" i="3"/>
  <c r="E3406" i="3"/>
  <c r="F3405" i="3"/>
  <c r="E3405" i="3"/>
  <c r="F3404" i="3"/>
  <c r="E3404" i="3"/>
  <c r="F3403" i="3"/>
  <c r="E3403" i="3"/>
  <c r="F3402" i="3"/>
  <c r="E3402" i="3"/>
  <c r="F3401" i="3"/>
  <c r="E3401" i="3"/>
  <c r="F3400" i="3"/>
  <c r="E3400" i="3"/>
  <c r="F3399" i="3"/>
  <c r="E3399" i="3"/>
  <c r="F3398" i="3"/>
  <c r="E3398" i="3"/>
  <c r="F3397" i="3"/>
  <c r="E3397" i="3"/>
  <c r="F3396" i="3"/>
  <c r="E3396" i="3"/>
  <c r="F3395" i="3"/>
  <c r="E3395" i="3"/>
  <c r="F3394" i="3"/>
  <c r="E3394" i="3"/>
  <c r="F3393" i="3"/>
  <c r="E3393" i="3"/>
  <c r="F3392" i="3"/>
  <c r="E3392" i="3"/>
  <c r="F3391" i="3"/>
  <c r="E3391" i="3"/>
  <c r="F3390" i="3"/>
  <c r="E3390" i="3"/>
  <c r="F3389" i="3"/>
  <c r="E3389" i="3"/>
  <c r="F3388" i="3"/>
  <c r="E3388" i="3"/>
  <c r="F3387" i="3"/>
  <c r="E3387" i="3"/>
  <c r="F3386" i="3"/>
  <c r="E3386" i="3"/>
  <c r="F3385" i="3"/>
  <c r="E3385" i="3"/>
  <c r="F3384" i="3"/>
  <c r="E3384" i="3"/>
  <c r="F3383" i="3"/>
  <c r="E3383" i="3"/>
  <c r="F3382" i="3"/>
  <c r="E3382" i="3"/>
  <c r="F3381" i="3"/>
  <c r="E3381" i="3"/>
  <c r="F3380" i="3"/>
  <c r="E3380" i="3"/>
  <c r="F3379" i="3"/>
  <c r="E3379" i="3"/>
  <c r="F3378" i="3"/>
  <c r="E3378" i="3"/>
  <c r="F3377" i="3"/>
  <c r="E3377" i="3"/>
  <c r="F3376" i="3"/>
  <c r="E3376" i="3"/>
  <c r="F3375" i="3"/>
  <c r="E3375" i="3"/>
  <c r="F3374" i="3"/>
  <c r="E3374" i="3"/>
  <c r="F3373" i="3"/>
  <c r="E3373" i="3"/>
  <c r="F3372" i="3"/>
  <c r="E3372" i="3"/>
  <c r="F3371" i="3"/>
  <c r="E3371" i="3"/>
  <c r="F3370" i="3"/>
  <c r="E3370" i="3"/>
  <c r="F3369" i="3"/>
  <c r="E3369" i="3"/>
  <c r="F3368" i="3"/>
  <c r="E3368" i="3"/>
  <c r="F3367" i="3"/>
  <c r="E3367" i="3"/>
  <c r="F3366" i="3"/>
  <c r="E3366" i="3"/>
  <c r="F3365" i="3"/>
  <c r="E3365" i="3"/>
  <c r="F3364" i="3"/>
  <c r="E3364" i="3"/>
  <c r="F3363" i="3"/>
  <c r="E3363" i="3"/>
  <c r="F3362" i="3"/>
  <c r="E3362" i="3"/>
  <c r="F3361" i="3"/>
  <c r="E3361" i="3"/>
  <c r="F3360" i="3"/>
  <c r="E3360" i="3"/>
  <c r="F3359" i="3"/>
  <c r="E3359" i="3"/>
  <c r="F3358" i="3"/>
  <c r="E3358" i="3"/>
  <c r="F3357" i="3"/>
  <c r="E3357" i="3"/>
  <c r="F3356" i="3"/>
  <c r="E3356" i="3"/>
  <c r="F3355" i="3"/>
  <c r="E3355" i="3"/>
  <c r="F3354" i="3"/>
  <c r="E3354" i="3"/>
  <c r="F3353" i="3"/>
  <c r="E3353" i="3"/>
  <c r="F3352" i="3"/>
  <c r="E3352" i="3"/>
  <c r="F3351" i="3"/>
  <c r="E3351" i="3"/>
  <c r="F3350" i="3"/>
  <c r="E3350" i="3"/>
  <c r="F3349" i="3"/>
  <c r="E3349" i="3"/>
  <c r="F3348" i="3"/>
  <c r="E3348" i="3"/>
  <c r="F3347" i="3"/>
  <c r="E3347" i="3"/>
  <c r="F3346" i="3"/>
  <c r="E3346" i="3"/>
  <c r="F3345" i="3"/>
  <c r="E3345" i="3"/>
  <c r="F3344" i="3"/>
  <c r="E3344" i="3"/>
  <c r="F3343" i="3"/>
  <c r="E3343" i="3"/>
  <c r="F3342" i="3"/>
  <c r="E3342" i="3"/>
  <c r="F3341" i="3"/>
  <c r="E3341" i="3"/>
  <c r="F3340" i="3"/>
  <c r="E3340" i="3"/>
  <c r="F3339" i="3"/>
  <c r="E3339" i="3"/>
  <c r="F3338" i="3"/>
  <c r="E3338" i="3"/>
  <c r="F3337" i="3"/>
  <c r="E3337" i="3"/>
  <c r="F3336" i="3"/>
  <c r="E3336" i="3"/>
  <c r="F3335" i="3"/>
  <c r="E3335" i="3"/>
  <c r="F3334" i="3"/>
  <c r="E3334" i="3"/>
  <c r="F3333" i="3"/>
  <c r="E3333" i="3"/>
  <c r="F3332" i="3"/>
  <c r="E3332" i="3"/>
  <c r="F3331" i="3"/>
  <c r="E3331" i="3"/>
  <c r="F3330" i="3"/>
  <c r="E3330" i="3"/>
  <c r="F3329" i="3"/>
  <c r="E3329" i="3"/>
  <c r="F3328" i="3"/>
  <c r="E3328" i="3"/>
  <c r="F3327" i="3"/>
  <c r="E3327" i="3"/>
  <c r="F3326" i="3"/>
  <c r="E3326" i="3"/>
  <c r="F3325" i="3"/>
  <c r="E3325" i="3"/>
  <c r="F3324" i="3"/>
  <c r="E3324" i="3"/>
  <c r="F3323" i="3"/>
  <c r="E3323" i="3"/>
  <c r="F3322" i="3"/>
  <c r="E3322" i="3"/>
  <c r="F3321" i="3"/>
  <c r="E3321" i="3"/>
  <c r="F3320" i="3"/>
  <c r="E3320" i="3"/>
  <c r="F3319" i="3"/>
  <c r="E3319" i="3"/>
  <c r="F3318" i="3"/>
  <c r="E3318" i="3"/>
  <c r="F3317" i="3"/>
  <c r="E3317" i="3"/>
  <c r="F3316" i="3"/>
  <c r="E3316" i="3"/>
  <c r="F3315" i="3"/>
  <c r="E3315" i="3"/>
  <c r="F3314" i="3"/>
  <c r="E3314" i="3"/>
  <c r="F3313" i="3"/>
  <c r="E3313" i="3"/>
  <c r="F3312" i="3"/>
  <c r="E3312" i="3"/>
  <c r="F3311" i="3"/>
  <c r="E3311" i="3"/>
  <c r="F3310" i="3"/>
  <c r="E3310" i="3"/>
  <c r="F3309" i="3"/>
  <c r="E3309" i="3"/>
  <c r="F3308" i="3"/>
  <c r="E3308" i="3"/>
  <c r="F3307" i="3"/>
  <c r="E3307" i="3"/>
  <c r="F3306" i="3"/>
  <c r="E3306" i="3"/>
  <c r="F3305" i="3"/>
  <c r="E3305" i="3"/>
  <c r="F3304" i="3"/>
  <c r="E3304" i="3"/>
  <c r="F3303" i="3"/>
  <c r="E3303" i="3"/>
  <c r="F3302" i="3"/>
  <c r="E3302" i="3"/>
  <c r="F3301" i="3"/>
  <c r="E3301" i="3"/>
  <c r="F3300" i="3"/>
  <c r="E3300" i="3"/>
  <c r="F3299" i="3"/>
  <c r="E3299" i="3"/>
  <c r="F3298" i="3"/>
  <c r="E3298" i="3"/>
  <c r="F3297" i="3"/>
  <c r="E3297" i="3"/>
  <c r="F3296" i="3"/>
  <c r="E3296" i="3"/>
  <c r="F3295" i="3"/>
  <c r="E3295" i="3"/>
  <c r="F3294" i="3"/>
  <c r="E3294" i="3"/>
  <c r="F3293" i="3"/>
  <c r="E3293" i="3"/>
  <c r="F3292" i="3"/>
  <c r="E3292" i="3"/>
  <c r="F3291" i="3"/>
  <c r="E3291" i="3"/>
  <c r="F3290" i="3"/>
  <c r="E3290" i="3"/>
  <c r="F3289" i="3"/>
  <c r="E3289" i="3"/>
  <c r="F3288" i="3"/>
  <c r="E3288" i="3"/>
  <c r="F3287" i="3"/>
  <c r="E3287" i="3"/>
  <c r="F3286" i="3"/>
  <c r="E3286" i="3"/>
  <c r="F3285" i="3"/>
  <c r="E3285" i="3"/>
  <c r="F3284" i="3"/>
  <c r="E3284" i="3"/>
  <c r="F3283" i="3"/>
  <c r="E3283" i="3"/>
  <c r="F3282" i="3"/>
  <c r="E3282" i="3"/>
  <c r="F3281" i="3"/>
  <c r="E3281" i="3"/>
  <c r="F3280" i="3"/>
  <c r="E3280" i="3"/>
  <c r="F3279" i="3"/>
  <c r="E3279" i="3"/>
  <c r="F3278" i="3"/>
  <c r="E3278" i="3"/>
  <c r="F3277" i="3"/>
  <c r="E3277" i="3"/>
  <c r="F3276" i="3"/>
  <c r="E3276" i="3"/>
  <c r="F3275" i="3"/>
  <c r="E3275" i="3"/>
  <c r="F3274" i="3"/>
  <c r="E3274" i="3"/>
  <c r="F3273" i="3"/>
  <c r="E3273" i="3"/>
  <c r="F3272" i="3"/>
  <c r="E3272" i="3"/>
  <c r="F3271" i="3"/>
  <c r="E3271" i="3"/>
  <c r="F3270" i="3"/>
  <c r="E3270" i="3"/>
  <c r="F3269" i="3"/>
  <c r="E3269" i="3"/>
  <c r="F3268" i="3"/>
  <c r="E3268" i="3"/>
  <c r="F3267" i="3"/>
  <c r="E3267" i="3"/>
  <c r="F3266" i="3"/>
  <c r="E3266" i="3"/>
  <c r="F3265" i="3"/>
  <c r="E3265" i="3"/>
  <c r="F3264" i="3"/>
  <c r="E3264" i="3"/>
  <c r="F3263" i="3"/>
  <c r="E3263" i="3"/>
  <c r="F3262" i="3"/>
  <c r="E3262" i="3"/>
  <c r="F3261" i="3"/>
  <c r="E3261" i="3"/>
  <c r="F3260" i="3"/>
  <c r="E3260" i="3"/>
  <c r="F3259" i="3"/>
  <c r="E3259" i="3"/>
  <c r="F3258" i="3"/>
  <c r="E3258" i="3"/>
  <c r="F3257" i="3"/>
  <c r="E3257" i="3"/>
  <c r="F3256" i="3"/>
  <c r="E3256" i="3"/>
  <c r="F3255" i="3"/>
  <c r="E3255" i="3"/>
  <c r="F3254" i="3"/>
  <c r="E3254" i="3"/>
  <c r="F3253" i="3"/>
  <c r="E3253" i="3"/>
  <c r="F3252" i="3"/>
  <c r="E3252" i="3"/>
  <c r="F3251" i="3"/>
  <c r="E3251" i="3"/>
  <c r="F3250" i="3"/>
  <c r="E3250" i="3"/>
  <c r="F3249" i="3"/>
  <c r="E3249" i="3"/>
  <c r="F3248" i="3"/>
  <c r="E3248" i="3"/>
  <c r="F3247" i="3"/>
  <c r="E3247" i="3"/>
  <c r="F3246" i="3"/>
  <c r="E3246" i="3"/>
  <c r="F3245" i="3"/>
  <c r="E3245" i="3"/>
  <c r="F3244" i="3"/>
  <c r="E3244" i="3"/>
  <c r="F3243" i="3"/>
  <c r="E3243" i="3"/>
  <c r="F3242" i="3"/>
  <c r="E3242" i="3"/>
  <c r="F3241" i="3"/>
  <c r="E3241" i="3"/>
  <c r="F3240" i="3"/>
  <c r="E3240" i="3"/>
  <c r="F3239" i="3"/>
  <c r="E3239" i="3"/>
  <c r="F3238" i="3"/>
  <c r="E3238" i="3"/>
  <c r="F3237" i="3"/>
  <c r="E3237" i="3"/>
  <c r="F3236" i="3"/>
  <c r="E3236" i="3"/>
  <c r="F3235" i="3"/>
  <c r="E3235" i="3"/>
  <c r="F3234" i="3"/>
  <c r="E3234" i="3"/>
  <c r="F3233" i="3"/>
  <c r="E3233" i="3"/>
  <c r="F3232" i="3"/>
  <c r="E3232" i="3"/>
  <c r="F3231" i="3"/>
  <c r="E3231" i="3"/>
  <c r="F3230" i="3"/>
  <c r="E3230" i="3"/>
  <c r="F3229" i="3"/>
  <c r="E3229" i="3"/>
  <c r="F3228" i="3"/>
  <c r="E3228" i="3"/>
  <c r="F3227" i="3"/>
  <c r="E3227" i="3"/>
  <c r="F3226" i="3"/>
  <c r="E3226" i="3"/>
  <c r="F3225" i="3"/>
  <c r="E3225" i="3"/>
  <c r="F3224" i="3"/>
  <c r="E3224" i="3"/>
  <c r="F3223" i="3"/>
  <c r="E3223" i="3"/>
  <c r="F3222" i="3"/>
  <c r="E3222" i="3"/>
  <c r="F3221" i="3"/>
  <c r="E3221" i="3"/>
  <c r="F3220" i="3"/>
  <c r="E3220" i="3"/>
  <c r="F3219" i="3"/>
  <c r="E3219" i="3"/>
  <c r="F3218" i="3"/>
  <c r="E3218" i="3"/>
  <c r="F3217" i="3"/>
  <c r="E3217" i="3"/>
  <c r="F3216" i="3"/>
  <c r="E3216" i="3"/>
  <c r="F3215" i="3"/>
  <c r="E3215" i="3"/>
  <c r="F3214" i="3"/>
  <c r="E3214" i="3"/>
  <c r="F3213" i="3"/>
  <c r="E3213" i="3"/>
  <c r="F3212" i="3"/>
  <c r="E3212" i="3"/>
  <c r="F3211" i="3"/>
  <c r="E3211" i="3"/>
  <c r="F3210" i="3"/>
  <c r="E3210" i="3"/>
  <c r="F3209" i="3"/>
  <c r="E3209" i="3"/>
  <c r="F3208" i="3"/>
  <c r="E3208" i="3"/>
  <c r="F3207" i="3"/>
  <c r="E3207" i="3"/>
  <c r="F3206" i="3"/>
  <c r="E3206" i="3"/>
  <c r="F3205" i="3"/>
  <c r="E3205" i="3"/>
  <c r="F3204" i="3"/>
  <c r="E3204" i="3"/>
  <c r="F3203" i="3"/>
  <c r="E3203" i="3"/>
  <c r="F3202" i="3"/>
  <c r="E3202" i="3"/>
  <c r="F3201" i="3"/>
  <c r="E3201" i="3"/>
  <c r="F3200" i="3"/>
  <c r="E3200" i="3"/>
  <c r="F3199" i="3"/>
  <c r="E3199" i="3"/>
  <c r="F3198" i="3"/>
  <c r="E3198" i="3"/>
  <c r="F3197" i="3"/>
  <c r="E3197" i="3"/>
  <c r="F3196" i="3"/>
  <c r="E3196" i="3"/>
  <c r="F3195" i="3"/>
  <c r="E3195" i="3"/>
  <c r="F3194" i="3"/>
  <c r="E3194" i="3"/>
  <c r="F3193" i="3"/>
  <c r="E3193" i="3"/>
  <c r="F3192" i="3"/>
  <c r="E3192" i="3"/>
  <c r="F3191" i="3"/>
  <c r="E3191" i="3"/>
  <c r="F3190" i="3"/>
  <c r="E3190" i="3"/>
  <c r="F3189" i="3"/>
  <c r="E3189" i="3"/>
  <c r="F3188" i="3"/>
  <c r="E3188" i="3"/>
  <c r="F3187" i="3"/>
  <c r="E3187" i="3"/>
  <c r="F3186" i="3"/>
  <c r="E3186" i="3"/>
  <c r="F3185" i="3"/>
  <c r="E3185" i="3"/>
  <c r="F3184" i="3"/>
  <c r="E3184" i="3"/>
  <c r="F3183" i="3"/>
  <c r="E3183" i="3"/>
  <c r="F3182" i="3"/>
  <c r="E3182" i="3"/>
  <c r="F3181" i="3"/>
  <c r="E3181" i="3"/>
  <c r="F3180" i="3"/>
  <c r="E3180" i="3"/>
  <c r="F3179" i="3"/>
  <c r="E3179" i="3"/>
  <c r="F3178" i="3"/>
  <c r="E3178" i="3"/>
  <c r="F3177" i="3"/>
  <c r="E3177" i="3"/>
  <c r="F3176" i="3"/>
  <c r="E3176" i="3"/>
  <c r="F3175" i="3"/>
  <c r="E3175" i="3"/>
  <c r="F3174" i="3"/>
  <c r="E3174" i="3"/>
  <c r="F3173" i="3"/>
  <c r="E3173" i="3"/>
  <c r="F3172" i="3"/>
  <c r="E3172" i="3"/>
  <c r="F3171" i="3"/>
  <c r="E3171" i="3"/>
  <c r="F3170" i="3"/>
  <c r="E3170" i="3"/>
  <c r="F3169" i="3"/>
  <c r="E3169" i="3"/>
  <c r="F3168" i="3"/>
  <c r="E3168" i="3"/>
  <c r="F3167" i="3"/>
  <c r="E3167" i="3"/>
  <c r="F3166" i="3"/>
  <c r="E3166" i="3"/>
  <c r="F3165" i="3"/>
  <c r="E3165" i="3"/>
  <c r="F3164" i="3"/>
  <c r="E3164" i="3"/>
  <c r="F3163" i="3"/>
  <c r="E3163" i="3"/>
  <c r="F3162" i="3"/>
  <c r="E3162" i="3"/>
  <c r="F3161" i="3"/>
  <c r="E3161" i="3"/>
  <c r="F3160" i="3"/>
  <c r="E3160" i="3"/>
  <c r="F3159" i="3"/>
  <c r="E3159" i="3"/>
  <c r="F3158" i="3"/>
  <c r="E3158" i="3"/>
  <c r="F3157" i="3"/>
  <c r="E3157" i="3"/>
  <c r="F3156" i="3"/>
  <c r="E3156" i="3"/>
  <c r="F3155" i="3"/>
  <c r="E3155" i="3"/>
  <c r="F3154" i="3"/>
  <c r="E3154" i="3"/>
  <c r="F3153" i="3"/>
  <c r="E3153" i="3"/>
  <c r="F3152" i="3"/>
  <c r="E3152" i="3"/>
  <c r="F3151" i="3"/>
  <c r="E3151" i="3"/>
  <c r="F3150" i="3"/>
  <c r="E3150" i="3"/>
  <c r="F3149" i="3"/>
  <c r="E3149" i="3"/>
  <c r="F3148" i="3"/>
  <c r="E3148" i="3"/>
  <c r="F3147" i="3"/>
  <c r="E3147" i="3"/>
  <c r="F3146" i="3"/>
  <c r="E3146" i="3"/>
  <c r="F3145" i="3"/>
  <c r="E3145" i="3"/>
  <c r="F3144" i="3"/>
  <c r="E3144" i="3"/>
  <c r="F3143" i="3"/>
  <c r="E3143" i="3"/>
  <c r="F3142" i="3"/>
  <c r="E3142" i="3"/>
  <c r="F3141" i="3"/>
  <c r="E3141" i="3"/>
  <c r="F3140" i="3"/>
  <c r="E3140" i="3"/>
  <c r="F3139" i="3"/>
  <c r="E3139" i="3"/>
  <c r="F3138" i="3"/>
  <c r="E3138" i="3"/>
  <c r="F3137" i="3"/>
  <c r="E3137" i="3"/>
  <c r="F3136" i="3"/>
  <c r="E3136" i="3"/>
  <c r="F3135" i="3"/>
  <c r="E3135" i="3"/>
  <c r="F3134" i="3"/>
  <c r="E3134" i="3"/>
  <c r="F3133" i="3"/>
  <c r="E3133" i="3"/>
  <c r="F3132" i="3"/>
  <c r="E3132" i="3"/>
  <c r="F3131" i="3"/>
  <c r="E3131" i="3"/>
  <c r="F3130" i="3"/>
  <c r="E3130" i="3"/>
  <c r="F3129" i="3"/>
  <c r="E3129" i="3"/>
  <c r="F3128" i="3"/>
  <c r="E3128" i="3"/>
  <c r="F3127" i="3"/>
  <c r="E3127" i="3"/>
  <c r="F3126" i="3"/>
  <c r="E3126" i="3"/>
  <c r="F3125" i="3"/>
  <c r="E3125" i="3"/>
  <c r="F3124" i="3"/>
  <c r="E3124" i="3"/>
  <c r="F3123" i="3"/>
  <c r="E3123" i="3"/>
  <c r="F3122" i="3"/>
  <c r="E3122" i="3"/>
  <c r="F3121" i="3"/>
  <c r="E3121" i="3"/>
  <c r="F3120" i="3"/>
  <c r="E3120" i="3"/>
  <c r="F3119" i="3"/>
  <c r="E3119" i="3"/>
  <c r="F3118" i="3"/>
  <c r="E3118" i="3"/>
  <c r="F3117" i="3"/>
  <c r="E3117" i="3"/>
  <c r="F3116" i="3"/>
  <c r="E3116" i="3"/>
  <c r="F3115" i="3"/>
  <c r="E3115" i="3"/>
  <c r="F3114" i="3"/>
  <c r="E3114" i="3"/>
  <c r="F3113" i="3"/>
  <c r="E3113" i="3"/>
  <c r="F3112" i="3"/>
  <c r="E3112" i="3"/>
  <c r="F3111" i="3"/>
  <c r="E3111" i="3"/>
  <c r="F3110" i="3"/>
  <c r="E3110" i="3"/>
  <c r="F3109" i="3"/>
  <c r="E3109" i="3"/>
  <c r="F3108" i="3"/>
  <c r="E3108" i="3"/>
  <c r="F3107" i="3"/>
  <c r="E3107" i="3"/>
  <c r="F3106" i="3"/>
  <c r="E3106" i="3"/>
  <c r="F3105" i="3"/>
  <c r="E3105" i="3"/>
  <c r="F3104" i="3"/>
  <c r="E3104" i="3"/>
  <c r="F3103" i="3"/>
  <c r="E3103" i="3"/>
  <c r="F3102" i="3"/>
  <c r="E3102" i="3"/>
  <c r="F3101" i="3"/>
  <c r="E3101" i="3"/>
  <c r="F3100" i="3"/>
  <c r="E3100" i="3"/>
  <c r="F3099" i="3"/>
  <c r="E3099" i="3"/>
  <c r="F3098" i="3"/>
  <c r="E3098" i="3"/>
  <c r="F3097" i="3"/>
  <c r="E3097" i="3"/>
  <c r="F3096" i="3"/>
  <c r="E3096" i="3"/>
  <c r="F3095" i="3"/>
  <c r="E3095" i="3"/>
  <c r="F3094" i="3"/>
  <c r="E3094" i="3"/>
  <c r="F3093" i="3"/>
  <c r="E3093" i="3"/>
  <c r="F3092" i="3"/>
  <c r="E3092" i="3"/>
  <c r="F3091" i="3"/>
  <c r="E3091" i="3"/>
  <c r="F3090" i="3"/>
  <c r="E3090" i="3"/>
  <c r="F3089" i="3"/>
  <c r="E3089" i="3"/>
  <c r="F3088" i="3"/>
  <c r="E3088" i="3"/>
  <c r="F3087" i="3"/>
  <c r="E3087" i="3"/>
  <c r="F3086" i="3"/>
  <c r="E3086" i="3"/>
  <c r="F3085" i="3"/>
  <c r="E3085" i="3"/>
  <c r="F3084" i="3"/>
  <c r="E3084" i="3"/>
  <c r="F3083" i="3"/>
  <c r="E3083" i="3"/>
  <c r="F3082" i="3"/>
  <c r="E3082" i="3"/>
  <c r="F3081" i="3"/>
  <c r="E3081" i="3"/>
  <c r="F3080" i="3"/>
  <c r="E3080" i="3"/>
  <c r="F3079" i="3"/>
  <c r="E3079" i="3"/>
  <c r="F3078" i="3"/>
  <c r="E3078" i="3"/>
  <c r="F3077" i="3"/>
  <c r="E3077" i="3"/>
  <c r="F3076" i="3"/>
  <c r="E3076" i="3"/>
  <c r="F3075" i="3"/>
  <c r="E3075" i="3"/>
  <c r="F3074" i="3"/>
  <c r="E3074" i="3"/>
  <c r="F3073" i="3"/>
  <c r="E3073" i="3"/>
  <c r="F3072" i="3"/>
  <c r="E3072" i="3"/>
  <c r="F3071" i="3"/>
  <c r="E3071" i="3"/>
  <c r="F3070" i="3"/>
  <c r="E3070" i="3"/>
  <c r="F3069" i="3"/>
  <c r="E3069" i="3"/>
  <c r="F3068" i="3"/>
  <c r="E3068" i="3"/>
  <c r="F3067" i="3"/>
  <c r="E3067" i="3"/>
  <c r="F3066" i="3"/>
  <c r="E3066" i="3"/>
  <c r="F3065" i="3"/>
  <c r="E3065" i="3"/>
  <c r="F3064" i="3"/>
  <c r="E3064" i="3"/>
  <c r="F3063" i="3"/>
  <c r="E3063" i="3"/>
  <c r="F3062" i="3"/>
  <c r="E3062" i="3"/>
  <c r="F3061" i="3"/>
  <c r="E3061" i="3"/>
  <c r="F3060" i="3"/>
  <c r="E3060" i="3"/>
  <c r="F3059" i="3"/>
  <c r="E3059" i="3"/>
  <c r="F3058" i="3"/>
  <c r="E3058" i="3"/>
  <c r="F3057" i="3"/>
  <c r="E3057" i="3"/>
  <c r="F3056" i="3"/>
  <c r="E3056" i="3"/>
  <c r="F3055" i="3"/>
  <c r="E3055" i="3"/>
  <c r="F3054" i="3"/>
  <c r="E3054" i="3"/>
  <c r="F3053" i="3"/>
  <c r="E3053" i="3"/>
  <c r="F3052" i="3"/>
  <c r="E3052" i="3"/>
  <c r="F3051" i="3"/>
  <c r="E3051" i="3"/>
  <c r="F3050" i="3"/>
  <c r="E3050" i="3"/>
  <c r="F3049" i="3"/>
  <c r="E3049" i="3"/>
  <c r="F3048" i="3"/>
  <c r="E3048" i="3"/>
  <c r="F3047" i="3"/>
  <c r="E3047" i="3"/>
  <c r="F3046" i="3"/>
  <c r="E3046" i="3"/>
  <c r="F3045" i="3"/>
  <c r="E3045" i="3"/>
  <c r="F3044" i="3"/>
  <c r="E3044" i="3"/>
  <c r="F3043" i="3"/>
  <c r="E3043" i="3"/>
  <c r="F3042" i="3"/>
  <c r="E3042" i="3"/>
  <c r="F3041" i="3"/>
  <c r="E3041" i="3"/>
  <c r="F3040" i="3"/>
  <c r="E3040" i="3"/>
  <c r="F3039" i="3"/>
  <c r="E3039" i="3"/>
  <c r="F3038" i="3"/>
  <c r="E3038" i="3"/>
  <c r="F3037" i="3"/>
  <c r="E3037" i="3"/>
  <c r="F3036" i="3"/>
  <c r="E3036" i="3"/>
  <c r="F3035" i="3"/>
  <c r="E3035" i="3"/>
  <c r="F3034" i="3"/>
  <c r="E3034" i="3"/>
  <c r="F3033" i="3"/>
  <c r="E3033" i="3"/>
  <c r="F3032" i="3"/>
  <c r="E3032" i="3"/>
  <c r="F3031" i="3"/>
  <c r="E3031" i="3"/>
  <c r="F3030" i="3"/>
  <c r="E3030" i="3"/>
  <c r="F3029" i="3"/>
  <c r="E3029" i="3"/>
  <c r="F3028" i="3"/>
  <c r="E3028" i="3"/>
  <c r="F3027" i="3"/>
  <c r="E3027" i="3"/>
  <c r="F3026" i="3"/>
  <c r="E3026" i="3"/>
  <c r="F3025" i="3"/>
  <c r="E3025" i="3"/>
  <c r="F3024" i="3"/>
  <c r="E3024" i="3"/>
  <c r="F3023" i="3"/>
  <c r="E3023" i="3"/>
  <c r="F3022" i="3"/>
  <c r="E3022" i="3"/>
  <c r="F3021" i="3"/>
  <c r="E3021" i="3"/>
  <c r="F3020" i="3"/>
  <c r="E3020" i="3"/>
  <c r="F3019" i="3"/>
  <c r="E3019" i="3"/>
  <c r="F3018" i="3"/>
  <c r="E3018" i="3"/>
  <c r="F3017" i="3"/>
  <c r="E3017" i="3"/>
  <c r="F3016" i="3"/>
  <c r="E3016" i="3"/>
  <c r="F3015" i="3"/>
  <c r="E3015" i="3"/>
  <c r="F3014" i="3"/>
  <c r="E3014" i="3"/>
  <c r="F3013" i="3"/>
  <c r="E3013" i="3"/>
  <c r="F3012" i="3"/>
  <c r="E3012" i="3"/>
  <c r="F3011" i="3"/>
  <c r="E3011" i="3"/>
  <c r="F3010" i="3"/>
  <c r="E3010" i="3"/>
  <c r="F3009" i="3"/>
  <c r="E3009" i="3"/>
  <c r="F3008" i="3"/>
  <c r="E3008" i="3"/>
  <c r="F3007" i="3"/>
  <c r="E3007" i="3"/>
  <c r="F3006" i="3"/>
  <c r="E3006" i="3"/>
  <c r="F3005" i="3"/>
  <c r="E3005" i="3"/>
  <c r="F3004" i="3"/>
  <c r="E3004" i="3"/>
  <c r="F3003" i="3"/>
  <c r="E3003" i="3"/>
  <c r="F3002" i="3"/>
  <c r="E3002" i="3"/>
  <c r="F3001" i="3"/>
  <c r="E3001" i="3"/>
  <c r="F3000" i="3"/>
  <c r="E3000" i="3"/>
  <c r="F2999" i="3"/>
  <c r="E2999" i="3"/>
  <c r="F2998" i="3"/>
  <c r="E2998" i="3"/>
  <c r="F2997" i="3"/>
  <c r="E2997" i="3"/>
  <c r="F2996" i="3"/>
  <c r="E2996" i="3"/>
  <c r="F2995" i="3"/>
  <c r="E2995" i="3"/>
  <c r="F2994" i="3"/>
  <c r="E2994" i="3"/>
  <c r="F2993" i="3"/>
  <c r="E2993" i="3"/>
  <c r="F2992" i="3"/>
  <c r="E2992" i="3"/>
  <c r="F2991" i="3"/>
  <c r="E2991" i="3"/>
  <c r="F2990" i="3"/>
  <c r="E2990" i="3"/>
  <c r="F2989" i="3"/>
  <c r="E2989" i="3"/>
  <c r="F2988" i="3"/>
  <c r="E2988" i="3"/>
  <c r="F2987" i="3"/>
  <c r="E2987" i="3"/>
  <c r="F2986" i="3"/>
  <c r="E2986" i="3"/>
  <c r="F2985" i="3"/>
  <c r="E2985" i="3"/>
  <c r="F2984" i="3"/>
  <c r="E2984" i="3"/>
  <c r="F2983" i="3"/>
  <c r="E2983" i="3"/>
  <c r="F2982" i="3"/>
  <c r="E2982" i="3"/>
  <c r="F2981" i="3"/>
  <c r="E2981" i="3"/>
  <c r="F2980" i="3"/>
  <c r="E2980" i="3"/>
  <c r="F2979" i="3"/>
  <c r="E2979" i="3"/>
  <c r="F2978" i="3"/>
  <c r="E2978" i="3"/>
  <c r="F2977" i="3"/>
  <c r="E2977" i="3"/>
  <c r="F2976" i="3"/>
  <c r="E2976" i="3"/>
  <c r="F2975" i="3"/>
  <c r="E2975" i="3"/>
  <c r="F2974" i="3"/>
  <c r="E2974" i="3"/>
  <c r="F2973" i="3"/>
  <c r="E2973" i="3"/>
  <c r="F2972" i="3"/>
  <c r="E2972" i="3"/>
  <c r="F2971" i="3"/>
  <c r="E2971" i="3"/>
  <c r="F2970" i="3"/>
  <c r="E2970" i="3"/>
  <c r="F2969" i="3"/>
  <c r="E2969" i="3"/>
  <c r="F2968" i="3"/>
  <c r="E2968" i="3"/>
  <c r="F2967" i="3"/>
  <c r="E2967" i="3"/>
  <c r="F2966" i="3"/>
  <c r="E2966" i="3"/>
  <c r="F2965" i="3"/>
  <c r="E2965" i="3"/>
  <c r="F2964" i="3"/>
  <c r="E2964" i="3"/>
  <c r="F2963" i="3"/>
  <c r="E2963" i="3"/>
  <c r="F2962" i="3"/>
  <c r="E2962" i="3"/>
  <c r="F2961" i="3"/>
  <c r="E2961" i="3"/>
  <c r="F2960" i="3"/>
  <c r="E2960" i="3"/>
  <c r="F2959" i="3"/>
  <c r="E2959" i="3"/>
  <c r="F2958" i="3"/>
  <c r="E2958" i="3"/>
  <c r="F2957" i="3"/>
  <c r="E2957" i="3"/>
  <c r="F2956" i="3"/>
  <c r="E2956" i="3"/>
  <c r="F2955" i="3"/>
  <c r="E2955" i="3"/>
  <c r="F2954" i="3"/>
  <c r="E2954" i="3"/>
  <c r="F2953" i="3"/>
  <c r="E2953" i="3"/>
  <c r="F2952" i="3"/>
  <c r="E2952" i="3"/>
  <c r="F2951" i="3"/>
  <c r="E2951" i="3"/>
  <c r="F2950" i="3"/>
  <c r="E2950" i="3"/>
  <c r="F2949" i="3"/>
  <c r="E2949" i="3"/>
  <c r="F2948" i="3"/>
  <c r="E2948" i="3"/>
  <c r="F2947" i="3"/>
  <c r="E2947" i="3"/>
  <c r="F2946" i="3"/>
  <c r="E2946" i="3"/>
  <c r="F2945" i="3"/>
  <c r="E2945" i="3"/>
  <c r="F2944" i="3"/>
  <c r="E2944" i="3"/>
  <c r="F2943" i="3"/>
  <c r="E2943" i="3"/>
  <c r="F2942" i="3"/>
  <c r="E2942" i="3"/>
  <c r="F2941" i="3"/>
  <c r="E2941" i="3"/>
  <c r="F2940" i="3"/>
  <c r="E2940" i="3"/>
  <c r="F2939" i="3"/>
  <c r="E2939" i="3"/>
  <c r="F2938" i="3"/>
  <c r="E2938" i="3"/>
  <c r="F2937" i="3"/>
  <c r="E2937" i="3"/>
  <c r="F2936" i="3"/>
  <c r="E2936" i="3"/>
  <c r="F2935" i="3"/>
  <c r="E2935" i="3"/>
  <c r="F2934" i="3"/>
  <c r="E2934" i="3"/>
  <c r="F2933" i="3"/>
  <c r="E2933" i="3"/>
  <c r="F2932" i="3"/>
  <c r="E2932" i="3"/>
  <c r="F2931" i="3"/>
  <c r="E2931" i="3"/>
  <c r="F2930" i="3"/>
  <c r="E2930" i="3"/>
  <c r="F2929" i="3"/>
  <c r="E2929" i="3"/>
  <c r="F2928" i="3"/>
  <c r="E2928" i="3"/>
  <c r="F2927" i="3"/>
  <c r="E2927" i="3"/>
  <c r="F2926" i="3"/>
  <c r="E2926" i="3"/>
  <c r="F2925" i="3"/>
  <c r="E2925" i="3"/>
  <c r="F2924" i="3"/>
  <c r="E2924" i="3"/>
  <c r="F2923" i="3"/>
  <c r="E2923" i="3"/>
  <c r="F2922" i="3"/>
  <c r="E2922" i="3"/>
  <c r="F2921" i="3"/>
  <c r="E2921" i="3"/>
  <c r="F2920" i="3"/>
  <c r="E2920" i="3"/>
  <c r="F2919" i="3"/>
  <c r="E2919" i="3"/>
  <c r="F2918" i="3"/>
  <c r="E2918" i="3"/>
  <c r="F2917" i="3"/>
  <c r="E2917" i="3"/>
  <c r="F2916" i="3"/>
  <c r="E2916" i="3"/>
  <c r="F2915" i="3"/>
  <c r="E2915" i="3"/>
  <c r="F2914" i="3"/>
  <c r="E2914" i="3"/>
  <c r="F2913" i="3"/>
  <c r="E2913" i="3"/>
  <c r="F2912" i="3"/>
  <c r="E2912" i="3"/>
  <c r="F2911" i="3"/>
  <c r="E2911" i="3"/>
  <c r="F2910" i="3"/>
  <c r="E2910" i="3"/>
  <c r="F2909" i="3"/>
  <c r="E2909" i="3"/>
  <c r="F2908" i="3"/>
  <c r="E2908" i="3"/>
  <c r="F2907" i="3"/>
  <c r="E2907" i="3"/>
  <c r="F2906" i="3"/>
  <c r="E2906" i="3"/>
  <c r="F2905" i="3"/>
  <c r="E2905" i="3"/>
  <c r="F2904" i="3"/>
  <c r="E2904" i="3"/>
  <c r="F2903" i="3"/>
  <c r="E2903" i="3"/>
  <c r="F2902" i="3"/>
  <c r="E2902" i="3"/>
  <c r="F2901" i="3"/>
  <c r="E2901" i="3"/>
  <c r="F2900" i="3"/>
  <c r="E2900" i="3"/>
  <c r="F2899" i="3"/>
  <c r="E2899" i="3"/>
  <c r="F2898" i="3"/>
  <c r="E2898" i="3"/>
  <c r="F2897" i="3"/>
  <c r="E2897" i="3"/>
  <c r="F2896" i="3"/>
  <c r="E2896" i="3"/>
  <c r="F2895" i="3"/>
  <c r="E2895" i="3"/>
  <c r="F2894" i="3"/>
  <c r="E2894" i="3"/>
  <c r="F2893" i="3"/>
  <c r="E2893" i="3"/>
  <c r="F2892" i="3"/>
  <c r="E2892" i="3"/>
  <c r="F2891" i="3"/>
  <c r="E2891" i="3"/>
  <c r="F2890" i="3"/>
  <c r="E2890" i="3"/>
  <c r="F2889" i="3"/>
  <c r="E2889" i="3"/>
  <c r="F2888" i="3"/>
  <c r="E2888" i="3"/>
  <c r="F2887" i="3"/>
  <c r="E2887" i="3"/>
  <c r="F2886" i="3"/>
  <c r="E2886" i="3"/>
  <c r="F2885" i="3"/>
  <c r="E2885" i="3"/>
  <c r="F2884" i="3"/>
  <c r="E2884" i="3"/>
  <c r="F2883" i="3"/>
  <c r="E2883" i="3"/>
  <c r="F2882" i="3"/>
  <c r="E2882" i="3"/>
  <c r="F2881" i="3"/>
  <c r="E2881" i="3"/>
  <c r="F2880" i="3"/>
  <c r="E2880" i="3"/>
  <c r="F2879" i="3"/>
  <c r="E2879" i="3"/>
  <c r="F2878" i="3"/>
  <c r="E2878" i="3"/>
  <c r="F2877" i="3"/>
  <c r="E2877" i="3"/>
  <c r="F2876" i="3"/>
  <c r="E2876" i="3"/>
  <c r="F2875" i="3"/>
  <c r="E2875" i="3"/>
  <c r="F2874" i="3"/>
  <c r="E2874" i="3"/>
  <c r="F2873" i="3"/>
  <c r="E2873" i="3"/>
  <c r="F2872" i="3"/>
  <c r="E2872" i="3"/>
  <c r="F2871" i="3"/>
  <c r="E2871" i="3"/>
  <c r="F2870" i="3"/>
  <c r="E2870" i="3"/>
  <c r="F2869" i="3"/>
  <c r="E2869" i="3"/>
  <c r="F2868" i="3"/>
  <c r="E2868" i="3"/>
  <c r="F2867" i="3"/>
  <c r="E2867" i="3"/>
  <c r="F2866" i="3"/>
  <c r="E2866" i="3"/>
  <c r="F2865" i="3"/>
  <c r="E2865" i="3"/>
  <c r="F2864" i="3"/>
  <c r="E2864" i="3"/>
  <c r="F2863" i="3"/>
  <c r="E2863" i="3"/>
  <c r="F2862" i="3"/>
  <c r="E2862" i="3"/>
  <c r="F2861" i="3"/>
  <c r="E2861" i="3"/>
  <c r="F2860" i="3"/>
  <c r="E2860" i="3"/>
  <c r="F2859" i="3"/>
  <c r="E2859" i="3"/>
  <c r="F2858" i="3"/>
  <c r="E2858" i="3"/>
  <c r="F2857" i="3"/>
  <c r="E2857" i="3"/>
  <c r="F2856" i="3"/>
  <c r="E2856" i="3"/>
  <c r="F2855" i="3"/>
  <c r="E2855" i="3"/>
  <c r="F2854" i="3"/>
  <c r="E2854" i="3"/>
  <c r="F2853" i="3"/>
  <c r="E2853" i="3"/>
  <c r="F2852" i="3"/>
  <c r="E2852" i="3"/>
  <c r="F2851" i="3"/>
  <c r="E2851" i="3"/>
  <c r="F2850" i="3"/>
  <c r="E2850" i="3"/>
  <c r="F2849" i="3"/>
  <c r="E2849" i="3"/>
  <c r="F2848" i="3"/>
  <c r="E2848" i="3"/>
  <c r="F2847" i="3"/>
  <c r="E2847" i="3"/>
  <c r="F2846" i="3"/>
  <c r="E2846" i="3"/>
  <c r="F2845" i="3"/>
  <c r="E2845" i="3"/>
  <c r="F2844" i="3"/>
  <c r="E2844" i="3"/>
  <c r="F2843" i="3"/>
  <c r="E2843" i="3"/>
  <c r="F2842" i="3"/>
  <c r="E2842" i="3"/>
  <c r="F2841" i="3"/>
  <c r="E2841" i="3"/>
  <c r="F2840" i="3"/>
  <c r="E2840" i="3"/>
  <c r="F2839" i="3"/>
  <c r="E2839" i="3"/>
  <c r="F2838" i="3"/>
  <c r="E2838" i="3"/>
  <c r="F2837" i="3"/>
  <c r="E2837" i="3"/>
  <c r="F2836" i="3"/>
  <c r="E2836" i="3"/>
  <c r="F2835" i="3"/>
  <c r="E2835" i="3"/>
  <c r="F2834" i="3"/>
  <c r="E2834" i="3"/>
  <c r="F2833" i="3"/>
  <c r="E2833" i="3"/>
  <c r="F2832" i="3"/>
  <c r="E2832" i="3"/>
  <c r="F2831" i="3"/>
  <c r="E2831" i="3"/>
  <c r="F2830" i="3"/>
  <c r="E2830" i="3"/>
  <c r="F2829" i="3"/>
  <c r="E2829" i="3"/>
  <c r="F2828" i="3"/>
  <c r="E2828" i="3"/>
  <c r="F2827" i="3"/>
  <c r="E2827" i="3"/>
  <c r="F2826" i="3"/>
  <c r="E2826" i="3"/>
  <c r="F2825" i="3"/>
  <c r="E2825" i="3"/>
  <c r="F2824" i="3"/>
  <c r="E2824" i="3"/>
  <c r="F2823" i="3"/>
  <c r="E2823" i="3"/>
  <c r="F2822" i="3"/>
  <c r="E2822" i="3"/>
  <c r="F2821" i="3"/>
  <c r="E2821" i="3"/>
  <c r="F2820" i="3"/>
  <c r="E2820" i="3"/>
  <c r="F2819" i="3"/>
  <c r="E2819" i="3"/>
  <c r="F2818" i="3"/>
  <c r="E2818" i="3"/>
  <c r="F2817" i="3"/>
  <c r="E2817" i="3"/>
  <c r="F2816" i="3"/>
  <c r="E2816" i="3"/>
  <c r="F2815" i="3"/>
  <c r="E2815" i="3"/>
  <c r="F2814" i="3"/>
  <c r="E2814" i="3"/>
  <c r="F2813" i="3"/>
  <c r="E2813" i="3"/>
  <c r="F2812" i="3"/>
  <c r="E2812" i="3"/>
  <c r="F2811" i="3"/>
  <c r="E2811" i="3"/>
  <c r="F2810" i="3"/>
  <c r="E2810" i="3"/>
  <c r="F2809" i="3"/>
  <c r="E2809" i="3"/>
  <c r="F2808" i="3"/>
  <c r="E2808" i="3"/>
  <c r="F2807" i="3"/>
  <c r="E2807" i="3"/>
  <c r="F2806" i="3"/>
  <c r="E2806" i="3"/>
  <c r="F2805" i="3"/>
  <c r="E2805" i="3"/>
  <c r="F2804" i="3"/>
  <c r="E2804" i="3"/>
  <c r="F2803" i="3"/>
  <c r="E2803" i="3"/>
  <c r="F2802" i="3"/>
  <c r="E2802" i="3"/>
  <c r="F2801" i="3"/>
  <c r="E2801" i="3"/>
  <c r="F2800" i="3"/>
  <c r="E2800" i="3"/>
  <c r="F2799" i="3"/>
  <c r="E2799" i="3"/>
  <c r="F2798" i="3"/>
  <c r="E2798" i="3"/>
  <c r="F2797" i="3"/>
  <c r="E2797" i="3"/>
  <c r="F2796" i="3"/>
  <c r="E2796" i="3"/>
  <c r="F2795" i="3"/>
  <c r="E2795" i="3"/>
  <c r="F2794" i="3"/>
  <c r="E2794" i="3"/>
  <c r="F2793" i="3"/>
  <c r="E2793" i="3"/>
  <c r="F2792" i="3"/>
  <c r="E2792" i="3"/>
  <c r="F2791" i="3"/>
  <c r="E2791" i="3"/>
  <c r="F2790" i="3"/>
  <c r="E2790" i="3"/>
  <c r="F2789" i="3"/>
  <c r="E2789" i="3"/>
  <c r="F2788" i="3"/>
  <c r="E2788" i="3"/>
  <c r="F2787" i="3"/>
  <c r="E2787" i="3"/>
  <c r="F2786" i="3"/>
  <c r="E2786" i="3"/>
  <c r="F2785" i="3"/>
  <c r="E2785" i="3"/>
  <c r="F2784" i="3"/>
  <c r="E2784" i="3"/>
  <c r="F2783" i="3"/>
  <c r="E2783" i="3"/>
  <c r="F2782" i="3"/>
  <c r="E2782" i="3"/>
  <c r="F2781" i="3"/>
  <c r="E2781" i="3"/>
  <c r="F2780" i="3"/>
  <c r="E2780" i="3"/>
  <c r="F2779" i="3"/>
  <c r="E2779" i="3"/>
  <c r="F2778" i="3"/>
  <c r="E2778" i="3"/>
  <c r="F2777" i="3"/>
  <c r="E2777" i="3"/>
  <c r="F2776" i="3"/>
  <c r="E2776" i="3"/>
  <c r="F2775" i="3"/>
  <c r="E2775" i="3"/>
  <c r="F2774" i="3"/>
  <c r="E2774" i="3"/>
  <c r="F2773" i="3"/>
  <c r="E2773" i="3"/>
  <c r="F2772" i="3"/>
  <c r="E2772" i="3"/>
  <c r="F2771" i="3"/>
  <c r="E2771" i="3"/>
  <c r="F2770" i="3"/>
  <c r="E2770" i="3"/>
  <c r="F2769" i="3"/>
  <c r="E2769" i="3"/>
  <c r="F2768" i="3"/>
  <c r="E2768" i="3"/>
  <c r="F2767" i="3"/>
  <c r="E2767" i="3"/>
  <c r="F2766" i="3"/>
  <c r="E2766" i="3"/>
  <c r="F2765" i="3"/>
  <c r="E2765" i="3"/>
  <c r="F2764" i="3"/>
  <c r="E2764" i="3"/>
  <c r="F2763" i="3"/>
  <c r="E2763" i="3"/>
  <c r="F2762" i="3"/>
  <c r="E2762" i="3"/>
  <c r="F2761" i="3"/>
  <c r="E2761" i="3"/>
  <c r="F2760" i="3"/>
  <c r="E2760" i="3"/>
  <c r="F2759" i="3"/>
  <c r="E2759" i="3"/>
  <c r="F2758" i="3"/>
  <c r="E2758" i="3"/>
  <c r="F2757" i="3"/>
  <c r="E2757" i="3"/>
  <c r="F2756" i="3"/>
  <c r="E2756" i="3"/>
  <c r="F2755" i="3"/>
  <c r="E2755" i="3"/>
  <c r="F2754" i="3"/>
  <c r="E2754" i="3"/>
  <c r="F2753" i="3"/>
  <c r="E2753" i="3"/>
  <c r="F2752" i="3"/>
  <c r="E2752" i="3"/>
  <c r="F2751" i="3"/>
  <c r="E2751" i="3"/>
  <c r="F2750" i="3"/>
  <c r="E2750" i="3"/>
  <c r="F2749" i="3"/>
  <c r="E2749" i="3"/>
  <c r="F2748" i="3"/>
  <c r="E2748" i="3"/>
  <c r="F2747" i="3"/>
  <c r="E2747" i="3"/>
  <c r="F2746" i="3"/>
  <c r="E2746" i="3"/>
  <c r="F2745" i="3"/>
  <c r="E2745" i="3"/>
  <c r="F2744" i="3"/>
  <c r="E2744" i="3"/>
  <c r="F2743" i="3"/>
  <c r="E2743" i="3"/>
  <c r="F2742" i="3"/>
  <c r="E2742" i="3"/>
  <c r="F2741" i="3"/>
  <c r="E2741" i="3"/>
  <c r="F2740" i="3"/>
  <c r="E2740" i="3"/>
  <c r="F2739" i="3"/>
  <c r="E2739" i="3"/>
  <c r="F2738" i="3"/>
  <c r="E2738" i="3"/>
  <c r="F2737" i="3"/>
  <c r="E2737" i="3"/>
  <c r="F2736" i="3"/>
  <c r="E2736" i="3"/>
  <c r="F2735" i="3"/>
  <c r="E2735" i="3"/>
  <c r="F2734" i="3"/>
  <c r="E2734" i="3"/>
  <c r="F2733" i="3"/>
  <c r="E2733" i="3"/>
  <c r="F2732" i="3"/>
  <c r="E2732" i="3"/>
  <c r="F2731" i="3"/>
  <c r="E2731" i="3"/>
  <c r="F2730" i="3"/>
  <c r="E2730" i="3"/>
  <c r="F2729" i="3"/>
  <c r="E2729" i="3"/>
  <c r="F2728" i="3"/>
  <c r="E2728" i="3"/>
  <c r="F2727" i="3"/>
  <c r="E2727" i="3"/>
  <c r="F2726" i="3"/>
  <c r="E2726" i="3"/>
  <c r="F2725" i="3"/>
  <c r="E2725" i="3"/>
  <c r="F2724" i="3"/>
  <c r="E2724" i="3"/>
  <c r="F2723" i="3"/>
  <c r="E2723" i="3"/>
  <c r="F2722" i="3"/>
  <c r="E2722" i="3"/>
  <c r="F2721" i="3"/>
  <c r="E2721" i="3"/>
  <c r="F2720" i="3"/>
  <c r="E2720" i="3"/>
  <c r="F2719" i="3"/>
  <c r="E2719" i="3"/>
  <c r="F2718" i="3"/>
  <c r="E2718" i="3"/>
  <c r="F2717" i="3"/>
  <c r="E2717" i="3"/>
  <c r="F2716" i="3"/>
  <c r="E2716" i="3"/>
  <c r="F2715" i="3"/>
  <c r="E2715" i="3"/>
  <c r="F2714" i="3"/>
  <c r="E2714" i="3"/>
  <c r="F2713" i="3"/>
  <c r="E2713" i="3"/>
  <c r="F2712" i="3"/>
  <c r="E2712" i="3"/>
  <c r="F2711" i="3"/>
  <c r="E2711" i="3"/>
  <c r="F2710" i="3"/>
  <c r="E2710" i="3"/>
  <c r="F2709" i="3"/>
  <c r="E2709" i="3"/>
  <c r="F2708" i="3"/>
  <c r="E2708" i="3"/>
  <c r="F2707" i="3"/>
  <c r="E2707" i="3"/>
  <c r="F2706" i="3"/>
  <c r="E2706" i="3"/>
  <c r="F2705" i="3"/>
  <c r="E2705" i="3"/>
  <c r="F2704" i="3"/>
  <c r="E2704" i="3"/>
  <c r="F2703" i="3"/>
  <c r="E2703" i="3"/>
  <c r="F2702" i="3"/>
  <c r="E2702" i="3"/>
  <c r="F2701" i="3"/>
  <c r="E2701" i="3"/>
  <c r="F2700" i="3"/>
  <c r="E2700" i="3"/>
  <c r="F2699" i="3"/>
  <c r="E2699" i="3"/>
  <c r="F2698" i="3"/>
  <c r="E2698" i="3"/>
  <c r="F2697" i="3"/>
  <c r="E2697" i="3"/>
  <c r="F2696" i="3"/>
  <c r="E2696" i="3"/>
  <c r="F2695" i="3"/>
  <c r="E2695" i="3"/>
  <c r="F2694" i="3"/>
  <c r="E2694" i="3"/>
  <c r="F2693" i="3"/>
  <c r="E2693" i="3"/>
  <c r="F2692" i="3"/>
  <c r="E2692" i="3"/>
  <c r="F2691" i="3"/>
  <c r="E2691" i="3"/>
  <c r="F2690" i="3"/>
  <c r="E2690" i="3"/>
  <c r="F2689" i="3"/>
  <c r="E2689" i="3"/>
  <c r="F2688" i="3"/>
  <c r="E2688" i="3"/>
  <c r="F2687" i="3"/>
  <c r="E2687" i="3"/>
  <c r="F2686" i="3"/>
  <c r="E2686" i="3"/>
  <c r="F2685" i="3"/>
  <c r="E2685" i="3"/>
  <c r="F2684" i="3"/>
  <c r="E2684" i="3"/>
  <c r="F2683" i="3"/>
  <c r="E2683" i="3"/>
  <c r="F2682" i="3"/>
  <c r="E2682" i="3"/>
  <c r="F2681" i="3"/>
  <c r="E2681" i="3"/>
  <c r="F2680" i="3"/>
  <c r="E2680" i="3"/>
  <c r="F2679" i="3"/>
  <c r="E2679" i="3"/>
  <c r="F2678" i="3"/>
  <c r="E2678" i="3"/>
  <c r="F2677" i="3"/>
  <c r="E2677" i="3"/>
  <c r="F2676" i="3"/>
  <c r="E2676" i="3"/>
  <c r="F2675" i="3"/>
  <c r="E2675" i="3"/>
  <c r="F2674" i="3"/>
  <c r="E2674" i="3"/>
  <c r="F2673" i="3"/>
  <c r="E2673" i="3"/>
  <c r="F2672" i="3"/>
  <c r="E2672" i="3"/>
  <c r="F2671" i="3"/>
  <c r="E2671" i="3"/>
  <c r="F2670" i="3"/>
  <c r="E2670" i="3"/>
  <c r="F2669" i="3"/>
  <c r="E2669" i="3"/>
  <c r="F2668" i="3"/>
  <c r="E2668" i="3"/>
  <c r="F2667" i="3"/>
  <c r="E2667" i="3"/>
  <c r="F2666" i="3"/>
  <c r="E2666" i="3"/>
  <c r="F2665" i="3"/>
  <c r="E2665" i="3"/>
  <c r="F2664" i="3"/>
  <c r="E2664" i="3"/>
  <c r="F2663" i="3"/>
  <c r="E2663" i="3"/>
  <c r="F2662" i="3"/>
  <c r="E2662" i="3"/>
  <c r="F2661" i="3"/>
  <c r="E2661" i="3"/>
  <c r="F2660" i="3"/>
  <c r="E2660" i="3"/>
  <c r="F2659" i="3"/>
  <c r="E2659" i="3"/>
  <c r="F2658" i="3"/>
  <c r="E2658" i="3"/>
  <c r="F2657" i="3"/>
  <c r="E2657" i="3"/>
  <c r="F2656" i="3"/>
  <c r="E2656" i="3"/>
  <c r="F2655" i="3"/>
  <c r="E2655" i="3"/>
  <c r="F2654" i="3"/>
  <c r="E2654" i="3"/>
  <c r="F2653" i="3"/>
  <c r="E2653" i="3"/>
  <c r="F2652" i="3"/>
  <c r="E2652" i="3"/>
  <c r="F2651" i="3"/>
  <c r="E2651" i="3"/>
  <c r="F2650" i="3"/>
  <c r="E2650" i="3"/>
  <c r="F2649" i="3"/>
  <c r="E2649" i="3"/>
  <c r="F2648" i="3"/>
  <c r="E2648" i="3"/>
  <c r="F2647" i="3"/>
  <c r="E2647" i="3"/>
  <c r="F2646" i="3"/>
  <c r="E2646" i="3"/>
  <c r="F2645" i="3"/>
  <c r="E2645" i="3"/>
  <c r="F2644" i="3"/>
  <c r="E2644" i="3"/>
  <c r="F2643" i="3"/>
  <c r="E2643" i="3"/>
  <c r="F2642" i="3"/>
  <c r="E2642" i="3"/>
  <c r="F2641" i="3"/>
  <c r="E2641" i="3"/>
  <c r="F2640" i="3"/>
  <c r="E2640" i="3"/>
  <c r="F2639" i="3"/>
  <c r="E2639" i="3"/>
  <c r="F2638" i="3"/>
  <c r="E2638" i="3"/>
  <c r="F2637" i="3"/>
  <c r="E2637" i="3"/>
  <c r="F2636" i="3"/>
  <c r="E2636" i="3"/>
  <c r="F2635" i="3"/>
  <c r="E2635" i="3"/>
  <c r="F2634" i="3"/>
  <c r="E2634" i="3"/>
  <c r="F2633" i="3"/>
  <c r="E2633" i="3"/>
  <c r="F2632" i="3"/>
  <c r="E2632" i="3"/>
  <c r="F2631" i="3"/>
  <c r="E2631" i="3"/>
  <c r="F2630" i="3"/>
  <c r="E2630" i="3"/>
  <c r="F2629" i="3"/>
  <c r="E2629" i="3"/>
  <c r="F2628" i="3"/>
  <c r="E2628" i="3"/>
  <c r="F2627" i="3"/>
  <c r="E2627" i="3"/>
  <c r="F2626" i="3"/>
  <c r="E2626" i="3"/>
  <c r="F2625" i="3"/>
  <c r="E2625" i="3"/>
  <c r="F2624" i="3"/>
  <c r="E2624" i="3"/>
  <c r="F2623" i="3"/>
  <c r="E2623" i="3"/>
  <c r="F2622" i="3"/>
  <c r="E2622" i="3"/>
  <c r="F2621" i="3"/>
  <c r="E2621" i="3"/>
  <c r="F2620" i="3"/>
  <c r="E2620" i="3"/>
  <c r="F2619" i="3"/>
  <c r="E2619" i="3"/>
  <c r="F2618" i="3"/>
  <c r="E2618" i="3"/>
  <c r="F2617" i="3"/>
  <c r="E2617" i="3"/>
  <c r="F2616" i="3"/>
  <c r="E2616" i="3"/>
  <c r="F2615" i="3"/>
  <c r="E2615" i="3"/>
  <c r="F2614" i="3"/>
  <c r="E2614" i="3"/>
  <c r="F2613" i="3"/>
  <c r="E2613" i="3"/>
  <c r="F2612" i="3"/>
  <c r="E2612" i="3"/>
  <c r="F2611" i="3"/>
  <c r="E2611" i="3"/>
  <c r="F2610" i="3"/>
  <c r="E2610" i="3"/>
  <c r="F2609" i="3"/>
  <c r="E2609" i="3"/>
  <c r="F2608" i="3"/>
  <c r="E2608" i="3"/>
  <c r="F2607" i="3"/>
  <c r="E2607" i="3"/>
  <c r="F2606" i="3"/>
  <c r="E2606" i="3"/>
  <c r="F2605" i="3"/>
  <c r="E2605" i="3"/>
  <c r="F2604" i="3"/>
  <c r="E2604" i="3"/>
  <c r="F2603" i="3"/>
  <c r="E2603" i="3"/>
  <c r="F2602" i="3"/>
  <c r="E2602" i="3"/>
  <c r="F2601" i="3"/>
  <c r="E2601" i="3"/>
  <c r="F2600" i="3"/>
  <c r="E2600" i="3"/>
  <c r="F2599" i="3"/>
  <c r="E2599" i="3"/>
  <c r="F2598" i="3"/>
  <c r="E2598" i="3"/>
  <c r="F2597" i="3"/>
  <c r="E2597" i="3"/>
  <c r="F2596" i="3"/>
  <c r="E2596" i="3"/>
  <c r="F2595" i="3"/>
  <c r="E2595" i="3"/>
  <c r="F2594" i="3"/>
  <c r="E2594" i="3"/>
  <c r="F2593" i="3"/>
  <c r="E2593" i="3"/>
  <c r="F2592" i="3"/>
  <c r="E2592" i="3"/>
  <c r="F2591" i="3"/>
  <c r="E2591" i="3"/>
  <c r="F2590" i="3"/>
  <c r="E2590" i="3"/>
  <c r="F2589" i="3"/>
  <c r="E2589" i="3"/>
  <c r="F2588" i="3"/>
  <c r="E2588" i="3"/>
  <c r="F2587" i="3"/>
  <c r="E2587" i="3"/>
  <c r="F2586" i="3"/>
  <c r="E2586" i="3"/>
  <c r="F2585" i="3"/>
  <c r="E2585" i="3"/>
  <c r="F2584" i="3"/>
  <c r="E2584" i="3"/>
  <c r="F2583" i="3"/>
  <c r="E2583" i="3"/>
  <c r="F2582" i="3"/>
  <c r="E2582" i="3"/>
  <c r="F2581" i="3"/>
  <c r="E2581" i="3"/>
  <c r="F2580" i="3"/>
  <c r="E2580" i="3"/>
  <c r="F2579" i="3"/>
  <c r="E2579" i="3"/>
  <c r="F2578" i="3"/>
  <c r="E2578" i="3"/>
  <c r="F2577" i="3"/>
  <c r="E2577" i="3"/>
  <c r="F2576" i="3"/>
  <c r="E2576" i="3"/>
  <c r="F2575" i="3"/>
  <c r="E2575" i="3"/>
  <c r="F2574" i="3"/>
  <c r="E2574" i="3"/>
  <c r="F2573" i="3"/>
  <c r="E2573" i="3"/>
  <c r="F2572" i="3"/>
  <c r="E2572" i="3"/>
  <c r="F2571" i="3"/>
  <c r="E2571" i="3"/>
  <c r="F2570" i="3"/>
  <c r="E2570" i="3"/>
  <c r="F2569" i="3"/>
  <c r="E2569" i="3"/>
  <c r="F2568" i="3"/>
  <c r="E2568" i="3"/>
  <c r="F2567" i="3"/>
  <c r="E2567" i="3"/>
  <c r="F2566" i="3"/>
  <c r="E2566" i="3"/>
  <c r="F2565" i="3"/>
  <c r="E2565" i="3"/>
  <c r="F2564" i="3"/>
  <c r="E2564" i="3"/>
  <c r="F2563" i="3"/>
  <c r="E2563" i="3"/>
  <c r="F2562" i="3"/>
  <c r="E2562" i="3"/>
  <c r="F2561" i="3"/>
  <c r="E2561" i="3"/>
  <c r="F2560" i="3"/>
  <c r="E2560" i="3"/>
  <c r="F2559" i="3"/>
  <c r="E2559" i="3"/>
  <c r="F2558" i="3"/>
  <c r="E2558" i="3"/>
  <c r="F2557" i="3"/>
  <c r="E2557" i="3"/>
  <c r="F2556" i="3"/>
  <c r="E2556" i="3"/>
  <c r="F2555" i="3"/>
  <c r="E2555" i="3"/>
  <c r="F2554" i="3"/>
  <c r="E2554" i="3"/>
  <c r="F2553" i="3"/>
  <c r="E2553" i="3"/>
  <c r="F2552" i="3"/>
  <c r="E2552" i="3"/>
  <c r="F2551" i="3"/>
  <c r="E2551" i="3"/>
  <c r="F2550" i="3"/>
  <c r="E2550" i="3"/>
  <c r="F2549" i="3"/>
  <c r="E2549" i="3"/>
  <c r="F2548" i="3"/>
  <c r="E2548" i="3"/>
  <c r="F2547" i="3"/>
  <c r="E2547" i="3"/>
  <c r="F2546" i="3"/>
  <c r="E2546" i="3"/>
  <c r="F2545" i="3"/>
  <c r="E2545" i="3"/>
  <c r="F2544" i="3"/>
  <c r="E2544" i="3"/>
  <c r="F2543" i="3"/>
  <c r="E2543" i="3"/>
  <c r="F2542" i="3"/>
  <c r="E2542" i="3"/>
  <c r="F2541" i="3"/>
  <c r="E2541" i="3"/>
  <c r="F2540" i="3"/>
  <c r="E2540" i="3"/>
  <c r="F2539" i="3"/>
  <c r="E2539" i="3"/>
  <c r="F2538" i="3"/>
  <c r="E2538" i="3"/>
  <c r="F2537" i="3"/>
  <c r="E2537" i="3"/>
  <c r="F2536" i="3"/>
  <c r="E2536" i="3"/>
  <c r="F2535" i="3"/>
  <c r="E2535" i="3"/>
  <c r="F2534" i="3"/>
  <c r="E2534" i="3"/>
  <c r="F2533" i="3"/>
  <c r="E2533" i="3"/>
  <c r="F2532" i="3"/>
  <c r="E2532" i="3"/>
  <c r="F2531" i="3"/>
  <c r="E2531" i="3"/>
  <c r="F2530" i="3"/>
  <c r="E2530" i="3"/>
  <c r="F2529" i="3"/>
  <c r="E2529" i="3"/>
  <c r="F2528" i="3"/>
  <c r="E2528" i="3"/>
  <c r="F2527" i="3"/>
  <c r="E2527" i="3"/>
  <c r="F2526" i="3"/>
  <c r="E2526" i="3"/>
  <c r="F2525" i="3"/>
  <c r="E2525" i="3"/>
  <c r="F2524" i="3"/>
  <c r="E2524" i="3"/>
  <c r="F2523" i="3"/>
  <c r="E2523" i="3"/>
  <c r="F2522" i="3"/>
  <c r="E2522" i="3"/>
  <c r="F2521" i="3"/>
  <c r="E2521" i="3"/>
  <c r="F2520" i="3"/>
  <c r="E2520" i="3"/>
  <c r="F2519" i="3"/>
  <c r="E2519" i="3"/>
  <c r="F2518" i="3"/>
  <c r="E2518" i="3"/>
  <c r="F2517" i="3"/>
  <c r="E2517" i="3"/>
  <c r="F2516" i="3"/>
  <c r="E2516" i="3"/>
  <c r="F2515" i="3"/>
  <c r="E2515" i="3"/>
  <c r="F2514" i="3"/>
  <c r="E2514" i="3"/>
  <c r="F2513" i="3"/>
  <c r="E2513" i="3"/>
  <c r="F2512" i="3"/>
  <c r="E2512" i="3"/>
  <c r="F2511" i="3"/>
  <c r="E2511" i="3"/>
  <c r="F2510" i="3"/>
  <c r="E2510" i="3"/>
  <c r="F2509" i="3"/>
  <c r="E2509" i="3"/>
  <c r="F2508" i="3"/>
  <c r="E2508" i="3"/>
  <c r="F2507" i="3"/>
  <c r="E2507" i="3"/>
  <c r="F2506" i="3"/>
  <c r="E2506" i="3"/>
  <c r="F2505" i="3"/>
  <c r="E2505" i="3"/>
  <c r="F2504" i="3"/>
  <c r="E2504" i="3"/>
  <c r="F2503" i="3"/>
  <c r="E2503" i="3"/>
  <c r="F2502" i="3"/>
  <c r="E2502" i="3"/>
  <c r="F2501" i="3"/>
  <c r="E2501" i="3"/>
  <c r="F2500" i="3"/>
  <c r="E2500" i="3"/>
  <c r="F2499" i="3"/>
  <c r="E2499" i="3"/>
  <c r="F2498" i="3"/>
  <c r="E2498" i="3"/>
  <c r="F2497" i="3"/>
  <c r="E2497" i="3"/>
  <c r="F2496" i="3"/>
  <c r="E2496" i="3"/>
  <c r="F2495" i="3"/>
  <c r="E2495" i="3"/>
  <c r="F2494" i="3"/>
  <c r="E2494" i="3"/>
  <c r="F2493" i="3"/>
  <c r="E2493" i="3"/>
  <c r="F2492" i="3"/>
  <c r="E2492" i="3"/>
  <c r="F2491" i="3"/>
  <c r="E2491" i="3"/>
  <c r="F2490" i="3"/>
  <c r="E2490" i="3"/>
  <c r="F2489" i="3"/>
  <c r="E2489" i="3"/>
  <c r="F2488" i="3"/>
  <c r="E2488" i="3"/>
  <c r="F2487" i="3"/>
  <c r="E2487" i="3"/>
  <c r="F2486" i="3"/>
  <c r="E2486" i="3"/>
  <c r="F2485" i="3"/>
  <c r="E2485" i="3"/>
  <c r="F2484" i="3"/>
  <c r="E2484" i="3"/>
  <c r="F2483" i="3"/>
  <c r="E2483" i="3"/>
  <c r="F2482" i="3"/>
  <c r="E2482" i="3"/>
  <c r="F2481" i="3"/>
  <c r="E2481" i="3"/>
  <c r="F2480" i="3"/>
  <c r="E2480" i="3"/>
  <c r="F2479" i="3"/>
  <c r="E2479" i="3"/>
  <c r="F2478" i="3"/>
  <c r="E2478" i="3"/>
  <c r="F2477" i="3"/>
  <c r="E2477" i="3"/>
  <c r="F2476" i="3"/>
  <c r="E2476" i="3"/>
  <c r="F2475" i="3"/>
  <c r="E2475" i="3"/>
  <c r="F2474" i="3"/>
  <c r="E2474" i="3"/>
  <c r="F2473" i="3"/>
  <c r="E2473" i="3"/>
  <c r="F2472" i="3"/>
  <c r="E2472" i="3"/>
  <c r="F2471" i="3"/>
  <c r="E2471" i="3"/>
  <c r="F2470" i="3"/>
  <c r="E2470" i="3"/>
  <c r="F2469" i="3"/>
  <c r="E2469" i="3"/>
  <c r="F2468" i="3"/>
  <c r="E2468" i="3"/>
  <c r="F2467" i="3"/>
  <c r="E2467" i="3"/>
  <c r="F2466" i="3"/>
  <c r="E2466" i="3"/>
  <c r="F2465" i="3"/>
  <c r="E2465" i="3"/>
  <c r="F2464" i="3"/>
  <c r="E2464" i="3"/>
  <c r="F2463" i="3"/>
  <c r="E2463" i="3"/>
  <c r="F2462" i="3"/>
  <c r="E2462" i="3"/>
  <c r="F2461" i="3"/>
  <c r="E2461" i="3"/>
  <c r="F2460" i="3"/>
  <c r="E2460" i="3"/>
  <c r="F2459" i="3"/>
  <c r="E2459" i="3"/>
  <c r="F2458" i="3"/>
  <c r="E2458" i="3"/>
  <c r="F2457" i="3"/>
  <c r="E2457" i="3"/>
  <c r="F2456" i="3"/>
  <c r="E2456" i="3"/>
  <c r="F2455" i="3"/>
  <c r="E2455" i="3"/>
  <c r="F2454" i="3"/>
  <c r="E2454" i="3"/>
  <c r="F2453" i="3"/>
  <c r="E2453" i="3"/>
  <c r="F2452" i="3"/>
  <c r="E2452" i="3"/>
  <c r="F2451" i="3"/>
  <c r="E2451" i="3"/>
  <c r="F2450" i="3"/>
  <c r="E2450" i="3"/>
  <c r="F2449" i="3"/>
  <c r="E2449" i="3"/>
  <c r="F2448" i="3"/>
  <c r="E2448" i="3"/>
  <c r="F2447" i="3"/>
  <c r="E2447" i="3"/>
  <c r="F2446" i="3"/>
  <c r="E2446" i="3"/>
  <c r="F2445" i="3"/>
  <c r="E2445" i="3"/>
  <c r="F2444" i="3"/>
  <c r="E2444" i="3"/>
  <c r="F2443" i="3"/>
  <c r="E2443" i="3"/>
  <c r="F2442" i="3"/>
  <c r="E2442" i="3"/>
  <c r="F2441" i="3"/>
  <c r="E2441" i="3"/>
  <c r="F2440" i="3"/>
  <c r="E2440" i="3"/>
  <c r="F2439" i="3"/>
  <c r="E2439" i="3"/>
  <c r="F2438" i="3"/>
  <c r="E2438" i="3"/>
  <c r="F2437" i="3"/>
  <c r="E2437" i="3"/>
  <c r="F2436" i="3"/>
  <c r="E2436" i="3"/>
  <c r="F2435" i="3"/>
  <c r="E2435" i="3"/>
  <c r="F2434" i="3"/>
  <c r="E2434" i="3"/>
  <c r="F2433" i="3"/>
  <c r="E2433" i="3"/>
  <c r="F2432" i="3"/>
  <c r="E2432" i="3"/>
  <c r="F2431" i="3"/>
  <c r="E2431" i="3"/>
  <c r="F2430" i="3"/>
  <c r="E2430" i="3"/>
  <c r="F2429" i="3"/>
  <c r="E2429" i="3"/>
  <c r="F2428" i="3"/>
  <c r="E2428" i="3"/>
  <c r="F2427" i="3"/>
  <c r="E2427" i="3"/>
  <c r="F2426" i="3"/>
  <c r="E2426" i="3"/>
  <c r="F2425" i="3"/>
  <c r="E2425" i="3"/>
  <c r="F2424" i="3"/>
  <c r="E2424" i="3"/>
  <c r="F2423" i="3"/>
  <c r="E2423" i="3"/>
  <c r="F2422" i="3"/>
  <c r="E2422" i="3"/>
  <c r="F2421" i="3"/>
  <c r="E2421" i="3"/>
  <c r="F2420" i="3"/>
  <c r="E2420" i="3"/>
  <c r="F2419" i="3"/>
  <c r="E2419" i="3"/>
  <c r="F2418" i="3"/>
  <c r="E2418" i="3"/>
  <c r="F2417" i="3"/>
  <c r="E2417" i="3"/>
  <c r="F2416" i="3"/>
  <c r="E2416" i="3"/>
  <c r="F2415" i="3"/>
  <c r="E2415" i="3"/>
  <c r="F2414" i="3"/>
  <c r="E2414" i="3"/>
  <c r="F2413" i="3"/>
  <c r="E2413" i="3"/>
  <c r="F2412" i="3"/>
  <c r="E2412" i="3"/>
  <c r="F2411" i="3"/>
  <c r="E2411" i="3"/>
  <c r="F2410" i="3"/>
  <c r="E2410" i="3"/>
  <c r="F2409" i="3"/>
  <c r="E2409" i="3"/>
  <c r="F2408" i="3"/>
  <c r="E2408" i="3"/>
  <c r="F2407" i="3"/>
  <c r="E2407" i="3"/>
  <c r="F2406" i="3"/>
  <c r="E2406" i="3"/>
  <c r="F2405" i="3"/>
  <c r="E2405" i="3"/>
  <c r="F2404" i="3"/>
  <c r="E2404" i="3"/>
  <c r="F2403" i="3"/>
  <c r="E2403" i="3"/>
  <c r="F2402" i="3"/>
  <c r="E2402" i="3"/>
  <c r="F2401" i="3"/>
  <c r="E2401" i="3"/>
  <c r="F2400" i="3"/>
  <c r="E2400" i="3"/>
  <c r="F2399" i="3"/>
  <c r="E2399" i="3"/>
  <c r="F2398" i="3"/>
  <c r="E2398" i="3"/>
  <c r="F2397" i="3"/>
  <c r="E2397" i="3"/>
  <c r="F2396" i="3"/>
  <c r="E2396" i="3"/>
  <c r="F2395" i="3"/>
  <c r="E2395" i="3"/>
  <c r="F2394" i="3"/>
  <c r="E2394" i="3"/>
  <c r="F2393" i="3"/>
  <c r="E2393" i="3"/>
  <c r="F2392" i="3"/>
  <c r="E2392" i="3"/>
  <c r="F2391" i="3"/>
  <c r="E2391" i="3"/>
  <c r="F2390" i="3"/>
  <c r="E2390" i="3"/>
  <c r="F2389" i="3"/>
  <c r="E2389" i="3"/>
  <c r="F2388" i="3"/>
  <c r="E2388" i="3"/>
  <c r="F2387" i="3"/>
  <c r="E2387" i="3"/>
  <c r="F2386" i="3"/>
  <c r="E2386" i="3"/>
  <c r="F2385" i="3"/>
  <c r="E2385" i="3"/>
  <c r="F2384" i="3"/>
  <c r="E2384" i="3"/>
  <c r="F2383" i="3"/>
  <c r="E2383" i="3"/>
  <c r="F2382" i="3"/>
  <c r="E2382" i="3"/>
  <c r="F2381" i="3"/>
  <c r="E2381" i="3"/>
  <c r="F2380" i="3"/>
  <c r="E2380" i="3"/>
  <c r="F2379" i="3"/>
  <c r="E2379" i="3"/>
  <c r="F2378" i="3"/>
  <c r="E2378" i="3"/>
  <c r="F2377" i="3"/>
  <c r="E2377" i="3"/>
  <c r="F2376" i="3"/>
  <c r="E2376" i="3"/>
  <c r="F2375" i="3"/>
  <c r="E2375" i="3"/>
  <c r="F2374" i="3"/>
  <c r="E2374" i="3"/>
  <c r="F2373" i="3"/>
  <c r="E2373" i="3"/>
  <c r="F2372" i="3"/>
  <c r="E2372" i="3"/>
  <c r="F2371" i="3"/>
  <c r="E2371" i="3"/>
  <c r="F2370" i="3"/>
  <c r="E2370" i="3"/>
  <c r="F2369" i="3"/>
  <c r="E2369" i="3"/>
  <c r="F2368" i="3"/>
  <c r="E2368" i="3"/>
  <c r="F2367" i="3"/>
  <c r="E2367" i="3"/>
  <c r="F2366" i="3"/>
  <c r="E2366" i="3"/>
  <c r="F2365" i="3"/>
  <c r="E2365" i="3"/>
  <c r="F2364" i="3"/>
  <c r="E2364" i="3"/>
  <c r="F2363" i="3"/>
  <c r="E2363" i="3"/>
  <c r="F2362" i="3"/>
  <c r="E2362" i="3"/>
  <c r="F2361" i="3"/>
  <c r="E2361" i="3"/>
  <c r="F2360" i="3"/>
  <c r="E2360" i="3"/>
  <c r="F2359" i="3"/>
  <c r="E2359" i="3"/>
  <c r="F2358" i="3"/>
  <c r="E2358" i="3"/>
  <c r="F2357" i="3"/>
  <c r="E2357" i="3"/>
  <c r="F2356" i="3"/>
  <c r="E2356" i="3"/>
  <c r="F2355" i="3"/>
  <c r="E2355" i="3"/>
  <c r="F2354" i="3"/>
  <c r="E2354" i="3"/>
  <c r="F2353" i="3"/>
  <c r="E2353" i="3"/>
  <c r="F2352" i="3"/>
  <c r="E2352" i="3"/>
  <c r="F2351" i="3"/>
  <c r="E2351" i="3"/>
  <c r="F2350" i="3"/>
  <c r="E2350" i="3"/>
  <c r="F2349" i="3"/>
  <c r="E2349" i="3"/>
  <c r="F2348" i="3"/>
  <c r="E2348" i="3"/>
  <c r="F2347" i="3"/>
  <c r="E2347" i="3"/>
  <c r="F2346" i="3"/>
  <c r="E2346" i="3"/>
  <c r="F2345" i="3"/>
  <c r="E2345" i="3"/>
  <c r="F2344" i="3"/>
  <c r="E2344" i="3"/>
  <c r="F2343" i="3"/>
  <c r="E2343" i="3"/>
  <c r="F2342" i="3"/>
  <c r="E2342" i="3"/>
  <c r="F2341" i="3"/>
  <c r="E2341" i="3"/>
  <c r="F2340" i="3"/>
  <c r="E2340" i="3"/>
  <c r="F2339" i="3"/>
  <c r="E2339" i="3"/>
  <c r="F2338" i="3"/>
  <c r="E2338" i="3"/>
  <c r="F2337" i="3"/>
  <c r="E2337" i="3"/>
  <c r="F2336" i="3"/>
  <c r="E2336" i="3"/>
  <c r="F2335" i="3"/>
  <c r="E2335" i="3"/>
  <c r="F2334" i="3"/>
  <c r="E2334" i="3"/>
  <c r="F2333" i="3"/>
  <c r="E2333" i="3"/>
  <c r="F2332" i="3"/>
  <c r="E2332" i="3"/>
  <c r="F2331" i="3"/>
  <c r="E2331" i="3"/>
  <c r="F2330" i="3"/>
  <c r="E2330" i="3"/>
  <c r="F2329" i="3"/>
  <c r="E2329" i="3"/>
  <c r="F2328" i="3"/>
  <c r="E2328" i="3"/>
  <c r="F2327" i="3"/>
  <c r="E2327" i="3"/>
  <c r="F2326" i="3"/>
  <c r="E2326" i="3"/>
  <c r="F2325" i="3"/>
  <c r="E2325" i="3"/>
  <c r="F2324" i="3"/>
  <c r="E2324" i="3"/>
  <c r="F2323" i="3"/>
  <c r="E2323" i="3"/>
  <c r="F2322" i="3"/>
  <c r="E2322" i="3"/>
  <c r="F2321" i="3"/>
  <c r="E2321" i="3"/>
  <c r="F2320" i="3"/>
  <c r="E2320" i="3"/>
  <c r="F2319" i="3"/>
  <c r="E2319" i="3"/>
  <c r="F2318" i="3"/>
  <c r="E2318" i="3"/>
  <c r="F2317" i="3"/>
  <c r="E2317" i="3"/>
  <c r="F2316" i="3"/>
  <c r="E2316" i="3"/>
  <c r="F2315" i="3"/>
  <c r="E2315" i="3"/>
  <c r="F2314" i="3"/>
  <c r="E2314" i="3"/>
  <c r="F2313" i="3"/>
  <c r="E2313" i="3"/>
  <c r="F2312" i="3"/>
  <c r="E2312" i="3"/>
  <c r="F2311" i="3"/>
  <c r="E2311" i="3"/>
  <c r="F2310" i="3"/>
  <c r="E2310" i="3"/>
  <c r="F2309" i="3"/>
  <c r="E2309" i="3"/>
  <c r="F2308" i="3"/>
  <c r="E2308" i="3"/>
  <c r="F2307" i="3"/>
  <c r="E2307" i="3"/>
  <c r="F2306" i="3"/>
  <c r="E2306" i="3"/>
  <c r="F2305" i="3"/>
  <c r="E2305" i="3"/>
  <c r="F2304" i="3"/>
  <c r="E2304" i="3"/>
  <c r="F2303" i="3"/>
  <c r="E2303" i="3"/>
  <c r="F2302" i="3"/>
  <c r="E2302" i="3"/>
  <c r="F2301" i="3"/>
  <c r="E2301" i="3"/>
  <c r="F2300" i="3"/>
  <c r="E2300" i="3"/>
  <c r="F2299" i="3"/>
  <c r="E2299" i="3"/>
  <c r="F2298" i="3"/>
  <c r="E2298" i="3"/>
  <c r="F2297" i="3"/>
  <c r="E2297" i="3"/>
  <c r="F2296" i="3"/>
  <c r="E2296" i="3"/>
  <c r="F2295" i="3"/>
  <c r="E2295" i="3"/>
  <c r="F2294" i="3"/>
  <c r="E2294" i="3"/>
  <c r="F2293" i="3"/>
  <c r="E2293" i="3"/>
  <c r="F2292" i="3"/>
  <c r="E2292" i="3"/>
  <c r="F2291" i="3"/>
  <c r="E2291" i="3"/>
  <c r="F2290" i="3"/>
  <c r="E2290" i="3"/>
  <c r="F2289" i="3"/>
  <c r="E2289" i="3"/>
  <c r="F2288" i="3"/>
  <c r="E2288" i="3"/>
  <c r="F2287" i="3"/>
  <c r="E2287" i="3"/>
  <c r="F2286" i="3"/>
  <c r="E2286" i="3"/>
  <c r="F2285" i="3"/>
  <c r="E2285" i="3"/>
  <c r="F2284" i="3"/>
  <c r="E2284" i="3"/>
  <c r="F2283" i="3"/>
  <c r="E2283" i="3"/>
  <c r="F2282" i="3"/>
  <c r="E2282" i="3"/>
  <c r="F2281" i="3"/>
  <c r="E2281" i="3"/>
  <c r="F2280" i="3"/>
  <c r="E2280" i="3"/>
  <c r="F2279" i="3"/>
  <c r="E2279" i="3"/>
  <c r="F2278" i="3"/>
  <c r="E2278" i="3"/>
  <c r="F2277" i="3"/>
  <c r="E2277" i="3"/>
  <c r="F2276" i="3"/>
  <c r="E2276" i="3"/>
  <c r="F2275" i="3"/>
  <c r="E2275" i="3"/>
  <c r="F2274" i="3"/>
  <c r="E2274" i="3"/>
  <c r="F2273" i="3"/>
  <c r="E2273" i="3"/>
  <c r="F2272" i="3"/>
  <c r="E2272" i="3"/>
  <c r="F2271" i="3"/>
  <c r="E2271" i="3"/>
  <c r="F2270" i="3"/>
  <c r="E2270" i="3"/>
  <c r="F2269" i="3"/>
  <c r="E2269" i="3"/>
  <c r="F2268" i="3"/>
  <c r="E2268" i="3"/>
  <c r="F2267" i="3"/>
  <c r="E2267" i="3"/>
  <c r="F2266" i="3"/>
  <c r="E2266" i="3"/>
  <c r="F2265" i="3"/>
  <c r="E2265" i="3"/>
  <c r="F2264" i="3"/>
  <c r="E2264" i="3"/>
  <c r="F2263" i="3"/>
  <c r="E2263" i="3"/>
  <c r="F2262" i="3"/>
  <c r="E2262" i="3"/>
  <c r="F2261" i="3"/>
  <c r="E2261" i="3"/>
  <c r="F2260" i="3"/>
  <c r="E2260" i="3"/>
  <c r="F2259" i="3"/>
  <c r="E2259" i="3"/>
  <c r="F2258" i="3"/>
  <c r="E2258" i="3"/>
  <c r="F2257" i="3"/>
  <c r="E2257" i="3"/>
  <c r="F2256" i="3"/>
  <c r="E2256" i="3"/>
  <c r="F2255" i="3"/>
  <c r="E2255" i="3"/>
  <c r="F2254" i="3"/>
  <c r="E2254" i="3"/>
  <c r="F2253" i="3"/>
  <c r="E2253" i="3"/>
  <c r="F2252" i="3"/>
  <c r="E2252" i="3"/>
  <c r="F2251" i="3"/>
  <c r="E2251" i="3"/>
  <c r="F2250" i="3"/>
  <c r="E2250" i="3"/>
  <c r="F2249" i="3"/>
  <c r="E2249" i="3"/>
  <c r="F2248" i="3"/>
  <c r="E2248" i="3"/>
  <c r="F2247" i="3"/>
  <c r="E2247" i="3"/>
  <c r="F2246" i="3"/>
  <c r="E2246" i="3"/>
  <c r="F2245" i="3"/>
  <c r="E2245" i="3"/>
  <c r="F2244" i="3"/>
  <c r="E2244" i="3"/>
  <c r="F2243" i="3"/>
  <c r="E2243" i="3"/>
  <c r="F2242" i="3"/>
  <c r="E2242" i="3"/>
  <c r="F2241" i="3"/>
  <c r="E2241" i="3"/>
  <c r="F2240" i="3"/>
  <c r="E2240" i="3"/>
  <c r="F2239" i="3"/>
  <c r="E2239" i="3"/>
  <c r="F2238" i="3"/>
  <c r="E2238" i="3"/>
  <c r="F2237" i="3"/>
  <c r="E2237" i="3"/>
  <c r="F2236" i="3"/>
  <c r="E2236" i="3"/>
  <c r="F2235" i="3"/>
  <c r="E2235" i="3"/>
  <c r="F2234" i="3"/>
  <c r="E2234" i="3"/>
  <c r="F2233" i="3"/>
  <c r="E2233" i="3"/>
  <c r="F2232" i="3"/>
  <c r="E2232" i="3"/>
  <c r="F2231" i="3"/>
  <c r="E2231" i="3"/>
  <c r="F2230" i="3"/>
  <c r="E2230" i="3"/>
  <c r="F2229" i="3"/>
  <c r="E2229" i="3"/>
  <c r="F2228" i="3"/>
  <c r="E2228" i="3"/>
  <c r="F2227" i="3"/>
  <c r="E2227" i="3"/>
  <c r="F2226" i="3"/>
  <c r="E2226" i="3"/>
  <c r="F2225" i="3"/>
  <c r="E2225" i="3"/>
  <c r="F2224" i="3"/>
  <c r="E2224" i="3"/>
  <c r="F2223" i="3"/>
  <c r="E2223" i="3"/>
  <c r="F2222" i="3"/>
  <c r="E2222" i="3"/>
  <c r="F2221" i="3"/>
  <c r="E2221" i="3"/>
  <c r="F2220" i="3"/>
  <c r="E2220" i="3"/>
  <c r="F2219" i="3"/>
  <c r="E2219" i="3"/>
  <c r="F2218" i="3"/>
  <c r="E2218" i="3"/>
  <c r="F2217" i="3"/>
  <c r="E2217" i="3"/>
  <c r="F2216" i="3"/>
  <c r="E2216" i="3"/>
  <c r="F2215" i="3"/>
  <c r="E2215" i="3"/>
  <c r="F2214" i="3"/>
  <c r="E2214" i="3"/>
  <c r="F2213" i="3"/>
  <c r="E2213" i="3"/>
  <c r="F2212" i="3"/>
  <c r="E2212" i="3"/>
  <c r="F2211" i="3"/>
  <c r="E2211" i="3"/>
  <c r="F2210" i="3"/>
  <c r="E2210" i="3"/>
  <c r="F2209" i="3"/>
  <c r="E2209" i="3"/>
  <c r="F2208" i="3"/>
  <c r="E2208" i="3"/>
  <c r="F2207" i="3"/>
  <c r="E2207" i="3"/>
  <c r="F2206" i="3"/>
  <c r="E2206" i="3"/>
  <c r="F2205" i="3"/>
  <c r="E2205" i="3"/>
  <c r="F2204" i="3"/>
  <c r="E2204" i="3"/>
  <c r="F2203" i="3"/>
  <c r="E2203" i="3"/>
  <c r="F2202" i="3"/>
  <c r="E2202" i="3"/>
  <c r="F2201" i="3"/>
  <c r="E2201" i="3"/>
  <c r="F2200" i="3"/>
  <c r="E2200" i="3"/>
  <c r="F2199" i="3"/>
  <c r="E2199" i="3"/>
  <c r="F2198" i="3"/>
  <c r="E2198" i="3"/>
  <c r="F2197" i="3"/>
  <c r="E2197" i="3"/>
  <c r="F2196" i="3"/>
  <c r="E2196" i="3"/>
  <c r="F2195" i="3"/>
  <c r="E2195" i="3"/>
  <c r="F2194" i="3"/>
  <c r="E2194" i="3"/>
  <c r="F2193" i="3"/>
  <c r="E2193" i="3"/>
  <c r="F2192" i="3"/>
  <c r="E2192" i="3"/>
  <c r="F2191" i="3"/>
  <c r="E2191" i="3"/>
  <c r="F2190" i="3"/>
  <c r="E2190" i="3"/>
  <c r="F2189" i="3"/>
  <c r="E2189" i="3"/>
  <c r="F2188" i="3"/>
  <c r="E2188" i="3"/>
  <c r="F2187" i="3"/>
  <c r="E2187" i="3"/>
  <c r="F2186" i="3"/>
  <c r="E2186" i="3"/>
  <c r="F2185" i="3"/>
  <c r="E2185" i="3"/>
  <c r="F2184" i="3"/>
  <c r="E2184" i="3"/>
  <c r="F2183" i="3"/>
  <c r="E2183" i="3"/>
  <c r="F2182" i="3"/>
  <c r="E2182" i="3"/>
  <c r="F2181" i="3"/>
  <c r="E2181" i="3"/>
  <c r="F2180" i="3"/>
  <c r="E2180" i="3"/>
  <c r="F2179" i="3"/>
  <c r="E2179" i="3"/>
  <c r="F2178" i="3"/>
  <c r="E2178" i="3"/>
  <c r="F2177" i="3"/>
  <c r="E2177" i="3"/>
  <c r="F2176" i="3"/>
  <c r="E2176" i="3"/>
  <c r="F2175" i="3"/>
  <c r="E2175" i="3"/>
  <c r="F2174" i="3"/>
  <c r="E2174" i="3"/>
  <c r="F2173" i="3"/>
  <c r="E2173" i="3"/>
  <c r="F2172" i="3"/>
  <c r="E2172" i="3"/>
  <c r="F2171" i="3"/>
  <c r="E2171" i="3"/>
  <c r="F2170" i="3"/>
  <c r="E2170" i="3"/>
  <c r="F2169" i="3"/>
  <c r="E2169" i="3"/>
  <c r="F2168" i="3"/>
  <c r="E2168" i="3"/>
  <c r="F2167" i="3"/>
  <c r="E2167" i="3"/>
  <c r="F2166" i="3"/>
  <c r="E2166" i="3"/>
  <c r="F2165" i="3"/>
  <c r="E2165" i="3"/>
  <c r="F2164" i="3"/>
  <c r="E2164" i="3"/>
  <c r="F2163" i="3"/>
  <c r="E2163" i="3"/>
  <c r="F2162" i="3"/>
  <c r="E2162" i="3"/>
  <c r="F2161" i="3"/>
  <c r="E2161" i="3"/>
  <c r="F2160" i="3"/>
  <c r="E2160" i="3"/>
  <c r="F2159" i="3"/>
  <c r="E2159" i="3"/>
  <c r="F2158" i="3"/>
  <c r="E2158" i="3"/>
  <c r="F2157" i="3"/>
  <c r="E2157" i="3"/>
  <c r="F2156" i="3"/>
  <c r="E2156" i="3"/>
  <c r="F2155" i="3"/>
  <c r="E2155" i="3"/>
  <c r="F2154" i="3"/>
  <c r="E2154" i="3"/>
  <c r="F2153" i="3"/>
  <c r="E2153" i="3"/>
  <c r="F2152" i="3"/>
  <c r="E2152" i="3"/>
  <c r="F2151" i="3"/>
  <c r="E2151" i="3"/>
  <c r="F2150" i="3"/>
  <c r="E2150" i="3"/>
  <c r="F2149" i="3"/>
  <c r="E2149" i="3"/>
  <c r="F2148" i="3"/>
  <c r="E2148" i="3"/>
  <c r="F2147" i="3"/>
  <c r="E2147" i="3"/>
  <c r="F2146" i="3"/>
  <c r="E2146" i="3"/>
  <c r="F2145" i="3"/>
  <c r="E2145" i="3"/>
  <c r="F2144" i="3"/>
  <c r="E2144" i="3"/>
  <c r="F2143" i="3"/>
  <c r="E2143" i="3"/>
  <c r="F2142" i="3"/>
  <c r="E2142" i="3"/>
  <c r="F2141" i="3"/>
  <c r="E2141" i="3"/>
  <c r="F2140" i="3"/>
  <c r="E2140" i="3"/>
  <c r="F2139" i="3"/>
  <c r="E2139" i="3"/>
  <c r="F2138" i="3"/>
  <c r="E2138" i="3"/>
  <c r="F2137" i="3"/>
  <c r="E2137" i="3"/>
  <c r="F2136" i="3"/>
  <c r="E2136" i="3"/>
  <c r="F2135" i="3"/>
  <c r="E2135" i="3"/>
  <c r="F2134" i="3"/>
  <c r="E2134" i="3"/>
  <c r="F2133" i="3"/>
  <c r="E2133" i="3"/>
  <c r="F2132" i="3"/>
  <c r="E2132" i="3"/>
  <c r="F2131" i="3"/>
  <c r="E2131" i="3"/>
  <c r="F2130" i="3"/>
  <c r="E2130" i="3"/>
  <c r="F2129" i="3"/>
  <c r="E2129" i="3"/>
  <c r="F2128" i="3"/>
  <c r="E2128" i="3"/>
  <c r="F2127" i="3"/>
  <c r="E2127" i="3"/>
  <c r="F2126" i="3"/>
  <c r="E2126" i="3"/>
  <c r="F2125" i="3"/>
  <c r="E2125" i="3"/>
  <c r="F2124" i="3"/>
  <c r="E2124" i="3"/>
  <c r="F2123" i="3"/>
  <c r="E2123" i="3"/>
  <c r="F2122" i="3"/>
  <c r="E2122" i="3"/>
  <c r="F2121" i="3"/>
  <c r="E2121" i="3"/>
  <c r="F2120" i="3"/>
  <c r="E2120" i="3"/>
  <c r="F2119" i="3"/>
  <c r="E2119" i="3"/>
  <c r="F2118" i="3"/>
  <c r="E2118" i="3"/>
  <c r="F2117" i="3"/>
  <c r="E2117" i="3"/>
  <c r="F2116" i="3"/>
  <c r="E2116" i="3"/>
  <c r="F2115" i="3"/>
  <c r="E2115" i="3"/>
  <c r="F2114" i="3"/>
  <c r="E2114" i="3"/>
  <c r="F2113" i="3"/>
  <c r="E2113" i="3"/>
  <c r="F2112" i="3"/>
  <c r="E2112" i="3"/>
  <c r="F2111" i="3"/>
  <c r="E2111" i="3"/>
  <c r="F2110" i="3"/>
  <c r="E2110" i="3"/>
  <c r="F2109" i="3"/>
  <c r="E2109" i="3"/>
  <c r="F2108" i="3"/>
  <c r="E2108" i="3"/>
  <c r="F2107" i="3"/>
  <c r="E2107" i="3"/>
  <c r="F2106" i="3"/>
  <c r="E2106" i="3"/>
  <c r="F2105" i="3"/>
  <c r="E2105" i="3"/>
  <c r="F2104" i="3"/>
  <c r="E2104" i="3"/>
  <c r="F2103" i="3"/>
  <c r="E2103" i="3"/>
  <c r="F2102" i="3"/>
  <c r="E2102" i="3"/>
  <c r="F2101" i="3"/>
  <c r="E2101" i="3"/>
  <c r="F2100" i="3"/>
  <c r="E2100" i="3"/>
  <c r="F2099" i="3"/>
  <c r="E2099" i="3"/>
  <c r="F2098" i="3"/>
  <c r="E2098" i="3"/>
  <c r="F2097" i="3"/>
  <c r="E2097" i="3"/>
  <c r="F2096" i="3"/>
  <c r="E2096" i="3"/>
  <c r="F2095" i="3"/>
  <c r="E2095" i="3"/>
  <c r="F2094" i="3"/>
  <c r="E2094" i="3"/>
  <c r="F2093" i="3"/>
  <c r="E2093" i="3"/>
  <c r="F2092" i="3"/>
  <c r="E2092" i="3"/>
  <c r="F2091" i="3"/>
  <c r="E2091" i="3"/>
  <c r="F2090" i="3"/>
  <c r="E2090" i="3"/>
  <c r="F2089" i="3"/>
  <c r="E2089" i="3"/>
  <c r="F2088" i="3"/>
  <c r="E2088" i="3"/>
  <c r="F2087" i="3"/>
  <c r="E2087" i="3"/>
  <c r="F2086" i="3"/>
  <c r="E2086" i="3"/>
  <c r="F2085" i="3"/>
  <c r="E2085" i="3"/>
  <c r="F2084" i="3"/>
  <c r="E2084" i="3"/>
  <c r="F2083" i="3"/>
  <c r="E2083" i="3"/>
  <c r="F2082" i="3"/>
  <c r="E2082" i="3"/>
  <c r="F2081" i="3"/>
  <c r="E2081" i="3"/>
  <c r="F2080" i="3"/>
  <c r="E2080" i="3"/>
  <c r="F2079" i="3"/>
  <c r="E2079" i="3"/>
  <c r="F2078" i="3"/>
  <c r="E2078" i="3"/>
  <c r="F2077" i="3"/>
  <c r="E2077" i="3"/>
  <c r="F2076" i="3"/>
  <c r="E2076" i="3"/>
  <c r="F2075" i="3"/>
  <c r="E2075" i="3"/>
  <c r="F2074" i="3"/>
  <c r="E2074" i="3"/>
  <c r="F2073" i="3"/>
  <c r="E2073" i="3"/>
  <c r="F2072" i="3"/>
  <c r="E2072" i="3"/>
  <c r="F2071" i="3"/>
  <c r="E2071" i="3"/>
  <c r="F2070" i="3"/>
  <c r="E2070" i="3"/>
  <c r="F2069" i="3"/>
  <c r="E2069" i="3"/>
  <c r="F2068" i="3"/>
  <c r="E2068" i="3"/>
  <c r="F2067" i="3"/>
  <c r="E2067" i="3"/>
  <c r="F2066" i="3"/>
  <c r="E2066" i="3"/>
  <c r="F2065" i="3"/>
  <c r="E2065" i="3"/>
  <c r="F2064" i="3"/>
  <c r="E2064" i="3"/>
  <c r="F2063" i="3"/>
  <c r="E2063" i="3"/>
  <c r="F2062" i="3"/>
  <c r="E2062" i="3"/>
  <c r="F2061" i="3"/>
  <c r="E2061" i="3"/>
  <c r="F2060" i="3"/>
  <c r="E2060" i="3"/>
  <c r="F2059" i="3"/>
  <c r="E2059" i="3"/>
  <c r="F2058" i="3"/>
  <c r="E2058" i="3"/>
  <c r="F2057" i="3"/>
  <c r="E2057" i="3"/>
  <c r="F2056" i="3"/>
  <c r="E2056" i="3"/>
  <c r="F2055" i="3"/>
  <c r="E2055" i="3"/>
  <c r="F2054" i="3"/>
  <c r="E2054" i="3"/>
  <c r="F2053" i="3"/>
  <c r="E2053" i="3"/>
  <c r="F2052" i="3"/>
  <c r="E2052" i="3"/>
  <c r="F2051" i="3"/>
  <c r="E2051" i="3"/>
  <c r="F2050" i="3"/>
  <c r="E2050" i="3"/>
  <c r="F2049" i="3"/>
  <c r="E2049" i="3"/>
  <c r="F2048" i="3"/>
  <c r="E2048" i="3"/>
  <c r="F2047" i="3"/>
  <c r="E2047" i="3"/>
  <c r="F2046" i="3"/>
  <c r="E2046" i="3"/>
  <c r="F2045" i="3"/>
  <c r="E2045" i="3"/>
  <c r="F2044" i="3"/>
  <c r="E2044" i="3"/>
  <c r="F2043" i="3"/>
  <c r="E2043" i="3"/>
  <c r="F2042" i="3"/>
  <c r="E2042" i="3"/>
  <c r="F2041" i="3"/>
  <c r="E2041" i="3"/>
  <c r="F2040" i="3"/>
  <c r="E2040" i="3"/>
  <c r="F2039" i="3"/>
  <c r="E2039" i="3"/>
  <c r="F2038" i="3"/>
  <c r="E2038" i="3"/>
  <c r="F2037" i="3"/>
  <c r="E2037" i="3"/>
  <c r="F2036" i="3"/>
  <c r="E2036" i="3"/>
  <c r="F2035" i="3"/>
  <c r="E2035" i="3"/>
  <c r="F2034" i="3"/>
  <c r="E2034" i="3"/>
  <c r="F2033" i="3"/>
  <c r="E2033" i="3"/>
  <c r="F2032" i="3"/>
  <c r="E2032" i="3"/>
  <c r="F2031" i="3"/>
  <c r="E2031" i="3"/>
  <c r="F2030" i="3"/>
  <c r="E2030" i="3"/>
  <c r="F2029" i="3"/>
  <c r="E2029" i="3"/>
  <c r="F2028" i="3"/>
  <c r="E2028" i="3"/>
  <c r="F2027" i="3"/>
  <c r="E2027" i="3"/>
  <c r="F2026" i="3"/>
  <c r="E2026" i="3"/>
  <c r="F2025" i="3"/>
  <c r="E2025" i="3"/>
  <c r="F2024" i="3"/>
  <c r="E2024" i="3"/>
  <c r="F2023" i="3"/>
  <c r="E2023" i="3"/>
  <c r="F2022" i="3"/>
  <c r="E2022" i="3"/>
  <c r="F2021" i="3"/>
  <c r="E2021" i="3"/>
  <c r="F2020" i="3"/>
  <c r="E2020" i="3"/>
  <c r="F2019" i="3"/>
  <c r="E2019" i="3"/>
  <c r="F2018" i="3"/>
  <c r="E2018" i="3"/>
  <c r="F2017" i="3"/>
  <c r="E2017" i="3"/>
  <c r="F2016" i="3"/>
  <c r="E2016" i="3"/>
  <c r="F2015" i="3"/>
  <c r="E2015" i="3"/>
  <c r="F2014" i="3"/>
  <c r="E2014" i="3"/>
  <c r="F2013" i="3"/>
  <c r="E2013" i="3"/>
  <c r="F2012" i="3"/>
  <c r="E2012" i="3"/>
  <c r="F2011" i="3"/>
  <c r="E2011" i="3"/>
  <c r="F2010" i="3"/>
  <c r="E2010" i="3"/>
  <c r="F2009" i="3"/>
  <c r="E2009" i="3"/>
  <c r="F2008" i="3"/>
  <c r="E2008" i="3"/>
  <c r="F2007" i="3"/>
  <c r="E2007" i="3"/>
  <c r="F2006" i="3"/>
  <c r="E2006" i="3"/>
  <c r="F2005" i="3"/>
  <c r="E2005" i="3"/>
  <c r="F2004" i="3"/>
  <c r="E2004" i="3"/>
  <c r="F2003" i="3"/>
  <c r="E2003" i="3"/>
  <c r="F2002" i="3"/>
  <c r="E2002" i="3"/>
  <c r="F2001" i="3"/>
  <c r="E2001" i="3"/>
  <c r="F2000" i="3"/>
  <c r="E2000" i="3"/>
  <c r="F1999" i="3"/>
  <c r="E1999" i="3"/>
  <c r="F1998" i="3"/>
  <c r="E1998" i="3"/>
  <c r="F1997" i="3"/>
  <c r="E1997" i="3"/>
  <c r="F1996" i="3"/>
  <c r="E1996" i="3"/>
  <c r="F1995" i="3"/>
  <c r="E1995" i="3"/>
  <c r="F1994" i="3"/>
  <c r="E1994" i="3"/>
  <c r="F1993" i="3"/>
  <c r="E1993" i="3"/>
  <c r="F1992" i="3"/>
  <c r="E1992" i="3"/>
  <c r="F1991" i="3"/>
  <c r="E1991" i="3"/>
  <c r="F1990" i="3"/>
  <c r="E1990" i="3"/>
  <c r="F1989" i="3"/>
  <c r="E1989" i="3"/>
  <c r="F1988" i="3"/>
  <c r="E1988" i="3"/>
  <c r="F1987" i="3"/>
  <c r="E1987" i="3"/>
  <c r="F1986" i="3"/>
  <c r="E1986" i="3"/>
  <c r="F1985" i="3"/>
  <c r="E1985" i="3"/>
  <c r="F1984" i="3"/>
  <c r="E1984" i="3"/>
  <c r="F1983" i="3"/>
  <c r="E1983" i="3"/>
  <c r="F1982" i="3"/>
  <c r="E1982" i="3"/>
  <c r="F1981" i="3"/>
  <c r="E1981" i="3"/>
  <c r="F1980" i="3"/>
  <c r="E1980" i="3"/>
  <c r="F1979" i="3"/>
  <c r="E1979" i="3"/>
  <c r="F1978" i="3"/>
  <c r="E1978" i="3"/>
  <c r="F1977" i="3"/>
  <c r="E1977" i="3"/>
  <c r="F1976" i="3"/>
  <c r="E1976" i="3"/>
  <c r="F1975" i="3"/>
  <c r="E1975" i="3"/>
  <c r="F1974" i="3"/>
  <c r="E1974" i="3"/>
  <c r="F1973" i="3"/>
  <c r="E1973" i="3"/>
  <c r="F1972" i="3"/>
  <c r="E1972" i="3"/>
  <c r="F1971" i="3"/>
  <c r="E1971" i="3"/>
  <c r="F1970" i="3"/>
  <c r="E1970" i="3"/>
  <c r="F1969" i="3"/>
  <c r="E1969" i="3"/>
  <c r="F1968" i="3"/>
  <c r="E1968" i="3"/>
  <c r="F1967" i="3"/>
  <c r="E1967" i="3"/>
  <c r="F1966" i="3"/>
  <c r="E1966" i="3"/>
  <c r="F1965" i="3"/>
  <c r="E1965" i="3"/>
  <c r="F1964" i="3"/>
  <c r="E1964" i="3"/>
  <c r="F1963" i="3"/>
  <c r="E1963" i="3"/>
  <c r="F1962" i="3"/>
  <c r="E1962" i="3"/>
  <c r="F1961" i="3"/>
  <c r="E1961" i="3"/>
  <c r="F1960" i="3"/>
  <c r="E1960" i="3"/>
  <c r="F1959" i="3"/>
  <c r="E1959" i="3"/>
  <c r="F1958" i="3"/>
  <c r="E1958" i="3"/>
  <c r="F1957" i="3"/>
  <c r="E1957" i="3"/>
  <c r="F1956" i="3"/>
  <c r="E1956" i="3"/>
  <c r="F1955" i="3"/>
  <c r="E1955" i="3"/>
  <c r="F1954" i="3"/>
  <c r="E1954" i="3"/>
  <c r="F1953" i="3"/>
  <c r="E1953" i="3"/>
  <c r="F1952" i="3"/>
  <c r="E1952" i="3"/>
  <c r="F1951" i="3"/>
  <c r="E1951" i="3"/>
  <c r="F1950" i="3"/>
  <c r="E1950" i="3"/>
  <c r="F1949" i="3"/>
  <c r="E1949" i="3"/>
  <c r="F1948" i="3"/>
  <c r="E1948" i="3"/>
  <c r="F1947" i="3"/>
  <c r="E1947" i="3"/>
  <c r="F1946" i="3"/>
  <c r="E1946" i="3"/>
  <c r="F1945" i="3"/>
  <c r="E1945" i="3"/>
  <c r="F1944" i="3"/>
  <c r="E1944" i="3"/>
  <c r="F1943" i="3"/>
  <c r="E1943" i="3"/>
  <c r="F1942" i="3"/>
  <c r="E1942" i="3"/>
  <c r="F1941" i="3"/>
  <c r="E1941" i="3"/>
  <c r="F1940" i="3"/>
  <c r="E1940" i="3"/>
  <c r="F1939" i="3"/>
  <c r="E1939" i="3"/>
  <c r="F1938" i="3"/>
  <c r="E1938" i="3"/>
  <c r="F1937" i="3"/>
  <c r="E1937" i="3"/>
  <c r="F1936" i="3"/>
  <c r="E1936" i="3"/>
  <c r="F1935" i="3"/>
  <c r="E1935" i="3"/>
  <c r="F1934" i="3"/>
  <c r="E1934" i="3"/>
  <c r="F1933" i="3"/>
  <c r="E1933" i="3"/>
  <c r="F1932" i="3"/>
  <c r="E1932" i="3"/>
  <c r="F1931" i="3"/>
  <c r="E1931" i="3"/>
  <c r="F1930" i="3"/>
  <c r="E1930" i="3"/>
  <c r="F1929" i="3"/>
  <c r="E1929" i="3"/>
  <c r="F1928" i="3"/>
  <c r="E1928" i="3"/>
  <c r="F1927" i="3"/>
  <c r="E1927" i="3"/>
  <c r="F1926" i="3"/>
  <c r="E1926" i="3"/>
  <c r="F1925" i="3"/>
  <c r="E1925" i="3"/>
  <c r="F1924" i="3"/>
  <c r="E1924" i="3"/>
  <c r="F1923" i="3"/>
  <c r="E1923" i="3"/>
  <c r="F1922" i="3"/>
  <c r="E1922" i="3"/>
  <c r="F1921" i="3"/>
  <c r="E1921" i="3"/>
  <c r="F1920" i="3"/>
  <c r="E1920" i="3"/>
  <c r="F1919" i="3"/>
  <c r="E1919" i="3"/>
  <c r="F1918" i="3"/>
  <c r="E1918" i="3"/>
  <c r="F1917" i="3"/>
  <c r="E1917" i="3"/>
  <c r="F1916" i="3"/>
  <c r="E1916" i="3"/>
  <c r="F1915" i="3"/>
  <c r="E1915" i="3"/>
  <c r="F1914" i="3"/>
  <c r="E1914" i="3"/>
  <c r="F1913" i="3"/>
  <c r="E1913" i="3"/>
  <c r="F1912" i="3"/>
  <c r="E1912" i="3"/>
  <c r="F1911" i="3"/>
  <c r="E1911" i="3"/>
  <c r="F1910" i="3"/>
  <c r="E1910" i="3"/>
  <c r="F1909" i="3"/>
  <c r="E1909" i="3"/>
  <c r="F1908" i="3"/>
  <c r="E1908" i="3"/>
  <c r="F1907" i="3"/>
  <c r="E1907" i="3"/>
  <c r="F1906" i="3"/>
  <c r="E1906" i="3"/>
  <c r="F1905" i="3"/>
  <c r="E1905" i="3"/>
  <c r="F1904" i="3"/>
  <c r="E1904" i="3"/>
  <c r="F1903" i="3"/>
  <c r="E1903" i="3"/>
  <c r="F1902" i="3"/>
  <c r="E1902" i="3"/>
  <c r="F1901" i="3"/>
  <c r="E1901" i="3"/>
  <c r="F1900" i="3"/>
  <c r="E1900" i="3"/>
  <c r="F1899" i="3"/>
  <c r="E1899" i="3"/>
  <c r="F1898" i="3"/>
  <c r="E1898" i="3"/>
  <c r="F1897" i="3"/>
  <c r="E1897" i="3"/>
  <c r="F1896" i="3"/>
  <c r="E1896" i="3"/>
  <c r="F1895" i="3"/>
  <c r="E1895" i="3"/>
  <c r="F1894" i="3"/>
  <c r="E1894" i="3"/>
  <c r="F1893" i="3"/>
  <c r="E1893" i="3"/>
  <c r="F1892" i="3"/>
  <c r="E1892" i="3"/>
  <c r="F1891" i="3"/>
  <c r="E1891" i="3"/>
  <c r="F1890" i="3"/>
  <c r="E1890" i="3"/>
  <c r="F1889" i="3"/>
  <c r="E1889" i="3"/>
  <c r="F1888" i="3"/>
  <c r="E1888" i="3"/>
  <c r="F1887" i="3"/>
  <c r="E1887" i="3"/>
  <c r="F1886" i="3"/>
  <c r="E1886" i="3"/>
  <c r="F1885" i="3"/>
  <c r="E1885" i="3"/>
  <c r="F1884" i="3"/>
  <c r="E1884" i="3"/>
  <c r="F1883" i="3"/>
  <c r="E1883" i="3"/>
  <c r="F1882" i="3"/>
  <c r="E1882" i="3"/>
  <c r="F1881" i="3"/>
  <c r="E1881" i="3"/>
  <c r="F1880" i="3"/>
  <c r="E1880" i="3"/>
  <c r="F1879" i="3"/>
  <c r="E1879" i="3"/>
  <c r="F1878" i="3"/>
  <c r="E1878" i="3"/>
  <c r="F1877" i="3"/>
  <c r="E1877" i="3"/>
  <c r="F1876" i="3"/>
  <c r="E1876" i="3"/>
  <c r="F1875" i="3"/>
  <c r="E1875" i="3"/>
  <c r="F1874" i="3"/>
  <c r="E1874" i="3"/>
  <c r="F1873" i="3"/>
  <c r="E1873" i="3"/>
  <c r="F1872" i="3"/>
  <c r="E1872" i="3"/>
  <c r="F1871" i="3"/>
  <c r="E1871" i="3"/>
  <c r="F1870" i="3"/>
  <c r="E1870" i="3"/>
  <c r="F1869" i="3"/>
  <c r="E1869" i="3"/>
  <c r="F1868" i="3"/>
  <c r="E1868" i="3"/>
  <c r="F1867" i="3"/>
  <c r="E1867" i="3"/>
  <c r="F1866" i="3"/>
  <c r="E1866" i="3"/>
  <c r="F1865" i="3"/>
  <c r="E1865" i="3"/>
  <c r="F1864" i="3"/>
  <c r="E1864" i="3"/>
  <c r="F1863" i="3"/>
  <c r="E1863" i="3"/>
  <c r="F1862" i="3"/>
  <c r="E1862" i="3"/>
  <c r="F1861" i="3"/>
  <c r="E1861" i="3"/>
  <c r="F1860" i="3"/>
  <c r="E1860" i="3"/>
  <c r="F1859" i="3"/>
  <c r="E1859" i="3"/>
  <c r="F1858" i="3"/>
  <c r="E1858" i="3"/>
  <c r="F1857" i="3"/>
  <c r="E1857" i="3"/>
  <c r="F1856" i="3"/>
  <c r="E1856" i="3"/>
  <c r="F1855" i="3"/>
  <c r="E1855" i="3"/>
  <c r="F1854" i="3"/>
  <c r="E1854" i="3"/>
  <c r="F1853" i="3"/>
  <c r="E1853" i="3"/>
  <c r="F1852" i="3"/>
  <c r="E1852" i="3"/>
  <c r="F1851" i="3"/>
  <c r="E1851" i="3"/>
  <c r="F1850" i="3"/>
  <c r="E1850" i="3"/>
  <c r="F1849" i="3"/>
  <c r="E1849" i="3"/>
  <c r="F1848" i="3"/>
  <c r="E1848" i="3"/>
  <c r="F1847" i="3"/>
  <c r="E1847" i="3"/>
  <c r="F1846" i="3"/>
  <c r="E1846" i="3"/>
  <c r="F1845" i="3"/>
  <c r="E1845" i="3"/>
  <c r="F1844" i="3"/>
  <c r="E1844" i="3"/>
  <c r="F1843" i="3"/>
  <c r="E1843" i="3"/>
  <c r="F1842" i="3"/>
  <c r="E1842" i="3"/>
  <c r="F1841" i="3"/>
  <c r="E1841" i="3"/>
  <c r="F1840" i="3"/>
  <c r="E1840" i="3"/>
  <c r="F1839" i="3"/>
  <c r="E1839" i="3"/>
  <c r="F1838" i="3"/>
  <c r="E1838" i="3"/>
  <c r="F1837" i="3"/>
  <c r="E1837" i="3"/>
  <c r="F1836" i="3"/>
  <c r="E1836" i="3"/>
  <c r="F1835" i="3"/>
  <c r="E1835" i="3"/>
  <c r="F1834" i="3"/>
  <c r="E1834" i="3"/>
  <c r="F1833" i="3"/>
  <c r="E1833" i="3"/>
  <c r="F1832" i="3"/>
  <c r="E1832" i="3"/>
  <c r="F1831" i="3"/>
  <c r="E1831" i="3"/>
  <c r="F1830" i="3"/>
  <c r="E1830" i="3"/>
  <c r="F1829" i="3"/>
  <c r="E1829" i="3"/>
  <c r="F1828" i="3"/>
  <c r="E1828" i="3"/>
  <c r="F1827" i="3"/>
  <c r="E1827" i="3"/>
  <c r="F1826" i="3"/>
  <c r="E1826" i="3"/>
  <c r="F1825" i="3"/>
  <c r="E1825" i="3"/>
  <c r="F1824" i="3"/>
  <c r="E1824" i="3"/>
  <c r="F1823" i="3"/>
  <c r="E1823" i="3"/>
  <c r="F1822" i="3"/>
  <c r="E1822" i="3"/>
  <c r="F1821" i="3"/>
  <c r="E1821" i="3"/>
  <c r="F1820" i="3"/>
  <c r="E1820" i="3"/>
  <c r="F1819" i="3"/>
  <c r="E1819" i="3"/>
  <c r="F1818" i="3"/>
  <c r="E1818" i="3"/>
  <c r="F1817" i="3"/>
  <c r="E1817" i="3"/>
  <c r="F1816" i="3"/>
  <c r="E1816" i="3"/>
  <c r="F1815" i="3"/>
  <c r="E1815" i="3"/>
  <c r="F1814" i="3"/>
  <c r="E1814" i="3"/>
  <c r="F1813" i="3"/>
  <c r="E1813" i="3"/>
  <c r="F1812" i="3"/>
  <c r="E1812" i="3"/>
  <c r="F1811" i="3"/>
  <c r="E1811" i="3"/>
  <c r="F1810" i="3"/>
  <c r="E1810" i="3"/>
  <c r="F1809" i="3"/>
  <c r="E1809" i="3"/>
  <c r="F1808" i="3"/>
  <c r="E1808" i="3"/>
  <c r="F1807" i="3"/>
  <c r="E1807" i="3"/>
  <c r="F1806" i="3"/>
  <c r="E1806" i="3"/>
  <c r="F1805" i="3"/>
  <c r="E1805" i="3"/>
  <c r="F1804" i="3"/>
  <c r="E1804" i="3"/>
  <c r="F1803" i="3"/>
  <c r="E1803" i="3"/>
  <c r="F1802" i="3"/>
  <c r="E1802" i="3"/>
  <c r="F1801" i="3"/>
  <c r="E1801" i="3"/>
  <c r="F1800" i="3"/>
  <c r="E1800" i="3"/>
  <c r="F1799" i="3"/>
  <c r="E1799" i="3"/>
  <c r="F1798" i="3"/>
  <c r="E1798" i="3"/>
  <c r="F1797" i="3"/>
  <c r="E1797" i="3"/>
  <c r="F1796" i="3"/>
  <c r="E1796" i="3"/>
  <c r="F1795" i="3"/>
  <c r="E1795" i="3"/>
  <c r="F1794" i="3"/>
  <c r="E1794" i="3"/>
  <c r="F1793" i="3"/>
  <c r="E1793" i="3"/>
  <c r="F1792" i="3"/>
  <c r="E1792" i="3"/>
  <c r="F1791" i="3"/>
  <c r="E1791" i="3"/>
  <c r="F1790" i="3"/>
  <c r="E1790" i="3"/>
  <c r="F1789" i="3"/>
  <c r="E1789" i="3"/>
  <c r="F1788" i="3"/>
  <c r="E1788" i="3"/>
  <c r="F1787" i="3"/>
  <c r="E1787" i="3"/>
  <c r="F1786" i="3"/>
  <c r="E1786" i="3"/>
  <c r="F1785" i="3"/>
  <c r="E1785" i="3"/>
  <c r="F1784" i="3"/>
  <c r="E1784" i="3"/>
  <c r="F1783" i="3"/>
  <c r="E1783" i="3"/>
  <c r="F1782" i="3"/>
  <c r="E1782" i="3"/>
  <c r="F1781" i="3"/>
  <c r="E1781" i="3"/>
  <c r="F1780" i="3"/>
  <c r="E1780" i="3"/>
  <c r="F1779" i="3"/>
  <c r="E1779" i="3"/>
  <c r="F1778" i="3"/>
  <c r="E1778" i="3"/>
  <c r="F1777" i="3"/>
  <c r="E1777" i="3"/>
  <c r="F1776" i="3"/>
  <c r="E1776" i="3"/>
  <c r="F1775" i="3"/>
  <c r="E1775" i="3"/>
  <c r="F1774" i="3"/>
  <c r="E1774" i="3"/>
  <c r="F1773" i="3"/>
  <c r="E1773" i="3"/>
  <c r="F1772" i="3"/>
  <c r="E1772" i="3"/>
  <c r="F1771" i="3"/>
  <c r="E1771" i="3"/>
  <c r="F1770" i="3"/>
  <c r="E1770" i="3"/>
  <c r="F1769" i="3"/>
  <c r="E1769" i="3"/>
  <c r="F1768" i="3"/>
  <c r="E1768" i="3"/>
  <c r="F1767" i="3"/>
  <c r="E1767" i="3"/>
  <c r="F1766" i="3"/>
  <c r="E1766" i="3"/>
  <c r="F1765" i="3"/>
  <c r="E1765" i="3"/>
  <c r="F1764" i="3"/>
  <c r="E1764" i="3"/>
  <c r="F1763" i="3"/>
  <c r="E1763" i="3"/>
  <c r="F1762" i="3"/>
  <c r="E1762" i="3"/>
  <c r="F1761" i="3"/>
  <c r="E1761" i="3"/>
  <c r="F1760" i="3"/>
  <c r="E1760" i="3"/>
  <c r="F1759" i="3"/>
  <c r="E1759" i="3"/>
  <c r="F1758" i="3"/>
  <c r="E1758" i="3"/>
  <c r="F1757" i="3"/>
  <c r="E1757" i="3"/>
  <c r="F1756" i="3"/>
  <c r="E1756" i="3"/>
  <c r="F1755" i="3"/>
  <c r="E1755" i="3"/>
  <c r="F1754" i="3"/>
  <c r="E1754" i="3"/>
  <c r="F1753" i="3"/>
  <c r="E1753" i="3"/>
  <c r="F1752" i="3"/>
  <c r="E1752" i="3"/>
  <c r="F1751" i="3"/>
  <c r="E1751" i="3"/>
  <c r="F1750" i="3"/>
  <c r="E1750" i="3"/>
  <c r="F1749" i="3"/>
  <c r="E1749" i="3"/>
  <c r="F1748" i="3"/>
  <c r="E1748" i="3"/>
  <c r="F1747" i="3"/>
  <c r="E1747" i="3"/>
  <c r="F1746" i="3"/>
  <c r="E1746" i="3"/>
  <c r="F1745" i="3"/>
  <c r="E1745" i="3"/>
  <c r="F1744" i="3"/>
  <c r="E1744" i="3"/>
  <c r="F1743" i="3"/>
  <c r="E1743" i="3"/>
  <c r="F1742" i="3"/>
  <c r="E1742" i="3"/>
  <c r="F1741" i="3"/>
  <c r="E1741" i="3"/>
  <c r="F1740" i="3"/>
  <c r="E1740" i="3"/>
  <c r="F1739" i="3"/>
  <c r="E1739" i="3"/>
  <c r="F1738" i="3"/>
  <c r="E1738" i="3"/>
  <c r="F1737" i="3"/>
  <c r="E1737" i="3"/>
  <c r="F1736" i="3"/>
  <c r="E1736" i="3"/>
  <c r="F1735" i="3"/>
  <c r="E1735" i="3"/>
  <c r="F1734" i="3"/>
  <c r="E1734" i="3"/>
  <c r="F1733" i="3"/>
  <c r="E1733" i="3"/>
  <c r="F1732" i="3"/>
  <c r="E1732" i="3"/>
  <c r="F1731" i="3"/>
  <c r="E1731" i="3"/>
  <c r="F1730" i="3"/>
  <c r="E1730" i="3"/>
  <c r="F1729" i="3"/>
  <c r="E1729" i="3"/>
  <c r="F1728" i="3"/>
  <c r="E1728" i="3"/>
  <c r="F1727" i="3"/>
  <c r="E1727" i="3"/>
  <c r="F1726" i="3"/>
  <c r="E1726" i="3"/>
  <c r="F1725" i="3"/>
  <c r="E1725" i="3"/>
  <c r="F1724" i="3"/>
  <c r="E1724" i="3"/>
  <c r="F1723" i="3"/>
  <c r="E1723" i="3"/>
  <c r="F1722" i="3"/>
  <c r="E1722" i="3"/>
  <c r="F1721" i="3"/>
  <c r="E1721" i="3"/>
  <c r="F1720" i="3"/>
  <c r="E1720" i="3"/>
  <c r="F1719" i="3"/>
  <c r="E1719" i="3"/>
  <c r="F1718" i="3"/>
  <c r="E1718" i="3"/>
  <c r="F1717" i="3"/>
  <c r="E1717" i="3"/>
  <c r="F1716" i="3"/>
  <c r="E1716" i="3"/>
  <c r="F1715" i="3"/>
  <c r="E1715" i="3"/>
  <c r="F1714" i="3"/>
  <c r="E1714" i="3"/>
  <c r="F1713" i="3"/>
  <c r="E1713" i="3"/>
  <c r="F1712" i="3"/>
  <c r="E1712" i="3"/>
  <c r="F1711" i="3"/>
  <c r="E1711" i="3"/>
  <c r="F1710" i="3"/>
  <c r="E1710" i="3"/>
  <c r="F1709" i="3"/>
  <c r="E1709" i="3"/>
  <c r="F1708" i="3"/>
  <c r="E1708" i="3"/>
  <c r="F1707" i="3"/>
  <c r="E1707" i="3"/>
  <c r="F1706" i="3"/>
  <c r="E1706" i="3"/>
  <c r="F1705" i="3"/>
  <c r="E1705" i="3"/>
  <c r="F1704" i="3"/>
  <c r="E1704" i="3"/>
  <c r="F1703" i="3"/>
  <c r="E1703" i="3"/>
  <c r="F1702" i="3"/>
  <c r="E1702" i="3"/>
  <c r="F1701" i="3"/>
  <c r="E1701" i="3"/>
  <c r="F1700" i="3"/>
  <c r="E1700" i="3"/>
  <c r="F1699" i="3"/>
  <c r="E1699" i="3"/>
  <c r="F1698" i="3"/>
  <c r="E1698" i="3"/>
  <c r="F1697" i="3"/>
  <c r="E1697" i="3"/>
  <c r="F1696" i="3"/>
  <c r="E1696" i="3"/>
  <c r="F1695" i="3"/>
  <c r="E1695" i="3"/>
  <c r="F1694" i="3"/>
  <c r="E1694" i="3"/>
  <c r="F1693" i="3"/>
  <c r="E1693" i="3"/>
  <c r="F1692" i="3"/>
  <c r="E1692" i="3"/>
  <c r="F1691" i="3"/>
  <c r="E1691" i="3"/>
  <c r="F1690" i="3"/>
  <c r="E1690" i="3"/>
  <c r="F1689" i="3"/>
  <c r="E1689" i="3"/>
  <c r="F1688" i="3"/>
  <c r="E1688" i="3"/>
  <c r="F1687" i="3"/>
  <c r="E1687" i="3"/>
  <c r="F1686" i="3"/>
  <c r="E1686" i="3"/>
  <c r="F1685" i="3"/>
  <c r="E1685" i="3"/>
  <c r="F1684" i="3"/>
  <c r="E1684" i="3"/>
  <c r="F1683" i="3"/>
  <c r="E1683" i="3"/>
  <c r="F1682" i="3"/>
  <c r="E1682" i="3"/>
  <c r="F1681" i="3"/>
  <c r="E1681" i="3"/>
  <c r="F1680" i="3"/>
  <c r="E1680" i="3"/>
  <c r="F1679" i="3"/>
  <c r="E1679" i="3"/>
  <c r="F1678" i="3"/>
  <c r="E1678" i="3"/>
  <c r="F1677" i="3"/>
  <c r="E1677" i="3"/>
  <c r="F1676" i="3"/>
  <c r="E1676" i="3"/>
  <c r="F1675" i="3"/>
  <c r="E1675" i="3"/>
  <c r="F1674" i="3"/>
  <c r="E1674" i="3"/>
  <c r="F1673" i="3"/>
  <c r="E1673" i="3"/>
  <c r="F1672" i="3"/>
  <c r="E1672" i="3"/>
  <c r="F1671" i="3"/>
  <c r="E1671" i="3"/>
  <c r="F1670" i="3"/>
  <c r="E1670" i="3"/>
  <c r="F1669" i="3"/>
  <c r="E1669" i="3"/>
  <c r="F1668" i="3"/>
  <c r="E1668" i="3"/>
  <c r="F1667" i="3"/>
  <c r="E1667" i="3"/>
  <c r="F1666" i="3"/>
  <c r="E1666" i="3"/>
  <c r="F1665" i="3"/>
  <c r="E1665" i="3"/>
  <c r="F1664" i="3"/>
  <c r="E1664" i="3"/>
  <c r="F1663" i="3"/>
  <c r="E1663" i="3"/>
  <c r="F1662" i="3"/>
  <c r="E1662" i="3"/>
  <c r="F1661" i="3"/>
  <c r="E1661" i="3"/>
  <c r="F1660" i="3"/>
  <c r="E1660" i="3"/>
  <c r="F1659" i="3"/>
  <c r="E1659" i="3"/>
  <c r="F1658" i="3"/>
  <c r="E1658" i="3"/>
  <c r="F1657" i="3"/>
  <c r="E1657" i="3"/>
  <c r="F1656" i="3"/>
  <c r="E1656" i="3"/>
  <c r="F1655" i="3"/>
  <c r="E1655" i="3"/>
  <c r="F1654" i="3"/>
  <c r="E1654" i="3"/>
  <c r="F1653" i="3"/>
  <c r="E1653" i="3"/>
  <c r="F1652" i="3"/>
  <c r="E1652" i="3"/>
  <c r="F1651" i="3"/>
  <c r="E1651" i="3"/>
  <c r="F1650" i="3"/>
  <c r="E1650" i="3"/>
  <c r="F1649" i="3"/>
  <c r="E1649" i="3"/>
  <c r="F1648" i="3"/>
  <c r="E1648" i="3"/>
  <c r="F1647" i="3"/>
  <c r="E1647" i="3"/>
  <c r="F1646" i="3"/>
  <c r="E1646" i="3"/>
  <c r="F1645" i="3"/>
  <c r="E1645" i="3"/>
  <c r="F1644" i="3"/>
  <c r="E1644" i="3"/>
  <c r="F1643" i="3"/>
  <c r="E1643" i="3"/>
  <c r="F1642" i="3"/>
  <c r="E1642" i="3"/>
  <c r="F1641" i="3"/>
  <c r="E1641" i="3"/>
  <c r="F1640" i="3"/>
  <c r="E1640" i="3"/>
  <c r="F1639" i="3"/>
  <c r="E1639" i="3"/>
  <c r="F1638" i="3"/>
  <c r="E1638" i="3"/>
  <c r="F1637" i="3"/>
  <c r="E1637" i="3"/>
  <c r="F1636" i="3"/>
  <c r="E1636" i="3"/>
  <c r="F1635" i="3"/>
  <c r="E1635" i="3"/>
  <c r="F1634" i="3"/>
  <c r="E1634" i="3"/>
  <c r="F1633" i="3"/>
  <c r="E1633" i="3"/>
  <c r="F1632" i="3"/>
  <c r="E1632" i="3"/>
  <c r="F1631" i="3"/>
  <c r="E1631" i="3"/>
  <c r="F1630" i="3"/>
  <c r="E1630" i="3"/>
  <c r="F1629" i="3"/>
  <c r="E1629" i="3"/>
  <c r="F1628" i="3"/>
  <c r="E1628" i="3"/>
  <c r="F1627" i="3"/>
  <c r="E1627" i="3"/>
  <c r="F1626" i="3"/>
  <c r="E1626" i="3"/>
  <c r="F1625" i="3"/>
  <c r="E1625" i="3"/>
  <c r="F1624" i="3"/>
  <c r="E1624" i="3"/>
  <c r="F1623" i="3"/>
  <c r="E1623" i="3"/>
  <c r="F1622" i="3"/>
  <c r="E1622" i="3"/>
  <c r="F1621" i="3"/>
  <c r="E1621" i="3"/>
  <c r="F1620" i="3"/>
  <c r="E1620" i="3"/>
  <c r="F1619" i="3"/>
  <c r="E1619" i="3"/>
  <c r="F1618" i="3"/>
  <c r="E1618" i="3"/>
  <c r="F1617" i="3"/>
  <c r="E1617" i="3"/>
  <c r="F1616" i="3"/>
  <c r="E1616" i="3"/>
  <c r="F1615" i="3"/>
  <c r="E1615" i="3"/>
  <c r="F1614" i="3"/>
  <c r="E1614" i="3"/>
  <c r="F1613" i="3"/>
  <c r="E1613" i="3"/>
  <c r="F1612" i="3"/>
  <c r="E1612" i="3"/>
  <c r="F1611" i="3"/>
  <c r="E1611" i="3"/>
  <c r="F1610" i="3"/>
  <c r="E1610" i="3"/>
  <c r="F1609" i="3"/>
  <c r="E1609" i="3"/>
  <c r="F1608" i="3"/>
  <c r="E1608" i="3"/>
  <c r="F1607" i="3"/>
  <c r="E1607" i="3"/>
  <c r="F1606" i="3"/>
  <c r="E1606" i="3"/>
  <c r="F1605" i="3"/>
  <c r="E1605" i="3"/>
  <c r="F1604" i="3"/>
  <c r="E1604" i="3"/>
  <c r="F1603" i="3"/>
  <c r="E1603" i="3"/>
  <c r="F1602" i="3"/>
  <c r="E1602" i="3"/>
  <c r="F1601" i="3"/>
  <c r="E1601" i="3"/>
  <c r="F1600" i="3"/>
  <c r="E1600" i="3"/>
  <c r="F1599" i="3"/>
  <c r="E1599" i="3"/>
  <c r="F1598" i="3"/>
  <c r="E1598" i="3"/>
  <c r="F1597" i="3"/>
  <c r="E1597" i="3"/>
  <c r="F1596" i="3"/>
  <c r="E1596" i="3"/>
  <c r="F1595" i="3"/>
  <c r="E1595" i="3"/>
  <c r="F1594" i="3"/>
  <c r="E1594" i="3"/>
  <c r="F1593" i="3"/>
  <c r="E1593" i="3"/>
  <c r="F1592" i="3"/>
  <c r="E1592" i="3"/>
  <c r="F1591" i="3"/>
  <c r="E1591" i="3"/>
  <c r="F1590" i="3"/>
  <c r="E1590" i="3"/>
  <c r="F1589" i="3"/>
  <c r="E1589" i="3"/>
  <c r="F1588" i="3"/>
  <c r="E1588" i="3"/>
  <c r="F1587" i="3"/>
  <c r="E1587" i="3"/>
  <c r="F1586" i="3"/>
  <c r="E1586" i="3"/>
  <c r="F1585" i="3"/>
  <c r="E1585" i="3"/>
  <c r="F1584" i="3"/>
  <c r="E1584" i="3"/>
  <c r="F1583" i="3"/>
  <c r="E1583" i="3"/>
  <c r="F1582" i="3"/>
  <c r="E1582" i="3"/>
  <c r="F1581" i="3"/>
  <c r="E1581" i="3"/>
  <c r="F1580" i="3"/>
  <c r="E1580" i="3"/>
  <c r="F1579" i="3"/>
  <c r="E1579" i="3"/>
  <c r="F1578" i="3"/>
  <c r="E1578" i="3"/>
  <c r="F1577" i="3"/>
  <c r="E1577" i="3"/>
  <c r="F1576" i="3"/>
  <c r="E1576" i="3"/>
  <c r="F1575" i="3"/>
  <c r="E1575" i="3"/>
  <c r="F1574" i="3"/>
  <c r="E1574" i="3"/>
  <c r="F1573" i="3"/>
  <c r="E1573" i="3"/>
  <c r="F1572" i="3"/>
  <c r="E1572" i="3"/>
  <c r="F1571" i="3"/>
  <c r="E1571" i="3"/>
  <c r="F1570" i="3"/>
  <c r="E1570" i="3"/>
  <c r="F1569" i="3"/>
  <c r="E1569" i="3"/>
  <c r="F1568" i="3"/>
  <c r="E1568" i="3"/>
  <c r="F1567" i="3"/>
  <c r="E1567" i="3"/>
  <c r="F1566" i="3"/>
  <c r="E1566" i="3"/>
  <c r="F1565" i="3"/>
  <c r="E1565" i="3"/>
  <c r="F1564" i="3"/>
  <c r="E1564" i="3"/>
  <c r="F1563" i="3"/>
  <c r="E1563" i="3"/>
  <c r="F1562" i="3"/>
  <c r="E1562" i="3"/>
  <c r="F1561" i="3"/>
  <c r="E1561" i="3"/>
  <c r="F1560" i="3"/>
  <c r="E1560" i="3"/>
  <c r="F1559" i="3"/>
  <c r="E1559" i="3"/>
  <c r="F1558" i="3"/>
  <c r="E1558" i="3"/>
  <c r="F1557" i="3"/>
  <c r="E1557" i="3"/>
  <c r="F1556" i="3"/>
  <c r="E1556" i="3"/>
  <c r="F1555" i="3"/>
  <c r="E1555" i="3"/>
  <c r="F1554" i="3"/>
  <c r="E1554" i="3"/>
  <c r="F1553" i="3"/>
  <c r="E1553" i="3"/>
  <c r="F1552" i="3"/>
  <c r="E1552" i="3"/>
  <c r="F1551" i="3"/>
  <c r="E1551" i="3"/>
  <c r="F1550" i="3"/>
  <c r="E1550" i="3"/>
  <c r="F1549" i="3"/>
  <c r="E1549" i="3"/>
  <c r="F1548" i="3"/>
  <c r="E1548" i="3"/>
  <c r="F1547" i="3"/>
  <c r="E1547" i="3"/>
  <c r="F1546" i="3"/>
  <c r="E1546" i="3"/>
  <c r="F1545" i="3"/>
  <c r="E1545" i="3"/>
  <c r="F1544" i="3"/>
  <c r="E1544" i="3"/>
  <c r="F1543" i="3"/>
  <c r="E1543" i="3"/>
  <c r="F1542" i="3"/>
  <c r="E1542" i="3"/>
  <c r="F1541" i="3"/>
  <c r="E1541" i="3"/>
  <c r="F1540" i="3"/>
  <c r="E1540" i="3"/>
  <c r="F1539" i="3"/>
  <c r="E1539" i="3"/>
  <c r="F1538" i="3"/>
  <c r="E1538" i="3"/>
  <c r="F1537" i="3"/>
  <c r="E1537" i="3"/>
  <c r="F1536" i="3"/>
  <c r="E1536" i="3"/>
  <c r="F1535" i="3"/>
  <c r="E1535" i="3"/>
  <c r="F1534" i="3"/>
  <c r="E1534" i="3"/>
  <c r="F1533" i="3"/>
  <c r="E1533" i="3"/>
  <c r="F1532" i="3"/>
  <c r="E1532" i="3"/>
  <c r="F1531" i="3"/>
  <c r="E1531" i="3"/>
  <c r="F1530" i="3"/>
  <c r="E1530" i="3"/>
  <c r="F1529" i="3"/>
  <c r="E1529" i="3"/>
  <c r="F1528" i="3"/>
  <c r="E1528" i="3"/>
  <c r="F1527" i="3"/>
  <c r="E1527" i="3"/>
  <c r="F1526" i="3"/>
  <c r="E1526" i="3"/>
  <c r="F1525" i="3"/>
  <c r="E1525" i="3"/>
  <c r="F1524" i="3"/>
  <c r="E1524" i="3"/>
  <c r="F1523" i="3"/>
  <c r="E1523" i="3"/>
  <c r="F1522" i="3"/>
  <c r="E1522" i="3"/>
  <c r="F1521" i="3"/>
  <c r="E1521" i="3"/>
  <c r="F1520" i="3"/>
  <c r="E1520" i="3"/>
  <c r="F1519" i="3"/>
  <c r="E1519" i="3"/>
  <c r="F1518" i="3"/>
  <c r="E1518" i="3"/>
  <c r="F1517" i="3"/>
  <c r="E1517" i="3"/>
  <c r="F1516" i="3"/>
  <c r="E1516" i="3"/>
  <c r="F1515" i="3"/>
  <c r="E1515" i="3"/>
  <c r="F1514" i="3"/>
  <c r="E1514" i="3"/>
  <c r="F1513" i="3"/>
  <c r="E1513" i="3"/>
  <c r="F1512" i="3"/>
  <c r="E1512" i="3"/>
  <c r="F1511" i="3"/>
  <c r="E1511" i="3"/>
  <c r="F1510" i="3"/>
  <c r="E1510" i="3"/>
  <c r="F1509" i="3"/>
  <c r="E1509" i="3"/>
  <c r="F1508" i="3"/>
  <c r="E1508" i="3"/>
  <c r="F1507" i="3"/>
  <c r="E1507" i="3"/>
  <c r="F1506" i="3"/>
  <c r="E1506" i="3"/>
  <c r="F1505" i="3"/>
  <c r="E1505" i="3"/>
  <c r="F1504" i="3"/>
  <c r="E1504" i="3"/>
  <c r="F1503" i="3"/>
  <c r="E1503" i="3"/>
  <c r="F1502" i="3"/>
  <c r="E1502" i="3"/>
  <c r="F1501" i="3"/>
  <c r="E1501" i="3"/>
  <c r="F1500" i="3"/>
  <c r="E1500" i="3"/>
  <c r="F1499" i="3"/>
  <c r="E1499" i="3"/>
  <c r="F1498" i="3"/>
  <c r="E1498" i="3"/>
  <c r="F1497" i="3"/>
  <c r="E1497" i="3"/>
  <c r="F1496" i="3"/>
  <c r="E1496" i="3"/>
  <c r="F1495" i="3"/>
  <c r="E1495" i="3"/>
  <c r="F1494" i="3"/>
  <c r="E1494" i="3"/>
  <c r="F1493" i="3"/>
  <c r="E1493" i="3"/>
  <c r="F1492" i="3"/>
  <c r="E1492" i="3"/>
  <c r="F1491" i="3"/>
  <c r="E1491" i="3"/>
  <c r="F1490" i="3"/>
  <c r="E1490" i="3"/>
  <c r="F1489" i="3"/>
  <c r="E1489" i="3"/>
  <c r="F1488" i="3"/>
  <c r="E1488" i="3"/>
  <c r="F1487" i="3"/>
  <c r="E1487" i="3"/>
  <c r="F1486" i="3"/>
  <c r="E1486" i="3"/>
  <c r="F1485" i="3"/>
  <c r="E1485" i="3"/>
  <c r="F1484" i="3"/>
  <c r="E1484" i="3"/>
  <c r="F1483" i="3"/>
  <c r="E1483" i="3"/>
  <c r="F1482" i="3"/>
  <c r="E1482" i="3"/>
  <c r="F1481" i="3"/>
  <c r="E1481" i="3"/>
  <c r="F1480" i="3"/>
  <c r="E1480" i="3"/>
  <c r="F1479" i="3"/>
  <c r="E1479" i="3"/>
  <c r="F1478" i="3"/>
  <c r="E1478" i="3"/>
  <c r="F1477" i="3"/>
  <c r="E1477" i="3"/>
  <c r="F1476" i="3"/>
  <c r="E1476" i="3"/>
  <c r="F1475" i="3"/>
  <c r="E1475" i="3"/>
  <c r="F1474" i="3"/>
  <c r="E1474" i="3"/>
  <c r="F1473" i="3"/>
  <c r="E1473" i="3"/>
  <c r="F1472" i="3"/>
  <c r="E1472" i="3"/>
  <c r="F1471" i="3"/>
  <c r="E1471" i="3"/>
  <c r="F1470" i="3"/>
  <c r="E1470" i="3"/>
  <c r="F1469" i="3"/>
  <c r="E1469" i="3"/>
  <c r="F1468" i="3"/>
  <c r="E1468" i="3"/>
  <c r="F1467" i="3"/>
  <c r="E1467" i="3"/>
  <c r="F1466" i="3"/>
  <c r="E1466" i="3"/>
  <c r="F1465" i="3"/>
  <c r="E1465" i="3"/>
  <c r="F1464" i="3"/>
  <c r="E1464" i="3"/>
  <c r="F1463" i="3"/>
  <c r="E1463" i="3"/>
  <c r="F1462" i="3"/>
  <c r="E1462" i="3"/>
  <c r="F1461" i="3"/>
  <c r="E1461" i="3"/>
  <c r="F1460" i="3"/>
  <c r="E1460" i="3"/>
  <c r="F1459" i="3"/>
  <c r="E1459" i="3"/>
  <c r="F1458" i="3"/>
  <c r="E1458" i="3"/>
  <c r="F1457" i="3"/>
  <c r="E1457" i="3"/>
  <c r="F1456" i="3"/>
  <c r="E1456" i="3"/>
  <c r="F1455" i="3"/>
  <c r="E1455" i="3"/>
  <c r="F1454" i="3"/>
  <c r="E1454" i="3"/>
  <c r="F1453" i="3"/>
  <c r="E1453" i="3"/>
  <c r="F1452" i="3"/>
  <c r="E1452" i="3"/>
  <c r="F1451" i="3"/>
  <c r="E1451" i="3"/>
  <c r="F1450" i="3"/>
  <c r="E1450" i="3"/>
  <c r="F1449" i="3"/>
  <c r="E1449" i="3"/>
  <c r="F1448" i="3"/>
  <c r="E1448" i="3"/>
  <c r="F1447" i="3"/>
  <c r="E1447" i="3"/>
  <c r="F1446" i="3"/>
  <c r="E1446" i="3"/>
  <c r="F1445" i="3"/>
  <c r="E1445" i="3"/>
  <c r="F1444" i="3"/>
  <c r="E1444" i="3"/>
  <c r="F1443" i="3"/>
  <c r="E1443" i="3"/>
  <c r="F1442" i="3"/>
  <c r="E1442" i="3"/>
  <c r="F1441" i="3"/>
  <c r="E1441" i="3"/>
  <c r="F1440" i="3"/>
  <c r="E1440" i="3"/>
  <c r="F1439" i="3"/>
  <c r="E1439" i="3"/>
  <c r="F1438" i="3"/>
  <c r="E1438" i="3"/>
  <c r="F1437" i="3"/>
  <c r="E1437" i="3"/>
  <c r="F1436" i="3"/>
  <c r="E1436" i="3"/>
  <c r="F1435" i="3"/>
  <c r="E1435" i="3"/>
  <c r="F1434" i="3"/>
  <c r="E1434" i="3"/>
  <c r="F1433" i="3"/>
  <c r="E1433" i="3"/>
  <c r="F1432" i="3"/>
  <c r="E1432" i="3"/>
  <c r="F1431" i="3"/>
  <c r="E1431" i="3"/>
  <c r="F1430" i="3"/>
  <c r="E1430" i="3"/>
  <c r="F1429" i="3"/>
  <c r="E1429" i="3"/>
  <c r="F1428" i="3"/>
  <c r="E1428" i="3"/>
  <c r="F1427" i="3"/>
  <c r="E1427" i="3"/>
  <c r="F1426" i="3"/>
  <c r="E1426" i="3"/>
  <c r="F1425" i="3"/>
  <c r="E1425" i="3"/>
  <c r="F1424" i="3"/>
  <c r="E1424" i="3"/>
  <c r="F1423" i="3"/>
  <c r="E1423" i="3"/>
  <c r="F1422" i="3"/>
  <c r="E1422" i="3"/>
  <c r="F1421" i="3"/>
  <c r="E1421" i="3"/>
  <c r="F1420" i="3"/>
  <c r="E1420" i="3"/>
  <c r="F1419" i="3"/>
  <c r="E1419" i="3"/>
  <c r="F1418" i="3"/>
  <c r="E1418" i="3"/>
  <c r="F1417" i="3"/>
  <c r="E1417" i="3"/>
  <c r="F1416" i="3"/>
  <c r="E1416" i="3"/>
  <c r="F1415" i="3"/>
  <c r="E1415" i="3"/>
  <c r="F1414" i="3"/>
  <c r="E1414" i="3"/>
  <c r="F1413" i="3"/>
  <c r="E1413" i="3"/>
  <c r="F1412" i="3"/>
  <c r="E1412" i="3"/>
  <c r="F1411" i="3"/>
  <c r="E1411" i="3"/>
  <c r="F1410" i="3"/>
  <c r="E1410" i="3"/>
  <c r="F1409" i="3"/>
  <c r="E1409" i="3"/>
  <c r="F1408" i="3"/>
  <c r="E1408" i="3"/>
  <c r="F1407" i="3"/>
  <c r="E1407" i="3"/>
  <c r="F1406" i="3"/>
  <c r="E1406" i="3"/>
  <c r="F1405" i="3"/>
  <c r="E1405" i="3"/>
  <c r="F1404" i="3"/>
  <c r="E1404" i="3"/>
  <c r="F1403" i="3"/>
  <c r="E1403" i="3"/>
  <c r="F1402" i="3"/>
  <c r="E1402" i="3"/>
  <c r="F1401" i="3"/>
  <c r="E1401" i="3"/>
  <c r="F1400" i="3"/>
  <c r="E1400" i="3"/>
  <c r="F1399" i="3"/>
  <c r="E1399" i="3"/>
  <c r="F1398" i="3"/>
  <c r="E1398" i="3"/>
  <c r="F1397" i="3"/>
  <c r="E1397" i="3"/>
  <c r="F1396" i="3"/>
  <c r="E1396" i="3"/>
  <c r="F1395" i="3"/>
  <c r="E1395" i="3"/>
  <c r="F1394" i="3"/>
  <c r="E1394" i="3"/>
  <c r="F1393" i="3"/>
  <c r="E1393" i="3"/>
  <c r="F1392" i="3"/>
  <c r="E1392" i="3"/>
  <c r="F1391" i="3"/>
  <c r="E1391" i="3"/>
  <c r="F1390" i="3"/>
  <c r="E1390" i="3"/>
  <c r="F1389" i="3"/>
  <c r="E1389" i="3"/>
  <c r="F1388" i="3"/>
  <c r="E1388" i="3"/>
  <c r="F1387" i="3"/>
  <c r="E1387" i="3"/>
  <c r="F1386" i="3"/>
  <c r="E1386" i="3"/>
  <c r="F1385" i="3"/>
  <c r="E1385" i="3"/>
  <c r="F1384" i="3"/>
  <c r="E1384" i="3"/>
  <c r="F1383" i="3"/>
  <c r="E1383" i="3"/>
  <c r="F1382" i="3"/>
  <c r="E1382" i="3"/>
  <c r="F1381" i="3"/>
  <c r="E1381" i="3"/>
  <c r="F1380" i="3"/>
  <c r="E1380" i="3"/>
  <c r="F1379" i="3"/>
  <c r="E1379" i="3"/>
  <c r="F1378" i="3"/>
  <c r="E1378" i="3"/>
  <c r="F1377" i="3"/>
  <c r="E1377" i="3"/>
  <c r="F1376" i="3"/>
  <c r="E1376" i="3"/>
  <c r="F1375" i="3"/>
  <c r="E1375" i="3"/>
  <c r="F1374" i="3"/>
  <c r="E1374" i="3"/>
  <c r="F1373" i="3"/>
  <c r="E1373" i="3"/>
  <c r="F1372" i="3"/>
  <c r="E1372" i="3"/>
  <c r="F1371" i="3"/>
  <c r="E1371" i="3"/>
  <c r="F1370" i="3"/>
  <c r="E1370" i="3"/>
  <c r="F1369" i="3"/>
  <c r="E1369" i="3"/>
  <c r="F1368" i="3"/>
  <c r="E1368" i="3"/>
  <c r="F1367" i="3"/>
  <c r="E1367" i="3"/>
  <c r="F1366" i="3"/>
  <c r="E1366" i="3"/>
  <c r="F1365" i="3"/>
  <c r="E1365" i="3"/>
  <c r="F1364" i="3"/>
  <c r="E1364" i="3"/>
  <c r="F1363" i="3"/>
  <c r="E1363" i="3"/>
  <c r="F1362" i="3"/>
  <c r="E1362" i="3"/>
  <c r="F1361" i="3"/>
  <c r="E1361" i="3"/>
  <c r="F1360" i="3"/>
  <c r="E1360" i="3"/>
  <c r="F1359" i="3"/>
  <c r="E1359" i="3"/>
  <c r="F1358" i="3"/>
  <c r="E1358" i="3"/>
  <c r="F1357" i="3"/>
  <c r="E1357" i="3"/>
  <c r="F1356" i="3"/>
  <c r="E1356" i="3"/>
  <c r="F1355" i="3"/>
  <c r="E1355" i="3"/>
  <c r="F1354" i="3"/>
  <c r="E1354" i="3"/>
  <c r="F1353" i="3"/>
  <c r="E1353" i="3"/>
  <c r="F1352" i="3"/>
  <c r="E1352" i="3"/>
  <c r="F1351" i="3"/>
  <c r="E1351" i="3"/>
  <c r="F1350" i="3"/>
  <c r="E1350" i="3"/>
  <c r="F1349" i="3"/>
  <c r="E1349" i="3"/>
  <c r="F1348" i="3"/>
  <c r="E1348" i="3"/>
  <c r="F1347" i="3"/>
  <c r="E1347" i="3"/>
  <c r="F1346" i="3"/>
  <c r="E1346" i="3"/>
  <c r="F1345" i="3"/>
  <c r="E1345" i="3"/>
  <c r="F1344" i="3"/>
  <c r="E1344" i="3"/>
  <c r="F1343" i="3"/>
  <c r="E1343" i="3"/>
  <c r="F1342" i="3"/>
  <c r="E1342" i="3"/>
  <c r="F1341" i="3"/>
  <c r="E1341" i="3"/>
  <c r="F1340" i="3"/>
  <c r="E1340" i="3"/>
  <c r="F1339" i="3"/>
  <c r="E1339" i="3"/>
  <c r="F1338" i="3"/>
  <c r="E1338" i="3"/>
  <c r="F1337" i="3"/>
  <c r="E1337" i="3"/>
  <c r="F1336" i="3"/>
  <c r="E1336" i="3"/>
  <c r="F1335" i="3"/>
  <c r="E1335" i="3"/>
  <c r="F1334" i="3"/>
  <c r="E1334" i="3"/>
  <c r="F1333" i="3"/>
  <c r="E1333" i="3"/>
  <c r="F1332" i="3"/>
  <c r="E1332" i="3"/>
  <c r="F1331" i="3"/>
  <c r="E1331" i="3"/>
  <c r="F1330" i="3"/>
  <c r="E1330" i="3"/>
  <c r="F1329" i="3"/>
  <c r="E1329" i="3"/>
  <c r="F1328" i="3"/>
  <c r="E1328" i="3"/>
  <c r="F1327" i="3"/>
  <c r="E1327" i="3"/>
  <c r="F1326" i="3"/>
  <c r="E1326" i="3"/>
  <c r="F1325" i="3"/>
  <c r="E1325" i="3"/>
  <c r="F1324" i="3"/>
  <c r="E1324" i="3"/>
  <c r="F1323" i="3"/>
  <c r="E1323" i="3"/>
  <c r="F1322" i="3"/>
  <c r="E1322" i="3"/>
  <c r="F1321" i="3"/>
  <c r="E1321" i="3"/>
  <c r="F1320" i="3"/>
  <c r="E1320" i="3"/>
  <c r="F1319" i="3"/>
  <c r="E1319" i="3"/>
  <c r="F1318" i="3"/>
  <c r="E1318" i="3"/>
  <c r="F1317" i="3"/>
  <c r="E1317" i="3"/>
  <c r="F1316" i="3"/>
  <c r="E1316" i="3"/>
  <c r="F1315" i="3"/>
  <c r="E1315" i="3"/>
  <c r="F1314" i="3"/>
  <c r="E1314" i="3"/>
  <c r="F1313" i="3"/>
  <c r="E1313" i="3"/>
  <c r="F1312" i="3"/>
  <c r="E1312" i="3"/>
  <c r="F1311" i="3"/>
  <c r="E1311" i="3"/>
  <c r="F1310" i="3"/>
  <c r="E1310" i="3"/>
  <c r="F1309" i="3"/>
  <c r="E1309" i="3"/>
  <c r="F1308" i="3"/>
  <c r="E1308" i="3"/>
  <c r="F1307" i="3"/>
  <c r="E1307" i="3"/>
  <c r="F1306" i="3"/>
  <c r="E1306" i="3"/>
  <c r="F1305" i="3"/>
  <c r="E1305" i="3"/>
  <c r="F1304" i="3"/>
  <c r="E1304" i="3"/>
  <c r="F1303" i="3"/>
  <c r="E1303" i="3"/>
  <c r="F1302" i="3"/>
  <c r="E1302" i="3"/>
  <c r="F1301" i="3"/>
  <c r="E1301" i="3"/>
  <c r="F1300" i="3"/>
  <c r="E1300" i="3"/>
  <c r="F1299" i="3"/>
  <c r="E1299" i="3"/>
  <c r="F1298" i="3"/>
  <c r="E1298" i="3"/>
  <c r="F1297" i="3"/>
  <c r="E1297" i="3"/>
  <c r="F1296" i="3"/>
  <c r="E1296" i="3"/>
  <c r="F1295" i="3"/>
  <c r="E1295" i="3"/>
  <c r="F1294" i="3"/>
  <c r="E1294" i="3"/>
  <c r="F1293" i="3"/>
  <c r="E1293" i="3"/>
  <c r="F1292" i="3"/>
  <c r="E1292" i="3"/>
  <c r="F1291" i="3"/>
  <c r="E1291" i="3"/>
  <c r="F1290" i="3"/>
  <c r="E1290" i="3"/>
  <c r="F1289" i="3"/>
  <c r="E1289" i="3"/>
  <c r="F1288" i="3"/>
  <c r="E1288" i="3"/>
  <c r="F1287" i="3"/>
  <c r="E1287" i="3"/>
  <c r="F1286" i="3"/>
  <c r="E1286" i="3"/>
  <c r="F1285" i="3"/>
  <c r="E1285" i="3"/>
  <c r="F1284" i="3"/>
  <c r="E1284" i="3"/>
  <c r="F1283" i="3"/>
  <c r="E1283" i="3"/>
  <c r="F1282" i="3"/>
  <c r="E1282" i="3"/>
  <c r="F1281" i="3"/>
  <c r="E1281" i="3"/>
  <c r="F1280" i="3"/>
  <c r="E1280" i="3"/>
  <c r="F1279" i="3"/>
  <c r="E1279" i="3"/>
  <c r="F1278" i="3"/>
  <c r="E1278" i="3"/>
  <c r="F1277" i="3"/>
  <c r="E1277" i="3"/>
  <c r="F1276" i="3"/>
  <c r="E1276" i="3"/>
  <c r="F1275" i="3"/>
  <c r="E1275" i="3"/>
  <c r="F1274" i="3"/>
  <c r="E1274" i="3"/>
  <c r="F1273" i="3"/>
  <c r="E1273" i="3"/>
  <c r="F1272" i="3"/>
  <c r="E1272" i="3"/>
  <c r="F1271" i="3"/>
  <c r="E1271" i="3"/>
  <c r="F1270" i="3"/>
  <c r="E1270" i="3"/>
  <c r="F1269" i="3"/>
  <c r="E1269" i="3"/>
  <c r="F1268" i="3"/>
  <c r="E1268" i="3"/>
  <c r="F1267" i="3"/>
  <c r="E1267" i="3"/>
  <c r="F1266" i="3"/>
  <c r="E1266" i="3"/>
  <c r="F1265" i="3"/>
  <c r="E1265" i="3"/>
  <c r="F1264" i="3"/>
  <c r="E1264" i="3"/>
  <c r="F1263" i="3"/>
  <c r="E1263" i="3"/>
  <c r="F1262" i="3"/>
  <c r="E1262" i="3"/>
  <c r="F1261" i="3"/>
  <c r="E1261" i="3"/>
  <c r="F1260" i="3"/>
  <c r="E1260" i="3"/>
  <c r="F1259" i="3"/>
  <c r="E1259" i="3"/>
  <c r="F1258" i="3"/>
  <c r="E1258" i="3"/>
  <c r="F1257" i="3"/>
  <c r="E1257" i="3"/>
  <c r="F1256" i="3"/>
  <c r="E1256" i="3"/>
  <c r="F1255" i="3"/>
  <c r="E1255" i="3"/>
  <c r="F1254" i="3"/>
  <c r="E1254" i="3"/>
  <c r="F1253" i="3"/>
  <c r="E1253" i="3"/>
  <c r="F1252" i="3"/>
  <c r="E1252" i="3"/>
  <c r="F1251" i="3"/>
  <c r="E1251" i="3"/>
  <c r="F1250" i="3"/>
  <c r="E1250" i="3"/>
  <c r="F1249" i="3"/>
  <c r="E1249" i="3"/>
  <c r="F1248" i="3"/>
  <c r="E1248" i="3"/>
  <c r="F1247" i="3"/>
  <c r="E1247" i="3"/>
  <c r="F1246" i="3"/>
  <c r="E1246" i="3"/>
  <c r="F1245" i="3"/>
  <c r="E1245" i="3"/>
  <c r="F1244" i="3"/>
  <c r="E1244" i="3"/>
  <c r="F1243" i="3"/>
  <c r="E1243" i="3"/>
  <c r="F1242" i="3"/>
  <c r="E1242" i="3"/>
  <c r="F1241" i="3"/>
  <c r="E1241" i="3"/>
  <c r="F1240" i="3"/>
  <c r="E1240" i="3"/>
  <c r="F1239" i="3"/>
  <c r="E1239" i="3"/>
  <c r="F1238" i="3"/>
  <c r="E1238" i="3"/>
  <c r="F1237" i="3"/>
  <c r="E1237" i="3"/>
  <c r="F1236" i="3"/>
  <c r="E1236" i="3"/>
  <c r="F1235" i="3"/>
  <c r="E1235" i="3"/>
  <c r="F1234" i="3"/>
  <c r="E1234" i="3"/>
  <c r="F1233" i="3"/>
  <c r="E1233" i="3"/>
  <c r="F1232" i="3"/>
  <c r="E1232" i="3"/>
  <c r="F1231" i="3"/>
  <c r="E1231" i="3"/>
  <c r="F1230" i="3"/>
  <c r="E1230" i="3"/>
  <c r="F1229" i="3"/>
  <c r="E1229" i="3"/>
  <c r="F1228" i="3"/>
  <c r="E1228" i="3"/>
  <c r="F1227" i="3"/>
  <c r="E1227" i="3"/>
  <c r="F1226" i="3"/>
  <c r="E1226" i="3"/>
  <c r="F1225" i="3"/>
  <c r="E1225" i="3"/>
  <c r="F1224" i="3"/>
  <c r="E1224" i="3"/>
  <c r="F1223" i="3"/>
  <c r="E1223" i="3"/>
  <c r="F1222" i="3"/>
  <c r="E1222" i="3"/>
  <c r="F1221" i="3"/>
  <c r="E1221" i="3"/>
  <c r="F1220" i="3"/>
  <c r="E1220" i="3"/>
  <c r="F1219" i="3"/>
  <c r="E1219" i="3"/>
  <c r="F1218" i="3"/>
  <c r="E1218" i="3"/>
  <c r="F1217" i="3"/>
  <c r="E1217" i="3"/>
  <c r="F1216" i="3"/>
  <c r="E1216" i="3"/>
  <c r="F1215" i="3"/>
  <c r="E1215" i="3"/>
  <c r="F1214" i="3"/>
  <c r="E1214" i="3"/>
  <c r="F1213" i="3"/>
  <c r="E1213" i="3"/>
  <c r="F1212" i="3"/>
  <c r="E1212" i="3"/>
  <c r="F1211" i="3"/>
  <c r="E1211" i="3"/>
  <c r="F1210" i="3"/>
  <c r="E1210" i="3"/>
  <c r="F1209" i="3"/>
  <c r="E1209" i="3"/>
  <c r="F1208" i="3"/>
  <c r="E1208" i="3"/>
  <c r="F1207" i="3"/>
  <c r="E1207" i="3"/>
  <c r="F1206" i="3"/>
  <c r="E1206" i="3"/>
  <c r="F1205" i="3"/>
  <c r="E1205" i="3"/>
  <c r="F1204" i="3"/>
  <c r="E1204" i="3"/>
  <c r="F1203" i="3"/>
  <c r="E1203" i="3"/>
  <c r="F1202" i="3"/>
  <c r="E1202" i="3"/>
  <c r="F1201" i="3"/>
  <c r="E1201" i="3"/>
  <c r="F1200" i="3"/>
  <c r="E1200" i="3"/>
  <c r="F1199" i="3"/>
  <c r="E1199" i="3"/>
  <c r="F1198" i="3"/>
  <c r="E1198" i="3"/>
  <c r="F1197" i="3"/>
  <c r="E1197" i="3"/>
  <c r="F1196" i="3"/>
  <c r="E1196" i="3"/>
  <c r="F1195" i="3"/>
  <c r="E1195" i="3"/>
  <c r="F1194" i="3"/>
  <c r="E1194" i="3"/>
  <c r="F1193" i="3"/>
  <c r="E1193" i="3"/>
  <c r="F1192" i="3"/>
  <c r="E1192" i="3"/>
  <c r="F1191" i="3"/>
  <c r="E1191" i="3"/>
  <c r="F1190" i="3"/>
  <c r="E1190" i="3"/>
  <c r="F1189" i="3"/>
  <c r="E1189" i="3"/>
  <c r="F1188" i="3"/>
  <c r="E1188" i="3"/>
  <c r="F1187" i="3"/>
  <c r="E1187" i="3"/>
  <c r="F1186" i="3"/>
  <c r="E1186" i="3"/>
  <c r="F1185" i="3"/>
  <c r="E1185" i="3"/>
  <c r="F1184" i="3"/>
  <c r="E1184" i="3"/>
  <c r="F1183" i="3"/>
  <c r="E1183" i="3"/>
  <c r="F1182" i="3"/>
  <c r="E1182" i="3"/>
  <c r="F1181" i="3"/>
  <c r="E1181" i="3"/>
  <c r="F1180" i="3"/>
  <c r="E1180" i="3"/>
  <c r="F1179" i="3"/>
  <c r="E1179" i="3"/>
  <c r="F1178" i="3"/>
  <c r="E1178" i="3"/>
  <c r="F1177" i="3"/>
  <c r="E1177" i="3"/>
  <c r="F1176" i="3"/>
  <c r="E1176" i="3"/>
  <c r="F1175" i="3"/>
  <c r="E1175" i="3"/>
  <c r="F1174" i="3"/>
  <c r="E1174" i="3"/>
  <c r="F1173" i="3"/>
  <c r="E1173" i="3"/>
  <c r="F1172" i="3"/>
  <c r="E1172" i="3"/>
  <c r="F1171" i="3"/>
  <c r="E1171" i="3"/>
  <c r="F1170" i="3"/>
  <c r="E1170" i="3"/>
  <c r="F1169" i="3"/>
  <c r="E1169" i="3"/>
  <c r="F1168" i="3"/>
  <c r="E1168" i="3"/>
  <c r="F1167" i="3"/>
  <c r="E1167" i="3"/>
  <c r="F1166" i="3"/>
  <c r="E1166" i="3"/>
  <c r="F1165" i="3"/>
  <c r="E1165" i="3"/>
  <c r="F1164" i="3"/>
  <c r="E1164" i="3"/>
  <c r="F1163" i="3"/>
  <c r="E1163" i="3"/>
  <c r="F1162" i="3"/>
  <c r="E1162" i="3"/>
  <c r="F1161" i="3"/>
  <c r="E1161" i="3"/>
  <c r="F1160" i="3"/>
  <c r="E1160" i="3"/>
  <c r="F1159" i="3"/>
  <c r="E1159" i="3"/>
  <c r="F1158" i="3"/>
  <c r="E1158" i="3"/>
  <c r="F1157" i="3"/>
  <c r="E1157" i="3"/>
  <c r="F1156" i="3"/>
  <c r="E1156" i="3"/>
  <c r="F1155" i="3"/>
  <c r="E1155" i="3"/>
  <c r="F1154" i="3"/>
  <c r="E1154" i="3"/>
  <c r="F1153" i="3"/>
  <c r="E1153" i="3"/>
  <c r="F1152" i="3"/>
  <c r="E1152" i="3"/>
  <c r="F1151" i="3"/>
  <c r="E1151" i="3"/>
  <c r="F1150" i="3"/>
  <c r="E1150" i="3"/>
  <c r="F1149" i="3"/>
  <c r="E1149" i="3"/>
  <c r="F1148" i="3"/>
  <c r="E1148" i="3"/>
  <c r="F1147" i="3"/>
  <c r="E1147" i="3"/>
  <c r="F1146" i="3"/>
  <c r="E1146" i="3"/>
  <c r="F1145" i="3"/>
  <c r="E1145" i="3"/>
  <c r="F1144" i="3"/>
  <c r="E1144" i="3"/>
  <c r="F1143" i="3"/>
  <c r="E1143" i="3"/>
  <c r="F1142" i="3"/>
  <c r="E1142" i="3"/>
  <c r="F1141" i="3"/>
  <c r="E1141" i="3"/>
  <c r="F1140" i="3"/>
  <c r="E1140" i="3"/>
  <c r="F1139" i="3"/>
  <c r="E1139" i="3"/>
  <c r="F1138" i="3"/>
  <c r="E1138" i="3"/>
  <c r="F1137" i="3"/>
  <c r="E1137" i="3"/>
  <c r="F1136" i="3"/>
  <c r="E1136" i="3"/>
  <c r="F1135" i="3"/>
  <c r="E1135" i="3"/>
  <c r="F1134" i="3"/>
  <c r="E1134" i="3"/>
  <c r="F1133" i="3"/>
  <c r="E1133" i="3"/>
  <c r="F1132" i="3"/>
  <c r="E1132" i="3"/>
  <c r="F1131" i="3"/>
  <c r="E1131" i="3"/>
  <c r="F1130" i="3"/>
  <c r="E1130" i="3"/>
  <c r="F1129" i="3"/>
  <c r="E1129" i="3"/>
  <c r="F1128" i="3"/>
  <c r="E1128" i="3"/>
  <c r="F1127" i="3"/>
  <c r="E1127" i="3"/>
  <c r="F1126" i="3"/>
  <c r="E1126" i="3"/>
  <c r="F1125" i="3"/>
  <c r="E1125" i="3"/>
  <c r="F1124" i="3"/>
  <c r="E1124" i="3"/>
  <c r="F1123" i="3"/>
  <c r="E1123" i="3"/>
  <c r="F1122" i="3"/>
  <c r="E1122" i="3"/>
  <c r="F1121" i="3"/>
  <c r="E1121" i="3"/>
  <c r="F1120" i="3"/>
  <c r="E1120" i="3"/>
  <c r="F1119" i="3"/>
  <c r="E1119" i="3"/>
  <c r="F1118" i="3"/>
  <c r="E1118" i="3"/>
  <c r="F1117" i="3"/>
  <c r="E1117" i="3"/>
  <c r="F1116" i="3"/>
  <c r="E1116" i="3"/>
  <c r="F1115" i="3"/>
  <c r="E1115" i="3"/>
  <c r="F1114" i="3"/>
  <c r="E1114" i="3"/>
  <c r="F1113" i="3"/>
  <c r="E1113" i="3"/>
  <c r="F1112" i="3"/>
  <c r="E1112" i="3"/>
  <c r="F1111" i="3"/>
  <c r="E1111" i="3"/>
  <c r="F1110" i="3"/>
  <c r="E1110" i="3"/>
  <c r="F1109" i="3"/>
  <c r="E1109" i="3"/>
  <c r="F1108" i="3"/>
  <c r="E1108" i="3"/>
  <c r="F1107" i="3"/>
  <c r="E1107" i="3"/>
  <c r="F1106" i="3"/>
  <c r="E1106" i="3"/>
  <c r="F1105" i="3"/>
  <c r="E1105" i="3"/>
  <c r="F1104" i="3"/>
  <c r="E1104" i="3"/>
  <c r="F1103" i="3"/>
  <c r="E1103" i="3"/>
  <c r="F1102" i="3"/>
  <c r="E1102" i="3"/>
  <c r="F1101" i="3"/>
  <c r="E1101" i="3"/>
  <c r="F1100" i="3"/>
  <c r="E1100" i="3"/>
  <c r="F1099" i="3"/>
  <c r="E1099" i="3"/>
  <c r="F1098" i="3"/>
  <c r="E1098" i="3"/>
  <c r="F1097" i="3"/>
  <c r="E1097" i="3"/>
  <c r="F1096" i="3"/>
  <c r="E1096" i="3"/>
  <c r="F1095" i="3"/>
  <c r="E1095" i="3"/>
  <c r="F1094" i="3"/>
  <c r="E1094" i="3"/>
  <c r="F1093" i="3"/>
  <c r="E1093" i="3"/>
  <c r="F1092" i="3"/>
  <c r="E1092" i="3"/>
  <c r="F1091" i="3"/>
  <c r="E1091" i="3"/>
  <c r="F1090" i="3"/>
  <c r="E1090" i="3"/>
  <c r="F1089" i="3"/>
  <c r="E1089" i="3"/>
  <c r="F1088" i="3"/>
  <c r="E1088" i="3"/>
  <c r="F1087" i="3"/>
  <c r="E1087" i="3"/>
  <c r="F1086" i="3"/>
  <c r="E1086" i="3"/>
  <c r="F1085" i="3"/>
  <c r="E1085" i="3"/>
  <c r="F1084" i="3"/>
  <c r="E1084" i="3"/>
  <c r="F1083" i="3"/>
  <c r="E1083" i="3"/>
  <c r="F1082" i="3"/>
  <c r="E1082" i="3"/>
  <c r="F1081" i="3"/>
  <c r="E1081" i="3"/>
  <c r="F1080" i="3"/>
  <c r="E1080" i="3"/>
  <c r="F1079" i="3"/>
  <c r="E1079" i="3"/>
  <c r="F1078" i="3"/>
  <c r="E1078" i="3"/>
  <c r="F1077" i="3"/>
  <c r="E1077" i="3"/>
  <c r="F1076" i="3"/>
  <c r="E1076" i="3"/>
  <c r="F1075" i="3"/>
  <c r="E1075" i="3"/>
  <c r="F1074" i="3"/>
  <c r="E1074" i="3"/>
  <c r="F1073" i="3"/>
  <c r="E1073" i="3"/>
  <c r="F1072" i="3"/>
  <c r="E1072" i="3"/>
  <c r="F1071" i="3"/>
  <c r="E1071" i="3"/>
  <c r="F1070" i="3"/>
  <c r="E1070" i="3"/>
  <c r="F1069" i="3"/>
  <c r="E1069" i="3"/>
  <c r="F1068" i="3"/>
  <c r="E1068" i="3"/>
  <c r="F1067" i="3"/>
  <c r="E1067" i="3"/>
  <c r="F1066" i="3"/>
  <c r="E1066" i="3"/>
  <c r="F1065" i="3"/>
  <c r="E1065" i="3"/>
  <c r="F1064" i="3"/>
  <c r="E1064" i="3"/>
  <c r="F1063" i="3"/>
  <c r="E1063" i="3"/>
  <c r="F1062" i="3"/>
  <c r="E1062" i="3"/>
  <c r="F1061" i="3"/>
  <c r="E1061" i="3"/>
  <c r="F1060" i="3"/>
  <c r="E1060" i="3"/>
  <c r="F1059" i="3"/>
  <c r="E1059" i="3"/>
  <c r="F1058" i="3"/>
  <c r="E1058" i="3"/>
  <c r="F1057" i="3"/>
  <c r="E1057" i="3"/>
  <c r="F1056" i="3"/>
  <c r="E1056" i="3"/>
  <c r="F1055" i="3"/>
  <c r="E1055" i="3"/>
  <c r="F1054" i="3"/>
  <c r="E1054" i="3"/>
  <c r="F1053" i="3"/>
  <c r="E1053" i="3"/>
  <c r="F1052" i="3"/>
  <c r="E1052" i="3"/>
  <c r="F1051" i="3"/>
  <c r="E1051" i="3"/>
  <c r="F1050" i="3"/>
  <c r="E1050" i="3"/>
  <c r="F1049" i="3"/>
  <c r="E1049" i="3"/>
  <c r="F1048" i="3"/>
  <c r="E1048" i="3"/>
  <c r="F1047" i="3"/>
  <c r="E1047" i="3"/>
  <c r="F1046" i="3"/>
  <c r="E1046" i="3"/>
  <c r="F1045" i="3"/>
  <c r="E1045" i="3"/>
  <c r="F1044" i="3"/>
  <c r="E1044" i="3"/>
  <c r="F1043" i="3"/>
  <c r="E1043" i="3"/>
  <c r="F1042" i="3"/>
  <c r="E1042" i="3"/>
  <c r="F1041" i="3"/>
  <c r="E1041" i="3"/>
  <c r="F1040" i="3"/>
  <c r="E1040" i="3"/>
  <c r="F1039" i="3"/>
  <c r="E1039" i="3"/>
  <c r="F1038" i="3"/>
  <c r="E1038" i="3"/>
  <c r="F1037" i="3"/>
  <c r="E1037" i="3"/>
  <c r="F1036" i="3"/>
  <c r="E1036" i="3"/>
  <c r="F1035" i="3"/>
  <c r="E1035" i="3"/>
  <c r="F1034" i="3"/>
  <c r="E1034" i="3"/>
  <c r="F1033" i="3"/>
  <c r="E1033" i="3"/>
  <c r="F1032" i="3"/>
  <c r="E1032" i="3"/>
  <c r="F1031" i="3"/>
  <c r="E1031" i="3"/>
  <c r="F1030" i="3"/>
  <c r="E1030" i="3"/>
  <c r="F1029" i="3"/>
  <c r="E1029" i="3"/>
  <c r="F1028" i="3"/>
  <c r="E1028" i="3"/>
  <c r="F1027" i="3"/>
  <c r="E1027" i="3"/>
  <c r="F1026" i="3"/>
  <c r="E1026" i="3"/>
  <c r="F1025" i="3"/>
  <c r="E1025" i="3"/>
  <c r="F1024" i="3"/>
  <c r="E1024" i="3"/>
  <c r="F1023" i="3"/>
  <c r="E1023" i="3"/>
  <c r="F1022" i="3"/>
  <c r="E1022" i="3"/>
  <c r="F1021" i="3"/>
  <c r="E1021" i="3"/>
  <c r="F1020" i="3"/>
  <c r="E1020" i="3"/>
  <c r="F1019" i="3"/>
  <c r="E1019" i="3"/>
  <c r="F1018" i="3"/>
  <c r="E1018" i="3"/>
  <c r="F1017" i="3"/>
  <c r="E1017" i="3"/>
  <c r="F1016" i="3"/>
  <c r="E1016" i="3"/>
  <c r="F1015" i="3"/>
  <c r="E1015" i="3"/>
  <c r="F1014" i="3"/>
  <c r="E1014" i="3"/>
  <c r="F1013" i="3"/>
  <c r="E1013" i="3"/>
  <c r="F1012" i="3"/>
  <c r="E1012" i="3"/>
  <c r="F1011" i="3"/>
  <c r="E1011" i="3"/>
  <c r="F1010" i="3"/>
  <c r="E1010" i="3"/>
  <c r="F1009" i="3"/>
  <c r="E1009" i="3"/>
  <c r="F1008" i="3"/>
  <c r="E1008" i="3"/>
  <c r="F1007" i="3"/>
  <c r="E1007" i="3"/>
  <c r="F1006" i="3"/>
  <c r="E1006" i="3"/>
  <c r="F1005" i="3"/>
  <c r="E1005" i="3"/>
  <c r="F1004" i="3"/>
  <c r="E1004" i="3"/>
  <c r="F1003" i="3"/>
  <c r="E1003" i="3"/>
  <c r="F1002" i="3"/>
  <c r="E1002" i="3"/>
  <c r="F1001" i="3"/>
  <c r="E1001" i="3"/>
  <c r="F1000" i="3"/>
  <c r="E1000" i="3"/>
  <c r="F999" i="3"/>
  <c r="E999" i="3"/>
  <c r="F998" i="3"/>
  <c r="E998" i="3"/>
  <c r="F997" i="3"/>
  <c r="E997" i="3"/>
  <c r="F996" i="3"/>
  <c r="E996" i="3"/>
  <c r="F995" i="3"/>
  <c r="E995" i="3"/>
  <c r="F994" i="3"/>
  <c r="E994" i="3"/>
  <c r="F993" i="3"/>
  <c r="E993" i="3"/>
  <c r="F992" i="3"/>
  <c r="E992" i="3"/>
  <c r="F991" i="3"/>
  <c r="E991" i="3"/>
  <c r="F990" i="3"/>
  <c r="E990" i="3"/>
  <c r="F989" i="3"/>
  <c r="E989" i="3"/>
  <c r="F988" i="3"/>
  <c r="E988" i="3"/>
  <c r="F987" i="3"/>
  <c r="E987" i="3"/>
  <c r="F986" i="3"/>
  <c r="E986" i="3"/>
  <c r="F985" i="3"/>
  <c r="E985" i="3"/>
  <c r="F984" i="3"/>
  <c r="E984" i="3"/>
  <c r="F983" i="3"/>
  <c r="E983" i="3"/>
  <c r="F982" i="3"/>
  <c r="E982" i="3"/>
  <c r="F981" i="3"/>
  <c r="E981" i="3"/>
  <c r="F980" i="3"/>
  <c r="E980" i="3"/>
  <c r="F979" i="3"/>
  <c r="E979" i="3"/>
  <c r="F978" i="3"/>
  <c r="E978" i="3"/>
  <c r="F977" i="3"/>
  <c r="E977" i="3"/>
  <c r="F976" i="3"/>
  <c r="E976" i="3"/>
  <c r="F975" i="3"/>
  <c r="E975" i="3"/>
  <c r="F974" i="3"/>
  <c r="E974" i="3"/>
  <c r="F973" i="3"/>
  <c r="E973" i="3"/>
  <c r="F972" i="3"/>
  <c r="E972" i="3"/>
  <c r="F971" i="3"/>
  <c r="E971" i="3"/>
  <c r="F970" i="3"/>
  <c r="E970" i="3"/>
  <c r="F969" i="3"/>
  <c r="E969" i="3"/>
  <c r="F968" i="3"/>
  <c r="E968" i="3"/>
  <c r="F967" i="3"/>
  <c r="E967" i="3"/>
  <c r="F966" i="3"/>
  <c r="E966" i="3"/>
  <c r="F965" i="3"/>
  <c r="E965" i="3"/>
  <c r="F964" i="3"/>
  <c r="E964" i="3"/>
  <c r="F963" i="3"/>
  <c r="E963" i="3"/>
  <c r="F962" i="3"/>
  <c r="E962" i="3"/>
  <c r="F961" i="3"/>
  <c r="E961" i="3"/>
  <c r="F960" i="3"/>
  <c r="E960" i="3"/>
  <c r="F959" i="3"/>
  <c r="E959" i="3"/>
  <c r="F958" i="3"/>
  <c r="E958" i="3"/>
  <c r="F957" i="3"/>
  <c r="E957" i="3"/>
  <c r="F956" i="3"/>
  <c r="E956" i="3"/>
  <c r="F955" i="3"/>
  <c r="E955" i="3"/>
  <c r="F954" i="3"/>
  <c r="E954" i="3"/>
  <c r="F953" i="3"/>
  <c r="E953" i="3"/>
  <c r="F952" i="3"/>
  <c r="E952" i="3"/>
  <c r="F951" i="3"/>
  <c r="E951" i="3"/>
  <c r="F950" i="3"/>
  <c r="E950" i="3"/>
  <c r="F949" i="3"/>
  <c r="E949" i="3"/>
  <c r="F948" i="3"/>
  <c r="E948" i="3"/>
  <c r="F947" i="3"/>
  <c r="E947" i="3"/>
  <c r="F946" i="3"/>
  <c r="E946" i="3"/>
  <c r="F945" i="3"/>
  <c r="E945" i="3"/>
  <c r="F944" i="3"/>
  <c r="E944" i="3"/>
  <c r="F943" i="3"/>
  <c r="E943" i="3"/>
  <c r="F942" i="3"/>
  <c r="E942" i="3"/>
  <c r="F941" i="3"/>
  <c r="E941" i="3"/>
  <c r="F940" i="3"/>
  <c r="E940" i="3"/>
  <c r="F939" i="3"/>
  <c r="E939" i="3"/>
  <c r="F938" i="3"/>
  <c r="E938" i="3"/>
  <c r="F937" i="3"/>
  <c r="E937" i="3"/>
  <c r="F936" i="3"/>
  <c r="E936" i="3"/>
  <c r="F935" i="3"/>
  <c r="E935" i="3"/>
  <c r="F934" i="3"/>
  <c r="E934" i="3"/>
  <c r="F933" i="3"/>
  <c r="E933" i="3"/>
  <c r="F932" i="3"/>
  <c r="E932" i="3"/>
  <c r="F931" i="3"/>
  <c r="E931" i="3"/>
  <c r="F930" i="3"/>
  <c r="E930" i="3"/>
  <c r="F929" i="3"/>
  <c r="E929" i="3"/>
  <c r="F928" i="3"/>
  <c r="E928" i="3"/>
  <c r="F927" i="3"/>
  <c r="E927" i="3"/>
  <c r="F926" i="3"/>
  <c r="E926" i="3"/>
  <c r="F925" i="3"/>
  <c r="E925" i="3"/>
  <c r="F924" i="3"/>
  <c r="E924" i="3"/>
  <c r="F923" i="3"/>
  <c r="E923" i="3"/>
  <c r="F922" i="3"/>
  <c r="E922" i="3"/>
  <c r="F921" i="3"/>
  <c r="E921" i="3"/>
  <c r="F920" i="3"/>
  <c r="E920" i="3"/>
  <c r="F919" i="3"/>
  <c r="E919" i="3"/>
  <c r="F918" i="3"/>
  <c r="E918" i="3"/>
  <c r="F917" i="3"/>
  <c r="E917" i="3"/>
  <c r="F916" i="3"/>
  <c r="E916" i="3"/>
  <c r="F915" i="3"/>
  <c r="E915" i="3"/>
  <c r="F914" i="3"/>
  <c r="E914" i="3"/>
  <c r="F913" i="3"/>
  <c r="E913" i="3"/>
  <c r="F912" i="3"/>
  <c r="E912" i="3"/>
  <c r="F911" i="3"/>
  <c r="E911" i="3"/>
  <c r="F910" i="3"/>
  <c r="E910" i="3"/>
  <c r="F909" i="3"/>
  <c r="E909" i="3"/>
  <c r="F908" i="3"/>
  <c r="E908" i="3"/>
  <c r="F907" i="3"/>
  <c r="E907" i="3"/>
  <c r="F906" i="3"/>
  <c r="E906" i="3"/>
  <c r="F905" i="3"/>
  <c r="E905" i="3"/>
  <c r="F904" i="3"/>
  <c r="E904" i="3"/>
  <c r="F903" i="3"/>
  <c r="E903" i="3"/>
  <c r="F902" i="3"/>
  <c r="E902" i="3"/>
  <c r="F901" i="3"/>
  <c r="E901" i="3"/>
  <c r="F900" i="3"/>
  <c r="E900" i="3"/>
  <c r="F899" i="3"/>
  <c r="E899" i="3"/>
  <c r="F898" i="3"/>
  <c r="E898" i="3"/>
  <c r="F897" i="3"/>
  <c r="E897" i="3"/>
  <c r="F896" i="3"/>
  <c r="E896" i="3"/>
  <c r="F895" i="3"/>
  <c r="E895" i="3"/>
  <c r="F894" i="3"/>
  <c r="E894" i="3"/>
  <c r="F893" i="3"/>
  <c r="E893" i="3"/>
  <c r="F892" i="3"/>
  <c r="E892" i="3"/>
  <c r="F891" i="3"/>
  <c r="E891" i="3"/>
  <c r="F890" i="3"/>
  <c r="E890" i="3"/>
  <c r="F889" i="3"/>
  <c r="E889" i="3"/>
  <c r="F888" i="3"/>
  <c r="E888" i="3"/>
  <c r="F887" i="3"/>
  <c r="E887" i="3"/>
  <c r="F886" i="3"/>
  <c r="E886" i="3"/>
  <c r="F885" i="3"/>
  <c r="E885" i="3"/>
  <c r="F884" i="3"/>
  <c r="E884" i="3"/>
  <c r="F883" i="3"/>
  <c r="E883" i="3"/>
  <c r="F882" i="3"/>
  <c r="E882" i="3"/>
  <c r="F881" i="3"/>
  <c r="E881" i="3"/>
  <c r="F880" i="3"/>
  <c r="E880" i="3"/>
  <c r="F879" i="3"/>
  <c r="E879" i="3"/>
  <c r="F878" i="3"/>
  <c r="E878" i="3"/>
  <c r="F877" i="3"/>
  <c r="E877" i="3"/>
  <c r="F876" i="3"/>
  <c r="E876" i="3"/>
  <c r="F875" i="3"/>
  <c r="E875" i="3"/>
  <c r="F874" i="3"/>
  <c r="E874" i="3"/>
  <c r="F873" i="3"/>
  <c r="E873" i="3"/>
  <c r="F872" i="3"/>
  <c r="E872" i="3"/>
  <c r="F871" i="3"/>
  <c r="E871" i="3"/>
  <c r="F870" i="3"/>
  <c r="E870" i="3"/>
  <c r="F869" i="3"/>
  <c r="E869" i="3"/>
  <c r="F868" i="3"/>
  <c r="E868" i="3"/>
  <c r="F867" i="3"/>
  <c r="E867" i="3"/>
  <c r="F866" i="3"/>
  <c r="E866" i="3"/>
  <c r="F865" i="3"/>
  <c r="E865" i="3"/>
  <c r="F864" i="3"/>
  <c r="E864" i="3"/>
  <c r="F863" i="3"/>
  <c r="E863" i="3"/>
  <c r="F862" i="3"/>
  <c r="E862" i="3"/>
  <c r="F861" i="3"/>
  <c r="E861" i="3"/>
  <c r="F860" i="3"/>
  <c r="E860" i="3"/>
  <c r="F859" i="3"/>
  <c r="E859" i="3"/>
  <c r="F858" i="3"/>
  <c r="E858" i="3"/>
  <c r="F857" i="3"/>
  <c r="E857" i="3"/>
  <c r="F856" i="3"/>
  <c r="E856" i="3"/>
  <c r="F855" i="3"/>
  <c r="E855" i="3"/>
  <c r="F854" i="3"/>
  <c r="E854" i="3"/>
  <c r="F853" i="3"/>
  <c r="E853" i="3"/>
  <c r="F852" i="3"/>
  <c r="E852" i="3"/>
  <c r="F851" i="3"/>
  <c r="E851" i="3"/>
  <c r="F850" i="3"/>
  <c r="E850" i="3"/>
  <c r="F849" i="3"/>
  <c r="E849" i="3"/>
  <c r="F848" i="3"/>
  <c r="E848" i="3"/>
  <c r="F847" i="3"/>
  <c r="E847" i="3"/>
  <c r="F846" i="3"/>
  <c r="E846" i="3"/>
  <c r="F845" i="3"/>
  <c r="E845" i="3"/>
  <c r="F844" i="3"/>
  <c r="E844" i="3"/>
  <c r="F843" i="3"/>
  <c r="E843" i="3"/>
  <c r="F842" i="3"/>
  <c r="E842" i="3"/>
  <c r="F841" i="3"/>
  <c r="E841" i="3"/>
  <c r="F840" i="3"/>
  <c r="E840" i="3"/>
  <c r="F839" i="3"/>
  <c r="E839" i="3"/>
  <c r="F838" i="3"/>
  <c r="E838" i="3"/>
  <c r="F837" i="3"/>
  <c r="E837" i="3"/>
  <c r="F836" i="3"/>
  <c r="E836" i="3"/>
  <c r="F835" i="3"/>
  <c r="E835" i="3"/>
  <c r="F834" i="3"/>
  <c r="E834" i="3"/>
  <c r="F833" i="3"/>
  <c r="E833" i="3"/>
  <c r="F832" i="3"/>
  <c r="E832" i="3"/>
  <c r="F831" i="3"/>
  <c r="E831" i="3"/>
  <c r="F830" i="3"/>
  <c r="E830" i="3"/>
  <c r="F829" i="3"/>
  <c r="E829" i="3"/>
  <c r="F828" i="3"/>
  <c r="E828" i="3"/>
  <c r="F827" i="3"/>
  <c r="E827" i="3"/>
  <c r="F826" i="3"/>
  <c r="E826" i="3"/>
  <c r="F825" i="3"/>
  <c r="E825" i="3"/>
  <c r="F824" i="3"/>
  <c r="E824" i="3"/>
  <c r="F823" i="3"/>
  <c r="E823" i="3"/>
  <c r="F822" i="3"/>
  <c r="E822" i="3"/>
  <c r="F821" i="3"/>
  <c r="E821" i="3"/>
  <c r="F820" i="3"/>
  <c r="E820" i="3"/>
  <c r="F819" i="3"/>
  <c r="E819" i="3"/>
  <c r="F818" i="3"/>
  <c r="E818" i="3"/>
  <c r="F817" i="3"/>
  <c r="E817" i="3"/>
  <c r="F816" i="3"/>
  <c r="E816" i="3"/>
  <c r="F815" i="3"/>
  <c r="E815" i="3"/>
  <c r="F814" i="3"/>
  <c r="E814" i="3"/>
  <c r="F813" i="3"/>
  <c r="E813" i="3"/>
  <c r="F812" i="3"/>
  <c r="E812" i="3"/>
  <c r="F811" i="3"/>
  <c r="E811" i="3"/>
  <c r="F810" i="3"/>
  <c r="E810" i="3"/>
  <c r="F809" i="3"/>
  <c r="E809" i="3"/>
  <c r="F808" i="3"/>
  <c r="E808" i="3"/>
  <c r="F807" i="3"/>
  <c r="E807" i="3"/>
  <c r="F806" i="3"/>
  <c r="E806" i="3"/>
  <c r="F805" i="3"/>
  <c r="E805" i="3"/>
  <c r="F804" i="3"/>
  <c r="E804" i="3"/>
  <c r="F803" i="3"/>
  <c r="E803" i="3"/>
  <c r="F802" i="3"/>
  <c r="E802" i="3"/>
  <c r="F801" i="3"/>
  <c r="E801" i="3"/>
  <c r="F800" i="3"/>
  <c r="E800" i="3"/>
  <c r="F799" i="3"/>
  <c r="E799" i="3"/>
  <c r="F798" i="3"/>
  <c r="E798" i="3"/>
  <c r="F797" i="3"/>
  <c r="E797" i="3"/>
  <c r="F796" i="3"/>
  <c r="E796" i="3"/>
  <c r="F795" i="3"/>
  <c r="E795" i="3"/>
  <c r="F794" i="3"/>
  <c r="E794" i="3"/>
  <c r="F793" i="3"/>
  <c r="E793" i="3"/>
  <c r="F792" i="3"/>
  <c r="E792" i="3"/>
  <c r="F791" i="3"/>
  <c r="E791" i="3"/>
  <c r="F790" i="3"/>
  <c r="E790" i="3"/>
  <c r="F789" i="3"/>
  <c r="E789" i="3"/>
  <c r="F788" i="3"/>
  <c r="E788" i="3"/>
  <c r="F787" i="3"/>
  <c r="E787" i="3"/>
  <c r="F786" i="3"/>
  <c r="E786" i="3"/>
  <c r="F785" i="3"/>
  <c r="E785" i="3"/>
  <c r="F784" i="3"/>
  <c r="E784" i="3"/>
  <c r="F783" i="3"/>
  <c r="E783" i="3"/>
  <c r="F782" i="3"/>
  <c r="E782" i="3"/>
  <c r="F781" i="3"/>
  <c r="E781" i="3"/>
  <c r="F780" i="3"/>
  <c r="E780" i="3"/>
  <c r="F779" i="3"/>
  <c r="E779" i="3"/>
  <c r="F778" i="3"/>
  <c r="E778" i="3"/>
  <c r="F777" i="3"/>
  <c r="E777" i="3"/>
  <c r="F776" i="3"/>
  <c r="E776" i="3"/>
  <c r="F775" i="3"/>
  <c r="E775" i="3"/>
  <c r="F774" i="3"/>
  <c r="E774" i="3"/>
  <c r="F773" i="3"/>
  <c r="E773" i="3"/>
  <c r="F772" i="3"/>
  <c r="E772" i="3"/>
  <c r="F771" i="3"/>
  <c r="E771" i="3"/>
  <c r="F770" i="3"/>
  <c r="E770" i="3"/>
  <c r="F769" i="3"/>
  <c r="E769" i="3"/>
  <c r="F768" i="3"/>
  <c r="E768" i="3"/>
  <c r="F767" i="3"/>
  <c r="E767" i="3"/>
  <c r="F766" i="3"/>
  <c r="E766" i="3"/>
  <c r="F765" i="3"/>
  <c r="E765" i="3"/>
  <c r="F764" i="3"/>
  <c r="E764" i="3"/>
  <c r="F763" i="3"/>
  <c r="E763" i="3"/>
  <c r="F762" i="3"/>
  <c r="E762" i="3"/>
  <c r="F761" i="3"/>
  <c r="E761" i="3"/>
  <c r="F760" i="3"/>
  <c r="E760" i="3"/>
  <c r="F759" i="3"/>
  <c r="E759" i="3"/>
  <c r="F758" i="3"/>
  <c r="E758" i="3"/>
  <c r="F757" i="3"/>
  <c r="E757" i="3"/>
  <c r="F756" i="3"/>
  <c r="E756" i="3"/>
  <c r="F755" i="3"/>
  <c r="E755" i="3"/>
  <c r="F754" i="3"/>
  <c r="E754" i="3"/>
  <c r="F753" i="3"/>
  <c r="E753" i="3"/>
  <c r="F752" i="3"/>
  <c r="E752" i="3"/>
  <c r="F751" i="3"/>
  <c r="E751" i="3"/>
  <c r="F750" i="3"/>
  <c r="E750" i="3"/>
  <c r="F749" i="3"/>
  <c r="E749" i="3"/>
  <c r="F748" i="3"/>
  <c r="E748" i="3"/>
  <c r="F747" i="3"/>
  <c r="E747" i="3"/>
  <c r="F746" i="3"/>
  <c r="E746" i="3"/>
  <c r="F745" i="3"/>
  <c r="E745" i="3"/>
  <c r="F744" i="3"/>
  <c r="E744" i="3"/>
  <c r="F743" i="3"/>
  <c r="E743" i="3"/>
  <c r="F742" i="3"/>
  <c r="E742" i="3"/>
  <c r="F741" i="3"/>
  <c r="E741" i="3"/>
  <c r="F740" i="3"/>
  <c r="E740" i="3"/>
  <c r="F739" i="3"/>
  <c r="E739" i="3"/>
  <c r="F738" i="3"/>
  <c r="E738" i="3"/>
  <c r="F737" i="3"/>
  <c r="E737" i="3"/>
  <c r="F736" i="3"/>
  <c r="E736" i="3"/>
  <c r="F735" i="3"/>
  <c r="E735" i="3"/>
  <c r="F734" i="3"/>
  <c r="E734" i="3"/>
  <c r="F733" i="3"/>
  <c r="E733" i="3"/>
  <c r="F732" i="3"/>
  <c r="E732" i="3"/>
  <c r="F731" i="3"/>
  <c r="E731" i="3"/>
  <c r="F730" i="3"/>
  <c r="E730" i="3"/>
  <c r="F729" i="3"/>
  <c r="E729" i="3"/>
  <c r="F728" i="3"/>
  <c r="E728" i="3"/>
  <c r="F727" i="3"/>
  <c r="E727" i="3"/>
  <c r="F726" i="3"/>
  <c r="E726" i="3"/>
  <c r="F725" i="3"/>
  <c r="E725" i="3"/>
  <c r="F724" i="3"/>
  <c r="E724" i="3"/>
  <c r="F723" i="3"/>
  <c r="E723" i="3"/>
  <c r="F722" i="3"/>
  <c r="E722" i="3"/>
  <c r="F721" i="3"/>
  <c r="E721" i="3"/>
  <c r="F720" i="3"/>
  <c r="E720" i="3"/>
  <c r="F719" i="3"/>
  <c r="E719" i="3"/>
  <c r="F718" i="3"/>
  <c r="E718" i="3"/>
  <c r="F717" i="3"/>
  <c r="E717" i="3"/>
  <c r="F716" i="3"/>
  <c r="E716" i="3"/>
  <c r="F715" i="3"/>
  <c r="E715" i="3"/>
  <c r="F714" i="3"/>
  <c r="E714" i="3"/>
  <c r="F713" i="3"/>
  <c r="E713" i="3"/>
  <c r="F712" i="3"/>
  <c r="E712" i="3"/>
  <c r="F711" i="3"/>
  <c r="E711" i="3"/>
  <c r="F710" i="3"/>
  <c r="E710" i="3"/>
  <c r="F709" i="3"/>
  <c r="E709" i="3"/>
  <c r="F708" i="3"/>
  <c r="E708" i="3"/>
  <c r="F707" i="3"/>
  <c r="E707" i="3"/>
  <c r="F706" i="3"/>
  <c r="E706" i="3"/>
  <c r="F705" i="3"/>
  <c r="E705" i="3"/>
  <c r="F704" i="3"/>
  <c r="E704" i="3"/>
  <c r="F703" i="3"/>
  <c r="E703" i="3"/>
  <c r="F702" i="3"/>
  <c r="E702" i="3"/>
  <c r="F701" i="3"/>
  <c r="E701" i="3"/>
  <c r="F700" i="3"/>
  <c r="E700" i="3"/>
  <c r="F699" i="3"/>
  <c r="E699" i="3"/>
  <c r="F698" i="3"/>
  <c r="E698" i="3"/>
  <c r="F697" i="3"/>
  <c r="E697" i="3"/>
  <c r="F696" i="3"/>
  <c r="E696" i="3"/>
  <c r="F695" i="3"/>
  <c r="E695" i="3"/>
  <c r="F694" i="3"/>
  <c r="E694" i="3"/>
  <c r="F693" i="3"/>
  <c r="E693" i="3"/>
  <c r="F692" i="3"/>
  <c r="E692" i="3"/>
  <c r="F691" i="3"/>
  <c r="E691" i="3"/>
  <c r="F690" i="3"/>
  <c r="E690" i="3"/>
  <c r="F689" i="3"/>
  <c r="E689" i="3"/>
  <c r="F688" i="3"/>
  <c r="E688" i="3"/>
  <c r="F687" i="3"/>
  <c r="E687" i="3"/>
  <c r="F686" i="3"/>
  <c r="E686" i="3"/>
  <c r="F685" i="3"/>
  <c r="E685" i="3"/>
  <c r="F684" i="3"/>
  <c r="E684" i="3"/>
  <c r="F683" i="3"/>
  <c r="E683" i="3"/>
  <c r="F682" i="3"/>
  <c r="E682" i="3"/>
  <c r="F681" i="3"/>
  <c r="E681" i="3"/>
  <c r="F680" i="3"/>
  <c r="E680" i="3"/>
  <c r="F679" i="3"/>
  <c r="E679" i="3"/>
  <c r="F678" i="3"/>
  <c r="E678" i="3"/>
  <c r="F677" i="3"/>
  <c r="E677" i="3"/>
  <c r="F676" i="3"/>
  <c r="E676" i="3"/>
  <c r="F675" i="3"/>
  <c r="E675" i="3"/>
  <c r="F674" i="3"/>
  <c r="E674" i="3"/>
  <c r="F673" i="3"/>
  <c r="E673" i="3"/>
  <c r="F672" i="3"/>
  <c r="E672" i="3"/>
  <c r="F671" i="3"/>
  <c r="E671" i="3"/>
  <c r="F670" i="3"/>
  <c r="E670" i="3"/>
  <c r="F669" i="3"/>
  <c r="E669" i="3"/>
  <c r="F668" i="3"/>
  <c r="E668" i="3"/>
  <c r="F667" i="3"/>
  <c r="E667" i="3"/>
  <c r="F666" i="3"/>
  <c r="E666" i="3"/>
  <c r="F665" i="3"/>
  <c r="E665" i="3"/>
  <c r="F664" i="3"/>
  <c r="E664" i="3"/>
  <c r="F663" i="3"/>
  <c r="E663" i="3"/>
  <c r="F662" i="3"/>
  <c r="E662" i="3"/>
  <c r="F661" i="3"/>
  <c r="E661" i="3"/>
  <c r="F660" i="3"/>
  <c r="E660" i="3"/>
  <c r="F659" i="3"/>
  <c r="E659" i="3"/>
  <c r="F658" i="3"/>
  <c r="E658" i="3"/>
  <c r="F657" i="3"/>
  <c r="E657" i="3"/>
  <c r="F656" i="3"/>
  <c r="E656" i="3"/>
  <c r="F655" i="3"/>
  <c r="E655" i="3"/>
  <c r="F654" i="3"/>
  <c r="E654" i="3"/>
  <c r="F653" i="3"/>
  <c r="E653" i="3"/>
  <c r="F652" i="3"/>
  <c r="E652" i="3"/>
  <c r="F651" i="3"/>
  <c r="E651" i="3"/>
  <c r="F650" i="3"/>
  <c r="E650" i="3"/>
  <c r="F649" i="3"/>
  <c r="E649" i="3"/>
  <c r="F648" i="3"/>
  <c r="E648" i="3"/>
  <c r="F647" i="3"/>
  <c r="E647" i="3"/>
  <c r="F646" i="3"/>
  <c r="E646" i="3"/>
  <c r="F645" i="3"/>
  <c r="E645" i="3"/>
  <c r="F644" i="3"/>
  <c r="E644" i="3"/>
  <c r="F643" i="3"/>
  <c r="E643" i="3"/>
  <c r="F642" i="3"/>
  <c r="E642" i="3"/>
  <c r="F641" i="3"/>
  <c r="E641" i="3"/>
  <c r="F640" i="3"/>
  <c r="E640" i="3"/>
  <c r="F639" i="3"/>
  <c r="E639" i="3"/>
  <c r="F638" i="3"/>
  <c r="E638" i="3"/>
  <c r="F637" i="3"/>
  <c r="E637" i="3"/>
  <c r="F636" i="3"/>
  <c r="E636" i="3"/>
  <c r="F635" i="3"/>
  <c r="E635" i="3"/>
  <c r="F634" i="3"/>
  <c r="E634" i="3"/>
  <c r="F633" i="3"/>
  <c r="E633" i="3"/>
  <c r="F632" i="3"/>
  <c r="E632" i="3"/>
  <c r="F631" i="3"/>
  <c r="E631" i="3"/>
  <c r="F630" i="3"/>
  <c r="E630" i="3"/>
  <c r="F629" i="3"/>
  <c r="E629" i="3"/>
  <c r="F628" i="3"/>
  <c r="E628" i="3"/>
  <c r="F627" i="3"/>
  <c r="E627" i="3"/>
  <c r="F626" i="3"/>
  <c r="E626" i="3"/>
  <c r="F625" i="3"/>
  <c r="E625" i="3"/>
  <c r="F624" i="3"/>
  <c r="E624" i="3"/>
  <c r="F623" i="3"/>
  <c r="E623" i="3"/>
  <c r="F622" i="3"/>
  <c r="E622" i="3"/>
  <c r="F621" i="3"/>
  <c r="E621" i="3"/>
  <c r="F620" i="3"/>
  <c r="E620" i="3"/>
  <c r="F619" i="3"/>
  <c r="E619" i="3"/>
  <c r="F618" i="3"/>
  <c r="E618" i="3"/>
  <c r="F617" i="3"/>
  <c r="E617" i="3"/>
  <c r="F616" i="3"/>
  <c r="E616" i="3"/>
  <c r="F615" i="3"/>
  <c r="E615" i="3"/>
  <c r="F614" i="3"/>
  <c r="E614" i="3"/>
  <c r="F613" i="3"/>
  <c r="E613" i="3"/>
  <c r="F612" i="3"/>
  <c r="E612" i="3"/>
  <c r="F611" i="3"/>
  <c r="E611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4" i="3"/>
  <c r="E604" i="3"/>
  <c r="F603" i="3"/>
  <c r="E603" i="3"/>
  <c r="F602" i="3"/>
  <c r="E602" i="3"/>
  <c r="F601" i="3"/>
  <c r="E601" i="3"/>
  <c r="F600" i="3"/>
  <c r="E600" i="3"/>
  <c r="F599" i="3"/>
  <c r="E599" i="3"/>
  <c r="F598" i="3"/>
  <c r="E598" i="3"/>
  <c r="F597" i="3"/>
  <c r="E597" i="3"/>
  <c r="F596" i="3"/>
  <c r="E596" i="3"/>
  <c r="F595" i="3"/>
  <c r="E595" i="3"/>
  <c r="F594" i="3"/>
  <c r="E594" i="3"/>
  <c r="F593" i="3"/>
  <c r="E593" i="3"/>
  <c r="F592" i="3"/>
  <c r="E592" i="3"/>
  <c r="F591" i="3"/>
  <c r="E591" i="3"/>
  <c r="F590" i="3"/>
  <c r="E590" i="3"/>
  <c r="F589" i="3"/>
  <c r="E589" i="3"/>
  <c r="F588" i="3"/>
  <c r="E588" i="3"/>
  <c r="F587" i="3"/>
  <c r="E587" i="3"/>
  <c r="F586" i="3"/>
  <c r="E586" i="3"/>
  <c r="F585" i="3"/>
  <c r="E585" i="3"/>
  <c r="F584" i="3"/>
  <c r="E584" i="3"/>
  <c r="F583" i="3"/>
  <c r="E583" i="3"/>
  <c r="F582" i="3"/>
  <c r="E582" i="3"/>
  <c r="F581" i="3"/>
  <c r="E581" i="3"/>
  <c r="F580" i="3"/>
  <c r="E580" i="3"/>
  <c r="F579" i="3"/>
  <c r="E579" i="3"/>
  <c r="F578" i="3"/>
  <c r="E578" i="3"/>
  <c r="F577" i="3"/>
  <c r="E577" i="3"/>
  <c r="F576" i="3"/>
  <c r="E576" i="3"/>
  <c r="F575" i="3"/>
  <c r="E575" i="3"/>
  <c r="F574" i="3"/>
  <c r="E574" i="3"/>
  <c r="F573" i="3"/>
  <c r="E573" i="3"/>
  <c r="F572" i="3"/>
  <c r="E572" i="3"/>
  <c r="F571" i="3"/>
  <c r="E571" i="3"/>
  <c r="F570" i="3"/>
  <c r="E570" i="3"/>
  <c r="F569" i="3"/>
  <c r="E569" i="3"/>
  <c r="F568" i="3"/>
  <c r="E568" i="3"/>
  <c r="F567" i="3"/>
  <c r="E567" i="3"/>
  <c r="F566" i="3"/>
  <c r="E566" i="3"/>
  <c r="F565" i="3"/>
  <c r="E565" i="3"/>
  <c r="F564" i="3"/>
  <c r="E564" i="3"/>
  <c r="F563" i="3"/>
  <c r="E563" i="3"/>
  <c r="F562" i="3"/>
  <c r="E562" i="3"/>
  <c r="F561" i="3"/>
  <c r="E561" i="3"/>
  <c r="F560" i="3"/>
  <c r="E560" i="3"/>
  <c r="F559" i="3"/>
  <c r="E559" i="3"/>
  <c r="F558" i="3"/>
  <c r="E558" i="3"/>
  <c r="F557" i="3"/>
  <c r="E557" i="3"/>
  <c r="F556" i="3"/>
  <c r="E556" i="3"/>
  <c r="F555" i="3"/>
  <c r="E555" i="3"/>
  <c r="F554" i="3"/>
  <c r="E554" i="3"/>
  <c r="F553" i="3"/>
  <c r="E553" i="3"/>
  <c r="F552" i="3"/>
  <c r="E552" i="3"/>
  <c r="F551" i="3"/>
  <c r="E551" i="3"/>
  <c r="F550" i="3"/>
  <c r="E550" i="3"/>
  <c r="F549" i="3"/>
  <c r="E549" i="3"/>
  <c r="F548" i="3"/>
  <c r="E548" i="3"/>
  <c r="F547" i="3"/>
  <c r="E547" i="3"/>
  <c r="F546" i="3"/>
  <c r="E546" i="3"/>
  <c r="F545" i="3"/>
  <c r="E545" i="3"/>
  <c r="F544" i="3"/>
  <c r="E544" i="3"/>
  <c r="F543" i="3"/>
  <c r="E543" i="3"/>
  <c r="F542" i="3"/>
  <c r="E542" i="3"/>
  <c r="F541" i="3"/>
  <c r="E541" i="3"/>
  <c r="F540" i="3"/>
  <c r="E540" i="3"/>
  <c r="F539" i="3"/>
  <c r="E539" i="3"/>
  <c r="F538" i="3"/>
  <c r="E538" i="3"/>
  <c r="F537" i="3"/>
  <c r="E537" i="3"/>
  <c r="F536" i="3"/>
  <c r="E536" i="3"/>
  <c r="F535" i="3"/>
  <c r="E535" i="3"/>
  <c r="F534" i="3"/>
  <c r="E534" i="3"/>
  <c r="F533" i="3"/>
  <c r="E533" i="3"/>
  <c r="F532" i="3"/>
  <c r="E532" i="3"/>
  <c r="F531" i="3"/>
  <c r="E531" i="3"/>
  <c r="F530" i="3"/>
  <c r="E530" i="3"/>
  <c r="F529" i="3"/>
  <c r="E529" i="3"/>
  <c r="F528" i="3"/>
  <c r="E528" i="3"/>
  <c r="F527" i="3"/>
  <c r="E527" i="3"/>
  <c r="F526" i="3"/>
  <c r="E526" i="3"/>
  <c r="F525" i="3"/>
  <c r="E525" i="3"/>
  <c r="F524" i="3"/>
  <c r="E524" i="3"/>
  <c r="F523" i="3"/>
  <c r="E523" i="3"/>
  <c r="F522" i="3"/>
  <c r="E522" i="3"/>
  <c r="F521" i="3"/>
  <c r="E521" i="3"/>
  <c r="F520" i="3"/>
  <c r="E520" i="3"/>
  <c r="F519" i="3"/>
  <c r="E519" i="3"/>
  <c r="F518" i="3"/>
  <c r="E518" i="3"/>
  <c r="F517" i="3"/>
  <c r="E517" i="3"/>
  <c r="F516" i="3"/>
  <c r="E516" i="3"/>
  <c r="F515" i="3"/>
  <c r="E515" i="3"/>
  <c r="F514" i="3"/>
  <c r="E514" i="3"/>
  <c r="F513" i="3"/>
  <c r="E513" i="3"/>
  <c r="F512" i="3"/>
  <c r="E512" i="3"/>
  <c r="F511" i="3"/>
  <c r="E511" i="3"/>
  <c r="F510" i="3"/>
  <c r="E510" i="3"/>
  <c r="F509" i="3"/>
  <c r="E509" i="3"/>
  <c r="F508" i="3"/>
  <c r="E508" i="3"/>
  <c r="F507" i="3"/>
  <c r="E507" i="3"/>
  <c r="F506" i="3"/>
  <c r="E506" i="3"/>
  <c r="F505" i="3"/>
  <c r="E505" i="3"/>
  <c r="F504" i="3"/>
  <c r="E504" i="3"/>
  <c r="F503" i="3"/>
  <c r="E503" i="3"/>
  <c r="F502" i="3"/>
  <c r="E502" i="3"/>
  <c r="F501" i="3"/>
  <c r="E501" i="3"/>
  <c r="F500" i="3"/>
  <c r="E500" i="3"/>
  <c r="F499" i="3"/>
  <c r="E499" i="3"/>
  <c r="F498" i="3"/>
  <c r="E498" i="3"/>
  <c r="F497" i="3"/>
  <c r="E497" i="3"/>
  <c r="F496" i="3"/>
  <c r="E496" i="3"/>
  <c r="F495" i="3"/>
  <c r="E495" i="3"/>
  <c r="F494" i="3"/>
  <c r="E494" i="3"/>
  <c r="F493" i="3"/>
  <c r="E493" i="3"/>
  <c r="F492" i="3"/>
  <c r="E492" i="3"/>
  <c r="F491" i="3"/>
  <c r="E491" i="3"/>
  <c r="F490" i="3"/>
  <c r="E490" i="3"/>
  <c r="F489" i="3"/>
  <c r="E489" i="3"/>
  <c r="F488" i="3"/>
  <c r="E488" i="3"/>
  <c r="F487" i="3"/>
  <c r="E487" i="3"/>
  <c r="F486" i="3"/>
  <c r="E486" i="3"/>
  <c r="F485" i="3"/>
  <c r="E485" i="3"/>
  <c r="F484" i="3"/>
  <c r="E484" i="3"/>
  <c r="F483" i="3"/>
  <c r="E483" i="3"/>
  <c r="F482" i="3"/>
  <c r="E482" i="3"/>
  <c r="F481" i="3"/>
  <c r="E481" i="3"/>
  <c r="F480" i="3"/>
  <c r="E480" i="3"/>
  <c r="F479" i="3"/>
  <c r="E479" i="3"/>
  <c r="F478" i="3"/>
  <c r="E478" i="3"/>
  <c r="F477" i="3"/>
  <c r="E477" i="3"/>
  <c r="F476" i="3"/>
  <c r="E476" i="3"/>
  <c r="F475" i="3"/>
  <c r="E475" i="3"/>
  <c r="F474" i="3"/>
  <c r="E474" i="3"/>
  <c r="F473" i="3"/>
  <c r="E473" i="3"/>
  <c r="F472" i="3"/>
  <c r="E472" i="3"/>
  <c r="F471" i="3"/>
  <c r="E471" i="3"/>
  <c r="F470" i="3"/>
  <c r="E470" i="3"/>
  <c r="F469" i="3"/>
  <c r="E469" i="3"/>
  <c r="F468" i="3"/>
  <c r="E468" i="3"/>
  <c r="F467" i="3"/>
  <c r="E467" i="3"/>
  <c r="F466" i="3"/>
  <c r="E466" i="3"/>
  <c r="F465" i="3"/>
  <c r="E465" i="3"/>
  <c r="F464" i="3"/>
  <c r="E464" i="3"/>
  <c r="F463" i="3"/>
  <c r="E463" i="3"/>
  <c r="F462" i="3"/>
  <c r="E462" i="3"/>
  <c r="F461" i="3"/>
  <c r="E461" i="3"/>
  <c r="F460" i="3"/>
  <c r="E460" i="3"/>
  <c r="F459" i="3"/>
  <c r="E459" i="3"/>
  <c r="F458" i="3"/>
  <c r="E458" i="3"/>
  <c r="F457" i="3"/>
  <c r="E457" i="3"/>
  <c r="F456" i="3"/>
  <c r="E456" i="3"/>
  <c r="F455" i="3"/>
  <c r="E455" i="3"/>
  <c r="F454" i="3"/>
  <c r="E454" i="3"/>
  <c r="F453" i="3"/>
  <c r="E453" i="3"/>
  <c r="F452" i="3"/>
  <c r="E452" i="3"/>
  <c r="F451" i="3"/>
  <c r="E451" i="3"/>
  <c r="F450" i="3"/>
  <c r="E450" i="3"/>
  <c r="F449" i="3"/>
  <c r="E449" i="3"/>
  <c r="F448" i="3"/>
  <c r="E448" i="3"/>
  <c r="F447" i="3"/>
  <c r="E447" i="3"/>
  <c r="F446" i="3"/>
  <c r="E446" i="3"/>
  <c r="F445" i="3"/>
  <c r="E445" i="3"/>
  <c r="F444" i="3"/>
  <c r="E444" i="3"/>
  <c r="F443" i="3"/>
  <c r="E443" i="3"/>
  <c r="F442" i="3"/>
  <c r="E442" i="3"/>
  <c r="F441" i="3"/>
  <c r="E441" i="3"/>
  <c r="F440" i="3"/>
  <c r="E440" i="3"/>
  <c r="F439" i="3"/>
  <c r="E439" i="3"/>
  <c r="F438" i="3"/>
  <c r="E438" i="3"/>
  <c r="F437" i="3"/>
  <c r="E437" i="3"/>
  <c r="F436" i="3"/>
  <c r="E436" i="3"/>
  <c r="F435" i="3"/>
  <c r="E435" i="3"/>
  <c r="F434" i="3"/>
  <c r="E434" i="3"/>
  <c r="F433" i="3"/>
  <c r="E433" i="3"/>
  <c r="F432" i="3"/>
  <c r="E432" i="3"/>
  <c r="F431" i="3"/>
  <c r="E431" i="3"/>
  <c r="F430" i="3"/>
  <c r="E430" i="3"/>
  <c r="F429" i="3"/>
  <c r="E429" i="3"/>
  <c r="F428" i="3"/>
  <c r="E428" i="3"/>
  <c r="F427" i="3"/>
  <c r="E427" i="3"/>
  <c r="F426" i="3"/>
  <c r="E426" i="3"/>
  <c r="F425" i="3"/>
  <c r="E425" i="3"/>
  <c r="F424" i="3"/>
  <c r="E424" i="3"/>
  <c r="F423" i="3"/>
  <c r="E423" i="3"/>
  <c r="F422" i="3"/>
  <c r="E422" i="3"/>
  <c r="F421" i="3"/>
  <c r="E421" i="3"/>
  <c r="F420" i="3"/>
  <c r="E420" i="3"/>
  <c r="F419" i="3"/>
  <c r="E419" i="3"/>
  <c r="F418" i="3"/>
  <c r="E418" i="3"/>
  <c r="F417" i="3"/>
  <c r="E417" i="3"/>
  <c r="F416" i="3"/>
  <c r="E416" i="3"/>
  <c r="F415" i="3"/>
  <c r="E415" i="3"/>
  <c r="F414" i="3"/>
  <c r="E414" i="3"/>
  <c r="F413" i="3"/>
  <c r="E413" i="3"/>
  <c r="F412" i="3"/>
  <c r="E412" i="3"/>
  <c r="F411" i="3"/>
  <c r="E411" i="3"/>
  <c r="F410" i="3"/>
  <c r="E410" i="3"/>
  <c r="F409" i="3"/>
  <c r="E409" i="3"/>
  <c r="F408" i="3"/>
  <c r="E408" i="3"/>
  <c r="F407" i="3"/>
  <c r="E407" i="3"/>
  <c r="F406" i="3"/>
  <c r="E406" i="3"/>
  <c r="F405" i="3"/>
  <c r="E405" i="3"/>
  <c r="F404" i="3"/>
  <c r="E404" i="3"/>
  <c r="F403" i="3"/>
  <c r="E403" i="3"/>
  <c r="F402" i="3"/>
  <c r="E402" i="3"/>
  <c r="F401" i="3"/>
  <c r="E401" i="3"/>
  <c r="F400" i="3"/>
  <c r="E400" i="3"/>
  <c r="F399" i="3"/>
  <c r="E399" i="3"/>
  <c r="F398" i="3"/>
  <c r="E398" i="3"/>
  <c r="F397" i="3"/>
  <c r="E397" i="3"/>
  <c r="F396" i="3"/>
  <c r="E396" i="3"/>
  <c r="F395" i="3"/>
  <c r="E395" i="3"/>
  <c r="F394" i="3"/>
  <c r="E394" i="3"/>
  <c r="F393" i="3"/>
  <c r="E393" i="3"/>
  <c r="F392" i="3"/>
  <c r="E392" i="3"/>
  <c r="F391" i="3"/>
  <c r="E391" i="3"/>
  <c r="F390" i="3"/>
  <c r="E390" i="3"/>
  <c r="F389" i="3"/>
  <c r="E389" i="3"/>
  <c r="F388" i="3"/>
  <c r="E388" i="3"/>
  <c r="F387" i="3"/>
  <c r="E387" i="3"/>
  <c r="F386" i="3"/>
  <c r="E386" i="3"/>
  <c r="F385" i="3"/>
  <c r="E385" i="3"/>
  <c r="F384" i="3"/>
  <c r="E384" i="3"/>
  <c r="F383" i="3"/>
  <c r="E383" i="3"/>
  <c r="F382" i="3"/>
  <c r="E382" i="3"/>
  <c r="F381" i="3"/>
  <c r="E381" i="3"/>
  <c r="F380" i="3"/>
  <c r="E380" i="3"/>
  <c r="F379" i="3"/>
  <c r="E379" i="3"/>
  <c r="F378" i="3"/>
  <c r="E378" i="3"/>
  <c r="F377" i="3"/>
  <c r="E377" i="3"/>
  <c r="F376" i="3"/>
  <c r="E376" i="3"/>
  <c r="F375" i="3"/>
  <c r="E375" i="3"/>
  <c r="F374" i="3"/>
  <c r="E374" i="3"/>
  <c r="F373" i="3"/>
  <c r="E373" i="3"/>
  <c r="F372" i="3"/>
  <c r="E372" i="3"/>
  <c r="F371" i="3"/>
  <c r="E371" i="3"/>
  <c r="F370" i="3"/>
  <c r="E37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F358" i="3"/>
  <c r="E358" i="3"/>
  <c r="F357" i="3"/>
  <c r="E357" i="3"/>
  <c r="F356" i="3"/>
  <c r="E356" i="3"/>
  <c r="F355" i="3"/>
  <c r="E355" i="3"/>
  <c r="F354" i="3"/>
  <c r="E354" i="3"/>
  <c r="F353" i="3"/>
  <c r="E353" i="3"/>
  <c r="F352" i="3"/>
  <c r="E352" i="3"/>
  <c r="F351" i="3"/>
  <c r="E351" i="3"/>
  <c r="F350" i="3"/>
  <c r="E350" i="3"/>
  <c r="F349" i="3"/>
  <c r="E349" i="3"/>
  <c r="F348" i="3"/>
  <c r="E348" i="3"/>
  <c r="F347" i="3"/>
  <c r="E347" i="3"/>
  <c r="F346" i="3"/>
  <c r="E346" i="3"/>
  <c r="F345" i="3"/>
  <c r="E345" i="3"/>
  <c r="F344" i="3"/>
  <c r="E344" i="3"/>
  <c r="F343" i="3"/>
  <c r="E343" i="3"/>
  <c r="F342" i="3"/>
  <c r="E342" i="3"/>
  <c r="F341" i="3"/>
  <c r="E341" i="3"/>
  <c r="F340" i="3"/>
  <c r="E340" i="3"/>
  <c r="F339" i="3"/>
  <c r="E339" i="3"/>
  <c r="F338" i="3"/>
  <c r="E338" i="3"/>
  <c r="F337" i="3"/>
  <c r="E337" i="3"/>
  <c r="F336" i="3"/>
  <c r="E336" i="3"/>
  <c r="F335" i="3"/>
  <c r="E335" i="3"/>
  <c r="F334" i="3"/>
  <c r="E334" i="3"/>
  <c r="F333" i="3"/>
  <c r="E333" i="3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AI711" i="2"/>
  <c r="AH711" i="2"/>
  <c r="AG711" i="2"/>
  <c r="AF711" i="2"/>
  <c r="AE711" i="2"/>
  <c r="AD711" i="2"/>
  <c r="AI710" i="2"/>
  <c r="AH710" i="2"/>
  <c r="AG710" i="2"/>
  <c r="AF710" i="2"/>
  <c r="AE710" i="2"/>
  <c r="AD710" i="2"/>
  <c r="AI709" i="2"/>
  <c r="AH709" i="2"/>
  <c r="AG709" i="2"/>
  <c r="AF709" i="2"/>
  <c r="AE709" i="2"/>
  <c r="AD709" i="2"/>
  <c r="AI708" i="2"/>
  <c r="AH708" i="2"/>
  <c r="AG708" i="2"/>
  <c r="AF708" i="2"/>
  <c r="AE708" i="2"/>
  <c r="AD708" i="2"/>
  <c r="AI707" i="2"/>
  <c r="AH707" i="2"/>
  <c r="AG707" i="2"/>
  <c r="AF707" i="2"/>
  <c r="AE707" i="2"/>
  <c r="AD707" i="2"/>
  <c r="AI706" i="2"/>
  <c r="AH706" i="2"/>
  <c r="AG706" i="2"/>
  <c r="AF706" i="2"/>
  <c r="AE706" i="2"/>
  <c r="AE705" i="2"/>
  <c r="AH701" i="2"/>
  <c r="AG701" i="2"/>
  <c r="AF701" i="2"/>
  <c r="AE701" i="2"/>
  <c r="AD701" i="2"/>
  <c r="AC701" i="2"/>
  <c r="AH700" i="2"/>
  <c r="AG700" i="2"/>
  <c r="AF700" i="2"/>
  <c r="AE700" i="2"/>
  <c r="AD700" i="2"/>
  <c r="AC700" i="2"/>
  <c r="AH699" i="2"/>
  <c r="AG699" i="2"/>
  <c r="AF699" i="2"/>
  <c r="AE699" i="2"/>
  <c r="AD699" i="2"/>
  <c r="AC699" i="2"/>
  <c r="AH698" i="2"/>
  <c r="AG698" i="2"/>
  <c r="AF698" i="2"/>
  <c r="AE698" i="2"/>
  <c r="AD698" i="2"/>
  <c r="AC698" i="2"/>
  <c r="AH697" i="2"/>
  <c r="AG697" i="2"/>
  <c r="AF697" i="2"/>
  <c r="AE697" i="2"/>
  <c r="AD697" i="2"/>
  <c r="AC691" i="2"/>
  <c r="M678" i="2"/>
  <c r="V678" i="2" s="1"/>
  <c r="M677" i="2"/>
  <c r="V677" i="2" s="1"/>
  <c r="M676" i="2"/>
  <c r="V676" i="2" s="1"/>
  <c r="M675" i="2"/>
  <c r="V675" i="2" s="1"/>
  <c r="M674" i="2"/>
  <c r="V674" i="2" s="1"/>
  <c r="M673" i="2"/>
  <c r="V673" i="2" s="1"/>
  <c r="M672" i="2"/>
  <c r="U672" i="2" s="1"/>
  <c r="M671" i="2"/>
  <c r="U671" i="2" s="1"/>
  <c r="AC670" i="2"/>
  <c r="AF670" i="2" s="1"/>
  <c r="M670" i="2"/>
  <c r="V670" i="2" s="1"/>
  <c r="AC669" i="2"/>
  <c r="AF669" i="2" s="1"/>
  <c r="M669" i="2"/>
  <c r="V669" i="2" s="1"/>
  <c r="AC668" i="2"/>
  <c r="AF668" i="2" s="1"/>
  <c r="M668" i="2"/>
  <c r="V668" i="2" s="1"/>
  <c r="M667" i="2"/>
  <c r="U667" i="2" s="1"/>
  <c r="M666" i="2"/>
  <c r="V666" i="2" s="1"/>
  <c r="M665" i="2"/>
  <c r="U665" i="2" s="1"/>
  <c r="AC664" i="2"/>
  <c r="AF664" i="2" s="1"/>
  <c r="M664" i="2"/>
  <c r="AC663" i="2"/>
  <c r="AF663" i="2" s="1"/>
  <c r="M663" i="2"/>
  <c r="U663" i="2" s="1"/>
  <c r="AC662" i="2"/>
  <c r="AF662" i="2" s="1"/>
  <c r="M662" i="2"/>
  <c r="V662" i="2" s="1"/>
  <c r="M661" i="2"/>
  <c r="U661" i="2" s="1"/>
  <c r="M660" i="2"/>
  <c r="U660" i="2" s="1"/>
  <c r="AF659" i="2"/>
  <c r="AE659" i="2"/>
  <c r="M659" i="2"/>
  <c r="AF658" i="2"/>
  <c r="AE658" i="2"/>
  <c r="S658" i="2"/>
  <c r="T658" i="2" s="1"/>
  <c r="M658" i="2"/>
  <c r="U658" i="2" s="1"/>
  <c r="F658" i="2"/>
  <c r="E658" i="2"/>
  <c r="AF657" i="2"/>
  <c r="X657" i="2" a="1"/>
  <c r="Y705" i="2" s="1"/>
  <c r="S657" i="2"/>
  <c r="T657" i="2" s="1"/>
  <c r="M657" i="2"/>
  <c r="U657" i="2" s="1"/>
  <c r="F657" i="2"/>
  <c r="E657" i="2"/>
  <c r="S656" i="2"/>
  <c r="T656" i="2" s="1"/>
  <c r="M656" i="2"/>
  <c r="V656" i="2" s="1"/>
  <c r="F656" i="2"/>
  <c r="E656" i="2"/>
  <c r="S655" i="2"/>
  <c r="T655" i="2" s="1"/>
  <c r="R655" i="2"/>
  <c r="Q655" i="2"/>
  <c r="M655" i="2"/>
  <c r="V655" i="2" s="1"/>
  <c r="F655" i="2"/>
  <c r="E655" i="2"/>
  <c r="S654" i="2"/>
  <c r="T654" i="2" s="1"/>
  <c r="R654" i="2"/>
  <c r="Q654" i="2"/>
  <c r="M654" i="2"/>
  <c r="V654" i="2" s="1"/>
  <c r="F654" i="2"/>
  <c r="E654" i="2"/>
  <c r="S653" i="2"/>
  <c r="T653" i="2" s="1"/>
  <c r="R653" i="2"/>
  <c r="Q653" i="2"/>
  <c r="M653" i="2"/>
  <c r="V653" i="2" s="1"/>
  <c r="F653" i="2"/>
  <c r="E653" i="2"/>
  <c r="S652" i="2"/>
  <c r="T652" i="2" s="1"/>
  <c r="R652" i="2"/>
  <c r="Q652" i="2"/>
  <c r="M652" i="2"/>
  <c r="V652" i="2" s="1"/>
  <c r="F652" i="2"/>
  <c r="E652" i="2"/>
  <c r="M651" i="2"/>
  <c r="V651" i="2" s="1"/>
  <c r="F651" i="2"/>
  <c r="E651" i="2"/>
  <c r="M650" i="2"/>
  <c r="U650" i="2" s="1"/>
  <c r="F650" i="2"/>
  <c r="E650" i="2"/>
  <c r="M649" i="2"/>
  <c r="V649" i="2" s="1"/>
  <c r="K649" i="2"/>
  <c r="F649" i="2"/>
  <c r="E649" i="2"/>
  <c r="M648" i="2"/>
  <c r="V648" i="2" s="1"/>
  <c r="K648" i="2"/>
  <c r="J648" i="2"/>
  <c r="F648" i="2"/>
  <c r="E648" i="2"/>
  <c r="M647" i="2"/>
  <c r="U647" i="2" s="1"/>
  <c r="K647" i="2"/>
  <c r="J647" i="2"/>
  <c r="F647" i="2"/>
  <c r="E647" i="2"/>
  <c r="M646" i="2"/>
  <c r="V646" i="2" s="1"/>
  <c r="K646" i="2"/>
  <c r="J646" i="2"/>
  <c r="H646" i="2"/>
  <c r="F646" i="2"/>
  <c r="E646" i="2"/>
  <c r="M645" i="2"/>
  <c r="U645" i="2" s="1"/>
  <c r="K645" i="2"/>
  <c r="J645" i="2"/>
  <c r="H645" i="2"/>
  <c r="F645" i="2"/>
  <c r="E645" i="2"/>
  <c r="M644" i="2"/>
  <c r="U644" i="2" s="1"/>
  <c r="K644" i="2"/>
  <c r="J644" i="2"/>
  <c r="H644" i="2"/>
  <c r="F644" i="2"/>
  <c r="E644" i="2"/>
  <c r="M643" i="2"/>
  <c r="V643" i="2" s="1"/>
  <c r="K643" i="2"/>
  <c r="J643" i="2"/>
  <c r="H643" i="2"/>
  <c r="F643" i="2"/>
  <c r="E643" i="2"/>
  <c r="M642" i="2"/>
  <c r="U642" i="2" s="1"/>
  <c r="K642" i="2"/>
  <c r="J642" i="2"/>
  <c r="H642" i="2"/>
  <c r="F642" i="2"/>
  <c r="E642" i="2"/>
  <c r="M641" i="2"/>
  <c r="K641" i="2"/>
  <c r="J641" i="2"/>
  <c r="H641" i="2"/>
  <c r="F641" i="2"/>
  <c r="E641" i="2"/>
  <c r="M640" i="2"/>
  <c r="V640" i="2" s="1"/>
  <c r="K640" i="2"/>
  <c r="J640" i="2"/>
  <c r="H640" i="2"/>
  <c r="F640" i="2"/>
  <c r="E640" i="2"/>
  <c r="M639" i="2"/>
  <c r="K639" i="2"/>
  <c r="J639" i="2"/>
  <c r="H639" i="2"/>
  <c r="F639" i="2"/>
  <c r="E639" i="2"/>
  <c r="M638" i="2"/>
  <c r="K638" i="2"/>
  <c r="J638" i="2"/>
  <c r="H638" i="2"/>
  <c r="F638" i="2"/>
  <c r="E638" i="2"/>
  <c r="M637" i="2"/>
  <c r="V637" i="2" s="1"/>
  <c r="K637" i="2"/>
  <c r="J637" i="2"/>
  <c r="H637" i="2"/>
  <c r="F637" i="2"/>
  <c r="E637" i="2"/>
  <c r="M636" i="2"/>
  <c r="K636" i="2"/>
  <c r="J636" i="2"/>
  <c r="H636" i="2"/>
  <c r="F636" i="2"/>
  <c r="E636" i="2"/>
  <c r="M635" i="2"/>
  <c r="U635" i="2" s="1"/>
  <c r="K635" i="2"/>
  <c r="J635" i="2"/>
  <c r="H635" i="2"/>
  <c r="F635" i="2"/>
  <c r="E635" i="2"/>
  <c r="M634" i="2"/>
  <c r="K634" i="2"/>
  <c r="J634" i="2"/>
  <c r="H634" i="2"/>
  <c r="F634" i="2"/>
  <c r="E634" i="2"/>
  <c r="M633" i="2"/>
  <c r="V633" i="2" s="1"/>
  <c r="K633" i="2"/>
  <c r="J633" i="2"/>
  <c r="H633" i="2"/>
  <c r="F633" i="2"/>
  <c r="E633" i="2"/>
  <c r="M632" i="2"/>
  <c r="K632" i="2"/>
  <c r="J632" i="2"/>
  <c r="H632" i="2"/>
  <c r="F632" i="2"/>
  <c r="E632" i="2"/>
  <c r="M631" i="2"/>
  <c r="U631" i="2" s="1"/>
  <c r="K631" i="2"/>
  <c r="J631" i="2"/>
  <c r="H631" i="2"/>
  <c r="F631" i="2"/>
  <c r="E631" i="2"/>
  <c r="M630" i="2"/>
  <c r="K630" i="2"/>
  <c r="J630" i="2"/>
  <c r="H630" i="2"/>
  <c r="F630" i="2"/>
  <c r="E630" i="2"/>
  <c r="M629" i="2"/>
  <c r="V629" i="2" s="1"/>
  <c r="K629" i="2"/>
  <c r="J629" i="2"/>
  <c r="H629" i="2"/>
  <c r="F629" i="2"/>
  <c r="E629" i="2"/>
  <c r="M628" i="2"/>
  <c r="K628" i="2"/>
  <c r="J628" i="2"/>
  <c r="H628" i="2"/>
  <c r="F628" i="2"/>
  <c r="E628" i="2"/>
  <c r="M627" i="2"/>
  <c r="V627" i="2" s="1"/>
  <c r="K627" i="2"/>
  <c r="J627" i="2"/>
  <c r="H627" i="2"/>
  <c r="F627" i="2"/>
  <c r="E627" i="2"/>
  <c r="M626" i="2"/>
  <c r="V626" i="2" s="1"/>
  <c r="K626" i="2"/>
  <c r="J626" i="2"/>
  <c r="H626" i="2"/>
  <c r="F626" i="2"/>
  <c r="E626" i="2"/>
  <c r="M625" i="2"/>
  <c r="V625" i="2" s="1"/>
  <c r="K625" i="2"/>
  <c r="J625" i="2"/>
  <c r="H625" i="2"/>
  <c r="F625" i="2"/>
  <c r="E625" i="2"/>
  <c r="M624" i="2"/>
  <c r="V624" i="2" s="1"/>
  <c r="K624" i="2"/>
  <c r="J624" i="2"/>
  <c r="H624" i="2"/>
  <c r="F624" i="2"/>
  <c r="E624" i="2"/>
  <c r="M623" i="2"/>
  <c r="U623" i="2" s="1"/>
  <c r="K623" i="2"/>
  <c r="J623" i="2"/>
  <c r="H623" i="2"/>
  <c r="F623" i="2"/>
  <c r="E623" i="2"/>
  <c r="M622" i="2"/>
  <c r="K622" i="2"/>
  <c r="J622" i="2"/>
  <c r="H622" i="2"/>
  <c r="F622" i="2"/>
  <c r="E622" i="2"/>
  <c r="M621" i="2"/>
  <c r="U621" i="2" s="1"/>
  <c r="K621" i="2"/>
  <c r="J621" i="2"/>
  <c r="H621" i="2"/>
  <c r="F621" i="2"/>
  <c r="E621" i="2"/>
  <c r="M620" i="2"/>
  <c r="U620" i="2" s="1"/>
  <c r="K620" i="2"/>
  <c r="J620" i="2"/>
  <c r="H620" i="2"/>
  <c r="F620" i="2"/>
  <c r="E620" i="2"/>
  <c r="M619" i="2"/>
  <c r="K619" i="2"/>
  <c r="J619" i="2"/>
  <c r="H619" i="2"/>
  <c r="F619" i="2"/>
  <c r="E619" i="2"/>
  <c r="M618" i="2"/>
  <c r="K618" i="2"/>
  <c r="J618" i="2"/>
  <c r="H618" i="2"/>
  <c r="F618" i="2"/>
  <c r="E618" i="2"/>
  <c r="M617" i="2"/>
  <c r="U617" i="2" s="1"/>
  <c r="K617" i="2"/>
  <c r="J617" i="2"/>
  <c r="H617" i="2"/>
  <c r="F617" i="2"/>
  <c r="E617" i="2"/>
  <c r="M616" i="2"/>
  <c r="V616" i="2" s="1"/>
  <c r="K616" i="2"/>
  <c r="J616" i="2"/>
  <c r="H616" i="2"/>
  <c r="F616" i="2"/>
  <c r="E616" i="2"/>
  <c r="M615" i="2"/>
  <c r="K615" i="2"/>
  <c r="J615" i="2"/>
  <c r="H615" i="2"/>
  <c r="F615" i="2"/>
  <c r="E615" i="2"/>
  <c r="M614" i="2"/>
  <c r="K614" i="2"/>
  <c r="J614" i="2"/>
  <c r="H614" i="2"/>
  <c r="F614" i="2"/>
  <c r="E614" i="2"/>
  <c r="M613" i="2"/>
  <c r="V613" i="2" s="1"/>
  <c r="K613" i="2"/>
  <c r="J613" i="2"/>
  <c r="H613" i="2"/>
  <c r="F613" i="2"/>
  <c r="E613" i="2"/>
  <c r="M612" i="2"/>
  <c r="V612" i="2" s="1"/>
  <c r="K612" i="2"/>
  <c r="J612" i="2"/>
  <c r="H612" i="2"/>
  <c r="F612" i="2"/>
  <c r="E612" i="2"/>
  <c r="M611" i="2"/>
  <c r="V611" i="2" s="1"/>
  <c r="K611" i="2"/>
  <c r="J611" i="2"/>
  <c r="H611" i="2"/>
  <c r="F611" i="2"/>
  <c r="E611" i="2"/>
  <c r="M610" i="2"/>
  <c r="U610" i="2" s="1"/>
  <c r="K610" i="2"/>
  <c r="J610" i="2"/>
  <c r="H610" i="2"/>
  <c r="F610" i="2"/>
  <c r="E610" i="2"/>
  <c r="M609" i="2"/>
  <c r="U609" i="2" s="1"/>
  <c r="K609" i="2"/>
  <c r="J609" i="2"/>
  <c r="H609" i="2"/>
  <c r="F609" i="2"/>
  <c r="E609" i="2"/>
  <c r="M608" i="2"/>
  <c r="U608" i="2" s="1"/>
  <c r="K608" i="2"/>
  <c r="J608" i="2"/>
  <c r="H608" i="2"/>
  <c r="F608" i="2"/>
  <c r="E608" i="2"/>
  <c r="M607" i="2"/>
  <c r="K607" i="2"/>
  <c r="J607" i="2"/>
  <c r="H607" i="2"/>
  <c r="F607" i="2"/>
  <c r="E607" i="2"/>
  <c r="M606" i="2"/>
  <c r="K606" i="2"/>
  <c r="J606" i="2"/>
  <c r="H606" i="2"/>
  <c r="F606" i="2"/>
  <c r="E606" i="2"/>
  <c r="M605" i="2"/>
  <c r="K605" i="2"/>
  <c r="J605" i="2"/>
  <c r="H605" i="2"/>
  <c r="F605" i="2"/>
  <c r="E605" i="2"/>
  <c r="M604" i="2"/>
  <c r="K604" i="2"/>
  <c r="J604" i="2"/>
  <c r="H604" i="2"/>
  <c r="F604" i="2"/>
  <c r="E604" i="2"/>
  <c r="M603" i="2"/>
  <c r="V603" i="2" s="1"/>
  <c r="K603" i="2"/>
  <c r="J603" i="2"/>
  <c r="H603" i="2"/>
  <c r="F603" i="2"/>
  <c r="E603" i="2"/>
  <c r="M602" i="2"/>
  <c r="U602" i="2" s="1"/>
  <c r="K602" i="2"/>
  <c r="J602" i="2"/>
  <c r="H602" i="2"/>
  <c r="F602" i="2"/>
  <c r="E602" i="2"/>
  <c r="M601" i="2"/>
  <c r="V601" i="2" s="1"/>
  <c r="K601" i="2"/>
  <c r="J601" i="2"/>
  <c r="H601" i="2"/>
  <c r="F601" i="2"/>
  <c r="E601" i="2"/>
  <c r="M600" i="2"/>
  <c r="K600" i="2"/>
  <c r="J600" i="2"/>
  <c r="H600" i="2"/>
  <c r="F600" i="2"/>
  <c r="E600" i="2"/>
  <c r="M599" i="2"/>
  <c r="U599" i="2" s="1"/>
  <c r="K599" i="2"/>
  <c r="J599" i="2"/>
  <c r="H599" i="2"/>
  <c r="F599" i="2"/>
  <c r="E599" i="2"/>
  <c r="M598" i="2"/>
  <c r="V598" i="2" s="1"/>
  <c r="K598" i="2"/>
  <c r="J598" i="2"/>
  <c r="H598" i="2"/>
  <c r="F598" i="2"/>
  <c r="E598" i="2"/>
  <c r="M597" i="2"/>
  <c r="K597" i="2"/>
  <c r="J597" i="2"/>
  <c r="H597" i="2"/>
  <c r="F597" i="2"/>
  <c r="E597" i="2"/>
  <c r="M596" i="2"/>
  <c r="K596" i="2"/>
  <c r="J596" i="2"/>
  <c r="H596" i="2"/>
  <c r="F596" i="2"/>
  <c r="E596" i="2"/>
  <c r="M595" i="2"/>
  <c r="U595" i="2" s="1"/>
  <c r="K595" i="2"/>
  <c r="J595" i="2"/>
  <c r="H595" i="2"/>
  <c r="F595" i="2"/>
  <c r="E595" i="2"/>
  <c r="M594" i="2"/>
  <c r="K594" i="2"/>
  <c r="J594" i="2"/>
  <c r="H594" i="2"/>
  <c r="F594" i="2"/>
  <c r="E594" i="2"/>
  <c r="M593" i="2"/>
  <c r="K593" i="2"/>
  <c r="J593" i="2"/>
  <c r="H593" i="2"/>
  <c r="F593" i="2"/>
  <c r="E593" i="2"/>
  <c r="M592" i="2"/>
  <c r="K592" i="2"/>
  <c r="J592" i="2"/>
  <c r="H592" i="2"/>
  <c r="F592" i="2"/>
  <c r="E592" i="2"/>
  <c r="M591" i="2"/>
  <c r="U591" i="2" s="1"/>
  <c r="K591" i="2"/>
  <c r="J591" i="2"/>
  <c r="H591" i="2"/>
  <c r="F591" i="2"/>
  <c r="E591" i="2"/>
  <c r="M590" i="2"/>
  <c r="V590" i="2" s="1"/>
  <c r="K590" i="2"/>
  <c r="J590" i="2"/>
  <c r="H590" i="2"/>
  <c r="F590" i="2"/>
  <c r="E590" i="2"/>
  <c r="M589" i="2"/>
  <c r="V589" i="2" s="1"/>
  <c r="K589" i="2"/>
  <c r="J589" i="2"/>
  <c r="H589" i="2"/>
  <c r="F589" i="2"/>
  <c r="E589" i="2"/>
  <c r="M588" i="2"/>
  <c r="U588" i="2" s="1"/>
  <c r="K588" i="2"/>
  <c r="J588" i="2"/>
  <c r="H588" i="2"/>
  <c r="F588" i="2"/>
  <c r="E588" i="2"/>
  <c r="M587" i="2"/>
  <c r="V587" i="2" s="1"/>
  <c r="K587" i="2"/>
  <c r="J587" i="2"/>
  <c r="H587" i="2"/>
  <c r="F587" i="2"/>
  <c r="E587" i="2"/>
  <c r="M586" i="2"/>
  <c r="U586" i="2" s="1"/>
  <c r="K586" i="2"/>
  <c r="J586" i="2"/>
  <c r="H586" i="2"/>
  <c r="F586" i="2"/>
  <c r="E586" i="2"/>
  <c r="M585" i="2"/>
  <c r="K585" i="2"/>
  <c r="J585" i="2"/>
  <c r="H585" i="2"/>
  <c r="F585" i="2"/>
  <c r="E585" i="2"/>
  <c r="M584" i="2"/>
  <c r="U584" i="2" s="1"/>
  <c r="K584" i="2"/>
  <c r="J584" i="2"/>
  <c r="H584" i="2"/>
  <c r="F584" i="2"/>
  <c r="E584" i="2"/>
  <c r="M583" i="2"/>
  <c r="V583" i="2" s="1"/>
  <c r="K583" i="2"/>
  <c r="J583" i="2"/>
  <c r="H583" i="2"/>
  <c r="F583" i="2"/>
  <c r="E583" i="2"/>
  <c r="M582" i="2"/>
  <c r="U582" i="2" s="1"/>
  <c r="K582" i="2"/>
  <c r="J582" i="2"/>
  <c r="H582" i="2"/>
  <c r="F582" i="2"/>
  <c r="E582" i="2"/>
  <c r="M581" i="2"/>
  <c r="V581" i="2" s="1"/>
  <c r="K581" i="2"/>
  <c r="J581" i="2"/>
  <c r="H581" i="2"/>
  <c r="F581" i="2"/>
  <c r="E581" i="2"/>
  <c r="M580" i="2"/>
  <c r="V580" i="2" s="1"/>
  <c r="K580" i="2"/>
  <c r="J580" i="2"/>
  <c r="H580" i="2"/>
  <c r="F580" i="2"/>
  <c r="E580" i="2"/>
  <c r="M579" i="2"/>
  <c r="V579" i="2" s="1"/>
  <c r="K579" i="2"/>
  <c r="J579" i="2"/>
  <c r="H579" i="2"/>
  <c r="F579" i="2"/>
  <c r="E579" i="2"/>
  <c r="M578" i="2"/>
  <c r="K578" i="2"/>
  <c r="H578" i="2"/>
  <c r="F578" i="2"/>
  <c r="E578" i="2"/>
  <c r="M577" i="2"/>
  <c r="V577" i="2" s="1"/>
  <c r="K577" i="2"/>
  <c r="H577" i="2"/>
  <c r="F577" i="2"/>
  <c r="E577" i="2"/>
  <c r="M576" i="2"/>
  <c r="K576" i="2"/>
  <c r="H576" i="2"/>
  <c r="F576" i="2"/>
  <c r="E576" i="2"/>
  <c r="M575" i="2"/>
  <c r="U575" i="2" s="1"/>
  <c r="K575" i="2"/>
  <c r="H575" i="2"/>
  <c r="F575" i="2"/>
  <c r="E575" i="2"/>
  <c r="M574" i="2"/>
  <c r="U574" i="2" s="1"/>
  <c r="K574" i="2"/>
  <c r="H574" i="2"/>
  <c r="F574" i="2"/>
  <c r="E574" i="2"/>
  <c r="M573" i="2"/>
  <c r="U573" i="2" s="1"/>
  <c r="K573" i="2"/>
  <c r="H573" i="2"/>
  <c r="F573" i="2"/>
  <c r="E573" i="2"/>
  <c r="M572" i="2"/>
  <c r="V572" i="2" s="1"/>
  <c r="K572" i="2"/>
  <c r="H572" i="2"/>
  <c r="F572" i="2"/>
  <c r="E572" i="2"/>
  <c r="M571" i="2"/>
  <c r="U571" i="2" s="1"/>
  <c r="K571" i="2"/>
  <c r="H571" i="2"/>
  <c r="F571" i="2"/>
  <c r="E571" i="2"/>
  <c r="M570" i="2"/>
  <c r="V570" i="2" s="1"/>
  <c r="K570" i="2"/>
  <c r="H570" i="2"/>
  <c r="F570" i="2"/>
  <c r="E570" i="2"/>
  <c r="M569" i="2"/>
  <c r="K569" i="2"/>
  <c r="H569" i="2"/>
  <c r="F569" i="2"/>
  <c r="E569" i="2"/>
  <c r="M568" i="2"/>
  <c r="U568" i="2" s="1"/>
  <c r="K568" i="2"/>
  <c r="H568" i="2"/>
  <c r="F568" i="2"/>
  <c r="E568" i="2"/>
  <c r="M567" i="2"/>
  <c r="K567" i="2"/>
  <c r="H567" i="2"/>
  <c r="F567" i="2"/>
  <c r="E567" i="2"/>
  <c r="M566" i="2"/>
  <c r="V566" i="2" s="1"/>
  <c r="K566" i="2"/>
  <c r="H566" i="2"/>
  <c r="F566" i="2"/>
  <c r="E566" i="2"/>
  <c r="M565" i="2"/>
  <c r="V565" i="2" s="1"/>
  <c r="K565" i="2"/>
  <c r="H565" i="2"/>
  <c r="F565" i="2"/>
  <c r="E565" i="2"/>
  <c r="M564" i="2"/>
  <c r="U564" i="2" s="1"/>
  <c r="K564" i="2"/>
  <c r="H564" i="2"/>
  <c r="F564" i="2"/>
  <c r="E564" i="2"/>
  <c r="M563" i="2"/>
  <c r="U563" i="2" s="1"/>
  <c r="K563" i="2"/>
  <c r="H563" i="2"/>
  <c r="F563" i="2"/>
  <c r="E563" i="2"/>
  <c r="M562" i="2"/>
  <c r="U562" i="2" s="1"/>
  <c r="K562" i="2"/>
  <c r="H562" i="2"/>
  <c r="F562" i="2"/>
  <c r="E562" i="2"/>
  <c r="M561" i="2"/>
  <c r="V561" i="2" s="1"/>
  <c r="K561" i="2"/>
  <c r="H561" i="2"/>
  <c r="F561" i="2"/>
  <c r="E561" i="2"/>
  <c r="M560" i="2"/>
  <c r="U560" i="2" s="1"/>
  <c r="K560" i="2"/>
  <c r="H560" i="2"/>
  <c r="F560" i="2"/>
  <c r="E560" i="2"/>
  <c r="M559" i="2"/>
  <c r="U559" i="2" s="1"/>
  <c r="K559" i="2"/>
  <c r="H559" i="2"/>
  <c r="F559" i="2"/>
  <c r="E559" i="2"/>
  <c r="M558" i="2"/>
  <c r="K558" i="2"/>
  <c r="H558" i="2"/>
  <c r="F558" i="2"/>
  <c r="E558" i="2"/>
  <c r="M557" i="2"/>
  <c r="V557" i="2" s="1"/>
  <c r="K557" i="2"/>
  <c r="H557" i="2"/>
  <c r="F557" i="2"/>
  <c r="E557" i="2"/>
  <c r="M556" i="2"/>
  <c r="K556" i="2"/>
  <c r="H556" i="2"/>
  <c r="F556" i="2"/>
  <c r="E556" i="2"/>
  <c r="M555" i="2"/>
  <c r="V555" i="2" s="1"/>
  <c r="K555" i="2"/>
  <c r="H555" i="2"/>
  <c r="F555" i="2"/>
  <c r="E555" i="2"/>
  <c r="M554" i="2"/>
  <c r="V554" i="2" s="1"/>
  <c r="K554" i="2"/>
  <c r="H554" i="2"/>
  <c r="F554" i="2"/>
  <c r="E554" i="2"/>
  <c r="M553" i="2"/>
  <c r="U553" i="2" s="1"/>
  <c r="K553" i="2"/>
  <c r="H553" i="2"/>
  <c r="F553" i="2"/>
  <c r="E553" i="2"/>
  <c r="M552" i="2"/>
  <c r="U552" i="2" s="1"/>
  <c r="K552" i="2"/>
  <c r="H552" i="2"/>
  <c r="F552" i="2"/>
  <c r="E552" i="2"/>
  <c r="M551" i="2"/>
  <c r="U551" i="2" s="1"/>
  <c r="K551" i="2"/>
  <c r="H551" i="2"/>
  <c r="F551" i="2"/>
  <c r="E551" i="2"/>
  <c r="M550" i="2"/>
  <c r="K550" i="2"/>
  <c r="H550" i="2"/>
  <c r="F550" i="2"/>
  <c r="E550" i="2"/>
  <c r="M549" i="2"/>
  <c r="K549" i="2"/>
  <c r="H549" i="2"/>
  <c r="F549" i="2"/>
  <c r="E549" i="2"/>
  <c r="M548" i="2"/>
  <c r="K548" i="2"/>
  <c r="H548" i="2"/>
  <c r="F548" i="2"/>
  <c r="E548" i="2"/>
  <c r="M547" i="2"/>
  <c r="K547" i="2"/>
  <c r="H547" i="2"/>
  <c r="F547" i="2"/>
  <c r="E547" i="2"/>
  <c r="M546" i="2"/>
  <c r="V546" i="2" s="1"/>
  <c r="K546" i="2"/>
  <c r="H546" i="2"/>
  <c r="F546" i="2"/>
  <c r="E546" i="2"/>
  <c r="M545" i="2"/>
  <c r="K545" i="2"/>
  <c r="H545" i="2"/>
  <c r="F545" i="2"/>
  <c r="E545" i="2"/>
  <c r="M544" i="2"/>
  <c r="V544" i="2" s="1"/>
  <c r="K544" i="2"/>
  <c r="H544" i="2"/>
  <c r="F544" i="2"/>
  <c r="E544" i="2"/>
  <c r="M543" i="2"/>
  <c r="K543" i="2"/>
  <c r="H543" i="2"/>
  <c r="F543" i="2"/>
  <c r="E543" i="2"/>
  <c r="M542" i="2"/>
  <c r="U542" i="2" s="1"/>
  <c r="K542" i="2"/>
  <c r="H542" i="2"/>
  <c r="F542" i="2"/>
  <c r="E542" i="2"/>
  <c r="M541" i="2"/>
  <c r="K541" i="2"/>
  <c r="H541" i="2"/>
  <c r="F541" i="2"/>
  <c r="E541" i="2"/>
  <c r="M540" i="2"/>
  <c r="K540" i="2"/>
  <c r="H540" i="2"/>
  <c r="F540" i="2"/>
  <c r="E540" i="2"/>
  <c r="M539" i="2"/>
  <c r="U539" i="2" s="1"/>
  <c r="K539" i="2"/>
  <c r="H539" i="2"/>
  <c r="F539" i="2"/>
  <c r="E539" i="2"/>
  <c r="M538" i="2"/>
  <c r="K538" i="2"/>
  <c r="H538" i="2"/>
  <c r="F538" i="2"/>
  <c r="E538" i="2"/>
  <c r="M537" i="2"/>
  <c r="V537" i="2" s="1"/>
  <c r="K537" i="2"/>
  <c r="H537" i="2"/>
  <c r="F537" i="2"/>
  <c r="E537" i="2"/>
  <c r="M536" i="2"/>
  <c r="K536" i="2"/>
  <c r="H536" i="2"/>
  <c r="F536" i="2"/>
  <c r="E536" i="2"/>
  <c r="M535" i="2"/>
  <c r="V535" i="2" s="1"/>
  <c r="K535" i="2"/>
  <c r="H535" i="2"/>
  <c r="F535" i="2"/>
  <c r="E535" i="2"/>
  <c r="M534" i="2"/>
  <c r="K534" i="2"/>
  <c r="H534" i="2"/>
  <c r="F534" i="2"/>
  <c r="E534" i="2"/>
  <c r="M533" i="2"/>
  <c r="V533" i="2" s="1"/>
  <c r="K533" i="2"/>
  <c r="H533" i="2"/>
  <c r="F533" i="2"/>
  <c r="E533" i="2"/>
  <c r="M532" i="2"/>
  <c r="K532" i="2"/>
  <c r="H532" i="2"/>
  <c r="F532" i="2"/>
  <c r="E532" i="2"/>
  <c r="M531" i="2"/>
  <c r="U531" i="2" s="1"/>
  <c r="K531" i="2"/>
  <c r="H531" i="2"/>
  <c r="F531" i="2"/>
  <c r="E531" i="2"/>
  <c r="M530" i="2"/>
  <c r="U530" i="2" s="1"/>
  <c r="K530" i="2"/>
  <c r="H530" i="2"/>
  <c r="F530" i="2"/>
  <c r="E530" i="2"/>
  <c r="M529" i="2"/>
  <c r="U529" i="2" s="1"/>
  <c r="K529" i="2"/>
  <c r="H529" i="2"/>
  <c r="F529" i="2"/>
  <c r="E529" i="2"/>
  <c r="M528" i="2"/>
  <c r="V528" i="2" s="1"/>
  <c r="K528" i="2"/>
  <c r="H528" i="2"/>
  <c r="F528" i="2"/>
  <c r="E528" i="2"/>
  <c r="M527" i="2"/>
  <c r="K527" i="2"/>
  <c r="H527" i="2"/>
  <c r="F527" i="2"/>
  <c r="E527" i="2"/>
  <c r="M526" i="2"/>
  <c r="V526" i="2" s="1"/>
  <c r="K526" i="2"/>
  <c r="H526" i="2"/>
  <c r="F526" i="2"/>
  <c r="E526" i="2"/>
  <c r="M525" i="2"/>
  <c r="K525" i="2"/>
  <c r="H525" i="2"/>
  <c r="F525" i="2"/>
  <c r="E525" i="2"/>
  <c r="M524" i="2"/>
  <c r="V524" i="2" s="1"/>
  <c r="K524" i="2"/>
  <c r="H524" i="2"/>
  <c r="F524" i="2"/>
  <c r="E524" i="2"/>
  <c r="M523" i="2"/>
  <c r="K523" i="2"/>
  <c r="H523" i="2"/>
  <c r="F523" i="2"/>
  <c r="E523" i="2"/>
  <c r="M522" i="2"/>
  <c r="V522" i="2" s="1"/>
  <c r="K522" i="2"/>
  <c r="H522" i="2"/>
  <c r="F522" i="2"/>
  <c r="E522" i="2"/>
  <c r="M521" i="2"/>
  <c r="V521" i="2" s="1"/>
  <c r="K521" i="2"/>
  <c r="H521" i="2"/>
  <c r="F521" i="2"/>
  <c r="E521" i="2"/>
  <c r="M520" i="2"/>
  <c r="K520" i="2"/>
  <c r="H520" i="2"/>
  <c r="F520" i="2"/>
  <c r="E520" i="2"/>
  <c r="M519" i="2"/>
  <c r="V519" i="2" s="1"/>
  <c r="K519" i="2"/>
  <c r="H519" i="2"/>
  <c r="F519" i="2"/>
  <c r="E519" i="2"/>
  <c r="M518" i="2"/>
  <c r="U518" i="2" s="1"/>
  <c r="K518" i="2"/>
  <c r="H518" i="2"/>
  <c r="F518" i="2"/>
  <c r="E518" i="2"/>
  <c r="M517" i="2"/>
  <c r="V517" i="2" s="1"/>
  <c r="K517" i="2"/>
  <c r="H517" i="2"/>
  <c r="F517" i="2"/>
  <c r="E517" i="2"/>
  <c r="M516" i="2"/>
  <c r="K516" i="2"/>
  <c r="H516" i="2"/>
  <c r="F516" i="2"/>
  <c r="E516" i="2"/>
  <c r="M515" i="2"/>
  <c r="V515" i="2" s="1"/>
  <c r="K515" i="2"/>
  <c r="H515" i="2"/>
  <c r="F515" i="2"/>
  <c r="E515" i="2"/>
  <c r="M514" i="2"/>
  <c r="K514" i="2"/>
  <c r="H514" i="2"/>
  <c r="F514" i="2"/>
  <c r="E514" i="2"/>
  <c r="M513" i="2"/>
  <c r="V513" i="2" s="1"/>
  <c r="K513" i="2"/>
  <c r="H513" i="2"/>
  <c r="F513" i="2"/>
  <c r="E513" i="2"/>
  <c r="M512" i="2"/>
  <c r="U512" i="2" s="1"/>
  <c r="K512" i="2"/>
  <c r="H512" i="2"/>
  <c r="F512" i="2"/>
  <c r="E512" i="2"/>
  <c r="M511" i="2"/>
  <c r="K511" i="2"/>
  <c r="H511" i="2"/>
  <c r="F511" i="2"/>
  <c r="E511" i="2"/>
  <c r="M510" i="2"/>
  <c r="V510" i="2" s="1"/>
  <c r="K510" i="2"/>
  <c r="H510" i="2"/>
  <c r="F510" i="2"/>
  <c r="E510" i="2"/>
  <c r="M509" i="2"/>
  <c r="K509" i="2"/>
  <c r="H509" i="2"/>
  <c r="F509" i="2"/>
  <c r="E509" i="2"/>
  <c r="M508" i="2"/>
  <c r="U508" i="2" s="1"/>
  <c r="K508" i="2"/>
  <c r="H508" i="2"/>
  <c r="F508" i="2"/>
  <c r="E508" i="2"/>
  <c r="M507" i="2"/>
  <c r="K507" i="2"/>
  <c r="H507" i="2"/>
  <c r="F507" i="2"/>
  <c r="E507" i="2"/>
  <c r="M506" i="2"/>
  <c r="V506" i="2" s="1"/>
  <c r="K506" i="2"/>
  <c r="H506" i="2"/>
  <c r="F506" i="2"/>
  <c r="E506" i="2"/>
  <c r="M505" i="2"/>
  <c r="U505" i="2" s="1"/>
  <c r="K505" i="2"/>
  <c r="H505" i="2"/>
  <c r="F505" i="2"/>
  <c r="E505" i="2"/>
  <c r="M504" i="2"/>
  <c r="V504" i="2" s="1"/>
  <c r="K504" i="2"/>
  <c r="H504" i="2"/>
  <c r="F504" i="2"/>
  <c r="E504" i="2"/>
  <c r="M503" i="2"/>
  <c r="U503" i="2" s="1"/>
  <c r="K503" i="2"/>
  <c r="H503" i="2"/>
  <c r="F503" i="2"/>
  <c r="E503" i="2"/>
  <c r="M502" i="2"/>
  <c r="V502" i="2" s="1"/>
  <c r="K502" i="2"/>
  <c r="H502" i="2"/>
  <c r="F502" i="2"/>
  <c r="E502" i="2"/>
  <c r="M501" i="2"/>
  <c r="U501" i="2" s="1"/>
  <c r="K501" i="2"/>
  <c r="H501" i="2"/>
  <c r="F501" i="2"/>
  <c r="E501" i="2"/>
  <c r="M500" i="2"/>
  <c r="V500" i="2" s="1"/>
  <c r="K500" i="2"/>
  <c r="H500" i="2"/>
  <c r="F500" i="2"/>
  <c r="E500" i="2"/>
  <c r="M499" i="2"/>
  <c r="V499" i="2" s="1"/>
  <c r="K499" i="2"/>
  <c r="H499" i="2"/>
  <c r="F499" i="2"/>
  <c r="E499" i="2"/>
  <c r="M498" i="2"/>
  <c r="K498" i="2"/>
  <c r="H498" i="2"/>
  <c r="F498" i="2"/>
  <c r="E498" i="2"/>
  <c r="M497" i="2"/>
  <c r="K497" i="2"/>
  <c r="H497" i="2"/>
  <c r="F497" i="2"/>
  <c r="E497" i="2"/>
  <c r="M496" i="2"/>
  <c r="U496" i="2" s="1"/>
  <c r="K496" i="2"/>
  <c r="H496" i="2"/>
  <c r="F496" i="2"/>
  <c r="E496" i="2"/>
  <c r="M495" i="2"/>
  <c r="V495" i="2" s="1"/>
  <c r="K495" i="2"/>
  <c r="H495" i="2"/>
  <c r="F495" i="2"/>
  <c r="E495" i="2"/>
  <c r="M494" i="2"/>
  <c r="U494" i="2" s="1"/>
  <c r="K494" i="2"/>
  <c r="H494" i="2"/>
  <c r="F494" i="2"/>
  <c r="E494" i="2"/>
  <c r="M493" i="2"/>
  <c r="V493" i="2" s="1"/>
  <c r="K493" i="2"/>
  <c r="H493" i="2"/>
  <c r="F493" i="2"/>
  <c r="E493" i="2"/>
  <c r="M492" i="2"/>
  <c r="U492" i="2" s="1"/>
  <c r="K492" i="2"/>
  <c r="H492" i="2"/>
  <c r="F492" i="2"/>
  <c r="E492" i="2"/>
  <c r="M491" i="2"/>
  <c r="U491" i="2" s="1"/>
  <c r="K491" i="2"/>
  <c r="H491" i="2"/>
  <c r="F491" i="2"/>
  <c r="E491" i="2"/>
  <c r="M490" i="2"/>
  <c r="U490" i="2" s="1"/>
  <c r="K490" i="2"/>
  <c r="H490" i="2"/>
  <c r="F490" i="2"/>
  <c r="E490" i="2"/>
  <c r="M489" i="2"/>
  <c r="V489" i="2" s="1"/>
  <c r="K489" i="2"/>
  <c r="H489" i="2"/>
  <c r="F489" i="2"/>
  <c r="E489" i="2"/>
  <c r="M488" i="2"/>
  <c r="K488" i="2"/>
  <c r="H488" i="2"/>
  <c r="F488" i="2"/>
  <c r="E488" i="2"/>
  <c r="M487" i="2"/>
  <c r="K487" i="2"/>
  <c r="H487" i="2"/>
  <c r="F487" i="2"/>
  <c r="E487" i="2"/>
  <c r="M486" i="2"/>
  <c r="U486" i="2" s="1"/>
  <c r="K486" i="2"/>
  <c r="H486" i="2"/>
  <c r="F486" i="2"/>
  <c r="E486" i="2"/>
  <c r="M485" i="2"/>
  <c r="U485" i="2" s="1"/>
  <c r="K485" i="2"/>
  <c r="H485" i="2"/>
  <c r="F485" i="2"/>
  <c r="E485" i="2"/>
  <c r="M484" i="2"/>
  <c r="V484" i="2" s="1"/>
  <c r="K484" i="2"/>
  <c r="H484" i="2"/>
  <c r="F484" i="2"/>
  <c r="E484" i="2"/>
  <c r="M483" i="2"/>
  <c r="U483" i="2" s="1"/>
  <c r="K483" i="2"/>
  <c r="H483" i="2"/>
  <c r="F483" i="2"/>
  <c r="E483" i="2"/>
  <c r="M482" i="2"/>
  <c r="V482" i="2" s="1"/>
  <c r="K482" i="2"/>
  <c r="H482" i="2"/>
  <c r="F482" i="2"/>
  <c r="E482" i="2"/>
  <c r="M481" i="2"/>
  <c r="U481" i="2" s="1"/>
  <c r="K481" i="2"/>
  <c r="H481" i="2"/>
  <c r="F481" i="2"/>
  <c r="E481" i="2"/>
  <c r="M480" i="2"/>
  <c r="U480" i="2" s="1"/>
  <c r="K480" i="2"/>
  <c r="H480" i="2"/>
  <c r="F480" i="2"/>
  <c r="E480" i="2"/>
  <c r="M479" i="2"/>
  <c r="K479" i="2"/>
  <c r="H479" i="2"/>
  <c r="F479" i="2"/>
  <c r="E479" i="2"/>
  <c r="M478" i="2"/>
  <c r="K478" i="2"/>
  <c r="H478" i="2"/>
  <c r="F478" i="2"/>
  <c r="E478" i="2"/>
  <c r="M477" i="2"/>
  <c r="U477" i="2" s="1"/>
  <c r="K477" i="2"/>
  <c r="H477" i="2"/>
  <c r="F477" i="2"/>
  <c r="E477" i="2"/>
  <c r="M476" i="2"/>
  <c r="U476" i="2" s="1"/>
  <c r="K476" i="2"/>
  <c r="H476" i="2"/>
  <c r="F476" i="2"/>
  <c r="E476" i="2"/>
  <c r="M475" i="2"/>
  <c r="V475" i="2" s="1"/>
  <c r="K475" i="2"/>
  <c r="H475" i="2"/>
  <c r="F475" i="2"/>
  <c r="E475" i="2"/>
  <c r="M474" i="2"/>
  <c r="U474" i="2" s="1"/>
  <c r="K474" i="2"/>
  <c r="H474" i="2"/>
  <c r="F474" i="2"/>
  <c r="E474" i="2"/>
  <c r="M473" i="2"/>
  <c r="U473" i="2" s="1"/>
  <c r="K473" i="2"/>
  <c r="H473" i="2"/>
  <c r="F473" i="2"/>
  <c r="E473" i="2"/>
  <c r="M472" i="2"/>
  <c r="K472" i="2"/>
  <c r="H472" i="2"/>
  <c r="F472" i="2"/>
  <c r="E472" i="2"/>
  <c r="M471" i="2"/>
  <c r="K471" i="2"/>
  <c r="H471" i="2"/>
  <c r="F471" i="2"/>
  <c r="E471" i="2"/>
  <c r="M470" i="2"/>
  <c r="K470" i="2"/>
  <c r="H470" i="2"/>
  <c r="F470" i="2"/>
  <c r="E470" i="2"/>
  <c r="M469" i="2"/>
  <c r="V469" i="2" s="1"/>
  <c r="K469" i="2"/>
  <c r="H469" i="2"/>
  <c r="F469" i="2"/>
  <c r="E469" i="2"/>
  <c r="M468" i="2"/>
  <c r="K468" i="2"/>
  <c r="H468" i="2"/>
  <c r="F468" i="2"/>
  <c r="E468" i="2"/>
  <c r="M467" i="2"/>
  <c r="K467" i="2"/>
  <c r="H467" i="2"/>
  <c r="F467" i="2"/>
  <c r="E467" i="2"/>
  <c r="M466" i="2"/>
  <c r="K466" i="2"/>
  <c r="H466" i="2"/>
  <c r="F466" i="2"/>
  <c r="E466" i="2"/>
  <c r="M465" i="2"/>
  <c r="K465" i="2"/>
  <c r="H465" i="2"/>
  <c r="F465" i="2"/>
  <c r="E465" i="2"/>
  <c r="M464" i="2"/>
  <c r="K464" i="2"/>
  <c r="H464" i="2"/>
  <c r="F464" i="2"/>
  <c r="E464" i="2"/>
  <c r="M463" i="2"/>
  <c r="U463" i="2" s="1"/>
  <c r="K463" i="2"/>
  <c r="H463" i="2"/>
  <c r="F463" i="2"/>
  <c r="E463" i="2"/>
  <c r="M462" i="2"/>
  <c r="K462" i="2"/>
  <c r="H462" i="2"/>
  <c r="F462" i="2"/>
  <c r="E462" i="2"/>
  <c r="M461" i="2"/>
  <c r="U461" i="2" s="1"/>
  <c r="K461" i="2"/>
  <c r="H461" i="2"/>
  <c r="F461" i="2"/>
  <c r="E461" i="2"/>
  <c r="M460" i="2"/>
  <c r="K460" i="2"/>
  <c r="H460" i="2"/>
  <c r="F460" i="2"/>
  <c r="E460" i="2"/>
  <c r="M459" i="2"/>
  <c r="U459" i="2" s="1"/>
  <c r="K459" i="2"/>
  <c r="H459" i="2"/>
  <c r="F459" i="2"/>
  <c r="E459" i="2"/>
  <c r="M458" i="2"/>
  <c r="K458" i="2"/>
  <c r="H458" i="2"/>
  <c r="F458" i="2"/>
  <c r="E458" i="2"/>
  <c r="M457" i="2"/>
  <c r="K457" i="2"/>
  <c r="H457" i="2"/>
  <c r="F457" i="2"/>
  <c r="E457" i="2"/>
  <c r="M456" i="2"/>
  <c r="V456" i="2" s="1"/>
  <c r="K456" i="2"/>
  <c r="H456" i="2"/>
  <c r="F456" i="2"/>
  <c r="E456" i="2"/>
  <c r="M455" i="2"/>
  <c r="K455" i="2"/>
  <c r="H455" i="2"/>
  <c r="F455" i="2"/>
  <c r="E455" i="2"/>
  <c r="M454" i="2"/>
  <c r="V454" i="2" s="1"/>
  <c r="K454" i="2"/>
  <c r="H454" i="2"/>
  <c r="F454" i="2"/>
  <c r="E454" i="2"/>
  <c r="M453" i="2"/>
  <c r="V453" i="2" s="1"/>
  <c r="K453" i="2"/>
  <c r="H453" i="2"/>
  <c r="F453" i="2"/>
  <c r="E453" i="2"/>
  <c r="M452" i="2"/>
  <c r="V452" i="2" s="1"/>
  <c r="K452" i="2"/>
  <c r="H452" i="2"/>
  <c r="F452" i="2"/>
  <c r="E452" i="2"/>
  <c r="M451" i="2"/>
  <c r="K451" i="2"/>
  <c r="H451" i="2"/>
  <c r="F451" i="2"/>
  <c r="E451" i="2"/>
  <c r="M450" i="2"/>
  <c r="U450" i="2" s="1"/>
  <c r="K450" i="2"/>
  <c r="H450" i="2"/>
  <c r="F450" i="2"/>
  <c r="E450" i="2"/>
  <c r="M449" i="2"/>
  <c r="U449" i="2" s="1"/>
  <c r="K449" i="2"/>
  <c r="H449" i="2"/>
  <c r="F449" i="2"/>
  <c r="E449" i="2"/>
  <c r="M448" i="2"/>
  <c r="U448" i="2" s="1"/>
  <c r="K448" i="2"/>
  <c r="H448" i="2"/>
  <c r="F448" i="2"/>
  <c r="E448" i="2"/>
  <c r="M447" i="2"/>
  <c r="U447" i="2" s="1"/>
  <c r="K447" i="2"/>
  <c r="H447" i="2"/>
  <c r="F447" i="2"/>
  <c r="E447" i="2"/>
  <c r="M446" i="2"/>
  <c r="K446" i="2"/>
  <c r="H446" i="2"/>
  <c r="F446" i="2"/>
  <c r="E446" i="2"/>
  <c r="M445" i="2"/>
  <c r="K445" i="2"/>
  <c r="H445" i="2"/>
  <c r="F445" i="2"/>
  <c r="E445" i="2"/>
  <c r="M444" i="2"/>
  <c r="U444" i="2" s="1"/>
  <c r="K444" i="2"/>
  <c r="H444" i="2"/>
  <c r="F444" i="2"/>
  <c r="E444" i="2"/>
  <c r="M443" i="2"/>
  <c r="K443" i="2"/>
  <c r="H443" i="2"/>
  <c r="F443" i="2"/>
  <c r="E443" i="2"/>
  <c r="M442" i="2"/>
  <c r="U442" i="2" s="1"/>
  <c r="K442" i="2"/>
  <c r="H442" i="2"/>
  <c r="F442" i="2"/>
  <c r="E442" i="2"/>
  <c r="M441" i="2"/>
  <c r="K441" i="2"/>
  <c r="H441" i="2"/>
  <c r="F441" i="2"/>
  <c r="E441" i="2"/>
  <c r="M440" i="2"/>
  <c r="U440" i="2" s="1"/>
  <c r="K440" i="2"/>
  <c r="H440" i="2"/>
  <c r="F440" i="2"/>
  <c r="E440" i="2"/>
  <c r="M439" i="2"/>
  <c r="V439" i="2" s="1"/>
  <c r="K439" i="2"/>
  <c r="H439" i="2"/>
  <c r="F439" i="2"/>
  <c r="E439" i="2"/>
  <c r="M438" i="2"/>
  <c r="U438" i="2" s="1"/>
  <c r="K438" i="2"/>
  <c r="H438" i="2"/>
  <c r="F438" i="2"/>
  <c r="E438" i="2"/>
  <c r="M437" i="2"/>
  <c r="K437" i="2"/>
  <c r="H437" i="2"/>
  <c r="F437" i="2"/>
  <c r="E437" i="2"/>
  <c r="M436" i="2"/>
  <c r="U436" i="2" s="1"/>
  <c r="K436" i="2"/>
  <c r="H436" i="2"/>
  <c r="F436" i="2"/>
  <c r="E436" i="2"/>
  <c r="M435" i="2"/>
  <c r="K435" i="2"/>
  <c r="H435" i="2"/>
  <c r="F435" i="2"/>
  <c r="E435" i="2"/>
  <c r="M434" i="2"/>
  <c r="K434" i="2"/>
  <c r="H434" i="2"/>
  <c r="F434" i="2"/>
  <c r="E434" i="2"/>
  <c r="M433" i="2"/>
  <c r="V433" i="2" s="1"/>
  <c r="K433" i="2"/>
  <c r="H433" i="2"/>
  <c r="F433" i="2"/>
  <c r="E433" i="2"/>
  <c r="M432" i="2"/>
  <c r="K432" i="2"/>
  <c r="H432" i="2"/>
  <c r="F432" i="2"/>
  <c r="E432" i="2"/>
  <c r="M431" i="2"/>
  <c r="V431" i="2" s="1"/>
  <c r="K431" i="2"/>
  <c r="H431" i="2"/>
  <c r="F431" i="2"/>
  <c r="E431" i="2"/>
  <c r="M430" i="2"/>
  <c r="K430" i="2"/>
  <c r="H430" i="2"/>
  <c r="F430" i="2"/>
  <c r="E430" i="2"/>
  <c r="M429" i="2"/>
  <c r="U429" i="2" s="1"/>
  <c r="K429" i="2"/>
  <c r="H429" i="2"/>
  <c r="F429" i="2"/>
  <c r="E429" i="2"/>
  <c r="M428" i="2"/>
  <c r="V428" i="2" s="1"/>
  <c r="K428" i="2"/>
  <c r="H428" i="2"/>
  <c r="F428" i="2"/>
  <c r="E428" i="2"/>
  <c r="M427" i="2"/>
  <c r="V427" i="2" s="1"/>
  <c r="K427" i="2"/>
  <c r="H427" i="2"/>
  <c r="F427" i="2"/>
  <c r="E427" i="2"/>
  <c r="M426" i="2"/>
  <c r="U426" i="2" s="1"/>
  <c r="K426" i="2"/>
  <c r="H426" i="2"/>
  <c r="F426" i="2"/>
  <c r="E426" i="2"/>
  <c r="M425" i="2"/>
  <c r="U425" i="2" s="1"/>
  <c r="K425" i="2"/>
  <c r="H425" i="2"/>
  <c r="F425" i="2"/>
  <c r="E425" i="2"/>
  <c r="M424" i="2"/>
  <c r="V424" i="2" s="1"/>
  <c r="K424" i="2"/>
  <c r="H424" i="2"/>
  <c r="F424" i="2"/>
  <c r="E424" i="2"/>
  <c r="M423" i="2"/>
  <c r="K423" i="2"/>
  <c r="H423" i="2"/>
  <c r="F423" i="2"/>
  <c r="E423" i="2"/>
  <c r="M422" i="2"/>
  <c r="V422" i="2" s="1"/>
  <c r="K422" i="2"/>
  <c r="H422" i="2"/>
  <c r="F422" i="2"/>
  <c r="E422" i="2"/>
  <c r="M421" i="2"/>
  <c r="K421" i="2"/>
  <c r="H421" i="2"/>
  <c r="F421" i="2"/>
  <c r="E421" i="2"/>
  <c r="M420" i="2"/>
  <c r="V420" i="2" s="1"/>
  <c r="K420" i="2"/>
  <c r="H420" i="2"/>
  <c r="F420" i="2"/>
  <c r="E420" i="2"/>
  <c r="M419" i="2"/>
  <c r="K419" i="2"/>
  <c r="H419" i="2"/>
  <c r="F419" i="2"/>
  <c r="E419" i="2"/>
  <c r="M418" i="2"/>
  <c r="U418" i="2" s="1"/>
  <c r="K418" i="2"/>
  <c r="H418" i="2"/>
  <c r="F418" i="2"/>
  <c r="E418" i="2"/>
  <c r="M417" i="2"/>
  <c r="K417" i="2"/>
  <c r="H417" i="2"/>
  <c r="F417" i="2"/>
  <c r="E417" i="2"/>
  <c r="M416" i="2"/>
  <c r="V416" i="2" s="1"/>
  <c r="K416" i="2"/>
  <c r="H416" i="2"/>
  <c r="F416" i="2"/>
  <c r="E416" i="2"/>
  <c r="M415" i="2"/>
  <c r="U415" i="2" s="1"/>
  <c r="K415" i="2"/>
  <c r="H415" i="2"/>
  <c r="F415" i="2"/>
  <c r="E415" i="2"/>
  <c r="M414" i="2"/>
  <c r="U414" i="2" s="1"/>
  <c r="K414" i="2"/>
  <c r="H414" i="2"/>
  <c r="F414" i="2"/>
  <c r="E414" i="2"/>
  <c r="M413" i="2"/>
  <c r="U413" i="2" s="1"/>
  <c r="K413" i="2"/>
  <c r="H413" i="2"/>
  <c r="F413" i="2"/>
  <c r="E413" i="2"/>
  <c r="M412" i="2"/>
  <c r="K412" i="2"/>
  <c r="H412" i="2"/>
  <c r="F412" i="2"/>
  <c r="E412" i="2"/>
  <c r="M411" i="2"/>
  <c r="U411" i="2" s="1"/>
  <c r="K411" i="2"/>
  <c r="H411" i="2"/>
  <c r="F411" i="2"/>
  <c r="E411" i="2"/>
  <c r="M410" i="2"/>
  <c r="V410" i="2" s="1"/>
  <c r="K410" i="2"/>
  <c r="H410" i="2"/>
  <c r="F410" i="2"/>
  <c r="E410" i="2"/>
  <c r="M409" i="2"/>
  <c r="V409" i="2" s="1"/>
  <c r="K409" i="2"/>
  <c r="H409" i="2"/>
  <c r="F409" i="2"/>
  <c r="E409" i="2"/>
  <c r="M408" i="2"/>
  <c r="V408" i="2" s="1"/>
  <c r="K408" i="2"/>
  <c r="H408" i="2"/>
  <c r="F408" i="2"/>
  <c r="E408" i="2"/>
  <c r="M407" i="2"/>
  <c r="K407" i="2"/>
  <c r="H407" i="2"/>
  <c r="F407" i="2"/>
  <c r="E407" i="2"/>
  <c r="M406" i="2"/>
  <c r="V406" i="2" s="1"/>
  <c r="K406" i="2"/>
  <c r="H406" i="2"/>
  <c r="F406" i="2"/>
  <c r="E406" i="2"/>
  <c r="M405" i="2"/>
  <c r="K405" i="2"/>
  <c r="H405" i="2"/>
  <c r="F405" i="2"/>
  <c r="E405" i="2"/>
  <c r="M404" i="2"/>
  <c r="U404" i="2" s="1"/>
  <c r="K404" i="2"/>
  <c r="H404" i="2"/>
  <c r="F404" i="2"/>
  <c r="E404" i="2"/>
  <c r="M403" i="2"/>
  <c r="K403" i="2"/>
  <c r="H403" i="2"/>
  <c r="F403" i="2"/>
  <c r="E403" i="2"/>
  <c r="M402" i="2"/>
  <c r="V402" i="2" s="1"/>
  <c r="K402" i="2"/>
  <c r="H402" i="2"/>
  <c r="F402" i="2"/>
  <c r="E402" i="2"/>
  <c r="M401" i="2"/>
  <c r="K401" i="2"/>
  <c r="H401" i="2"/>
  <c r="F401" i="2"/>
  <c r="E401" i="2"/>
  <c r="M400" i="2"/>
  <c r="V400" i="2" s="1"/>
  <c r="K400" i="2"/>
  <c r="H400" i="2"/>
  <c r="F400" i="2"/>
  <c r="E400" i="2"/>
  <c r="M399" i="2"/>
  <c r="K399" i="2"/>
  <c r="H399" i="2"/>
  <c r="F399" i="2"/>
  <c r="E399" i="2"/>
  <c r="M398" i="2"/>
  <c r="V398" i="2" s="1"/>
  <c r="K398" i="2"/>
  <c r="H398" i="2"/>
  <c r="F398" i="2"/>
  <c r="E398" i="2"/>
  <c r="M397" i="2"/>
  <c r="K397" i="2"/>
  <c r="H397" i="2"/>
  <c r="F397" i="2"/>
  <c r="E397" i="2"/>
  <c r="M396" i="2"/>
  <c r="U396" i="2" s="1"/>
  <c r="K396" i="2"/>
  <c r="H396" i="2"/>
  <c r="F396" i="2"/>
  <c r="E396" i="2"/>
  <c r="M395" i="2"/>
  <c r="K395" i="2"/>
  <c r="H395" i="2"/>
  <c r="F395" i="2"/>
  <c r="E395" i="2"/>
  <c r="M394" i="2"/>
  <c r="V394" i="2" s="1"/>
  <c r="K394" i="2"/>
  <c r="H394" i="2"/>
  <c r="F394" i="2"/>
  <c r="E394" i="2"/>
  <c r="M393" i="2"/>
  <c r="U393" i="2" s="1"/>
  <c r="K393" i="2"/>
  <c r="H393" i="2"/>
  <c r="F393" i="2"/>
  <c r="E393" i="2"/>
  <c r="M392" i="2"/>
  <c r="K392" i="2"/>
  <c r="H392" i="2"/>
  <c r="F392" i="2"/>
  <c r="E392" i="2"/>
  <c r="M391" i="2"/>
  <c r="V391" i="2" s="1"/>
  <c r="K391" i="2"/>
  <c r="H391" i="2"/>
  <c r="F391" i="2"/>
  <c r="E391" i="2"/>
  <c r="M390" i="2"/>
  <c r="K390" i="2"/>
  <c r="H390" i="2"/>
  <c r="F390" i="2"/>
  <c r="E390" i="2"/>
  <c r="M389" i="2"/>
  <c r="V389" i="2" s="1"/>
  <c r="K389" i="2"/>
  <c r="H389" i="2"/>
  <c r="F389" i="2"/>
  <c r="E389" i="2"/>
  <c r="M388" i="2"/>
  <c r="V388" i="2" s="1"/>
  <c r="K388" i="2"/>
  <c r="H388" i="2"/>
  <c r="F388" i="2"/>
  <c r="E388" i="2"/>
  <c r="M387" i="2"/>
  <c r="V387" i="2" s="1"/>
  <c r="K387" i="2"/>
  <c r="H387" i="2"/>
  <c r="F387" i="2"/>
  <c r="E387" i="2"/>
  <c r="M386" i="2"/>
  <c r="U386" i="2" s="1"/>
  <c r="K386" i="2"/>
  <c r="H386" i="2"/>
  <c r="F386" i="2"/>
  <c r="E386" i="2"/>
  <c r="M385" i="2"/>
  <c r="K385" i="2"/>
  <c r="H385" i="2"/>
  <c r="F385" i="2"/>
  <c r="E385" i="2"/>
  <c r="M384" i="2"/>
  <c r="V384" i="2" s="1"/>
  <c r="K384" i="2"/>
  <c r="H384" i="2"/>
  <c r="F384" i="2"/>
  <c r="E384" i="2"/>
  <c r="M383" i="2"/>
  <c r="U383" i="2" s="1"/>
  <c r="K383" i="2"/>
  <c r="H383" i="2"/>
  <c r="F383" i="2"/>
  <c r="E383" i="2"/>
  <c r="M382" i="2"/>
  <c r="K382" i="2"/>
  <c r="H382" i="2"/>
  <c r="F382" i="2"/>
  <c r="E382" i="2"/>
  <c r="M381" i="2"/>
  <c r="V381" i="2" s="1"/>
  <c r="K381" i="2"/>
  <c r="H381" i="2"/>
  <c r="F381" i="2"/>
  <c r="E381" i="2"/>
  <c r="M380" i="2"/>
  <c r="K380" i="2"/>
  <c r="H380" i="2"/>
  <c r="F380" i="2"/>
  <c r="E380" i="2"/>
  <c r="M379" i="2"/>
  <c r="U379" i="2" s="1"/>
  <c r="K379" i="2"/>
  <c r="H379" i="2"/>
  <c r="F379" i="2"/>
  <c r="E379" i="2"/>
  <c r="M378" i="2"/>
  <c r="V378" i="2" s="1"/>
  <c r="K378" i="2"/>
  <c r="H378" i="2"/>
  <c r="F378" i="2"/>
  <c r="E378" i="2"/>
  <c r="M377" i="2"/>
  <c r="K377" i="2"/>
  <c r="H377" i="2"/>
  <c r="F377" i="2"/>
  <c r="E377" i="2"/>
  <c r="M376" i="2"/>
  <c r="V376" i="2" s="1"/>
  <c r="K376" i="2"/>
  <c r="H376" i="2"/>
  <c r="F376" i="2"/>
  <c r="E376" i="2"/>
  <c r="M375" i="2"/>
  <c r="V375" i="2" s="1"/>
  <c r="K375" i="2"/>
  <c r="H375" i="2"/>
  <c r="F375" i="2"/>
  <c r="E375" i="2"/>
  <c r="M374" i="2"/>
  <c r="K374" i="2"/>
  <c r="H374" i="2"/>
  <c r="F374" i="2"/>
  <c r="E374" i="2"/>
  <c r="M373" i="2"/>
  <c r="U373" i="2" s="1"/>
  <c r="K373" i="2"/>
  <c r="H373" i="2"/>
  <c r="F373" i="2"/>
  <c r="E373" i="2"/>
  <c r="M372" i="2"/>
  <c r="K372" i="2"/>
  <c r="H372" i="2"/>
  <c r="F372" i="2"/>
  <c r="E372" i="2"/>
  <c r="M371" i="2"/>
  <c r="V371" i="2" s="1"/>
  <c r="K371" i="2"/>
  <c r="H371" i="2"/>
  <c r="F371" i="2"/>
  <c r="E371" i="2"/>
  <c r="M370" i="2"/>
  <c r="V370" i="2" s="1"/>
  <c r="K370" i="2"/>
  <c r="H370" i="2"/>
  <c r="F370" i="2"/>
  <c r="E370" i="2"/>
  <c r="M369" i="2"/>
  <c r="K369" i="2"/>
  <c r="H369" i="2"/>
  <c r="F369" i="2"/>
  <c r="E369" i="2"/>
  <c r="M368" i="2"/>
  <c r="U368" i="2" s="1"/>
  <c r="K368" i="2"/>
  <c r="H368" i="2"/>
  <c r="F368" i="2"/>
  <c r="E368" i="2"/>
  <c r="M367" i="2"/>
  <c r="V367" i="2" s="1"/>
  <c r="K367" i="2"/>
  <c r="H367" i="2"/>
  <c r="F367" i="2"/>
  <c r="E367" i="2"/>
  <c r="M366" i="2"/>
  <c r="U366" i="2" s="1"/>
  <c r="K366" i="2"/>
  <c r="H366" i="2"/>
  <c r="F366" i="2"/>
  <c r="E366" i="2"/>
  <c r="M365" i="2"/>
  <c r="U365" i="2" s="1"/>
  <c r="K365" i="2"/>
  <c r="H365" i="2"/>
  <c r="F365" i="2"/>
  <c r="E365" i="2"/>
  <c r="M364" i="2"/>
  <c r="K364" i="2"/>
  <c r="H364" i="2"/>
  <c r="F364" i="2"/>
  <c r="E364" i="2"/>
  <c r="M363" i="2"/>
  <c r="K363" i="2"/>
  <c r="H363" i="2"/>
  <c r="F363" i="2"/>
  <c r="E363" i="2"/>
  <c r="M362" i="2"/>
  <c r="U362" i="2" s="1"/>
  <c r="K362" i="2"/>
  <c r="H362" i="2"/>
  <c r="F362" i="2"/>
  <c r="E362" i="2"/>
  <c r="M361" i="2"/>
  <c r="K361" i="2"/>
  <c r="H361" i="2"/>
  <c r="F361" i="2"/>
  <c r="E361" i="2"/>
  <c r="M360" i="2"/>
  <c r="V360" i="2" s="1"/>
  <c r="K360" i="2"/>
  <c r="H360" i="2"/>
  <c r="F360" i="2"/>
  <c r="E360" i="2"/>
  <c r="M359" i="2"/>
  <c r="V359" i="2" s="1"/>
  <c r="K359" i="2"/>
  <c r="H359" i="2"/>
  <c r="F359" i="2"/>
  <c r="E359" i="2"/>
  <c r="M358" i="2"/>
  <c r="V358" i="2" s="1"/>
  <c r="K358" i="2"/>
  <c r="H358" i="2"/>
  <c r="F358" i="2"/>
  <c r="E358" i="2"/>
  <c r="M357" i="2"/>
  <c r="U357" i="2" s="1"/>
  <c r="K357" i="2"/>
  <c r="H357" i="2"/>
  <c r="F357" i="2"/>
  <c r="E357" i="2"/>
  <c r="M356" i="2"/>
  <c r="K356" i="2"/>
  <c r="H356" i="2"/>
  <c r="F356" i="2"/>
  <c r="E356" i="2"/>
  <c r="M355" i="2"/>
  <c r="U355" i="2" s="1"/>
  <c r="K355" i="2"/>
  <c r="H355" i="2"/>
  <c r="F355" i="2"/>
  <c r="E355" i="2"/>
  <c r="M354" i="2"/>
  <c r="K354" i="2"/>
  <c r="H354" i="2"/>
  <c r="F354" i="2"/>
  <c r="E354" i="2"/>
  <c r="M353" i="2"/>
  <c r="U353" i="2" s="1"/>
  <c r="K353" i="2"/>
  <c r="H353" i="2"/>
  <c r="F353" i="2"/>
  <c r="E353" i="2"/>
  <c r="M352" i="2"/>
  <c r="V352" i="2" s="1"/>
  <c r="K352" i="2"/>
  <c r="H352" i="2"/>
  <c r="F352" i="2"/>
  <c r="E352" i="2"/>
  <c r="M351" i="2"/>
  <c r="V351" i="2" s="1"/>
  <c r="K351" i="2"/>
  <c r="H351" i="2"/>
  <c r="F351" i="2"/>
  <c r="E351" i="2"/>
  <c r="M350" i="2"/>
  <c r="V350" i="2" s="1"/>
  <c r="K350" i="2"/>
  <c r="H350" i="2"/>
  <c r="F350" i="2"/>
  <c r="E350" i="2"/>
  <c r="M349" i="2"/>
  <c r="V349" i="2" s="1"/>
  <c r="K349" i="2"/>
  <c r="H349" i="2"/>
  <c r="F349" i="2"/>
  <c r="E349" i="2"/>
  <c r="M348" i="2"/>
  <c r="V348" i="2" s="1"/>
  <c r="K348" i="2"/>
  <c r="H348" i="2"/>
  <c r="F348" i="2"/>
  <c r="E348" i="2"/>
  <c r="M347" i="2"/>
  <c r="V347" i="2" s="1"/>
  <c r="K347" i="2"/>
  <c r="H347" i="2"/>
  <c r="F347" i="2"/>
  <c r="E347" i="2"/>
  <c r="M346" i="2"/>
  <c r="U346" i="2" s="1"/>
  <c r="K346" i="2"/>
  <c r="H346" i="2"/>
  <c r="F346" i="2"/>
  <c r="E346" i="2"/>
  <c r="M345" i="2"/>
  <c r="U345" i="2" s="1"/>
  <c r="K345" i="2"/>
  <c r="H345" i="2"/>
  <c r="F345" i="2"/>
  <c r="E345" i="2"/>
  <c r="M344" i="2"/>
  <c r="V344" i="2" s="1"/>
  <c r="K344" i="2"/>
  <c r="H344" i="2"/>
  <c r="F344" i="2"/>
  <c r="E344" i="2"/>
  <c r="M343" i="2"/>
  <c r="V343" i="2" s="1"/>
  <c r="K343" i="2"/>
  <c r="H343" i="2"/>
  <c r="F343" i="2"/>
  <c r="E343" i="2"/>
  <c r="M342" i="2"/>
  <c r="V342" i="2" s="1"/>
  <c r="K342" i="2"/>
  <c r="H342" i="2"/>
  <c r="F342" i="2"/>
  <c r="E342" i="2"/>
  <c r="M341" i="2"/>
  <c r="V341" i="2" s="1"/>
  <c r="K341" i="2"/>
  <c r="H341" i="2"/>
  <c r="F341" i="2"/>
  <c r="E341" i="2"/>
  <c r="M340" i="2"/>
  <c r="V340" i="2" s="1"/>
  <c r="K340" i="2"/>
  <c r="H340" i="2"/>
  <c r="F340" i="2"/>
  <c r="E340" i="2"/>
  <c r="M339" i="2"/>
  <c r="V339" i="2" s="1"/>
  <c r="K339" i="2"/>
  <c r="H339" i="2"/>
  <c r="F339" i="2"/>
  <c r="E339" i="2"/>
  <c r="M338" i="2"/>
  <c r="U338" i="2" s="1"/>
  <c r="K338" i="2"/>
  <c r="H338" i="2"/>
  <c r="F338" i="2"/>
  <c r="E338" i="2"/>
  <c r="M337" i="2"/>
  <c r="V337" i="2" s="1"/>
  <c r="K337" i="2"/>
  <c r="H337" i="2"/>
  <c r="F337" i="2"/>
  <c r="E337" i="2"/>
  <c r="M336" i="2"/>
  <c r="V336" i="2" s="1"/>
  <c r="K336" i="2"/>
  <c r="H336" i="2"/>
  <c r="F336" i="2"/>
  <c r="E336" i="2"/>
  <c r="M335" i="2"/>
  <c r="U335" i="2" s="1"/>
  <c r="K335" i="2"/>
  <c r="H335" i="2"/>
  <c r="F335" i="2"/>
  <c r="E335" i="2"/>
  <c r="M334" i="2"/>
  <c r="V334" i="2" s="1"/>
  <c r="K334" i="2"/>
  <c r="H334" i="2"/>
  <c r="F334" i="2"/>
  <c r="E334" i="2"/>
  <c r="M333" i="2"/>
  <c r="V333" i="2" s="1"/>
  <c r="K333" i="2"/>
  <c r="H333" i="2"/>
  <c r="F333" i="2"/>
  <c r="E333" i="2"/>
  <c r="M332" i="2"/>
  <c r="V332" i="2" s="1"/>
  <c r="K332" i="2"/>
  <c r="H332" i="2"/>
  <c r="F332" i="2"/>
  <c r="E332" i="2"/>
  <c r="M331" i="2"/>
  <c r="U331" i="2" s="1"/>
  <c r="K331" i="2"/>
  <c r="H331" i="2"/>
  <c r="F331" i="2"/>
  <c r="E331" i="2"/>
  <c r="M330" i="2"/>
  <c r="U330" i="2" s="1"/>
  <c r="K330" i="2"/>
  <c r="H330" i="2"/>
  <c r="F330" i="2"/>
  <c r="E330" i="2"/>
  <c r="M329" i="2"/>
  <c r="V329" i="2" s="1"/>
  <c r="K329" i="2"/>
  <c r="H329" i="2"/>
  <c r="F329" i="2"/>
  <c r="E329" i="2"/>
  <c r="M328" i="2"/>
  <c r="V328" i="2" s="1"/>
  <c r="K328" i="2"/>
  <c r="H328" i="2"/>
  <c r="F328" i="2"/>
  <c r="E328" i="2"/>
  <c r="M327" i="2"/>
  <c r="V327" i="2" s="1"/>
  <c r="K327" i="2"/>
  <c r="H327" i="2"/>
  <c r="F327" i="2"/>
  <c r="E327" i="2"/>
  <c r="M326" i="2"/>
  <c r="V326" i="2" s="1"/>
  <c r="K326" i="2"/>
  <c r="H326" i="2"/>
  <c r="F326" i="2"/>
  <c r="E326" i="2"/>
  <c r="M325" i="2"/>
  <c r="V325" i="2" s="1"/>
  <c r="K325" i="2"/>
  <c r="H325" i="2"/>
  <c r="F325" i="2"/>
  <c r="E325" i="2"/>
  <c r="M324" i="2"/>
  <c r="K324" i="2"/>
  <c r="H324" i="2"/>
  <c r="F324" i="2"/>
  <c r="E324" i="2"/>
  <c r="M323" i="2"/>
  <c r="K323" i="2"/>
  <c r="H323" i="2"/>
  <c r="F323" i="2"/>
  <c r="E323" i="2"/>
  <c r="M322" i="2"/>
  <c r="U322" i="2" s="1"/>
  <c r="K322" i="2"/>
  <c r="H322" i="2"/>
  <c r="F322" i="2"/>
  <c r="E322" i="2"/>
  <c r="M321" i="2"/>
  <c r="V321" i="2" s="1"/>
  <c r="K321" i="2"/>
  <c r="H321" i="2"/>
  <c r="F321" i="2"/>
  <c r="E321" i="2"/>
  <c r="M320" i="2"/>
  <c r="V320" i="2" s="1"/>
  <c r="K320" i="2"/>
  <c r="H320" i="2"/>
  <c r="F320" i="2"/>
  <c r="E320" i="2"/>
  <c r="M319" i="2"/>
  <c r="V319" i="2" s="1"/>
  <c r="K319" i="2"/>
  <c r="H319" i="2"/>
  <c r="F319" i="2"/>
  <c r="E319" i="2"/>
  <c r="M318" i="2"/>
  <c r="V318" i="2" s="1"/>
  <c r="K318" i="2"/>
  <c r="H318" i="2"/>
  <c r="F318" i="2"/>
  <c r="E318" i="2"/>
  <c r="M317" i="2"/>
  <c r="V317" i="2" s="1"/>
  <c r="K317" i="2"/>
  <c r="H317" i="2"/>
  <c r="F317" i="2"/>
  <c r="E317" i="2"/>
  <c r="M316" i="2"/>
  <c r="U316" i="2" s="1"/>
  <c r="K316" i="2"/>
  <c r="H316" i="2"/>
  <c r="F316" i="2"/>
  <c r="E316" i="2"/>
  <c r="M315" i="2"/>
  <c r="V315" i="2" s="1"/>
  <c r="K315" i="2"/>
  <c r="H315" i="2"/>
  <c r="F315" i="2"/>
  <c r="E315" i="2"/>
  <c r="M314" i="2"/>
  <c r="U314" i="2" s="1"/>
  <c r="K314" i="2"/>
  <c r="H314" i="2"/>
  <c r="F314" i="2"/>
  <c r="E314" i="2"/>
  <c r="M313" i="2"/>
  <c r="V313" i="2" s="1"/>
  <c r="K313" i="2"/>
  <c r="H313" i="2"/>
  <c r="F313" i="2"/>
  <c r="E313" i="2"/>
  <c r="M312" i="2"/>
  <c r="V312" i="2" s="1"/>
  <c r="K312" i="2"/>
  <c r="H312" i="2"/>
  <c r="F312" i="2"/>
  <c r="E312" i="2"/>
  <c r="M311" i="2"/>
  <c r="U311" i="2" s="1"/>
  <c r="K311" i="2"/>
  <c r="H311" i="2"/>
  <c r="F311" i="2"/>
  <c r="E311" i="2"/>
  <c r="M310" i="2"/>
  <c r="V310" i="2" s="1"/>
  <c r="K310" i="2"/>
  <c r="H310" i="2"/>
  <c r="F310" i="2"/>
  <c r="E310" i="2"/>
  <c r="M309" i="2"/>
  <c r="U309" i="2" s="1"/>
  <c r="K309" i="2"/>
  <c r="H309" i="2"/>
  <c r="F309" i="2"/>
  <c r="E309" i="2"/>
  <c r="M308" i="2"/>
  <c r="U308" i="2" s="1"/>
  <c r="K308" i="2"/>
  <c r="H308" i="2"/>
  <c r="F308" i="2"/>
  <c r="E308" i="2"/>
  <c r="M307" i="2"/>
  <c r="K307" i="2"/>
  <c r="H307" i="2"/>
  <c r="F307" i="2"/>
  <c r="E307" i="2"/>
  <c r="M306" i="2"/>
  <c r="U306" i="2" s="1"/>
  <c r="K306" i="2"/>
  <c r="H306" i="2"/>
  <c r="F306" i="2"/>
  <c r="E306" i="2"/>
  <c r="M305" i="2"/>
  <c r="U305" i="2" s="1"/>
  <c r="K305" i="2"/>
  <c r="F305" i="2"/>
  <c r="E305" i="2"/>
  <c r="M304" i="2"/>
  <c r="U304" i="2" s="1"/>
  <c r="K304" i="2"/>
  <c r="F304" i="2"/>
  <c r="E304" i="2"/>
  <c r="M303" i="2"/>
  <c r="V303" i="2" s="1"/>
  <c r="K303" i="2"/>
  <c r="F303" i="2"/>
  <c r="E303" i="2"/>
  <c r="M302" i="2"/>
  <c r="V302" i="2" s="1"/>
  <c r="K302" i="2"/>
  <c r="F302" i="2"/>
  <c r="E302" i="2"/>
  <c r="M301" i="2"/>
  <c r="V301" i="2" s="1"/>
  <c r="K301" i="2"/>
  <c r="F301" i="2"/>
  <c r="E301" i="2"/>
  <c r="M300" i="2"/>
  <c r="V300" i="2" s="1"/>
  <c r="K300" i="2"/>
  <c r="F300" i="2"/>
  <c r="E300" i="2"/>
  <c r="M299" i="2"/>
  <c r="U299" i="2" s="1"/>
  <c r="K299" i="2"/>
  <c r="F299" i="2"/>
  <c r="E299" i="2"/>
  <c r="M298" i="2"/>
  <c r="V298" i="2" s="1"/>
  <c r="K298" i="2"/>
  <c r="F298" i="2"/>
  <c r="E298" i="2"/>
  <c r="M297" i="2"/>
  <c r="U297" i="2" s="1"/>
  <c r="K297" i="2"/>
  <c r="F297" i="2"/>
  <c r="E297" i="2"/>
  <c r="M296" i="2"/>
  <c r="U296" i="2" s="1"/>
  <c r="K296" i="2"/>
  <c r="F296" i="2"/>
  <c r="E296" i="2"/>
  <c r="M295" i="2"/>
  <c r="V295" i="2" s="1"/>
  <c r="K295" i="2"/>
  <c r="F295" i="2"/>
  <c r="E295" i="2"/>
  <c r="M294" i="2"/>
  <c r="V294" i="2" s="1"/>
  <c r="K294" i="2"/>
  <c r="F294" i="2"/>
  <c r="E294" i="2"/>
  <c r="M293" i="2"/>
  <c r="V293" i="2" s="1"/>
  <c r="K293" i="2"/>
  <c r="F293" i="2"/>
  <c r="E293" i="2"/>
  <c r="M292" i="2"/>
  <c r="V292" i="2" s="1"/>
  <c r="K292" i="2"/>
  <c r="F292" i="2"/>
  <c r="E292" i="2"/>
  <c r="M291" i="2"/>
  <c r="V291" i="2" s="1"/>
  <c r="K291" i="2"/>
  <c r="F291" i="2"/>
  <c r="E291" i="2"/>
  <c r="M290" i="2"/>
  <c r="U290" i="2" s="1"/>
  <c r="K290" i="2"/>
  <c r="F290" i="2"/>
  <c r="E290" i="2"/>
  <c r="M289" i="2"/>
  <c r="U289" i="2" s="1"/>
  <c r="K289" i="2"/>
  <c r="F289" i="2"/>
  <c r="E289" i="2"/>
  <c r="M288" i="2"/>
  <c r="U288" i="2" s="1"/>
  <c r="K288" i="2"/>
  <c r="F288" i="2"/>
  <c r="E288" i="2"/>
  <c r="M287" i="2"/>
  <c r="U287" i="2" s="1"/>
  <c r="K287" i="2"/>
  <c r="F287" i="2"/>
  <c r="E287" i="2"/>
  <c r="M286" i="2"/>
  <c r="V286" i="2" s="1"/>
  <c r="K286" i="2"/>
  <c r="F286" i="2"/>
  <c r="E286" i="2"/>
  <c r="M285" i="2"/>
  <c r="U285" i="2" s="1"/>
  <c r="K285" i="2"/>
  <c r="F285" i="2"/>
  <c r="E285" i="2"/>
  <c r="M284" i="2"/>
  <c r="V284" i="2" s="1"/>
  <c r="K284" i="2"/>
  <c r="F284" i="2"/>
  <c r="E284" i="2"/>
  <c r="M283" i="2"/>
  <c r="V283" i="2" s="1"/>
  <c r="K283" i="2"/>
  <c r="F283" i="2"/>
  <c r="E283" i="2"/>
  <c r="M282" i="2"/>
  <c r="V282" i="2" s="1"/>
  <c r="K282" i="2"/>
  <c r="F282" i="2"/>
  <c r="E282" i="2"/>
  <c r="M281" i="2"/>
  <c r="V281" i="2" s="1"/>
  <c r="K281" i="2"/>
  <c r="F281" i="2"/>
  <c r="E281" i="2"/>
  <c r="M280" i="2"/>
  <c r="V280" i="2" s="1"/>
  <c r="K280" i="2"/>
  <c r="F280" i="2"/>
  <c r="E280" i="2"/>
  <c r="M279" i="2"/>
  <c r="U279" i="2" s="1"/>
  <c r="K279" i="2"/>
  <c r="F279" i="2"/>
  <c r="E279" i="2"/>
  <c r="M278" i="2"/>
  <c r="V278" i="2" s="1"/>
  <c r="K278" i="2"/>
  <c r="F278" i="2"/>
  <c r="E278" i="2"/>
  <c r="M277" i="2"/>
  <c r="V277" i="2" s="1"/>
  <c r="K277" i="2"/>
  <c r="F277" i="2"/>
  <c r="E277" i="2"/>
  <c r="M276" i="2"/>
  <c r="V276" i="2" s="1"/>
  <c r="K276" i="2"/>
  <c r="F276" i="2"/>
  <c r="E276" i="2"/>
  <c r="M275" i="2"/>
  <c r="V275" i="2" s="1"/>
  <c r="K275" i="2"/>
  <c r="F275" i="2"/>
  <c r="E275" i="2"/>
  <c r="M274" i="2"/>
  <c r="U274" i="2" s="1"/>
  <c r="K274" i="2"/>
  <c r="F274" i="2"/>
  <c r="E274" i="2"/>
  <c r="M273" i="2"/>
  <c r="V273" i="2" s="1"/>
  <c r="K273" i="2"/>
  <c r="F273" i="2"/>
  <c r="E273" i="2"/>
  <c r="M272" i="2"/>
  <c r="V272" i="2" s="1"/>
  <c r="K272" i="2"/>
  <c r="F272" i="2"/>
  <c r="E272" i="2"/>
  <c r="M271" i="2"/>
  <c r="U271" i="2" s="1"/>
  <c r="K271" i="2"/>
  <c r="F271" i="2"/>
  <c r="E271" i="2"/>
  <c r="M270" i="2"/>
  <c r="K270" i="2"/>
  <c r="F270" i="2"/>
  <c r="E270" i="2"/>
  <c r="M269" i="2"/>
  <c r="V269" i="2" s="1"/>
  <c r="K269" i="2"/>
  <c r="F269" i="2"/>
  <c r="E269" i="2"/>
  <c r="M268" i="2"/>
  <c r="V268" i="2" s="1"/>
  <c r="K268" i="2"/>
  <c r="F268" i="2"/>
  <c r="E268" i="2"/>
  <c r="M267" i="2"/>
  <c r="V267" i="2" s="1"/>
  <c r="K267" i="2"/>
  <c r="F267" i="2"/>
  <c r="E267" i="2"/>
  <c r="M266" i="2"/>
  <c r="V266" i="2" s="1"/>
  <c r="K266" i="2"/>
  <c r="F266" i="2"/>
  <c r="E266" i="2"/>
  <c r="M265" i="2"/>
  <c r="U265" i="2" s="1"/>
  <c r="K265" i="2"/>
  <c r="F265" i="2"/>
  <c r="E265" i="2"/>
  <c r="M264" i="2"/>
  <c r="V264" i="2" s="1"/>
  <c r="K264" i="2"/>
  <c r="F264" i="2"/>
  <c r="E264" i="2"/>
  <c r="M263" i="2"/>
  <c r="V263" i="2" s="1"/>
  <c r="K263" i="2"/>
  <c r="F263" i="2"/>
  <c r="E263" i="2"/>
  <c r="M262" i="2"/>
  <c r="U262" i="2" s="1"/>
  <c r="K262" i="2"/>
  <c r="F262" i="2"/>
  <c r="E262" i="2"/>
  <c r="M261" i="2"/>
  <c r="U261" i="2" s="1"/>
  <c r="K261" i="2"/>
  <c r="F261" i="2"/>
  <c r="E261" i="2"/>
  <c r="M260" i="2"/>
  <c r="U260" i="2" s="1"/>
  <c r="K260" i="2"/>
  <c r="F260" i="2"/>
  <c r="E260" i="2"/>
  <c r="M259" i="2"/>
  <c r="V259" i="2" s="1"/>
  <c r="K259" i="2"/>
  <c r="F259" i="2"/>
  <c r="E259" i="2"/>
  <c r="M258" i="2"/>
  <c r="U258" i="2" s="1"/>
  <c r="K258" i="2"/>
  <c r="F258" i="2"/>
  <c r="E258" i="2"/>
  <c r="M257" i="2"/>
  <c r="U257" i="2" s="1"/>
  <c r="K257" i="2"/>
  <c r="F257" i="2"/>
  <c r="E257" i="2"/>
  <c r="M256" i="2"/>
  <c r="U256" i="2" s="1"/>
  <c r="K256" i="2"/>
  <c r="F256" i="2"/>
  <c r="E256" i="2"/>
  <c r="M255" i="2"/>
  <c r="V255" i="2" s="1"/>
  <c r="K255" i="2"/>
  <c r="F255" i="2"/>
  <c r="E255" i="2"/>
  <c r="M254" i="2"/>
  <c r="V254" i="2" s="1"/>
  <c r="K254" i="2"/>
  <c r="F254" i="2"/>
  <c r="E254" i="2"/>
  <c r="M253" i="2"/>
  <c r="V253" i="2" s="1"/>
  <c r="K253" i="2"/>
  <c r="F253" i="2"/>
  <c r="E253" i="2"/>
  <c r="M252" i="2"/>
  <c r="U252" i="2" s="1"/>
  <c r="K252" i="2"/>
  <c r="F252" i="2"/>
  <c r="E252" i="2"/>
  <c r="M251" i="2"/>
  <c r="U251" i="2" s="1"/>
  <c r="K251" i="2"/>
  <c r="F251" i="2"/>
  <c r="E251" i="2"/>
  <c r="M250" i="2"/>
  <c r="K250" i="2"/>
  <c r="F250" i="2"/>
  <c r="E250" i="2"/>
  <c r="M249" i="2"/>
  <c r="U249" i="2" s="1"/>
  <c r="K249" i="2"/>
  <c r="F249" i="2"/>
  <c r="E249" i="2"/>
  <c r="M248" i="2"/>
  <c r="V248" i="2" s="1"/>
  <c r="K248" i="2"/>
  <c r="F248" i="2"/>
  <c r="E248" i="2"/>
  <c r="M247" i="2"/>
  <c r="U247" i="2" s="1"/>
  <c r="K247" i="2"/>
  <c r="F247" i="2"/>
  <c r="E247" i="2"/>
  <c r="M246" i="2"/>
  <c r="V246" i="2" s="1"/>
  <c r="K246" i="2"/>
  <c r="F246" i="2"/>
  <c r="E246" i="2"/>
  <c r="M245" i="2"/>
  <c r="U245" i="2" s="1"/>
  <c r="K245" i="2"/>
  <c r="F245" i="2"/>
  <c r="E245" i="2"/>
  <c r="M244" i="2"/>
  <c r="K244" i="2"/>
  <c r="F244" i="2"/>
  <c r="E244" i="2"/>
  <c r="M243" i="2"/>
  <c r="V243" i="2" s="1"/>
  <c r="K243" i="2"/>
  <c r="F243" i="2"/>
  <c r="E243" i="2"/>
  <c r="M242" i="2"/>
  <c r="V242" i="2" s="1"/>
  <c r="K242" i="2"/>
  <c r="F242" i="2"/>
  <c r="E242" i="2"/>
  <c r="M241" i="2"/>
  <c r="V241" i="2" s="1"/>
  <c r="K241" i="2"/>
  <c r="F241" i="2"/>
  <c r="E241" i="2"/>
  <c r="M240" i="2"/>
  <c r="V240" i="2" s="1"/>
  <c r="K240" i="2"/>
  <c r="F240" i="2"/>
  <c r="E240" i="2"/>
  <c r="M239" i="2"/>
  <c r="U239" i="2" s="1"/>
  <c r="K239" i="2"/>
  <c r="F239" i="2"/>
  <c r="E239" i="2"/>
  <c r="M238" i="2"/>
  <c r="U238" i="2" s="1"/>
  <c r="K238" i="2"/>
  <c r="F238" i="2"/>
  <c r="E238" i="2"/>
  <c r="M237" i="2"/>
  <c r="V237" i="2" s="1"/>
  <c r="K237" i="2"/>
  <c r="F237" i="2"/>
  <c r="E237" i="2"/>
  <c r="M236" i="2"/>
  <c r="V236" i="2" s="1"/>
  <c r="K236" i="2"/>
  <c r="F236" i="2"/>
  <c r="E236" i="2"/>
  <c r="M235" i="2"/>
  <c r="U235" i="2" s="1"/>
  <c r="K235" i="2"/>
  <c r="F235" i="2"/>
  <c r="E235" i="2"/>
  <c r="M234" i="2"/>
  <c r="V234" i="2" s="1"/>
  <c r="K234" i="2"/>
  <c r="F234" i="2"/>
  <c r="E234" i="2"/>
  <c r="M233" i="2"/>
  <c r="V233" i="2" s="1"/>
  <c r="K233" i="2"/>
  <c r="F233" i="2"/>
  <c r="E233" i="2"/>
  <c r="M232" i="2"/>
  <c r="U232" i="2" s="1"/>
  <c r="K232" i="2"/>
  <c r="F232" i="2"/>
  <c r="E232" i="2"/>
  <c r="M231" i="2"/>
  <c r="V231" i="2" s="1"/>
  <c r="K231" i="2"/>
  <c r="F231" i="2"/>
  <c r="E231" i="2"/>
  <c r="M230" i="2"/>
  <c r="U230" i="2" s="1"/>
  <c r="K230" i="2"/>
  <c r="F230" i="2"/>
  <c r="E230" i="2"/>
  <c r="M229" i="2"/>
  <c r="V229" i="2" s="1"/>
  <c r="K229" i="2"/>
  <c r="F229" i="2"/>
  <c r="E229" i="2"/>
  <c r="M228" i="2"/>
  <c r="V228" i="2" s="1"/>
  <c r="K228" i="2"/>
  <c r="F228" i="2"/>
  <c r="E228" i="2"/>
  <c r="M227" i="2"/>
  <c r="K227" i="2"/>
  <c r="F227" i="2"/>
  <c r="E227" i="2"/>
  <c r="M226" i="2"/>
  <c r="V226" i="2" s="1"/>
  <c r="K226" i="2"/>
  <c r="F226" i="2"/>
  <c r="E226" i="2"/>
  <c r="M225" i="2"/>
  <c r="U225" i="2" s="1"/>
  <c r="K225" i="2"/>
  <c r="F225" i="2"/>
  <c r="E225" i="2"/>
  <c r="M224" i="2"/>
  <c r="V224" i="2" s="1"/>
  <c r="K224" i="2"/>
  <c r="F224" i="2"/>
  <c r="E224" i="2"/>
  <c r="M223" i="2"/>
  <c r="V223" i="2" s="1"/>
  <c r="K223" i="2"/>
  <c r="F223" i="2"/>
  <c r="E223" i="2"/>
  <c r="M222" i="2"/>
  <c r="U222" i="2" s="1"/>
  <c r="K222" i="2"/>
  <c r="F222" i="2"/>
  <c r="E222" i="2"/>
  <c r="M221" i="2"/>
  <c r="V221" i="2" s="1"/>
  <c r="K221" i="2"/>
  <c r="F221" i="2"/>
  <c r="E221" i="2"/>
  <c r="M220" i="2"/>
  <c r="V220" i="2" s="1"/>
  <c r="K220" i="2"/>
  <c r="F220" i="2"/>
  <c r="E220" i="2"/>
  <c r="M219" i="2"/>
  <c r="V219" i="2" s="1"/>
  <c r="K219" i="2"/>
  <c r="F219" i="2"/>
  <c r="E219" i="2"/>
  <c r="M218" i="2"/>
  <c r="K218" i="2"/>
  <c r="F218" i="2"/>
  <c r="E218" i="2"/>
  <c r="M217" i="2"/>
  <c r="V217" i="2" s="1"/>
  <c r="K217" i="2"/>
  <c r="F217" i="2"/>
  <c r="E217" i="2"/>
  <c r="M216" i="2"/>
  <c r="U216" i="2" s="1"/>
  <c r="K216" i="2"/>
  <c r="F216" i="2"/>
  <c r="E216" i="2"/>
  <c r="M215" i="2"/>
  <c r="V215" i="2" s="1"/>
  <c r="K215" i="2"/>
  <c r="F215" i="2"/>
  <c r="E215" i="2"/>
  <c r="M214" i="2"/>
  <c r="V214" i="2" s="1"/>
  <c r="K214" i="2"/>
  <c r="F214" i="2"/>
  <c r="E214" i="2"/>
  <c r="M213" i="2"/>
  <c r="V213" i="2" s="1"/>
  <c r="K213" i="2"/>
  <c r="F213" i="2"/>
  <c r="E213" i="2"/>
  <c r="M212" i="2"/>
  <c r="V212" i="2" s="1"/>
  <c r="K212" i="2"/>
  <c r="F212" i="2"/>
  <c r="E212" i="2"/>
  <c r="M211" i="2"/>
  <c r="V211" i="2" s="1"/>
  <c r="K211" i="2"/>
  <c r="F211" i="2"/>
  <c r="E211" i="2"/>
  <c r="M210" i="2"/>
  <c r="V210" i="2" s="1"/>
  <c r="K210" i="2"/>
  <c r="F210" i="2"/>
  <c r="E210" i="2"/>
  <c r="M209" i="2"/>
  <c r="V209" i="2" s="1"/>
  <c r="K209" i="2"/>
  <c r="F209" i="2"/>
  <c r="E209" i="2"/>
  <c r="M208" i="2"/>
  <c r="U208" i="2" s="1"/>
  <c r="K208" i="2"/>
  <c r="F208" i="2"/>
  <c r="E208" i="2"/>
  <c r="M207" i="2"/>
  <c r="V207" i="2" s="1"/>
  <c r="K207" i="2"/>
  <c r="F207" i="2"/>
  <c r="E207" i="2"/>
  <c r="M206" i="2"/>
  <c r="U206" i="2" s="1"/>
  <c r="K206" i="2"/>
  <c r="F206" i="2"/>
  <c r="E206" i="2"/>
  <c r="M205" i="2"/>
  <c r="V205" i="2" s="1"/>
  <c r="K205" i="2"/>
  <c r="F205" i="2"/>
  <c r="E205" i="2"/>
  <c r="M204" i="2"/>
  <c r="V204" i="2" s="1"/>
  <c r="K204" i="2"/>
  <c r="F204" i="2"/>
  <c r="E204" i="2"/>
  <c r="M203" i="2"/>
  <c r="K203" i="2"/>
  <c r="F203" i="2"/>
  <c r="E203" i="2"/>
  <c r="M202" i="2"/>
  <c r="V202" i="2" s="1"/>
  <c r="K202" i="2"/>
  <c r="F202" i="2"/>
  <c r="E202" i="2"/>
  <c r="M201" i="2"/>
  <c r="V201" i="2" s="1"/>
  <c r="K201" i="2"/>
  <c r="F201" i="2"/>
  <c r="E201" i="2"/>
  <c r="M200" i="2"/>
  <c r="V200" i="2" s="1"/>
  <c r="K200" i="2"/>
  <c r="F200" i="2"/>
  <c r="E200" i="2"/>
  <c r="M199" i="2"/>
  <c r="K199" i="2"/>
  <c r="F199" i="2"/>
  <c r="E199" i="2"/>
  <c r="M198" i="2"/>
  <c r="V198" i="2" s="1"/>
  <c r="K198" i="2"/>
  <c r="F198" i="2"/>
  <c r="E198" i="2"/>
  <c r="M197" i="2"/>
  <c r="V197" i="2" s="1"/>
  <c r="K197" i="2"/>
  <c r="F197" i="2"/>
  <c r="E197" i="2"/>
  <c r="M196" i="2"/>
  <c r="V196" i="2" s="1"/>
  <c r="K196" i="2"/>
  <c r="F196" i="2"/>
  <c r="E196" i="2"/>
  <c r="M195" i="2"/>
  <c r="U195" i="2" s="1"/>
  <c r="K195" i="2"/>
  <c r="F195" i="2"/>
  <c r="E195" i="2"/>
  <c r="M194" i="2"/>
  <c r="V194" i="2" s="1"/>
  <c r="K194" i="2"/>
  <c r="F194" i="2"/>
  <c r="E194" i="2"/>
  <c r="M193" i="2"/>
  <c r="V193" i="2" s="1"/>
  <c r="K193" i="2"/>
  <c r="F193" i="2"/>
  <c r="E193" i="2"/>
  <c r="M192" i="2"/>
  <c r="V192" i="2" s="1"/>
  <c r="K192" i="2"/>
  <c r="F192" i="2"/>
  <c r="E192" i="2"/>
  <c r="M191" i="2"/>
  <c r="V191" i="2" s="1"/>
  <c r="K191" i="2"/>
  <c r="F191" i="2"/>
  <c r="E191" i="2"/>
  <c r="M190" i="2"/>
  <c r="V190" i="2" s="1"/>
  <c r="K190" i="2"/>
  <c r="F190" i="2"/>
  <c r="E190" i="2"/>
  <c r="M189" i="2"/>
  <c r="U189" i="2" s="1"/>
  <c r="K189" i="2"/>
  <c r="F189" i="2"/>
  <c r="E189" i="2"/>
  <c r="M188" i="2"/>
  <c r="V188" i="2" s="1"/>
  <c r="K188" i="2"/>
  <c r="F188" i="2"/>
  <c r="E188" i="2"/>
  <c r="M187" i="2"/>
  <c r="V187" i="2" s="1"/>
  <c r="K187" i="2"/>
  <c r="F187" i="2"/>
  <c r="E187" i="2"/>
  <c r="M186" i="2"/>
  <c r="V186" i="2" s="1"/>
  <c r="K186" i="2"/>
  <c r="F186" i="2"/>
  <c r="E186" i="2"/>
  <c r="M185" i="2"/>
  <c r="V185" i="2" s="1"/>
  <c r="K185" i="2"/>
  <c r="F185" i="2"/>
  <c r="E185" i="2"/>
  <c r="M184" i="2"/>
  <c r="V184" i="2" s="1"/>
  <c r="K184" i="2"/>
  <c r="F184" i="2"/>
  <c r="E184" i="2"/>
  <c r="M183" i="2"/>
  <c r="V183" i="2" s="1"/>
  <c r="K183" i="2"/>
  <c r="F183" i="2"/>
  <c r="E183" i="2"/>
  <c r="M182" i="2"/>
  <c r="V182" i="2" s="1"/>
  <c r="K182" i="2"/>
  <c r="F182" i="2"/>
  <c r="E182" i="2"/>
  <c r="M181" i="2"/>
  <c r="U181" i="2" s="1"/>
  <c r="K181" i="2"/>
  <c r="F181" i="2"/>
  <c r="E181" i="2"/>
  <c r="M180" i="2"/>
  <c r="U180" i="2" s="1"/>
  <c r="K180" i="2"/>
  <c r="F180" i="2"/>
  <c r="E180" i="2"/>
  <c r="M179" i="2"/>
  <c r="U179" i="2" s="1"/>
  <c r="K179" i="2"/>
  <c r="F179" i="2"/>
  <c r="E179" i="2"/>
  <c r="M178" i="2"/>
  <c r="K178" i="2"/>
  <c r="F178" i="2"/>
  <c r="E178" i="2"/>
  <c r="M177" i="2"/>
  <c r="K177" i="2"/>
  <c r="F177" i="2"/>
  <c r="E177" i="2"/>
  <c r="M176" i="2"/>
  <c r="U176" i="2" s="1"/>
  <c r="K176" i="2"/>
  <c r="F176" i="2"/>
  <c r="E176" i="2"/>
  <c r="M175" i="2"/>
  <c r="V175" i="2" s="1"/>
  <c r="K175" i="2"/>
  <c r="F175" i="2"/>
  <c r="E175" i="2"/>
  <c r="M174" i="2"/>
  <c r="V174" i="2" s="1"/>
  <c r="K174" i="2"/>
  <c r="F174" i="2"/>
  <c r="E174" i="2"/>
  <c r="M173" i="2"/>
  <c r="V173" i="2" s="1"/>
  <c r="K173" i="2"/>
  <c r="F173" i="2"/>
  <c r="E173" i="2"/>
  <c r="M172" i="2"/>
  <c r="U172" i="2" s="1"/>
  <c r="K172" i="2"/>
  <c r="F172" i="2"/>
  <c r="E172" i="2"/>
  <c r="M171" i="2"/>
  <c r="V171" i="2" s="1"/>
  <c r="K171" i="2"/>
  <c r="F171" i="2"/>
  <c r="E171" i="2"/>
  <c r="U170" i="2"/>
  <c r="M170" i="2"/>
  <c r="V170" i="2" s="1"/>
  <c r="K170" i="2"/>
  <c r="F170" i="2"/>
  <c r="E170" i="2"/>
  <c r="M169" i="2"/>
  <c r="U169" i="2" s="1"/>
  <c r="K169" i="2"/>
  <c r="F169" i="2"/>
  <c r="E169" i="2"/>
  <c r="M168" i="2"/>
  <c r="U168" i="2" s="1"/>
  <c r="K168" i="2"/>
  <c r="F168" i="2"/>
  <c r="E168" i="2"/>
  <c r="M167" i="2"/>
  <c r="U167" i="2" s="1"/>
  <c r="K167" i="2"/>
  <c r="F167" i="2"/>
  <c r="E167" i="2"/>
  <c r="M166" i="2"/>
  <c r="K166" i="2"/>
  <c r="F166" i="2"/>
  <c r="E166" i="2"/>
  <c r="M165" i="2"/>
  <c r="U165" i="2" s="1"/>
  <c r="K165" i="2"/>
  <c r="F165" i="2"/>
  <c r="E165" i="2"/>
  <c r="M164" i="2"/>
  <c r="V164" i="2" s="1"/>
  <c r="K164" i="2"/>
  <c r="F164" i="2"/>
  <c r="E164" i="2"/>
  <c r="M163" i="2"/>
  <c r="V163" i="2" s="1"/>
  <c r="K163" i="2"/>
  <c r="F163" i="2"/>
  <c r="E163" i="2"/>
  <c r="M162" i="2"/>
  <c r="U162" i="2" s="1"/>
  <c r="K162" i="2"/>
  <c r="F162" i="2"/>
  <c r="E162" i="2"/>
  <c r="M161" i="2"/>
  <c r="V161" i="2" s="1"/>
  <c r="K161" i="2"/>
  <c r="F161" i="2"/>
  <c r="E161" i="2"/>
  <c r="M160" i="2"/>
  <c r="V160" i="2" s="1"/>
  <c r="K160" i="2"/>
  <c r="F160" i="2"/>
  <c r="E160" i="2"/>
  <c r="M159" i="2"/>
  <c r="V159" i="2" s="1"/>
  <c r="K159" i="2"/>
  <c r="F159" i="2"/>
  <c r="E159" i="2"/>
  <c r="M158" i="2"/>
  <c r="V158" i="2" s="1"/>
  <c r="K158" i="2"/>
  <c r="F158" i="2"/>
  <c r="E158" i="2"/>
  <c r="M157" i="2"/>
  <c r="V157" i="2" s="1"/>
  <c r="K157" i="2"/>
  <c r="F157" i="2"/>
  <c r="E157" i="2"/>
  <c r="M156" i="2"/>
  <c r="U156" i="2" s="1"/>
  <c r="K156" i="2"/>
  <c r="F156" i="2"/>
  <c r="E156" i="2"/>
  <c r="M155" i="2"/>
  <c r="U155" i="2" s="1"/>
  <c r="K155" i="2"/>
  <c r="F155" i="2"/>
  <c r="E155" i="2"/>
  <c r="M154" i="2"/>
  <c r="U154" i="2" s="1"/>
  <c r="K154" i="2"/>
  <c r="F154" i="2"/>
  <c r="E154" i="2"/>
  <c r="M153" i="2"/>
  <c r="V153" i="2" s="1"/>
  <c r="K153" i="2"/>
  <c r="F153" i="2"/>
  <c r="E153" i="2"/>
  <c r="M152" i="2"/>
  <c r="U152" i="2" s="1"/>
  <c r="K152" i="2"/>
  <c r="F152" i="2"/>
  <c r="E152" i="2"/>
  <c r="M151" i="2"/>
  <c r="V151" i="2" s="1"/>
  <c r="K151" i="2"/>
  <c r="F151" i="2"/>
  <c r="E151" i="2"/>
  <c r="M150" i="2"/>
  <c r="V150" i="2" s="1"/>
  <c r="K150" i="2"/>
  <c r="F150" i="2"/>
  <c r="E150" i="2"/>
  <c r="M149" i="2"/>
  <c r="V149" i="2" s="1"/>
  <c r="K149" i="2"/>
  <c r="F149" i="2"/>
  <c r="E149" i="2"/>
  <c r="M148" i="2"/>
  <c r="U148" i="2" s="1"/>
  <c r="K148" i="2"/>
  <c r="F148" i="2"/>
  <c r="E148" i="2"/>
  <c r="M147" i="2"/>
  <c r="U147" i="2" s="1"/>
  <c r="K147" i="2"/>
  <c r="F147" i="2"/>
  <c r="E147" i="2"/>
  <c r="M146" i="2"/>
  <c r="V146" i="2" s="1"/>
  <c r="K146" i="2"/>
  <c r="F146" i="2"/>
  <c r="E146" i="2"/>
  <c r="M145" i="2"/>
  <c r="V145" i="2" s="1"/>
  <c r="K145" i="2"/>
  <c r="F145" i="2"/>
  <c r="E145" i="2"/>
  <c r="M144" i="2"/>
  <c r="V144" i="2" s="1"/>
  <c r="K144" i="2"/>
  <c r="F144" i="2"/>
  <c r="E144" i="2"/>
  <c r="M143" i="2"/>
  <c r="V143" i="2" s="1"/>
  <c r="K143" i="2"/>
  <c r="F143" i="2"/>
  <c r="E143" i="2"/>
  <c r="M142" i="2"/>
  <c r="V142" i="2" s="1"/>
  <c r="K142" i="2"/>
  <c r="F142" i="2"/>
  <c r="E142" i="2"/>
  <c r="M141" i="2"/>
  <c r="U141" i="2" s="1"/>
  <c r="K141" i="2"/>
  <c r="F141" i="2"/>
  <c r="E141" i="2"/>
  <c r="M140" i="2"/>
  <c r="K140" i="2"/>
  <c r="F140" i="2"/>
  <c r="E140" i="2"/>
  <c r="M139" i="2"/>
  <c r="V139" i="2" s="1"/>
  <c r="K139" i="2"/>
  <c r="F139" i="2"/>
  <c r="E139" i="2"/>
  <c r="M138" i="2"/>
  <c r="U138" i="2" s="1"/>
  <c r="K138" i="2"/>
  <c r="F138" i="2"/>
  <c r="E138" i="2"/>
  <c r="M137" i="2"/>
  <c r="U137" i="2" s="1"/>
  <c r="K137" i="2"/>
  <c r="F137" i="2"/>
  <c r="E137" i="2"/>
  <c r="M136" i="2"/>
  <c r="U136" i="2" s="1"/>
  <c r="K136" i="2"/>
  <c r="F136" i="2"/>
  <c r="E136" i="2"/>
  <c r="M135" i="2"/>
  <c r="U135" i="2" s="1"/>
  <c r="K135" i="2"/>
  <c r="F135" i="2"/>
  <c r="E135" i="2"/>
  <c r="M134" i="2"/>
  <c r="V134" i="2" s="1"/>
  <c r="K134" i="2"/>
  <c r="F134" i="2"/>
  <c r="E134" i="2"/>
  <c r="M133" i="2"/>
  <c r="V133" i="2" s="1"/>
  <c r="K133" i="2"/>
  <c r="F133" i="2"/>
  <c r="E133" i="2"/>
  <c r="M132" i="2"/>
  <c r="V132" i="2" s="1"/>
  <c r="K132" i="2"/>
  <c r="F132" i="2"/>
  <c r="E132" i="2"/>
  <c r="M131" i="2"/>
  <c r="U131" i="2" s="1"/>
  <c r="K131" i="2"/>
  <c r="F131" i="2"/>
  <c r="E131" i="2"/>
  <c r="M130" i="2"/>
  <c r="V130" i="2" s="1"/>
  <c r="K130" i="2"/>
  <c r="F130" i="2"/>
  <c r="E130" i="2"/>
  <c r="M129" i="2"/>
  <c r="K129" i="2"/>
  <c r="F129" i="2"/>
  <c r="E129" i="2"/>
  <c r="M128" i="2"/>
  <c r="V128" i="2" s="1"/>
  <c r="K128" i="2"/>
  <c r="F128" i="2"/>
  <c r="E128" i="2"/>
  <c r="M127" i="2"/>
  <c r="U127" i="2" s="1"/>
  <c r="K127" i="2"/>
  <c r="F127" i="2"/>
  <c r="E127" i="2"/>
  <c r="M126" i="2"/>
  <c r="V126" i="2" s="1"/>
  <c r="K126" i="2"/>
  <c r="F126" i="2"/>
  <c r="E126" i="2"/>
  <c r="M125" i="2"/>
  <c r="V125" i="2" s="1"/>
  <c r="K125" i="2"/>
  <c r="F125" i="2"/>
  <c r="E125" i="2"/>
  <c r="M124" i="2"/>
  <c r="U124" i="2" s="1"/>
  <c r="K124" i="2"/>
  <c r="F124" i="2"/>
  <c r="E124" i="2"/>
  <c r="M123" i="2"/>
  <c r="U123" i="2" s="1"/>
  <c r="K123" i="2"/>
  <c r="F123" i="2"/>
  <c r="E123" i="2"/>
  <c r="M122" i="2"/>
  <c r="V122" i="2" s="1"/>
  <c r="K122" i="2"/>
  <c r="F122" i="2"/>
  <c r="E122" i="2"/>
  <c r="M121" i="2"/>
  <c r="K121" i="2"/>
  <c r="F121" i="2"/>
  <c r="E121" i="2"/>
  <c r="M120" i="2"/>
  <c r="V120" i="2" s="1"/>
  <c r="K120" i="2"/>
  <c r="F120" i="2"/>
  <c r="E120" i="2"/>
  <c r="M119" i="2"/>
  <c r="U119" i="2" s="1"/>
  <c r="K119" i="2"/>
  <c r="F119" i="2"/>
  <c r="E119" i="2"/>
  <c r="M118" i="2"/>
  <c r="K118" i="2"/>
  <c r="F118" i="2"/>
  <c r="E118" i="2"/>
  <c r="M117" i="2"/>
  <c r="U117" i="2" s="1"/>
  <c r="K117" i="2"/>
  <c r="F117" i="2"/>
  <c r="E117" i="2"/>
  <c r="M116" i="2"/>
  <c r="V116" i="2" s="1"/>
  <c r="K116" i="2"/>
  <c r="F116" i="2"/>
  <c r="E116" i="2"/>
  <c r="M115" i="2"/>
  <c r="U115" i="2" s="1"/>
  <c r="K115" i="2"/>
  <c r="F115" i="2"/>
  <c r="E115" i="2"/>
  <c r="M114" i="2"/>
  <c r="U114" i="2" s="1"/>
  <c r="K114" i="2"/>
  <c r="F114" i="2"/>
  <c r="E114" i="2"/>
  <c r="M113" i="2"/>
  <c r="U113" i="2" s="1"/>
  <c r="K113" i="2"/>
  <c r="F113" i="2"/>
  <c r="E113" i="2"/>
  <c r="M112" i="2"/>
  <c r="U112" i="2" s="1"/>
  <c r="K112" i="2"/>
  <c r="F112" i="2"/>
  <c r="E112" i="2"/>
  <c r="M111" i="2"/>
  <c r="K111" i="2"/>
  <c r="F111" i="2"/>
  <c r="E111" i="2"/>
  <c r="M110" i="2"/>
  <c r="U110" i="2" s="1"/>
  <c r="K110" i="2"/>
  <c r="F110" i="2"/>
  <c r="E110" i="2"/>
  <c r="M109" i="2"/>
  <c r="V109" i="2" s="1"/>
  <c r="K109" i="2"/>
  <c r="F109" i="2"/>
  <c r="E109" i="2"/>
  <c r="M108" i="2"/>
  <c r="U108" i="2" s="1"/>
  <c r="K108" i="2"/>
  <c r="F108" i="2"/>
  <c r="E108" i="2"/>
  <c r="M107" i="2"/>
  <c r="K107" i="2"/>
  <c r="F107" i="2"/>
  <c r="E107" i="2"/>
  <c r="M106" i="2"/>
  <c r="V106" i="2" s="1"/>
  <c r="K106" i="2"/>
  <c r="F106" i="2"/>
  <c r="E106" i="2"/>
  <c r="M105" i="2"/>
  <c r="V105" i="2" s="1"/>
  <c r="K105" i="2"/>
  <c r="F105" i="2"/>
  <c r="E105" i="2"/>
  <c r="M104" i="2"/>
  <c r="U104" i="2" s="1"/>
  <c r="K104" i="2"/>
  <c r="F104" i="2"/>
  <c r="E104" i="2"/>
  <c r="M103" i="2"/>
  <c r="U103" i="2" s="1"/>
  <c r="K103" i="2"/>
  <c r="F103" i="2"/>
  <c r="E103" i="2"/>
  <c r="M102" i="2"/>
  <c r="K102" i="2"/>
  <c r="F102" i="2"/>
  <c r="E102" i="2"/>
  <c r="M101" i="2"/>
  <c r="U101" i="2" s="1"/>
  <c r="K101" i="2"/>
  <c r="F101" i="2"/>
  <c r="E101" i="2"/>
  <c r="M100" i="2"/>
  <c r="V100" i="2" s="1"/>
  <c r="K100" i="2"/>
  <c r="F100" i="2"/>
  <c r="E100" i="2"/>
  <c r="M99" i="2"/>
  <c r="V99" i="2" s="1"/>
  <c r="K99" i="2"/>
  <c r="F99" i="2"/>
  <c r="E99" i="2"/>
  <c r="M98" i="2"/>
  <c r="V98" i="2" s="1"/>
  <c r="K98" i="2"/>
  <c r="F98" i="2"/>
  <c r="E98" i="2"/>
  <c r="M97" i="2"/>
  <c r="V97" i="2" s="1"/>
  <c r="K97" i="2"/>
  <c r="F97" i="2"/>
  <c r="E97" i="2"/>
  <c r="M96" i="2"/>
  <c r="K96" i="2"/>
  <c r="F96" i="2"/>
  <c r="E96" i="2"/>
  <c r="M95" i="2"/>
  <c r="U95" i="2" s="1"/>
  <c r="K95" i="2"/>
  <c r="F95" i="2"/>
  <c r="E95" i="2"/>
  <c r="M94" i="2"/>
  <c r="V94" i="2" s="1"/>
  <c r="K94" i="2"/>
  <c r="F94" i="2"/>
  <c r="E94" i="2"/>
  <c r="M93" i="2"/>
  <c r="V93" i="2" s="1"/>
  <c r="K93" i="2"/>
  <c r="F93" i="2"/>
  <c r="E93" i="2"/>
  <c r="M92" i="2"/>
  <c r="U92" i="2" s="1"/>
  <c r="K92" i="2"/>
  <c r="F92" i="2"/>
  <c r="E92" i="2"/>
  <c r="M91" i="2"/>
  <c r="U91" i="2" s="1"/>
  <c r="K91" i="2"/>
  <c r="F91" i="2"/>
  <c r="E91" i="2"/>
  <c r="M90" i="2"/>
  <c r="U90" i="2" s="1"/>
  <c r="K90" i="2"/>
  <c r="F90" i="2"/>
  <c r="E90" i="2"/>
  <c r="M89" i="2"/>
  <c r="V89" i="2" s="1"/>
  <c r="K89" i="2"/>
  <c r="F89" i="2"/>
  <c r="E89" i="2"/>
  <c r="M88" i="2"/>
  <c r="U88" i="2" s="1"/>
  <c r="K88" i="2"/>
  <c r="F88" i="2"/>
  <c r="E88" i="2"/>
  <c r="M87" i="2"/>
  <c r="V87" i="2" s="1"/>
  <c r="K87" i="2"/>
  <c r="F87" i="2"/>
  <c r="E87" i="2"/>
  <c r="M86" i="2"/>
  <c r="V86" i="2" s="1"/>
  <c r="K86" i="2"/>
  <c r="F86" i="2"/>
  <c r="E86" i="2"/>
  <c r="M85" i="2"/>
  <c r="K85" i="2"/>
  <c r="F85" i="2"/>
  <c r="E85" i="2"/>
  <c r="M84" i="2"/>
  <c r="V84" i="2" s="1"/>
  <c r="K84" i="2"/>
  <c r="F84" i="2"/>
  <c r="E84" i="2"/>
  <c r="M83" i="2"/>
  <c r="V83" i="2" s="1"/>
  <c r="K83" i="2"/>
  <c r="F83" i="2"/>
  <c r="E83" i="2"/>
  <c r="M82" i="2"/>
  <c r="U82" i="2" s="1"/>
  <c r="K82" i="2"/>
  <c r="F82" i="2"/>
  <c r="E82" i="2"/>
  <c r="M81" i="2"/>
  <c r="U81" i="2" s="1"/>
  <c r="K81" i="2"/>
  <c r="F81" i="2"/>
  <c r="E81" i="2"/>
  <c r="M80" i="2"/>
  <c r="U80" i="2" s="1"/>
  <c r="K80" i="2"/>
  <c r="F80" i="2"/>
  <c r="E80" i="2"/>
  <c r="M79" i="2"/>
  <c r="V79" i="2" s="1"/>
  <c r="K79" i="2"/>
  <c r="F79" i="2"/>
  <c r="E79" i="2"/>
  <c r="M78" i="2"/>
  <c r="V78" i="2" s="1"/>
  <c r="K78" i="2"/>
  <c r="F78" i="2"/>
  <c r="E78" i="2"/>
  <c r="M77" i="2"/>
  <c r="V77" i="2" s="1"/>
  <c r="K77" i="2"/>
  <c r="F77" i="2"/>
  <c r="E77" i="2"/>
  <c r="M76" i="2"/>
  <c r="V76" i="2" s="1"/>
  <c r="K76" i="2"/>
  <c r="F76" i="2"/>
  <c r="E76" i="2"/>
  <c r="M75" i="2"/>
  <c r="V75" i="2" s="1"/>
  <c r="K75" i="2"/>
  <c r="F75" i="2"/>
  <c r="E75" i="2"/>
  <c r="M74" i="2"/>
  <c r="K74" i="2"/>
  <c r="F74" i="2"/>
  <c r="E74" i="2"/>
  <c r="M73" i="2"/>
  <c r="V73" i="2" s="1"/>
  <c r="K73" i="2"/>
  <c r="F73" i="2"/>
  <c r="E73" i="2"/>
  <c r="M72" i="2"/>
  <c r="U72" i="2" s="1"/>
  <c r="K72" i="2"/>
  <c r="F72" i="2"/>
  <c r="E72" i="2"/>
  <c r="M71" i="2"/>
  <c r="V71" i="2" s="1"/>
  <c r="K71" i="2"/>
  <c r="F71" i="2"/>
  <c r="E71" i="2"/>
  <c r="M70" i="2"/>
  <c r="V70" i="2" s="1"/>
  <c r="K70" i="2"/>
  <c r="F70" i="2"/>
  <c r="E70" i="2"/>
  <c r="M69" i="2"/>
  <c r="V69" i="2" s="1"/>
  <c r="K69" i="2"/>
  <c r="F69" i="2"/>
  <c r="E69" i="2"/>
  <c r="M68" i="2"/>
  <c r="U68" i="2" s="1"/>
  <c r="K68" i="2"/>
  <c r="F68" i="2"/>
  <c r="E68" i="2"/>
  <c r="M67" i="2"/>
  <c r="V67" i="2" s="1"/>
  <c r="K67" i="2"/>
  <c r="F67" i="2"/>
  <c r="E67" i="2"/>
  <c r="M66" i="2"/>
  <c r="V66" i="2" s="1"/>
  <c r="K66" i="2"/>
  <c r="F66" i="2"/>
  <c r="E66" i="2"/>
  <c r="M65" i="2"/>
  <c r="V65" i="2" s="1"/>
  <c r="K65" i="2"/>
  <c r="F65" i="2"/>
  <c r="E65" i="2"/>
  <c r="M64" i="2"/>
  <c r="V64" i="2" s="1"/>
  <c r="K64" i="2"/>
  <c r="F64" i="2"/>
  <c r="E64" i="2"/>
  <c r="M63" i="2"/>
  <c r="K63" i="2"/>
  <c r="F63" i="2"/>
  <c r="E63" i="2"/>
  <c r="M62" i="2"/>
  <c r="V62" i="2" s="1"/>
  <c r="F62" i="2"/>
  <c r="E62" i="2"/>
  <c r="M61" i="2"/>
  <c r="U61" i="2" s="1"/>
  <c r="F61" i="2"/>
  <c r="E61" i="2"/>
  <c r="M60" i="2"/>
  <c r="V60" i="2" s="1"/>
  <c r="F60" i="2"/>
  <c r="E60" i="2"/>
  <c r="M59" i="2"/>
  <c r="V59" i="2" s="1"/>
  <c r="F59" i="2"/>
  <c r="E59" i="2"/>
  <c r="M58" i="2"/>
  <c r="F58" i="2"/>
  <c r="E58" i="2"/>
  <c r="M57" i="2"/>
  <c r="V57" i="2" s="1"/>
  <c r="F57" i="2"/>
  <c r="E57" i="2"/>
  <c r="M56" i="2"/>
  <c r="U56" i="2" s="1"/>
  <c r="F56" i="2"/>
  <c r="E56" i="2"/>
  <c r="M55" i="2"/>
  <c r="V55" i="2" s="1"/>
  <c r="F55" i="2"/>
  <c r="E55" i="2"/>
  <c r="M54" i="2"/>
  <c r="U54" i="2" s="1"/>
  <c r="F54" i="2"/>
  <c r="E54" i="2"/>
  <c r="M53" i="2"/>
  <c r="V53" i="2" s="1"/>
  <c r="F53" i="2"/>
  <c r="E53" i="2"/>
  <c r="M52" i="2"/>
  <c r="V52" i="2" s="1"/>
  <c r="F52" i="2"/>
  <c r="E52" i="2"/>
  <c r="M51" i="2"/>
  <c r="V51" i="2" s="1"/>
  <c r="F51" i="2"/>
  <c r="E51" i="2"/>
  <c r="M50" i="2"/>
  <c r="F50" i="2"/>
  <c r="E50" i="2"/>
  <c r="M49" i="2"/>
  <c r="U49" i="2" s="1"/>
  <c r="F49" i="2"/>
  <c r="E49" i="2"/>
  <c r="M48" i="2"/>
  <c r="V48" i="2" s="1"/>
  <c r="F48" i="2"/>
  <c r="E48" i="2"/>
  <c r="M47" i="2"/>
  <c r="V47" i="2" s="1"/>
  <c r="F47" i="2"/>
  <c r="E47" i="2"/>
  <c r="M46" i="2"/>
  <c r="V46" i="2" s="1"/>
  <c r="F46" i="2"/>
  <c r="E46" i="2"/>
  <c r="M45" i="2"/>
  <c r="V45" i="2" s="1"/>
  <c r="F45" i="2"/>
  <c r="E45" i="2"/>
  <c r="M44" i="2"/>
  <c r="U44" i="2" s="1"/>
  <c r="F44" i="2"/>
  <c r="E44" i="2"/>
  <c r="M43" i="2"/>
  <c r="U43" i="2" s="1"/>
  <c r="F43" i="2"/>
  <c r="E43" i="2"/>
  <c r="M42" i="2"/>
  <c r="V42" i="2" s="1"/>
  <c r="F42" i="2"/>
  <c r="E42" i="2"/>
  <c r="M41" i="2"/>
  <c r="V41" i="2" s="1"/>
  <c r="F41" i="2"/>
  <c r="E41" i="2"/>
  <c r="M40" i="2"/>
  <c r="U40" i="2" s="1"/>
  <c r="F40" i="2"/>
  <c r="E40" i="2"/>
  <c r="M39" i="2"/>
  <c r="V39" i="2" s="1"/>
  <c r="F39" i="2"/>
  <c r="E39" i="2"/>
  <c r="M38" i="2"/>
  <c r="V38" i="2" s="1"/>
  <c r="F38" i="2"/>
  <c r="E38" i="2"/>
  <c r="M37" i="2"/>
  <c r="V37" i="2" s="1"/>
  <c r="F37" i="2"/>
  <c r="E37" i="2"/>
  <c r="M36" i="2"/>
  <c r="V36" i="2" s="1"/>
  <c r="F36" i="2"/>
  <c r="E36" i="2"/>
  <c r="M35" i="2"/>
  <c r="V35" i="2" s="1"/>
  <c r="F35" i="2"/>
  <c r="E35" i="2"/>
  <c r="M34" i="2"/>
  <c r="U34" i="2" s="1"/>
  <c r="F34" i="2"/>
  <c r="E34" i="2"/>
  <c r="M33" i="2"/>
  <c r="V33" i="2" s="1"/>
  <c r="F33" i="2"/>
  <c r="E33" i="2"/>
  <c r="M32" i="2"/>
  <c r="V32" i="2" s="1"/>
  <c r="F32" i="2"/>
  <c r="E32" i="2"/>
  <c r="M31" i="2"/>
  <c r="U31" i="2" s="1"/>
  <c r="F31" i="2"/>
  <c r="E31" i="2"/>
  <c r="M30" i="2"/>
  <c r="V30" i="2" s="1"/>
  <c r="F30" i="2"/>
  <c r="E30" i="2"/>
  <c r="M29" i="2"/>
  <c r="V29" i="2" s="1"/>
  <c r="F29" i="2"/>
  <c r="E29" i="2"/>
  <c r="M28" i="2"/>
  <c r="F28" i="2"/>
  <c r="E28" i="2"/>
  <c r="M27" i="2"/>
  <c r="U27" i="2" s="1"/>
  <c r="F27" i="2"/>
  <c r="E27" i="2"/>
  <c r="M26" i="2"/>
  <c r="U26" i="2" s="1"/>
  <c r="F26" i="2"/>
  <c r="E26" i="2"/>
  <c r="M25" i="2"/>
  <c r="V25" i="2" s="1"/>
  <c r="F25" i="2"/>
  <c r="E25" i="2"/>
  <c r="M24" i="2"/>
  <c r="V24" i="2" s="1"/>
  <c r="F24" i="2"/>
  <c r="E24" i="2"/>
  <c r="M23" i="2"/>
  <c r="U23" i="2" s="1"/>
  <c r="F23" i="2"/>
  <c r="E23" i="2"/>
  <c r="M22" i="2"/>
  <c r="U22" i="2" s="1"/>
  <c r="F22" i="2"/>
  <c r="E22" i="2"/>
  <c r="M21" i="2"/>
  <c r="V21" i="2" s="1"/>
  <c r="F21" i="2"/>
  <c r="E21" i="2"/>
  <c r="M20" i="2"/>
  <c r="V20" i="2" s="1"/>
  <c r="F20" i="2"/>
  <c r="E20" i="2"/>
  <c r="M19" i="2"/>
  <c r="V19" i="2" s="1"/>
  <c r="F19" i="2"/>
  <c r="E19" i="2"/>
  <c r="M18" i="2"/>
  <c r="V18" i="2" s="1"/>
  <c r="F18" i="2"/>
  <c r="E18" i="2"/>
  <c r="M17" i="2"/>
  <c r="U17" i="2" s="1"/>
  <c r="F17" i="2"/>
  <c r="E17" i="2"/>
  <c r="M16" i="2"/>
  <c r="U16" i="2" s="1"/>
  <c r="F16" i="2"/>
  <c r="E16" i="2"/>
  <c r="M15" i="2"/>
  <c r="U15" i="2" s="1"/>
  <c r="F15" i="2"/>
  <c r="E15" i="2"/>
  <c r="M14" i="2"/>
  <c r="U14" i="2" s="1"/>
  <c r="F14" i="2"/>
  <c r="E14" i="2"/>
  <c r="M13" i="2"/>
  <c r="U13" i="2" s="1"/>
  <c r="F13" i="2"/>
  <c r="E13" i="2"/>
  <c r="M12" i="2"/>
  <c r="V12" i="2" s="1"/>
  <c r="F12" i="2"/>
  <c r="E12" i="2"/>
  <c r="M11" i="2"/>
  <c r="V11" i="2" s="1"/>
  <c r="F11" i="2"/>
  <c r="E11" i="2"/>
  <c r="M10" i="2"/>
  <c r="V10" i="2" s="1"/>
  <c r="F10" i="2"/>
  <c r="E10" i="2"/>
  <c r="M9" i="2"/>
  <c r="U9" i="2" s="1"/>
  <c r="F9" i="2"/>
  <c r="E9" i="2"/>
  <c r="M8" i="2"/>
  <c r="V8" i="2" s="1"/>
  <c r="F8" i="2"/>
  <c r="E8" i="2"/>
  <c r="M7" i="2"/>
  <c r="U7" i="2" s="1"/>
  <c r="F7" i="2"/>
  <c r="E7" i="2"/>
  <c r="M6" i="2"/>
  <c r="F6" i="2"/>
  <c r="E6" i="2"/>
  <c r="M5" i="2"/>
  <c r="V5" i="2" s="1"/>
  <c r="F5" i="2"/>
  <c r="E5" i="2"/>
  <c r="M4" i="2"/>
  <c r="V4" i="2" s="1"/>
  <c r="F4" i="2"/>
  <c r="E4" i="2"/>
  <c r="M3" i="2"/>
  <c r="V3" i="2" s="1"/>
  <c r="F3" i="2"/>
  <c r="E3" i="2"/>
  <c r="I170" i="1"/>
  <c r="G25" i="1" a="1"/>
  <c r="G47" i="1" s="1"/>
  <c r="A25" i="1" a="1"/>
  <c r="A40" i="1" s="1"/>
  <c r="F14" i="1" a="1"/>
  <c r="F14" i="1" s="1"/>
  <c r="F13" i="1" a="1"/>
  <c r="F13" i="1" s="1"/>
  <c r="F12" i="1" a="1"/>
  <c r="F12" i="1" s="1"/>
  <c r="AE11" i="1"/>
  <c r="F11" i="1" a="1"/>
  <c r="F11" i="1" s="1"/>
  <c r="K11" i="1" s="1"/>
  <c r="AB10" i="1"/>
  <c r="AF10" i="1" s="1"/>
  <c r="AE4" i="1"/>
  <c r="BD1946" i="4" l="1"/>
  <c r="BD681" i="4"/>
  <c r="BD2706" i="4"/>
  <c r="BK2484" i="4"/>
  <c r="BC2707" i="4"/>
  <c r="BC264" i="4"/>
  <c r="BD4343" i="4"/>
  <c r="BC339" i="4"/>
  <c r="BG339" i="4" s="1"/>
  <c r="BC783" i="4"/>
  <c r="BG783" i="4" s="1"/>
  <c r="BC1363" i="4"/>
  <c r="BG1363" i="4" s="1"/>
  <c r="BC2038" i="4"/>
  <c r="BG2038" i="4" s="1"/>
  <c r="BD2799" i="4"/>
  <c r="BD4841" i="4"/>
  <c r="BK578" i="4"/>
  <c r="BJ3429" i="4"/>
  <c r="BN3429" i="4" s="1"/>
  <c r="BD796" i="4"/>
  <c r="BC2868" i="4"/>
  <c r="BD12" i="4"/>
  <c r="BC374" i="4"/>
  <c r="BF374" i="4" s="1"/>
  <c r="BD842" i="4"/>
  <c r="BD1467" i="4"/>
  <c r="BD2082" i="4"/>
  <c r="BC2937" i="4"/>
  <c r="BG2937" i="4" s="1"/>
  <c r="BC5243" i="4"/>
  <c r="BG5243" i="4" s="1"/>
  <c r="BK709" i="4"/>
  <c r="BJ3520" i="4"/>
  <c r="BD339" i="4"/>
  <c r="BD1389" i="4"/>
  <c r="BD2068" i="4"/>
  <c r="BC4897" i="4"/>
  <c r="BK582" i="4"/>
  <c r="BK3429" i="4"/>
  <c r="BC77" i="4"/>
  <c r="BG77" i="4" s="1"/>
  <c r="BD473" i="4"/>
  <c r="BD943" i="4"/>
  <c r="BC1576" i="4"/>
  <c r="BG1576" i="4" s="1"/>
  <c r="BC2234" i="4"/>
  <c r="BF2234" i="4" s="1"/>
  <c r="BD3137" i="4"/>
  <c r="BC6073" i="4"/>
  <c r="BK710" i="4"/>
  <c r="BD261" i="4"/>
  <c r="BK303" i="4"/>
  <c r="BJ2722" i="4"/>
  <c r="BN2722" i="4" s="1"/>
  <c r="BD121" i="4"/>
  <c r="BD481" i="4"/>
  <c r="BC967" i="4"/>
  <c r="BC1589" i="4"/>
  <c r="BG1589" i="4" s="1"/>
  <c r="BC2323" i="4"/>
  <c r="BG2323" i="4" s="1"/>
  <c r="BD3314" i="4"/>
  <c r="BD6315" i="4"/>
  <c r="BK1112" i="4"/>
  <c r="BJ1113" i="4"/>
  <c r="BD528" i="4"/>
  <c r="BD122" i="4"/>
  <c r="BC529" i="4"/>
  <c r="BF529" i="4" s="1"/>
  <c r="BC1028" i="4"/>
  <c r="BG1028" i="4" s="1"/>
  <c r="BD1619" i="4"/>
  <c r="BD2329" i="4"/>
  <c r="BC3376" i="4"/>
  <c r="BG3376" i="4" s="1"/>
  <c r="BK112" i="4"/>
  <c r="BJ1114" i="4"/>
  <c r="BC1254" i="4"/>
  <c r="BG1254" i="4" s="1"/>
  <c r="BK1551" i="4"/>
  <c r="BC1947" i="4"/>
  <c r="BF1947" i="4" s="1"/>
  <c r="BJ303" i="4"/>
  <c r="BN303" i="4" s="1"/>
  <c r="BD4321" i="4"/>
  <c r="BD263" i="4"/>
  <c r="BJ563" i="4"/>
  <c r="BD129" i="4"/>
  <c r="BD536" i="4"/>
  <c r="BD1028" i="4"/>
  <c r="BC1663" i="4"/>
  <c r="BG1663" i="4" s="1"/>
  <c r="BC2356" i="4"/>
  <c r="BC3394" i="4"/>
  <c r="BJ113" i="4"/>
  <c r="BN113" i="4" s="1"/>
  <c r="BJ1138" i="4"/>
  <c r="BC2705" i="4"/>
  <c r="BG2705" i="4" s="1"/>
  <c r="BC682" i="4"/>
  <c r="BG682" i="4" s="1"/>
  <c r="BD338" i="4"/>
  <c r="BD966" i="4"/>
  <c r="BD2280" i="4"/>
  <c r="BC122" i="4"/>
  <c r="BG122" i="4" s="1"/>
  <c r="BD3375" i="4"/>
  <c r="BC130" i="4"/>
  <c r="BG130" i="4" s="1"/>
  <c r="BC537" i="4"/>
  <c r="BG537" i="4" s="1"/>
  <c r="BC1029" i="4"/>
  <c r="BF1029" i="4" s="1"/>
  <c r="BC1673" i="4"/>
  <c r="BD2417" i="4"/>
  <c r="BC3553" i="4"/>
  <c r="BJ149" i="4"/>
  <c r="BK1138" i="4"/>
  <c r="BD1979" i="4"/>
  <c r="BC474" i="4"/>
  <c r="BF474" i="4" s="1"/>
  <c r="BD1577" i="4"/>
  <c r="BJ719" i="4"/>
  <c r="BN719" i="4" s="1"/>
  <c r="BD967" i="4"/>
  <c r="BD130" i="4"/>
  <c r="BD537" i="4"/>
  <c r="BD1029" i="4"/>
  <c r="BD1673" i="4"/>
  <c r="BC2418" i="4"/>
  <c r="BD3559" i="4"/>
  <c r="BJ153" i="4"/>
  <c r="BJ1271" i="4"/>
  <c r="BN1271" i="4" s="1"/>
  <c r="BC681" i="4"/>
  <c r="BG681" i="4" s="1"/>
  <c r="BC4157" i="4"/>
  <c r="BG4157" i="4" s="1"/>
  <c r="BC1255" i="4"/>
  <c r="BD4320" i="4"/>
  <c r="BD262" i="4"/>
  <c r="BD1255" i="4"/>
  <c r="BJ2485" i="4"/>
  <c r="BM2485" i="4" s="1"/>
  <c r="BD682" i="4"/>
  <c r="BC1256" i="4"/>
  <c r="BG1256" i="4" s="1"/>
  <c r="BC1948" i="4"/>
  <c r="BC4343" i="4"/>
  <c r="BK552" i="4"/>
  <c r="BK2485" i="4"/>
  <c r="BD712" i="4"/>
  <c r="BC1280" i="4"/>
  <c r="BG1280" i="4" s="1"/>
  <c r="BD1948" i="4"/>
  <c r="BD2741" i="4"/>
  <c r="BJ2656" i="4"/>
  <c r="BN2656" i="4" s="1"/>
  <c r="BD316" i="4"/>
  <c r="BC713" i="4"/>
  <c r="BD1281" i="4"/>
  <c r="BC2742" i="4"/>
  <c r="BF2742" i="4" s="1"/>
  <c r="BD4344" i="4"/>
  <c r="BK576" i="4"/>
  <c r="BJ2658" i="4"/>
  <c r="BN2658" i="4" s="1"/>
  <c r="BD748" i="4"/>
  <c r="BD2742" i="4"/>
  <c r="BK2659" i="4"/>
  <c r="BD4460" i="4"/>
  <c r="BD3138" i="4"/>
  <c r="BC2329" i="4"/>
  <c r="BF2329" i="4" s="1"/>
  <c r="BC131" i="4"/>
  <c r="BF131" i="4" s="1"/>
  <c r="BC538" i="4"/>
  <c r="BC1031" i="4"/>
  <c r="BD1692" i="4"/>
  <c r="BD2436" i="4"/>
  <c r="BC3563" i="4"/>
  <c r="BF3563" i="4" s="1"/>
  <c r="BK157" i="4"/>
  <c r="BJ1333" i="4"/>
  <c r="BN1333" i="4" s="1"/>
  <c r="BC262" i="4"/>
  <c r="BF262" i="4" s="1"/>
  <c r="BD1947" i="4"/>
  <c r="BD2707" i="4"/>
  <c r="BC1949" i="4"/>
  <c r="BC318" i="4"/>
  <c r="BF318" i="4" s="1"/>
  <c r="BD1960" i="4"/>
  <c r="BC4460" i="4"/>
  <c r="BK577" i="4"/>
  <c r="BC1361" i="4"/>
  <c r="BG1361" i="4" s="1"/>
  <c r="BD6106" i="4"/>
  <c r="BD1618" i="4"/>
  <c r="BD131" i="4"/>
  <c r="BD538" i="4"/>
  <c r="BC1039" i="4"/>
  <c r="BG1039" i="4" s="1"/>
  <c r="BD1693" i="4"/>
  <c r="BC2448" i="4"/>
  <c r="BF2448" i="4" s="1"/>
  <c r="BC3564" i="4"/>
  <c r="BF3564" i="4" s="1"/>
  <c r="BJ183" i="4"/>
  <c r="BK1540" i="4"/>
  <c r="BJ298" i="4"/>
  <c r="BC1284" i="4"/>
  <c r="BG1284" i="4" s="1"/>
  <c r="BD770" i="4"/>
  <c r="BC2799" i="4"/>
  <c r="BG2799" i="4" s="1"/>
  <c r="BJ578" i="4"/>
  <c r="BD77" i="4"/>
  <c r="BD177" i="4"/>
  <c r="BC560" i="4"/>
  <c r="BC1065" i="4"/>
  <c r="BD1736" i="4"/>
  <c r="BC2452" i="4"/>
  <c r="BK184" i="4"/>
  <c r="V245" i="2"/>
  <c r="U431" i="2"/>
  <c r="V274" i="2"/>
  <c r="X702" i="2"/>
  <c r="AA702" i="2" s="1"/>
  <c r="V104" i="2"/>
  <c r="BA654" i="4"/>
  <c r="V440" i="2"/>
  <c r="U666" i="2"/>
  <c r="V304" i="2"/>
  <c r="U128" i="2"/>
  <c r="U649" i="2"/>
  <c r="N649" i="2" s="1"/>
  <c r="BB600" i="4"/>
  <c r="V206" i="2"/>
  <c r="BA651" i="4"/>
  <c r="U519" i="2"/>
  <c r="O519" i="2" s="1"/>
  <c r="U554" i="2"/>
  <c r="U583" i="2"/>
  <c r="BB534" i="4"/>
  <c r="V16" i="2"/>
  <c r="V260" i="2"/>
  <c r="U570" i="2"/>
  <c r="O570" i="2" s="1"/>
  <c r="V595" i="2"/>
  <c r="V644" i="2"/>
  <c r="U526" i="2"/>
  <c r="U94" i="2"/>
  <c r="V155" i="2"/>
  <c r="V297" i="2"/>
  <c r="V362" i="2"/>
  <c r="P362" i="2" s="1"/>
  <c r="S362" i="2" s="1"/>
  <c r="T362" i="2" s="1"/>
  <c r="U482" i="2"/>
  <c r="O482" i="2" s="1"/>
  <c r="V623" i="2"/>
  <c r="V31" i="2"/>
  <c r="U427" i="2"/>
  <c r="O427" i="2" s="1"/>
  <c r="BB622" i="4"/>
  <c r="U36" i="2"/>
  <c r="V230" i="2"/>
  <c r="V368" i="2"/>
  <c r="V411" i="2"/>
  <c r="O411" i="2" s="1"/>
  <c r="U93" i="2"/>
  <c r="V413" i="2"/>
  <c r="V571" i="2"/>
  <c r="V617" i="2"/>
  <c r="BB464" i="4"/>
  <c r="BA657" i="4"/>
  <c r="V459" i="2"/>
  <c r="N427" i="2"/>
  <c r="U37" i="2"/>
  <c r="U144" i="2"/>
  <c r="U292" i="2"/>
  <c r="U358" i="2"/>
  <c r="P358" i="2" s="1"/>
  <c r="S358" i="2" s="1"/>
  <c r="T358" i="2" s="1"/>
  <c r="U384" i="2"/>
  <c r="U406" i="2"/>
  <c r="N406" i="2" s="1"/>
  <c r="V418" i="2"/>
  <c r="P418" i="2" s="1"/>
  <c r="S418" i="2" s="1"/>
  <c r="T418" i="2" s="1"/>
  <c r="V591" i="2"/>
  <c r="O591" i="2" s="1"/>
  <c r="V608" i="2"/>
  <c r="U648" i="2"/>
  <c r="X735" i="2"/>
  <c r="AA735" i="2" s="1"/>
  <c r="BA506" i="4"/>
  <c r="V113" i="2"/>
  <c r="U313" i="2"/>
  <c r="U343" i="2"/>
  <c r="V346" i="2"/>
  <c r="V449" i="2"/>
  <c r="V461" i="2"/>
  <c r="U489" i="2"/>
  <c r="U506" i="2"/>
  <c r="N506" i="2" s="1"/>
  <c r="U524" i="2"/>
  <c r="P524" i="2" s="1"/>
  <c r="S524" i="2" s="1"/>
  <c r="T524" i="2" s="1"/>
  <c r="U533" i="2"/>
  <c r="V314" i="2"/>
  <c r="V542" i="2"/>
  <c r="P542" i="2" s="1"/>
  <c r="S542" i="2" s="1"/>
  <c r="T542" i="2" s="1"/>
  <c r="U375" i="2"/>
  <c r="U517" i="2"/>
  <c r="P517" i="2" s="1"/>
  <c r="S517" i="2" s="1"/>
  <c r="T517" i="2" s="1"/>
  <c r="V620" i="2"/>
  <c r="P620" i="2" s="1"/>
  <c r="S620" i="2" s="1"/>
  <c r="T620" i="2" s="1"/>
  <c r="BB478" i="4"/>
  <c r="V288" i="2"/>
  <c r="V26" i="2"/>
  <c r="U75" i="2"/>
  <c r="U133" i="2"/>
  <c r="U223" i="2"/>
  <c r="U454" i="2"/>
  <c r="P454" i="2" s="1"/>
  <c r="O571" i="2"/>
  <c r="U589" i="2"/>
  <c r="P589" i="2" s="1"/>
  <c r="S589" i="2" s="1"/>
  <c r="T589" i="2" s="1"/>
  <c r="O554" i="2"/>
  <c r="BA421" i="4"/>
  <c r="BA520" i="4"/>
  <c r="BA646" i="4"/>
  <c r="V355" i="2"/>
  <c r="V54" i="2"/>
  <c r="U59" i="2"/>
  <c r="U151" i="2"/>
  <c r="U293" i="2"/>
  <c r="V496" i="2"/>
  <c r="N496" i="2" s="1"/>
  <c r="U499" i="2"/>
  <c r="P499" i="2" s="1"/>
  <c r="U624" i="2"/>
  <c r="O624" i="2" s="1"/>
  <c r="V660" i="2"/>
  <c r="V13" i="2"/>
  <c r="V15" i="2"/>
  <c r="V117" i="2"/>
  <c r="V137" i="2"/>
  <c r="V148" i="2"/>
  <c r="V208" i="2"/>
  <c r="U35" i="2"/>
  <c r="U71" i="2"/>
  <c r="V90" i="2"/>
  <c r="U175" i="2"/>
  <c r="U202" i="2"/>
  <c r="U241" i="2"/>
  <c r="V256" i="2"/>
  <c r="V265" i="2"/>
  <c r="U284" i="2"/>
  <c r="V289" i="2"/>
  <c r="V296" i="2"/>
  <c r="V311" i="2"/>
  <c r="V373" i="2"/>
  <c r="P373" i="2" s="1"/>
  <c r="S373" i="2" s="1"/>
  <c r="T373" i="2" s="1"/>
  <c r="U422" i="2"/>
  <c r="P422" i="2" s="1"/>
  <c r="S422" i="2" s="1"/>
  <c r="T422" i="2" s="1"/>
  <c r="V429" i="2"/>
  <c r="N429" i="2" s="1"/>
  <c r="V438" i="2"/>
  <c r="P438" i="2" s="1"/>
  <c r="V447" i="2"/>
  <c r="O447" i="2" s="1"/>
  <c r="V477" i="2"/>
  <c r="N477" i="2" s="1"/>
  <c r="U484" i="2"/>
  <c r="P484" i="2" s="1"/>
  <c r="S484" i="2" s="1"/>
  <c r="T484" i="2" s="1"/>
  <c r="V491" i="2"/>
  <c r="P491" i="2" s="1"/>
  <c r="S491" i="2" s="1"/>
  <c r="T491" i="2" s="1"/>
  <c r="V531" i="2"/>
  <c r="O531" i="2" s="1"/>
  <c r="V551" i="2"/>
  <c r="P551" i="2" s="1"/>
  <c r="U565" i="2"/>
  <c r="U577" i="2"/>
  <c r="P577" i="2" s="1"/>
  <c r="S577" i="2" s="1"/>
  <c r="T577" i="2" s="1"/>
  <c r="U611" i="2"/>
  <c r="N611" i="2" s="1"/>
  <c r="V621" i="2"/>
  <c r="P621" i="2" s="1"/>
  <c r="S621" i="2" s="1"/>
  <c r="T621" i="2" s="1"/>
  <c r="V642" i="2"/>
  <c r="P642" i="2" s="1"/>
  <c r="U643" i="2"/>
  <c r="V645" i="2"/>
  <c r="Y683" i="2"/>
  <c r="Y712" i="2"/>
  <c r="P459" i="2"/>
  <c r="S459" i="2" s="1"/>
  <c r="T459" i="2" s="1"/>
  <c r="BB655" i="4"/>
  <c r="V44" i="2"/>
  <c r="U310" i="2"/>
  <c r="U352" i="2"/>
  <c r="V415" i="2"/>
  <c r="P415" i="2" s="1"/>
  <c r="S415" i="2" s="1"/>
  <c r="T415" i="2" s="1"/>
  <c r="U561" i="2"/>
  <c r="N571" i="2"/>
  <c r="U572" i="2"/>
  <c r="P572" i="2" s="1"/>
  <c r="S572" i="2" s="1"/>
  <c r="T572" i="2" s="1"/>
  <c r="V573" i="2"/>
  <c r="P573" i="2" s="1"/>
  <c r="V586" i="2"/>
  <c r="O586" i="2" s="1"/>
  <c r="X690" i="2"/>
  <c r="AA690" i="2" s="1"/>
  <c r="X713" i="2"/>
  <c r="AA713" i="2" s="1"/>
  <c r="BA526" i="4"/>
  <c r="BB528" i="4"/>
  <c r="BA548" i="4"/>
  <c r="P440" i="2"/>
  <c r="S440" i="2" s="1"/>
  <c r="T440" i="2" s="1"/>
  <c r="N482" i="2"/>
  <c r="O526" i="2"/>
  <c r="N554" i="2"/>
  <c r="U652" i="2"/>
  <c r="X691" i="2"/>
  <c r="AA691" i="2" s="1"/>
  <c r="Y713" i="2"/>
  <c r="BA577" i="4"/>
  <c r="BA643" i="4"/>
  <c r="BA648" i="4"/>
  <c r="BB665" i="4"/>
  <c r="V635" i="2"/>
  <c r="P635" i="2" s="1"/>
  <c r="U640" i="2"/>
  <c r="P640" i="2" s="1"/>
  <c r="S640" i="2" s="1"/>
  <c r="T640" i="2" s="1"/>
  <c r="N648" i="2"/>
  <c r="Y691" i="2"/>
  <c r="Y723" i="2"/>
  <c r="V667" i="2"/>
  <c r="BA505" i="4"/>
  <c r="BA663" i="4"/>
  <c r="P375" i="2"/>
  <c r="O517" i="2"/>
  <c r="R517" i="2" s="1"/>
  <c r="U100" i="2"/>
  <c r="U126" i="2"/>
  <c r="U153" i="2"/>
  <c r="U211" i="2"/>
  <c r="V330" i="2"/>
  <c r="U336" i="2"/>
  <c r="N358" i="2"/>
  <c r="P427" i="2"/>
  <c r="S427" i="2" s="1"/>
  <c r="T427" i="2" s="1"/>
  <c r="V575" i="2"/>
  <c r="O575" i="2" s="1"/>
  <c r="V584" i="2"/>
  <c r="P584" i="2" s="1"/>
  <c r="S584" i="2" s="1"/>
  <c r="T584" i="2" s="1"/>
  <c r="U590" i="2"/>
  <c r="P590" i="2" s="1"/>
  <c r="S590" i="2" s="1"/>
  <c r="T590" i="2" s="1"/>
  <c r="X701" i="2"/>
  <c r="AA701" i="2" s="1"/>
  <c r="Y734" i="2"/>
  <c r="V658" i="2"/>
  <c r="V672" i="2"/>
  <c r="P554" i="2"/>
  <c r="S554" i="2" s="1"/>
  <c r="T554" i="2" s="1"/>
  <c r="U125" i="2"/>
  <c r="U196" i="2"/>
  <c r="U210" i="2"/>
  <c r="U321" i="2"/>
  <c r="V335" i="2"/>
  <c r="V386" i="2"/>
  <c r="P386" i="2" s="1"/>
  <c r="S386" i="2" s="1"/>
  <c r="T386" i="2" s="1"/>
  <c r="U469" i="2"/>
  <c r="P469" i="2" s="1"/>
  <c r="S469" i="2" s="1"/>
  <c r="T469" i="2" s="1"/>
  <c r="V492" i="2"/>
  <c r="O492" i="2" s="1"/>
  <c r="U504" i="2"/>
  <c r="P504" i="2" s="1"/>
  <c r="S504" i="2" s="1"/>
  <c r="T504" i="2" s="1"/>
  <c r="U515" i="2"/>
  <c r="U528" i="2"/>
  <c r="P528" i="2" s="1"/>
  <c r="S528" i="2" s="1"/>
  <c r="T528" i="2" s="1"/>
  <c r="V552" i="2"/>
  <c r="N552" i="2" s="1"/>
  <c r="V588" i="2"/>
  <c r="N588" i="2" s="1"/>
  <c r="V599" i="2"/>
  <c r="O599" i="2" s="1"/>
  <c r="Y702" i="2"/>
  <c r="Y735" i="2"/>
  <c r="BB418" i="4"/>
  <c r="BB467" i="4"/>
  <c r="BA485" i="4"/>
  <c r="BA542" i="4"/>
  <c r="BA610" i="4"/>
  <c r="BA620" i="4"/>
  <c r="BA626" i="4"/>
  <c r="BB632" i="4"/>
  <c r="BA645" i="4"/>
  <c r="U132" i="2"/>
  <c r="U51" i="2"/>
  <c r="U78" i="2"/>
  <c r="V147" i="2"/>
  <c r="V152" i="2"/>
  <c r="U278" i="2"/>
  <c r="U389" i="2"/>
  <c r="N389" i="2" s="1"/>
  <c r="V463" i="2"/>
  <c r="O463" i="2" s="1"/>
  <c r="V505" i="2"/>
  <c r="P505" i="2" s="1"/>
  <c r="S505" i="2" s="1"/>
  <c r="T505" i="2" s="1"/>
  <c r="U598" i="2"/>
  <c r="P598" i="2" s="1"/>
  <c r="S598" i="2" s="1"/>
  <c r="T598" i="2" s="1"/>
  <c r="X658" i="2"/>
  <c r="V661" i="2"/>
  <c r="BB436" i="4"/>
  <c r="BA500" i="4"/>
  <c r="BA565" i="4"/>
  <c r="BB667" i="4"/>
  <c r="BA409" i="4"/>
  <c r="BB474" i="4"/>
  <c r="BB494" i="4"/>
  <c r="BB435" i="4"/>
  <c r="BB633" i="4"/>
  <c r="BB662" i="4"/>
  <c r="BB514" i="4"/>
  <c r="BB566" i="4"/>
  <c r="BA571" i="4"/>
  <c r="BA604" i="4"/>
  <c r="BA574" i="4"/>
  <c r="BA607" i="4"/>
  <c r="BA456" i="4"/>
  <c r="BB475" i="4"/>
  <c r="BA540" i="4"/>
  <c r="BA598" i="4"/>
  <c r="BA428" i="4"/>
  <c r="BA463" i="4"/>
  <c r="BA592" i="4"/>
  <c r="BA434" i="4"/>
  <c r="BA405" i="4"/>
  <c r="BB450" i="4"/>
  <c r="BA631" i="4"/>
  <c r="BB509" i="4"/>
  <c r="BB522" i="4"/>
  <c r="BA589" i="4"/>
  <c r="BA637" i="4"/>
  <c r="BB582" i="4"/>
  <c r="BB419" i="4"/>
  <c r="BB425" i="4"/>
  <c r="BA431" i="4"/>
  <c r="BB437" i="4"/>
  <c r="BA444" i="4"/>
  <c r="BB471" i="4"/>
  <c r="BA497" i="4"/>
  <c r="BA658" i="4"/>
  <c r="BB555" i="4"/>
  <c r="BB510" i="4"/>
  <c r="BA596" i="4"/>
  <c r="BA647" i="4"/>
  <c r="BB639" i="4"/>
  <c r="BA420" i="4"/>
  <c r="BA426" i="4"/>
  <c r="BA472" i="4"/>
  <c r="BA549" i="4"/>
  <c r="BA593" i="4"/>
  <c r="BA609" i="4"/>
  <c r="BA679" i="4"/>
  <c r="BB518" i="4"/>
  <c r="BB460" i="4"/>
  <c r="BA493" i="4"/>
  <c r="BA603" i="4"/>
  <c r="BA673" i="4"/>
  <c r="BA408" i="4"/>
  <c r="BB473" i="4"/>
  <c r="V17" i="2"/>
  <c r="V399" i="2"/>
  <c r="U399" i="2"/>
  <c r="U475" i="2"/>
  <c r="U67" i="2"/>
  <c r="V82" i="2"/>
  <c r="U102" i="2"/>
  <c r="V102" i="2"/>
  <c r="U190" i="2"/>
  <c r="V195" i="2"/>
  <c r="U199" i="2"/>
  <c r="V199" i="2"/>
  <c r="O362" i="2"/>
  <c r="N362" i="2"/>
  <c r="U367" i="2"/>
  <c r="U341" i="2"/>
  <c r="V115" i="2"/>
  <c r="V582" i="2"/>
  <c r="O582" i="2" s="1"/>
  <c r="V568" i="2"/>
  <c r="N568" i="2" s="1"/>
  <c r="V7" i="2"/>
  <c r="U171" i="2"/>
  <c r="V181" i="2"/>
  <c r="U186" i="2"/>
  <c r="U234" i="2"/>
  <c r="V249" i="2"/>
  <c r="U263" i="2"/>
  <c r="U337" i="2"/>
  <c r="U402" i="2"/>
  <c r="P461" i="2"/>
  <c r="S461" i="2" s="1"/>
  <c r="T461" i="2" s="1"/>
  <c r="U527" i="2"/>
  <c r="V527" i="2"/>
  <c r="V559" i="2"/>
  <c r="O559" i="2" s="1"/>
  <c r="U580" i="2"/>
  <c r="V594" i="2"/>
  <c r="U594" i="2"/>
  <c r="U613" i="2"/>
  <c r="U626" i="2"/>
  <c r="BA438" i="4"/>
  <c r="V252" i="2"/>
  <c r="V271" i="2"/>
  <c r="U511" i="2"/>
  <c r="V511" i="2"/>
  <c r="V189" i="2"/>
  <c r="U198" i="2"/>
  <c r="U276" i="2"/>
  <c r="U356" i="2"/>
  <c r="V356" i="2"/>
  <c r="U550" i="2"/>
  <c r="V550" i="2"/>
  <c r="V508" i="2"/>
  <c r="P508" i="2" s="1"/>
  <c r="S508" i="2" s="1"/>
  <c r="T508" i="2" s="1"/>
  <c r="U378" i="2"/>
  <c r="P384" i="2"/>
  <c r="S384" i="2" s="1"/>
  <c r="T384" i="2" s="1"/>
  <c r="O384" i="2"/>
  <c r="N384" i="2"/>
  <c r="V396" i="2"/>
  <c r="O396" i="2" s="1"/>
  <c r="V405" i="2"/>
  <c r="U405" i="2"/>
  <c r="BA451" i="4"/>
  <c r="V49" i="2"/>
  <c r="N411" i="2"/>
  <c r="N422" i="2"/>
  <c r="Q422" i="2" s="1"/>
  <c r="V458" i="2"/>
  <c r="U458" i="2"/>
  <c r="V548" i="2"/>
  <c r="U548" i="2"/>
  <c r="V605" i="2"/>
  <c r="U605" i="2"/>
  <c r="U616" i="2"/>
  <c r="U646" i="2"/>
  <c r="P649" i="2"/>
  <c r="S649" i="2" s="1"/>
  <c r="T649" i="2" s="1"/>
  <c r="BB445" i="4"/>
  <c r="BA445" i="4"/>
  <c r="U280" i="2"/>
  <c r="U324" i="2"/>
  <c r="V324" i="2"/>
  <c r="U401" i="2"/>
  <c r="V401" i="2"/>
  <c r="U487" i="2"/>
  <c r="V487" i="2"/>
  <c r="V299" i="2"/>
  <c r="U334" i="2"/>
  <c r="V365" i="2"/>
  <c r="P365" i="2" s="1"/>
  <c r="S365" i="2" s="1"/>
  <c r="T365" i="2" s="1"/>
  <c r="O440" i="2"/>
  <c r="N440" i="2"/>
  <c r="O515" i="2"/>
  <c r="O542" i="2"/>
  <c r="V602" i="2"/>
  <c r="O602" i="2" s="1"/>
  <c r="U392" i="2"/>
  <c r="V392" i="2"/>
  <c r="U86" i="2"/>
  <c r="U538" i="2"/>
  <c r="V538" i="2"/>
  <c r="U121" i="2"/>
  <c r="V121" i="2"/>
  <c r="P413" i="2"/>
  <c r="S413" i="2" s="1"/>
  <c r="T413" i="2" s="1"/>
  <c r="O413" i="2"/>
  <c r="N413" i="2"/>
  <c r="U354" i="2"/>
  <c r="V354" i="2"/>
  <c r="P368" i="2"/>
  <c r="S368" i="2" s="1"/>
  <c r="T368" i="2" s="1"/>
  <c r="P608" i="2"/>
  <c r="S608" i="2" s="1"/>
  <c r="T608" i="2" s="1"/>
  <c r="O645" i="2"/>
  <c r="O504" i="2"/>
  <c r="O623" i="2"/>
  <c r="O644" i="2"/>
  <c r="P623" i="2"/>
  <c r="S623" i="2" s="1"/>
  <c r="T623" i="2" s="1"/>
  <c r="N504" i="2"/>
  <c r="V167" i="2"/>
  <c r="U250" i="2"/>
  <c r="V250" i="2"/>
  <c r="U363" i="2"/>
  <c r="V363" i="2"/>
  <c r="V414" i="2"/>
  <c r="P414" i="2" s="1"/>
  <c r="S414" i="2" s="1"/>
  <c r="T414" i="2" s="1"/>
  <c r="P431" i="2"/>
  <c r="S431" i="2" s="1"/>
  <c r="T431" i="2" s="1"/>
  <c r="O431" i="2"/>
  <c r="N431" i="2"/>
  <c r="Q431" i="2" s="1"/>
  <c r="N461" i="2"/>
  <c r="U464" i="2"/>
  <c r="V464" i="2"/>
  <c r="V473" i="2"/>
  <c r="N473" i="2" s="1"/>
  <c r="O533" i="2"/>
  <c r="P533" i="2"/>
  <c r="S533" i="2" s="1"/>
  <c r="T533" i="2" s="1"/>
  <c r="N533" i="2"/>
  <c r="U12" i="2"/>
  <c r="V101" i="2"/>
  <c r="V111" i="2"/>
  <c r="U111" i="2"/>
  <c r="U248" i="2"/>
  <c r="V257" i="2"/>
  <c r="V404" i="2"/>
  <c r="P404" i="2" s="1"/>
  <c r="S404" i="2" s="1"/>
  <c r="T404" i="2" s="1"/>
  <c r="V451" i="2"/>
  <c r="U451" i="2"/>
  <c r="V436" i="2"/>
  <c r="N436" i="2" s="1"/>
  <c r="U541" i="2"/>
  <c r="V541" i="2"/>
  <c r="U446" i="2"/>
  <c r="V446" i="2"/>
  <c r="V503" i="2"/>
  <c r="N503" i="2" s="1"/>
  <c r="N583" i="2"/>
  <c r="P583" i="2"/>
  <c r="S583" i="2" s="1"/>
  <c r="T583" i="2" s="1"/>
  <c r="P571" i="2"/>
  <c r="S571" i="2" s="1"/>
  <c r="T571" i="2" s="1"/>
  <c r="N542" i="2"/>
  <c r="O608" i="2"/>
  <c r="N608" i="2"/>
  <c r="U641" i="2"/>
  <c r="V641" i="2"/>
  <c r="V22" i="2"/>
  <c r="U227" i="2"/>
  <c r="V227" i="2"/>
  <c r="V285" i="2"/>
  <c r="S454" i="2"/>
  <c r="T454" i="2" s="1"/>
  <c r="U416" i="2"/>
  <c r="O368" i="2"/>
  <c r="R368" i="2" s="1"/>
  <c r="N368" i="2"/>
  <c r="U376" i="2"/>
  <c r="U215" i="2"/>
  <c r="U327" i="2"/>
  <c r="U360" i="2"/>
  <c r="U391" i="2"/>
  <c r="U400" i="2"/>
  <c r="U403" i="2"/>
  <c r="V403" i="2"/>
  <c r="N459" i="2"/>
  <c r="Q459" i="2" s="1"/>
  <c r="P489" i="2"/>
  <c r="S489" i="2" s="1"/>
  <c r="T489" i="2" s="1"/>
  <c r="O489" i="2"/>
  <c r="N489" i="2"/>
  <c r="V501" i="2"/>
  <c r="O501" i="2" s="1"/>
  <c r="U557" i="2"/>
  <c r="U566" i="2"/>
  <c r="V466" i="2"/>
  <c r="U466" i="2"/>
  <c r="V532" i="2"/>
  <c r="U532" i="2"/>
  <c r="U253" i="2"/>
  <c r="V494" i="2"/>
  <c r="O494" i="2" s="1"/>
  <c r="U394" i="2"/>
  <c r="N586" i="2"/>
  <c r="N595" i="2"/>
  <c r="P617" i="2"/>
  <c r="S617" i="2" s="1"/>
  <c r="T617" i="2" s="1"/>
  <c r="O617" i="2"/>
  <c r="N617" i="2"/>
  <c r="V40" i="2"/>
  <c r="U105" i="2"/>
  <c r="V222" i="2"/>
  <c r="V261" i="2"/>
  <c r="V563" i="2"/>
  <c r="O563" i="2" s="1"/>
  <c r="O595" i="2"/>
  <c r="V460" i="2"/>
  <c r="U460" i="2"/>
  <c r="V478" i="2"/>
  <c r="U478" i="2"/>
  <c r="U29" i="2"/>
  <c r="V497" i="2"/>
  <c r="U497" i="2"/>
  <c r="N577" i="2"/>
  <c r="Q577" i="2" s="1"/>
  <c r="V529" i="2"/>
  <c r="P529" i="2" s="1"/>
  <c r="V425" i="2"/>
  <c r="P425" i="2" s="1"/>
  <c r="S425" i="2" s="1"/>
  <c r="T425" i="2" s="1"/>
  <c r="U437" i="2"/>
  <c r="V437" i="2"/>
  <c r="N449" i="2"/>
  <c r="P449" i="2"/>
  <c r="S449" i="2" s="1"/>
  <c r="T449" i="2" s="1"/>
  <c r="O449" i="2"/>
  <c r="V485" i="2"/>
  <c r="P485" i="2" s="1"/>
  <c r="U638" i="2"/>
  <c r="V638" i="2"/>
  <c r="U21" i="2"/>
  <c r="U58" i="2"/>
  <c r="V58" i="2"/>
  <c r="U109" i="2"/>
  <c r="U371" i="2"/>
  <c r="P406" i="2"/>
  <c r="U420" i="2"/>
  <c r="O477" i="2"/>
  <c r="U513" i="2"/>
  <c r="U45" i="2"/>
  <c r="V124" i="2"/>
  <c r="U163" i="2"/>
  <c r="U197" i="2"/>
  <c r="U303" i="2"/>
  <c r="V331" i="2"/>
  <c r="P355" i="2"/>
  <c r="S355" i="2" s="1"/>
  <c r="T355" i="2" s="1"/>
  <c r="O355" i="2"/>
  <c r="N355" i="2"/>
  <c r="N418" i="2"/>
  <c r="V435" i="2"/>
  <c r="U435" i="2"/>
  <c r="O459" i="2"/>
  <c r="U462" i="2"/>
  <c r="V462" i="2"/>
  <c r="V471" i="2"/>
  <c r="U471" i="2"/>
  <c r="V480" i="2"/>
  <c r="P480" i="2" s="1"/>
  <c r="S480" i="2" s="1"/>
  <c r="T480" i="2" s="1"/>
  <c r="N499" i="2"/>
  <c r="U510" i="2"/>
  <c r="U540" i="2"/>
  <c r="V540" i="2"/>
  <c r="O552" i="2"/>
  <c r="N620" i="2"/>
  <c r="U670" i="2"/>
  <c r="U185" i="2"/>
  <c r="U178" i="2"/>
  <c r="V178" i="2"/>
  <c r="V441" i="2"/>
  <c r="U441" i="2"/>
  <c r="N415" i="2"/>
  <c r="O418" i="2"/>
  <c r="O496" i="2"/>
  <c r="O499" i="2"/>
  <c r="P519" i="2"/>
  <c r="N519" i="2"/>
  <c r="U522" i="2"/>
  <c r="N531" i="2"/>
  <c r="N570" i="2"/>
  <c r="O584" i="2"/>
  <c r="R584" i="2" s="1"/>
  <c r="O620" i="2"/>
  <c r="O438" i="2"/>
  <c r="P496" i="2"/>
  <c r="S496" i="2" s="1"/>
  <c r="T496" i="2" s="1"/>
  <c r="P570" i="2"/>
  <c r="S570" i="2" s="1"/>
  <c r="T570" i="2" s="1"/>
  <c r="U633" i="2"/>
  <c r="BK3581" i="4"/>
  <c r="BK3527" i="4"/>
  <c r="BK3358" i="4"/>
  <c r="BK3191" i="4"/>
  <c r="BJ2992" i="4"/>
  <c r="BJ2837" i="4"/>
  <c r="BM2837" i="4" s="1"/>
  <c r="BK2721" i="4"/>
  <c r="BK2593" i="4"/>
  <c r="BJ2484" i="4"/>
  <c r="BN2484" i="4" s="1"/>
  <c r="BJ2363" i="4"/>
  <c r="BM2363" i="4" s="1"/>
  <c r="BK2259" i="4"/>
  <c r="BK2152" i="4"/>
  <c r="BK2048" i="4"/>
  <c r="BK1955" i="4"/>
  <c r="BK1854" i="4"/>
  <c r="BJ1761" i="4"/>
  <c r="BM1761" i="4" s="1"/>
  <c r="BJ1671" i="4"/>
  <c r="BJ1593" i="4"/>
  <c r="BJ1525" i="4"/>
  <c r="BK1456" i="4"/>
  <c r="BJ1389" i="4"/>
  <c r="BN1389" i="4" s="1"/>
  <c r="BK1323" i="4"/>
  <c r="BK1261" i="4"/>
  <c r="BJ1196" i="4"/>
  <c r="BN1196" i="4" s="1"/>
  <c r="BK1137" i="4"/>
  <c r="BK1081" i="4"/>
  <c r="BK1025" i="4"/>
  <c r="BK973" i="4"/>
  <c r="BJ922" i="4"/>
  <c r="BM922" i="4" s="1"/>
  <c r="BJ868" i="4"/>
  <c r="BJ817" i="4"/>
  <c r="BN817" i="4" s="1"/>
  <c r="BK772" i="4"/>
  <c r="BJ730" i="4"/>
  <c r="BJ691" i="4"/>
  <c r="BJ651" i="4"/>
  <c r="BM651" i="4" s="1"/>
  <c r="BK613" i="4"/>
  <c r="BJ576" i="4"/>
  <c r="BK538" i="4"/>
  <c r="BK501" i="4"/>
  <c r="BK464" i="4"/>
  <c r="BK426" i="4"/>
  <c r="BJ390" i="4"/>
  <c r="BK354" i="4"/>
  <c r="BK318" i="4"/>
  <c r="BJ283" i="4"/>
  <c r="BN283" i="4" s="1"/>
  <c r="BJ250" i="4"/>
  <c r="BM250" i="4" s="1"/>
  <c r="BK217" i="4"/>
  <c r="BJ3505" i="4"/>
  <c r="BN3505" i="4" s="1"/>
  <c r="BK3341" i="4"/>
  <c r="BJ3146" i="4"/>
  <c r="BM3146" i="4" s="1"/>
  <c r="BK2988" i="4"/>
  <c r="BK2835" i="4"/>
  <c r="BK2714" i="4"/>
  <c r="BK2591" i="4"/>
  <c r="BJ2446" i="4"/>
  <c r="BJ2329" i="4"/>
  <c r="BK2225" i="4"/>
  <c r="BJ2117" i="4"/>
  <c r="BN2117" i="4" s="1"/>
  <c r="BK2017" i="4"/>
  <c r="BK1927" i="4"/>
  <c r="BJ1821" i="4"/>
  <c r="BN1821" i="4" s="1"/>
  <c r="BJ1730" i="4"/>
  <c r="BM1730" i="4" s="1"/>
  <c r="BK1648" i="4"/>
  <c r="BK1572" i="4"/>
  <c r="BJ1504" i="4"/>
  <c r="BM1504" i="4" s="1"/>
  <c r="BJ1434" i="4"/>
  <c r="BK1367" i="4"/>
  <c r="BJ1306" i="4"/>
  <c r="BN1306" i="4" s="1"/>
  <c r="BJ1242" i="4"/>
  <c r="BM1242" i="4" s="1"/>
  <c r="BJ1181" i="4"/>
  <c r="BN1181" i="4" s="1"/>
  <c r="BK1121" i="4"/>
  <c r="BK1064" i="4"/>
  <c r="BK1007" i="4"/>
  <c r="BJ956" i="4"/>
  <c r="BM956" i="4" s="1"/>
  <c r="BJ906" i="4"/>
  <c r="BM906" i="4" s="1"/>
  <c r="BK852" i="4"/>
  <c r="BK803" i="4"/>
  <c r="BK762" i="4"/>
  <c r="BK719" i="4"/>
  <c r="BK678" i="4"/>
  <c r="BK639" i="4"/>
  <c r="BJ602" i="4"/>
  <c r="BK564" i="4"/>
  <c r="BJ527" i="4"/>
  <c r="BM527" i="4" s="1"/>
  <c r="BJ490" i="4"/>
  <c r="BN490" i="4" s="1"/>
  <c r="BJ453" i="4"/>
  <c r="BN453" i="4" s="1"/>
  <c r="BJ415" i="4"/>
  <c r="BM415" i="4" s="1"/>
  <c r="BJ379" i="4"/>
  <c r="BN379" i="4" s="1"/>
  <c r="BK343" i="4"/>
  <c r="BJ309" i="4"/>
  <c r="BN309" i="4" s="1"/>
  <c r="BK278" i="4"/>
  <c r="BK248" i="4"/>
  <c r="BK216" i="4"/>
  <c r="BJ182" i="4"/>
  <c r="BK147" i="4"/>
  <c r="BJ115" i="4"/>
  <c r="BJ89" i="4"/>
  <c r="BK65" i="4"/>
  <c r="BK35" i="4"/>
  <c r="BK6" i="4"/>
  <c r="BK3503" i="4"/>
  <c r="BK3300" i="4"/>
  <c r="BK3143" i="4"/>
  <c r="BJ2988" i="4"/>
  <c r="BM2988" i="4" s="1"/>
  <c r="BJ2834" i="4"/>
  <c r="BK2712" i="4"/>
  <c r="BJ2553" i="4"/>
  <c r="BM2553" i="4" s="1"/>
  <c r="BK2440" i="4"/>
  <c r="BJ2328" i="4"/>
  <c r="BN2328" i="4" s="1"/>
  <c r="BJ2225" i="4"/>
  <c r="BN2225" i="4" s="1"/>
  <c r="BK2111" i="4"/>
  <c r="BJ2017" i="4"/>
  <c r="BN2017" i="4" s="1"/>
  <c r="BK1925" i="4"/>
  <c r="BK1819" i="4"/>
  <c r="BJ1726" i="4"/>
  <c r="BM1726" i="4" s="1"/>
  <c r="BJ1648" i="4"/>
  <c r="BM1648" i="4" s="1"/>
  <c r="BJ1572" i="4"/>
  <c r="BN1572" i="4" s="1"/>
  <c r="BJ1503" i="4"/>
  <c r="BM1503" i="4" s="1"/>
  <c r="BK1433" i="4"/>
  <c r="BJ1367" i="4"/>
  <c r="BN1367" i="4" s="1"/>
  <c r="BK1305" i="4"/>
  <c r="BK1241" i="4"/>
  <c r="BJ1179" i="4"/>
  <c r="BN1179" i="4" s="1"/>
  <c r="BJ1121" i="4"/>
  <c r="BN1121" i="4" s="1"/>
  <c r="BJ1064" i="4"/>
  <c r="BM1064" i="4" s="1"/>
  <c r="BJ1007" i="4"/>
  <c r="BN1007" i="4" s="1"/>
  <c r="BK955" i="4"/>
  <c r="BK905" i="4"/>
  <c r="BJ852" i="4"/>
  <c r="BN852" i="4" s="1"/>
  <c r="BJ3501" i="4"/>
  <c r="BJ3285" i="4"/>
  <c r="BM3285" i="4" s="1"/>
  <c r="BK3135" i="4"/>
  <c r="BJ2982" i="4"/>
  <c r="BN2982" i="4" s="1"/>
  <c r="BK2833" i="4"/>
  <c r="BJ2699" i="4"/>
  <c r="BK2552" i="4"/>
  <c r="BJ2440" i="4"/>
  <c r="BK2327" i="4"/>
  <c r="BJ2224" i="4"/>
  <c r="BJ2111" i="4"/>
  <c r="BM2111" i="4" s="1"/>
  <c r="BJ2016" i="4"/>
  <c r="BN2016" i="4" s="1"/>
  <c r="BK1917" i="4"/>
  <c r="BJ1819" i="4"/>
  <c r="BM1819" i="4" s="1"/>
  <c r="BK1725" i="4"/>
  <c r="BK1639" i="4"/>
  <c r="BK1570" i="4"/>
  <c r="BJ1502" i="4"/>
  <c r="BN1502" i="4" s="1"/>
  <c r="BJ1432" i="4"/>
  <c r="BN1432" i="4" s="1"/>
  <c r="BJ1366" i="4"/>
  <c r="BN1366" i="4" s="1"/>
  <c r="BK1300" i="4"/>
  <c r="BJ1239" i="4"/>
  <c r="BN1239" i="4" s="1"/>
  <c r="BK1178" i="4"/>
  <c r="BJ1119" i="4"/>
  <c r="BK1061" i="4"/>
  <c r="BK1006" i="4"/>
  <c r="BJ955" i="4"/>
  <c r="BN955" i="4" s="1"/>
  <c r="BJ903" i="4"/>
  <c r="BN903" i="4" s="1"/>
  <c r="BJ851" i="4"/>
  <c r="BM851" i="4" s="1"/>
  <c r="BK801" i="4"/>
  <c r="BJ757" i="4"/>
  <c r="BK716" i="4"/>
  <c r="BK677" i="4"/>
  <c r="BK638" i="4"/>
  <c r="BJ601" i="4"/>
  <c r="BN601" i="4" s="1"/>
  <c r="BK563" i="4"/>
  <c r="BJ526" i="4"/>
  <c r="BJ489" i="4"/>
  <c r="BM489" i="4" s="1"/>
  <c r="BJ452" i="4"/>
  <c r="BN452" i="4" s="1"/>
  <c r="BJ414" i="4"/>
  <c r="BJ378" i="4"/>
  <c r="BK342" i="4"/>
  <c r="BK306" i="4"/>
  <c r="BK272" i="4"/>
  <c r="BK242" i="4"/>
  <c r="BK213" i="4"/>
  <c r="BK3450" i="4"/>
  <c r="BJ3278" i="4"/>
  <c r="BN3278" i="4" s="1"/>
  <c r="BJ3117" i="4"/>
  <c r="BM3117" i="4" s="1"/>
  <c r="BJ2970" i="4"/>
  <c r="BN2970" i="4" s="1"/>
  <c r="BJ2791" i="4"/>
  <c r="BN2791" i="4" s="1"/>
  <c r="BJ2663" i="4"/>
  <c r="BJ2550" i="4"/>
  <c r="BN2550" i="4" s="1"/>
  <c r="BK2427" i="4"/>
  <c r="BK2321" i="4"/>
  <c r="BJ2214" i="4"/>
  <c r="BN2214" i="4" s="1"/>
  <c r="BJ2109" i="4"/>
  <c r="BK2014" i="4"/>
  <c r="BJ1911" i="4"/>
  <c r="BK1817" i="4"/>
  <c r="BJ1721" i="4"/>
  <c r="BN1721" i="4" s="1"/>
  <c r="BJ1637" i="4"/>
  <c r="BJ1568" i="4"/>
  <c r="BK1499" i="4"/>
  <c r="BK1429" i="4"/>
  <c r="BK1360" i="4"/>
  <c r="BJ1294" i="4"/>
  <c r="BN1294" i="4" s="1"/>
  <c r="BK1234" i="4"/>
  <c r="BJ1175" i="4"/>
  <c r="BK1116" i="4"/>
  <c r="BK1058" i="4"/>
  <c r="BJ1005" i="4"/>
  <c r="BM1005" i="4" s="1"/>
  <c r="BK951" i="4"/>
  <c r="BJ897" i="4"/>
  <c r="BM897" i="4" s="1"/>
  <c r="BK846" i="4"/>
  <c r="BK798" i="4"/>
  <c r="BK753" i="4"/>
  <c r="BJ712" i="4"/>
  <c r="BN712" i="4" s="1"/>
  <c r="BJ672" i="4"/>
  <c r="BM672" i="4" s="1"/>
  <c r="BJ634" i="4"/>
  <c r="BN634" i="4" s="1"/>
  <c r="BJ597" i="4"/>
  <c r="BN597" i="4" s="1"/>
  <c r="BJ562" i="4"/>
  <c r="BN562" i="4" s="1"/>
  <c r="BK524" i="4"/>
  <c r="BK487" i="4"/>
  <c r="BK449" i="4"/>
  <c r="BK412" i="4"/>
  <c r="BK376" i="4"/>
  <c r="BK340" i="4"/>
  <c r="BJ305" i="4"/>
  <c r="BJ270" i="4"/>
  <c r="BM270" i="4" s="1"/>
  <c r="BK236" i="4"/>
  <c r="BK204" i="4"/>
  <c r="BK3448" i="4"/>
  <c r="BK3277" i="4"/>
  <c r="BK3116" i="4"/>
  <c r="BJ2956" i="4"/>
  <c r="BK2789" i="4"/>
  <c r="BJ2662" i="4"/>
  <c r="BN2662" i="4" s="1"/>
  <c r="BJ2549" i="4"/>
  <c r="BN2549" i="4" s="1"/>
  <c r="BJ2424" i="4"/>
  <c r="BN2424" i="4" s="1"/>
  <c r="BJ2321" i="4"/>
  <c r="BN2321" i="4" s="1"/>
  <c r="BJ2202" i="4"/>
  <c r="BM2202" i="4" s="1"/>
  <c r="BJ2105" i="4"/>
  <c r="BN2105" i="4" s="1"/>
  <c r="BJ2014" i="4"/>
  <c r="BN2014" i="4" s="1"/>
  <c r="BK1909" i="4"/>
  <c r="BJ1817" i="4"/>
  <c r="BK1718" i="4"/>
  <c r="BK1636" i="4"/>
  <c r="BK1566" i="4"/>
  <c r="BK1497" i="4"/>
  <c r="BJ1423" i="4"/>
  <c r="BN1423" i="4" s="1"/>
  <c r="BJ1359" i="4"/>
  <c r="BM1359" i="4" s="1"/>
  <c r="BK1293" i="4"/>
  <c r="BK1233" i="4"/>
  <c r="BK1173" i="4"/>
  <c r="BJ1115" i="4"/>
  <c r="BM1115" i="4" s="1"/>
  <c r="BJ1058" i="4"/>
  <c r="BK1000" i="4"/>
  <c r="BJ950" i="4"/>
  <c r="BK895" i="4"/>
  <c r="BJ845" i="4"/>
  <c r="BM845" i="4" s="1"/>
  <c r="BJ798" i="4"/>
  <c r="BN798" i="4" s="1"/>
  <c r="BJ753" i="4"/>
  <c r="BN753" i="4" s="1"/>
  <c r="BJ711" i="4"/>
  <c r="BJ670" i="4"/>
  <c r="BJ633" i="4"/>
  <c r="BN633" i="4" s="1"/>
  <c r="BK596" i="4"/>
  <c r="BJ559" i="4"/>
  <c r="BN559" i="4" s="1"/>
  <c r="BJ524" i="4"/>
  <c r="BN524" i="4" s="1"/>
  <c r="BJ487" i="4"/>
  <c r="BM487" i="4" s="1"/>
  <c r="BJ449" i="4"/>
  <c r="BM449" i="4" s="1"/>
  <c r="BJ412" i="4"/>
  <c r="BJ376" i="4"/>
  <c r="BN376" i="4" s="1"/>
  <c r="BJ340" i="4"/>
  <c r="BK304" i="4"/>
  <c r="BK269" i="4"/>
  <c r="BJ235" i="4"/>
  <c r="BN235" i="4" s="1"/>
  <c r="BK3370" i="4"/>
  <c r="BJ3194" i="4"/>
  <c r="BJ2912" i="4"/>
  <c r="BN2912" i="4" s="1"/>
  <c r="BJ2731" i="4"/>
  <c r="BK2551" i="4"/>
  <c r="BJ2391" i="4"/>
  <c r="BN2391" i="4" s="1"/>
  <c r="BJ2262" i="4"/>
  <c r="BN2262" i="4" s="1"/>
  <c r="BJ2104" i="4"/>
  <c r="BM2104" i="4" s="1"/>
  <c r="BK1964" i="4"/>
  <c r="BJ1855" i="4"/>
  <c r="BN1855" i="4" s="1"/>
  <c r="BK1708" i="4"/>
  <c r="BJ1604" i="4"/>
  <c r="BN1604" i="4" s="1"/>
  <c r="BJ1501" i="4"/>
  <c r="BN1501" i="4" s="1"/>
  <c r="BK1397" i="4"/>
  <c r="BJ1329" i="4"/>
  <c r="BN1329" i="4" s="1"/>
  <c r="BJ1233" i="4"/>
  <c r="BJ1150" i="4"/>
  <c r="BJ1082" i="4"/>
  <c r="BM1082" i="4" s="1"/>
  <c r="BJ995" i="4"/>
  <c r="BN995" i="4" s="1"/>
  <c r="BJ927" i="4"/>
  <c r="BN927" i="4" s="1"/>
  <c r="BK848" i="4"/>
  <c r="BK3369" i="4"/>
  <c r="BK3147" i="4"/>
  <c r="BK2911" i="4"/>
  <c r="BJ2728" i="4"/>
  <c r="BJ2551" i="4"/>
  <c r="BN2551" i="4" s="1"/>
  <c r="BK2390" i="4"/>
  <c r="BJ3366" i="4"/>
  <c r="BN3366" i="4" s="1"/>
  <c r="BJ3135" i="4"/>
  <c r="BN3135" i="4" s="1"/>
  <c r="BJ2909" i="4"/>
  <c r="BN2909" i="4" s="1"/>
  <c r="BJ2724" i="4"/>
  <c r="BN2724" i="4" s="1"/>
  <c r="BJ2542" i="4"/>
  <c r="BN2542" i="4" s="1"/>
  <c r="BK2388" i="4"/>
  <c r="BJ2260" i="4"/>
  <c r="BN2260" i="4" s="1"/>
  <c r="BJ2098" i="4"/>
  <c r="BM2098" i="4" s="1"/>
  <c r="BK1961" i="4"/>
  <c r="BK1818" i="4"/>
  <c r="BK1684" i="4"/>
  <c r="BJ1602" i="4"/>
  <c r="BN1602" i="4" s="1"/>
  <c r="BJ1496" i="4"/>
  <c r="BM1496" i="4" s="1"/>
  <c r="BK1394" i="4"/>
  <c r="BK1324" i="4"/>
  <c r="BJ1231" i="4"/>
  <c r="BN1231" i="4" s="1"/>
  <c r="BK1146" i="4"/>
  <c r="BJ1060" i="4"/>
  <c r="BM1060" i="4" s="1"/>
  <c r="BJ982" i="4"/>
  <c r="BN982" i="4" s="1"/>
  <c r="BK925" i="4"/>
  <c r="BJ844" i="4"/>
  <c r="BM844" i="4" s="1"/>
  <c r="BK779" i="4"/>
  <c r="BK733" i="4"/>
  <c r="BK673" i="4"/>
  <c r="BK627" i="4"/>
  <c r="BJ579" i="4"/>
  <c r="BJ534" i="4"/>
  <c r="BM534" i="4" s="1"/>
  <c r="BK482" i="4"/>
  <c r="BK432" i="4"/>
  <c r="BJ391" i="4"/>
  <c r="BN391" i="4" s="1"/>
  <c r="BK341" i="4"/>
  <c r="BJ292" i="4"/>
  <c r="BN292" i="4" s="1"/>
  <c r="BJ255" i="4"/>
  <c r="BN255" i="4" s="1"/>
  <c r="BJ214" i="4"/>
  <c r="BN214" i="4" s="1"/>
  <c r="BJ178" i="4"/>
  <c r="BJ145" i="4"/>
  <c r="BN145" i="4" s="1"/>
  <c r="BK111" i="4"/>
  <c r="BJ81" i="4"/>
  <c r="BN81" i="4" s="1"/>
  <c r="BK53" i="4"/>
  <c r="BJ23" i="4"/>
  <c r="BK3583" i="4"/>
  <c r="BK3353" i="4"/>
  <c r="BK3070" i="4"/>
  <c r="BJ2889" i="4"/>
  <c r="BJ2667" i="4"/>
  <c r="BM2667" i="4" s="1"/>
  <c r="BJ2491" i="4"/>
  <c r="BM2491" i="4" s="1"/>
  <c r="BJ2365" i="4"/>
  <c r="BM2365" i="4" s="1"/>
  <c r="BJ2200" i="4"/>
  <c r="BM2200" i="4" s="1"/>
  <c r="BK2061" i="4"/>
  <c r="BK1937" i="4"/>
  <c r="BK1793" i="4"/>
  <c r="BK1678" i="4"/>
  <c r="BK1568" i="4"/>
  <c r="BK1469" i="4"/>
  <c r="BJ1391" i="4"/>
  <c r="BN1391" i="4" s="1"/>
  <c r="BJ1291" i="4"/>
  <c r="BM1291" i="4" s="1"/>
  <c r="BJ1208" i="4"/>
  <c r="BN1208" i="4" s="1"/>
  <c r="BJ1135" i="4"/>
  <c r="BN1135" i="4" s="1"/>
  <c r="BK1044" i="4"/>
  <c r="BK976" i="4"/>
  <c r="BJ901" i="4"/>
  <c r="BM901" i="4" s="1"/>
  <c r="BK827" i="4"/>
  <c r="BJ777" i="4"/>
  <c r="BN777" i="4" s="1"/>
  <c r="BJ716" i="4"/>
  <c r="BM716" i="4" s="1"/>
  <c r="BK665" i="4"/>
  <c r="BK616" i="4"/>
  <c r="BJ571" i="4"/>
  <c r="BN571" i="4" s="1"/>
  <c r="BJ521" i="4"/>
  <c r="BM521" i="4" s="1"/>
  <c r="BK469" i="4"/>
  <c r="BJ428" i="4"/>
  <c r="BM428" i="4" s="1"/>
  <c r="BJ377" i="4"/>
  <c r="BM377" i="4" s="1"/>
  <c r="BK327" i="4"/>
  <c r="BK289" i="4"/>
  <c r="BJ245" i="4"/>
  <c r="BM245" i="4" s="1"/>
  <c r="BK200" i="4"/>
  <c r="BJ166" i="4"/>
  <c r="BK133" i="4"/>
  <c r="BJ101" i="4"/>
  <c r="BN101" i="4" s="1"/>
  <c r="BJ73" i="4"/>
  <c r="BM73" i="4" s="1"/>
  <c r="BJ46" i="4"/>
  <c r="BM46" i="4" s="1"/>
  <c r="BK20" i="4"/>
  <c r="BK3540" i="4"/>
  <c r="BJ3283" i="4"/>
  <c r="BN3283" i="4" s="1"/>
  <c r="BK3066" i="4"/>
  <c r="BJ2853" i="4"/>
  <c r="BN2853" i="4" s="1"/>
  <c r="BJ2660" i="4"/>
  <c r="BJ2490" i="4"/>
  <c r="BK2363" i="4"/>
  <c r="BJ2199" i="4"/>
  <c r="BK2058" i="4"/>
  <c r="BJ1917" i="4"/>
  <c r="BM1917" i="4" s="1"/>
  <c r="BK1781" i="4"/>
  <c r="BJ1677" i="4"/>
  <c r="BJ1566" i="4"/>
  <c r="BN1566" i="4" s="1"/>
  <c r="BK1466" i="4"/>
  <c r="BJ1390" i="4"/>
  <c r="BM1390" i="4" s="1"/>
  <c r="BK1290" i="4"/>
  <c r="BK1207" i="4"/>
  <c r="BJ1118" i="4"/>
  <c r="BJ1035" i="4"/>
  <c r="BN1035" i="4" s="1"/>
  <c r="BK975" i="4"/>
  <c r="BK894" i="4"/>
  <c r="BJ827" i="4"/>
  <c r="BK776" i="4"/>
  <c r="BJ714" i="4"/>
  <c r="BM714" i="4" s="1"/>
  <c r="BJ656" i="4"/>
  <c r="BK615" i="4"/>
  <c r="BJ564" i="4"/>
  <c r="BJ519" i="4"/>
  <c r="BK468" i="4"/>
  <c r="BK427" i="4"/>
  <c r="BK375" i="4"/>
  <c r="BJ327" i="4"/>
  <c r="BM327" i="4" s="1"/>
  <c r="BJ3454" i="4"/>
  <c r="BN3454" i="4" s="1"/>
  <c r="BK3201" i="4"/>
  <c r="BJ2903" i="4"/>
  <c r="BN2903" i="4" s="1"/>
  <c r="BJ2655" i="4"/>
  <c r="BN2655" i="4" s="1"/>
  <c r="BJ2430" i="4"/>
  <c r="BJ2261" i="4"/>
  <c r="BN2261" i="4" s="1"/>
  <c r="BK2070" i="4"/>
  <c r="BK1901" i="4"/>
  <c r="BK1761" i="4"/>
  <c r="BJ1608" i="4"/>
  <c r="BM1608" i="4" s="1"/>
  <c r="BK1489" i="4"/>
  <c r="BK1365" i="4"/>
  <c r="BJ1268" i="4"/>
  <c r="BN1268" i="4" s="1"/>
  <c r="BK1171" i="4"/>
  <c r="BJ3452" i="4"/>
  <c r="BN3452" i="4" s="1"/>
  <c r="BJ3199" i="4"/>
  <c r="BN3199" i="4" s="1"/>
  <c r="BJ2901" i="4"/>
  <c r="BJ2649" i="4"/>
  <c r="BM2649" i="4" s="1"/>
  <c r="BJ2423" i="4"/>
  <c r="BN2423" i="4" s="1"/>
  <c r="BJ2244" i="4"/>
  <c r="BN2244" i="4" s="1"/>
  <c r="BJ2055" i="4"/>
  <c r="BN2055" i="4" s="1"/>
  <c r="BJ1897" i="4"/>
  <c r="BM1897" i="4" s="1"/>
  <c r="BJ1745" i="4"/>
  <c r="BJ1607" i="4"/>
  <c r="BJ1482" i="4"/>
  <c r="BN1482" i="4" s="1"/>
  <c r="BJ1361" i="4"/>
  <c r="BK1266" i="4"/>
  <c r="BJ1162" i="4"/>
  <c r="BN1162" i="4" s="1"/>
  <c r="BJ1059" i="4"/>
  <c r="BJ975" i="4"/>
  <c r="BN975" i="4" s="1"/>
  <c r="BJ878" i="4"/>
  <c r="BJ800" i="4"/>
  <c r="BM800" i="4" s="1"/>
  <c r="BK736" i="4"/>
  <c r="BJ678" i="4"/>
  <c r="BJ618" i="4"/>
  <c r="BN618" i="4" s="1"/>
  <c r="BK562" i="4"/>
  <c r="BK504" i="4"/>
  <c r="BK451" i="4"/>
  <c r="BJ398" i="4"/>
  <c r="BJ343" i="4"/>
  <c r="BN343" i="4" s="1"/>
  <c r="BJ291" i="4"/>
  <c r="BK249" i="4"/>
  <c r="BK198" i="4"/>
  <c r="BK161" i="4"/>
  <c r="BJ127" i="4"/>
  <c r="BN127" i="4" s="1"/>
  <c r="BJ95" i="4"/>
  <c r="BK60" i="4"/>
  <c r="BK27" i="4"/>
  <c r="BK3447" i="4"/>
  <c r="BJ3198" i="4"/>
  <c r="BN3198" i="4" s="1"/>
  <c r="BK2838" i="4"/>
  <c r="BK2621" i="4"/>
  <c r="BK2421" i="4"/>
  <c r="BJ2221" i="4"/>
  <c r="BM2221" i="4" s="1"/>
  <c r="BK2054" i="4"/>
  <c r="BJ1876" i="4"/>
  <c r="BJ1725" i="4"/>
  <c r="BN1725" i="4" s="1"/>
  <c r="BK1603" i="4"/>
  <c r="BJ1470" i="4"/>
  <c r="BJ1354" i="4"/>
  <c r="BK1265" i="4"/>
  <c r="BJ1151" i="4"/>
  <c r="BK1057" i="4"/>
  <c r="BJ974" i="4"/>
  <c r="BN974" i="4" s="1"/>
  <c r="BJ877" i="4"/>
  <c r="BM877" i="4" s="1"/>
  <c r="BK799" i="4"/>
  <c r="BJ736" i="4"/>
  <c r="BM736" i="4" s="1"/>
  <c r="BJ673" i="4"/>
  <c r="BK617" i="4"/>
  <c r="BK558" i="4"/>
  <c r="BJ504" i="4"/>
  <c r="BN504" i="4" s="1"/>
  <c r="BK450" i="4"/>
  <c r="BJ395" i="4"/>
  <c r="BN395" i="4" s="1"/>
  <c r="BJ342" i="4"/>
  <c r="BK290" i="4"/>
  <c r="BJ238" i="4"/>
  <c r="BM238" i="4" s="1"/>
  <c r="BK197" i="4"/>
  <c r="BJ161" i="4"/>
  <c r="BM161" i="4" s="1"/>
  <c r="BJ126" i="4"/>
  <c r="BN126" i="4" s="1"/>
  <c r="BK94" i="4"/>
  <c r="BJ58" i="4"/>
  <c r="BN58" i="4" s="1"/>
  <c r="BJ25" i="4"/>
  <c r="BJ3446" i="4"/>
  <c r="BK3117" i="4"/>
  <c r="BJ2838" i="4"/>
  <c r="BK2617" i="4"/>
  <c r="BJ2420" i="4"/>
  <c r="BM2420" i="4" s="1"/>
  <c r="BK2215" i="4"/>
  <c r="BK2050" i="4"/>
  <c r="BK1874" i="4"/>
  <c r="BK1724" i="4"/>
  <c r="BK1596" i="4"/>
  <c r="BJ1461" i="4"/>
  <c r="BJ1353" i="4"/>
  <c r="BN1353" i="4" s="1"/>
  <c r="BK1264" i="4"/>
  <c r="BK1150" i="4"/>
  <c r="BK1054" i="4"/>
  <c r="BK965" i="4"/>
  <c r="BJ876" i="4"/>
  <c r="BM876" i="4" s="1"/>
  <c r="BK796" i="4"/>
  <c r="BJ735" i="4"/>
  <c r="BM735" i="4" s="1"/>
  <c r="BK669" i="4"/>
  <c r="BJ615" i="4"/>
  <c r="BN615" i="4" s="1"/>
  <c r="BK557" i="4"/>
  <c r="BK503" i="4"/>
  <c r="BK448" i="4"/>
  <c r="BK394" i="4"/>
  <c r="BK339" i="4"/>
  <c r="BJ290" i="4"/>
  <c r="BN290" i="4" s="1"/>
  <c r="BK237" i="4"/>
  <c r="BJ197" i="4"/>
  <c r="BK160" i="4"/>
  <c r="BK125" i="4"/>
  <c r="BJ91" i="4"/>
  <c r="BM91" i="4" s="1"/>
  <c r="BJ56" i="4"/>
  <c r="BM56" i="4" s="1"/>
  <c r="BK24" i="4"/>
  <c r="BJ3444" i="4"/>
  <c r="BJ3116" i="4"/>
  <c r="BN3116" i="4" s="1"/>
  <c r="BK2836" i="4"/>
  <c r="BK2606" i="4"/>
  <c r="BJ2408" i="4"/>
  <c r="BK2200" i="4"/>
  <c r="BJ2050" i="4"/>
  <c r="BN2050" i="4" s="1"/>
  <c r="BK1872" i="4"/>
  <c r="BJ1710" i="4"/>
  <c r="BM1710" i="4" s="1"/>
  <c r="BK1594" i="4"/>
  <c r="BJ1460" i="4"/>
  <c r="BN1460" i="4" s="1"/>
  <c r="BK1351" i="4"/>
  <c r="BJ1262" i="4"/>
  <c r="BK1149" i="4"/>
  <c r="BJ1054" i="4"/>
  <c r="BM1054" i="4" s="1"/>
  <c r="BK954" i="4"/>
  <c r="BK875" i="4"/>
  <c r="BK795" i="4"/>
  <c r="BK734" i="4"/>
  <c r="BK668" i="4"/>
  <c r="BK614" i="4"/>
  <c r="BK555" i="4"/>
  <c r="BJ503" i="4"/>
  <c r="BM503" i="4" s="1"/>
  <c r="BJ448" i="4"/>
  <c r="BM448" i="4" s="1"/>
  <c r="BK393" i="4"/>
  <c r="BJ339" i="4"/>
  <c r="BN339" i="4" s="1"/>
  <c r="BK286" i="4"/>
  <c r="BK234" i="4"/>
  <c r="BJ196" i="4"/>
  <c r="BM196" i="4" s="1"/>
  <c r="BJ160" i="4"/>
  <c r="BM160" i="4" s="1"/>
  <c r="BJ123" i="4"/>
  <c r="BN123" i="4" s="1"/>
  <c r="BJ87" i="4"/>
  <c r="BN87" i="4" s="1"/>
  <c r="BK55" i="4"/>
  <c r="BJ24" i="4"/>
  <c r="BK3418" i="4"/>
  <c r="BJ3062" i="4"/>
  <c r="BN3062" i="4" s="1"/>
  <c r="BJ2789" i="4"/>
  <c r="BK2595" i="4"/>
  <c r="BK2375" i="4"/>
  <c r="BJ2169" i="4"/>
  <c r="BJ2015" i="4"/>
  <c r="BM2015" i="4" s="1"/>
  <c r="BJ1870" i="4"/>
  <c r="BN1870" i="4" s="1"/>
  <c r="BJ1684" i="4"/>
  <c r="BN1684" i="4" s="1"/>
  <c r="BJ1565" i="4"/>
  <c r="BM1565" i="4" s="1"/>
  <c r="BJ3364" i="4"/>
  <c r="BN3364" i="4" s="1"/>
  <c r="BJ2976" i="4"/>
  <c r="BN2976" i="4" s="1"/>
  <c r="BJ2606" i="4"/>
  <c r="BK2318" i="4"/>
  <c r="BK2100" i="4"/>
  <c r="BJ1860" i="4"/>
  <c r="BK1638" i="4"/>
  <c r="BJ1500" i="4"/>
  <c r="BN1500" i="4" s="1"/>
  <c r="BK1332" i="4"/>
  <c r="BJ1207" i="4"/>
  <c r="BN1207" i="4" s="1"/>
  <c r="BK1087" i="4"/>
  <c r="BJ977" i="4"/>
  <c r="BK868" i="4"/>
  <c r="BK773" i="4"/>
  <c r="BJ695" i="4"/>
  <c r="BN695" i="4" s="1"/>
  <c r="BK630" i="4"/>
  <c r="BJ546" i="4"/>
  <c r="BJ488" i="4"/>
  <c r="BK414" i="4"/>
  <c r="BK358" i="4"/>
  <c r="BK291" i="4"/>
  <c r="BK232" i="4"/>
  <c r="BK182" i="4"/>
  <c r="BJ136" i="4"/>
  <c r="BM136" i="4" s="1"/>
  <c r="BK98" i="4"/>
  <c r="BK54" i="4"/>
  <c r="BJ15" i="4"/>
  <c r="BM15" i="4" s="1"/>
  <c r="BK3360" i="4"/>
  <c r="BK2970" i="4"/>
  <c r="BK2596" i="4"/>
  <c r="BK2317" i="4"/>
  <c r="BK2082" i="4"/>
  <c r="BJ1859" i="4"/>
  <c r="BJ1638" i="4"/>
  <c r="BJ1490" i="4"/>
  <c r="BM1490" i="4" s="1"/>
  <c r="BK1331" i="4"/>
  <c r="BK1204" i="4"/>
  <c r="BK1083" i="4"/>
  <c r="BJ952" i="4"/>
  <c r="BM952" i="4" s="1"/>
  <c r="BK862" i="4"/>
  <c r="BK766" i="4"/>
  <c r="BK694" i="4"/>
  <c r="BJ619" i="4"/>
  <c r="BJ545" i="4"/>
  <c r="BK486" i="4"/>
  <c r="BK413" i="4"/>
  <c r="BJ357" i="4"/>
  <c r="BM357" i="4" s="1"/>
  <c r="BK285" i="4"/>
  <c r="BJ232" i="4"/>
  <c r="BM232" i="4" s="1"/>
  <c r="BK181" i="4"/>
  <c r="BJ134" i="4"/>
  <c r="BJ98" i="4"/>
  <c r="BM98" i="4" s="1"/>
  <c r="BJ54" i="4"/>
  <c r="BJ13" i="4"/>
  <c r="BN13" i="4" s="1"/>
  <c r="BJ3281" i="4"/>
  <c r="BM3281" i="4" s="1"/>
  <c r="BJ2916" i="4"/>
  <c r="BK2594" i="4"/>
  <c r="BK2308" i="4"/>
  <c r="BK2071" i="4"/>
  <c r="BK1843" i="4"/>
  <c r="BJ1636" i="4"/>
  <c r="BM1636" i="4" s="1"/>
  <c r="BJ1459" i="4"/>
  <c r="BN1459" i="4" s="1"/>
  <c r="BK1330" i="4"/>
  <c r="BJ1204" i="4"/>
  <c r="BN1204" i="4" s="1"/>
  <c r="BJ1083" i="4"/>
  <c r="BM1083" i="4" s="1"/>
  <c r="BK944" i="4"/>
  <c r="BK847" i="4"/>
  <c r="BK757" i="4"/>
  <c r="BJ694" i="4"/>
  <c r="BK618" i="4"/>
  <c r="BJ543" i="4"/>
  <c r="BJ482" i="4"/>
  <c r="BN482" i="4" s="1"/>
  <c r="BJ413" i="4"/>
  <c r="BM413" i="4" s="1"/>
  <c r="BK355" i="4"/>
  <c r="BK284" i="4"/>
  <c r="BK228" i="4"/>
  <c r="BJ181" i="4"/>
  <c r="BN181" i="4" s="1"/>
  <c r="BJ133" i="4"/>
  <c r="BK97" i="4"/>
  <c r="BJ51" i="4"/>
  <c r="BJ11" i="4"/>
  <c r="BM11" i="4" s="1"/>
  <c r="BJ3277" i="4"/>
  <c r="BN3277" i="4" s="1"/>
  <c r="BK2915" i="4"/>
  <c r="BJ2593" i="4"/>
  <c r="BJ2298" i="4"/>
  <c r="BN2298" i="4" s="1"/>
  <c r="BJ2071" i="4"/>
  <c r="BN2071" i="4" s="1"/>
  <c r="BJ1818" i="4"/>
  <c r="BN1818" i="4" s="1"/>
  <c r="BJ1635" i="4"/>
  <c r="BM1635" i="4" s="1"/>
  <c r="BK1458" i="4"/>
  <c r="BJ1330" i="4"/>
  <c r="BN1330" i="4" s="1"/>
  <c r="BK1202" i="4"/>
  <c r="BK1082" i="4"/>
  <c r="BJ944" i="4"/>
  <c r="BK843" i="4"/>
  <c r="BK755" i="4"/>
  <c r="BK693" i="4"/>
  <c r="BJ614" i="4"/>
  <c r="BN614" i="4" s="1"/>
  <c r="BJ542" i="4"/>
  <c r="BN542" i="4" s="1"/>
  <c r="BJ478" i="4"/>
  <c r="BJ411" i="4"/>
  <c r="BN411" i="4" s="1"/>
  <c r="BJ355" i="4"/>
  <c r="BM355" i="4" s="1"/>
  <c r="BK280" i="4"/>
  <c r="BJ223" i="4"/>
  <c r="BM223" i="4" s="1"/>
  <c r="BK180" i="4"/>
  <c r="BK132" i="4"/>
  <c r="BK86" i="4"/>
  <c r="BK50" i="4"/>
  <c r="BK10" i="4"/>
  <c r="BK3276" i="4"/>
  <c r="BJ2908" i="4"/>
  <c r="BM2908" i="4" s="1"/>
  <c r="BK2536" i="4"/>
  <c r="BK2278" i="4"/>
  <c r="BJ2040" i="4"/>
  <c r="BN2040" i="4" s="1"/>
  <c r="BJ1816" i="4"/>
  <c r="BN1816" i="4" s="1"/>
  <c r="BK1634" i="4"/>
  <c r="BJ1458" i="4"/>
  <c r="BM1458" i="4" s="1"/>
  <c r="BK1327" i="4"/>
  <c r="BJ1193" i="4"/>
  <c r="BM1193" i="4" s="1"/>
  <c r="BK1077" i="4"/>
  <c r="BK943" i="4"/>
  <c r="BK842" i="4"/>
  <c r="BJ754" i="4"/>
  <c r="BM754" i="4" s="1"/>
  <c r="BK692" i="4"/>
  <c r="BJ608" i="4"/>
  <c r="BM608" i="4" s="1"/>
  <c r="BK541" i="4"/>
  <c r="BJ474" i="4"/>
  <c r="BN474" i="4" s="1"/>
  <c r="BK410" i="4"/>
  <c r="BK351" i="4"/>
  <c r="BK273" i="4"/>
  <c r="BJ221" i="4"/>
  <c r="BJ173" i="4"/>
  <c r="BM173" i="4" s="1"/>
  <c r="BK129" i="4"/>
  <c r="BJ84" i="4"/>
  <c r="BM84" i="4" s="1"/>
  <c r="BK49" i="4"/>
  <c r="BJ10" i="4"/>
  <c r="BN10" i="4" s="1"/>
  <c r="BJ3276" i="4"/>
  <c r="BN3276" i="4" s="1"/>
  <c r="BJ2905" i="4"/>
  <c r="BN2905" i="4" s="1"/>
  <c r="BK2530" i="4"/>
  <c r="BK2276" i="4"/>
  <c r="BK2015" i="4"/>
  <c r="BK1815" i="4"/>
  <c r="BJ1623" i="4"/>
  <c r="BM1623" i="4" s="1"/>
  <c r="BJ1457" i="4"/>
  <c r="BK1312" i="4"/>
  <c r="BK1176" i="4"/>
  <c r="BK1033" i="4"/>
  <c r="BJ941" i="4"/>
  <c r="BN941" i="4" s="1"/>
  <c r="BK837" i="4"/>
  <c r="BK752" i="4"/>
  <c r="BK691" i="4"/>
  <c r="BK601" i="4"/>
  <c r="BJ541" i="4"/>
  <c r="BN541" i="4" s="1"/>
  <c r="BJ470" i="4"/>
  <c r="BN470" i="4" s="1"/>
  <c r="BJ410" i="4"/>
  <c r="BM410" i="4" s="1"/>
  <c r="BK338" i="4"/>
  <c r="BJ271" i="4"/>
  <c r="BK220" i="4"/>
  <c r="BJ171" i="4"/>
  <c r="BN171" i="4" s="1"/>
  <c r="BJ129" i="4"/>
  <c r="BN129" i="4" s="1"/>
  <c r="BK83" i="4"/>
  <c r="BJ49" i="4"/>
  <c r="BM49" i="4" s="1"/>
  <c r="BK9" i="4"/>
  <c r="BJ3275" i="4"/>
  <c r="BN3275" i="4" s="1"/>
  <c r="BK2831" i="4"/>
  <c r="BJ2529" i="4"/>
  <c r="BK2269" i="4"/>
  <c r="BK2005" i="4"/>
  <c r="BJ1812" i="4"/>
  <c r="BJ1610" i="4"/>
  <c r="BN1610" i="4" s="1"/>
  <c r="BJ1445" i="4"/>
  <c r="BN1445" i="4" s="1"/>
  <c r="BJ1300" i="4"/>
  <c r="BM1300" i="4" s="1"/>
  <c r="BK1175" i="4"/>
  <c r="BJ1032" i="4"/>
  <c r="BN1032" i="4" s="1"/>
  <c r="BJ929" i="4"/>
  <c r="BN929" i="4" s="1"/>
  <c r="BJ828" i="4"/>
  <c r="BN828" i="4" s="1"/>
  <c r="BJ752" i="4"/>
  <c r="BN752" i="4" s="1"/>
  <c r="BK683" i="4"/>
  <c r="BK600" i="4"/>
  <c r="BK540" i="4"/>
  <c r="BJ467" i="4"/>
  <c r="BN467" i="4" s="1"/>
  <c r="BJ403" i="4"/>
  <c r="BJ333" i="4"/>
  <c r="BN333" i="4" s="1"/>
  <c r="BK270" i="4"/>
  <c r="BJ219" i="4"/>
  <c r="BN219" i="4" s="1"/>
  <c r="BJ169" i="4"/>
  <c r="BM169" i="4" s="1"/>
  <c r="BJ128" i="4"/>
  <c r="BM128" i="4" s="1"/>
  <c r="BK82" i="4"/>
  <c r="BJ44" i="4"/>
  <c r="BM44" i="4" s="1"/>
  <c r="BJ7" i="4"/>
  <c r="BM7" i="4" s="1"/>
  <c r="BK3227" i="4"/>
  <c r="BJ2831" i="4"/>
  <c r="BN2831" i="4" s="1"/>
  <c r="BJ2497" i="4"/>
  <c r="BJ2264" i="4"/>
  <c r="BN2264" i="4" s="1"/>
  <c r="BK2003" i="4"/>
  <c r="BJ1778" i="4"/>
  <c r="BN1778" i="4" s="1"/>
  <c r="BJ1609" i="4"/>
  <c r="BN1609" i="4" s="1"/>
  <c r="BJ1431" i="4"/>
  <c r="BN1431" i="4" s="1"/>
  <c r="BK1298" i="4"/>
  <c r="BJ1173" i="4"/>
  <c r="BJ1030" i="4"/>
  <c r="BM1030" i="4" s="1"/>
  <c r="BK928" i="4"/>
  <c r="BK826" i="4"/>
  <c r="BK751" i="4"/>
  <c r="BJ668" i="4"/>
  <c r="BM668" i="4" s="1"/>
  <c r="BK599" i="4"/>
  <c r="BJ540" i="4"/>
  <c r="BM540" i="4" s="1"/>
  <c r="BK466" i="4"/>
  <c r="BJ399" i="4"/>
  <c r="BK326" i="4"/>
  <c r="BJ269" i="4"/>
  <c r="BN269" i="4" s="1"/>
  <c r="BK218" i="4"/>
  <c r="BK168" i="4"/>
  <c r="BK120" i="4"/>
  <c r="BJ82" i="4"/>
  <c r="BM82" i="4" s="1"/>
  <c r="BJ40" i="4"/>
  <c r="BM40" i="4" s="1"/>
  <c r="BK5" i="4"/>
  <c r="BJ3221" i="4"/>
  <c r="BM3221" i="4" s="1"/>
  <c r="BK2784" i="4"/>
  <c r="BJ2489" i="4"/>
  <c r="BM2489" i="4" s="1"/>
  <c r="BK2263" i="4"/>
  <c r="BK1995" i="4"/>
  <c r="BJ1776" i="4"/>
  <c r="BN1776" i="4" s="1"/>
  <c r="BJ1589" i="4"/>
  <c r="BJ1430" i="4"/>
  <c r="BN1430" i="4" s="1"/>
  <c r="BJ1292" i="4"/>
  <c r="BM1292" i="4" s="1"/>
  <c r="BJ1172" i="4"/>
  <c r="BM1172" i="4" s="1"/>
  <c r="BK1029" i="4"/>
  <c r="BJ928" i="4"/>
  <c r="BM928" i="4" s="1"/>
  <c r="BJ826" i="4"/>
  <c r="BN826" i="4" s="1"/>
  <c r="BJ747" i="4"/>
  <c r="BK655" i="4"/>
  <c r="BK595" i="4"/>
  <c r="BK539" i="4"/>
  <c r="BJ466" i="4"/>
  <c r="BM466" i="4" s="1"/>
  <c r="BK398" i="4"/>
  <c r="BJ326" i="4"/>
  <c r="BM326" i="4" s="1"/>
  <c r="BK268" i="4"/>
  <c r="BJ218" i="4"/>
  <c r="BM218" i="4" s="1"/>
  <c r="BK165" i="4"/>
  <c r="BK115" i="4"/>
  <c r="BK80" i="4"/>
  <c r="BK39" i="4"/>
  <c r="BJ5" i="4"/>
  <c r="BN5" i="4" s="1"/>
  <c r="BJ3220" i="4"/>
  <c r="BJ2783" i="4"/>
  <c r="BK2486" i="4"/>
  <c r="BK2262" i="4"/>
  <c r="BK1990" i="4"/>
  <c r="BJ1765" i="4"/>
  <c r="BN1765" i="4" s="1"/>
  <c r="BJ1570" i="4"/>
  <c r="BN1570" i="4" s="1"/>
  <c r="BK1422" i="4"/>
  <c r="BK1286" i="4"/>
  <c r="BJ1146" i="4"/>
  <c r="BN1146" i="4" s="1"/>
  <c r="BJ1029" i="4"/>
  <c r="BK927" i="4"/>
  <c r="BK825" i="4"/>
  <c r="BJ739" i="4"/>
  <c r="BN739" i="4" s="1"/>
  <c r="BJ655" i="4"/>
  <c r="BK593" i="4"/>
  <c r="BK526" i="4"/>
  <c r="BK465" i="4"/>
  <c r="BK391" i="4"/>
  <c r="BK325" i="4"/>
  <c r="BJ268" i="4"/>
  <c r="BN268" i="4" s="1"/>
  <c r="BJ217" i="4"/>
  <c r="BN217" i="4" s="1"/>
  <c r="BJ164" i="4"/>
  <c r="BN164" i="4" s="1"/>
  <c r="BJ114" i="4"/>
  <c r="BN114" i="4" s="1"/>
  <c r="BJ80" i="4"/>
  <c r="BK38" i="4"/>
  <c r="BJ4" i="4"/>
  <c r="BM4" i="4" s="1"/>
  <c r="BK3202" i="4"/>
  <c r="BK2769" i="4"/>
  <c r="BJ2486" i="4"/>
  <c r="BJ2196" i="4"/>
  <c r="BK1967" i="4"/>
  <c r="BJ1764" i="4"/>
  <c r="BN1764" i="4" s="1"/>
  <c r="BK1564" i="4"/>
  <c r="BK1421" i="4"/>
  <c r="BJ1273" i="4"/>
  <c r="BN1273" i="4" s="1"/>
  <c r="BK1144" i="4"/>
  <c r="BK1028" i="4"/>
  <c r="BK926" i="4"/>
  <c r="BK824" i="4"/>
  <c r="BJ738" i="4"/>
  <c r="BK654" i="4"/>
  <c r="BJ593" i="4"/>
  <c r="BK525" i="4"/>
  <c r="BJ465" i="4"/>
  <c r="BN465" i="4" s="1"/>
  <c r="BK390" i="4"/>
  <c r="BK322" i="4"/>
  <c r="BK267" i="4"/>
  <c r="BK209" i="4"/>
  <c r="BK162" i="4"/>
  <c r="BK113" i="4"/>
  <c r="BK79" i="4"/>
  <c r="BJ38" i="4"/>
  <c r="BK3" i="4"/>
  <c r="BK3061" i="4"/>
  <c r="BJ2461" i="4"/>
  <c r="BM2461" i="4" s="1"/>
  <c r="BJ1958" i="4"/>
  <c r="BM1958" i="4" s="1"/>
  <c r="BJ1538" i="4"/>
  <c r="BM1538" i="4" s="1"/>
  <c r="BK1251" i="4"/>
  <c r="BJ1006" i="4"/>
  <c r="BN1006" i="4" s="1"/>
  <c r="BK802" i="4"/>
  <c r="BJ652" i="4"/>
  <c r="BM652" i="4" s="1"/>
  <c r="BJ509" i="4"/>
  <c r="BJ375" i="4"/>
  <c r="BN375" i="4" s="1"/>
  <c r="BJ256" i="4"/>
  <c r="BK148" i="4"/>
  <c r="BJ69" i="4"/>
  <c r="BM69" i="4" s="1"/>
  <c r="BK3054" i="4"/>
  <c r="BK2430" i="4"/>
  <c r="BK1957" i="4"/>
  <c r="BK1537" i="4"/>
  <c r="BK1236" i="4"/>
  <c r="BK1005" i="4"/>
  <c r="BK794" i="4"/>
  <c r="BK651" i="4"/>
  <c r="BK507" i="4"/>
  <c r="BK374" i="4"/>
  <c r="BK255" i="4"/>
  <c r="BJ148" i="4"/>
  <c r="BN148" i="4" s="1"/>
  <c r="BK68" i="4"/>
  <c r="BJ3054" i="4"/>
  <c r="BM3054" i="4" s="1"/>
  <c r="BK2385" i="4"/>
  <c r="BJ1956" i="4"/>
  <c r="BN1956" i="4" s="1"/>
  <c r="BK1535" i="4"/>
  <c r="BJ1236" i="4"/>
  <c r="BN1236" i="4" s="1"/>
  <c r="BJ1000" i="4"/>
  <c r="BM1000" i="4" s="1"/>
  <c r="BJ791" i="4"/>
  <c r="BJ644" i="4"/>
  <c r="BK506" i="4"/>
  <c r="BK367" i="4"/>
  <c r="BJ254" i="4"/>
  <c r="BN254" i="4" s="1"/>
  <c r="BJ147" i="4"/>
  <c r="BN147" i="4" s="1"/>
  <c r="BJ68" i="4"/>
  <c r="BN68" i="4" s="1"/>
  <c r="BJ3041" i="4"/>
  <c r="BN3041" i="4" s="1"/>
  <c r="BJ2382" i="4"/>
  <c r="BM2382" i="4" s="1"/>
  <c r="BJ1912" i="4"/>
  <c r="BJ1528" i="4"/>
  <c r="BN1528" i="4" s="1"/>
  <c r="BK1231" i="4"/>
  <c r="BK998" i="4"/>
  <c r="BJ780" i="4"/>
  <c r="BM780" i="4" s="1"/>
  <c r="BJ639" i="4"/>
  <c r="BM639" i="4" s="1"/>
  <c r="BK502" i="4"/>
  <c r="BK363" i="4"/>
  <c r="BK253" i="4"/>
  <c r="BK146" i="4"/>
  <c r="BJ3033" i="4"/>
  <c r="BN3033" i="4" s="1"/>
  <c r="BJ2375" i="4"/>
  <c r="BN2375" i="4" s="1"/>
  <c r="BJ1907" i="4"/>
  <c r="BJ1527" i="4"/>
  <c r="BM1527" i="4" s="1"/>
  <c r="BJ1222" i="4"/>
  <c r="BM1222" i="4" s="1"/>
  <c r="BK991" i="4"/>
  <c r="BJ779" i="4"/>
  <c r="BK637" i="4"/>
  <c r="BJ502" i="4"/>
  <c r="BM502" i="4" s="1"/>
  <c r="BK362" i="4"/>
  <c r="BK252" i="4"/>
  <c r="BJ146" i="4"/>
  <c r="BN146" i="4" s="1"/>
  <c r="BJ67" i="4"/>
  <c r="BK3031" i="4"/>
  <c r="BJ2352" i="4"/>
  <c r="BK1902" i="4"/>
  <c r="BK1526" i="4"/>
  <c r="BJ1213" i="4"/>
  <c r="BN1213" i="4" s="1"/>
  <c r="BK978" i="4"/>
  <c r="BK778" i="4"/>
  <c r="BJ635" i="4"/>
  <c r="BJ499" i="4"/>
  <c r="BJ362" i="4"/>
  <c r="BN362" i="4" s="1"/>
  <c r="BJ234" i="4"/>
  <c r="BN234" i="4" s="1"/>
  <c r="BK145" i="4"/>
  <c r="BK66" i="4"/>
  <c r="BK2993" i="4"/>
  <c r="BJ2327" i="4"/>
  <c r="BM2327" i="4" s="1"/>
  <c r="BJ1872" i="4"/>
  <c r="BN1872" i="4" s="1"/>
  <c r="BJ1526" i="4"/>
  <c r="BM1526" i="4" s="1"/>
  <c r="BK1210" i="4"/>
  <c r="BJ978" i="4"/>
  <c r="BN978" i="4" s="1"/>
  <c r="BJ778" i="4"/>
  <c r="BM778" i="4" s="1"/>
  <c r="BK631" i="4"/>
  <c r="BK489" i="4"/>
  <c r="BK361" i="4"/>
  <c r="BK233" i="4"/>
  <c r="BK144" i="4"/>
  <c r="BJ66" i="4"/>
  <c r="BM66" i="4" s="1"/>
  <c r="BK2990" i="4"/>
  <c r="BJ2323" i="4"/>
  <c r="BM2323" i="4" s="1"/>
  <c r="BK1870" i="4"/>
  <c r="BK1521" i="4"/>
  <c r="BK1208" i="4"/>
  <c r="BK977" i="4"/>
  <c r="BK777" i="4"/>
  <c r="BJ631" i="4"/>
  <c r="BM631" i="4" s="1"/>
  <c r="BK488" i="4"/>
  <c r="BJ359" i="4"/>
  <c r="BN359" i="4" s="1"/>
  <c r="BJ233" i="4"/>
  <c r="BJ138" i="4"/>
  <c r="BM138" i="4" s="1"/>
  <c r="BJ55" i="4"/>
  <c r="BN55" i="4" s="1"/>
  <c r="BK3539" i="4"/>
  <c r="BJ2768" i="4"/>
  <c r="BK2166" i="4"/>
  <c r="BJ1762" i="4"/>
  <c r="BM1762" i="4" s="1"/>
  <c r="BJ1395" i="4"/>
  <c r="BJ1117" i="4"/>
  <c r="BM1117" i="4" s="1"/>
  <c r="BJ914" i="4"/>
  <c r="BN914" i="4" s="1"/>
  <c r="BK724" i="4"/>
  <c r="BJ581" i="4"/>
  <c r="BM581" i="4" s="1"/>
  <c r="BJ445" i="4"/>
  <c r="BM445" i="4" s="1"/>
  <c r="BK319" i="4"/>
  <c r="BK201" i="4"/>
  <c r="BJ112" i="4"/>
  <c r="BN112" i="4" s="1"/>
  <c r="BJ36" i="4"/>
  <c r="BN36" i="4" s="1"/>
  <c r="BK3365" i="4"/>
  <c r="BJ2158" i="4"/>
  <c r="BM2158" i="4" s="1"/>
  <c r="BK1418" i="4"/>
  <c r="BK1090" i="4"/>
  <c r="BJ709" i="4"/>
  <c r="BK452" i="4"/>
  <c r="BJ262" i="4"/>
  <c r="BN262" i="4" s="1"/>
  <c r="BK100" i="4"/>
  <c r="BJ3365" i="4"/>
  <c r="BN3365" i="4" s="1"/>
  <c r="BJ2157" i="4"/>
  <c r="BN2157" i="4" s="1"/>
  <c r="BJ1410" i="4"/>
  <c r="BM1410" i="4" s="1"/>
  <c r="BJ1028" i="4"/>
  <c r="BN1028" i="4" s="1"/>
  <c r="BK706" i="4"/>
  <c r="BJ441" i="4"/>
  <c r="BN441" i="4" s="1"/>
  <c r="BK258" i="4"/>
  <c r="BJ100" i="4"/>
  <c r="BN100" i="4" s="1"/>
  <c r="BJ3202" i="4"/>
  <c r="BJ2154" i="4"/>
  <c r="BN2154" i="4" s="1"/>
  <c r="BJ1394" i="4"/>
  <c r="BJ1026" i="4"/>
  <c r="BN1026" i="4" s="1"/>
  <c r="BK696" i="4"/>
  <c r="BJ436" i="4"/>
  <c r="BK256" i="4"/>
  <c r="BK99" i="4"/>
  <c r="BK3114" i="4"/>
  <c r="BJ2136" i="4"/>
  <c r="BN2136" i="4" s="1"/>
  <c r="BJ1393" i="4"/>
  <c r="BM1393" i="4" s="1"/>
  <c r="BJ1018" i="4"/>
  <c r="BN1018" i="4" s="1"/>
  <c r="BJ696" i="4"/>
  <c r="BN696" i="4" s="1"/>
  <c r="BJ435" i="4"/>
  <c r="BN435" i="4" s="1"/>
  <c r="BK206" i="4"/>
  <c r="BJ99" i="4"/>
  <c r="BN99" i="4" s="1"/>
  <c r="BJ3072" i="4"/>
  <c r="BM3072" i="4" s="1"/>
  <c r="BK2110" i="4"/>
  <c r="BK1392" i="4"/>
  <c r="BJ925" i="4"/>
  <c r="BM925" i="4" s="1"/>
  <c r="BK695" i="4"/>
  <c r="BJ432" i="4"/>
  <c r="BM432" i="4" s="1"/>
  <c r="BJ202" i="4"/>
  <c r="BN202" i="4" s="1"/>
  <c r="BJ77" i="4"/>
  <c r="BM77" i="4" s="1"/>
  <c r="BJ2769" i="4"/>
  <c r="BN2769" i="4" s="1"/>
  <c r="BK2109" i="4"/>
  <c r="BJ1392" i="4"/>
  <c r="BN1392" i="4" s="1"/>
  <c r="BJ923" i="4"/>
  <c r="BM923" i="4" s="1"/>
  <c r="BJ654" i="4"/>
  <c r="BM654" i="4" s="1"/>
  <c r="BJ431" i="4"/>
  <c r="BN431" i="4" s="1"/>
  <c r="BJ199" i="4"/>
  <c r="BJ70" i="4"/>
  <c r="BK2768" i="4"/>
  <c r="BK1966" i="4"/>
  <c r="BJ1379" i="4"/>
  <c r="BM1379" i="4" s="1"/>
  <c r="BK902" i="4"/>
  <c r="BK653" i="4"/>
  <c r="BK429" i="4"/>
  <c r="BK195" i="4"/>
  <c r="BK69" i="4"/>
  <c r="BK2767" i="4"/>
  <c r="BJ1962" i="4"/>
  <c r="BM1962" i="4" s="1"/>
  <c r="BJ1348" i="4"/>
  <c r="BJ894" i="4"/>
  <c r="BK652" i="4"/>
  <c r="BK428" i="4"/>
  <c r="BJ193" i="4"/>
  <c r="BM193" i="4" s="1"/>
  <c r="BK67" i="4"/>
  <c r="BK2722" i="4"/>
  <c r="BJ1961" i="4"/>
  <c r="BM1961" i="4" s="1"/>
  <c r="BK1333" i="4"/>
  <c r="BK893" i="4"/>
  <c r="BJ590" i="4"/>
  <c r="BJ424" i="4"/>
  <c r="BK188" i="4"/>
  <c r="BJ37" i="4"/>
  <c r="BK2720" i="4"/>
  <c r="BJ1763" i="4"/>
  <c r="BM1763" i="4" s="1"/>
  <c r="BK1272" i="4"/>
  <c r="BK878" i="4"/>
  <c r="BJ580" i="4"/>
  <c r="BN580" i="4" s="1"/>
  <c r="BK378" i="4"/>
  <c r="BJ184" i="4"/>
  <c r="BN184" i="4" s="1"/>
  <c r="BJ35" i="4"/>
  <c r="BM35" i="4" s="1"/>
  <c r="BK2670" i="4"/>
  <c r="BJ1709" i="4"/>
  <c r="BN1709" i="4" s="1"/>
  <c r="BK1271" i="4"/>
  <c r="BJ875" i="4"/>
  <c r="BN875" i="4" s="1"/>
  <c r="BK579" i="4"/>
  <c r="BK377" i="4"/>
  <c r="BK183" i="4"/>
  <c r="BK34" i="4"/>
  <c r="BJ304" i="4"/>
  <c r="BN304" i="4" s="1"/>
  <c r="BK732" i="4"/>
  <c r="BJ1660" i="4"/>
  <c r="BN1660" i="4" s="1"/>
  <c r="BJ3537" i="4"/>
  <c r="BM3537" i="4" s="1"/>
  <c r="P644" i="2"/>
  <c r="S644" i="2" s="1"/>
  <c r="T644" i="2" s="1"/>
  <c r="N644" i="2"/>
  <c r="BJ21" i="4"/>
  <c r="BK305" i="4"/>
  <c r="BJ733" i="4"/>
  <c r="BN733" i="4" s="1"/>
  <c r="BJ1674" i="4"/>
  <c r="BJ3538" i="4"/>
  <c r="BN3538" i="4" s="1"/>
  <c r="BB672" i="4"/>
  <c r="BA672" i="4"/>
  <c r="BJ1675" i="4"/>
  <c r="U24" i="2"/>
  <c r="U98" i="2"/>
  <c r="U237" i="2"/>
  <c r="U246" i="2"/>
  <c r="U273" i="2"/>
  <c r="U277" i="2"/>
  <c r="U286" i="2"/>
  <c r="U495" i="2"/>
  <c r="U555" i="2"/>
  <c r="U639" i="2"/>
  <c r="V639" i="2"/>
  <c r="V657" i="2"/>
  <c r="V663" i="2"/>
  <c r="V671" i="2"/>
  <c r="BK22" i="4"/>
  <c r="BJ316" i="4"/>
  <c r="BK819" i="4"/>
  <c r="BK1682" i="4"/>
  <c r="U30" i="2"/>
  <c r="U46" i="2"/>
  <c r="U79" i="2"/>
  <c r="U187" i="2"/>
  <c r="U191" i="2"/>
  <c r="U204" i="2"/>
  <c r="U347" i="2"/>
  <c r="U351" i="2"/>
  <c r="V444" i="2"/>
  <c r="P444" i="2" s="1"/>
  <c r="S444" i="2" s="1"/>
  <c r="T444" i="2" s="1"/>
  <c r="O583" i="2"/>
  <c r="U632" i="2"/>
  <c r="V632" i="2"/>
  <c r="N642" i="2"/>
  <c r="Q642" i="2" s="1"/>
  <c r="V647" i="2"/>
  <c r="Y733" i="2"/>
  <c r="X734" i="2"/>
  <c r="AA734" i="2" s="1"/>
  <c r="Y680" i="2"/>
  <c r="Y727" i="2"/>
  <c r="X680" i="2"/>
  <c r="AA680" i="2" s="1"/>
  <c r="Y724" i="2"/>
  <c r="Y679" i="2"/>
  <c r="X724" i="2"/>
  <c r="AA724" i="2" s="1"/>
  <c r="X679" i="2"/>
  <c r="AA679" i="2" s="1"/>
  <c r="X723" i="2"/>
  <c r="AA723" i="2" s="1"/>
  <c r="Y669" i="2"/>
  <c r="Y716" i="2"/>
  <c r="X669" i="2"/>
  <c r="X712" i="2"/>
  <c r="AA712" i="2" s="1"/>
  <c r="Y658" i="2"/>
  <c r="Y701" i="2"/>
  <c r="Y694" i="2"/>
  <c r="Y690" i="2"/>
  <c r="X668" i="2"/>
  <c r="Z668" i="2" s="1"/>
  <c r="Y661" i="2"/>
  <c r="BK23" i="4"/>
  <c r="BJ321" i="4"/>
  <c r="BM321" i="4" s="1"/>
  <c r="BK873" i="4"/>
  <c r="BK1683" i="4"/>
  <c r="U638" i="4"/>
  <c r="V638" i="4"/>
  <c r="U8" i="2"/>
  <c r="U89" i="2"/>
  <c r="U164" i="2"/>
  <c r="U183" i="2"/>
  <c r="U242" i="2"/>
  <c r="U269" i="2"/>
  <c r="U502" i="2"/>
  <c r="V518" i="2"/>
  <c r="P518" i="2" s="1"/>
  <c r="S518" i="2" s="1"/>
  <c r="T518" i="2" s="1"/>
  <c r="V530" i="2"/>
  <c r="O530" i="2" s="1"/>
  <c r="U546" i="2"/>
  <c r="N590" i="2"/>
  <c r="Q590" i="2" s="1"/>
  <c r="U627" i="2"/>
  <c r="O642" i="2"/>
  <c r="R642" i="2" s="1"/>
  <c r="X657" i="2"/>
  <c r="V664" i="2"/>
  <c r="U664" i="2"/>
  <c r="BJ32" i="4"/>
  <c r="BM32" i="4" s="1"/>
  <c r="BJ322" i="4"/>
  <c r="BN322" i="4" s="1"/>
  <c r="BJ874" i="4"/>
  <c r="BN874" i="4" s="1"/>
  <c r="BJ1703" i="4"/>
  <c r="U433" i="2"/>
  <c r="N454" i="2"/>
  <c r="Q454" i="2" s="1"/>
  <c r="U456" i="2"/>
  <c r="V539" i="2"/>
  <c r="O539" i="2" s="1"/>
  <c r="O590" i="2"/>
  <c r="R590" i="2" s="1"/>
  <c r="U612" i="2"/>
  <c r="N623" i="2"/>
  <c r="V650" i="2"/>
  <c r="O650" i="2" s="1"/>
  <c r="Y657" i="2"/>
  <c r="BK36" i="4"/>
  <c r="BK387" i="4"/>
  <c r="BK890" i="4"/>
  <c r="BK1763" i="4"/>
  <c r="BJ818" i="4"/>
  <c r="BM818" i="4" s="1"/>
  <c r="N375" i="2"/>
  <c r="Q375" i="2" s="1"/>
  <c r="O454" i="2"/>
  <c r="R454" i="2" s="1"/>
  <c r="N484" i="2"/>
  <c r="Q484" i="2" s="1"/>
  <c r="U500" i="2"/>
  <c r="O551" i="2"/>
  <c r="R551" i="2" s="1"/>
  <c r="U579" i="2"/>
  <c r="BJ103" i="4"/>
  <c r="BJ461" i="4"/>
  <c r="BM461" i="4" s="1"/>
  <c r="BJ1091" i="4"/>
  <c r="BN1091" i="4" s="1"/>
  <c r="BK2159" i="4"/>
  <c r="BJ307" i="4"/>
  <c r="BM307" i="4" s="1"/>
  <c r="U3" i="2"/>
  <c r="U20" i="2"/>
  <c r="U42" i="2"/>
  <c r="U122" i="2"/>
  <c r="V136" i="2"/>
  <c r="V179" i="2"/>
  <c r="U214" i="2"/>
  <c r="U219" i="2"/>
  <c r="V238" i="2"/>
  <c r="U317" i="2"/>
  <c r="U344" i="2"/>
  <c r="O375" i="2"/>
  <c r="R375" i="2" s="1"/>
  <c r="U381" i="2"/>
  <c r="O415" i="2"/>
  <c r="U424" i="2"/>
  <c r="O461" i="2"/>
  <c r="V474" i="2"/>
  <c r="N474" i="2" s="1"/>
  <c r="O484" i="2"/>
  <c r="R484" i="2" s="1"/>
  <c r="V486" i="2"/>
  <c r="N486" i="2" s="1"/>
  <c r="U493" i="2"/>
  <c r="U507" i="2"/>
  <c r="V507" i="2"/>
  <c r="U535" i="2"/>
  <c r="U537" i="2"/>
  <c r="U544" i="2"/>
  <c r="N551" i="2"/>
  <c r="Q551" i="2" s="1"/>
  <c r="V562" i="2"/>
  <c r="P562" i="2" s="1"/>
  <c r="U601" i="2"/>
  <c r="V610" i="2"/>
  <c r="P610" i="2" s="1"/>
  <c r="S610" i="2" s="1"/>
  <c r="T610" i="2" s="1"/>
  <c r="U637" i="2"/>
  <c r="Y668" i="2"/>
  <c r="V665" i="2"/>
  <c r="BJ106" i="4"/>
  <c r="BN106" i="4" s="1"/>
  <c r="BJ515" i="4"/>
  <c r="BN515" i="4" s="1"/>
  <c r="BK1094" i="4"/>
  <c r="BJ2160" i="4"/>
  <c r="BN2160" i="4" s="1"/>
  <c r="BK21" i="4"/>
  <c r="BJ813" i="4"/>
  <c r="BN813" i="4" s="1"/>
  <c r="BJ3539" i="4"/>
  <c r="BN3539" i="4" s="1"/>
  <c r="V634" i="2"/>
  <c r="U634" i="2"/>
  <c r="U388" i="2"/>
  <c r="P429" i="2"/>
  <c r="S429" i="2" s="1"/>
  <c r="T429" i="2" s="1"/>
  <c r="V442" i="2"/>
  <c r="U521" i="2"/>
  <c r="V574" i="2"/>
  <c r="O574" i="2" s="1"/>
  <c r="Y672" i="2"/>
  <c r="BK110" i="4"/>
  <c r="BK521" i="4"/>
  <c r="BJ1095" i="4"/>
  <c r="BM1095" i="4" s="1"/>
  <c r="BK2168" i="4"/>
  <c r="BJ306" i="4"/>
  <c r="BJ22" i="4"/>
  <c r="BN22" i="4" s="1"/>
  <c r="BJ1682" i="4"/>
  <c r="BN1682" i="4" s="1"/>
  <c r="V379" i="2"/>
  <c r="P477" i="2"/>
  <c r="S477" i="2" s="1"/>
  <c r="T477" i="2" s="1"/>
  <c r="N491" i="2"/>
  <c r="N526" i="2"/>
  <c r="P526" i="2"/>
  <c r="S526" i="2" s="1"/>
  <c r="T526" i="2" s="1"/>
  <c r="V560" i="2"/>
  <c r="O560" i="2" s="1"/>
  <c r="P595" i="2"/>
  <c r="BJ111" i="4"/>
  <c r="BM111" i="4" s="1"/>
  <c r="BJ525" i="4"/>
  <c r="BJ1102" i="4"/>
  <c r="BK2170" i="4"/>
  <c r="BC6194" i="4"/>
  <c r="BD5902" i="4"/>
  <c r="BC5418" i="4"/>
  <c r="BF5418" i="4" s="1"/>
  <c r="BD5033" i="4"/>
  <c r="BC4656" i="4"/>
  <c r="BF4656" i="4" s="1"/>
  <c r="BC4284" i="4"/>
  <c r="BG4284" i="4" s="1"/>
  <c r="BC3949" i="4"/>
  <c r="BC3727" i="4"/>
  <c r="BF3727" i="4" s="1"/>
  <c r="BC3552" i="4"/>
  <c r="BG3552" i="4" s="1"/>
  <c r="BC6311" i="4"/>
  <c r="BD5630" i="4"/>
  <c r="BC5218" i="4"/>
  <c r="BC4833" i="4"/>
  <c r="BG4833" i="4" s="1"/>
  <c r="BC4382" i="4"/>
  <c r="BD4051" i="4"/>
  <c r="BD3823" i="4"/>
  <c r="BD3564" i="4"/>
  <c r="BC3377" i="4"/>
  <c r="BC3214" i="4"/>
  <c r="BF3214" i="4" s="1"/>
  <c r="BD3053" i="4"/>
  <c r="BD2911" i="4"/>
  <c r="BC2763" i="4"/>
  <c r="BC2651" i="4"/>
  <c r="BC2545" i="4"/>
  <c r="BG2545" i="4" s="1"/>
  <c r="BD2448" i="4"/>
  <c r="BD2355" i="4"/>
  <c r="BC2249" i="4"/>
  <c r="BF2249" i="4" s="1"/>
  <c r="BD2158" i="4"/>
  <c r="BD2069" i="4"/>
  <c r="BD1980" i="4"/>
  <c r="BD1902" i="4"/>
  <c r="BC1795" i="4"/>
  <c r="BG1795" i="4" s="1"/>
  <c r="BD1705" i="4"/>
  <c r="BC1619" i="4"/>
  <c r="BG1619" i="4" s="1"/>
  <c r="BC1539" i="4"/>
  <c r="BC1467" i="4"/>
  <c r="BD1373" i="4"/>
  <c r="BC1292" i="4"/>
  <c r="BF1292" i="4" s="1"/>
  <c r="BC1213" i="4"/>
  <c r="BC1134" i="4"/>
  <c r="BG1134" i="4" s="1"/>
  <c r="BC1055" i="4"/>
  <c r="BG1055" i="4" s="1"/>
  <c r="BD969" i="4"/>
  <c r="BD900" i="4"/>
  <c r="BD839" i="4"/>
  <c r="BD771" i="4"/>
  <c r="BC704" i="4"/>
  <c r="BF704" i="4" s="1"/>
  <c r="BC647" i="4"/>
  <c r="BG647" i="4" s="1"/>
  <c r="BC584" i="4"/>
  <c r="BG584" i="4" s="1"/>
  <c r="BC528" i="4"/>
  <c r="BG528" i="4" s="1"/>
  <c r="BD471" i="4"/>
  <c r="BC417" i="4"/>
  <c r="BF417" i="4" s="1"/>
  <c r="BD362" i="4"/>
  <c r="BC308" i="4"/>
  <c r="BG308" i="4" s="1"/>
  <c r="BD253" i="4"/>
  <c r="BC199" i="4"/>
  <c r="BF199" i="4" s="1"/>
  <c r="BD144" i="4"/>
  <c r="BD96" i="4"/>
  <c r="BD6074" i="4"/>
  <c r="BC5553" i="4"/>
  <c r="BC5096" i="4"/>
  <c r="BD4696" i="4"/>
  <c r="BC4321" i="4"/>
  <c r="BF4321" i="4" s="1"/>
  <c r="BC4023" i="4"/>
  <c r="BF4023" i="4" s="1"/>
  <c r="BD3749" i="4"/>
  <c r="BD3551" i="4"/>
  <c r="BC3366" i="4"/>
  <c r="BF3366" i="4" s="1"/>
  <c r="BD3155" i="4"/>
  <c r="BD3007" i="4"/>
  <c r="BC2869" i="4"/>
  <c r="BF2869" i="4" s="1"/>
  <c r="BC2743" i="4"/>
  <c r="BG2743" i="4" s="1"/>
  <c r="BC2648" i="4"/>
  <c r="BF2648" i="4" s="1"/>
  <c r="BD2509" i="4"/>
  <c r="BC2417" i="4"/>
  <c r="BF2417" i="4" s="1"/>
  <c r="BC2324" i="4"/>
  <c r="BC2235" i="4"/>
  <c r="BG2235" i="4" s="1"/>
  <c r="BC2146" i="4"/>
  <c r="BD2038" i="4"/>
  <c r="BC1950" i="4"/>
  <c r="BC1871" i="4"/>
  <c r="BG1871" i="4" s="1"/>
  <c r="BC1782" i="4"/>
  <c r="BC1693" i="4"/>
  <c r="BC1592" i="4"/>
  <c r="BF1592" i="4" s="1"/>
  <c r="BC1511" i="4"/>
  <c r="BF1511" i="4" s="1"/>
  <c r="BD1440" i="4"/>
  <c r="BD1361" i="4"/>
  <c r="BD1280" i="4"/>
  <c r="BC1187" i="4"/>
  <c r="BF1187" i="4" s="1"/>
  <c r="BC1108" i="4"/>
  <c r="BC6315" i="4"/>
  <c r="BD5631" i="4"/>
  <c r="BC5164" i="4"/>
  <c r="BC4712" i="4"/>
  <c r="BG4712" i="4" s="1"/>
  <c r="BC4320" i="4"/>
  <c r="BF4320" i="4" s="1"/>
  <c r="BD3936" i="4"/>
  <c r="BC3714" i="4"/>
  <c r="BG3714" i="4" s="1"/>
  <c r="BD3465" i="4"/>
  <c r="BC3283" i="4"/>
  <c r="BF3283" i="4" s="1"/>
  <c r="BD3080" i="4"/>
  <c r="BD2932" i="4"/>
  <c r="BD2763" i="4"/>
  <c r="BD2649" i="4"/>
  <c r="BC2541" i="4"/>
  <c r="BC2403" i="4"/>
  <c r="BG2403" i="4" s="1"/>
  <c r="BC2312" i="4"/>
  <c r="BF2312" i="4" s="1"/>
  <c r="BD2203" i="4"/>
  <c r="BC2113" i="4"/>
  <c r="BG2113" i="4" s="1"/>
  <c r="BD1994" i="4"/>
  <c r="BC1905" i="4"/>
  <c r="BC1825" i="4"/>
  <c r="BG1825" i="4" s="1"/>
  <c r="BD1706" i="4"/>
  <c r="BC1618" i="4"/>
  <c r="BD1520" i="4"/>
  <c r="BD1430" i="4"/>
  <c r="BC1334" i="4"/>
  <c r="BG1334" i="4" s="1"/>
  <c r="BD1253" i="4"/>
  <c r="BD1171" i="4"/>
  <c r="BC1068" i="4"/>
  <c r="BF1068" i="4" s="1"/>
  <c r="BC994" i="4"/>
  <c r="BC931" i="4"/>
  <c r="BC842" i="4"/>
  <c r="BC773" i="4"/>
  <c r="BC705" i="4"/>
  <c r="BD647" i="4"/>
  <c r="BD571" i="4"/>
  <c r="BC515" i="4"/>
  <c r="BD451" i="4"/>
  <c r="BD396" i="4"/>
  <c r="BD341" i="4"/>
  <c r="BD286" i="4"/>
  <c r="BD231" i="4"/>
  <c r="BD6313" i="4"/>
  <c r="BD5581" i="4"/>
  <c r="BD5163" i="4"/>
  <c r="BC4696" i="4"/>
  <c r="BG4696" i="4" s="1"/>
  <c r="BD4206" i="4"/>
  <c r="BC3936" i="4"/>
  <c r="BG3936" i="4" s="1"/>
  <c r="BC3658" i="4"/>
  <c r="BG3658" i="4" s="1"/>
  <c r="BC3465" i="4"/>
  <c r="BD3282" i="4"/>
  <c r="BC3063" i="4"/>
  <c r="BG3063" i="4" s="1"/>
  <c r="BD2918" i="4"/>
  <c r="BD2762" i="4"/>
  <c r="BC2649" i="4"/>
  <c r="BC2509" i="4"/>
  <c r="BD2401" i="4"/>
  <c r="BD2311" i="4"/>
  <c r="BD2202" i="4"/>
  <c r="BD2112" i="4"/>
  <c r="BC1994" i="4"/>
  <c r="BG1994" i="4" s="1"/>
  <c r="BD1904" i="4"/>
  <c r="BD1814" i="4"/>
  <c r="BC1705" i="4"/>
  <c r="BD1617" i="4"/>
  <c r="BC1510" i="4"/>
  <c r="BF1510" i="4" s="1"/>
  <c r="BC1430" i="4"/>
  <c r="BF1430" i="4" s="1"/>
  <c r="BD1333" i="4"/>
  <c r="BC1253" i="4"/>
  <c r="BC1171" i="4"/>
  <c r="BG1171" i="4" s="1"/>
  <c r="BC1067" i="4"/>
  <c r="BF1067" i="4" s="1"/>
  <c r="BD993" i="4"/>
  <c r="BD923" i="4"/>
  <c r="BD841" i="4"/>
  <c r="BD772" i="4"/>
  <c r="BD704" i="4"/>
  <c r="BC627" i="4"/>
  <c r="BC571" i="4"/>
  <c r="BD514" i="4"/>
  <c r="BC451" i="4"/>
  <c r="BC396" i="4"/>
  <c r="BC341" i="4"/>
  <c r="BG341" i="4" s="1"/>
  <c r="BC286" i="4"/>
  <c r="BC231" i="4"/>
  <c r="BF231" i="4" s="1"/>
  <c r="BC176" i="4"/>
  <c r="BG176" i="4" s="1"/>
  <c r="BC121" i="4"/>
  <c r="BG121" i="4" s="1"/>
  <c r="BC66" i="4"/>
  <c r="BD11" i="4"/>
  <c r="BD6312" i="4"/>
  <c r="BC5581" i="4"/>
  <c r="BG5581" i="4" s="1"/>
  <c r="BC5163" i="4"/>
  <c r="BC4657" i="4"/>
  <c r="BF4657" i="4" s="1"/>
  <c r="BC4206" i="4"/>
  <c r="BG4206" i="4" s="1"/>
  <c r="BD3935" i="4"/>
  <c r="BD3657" i="4"/>
  <c r="BD3456" i="4"/>
  <c r="BD3225" i="4"/>
  <c r="BC3060" i="4"/>
  <c r="BD2915" i="4"/>
  <c r="BC2759" i="4"/>
  <c r="BF2759" i="4" s="1"/>
  <c r="BD2648" i="4"/>
  <c r="BC2506" i="4"/>
  <c r="BG2506" i="4" s="1"/>
  <c r="BC2401" i="4"/>
  <c r="BD2293" i="4"/>
  <c r="BC2202" i="4"/>
  <c r="BC2112" i="4"/>
  <c r="BD1993" i="4"/>
  <c r="BC1904" i="4"/>
  <c r="BG1904" i="4" s="1"/>
  <c r="BD1795" i="4"/>
  <c r="BD1704" i="4"/>
  <c r="BC1617" i="4"/>
  <c r="BD1509" i="4"/>
  <c r="BD1429" i="4"/>
  <c r="BC1333" i="4"/>
  <c r="BF1333" i="4" s="1"/>
  <c r="BD1252" i="4"/>
  <c r="BC1147" i="4"/>
  <c r="BF1147" i="4" s="1"/>
  <c r="BD1066" i="4"/>
  <c r="BC993" i="4"/>
  <c r="BC910" i="4"/>
  <c r="BG910" i="4" s="1"/>
  <c r="BD840" i="4"/>
  <c r="BC772" i="4"/>
  <c r="BC691" i="4"/>
  <c r="BF691" i="4" s="1"/>
  <c r="BD626" i="4"/>
  <c r="BD570" i="4"/>
  <c r="BC507" i="4"/>
  <c r="BD450" i="4"/>
  <c r="BD395" i="4"/>
  <c r="BD340" i="4"/>
  <c r="BD285" i="4"/>
  <c r="BC6108" i="4"/>
  <c r="BC5563" i="4"/>
  <c r="BD5095" i="4"/>
  <c r="BD4656" i="4"/>
  <c r="BD4205" i="4"/>
  <c r="BD3912" i="4"/>
  <c r="BC3657" i="4"/>
  <c r="BG3657" i="4" s="1"/>
  <c r="BC3456" i="4"/>
  <c r="BF3456" i="4" s="1"/>
  <c r="BC3225" i="4"/>
  <c r="BG3225" i="4" s="1"/>
  <c r="BC3055" i="4"/>
  <c r="BC2885" i="4"/>
  <c r="BG2885" i="4" s="1"/>
  <c r="BC2756" i="4"/>
  <c r="BG2756" i="4" s="1"/>
  <c r="BC2636" i="4"/>
  <c r="BG2636" i="4" s="1"/>
  <c r="BD2503" i="4"/>
  <c r="BD2400" i="4"/>
  <c r="BC2293" i="4"/>
  <c r="BG2293" i="4" s="1"/>
  <c r="BD2191" i="4"/>
  <c r="BD2101" i="4"/>
  <c r="BD1992" i="4"/>
  <c r="BD1903" i="4"/>
  <c r="BD1794" i="4"/>
  <c r="BC1704" i="4"/>
  <c r="BD1589" i="4"/>
  <c r="BC1509" i="4"/>
  <c r="BG1509" i="4" s="1"/>
  <c r="BC1429" i="4"/>
  <c r="BF1429" i="4" s="1"/>
  <c r="BC1323" i="4"/>
  <c r="BF1323" i="4" s="1"/>
  <c r="BC1243" i="4"/>
  <c r="BG1243" i="4" s="1"/>
  <c r="BD1146" i="4"/>
  <c r="BC1066" i="4"/>
  <c r="BD992" i="4"/>
  <c r="BC909" i="4"/>
  <c r="BC840" i="4"/>
  <c r="BC771" i="4"/>
  <c r="BG771" i="4" s="1"/>
  <c r="BD690" i="4"/>
  <c r="BC626" i="4"/>
  <c r="BG626" i="4" s="1"/>
  <c r="BC570" i="4"/>
  <c r="BF570" i="4" s="1"/>
  <c r="BD506" i="4"/>
  <c r="BC450" i="4"/>
  <c r="BG450" i="4" s="1"/>
  <c r="BC395" i="4"/>
  <c r="BG395" i="4" s="1"/>
  <c r="BC340" i="4"/>
  <c r="BC285" i="4"/>
  <c r="BF285" i="4" s="1"/>
  <c r="BC230" i="4"/>
  <c r="BC5832" i="4"/>
  <c r="BD5242" i="4"/>
  <c r="BD4712" i="4"/>
  <c r="BD4155" i="4"/>
  <c r="BC3835" i="4"/>
  <c r="BD3532" i="4"/>
  <c r="BD3284" i="4"/>
  <c r="BC3053" i="4"/>
  <c r="BF3053" i="4" s="1"/>
  <c r="BC2862" i="4"/>
  <c r="BF2862" i="4" s="1"/>
  <c r="BC2702" i="4"/>
  <c r="BG2702" i="4" s="1"/>
  <c r="BD2557" i="4"/>
  <c r="BD2403" i="4"/>
  <c r="BD2279" i="4"/>
  <c r="BC2158" i="4"/>
  <c r="BG2158" i="4" s="1"/>
  <c r="BD2036" i="4"/>
  <c r="BD1916" i="4"/>
  <c r="BC1783" i="4"/>
  <c r="BF1783" i="4" s="1"/>
  <c r="BC1662" i="4"/>
  <c r="BG1662" i="4" s="1"/>
  <c r="BD1551" i="4"/>
  <c r="BC1443" i="4"/>
  <c r="BC1351" i="4"/>
  <c r="BG1351" i="4" s="1"/>
  <c r="BD1224" i="4"/>
  <c r="BC1109" i="4"/>
  <c r="BF1109" i="4" s="1"/>
  <c r="BD1027" i="4"/>
  <c r="BC933" i="4"/>
  <c r="BC831" i="4"/>
  <c r="BF831" i="4" s="1"/>
  <c r="BC747" i="4"/>
  <c r="BG747" i="4" s="1"/>
  <c r="BC659" i="4"/>
  <c r="BG659" i="4" s="1"/>
  <c r="BD593" i="4"/>
  <c r="BD515" i="4"/>
  <c r="BD441" i="4"/>
  <c r="BD372" i="4"/>
  <c r="BC309" i="4"/>
  <c r="BF309" i="4" s="1"/>
  <c r="BD239" i="4"/>
  <c r="BD176" i="4"/>
  <c r="BD120" i="4"/>
  <c r="BC53" i="4"/>
  <c r="BG53" i="4" s="1"/>
  <c r="BC5828" i="4"/>
  <c r="BF5828" i="4" s="1"/>
  <c r="BC5220" i="4"/>
  <c r="BG5220" i="4" s="1"/>
  <c r="BD4655" i="4"/>
  <c r="BC4155" i="4"/>
  <c r="BF4155" i="4" s="1"/>
  <c r="BC3824" i="4"/>
  <c r="BD3531" i="4"/>
  <c r="BC3284" i="4"/>
  <c r="BD3052" i="4"/>
  <c r="BD2861" i="4"/>
  <c r="BD2701" i="4"/>
  <c r="BC2557" i="4"/>
  <c r="BF2557" i="4" s="1"/>
  <c r="BC2400" i="4"/>
  <c r="BG2400" i="4" s="1"/>
  <c r="BC2279" i="4"/>
  <c r="BD2157" i="4"/>
  <c r="BC2036" i="4"/>
  <c r="BG2036" i="4" s="1"/>
  <c r="BC1916" i="4"/>
  <c r="BF1916" i="4" s="1"/>
  <c r="BD1782" i="4"/>
  <c r="BD1661" i="4"/>
  <c r="BC1551" i="4"/>
  <c r="BD1442" i="4"/>
  <c r="BD1322" i="4"/>
  <c r="BC1215" i="4"/>
  <c r="BF1215" i="4" s="1"/>
  <c r="BD1108" i="4"/>
  <c r="BC1027" i="4"/>
  <c r="BD932" i="4"/>
  <c r="BD830" i="4"/>
  <c r="BC739" i="4"/>
  <c r="BF739" i="4" s="1"/>
  <c r="BD658" i="4"/>
  <c r="BC593" i="4"/>
  <c r="BG593" i="4" s="1"/>
  <c r="BC506" i="4"/>
  <c r="BF506" i="4" s="1"/>
  <c r="BC441" i="4"/>
  <c r="BC372" i="4"/>
  <c r="BD308" i="4"/>
  <c r="BD232" i="4"/>
  <c r="BD175" i="4"/>
  <c r="BC108" i="4"/>
  <c r="BF108" i="4" s="1"/>
  <c r="BD52" i="4"/>
  <c r="BC5827" i="4"/>
  <c r="BG5827" i="4" s="1"/>
  <c r="BC5219" i="4"/>
  <c r="BF5219" i="4" s="1"/>
  <c r="BC4633" i="4"/>
  <c r="BG4633" i="4" s="1"/>
  <c r="BD4154" i="4"/>
  <c r="BC3823" i="4"/>
  <c r="BF3823" i="4" s="1"/>
  <c r="BC3531" i="4"/>
  <c r="BG3531" i="4" s="1"/>
  <c r="BD3283" i="4"/>
  <c r="BD3008" i="4"/>
  <c r="BD2847" i="4"/>
  <c r="BC2688" i="4"/>
  <c r="BD2544" i="4"/>
  <c r="BD2399" i="4"/>
  <c r="BD2278" i="4"/>
  <c r="BC2157" i="4"/>
  <c r="BD2025" i="4"/>
  <c r="BC1915" i="4"/>
  <c r="BG1915" i="4" s="1"/>
  <c r="BD1781" i="4"/>
  <c r="BC1661" i="4"/>
  <c r="BF1661" i="4" s="1"/>
  <c r="BC1550" i="4"/>
  <c r="BG1550" i="4" s="1"/>
  <c r="BC1442" i="4"/>
  <c r="BC1322" i="4"/>
  <c r="BG1322" i="4" s="1"/>
  <c r="BC1214" i="4"/>
  <c r="BF1214" i="4" s="1"/>
  <c r="BC1105" i="4"/>
  <c r="BF1105" i="4" s="1"/>
  <c r="BC1005" i="4"/>
  <c r="BG1005" i="4" s="1"/>
  <c r="BC932" i="4"/>
  <c r="BG932" i="4" s="1"/>
  <c r="BC830" i="4"/>
  <c r="BG830" i="4" s="1"/>
  <c r="BD738" i="4"/>
  <c r="BC658" i="4"/>
  <c r="BG658" i="4" s="1"/>
  <c r="BD592" i="4"/>
  <c r="BD505" i="4"/>
  <c r="BD428" i="4"/>
  <c r="BD371" i="4"/>
  <c r="BD295" i="4"/>
  <c r="BC232" i="4"/>
  <c r="BC175" i="4"/>
  <c r="BF175" i="4" s="1"/>
  <c r="BD107" i="4"/>
  <c r="BD45" i="4"/>
  <c r="BD5817" i="4"/>
  <c r="BD5218" i="4"/>
  <c r="BD4522" i="4"/>
  <c r="BC4154" i="4"/>
  <c r="BC3800" i="4"/>
  <c r="BG3800" i="4" s="1"/>
  <c r="BD3487" i="4"/>
  <c r="BD3224" i="4"/>
  <c r="BC3008" i="4"/>
  <c r="BF3008" i="4" s="1"/>
  <c r="BC2822" i="4"/>
  <c r="BG2822" i="4" s="1"/>
  <c r="BC2687" i="4"/>
  <c r="BC2544" i="4"/>
  <c r="BG2544" i="4" s="1"/>
  <c r="BD2373" i="4"/>
  <c r="BC2278" i="4"/>
  <c r="BD2146" i="4"/>
  <c r="BC2025" i="4"/>
  <c r="BC1903" i="4"/>
  <c r="BG1903" i="4" s="1"/>
  <c r="BC1781" i="4"/>
  <c r="BD1660" i="4"/>
  <c r="BD1549" i="4"/>
  <c r="BC1441" i="4"/>
  <c r="BD1321" i="4"/>
  <c r="BD1213" i="4"/>
  <c r="BD1104" i="4"/>
  <c r="BD1004" i="4"/>
  <c r="BD908" i="4"/>
  <c r="BD816" i="4"/>
  <c r="BC738" i="4"/>
  <c r="BF738" i="4" s="1"/>
  <c r="BD657" i="4"/>
  <c r="BC592" i="4"/>
  <c r="BC505" i="4"/>
  <c r="BF505" i="4" s="1"/>
  <c r="BC428" i="4"/>
  <c r="BF428" i="4" s="1"/>
  <c r="BD364" i="4"/>
  <c r="BC295" i="4"/>
  <c r="BD230" i="4"/>
  <c r="BD162" i="4"/>
  <c r="BD100" i="4"/>
  <c r="BC45" i="4"/>
  <c r="BF45" i="4" s="1"/>
  <c r="BC5816" i="4"/>
  <c r="BG5816" i="4" s="1"/>
  <c r="BD5217" i="4"/>
  <c r="BC4521" i="4"/>
  <c r="BG4521" i="4" s="1"/>
  <c r="BD4065" i="4"/>
  <c r="BD3760" i="4"/>
  <c r="BC3487" i="4"/>
  <c r="BF3487" i="4" s="1"/>
  <c r="BC3223" i="4"/>
  <c r="BG3223" i="4" s="1"/>
  <c r="BC3001" i="4"/>
  <c r="BD2821" i="4"/>
  <c r="BD2686" i="4"/>
  <c r="BD2543" i="4"/>
  <c r="BC2373" i="4"/>
  <c r="BF2373" i="4" s="1"/>
  <c r="BD2267" i="4"/>
  <c r="BD2145" i="4"/>
  <c r="BD2024" i="4"/>
  <c r="BD1873" i="4"/>
  <c r="BD1780" i="4"/>
  <c r="BC1660" i="4"/>
  <c r="BG1660" i="4" s="1"/>
  <c r="BC1549" i="4"/>
  <c r="BG1549" i="4" s="1"/>
  <c r="BC1431" i="4"/>
  <c r="BC1321" i="4"/>
  <c r="BD1212" i="4"/>
  <c r="BC1104" i="4"/>
  <c r="BC1004" i="4"/>
  <c r="BG1004" i="4" s="1"/>
  <c r="BC900" i="4"/>
  <c r="BC816" i="4"/>
  <c r="BG816" i="4" s="1"/>
  <c r="BD737" i="4"/>
  <c r="BC650" i="4"/>
  <c r="BF650" i="4" s="1"/>
  <c r="BD591" i="4"/>
  <c r="BD504" i="4"/>
  <c r="BD427" i="4"/>
  <c r="BC364" i="4"/>
  <c r="BD294" i="4"/>
  <c r="BD229" i="4"/>
  <c r="BD155" i="4"/>
  <c r="BC100" i="4"/>
  <c r="BF100" i="4" s="1"/>
  <c r="BD44" i="4"/>
  <c r="BD5814" i="4"/>
  <c r="BD5043" i="4"/>
  <c r="BD4514" i="4"/>
  <c r="BC4065" i="4"/>
  <c r="BF4065" i="4" s="1"/>
  <c r="BC3750" i="4"/>
  <c r="BG3750" i="4" s="1"/>
  <c r="BD3467" i="4"/>
  <c r="BD3214" i="4"/>
  <c r="BC3000" i="4"/>
  <c r="BG3000" i="4" s="1"/>
  <c r="BC2821" i="4"/>
  <c r="BC2665" i="4"/>
  <c r="BD2502" i="4"/>
  <c r="BD2370" i="4"/>
  <c r="BD2249" i="4"/>
  <c r="BD2126" i="4"/>
  <c r="BC2024" i="4"/>
  <c r="BC1873" i="4"/>
  <c r="BG1873" i="4" s="1"/>
  <c r="BD1751" i="4"/>
  <c r="BD1659" i="4"/>
  <c r="BD1548" i="4"/>
  <c r="BC1405" i="4"/>
  <c r="BF1405" i="4" s="1"/>
  <c r="BD1320" i="4"/>
  <c r="BC1212" i="4"/>
  <c r="BG1212" i="4" s="1"/>
  <c r="BD1103" i="4"/>
  <c r="BC1003" i="4"/>
  <c r="BG1003" i="4" s="1"/>
  <c r="BD899" i="4"/>
  <c r="BC808" i="4"/>
  <c r="BG808" i="4" s="1"/>
  <c r="BC737" i="4"/>
  <c r="BG737" i="4" s="1"/>
  <c r="BD649" i="4"/>
  <c r="BD569" i="4"/>
  <c r="BC504" i="4"/>
  <c r="BF504" i="4" s="1"/>
  <c r="BC427" i="4"/>
  <c r="BF427" i="4" s="1"/>
  <c r="BD363" i="4"/>
  <c r="BD287" i="4"/>
  <c r="BD210" i="4"/>
  <c r="BC155" i="4"/>
  <c r="BG155" i="4" s="1"/>
  <c r="BD99" i="4"/>
  <c r="BC44" i="4"/>
  <c r="BF44" i="4" s="1"/>
  <c r="BC5814" i="4"/>
  <c r="BF5814" i="4" s="1"/>
  <c r="BD5042" i="4"/>
  <c r="BD4513" i="4"/>
  <c r="BD4064" i="4"/>
  <c r="BD3726" i="4"/>
  <c r="BD3466" i="4"/>
  <c r="BD3213" i="4"/>
  <c r="BD2985" i="4"/>
  <c r="BC2802" i="4"/>
  <c r="BF2802" i="4" s="1"/>
  <c r="BC2664" i="4"/>
  <c r="BG2664" i="4" s="1"/>
  <c r="BC2502" i="4"/>
  <c r="BG2502" i="4" s="1"/>
  <c r="BD2368" i="4"/>
  <c r="BD2247" i="4"/>
  <c r="BC2126" i="4"/>
  <c r="BG2126" i="4" s="1"/>
  <c r="BD2023" i="4"/>
  <c r="BD1872" i="4"/>
  <c r="BC1751" i="4"/>
  <c r="BG1751" i="4" s="1"/>
  <c r="BD1649" i="4"/>
  <c r="BD1538" i="4"/>
  <c r="BD1402" i="4"/>
  <c r="BC1320" i="4"/>
  <c r="BD1211" i="4"/>
  <c r="BC1094" i="4"/>
  <c r="BD1002" i="4"/>
  <c r="BC899" i="4"/>
  <c r="BG899" i="4" s="1"/>
  <c r="BC807" i="4"/>
  <c r="BC716" i="4"/>
  <c r="BF716" i="4" s="1"/>
  <c r="BC649" i="4"/>
  <c r="BG649" i="4" s="1"/>
  <c r="BD562" i="4"/>
  <c r="BD503" i="4"/>
  <c r="BD426" i="4"/>
  <c r="BC363" i="4"/>
  <c r="BC287" i="4"/>
  <c r="BG287" i="4" s="1"/>
  <c r="BC210" i="4"/>
  <c r="BG210" i="4" s="1"/>
  <c r="BD154" i="4"/>
  <c r="BC99" i="4"/>
  <c r="BD43" i="4"/>
  <c r="BD5740" i="4"/>
  <c r="BC5042" i="4"/>
  <c r="BG5042" i="4" s="1"/>
  <c r="BC4513" i="4"/>
  <c r="BC4052" i="4"/>
  <c r="BG4052" i="4" s="1"/>
  <c r="BC3726" i="4"/>
  <c r="BF3726" i="4" s="1"/>
  <c r="BD3455" i="4"/>
  <c r="BD3194" i="4"/>
  <c r="BC2985" i="4"/>
  <c r="BF2985" i="4" s="1"/>
  <c r="BD2801" i="4"/>
  <c r="BC2652" i="4"/>
  <c r="BD2501" i="4"/>
  <c r="BC2368" i="4"/>
  <c r="BG2368" i="4" s="1"/>
  <c r="BD2236" i="4"/>
  <c r="BD2115" i="4"/>
  <c r="BC1992" i="4"/>
  <c r="BG1992" i="4" s="1"/>
  <c r="BD1871" i="4"/>
  <c r="BD1750" i="4"/>
  <c r="BD1631" i="4"/>
  <c r="BC1538" i="4"/>
  <c r="BC1402" i="4"/>
  <c r="BC1296" i="4"/>
  <c r="BF1296" i="4" s="1"/>
  <c r="BC1202" i="4"/>
  <c r="BF1202" i="4" s="1"/>
  <c r="BD1093" i="4"/>
  <c r="BC992" i="4"/>
  <c r="BG992" i="4" s="1"/>
  <c r="BC898" i="4"/>
  <c r="BG898" i="4" s="1"/>
  <c r="BD806" i="4"/>
  <c r="BD715" i="4"/>
  <c r="BD648" i="4"/>
  <c r="BC562" i="4"/>
  <c r="BG562" i="4" s="1"/>
  <c r="BD483" i="4"/>
  <c r="BD419" i="4"/>
  <c r="BC350" i="4"/>
  <c r="BD284" i="4"/>
  <c r="BD209" i="4"/>
  <c r="BC154" i="4"/>
  <c r="BF154" i="4" s="1"/>
  <c r="BD98" i="4"/>
  <c r="BC43" i="4"/>
  <c r="BG43" i="4" s="1"/>
  <c r="BC5633" i="4"/>
  <c r="BG5633" i="4" s="1"/>
  <c r="BC5033" i="4"/>
  <c r="BF5033" i="4" s="1"/>
  <c r="BD4512" i="4"/>
  <c r="BD4025" i="4"/>
  <c r="BD3725" i="4"/>
  <c r="BD3436" i="4"/>
  <c r="BC3194" i="4"/>
  <c r="BG3194" i="4" s="1"/>
  <c r="BD2984" i="4"/>
  <c r="BC2801" i="4"/>
  <c r="BF2801" i="4" s="1"/>
  <c r="BC2650" i="4"/>
  <c r="BD2489" i="4"/>
  <c r="BD2357" i="4"/>
  <c r="BC2236" i="4"/>
  <c r="BG2236" i="4" s="1"/>
  <c r="BD2114" i="4"/>
  <c r="BD1991" i="4"/>
  <c r="BD1870" i="4"/>
  <c r="BD1749" i="4"/>
  <c r="BC1631" i="4"/>
  <c r="BF1631" i="4" s="1"/>
  <c r="BC1521" i="4"/>
  <c r="BC1401" i="4"/>
  <c r="BD1295" i="4"/>
  <c r="BD1186" i="4"/>
  <c r="BC1093" i="4"/>
  <c r="BG1093" i="4" s="1"/>
  <c r="BC970" i="4"/>
  <c r="BD897" i="4"/>
  <c r="BC806" i="4"/>
  <c r="BC715" i="4"/>
  <c r="BF715" i="4" s="1"/>
  <c r="BC648" i="4"/>
  <c r="BD561" i="4"/>
  <c r="BC483" i="4"/>
  <c r="BC419" i="4"/>
  <c r="BG419" i="4" s="1"/>
  <c r="BD349" i="4"/>
  <c r="BC284" i="4"/>
  <c r="BC209" i="4"/>
  <c r="BD153" i="4"/>
  <c r="BC98" i="4"/>
  <c r="BD42" i="4"/>
  <c r="BD5562" i="4"/>
  <c r="BD5018" i="4"/>
  <c r="BD4511" i="4"/>
  <c r="BC4025" i="4"/>
  <c r="BG4025" i="4" s="1"/>
  <c r="BC3725" i="4"/>
  <c r="BF3725" i="4" s="1"/>
  <c r="BD3403" i="4"/>
  <c r="BD3193" i="4"/>
  <c r="BC2984" i="4"/>
  <c r="BD2800" i="4"/>
  <c r="BC2614" i="4"/>
  <c r="BF2614" i="4" s="1"/>
  <c r="BC2489" i="4"/>
  <c r="BF2489" i="4" s="1"/>
  <c r="BC2357" i="4"/>
  <c r="BD2235" i="4"/>
  <c r="BC2114" i="4"/>
  <c r="BC1991" i="4"/>
  <c r="BG1991" i="4" s="1"/>
  <c r="BC1870" i="4"/>
  <c r="BF1870" i="4" s="1"/>
  <c r="BC1749" i="4"/>
  <c r="BG1749" i="4" s="1"/>
  <c r="BD1630" i="4"/>
  <c r="BD1508" i="4"/>
  <c r="BD1400" i="4"/>
  <c r="BC1295" i="4"/>
  <c r="BF1295" i="4" s="1"/>
  <c r="BC1186" i="4"/>
  <c r="BG1186" i="4" s="1"/>
  <c r="BC1078" i="4"/>
  <c r="BC969" i="4"/>
  <c r="BF969" i="4" s="1"/>
  <c r="BC897" i="4"/>
  <c r="BF897" i="4" s="1"/>
  <c r="BD805" i="4"/>
  <c r="BC714" i="4"/>
  <c r="BD625" i="4"/>
  <c r="BC561" i="4"/>
  <c r="BF561" i="4" s="1"/>
  <c r="BD482" i="4"/>
  <c r="BD418" i="4"/>
  <c r="BD342" i="4"/>
  <c r="BC265" i="4"/>
  <c r="BG265" i="4" s="1"/>
  <c r="BD208" i="4"/>
  <c r="BC153" i="4"/>
  <c r="BD97" i="4"/>
  <c r="BC42" i="4"/>
  <c r="BC5552" i="4"/>
  <c r="BD5017" i="4"/>
  <c r="BC4461" i="4"/>
  <c r="BF4461" i="4" s="1"/>
  <c r="BD4024" i="4"/>
  <c r="BD3714" i="4"/>
  <c r="BD3394" i="4"/>
  <c r="BC3154" i="4"/>
  <c r="BD2983" i="4"/>
  <c r="BC2800" i="4"/>
  <c r="BD2613" i="4"/>
  <c r="BD2488" i="4"/>
  <c r="BD2356" i="4"/>
  <c r="BD2234" i="4"/>
  <c r="BD2113" i="4"/>
  <c r="BC1980" i="4"/>
  <c r="BG1980" i="4" s="1"/>
  <c r="BD1859" i="4"/>
  <c r="BD1738" i="4"/>
  <c r="BC1620" i="4"/>
  <c r="BF1620" i="4" s="1"/>
  <c r="BC1508" i="4"/>
  <c r="BC1400" i="4"/>
  <c r="BD1291" i="4"/>
  <c r="BC1176" i="4"/>
  <c r="BG1176" i="4" s="1"/>
  <c r="BD1077" i="4"/>
  <c r="BC968" i="4"/>
  <c r="BC876" i="4"/>
  <c r="BG876" i="4" s="1"/>
  <c r="BC805" i="4"/>
  <c r="BG805" i="4" s="1"/>
  <c r="BD713" i="4"/>
  <c r="BC625" i="4"/>
  <c r="BF625" i="4" s="1"/>
  <c r="BD560" i="4"/>
  <c r="BC482" i="4"/>
  <c r="BF482" i="4" s="1"/>
  <c r="BC418" i="4"/>
  <c r="BC342" i="4"/>
  <c r="BD264" i="4"/>
  <c r="BC208" i="4"/>
  <c r="BF208" i="4" s="1"/>
  <c r="BD152" i="4"/>
  <c r="BC97" i="4"/>
  <c r="BF97" i="4" s="1"/>
  <c r="BC23" i="4"/>
  <c r="BF23" i="4" s="1"/>
  <c r="BC6106" i="4"/>
  <c r="BD4896" i="4"/>
  <c r="BC3947" i="4"/>
  <c r="BD3373" i="4"/>
  <c r="BC2935" i="4"/>
  <c r="BC2596" i="4"/>
  <c r="BG2596" i="4" s="1"/>
  <c r="BD2326" i="4"/>
  <c r="BD2070" i="4"/>
  <c r="BC1839" i="4"/>
  <c r="BC1588" i="4"/>
  <c r="BC1389" i="4"/>
  <c r="BC1174" i="4"/>
  <c r="BF1174" i="4" s="1"/>
  <c r="BC958" i="4"/>
  <c r="BD782" i="4"/>
  <c r="BC616" i="4"/>
  <c r="BC473" i="4"/>
  <c r="BF473" i="4" s="1"/>
  <c r="BD319" i="4"/>
  <c r="BD199" i="4"/>
  <c r="BC76" i="4"/>
  <c r="BC6075" i="4"/>
  <c r="BD4842" i="4"/>
  <c r="BC3912" i="4"/>
  <c r="BF3912" i="4" s="1"/>
  <c r="BD3372" i="4"/>
  <c r="BC2934" i="4"/>
  <c r="BG2934" i="4" s="1"/>
  <c r="BD2594" i="4"/>
  <c r="BD2324" i="4"/>
  <c r="BC2070" i="4"/>
  <c r="BD1828" i="4"/>
  <c r="BD1587" i="4"/>
  <c r="BC1374" i="4"/>
  <c r="BF1374" i="4" s="1"/>
  <c r="BC1146" i="4"/>
  <c r="BD957" i="4"/>
  <c r="BC782" i="4"/>
  <c r="BF782" i="4" s="1"/>
  <c r="BD615" i="4"/>
  <c r="BD472" i="4"/>
  <c r="BC319" i="4"/>
  <c r="BF319" i="4" s="1"/>
  <c r="BD186" i="4"/>
  <c r="BD75" i="4"/>
  <c r="BC6074" i="4"/>
  <c r="BC4842" i="4"/>
  <c r="BF4842" i="4" s="1"/>
  <c r="BD3911" i="4"/>
  <c r="BC3365" i="4"/>
  <c r="BF3365" i="4" s="1"/>
  <c r="BD2933" i="4"/>
  <c r="BC2594" i="4"/>
  <c r="BD2323" i="4"/>
  <c r="BC2069" i="4"/>
  <c r="BG2069" i="4" s="1"/>
  <c r="BD1827" i="4"/>
  <c r="BC1578" i="4"/>
  <c r="BC1364" i="4"/>
  <c r="BG1364" i="4" s="1"/>
  <c r="BC1145" i="4"/>
  <c r="BC957" i="4"/>
  <c r="BF957" i="4" s="1"/>
  <c r="BD773" i="4"/>
  <c r="BC615" i="4"/>
  <c r="BC472" i="4"/>
  <c r="BG472" i="4" s="1"/>
  <c r="BD318" i="4"/>
  <c r="BC186" i="4"/>
  <c r="BC75" i="4"/>
  <c r="BF75" i="4" s="1"/>
  <c r="BC6020" i="4"/>
  <c r="BG6020" i="4" s="1"/>
  <c r="BC4841" i="4"/>
  <c r="BG4841" i="4" s="1"/>
  <c r="BC3860" i="4"/>
  <c r="BF3860" i="4" s="1"/>
  <c r="BC3314" i="4"/>
  <c r="BF3314" i="4" s="1"/>
  <c r="BC2871" i="4"/>
  <c r="BG2871" i="4" s="1"/>
  <c r="BC2593" i="4"/>
  <c r="BD2312" i="4"/>
  <c r="BC2068" i="4"/>
  <c r="BG2068" i="4" s="1"/>
  <c r="BD1826" i="4"/>
  <c r="BC1577" i="4"/>
  <c r="BG1577" i="4" s="1"/>
  <c r="BD1362" i="4"/>
  <c r="BC1135" i="4"/>
  <c r="BG1135" i="4" s="1"/>
  <c r="BC943" i="4"/>
  <c r="BF943" i="4" s="1"/>
  <c r="BD749" i="4"/>
  <c r="BD595" i="4"/>
  <c r="BC452" i="4"/>
  <c r="BD317" i="4"/>
  <c r="BC185" i="4"/>
  <c r="BF185" i="4" s="1"/>
  <c r="BD67" i="4"/>
  <c r="BC6019" i="4"/>
  <c r="BC4834" i="4"/>
  <c r="BC3837" i="4"/>
  <c r="BD3313" i="4"/>
  <c r="BD2869" i="4"/>
  <c r="BD2559" i="4"/>
  <c r="BD2282" i="4"/>
  <c r="BD2067" i="4"/>
  <c r="BC1826" i="4"/>
  <c r="BF1826" i="4" s="1"/>
  <c r="BD1576" i="4"/>
  <c r="BC1362" i="4"/>
  <c r="BF1362" i="4" s="1"/>
  <c r="BD1134" i="4"/>
  <c r="BC935" i="4"/>
  <c r="BC749" i="4"/>
  <c r="BF749" i="4" s="1"/>
  <c r="BC595" i="4"/>
  <c r="BD449" i="4"/>
  <c r="BC317" i="4"/>
  <c r="BG317" i="4" s="1"/>
  <c r="BD184" i="4"/>
  <c r="BC67" i="4"/>
  <c r="BC5997" i="4"/>
  <c r="BD4831" i="4"/>
  <c r="BC3836" i="4"/>
  <c r="BC3304" i="4"/>
  <c r="BG3304" i="4" s="1"/>
  <c r="BC5903" i="4"/>
  <c r="BC4713" i="4"/>
  <c r="BG4713" i="4" s="1"/>
  <c r="BD3835" i="4"/>
  <c r="BD3303" i="4"/>
  <c r="BC2865" i="4"/>
  <c r="BF2865" i="4" s="1"/>
  <c r="BD2558" i="4"/>
  <c r="BC2280" i="4"/>
  <c r="BG2280" i="4" s="1"/>
  <c r="BD2037" i="4"/>
  <c r="BD1783" i="4"/>
  <c r="BC1552" i="4"/>
  <c r="BF1552" i="4" s="1"/>
  <c r="BD1358" i="4"/>
  <c r="BC1133" i="4"/>
  <c r="BF1133" i="4" s="1"/>
  <c r="BD933" i="4"/>
  <c r="BD747" i="4"/>
  <c r="BC594" i="4"/>
  <c r="BG594" i="4" s="1"/>
  <c r="BD448" i="4"/>
  <c r="BD309" i="4"/>
  <c r="BC177" i="4"/>
  <c r="BG177" i="4" s="1"/>
  <c r="BD53" i="4"/>
  <c r="BD5419" i="4"/>
  <c r="BD4382" i="4"/>
  <c r="BC3629" i="4"/>
  <c r="BC3137" i="4"/>
  <c r="BF3137" i="4" s="1"/>
  <c r="BD2743" i="4"/>
  <c r="BC2454" i="4"/>
  <c r="BG2454" i="4" s="1"/>
  <c r="BD2205" i="4"/>
  <c r="BC1960" i="4"/>
  <c r="BF1960" i="4" s="1"/>
  <c r="BC1737" i="4"/>
  <c r="BG1737" i="4" s="1"/>
  <c r="BC1483" i="4"/>
  <c r="BG1483" i="4" s="1"/>
  <c r="BC1281" i="4"/>
  <c r="BD1064" i="4"/>
  <c r="BC874" i="4"/>
  <c r="BG874" i="4" s="1"/>
  <c r="BC683" i="4"/>
  <c r="BF683" i="4" s="1"/>
  <c r="BD539" i="4"/>
  <c r="BD397" i="4"/>
  <c r="BC263" i="4"/>
  <c r="BC132" i="4"/>
  <c r="BF132" i="4" s="1"/>
  <c r="BD21" i="4"/>
  <c r="BD151" i="4"/>
  <c r="BC373" i="4"/>
  <c r="BG373" i="4" s="1"/>
  <c r="BC539" i="4"/>
  <c r="BD804" i="4"/>
  <c r="BD1039" i="4"/>
  <c r="BC1390" i="4"/>
  <c r="BG1390" i="4" s="1"/>
  <c r="BC1707" i="4"/>
  <c r="BD2081" i="4"/>
  <c r="BC2451" i="4"/>
  <c r="BG2451" i="4" s="1"/>
  <c r="BD2884" i="4"/>
  <c r="BD3624" i="4"/>
  <c r="BD4897" i="4"/>
  <c r="BC12" i="4"/>
  <c r="BF12" i="4" s="1"/>
  <c r="BC152" i="4"/>
  <c r="BF152" i="4" s="1"/>
  <c r="BD373" i="4"/>
  <c r="BC540" i="4"/>
  <c r="BG540" i="4" s="1"/>
  <c r="BC839" i="4"/>
  <c r="BC1040" i="4"/>
  <c r="BD1399" i="4"/>
  <c r="BD1707" i="4"/>
  <c r="BC2082" i="4"/>
  <c r="BG2082" i="4" s="1"/>
  <c r="BD2451" i="4"/>
  <c r="BC2936" i="4"/>
  <c r="BF2936" i="4" s="1"/>
  <c r="BC3625" i="4"/>
  <c r="BG3625" i="4" s="1"/>
  <c r="BD4978" i="4"/>
  <c r="BD19" i="4"/>
  <c r="BD185" i="4"/>
  <c r="BD386" i="4"/>
  <c r="BD594" i="4"/>
  <c r="BD863" i="4"/>
  <c r="BD1065" i="4"/>
  <c r="BC1468" i="4"/>
  <c r="BD1737" i="4"/>
  <c r="BD2159" i="4"/>
  <c r="BC2453" i="4"/>
  <c r="BG2453" i="4" s="1"/>
  <c r="BD2937" i="4"/>
  <c r="BD3628" i="4"/>
  <c r="BD5361" i="4"/>
  <c r="BA519" i="4"/>
  <c r="BB519" i="4"/>
  <c r="BC20" i="4"/>
  <c r="BG20" i="4" s="1"/>
  <c r="BD206" i="4"/>
  <c r="BD393" i="4"/>
  <c r="BD602" i="4"/>
  <c r="BC864" i="4"/>
  <c r="BG864" i="4" s="1"/>
  <c r="BD1133" i="4"/>
  <c r="BD1468" i="4"/>
  <c r="BC1738" i="4"/>
  <c r="BC2161" i="4"/>
  <c r="BG2161" i="4" s="1"/>
  <c r="BC2466" i="4"/>
  <c r="BF2466" i="4" s="1"/>
  <c r="BD3054" i="4"/>
  <c r="BD3646" i="4"/>
  <c r="BC5363" i="4"/>
  <c r="BF5363" i="4" s="1"/>
  <c r="BB480" i="4"/>
  <c r="BA480" i="4"/>
  <c r="BB627" i="4"/>
  <c r="BA627" i="4"/>
  <c r="BD20" i="4"/>
  <c r="BC207" i="4"/>
  <c r="BG207" i="4" s="1"/>
  <c r="BC394" i="4"/>
  <c r="BG394" i="4" s="1"/>
  <c r="BD616" i="4"/>
  <c r="BD864" i="4"/>
  <c r="BD1144" i="4"/>
  <c r="BC1471" i="4"/>
  <c r="BF1471" i="4" s="1"/>
  <c r="BD1825" i="4"/>
  <c r="BD2161" i="4"/>
  <c r="BD2466" i="4"/>
  <c r="BD3081" i="4"/>
  <c r="BC3647" i="4"/>
  <c r="BC5364" i="4"/>
  <c r="BF5364" i="4" s="1"/>
  <c r="BB449" i="4"/>
  <c r="BA449" i="4"/>
  <c r="BC21" i="4"/>
  <c r="BF21" i="4" s="1"/>
  <c r="BD207" i="4"/>
  <c r="BD394" i="4"/>
  <c r="BC617" i="4"/>
  <c r="BC865" i="4"/>
  <c r="BF865" i="4" s="1"/>
  <c r="BD1174" i="4"/>
  <c r="BD1471" i="4"/>
  <c r="BC1827" i="4"/>
  <c r="BG1827" i="4" s="1"/>
  <c r="BD2189" i="4"/>
  <c r="BC2559" i="4"/>
  <c r="BG2559" i="4" s="1"/>
  <c r="BC3082" i="4"/>
  <c r="BG3082" i="4" s="1"/>
  <c r="BD3860" i="4"/>
  <c r="BD5364" i="4"/>
  <c r="BB468" i="4"/>
  <c r="BB539" i="4"/>
  <c r="BA539" i="4"/>
  <c r="BC22" i="4"/>
  <c r="BC240" i="4"/>
  <c r="BC397" i="4"/>
  <c r="BD624" i="4"/>
  <c r="BC866" i="4"/>
  <c r="BG866" i="4" s="1"/>
  <c r="BC1175" i="4"/>
  <c r="BG1175" i="4" s="1"/>
  <c r="BC1472" i="4"/>
  <c r="BD1839" i="4"/>
  <c r="BC2190" i="4"/>
  <c r="BD2593" i="4"/>
  <c r="BD3111" i="4"/>
  <c r="BD3948" i="4"/>
  <c r="BC5365" i="4"/>
  <c r="BG5365" i="4" s="1"/>
  <c r="BB552" i="4"/>
  <c r="BA552" i="4"/>
  <c r="BD22" i="4"/>
  <c r="BD240" i="4"/>
  <c r="BD404" i="4"/>
  <c r="BC672" i="4"/>
  <c r="BD873" i="4"/>
  <c r="BD1175" i="4"/>
  <c r="BC1482" i="4"/>
  <c r="BF1482" i="4" s="1"/>
  <c r="BD1858" i="4"/>
  <c r="BD2190" i="4"/>
  <c r="BC2598" i="4"/>
  <c r="BC3130" i="4"/>
  <c r="BD3950" i="4"/>
  <c r="BD5417" i="4"/>
  <c r="BA621" i="4"/>
  <c r="BB621" i="4"/>
  <c r="BD66" i="4"/>
  <c r="BC241" i="4"/>
  <c r="BD417" i="4"/>
  <c r="BD679" i="4"/>
  <c r="BC875" i="4"/>
  <c r="BC1225" i="4"/>
  <c r="BD1482" i="4"/>
  <c r="BC1859" i="4"/>
  <c r="BF1859" i="4" s="1"/>
  <c r="BC2191" i="4"/>
  <c r="BF2191" i="4" s="1"/>
  <c r="BD2598" i="4"/>
  <c r="BC3135" i="4"/>
  <c r="BG3135" i="4" s="1"/>
  <c r="BD4023" i="4"/>
  <c r="BC5419" i="4"/>
  <c r="BF5419" i="4" s="1"/>
  <c r="BA412" i="4"/>
  <c r="BB495" i="4"/>
  <c r="BA495" i="4"/>
  <c r="O528" i="2"/>
  <c r="P591" i="2"/>
  <c r="S591" i="2" s="1"/>
  <c r="T591" i="2" s="1"/>
  <c r="N591" i="2"/>
  <c r="O635" i="2"/>
  <c r="R635" i="2" s="1"/>
  <c r="N635" i="2"/>
  <c r="Q635" i="2" s="1"/>
  <c r="BD74" i="4"/>
  <c r="BC254" i="4"/>
  <c r="BC449" i="4"/>
  <c r="BC680" i="4"/>
  <c r="BD875" i="4"/>
  <c r="BC1242" i="4"/>
  <c r="BG1242" i="4" s="1"/>
  <c r="BC1498" i="4"/>
  <c r="BF1498" i="4" s="1"/>
  <c r="BC1917" i="4"/>
  <c r="BC2205" i="4"/>
  <c r="BG2205" i="4" s="1"/>
  <c r="BC2613" i="4"/>
  <c r="BG2613" i="4" s="1"/>
  <c r="BD3135" i="4"/>
  <c r="BC4156" i="4"/>
  <c r="BG4156" i="4" s="1"/>
  <c r="BC5421" i="4"/>
  <c r="BB482" i="4"/>
  <c r="BA482" i="4"/>
  <c r="BB489" i="4"/>
  <c r="BA489" i="4"/>
  <c r="BB508" i="4"/>
  <c r="BA508" i="4"/>
  <c r="P645" i="2"/>
  <c r="S645" i="2" s="1"/>
  <c r="T645" i="2" s="1"/>
  <c r="BD76" i="4"/>
  <c r="BD254" i="4"/>
  <c r="BD452" i="4"/>
  <c r="BD680" i="4"/>
  <c r="BC934" i="4"/>
  <c r="BF934" i="4" s="1"/>
  <c r="BD1242" i="4"/>
  <c r="BD1507" i="4"/>
  <c r="BC1946" i="4"/>
  <c r="BF1946" i="4" s="1"/>
  <c r="BD2233" i="4"/>
  <c r="BD2704" i="4"/>
  <c r="BD3136" i="4"/>
  <c r="BD4156" i="4"/>
  <c r="BD5551" i="4"/>
  <c r="BB615" i="4"/>
  <c r="BA615" i="4"/>
  <c r="P589" i="4"/>
  <c r="O589" i="4"/>
  <c r="O621" i="4"/>
  <c r="O624" i="4"/>
  <c r="BA619" i="4"/>
  <c r="BB619" i="4"/>
  <c r="U630" i="2"/>
  <c r="V630" i="2"/>
  <c r="O590" i="4"/>
  <c r="BB597" i="4"/>
  <c r="BA597" i="4"/>
  <c r="V659" i="2"/>
  <c r="U659" i="2"/>
  <c r="BA512" i="4"/>
  <c r="BA544" i="4"/>
  <c r="BB544" i="4"/>
  <c r="BB550" i="4"/>
  <c r="BA458" i="4"/>
  <c r="BB458" i="4"/>
  <c r="P606" i="4"/>
  <c r="O606" i="4"/>
  <c r="BB616" i="4"/>
  <c r="BA616" i="4"/>
  <c r="BB613" i="4"/>
  <c r="BA613" i="4"/>
  <c r="V653" i="4"/>
  <c r="BA446" i="4"/>
  <c r="BB446" i="4"/>
  <c r="BB668" i="4"/>
  <c r="BA668" i="4"/>
  <c r="N643" i="2"/>
  <c r="N645" i="2"/>
  <c r="BA466" i="4"/>
  <c r="BB466" i="4"/>
  <c r="BA516" i="4"/>
  <c r="BB541" i="4"/>
  <c r="BA541" i="4"/>
  <c r="BB578" i="4"/>
  <c r="BA578" i="4"/>
  <c r="BB581" i="4"/>
  <c r="BB638" i="4"/>
  <c r="BA638" i="4"/>
  <c r="U647" i="4"/>
  <c r="BB404" i="4"/>
  <c r="BA404" i="4"/>
  <c r="O649" i="2"/>
  <c r="BB417" i="4"/>
  <c r="BA417" i="4"/>
  <c r="BB535" i="4"/>
  <c r="BA535" i="4"/>
  <c r="BA572" i="4"/>
  <c r="BB572" i="4"/>
  <c r="O632" i="4"/>
  <c r="BA575" i="4"/>
  <c r="O578" i="4"/>
  <c r="BB430" i="4"/>
  <c r="BA430" i="4"/>
  <c r="BA442" i="4"/>
  <c r="BB442" i="4"/>
  <c r="BA562" i="4"/>
  <c r="O623" i="4"/>
  <c r="AB650" i="4"/>
  <c r="O572" i="4"/>
  <c r="O591" i="4"/>
  <c r="BB625" i="4"/>
  <c r="BA625" i="4"/>
  <c r="BB669" i="4"/>
  <c r="BA669" i="4"/>
  <c r="BB503" i="4"/>
  <c r="BA503" i="4"/>
  <c r="AA635" i="4"/>
  <c r="BB653" i="4"/>
  <c r="BA653" i="4"/>
  <c r="BA411" i="4"/>
  <c r="BA452" i="4"/>
  <c r="BA533" i="4"/>
  <c r="BA557" i="4"/>
  <c r="BA563" i="4"/>
  <c r="BA588" i="4"/>
  <c r="BB601" i="4"/>
  <c r="BA601" i="4"/>
  <c r="O628" i="4"/>
  <c r="V651" i="4"/>
  <c r="O653" i="4"/>
  <c r="BA423" i="4"/>
  <c r="BA429" i="4"/>
  <c r="BA551" i="4"/>
  <c r="BB576" i="4"/>
  <c r="BA576" i="4"/>
  <c r="P604" i="4"/>
  <c r="BA650" i="4"/>
  <c r="BB650" i="4"/>
  <c r="P653" i="4"/>
  <c r="BB441" i="4"/>
  <c r="BA441" i="4"/>
  <c r="P647" i="4"/>
  <c r="AA651" i="4"/>
  <c r="BB670" i="4"/>
  <c r="BA570" i="4"/>
  <c r="BB570" i="4"/>
  <c r="AB648" i="4"/>
  <c r="U653" i="4"/>
  <c r="O601" i="4"/>
  <c r="O643" i="4"/>
  <c r="BB476" i="4"/>
  <c r="O604" i="4"/>
  <c r="AB638" i="4"/>
  <c r="P586" i="4"/>
  <c r="P610" i="4"/>
  <c r="P634" i="4"/>
  <c r="U637" i="4"/>
  <c r="V646" i="4"/>
  <c r="BB676" i="4"/>
  <c r="BA676" i="4"/>
  <c r="BB614" i="4"/>
  <c r="BA614" i="4"/>
  <c r="U646" i="4"/>
  <c r="BB531" i="4"/>
  <c r="BA531" i="4"/>
  <c r="P580" i="4"/>
  <c r="P583" i="4"/>
  <c r="P626" i="4"/>
  <c r="AB637" i="4"/>
  <c r="BB599" i="4"/>
  <c r="BA599" i="4"/>
  <c r="BB608" i="4"/>
  <c r="BA608" i="4"/>
  <c r="O642" i="4"/>
  <c r="BA484" i="4"/>
  <c r="BB490" i="4"/>
  <c r="O593" i="4"/>
  <c r="BA605" i="4"/>
  <c r="BB605" i="4"/>
  <c r="BB611" i="4"/>
  <c r="BA611" i="4"/>
  <c r="O636" i="4"/>
  <c r="P642" i="4"/>
  <c r="O605" i="4"/>
  <c r="U636" i="4"/>
  <c r="AA646" i="4"/>
  <c r="BA414" i="4"/>
  <c r="BB469" i="4"/>
  <c r="P597" i="4"/>
  <c r="P608" i="4"/>
  <c r="AB646" i="4"/>
  <c r="BA579" i="4"/>
  <c r="P585" i="4"/>
  <c r="P614" i="4"/>
  <c r="P625" i="4"/>
  <c r="AB636" i="4"/>
  <c r="P638" i="4"/>
  <c r="V639" i="4"/>
  <c r="O648" i="4"/>
  <c r="V652" i="4"/>
  <c r="O574" i="4"/>
  <c r="BB448" i="4"/>
  <c r="BA465" i="4"/>
  <c r="BB486" i="4"/>
  <c r="O571" i="4"/>
  <c r="P574" i="4"/>
  <c r="P600" i="4"/>
  <c r="O603" i="4"/>
  <c r="O611" i="4"/>
  <c r="O644" i="4"/>
  <c r="BB677" i="4"/>
  <c r="AB639" i="4"/>
  <c r="BA416" i="4"/>
  <c r="BB432" i="4"/>
  <c r="BB443" i="4"/>
  <c r="BB481" i="4"/>
  <c r="BB504" i="4"/>
  <c r="U635" i="4"/>
  <c r="BG1661" i="4"/>
  <c r="BB624" i="4"/>
  <c r="BA624" i="4"/>
  <c r="BG1510" i="4"/>
  <c r="BG264" i="4"/>
  <c r="BF264" i="4"/>
  <c r="BF2113" i="4"/>
  <c r="BF3657" i="4"/>
  <c r="BF2743" i="4"/>
  <c r="BG967" i="4"/>
  <c r="BF967" i="4"/>
  <c r="BG1031" i="4"/>
  <c r="BF1031" i="4"/>
  <c r="BG1826" i="4"/>
  <c r="BG1917" i="4"/>
  <c r="BF1917" i="4"/>
  <c r="BF659" i="4"/>
  <c r="BG1948" i="4"/>
  <c r="BF1948" i="4"/>
  <c r="BF1039" i="4"/>
  <c r="BG1521" i="4"/>
  <c r="BF1521" i="4"/>
  <c r="BF3553" i="4"/>
  <c r="BG3553" i="4"/>
  <c r="BF2454" i="4"/>
  <c r="BG3456" i="4"/>
  <c r="BF1171" i="4"/>
  <c r="BG2985" i="4"/>
  <c r="BG969" i="4"/>
  <c r="BG4321" i="4"/>
  <c r="BF647" i="4"/>
  <c r="BG704" i="4"/>
  <c r="BF1055" i="4"/>
  <c r="BG2763" i="4"/>
  <c r="BF2763" i="4"/>
  <c r="BG3214" i="4"/>
  <c r="BF3800" i="4"/>
  <c r="BG538" i="4"/>
  <c r="BF538" i="4"/>
  <c r="BF783" i="4"/>
  <c r="BG2356" i="4"/>
  <c r="BF2356" i="4"/>
  <c r="BG2557" i="4"/>
  <c r="BG3394" i="4"/>
  <c r="BF3394" i="4"/>
  <c r="BG4343" i="4"/>
  <c r="BF4343" i="4"/>
  <c r="BG875" i="4"/>
  <c r="BF875" i="4"/>
  <c r="BG1323" i="4"/>
  <c r="BG364" i="4"/>
  <c r="BF364" i="4"/>
  <c r="BG1225" i="4"/>
  <c r="BF1225" i="4"/>
  <c r="BG934" i="4"/>
  <c r="BG66" i="4"/>
  <c r="BF66" i="4"/>
  <c r="BG2707" i="4"/>
  <c r="BF2707" i="4"/>
  <c r="BG4897" i="4"/>
  <c r="BF4897" i="4"/>
  <c r="BF2036" i="4"/>
  <c r="BG44" i="4"/>
  <c r="BG1066" i="4"/>
  <c r="BF1066" i="4"/>
  <c r="BF2453" i="4"/>
  <c r="BG5563" i="4"/>
  <c r="BF5563" i="4"/>
  <c r="BD714" i="4"/>
  <c r="BC748" i="4"/>
  <c r="BD781" i="4"/>
  <c r="BD807" i="4"/>
  <c r="BC841" i="4"/>
  <c r="BD874" i="4"/>
  <c r="BC908" i="4"/>
  <c r="BD934" i="4"/>
  <c r="BD968" i="4"/>
  <c r="BD1003" i="4"/>
  <c r="BD1038" i="4"/>
  <c r="BD1067" i="4"/>
  <c r="BD1105" i="4"/>
  <c r="BD1145" i="4"/>
  <c r="BD1185" i="4"/>
  <c r="BD1214" i="4"/>
  <c r="BD1254" i="4"/>
  <c r="BD1292" i="4"/>
  <c r="BD1332" i="4"/>
  <c r="BD1363" i="4"/>
  <c r="BD1401" i="4"/>
  <c r="BD1441" i="4"/>
  <c r="BD1479" i="4"/>
  <c r="BD1510" i="4"/>
  <c r="BD1550" i="4"/>
  <c r="BD1588" i="4"/>
  <c r="BC1630" i="4"/>
  <c r="BD1662" i="4"/>
  <c r="BC1706" i="4"/>
  <c r="BC1750" i="4"/>
  <c r="BC1794" i="4"/>
  <c r="BC1828" i="4"/>
  <c r="BC1872" i="4"/>
  <c r="BD1915" i="4"/>
  <c r="BD1949" i="4"/>
  <c r="BC1993" i="4"/>
  <c r="BC2037" i="4"/>
  <c r="BC2081" i="4"/>
  <c r="BC2115" i="4"/>
  <c r="BC2159" i="4"/>
  <c r="BC2203" i="4"/>
  <c r="BC2247" i="4"/>
  <c r="BC2282" i="4"/>
  <c r="BC2326" i="4"/>
  <c r="BC2370" i="4"/>
  <c r="BD2414" i="4"/>
  <c r="BD2453" i="4"/>
  <c r="BD2505" i="4"/>
  <c r="BC2558" i="4"/>
  <c r="BD2612" i="4"/>
  <c r="BD2651" i="4"/>
  <c r="BC2706" i="4"/>
  <c r="BD2759" i="4"/>
  <c r="BD2820" i="4"/>
  <c r="BC2870" i="4"/>
  <c r="BD2935" i="4"/>
  <c r="BD3004" i="4"/>
  <c r="BC3080" i="4"/>
  <c r="BC3138" i="4"/>
  <c r="BD3223" i="4"/>
  <c r="BD3304" i="4"/>
  <c r="BD3393" i="4"/>
  <c r="BC3467" i="4"/>
  <c r="BD3562" i="4"/>
  <c r="BD3647" i="4"/>
  <c r="BC3749" i="4"/>
  <c r="BD3836" i="4"/>
  <c r="BC3948" i="4"/>
  <c r="BD4052" i="4"/>
  <c r="BC4205" i="4"/>
  <c r="BC4344" i="4"/>
  <c r="BC4514" i="4"/>
  <c r="BD4711" i="4"/>
  <c r="BC4896" i="4"/>
  <c r="BC5043" i="4"/>
  <c r="BD5219" i="4"/>
  <c r="BD5418" i="4"/>
  <c r="BC5630" i="4"/>
  <c r="BC5831" i="4"/>
  <c r="BD6104" i="4"/>
  <c r="BD23" i="4"/>
  <c r="BC54" i="4"/>
  <c r="BC78" i="4"/>
  <c r="BD108" i="4"/>
  <c r="BD132" i="4"/>
  <c r="BC163" i="4"/>
  <c r="BC187" i="4"/>
  <c r="BD217" i="4"/>
  <c r="BD241" i="4"/>
  <c r="BD265" i="4"/>
  <c r="BC296" i="4"/>
  <c r="BC320" i="4"/>
  <c r="BD350" i="4"/>
  <c r="BD374" i="4"/>
  <c r="BC405" i="4"/>
  <c r="BC429" i="4"/>
  <c r="BD459" i="4"/>
  <c r="BC484" i="4"/>
  <c r="BC516" i="4"/>
  <c r="BD547" i="4"/>
  <c r="BC572" i="4"/>
  <c r="BC603" i="4"/>
  <c r="BD627" i="4"/>
  <c r="BD659" i="4"/>
  <c r="BD691" i="4"/>
  <c r="BC724" i="4"/>
  <c r="BC750" i="4"/>
  <c r="BD783" i="4"/>
  <c r="BC817" i="4"/>
  <c r="BD850" i="4"/>
  <c r="BC877" i="4"/>
  <c r="BD910" i="4"/>
  <c r="BC944" i="4"/>
  <c r="BD978" i="4"/>
  <c r="BD1005" i="4"/>
  <c r="BD1040" i="4"/>
  <c r="BD1078" i="4"/>
  <c r="BD1116" i="4"/>
  <c r="BD1147" i="4"/>
  <c r="BD1187" i="4"/>
  <c r="BD1225" i="4"/>
  <c r="BD1265" i="4"/>
  <c r="BD1296" i="4"/>
  <c r="BD1334" i="4"/>
  <c r="BD1374" i="4"/>
  <c r="BD1412" i="4"/>
  <c r="BD1443" i="4"/>
  <c r="BD1483" i="4"/>
  <c r="BD1521" i="4"/>
  <c r="BD1561" i="4"/>
  <c r="BD1592" i="4"/>
  <c r="BC1632" i="4"/>
  <c r="BC1674" i="4"/>
  <c r="BC1718" i="4"/>
  <c r="BC1752" i="4"/>
  <c r="BC1796" i="4"/>
  <c r="BC1840" i="4"/>
  <c r="BC1884" i="4"/>
  <c r="BD1917" i="4"/>
  <c r="BC1961" i="4"/>
  <c r="BC2005" i="4"/>
  <c r="BC2040" i="4"/>
  <c r="BC2084" i="4"/>
  <c r="BC2128" i="4"/>
  <c r="BC2172" i="4"/>
  <c r="BC2208" i="4"/>
  <c r="BC2252" i="4"/>
  <c r="BC2296" i="4"/>
  <c r="BC2340" i="4"/>
  <c r="BC2374" i="4"/>
  <c r="BD2418" i="4"/>
  <c r="BC2467" i="4"/>
  <c r="BD2521" i="4"/>
  <c r="BC2560" i="4"/>
  <c r="BD2614" i="4"/>
  <c r="BC2667" i="4"/>
  <c r="BD2719" i="4"/>
  <c r="BC2764" i="4"/>
  <c r="BD2822" i="4"/>
  <c r="BD2885" i="4"/>
  <c r="BD2957" i="4"/>
  <c r="BC3009" i="4"/>
  <c r="BD3082" i="4"/>
  <c r="BD3159" i="4"/>
  <c r="BD3243" i="4"/>
  <c r="BC3315" i="4"/>
  <c r="BC3404" i="4"/>
  <c r="BD3488" i="4"/>
  <c r="BD3581" i="4"/>
  <c r="BD3658" i="4"/>
  <c r="BC3761" i="4"/>
  <c r="BC3861" i="4"/>
  <c r="BD3973" i="4"/>
  <c r="BC4066" i="4"/>
  <c r="BC4207" i="4"/>
  <c r="BD4396" i="4"/>
  <c r="BC4574" i="4"/>
  <c r="BD4721" i="4"/>
  <c r="BC4898" i="4"/>
  <c r="BD5096" i="4"/>
  <c r="BC5281" i="4"/>
  <c r="BC5429" i="4"/>
  <c r="BD5650" i="4"/>
  <c r="BD5903" i="4"/>
  <c r="BD6162" i="4"/>
  <c r="BD30" i="4"/>
  <c r="BD54" i="4"/>
  <c r="BD78" i="4"/>
  <c r="BC109" i="4"/>
  <c r="BC133" i="4"/>
  <c r="BD163" i="4"/>
  <c r="BD187" i="4"/>
  <c r="BC218" i="4"/>
  <c r="BC242" i="4"/>
  <c r="BD272" i="4"/>
  <c r="BD296" i="4"/>
  <c r="BD320" i="4"/>
  <c r="BC351" i="4"/>
  <c r="BC375" i="4"/>
  <c r="BD405" i="4"/>
  <c r="BD429" i="4"/>
  <c r="BC460" i="4"/>
  <c r="BD484" i="4"/>
  <c r="BD516" i="4"/>
  <c r="BC548" i="4"/>
  <c r="BD572" i="4"/>
  <c r="BD603" i="4"/>
  <c r="BC628" i="4"/>
  <c r="BC660" i="4"/>
  <c r="BC692" i="4"/>
  <c r="BD724" i="4"/>
  <c r="BD750" i="4"/>
  <c r="BC784" i="4"/>
  <c r="BD817" i="4"/>
  <c r="BC851" i="4"/>
  <c r="BD877" i="4"/>
  <c r="BC911" i="4"/>
  <c r="BD944" i="4"/>
  <c r="BC979" i="4"/>
  <c r="BC1006" i="4"/>
  <c r="BC1042" i="4"/>
  <c r="BC1079" i="4"/>
  <c r="BC1119" i="4"/>
  <c r="BC1148" i="4"/>
  <c r="BC1188" i="4"/>
  <c r="BC1226" i="4"/>
  <c r="BC1266" i="4"/>
  <c r="BC1297" i="4"/>
  <c r="BC1335" i="4"/>
  <c r="BC1375" i="4"/>
  <c r="BC1413" i="4"/>
  <c r="BC1444" i="4"/>
  <c r="BC1484" i="4"/>
  <c r="BC1522" i="4"/>
  <c r="BC1562" i="4"/>
  <c r="BC1593" i="4"/>
  <c r="BC1633" i="4"/>
  <c r="BD1674" i="4"/>
  <c r="BD1718" i="4"/>
  <c r="BD1752" i="4"/>
  <c r="BD1796" i="4"/>
  <c r="BD1840" i="4"/>
  <c r="BD1884" i="4"/>
  <c r="BC1919" i="4"/>
  <c r="BD1961" i="4"/>
  <c r="BD2005" i="4"/>
  <c r="BD2040" i="4"/>
  <c r="BD2084" i="4"/>
  <c r="BD2128" i="4"/>
  <c r="BD2172" i="4"/>
  <c r="BD2208" i="4"/>
  <c r="BD2252" i="4"/>
  <c r="BD2296" i="4"/>
  <c r="BD2340" i="4"/>
  <c r="BD2374" i="4"/>
  <c r="BC2419" i="4"/>
  <c r="BD2467" i="4"/>
  <c r="BC2522" i="4"/>
  <c r="BC2561" i="4"/>
  <c r="BC2615" i="4"/>
  <c r="BD2667" i="4"/>
  <c r="BC2720" i="4"/>
  <c r="BD2764" i="4"/>
  <c r="BC2823" i="4"/>
  <c r="BC2886" i="4"/>
  <c r="BC2958" i="4"/>
  <c r="BD3009" i="4"/>
  <c r="BC3083" i="4"/>
  <c r="BD3162" i="4"/>
  <c r="BC3244" i="4"/>
  <c r="BD3315" i="4"/>
  <c r="BD3404" i="4"/>
  <c r="BC3497" i="4"/>
  <c r="BD3584" i="4"/>
  <c r="BD3661" i="4"/>
  <c r="BD3761" i="4"/>
  <c r="BC3872" i="4"/>
  <c r="BD3974" i="4"/>
  <c r="BD4066" i="4"/>
  <c r="BD4207" i="4"/>
  <c r="BC4397" i="4"/>
  <c r="BD4574" i="4"/>
  <c r="BC4722" i="4"/>
  <c r="BD4898" i="4"/>
  <c r="BC5098" i="4"/>
  <c r="BD5282" i="4"/>
  <c r="BD5429" i="4"/>
  <c r="BC5651" i="4"/>
  <c r="BD5905" i="4"/>
  <c r="BD6164" i="4"/>
  <c r="BC31" i="4"/>
  <c r="BC55" i="4"/>
  <c r="BD85" i="4"/>
  <c r="BD109" i="4"/>
  <c r="BD133" i="4"/>
  <c r="BC164" i="4"/>
  <c r="BC188" i="4"/>
  <c r="BD218" i="4"/>
  <c r="BD242" i="4"/>
  <c r="BC273" i="4"/>
  <c r="BC297" i="4"/>
  <c r="BD327" i="4"/>
  <c r="BD351" i="4"/>
  <c r="BD375" i="4"/>
  <c r="BC406" i="4"/>
  <c r="BC430" i="4"/>
  <c r="BD460" i="4"/>
  <c r="BC485" i="4"/>
  <c r="BC517" i="4"/>
  <c r="BD548" i="4"/>
  <c r="BC573" i="4"/>
  <c r="BC604" i="4"/>
  <c r="BD635" i="4"/>
  <c r="BD660" i="4"/>
  <c r="BD692" i="4"/>
  <c r="BC725" i="4"/>
  <c r="BD758" i="4"/>
  <c r="BD784" i="4"/>
  <c r="BC818" i="4"/>
  <c r="BD851" i="4"/>
  <c r="BC885" i="4"/>
  <c r="BD911" i="4"/>
  <c r="BC945" i="4"/>
  <c r="BD979" i="4"/>
  <c r="BD1014" i="4"/>
  <c r="BD1042" i="4"/>
  <c r="BD1079" i="4"/>
  <c r="BD1119" i="4"/>
  <c r="BD1157" i="4"/>
  <c r="BD1188" i="4"/>
  <c r="BD1226" i="4"/>
  <c r="BD1266" i="4"/>
  <c r="BD1306" i="4"/>
  <c r="BD1335" i="4"/>
  <c r="BD1375" i="4"/>
  <c r="BD1413" i="4"/>
  <c r="BD1453" i="4"/>
  <c r="BD1484" i="4"/>
  <c r="BD1522" i="4"/>
  <c r="BD1562" i="4"/>
  <c r="BC1603" i="4"/>
  <c r="BD1633" i="4"/>
  <c r="BC1675" i="4"/>
  <c r="BC1719" i="4"/>
  <c r="BC1763" i="4"/>
  <c r="BC1798" i="4"/>
  <c r="BC1842" i="4"/>
  <c r="BC1886" i="4"/>
  <c r="BD1919" i="4"/>
  <c r="BC1963" i="4"/>
  <c r="BC2007" i="4"/>
  <c r="BC2051" i="4"/>
  <c r="BC2087" i="4"/>
  <c r="BC2131" i="4"/>
  <c r="BC2175" i="4"/>
  <c r="BC2219" i="4"/>
  <c r="BC2253" i="4"/>
  <c r="BC2297" i="4"/>
  <c r="BC2341" i="4"/>
  <c r="BC2385" i="4"/>
  <c r="BD2419" i="4"/>
  <c r="BC2468" i="4"/>
  <c r="BD2522" i="4"/>
  <c r="BC2575" i="4"/>
  <c r="BD2615" i="4"/>
  <c r="BC2670" i="4"/>
  <c r="BD2720" i="4"/>
  <c r="BC2777" i="4"/>
  <c r="BD2823" i="4"/>
  <c r="BD2889" i="4"/>
  <c r="BC2959" i="4"/>
  <c r="BD3025" i="4"/>
  <c r="BD3083" i="4"/>
  <c r="BC3163" i="4"/>
  <c r="BC3245" i="4"/>
  <c r="BD3334" i="4"/>
  <c r="BC3405" i="4"/>
  <c r="BC3498" i="4"/>
  <c r="BC3585" i="4"/>
  <c r="BC3679" i="4"/>
  <c r="BC3762" i="4"/>
  <c r="BD3873" i="4"/>
  <c r="BC3975" i="4"/>
  <c r="BD4091" i="4"/>
  <c r="BC4208" i="4"/>
  <c r="BD4397" i="4"/>
  <c r="BC4575" i="4"/>
  <c r="BD4773" i="4"/>
  <c r="BC4921" i="4"/>
  <c r="BC5099" i="4"/>
  <c r="BD5283" i="4"/>
  <c r="BD5487" i="4"/>
  <c r="BD5661" i="4"/>
  <c r="BD5906" i="4"/>
  <c r="BC6190" i="4"/>
  <c r="BD31" i="4"/>
  <c r="BD55" i="4"/>
  <c r="BC86" i="4"/>
  <c r="BC110" i="4"/>
  <c r="BD140" i="4"/>
  <c r="BD164" i="4"/>
  <c r="BD188" i="4"/>
  <c r="BC219" i="4"/>
  <c r="BC243" i="4"/>
  <c r="BD273" i="4"/>
  <c r="BD297" i="4"/>
  <c r="BC328" i="4"/>
  <c r="BC352" i="4"/>
  <c r="BD382" i="4"/>
  <c r="BD406" i="4"/>
  <c r="BD430" i="4"/>
  <c r="BC461" i="4"/>
  <c r="BD492" i="4"/>
  <c r="BD517" i="4"/>
  <c r="BC549" i="4"/>
  <c r="BD573" i="4"/>
  <c r="BD604" i="4"/>
  <c r="BC636" i="4"/>
  <c r="BC661" i="4"/>
  <c r="BC693" i="4"/>
  <c r="BD725" i="4"/>
  <c r="BC759" i="4"/>
  <c r="BC785" i="4"/>
  <c r="BD818" i="4"/>
  <c r="BC852" i="4"/>
  <c r="BD885" i="4"/>
  <c r="BC912" i="4"/>
  <c r="BD945" i="4"/>
  <c r="BC980" i="4"/>
  <c r="BC1015" i="4"/>
  <c r="BC1043" i="4"/>
  <c r="BC1080" i="4"/>
  <c r="BC1120" i="4"/>
  <c r="BC1158" i="4"/>
  <c r="BC1189" i="4"/>
  <c r="BC1229" i="4"/>
  <c r="BC1267" i="4"/>
  <c r="BC1307" i="4"/>
  <c r="BC1336" i="4"/>
  <c r="BC1376" i="4"/>
  <c r="BC1416" i="4"/>
  <c r="BC1454" i="4"/>
  <c r="BC1485" i="4"/>
  <c r="BC1523" i="4"/>
  <c r="BC1563" i="4"/>
  <c r="BD1603" i="4"/>
  <c r="BC1636" i="4"/>
  <c r="BD1675" i="4"/>
  <c r="BD1719" i="4"/>
  <c r="BD1763" i="4"/>
  <c r="BD1798" i="4"/>
  <c r="BD1842" i="4"/>
  <c r="BD1886" i="4"/>
  <c r="BC1930" i="4"/>
  <c r="BD1963" i="4"/>
  <c r="BD2007" i="4"/>
  <c r="BD2051" i="4"/>
  <c r="BD2087" i="4"/>
  <c r="BD2131" i="4"/>
  <c r="BD2175" i="4"/>
  <c r="BD2219" i="4"/>
  <c r="BD2253" i="4"/>
  <c r="BD2297" i="4"/>
  <c r="BD2341" i="4"/>
  <c r="BD2385" i="4"/>
  <c r="BC2420" i="4"/>
  <c r="BC2469" i="4"/>
  <c r="BC2523" i="4"/>
  <c r="BD2575" i="4"/>
  <c r="BC2616" i="4"/>
  <c r="BD2670" i="4"/>
  <c r="BC2721" i="4"/>
  <c r="BD2777" i="4"/>
  <c r="BC2824" i="4"/>
  <c r="BD2893" i="4"/>
  <c r="BD2959" i="4"/>
  <c r="BD3026" i="4"/>
  <c r="BC3084" i="4"/>
  <c r="BD3163" i="4"/>
  <c r="BD3251" i="4"/>
  <c r="BC3335" i="4"/>
  <c r="BD3405" i="4"/>
  <c r="BD3498" i="4"/>
  <c r="BC3592" i="4"/>
  <c r="BD3679" i="4"/>
  <c r="BC3763" i="4"/>
  <c r="BD3874" i="4"/>
  <c r="BD3985" i="4"/>
  <c r="BC4092" i="4"/>
  <c r="BD4208" i="4"/>
  <c r="BC4398" i="4"/>
  <c r="BD4575" i="4"/>
  <c r="BD4775" i="4"/>
  <c r="BD4921" i="4"/>
  <c r="BD5099" i="4"/>
  <c r="BC5284" i="4"/>
  <c r="BD5488" i="4"/>
  <c r="BC5662" i="4"/>
  <c r="BC5908" i="4"/>
  <c r="BD6380" i="4"/>
  <c r="BD6369" i="4"/>
  <c r="BD6358" i="4"/>
  <c r="BD6347" i="4"/>
  <c r="BD6336" i="4"/>
  <c r="BD6325" i="4"/>
  <c r="BD6314" i="4"/>
  <c r="BD6303" i="4"/>
  <c r="BD6292" i="4"/>
  <c r="BD6281" i="4"/>
  <c r="BD6270" i="4"/>
  <c r="BD6259" i="4"/>
  <c r="BD6248" i="4"/>
  <c r="BD6237" i="4"/>
  <c r="BD6226" i="4"/>
  <c r="BD6215" i="4"/>
  <c r="BD6204" i="4"/>
  <c r="BD6193" i="4"/>
  <c r="BD6182" i="4"/>
  <c r="BD6171" i="4"/>
  <c r="BD6160" i="4"/>
  <c r="BD6149" i="4"/>
  <c r="BD6138" i="4"/>
  <c r="BD6127" i="4"/>
  <c r="BD6116" i="4"/>
  <c r="BD6105" i="4"/>
  <c r="BD6094" i="4"/>
  <c r="BD6083" i="4"/>
  <c r="BD6072" i="4"/>
  <c r="BD6061" i="4"/>
  <c r="BD6050" i="4"/>
  <c r="BD6039" i="4"/>
  <c r="BD6028" i="4"/>
  <c r="BD6017" i="4"/>
  <c r="BD6006" i="4"/>
  <c r="BD5995" i="4"/>
  <c r="BD5984" i="4"/>
  <c r="BD5973" i="4"/>
  <c r="BD5962" i="4"/>
  <c r="BD5951" i="4"/>
  <c r="BD5940" i="4"/>
  <c r="BD5929" i="4"/>
  <c r="BD5918" i="4"/>
  <c r="BD5907" i="4"/>
  <c r="BD5896" i="4"/>
  <c r="BD5885" i="4"/>
  <c r="BD5874" i="4"/>
  <c r="BD5863" i="4"/>
  <c r="BD5852" i="4"/>
  <c r="BD5841" i="4"/>
  <c r="BD5830" i="4"/>
  <c r="BD5819" i="4"/>
  <c r="BD5808" i="4"/>
  <c r="BD5797" i="4"/>
  <c r="BD5786" i="4"/>
  <c r="BD5775" i="4"/>
  <c r="BD5764" i="4"/>
  <c r="BD5753" i="4"/>
  <c r="BD5742" i="4"/>
  <c r="BD5731" i="4"/>
  <c r="BD5720" i="4"/>
  <c r="BD5709" i="4"/>
  <c r="BD5698" i="4"/>
  <c r="BD5687" i="4"/>
  <c r="BD5676" i="4"/>
  <c r="BD5665" i="4"/>
  <c r="BD5654" i="4"/>
  <c r="BD5643" i="4"/>
  <c r="BD5632" i="4"/>
  <c r="BD5621" i="4"/>
  <c r="BD5610" i="4"/>
  <c r="BD5599" i="4"/>
  <c r="BD5588" i="4"/>
  <c r="BD5577" i="4"/>
  <c r="BD5566" i="4"/>
  <c r="BD5555" i="4"/>
  <c r="BD5544" i="4"/>
  <c r="BC6380" i="4"/>
  <c r="BC6369" i="4"/>
  <c r="BC6358" i="4"/>
  <c r="BC6347" i="4"/>
  <c r="BC6336" i="4"/>
  <c r="BC6325" i="4"/>
  <c r="BC6314" i="4"/>
  <c r="BC6303" i="4"/>
  <c r="BC6292" i="4"/>
  <c r="BC6281" i="4"/>
  <c r="BC6270" i="4"/>
  <c r="BC6259" i="4"/>
  <c r="BC6248" i="4"/>
  <c r="BC6237" i="4"/>
  <c r="BC6226" i="4"/>
  <c r="BC6215" i="4"/>
  <c r="BC6204" i="4"/>
  <c r="BC6193" i="4"/>
  <c r="BC6182" i="4"/>
  <c r="BC6171" i="4"/>
  <c r="BC6160" i="4"/>
  <c r="BC6149" i="4"/>
  <c r="BC6138" i="4"/>
  <c r="BC6127" i="4"/>
  <c r="BC6116" i="4"/>
  <c r="BC6105" i="4"/>
  <c r="BC6094" i="4"/>
  <c r="BC6083" i="4"/>
  <c r="BC6072" i="4"/>
  <c r="BC6061" i="4"/>
  <c r="BC6050" i="4"/>
  <c r="BC6039" i="4"/>
  <c r="BC6028" i="4"/>
  <c r="BC6017" i="4"/>
  <c r="BC6006" i="4"/>
  <c r="BC5995" i="4"/>
  <c r="BC5984" i="4"/>
  <c r="BC5973" i="4"/>
  <c r="BC5962" i="4"/>
  <c r="BC5951" i="4"/>
  <c r="BC5940" i="4"/>
  <c r="BC5929" i="4"/>
  <c r="BC5918" i="4"/>
  <c r="BC5907" i="4"/>
  <c r="BC5896" i="4"/>
  <c r="BC5885" i="4"/>
  <c r="BC5874" i="4"/>
  <c r="BC5863" i="4"/>
  <c r="BC5852" i="4"/>
  <c r="BC5841" i="4"/>
  <c r="BC5830" i="4"/>
  <c r="BC5819" i="4"/>
  <c r="BC5808" i="4"/>
  <c r="BC5797" i="4"/>
  <c r="BC5786" i="4"/>
  <c r="BC5775" i="4"/>
  <c r="BC5764" i="4"/>
  <c r="BC5753" i="4"/>
  <c r="BC5742" i="4"/>
  <c r="BC5731" i="4"/>
  <c r="BC5720" i="4"/>
  <c r="BC5709" i="4"/>
  <c r="BC5698" i="4"/>
  <c r="BC5687" i="4"/>
  <c r="BC5676" i="4"/>
  <c r="BC5665" i="4"/>
  <c r="BC5654" i="4"/>
  <c r="BC5643" i="4"/>
  <c r="BC5632" i="4"/>
  <c r="BC5621" i="4"/>
  <c r="BC5610" i="4"/>
  <c r="BC5599" i="4"/>
  <c r="BC5588" i="4"/>
  <c r="BC5577" i="4"/>
  <c r="BC5566" i="4"/>
  <c r="BC5555" i="4"/>
  <c r="BC5544" i="4"/>
  <c r="BC5533" i="4"/>
  <c r="BC5522" i="4"/>
  <c r="BC5511" i="4"/>
  <c r="BC5500" i="4"/>
  <c r="BC5489" i="4"/>
  <c r="BC5478" i="4"/>
  <c r="BC5467" i="4"/>
  <c r="BC5456" i="4"/>
  <c r="BC5445" i="4"/>
  <c r="BC5434" i="4"/>
  <c r="BC5423" i="4"/>
  <c r="BC5412" i="4"/>
  <c r="BC5401" i="4"/>
  <c r="BC5390" i="4"/>
  <c r="BC5379" i="4"/>
  <c r="BC5368" i="4"/>
  <c r="BC5357" i="4"/>
  <c r="BC5346" i="4"/>
  <c r="BC5335" i="4"/>
  <c r="BC5324" i="4"/>
  <c r="BC5313" i="4"/>
  <c r="BC5302" i="4"/>
  <c r="BC5291" i="4"/>
  <c r="BC5280" i="4"/>
  <c r="BC5269" i="4"/>
  <c r="BC5258" i="4"/>
  <c r="BC5247" i="4"/>
  <c r="BC5236" i="4"/>
  <c r="BC5225" i="4"/>
  <c r="BC5214" i="4"/>
  <c r="BC5203" i="4"/>
  <c r="BC5192" i="4"/>
  <c r="BC5181" i="4"/>
  <c r="BC5170" i="4"/>
  <c r="BC5159" i="4"/>
  <c r="BC5148" i="4"/>
  <c r="BC5137" i="4"/>
  <c r="BC5126" i="4"/>
  <c r="BC5115" i="4"/>
  <c r="BC5104" i="4"/>
  <c r="BC5093" i="4"/>
  <c r="BC5082" i="4"/>
  <c r="BC5071" i="4"/>
  <c r="BC5060" i="4"/>
  <c r="BC5049" i="4"/>
  <c r="BC5038" i="4"/>
  <c r="BC5027" i="4"/>
  <c r="BC5016" i="4"/>
  <c r="BC5005" i="4"/>
  <c r="BC4994" i="4"/>
  <c r="BC4983" i="4"/>
  <c r="BC4972" i="4"/>
  <c r="BC4961" i="4"/>
  <c r="BC4950" i="4"/>
  <c r="BC4939" i="4"/>
  <c r="BC4928" i="4"/>
  <c r="BC4917" i="4"/>
  <c r="BC4906" i="4"/>
  <c r="BC4895" i="4"/>
  <c r="BC4884" i="4"/>
  <c r="BC4873" i="4"/>
  <c r="BC4862" i="4"/>
  <c r="BC4851" i="4"/>
  <c r="BC4840" i="4"/>
  <c r="BC4829" i="4"/>
  <c r="BC4818" i="4"/>
  <c r="BC4807" i="4"/>
  <c r="BC4796" i="4"/>
  <c r="BC4785" i="4"/>
  <c r="BC4774" i="4"/>
  <c r="BC4763" i="4"/>
  <c r="BC4752" i="4"/>
  <c r="BC4741" i="4"/>
  <c r="BC4730" i="4"/>
  <c r="BC4719" i="4"/>
  <c r="BC4708" i="4"/>
  <c r="BC4697" i="4"/>
  <c r="BC4686" i="4"/>
  <c r="BC4675" i="4"/>
  <c r="BC4664" i="4"/>
  <c r="BC4653" i="4"/>
  <c r="BC4642" i="4"/>
  <c r="BC4631" i="4"/>
  <c r="BC4620" i="4"/>
  <c r="BC4609" i="4"/>
  <c r="BC4598" i="4"/>
  <c r="BC4587" i="4"/>
  <c r="BC4576" i="4"/>
  <c r="BC4565" i="4"/>
  <c r="BC4554" i="4"/>
  <c r="BC4543" i="4"/>
  <c r="BD6379" i="4"/>
  <c r="BD6368" i="4"/>
  <c r="BD6357" i="4"/>
  <c r="BD6346" i="4"/>
  <c r="BC6379" i="4"/>
  <c r="BC6368" i="4"/>
  <c r="BC6357" i="4"/>
  <c r="BC6346" i="4"/>
  <c r="BC6335" i="4"/>
  <c r="BC6324" i="4"/>
  <c r="BC6313" i="4"/>
  <c r="BC6302" i="4"/>
  <c r="BC6291" i="4"/>
  <c r="BC6280" i="4"/>
  <c r="BC6269" i="4"/>
  <c r="BC6258" i="4"/>
  <c r="BC6247" i="4"/>
  <c r="BC6236" i="4"/>
  <c r="BC6225" i="4"/>
  <c r="BC6214" i="4"/>
  <c r="BC6203" i="4"/>
  <c r="BC6192" i="4"/>
  <c r="BC6181" i="4"/>
  <c r="BC6170" i="4"/>
  <c r="BC6159" i="4"/>
  <c r="BC6148" i="4"/>
  <c r="BC6137" i="4"/>
  <c r="BC6126" i="4"/>
  <c r="BC6115" i="4"/>
  <c r="BC6104" i="4"/>
  <c r="BC6093" i="4"/>
  <c r="BC6082" i="4"/>
  <c r="BC6071" i="4"/>
  <c r="BC6060" i="4"/>
  <c r="BC6049" i="4"/>
  <c r="BC6038" i="4"/>
  <c r="BC6027" i="4"/>
  <c r="BC6016" i="4"/>
  <c r="BC6005" i="4"/>
  <c r="BC5994" i="4"/>
  <c r="BC5983" i="4"/>
  <c r="BC5972" i="4"/>
  <c r="BC5961" i="4"/>
  <c r="BC5950" i="4"/>
  <c r="BC5939" i="4"/>
  <c r="BC5928" i="4"/>
  <c r="BC5917" i="4"/>
  <c r="BC5906" i="4"/>
  <c r="BC5895" i="4"/>
  <c r="BC5884" i="4"/>
  <c r="BC5873" i="4"/>
  <c r="BC5862" i="4"/>
  <c r="BC5851" i="4"/>
  <c r="BC5840" i="4"/>
  <c r="BC5829" i="4"/>
  <c r="BC5818" i="4"/>
  <c r="BC5807" i="4"/>
  <c r="BC5796" i="4"/>
  <c r="BC5785" i="4"/>
  <c r="BC5774" i="4"/>
  <c r="BC5763" i="4"/>
  <c r="BC5752" i="4"/>
  <c r="BC5741" i="4"/>
  <c r="BC5730" i="4"/>
  <c r="BC5719" i="4"/>
  <c r="BC5708" i="4"/>
  <c r="BC5697" i="4"/>
  <c r="BC5686" i="4"/>
  <c r="BC5675" i="4"/>
  <c r="BC5664" i="4"/>
  <c r="BC5653" i="4"/>
  <c r="BC5642" i="4"/>
  <c r="BC5631" i="4"/>
  <c r="BC5620" i="4"/>
  <c r="BC5609" i="4"/>
  <c r="BC5598" i="4"/>
  <c r="BC5587" i="4"/>
  <c r="BC5576" i="4"/>
  <c r="BC5565" i="4"/>
  <c r="BC5554" i="4"/>
  <c r="BC5543" i="4"/>
  <c r="BC5532" i="4"/>
  <c r="BC5521" i="4"/>
  <c r="BC5510" i="4"/>
  <c r="BC5499" i="4"/>
  <c r="BC5488" i="4"/>
  <c r="BC5477" i="4"/>
  <c r="BC5466" i="4"/>
  <c r="BC5455" i="4"/>
  <c r="BC5444" i="4"/>
  <c r="BC5433" i="4"/>
  <c r="BC5422" i="4"/>
  <c r="BC5411" i="4"/>
  <c r="BD6377" i="4"/>
  <c r="BD6366" i="4"/>
  <c r="BD6355" i="4"/>
  <c r="BD6344" i="4"/>
  <c r="BD6333" i="4"/>
  <c r="BD6322" i="4"/>
  <c r="BD6311" i="4"/>
  <c r="BD6300" i="4"/>
  <c r="BD6289" i="4"/>
  <c r="BD6278" i="4"/>
  <c r="BD6267" i="4"/>
  <c r="BD6256" i="4"/>
  <c r="BD6245" i="4"/>
  <c r="BD6234" i="4"/>
  <c r="BD6223" i="4"/>
  <c r="BD6212" i="4"/>
  <c r="BD6201" i="4"/>
  <c r="BD6190" i="4"/>
  <c r="BD6179" i="4"/>
  <c r="BD6168" i="4"/>
  <c r="BD6157" i="4"/>
  <c r="BD6146" i="4"/>
  <c r="BD6135" i="4"/>
  <c r="BD6124" i="4"/>
  <c r="BD6113" i="4"/>
  <c r="BD6102" i="4"/>
  <c r="BD6091" i="4"/>
  <c r="BD6080" i="4"/>
  <c r="BD6069" i="4"/>
  <c r="BD6058" i="4"/>
  <c r="BD6047" i="4"/>
  <c r="BD6036" i="4"/>
  <c r="BD6025" i="4"/>
  <c r="BD6014" i="4"/>
  <c r="BD6003" i="4"/>
  <c r="BD5992" i="4"/>
  <c r="BD5981" i="4"/>
  <c r="BD5970" i="4"/>
  <c r="BD5959" i="4"/>
  <c r="BD5948" i="4"/>
  <c r="BD5937" i="4"/>
  <c r="BD5926" i="4"/>
  <c r="BD5915" i="4"/>
  <c r="BD5904" i="4"/>
  <c r="BD5893" i="4"/>
  <c r="BD5882" i="4"/>
  <c r="BD5871" i="4"/>
  <c r="BD5860" i="4"/>
  <c r="BD5849" i="4"/>
  <c r="BD5838" i="4"/>
  <c r="BD5827" i="4"/>
  <c r="BD5816" i="4"/>
  <c r="BD5805" i="4"/>
  <c r="BD5794" i="4"/>
  <c r="BD5783" i="4"/>
  <c r="BD5772" i="4"/>
  <c r="BD5761" i="4"/>
  <c r="BD5750" i="4"/>
  <c r="BD5739" i="4"/>
  <c r="BD5728" i="4"/>
  <c r="BD5717" i="4"/>
  <c r="BD5706" i="4"/>
  <c r="BD5695" i="4"/>
  <c r="BD5684" i="4"/>
  <c r="BD5673" i="4"/>
  <c r="BD5662" i="4"/>
  <c r="BD5651" i="4"/>
  <c r="BD5640" i="4"/>
  <c r="BD5629" i="4"/>
  <c r="BD5618" i="4"/>
  <c r="BD5607" i="4"/>
  <c r="BD5596" i="4"/>
  <c r="BD5585" i="4"/>
  <c r="BD5574" i="4"/>
  <c r="BD5563" i="4"/>
  <c r="BD5552" i="4"/>
  <c r="BD5541" i="4"/>
  <c r="BD5530" i="4"/>
  <c r="BD5519" i="4"/>
  <c r="BD5508" i="4"/>
  <c r="BD5497" i="4"/>
  <c r="BD5486" i="4"/>
  <c r="BD5475" i="4"/>
  <c r="BD5464" i="4"/>
  <c r="BD5453" i="4"/>
  <c r="BC6376" i="4"/>
  <c r="BC6365" i="4"/>
  <c r="BC6354" i="4"/>
  <c r="BC6343" i="4"/>
  <c r="BC6332" i="4"/>
  <c r="BC6321" i="4"/>
  <c r="BC6310" i="4"/>
  <c r="BC6299" i="4"/>
  <c r="BC6288" i="4"/>
  <c r="BC6277" i="4"/>
  <c r="BC6266" i="4"/>
  <c r="BC6255" i="4"/>
  <c r="BC6244" i="4"/>
  <c r="BC6233" i="4"/>
  <c r="BC6222" i="4"/>
  <c r="BC6211" i="4"/>
  <c r="BC6200" i="4"/>
  <c r="BC6189" i="4"/>
  <c r="BC6178" i="4"/>
  <c r="BC6167" i="4"/>
  <c r="BC6156" i="4"/>
  <c r="BC6145" i="4"/>
  <c r="BC6134" i="4"/>
  <c r="BC6123" i="4"/>
  <c r="BD6371" i="4"/>
  <c r="BC6355" i="4"/>
  <c r="BD6340" i="4"/>
  <c r="BC6327" i="4"/>
  <c r="BC6312" i="4"/>
  <c r="BD6297" i="4"/>
  <c r="BC6284" i="4"/>
  <c r="BD6269" i="4"/>
  <c r="BD6254" i="4"/>
  <c r="BC6241" i="4"/>
  <c r="BD6227" i="4"/>
  <c r="BC6212" i="4"/>
  <c r="BC6198" i="4"/>
  <c r="BD6184" i="4"/>
  <c r="BD6169" i="4"/>
  <c r="BC6155" i="4"/>
  <c r="BD6141" i="4"/>
  <c r="BC6128" i="4"/>
  <c r="BD6112" i="4"/>
  <c r="BD6099" i="4"/>
  <c r="BD6086" i="4"/>
  <c r="BD6073" i="4"/>
  <c r="BC6059" i="4"/>
  <c r="BD6045" i="4"/>
  <c r="BD6032" i="4"/>
  <c r="BD6019" i="4"/>
  <c r="BD6005" i="4"/>
  <c r="BD5991" i="4"/>
  <c r="BD5978" i="4"/>
  <c r="BD5965" i="4"/>
  <c r="BD5952" i="4"/>
  <c r="BC5938" i="4"/>
  <c r="BD5924" i="4"/>
  <c r="BD5911" i="4"/>
  <c r="BD5898" i="4"/>
  <c r="BD5884" i="4"/>
  <c r="BD5870" i="4"/>
  <c r="BD5857" i="4"/>
  <c r="BD5844" i="4"/>
  <c r="BD5831" i="4"/>
  <c r="BC5817" i="4"/>
  <c r="BD5803" i="4"/>
  <c r="BD5790" i="4"/>
  <c r="BD5777" i="4"/>
  <c r="BD5763" i="4"/>
  <c r="BD5749" i="4"/>
  <c r="BD5736" i="4"/>
  <c r="BD5723" i="4"/>
  <c r="BD5710" i="4"/>
  <c r="BC5696" i="4"/>
  <c r="BD5682" i="4"/>
  <c r="BD5669" i="4"/>
  <c r="BD5656" i="4"/>
  <c r="BD5642" i="4"/>
  <c r="BD5628" i="4"/>
  <c r="BD5615" i="4"/>
  <c r="BD5602" i="4"/>
  <c r="BD5589" i="4"/>
  <c r="BC5575" i="4"/>
  <c r="BD5561" i="4"/>
  <c r="BD5548" i="4"/>
  <c r="BD5535" i="4"/>
  <c r="BC5523" i="4"/>
  <c r="BD5509" i="4"/>
  <c r="BD5496" i="4"/>
  <c r="BC5484" i="4"/>
  <c r="BD5471" i="4"/>
  <c r="BC5459" i="4"/>
  <c r="BD5446" i="4"/>
  <c r="BD5434" i="4"/>
  <c r="BD5421" i="4"/>
  <c r="BD5409" i="4"/>
  <c r="BC5398" i="4"/>
  <c r="BD5386" i="4"/>
  <c r="BC5375" i="4"/>
  <c r="BD5363" i="4"/>
  <c r="BC5352" i="4"/>
  <c r="BD5340" i="4"/>
  <c r="BC5329" i="4"/>
  <c r="BD5317" i="4"/>
  <c r="BC5306" i="4"/>
  <c r="BD5294" i="4"/>
  <c r="BC5283" i="4"/>
  <c r="BD5271" i="4"/>
  <c r="BC5260" i="4"/>
  <c r="BD5248" i="4"/>
  <c r="BC5237" i="4"/>
  <c r="BD5225" i="4"/>
  <c r="BD5213" i="4"/>
  <c r="BC5202" i="4"/>
  <c r="BD5190" i="4"/>
  <c r="BC5179" i="4"/>
  <c r="BD5167" i="4"/>
  <c r="BC5156" i="4"/>
  <c r="BD5144" i="4"/>
  <c r="BC5133" i="4"/>
  <c r="BD5121" i="4"/>
  <c r="BC5110" i="4"/>
  <c r="BD5098" i="4"/>
  <c r="BC5087" i="4"/>
  <c r="BD5075" i="4"/>
  <c r="BC5064" i="4"/>
  <c r="BD5052" i="4"/>
  <c r="BC5041" i="4"/>
  <c r="BD5029" i="4"/>
  <c r="BC5018" i="4"/>
  <c r="BD5006" i="4"/>
  <c r="BC4995" i="4"/>
  <c r="BD4983" i="4"/>
  <c r="BD4971" i="4"/>
  <c r="BC4960" i="4"/>
  <c r="BD4948" i="4"/>
  <c r="BC4937" i="4"/>
  <c r="BD4925" i="4"/>
  <c r="BC4914" i="4"/>
  <c r="BD4902" i="4"/>
  <c r="BC4891" i="4"/>
  <c r="BD4879" i="4"/>
  <c r="BC4868" i="4"/>
  <c r="BD4856" i="4"/>
  <c r="BC4845" i="4"/>
  <c r="BD4833" i="4"/>
  <c r="BC4822" i="4"/>
  <c r="BD4810" i="4"/>
  <c r="BC4799" i="4"/>
  <c r="BD4787" i="4"/>
  <c r="BC4776" i="4"/>
  <c r="BD4764" i="4"/>
  <c r="BC4753" i="4"/>
  <c r="BD4741" i="4"/>
  <c r="BD4729" i="4"/>
  <c r="BC4718" i="4"/>
  <c r="BD4706" i="4"/>
  <c r="BC4695" i="4"/>
  <c r="BD4683" i="4"/>
  <c r="BC4672" i="4"/>
  <c r="BD4660" i="4"/>
  <c r="BC4649" i="4"/>
  <c r="BD4637" i="4"/>
  <c r="BC4626" i="4"/>
  <c r="BD4614" i="4"/>
  <c r="BC4603" i="4"/>
  <c r="BD4591" i="4"/>
  <c r="BC4580" i="4"/>
  <c r="BD4568" i="4"/>
  <c r="BC4557" i="4"/>
  <c r="BD4545" i="4"/>
  <c r="BC4534" i="4"/>
  <c r="BC4523" i="4"/>
  <c r="BC4512" i="4"/>
  <c r="BC4501" i="4"/>
  <c r="BC4490" i="4"/>
  <c r="BC4479" i="4"/>
  <c r="BC4468" i="4"/>
  <c r="BC4457" i="4"/>
  <c r="BC4446" i="4"/>
  <c r="BC4435" i="4"/>
  <c r="BC4424" i="4"/>
  <c r="BC4413" i="4"/>
  <c r="BC4402" i="4"/>
  <c r="BC4391" i="4"/>
  <c r="BC4380" i="4"/>
  <c r="BC4369" i="4"/>
  <c r="BC4358" i="4"/>
  <c r="BC4347" i="4"/>
  <c r="BC4336" i="4"/>
  <c r="BC4325" i="4"/>
  <c r="BC4314" i="4"/>
  <c r="BC4303" i="4"/>
  <c r="BC4292" i="4"/>
  <c r="BC4281" i="4"/>
  <c r="BC4270" i="4"/>
  <c r="BC4259" i="4"/>
  <c r="BC4248" i="4"/>
  <c r="BC4237" i="4"/>
  <c r="BC4226" i="4"/>
  <c r="BC4215" i="4"/>
  <c r="BC4204" i="4"/>
  <c r="BC4193" i="4"/>
  <c r="BC4182" i="4"/>
  <c r="BC4171" i="4"/>
  <c r="BC4160" i="4"/>
  <c r="BC4149" i="4"/>
  <c r="BC4138" i="4"/>
  <c r="BC4127" i="4"/>
  <c r="BC4116" i="4"/>
  <c r="BC4105" i="4"/>
  <c r="BC4094" i="4"/>
  <c r="BC4083" i="4"/>
  <c r="BC4072" i="4"/>
  <c r="BC4061" i="4"/>
  <c r="BC4050" i="4"/>
  <c r="BC4039" i="4"/>
  <c r="BC4028" i="4"/>
  <c r="BC4017" i="4"/>
  <c r="BC4006" i="4"/>
  <c r="BC3995" i="4"/>
  <c r="BC3984" i="4"/>
  <c r="BC3973" i="4"/>
  <c r="BC3962" i="4"/>
  <c r="BC3951" i="4"/>
  <c r="BC3940" i="4"/>
  <c r="BC3929" i="4"/>
  <c r="BC3918" i="4"/>
  <c r="BC3907" i="4"/>
  <c r="BC3896" i="4"/>
  <c r="BC3885" i="4"/>
  <c r="BC3874" i="4"/>
  <c r="BC3863" i="4"/>
  <c r="BC3852" i="4"/>
  <c r="BC3841" i="4"/>
  <c r="BC3830" i="4"/>
  <c r="BC3819" i="4"/>
  <c r="BC3808" i="4"/>
  <c r="BC3797" i="4"/>
  <c r="BC3786" i="4"/>
  <c r="BC3775" i="4"/>
  <c r="BC3764" i="4"/>
  <c r="BC3753" i="4"/>
  <c r="BC3742" i="4"/>
  <c r="BC3731" i="4"/>
  <c r="BC3720" i="4"/>
  <c r="BC3709" i="4"/>
  <c r="BD6370" i="4"/>
  <c r="BD6353" i="4"/>
  <c r="BD6339" i="4"/>
  <c r="BC6326" i="4"/>
  <c r="BD6310" i="4"/>
  <c r="BD6296" i="4"/>
  <c r="BC6283" i="4"/>
  <c r="BC6268" i="4"/>
  <c r="BD6253" i="4"/>
  <c r="BC6240" i="4"/>
  <c r="BD6225" i="4"/>
  <c r="BD6210" i="4"/>
  <c r="BC6197" i="4"/>
  <c r="BD6183" i="4"/>
  <c r="BC6168" i="4"/>
  <c r="BC6154" i="4"/>
  <c r="BD6140" i="4"/>
  <c r="BD6125" i="4"/>
  <c r="BD6111" i="4"/>
  <c r="BD6098" i="4"/>
  <c r="BD6085" i="4"/>
  <c r="BD6071" i="4"/>
  <c r="BD6057" i="4"/>
  <c r="BD6044" i="4"/>
  <c r="BD6031" i="4"/>
  <c r="BD6018" i="4"/>
  <c r="BC6004" i="4"/>
  <c r="BD5990" i="4"/>
  <c r="BD5977" i="4"/>
  <c r="BD5964" i="4"/>
  <c r="BD5950" i="4"/>
  <c r="BD5936" i="4"/>
  <c r="BD5923" i="4"/>
  <c r="BD5910" i="4"/>
  <c r="BD5897" i="4"/>
  <c r="BC5883" i="4"/>
  <c r="BD5869" i="4"/>
  <c r="BD5856" i="4"/>
  <c r="BD5843" i="4"/>
  <c r="BD5829" i="4"/>
  <c r="BD5815" i="4"/>
  <c r="BD5802" i="4"/>
  <c r="BD5789" i="4"/>
  <c r="BD5776" i="4"/>
  <c r="BC5762" i="4"/>
  <c r="BD5748" i="4"/>
  <c r="BD5735" i="4"/>
  <c r="BD5722" i="4"/>
  <c r="BD5708" i="4"/>
  <c r="BD5694" i="4"/>
  <c r="BD5681" i="4"/>
  <c r="BD5668" i="4"/>
  <c r="BD5655" i="4"/>
  <c r="BC5641" i="4"/>
  <c r="BD5627" i="4"/>
  <c r="BD5614" i="4"/>
  <c r="BD5601" i="4"/>
  <c r="BD5587" i="4"/>
  <c r="BD5573" i="4"/>
  <c r="BD5560" i="4"/>
  <c r="BD5547" i="4"/>
  <c r="BD5534" i="4"/>
  <c r="BD5521" i="4"/>
  <c r="BC5508" i="4"/>
  <c r="BD5495" i="4"/>
  <c r="BC5483" i="4"/>
  <c r="BD5470" i="4"/>
  <c r="BC5458" i="4"/>
  <c r="BD5445" i="4"/>
  <c r="BD5432" i="4"/>
  <c r="BD5420" i="4"/>
  <c r="BD5408" i="4"/>
  <c r="BC5397" i="4"/>
  <c r="BD5385" i="4"/>
  <c r="BC5374" i="4"/>
  <c r="BD5362" i="4"/>
  <c r="BC5351" i="4"/>
  <c r="BD5339" i="4"/>
  <c r="BC5328" i="4"/>
  <c r="BD5316" i="4"/>
  <c r="BC5305" i="4"/>
  <c r="BD5293" i="4"/>
  <c r="BC5282" i="4"/>
  <c r="BD5270" i="4"/>
  <c r="BC5259" i="4"/>
  <c r="BD5247" i="4"/>
  <c r="BD5235" i="4"/>
  <c r="BC5224" i="4"/>
  <c r="BD5212" i="4"/>
  <c r="BC5201" i="4"/>
  <c r="BD5189" i="4"/>
  <c r="BC5178" i="4"/>
  <c r="BD5166" i="4"/>
  <c r="BC5155" i="4"/>
  <c r="BD5143" i="4"/>
  <c r="BC5132" i="4"/>
  <c r="BD5120" i="4"/>
  <c r="BC5109" i="4"/>
  <c r="BD5097" i="4"/>
  <c r="BC5086" i="4"/>
  <c r="BD5074" i="4"/>
  <c r="BC5063" i="4"/>
  <c r="BD5051" i="4"/>
  <c r="BC5040" i="4"/>
  <c r="BD5028" i="4"/>
  <c r="BC5017" i="4"/>
  <c r="BD5005" i="4"/>
  <c r="BD4993" i="4"/>
  <c r="BC4982" i="4"/>
  <c r="BD4970" i="4"/>
  <c r="BC4959" i="4"/>
  <c r="BD4947" i="4"/>
  <c r="BC4936" i="4"/>
  <c r="BD4924" i="4"/>
  <c r="BC4913" i="4"/>
  <c r="BD4901" i="4"/>
  <c r="BC4890" i="4"/>
  <c r="BD4878" i="4"/>
  <c r="BC4867" i="4"/>
  <c r="BD4855" i="4"/>
  <c r="BC4844" i="4"/>
  <c r="BD4832" i="4"/>
  <c r="BC4821" i="4"/>
  <c r="BD4809" i="4"/>
  <c r="BC4798" i="4"/>
  <c r="BD4786" i="4"/>
  <c r="BC4775" i="4"/>
  <c r="BD4763" i="4"/>
  <c r="BD4751" i="4"/>
  <c r="BC4740" i="4"/>
  <c r="BD4728" i="4"/>
  <c r="BC4717" i="4"/>
  <c r="BD4705" i="4"/>
  <c r="BC4694" i="4"/>
  <c r="BD4682" i="4"/>
  <c r="BC4671" i="4"/>
  <c r="BD4659" i="4"/>
  <c r="BC4648" i="4"/>
  <c r="BD4636" i="4"/>
  <c r="BC4625" i="4"/>
  <c r="BD4613" i="4"/>
  <c r="BC4602" i="4"/>
  <c r="BD4590" i="4"/>
  <c r="BC4579" i="4"/>
  <c r="BD4567" i="4"/>
  <c r="BC4556" i="4"/>
  <c r="BD4544" i="4"/>
  <c r="BC4533" i="4"/>
  <c r="BC4522" i="4"/>
  <c r="BC4511" i="4"/>
  <c r="BC4500" i="4"/>
  <c r="BC4489" i="4"/>
  <c r="BC4478" i="4"/>
  <c r="BC4467" i="4"/>
  <c r="BC4456" i="4"/>
  <c r="BC4445" i="4"/>
  <c r="BC4434" i="4"/>
  <c r="BC4423" i="4"/>
  <c r="BC4412" i="4"/>
  <c r="BC4401" i="4"/>
  <c r="BC4390" i="4"/>
  <c r="BC4379" i="4"/>
  <c r="BC4368" i="4"/>
  <c r="BC4357" i="4"/>
  <c r="BC4346" i="4"/>
  <c r="BC4335" i="4"/>
  <c r="BC4324" i="4"/>
  <c r="BC4313" i="4"/>
  <c r="BC4302" i="4"/>
  <c r="BC4291" i="4"/>
  <c r="BC4280" i="4"/>
  <c r="BC4269" i="4"/>
  <c r="BC4258" i="4"/>
  <c r="BC4247" i="4"/>
  <c r="BC4236" i="4"/>
  <c r="BC4225" i="4"/>
  <c r="BC4214" i="4"/>
  <c r="BC4203" i="4"/>
  <c r="BC4192" i="4"/>
  <c r="BC4181" i="4"/>
  <c r="BC4170" i="4"/>
  <c r="BC4159" i="4"/>
  <c r="BC4148" i="4"/>
  <c r="BC4137" i="4"/>
  <c r="BC4126" i="4"/>
  <c r="BC4115" i="4"/>
  <c r="BC4104" i="4"/>
  <c r="BC4093" i="4"/>
  <c r="BC4082" i="4"/>
  <c r="BC4071" i="4"/>
  <c r="BC4060" i="4"/>
  <c r="BC4049" i="4"/>
  <c r="BC4038" i="4"/>
  <c r="BC4027" i="4"/>
  <c r="BC4016" i="4"/>
  <c r="BC4005" i="4"/>
  <c r="BC3994" i="4"/>
  <c r="BC3983" i="4"/>
  <c r="BC3972" i="4"/>
  <c r="BC3961" i="4"/>
  <c r="BC3950" i="4"/>
  <c r="BC3939" i="4"/>
  <c r="BC3928" i="4"/>
  <c r="BC3917" i="4"/>
  <c r="BC3906" i="4"/>
  <c r="BC3895" i="4"/>
  <c r="BC3884" i="4"/>
  <c r="BC3873" i="4"/>
  <c r="BC3862" i="4"/>
  <c r="BC3851" i="4"/>
  <c r="BC3840" i="4"/>
  <c r="BC3829" i="4"/>
  <c r="BC3818" i="4"/>
  <c r="BC3807" i="4"/>
  <c r="BC3796" i="4"/>
  <c r="BC3785" i="4"/>
  <c r="BC6370" i="4"/>
  <c r="BC6353" i="4"/>
  <c r="BC6339" i="4"/>
  <c r="BD6324" i="4"/>
  <c r="BD6309" i="4"/>
  <c r="BC6296" i="4"/>
  <c r="BD6282" i="4"/>
  <c r="BC6267" i="4"/>
  <c r="BC6253" i="4"/>
  <c r="BD6239" i="4"/>
  <c r="BD6224" i="4"/>
  <c r="BC6210" i="4"/>
  <c r="BD6196" i="4"/>
  <c r="BC6183" i="4"/>
  <c r="BD6167" i="4"/>
  <c r="BD6153" i="4"/>
  <c r="BC6140" i="4"/>
  <c r="BC6125" i="4"/>
  <c r="BC6111" i="4"/>
  <c r="BC6098" i="4"/>
  <c r="BC6085" i="4"/>
  <c r="BD6070" i="4"/>
  <c r="BC6057" i="4"/>
  <c r="BC6044" i="4"/>
  <c r="BC6031" i="4"/>
  <c r="BC6018" i="4"/>
  <c r="BC6003" i="4"/>
  <c r="BC5990" i="4"/>
  <c r="BC5977" i="4"/>
  <c r="BC5964" i="4"/>
  <c r="BD5949" i="4"/>
  <c r="BC5936" i="4"/>
  <c r="BC5923" i="4"/>
  <c r="BC5910" i="4"/>
  <c r="BC5897" i="4"/>
  <c r="BC5882" i="4"/>
  <c r="BC5869" i="4"/>
  <c r="BC5856" i="4"/>
  <c r="BC5843" i="4"/>
  <c r="BD5828" i="4"/>
  <c r="BC5815" i="4"/>
  <c r="BC5802" i="4"/>
  <c r="BC5789" i="4"/>
  <c r="BC5776" i="4"/>
  <c r="BC5761" i="4"/>
  <c r="BC5748" i="4"/>
  <c r="BC5735" i="4"/>
  <c r="BC5722" i="4"/>
  <c r="BD5707" i="4"/>
  <c r="BC5694" i="4"/>
  <c r="BC5681" i="4"/>
  <c r="BC5668" i="4"/>
  <c r="BC5655" i="4"/>
  <c r="BC5640" i="4"/>
  <c r="BC5627" i="4"/>
  <c r="BC5614" i="4"/>
  <c r="BC5601" i="4"/>
  <c r="BD5586" i="4"/>
  <c r="BC5573" i="4"/>
  <c r="BC5560" i="4"/>
  <c r="BC5547" i="4"/>
  <c r="BC5534" i="4"/>
  <c r="BD5520" i="4"/>
  <c r="BD5507" i="4"/>
  <c r="BC5495" i="4"/>
  <c r="BD5482" i="4"/>
  <c r="BC5470" i="4"/>
  <c r="BD5457" i="4"/>
  <c r="BD5444" i="4"/>
  <c r="BC5432" i="4"/>
  <c r="BC5420" i="4"/>
  <c r="BC5408" i="4"/>
  <c r="BD5396" i="4"/>
  <c r="BC5385" i="4"/>
  <c r="BD5373" i="4"/>
  <c r="BC5362" i="4"/>
  <c r="BD5350" i="4"/>
  <c r="BC5339" i="4"/>
  <c r="BD5327" i="4"/>
  <c r="BC5316" i="4"/>
  <c r="BD5304" i="4"/>
  <c r="BC5293" i="4"/>
  <c r="BD5281" i="4"/>
  <c r="BC5270" i="4"/>
  <c r="BD5258" i="4"/>
  <c r="BD5246" i="4"/>
  <c r="BC5235" i="4"/>
  <c r="BD5223" i="4"/>
  <c r="BC5212" i="4"/>
  <c r="BD5200" i="4"/>
  <c r="BC5189" i="4"/>
  <c r="BD5177" i="4"/>
  <c r="BC5166" i="4"/>
  <c r="BD5154" i="4"/>
  <c r="BC5143" i="4"/>
  <c r="BD5131" i="4"/>
  <c r="BC5120" i="4"/>
  <c r="BD5108" i="4"/>
  <c r="BC5097" i="4"/>
  <c r="BD5085" i="4"/>
  <c r="BC5074" i="4"/>
  <c r="BD5062" i="4"/>
  <c r="BC5051" i="4"/>
  <c r="BD5039" i="4"/>
  <c r="BC5028" i="4"/>
  <c r="BD5016" i="4"/>
  <c r="BD5004" i="4"/>
  <c r="BC4993" i="4"/>
  <c r="BD4981" i="4"/>
  <c r="BC4970" i="4"/>
  <c r="BD4958" i="4"/>
  <c r="BC4947" i="4"/>
  <c r="BD4935" i="4"/>
  <c r="BC4924" i="4"/>
  <c r="BD4912" i="4"/>
  <c r="BC4901" i="4"/>
  <c r="BD4889" i="4"/>
  <c r="BC4878" i="4"/>
  <c r="BD4866" i="4"/>
  <c r="BC4855" i="4"/>
  <c r="BD4843" i="4"/>
  <c r="BC4832" i="4"/>
  <c r="BD4820" i="4"/>
  <c r="BC4809" i="4"/>
  <c r="BD4797" i="4"/>
  <c r="BC4786" i="4"/>
  <c r="BD4774" i="4"/>
  <c r="BD4762" i="4"/>
  <c r="BC4751" i="4"/>
  <c r="BD4739" i="4"/>
  <c r="BC4728" i="4"/>
  <c r="BD4716" i="4"/>
  <c r="BC4705" i="4"/>
  <c r="BD4693" i="4"/>
  <c r="BC4682" i="4"/>
  <c r="BD4670" i="4"/>
  <c r="BC4659" i="4"/>
  <c r="BD4647" i="4"/>
  <c r="BC4636" i="4"/>
  <c r="BD4624" i="4"/>
  <c r="BC4613" i="4"/>
  <c r="BD4601" i="4"/>
  <c r="BC4590" i="4"/>
  <c r="BD4578" i="4"/>
  <c r="BC4567" i="4"/>
  <c r="BD4555" i="4"/>
  <c r="BC4544" i="4"/>
  <c r="BD4532" i="4"/>
  <c r="BD4521" i="4"/>
  <c r="BD4510" i="4"/>
  <c r="BD4499" i="4"/>
  <c r="BD4488" i="4"/>
  <c r="BD4477" i="4"/>
  <c r="BD4466" i="4"/>
  <c r="BD4455" i="4"/>
  <c r="BD4444" i="4"/>
  <c r="BD4433" i="4"/>
  <c r="BD4422" i="4"/>
  <c r="BD4411" i="4"/>
  <c r="BD4400" i="4"/>
  <c r="BD4389" i="4"/>
  <c r="BD4378" i="4"/>
  <c r="BD4367" i="4"/>
  <c r="BD4356" i="4"/>
  <c r="BD4345" i="4"/>
  <c r="BD4334" i="4"/>
  <c r="BD4323" i="4"/>
  <c r="BD4312" i="4"/>
  <c r="BD4301" i="4"/>
  <c r="BD4290" i="4"/>
  <c r="BD4279" i="4"/>
  <c r="BD4268" i="4"/>
  <c r="BD4257" i="4"/>
  <c r="BD4246" i="4"/>
  <c r="BD4235" i="4"/>
  <c r="BD4224" i="4"/>
  <c r="BD4213" i="4"/>
  <c r="BD4202" i="4"/>
  <c r="BD4191" i="4"/>
  <c r="BD4180" i="4"/>
  <c r="BD4169" i="4"/>
  <c r="BD4158" i="4"/>
  <c r="BD4147" i="4"/>
  <c r="BD4136" i="4"/>
  <c r="BD4125" i="4"/>
  <c r="BD4114" i="4"/>
  <c r="BD4103" i="4"/>
  <c r="BD4092" i="4"/>
  <c r="BD4081" i="4"/>
  <c r="BD4070" i="4"/>
  <c r="BD4059" i="4"/>
  <c r="BD4048" i="4"/>
  <c r="BD4037" i="4"/>
  <c r="BD4026" i="4"/>
  <c r="BD4015" i="4"/>
  <c r="BD4004" i="4"/>
  <c r="BD3993" i="4"/>
  <c r="BD3982" i="4"/>
  <c r="BD3971" i="4"/>
  <c r="BD3960" i="4"/>
  <c r="BD3949" i="4"/>
  <c r="BD3938" i="4"/>
  <c r="BD3927" i="4"/>
  <c r="BD3916" i="4"/>
  <c r="BD3905" i="4"/>
  <c r="BD3894" i="4"/>
  <c r="BD3883" i="4"/>
  <c r="BD3872" i="4"/>
  <c r="BD3861" i="4"/>
  <c r="BD3850" i="4"/>
  <c r="BD3839" i="4"/>
  <c r="BD3828" i="4"/>
  <c r="BD3817" i="4"/>
  <c r="BD3806" i="4"/>
  <c r="BD3795" i="4"/>
  <c r="BD3784" i="4"/>
  <c r="BD3773" i="4"/>
  <c r="BD3762" i="4"/>
  <c r="BD3751" i="4"/>
  <c r="BD3740" i="4"/>
  <c r="BD3729" i="4"/>
  <c r="BD3718" i="4"/>
  <c r="BD3707" i="4"/>
  <c r="BD3696" i="4"/>
  <c r="BD3685" i="4"/>
  <c r="BC6367" i="4"/>
  <c r="BC6352" i="4"/>
  <c r="BC6338" i="4"/>
  <c r="BC6323" i="4"/>
  <c r="BD6308" i="4"/>
  <c r="BC6295" i="4"/>
  <c r="BD6280" i="4"/>
  <c r="BD6265" i="4"/>
  <c r="BC6252" i="4"/>
  <c r="BD6238" i="4"/>
  <c r="BC6223" i="4"/>
  <c r="BC6209" i="4"/>
  <c r="BD6195" i="4"/>
  <c r="BD6180" i="4"/>
  <c r="BC6166" i="4"/>
  <c r="BD6382" i="4"/>
  <c r="BC6366" i="4"/>
  <c r="BD6351" i="4"/>
  <c r="BD6337" i="4"/>
  <c r="BC6322" i="4"/>
  <c r="BC6308" i="4"/>
  <c r="BD6294" i="4"/>
  <c r="BD6279" i="4"/>
  <c r="BC6265" i="4"/>
  <c r="BD6251" i="4"/>
  <c r="BC6238" i="4"/>
  <c r="BD6222" i="4"/>
  <c r="BD6208" i="4"/>
  <c r="BC6195" i="4"/>
  <c r="BC6180" i="4"/>
  <c r="BD6165" i="4"/>
  <c r="BC6152" i="4"/>
  <c r="BD6137" i="4"/>
  <c r="BD6122" i="4"/>
  <c r="BD6109" i="4"/>
  <c r="BD6096" i="4"/>
  <c r="BD6082" i="4"/>
  <c r="BD6068" i="4"/>
  <c r="BD6055" i="4"/>
  <c r="BD6042" i="4"/>
  <c r="BD6029" i="4"/>
  <c r="BC6015" i="4"/>
  <c r="BD6001" i="4"/>
  <c r="BD5988" i="4"/>
  <c r="BD5975" i="4"/>
  <c r="BD5961" i="4"/>
  <c r="BD5947" i="4"/>
  <c r="BD5934" i="4"/>
  <c r="BD5921" i="4"/>
  <c r="BD5908" i="4"/>
  <c r="BC5894" i="4"/>
  <c r="BD5880" i="4"/>
  <c r="BD5867" i="4"/>
  <c r="BD5854" i="4"/>
  <c r="BD5840" i="4"/>
  <c r="BD5826" i="4"/>
  <c r="BD5813" i="4"/>
  <c r="BD5800" i="4"/>
  <c r="BD5787" i="4"/>
  <c r="BC5773" i="4"/>
  <c r="BD5759" i="4"/>
  <c r="BD5746" i="4"/>
  <c r="BD5733" i="4"/>
  <c r="BD5719" i="4"/>
  <c r="BD5705" i="4"/>
  <c r="BD5692" i="4"/>
  <c r="BD5679" i="4"/>
  <c r="BD5666" i="4"/>
  <c r="BC5652" i="4"/>
  <c r="BD5638" i="4"/>
  <c r="BD5625" i="4"/>
  <c r="BD5612" i="4"/>
  <c r="BC6382" i="4"/>
  <c r="BD6365" i="4"/>
  <c r="BC6351" i="4"/>
  <c r="BC6337" i="4"/>
  <c r="BD6321" i="4"/>
  <c r="BD6307" i="4"/>
  <c r="BC6294" i="4"/>
  <c r="BC6279" i="4"/>
  <c r="BD6264" i="4"/>
  <c r="BC6251" i="4"/>
  <c r="BD6236" i="4"/>
  <c r="BD6221" i="4"/>
  <c r="BC6208" i="4"/>
  <c r="BD6194" i="4"/>
  <c r="BC6179" i="4"/>
  <c r="BC6165" i="4"/>
  <c r="BC6381" i="4"/>
  <c r="BC6364" i="4"/>
  <c r="BC6350" i="4"/>
  <c r="BD6334" i="4"/>
  <c r="BC6320" i="4"/>
  <c r="BD6306" i="4"/>
  <c r="BC6293" i="4"/>
  <c r="BD6277" i="4"/>
  <c r="BD6263" i="4"/>
  <c r="BC6250" i="4"/>
  <c r="BC6235" i="4"/>
  <c r="BD6220" i="4"/>
  <c r="BC6207" i="4"/>
  <c r="BD6192" i="4"/>
  <c r="BD6177" i="4"/>
  <c r="BC6164" i="4"/>
  <c r="BD6378" i="4"/>
  <c r="BD6363" i="4"/>
  <c r="BD6349" i="4"/>
  <c r="BC6334" i="4"/>
  <c r="BD6319" i="4"/>
  <c r="BC6306" i="4"/>
  <c r="BD6291" i="4"/>
  <c r="BD6276" i="4"/>
  <c r="BC6263" i="4"/>
  <c r="BD6249" i="4"/>
  <c r="BC6234" i="4"/>
  <c r="BC6220" i="4"/>
  <c r="BD6206" i="4"/>
  <c r="BD6191" i="4"/>
  <c r="BC6177" i="4"/>
  <c r="BD6163" i="4"/>
  <c r="BC6150" i="4"/>
  <c r="BD6134" i="4"/>
  <c r="BD6120" i="4"/>
  <c r="BD6107" i="4"/>
  <c r="BD6093" i="4"/>
  <c r="BD6079" i="4"/>
  <c r="BD6066" i="4"/>
  <c r="BD6053" i="4"/>
  <c r="BD6040" i="4"/>
  <c r="BC6026" i="4"/>
  <c r="BD6012" i="4"/>
  <c r="BD5999" i="4"/>
  <c r="BD5986" i="4"/>
  <c r="BD5972" i="4"/>
  <c r="BD5958" i="4"/>
  <c r="BD5945" i="4"/>
  <c r="BD5932" i="4"/>
  <c r="BD5919" i="4"/>
  <c r="BC5905" i="4"/>
  <c r="BD5891" i="4"/>
  <c r="BD5878" i="4"/>
  <c r="BD5865" i="4"/>
  <c r="BD5851" i="4"/>
  <c r="BD5837" i="4"/>
  <c r="BD5824" i="4"/>
  <c r="BD5811" i="4"/>
  <c r="BD5798" i="4"/>
  <c r="BC5784" i="4"/>
  <c r="BD5770" i="4"/>
  <c r="BD5757" i="4"/>
  <c r="BD5744" i="4"/>
  <c r="BD5730" i="4"/>
  <c r="BD5716" i="4"/>
  <c r="BD5703" i="4"/>
  <c r="BD5690" i="4"/>
  <c r="BD5677" i="4"/>
  <c r="BC5663" i="4"/>
  <c r="BD5649" i="4"/>
  <c r="BD5636" i="4"/>
  <c r="BD5623" i="4"/>
  <c r="BD5609" i="4"/>
  <c r="BD5595" i="4"/>
  <c r="BC6378" i="4"/>
  <c r="BC6363" i="4"/>
  <c r="BC6349" i="4"/>
  <c r="BC6333" i="4"/>
  <c r="BC6319" i="4"/>
  <c r="BD6305" i="4"/>
  <c r="BD6290" i="4"/>
  <c r="BC6276" i="4"/>
  <c r="BD6262" i="4"/>
  <c r="BC6249" i="4"/>
  <c r="BD6233" i="4"/>
  <c r="BD6219" i="4"/>
  <c r="BC6206" i="4"/>
  <c r="BC6191" i="4"/>
  <c r="BD6176" i="4"/>
  <c r="BC6163" i="4"/>
  <c r="BD6148" i="4"/>
  <c r="BD6133" i="4"/>
  <c r="BC6120" i="4"/>
  <c r="BC6107" i="4"/>
  <c r="BD6092" i="4"/>
  <c r="BC6079" i="4"/>
  <c r="BC6066" i="4"/>
  <c r="BC6053" i="4"/>
  <c r="BC6040" i="4"/>
  <c r="BC6025" i="4"/>
  <c r="BC6012" i="4"/>
  <c r="BC5999" i="4"/>
  <c r="BC5986" i="4"/>
  <c r="BD5971" i="4"/>
  <c r="BC5958" i="4"/>
  <c r="BC5945" i="4"/>
  <c r="BC5932" i="4"/>
  <c r="BC5919" i="4"/>
  <c r="BC5904" i="4"/>
  <c r="BC5891" i="4"/>
  <c r="BC5878" i="4"/>
  <c r="BC5865" i="4"/>
  <c r="BD5850" i="4"/>
  <c r="BC5837" i="4"/>
  <c r="BC5824" i="4"/>
  <c r="BC5811" i="4"/>
  <c r="BC5798" i="4"/>
  <c r="BC5783" i="4"/>
  <c r="BC5770" i="4"/>
  <c r="BC5757" i="4"/>
  <c r="BC5744" i="4"/>
  <c r="BD5729" i="4"/>
  <c r="BC5716" i="4"/>
  <c r="BC5703" i="4"/>
  <c r="BC5690" i="4"/>
  <c r="BC6359" i="4"/>
  <c r="BD6330" i="4"/>
  <c r="BC6307" i="4"/>
  <c r="BC6285" i="4"/>
  <c r="BC6260" i="4"/>
  <c r="BD6232" i="4"/>
  <c r="BC6213" i="4"/>
  <c r="BC6187" i="4"/>
  <c r="BC6162" i="4"/>
  <c r="BC6143" i="4"/>
  <c r="BC6122" i="4"/>
  <c r="BD6103" i="4"/>
  <c r="BC6087" i="4"/>
  <c r="BC6067" i="4"/>
  <c r="BD6048" i="4"/>
  <c r="BD6030" i="4"/>
  <c r="BC6011" i="4"/>
  <c r="BD5993" i="4"/>
  <c r="BC5975" i="4"/>
  <c r="BC5956" i="4"/>
  <c r="BD5938" i="4"/>
  <c r="BC5920" i="4"/>
  <c r="BC5901" i="4"/>
  <c r="BD5881" i="4"/>
  <c r="BC5864" i="4"/>
  <c r="BC5846" i="4"/>
  <c r="BC5826" i="4"/>
  <c r="BC5809" i="4"/>
  <c r="BC5791" i="4"/>
  <c r="BC5771" i="4"/>
  <c r="BC5754" i="4"/>
  <c r="BD5734" i="4"/>
  <c r="BC5715" i="4"/>
  <c r="BC5699" i="4"/>
  <c r="BC5679" i="4"/>
  <c r="BC5661" i="4"/>
  <c r="BD5645" i="4"/>
  <c r="BD5626" i="4"/>
  <c r="BD5608" i="4"/>
  <c r="BC5593" i="4"/>
  <c r="BD5578" i="4"/>
  <c r="BC5562" i="4"/>
  <c r="BC5546" i="4"/>
  <c r="BC5530" i="4"/>
  <c r="BC5516" i="4"/>
  <c r="BC5502" i="4"/>
  <c r="BC5487" i="4"/>
  <c r="BD5472" i="4"/>
  <c r="BC5457" i="4"/>
  <c r="BC5442" i="4"/>
  <c r="BD5428" i="4"/>
  <c r="BC5415" i="4"/>
  <c r="BD5401" i="4"/>
  <c r="BC5388" i="4"/>
  <c r="BD5374" i="4"/>
  <c r="BD5360" i="4"/>
  <c r="BD5347" i="4"/>
  <c r="BC5334" i="4"/>
  <c r="BC5321" i="4"/>
  <c r="BC5308" i="4"/>
  <c r="BC5295" i="4"/>
  <c r="BD5280" i="4"/>
  <c r="BC5267" i="4"/>
  <c r="BC5254" i="4"/>
  <c r="BC5241" i="4"/>
  <c r="BC5228" i="4"/>
  <c r="BC5215" i="4"/>
  <c r="BC5200" i="4"/>
  <c r="BC5187" i="4"/>
  <c r="BC5174" i="4"/>
  <c r="BC5161" i="4"/>
  <c r="BD5147" i="4"/>
  <c r="BD5134" i="4"/>
  <c r="BC5121" i="4"/>
  <c r="BC5107" i="4"/>
  <c r="BC5094" i="4"/>
  <c r="BD5080" i="4"/>
  <c r="BD5067" i="4"/>
  <c r="BD5054" i="4"/>
  <c r="BD5041" i="4"/>
  <c r="BD5026" i="4"/>
  <c r="BD5013" i="4"/>
  <c r="BD5000" i="4"/>
  <c r="BD4987" i="4"/>
  <c r="BD4974" i="4"/>
  <c r="BD4961" i="4"/>
  <c r="BD4946" i="4"/>
  <c r="BD4933" i="4"/>
  <c r="BD4920" i="4"/>
  <c r="BD4907" i="4"/>
  <c r="BC4894" i="4"/>
  <c r="BC4881" i="4"/>
  <c r="BD4867" i="4"/>
  <c r="BD4853" i="4"/>
  <c r="BD4840" i="4"/>
  <c r="BC4827" i="4"/>
  <c r="BC4814" i="4"/>
  <c r="BC4801" i="4"/>
  <c r="BC4788" i="4"/>
  <c r="BC4773" i="4"/>
  <c r="BC4760" i="4"/>
  <c r="BC4747" i="4"/>
  <c r="BC4734" i="4"/>
  <c r="BC4721" i="4"/>
  <c r="BD4707" i="4"/>
  <c r="BC4693" i="4"/>
  <c r="BC4680" i="4"/>
  <c r="BC4667" i="4"/>
  <c r="BC4654" i="4"/>
  <c r="BD4640" i="4"/>
  <c r="BD4627" i="4"/>
  <c r="BC4614" i="4"/>
  <c r="BC4600" i="4"/>
  <c r="BD4586" i="4"/>
  <c r="BD4573" i="4"/>
  <c r="BD4560" i="4"/>
  <c r="BD4547" i="4"/>
  <c r="BD4534" i="4"/>
  <c r="BD4520" i="4"/>
  <c r="BC4508" i="4"/>
  <c r="BD4495" i="4"/>
  <c r="BC4483" i="4"/>
  <c r="BD4470" i="4"/>
  <c r="BC4458" i="4"/>
  <c r="BC4444" i="4"/>
  <c r="BD4431" i="4"/>
  <c r="BC4419" i="4"/>
  <c r="BD4406" i="4"/>
  <c r="BC4394" i="4"/>
  <c r="BD4381" i="4"/>
  <c r="BD4368" i="4"/>
  <c r="BC4355" i="4"/>
  <c r="BD4342" i="4"/>
  <c r="BC4330" i="4"/>
  <c r="BD4317" i="4"/>
  <c r="BC4305" i="4"/>
  <c r="BD4292" i="4"/>
  <c r="BD4278" i="4"/>
  <c r="BC4266" i="4"/>
  <c r="BD4253" i="4"/>
  <c r="BC4241" i="4"/>
  <c r="BD4228" i="4"/>
  <c r="BC4216" i="4"/>
  <c r="BC4202" i="4"/>
  <c r="BD4189" i="4"/>
  <c r="BC4177" i="4"/>
  <c r="BD4164" i="4"/>
  <c r="BC4152" i="4"/>
  <c r="BD4139" i="4"/>
  <c r="BD4126" i="4"/>
  <c r="BC4113" i="4"/>
  <c r="BD4100" i="4"/>
  <c r="BC4088" i="4"/>
  <c r="BD4075" i="4"/>
  <c r="BC4063" i="4"/>
  <c r="BD4050" i="4"/>
  <c r="BD4036" i="4"/>
  <c r="BC4024" i="4"/>
  <c r="BD4011" i="4"/>
  <c r="BC3999" i="4"/>
  <c r="BD3986" i="4"/>
  <c r="BC3974" i="4"/>
  <c r="BC3960" i="4"/>
  <c r="BD3947" i="4"/>
  <c r="BC3935" i="4"/>
  <c r="BD3922" i="4"/>
  <c r="BC3910" i="4"/>
  <c r="BD3897" i="4"/>
  <c r="BD3884" i="4"/>
  <c r="BC3871" i="4"/>
  <c r="BD3858" i="4"/>
  <c r="BC3846" i="4"/>
  <c r="BD3833" i="4"/>
  <c r="BC3821" i="4"/>
  <c r="BD3808" i="4"/>
  <c r="BD3794" i="4"/>
  <c r="BC3782" i="4"/>
  <c r="BC3770" i="4"/>
  <c r="BC3758" i="4"/>
  <c r="BC3746" i="4"/>
  <c r="BC3734" i="4"/>
  <c r="BC3722" i="4"/>
  <c r="BC3710" i="4"/>
  <c r="BC3698" i="4"/>
  <c r="BD3686" i="4"/>
  <c r="BC3675" i="4"/>
  <c r="BC3664" i="4"/>
  <c r="BC3653" i="4"/>
  <c r="BC3642" i="4"/>
  <c r="BC3631" i="4"/>
  <c r="BC3620" i="4"/>
  <c r="BC3609" i="4"/>
  <c r="BC3598" i="4"/>
  <c r="BC3587" i="4"/>
  <c r="BC3576" i="4"/>
  <c r="BC3565" i="4"/>
  <c r="BC3554" i="4"/>
  <c r="BC3543" i="4"/>
  <c r="BC3532" i="4"/>
  <c r="BC3521" i="4"/>
  <c r="BC3510" i="4"/>
  <c r="BC3499" i="4"/>
  <c r="BC3488" i="4"/>
  <c r="BC3477" i="4"/>
  <c r="BC3466" i="4"/>
  <c r="BC3455" i="4"/>
  <c r="BC3444" i="4"/>
  <c r="BC3433" i="4"/>
  <c r="BC3422" i="4"/>
  <c r="BC3411" i="4"/>
  <c r="BC3400" i="4"/>
  <c r="BC3389" i="4"/>
  <c r="BC3378" i="4"/>
  <c r="BC3367" i="4"/>
  <c r="BC3356" i="4"/>
  <c r="BC3345" i="4"/>
  <c r="BC3334" i="4"/>
  <c r="BC3323" i="4"/>
  <c r="BC3312" i="4"/>
  <c r="BC3301" i="4"/>
  <c r="BC3290" i="4"/>
  <c r="BC3279" i="4"/>
  <c r="BC3268" i="4"/>
  <c r="BC3257" i="4"/>
  <c r="BC3246" i="4"/>
  <c r="BC3235" i="4"/>
  <c r="BC3224" i="4"/>
  <c r="BC3213" i="4"/>
  <c r="BC3202" i="4"/>
  <c r="BC3191" i="4"/>
  <c r="BC3180" i="4"/>
  <c r="BC3169" i="4"/>
  <c r="BC3158" i="4"/>
  <c r="BC3147" i="4"/>
  <c r="BC3136" i="4"/>
  <c r="BC3125" i="4"/>
  <c r="BC3114" i="4"/>
  <c r="BC3103" i="4"/>
  <c r="BC3092" i="4"/>
  <c r="BC3081" i="4"/>
  <c r="BC3070" i="4"/>
  <c r="BC3059" i="4"/>
  <c r="BC3048" i="4"/>
  <c r="BC3037" i="4"/>
  <c r="BC3026" i="4"/>
  <c r="BD6381" i="4"/>
  <c r="BD6356" i="4"/>
  <c r="BC6330" i="4"/>
  <c r="BC6305" i="4"/>
  <c r="BD6284" i="4"/>
  <c r="BD6258" i="4"/>
  <c r="BC6232" i="4"/>
  <c r="BD6211" i="4"/>
  <c r="BD6186" i="4"/>
  <c r="BD6161" i="4"/>
  <c r="BD6142" i="4"/>
  <c r="BD6121" i="4"/>
  <c r="BC6103" i="4"/>
  <c r="BC6086" i="4"/>
  <c r="BD6065" i="4"/>
  <c r="BC6048" i="4"/>
  <c r="BC6030" i="4"/>
  <c r="BD6010" i="4"/>
  <c r="BC5993" i="4"/>
  <c r="BD5974" i="4"/>
  <c r="BD5955" i="4"/>
  <c r="BC5937" i="4"/>
  <c r="BD5917" i="4"/>
  <c r="BD5900" i="4"/>
  <c r="BC5881" i="4"/>
  <c r="BD5862" i="4"/>
  <c r="BD5845" i="4"/>
  <c r="BD5825" i="4"/>
  <c r="BD5807" i="4"/>
  <c r="BC5790" i="4"/>
  <c r="BD5769" i="4"/>
  <c r="BD5752" i="4"/>
  <c r="BC5734" i="4"/>
  <c r="BD5714" i="4"/>
  <c r="BD5697" i="4"/>
  <c r="BD5678" i="4"/>
  <c r="BD5660" i="4"/>
  <c r="BC5645" i="4"/>
  <c r="BC5626" i="4"/>
  <c r="BC5608" i="4"/>
  <c r="BD5592" i="4"/>
  <c r="BC5578" i="4"/>
  <c r="BC5561" i="4"/>
  <c r="BD5545" i="4"/>
  <c r="BD5529" i="4"/>
  <c r="BD5515" i="4"/>
  <c r="BD5501" i="4"/>
  <c r="BC5486" i="4"/>
  <c r="BC5472" i="4"/>
  <c r="BD5456" i="4"/>
  <c r="BD5441" i="4"/>
  <c r="BC5428" i="4"/>
  <c r="BD5414" i="4"/>
  <c r="BD5400" i="4"/>
  <c r="BD5387" i="4"/>
  <c r="BC5373" i="4"/>
  <c r="BC5360" i="4"/>
  <c r="BC5347" i="4"/>
  <c r="BD5333" i="4"/>
  <c r="BD5320" i="4"/>
  <c r="BD5307" i="4"/>
  <c r="BC5294" i="4"/>
  <c r="BD5279" i="4"/>
  <c r="BD5266" i="4"/>
  <c r="BD5253" i="4"/>
  <c r="BD5240" i="4"/>
  <c r="BD5227" i="4"/>
  <c r="BD5214" i="4"/>
  <c r="BD5199" i="4"/>
  <c r="BD5186" i="4"/>
  <c r="BD5173" i="4"/>
  <c r="BD5160" i="4"/>
  <c r="BC5147" i="4"/>
  <c r="BC5134" i="4"/>
  <c r="BD5119" i="4"/>
  <c r="BD5106" i="4"/>
  <c r="BD5093" i="4"/>
  <c r="BC5080" i="4"/>
  <c r="BC5067" i="4"/>
  <c r="BC5054" i="4"/>
  <c r="BD5040" i="4"/>
  <c r="BC5026" i="4"/>
  <c r="BC5013" i="4"/>
  <c r="BC5000" i="4"/>
  <c r="BC4987" i="4"/>
  <c r="BC4974" i="4"/>
  <c r="BD4960" i="4"/>
  <c r="BC4946" i="4"/>
  <c r="BC4933" i="4"/>
  <c r="BC4920" i="4"/>
  <c r="BC4907" i="4"/>
  <c r="BD4893" i="4"/>
  <c r="BD4880" i="4"/>
  <c r="BC4866" i="4"/>
  <c r="BC4853" i="4"/>
  <c r="BD4839" i="4"/>
  <c r="BD4826" i="4"/>
  <c r="BD4813" i="4"/>
  <c r="BD4800" i="4"/>
  <c r="BC4787" i="4"/>
  <c r="BD4772" i="4"/>
  <c r="BD4759" i="4"/>
  <c r="BD4746" i="4"/>
  <c r="BD4733" i="4"/>
  <c r="BD4720" i="4"/>
  <c r="BC4707" i="4"/>
  <c r="BD4692" i="4"/>
  <c r="BD4679" i="4"/>
  <c r="BD4666" i="4"/>
  <c r="BD4653" i="4"/>
  <c r="BC4640" i="4"/>
  <c r="BC4627" i="4"/>
  <c r="BD4612" i="4"/>
  <c r="BD4599" i="4"/>
  <c r="BC4586" i="4"/>
  <c r="BC4573" i="4"/>
  <c r="BC4560" i="4"/>
  <c r="BC4547" i="4"/>
  <c r="BD4533" i="4"/>
  <c r="BC4520" i="4"/>
  <c r="BD4507" i="4"/>
  <c r="BC4495" i="4"/>
  <c r="BD4482" i="4"/>
  <c r="BC4470" i="4"/>
  <c r="BD4457" i="4"/>
  <c r="BD4443" i="4"/>
  <c r="BC4431" i="4"/>
  <c r="BD4418" i="4"/>
  <c r="BC4406" i="4"/>
  <c r="BD4393" i="4"/>
  <c r="BC4381" i="4"/>
  <c r="BC4367" i="4"/>
  <c r="BD4354" i="4"/>
  <c r="BC4342" i="4"/>
  <c r="BD4329" i="4"/>
  <c r="BC4317" i="4"/>
  <c r="BD4304" i="4"/>
  <c r="BD4291" i="4"/>
  <c r="BC4278" i="4"/>
  <c r="BD4265" i="4"/>
  <c r="BC4253" i="4"/>
  <c r="BD4240" i="4"/>
  <c r="BC4228" i="4"/>
  <c r="BD4215" i="4"/>
  <c r="BD4201" i="4"/>
  <c r="BC4189" i="4"/>
  <c r="BD4176" i="4"/>
  <c r="BC4164" i="4"/>
  <c r="BD4151" i="4"/>
  <c r="BC4139" i="4"/>
  <c r="BC4125" i="4"/>
  <c r="BC6377" i="4"/>
  <c r="BC6356" i="4"/>
  <c r="BD6329" i="4"/>
  <c r="BD6304" i="4"/>
  <c r="BD6283" i="4"/>
  <c r="BD6257" i="4"/>
  <c r="BD6231" i="4"/>
  <c r="BD6209" i="4"/>
  <c r="BC6186" i="4"/>
  <c r="BC6161" i="4"/>
  <c r="BC6142" i="4"/>
  <c r="BC6121" i="4"/>
  <c r="BC6102" i="4"/>
  <c r="BD6084" i="4"/>
  <c r="BC6065" i="4"/>
  <c r="BC6047" i="4"/>
  <c r="BC6029" i="4"/>
  <c r="BC6010" i="4"/>
  <c r="BC5992" i="4"/>
  <c r="BC5974" i="4"/>
  <c r="BC5955" i="4"/>
  <c r="BD5935" i="4"/>
  <c r="BD5916" i="4"/>
  <c r="BC5900" i="4"/>
  <c r="BC5880" i="4"/>
  <c r="BD5861" i="4"/>
  <c r="BC5845" i="4"/>
  <c r="BC5825" i="4"/>
  <c r="BD5806" i="4"/>
  <c r="BD5788" i="4"/>
  <c r="BC5769" i="4"/>
  <c r="BD5751" i="4"/>
  <c r="BC5733" i="4"/>
  <c r="BC5714" i="4"/>
  <c r="BD5696" i="4"/>
  <c r="BC5678" i="4"/>
  <c r="BC5660" i="4"/>
  <c r="BD5644" i="4"/>
  <c r="BC5625" i="4"/>
  <c r="BC5607" i="4"/>
  <c r="BC5592" i="4"/>
  <c r="BD5576" i="4"/>
  <c r="BD5559" i="4"/>
  <c r="BC5545" i="4"/>
  <c r="BC5529" i="4"/>
  <c r="BC5515" i="4"/>
  <c r="BC5501" i="4"/>
  <c r="BD5485" i="4"/>
  <c r="BC5471" i="4"/>
  <c r="BD5455" i="4"/>
  <c r="BC5441" i="4"/>
  <c r="BD5427" i="4"/>
  <c r="BC5414" i="4"/>
  <c r="BC5400" i="4"/>
  <c r="BC5387" i="4"/>
  <c r="BD5372" i="4"/>
  <c r="BD5359" i="4"/>
  <c r="BD5346" i="4"/>
  <c r="BC5333" i="4"/>
  <c r="BC5320" i="4"/>
  <c r="BC5307" i="4"/>
  <c r="BD5292" i="4"/>
  <c r="BC5279" i="4"/>
  <c r="BC5266" i="4"/>
  <c r="BC5253" i="4"/>
  <c r="BC5240" i="4"/>
  <c r="BC5227" i="4"/>
  <c r="BC5213" i="4"/>
  <c r="BC5199" i="4"/>
  <c r="BC5186" i="4"/>
  <c r="BC5173" i="4"/>
  <c r="BC5160" i="4"/>
  <c r="BD5146" i="4"/>
  <c r="BD5133" i="4"/>
  <c r="BC5119" i="4"/>
  <c r="BC5106" i="4"/>
  <c r="BD5092" i="4"/>
  <c r="BD5079" i="4"/>
  <c r="BD5066" i="4"/>
  <c r="BD5053" i="4"/>
  <c r="BC5039" i="4"/>
  <c r="BD5025" i="4"/>
  <c r="BD5012" i="4"/>
  <c r="BD4999" i="4"/>
  <c r="BD4986" i="4"/>
  <c r="BD4973" i="4"/>
  <c r="BD4959" i="4"/>
  <c r="BD4945" i="4"/>
  <c r="BD4932" i="4"/>
  <c r="BD4919" i="4"/>
  <c r="BD4906" i="4"/>
  <c r="BC4893" i="4"/>
  <c r="BC4880" i="4"/>
  <c r="BD4865" i="4"/>
  <c r="BD4852" i="4"/>
  <c r="BC4839" i="4"/>
  <c r="BC4826" i="4"/>
  <c r="BC4813" i="4"/>
  <c r="BC4800" i="4"/>
  <c r="BD4785" i="4"/>
  <c r="BC4772" i="4"/>
  <c r="BC4759" i="4"/>
  <c r="BC4746" i="4"/>
  <c r="BC4733" i="4"/>
  <c r="BC4720" i="4"/>
  <c r="BC4706" i="4"/>
  <c r="BC4692" i="4"/>
  <c r="BC4679" i="4"/>
  <c r="BC4666" i="4"/>
  <c r="BD4652" i="4"/>
  <c r="BD4639" i="4"/>
  <c r="BD4626" i="4"/>
  <c r="BC4612" i="4"/>
  <c r="BC4599" i="4"/>
  <c r="BD4585" i="4"/>
  <c r="BD4572" i="4"/>
  <c r="BD4559" i="4"/>
  <c r="BD4546" i="4"/>
  <c r="BC4532" i="4"/>
  <c r="BD4519" i="4"/>
  <c r="BC4507" i="4"/>
  <c r="BD4494" i="4"/>
  <c r="BC4482" i="4"/>
  <c r="BD4469" i="4"/>
  <c r="BD4456" i="4"/>
  <c r="BC4443" i="4"/>
  <c r="BD4430" i="4"/>
  <c r="BC4418" i="4"/>
  <c r="BD4405" i="4"/>
  <c r="BC4393" i="4"/>
  <c r="BD4380" i="4"/>
  <c r="BD4366" i="4"/>
  <c r="BC4354" i="4"/>
  <c r="BD4341" i="4"/>
  <c r="BC4329" i="4"/>
  <c r="BD4316" i="4"/>
  <c r="BC4304" i="4"/>
  <c r="BC4290" i="4"/>
  <c r="BD4277" i="4"/>
  <c r="BC4265" i="4"/>
  <c r="BD4252" i="4"/>
  <c r="BC4240" i="4"/>
  <c r="BD4227" i="4"/>
  <c r="BD4214" i="4"/>
  <c r="BC4201" i="4"/>
  <c r="BD6376" i="4"/>
  <c r="BD6354" i="4"/>
  <c r="BC6329" i="4"/>
  <c r="BC6304" i="4"/>
  <c r="BC6282" i="4"/>
  <c r="BC6257" i="4"/>
  <c r="BC6231" i="4"/>
  <c r="BD6207" i="4"/>
  <c r="BD6185" i="4"/>
  <c r="BD6159" i="4"/>
  <c r="BC6141" i="4"/>
  <c r="BD6119" i="4"/>
  <c r="BD6101" i="4"/>
  <c r="BC6084" i="4"/>
  <c r="BD6064" i="4"/>
  <c r="BD6046" i="4"/>
  <c r="BD6027" i="4"/>
  <c r="BD6009" i="4"/>
  <c r="BC5991" i="4"/>
  <c r="BC5971" i="4"/>
  <c r="BD5954" i="4"/>
  <c r="BC5935" i="4"/>
  <c r="BC5916" i="4"/>
  <c r="BD5899" i="4"/>
  <c r="BD5879" i="4"/>
  <c r="BC5861" i="4"/>
  <c r="BC5844" i="4"/>
  <c r="BD5823" i="4"/>
  <c r="BC5806" i="4"/>
  <c r="BC5788" i="4"/>
  <c r="BD5768" i="4"/>
  <c r="BC5751" i="4"/>
  <c r="BD5732" i="4"/>
  <c r="BD5713" i="4"/>
  <c r="BC5695" i="4"/>
  <c r="BC5677" i="4"/>
  <c r="BD5659" i="4"/>
  <c r="BC5644" i="4"/>
  <c r="BD5624" i="4"/>
  <c r="BD5606" i="4"/>
  <c r="BD5591" i="4"/>
  <c r="BD5575" i="4"/>
  <c r="BC5559" i="4"/>
  <c r="BD5543" i="4"/>
  <c r="BD5528" i="4"/>
  <c r="BD5514" i="4"/>
  <c r="BD5500" i="4"/>
  <c r="BC5485" i="4"/>
  <c r="BD5469" i="4"/>
  <c r="BD5454" i="4"/>
  <c r="BD5440" i="4"/>
  <c r="BC5427" i="4"/>
  <c r="BD5413" i="4"/>
  <c r="BD5399" i="4"/>
  <c r="BC5386" i="4"/>
  <c r="BC5372" i="4"/>
  <c r="BC5359" i="4"/>
  <c r="BD5345" i="4"/>
  <c r="BD5332" i="4"/>
  <c r="BD5319" i="4"/>
  <c r="BD5306" i="4"/>
  <c r="BC5292" i="4"/>
  <c r="BD5278" i="4"/>
  <c r="BD5265" i="4"/>
  <c r="BD5252" i="4"/>
  <c r="BD5239" i="4"/>
  <c r="BD5226" i="4"/>
  <c r="BD5211" i="4"/>
  <c r="BD5198" i="4"/>
  <c r="BD5185" i="4"/>
  <c r="BD5172" i="4"/>
  <c r="BD5159" i="4"/>
  <c r="BC5146" i="4"/>
  <c r="BD5132" i="4"/>
  <c r="BD5118" i="4"/>
  <c r="BD5105" i="4"/>
  <c r="BC5092" i="4"/>
  <c r="BC5079" i="4"/>
  <c r="BC5066" i="4"/>
  <c r="BC5053" i="4"/>
  <c r="BD5038" i="4"/>
  <c r="BC5025" i="4"/>
  <c r="BC5012" i="4"/>
  <c r="BC4999" i="4"/>
  <c r="BC4986" i="4"/>
  <c r="BC4973" i="4"/>
  <c r="BC4958" i="4"/>
  <c r="BC4945" i="4"/>
  <c r="BC4932" i="4"/>
  <c r="BC4919" i="4"/>
  <c r="BD4905" i="4"/>
  <c r="BD4892" i="4"/>
  <c r="BC4879" i="4"/>
  <c r="BC4865" i="4"/>
  <c r="BC4852" i="4"/>
  <c r="BD4838" i="4"/>
  <c r="BD4825" i="4"/>
  <c r="BD4812" i="4"/>
  <c r="BD4799" i="4"/>
  <c r="BD4784" i="4"/>
  <c r="BD4771" i="4"/>
  <c r="BD4758" i="4"/>
  <c r="BD4745" i="4"/>
  <c r="BD4732" i="4"/>
  <c r="BD4719" i="4"/>
  <c r="BD4704" i="4"/>
  <c r="BD4691" i="4"/>
  <c r="BD4678" i="4"/>
  <c r="BD4665" i="4"/>
  <c r="BC4652" i="4"/>
  <c r="BC4639" i="4"/>
  <c r="BD4625" i="4"/>
  <c r="BD4611" i="4"/>
  <c r="BD4598" i="4"/>
  <c r="BC4585" i="4"/>
  <c r="BC4572" i="4"/>
  <c r="BC4559" i="4"/>
  <c r="BC4546" i="4"/>
  <c r="BD4531" i="4"/>
  <c r="BC4519" i="4"/>
  <c r="BD4506" i="4"/>
  <c r="BC4494" i="4"/>
  <c r="BD4481" i="4"/>
  <c r="BC4469" i="4"/>
  <c r="BC4455" i="4"/>
  <c r="BD4442" i="4"/>
  <c r="BC4430" i="4"/>
  <c r="BD4417" i="4"/>
  <c r="BC4405" i="4"/>
  <c r="BD4392" i="4"/>
  <c r="BD4379" i="4"/>
  <c r="BC4366" i="4"/>
  <c r="BD4353" i="4"/>
  <c r="BC4341" i="4"/>
  <c r="BD4328" i="4"/>
  <c r="BC4316" i="4"/>
  <c r="BD4303" i="4"/>
  <c r="BD4289" i="4"/>
  <c r="BC4277" i="4"/>
  <c r="BD4264" i="4"/>
  <c r="BC4252" i="4"/>
  <c r="BD4239" i="4"/>
  <c r="BC4227" i="4"/>
  <c r="BC4213" i="4"/>
  <c r="BD4200" i="4"/>
  <c r="BC4188" i="4"/>
  <c r="BD4175" i="4"/>
  <c r="BC4163" i="4"/>
  <c r="BD4150" i="4"/>
  <c r="BD4137" i="4"/>
  <c r="BC4124" i="4"/>
  <c r="BD4111" i="4"/>
  <c r="BC4099" i="4"/>
  <c r="BD4086" i="4"/>
  <c r="BC4074" i="4"/>
  <c r="BD4061" i="4"/>
  <c r="BD4047" i="4"/>
  <c r="BC4035" i="4"/>
  <c r="BD4022" i="4"/>
  <c r="BC4010" i="4"/>
  <c r="BD3997" i="4"/>
  <c r="BC3985" i="4"/>
  <c r="BC3971" i="4"/>
  <c r="BD3958" i="4"/>
  <c r="BC3946" i="4"/>
  <c r="BD3933" i="4"/>
  <c r="BC3921" i="4"/>
  <c r="BD3908" i="4"/>
  <c r="BD3895" i="4"/>
  <c r="BC3882" i="4"/>
  <c r="BD3869" i="4"/>
  <c r="BC3857" i="4"/>
  <c r="BD3844" i="4"/>
  <c r="BC3832" i="4"/>
  <c r="BD3819" i="4"/>
  <c r="BD3805" i="4"/>
  <c r="BC3793" i="4"/>
  <c r="BD3780" i="4"/>
  <c r="BD3768" i="4"/>
  <c r="BD3756" i="4"/>
  <c r="BD3744" i="4"/>
  <c r="BD3732" i="4"/>
  <c r="BD3720" i="4"/>
  <c r="BC3708" i="4"/>
  <c r="BC3696" i="4"/>
  <c r="BD3684" i="4"/>
  <c r="BD3673" i="4"/>
  <c r="BD3662" i="4"/>
  <c r="BD3651" i="4"/>
  <c r="BD3640" i="4"/>
  <c r="BD3629" i="4"/>
  <c r="BD3618" i="4"/>
  <c r="BD3607" i="4"/>
  <c r="BD3596" i="4"/>
  <c r="BD3585" i="4"/>
  <c r="BD3574" i="4"/>
  <c r="BD3563" i="4"/>
  <c r="BD3552" i="4"/>
  <c r="BD3541" i="4"/>
  <c r="BD3530" i="4"/>
  <c r="BD3519" i="4"/>
  <c r="BD3508" i="4"/>
  <c r="BD3497" i="4"/>
  <c r="BD3486" i="4"/>
  <c r="BD3475" i="4"/>
  <c r="BD3464" i="4"/>
  <c r="BD3453" i="4"/>
  <c r="BD3442" i="4"/>
  <c r="BD3431" i="4"/>
  <c r="BD3420" i="4"/>
  <c r="BD3409" i="4"/>
  <c r="BD3398" i="4"/>
  <c r="BD3387" i="4"/>
  <c r="BD3376" i="4"/>
  <c r="BD3365" i="4"/>
  <c r="BD3354" i="4"/>
  <c r="BD3343" i="4"/>
  <c r="BD3332" i="4"/>
  <c r="BD3321" i="4"/>
  <c r="BD3310" i="4"/>
  <c r="BD3299" i="4"/>
  <c r="BD3288" i="4"/>
  <c r="BD3277" i="4"/>
  <c r="BD3266" i="4"/>
  <c r="BD3255" i="4"/>
  <c r="BD3244" i="4"/>
  <c r="BD3233" i="4"/>
  <c r="BD3222" i="4"/>
  <c r="BD3211" i="4"/>
  <c r="BD3200" i="4"/>
  <c r="BD3189" i="4"/>
  <c r="BD3178" i="4"/>
  <c r="BD3167" i="4"/>
  <c r="BD3156" i="4"/>
  <c r="BD3145" i="4"/>
  <c r="BD3134" i="4"/>
  <c r="BD3123" i="4"/>
  <c r="BD3112" i="4"/>
  <c r="BD3101" i="4"/>
  <c r="BD3090" i="4"/>
  <c r="BD3079" i="4"/>
  <c r="BD3068" i="4"/>
  <c r="BD3057" i="4"/>
  <c r="BD3046" i="4"/>
  <c r="BD3035" i="4"/>
  <c r="BD3024" i="4"/>
  <c r="BD3013" i="4"/>
  <c r="BD3002" i="4"/>
  <c r="BD2991" i="4"/>
  <c r="BD2980" i="4"/>
  <c r="BD2969" i="4"/>
  <c r="BD2958" i="4"/>
  <c r="BD2947" i="4"/>
  <c r="BD2936" i="4"/>
  <c r="BD2925" i="4"/>
  <c r="BD2914" i="4"/>
  <c r="BD2903" i="4"/>
  <c r="BD2892" i="4"/>
  <c r="BD2881" i="4"/>
  <c r="BD2870" i="4"/>
  <c r="BD2859" i="4"/>
  <c r="BD2848" i="4"/>
  <c r="BD2837" i="4"/>
  <c r="BD2826" i="4"/>
  <c r="BD2815" i="4"/>
  <c r="BD2804" i="4"/>
  <c r="BD2793" i="4"/>
  <c r="BD2782" i="4"/>
  <c r="BD2771" i="4"/>
  <c r="BD2760" i="4"/>
  <c r="BD2749" i="4"/>
  <c r="BD2738" i="4"/>
  <c r="BD2727" i="4"/>
  <c r="BD2716" i="4"/>
  <c r="BD2705" i="4"/>
  <c r="BD2694" i="4"/>
  <c r="BD2683" i="4"/>
  <c r="BD2672" i="4"/>
  <c r="BD2661" i="4"/>
  <c r="BD2650" i="4"/>
  <c r="BD2639" i="4"/>
  <c r="BD2628" i="4"/>
  <c r="BD2617" i="4"/>
  <c r="BD2606" i="4"/>
  <c r="BD2595" i="4"/>
  <c r="BD2584" i="4"/>
  <c r="BD2573" i="4"/>
  <c r="BD2562" i="4"/>
  <c r="BD2551" i="4"/>
  <c r="BD2540" i="4"/>
  <c r="BD2529" i="4"/>
  <c r="BD2518" i="4"/>
  <c r="BD2507" i="4"/>
  <c r="BD2496" i="4"/>
  <c r="BD2485" i="4"/>
  <c r="BD2474" i="4"/>
  <c r="BD2463" i="4"/>
  <c r="BD2452" i="4"/>
  <c r="BD2441" i="4"/>
  <c r="BD2430" i="4"/>
  <c r="BD6375" i="4"/>
  <c r="BD6352" i="4"/>
  <c r="BD6328" i="4"/>
  <c r="BD6302" i="4"/>
  <c r="BC6278" i="4"/>
  <c r="BC6256" i="4"/>
  <c r="BD6230" i="4"/>
  <c r="BD6205" i="4"/>
  <c r="BC6185" i="4"/>
  <c r="BD6158" i="4"/>
  <c r="BD6139" i="4"/>
  <c r="BC6119" i="4"/>
  <c r="BC6101" i="4"/>
  <c r="BD6081" i="4"/>
  <c r="BC6064" i="4"/>
  <c r="BC6046" i="4"/>
  <c r="BD6026" i="4"/>
  <c r="BC6009" i="4"/>
  <c r="BD5989" i="4"/>
  <c r="BC5970" i="4"/>
  <c r="BC5954" i="4"/>
  <c r="BC5934" i="4"/>
  <c r="BC5915" i="4"/>
  <c r="BC5899" i="4"/>
  <c r="BC5879" i="4"/>
  <c r="BC5860" i="4"/>
  <c r="BD5842" i="4"/>
  <c r="BC5823" i="4"/>
  <c r="BC5805" i="4"/>
  <c r="BC5787" i="4"/>
  <c r="BC5768" i="4"/>
  <c r="BC5750" i="4"/>
  <c r="BC5732" i="4"/>
  <c r="BC5713" i="4"/>
  <c r="BD5693" i="4"/>
  <c r="BD5675" i="4"/>
  <c r="BC5659" i="4"/>
  <c r="BD5641" i="4"/>
  <c r="BC5624" i="4"/>
  <c r="BC5606" i="4"/>
  <c r="BC5591" i="4"/>
  <c r="BC5574" i="4"/>
  <c r="BD5558" i="4"/>
  <c r="BD5542" i="4"/>
  <c r="BC5528" i="4"/>
  <c r="BC5514" i="4"/>
  <c r="BD5499" i="4"/>
  <c r="BD5484" i="4"/>
  <c r="BC5469" i="4"/>
  <c r="BC5454" i="4"/>
  <c r="BC5440" i="4"/>
  <c r="BD5426" i="4"/>
  <c r="BC5413" i="4"/>
  <c r="BC5399" i="4"/>
  <c r="BD5384" i="4"/>
  <c r="BD5371" i="4"/>
  <c r="BD5358" i="4"/>
  <c r="BC5345" i="4"/>
  <c r="BC5332" i="4"/>
  <c r="BC5319" i="4"/>
  <c r="BD5305" i="4"/>
  <c r="BD5291" i="4"/>
  <c r="BC5278" i="4"/>
  <c r="BC5265" i="4"/>
  <c r="BC5252" i="4"/>
  <c r="BC5239" i="4"/>
  <c r="BC5226" i="4"/>
  <c r="BC5211" i="4"/>
  <c r="BC5198" i="4"/>
  <c r="BC5185" i="4"/>
  <c r="BC5172" i="4"/>
  <c r="BD5158" i="4"/>
  <c r="BD5145" i="4"/>
  <c r="BC5131" i="4"/>
  <c r="BC5118" i="4"/>
  <c r="BC5105" i="4"/>
  <c r="BD5091" i="4"/>
  <c r="BD5078" i="4"/>
  <c r="BD5065" i="4"/>
  <c r="BC5052" i="4"/>
  <c r="BD5037" i="4"/>
  <c r="BD5024" i="4"/>
  <c r="BD5011" i="4"/>
  <c r="BD4998" i="4"/>
  <c r="BD4985" i="4"/>
  <c r="BD4972" i="4"/>
  <c r="BD4957" i="4"/>
  <c r="BD4944" i="4"/>
  <c r="BD4931" i="4"/>
  <c r="BD4918" i="4"/>
  <c r="BC4905" i="4"/>
  <c r="BC4892" i="4"/>
  <c r="BD4877" i="4"/>
  <c r="BD4864" i="4"/>
  <c r="BD4851" i="4"/>
  <c r="BC4838" i="4"/>
  <c r="BC4825" i="4"/>
  <c r="BC4812" i="4"/>
  <c r="BD4798" i="4"/>
  <c r="BC4784" i="4"/>
  <c r="BC4771" i="4"/>
  <c r="BC4758" i="4"/>
  <c r="BC4745" i="4"/>
  <c r="BC4732" i="4"/>
  <c r="BD4718" i="4"/>
  <c r="BC4704" i="4"/>
  <c r="BC4691" i="4"/>
  <c r="BC4678" i="4"/>
  <c r="BC4665" i="4"/>
  <c r="BD4651" i="4"/>
  <c r="BD4638" i="4"/>
  <c r="BC4624" i="4"/>
  <c r="BC4611" i="4"/>
  <c r="BD4597" i="4"/>
  <c r="BD4584" i="4"/>
  <c r="BD4571" i="4"/>
  <c r="BD4558" i="4"/>
  <c r="BC4545" i="4"/>
  <c r="BC4531" i="4"/>
  <c r="BD4518" i="4"/>
  <c r="BC4506" i="4"/>
  <c r="BD4493" i="4"/>
  <c r="BC4481" i="4"/>
  <c r="BD4468" i="4"/>
  <c r="BD4454" i="4"/>
  <c r="BC4442" i="4"/>
  <c r="BD4429" i="4"/>
  <c r="BC4417" i="4"/>
  <c r="BD4404" i="4"/>
  <c r="BC4392" i="4"/>
  <c r="BC4378" i="4"/>
  <c r="BD4365" i="4"/>
  <c r="BC4353" i="4"/>
  <c r="BD4340" i="4"/>
  <c r="BC4328" i="4"/>
  <c r="BD4315" i="4"/>
  <c r="BD4302" i="4"/>
  <c r="BC4289" i="4"/>
  <c r="BD4276" i="4"/>
  <c r="BC4264" i="4"/>
  <c r="BD4251" i="4"/>
  <c r="BC4239" i="4"/>
  <c r="BD4226" i="4"/>
  <c r="BD4212" i="4"/>
  <c r="BC4200" i="4"/>
  <c r="BD4187" i="4"/>
  <c r="BC4175" i="4"/>
  <c r="BD4162" i="4"/>
  <c r="BC4150" i="4"/>
  <c r="BC4136" i="4"/>
  <c r="BD4123" i="4"/>
  <c r="BC4111" i="4"/>
  <c r="BD4098" i="4"/>
  <c r="BC4086" i="4"/>
  <c r="BD4073" i="4"/>
  <c r="BD4060" i="4"/>
  <c r="BC4047" i="4"/>
  <c r="BD4034" i="4"/>
  <c r="BC4022" i="4"/>
  <c r="BC6375" i="4"/>
  <c r="BD6350" i="4"/>
  <c r="BC6328" i="4"/>
  <c r="BD6301" i="4"/>
  <c r="BD6275" i="4"/>
  <c r="BD6255" i="4"/>
  <c r="BC6230" i="4"/>
  <c r="BC6205" i="4"/>
  <c r="BC6184" i="4"/>
  <c r="BC6158" i="4"/>
  <c r="BC6139" i="4"/>
  <c r="BD6118" i="4"/>
  <c r="BD6100" i="4"/>
  <c r="BC6081" i="4"/>
  <c r="BD6063" i="4"/>
  <c r="BC6045" i="4"/>
  <c r="BD6024" i="4"/>
  <c r="BD6008" i="4"/>
  <c r="BC5989" i="4"/>
  <c r="BD5969" i="4"/>
  <c r="BD5953" i="4"/>
  <c r="BD5933" i="4"/>
  <c r="BD5914" i="4"/>
  <c r="BC5898" i="4"/>
  <c r="BD5877" i="4"/>
  <c r="BD5859" i="4"/>
  <c r="BC5842" i="4"/>
  <c r="BD5822" i="4"/>
  <c r="BD5804" i="4"/>
  <c r="BD5785" i="4"/>
  <c r="BD5767" i="4"/>
  <c r="BC5749" i="4"/>
  <c r="BC5729" i="4"/>
  <c r="BD5712" i="4"/>
  <c r="BC5693" i="4"/>
  <c r="BD5674" i="4"/>
  <c r="BD5658" i="4"/>
  <c r="BD5639" i="4"/>
  <c r="BC5623" i="4"/>
  <c r="BD5605" i="4"/>
  <c r="BD5590" i="4"/>
  <c r="BD5572" i="4"/>
  <c r="BC5558" i="4"/>
  <c r="BC5542" i="4"/>
  <c r="BD5527" i="4"/>
  <c r="BD5513" i="4"/>
  <c r="BD5498" i="4"/>
  <c r="BD5483" i="4"/>
  <c r="BD5468" i="4"/>
  <c r="BC5453" i="4"/>
  <c r="BD5439" i="4"/>
  <c r="BC5426" i="4"/>
  <c r="BD5412" i="4"/>
  <c r="BD5398" i="4"/>
  <c r="BC5384" i="4"/>
  <c r="BC5371" i="4"/>
  <c r="BC5358" i="4"/>
  <c r="BD5344" i="4"/>
  <c r="BD5331" i="4"/>
  <c r="BD5318" i="4"/>
  <c r="BC5304" i="4"/>
  <c r="BD5290" i="4"/>
  <c r="BD5277" i="4"/>
  <c r="BD5264" i="4"/>
  <c r="BD5251" i="4"/>
  <c r="BD5238" i="4"/>
  <c r="BD5224" i="4"/>
  <c r="BD5210" i="4"/>
  <c r="BD5197" i="4"/>
  <c r="BD5184" i="4"/>
  <c r="BD5171" i="4"/>
  <c r="BC5158" i="4"/>
  <c r="BC5145" i="4"/>
  <c r="BD5130" i="4"/>
  <c r="BD5117" i="4"/>
  <c r="BD5104" i="4"/>
  <c r="BC5091" i="4"/>
  <c r="BC5078" i="4"/>
  <c r="BC5065" i="4"/>
  <c r="BD5050" i="4"/>
  <c r="BC5037" i="4"/>
  <c r="BC5024" i="4"/>
  <c r="BC5011" i="4"/>
  <c r="BC4998" i="4"/>
  <c r="BC4985" i="4"/>
  <c r="BC4971" i="4"/>
  <c r="BC4957" i="4"/>
  <c r="BC4944" i="4"/>
  <c r="BC4931" i="4"/>
  <c r="BC4918" i="4"/>
  <c r="BD4904" i="4"/>
  <c r="BD4891" i="4"/>
  <c r="BC4877" i="4"/>
  <c r="BC4864" i="4"/>
  <c r="BD4850" i="4"/>
  <c r="BD4837" i="4"/>
  <c r="BD4824" i="4"/>
  <c r="BD4811" i="4"/>
  <c r="BC4797" i="4"/>
  <c r="BD4783" i="4"/>
  <c r="BD4770" i="4"/>
  <c r="BD4757" i="4"/>
  <c r="BD4744" i="4"/>
  <c r="BD4731" i="4"/>
  <c r="BD4717" i="4"/>
  <c r="BD4703" i="4"/>
  <c r="BD4690" i="4"/>
  <c r="BD4677" i="4"/>
  <c r="BD4664" i="4"/>
  <c r="BC4651" i="4"/>
  <c r="BC4638" i="4"/>
  <c r="BD4623" i="4"/>
  <c r="BD4610" i="4"/>
  <c r="BC4597" i="4"/>
  <c r="BC4584" i="4"/>
  <c r="BC4571" i="4"/>
  <c r="BC4558" i="4"/>
  <c r="BD4543" i="4"/>
  <c r="BD4530" i="4"/>
  <c r="BC4518" i="4"/>
  <c r="BD4505" i="4"/>
  <c r="BC4493" i="4"/>
  <c r="BD4480" i="4"/>
  <c r="BD4467" i="4"/>
  <c r="BC4454" i="4"/>
  <c r="BD4441" i="4"/>
  <c r="BC4429" i="4"/>
  <c r="BD4416" i="4"/>
  <c r="BC4404" i="4"/>
  <c r="BD4391" i="4"/>
  <c r="BD4377" i="4"/>
  <c r="BC4365" i="4"/>
  <c r="BD4352" i="4"/>
  <c r="BC4340" i="4"/>
  <c r="BD4327" i="4"/>
  <c r="BC4315" i="4"/>
  <c r="BC4301" i="4"/>
  <c r="BD4288" i="4"/>
  <c r="BC4276" i="4"/>
  <c r="BD4263" i="4"/>
  <c r="BC4251" i="4"/>
  <c r="BD4238" i="4"/>
  <c r="BD4225" i="4"/>
  <c r="BC4212" i="4"/>
  <c r="BD4199" i="4"/>
  <c r="BC4187" i="4"/>
  <c r="BD4174" i="4"/>
  <c r="BC4162" i="4"/>
  <c r="BD4149" i="4"/>
  <c r="BD4135" i="4"/>
  <c r="BC4123" i="4"/>
  <c r="BD4110" i="4"/>
  <c r="BC4098" i="4"/>
  <c r="BD4085" i="4"/>
  <c r="BC4073" i="4"/>
  <c r="BC4059" i="4"/>
  <c r="BD4046" i="4"/>
  <c r="BD6374" i="4"/>
  <c r="BD6348" i="4"/>
  <c r="BD6327" i="4"/>
  <c r="BC6301" i="4"/>
  <c r="BC6275" i="4"/>
  <c r="BC6254" i="4"/>
  <c r="BD6229" i="4"/>
  <c r="BD6203" i="4"/>
  <c r="BD6181" i="4"/>
  <c r="BC6157" i="4"/>
  <c r="BD6136" i="4"/>
  <c r="BC6118" i="4"/>
  <c r="BC6100" i="4"/>
  <c r="BC6080" i="4"/>
  <c r="BC6063" i="4"/>
  <c r="BD6043" i="4"/>
  <c r="BC6024" i="4"/>
  <c r="BC6008" i="4"/>
  <c r="BC5988" i="4"/>
  <c r="BC5969" i="4"/>
  <c r="BC5953" i="4"/>
  <c r="BC5933" i="4"/>
  <c r="BC5914" i="4"/>
  <c r="BD5895" i="4"/>
  <c r="BC5877" i="4"/>
  <c r="BC5859" i="4"/>
  <c r="BD5839" i="4"/>
  <c r="BC5822" i="4"/>
  <c r="BC5804" i="4"/>
  <c r="BD5784" i="4"/>
  <c r="BC5767" i="4"/>
  <c r="BD5747" i="4"/>
  <c r="BC5728" i="4"/>
  <c r="BC5712" i="4"/>
  <c r="BC5692" i="4"/>
  <c r="BC5674" i="4"/>
  <c r="BC5658" i="4"/>
  <c r="BC5639" i="4"/>
  <c r="BD5622" i="4"/>
  <c r="BC5605" i="4"/>
  <c r="BC5590" i="4"/>
  <c r="BC5572" i="4"/>
  <c r="BD5557" i="4"/>
  <c r="BC5541" i="4"/>
  <c r="BC5527" i="4"/>
  <c r="BC5513" i="4"/>
  <c r="BC5498" i="4"/>
  <c r="BC5482" i="4"/>
  <c r="BC5468" i="4"/>
  <c r="BD5452" i="4"/>
  <c r="BC5439" i="4"/>
  <c r="BD5425" i="4"/>
  <c r="BD5411" i="4"/>
  <c r="BD5397" i="4"/>
  <c r="BD5383" i="4"/>
  <c r="BD5370" i="4"/>
  <c r="BD5357" i="4"/>
  <c r="BC5344" i="4"/>
  <c r="BC5331" i="4"/>
  <c r="BC5318" i="4"/>
  <c r="BD5303" i="4"/>
  <c r="BC5290" i="4"/>
  <c r="BC5277" i="4"/>
  <c r="BC5264" i="4"/>
  <c r="BC5251" i="4"/>
  <c r="BC5238" i="4"/>
  <c r="BC5223" i="4"/>
  <c r="BC5210" i="4"/>
  <c r="BC5197" i="4"/>
  <c r="BC5184" i="4"/>
  <c r="BC5171" i="4"/>
  <c r="BD5157" i="4"/>
  <c r="BC5144" i="4"/>
  <c r="BC5130" i="4"/>
  <c r="BC5117" i="4"/>
  <c r="BD5103" i="4"/>
  <c r="BD5090" i="4"/>
  <c r="BD5077" i="4"/>
  <c r="BD5064" i="4"/>
  <c r="BC5050" i="4"/>
  <c r="BD5036" i="4"/>
  <c r="BD5023" i="4"/>
  <c r="BD5010" i="4"/>
  <c r="BD4997" i="4"/>
  <c r="BD4984" i="4"/>
  <c r="BD4969" i="4"/>
  <c r="BD4956" i="4"/>
  <c r="BD4943" i="4"/>
  <c r="BD4930" i="4"/>
  <c r="BD4917" i="4"/>
  <c r="BC4904" i="4"/>
  <c r="BD4890" i="4"/>
  <c r="BD4876" i="4"/>
  <c r="BD4863" i="4"/>
  <c r="BC4850" i="4"/>
  <c r="BC4837" i="4"/>
  <c r="BC4824" i="4"/>
  <c r="BC4811" i="4"/>
  <c r="BD4796" i="4"/>
  <c r="BC4783" i="4"/>
  <c r="BC4770" i="4"/>
  <c r="BC4757" i="4"/>
  <c r="BC4744" i="4"/>
  <c r="BC4731" i="4"/>
  <c r="BC4716" i="4"/>
  <c r="BC4703" i="4"/>
  <c r="BC4690" i="4"/>
  <c r="BC4677" i="4"/>
  <c r="BD4663" i="4"/>
  <c r="BD4650" i="4"/>
  <c r="BC4637" i="4"/>
  <c r="BC4623" i="4"/>
  <c r="BC4610" i="4"/>
  <c r="BD4596" i="4"/>
  <c r="BD4583" i="4"/>
  <c r="BD4570" i="4"/>
  <c r="BD4557" i="4"/>
  <c r="BD4542" i="4"/>
  <c r="BC4530" i="4"/>
  <c r="BD4517" i="4"/>
  <c r="BC4505" i="4"/>
  <c r="BD4492" i="4"/>
  <c r="BC4480" i="4"/>
  <c r="BC4466" i="4"/>
  <c r="BD4453" i="4"/>
  <c r="BC4441" i="4"/>
  <c r="BD4428" i="4"/>
  <c r="BC4416" i="4"/>
  <c r="BD4403" i="4"/>
  <c r="BD4390" i="4"/>
  <c r="BC4377" i="4"/>
  <c r="BD4364" i="4"/>
  <c r="BC4352" i="4"/>
  <c r="BD4339" i="4"/>
  <c r="BC4327" i="4"/>
  <c r="BD4314" i="4"/>
  <c r="BD4300" i="4"/>
  <c r="BC4288" i="4"/>
  <c r="BD4275" i="4"/>
  <c r="BC4263" i="4"/>
  <c r="BD4250" i="4"/>
  <c r="BC4238" i="4"/>
  <c r="BC4224" i="4"/>
  <c r="BD4211" i="4"/>
  <c r="BC4199" i="4"/>
  <c r="BD4186" i="4"/>
  <c r="BC4174" i="4"/>
  <c r="BD4161" i="4"/>
  <c r="BD4148" i="4"/>
  <c r="BC4135" i="4"/>
  <c r="BD4122" i="4"/>
  <c r="BC4110" i="4"/>
  <c r="BD4097" i="4"/>
  <c r="BC4085" i="4"/>
  <c r="BD4072" i="4"/>
  <c r="BD4058" i="4"/>
  <c r="BC4046" i="4"/>
  <c r="BD4033" i="4"/>
  <c r="BC4021" i="4"/>
  <c r="BD4008" i="4"/>
  <c r="BC3996" i="4"/>
  <c r="BC3982" i="4"/>
  <c r="BD3969" i="4"/>
  <c r="BC3957" i="4"/>
  <c r="BD3944" i="4"/>
  <c r="BC3932" i="4"/>
  <c r="BD3919" i="4"/>
  <c r="BD3906" i="4"/>
  <c r="BC3893" i="4"/>
  <c r="BD3880" i="4"/>
  <c r="BC3868" i="4"/>
  <c r="BD3855" i="4"/>
  <c r="BC3843" i="4"/>
  <c r="BD3830" i="4"/>
  <c r="BD3816" i="4"/>
  <c r="BC3804" i="4"/>
  <c r="BD3791" i="4"/>
  <c r="BC3779" i="4"/>
  <c r="BC3767" i="4"/>
  <c r="BC3755" i="4"/>
  <c r="BC3743" i="4"/>
  <c r="BD3730" i="4"/>
  <c r="BC3718" i="4"/>
  <c r="BC3706" i="4"/>
  <c r="BD3694" i="4"/>
  <c r="BC3683" i="4"/>
  <c r="BC3672" i="4"/>
  <c r="BC3661" i="4"/>
  <c r="BC3650" i="4"/>
  <c r="BC3639" i="4"/>
  <c r="BC3628" i="4"/>
  <c r="BC3617" i="4"/>
  <c r="BC3606" i="4"/>
  <c r="BC3595" i="4"/>
  <c r="BC3584" i="4"/>
  <c r="BC3573" i="4"/>
  <c r="BC3562" i="4"/>
  <c r="BC3551" i="4"/>
  <c r="BC3540" i="4"/>
  <c r="BC3529" i="4"/>
  <c r="BC3518" i="4"/>
  <c r="BC3507" i="4"/>
  <c r="BC3496" i="4"/>
  <c r="BC3485" i="4"/>
  <c r="BC3474" i="4"/>
  <c r="BC3463" i="4"/>
  <c r="BC3452" i="4"/>
  <c r="BC3441" i="4"/>
  <c r="BC3430" i="4"/>
  <c r="BC3419" i="4"/>
  <c r="BC3408" i="4"/>
  <c r="BC3397" i="4"/>
  <c r="BC3386" i="4"/>
  <c r="BC3375" i="4"/>
  <c r="BC3364" i="4"/>
  <c r="BC3353" i="4"/>
  <c r="BC3342" i="4"/>
  <c r="BC3331" i="4"/>
  <c r="BC3320" i="4"/>
  <c r="BC3309" i="4"/>
  <c r="BC3298" i="4"/>
  <c r="BC3287" i="4"/>
  <c r="BC3276" i="4"/>
  <c r="BC3265" i="4"/>
  <c r="BC3254" i="4"/>
  <c r="BC3243" i="4"/>
  <c r="BC3232" i="4"/>
  <c r="BC3221" i="4"/>
  <c r="BC3210" i="4"/>
  <c r="BC3199" i="4"/>
  <c r="BC3188" i="4"/>
  <c r="BC3177" i="4"/>
  <c r="BC3166" i="4"/>
  <c r="BC3155" i="4"/>
  <c r="BC3144" i="4"/>
  <c r="BC3133" i="4"/>
  <c r="BC3122" i="4"/>
  <c r="BC3111" i="4"/>
  <c r="BC3100" i="4"/>
  <c r="BC3089" i="4"/>
  <c r="BC3078" i="4"/>
  <c r="BC3067" i="4"/>
  <c r="BC3056" i="4"/>
  <c r="BC3045" i="4"/>
  <c r="BC3034" i="4"/>
  <c r="BC3023" i="4"/>
  <c r="BC6374" i="4"/>
  <c r="BC6348" i="4"/>
  <c r="BD6326" i="4"/>
  <c r="BC6300" i="4"/>
  <c r="BD6274" i="4"/>
  <c r="BD6252" i="4"/>
  <c r="BC6229" i="4"/>
  <c r="BD6202" i="4"/>
  <c r="BD6178" i="4"/>
  <c r="BD6156" i="4"/>
  <c r="BC6136" i="4"/>
  <c r="BD6117" i="4"/>
  <c r="BC6099" i="4"/>
  <c r="BD6078" i="4"/>
  <c r="BD6062" i="4"/>
  <c r="BC6043" i="4"/>
  <c r="BD6023" i="4"/>
  <c r="BD6007" i="4"/>
  <c r="BD5987" i="4"/>
  <c r="BD5968" i="4"/>
  <c r="BC5952" i="4"/>
  <c r="BD5931" i="4"/>
  <c r="BD5913" i="4"/>
  <c r="BD5894" i="4"/>
  <c r="BD5876" i="4"/>
  <c r="BD5858" i="4"/>
  <c r="BC5839" i="4"/>
  <c r="BD5821" i="4"/>
  <c r="BC5803" i="4"/>
  <c r="BD5782" i="4"/>
  <c r="BD5766" i="4"/>
  <c r="BC5747" i="4"/>
  <c r="BD5727" i="4"/>
  <c r="BD5711" i="4"/>
  <c r="BD5691" i="4"/>
  <c r="BC5673" i="4"/>
  <c r="BD5657" i="4"/>
  <c r="BC5638" i="4"/>
  <c r="BC5622" i="4"/>
  <c r="BD5604" i="4"/>
  <c r="BC5589" i="4"/>
  <c r="BD5571" i="4"/>
  <c r="BC5557" i="4"/>
  <c r="BD5540" i="4"/>
  <c r="BD5526" i="4"/>
  <c r="BD5512" i="4"/>
  <c r="BC5497" i="4"/>
  <c r="BD5481" i="4"/>
  <c r="BD5467" i="4"/>
  <c r="BC5452" i="4"/>
  <c r="BD5438" i="4"/>
  <c r="BC5425" i="4"/>
  <c r="BD5410" i="4"/>
  <c r="BC5396" i="4"/>
  <c r="BC5383" i="4"/>
  <c r="BC5370" i="4"/>
  <c r="BD5356" i="4"/>
  <c r="BD5343" i="4"/>
  <c r="BD5330" i="4"/>
  <c r="BC5317" i="4"/>
  <c r="BC5303" i="4"/>
  <c r="BD5289" i="4"/>
  <c r="BD5276" i="4"/>
  <c r="BD5263" i="4"/>
  <c r="BD5250" i="4"/>
  <c r="BD5237" i="4"/>
  <c r="BD5222" i="4"/>
  <c r="BD5209" i="4"/>
  <c r="BD5196" i="4"/>
  <c r="BD5183" i="4"/>
  <c r="BD5170" i="4"/>
  <c r="BC5157" i="4"/>
  <c r="BD5142" i="4"/>
  <c r="BD5129" i="4"/>
  <c r="BD5116" i="4"/>
  <c r="BC5103" i="4"/>
  <c r="BC5090" i="4"/>
  <c r="BC5077" i="4"/>
  <c r="BD5063" i="4"/>
  <c r="BD5049" i="4"/>
  <c r="BC5036" i="4"/>
  <c r="BC5023" i="4"/>
  <c r="BC5010" i="4"/>
  <c r="BC4997" i="4"/>
  <c r="BC4984" i="4"/>
  <c r="BC4969" i="4"/>
  <c r="BC4956" i="4"/>
  <c r="BC4943" i="4"/>
  <c r="BC4930" i="4"/>
  <c r="BD4916" i="4"/>
  <c r="BD4903" i="4"/>
  <c r="BC4889" i="4"/>
  <c r="BC4876" i="4"/>
  <c r="BC4863" i="4"/>
  <c r="BD4849" i="4"/>
  <c r="BD4836" i="4"/>
  <c r="BD4823" i="4"/>
  <c r="BC4810" i="4"/>
  <c r="BD4795" i="4"/>
  <c r="BD4782" i="4"/>
  <c r="BD4769" i="4"/>
  <c r="BD4756" i="4"/>
  <c r="BD4743" i="4"/>
  <c r="BD4730" i="4"/>
  <c r="BD4715" i="4"/>
  <c r="BD4702" i="4"/>
  <c r="BD4689" i="4"/>
  <c r="BD4676" i="4"/>
  <c r="BC4663" i="4"/>
  <c r="BC4650" i="4"/>
  <c r="BD4635" i="4"/>
  <c r="BD4622" i="4"/>
  <c r="BD4609" i="4"/>
  <c r="BC4596" i="4"/>
  <c r="BC4583" i="4"/>
  <c r="BC4570" i="4"/>
  <c r="BD4556" i="4"/>
  <c r="BC4542" i="4"/>
  <c r="BD4529" i="4"/>
  <c r="BC4517" i="4"/>
  <c r="BD4504" i="4"/>
  <c r="BC4492" i="4"/>
  <c r="BD4479" i="4"/>
  <c r="BD4465" i="4"/>
  <c r="BC4453" i="4"/>
  <c r="BD4440" i="4"/>
  <c r="BC4428" i="4"/>
  <c r="BD4415" i="4"/>
  <c r="BC4403" i="4"/>
  <c r="BC4389" i="4"/>
  <c r="BD4376" i="4"/>
  <c r="BC4364" i="4"/>
  <c r="BD4351" i="4"/>
  <c r="BC4339" i="4"/>
  <c r="BD4326" i="4"/>
  <c r="BD4313" i="4"/>
  <c r="BC4300" i="4"/>
  <c r="BD4287" i="4"/>
  <c r="BC4275" i="4"/>
  <c r="BD4262" i="4"/>
  <c r="BC4250" i="4"/>
  <c r="BD4237" i="4"/>
  <c r="BD4223" i="4"/>
  <c r="BC4211" i="4"/>
  <c r="BD4198" i="4"/>
  <c r="BC4186" i="4"/>
  <c r="BD4173" i="4"/>
  <c r="BC4161" i="4"/>
  <c r="BC4147" i="4"/>
  <c r="BD4134" i="4"/>
  <c r="BC4122" i="4"/>
  <c r="BD4109" i="4"/>
  <c r="BC4097" i="4"/>
  <c r="BD4084" i="4"/>
  <c r="BD4071" i="4"/>
  <c r="BC4058" i="4"/>
  <c r="BD4045" i="4"/>
  <c r="BC4033" i="4"/>
  <c r="BD4020" i="4"/>
  <c r="BC4008" i="4"/>
  <c r="BD3995" i="4"/>
  <c r="BD3981" i="4"/>
  <c r="BC3969" i="4"/>
  <c r="BD3956" i="4"/>
  <c r="BC3944" i="4"/>
  <c r="BD3931" i="4"/>
  <c r="BC3919" i="4"/>
  <c r="BC3905" i="4"/>
  <c r="BD3892" i="4"/>
  <c r="BC3880" i="4"/>
  <c r="BD3867" i="4"/>
  <c r="BC3855" i="4"/>
  <c r="BD3842" i="4"/>
  <c r="BD3829" i="4"/>
  <c r="BC3816" i="4"/>
  <c r="BD3803" i="4"/>
  <c r="BC3791" i="4"/>
  <c r="BD3778" i="4"/>
  <c r="BD3766" i="4"/>
  <c r="BD3754" i="4"/>
  <c r="BD3742" i="4"/>
  <c r="BC3730" i="4"/>
  <c r="BD3717" i="4"/>
  <c r="BD3705" i="4"/>
  <c r="BC3694" i="4"/>
  <c r="BD3682" i="4"/>
  <c r="BD3671" i="4"/>
  <c r="BD3660" i="4"/>
  <c r="BD3649" i="4"/>
  <c r="BD3638" i="4"/>
  <c r="BD3627" i="4"/>
  <c r="BD3616" i="4"/>
  <c r="BD3605" i="4"/>
  <c r="BD3594" i="4"/>
  <c r="BD3583" i="4"/>
  <c r="BD3572" i="4"/>
  <c r="BD3561" i="4"/>
  <c r="BD3550" i="4"/>
  <c r="BD3539" i="4"/>
  <c r="BD3528" i="4"/>
  <c r="BD3517" i="4"/>
  <c r="BD3506" i="4"/>
  <c r="BD3495" i="4"/>
  <c r="BD3484" i="4"/>
  <c r="BD3473" i="4"/>
  <c r="BD3462" i="4"/>
  <c r="BD3451" i="4"/>
  <c r="BD3440" i="4"/>
  <c r="BD3429" i="4"/>
  <c r="BD3418" i="4"/>
  <c r="BD3407" i="4"/>
  <c r="BD3396" i="4"/>
  <c r="BD3385" i="4"/>
  <c r="BD3374" i="4"/>
  <c r="BD3363" i="4"/>
  <c r="BD3352" i="4"/>
  <c r="BD3341" i="4"/>
  <c r="BD3330" i="4"/>
  <c r="BD3319" i="4"/>
  <c r="BD3308" i="4"/>
  <c r="BD3297" i="4"/>
  <c r="BD3286" i="4"/>
  <c r="BD3275" i="4"/>
  <c r="BD3264" i="4"/>
  <c r="BD3253" i="4"/>
  <c r="BD3242" i="4"/>
  <c r="BD3231" i="4"/>
  <c r="BD3220" i="4"/>
  <c r="BD3209" i="4"/>
  <c r="BD3198" i="4"/>
  <c r="BD3187" i="4"/>
  <c r="BD3176" i="4"/>
  <c r="BD3165" i="4"/>
  <c r="BD3154" i="4"/>
  <c r="BD3143" i="4"/>
  <c r="BD3132" i="4"/>
  <c r="BD3121" i="4"/>
  <c r="BD3110" i="4"/>
  <c r="BD3099" i="4"/>
  <c r="BD3088" i="4"/>
  <c r="BD3077" i="4"/>
  <c r="BD3066" i="4"/>
  <c r="BD3055" i="4"/>
  <c r="BD3044" i="4"/>
  <c r="BD3033" i="4"/>
  <c r="BD3022" i="4"/>
  <c r="BD3011" i="4"/>
  <c r="BD3000" i="4"/>
  <c r="BD2989" i="4"/>
  <c r="BD2978" i="4"/>
  <c r="BD2967" i="4"/>
  <c r="BD2956" i="4"/>
  <c r="BD2945" i="4"/>
  <c r="BD2934" i="4"/>
  <c r="BD2923" i="4"/>
  <c r="BD2912" i="4"/>
  <c r="BD2901" i="4"/>
  <c r="BD2890" i="4"/>
  <c r="BD2879" i="4"/>
  <c r="BD2868" i="4"/>
  <c r="BD2857" i="4"/>
  <c r="BD2846" i="4"/>
  <c r="BD2835" i="4"/>
  <c r="BD2824" i="4"/>
  <c r="BD6373" i="4"/>
  <c r="BD6345" i="4"/>
  <c r="BD6323" i="4"/>
  <c r="BD6299" i="4"/>
  <c r="BC6274" i="4"/>
  <c r="BD6250" i="4"/>
  <c r="BD6228" i="4"/>
  <c r="BC6202" i="4"/>
  <c r="BC6176" i="4"/>
  <c r="BD6155" i="4"/>
  <c r="BC6135" i="4"/>
  <c r="BC6117" i="4"/>
  <c r="BD6097" i="4"/>
  <c r="BC6078" i="4"/>
  <c r="BC6062" i="4"/>
  <c r="BC6042" i="4"/>
  <c r="BC6023" i="4"/>
  <c r="BC6007" i="4"/>
  <c r="BC5987" i="4"/>
  <c r="BC5968" i="4"/>
  <c r="BC5949" i="4"/>
  <c r="BC5931" i="4"/>
  <c r="BC5913" i="4"/>
  <c r="BC5893" i="4"/>
  <c r="BC5876" i="4"/>
  <c r="BC5858" i="4"/>
  <c r="BC5838" i="4"/>
  <c r="BC5821" i="4"/>
  <c r="BD5801" i="4"/>
  <c r="BC5782" i="4"/>
  <c r="BC5766" i="4"/>
  <c r="BC5746" i="4"/>
  <c r="BC5727" i="4"/>
  <c r="BC5711" i="4"/>
  <c r="BC5691" i="4"/>
  <c r="BD5672" i="4"/>
  <c r="BC5657" i="4"/>
  <c r="BD5637" i="4"/>
  <c r="BD5620" i="4"/>
  <c r="BC5604" i="4"/>
  <c r="BC5586" i="4"/>
  <c r="BC5571" i="4"/>
  <c r="BD5556" i="4"/>
  <c r="BC5540" i="4"/>
  <c r="BC5526" i="4"/>
  <c r="BC5512" i="4"/>
  <c r="BC5496" i="4"/>
  <c r="BC5481" i="4"/>
  <c r="BD5466" i="4"/>
  <c r="BD5451" i="4"/>
  <c r="BC5438" i="4"/>
  <c r="BD5424" i="4"/>
  <c r="BC5410" i="4"/>
  <c r="BD5395" i="4"/>
  <c r="BD5382" i="4"/>
  <c r="BD5369" i="4"/>
  <c r="BC5356" i="4"/>
  <c r="BC5343" i="4"/>
  <c r="BC5330" i="4"/>
  <c r="BD5315" i="4"/>
  <c r="BD5302" i="4"/>
  <c r="BC5289" i="4"/>
  <c r="BC5276" i="4"/>
  <c r="BC5263" i="4"/>
  <c r="BC5250" i="4"/>
  <c r="BD5236" i="4"/>
  <c r="BC5222" i="4"/>
  <c r="BC5209" i="4"/>
  <c r="BC5196" i="4"/>
  <c r="BC5183" i="4"/>
  <c r="BD5169" i="4"/>
  <c r="BD5156" i="4"/>
  <c r="BC5142" i="4"/>
  <c r="BC5129" i="4"/>
  <c r="BC5116" i="4"/>
  <c r="BD5102" i="4"/>
  <c r="BD5089" i="4"/>
  <c r="BD5076" i="4"/>
  <c r="BC5062" i="4"/>
  <c r="BD5048" i="4"/>
  <c r="BD5035" i="4"/>
  <c r="BD5022" i="4"/>
  <c r="BD5009" i="4"/>
  <c r="BD4996" i="4"/>
  <c r="BD4982" i="4"/>
  <c r="BD4968" i="4"/>
  <c r="BD4955" i="4"/>
  <c r="BD4942" i="4"/>
  <c r="BD4929" i="4"/>
  <c r="BC4916" i="4"/>
  <c r="BC4903" i="4"/>
  <c r="BD4888" i="4"/>
  <c r="BD4875" i="4"/>
  <c r="BD4862" i="4"/>
  <c r="BC4849" i="4"/>
  <c r="BC4836" i="4"/>
  <c r="BC4823" i="4"/>
  <c r="BD4808" i="4"/>
  <c r="BC4795" i="4"/>
  <c r="BC4782" i="4"/>
  <c r="BC4769" i="4"/>
  <c r="BC4756" i="4"/>
  <c r="BC4743" i="4"/>
  <c r="BC4729" i="4"/>
  <c r="BC4715" i="4"/>
  <c r="BC4702" i="4"/>
  <c r="BC4689" i="4"/>
  <c r="BC4676" i="4"/>
  <c r="BD4662" i="4"/>
  <c r="BD4649" i="4"/>
  <c r="BC4635" i="4"/>
  <c r="BC4622" i="4"/>
  <c r="BD4608" i="4"/>
  <c r="BD4595" i="4"/>
  <c r="BD4582" i="4"/>
  <c r="BD4569" i="4"/>
  <c r="BC4555" i="4"/>
  <c r="BD4541" i="4"/>
  <c r="BC4529" i="4"/>
  <c r="BD4516" i="4"/>
  <c r="BC4504" i="4"/>
  <c r="BD4491" i="4"/>
  <c r="BD4478" i="4"/>
  <c r="BC4465" i="4"/>
  <c r="BD4452" i="4"/>
  <c r="BC4440" i="4"/>
  <c r="BD4427" i="4"/>
  <c r="BC4415" i="4"/>
  <c r="BD4402" i="4"/>
  <c r="BD4388" i="4"/>
  <c r="BC4376" i="4"/>
  <c r="BD4363" i="4"/>
  <c r="BC4351" i="4"/>
  <c r="BD4338" i="4"/>
  <c r="BC4326" i="4"/>
  <c r="BC4312" i="4"/>
  <c r="BD4299" i="4"/>
  <c r="BC4287" i="4"/>
  <c r="BD4274" i="4"/>
  <c r="BC4262" i="4"/>
  <c r="BD4249" i="4"/>
  <c r="BD4236" i="4"/>
  <c r="BC4223" i="4"/>
  <c r="BD4210" i="4"/>
  <c r="BC4198" i="4"/>
  <c r="BD4185" i="4"/>
  <c r="BC4173" i="4"/>
  <c r="BD4160" i="4"/>
  <c r="BD4146" i="4"/>
  <c r="BC4134" i="4"/>
  <c r="BD4121" i="4"/>
  <c r="BC4109" i="4"/>
  <c r="BD4096" i="4"/>
  <c r="BC4084" i="4"/>
  <c r="BC4070" i="4"/>
  <c r="BD4057" i="4"/>
  <c r="BC4045" i="4"/>
  <c r="BD4032" i="4"/>
  <c r="BC4020" i="4"/>
  <c r="BD4007" i="4"/>
  <c r="BD3994" i="4"/>
  <c r="BC3981" i="4"/>
  <c r="BD3968" i="4"/>
  <c r="BC3956" i="4"/>
  <c r="BD3943" i="4"/>
  <c r="BC3931" i="4"/>
  <c r="BD3918" i="4"/>
  <c r="BD3904" i="4"/>
  <c r="BC3892" i="4"/>
  <c r="BD3879" i="4"/>
  <c r="BC3867" i="4"/>
  <c r="BD3854" i="4"/>
  <c r="BC3842" i="4"/>
  <c r="BC3828" i="4"/>
  <c r="BD3815" i="4"/>
  <c r="BC3803" i="4"/>
  <c r="BD3790" i="4"/>
  <c r="BC3778" i="4"/>
  <c r="BC3766" i="4"/>
  <c r="BC3754" i="4"/>
  <c r="BD3741" i="4"/>
  <c r="BC3729" i="4"/>
  <c r="BC3717" i="4"/>
  <c r="BC3705" i="4"/>
  <c r="BD3693" i="4"/>
  <c r="BC3682" i="4"/>
  <c r="BC3671" i="4"/>
  <c r="BC3660" i="4"/>
  <c r="BC3649" i="4"/>
  <c r="BC3638" i="4"/>
  <c r="BC3627" i="4"/>
  <c r="BC3616" i="4"/>
  <c r="BC3605" i="4"/>
  <c r="BC3594" i="4"/>
  <c r="BC3583" i="4"/>
  <c r="BC3572" i="4"/>
  <c r="BC3561" i="4"/>
  <c r="BC3550" i="4"/>
  <c r="BC3539" i="4"/>
  <c r="BC3528" i="4"/>
  <c r="BC3517" i="4"/>
  <c r="BC3506" i="4"/>
  <c r="BC3495" i="4"/>
  <c r="BC3484" i="4"/>
  <c r="BC3473" i="4"/>
  <c r="BC3462" i="4"/>
  <c r="BC3451" i="4"/>
  <c r="BC3440" i="4"/>
  <c r="BC3429" i="4"/>
  <c r="BC3418" i="4"/>
  <c r="BC3407" i="4"/>
  <c r="BC3396" i="4"/>
  <c r="BC3385" i="4"/>
  <c r="BC3374" i="4"/>
  <c r="BC3363" i="4"/>
  <c r="BC3352" i="4"/>
  <c r="BC3341" i="4"/>
  <c r="BC3330" i="4"/>
  <c r="BC3319" i="4"/>
  <c r="BC3308" i="4"/>
  <c r="BC3297" i="4"/>
  <c r="BC3286" i="4"/>
  <c r="BC3275" i="4"/>
  <c r="BC3264" i="4"/>
  <c r="BC3253" i="4"/>
  <c r="BC3242" i="4"/>
  <c r="BC3231" i="4"/>
  <c r="BC3220" i="4"/>
  <c r="BC3209" i="4"/>
  <c r="BC3198" i="4"/>
  <c r="BC3187" i="4"/>
  <c r="BC6373" i="4"/>
  <c r="BC6345" i="4"/>
  <c r="BD6320" i="4"/>
  <c r="BD6298" i="4"/>
  <c r="BD6273" i="4"/>
  <c r="BD6247" i="4"/>
  <c r="BC6228" i="4"/>
  <c r="BC6201" i="4"/>
  <c r="BD6175" i="4"/>
  <c r="BD6154" i="4"/>
  <c r="BC6133" i="4"/>
  <c r="BD6115" i="4"/>
  <c r="BC6097" i="4"/>
  <c r="BD6077" i="4"/>
  <c r="BD6060" i="4"/>
  <c r="BD6041" i="4"/>
  <c r="BD6022" i="4"/>
  <c r="BD6004" i="4"/>
  <c r="BD5985" i="4"/>
  <c r="BD5967" i="4"/>
  <c r="BC5948" i="4"/>
  <c r="BD5930" i="4"/>
  <c r="BD5912" i="4"/>
  <c r="BD5892" i="4"/>
  <c r="BD5875" i="4"/>
  <c r="BC5857" i="4"/>
  <c r="BD5836" i="4"/>
  <c r="BD5820" i="4"/>
  <c r="BC5801" i="4"/>
  <c r="BD5781" i="4"/>
  <c r="BD5765" i="4"/>
  <c r="BD5745" i="4"/>
  <c r="BD5726" i="4"/>
  <c r="BC5710" i="4"/>
  <c r="BD5689" i="4"/>
  <c r="BC5672" i="4"/>
  <c r="BC5656" i="4"/>
  <c r="BC5637" i="4"/>
  <c r="BD5619" i="4"/>
  <c r="BD5603" i="4"/>
  <c r="BC5585" i="4"/>
  <c r="BD5570" i="4"/>
  <c r="BC5556" i="4"/>
  <c r="BD5539" i="4"/>
  <c r="BD5525" i="4"/>
  <c r="BD5511" i="4"/>
  <c r="BD5494" i="4"/>
  <c r="BD5480" i="4"/>
  <c r="BD5465" i="4"/>
  <c r="BC5451" i="4"/>
  <c r="BD5437" i="4"/>
  <c r="BC5424" i="4"/>
  <c r="BC5409" i="4"/>
  <c r="BC5395" i="4"/>
  <c r="BC5382" i="4"/>
  <c r="BC5369" i="4"/>
  <c r="BD5355" i="4"/>
  <c r="BD5342" i="4"/>
  <c r="BD5329" i="4"/>
  <c r="BC5315" i="4"/>
  <c r="BD5301" i="4"/>
  <c r="BD5288" i="4"/>
  <c r="BD5275" i="4"/>
  <c r="BD5262" i="4"/>
  <c r="BD5249" i="4"/>
  <c r="BD5234" i="4"/>
  <c r="BD5221" i="4"/>
  <c r="BD5208" i="4"/>
  <c r="BD5195" i="4"/>
  <c r="BD5182" i="4"/>
  <c r="BC5169" i="4"/>
  <c r="BD5155" i="4"/>
  <c r="BD5141" i="4"/>
  <c r="BD5128" i="4"/>
  <c r="BD5115" i="4"/>
  <c r="BC5102" i="4"/>
  <c r="BC5089" i="4"/>
  <c r="BC5076" i="4"/>
  <c r="BD5061" i="4"/>
  <c r="BC5048" i="4"/>
  <c r="BC5035" i="4"/>
  <c r="BC5022" i="4"/>
  <c r="BC5009" i="4"/>
  <c r="BC4996" i="4"/>
  <c r="BC4981" i="4"/>
  <c r="BC4968" i="4"/>
  <c r="BC4955" i="4"/>
  <c r="BC4942" i="4"/>
  <c r="BC4929" i="4"/>
  <c r="BD4915" i="4"/>
  <c r="BC4902" i="4"/>
  <c r="BC4888" i="4"/>
  <c r="BC4875" i="4"/>
  <c r="BD4861" i="4"/>
  <c r="BD4848" i="4"/>
  <c r="BD4835" i="4"/>
  <c r="BD4822" i="4"/>
  <c r="BC4808" i="4"/>
  <c r="BD4794" i="4"/>
  <c r="BD4781" i="4"/>
  <c r="BD4768" i="4"/>
  <c r="BD4755" i="4"/>
  <c r="BD4742" i="4"/>
  <c r="BD4727" i="4"/>
  <c r="BD4714" i="4"/>
  <c r="BD4701" i="4"/>
  <c r="BD4688" i="4"/>
  <c r="BD4675" i="4"/>
  <c r="BC4662" i="4"/>
  <c r="BD4648" i="4"/>
  <c r="BD4634" i="4"/>
  <c r="BD4621" i="4"/>
  <c r="BC4608" i="4"/>
  <c r="BC4595" i="4"/>
  <c r="BC4582" i="4"/>
  <c r="BC4569" i="4"/>
  <c r="BD4554" i="4"/>
  <c r="BC4541" i="4"/>
  <c r="BD4528" i="4"/>
  <c r="BC4516" i="4"/>
  <c r="BD4503" i="4"/>
  <c r="BC4491" i="4"/>
  <c r="BC4477" i="4"/>
  <c r="BD4464" i="4"/>
  <c r="BC4452" i="4"/>
  <c r="BD4439" i="4"/>
  <c r="BC4427" i="4"/>
  <c r="BD4414" i="4"/>
  <c r="BD4401" i="4"/>
  <c r="BC4388" i="4"/>
  <c r="BD4375" i="4"/>
  <c r="BC4363" i="4"/>
  <c r="BD4350" i="4"/>
  <c r="BC4338" i="4"/>
  <c r="BD4325" i="4"/>
  <c r="BD4311" i="4"/>
  <c r="BC4299" i="4"/>
  <c r="BD4286" i="4"/>
  <c r="BC4274" i="4"/>
  <c r="BD4261" i="4"/>
  <c r="BC4249" i="4"/>
  <c r="BC4235" i="4"/>
  <c r="BD4222" i="4"/>
  <c r="BC4210" i="4"/>
  <c r="BD4197" i="4"/>
  <c r="BC4185" i="4"/>
  <c r="BD4172" i="4"/>
  <c r="BD4159" i="4"/>
  <c r="BC4146" i="4"/>
  <c r="BD4133" i="4"/>
  <c r="BC4121" i="4"/>
  <c r="BD4108" i="4"/>
  <c r="BC4096" i="4"/>
  <c r="BD4083" i="4"/>
  <c r="BD4069" i="4"/>
  <c r="BC4057" i="4"/>
  <c r="BD4044" i="4"/>
  <c r="BC4032" i="4"/>
  <c r="BD4019" i="4"/>
  <c r="BC4007" i="4"/>
  <c r="BC3993" i="4"/>
  <c r="BD3980" i="4"/>
  <c r="BC3968" i="4"/>
  <c r="BD3955" i="4"/>
  <c r="BC3943" i="4"/>
  <c r="BD3930" i="4"/>
  <c r="BD3917" i="4"/>
  <c r="BC3904" i="4"/>
  <c r="BD3891" i="4"/>
  <c r="BC3879" i="4"/>
  <c r="BD3866" i="4"/>
  <c r="BC3854" i="4"/>
  <c r="BD3841" i="4"/>
  <c r="BD3827" i="4"/>
  <c r="BC3815" i="4"/>
  <c r="BD3802" i="4"/>
  <c r="BC3790" i="4"/>
  <c r="BD3777" i="4"/>
  <c r="BD3765" i="4"/>
  <c r="BD3753" i="4"/>
  <c r="BC3741" i="4"/>
  <c r="BD3728" i="4"/>
  <c r="BD3716" i="4"/>
  <c r="BD3704" i="4"/>
  <c r="BC3693" i="4"/>
  <c r="BD3681" i="4"/>
  <c r="BD3670" i="4"/>
  <c r="BD3659" i="4"/>
  <c r="BD3648" i="4"/>
  <c r="BD3637" i="4"/>
  <c r="BD3626" i="4"/>
  <c r="BD3615" i="4"/>
  <c r="BD3604" i="4"/>
  <c r="BD3593" i="4"/>
  <c r="BD3582" i="4"/>
  <c r="BD3571" i="4"/>
  <c r="BD3560" i="4"/>
  <c r="BD3549" i="4"/>
  <c r="BD3538" i="4"/>
  <c r="BD3527" i="4"/>
  <c r="BD3516" i="4"/>
  <c r="BD3505" i="4"/>
  <c r="BD3494" i="4"/>
  <c r="BD3483" i="4"/>
  <c r="BD3472" i="4"/>
  <c r="BD6372" i="4"/>
  <c r="BC6344" i="4"/>
  <c r="BD6318" i="4"/>
  <c r="BC6298" i="4"/>
  <c r="BC6273" i="4"/>
  <c r="BD6246" i="4"/>
  <c r="BC6227" i="4"/>
  <c r="BD6200" i="4"/>
  <c r="BC6175" i="4"/>
  <c r="BC6153" i="4"/>
  <c r="BD6132" i="4"/>
  <c r="BD6114" i="4"/>
  <c r="BC6096" i="4"/>
  <c r="BC6077" i="4"/>
  <c r="BD6059" i="4"/>
  <c r="BC6041" i="4"/>
  <c r="BC6022" i="4"/>
  <c r="BD6002" i="4"/>
  <c r="BC5985" i="4"/>
  <c r="BC5967" i="4"/>
  <c r="BC5947" i="4"/>
  <c r="BC5930" i="4"/>
  <c r="BC5912" i="4"/>
  <c r="BC5892" i="4"/>
  <c r="BC5875" i="4"/>
  <c r="BD5855" i="4"/>
  <c r="BC5836" i="4"/>
  <c r="BC5820" i="4"/>
  <c r="BC5800" i="4"/>
  <c r="BC5781" i="4"/>
  <c r="BC5765" i="4"/>
  <c r="BC5745" i="4"/>
  <c r="BC5726" i="4"/>
  <c r="BC5707" i="4"/>
  <c r="BC5689" i="4"/>
  <c r="BD5671" i="4"/>
  <c r="BD5653" i="4"/>
  <c r="BC5636" i="4"/>
  <c r="BC5619" i="4"/>
  <c r="BC5603" i="4"/>
  <c r="BD5584" i="4"/>
  <c r="BC5570" i="4"/>
  <c r="BD5554" i="4"/>
  <c r="BC5539" i="4"/>
  <c r="BC5525" i="4"/>
  <c r="BD5510" i="4"/>
  <c r="BC5494" i="4"/>
  <c r="BC5480" i="4"/>
  <c r="BC5465" i="4"/>
  <c r="BD5450" i="4"/>
  <c r="BC5437" i="4"/>
  <c r="BD5423" i="4"/>
  <c r="BD5407" i="4"/>
  <c r="BD5394" i="4"/>
  <c r="BD5381" i="4"/>
  <c r="BD5368" i="4"/>
  <c r="BC5355" i="4"/>
  <c r="BC5342" i="4"/>
  <c r="BD5328" i="4"/>
  <c r="BD5314" i="4"/>
  <c r="BC5301" i="4"/>
  <c r="BC5288" i="4"/>
  <c r="BC5275" i="4"/>
  <c r="BC5262" i="4"/>
  <c r="BC5249" i="4"/>
  <c r="BC5234" i="4"/>
  <c r="BC5221" i="4"/>
  <c r="BC5208" i="4"/>
  <c r="BC5195" i="4"/>
  <c r="BC5182" i="4"/>
  <c r="BD5168" i="4"/>
  <c r="BC5154" i="4"/>
  <c r="BC5141" i="4"/>
  <c r="BC5128" i="4"/>
  <c r="BD5114" i="4"/>
  <c r="BD5101" i="4"/>
  <c r="BD5088" i="4"/>
  <c r="BC5075" i="4"/>
  <c r="BC5061" i="4"/>
  <c r="BD5047" i="4"/>
  <c r="BD5034" i="4"/>
  <c r="BD5021" i="4"/>
  <c r="BD5008" i="4"/>
  <c r="BD4995" i="4"/>
  <c r="BD4980" i="4"/>
  <c r="BD4967" i="4"/>
  <c r="BD4954" i="4"/>
  <c r="BD4941" i="4"/>
  <c r="BD4928" i="4"/>
  <c r="BC4915" i="4"/>
  <c r="BD4900" i="4"/>
  <c r="BD4887" i="4"/>
  <c r="BD4874" i="4"/>
  <c r="BC4861" i="4"/>
  <c r="BC4848" i="4"/>
  <c r="BC4835" i="4"/>
  <c r="BD4821" i="4"/>
  <c r="BD4807" i="4"/>
  <c r="BC4794" i="4"/>
  <c r="BC4781" i="4"/>
  <c r="BC4768" i="4"/>
  <c r="BC4755" i="4"/>
  <c r="BC4742" i="4"/>
  <c r="BC4727" i="4"/>
  <c r="BC4714" i="4"/>
  <c r="BC4701" i="4"/>
  <c r="BC4688" i="4"/>
  <c r="BD4674" i="4"/>
  <c r="BD4661" i="4"/>
  <c r="BC4647" i="4"/>
  <c r="BC4634" i="4"/>
  <c r="BC4621" i="4"/>
  <c r="BD4607" i="4"/>
  <c r="BD4594" i="4"/>
  <c r="BD4581" i="4"/>
  <c r="BC4568" i="4"/>
  <c r="BD4553" i="4"/>
  <c r="BD4540" i="4"/>
  <c r="BC4528" i="4"/>
  <c r="BD4515" i="4"/>
  <c r="BC4503" i="4"/>
  <c r="BD4490" i="4"/>
  <c r="BD4476" i="4"/>
  <c r="BC4464" i="4"/>
  <c r="BD4451" i="4"/>
  <c r="BC4439" i="4"/>
  <c r="BD4426" i="4"/>
  <c r="BC4414" i="4"/>
  <c r="BC4400" i="4"/>
  <c r="BD4387" i="4"/>
  <c r="BC4375" i="4"/>
  <c r="BD4362" i="4"/>
  <c r="BC4350" i="4"/>
  <c r="BD4337" i="4"/>
  <c r="BD4324" i="4"/>
  <c r="BC4311" i="4"/>
  <c r="BD4298" i="4"/>
  <c r="BC4286" i="4"/>
  <c r="BD4273" i="4"/>
  <c r="BC4261" i="4"/>
  <c r="BD4248" i="4"/>
  <c r="BD4234" i="4"/>
  <c r="BC4222" i="4"/>
  <c r="BD4209" i="4"/>
  <c r="BC4197" i="4"/>
  <c r="BD4184" i="4"/>
  <c r="BC4172" i="4"/>
  <c r="BC4158" i="4"/>
  <c r="BD4145" i="4"/>
  <c r="BC4133" i="4"/>
  <c r="BD4120" i="4"/>
  <c r="BC4108" i="4"/>
  <c r="BD4095" i="4"/>
  <c r="BD4082" i="4"/>
  <c r="BC4069" i="4"/>
  <c r="BD4056" i="4"/>
  <c r="BC4044" i="4"/>
  <c r="BD4031" i="4"/>
  <c r="BC4019" i="4"/>
  <c r="BD4006" i="4"/>
  <c r="BD3992" i="4"/>
  <c r="BC3980" i="4"/>
  <c r="BD3967" i="4"/>
  <c r="BC3955" i="4"/>
  <c r="BD3942" i="4"/>
  <c r="BC3930" i="4"/>
  <c r="BC3916" i="4"/>
  <c r="BD3903" i="4"/>
  <c r="BC3891" i="4"/>
  <c r="BD3878" i="4"/>
  <c r="BC3866" i="4"/>
  <c r="BD3853" i="4"/>
  <c r="BD3840" i="4"/>
  <c r="BC3827" i="4"/>
  <c r="BD3814" i="4"/>
  <c r="BC3802" i="4"/>
  <c r="BD3789" i="4"/>
  <c r="BC3777" i="4"/>
  <c r="BC3765" i="4"/>
  <c r="BD3752" i="4"/>
  <c r="BC3740" i="4"/>
  <c r="BC3728" i="4"/>
  <c r="BC3716" i="4"/>
  <c r="BC3704" i="4"/>
  <c r="BD3692" i="4"/>
  <c r="BC3681" i="4"/>
  <c r="BC3670" i="4"/>
  <c r="BC3659" i="4"/>
  <c r="BC3648" i="4"/>
  <c r="BC3637" i="4"/>
  <c r="BC3626" i="4"/>
  <c r="BC3615" i="4"/>
  <c r="BC3604" i="4"/>
  <c r="BC3593" i="4"/>
  <c r="BC3582" i="4"/>
  <c r="BC3571" i="4"/>
  <c r="BC3560" i="4"/>
  <c r="BC3549" i="4"/>
  <c r="BC3538" i="4"/>
  <c r="BC3527" i="4"/>
  <c r="BC3516" i="4"/>
  <c r="BC3505" i="4"/>
  <c r="BC3494" i="4"/>
  <c r="BC3483" i="4"/>
  <c r="BC3472" i="4"/>
  <c r="BC3461" i="4"/>
  <c r="BC3450" i="4"/>
  <c r="BC3439" i="4"/>
  <c r="BC3428" i="4"/>
  <c r="BC3417" i="4"/>
  <c r="BC3406" i="4"/>
  <c r="BC3395" i="4"/>
  <c r="BC3384" i="4"/>
  <c r="BC3373" i="4"/>
  <c r="BC3362" i="4"/>
  <c r="BC3351" i="4"/>
  <c r="BC3340" i="4"/>
  <c r="BC3329" i="4"/>
  <c r="BC3318" i="4"/>
  <c r="BC3307" i="4"/>
  <c r="BC3296" i="4"/>
  <c r="BC3285" i="4"/>
  <c r="BC3274" i="4"/>
  <c r="BC3263" i="4"/>
  <c r="BC3252" i="4"/>
  <c r="BC3241" i="4"/>
  <c r="BC3230" i="4"/>
  <c r="BC3219" i="4"/>
  <c r="BC3208" i="4"/>
  <c r="BC3197" i="4"/>
  <c r="BC3186" i="4"/>
  <c r="BC3175" i="4"/>
  <c r="BC3164" i="4"/>
  <c r="BC3153" i="4"/>
  <c r="BC3142" i="4"/>
  <c r="BC3131" i="4"/>
  <c r="BC3120" i="4"/>
  <c r="BC3109" i="4"/>
  <c r="BC3098" i="4"/>
  <c r="BC3087" i="4"/>
  <c r="BC3076" i="4"/>
  <c r="BC3065" i="4"/>
  <c r="BC3054" i="4"/>
  <c r="BC3043" i="4"/>
  <c r="BC3032" i="4"/>
  <c r="BC3021" i="4"/>
  <c r="BC3010" i="4"/>
  <c r="BC2999" i="4"/>
  <c r="BC2988" i="4"/>
  <c r="BC2977" i="4"/>
  <c r="BC2966" i="4"/>
  <c r="BC2955" i="4"/>
  <c r="BC2944" i="4"/>
  <c r="BC2933" i="4"/>
  <c r="BC2922" i="4"/>
  <c r="BC2911" i="4"/>
  <c r="BC2900" i="4"/>
  <c r="BC2889" i="4"/>
  <c r="BC6372" i="4"/>
  <c r="BD6343" i="4"/>
  <c r="BC6318" i="4"/>
  <c r="BC6297" i="4"/>
  <c r="BD6272" i="4"/>
  <c r="BC6246" i="4"/>
  <c r="BC6224" i="4"/>
  <c r="BD6199" i="4"/>
  <c r="BD6174" i="4"/>
  <c r="BD6152" i="4"/>
  <c r="BC6132" i="4"/>
  <c r="BC6114" i="4"/>
  <c r="BD6095" i="4"/>
  <c r="BD6076" i="4"/>
  <c r="BC6058" i="4"/>
  <c r="BD6038" i="4"/>
  <c r="BD6021" i="4"/>
  <c r="BC6002" i="4"/>
  <c r="BD5983" i="4"/>
  <c r="BD5966" i="4"/>
  <c r="BD5946" i="4"/>
  <c r="BD5928" i="4"/>
  <c r="BC5911" i="4"/>
  <c r="BD5890" i="4"/>
  <c r="BD5873" i="4"/>
  <c r="BC5855" i="4"/>
  <c r="BD5835" i="4"/>
  <c r="BD5818" i="4"/>
  <c r="BD5799" i="4"/>
  <c r="BD5780" i="4"/>
  <c r="BD5762" i="4"/>
  <c r="BD5743" i="4"/>
  <c r="BD5725" i="4"/>
  <c r="BC5706" i="4"/>
  <c r="BD5688" i="4"/>
  <c r="BC5671" i="4"/>
  <c r="BD5652" i="4"/>
  <c r="BD5635" i="4"/>
  <c r="BC5618" i="4"/>
  <c r="BC5602" i="4"/>
  <c r="BC5584" i="4"/>
  <c r="BD5569" i="4"/>
  <c r="BD5553" i="4"/>
  <c r="BD5538" i="4"/>
  <c r="BD5524" i="4"/>
  <c r="BC5509" i="4"/>
  <c r="BD5493" i="4"/>
  <c r="BD5479" i="4"/>
  <c r="BC5464" i="4"/>
  <c r="BC5450" i="4"/>
  <c r="BD5436" i="4"/>
  <c r="BD5422" i="4"/>
  <c r="BC5407" i="4"/>
  <c r="BC5394" i="4"/>
  <c r="BC5381" i="4"/>
  <c r="BD5367" i="4"/>
  <c r="BD5354" i="4"/>
  <c r="BD5341" i="4"/>
  <c r="BC5327" i="4"/>
  <c r="BC5314" i="4"/>
  <c r="BD5300" i="4"/>
  <c r="BD5287" i="4"/>
  <c r="BD5274" i="4"/>
  <c r="BD5261" i="4"/>
  <c r="BC5248" i="4"/>
  <c r="BD5233" i="4"/>
  <c r="BD5220" i="4"/>
  <c r="BD5207" i="4"/>
  <c r="BD5194" i="4"/>
  <c r="BD5181" i="4"/>
  <c r="BC5168" i="4"/>
  <c r="BD5153" i="4"/>
  <c r="BD5140" i="4"/>
  <c r="BD5127" i="4"/>
  <c r="BC5114" i="4"/>
  <c r="BC5101" i="4"/>
  <c r="BC5088" i="4"/>
  <c r="BD5073" i="4"/>
  <c r="BD5060" i="4"/>
  <c r="BC5047" i="4"/>
  <c r="BC5034" i="4"/>
  <c r="BC5021" i="4"/>
  <c r="BC5008" i="4"/>
  <c r="BD4994" i="4"/>
  <c r="BC4980" i="4"/>
  <c r="BC4967" i="4"/>
  <c r="BC4954" i="4"/>
  <c r="BC4941" i="4"/>
  <c r="BD4927" i="4"/>
  <c r="BD4914" i="4"/>
  <c r="BC4900" i="4"/>
  <c r="BC4887" i="4"/>
  <c r="BC4874" i="4"/>
  <c r="BD4860" i="4"/>
  <c r="BD4847" i="4"/>
  <c r="BD4834" i="4"/>
  <c r="BC4820" i="4"/>
  <c r="BD4806" i="4"/>
  <c r="BD4793" i="4"/>
  <c r="BD4780" i="4"/>
  <c r="BD4767" i="4"/>
  <c r="BD4754" i="4"/>
  <c r="BD4740" i="4"/>
  <c r="BD4726" i="4"/>
  <c r="BD4713" i="4"/>
  <c r="BD4700" i="4"/>
  <c r="BD4687" i="4"/>
  <c r="BC4674" i="4"/>
  <c r="BC4661" i="4"/>
  <c r="BD4646" i="4"/>
  <c r="BD4633" i="4"/>
  <c r="BD4620" i="4"/>
  <c r="BC4607" i="4"/>
  <c r="BC4594" i="4"/>
  <c r="BC4581" i="4"/>
  <c r="BD4566" i="4"/>
  <c r="BC4553" i="4"/>
  <c r="BC4540" i="4"/>
  <c r="BD4527" i="4"/>
  <c r="BC4515" i="4"/>
  <c r="BD4502" i="4"/>
  <c r="BD4489" i="4"/>
  <c r="BC4476" i="4"/>
  <c r="BD4463" i="4"/>
  <c r="BC4451" i="4"/>
  <c r="BD4438" i="4"/>
  <c r="BC4426" i="4"/>
  <c r="BD4413" i="4"/>
  <c r="BD4399" i="4"/>
  <c r="BC4387" i="4"/>
  <c r="BD4374" i="4"/>
  <c r="BC4362" i="4"/>
  <c r="BD4349" i="4"/>
  <c r="BC4337" i="4"/>
  <c r="BC4323" i="4"/>
  <c r="BD4310" i="4"/>
  <c r="BC4298" i="4"/>
  <c r="BD4285" i="4"/>
  <c r="BC4273" i="4"/>
  <c r="BD4260" i="4"/>
  <c r="BD4247" i="4"/>
  <c r="BC4234" i="4"/>
  <c r="BD4221" i="4"/>
  <c r="BC4209" i="4"/>
  <c r="BD4196" i="4"/>
  <c r="BD6342" i="4"/>
  <c r="BC6290" i="4"/>
  <c r="BD6242" i="4"/>
  <c r="BD6189" i="4"/>
  <c r="BC6144" i="4"/>
  <c r="BC6095" i="4"/>
  <c r="BC6055" i="4"/>
  <c r="BD6016" i="4"/>
  <c r="BC5979" i="4"/>
  <c r="BC5941" i="4"/>
  <c r="BC5890" i="4"/>
  <c r="BC5853" i="4"/>
  <c r="BC5813" i="4"/>
  <c r="BD5774" i="4"/>
  <c r="BC5737" i="4"/>
  <c r="BC5688" i="4"/>
  <c r="BC5650" i="4"/>
  <c r="BC5615" i="4"/>
  <c r="BD5580" i="4"/>
  <c r="BC5548" i="4"/>
  <c r="BC5507" i="4"/>
  <c r="BD5477" i="4"/>
  <c r="BD5447" i="4"/>
  <c r="BC5417" i="4"/>
  <c r="BC5389" i="4"/>
  <c r="BC5354" i="4"/>
  <c r="BD5325" i="4"/>
  <c r="BC5298" i="4"/>
  <c r="BD5269" i="4"/>
  <c r="BC5242" i="4"/>
  <c r="BC5207" i="4"/>
  <c r="BD5179" i="4"/>
  <c r="BC5151" i="4"/>
  <c r="BD5123" i="4"/>
  <c r="BC5095" i="4"/>
  <c r="BD5059" i="4"/>
  <c r="BD5032" i="4"/>
  <c r="BD5003" i="4"/>
  <c r="BD4976" i="4"/>
  <c r="BC4949" i="4"/>
  <c r="BD4913" i="4"/>
  <c r="BD4885" i="4"/>
  <c r="BC4858" i="4"/>
  <c r="BD4829" i="4"/>
  <c r="BC4802" i="4"/>
  <c r="BC4767" i="4"/>
  <c r="BC4738" i="4"/>
  <c r="BC4711" i="4"/>
  <c r="BC4683" i="4"/>
  <c r="BC4655" i="4"/>
  <c r="BD4619" i="4"/>
  <c r="BD4592" i="4"/>
  <c r="BD4563" i="4"/>
  <c r="BD4536" i="4"/>
  <c r="BC4509" i="4"/>
  <c r="BD4475" i="4"/>
  <c r="BD4449" i="4"/>
  <c r="BC4422" i="4"/>
  <c r="BC4396" i="4"/>
  <c r="BC4370" i="4"/>
  <c r="BD4336" i="4"/>
  <c r="BC4309" i="4"/>
  <c r="BC4283" i="4"/>
  <c r="BD4255" i="4"/>
  <c r="BD4229" i="4"/>
  <c r="BC4196" i="4"/>
  <c r="BC4176" i="4"/>
  <c r="BC4153" i="4"/>
  <c r="BC4129" i="4"/>
  <c r="BD4105" i="4"/>
  <c r="BC4081" i="4"/>
  <c r="BC4064" i="4"/>
  <c r="BC4041" i="4"/>
  <c r="BD4021" i="4"/>
  <c r="BD4001" i="4"/>
  <c r="BD3984" i="4"/>
  <c r="BD3964" i="4"/>
  <c r="BD3946" i="4"/>
  <c r="BC3926" i="4"/>
  <c r="BD3909" i="4"/>
  <c r="BC3889" i="4"/>
  <c r="BD3871" i="4"/>
  <c r="BD3851" i="4"/>
  <c r="BD3834" i="4"/>
  <c r="BD3813" i="4"/>
  <c r="BD3797" i="4"/>
  <c r="BD3776" i="4"/>
  <c r="BC3760" i="4"/>
  <c r="BD3743" i="4"/>
  <c r="BD3724" i="4"/>
  <c r="BC3707" i="4"/>
  <c r="BD3689" i="4"/>
  <c r="BC3674" i="4"/>
  <c r="BD3656" i="4"/>
  <c r="BD3641" i="4"/>
  <c r="BC3624" i="4"/>
  <c r="BD3609" i="4"/>
  <c r="BD3591" i="4"/>
  <c r="BC3577" i="4"/>
  <c r="BC3559" i="4"/>
  <c r="BD3544" i="4"/>
  <c r="BD3526" i="4"/>
  <c r="BC3512" i="4"/>
  <c r="BD3496" i="4"/>
  <c r="BD3479" i="4"/>
  <c r="BC3464" i="4"/>
  <c r="BC3448" i="4"/>
  <c r="BC3434" i="4"/>
  <c r="BD3417" i="4"/>
  <c r="BC3403" i="4"/>
  <c r="BD3388" i="4"/>
  <c r="BC3372" i="4"/>
  <c r="BC3358" i="4"/>
  <c r="BC3343" i="4"/>
  <c r="BC3327" i="4"/>
  <c r="BC3313" i="4"/>
  <c r="BD3296" i="4"/>
  <c r="BC3282" i="4"/>
  <c r="BD3267" i="4"/>
  <c r="BC3251" i="4"/>
  <c r="BC3237" i="4"/>
  <c r="BC3222" i="4"/>
  <c r="BC3206" i="4"/>
  <c r="BC3192" i="4"/>
  <c r="BC3176" i="4"/>
  <c r="BC3162" i="4"/>
  <c r="BD3148" i="4"/>
  <c r="BC3134" i="4"/>
  <c r="BC3119" i="4"/>
  <c r="BD3105" i="4"/>
  <c r="BD3091" i="4"/>
  <c r="BD3076" i="4"/>
  <c r="BD3062" i="4"/>
  <c r="BC3049" i="4"/>
  <c r="BD3034" i="4"/>
  <c r="BD3019" i="4"/>
  <c r="BC3007" i="4"/>
  <c r="BD2994" i="4"/>
  <c r="BC2982" i="4"/>
  <c r="BC2969" i="4"/>
  <c r="BC2956" i="4"/>
  <c r="BC2943" i="4"/>
  <c r="BD2930" i="4"/>
  <c r="BC2918" i="4"/>
  <c r="BD2905" i="4"/>
  <c r="BC2893" i="4"/>
  <c r="BC2880" i="4"/>
  <c r="BD2867" i="4"/>
  <c r="BD2855" i="4"/>
  <c r="BD2843" i="4"/>
  <c r="BD2831" i="4"/>
  <c r="BD2819" i="4"/>
  <c r="BC2808" i="4"/>
  <c r="BD2796" i="4"/>
  <c r="BC2785" i="4"/>
  <c r="BD2773" i="4"/>
  <c r="BC2762" i="4"/>
  <c r="BD2750" i="4"/>
  <c r="BC2739" i="4"/>
  <c r="BC2727" i="4"/>
  <c r="BD2715" i="4"/>
  <c r="BC2704" i="4"/>
  <c r="BD2692" i="4"/>
  <c r="BC2681" i="4"/>
  <c r="BD2669" i="4"/>
  <c r="BC2658" i="4"/>
  <c r="BD2646" i="4"/>
  <c r="BC2635" i="4"/>
  <c r="BD2623" i="4"/>
  <c r="BC2612" i="4"/>
  <c r="BD2600" i="4"/>
  <c r="BC2589" i="4"/>
  <c r="BD2577" i="4"/>
  <c r="BC2566" i="4"/>
  <c r="BD2554" i="4"/>
  <c r="BC2543" i="4"/>
  <c r="BD2531" i="4"/>
  <c r="BC2520" i="4"/>
  <c r="BD2508" i="4"/>
  <c r="BC2497" i="4"/>
  <c r="BC2485" i="4"/>
  <c r="BD2473" i="4"/>
  <c r="BC2462" i="4"/>
  <c r="BD2450" i="4"/>
  <c r="BC2439" i="4"/>
  <c r="BD2427" i="4"/>
  <c r="BD2416" i="4"/>
  <c r="BD2405" i="4"/>
  <c r="BD2394" i="4"/>
  <c r="BD2383" i="4"/>
  <c r="BD2372" i="4"/>
  <c r="BD2361" i="4"/>
  <c r="BD2350" i="4"/>
  <c r="BD2339" i="4"/>
  <c r="BD2328" i="4"/>
  <c r="BD2317" i="4"/>
  <c r="BD2306" i="4"/>
  <c r="BD2295" i="4"/>
  <c r="BD2284" i="4"/>
  <c r="BD2273" i="4"/>
  <c r="BD2262" i="4"/>
  <c r="BD2251" i="4"/>
  <c r="BD2240" i="4"/>
  <c r="BD2229" i="4"/>
  <c r="BD2218" i="4"/>
  <c r="BD2207" i="4"/>
  <c r="BD2196" i="4"/>
  <c r="BD2185" i="4"/>
  <c r="BD2174" i="4"/>
  <c r="BD2163" i="4"/>
  <c r="BD2152" i="4"/>
  <c r="BD2141" i="4"/>
  <c r="BD2130" i="4"/>
  <c r="BD2119" i="4"/>
  <c r="BD2108" i="4"/>
  <c r="BD2097" i="4"/>
  <c r="BD2086" i="4"/>
  <c r="BD2075" i="4"/>
  <c r="BD2064" i="4"/>
  <c r="BD2053" i="4"/>
  <c r="BD2042" i="4"/>
  <c r="BD2031" i="4"/>
  <c r="BD2020" i="4"/>
  <c r="BD2009" i="4"/>
  <c r="BD1998" i="4"/>
  <c r="BD1987" i="4"/>
  <c r="BD1976" i="4"/>
  <c r="BD1965" i="4"/>
  <c r="BD1954" i="4"/>
  <c r="BD1943" i="4"/>
  <c r="BD1932" i="4"/>
  <c r="BD1921" i="4"/>
  <c r="BD1910" i="4"/>
  <c r="BD1899" i="4"/>
  <c r="BD1888" i="4"/>
  <c r="BD1877" i="4"/>
  <c r="BD1866" i="4"/>
  <c r="BD1855" i="4"/>
  <c r="BD1844" i="4"/>
  <c r="BD1833" i="4"/>
  <c r="BD1822" i="4"/>
  <c r="BD1811" i="4"/>
  <c r="BD1800" i="4"/>
  <c r="BD1789" i="4"/>
  <c r="BD1778" i="4"/>
  <c r="BD1767" i="4"/>
  <c r="BD1756" i="4"/>
  <c r="BD1745" i="4"/>
  <c r="BD1734" i="4"/>
  <c r="BD1723" i="4"/>
  <c r="BD1712" i="4"/>
  <c r="BD1701" i="4"/>
  <c r="BD1690" i="4"/>
  <c r="BD1679" i="4"/>
  <c r="BD1668" i="4"/>
  <c r="BD1657" i="4"/>
  <c r="BD1646" i="4"/>
  <c r="BD1635" i="4"/>
  <c r="BD1624" i="4"/>
  <c r="BD1613" i="4"/>
  <c r="BD1602" i="4"/>
  <c r="BD1591" i="4"/>
  <c r="BD1580" i="4"/>
  <c r="BD1569" i="4"/>
  <c r="BD1558" i="4"/>
  <c r="BD1547" i="4"/>
  <c r="BD1536" i="4"/>
  <c r="BD1525" i="4"/>
  <c r="BD1514" i="4"/>
  <c r="BD1503" i="4"/>
  <c r="BD1492" i="4"/>
  <c r="BD1481" i="4"/>
  <c r="BD1470" i="4"/>
  <c r="BD1459" i="4"/>
  <c r="BD1448" i="4"/>
  <c r="BD1437" i="4"/>
  <c r="BD1426" i="4"/>
  <c r="BD1415" i="4"/>
  <c r="BD1404" i="4"/>
  <c r="BD1393" i="4"/>
  <c r="BD1382" i="4"/>
  <c r="BD1371" i="4"/>
  <c r="BD1360" i="4"/>
  <c r="BD1349" i="4"/>
  <c r="BD1338" i="4"/>
  <c r="BD1327" i="4"/>
  <c r="BD1316" i="4"/>
  <c r="BD1305" i="4"/>
  <c r="BD1294" i="4"/>
  <c r="BD1283" i="4"/>
  <c r="BD1272" i="4"/>
  <c r="BD1261" i="4"/>
  <c r="BD1250" i="4"/>
  <c r="BD1239" i="4"/>
  <c r="BD1228" i="4"/>
  <c r="BD1217" i="4"/>
  <c r="BD1206" i="4"/>
  <c r="BD1195" i="4"/>
  <c r="BD1184" i="4"/>
  <c r="BD1173" i="4"/>
  <c r="BD1162" i="4"/>
  <c r="BD1151" i="4"/>
  <c r="BD1140" i="4"/>
  <c r="BD1129" i="4"/>
  <c r="BD1118" i="4"/>
  <c r="BD1107" i="4"/>
  <c r="BD1096" i="4"/>
  <c r="BD1085" i="4"/>
  <c r="BD1074" i="4"/>
  <c r="BD1063" i="4"/>
  <c r="BD1052" i="4"/>
  <c r="BD1041" i="4"/>
  <c r="BD1030" i="4"/>
  <c r="BD1019" i="4"/>
  <c r="BD1008" i="4"/>
  <c r="BD997" i="4"/>
  <c r="BD986" i="4"/>
  <c r="BD975" i="4"/>
  <c r="BD964" i="4"/>
  <c r="BD953" i="4"/>
  <c r="BD942" i="4"/>
  <c r="BD931" i="4"/>
  <c r="BD920" i="4"/>
  <c r="BD909" i="4"/>
  <c r="BD898" i="4"/>
  <c r="BD887" i="4"/>
  <c r="BD876" i="4"/>
  <c r="BD865" i="4"/>
  <c r="BD854" i="4"/>
  <c r="BD843" i="4"/>
  <c r="BD832" i="4"/>
  <c r="BD821" i="4"/>
  <c r="BD810" i="4"/>
  <c r="BD799" i="4"/>
  <c r="BD788" i="4"/>
  <c r="BD777" i="4"/>
  <c r="BD766" i="4"/>
  <c r="BD755" i="4"/>
  <c r="BD744" i="4"/>
  <c r="BD733" i="4"/>
  <c r="BD722" i="4"/>
  <c r="BC6342" i="4"/>
  <c r="BC6289" i="4"/>
  <c r="BC6242" i="4"/>
  <c r="BD6188" i="4"/>
  <c r="BD6143" i="4"/>
  <c r="BC6092" i="4"/>
  <c r="BD6054" i="4"/>
  <c r="BD6015" i="4"/>
  <c r="BC5978" i="4"/>
  <c r="BD5939" i="4"/>
  <c r="BD5889" i="4"/>
  <c r="BC5850" i="4"/>
  <c r="BD5812" i="4"/>
  <c r="BD5773" i="4"/>
  <c r="BC5736" i="4"/>
  <c r="BD5686" i="4"/>
  <c r="BC5649" i="4"/>
  <c r="BD5613" i="4"/>
  <c r="BC5580" i="4"/>
  <c r="BD5546" i="4"/>
  <c r="BD5506" i="4"/>
  <c r="BD5476" i="4"/>
  <c r="BC5447" i="4"/>
  <c r="BD5416" i="4"/>
  <c r="BD5388" i="4"/>
  <c r="BD5353" i="4"/>
  <c r="BC5325" i="4"/>
  <c r="BD5297" i="4"/>
  <c r="BD5268" i="4"/>
  <c r="BD5241" i="4"/>
  <c r="BD5206" i="4"/>
  <c r="BD5178" i="4"/>
  <c r="BD5150" i="4"/>
  <c r="BC5123" i="4"/>
  <c r="BD5094" i="4"/>
  <c r="BC5059" i="4"/>
  <c r="BC5032" i="4"/>
  <c r="BC5003" i="4"/>
  <c r="BC4976" i="4"/>
  <c r="BC4948" i="4"/>
  <c r="BC4912" i="4"/>
  <c r="BC4885" i="4"/>
  <c r="BD4857" i="4"/>
  <c r="BD4828" i="4"/>
  <c r="BD4801" i="4"/>
  <c r="BD4766" i="4"/>
  <c r="BD4737" i="4"/>
  <c r="BD4710" i="4"/>
  <c r="BD4681" i="4"/>
  <c r="BD4654" i="4"/>
  <c r="BC4619" i="4"/>
  <c r="BC4592" i="4"/>
  <c r="BC4563" i="4"/>
  <c r="BC4536" i="4"/>
  <c r="BD4508" i="4"/>
  <c r="BC4475" i="4"/>
  <c r="BC4449" i="4"/>
  <c r="BD4421" i="4"/>
  <c r="BD4395" i="4"/>
  <c r="BD4369" i="4"/>
  <c r="BD4335" i="4"/>
  <c r="BD4308" i="4"/>
  <c r="BD4282" i="4"/>
  <c r="BC4255" i="4"/>
  <c r="BC4229" i="4"/>
  <c r="BD4195" i="4"/>
  <c r="BD4171" i="4"/>
  <c r="BD4152" i="4"/>
  <c r="BD4128" i="4"/>
  <c r="BD4104" i="4"/>
  <c r="BD4080" i="4"/>
  <c r="BD4063" i="4"/>
  <c r="BD4040" i="4"/>
  <c r="BD4018" i="4"/>
  <c r="BC4001" i="4"/>
  <c r="BD3983" i="4"/>
  <c r="BC3964" i="4"/>
  <c r="BD3945" i="4"/>
  <c r="BD3925" i="4"/>
  <c r="BC3909" i="4"/>
  <c r="BD3888" i="4"/>
  <c r="BD3870" i="4"/>
  <c r="BC3850" i="4"/>
  <c r="BC3834" i="4"/>
  <c r="BC3813" i="4"/>
  <c r="BD3796" i="4"/>
  <c r="BC3776" i="4"/>
  <c r="BD3759" i="4"/>
  <c r="BD3739" i="4"/>
  <c r="BC3724" i="4"/>
  <c r="BD3706" i="4"/>
  <c r="BC3689" i="4"/>
  <c r="BC3673" i="4"/>
  <c r="BC3656" i="4"/>
  <c r="BC3641" i="4"/>
  <c r="BD3623" i="4"/>
  <c r="BD3608" i="4"/>
  <c r="BC3591" i="4"/>
  <c r="BD3576" i="4"/>
  <c r="BD3558" i="4"/>
  <c r="BC3544" i="4"/>
  <c r="BC3526" i="4"/>
  <c r="BD3511" i="4"/>
  <c r="BD3493" i="4"/>
  <c r="BC3479" i="4"/>
  <c r="BD3463" i="4"/>
  <c r="BD3447" i="4"/>
  <c r="BD3433" i="4"/>
  <c r="BD3416" i="4"/>
  <c r="BD3402" i="4"/>
  <c r="BC3388" i="4"/>
  <c r="BD3371" i="4"/>
  <c r="BD3357" i="4"/>
  <c r="BD3342" i="4"/>
  <c r="BD3326" i="4"/>
  <c r="BD3312" i="4"/>
  <c r="BD3295" i="4"/>
  <c r="BD3281" i="4"/>
  <c r="BC3267" i="4"/>
  <c r="BD3250" i="4"/>
  <c r="BD3236" i="4"/>
  <c r="BD3221" i="4"/>
  <c r="BD3205" i="4"/>
  <c r="BD3191" i="4"/>
  <c r="BD3175" i="4"/>
  <c r="BD3161" i="4"/>
  <c r="BC3148" i="4"/>
  <c r="BD3133" i="4"/>
  <c r="BD3118" i="4"/>
  <c r="BC3105" i="4"/>
  <c r="BC3091" i="4"/>
  <c r="BD3075" i="4"/>
  <c r="BC3062" i="4"/>
  <c r="BD3048" i="4"/>
  <c r="BC3033" i="4"/>
  <c r="BC3019" i="4"/>
  <c r="BD3006" i="4"/>
  <c r="BC2994" i="4"/>
  <c r="BD2981" i="4"/>
  <c r="BD2968" i="4"/>
  <c r="BD2955" i="4"/>
  <c r="BD2942" i="4"/>
  <c r="BC2930" i="4"/>
  <c r="BD2917" i="4"/>
  <c r="BC2905" i="4"/>
  <c r="BC2892" i="4"/>
  <c r="BC2879" i="4"/>
  <c r="BC2867" i="4"/>
  <c r="BC2855" i="4"/>
  <c r="BC2843" i="4"/>
  <c r="BC2831" i="4"/>
  <c r="BC2819" i="4"/>
  <c r="BD2807" i="4"/>
  <c r="BC2796" i="4"/>
  <c r="BD2784" i="4"/>
  <c r="BC2773" i="4"/>
  <c r="BD2761" i="4"/>
  <c r="BC2750" i="4"/>
  <c r="BC2738" i="4"/>
  <c r="BD2726" i="4"/>
  <c r="BC2715" i="4"/>
  <c r="BD2703" i="4"/>
  <c r="BC2692" i="4"/>
  <c r="BD2680" i="4"/>
  <c r="BC2669" i="4"/>
  <c r="BD2657" i="4"/>
  <c r="BC2646" i="4"/>
  <c r="BD2634" i="4"/>
  <c r="BC2623" i="4"/>
  <c r="BD2611" i="4"/>
  <c r="BC2600" i="4"/>
  <c r="BD2588" i="4"/>
  <c r="BC2577" i="4"/>
  <c r="BD2565" i="4"/>
  <c r="BC2554" i="4"/>
  <c r="BD2542" i="4"/>
  <c r="BC2531" i="4"/>
  <c r="BD2519" i="4"/>
  <c r="BC2508" i="4"/>
  <c r="BC2496" i="4"/>
  <c r="BD2484" i="4"/>
  <c r="BC2473" i="4"/>
  <c r="BD2461" i="4"/>
  <c r="BC2450" i="4"/>
  <c r="BD2438" i="4"/>
  <c r="BC2427" i="4"/>
  <c r="BC2416" i="4"/>
  <c r="BC2405" i="4"/>
  <c r="BC2394" i="4"/>
  <c r="BC2383" i="4"/>
  <c r="BC2372" i="4"/>
  <c r="BC2361" i="4"/>
  <c r="BC2350" i="4"/>
  <c r="BC2339" i="4"/>
  <c r="BC2328" i="4"/>
  <c r="BC2317" i="4"/>
  <c r="BC2306" i="4"/>
  <c r="BC2295" i="4"/>
  <c r="BC2284" i="4"/>
  <c r="BC2273" i="4"/>
  <c r="BC2262" i="4"/>
  <c r="BC2251" i="4"/>
  <c r="BC2240" i="4"/>
  <c r="BC2229" i="4"/>
  <c r="BC2218" i="4"/>
  <c r="BC2207" i="4"/>
  <c r="BC2196" i="4"/>
  <c r="BC2185" i="4"/>
  <c r="BC2174" i="4"/>
  <c r="BC2163" i="4"/>
  <c r="BC2152" i="4"/>
  <c r="BC2141" i="4"/>
  <c r="BC2130" i="4"/>
  <c r="BC2119" i="4"/>
  <c r="BC2108" i="4"/>
  <c r="BC2097" i="4"/>
  <c r="BC2086" i="4"/>
  <c r="BC2075" i="4"/>
  <c r="BC2064" i="4"/>
  <c r="BC2053" i="4"/>
  <c r="BC2042" i="4"/>
  <c r="BC2031" i="4"/>
  <c r="BC2020" i="4"/>
  <c r="BC2009" i="4"/>
  <c r="BC1998" i="4"/>
  <c r="BC1987" i="4"/>
  <c r="BC1976" i="4"/>
  <c r="BC1965" i="4"/>
  <c r="BC1954" i="4"/>
  <c r="BC1943" i="4"/>
  <c r="BC1932" i="4"/>
  <c r="BC1921" i="4"/>
  <c r="BC1910" i="4"/>
  <c r="BC1899" i="4"/>
  <c r="BC1888" i="4"/>
  <c r="BC1877" i="4"/>
  <c r="BC1866" i="4"/>
  <c r="BC1855" i="4"/>
  <c r="BC1844" i="4"/>
  <c r="BC1833" i="4"/>
  <c r="BC1822" i="4"/>
  <c r="BC1811" i="4"/>
  <c r="BC1800" i="4"/>
  <c r="BC1789" i="4"/>
  <c r="BC1778" i="4"/>
  <c r="BC1767" i="4"/>
  <c r="BC1756" i="4"/>
  <c r="BC1745" i="4"/>
  <c r="BC1734" i="4"/>
  <c r="BC1723" i="4"/>
  <c r="BC1712" i="4"/>
  <c r="BC1701" i="4"/>
  <c r="BC1690" i="4"/>
  <c r="BC1679" i="4"/>
  <c r="BC1668" i="4"/>
  <c r="BC1657" i="4"/>
  <c r="BC1646" i="4"/>
  <c r="BC1635" i="4"/>
  <c r="BC1624" i="4"/>
  <c r="BC1613" i="4"/>
  <c r="BC1602" i="4"/>
  <c r="BC1591" i="4"/>
  <c r="BC1580" i="4"/>
  <c r="BC1569" i="4"/>
  <c r="BC1558" i="4"/>
  <c r="BC1547" i="4"/>
  <c r="BC1536" i="4"/>
  <c r="BC1525" i="4"/>
  <c r="BC1514" i="4"/>
  <c r="BC1503" i="4"/>
  <c r="BC1492" i="4"/>
  <c r="BC1481" i="4"/>
  <c r="BC1470" i="4"/>
  <c r="BC1459" i="4"/>
  <c r="BC1448" i="4"/>
  <c r="BC1437" i="4"/>
  <c r="BC1426" i="4"/>
  <c r="BC1415" i="4"/>
  <c r="BC1404" i="4"/>
  <c r="BC1393" i="4"/>
  <c r="BC1382" i="4"/>
  <c r="BC1371" i="4"/>
  <c r="BC1360" i="4"/>
  <c r="BC1349" i="4"/>
  <c r="BC1338" i="4"/>
  <c r="BC1327" i="4"/>
  <c r="BC1316" i="4"/>
  <c r="BC1305" i="4"/>
  <c r="BC1294" i="4"/>
  <c r="BC1283" i="4"/>
  <c r="BC1272" i="4"/>
  <c r="BC1261" i="4"/>
  <c r="BC1250" i="4"/>
  <c r="BC1239" i="4"/>
  <c r="BC1228" i="4"/>
  <c r="BC1217" i="4"/>
  <c r="BC1206" i="4"/>
  <c r="BC1195" i="4"/>
  <c r="BC1184" i="4"/>
  <c r="BC1173" i="4"/>
  <c r="BC1162" i="4"/>
  <c r="BC1151" i="4"/>
  <c r="BC1140" i="4"/>
  <c r="BC1129" i="4"/>
  <c r="BC1118" i="4"/>
  <c r="BC1107" i="4"/>
  <c r="BC1096" i="4"/>
  <c r="BC1085" i="4"/>
  <c r="BC1074" i="4"/>
  <c r="BC1063" i="4"/>
  <c r="BC1052" i="4"/>
  <c r="BC1041" i="4"/>
  <c r="BC1030" i="4"/>
  <c r="BC1019" i="4"/>
  <c r="BC1008" i="4"/>
  <c r="BC997" i="4"/>
  <c r="BC986" i="4"/>
  <c r="BC975" i="4"/>
  <c r="BC964" i="4"/>
  <c r="BD6341" i="4"/>
  <c r="BD6288" i="4"/>
  <c r="BD6241" i="4"/>
  <c r="BC6188" i="4"/>
  <c r="BD6131" i="4"/>
  <c r="BC6091" i="4"/>
  <c r="BC6054" i="4"/>
  <c r="BC6014" i="4"/>
  <c r="BD5976" i="4"/>
  <c r="BD5927" i="4"/>
  <c r="BC5889" i="4"/>
  <c r="BC5849" i="4"/>
  <c r="BC5812" i="4"/>
  <c r="BC5772" i="4"/>
  <c r="BC5725" i="4"/>
  <c r="BD5685" i="4"/>
  <c r="BD5648" i="4"/>
  <c r="BC5613" i="4"/>
  <c r="BD5579" i="4"/>
  <c r="BC5538" i="4"/>
  <c r="BC5506" i="4"/>
  <c r="BC5476" i="4"/>
  <c r="BC5446" i="4"/>
  <c r="BC5416" i="4"/>
  <c r="BD5380" i="4"/>
  <c r="BC5353" i="4"/>
  <c r="BD5324" i="4"/>
  <c r="BC5297" i="4"/>
  <c r="BC5268" i="4"/>
  <c r="BC5233" i="4"/>
  <c r="BC5206" i="4"/>
  <c r="BC5177" i="4"/>
  <c r="BC5150" i="4"/>
  <c r="BD5122" i="4"/>
  <c r="BD5087" i="4"/>
  <c r="BD5058" i="4"/>
  <c r="BD5031" i="4"/>
  <c r="BD5002" i="4"/>
  <c r="BD4975" i="4"/>
  <c r="BD4940" i="4"/>
  <c r="BD4911" i="4"/>
  <c r="BD4884" i="4"/>
  <c r="BC4857" i="4"/>
  <c r="BC4828" i="4"/>
  <c r="BC4793" i="4"/>
  <c r="BC4766" i="4"/>
  <c r="BC4737" i="4"/>
  <c r="BC4710" i="4"/>
  <c r="BC4681" i="4"/>
  <c r="BC4646" i="4"/>
  <c r="BD4618" i="4"/>
  <c r="BC4591" i="4"/>
  <c r="BD4562" i="4"/>
  <c r="BD4535" i="4"/>
  <c r="BC4502" i="4"/>
  <c r="BD4474" i="4"/>
  <c r="BD4448" i="4"/>
  <c r="BC4421" i="4"/>
  <c r="BC4395" i="4"/>
  <c r="BD4361" i="4"/>
  <c r="BC4334" i="4"/>
  <c r="BC4308" i="4"/>
  <c r="BC4282" i="4"/>
  <c r="BD4254" i="4"/>
  <c r="BC4221" i="4"/>
  <c r="BC4195" i="4"/>
  <c r="BD4170" i="4"/>
  <c r="BC4151" i="4"/>
  <c r="BC4128" i="4"/>
  <c r="BC4103" i="4"/>
  <c r="BC4080" i="4"/>
  <c r="BD4062" i="4"/>
  <c r="BC4040" i="4"/>
  <c r="BC4018" i="4"/>
  <c r="BD4000" i="4"/>
  <c r="BD3979" i="4"/>
  <c r="BD3963" i="4"/>
  <c r="BC3945" i="4"/>
  <c r="BC3925" i="4"/>
  <c r="BC3908" i="4"/>
  <c r="BC3888" i="4"/>
  <c r="BC3870" i="4"/>
  <c r="BD3849" i="4"/>
  <c r="BC3833" i="4"/>
  <c r="BD3812" i="4"/>
  <c r="BC3795" i="4"/>
  <c r="BD3775" i="4"/>
  <c r="BC3759" i="4"/>
  <c r="BC3739" i="4"/>
  <c r="BD3723" i="4"/>
  <c r="BD3703" i="4"/>
  <c r="BD3688" i="4"/>
  <c r="BD3672" i="4"/>
  <c r="BD3655" i="4"/>
  <c r="BC3640" i="4"/>
  <c r="BC3623" i="4"/>
  <c r="BC3608" i="4"/>
  <c r="BD3590" i="4"/>
  <c r="BD3575" i="4"/>
  <c r="BC3558" i="4"/>
  <c r="BD3543" i="4"/>
  <c r="BD3525" i="4"/>
  <c r="BC3511" i="4"/>
  <c r="BC3493" i="4"/>
  <c r="BD3478" i="4"/>
  <c r="BD3461" i="4"/>
  <c r="BC3447" i="4"/>
  <c r="BD3432" i="4"/>
  <c r="BC3416" i="4"/>
  <c r="BC3402" i="4"/>
  <c r="BC3387" i="4"/>
  <c r="BC3371" i="4"/>
  <c r="BC3357" i="4"/>
  <c r="BD3340" i="4"/>
  <c r="BC3326" i="4"/>
  <c r="BD3311" i="4"/>
  <c r="BC3295" i="4"/>
  <c r="BC3281" i="4"/>
  <c r="BC3266" i="4"/>
  <c r="BC3250" i="4"/>
  <c r="BC3236" i="4"/>
  <c r="BD3219" i="4"/>
  <c r="BC3205" i="4"/>
  <c r="BD3190" i="4"/>
  <c r="BD3174" i="4"/>
  <c r="BC3161" i="4"/>
  <c r="BD3147" i="4"/>
  <c r="BC3132" i="4"/>
  <c r="BC3118" i="4"/>
  <c r="BD3104" i="4"/>
  <c r="BC3090" i="4"/>
  <c r="BC3075" i="4"/>
  <c r="BD3061" i="4"/>
  <c r="BD3047" i="4"/>
  <c r="BD3032" i="4"/>
  <c r="BD3018" i="4"/>
  <c r="BC3006" i="4"/>
  <c r="BD2993" i="4"/>
  <c r="BC2981" i="4"/>
  <c r="BC2968" i="4"/>
  <c r="BD2954" i="4"/>
  <c r="BC2942" i="4"/>
  <c r="BD2929" i="4"/>
  <c r="BC2917" i="4"/>
  <c r="BD2904" i="4"/>
  <c r="BD2891" i="4"/>
  <c r="BD2878" i="4"/>
  <c r="BD2866" i="4"/>
  <c r="BD2854" i="4"/>
  <c r="BD2842" i="4"/>
  <c r="BD2830" i="4"/>
  <c r="BD2818" i="4"/>
  <c r="BC2807" i="4"/>
  <c r="BD2795" i="4"/>
  <c r="BC2784" i="4"/>
  <c r="BD2772" i="4"/>
  <c r="BC2761" i="4"/>
  <c r="BC2749" i="4"/>
  <c r="BD2737" i="4"/>
  <c r="BC2726" i="4"/>
  <c r="BD2714" i="4"/>
  <c r="BC2703" i="4"/>
  <c r="BD2691" i="4"/>
  <c r="BC2680" i="4"/>
  <c r="BD2668" i="4"/>
  <c r="BC2657" i="4"/>
  <c r="BD2645" i="4"/>
  <c r="BC2634" i="4"/>
  <c r="BD2622" i="4"/>
  <c r="BC2611" i="4"/>
  <c r="BD2599" i="4"/>
  <c r="BC2588" i="4"/>
  <c r="BD2576" i="4"/>
  <c r="BC2565" i="4"/>
  <c r="BD2553" i="4"/>
  <c r="BC2542" i="4"/>
  <c r="BD2530" i="4"/>
  <c r="BC2519" i="4"/>
  <c r="BC2507" i="4"/>
  <c r="BD2495" i="4"/>
  <c r="BC2484" i="4"/>
  <c r="BD2472" i="4"/>
  <c r="BC2461" i="4"/>
  <c r="BD2449" i="4"/>
  <c r="BC2438" i="4"/>
  <c r="BD2426" i="4"/>
  <c r="BD2415" i="4"/>
  <c r="BD2404" i="4"/>
  <c r="BD2393" i="4"/>
  <c r="BD2382" i="4"/>
  <c r="BD2371" i="4"/>
  <c r="BD2360" i="4"/>
  <c r="BD2349" i="4"/>
  <c r="BD2338" i="4"/>
  <c r="BD2327" i="4"/>
  <c r="BD2316" i="4"/>
  <c r="BD2305" i="4"/>
  <c r="BD2294" i="4"/>
  <c r="BD2283" i="4"/>
  <c r="BD2272" i="4"/>
  <c r="BD2261" i="4"/>
  <c r="BD2250" i="4"/>
  <c r="BD2239" i="4"/>
  <c r="BD2228" i="4"/>
  <c r="BD2217" i="4"/>
  <c r="BD2206" i="4"/>
  <c r="BD2195" i="4"/>
  <c r="BD2184" i="4"/>
  <c r="BD2173" i="4"/>
  <c r="BD2162" i="4"/>
  <c r="BD2151" i="4"/>
  <c r="BD2140" i="4"/>
  <c r="BD2129" i="4"/>
  <c r="BD2118" i="4"/>
  <c r="BD2107" i="4"/>
  <c r="BD2096" i="4"/>
  <c r="BD2085" i="4"/>
  <c r="BD2074" i="4"/>
  <c r="BD2063" i="4"/>
  <c r="BD2052" i="4"/>
  <c r="BD2041" i="4"/>
  <c r="BD2030" i="4"/>
  <c r="BD2019" i="4"/>
  <c r="BD2008" i="4"/>
  <c r="BD1997" i="4"/>
  <c r="BD1986" i="4"/>
  <c r="BD1975" i="4"/>
  <c r="BD1964" i="4"/>
  <c r="BD1953" i="4"/>
  <c r="BD1942" i="4"/>
  <c r="BD1931" i="4"/>
  <c r="BD1920" i="4"/>
  <c r="BD1909" i="4"/>
  <c r="BD1898" i="4"/>
  <c r="BD1887" i="4"/>
  <c r="BD1876" i="4"/>
  <c r="BD1865" i="4"/>
  <c r="BD1854" i="4"/>
  <c r="BD1843" i="4"/>
  <c r="BD1832" i="4"/>
  <c r="BD1821" i="4"/>
  <c r="BD1810" i="4"/>
  <c r="BD1799" i="4"/>
  <c r="BD1788" i="4"/>
  <c r="BD1777" i="4"/>
  <c r="BD1766" i="4"/>
  <c r="BD1755" i="4"/>
  <c r="BD1744" i="4"/>
  <c r="BD1733" i="4"/>
  <c r="BD1722" i="4"/>
  <c r="BD1711" i="4"/>
  <c r="BD1700" i="4"/>
  <c r="BD1689" i="4"/>
  <c r="BD1678" i="4"/>
  <c r="BD1667" i="4"/>
  <c r="BD1656" i="4"/>
  <c r="BD1645" i="4"/>
  <c r="BD1634" i="4"/>
  <c r="BD1623" i="4"/>
  <c r="BD1612" i="4"/>
  <c r="BD1601" i="4"/>
  <c r="BD1590" i="4"/>
  <c r="BD1579" i="4"/>
  <c r="BD1568" i="4"/>
  <c r="BD1557" i="4"/>
  <c r="BD1546" i="4"/>
  <c r="BD1535" i="4"/>
  <c r="BD1524" i="4"/>
  <c r="BD1513" i="4"/>
  <c r="BD1502" i="4"/>
  <c r="BD1491" i="4"/>
  <c r="BD1480" i="4"/>
  <c r="BD1469" i="4"/>
  <c r="BD1458" i="4"/>
  <c r="BD1447" i="4"/>
  <c r="BD1436" i="4"/>
  <c r="BD1425" i="4"/>
  <c r="BD1414" i="4"/>
  <c r="BD1403" i="4"/>
  <c r="BD1392" i="4"/>
  <c r="BD1381" i="4"/>
  <c r="BD1370" i="4"/>
  <c r="BD1359" i="4"/>
  <c r="BD1348" i="4"/>
  <c r="BD1337" i="4"/>
  <c r="BD1326" i="4"/>
  <c r="BD1315" i="4"/>
  <c r="BD1304" i="4"/>
  <c r="BD1293" i="4"/>
  <c r="BD1282" i="4"/>
  <c r="BD1271" i="4"/>
  <c r="BD1260" i="4"/>
  <c r="BD1249" i="4"/>
  <c r="BD1238" i="4"/>
  <c r="BD1227" i="4"/>
  <c r="BD1216" i="4"/>
  <c r="BD1205" i="4"/>
  <c r="BD1194" i="4"/>
  <c r="BD1183" i="4"/>
  <c r="BD1172" i="4"/>
  <c r="BD1161" i="4"/>
  <c r="BD1150" i="4"/>
  <c r="BD1139" i="4"/>
  <c r="BD1128" i="4"/>
  <c r="BD1117" i="4"/>
  <c r="BD1106" i="4"/>
  <c r="BD1095" i="4"/>
  <c r="BD1084" i="4"/>
  <c r="BD1073" i="4"/>
  <c r="BD1062" i="4"/>
  <c r="BC6341" i="4"/>
  <c r="BD6287" i="4"/>
  <c r="BD6240" i="4"/>
  <c r="BD6187" i="4"/>
  <c r="BC6131" i="4"/>
  <c r="BD6090" i="4"/>
  <c r="BD6052" i="4"/>
  <c r="BD6013" i="4"/>
  <c r="BC5976" i="4"/>
  <c r="BC5927" i="4"/>
  <c r="BD5888" i="4"/>
  <c r="BD5848" i="4"/>
  <c r="BD5810" i="4"/>
  <c r="BD5771" i="4"/>
  <c r="BD5724" i="4"/>
  <c r="BC5685" i="4"/>
  <c r="BC5648" i="4"/>
  <c r="BC5612" i="4"/>
  <c r="BC5579" i="4"/>
  <c r="BD5537" i="4"/>
  <c r="BD5505" i="4"/>
  <c r="BC5475" i="4"/>
  <c r="BD5443" i="4"/>
  <c r="BD5415" i="4"/>
  <c r="BC5380" i="4"/>
  <c r="BD5352" i="4"/>
  <c r="BD5323" i="4"/>
  <c r="BD5296" i="4"/>
  <c r="BD5267" i="4"/>
  <c r="BD5232" i="4"/>
  <c r="BD5205" i="4"/>
  <c r="BD5176" i="4"/>
  <c r="BD5149" i="4"/>
  <c r="BC5122" i="4"/>
  <c r="BD5086" i="4"/>
  <c r="BC5058" i="4"/>
  <c r="BC5031" i="4"/>
  <c r="BC5002" i="4"/>
  <c r="BC4975" i="4"/>
  <c r="BC4940" i="4"/>
  <c r="BC4911" i="4"/>
  <c r="BD4883" i="4"/>
  <c r="BC4856" i="4"/>
  <c r="BD4827" i="4"/>
  <c r="BD4792" i="4"/>
  <c r="BD4765" i="4"/>
  <c r="BD4736" i="4"/>
  <c r="BD4709" i="4"/>
  <c r="BD4680" i="4"/>
  <c r="BD4645" i="4"/>
  <c r="BC4618" i="4"/>
  <c r="BD4589" i="4"/>
  <c r="BC4562" i="4"/>
  <c r="BC4535" i="4"/>
  <c r="BD4501" i="4"/>
  <c r="BC4474" i="4"/>
  <c r="BC4448" i="4"/>
  <c r="BD4420" i="4"/>
  <c r="BD4394" i="4"/>
  <c r="BC4361" i="4"/>
  <c r="BD4333" i="4"/>
  <c r="BD4307" i="4"/>
  <c r="BD4281" i="4"/>
  <c r="BC4254" i="4"/>
  <c r="BD4220" i="4"/>
  <c r="BD4194" i="4"/>
  <c r="BC4169" i="4"/>
  <c r="BC4145" i="4"/>
  <c r="BD4127" i="4"/>
  <c r="BD4102" i="4"/>
  <c r="BD4079" i="4"/>
  <c r="BC4062" i="4"/>
  <c r="BD4039" i="4"/>
  <c r="BD4017" i="4"/>
  <c r="BC4000" i="4"/>
  <c r="BC3979" i="4"/>
  <c r="BC3963" i="4"/>
  <c r="BC3942" i="4"/>
  <c r="BD3924" i="4"/>
  <c r="BD3907" i="4"/>
  <c r="BD3887" i="4"/>
  <c r="BC3869" i="4"/>
  <c r="BC3849" i="4"/>
  <c r="BD3832" i="4"/>
  <c r="BC3812" i="4"/>
  <c r="BC3794" i="4"/>
  <c r="BD3774" i="4"/>
  <c r="BD3758" i="4"/>
  <c r="BD3738" i="4"/>
  <c r="BC3723" i="4"/>
  <c r="BC3703" i="4"/>
  <c r="BC3688" i="4"/>
  <c r="BD3669" i="4"/>
  <c r="BC3655" i="4"/>
  <c r="BD3639" i="4"/>
  <c r="BD3622" i="4"/>
  <c r="BC3607" i="4"/>
  <c r="BC3590" i="4"/>
  <c r="BC3575" i="4"/>
  <c r="BD3557" i="4"/>
  <c r="BD3542" i="4"/>
  <c r="BC3525" i="4"/>
  <c r="BD3510" i="4"/>
  <c r="BD3492" i="4"/>
  <c r="BC3478" i="4"/>
  <c r="BD3460" i="4"/>
  <c r="BD3446" i="4"/>
  <c r="BC3432" i="4"/>
  <c r="BD3415" i="4"/>
  <c r="BD3401" i="4"/>
  <c r="BD3386" i="4"/>
  <c r="BD3370" i="4"/>
  <c r="BD3356" i="4"/>
  <c r="BD3339" i="4"/>
  <c r="BD3325" i="4"/>
  <c r="BC3311" i="4"/>
  <c r="BD3294" i="4"/>
  <c r="BD3280" i="4"/>
  <c r="BD3265" i="4"/>
  <c r="BD3249" i="4"/>
  <c r="BD3235" i="4"/>
  <c r="BD3218" i="4"/>
  <c r="BD3204" i="4"/>
  <c r="BC3190" i="4"/>
  <c r="BC3174" i="4"/>
  <c r="BD3160" i="4"/>
  <c r="BD3146" i="4"/>
  <c r="BD3131" i="4"/>
  <c r="BD3117" i="4"/>
  <c r="BC3104" i="4"/>
  <c r="BD3089" i="4"/>
  <c r="BD3074" i="4"/>
  <c r="BC3061" i="4"/>
  <c r="BC3047" i="4"/>
  <c r="BD3031" i="4"/>
  <c r="BC3018" i="4"/>
  <c r="BD3005" i="4"/>
  <c r="BC2993" i="4"/>
  <c r="BC2980" i="4"/>
  <c r="BC2967" i="4"/>
  <c r="BC2954" i="4"/>
  <c r="BD2941" i="4"/>
  <c r="BC2929" i="4"/>
  <c r="BD2916" i="4"/>
  <c r="BC2904" i="4"/>
  <c r="BC2891" i="4"/>
  <c r="BC2878" i="4"/>
  <c r="BC2866" i="4"/>
  <c r="BC2854" i="4"/>
  <c r="BC2842" i="4"/>
  <c r="BC2830" i="4"/>
  <c r="BC2818" i="4"/>
  <c r="BD2806" i="4"/>
  <c r="BC2795" i="4"/>
  <c r="BD2783" i="4"/>
  <c r="BC2772" i="4"/>
  <c r="BC2760" i="4"/>
  <c r="BD2748" i="4"/>
  <c r="BC2737" i="4"/>
  <c r="BD2725" i="4"/>
  <c r="BC2714" i="4"/>
  <c r="BD2702" i="4"/>
  <c r="BC2691" i="4"/>
  <c r="BD2679" i="4"/>
  <c r="BC2668" i="4"/>
  <c r="BD2656" i="4"/>
  <c r="BC2645" i="4"/>
  <c r="BD2633" i="4"/>
  <c r="BC2622" i="4"/>
  <c r="BD2610" i="4"/>
  <c r="BC2599" i="4"/>
  <c r="BD2587" i="4"/>
  <c r="BC2576" i="4"/>
  <c r="BD2564" i="4"/>
  <c r="BC2553" i="4"/>
  <c r="BD2541" i="4"/>
  <c r="BC2530" i="4"/>
  <c r="BC2518" i="4"/>
  <c r="BD2506" i="4"/>
  <c r="BC2495" i="4"/>
  <c r="BD2483" i="4"/>
  <c r="BC2472" i="4"/>
  <c r="BD2460" i="4"/>
  <c r="BC2449" i="4"/>
  <c r="BD2437" i="4"/>
  <c r="BC2426" i="4"/>
  <c r="BC2415" i="4"/>
  <c r="BC2404" i="4"/>
  <c r="BC2393" i="4"/>
  <c r="BC2382" i="4"/>
  <c r="BC2371" i="4"/>
  <c r="BC2360" i="4"/>
  <c r="BC2349" i="4"/>
  <c r="BC2338" i="4"/>
  <c r="BC2327" i="4"/>
  <c r="BC2316" i="4"/>
  <c r="BC2305" i="4"/>
  <c r="BC2294" i="4"/>
  <c r="BC2283" i="4"/>
  <c r="BC2272" i="4"/>
  <c r="BC2261" i="4"/>
  <c r="BC2250" i="4"/>
  <c r="BC2239" i="4"/>
  <c r="BC2228" i="4"/>
  <c r="BC2217" i="4"/>
  <c r="BC2206" i="4"/>
  <c r="BC2195" i="4"/>
  <c r="BC2184" i="4"/>
  <c r="BC2173" i="4"/>
  <c r="BC2162" i="4"/>
  <c r="BC2151" i="4"/>
  <c r="BC2140" i="4"/>
  <c r="BC2129" i="4"/>
  <c r="BC2118" i="4"/>
  <c r="BC2107" i="4"/>
  <c r="BC2096" i="4"/>
  <c r="BC2085" i="4"/>
  <c r="BC2074" i="4"/>
  <c r="BC2063" i="4"/>
  <c r="BC2052" i="4"/>
  <c r="BC2041" i="4"/>
  <c r="BC2030" i="4"/>
  <c r="BC2019" i="4"/>
  <c r="BC2008" i="4"/>
  <c r="BC1997" i="4"/>
  <c r="BC1986" i="4"/>
  <c r="BC1975" i="4"/>
  <c r="BC1964" i="4"/>
  <c r="BC1953" i="4"/>
  <c r="BC1942" i="4"/>
  <c r="BC1931" i="4"/>
  <c r="BC1920" i="4"/>
  <c r="BC1909" i="4"/>
  <c r="BC1898" i="4"/>
  <c r="BC1887" i="4"/>
  <c r="BC1876" i="4"/>
  <c r="BC1865" i="4"/>
  <c r="BC1854" i="4"/>
  <c r="BC1843" i="4"/>
  <c r="BC1832" i="4"/>
  <c r="BC1821" i="4"/>
  <c r="BC1810" i="4"/>
  <c r="BC1799" i="4"/>
  <c r="BC1788" i="4"/>
  <c r="BC1777" i="4"/>
  <c r="BC1766" i="4"/>
  <c r="BC1755" i="4"/>
  <c r="BC1744" i="4"/>
  <c r="BC1733" i="4"/>
  <c r="BC1722" i="4"/>
  <c r="BC1711" i="4"/>
  <c r="BC1700" i="4"/>
  <c r="BC1689" i="4"/>
  <c r="BC1678" i="4"/>
  <c r="BC1667" i="4"/>
  <c r="BC1656" i="4"/>
  <c r="BC1645" i="4"/>
  <c r="BC1634" i="4"/>
  <c r="BC1623" i="4"/>
  <c r="BC1612" i="4"/>
  <c r="BC1601" i="4"/>
  <c r="BC1590" i="4"/>
  <c r="BC1579" i="4"/>
  <c r="BC1568" i="4"/>
  <c r="BC1557" i="4"/>
  <c r="BC1546" i="4"/>
  <c r="BC1535" i="4"/>
  <c r="BC1524" i="4"/>
  <c r="BC1513" i="4"/>
  <c r="BC1502" i="4"/>
  <c r="BC1491" i="4"/>
  <c r="BC1480" i="4"/>
  <c r="BC1469" i="4"/>
  <c r="BC1458" i="4"/>
  <c r="BC1447" i="4"/>
  <c r="BC1436" i="4"/>
  <c r="BC1425" i="4"/>
  <c r="BC1414" i="4"/>
  <c r="BC1403" i="4"/>
  <c r="BC1392" i="4"/>
  <c r="BC1381" i="4"/>
  <c r="BC1370" i="4"/>
  <c r="BC1359" i="4"/>
  <c r="BC1348" i="4"/>
  <c r="BC1337" i="4"/>
  <c r="BC1326" i="4"/>
  <c r="BC1315" i="4"/>
  <c r="BC1304" i="4"/>
  <c r="BC1293" i="4"/>
  <c r="BC1282" i="4"/>
  <c r="BC1271" i="4"/>
  <c r="BC1260" i="4"/>
  <c r="BC1249" i="4"/>
  <c r="BC1238" i="4"/>
  <c r="BC1227" i="4"/>
  <c r="BC1216" i="4"/>
  <c r="BC1205" i="4"/>
  <c r="BC1194" i="4"/>
  <c r="BC1183" i="4"/>
  <c r="BC1172" i="4"/>
  <c r="BC1161" i="4"/>
  <c r="BC1150" i="4"/>
  <c r="BC1139" i="4"/>
  <c r="BC1128" i="4"/>
  <c r="BC1117" i="4"/>
  <c r="BC1106" i="4"/>
  <c r="BC1095" i="4"/>
  <c r="BC1084" i="4"/>
  <c r="BC1073" i="4"/>
  <c r="BC1062" i="4"/>
  <c r="BC6340" i="4"/>
  <c r="BC6287" i="4"/>
  <c r="BC6239" i="4"/>
  <c r="BC6174" i="4"/>
  <c r="BD6130" i="4"/>
  <c r="BC6090" i="4"/>
  <c r="BC6052" i="4"/>
  <c r="BC6013" i="4"/>
  <c r="BC5966" i="4"/>
  <c r="BC5926" i="4"/>
  <c r="BC5888" i="4"/>
  <c r="BC5848" i="4"/>
  <c r="BC5810" i="4"/>
  <c r="BD5760" i="4"/>
  <c r="BC5724" i="4"/>
  <c r="BC5684" i="4"/>
  <c r="BD5647" i="4"/>
  <c r="BD5611" i="4"/>
  <c r="BC5569" i="4"/>
  <c r="BC5537" i="4"/>
  <c r="BC5505" i="4"/>
  <c r="BD5474" i="4"/>
  <c r="BC5443" i="4"/>
  <c r="BD5406" i="4"/>
  <c r="BD5379" i="4"/>
  <c r="BD5351" i="4"/>
  <c r="BC5323" i="4"/>
  <c r="BC5296" i="4"/>
  <c r="BC5261" i="4"/>
  <c r="BC5232" i="4"/>
  <c r="BC5205" i="4"/>
  <c r="BC5176" i="4"/>
  <c r="BC5149" i="4"/>
  <c r="BD5113" i="4"/>
  <c r="BC5085" i="4"/>
  <c r="BD5057" i="4"/>
  <c r="BD5030" i="4"/>
  <c r="BD5001" i="4"/>
  <c r="BD4966" i="4"/>
  <c r="BD4939" i="4"/>
  <c r="BD4910" i="4"/>
  <c r="BC4883" i="4"/>
  <c r="BD4854" i="4"/>
  <c r="BD4819" i="4"/>
  <c r="BC4792" i="4"/>
  <c r="BC4765" i="4"/>
  <c r="BC4736" i="4"/>
  <c r="BC4709" i="4"/>
  <c r="BD4673" i="4"/>
  <c r="BC4645" i="4"/>
  <c r="BD4617" i="4"/>
  <c r="BC4589" i="4"/>
  <c r="BD4561" i="4"/>
  <c r="BC4527" i="4"/>
  <c r="BD4500" i="4"/>
  <c r="BD4473" i="4"/>
  <c r="BD4447" i="4"/>
  <c r="BC4420" i="4"/>
  <c r="BD4386" i="4"/>
  <c r="BD4360" i="4"/>
  <c r="BC4333" i="4"/>
  <c r="BC4307" i="4"/>
  <c r="BD4280" i="4"/>
  <c r="BC4246" i="4"/>
  <c r="BC4220" i="4"/>
  <c r="BC4194" i="4"/>
  <c r="BD4168" i="4"/>
  <c r="BD4144" i="4"/>
  <c r="BD4124" i="4"/>
  <c r="BC4102" i="4"/>
  <c r="BC4079" i="4"/>
  <c r="BC4056" i="4"/>
  <c r="BD4038" i="4"/>
  <c r="BD4016" i="4"/>
  <c r="BD3999" i="4"/>
  <c r="BD3978" i="4"/>
  <c r="BD3962" i="4"/>
  <c r="BD3941" i="4"/>
  <c r="BC3924" i="4"/>
  <c r="BC3903" i="4"/>
  <c r="BC3887" i="4"/>
  <c r="BD3868" i="4"/>
  <c r="BD3848" i="4"/>
  <c r="BD3831" i="4"/>
  <c r="BD3811" i="4"/>
  <c r="BD3793" i="4"/>
  <c r="BC3774" i="4"/>
  <c r="BD3757" i="4"/>
  <c r="BC3738" i="4"/>
  <c r="BD3722" i="4"/>
  <c r="BD3702" i="4"/>
  <c r="BD3687" i="4"/>
  <c r="BC3669" i="4"/>
  <c r="BD3654" i="4"/>
  <c r="BD3636" i="4"/>
  <c r="BC3622" i="4"/>
  <c r="BD3606" i="4"/>
  <c r="BD3589" i="4"/>
  <c r="BC3574" i="4"/>
  <c r="BC3557" i="4"/>
  <c r="BC3542" i="4"/>
  <c r="BD3524" i="4"/>
  <c r="BD3509" i="4"/>
  <c r="BC3492" i="4"/>
  <c r="BD3477" i="4"/>
  <c r="BC3460" i="4"/>
  <c r="BC3446" i="4"/>
  <c r="BC3431" i="4"/>
  <c r="BC3415" i="4"/>
  <c r="BC3401" i="4"/>
  <c r="BD3384" i="4"/>
  <c r="BC3370" i="4"/>
  <c r="BD3355" i="4"/>
  <c r="BC3339" i="4"/>
  <c r="BC3325" i="4"/>
  <c r="BC3310" i="4"/>
  <c r="BC3294" i="4"/>
  <c r="BC3280" i="4"/>
  <c r="BD3263" i="4"/>
  <c r="BC3249" i="4"/>
  <c r="BD3234" i="4"/>
  <c r="BC3218" i="4"/>
  <c r="BC3204" i="4"/>
  <c r="BC3189" i="4"/>
  <c r="BD3173" i="4"/>
  <c r="BC3160" i="4"/>
  <c r="BC3146" i="4"/>
  <c r="BD3130" i="4"/>
  <c r="BC3117" i="4"/>
  <c r="BD3103" i="4"/>
  <c r="BC3088" i="4"/>
  <c r="BC3074" i="4"/>
  <c r="BD3060" i="4"/>
  <c r="BC3046" i="4"/>
  <c r="BC3031" i="4"/>
  <c r="BD3017" i="4"/>
  <c r="BC3005" i="4"/>
  <c r="BD2992" i="4"/>
  <c r="BD2979" i="4"/>
  <c r="BD2966" i="4"/>
  <c r="BD2953" i="4"/>
  <c r="BC2941" i="4"/>
  <c r="BD2928" i="4"/>
  <c r="BC2916" i="4"/>
  <c r="BC2903" i="4"/>
  <c r="BC2890" i="4"/>
  <c r="BD2877" i="4"/>
  <c r="BD2865" i="4"/>
  <c r="BD2853" i="4"/>
  <c r="BD2841" i="4"/>
  <c r="BD2829" i="4"/>
  <c r="BD2817" i="4"/>
  <c r="BC2806" i="4"/>
  <c r="BD2794" i="4"/>
  <c r="BD6338" i="4"/>
  <c r="BD6286" i="4"/>
  <c r="BD6235" i="4"/>
  <c r="BD6173" i="4"/>
  <c r="BC6130" i="4"/>
  <c r="BD6089" i="4"/>
  <c r="BD6051" i="4"/>
  <c r="BD6011" i="4"/>
  <c r="BC5965" i="4"/>
  <c r="BD5925" i="4"/>
  <c r="BD5887" i="4"/>
  <c r="BD5847" i="4"/>
  <c r="BD5809" i="4"/>
  <c r="BC5760" i="4"/>
  <c r="BC5723" i="4"/>
  <c r="BD5683" i="4"/>
  <c r="BC5647" i="4"/>
  <c r="BC5611" i="4"/>
  <c r="BD5568" i="4"/>
  <c r="BD5536" i="4"/>
  <c r="BD5504" i="4"/>
  <c r="BC5474" i="4"/>
  <c r="BD5442" i="4"/>
  <c r="BC5406" i="4"/>
  <c r="BD5378" i="4"/>
  <c r="BC5350" i="4"/>
  <c r="BD5322" i="4"/>
  <c r="BD5295" i="4"/>
  <c r="BD5260" i="4"/>
  <c r="BD5231" i="4"/>
  <c r="BD5204" i="4"/>
  <c r="BD5175" i="4"/>
  <c r="BD5148" i="4"/>
  <c r="BC5113" i="4"/>
  <c r="BD5084" i="4"/>
  <c r="BC5057" i="4"/>
  <c r="BC5030" i="4"/>
  <c r="BC5001" i="4"/>
  <c r="BC4966" i="4"/>
  <c r="BD4938" i="4"/>
  <c r="BC4910" i="4"/>
  <c r="BD4882" i="4"/>
  <c r="BC4854" i="4"/>
  <c r="BC4819" i="4"/>
  <c r="BD4791" i="4"/>
  <c r="BC4764" i="4"/>
  <c r="BD4735" i="4"/>
  <c r="BD4708" i="4"/>
  <c r="BC4673" i="4"/>
  <c r="BD4644" i="4"/>
  <c r="BC4617" i="4"/>
  <c r="BD4588" i="4"/>
  <c r="BC4561" i="4"/>
  <c r="BD4526" i="4"/>
  <c r="BC4499" i="4"/>
  <c r="BC4473" i="4"/>
  <c r="BC4447" i="4"/>
  <c r="BD4419" i="4"/>
  <c r="BC4386" i="4"/>
  <c r="BC4360" i="4"/>
  <c r="BD4332" i="4"/>
  <c r="BD4306" i="4"/>
  <c r="BC4279" i="4"/>
  <c r="BD4245" i="4"/>
  <c r="BD4219" i="4"/>
  <c r="BD4193" i="4"/>
  <c r="BC4168" i="4"/>
  <c r="BC4144" i="4"/>
  <c r="BC4120" i="4"/>
  <c r="BD4101" i="4"/>
  <c r="BD4078" i="4"/>
  <c r="BD4055" i="4"/>
  <c r="BC4037" i="4"/>
  <c r="BC4015" i="4"/>
  <c r="BD3998" i="4"/>
  <c r="BC3978" i="4"/>
  <c r="BD3961" i="4"/>
  <c r="BC3941" i="4"/>
  <c r="BD3923" i="4"/>
  <c r="BD3902" i="4"/>
  <c r="BD3886" i="4"/>
  <c r="BD3865" i="4"/>
  <c r="BC3848" i="4"/>
  <c r="BC3831" i="4"/>
  <c r="BC3811" i="4"/>
  <c r="BD3792" i="4"/>
  <c r="BC3773" i="4"/>
  <c r="BC3757" i="4"/>
  <c r="BD3737" i="4"/>
  <c r="BD3721" i="4"/>
  <c r="BC3702" i="4"/>
  <c r="BC3687" i="4"/>
  <c r="BD3668" i="4"/>
  <c r="BC3654" i="4"/>
  <c r="BC3636" i="4"/>
  <c r="BD3621" i="4"/>
  <c r="BD3603" i="4"/>
  <c r="BC3589" i="4"/>
  <c r="BD3573" i="4"/>
  <c r="BD3556" i="4"/>
  <c r="BC3541" i="4"/>
  <c r="BC3524" i="4"/>
  <c r="BC3509" i="4"/>
  <c r="BD3491" i="4"/>
  <c r="BD3476" i="4"/>
  <c r="BD3459" i="4"/>
  <c r="BD3445" i="4"/>
  <c r="BD3430" i="4"/>
  <c r="BD3414" i="4"/>
  <c r="BD3400" i="4"/>
  <c r="BD3383" i="4"/>
  <c r="BD3369" i="4"/>
  <c r="BC3355" i="4"/>
  <c r="BD3338" i="4"/>
  <c r="BD3324" i="4"/>
  <c r="BD3309" i="4"/>
  <c r="BD3293" i="4"/>
  <c r="BD3279" i="4"/>
  <c r="BD3262" i="4"/>
  <c r="BD3248" i="4"/>
  <c r="BC3234" i="4"/>
  <c r="BD3217" i="4"/>
  <c r="BD3203" i="4"/>
  <c r="BD3188" i="4"/>
  <c r="BC3173" i="4"/>
  <c r="BD6335" i="4"/>
  <c r="BC6286" i="4"/>
  <c r="BC6221" i="4"/>
  <c r="BC6173" i="4"/>
  <c r="BD6129" i="4"/>
  <c r="BC6089" i="4"/>
  <c r="BC6051" i="4"/>
  <c r="BC6001" i="4"/>
  <c r="BD5963" i="4"/>
  <c r="BC5925" i="4"/>
  <c r="BC5887" i="4"/>
  <c r="BC5847" i="4"/>
  <c r="BC5799" i="4"/>
  <c r="BC5759" i="4"/>
  <c r="BD5721" i="4"/>
  <c r="BC5683" i="4"/>
  <c r="BD5646" i="4"/>
  <c r="BD5600" i="4"/>
  <c r="BC5568" i="4"/>
  <c r="BC5536" i="4"/>
  <c r="BC5504" i="4"/>
  <c r="BD5473" i="4"/>
  <c r="BC5436" i="4"/>
  <c r="BD5405" i="4"/>
  <c r="BC5378" i="4"/>
  <c r="BD5349" i="4"/>
  <c r="BC5322" i="4"/>
  <c r="BC5287" i="4"/>
  <c r="BD5259" i="4"/>
  <c r="BC5231" i="4"/>
  <c r="BC5204" i="4"/>
  <c r="BC5175" i="4"/>
  <c r="BC5140" i="4"/>
  <c r="BD5112" i="4"/>
  <c r="BC5084" i="4"/>
  <c r="BD5056" i="4"/>
  <c r="BC5029" i="4"/>
  <c r="BD4992" i="4"/>
  <c r="BD4965" i="4"/>
  <c r="BC4938" i="4"/>
  <c r="BD4909" i="4"/>
  <c r="BC4882" i="4"/>
  <c r="BC4847" i="4"/>
  <c r="BD4818" i="4"/>
  <c r="BC4791" i="4"/>
  <c r="BC4762" i="4"/>
  <c r="BC4735" i="4"/>
  <c r="BC4700" i="4"/>
  <c r="BD4672" i="4"/>
  <c r="BC4644" i="4"/>
  <c r="BD4616" i="4"/>
  <c r="BC4588" i="4"/>
  <c r="BD4552" i="4"/>
  <c r="BC4526" i="4"/>
  <c r="BD4498" i="4"/>
  <c r="BD4472" i="4"/>
  <c r="BD4446" i="4"/>
  <c r="BD4412" i="4"/>
  <c r="BD4385" i="4"/>
  <c r="BD4359" i="4"/>
  <c r="BC4332" i="4"/>
  <c r="BC4306" i="4"/>
  <c r="BD4272" i="4"/>
  <c r="BC4245" i="4"/>
  <c r="BC4219" i="4"/>
  <c r="BD4192" i="4"/>
  <c r="BD4167" i="4"/>
  <c r="BD4143" i="4"/>
  <c r="BD4119" i="4"/>
  <c r="BC4101" i="4"/>
  <c r="BC4078" i="4"/>
  <c r="BC4055" i="4"/>
  <c r="BC4036" i="4"/>
  <c r="BD4014" i="4"/>
  <c r="BC3998" i="4"/>
  <c r="BD3977" i="4"/>
  <c r="BD3959" i="4"/>
  <c r="BD3940" i="4"/>
  <c r="BC3923" i="4"/>
  <c r="BC3902" i="4"/>
  <c r="BC3886" i="4"/>
  <c r="BC3865" i="4"/>
  <c r="BD3847" i="4"/>
  <c r="BD3826" i="4"/>
  <c r="BD3810" i="4"/>
  <c r="BC3792" i="4"/>
  <c r="BD3772" i="4"/>
  <c r="BC3756" i="4"/>
  <c r="BC3737" i="4"/>
  <c r="BC3721" i="4"/>
  <c r="BD3701" i="4"/>
  <c r="BC3686" i="4"/>
  <c r="BC3668" i="4"/>
  <c r="BD3653" i="4"/>
  <c r="BD3635" i="4"/>
  <c r="BC3621" i="4"/>
  <c r="BC3603" i="4"/>
  <c r="BD3588" i="4"/>
  <c r="BD3570" i="4"/>
  <c r="BC3556" i="4"/>
  <c r="BD3540" i="4"/>
  <c r="BD3523" i="4"/>
  <c r="BC3508" i="4"/>
  <c r="BC3491" i="4"/>
  <c r="BC3476" i="4"/>
  <c r="BC3459" i="4"/>
  <c r="BC3445" i="4"/>
  <c r="BD3428" i="4"/>
  <c r="BC3414" i="4"/>
  <c r="BD3399" i="4"/>
  <c r="BC3383" i="4"/>
  <c r="BC3369" i="4"/>
  <c r="BC3354" i="4"/>
  <c r="BC3338" i="4"/>
  <c r="BC3324" i="4"/>
  <c r="BD3307" i="4"/>
  <c r="BC3293" i="4"/>
  <c r="BD3278" i="4"/>
  <c r="BC3262" i="4"/>
  <c r="BC3248" i="4"/>
  <c r="BC3233" i="4"/>
  <c r="BC3217" i="4"/>
  <c r="BC3203" i="4"/>
  <c r="BD3186" i="4"/>
  <c r="BD3172" i="4"/>
  <c r="BC3159" i="4"/>
  <c r="BD3144" i="4"/>
  <c r="BD3129" i="4"/>
  <c r="BC3116" i="4"/>
  <c r="BC3102" i="4"/>
  <c r="BD3086" i="4"/>
  <c r="BC3073" i="4"/>
  <c r="BD3059" i="4"/>
  <c r="BC3044" i="4"/>
  <c r="BC3030" i="4"/>
  <c r="BD3016" i="4"/>
  <c r="BC3004" i="4"/>
  <c r="BC2991" i="4"/>
  <c r="BC2978" i="4"/>
  <c r="BC2965" i="4"/>
  <c r="BD2952" i="4"/>
  <c r="BC2940" i="4"/>
  <c r="BD2927" i="4"/>
  <c r="BC2915" i="4"/>
  <c r="BC2902" i="4"/>
  <c r="BD2888" i="4"/>
  <c r="BD2876" i="4"/>
  <c r="BD2864" i="4"/>
  <c r="BD2852" i="4"/>
  <c r="BD2840" i="4"/>
  <c r="BD2828" i="4"/>
  <c r="BD2816" i="4"/>
  <c r="BC2805" i="4"/>
  <c r="BC2793" i="4"/>
  <c r="BD2781" i="4"/>
  <c r="BC2770" i="4"/>
  <c r="BD2758" i="4"/>
  <c r="BC2747" i="4"/>
  <c r="BD2735" i="4"/>
  <c r="BC2724" i="4"/>
  <c r="BD2712" i="4"/>
  <c r="BC2701" i="4"/>
  <c r="BD2689" i="4"/>
  <c r="BC2678" i="4"/>
  <c r="BD2666" i="4"/>
  <c r="BC2655" i="4"/>
  <c r="BD2643" i="4"/>
  <c r="BC2632" i="4"/>
  <c r="BD2620" i="4"/>
  <c r="BC2609" i="4"/>
  <c r="BD2597" i="4"/>
  <c r="BC2586" i="4"/>
  <c r="BD2574" i="4"/>
  <c r="BC2563" i="4"/>
  <c r="BC2551" i="4"/>
  <c r="BD2539" i="4"/>
  <c r="BC2528" i="4"/>
  <c r="BD2516" i="4"/>
  <c r="BC2505" i="4"/>
  <c r="BD2493" i="4"/>
  <c r="BC2482" i="4"/>
  <c r="BD2470" i="4"/>
  <c r="BC2459" i="4"/>
  <c r="BD2447" i="4"/>
  <c r="BC2436" i="4"/>
  <c r="BD2424" i="4"/>
  <c r="BD2413" i="4"/>
  <c r="BD2402" i="4"/>
  <c r="BD2391" i="4"/>
  <c r="BD2380" i="4"/>
  <c r="BD2369" i="4"/>
  <c r="BD2358" i="4"/>
  <c r="BD2347" i="4"/>
  <c r="BD2336" i="4"/>
  <c r="BD2325" i="4"/>
  <c r="BD2314" i="4"/>
  <c r="BD2303" i="4"/>
  <c r="BD2292" i="4"/>
  <c r="BD2281" i="4"/>
  <c r="BD2270" i="4"/>
  <c r="BD2259" i="4"/>
  <c r="BD2248" i="4"/>
  <c r="BD2237" i="4"/>
  <c r="BD2226" i="4"/>
  <c r="BD2215" i="4"/>
  <c r="BD2204" i="4"/>
  <c r="BD2193" i="4"/>
  <c r="BD2182" i="4"/>
  <c r="BD2171" i="4"/>
  <c r="BD2160" i="4"/>
  <c r="BD2149" i="4"/>
  <c r="BD2138" i="4"/>
  <c r="BD2127" i="4"/>
  <c r="BD2116" i="4"/>
  <c r="BD2105" i="4"/>
  <c r="BD2094" i="4"/>
  <c r="BD2083" i="4"/>
  <c r="BD2072" i="4"/>
  <c r="BD2061" i="4"/>
  <c r="BD2050" i="4"/>
  <c r="BD2039" i="4"/>
  <c r="BD2028" i="4"/>
  <c r="BD2017" i="4"/>
  <c r="BD2006" i="4"/>
  <c r="BD1995" i="4"/>
  <c r="BD1984" i="4"/>
  <c r="BD1973" i="4"/>
  <c r="BD1962" i="4"/>
  <c r="BD1951" i="4"/>
  <c r="BD1940" i="4"/>
  <c r="BD1929" i="4"/>
  <c r="BD1918" i="4"/>
  <c r="BD1907" i="4"/>
  <c r="BD1896" i="4"/>
  <c r="BD1885" i="4"/>
  <c r="BD1874" i="4"/>
  <c r="BD1863" i="4"/>
  <c r="BD1852" i="4"/>
  <c r="BD1841" i="4"/>
  <c r="BD1830" i="4"/>
  <c r="BD1819" i="4"/>
  <c r="BD1808" i="4"/>
  <c r="BD1797" i="4"/>
  <c r="BD1786" i="4"/>
  <c r="BD1775" i="4"/>
  <c r="BD1764" i="4"/>
  <c r="BD1753" i="4"/>
  <c r="BD1742" i="4"/>
  <c r="BD1731" i="4"/>
  <c r="BD1720" i="4"/>
  <c r="BD1709" i="4"/>
  <c r="BD1698" i="4"/>
  <c r="BD1687" i="4"/>
  <c r="BD1676" i="4"/>
  <c r="BD1665" i="4"/>
  <c r="BD1654" i="4"/>
  <c r="BD1643" i="4"/>
  <c r="BD1632" i="4"/>
  <c r="BD1621" i="4"/>
  <c r="BD1610" i="4"/>
  <c r="BD1599" i="4"/>
  <c r="BD6332" i="4"/>
  <c r="BD6285" i="4"/>
  <c r="BC6219" i="4"/>
  <c r="BD6172" i="4"/>
  <c r="BC6129" i="4"/>
  <c r="BD6088" i="4"/>
  <c r="BD6049" i="4"/>
  <c r="BD6000" i="4"/>
  <c r="BC5963" i="4"/>
  <c r="BC5924" i="4"/>
  <c r="BD5886" i="4"/>
  <c r="BD5846" i="4"/>
  <c r="BD5796" i="4"/>
  <c r="BD5758" i="4"/>
  <c r="BC5721" i="4"/>
  <c r="BC5682" i="4"/>
  <c r="BC5646" i="4"/>
  <c r="BC5600" i="4"/>
  <c r="BD5567" i="4"/>
  <c r="BC5535" i="4"/>
  <c r="BD5503" i="4"/>
  <c r="BC5473" i="4"/>
  <c r="BD5435" i="4"/>
  <c r="BC5405" i="4"/>
  <c r="BD5377" i="4"/>
  <c r="BC5349" i="4"/>
  <c r="BD5321" i="4"/>
  <c r="BD5286" i="4"/>
  <c r="BD5257" i="4"/>
  <c r="BD5230" i="4"/>
  <c r="BD5203" i="4"/>
  <c r="BD5174" i="4"/>
  <c r="BD5139" i="4"/>
  <c r="BC5112" i="4"/>
  <c r="BD5083" i="4"/>
  <c r="BC5056" i="4"/>
  <c r="BD5027" i="4"/>
  <c r="BC4992" i="4"/>
  <c r="BC4965" i="4"/>
  <c r="BD4937" i="4"/>
  <c r="BC4909" i="4"/>
  <c r="BD4881" i="4"/>
  <c r="BD4846" i="4"/>
  <c r="BD4817" i="4"/>
  <c r="BD4790" i="4"/>
  <c r="BD4761" i="4"/>
  <c r="BD4734" i="4"/>
  <c r="BD4699" i="4"/>
  <c r="BD4671" i="4"/>
  <c r="BD4643" i="4"/>
  <c r="BC4616" i="4"/>
  <c r="BD4587" i="4"/>
  <c r="BC4552" i="4"/>
  <c r="BD4525" i="4"/>
  <c r="BC4498" i="4"/>
  <c r="BC4472" i="4"/>
  <c r="BD4445" i="4"/>
  <c r="BC4411" i="4"/>
  <c r="BC4385" i="4"/>
  <c r="BC4359" i="4"/>
  <c r="BD4331" i="4"/>
  <c r="BD4305" i="4"/>
  <c r="BC4272" i="4"/>
  <c r="BD4244" i="4"/>
  <c r="BD4218" i="4"/>
  <c r="BC4191" i="4"/>
  <c r="BC4167" i="4"/>
  <c r="BC4143" i="4"/>
  <c r="BC4119" i="4"/>
  <c r="BC4100" i="4"/>
  <c r="BD4077" i="4"/>
  <c r="BD4054" i="4"/>
  <c r="BD4035" i="4"/>
  <c r="BC4014" i="4"/>
  <c r="BC3997" i="4"/>
  <c r="BC3977" i="4"/>
  <c r="BC3959" i="4"/>
  <c r="BD3939" i="4"/>
  <c r="BC3922" i="4"/>
  <c r="BD3901" i="4"/>
  <c r="BD3885" i="4"/>
  <c r="BD3864" i="4"/>
  <c r="BC3847" i="4"/>
  <c r="BC3826" i="4"/>
  <c r="BC3810" i="4"/>
  <c r="BC3789" i="4"/>
  <c r="BC3772" i="4"/>
  <c r="BD3755" i="4"/>
  <c r="BD3736" i="4"/>
  <c r="BD3719" i="4"/>
  <c r="BC3701" i="4"/>
  <c r="BC3685" i="4"/>
  <c r="BD3667" i="4"/>
  <c r="BD3652" i="4"/>
  <c r="BC3635" i="4"/>
  <c r="BD3620" i="4"/>
  <c r="BD3602" i="4"/>
  <c r="BC3588" i="4"/>
  <c r="BC3570" i="4"/>
  <c r="BD3555" i="4"/>
  <c r="BD3537" i="4"/>
  <c r="BC3523" i="4"/>
  <c r="BD3507" i="4"/>
  <c r="BD3490" i="4"/>
  <c r="BC3475" i="4"/>
  <c r="BD3458" i="4"/>
  <c r="BD3444" i="4"/>
  <c r="BD3427" i="4"/>
  <c r="BD3413" i="4"/>
  <c r="BC3399" i="4"/>
  <c r="BD3382" i="4"/>
  <c r="BD3368" i="4"/>
  <c r="BD3353" i="4"/>
  <c r="BD3337" i="4"/>
  <c r="BD3323" i="4"/>
  <c r="BD3306" i="4"/>
  <c r="BD3292" i="4"/>
  <c r="BC3278" i="4"/>
  <c r="BD3261" i="4"/>
  <c r="BD3247" i="4"/>
  <c r="BD3232" i="4"/>
  <c r="BD3216" i="4"/>
  <c r="BD3202" i="4"/>
  <c r="BD3185" i="4"/>
  <c r="BC3172" i="4"/>
  <c r="BD3158" i="4"/>
  <c r="BC3143" i="4"/>
  <c r="BC3129" i="4"/>
  <c r="BD3115" i="4"/>
  <c r="BC3101" i="4"/>
  <c r="BC3086" i="4"/>
  <c r="BD3072" i="4"/>
  <c r="BD3058" i="4"/>
  <c r="BD3043" i="4"/>
  <c r="BD3029" i="4"/>
  <c r="BC3016" i="4"/>
  <c r="BD3003" i="4"/>
  <c r="BD2990" i="4"/>
  <c r="BD2977" i="4"/>
  <c r="BD2964" i="4"/>
  <c r="BC2952" i="4"/>
  <c r="BD2939" i="4"/>
  <c r="BC2927" i="4"/>
  <c r="BC2914" i="4"/>
  <c r="BC2901" i="4"/>
  <c r="BC2888" i="4"/>
  <c r="BC2876" i="4"/>
  <c r="BC2864" i="4"/>
  <c r="BC2852" i="4"/>
  <c r="BC2840" i="4"/>
  <c r="BC2828" i="4"/>
  <c r="BC2816" i="4"/>
  <c r="BC2804" i="4"/>
  <c r="BD2792" i="4"/>
  <c r="BC2781" i="4"/>
  <c r="BD2769" i="4"/>
  <c r="BC2758" i="4"/>
  <c r="BD2746" i="4"/>
  <c r="BC2735" i="4"/>
  <c r="BD2723" i="4"/>
  <c r="BC2712" i="4"/>
  <c r="BD2700" i="4"/>
  <c r="BC2689" i="4"/>
  <c r="BD2677" i="4"/>
  <c r="BC2666" i="4"/>
  <c r="BD2654" i="4"/>
  <c r="BC2643" i="4"/>
  <c r="BD2631" i="4"/>
  <c r="BC2620" i="4"/>
  <c r="BD2608" i="4"/>
  <c r="BC2597" i="4"/>
  <c r="BD2585" i="4"/>
  <c r="BC2574" i="4"/>
  <c r="BC2562" i="4"/>
  <c r="BD2550" i="4"/>
  <c r="BC2539" i="4"/>
  <c r="BD2527" i="4"/>
  <c r="BC2516" i="4"/>
  <c r="BD2504" i="4"/>
  <c r="BC2493" i="4"/>
  <c r="BD2481" i="4"/>
  <c r="BC2470" i="4"/>
  <c r="BD2458" i="4"/>
  <c r="BC2447" i="4"/>
  <c r="BD2435" i="4"/>
  <c r="BC2424" i="4"/>
  <c r="BC2413" i="4"/>
  <c r="BC2402" i="4"/>
  <c r="BC2391" i="4"/>
  <c r="BC2380" i="4"/>
  <c r="BC2369" i="4"/>
  <c r="BC2358" i="4"/>
  <c r="BC2347" i="4"/>
  <c r="BC2336" i="4"/>
  <c r="BC2325" i="4"/>
  <c r="BC2314" i="4"/>
  <c r="BC2303" i="4"/>
  <c r="BC2292" i="4"/>
  <c r="BC2281" i="4"/>
  <c r="BC2270" i="4"/>
  <c r="BC2259" i="4"/>
  <c r="BC2248" i="4"/>
  <c r="BC2237" i="4"/>
  <c r="BC2226" i="4"/>
  <c r="BC2215" i="4"/>
  <c r="BC2204" i="4"/>
  <c r="BC2193" i="4"/>
  <c r="BC2182" i="4"/>
  <c r="BC2171" i="4"/>
  <c r="BC2160" i="4"/>
  <c r="BC2149" i="4"/>
  <c r="BC2138" i="4"/>
  <c r="BC2127" i="4"/>
  <c r="BC2116" i="4"/>
  <c r="BC2105" i="4"/>
  <c r="BC2094" i="4"/>
  <c r="BC2083" i="4"/>
  <c r="BC2072" i="4"/>
  <c r="BC2061" i="4"/>
  <c r="BC2050" i="4"/>
  <c r="BC2039" i="4"/>
  <c r="BC2028" i="4"/>
  <c r="BC2017" i="4"/>
  <c r="BC2006" i="4"/>
  <c r="BC1995" i="4"/>
  <c r="BC1984" i="4"/>
  <c r="BC1973" i="4"/>
  <c r="BC1962" i="4"/>
  <c r="BC1951" i="4"/>
  <c r="BC1940" i="4"/>
  <c r="BC1929" i="4"/>
  <c r="BC1918" i="4"/>
  <c r="BC1907" i="4"/>
  <c r="BC1896" i="4"/>
  <c r="BC1885" i="4"/>
  <c r="BC1874" i="4"/>
  <c r="BC1863" i="4"/>
  <c r="BC1852" i="4"/>
  <c r="BC1841" i="4"/>
  <c r="BC1830" i="4"/>
  <c r="BC1819" i="4"/>
  <c r="BC1808" i="4"/>
  <c r="BC1797" i="4"/>
  <c r="BC1786" i="4"/>
  <c r="BC1775" i="4"/>
  <c r="BC1764" i="4"/>
  <c r="BC1753" i="4"/>
  <c r="BC1742" i="4"/>
  <c r="BC1731" i="4"/>
  <c r="BC1720" i="4"/>
  <c r="BC1709" i="4"/>
  <c r="BC1698" i="4"/>
  <c r="BC1687" i="4"/>
  <c r="BC1676" i="4"/>
  <c r="BD6331" i="4"/>
  <c r="BC6272" i="4"/>
  <c r="BD6218" i="4"/>
  <c r="BC6172" i="4"/>
  <c r="BD6128" i="4"/>
  <c r="BC6088" i="4"/>
  <c r="BD6037" i="4"/>
  <c r="BC6000" i="4"/>
  <c r="BD5960" i="4"/>
  <c r="BD5922" i="4"/>
  <c r="BC5886" i="4"/>
  <c r="BC5835" i="4"/>
  <c r="BD5795" i="4"/>
  <c r="BC5758" i="4"/>
  <c r="BD5718" i="4"/>
  <c r="BD5680" i="4"/>
  <c r="BC5635" i="4"/>
  <c r="BD5598" i="4"/>
  <c r="BC5567" i="4"/>
  <c r="BD5533" i="4"/>
  <c r="BC5503" i="4"/>
  <c r="BD5463" i="4"/>
  <c r="BC5435" i="4"/>
  <c r="BD5404" i="4"/>
  <c r="BC5377" i="4"/>
  <c r="BD5348" i="4"/>
  <c r="BD5313" i="4"/>
  <c r="BC5286" i="4"/>
  <c r="BC5257" i="4"/>
  <c r="BC5230" i="4"/>
  <c r="BD5202" i="4"/>
  <c r="BC5167" i="4"/>
  <c r="BC5139" i="4"/>
  <c r="BD5111" i="4"/>
  <c r="BC5083" i="4"/>
  <c r="BD5055" i="4"/>
  <c r="BD5020" i="4"/>
  <c r="BD4991" i="4"/>
  <c r="BD4964" i="4"/>
  <c r="BD4936" i="4"/>
  <c r="BD4908" i="4"/>
  <c r="BD4873" i="4"/>
  <c r="BC4846" i="4"/>
  <c r="BC4817" i="4"/>
  <c r="BC4790" i="4"/>
  <c r="BC4761" i="4"/>
  <c r="BC4726" i="4"/>
  <c r="BC4699" i="4"/>
  <c r="BC4670" i="4"/>
  <c r="BC4643" i="4"/>
  <c r="BD4615" i="4"/>
  <c r="BD4580" i="4"/>
  <c r="BD4551" i="4"/>
  <c r="BC4525" i="4"/>
  <c r="BD4497" i="4"/>
  <c r="BD4471" i="4"/>
  <c r="BC4438" i="4"/>
  <c r="BD4410" i="4"/>
  <c r="BD4384" i="4"/>
  <c r="BD4358" i="4"/>
  <c r="BC4331" i="4"/>
  <c r="BD4297" i="4"/>
  <c r="BD4271" i="4"/>
  <c r="BC4244" i="4"/>
  <c r="BC4218" i="4"/>
  <c r="BD4190" i="4"/>
  <c r="BD4166" i="4"/>
  <c r="BD4142" i="4"/>
  <c r="BD4118" i="4"/>
  <c r="BD4099" i="4"/>
  <c r="BC4077" i="4"/>
  <c r="BC4054" i="4"/>
  <c r="BC4034" i="4"/>
  <c r="BD4013" i="4"/>
  <c r="BD3996" i="4"/>
  <c r="BD3976" i="4"/>
  <c r="BC3958" i="4"/>
  <c r="BC3938" i="4"/>
  <c r="BD3921" i="4"/>
  <c r="BC3901" i="4"/>
  <c r="BC3883" i="4"/>
  <c r="BC3864" i="4"/>
  <c r="BD3846" i="4"/>
  <c r="BD3825" i="4"/>
  <c r="BD3809" i="4"/>
  <c r="BD3788" i="4"/>
  <c r="BD3771" i="4"/>
  <c r="BC3752" i="4"/>
  <c r="BC3736" i="4"/>
  <c r="BC3719" i="4"/>
  <c r="BD3700" i="4"/>
  <c r="BC3684" i="4"/>
  <c r="BC3667" i="4"/>
  <c r="BC3652" i="4"/>
  <c r="BD3634" i="4"/>
  <c r="BD3619" i="4"/>
  <c r="BC3602" i="4"/>
  <c r="BD3587" i="4"/>
  <c r="BD3569" i="4"/>
  <c r="BC3555" i="4"/>
  <c r="BC3537" i="4"/>
  <c r="BD3522" i="4"/>
  <c r="BD3504" i="4"/>
  <c r="BC3490" i="4"/>
  <c r="BD3474" i="4"/>
  <c r="BC3458" i="4"/>
  <c r="BD3443" i="4"/>
  <c r="BC3427" i="4"/>
  <c r="BC3413" i="4"/>
  <c r="BC3398" i="4"/>
  <c r="BC3382" i="4"/>
  <c r="BC3368" i="4"/>
  <c r="BD3351" i="4"/>
  <c r="BC3337" i="4"/>
  <c r="BD3322" i="4"/>
  <c r="BC3306" i="4"/>
  <c r="BC3292" i="4"/>
  <c r="BC3277" i="4"/>
  <c r="BC3261" i="4"/>
  <c r="BC3247" i="4"/>
  <c r="BD3230" i="4"/>
  <c r="BC3216" i="4"/>
  <c r="BD3201" i="4"/>
  <c r="BC3185" i="4"/>
  <c r="BD3171" i="4"/>
  <c r="BD3157" i="4"/>
  <c r="BD3142" i="4"/>
  <c r="BD3128" i="4"/>
  <c r="BC3115" i="4"/>
  <c r="BD3100" i="4"/>
  <c r="BD3085" i="4"/>
  <c r="BC3072" i="4"/>
  <c r="BC3058" i="4"/>
  <c r="BD3042" i="4"/>
  <c r="BC3029" i="4"/>
  <c r="BD3015" i="4"/>
  <c r="BC3003" i="4"/>
  <c r="BC2990" i="4"/>
  <c r="BD2976" i="4"/>
  <c r="BC2964" i="4"/>
  <c r="BD2951" i="4"/>
  <c r="BC2939" i="4"/>
  <c r="BD2926" i="4"/>
  <c r="BD2913" i="4"/>
  <c r="BD2900" i="4"/>
  <c r="BD2887" i="4"/>
  <c r="BD2875" i="4"/>
  <c r="BD2863" i="4"/>
  <c r="BD2851" i="4"/>
  <c r="BD2839" i="4"/>
  <c r="BD2827" i="4"/>
  <c r="BC2815" i="4"/>
  <c r="BD2803" i="4"/>
  <c r="BC2792" i="4"/>
  <c r="BD2780" i="4"/>
  <c r="BC2769" i="4"/>
  <c r="BD2757" i="4"/>
  <c r="BC2746" i="4"/>
  <c r="BD2734" i="4"/>
  <c r="BC2723" i="4"/>
  <c r="BD2711" i="4"/>
  <c r="BC2700" i="4"/>
  <c r="BD2688" i="4"/>
  <c r="BC2677" i="4"/>
  <c r="BD2665" i="4"/>
  <c r="BC2654" i="4"/>
  <c r="BD2642" i="4"/>
  <c r="BC2631" i="4"/>
  <c r="BD2619" i="4"/>
  <c r="BC2608" i="4"/>
  <c r="BD2596" i="4"/>
  <c r="BC2585" i="4"/>
  <c r="BC2573" i="4"/>
  <c r="BD2561" i="4"/>
  <c r="BC2550" i="4"/>
  <c r="BD2538" i="4"/>
  <c r="BC2527" i="4"/>
  <c r="BD2515" i="4"/>
  <c r="BC2504" i="4"/>
  <c r="BD2492" i="4"/>
  <c r="BC2481" i="4"/>
  <c r="BD2469" i="4"/>
  <c r="BC2458" i="4"/>
  <c r="BC6331" i="4"/>
  <c r="BD6271" i="4"/>
  <c r="BC6218" i="4"/>
  <c r="BD6170" i="4"/>
  <c r="BD6126" i="4"/>
  <c r="BD6087" i="4"/>
  <c r="BC6037" i="4"/>
  <c r="BD5998" i="4"/>
  <c r="BC5960" i="4"/>
  <c r="BC5922" i="4"/>
  <c r="BD5883" i="4"/>
  <c r="BD5834" i="4"/>
  <c r="BC5795" i="4"/>
  <c r="BD5756" i="4"/>
  <c r="BC5718" i="4"/>
  <c r="BC5680" i="4"/>
  <c r="BD5634" i="4"/>
  <c r="BD5597" i="4"/>
  <c r="BD5565" i="4"/>
  <c r="BD5532" i="4"/>
  <c r="BD5502" i="4"/>
  <c r="BC5463" i="4"/>
  <c r="BD5433" i="4"/>
  <c r="BC5404" i="4"/>
  <c r="BD5376" i="4"/>
  <c r="BC5348" i="4"/>
  <c r="BD5312" i="4"/>
  <c r="BD5285" i="4"/>
  <c r="BD5256" i="4"/>
  <c r="BD5229" i="4"/>
  <c r="BD5201" i="4"/>
  <c r="BD5165" i="4"/>
  <c r="BD5138" i="4"/>
  <c r="BC5111" i="4"/>
  <c r="BD5082" i="4"/>
  <c r="BC5055" i="4"/>
  <c r="BC5020" i="4"/>
  <c r="BC4991" i="4"/>
  <c r="BC4964" i="4"/>
  <c r="BC4935" i="4"/>
  <c r="BC4908" i="4"/>
  <c r="BD4872" i="4"/>
  <c r="BD4845" i="4"/>
  <c r="BD4816" i="4"/>
  <c r="BD4789" i="4"/>
  <c r="BD4760" i="4"/>
  <c r="BD4725" i="4"/>
  <c r="BD4698" i="4"/>
  <c r="BD4669" i="4"/>
  <c r="BD4642" i="4"/>
  <c r="BC4615" i="4"/>
  <c r="BD4579" i="4"/>
  <c r="BC4551" i="4"/>
  <c r="BD4524" i="4"/>
  <c r="BC4497" i="4"/>
  <c r="BC4471" i="4"/>
  <c r="BD4437" i="4"/>
  <c r="BC4410" i="4"/>
  <c r="BC4384" i="4"/>
  <c r="BD4357" i="4"/>
  <c r="BD4330" i="4"/>
  <c r="BC4297" i="4"/>
  <c r="BC4271" i="4"/>
  <c r="BD4243" i="4"/>
  <c r="BD4217" i="4"/>
  <c r="BC4190" i="4"/>
  <c r="BC4166" i="4"/>
  <c r="BC4142" i="4"/>
  <c r="BC4118" i="4"/>
  <c r="BC4095" i="4"/>
  <c r="BD4076" i="4"/>
  <c r="BD4053" i="4"/>
  <c r="BC4031" i="4"/>
  <c r="BC4013" i="4"/>
  <c r="BC3992" i="4"/>
  <c r="BC3976" i="4"/>
  <c r="BD3957" i="4"/>
  <c r="BD3937" i="4"/>
  <c r="BD3920" i="4"/>
  <c r="BD3900" i="4"/>
  <c r="BD3882" i="4"/>
  <c r="BD3863" i="4"/>
  <c r="BD3845" i="4"/>
  <c r="BC3825" i="4"/>
  <c r="BC3809" i="4"/>
  <c r="BC3788" i="4"/>
  <c r="BC3771" i="4"/>
  <c r="BC3751" i="4"/>
  <c r="BD3735" i="4"/>
  <c r="BD3715" i="4"/>
  <c r="BC3700" i="4"/>
  <c r="BD3683" i="4"/>
  <c r="BD3666" i="4"/>
  <c r="BC3651" i="4"/>
  <c r="BC3634" i="4"/>
  <c r="BC3619" i="4"/>
  <c r="BD3601" i="4"/>
  <c r="BD3586" i="4"/>
  <c r="BC3569" i="4"/>
  <c r="BD3554" i="4"/>
  <c r="BD3536" i="4"/>
  <c r="BC3522" i="4"/>
  <c r="BC3504" i="4"/>
  <c r="BD3489" i="4"/>
  <c r="BD3471" i="4"/>
  <c r="BD3457" i="4"/>
  <c r="BC3443" i="4"/>
  <c r="BD3426" i="4"/>
  <c r="BD3412" i="4"/>
  <c r="BD3397" i="4"/>
  <c r="BD3381" i="4"/>
  <c r="BD3367" i="4"/>
  <c r="BD3350" i="4"/>
  <c r="BD3336" i="4"/>
  <c r="BC3322" i="4"/>
  <c r="BD3305" i="4"/>
  <c r="BD3291" i="4"/>
  <c r="BD3276" i="4"/>
  <c r="BD3260" i="4"/>
  <c r="BD3246" i="4"/>
  <c r="BD3229" i="4"/>
  <c r="BD3215" i="4"/>
  <c r="BC3201" i="4"/>
  <c r="BD3184" i="4"/>
  <c r="BC3171" i="4"/>
  <c r="BC3157" i="4"/>
  <c r="BD3141" i="4"/>
  <c r="BC3128" i="4"/>
  <c r="BD3114" i="4"/>
  <c r="BC3099" i="4"/>
  <c r="BC3085" i="4"/>
  <c r="BD3071" i="4"/>
  <c r="BC3057" i="4"/>
  <c r="BC3042" i="4"/>
  <c r="BD3028" i="4"/>
  <c r="BC3015" i="4"/>
  <c r="BC3002" i="4"/>
  <c r="BC2989" i="4"/>
  <c r="BC2976" i="4"/>
  <c r="BD2963" i="4"/>
  <c r="BC2951" i="4"/>
  <c r="BD2938" i="4"/>
  <c r="BC2926" i="4"/>
  <c r="BC2913" i="4"/>
  <c r="BD2899" i="4"/>
  <c r="BC2887" i="4"/>
  <c r="BC2875" i="4"/>
  <c r="BC2863" i="4"/>
  <c r="BC2851" i="4"/>
  <c r="BC2839" i="4"/>
  <c r="BC2827" i="4"/>
  <c r="BD2814" i="4"/>
  <c r="BC2803" i="4"/>
  <c r="BD2791" i="4"/>
  <c r="BC2780" i="4"/>
  <c r="BD2768" i="4"/>
  <c r="BC2757" i="4"/>
  <c r="BD2745" i="4"/>
  <c r="BC2734" i="4"/>
  <c r="BD6317" i="4"/>
  <c r="BC6271" i="4"/>
  <c r="BD6217" i="4"/>
  <c r="BC6169" i="4"/>
  <c r="BC6124" i="4"/>
  <c r="BC6076" i="4"/>
  <c r="BC6036" i="4"/>
  <c r="BC5998" i="4"/>
  <c r="BC5959" i="4"/>
  <c r="BC5921" i="4"/>
  <c r="BD5872" i="4"/>
  <c r="BC5834" i="4"/>
  <c r="BC5794" i="4"/>
  <c r="BC5756" i="4"/>
  <c r="BC5717" i="4"/>
  <c r="BD5670" i="4"/>
  <c r="BC5634" i="4"/>
  <c r="BC5597" i="4"/>
  <c r="BD5564" i="4"/>
  <c r="BD5531" i="4"/>
  <c r="BC5493" i="4"/>
  <c r="BD5462" i="4"/>
  <c r="BD5431" i="4"/>
  <c r="BD5403" i="4"/>
  <c r="BC5376" i="4"/>
  <c r="BC5341" i="4"/>
  <c r="BC5312" i="4"/>
  <c r="BC5285" i="4"/>
  <c r="BC5256" i="4"/>
  <c r="BC5229" i="4"/>
  <c r="BC5194" i="4"/>
  <c r="BC5165" i="4"/>
  <c r="BC5138" i="4"/>
  <c r="BD5110" i="4"/>
  <c r="BD5081" i="4"/>
  <c r="BD5046" i="4"/>
  <c r="BD5019" i="4"/>
  <c r="BD4990" i="4"/>
  <c r="BD4963" i="4"/>
  <c r="BD4934" i="4"/>
  <c r="BD4899" i="4"/>
  <c r="BC4872" i="4"/>
  <c r="BD4844" i="4"/>
  <c r="BC4816" i="4"/>
  <c r="BC4789" i="4"/>
  <c r="BC4754" i="4"/>
  <c r="BC4725" i="4"/>
  <c r="BC4698" i="4"/>
  <c r="BC4669" i="4"/>
  <c r="BD4641" i="4"/>
  <c r="BD4606" i="4"/>
  <c r="BC4578" i="4"/>
  <c r="BD4550" i="4"/>
  <c r="BC4524" i="4"/>
  <c r="BD4496" i="4"/>
  <c r="BC4463" i="4"/>
  <c r="BC4437" i="4"/>
  <c r="BD4409" i="4"/>
  <c r="BD4383" i="4"/>
  <c r="BC4356" i="4"/>
  <c r="BD4322" i="4"/>
  <c r="BD4296" i="4"/>
  <c r="BD4270" i="4"/>
  <c r="BC4243" i="4"/>
  <c r="BC4217" i="4"/>
  <c r="BD4188" i="4"/>
  <c r="BD4165" i="4"/>
  <c r="BD4141" i="4"/>
  <c r="BD4117" i="4"/>
  <c r="BD4094" i="4"/>
  <c r="BC4076" i="4"/>
  <c r="BC4053" i="4"/>
  <c r="BD4030" i="4"/>
  <c r="BD4012" i="4"/>
  <c r="BD3991" i="4"/>
  <c r="BD3975" i="4"/>
  <c r="BD3954" i="4"/>
  <c r="BC3937" i="4"/>
  <c r="BC3920" i="4"/>
  <c r="BC3900" i="4"/>
  <c r="BD3881" i="4"/>
  <c r="BD3862" i="4"/>
  <c r="BC3845" i="4"/>
  <c r="BD3824" i="4"/>
  <c r="BD3807" i="4"/>
  <c r="BD3787" i="4"/>
  <c r="BD3770" i="4"/>
  <c r="BD3750" i="4"/>
  <c r="BC3735" i="4"/>
  <c r="BC3715" i="4"/>
  <c r="BD3699" i="4"/>
  <c r="BD3680" i="4"/>
  <c r="BC3666" i="4"/>
  <c r="BD3650" i="4"/>
  <c r="BD3633" i="4"/>
  <c r="BC3618" i="4"/>
  <c r="BC3601" i="4"/>
  <c r="BC3586" i="4"/>
  <c r="BD3568" i="4"/>
  <c r="BD3553" i="4"/>
  <c r="BC3536" i="4"/>
  <c r="BD3521" i="4"/>
  <c r="BD3503" i="4"/>
  <c r="BC3489" i="4"/>
  <c r="BC3471" i="4"/>
  <c r="BC3457" i="4"/>
  <c r="BC3442" i="4"/>
  <c r="BC3426" i="4"/>
  <c r="BC3412" i="4"/>
  <c r="BD3395" i="4"/>
  <c r="BC3381" i="4"/>
  <c r="BD3366" i="4"/>
  <c r="BC3350" i="4"/>
  <c r="BC3336" i="4"/>
  <c r="BC3321" i="4"/>
  <c r="BC3305" i="4"/>
  <c r="BC3291" i="4"/>
  <c r="BD3274" i="4"/>
  <c r="BC3260" i="4"/>
  <c r="BD3245" i="4"/>
  <c r="BC3229" i="4"/>
  <c r="BC3215" i="4"/>
  <c r="BC3200" i="4"/>
  <c r="BC3184" i="4"/>
  <c r="BD3170" i="4"/>
  <c r="BC3156" i="4"/>
  <c r="BC3141" i="4"/>
  <c r="BD3127" i="4"/>
  <c r="BD3113" i="4"/>
  <c r="BD3098" i="4"/>
  <c r="BD3084" i="4"/>
  <c r="BC3071" i="4"/>
  <c r="BD3056" i="4"/>
  <c r="BD3041" i="4"/>
  <c r="BC3028" i="4"/>
  <c r="BD3014" i="4"/>
  <c r="BD3001" i="4"/>
  <c r="BD2988" i="4"/>
  <c r="BD2975" i="4"/>
  <c r="BC2963" i="4"/>
  <c r="BD2950" i="4"/>
  <c r="BC2938" i="4"/>
  <c r="BC2925" i="4"/>
  <c r="BC2912" i="4"/>
  <c r="BC2899" i="4"/>
  <c r="BD2886" i="4"/>
  <c r="BD2874" i="4"/>
  <c r="BD2862" i="4"/>
  <c r="BD2850" i="4"/>
  <c r="BD2838" i="4"/>
  <c r="BC2826" i="4"/>
  <c r="BC2814" i="4"/>
  <c r="BD2802" i="4"/>
  <c r="BC2791" i="4"/>
  <c r="BD2779" i="4"/>
  <c r="BC2768" i="4"/>
  <c r="BD2756" i="4"/>
  <c r="BC2745" i="4"/>
  <c r="BD2733" i="4"/>
  <c r="BC2722" i="4"/>
  <c r="BD2710" i="4"/>
  <c r="BC2699" i="4"/>
  <c r="BD2687" i="4"/>
  <c r="BC2676" i="4"/>
  <c r="BD2664" i="4"/>
  <c r="BC2653" i="4"/>
  <c r="BD2641" i="4"/>
  <c r="BC2630" i="4"/>
  <c r="BD2618" i="4"/>
  <c r="BC2607" i="4"/>
  <c r="BC2595" i="4"/>
  <c r="BD2583" i="4"/>
  <c r="BC2572" i="4"/>
  <c r="BD2560" i="4"/>
  <c r="BC2549" i="4"/>
  <c r="BD2537" i="4"/>
  <c r="BC2526" i="4"/>
  <c r="BD2514" i="4"/>
  <c r="BC2503" i="4"/>
  <c r="BD2491" i="4"/>
  <c r="BC2480" i="4"/>
  <c r="BD2468" i="4"/>
  <c r="BC2457" i="4"/>
  <c r="BD2445" i="4"/>
  <c r="BC2434" i="4"/>
  <c r="BD2422" i="4"/>
  <c r="BD2411" i="4"/>
  <c r="BC6317" i="4"/>
  <c r="BD6268" i="4"/>
  <c r="BC6217" i="4"/>
  <c r="BD6166" i="4"/>
  <c r="BD6123" i="4"/>
  <c r="BD6075" i="4"/>
  <c r="BD6035" i="4"/>
  <c r="BD5997" i="4"/>
  <c r="BD5957" i="4"/>
  <c r="BD5920" i="4"/>
  <c r="BC5872" i="4"/>
  <c r="BD5833" i="4"/>
  <c r="BD5793" i="4"/>
  <c r="BD5755" i="4"/>
  <c r="BD5715" i="4"/>
  <c r="BC5670" i="4"/>
  <c r="BD5633" i="4"/>
  <c r="BC5596" i="4"/>
  <c r="BC5564" i="4"/>
  <c r="BC5531" i="4"/>
  <c r="BD5492" i="4"/>
  <c r="BC5462" i="4"/>
  <c r="BC5431" i="4"/>
  <c r="BC5403" i="4"/>
  <c r="BD5375" i="4"/>
  <c r="BC5340" i="4"/>
  <c r="BD5311" i="4"/>
  <c r="BD5284" i="4"/>
  <c r="BD5255" i="4"/>
  <c r="BD5228" i="4"/>
  <c r="BD5193" i="4"/>
  <c r="BD5164" i="4"/>
  <c r="BD5137" i="4"/>
  <c r="BD5109" i="4"/>
  <c r="BC5081" i="4"/>
  <c r="BC5046" i="4"/>
  <c r="BC5019" i="4"/>
  <c r="BC4990" i="4"/>
  <c r="BC4963" i="4"/>
  <c r="BC4934" i="4"/>
  <c r="BC4899" i="4"/>
  <c r="BD4871" i="4"/>
  <c r="BC4843" i="4"/>
  <c r="BD4815" i="4"/>
  <c r="BD4788" i="4"/>
  <c r="BD4753" i="4"/>
  <c r="BD4724" i="4"/>
  <c r="BD4697" i="4"/>
  <c r="BD4668" i="4"/>
  <c r="BC4641" i="4"/>
  <c r="BC4606" i="4"/>
  <c r="BD4577" i="4"/>
  <c r="BC4550" i="4"/>
  <c r="BD4523" i="4"/>
  <c r="BC4496" i="4"/>
  <c r="BD4462" i="4"/>
  <c r="BD4436" i="4"/>
  <c r="BC4409" i="4"/>
  <c r="BC4383" i="4"/>
  <c r="BD4355" i="4"/>
  <c r="BC4322" i="4"/>
  <c r="BC4296" i="4"/>
  <c r="BD4269" i="4"/>
  <c r="BD4242" i="4"/>
  <c r="BD4216" i="4"/>
  <c r="BC4184" i="4"/>
  <c r="BC4165" i="4"/>
  <c r="BC4141" i="4"/>
  <c r="BC4117" i="4"/>
  <c r="BD4093" i="4"/>
  <c r="BD6266" i="4"/>
  <c r="BD6151" i="4"/>
  <c r="BC6070" i="4"/>
  <c r="BC5981" i="4"/>
  <c r="BC5902" i="4"/>
  <c r="BC5793" i="4"/>
  <c r="BC5704" i="4"/>
  <c r="BC5629" i="4"/>
  <c r="BD5550" i="4"/>
  <c r="BC5479" i="4"/>
  <c r="BD5402" i="4"/>
  <c r="BD5337" i="4"/>
  <c r="BC5274" i="4"/>
  <c r="BC5217" i="4"/>
  <c r="BC5152" i="4"/>
  <c r="BC5073" i="4"/>
  <c r="BD5015" i="4"/>
  <c r="BD4952" i="4"/>
  <c r="BD4895" i="4"/>
  <c r="BD4830" i="4"/>
  <c r="BD4752" i="4"/>
  <c r="BD4695" i="4"/>
  <c r="BD4630" i="4"/>
  <c r="BC4566" i="4"/>
  <c r="BC4510" i="4"/>
  <c r="BC4436" i="4"/>
  <c r="BC4374" i="4"/>
  <c r="BD4319" i="4"/>
  <c r="BD4258" i="4"/>
  <c r="BD4204" i="4"/>
  <c r="BD4140" i="4"/>
  <c r="BC4091" i="4"/>
  <c r="BC4051" i="4"/>
  <c r="BD4009" i="4"/>
  <c r="BD3972" i="4"/>
  <c r="BD3934" i="4"/>
  <c r="BC3898" i="4"/>
  <c r="BD3859" i="4"/>
  <c r="BD3822" i="4"/>
  <c r="BC3784" i="4"/>
  <c r="BD3748" i="4"/>
  <c r="BC3713" i="4"/>
  <c r="BD3678" i="4"/>
  <c r="BC3646" i="4"/>
  <c r="BD3613" i="4"/>
  <c r="BC3581" i="4"/>
  <c r="BD3548" i="4"/>
  <c r="BD3518" i="4"/>
  <c r="BC3486" i="4"/>
  <c r="BD3454" i="4"/>
  <c r="BC3424" i="4"/>
  <c r="BC3393" i="4"/>
  <c r="BD3362" i="4"/>
  <c r="BD3333" i="4"/>
  <c r="BC3303" i="4"/>
  <c r="BC3272" i="4"/>
  <c r="BD3241" i="4"/>
  <c r="BD3212" i="4"/>
  <c r="BC3182" i="4"/>
  <c r="BD3153" i="4"/>
  <c r="BC3127" i="4"/>
  <c r="BC3106" i="4"/>
  <c r="BC3079" i="4"/>
  <c r="BD3051" i="4"/>
  <c r="BC3025" i="4"/>
  <c r="BD2999" i="4"/>
  <c r="BC2975" i="4"/>
  <c r="BC2957" i="4"/>
  <c r="BC2932" i="4"/>
  <c r="BC2908" i="4"/>
  <c r="BC2884" i="4"/>
  <c r="BC2861" i="4"/>
  <c r="BC2838" i="4"/>
  <c r="BC2820" i="4"/>
  <c r="BC2798" i="4"/>
  <c r="BD2776" i="4"/>
  <c r="BD2755" i="4"/>
  <c r="BD2739" i="4"/>
  <c r="BC2719" i="4"/>
  <c r="BD2699" i="4"/>
  <c r="BC2683" i="4"/>
  <c r="BD2663" i="4"/>
  <c r="BD2647" i="4"/>
  <c r="BD2627" i="4"/>
  <c r="BC2610" i="4"/>
  <c r="BC2592" i="4"/>
  <c r="BD2572" i="4"/>
  <c r="BD2556" i="4"/>
  <c r="BD2536" i="4"/>
  <c r="BC2521" i="4"/>
  <c r="BC2501" i="4"/>
  <c r="BC2483" i="4"/>
  <c r="BD2465" i="4"/>
  <c r="BD2446" i="4"/>
  <c r="BC2431" i="4"/>
  <c r="BC2414" i="4"/>
  <c r="BD2398" i="4"/>
  <c r="BD2384" i="4"/>
  <c r="BD2367" i="4"/>
  <c r="BD2353" i="4"/>
  <c r="BD2337" i="4"/>
  <c r="BD2322" i="4"/>
  <c r="BD2308" i="4"/>
  <c r="BD2291" i="4"/>
  <c r="BD2277" i="4"/>
  <c r="BD2263" i="4"/>
  <c r="BD2246" i="4"/>
  <c r="BD2232" i="4"/>
  <c r="BD2216" i="4"/>
  <c r="BD2201" i="4"/>
  <c r="BD2187" i="4"/>
  <c r="BD2170" i="4"/>
  <c r="BD2156" i="4"/>
  <c r="BD2142" i="4"/>
  <c r="BD2125" i="4"/>
  <c r="BD2111" i="4"/>
  <c r="BD2095" i="4"/>
  <c r="BD2080" i="4"/>
  <c r="BD2066" i="4"/>
  <c r="BD2049" i="4"/>
  <c r="BD2035" i="4"/>
  <c r="BD2021" i="4"/>
  <c r="BD2004" i="4"/>
  <c r="BD1990" i="4"/>
  <c r="BD1974" i="4"/>
  <c r="BD1959" i="4"/>
  <c r="BD1945" i="4"/>
  <c r="BD1928" i="4"/>
  <c r="BD1914" i="4"/>
  <c r="BD1900" i="4"/>
  <c r="BD1883" i="4"/>
  <c r="BD1869" i="4"/>
  <c r="BD1853" i="4"/>
  <c r="BD1838" i="4"/>
  <c r="BD1824" i="4"/>
  <c r="BD1807" i="4"/>
  <c r="BD1793" i="4"/>
  <c r="BD1779" i="4"/>
  <c r="BD1762" i="4"/>
  <c r="BD1748" i="4"/>
  <c r="BD1732" i="4"/>
  <c r="BD1717" i="4"/>
  <c r="BD1703" i="4"/>
  <c r="BD1686" i="4"/>
  <c r="BD1672" i="4"/>
  <c r="BC1659" i="4"/>
  <c r="BC1643" i="4"/>
  <c r="BD1629" i="4"/>
  <c r="BC1616" i="4"/>
  <c r="BD1600" i="4"/>
  <c r="BC1587" i="4"/>
  <c r="BC1574" i="4"/>
  <c r="BC1561" i="4"/>
  <c r="BC1548" i="4"/>
  <c r="BC1533" i="4"/>
  <c r="BC1520" i="4"/>
  <c r="BC1507" i="4"/>
  <c r="BC1494" i="4"/>
  <c r="BC1479" i="4"/>
  <c r="BC1466" i="4"/>
  <c r="BC1453" i="4"/>
  <c r="BC1440" i="4"/>
  <c r="BC1427" i="4"/>
  <c r="BC1412" i="4"/>
  <c r="BC1399" i="4"/>
  <c r="BC1386" i="4"/>
  <c r="BC1373" i="4"/>
  <c r="BC1358" i="4"/>
  <c r="BC1345" i="4"/>
  <c r="BC1332" i="4"/>
  <c r="BC1319" i="4"/>
  <c r="BC1306" i="4"/>
  <c r="BC1291" i="4"/>
  <c r="BC1278" i="4"/>
  <c r="BC1265" i="4"/>
  <c r="BC1252" i="4"/>
  <c r="BC1237" i="4"/>
  <c r="BC1224" i="4"/>
  <c r="BC1211" i="4"/>
  <c r="BC1198" i="4"/>
  <c r="BC1185" i="4"/>
  <c r="BC1170" i="4"/>
  <c r="BC1157" i="4"/>
  <c r="BC1144" i="4"/>
  <c r="BC1131" i="4"/>
  <c r="BC1116" i="4"/>
  <c r="BC1103" i="4"/>
  <c r="BC1090" i="4"/>
  <c r="BC1077" i="4"/>
  <c r="BC1064" i="4"/>
  <c r="BC1050" i="4"/>
  <c r="BC1038" i="4"/>
  <c r="BC1026" i="4"/>
  <c r="BC1014" i="4"/>
  <c r="BC1002" i="4"/>
  <c r="BC990" i="4"/>
  <c r="BC978" i="4"/>
  <c r="BC966" i="4"/>
  <c r="BC954" i="4"/>
  <c r="BC942" i="4"/>
  <c r="BD930" i="4"/>
  <c r="BC919" i="4"/>
  <c r="BD907" i="4"/>
  <c r="BC896" i="4"/>
  <c r="BD884" i="4"/>
  <c r="BC873" i="4"/>
  <c r="BD861" i="4"/>
  <c r="BC850" i="4"/>
  <c r="BD838" i="4"/>
  <c r="BC827" i="4"/>
  <c r="BD815" i="4"/>
  <c r="BC804" i="4"/>
  <c r="BD792" i="4"/>
  <c r="BC781" i="4"/>
  <c r="BD769" i="4"/>
  <c r="BC758" i="4"/>
  <c r="BD746" i="4"/>
  <c r="BC735" i="4"/>
  <c r="BD723" i="4"/>
  <c r="BC712" i="4"/>
  <c r="BC701" i="4"/>
  <c r="BC690" i="4"/>
  <c r="BC679" i="4"/>
  <c r="BC668" i="4"/>
  <c r="BC657" i="4"/>
  <c r="BC646" i="4"/>
  <c r="BC635" i="4"/>
  <c r="BC624" i="4"/>
  <c r="BC613" i="4"/>
  <c r="BC602" i="4"/>
  <c r="BC591" i="4"/>
  <c r="BC580" i="4"/>
  <c r="BC569" i="4"/>
  <c r="BC558" i="4"/>
  <c r="BC547" i="4"/>
  <c r="BC536" i="4"/>
  <c r="BC525" i="4"/>
  <c r="BC514" i="4"/>
  <c r="BC503" i="4"/>
  <c r="BC492" i="4"/>
  <c r="BC481" i="4"/>
  <c r="BC470" i="4"/>
  <c r="BC459" i="4"/>
  <c r="BC448" i="4"/>
  <c r="BC437" i="4"/>
  <c r="BC426" i="4"/>
  <c r="BC415" i="4"/>
  <c r="BC404" i="4"/>
  <c r="BC393" i="4"/>
  <c r="BC382" i="4"/>
  <c r="BC371" i="4"/>
  <c r="BC360" i="4"/>
  <c r="BC349" i="4"/>
  <c r="BC338" i="4"/>
  <c r="BC327" i="4"/>
  <c r="BC316" i="4"/>
  <c r="BC305" i="4"/>
  <c r="BC294" i="4"/>
  <c r="BC283" i="4"/>
  <c r="BC272" i="4"/>
  <c r="BC261" i="4"/>
  <c r="BC250" i="4"/>
  <c r="BC239" i="4"/>
  <c r="BC228" i="4"/>
  <c r="BC217" i="4"/>
  <c r="BC206" i="4"/>
  <c r="BC195" i="4"/>
  <c r="BC184" i="4"/>
  <c r="BC173" i="4"/>
  <c r="BC162" i="4"/>
  <c r="BC151" i="4"/>
  <c r="BC140" i="4"/>
  <c r="BC129" i="4"/>
  <c r="BC118" i="4"/>
  <c r="BC107" i="4"/>
  <c r="BC96" i="4"/>
  <c r="BC85" i="4"/>
  <c r="BC74" i="4"/>
  <c r="BC63" i="4"/>
  <c r="BC52" i="4"/>
  <c r="BC41" i="4"/>
  <c r="BC30" i="4"/>
  <c r="BC19" i="4"/>
  <c r="BC8" i="4"/>
  <c r="BD6316" i="4"/>
  <c r="BC6021" i="4"/>
  <c r="BC5833" i="4"/>
  <c r="BD5664" i="4"/>
  <c r="BC5517" i="4"/>
  <c r="BC5366" i="4"/>
  <c r="BC5244" i="4"/>
  <c r="BD5044" i="4"/>
  <c r="BC4859" i="4"/>
  <c r="BC4723" i="4"/>
  <c r="BC4601" i="4"/>
  <c r="BD4407" i="4"/>
  <c r="BD4230" i="4"/>
  <c r="BD4067" i="4"/>
  <c r="BC3952" i="4"/>
  <c r="BD3876" i="4"/>
  <c r="BC3801" i="4"/>
  <c r="BD3731" i="4"/>
  <c r="BC3663" i="4"/>
  <c r="BD3533" i="4"/>
  <c r="BD3468" i="4"/>
  <c r="BD3378" i="4"/>
  <c r="BD3257" i="4"/>
  <c r="BD3195" i="4"/>
  <c r="BD3139" i="4"/>
  <c r="BC3064" i="4"/>
  <c r="BC3011" i="4"/>
  <c r="BD2962" i="4"/>
  <c r="BD2919" i="4"/>
  <c r="BC2872" i="4"/>
  <c r="BD2825" i="4"/>
  <c r="BD2786" i="4"/>
  <c r="BD2744" i="4"/>
  <c r="BD2708" i="4"/>
  <c r="BD2653" i="4"/>
  <c r="BD2601" i="4"/>
  <c r="BC2546" i="4"/>
  <c r="BD2490" i="4"/>
  <c r="BC2455" i="4"/>
  <c r="BC2421" i="4"/>
  <c r="BD2389" i="4"/>
  <c r="BD2359" i="4"/>
  <c r="BD2313" i="4"/>
  <c r="BD2299" i="4"/>
  <c r="BD2254" i="4"/>
  <c r="BD2209" i="4"/>
  <c r="BD2178" i="4"/>
  <c r="BD2117" i="4"/>
  <c r="BD2071" i="4"/>
  <c r="BD2026" i="4"/>
  <c r="BD1981" i="4"/>
  <c r="BD1950" i="4"/>
  <c r="BD1922" i="4"/>
  <c r="BD1891" i="4"/>
  <c r="BD1846" i="4"/>
  <c r="BD1829" i="4"/>
  <c r="BD1784" i="4"/>
  <c r="BD1739" i="4"/>
  <c r="BD1708" i="4"/>
  <c r="BD1650" i="4"/>
  <c r="BC1621" i="4"/>
  <c r="BC1581" i="4"/>
  <c r="BC1553" i="4"/>
  <c r="BC1527" i="4"/>
  <c r="BC1486" i="4"/>
  <c r="BC1460" i="4"/>
  <c r="BC1406" i="4"/>
  <c r="BC1378" i="4"/>
  <c r="BC1339" i="4"/>
  <c r="BC1285" i="4"/>
  <c r="BC1231" i="4"/>
  <c r="BC1190" i="4"/>
  <c r="BC1164" i="4"/>
  <c r="BC1136" i="4"/>
  <c r="BC1097" i="4"/>
  <c r="BC1056" i="4"/>
  <c r="BC995" i="4"/>
  <c r="BD947" i="4"/>
  <c r="BC913" i="4"/>
  <c r="BD878" i="4"/>
  <c r="BD855" i="4"/>
  <c r="BC832" i="4"/>
  <c r="BC809" i="4"/>
  <c r="BD774" i="4"/>
  <c r="BC740" i="4"/>
  <c r="BC706" i="4"/>
  <c r="BC673" i="4"/>
  <c r="BC640" i="4"/>
  <c r="BC596" i="4"/>
  <c r="BC563" i="4"/>
  <c r="BC519" i="4"/>
  <c r="BC486" i="4"/>
  <c r="BC453" i="4"/>
  <c r="BC420" i="4"/>
  <c r="BC376" i="4"/>
  <c r="BC343" i="4"/>
  <c r="BC299" i="4"/>
  <c r="BC266" i="4"/>
  <c r="BC222" i="4"/>
  <c r="BC178" i="4"/>
  <c r="BC145" i="4"/>
  <c r="BC123" i="4"/>
  <c r="BC90" i="4"/>
  <c r="BC68" i="4"/>
  <c r="BC24" i="4"/>
  <c r="BC6316" i="4"/>
  <c r="BD6020" i="4"/>
  <c r="BD5741" i="4"/>
  <c r="BC5582" i="4"/>
  <c r="BD5365" i="4"/>
  <c r="BD5243" i="4"/>
  <c r="BD5107" i="4"/>
  <c r="BC4979" i="4"/>
  <c r="BD4858" i="4"/>
  <c r="BD4722" i="4"/>
  <c r="BD4600" i="4"/>
  <c r="BD4461" i="4"/>
  <c r="BC4345" i="4"/>
  <c r="BC4230" i="4"/>
  <c r="BD4113" i="4"/>
  <c r="BC4026" i="4"/>
  <c r="BD3951" i="4"/>
  <c r="BD3837" i="4"/>
  <c r="BD3727" i="4"/>
  <c r="BC3630" i="4"/>
  <c r="BC3533" i="4"/>
  <c r="BC3437" i="4"/>
  <c r="BD3377" i="4"/>
  <c r="BC3316" i="4"/>
  <c r="BC3226" i="4"/>
  <c r="BD3166" i="4"/>
  <c r="BC3112" i="4"/>
  <c r="BD3063" i="4"/>
  <c r="BD3010" i="4"/>
  <c r="BC2962" i="4"/>
  <c r="BC2919" i="4"/>
  <c r="BD2871" i="4"/>
  <c r="BC2825" i="4"/>
  <c r="BC2786" i="4"/>
  <c r="BC2744" i="4"/>
  <c r="BC2708" i="4"/>
  <c r="BC2672" i="4"/>
  <c r="BD2636" i="4"/>
  <c r="BC2601" i="4"/>
  <c r="BD2563" i="4"/>
  <c r="BC2510" i="4"/>
  <c r="BC2474" i="4"/>
  <c r="BC2437" i="4"/>
  <c r="BC2406" i="4"/>
  <c r="BC2375" i="4"/>
  <c r="BC2344" i="4"/>
  <c r="BC2313" i="4"/>
  <c r="BC2285" i="4"/>
  <c r="BC2254" i="4"/>
  <c r="BC2223" i="4"/>
  <c r="BC2164" i="4"/>
  <c r="BC2117" i="4"/>
  <c r="BC2057" i="4"/>
  <c r="BC2012" i="4"/>
  <c r="BC1981" i="4"/>
  <c r="BC1967" i="4"/>
  <c r="BC1922" i="4"/>
  <c r="BC1875" i="4"/>
  <c r="BC1846" i="4"/>
  <c r="BC1815" i="4"/>
  <c r="BC1784" i="4"/>
  <c r="BC1739" i="4"/>
  <c r="BC1708" i="4"/>
  <c r="BC1680" i="4"/>
  <c r="BC1650" i="4"/>
  <c r="BD1620" i="4"/>
  <c r="BD1593" i="4"/>
  <c r="BD1565" i="4"/>
  <c r="BD1539" i="4"/>
  <c r="BD1485" i="4"/>
  <c r="BD1444" i="4"/>
  <c r="BD1405" i="4"/>
  <c r="BD1377" i="4"/>
  <c r="BD1351" i="4"/>
  <c r="BD1323" i="4"/>
  <c r="BD1297" i="4"/>
  <c r="BD1269" i="4"/>
  <c r="BD1215" i="4"/>
  <c r="BD1163" i="4"/>
  <c r="BD1094" i="4"/>
  <c r="BD1055" i="4"/>
  <c r="BD1031" i="4"/>
  <c r="BD1006" i="4"/>
  <c r="BD982" i="4"/>
  <c r="BD958" i="4"/>
  <c r="BD912" i="4"/>
  <c r="BD889" i="4"/>
  <c r="BD866" i="4"/>
  <c r="BD831" i="4"/>
  <c r="BD808" i="4"/>
  <c r="BD785" i="4"/>
  <c r="BD762" i="4"/>
  <c r="BD716" i="4"/>
  <c r="BD694" i="4"/>
  <c r="BD639" i="4"/>
  <c r="BD584" i="4"/>
  <c r="BD540" i="4"/>
  <c r="BD496" i="4"/>
  <c r="BD474" i="4"/>
  <c r="BC6264" i="4"/>
  <c r="BC6151" i="4"/>
  <c r="BC6069" i="4"/>
  <c r="BD5980" i="4"/>
  <c r="BD5901" i="4"/>
  <c r="BD5792" i="4"/>
  <c r="BD5702" i="4"/>
  <c r="BC5628" i="4"/>
  <c r="BC5550" i="4"/>
  <c r="BD5478" i="4"/>
  <c r="BC5402" i="4"/>
  <c r="BC5337" i="4"/>
  <c r="BD5273" i="4"/>
  <c r="BD5216" i="4"/>
  <c r="BD5151" i="4"/>
  <c r="BD5072" i="4"/>
  <c r="BC5015" i="4"/>
  <c r="BC4952" i="4"/>
  <c r="BD4894" i="4"/>
  <c r="BC4830" i="4"/>
  <c r="BD4750" i="4"/>
  <c r="BD4694" i="4"/>
  <c r="BC4630" i="4"/>
  <c r="BD4565" i="4"/>
  <c r="BD4509" i="4"/>
  <c r="BD4435" i="4"/>
  <c r="BD4373" i="4"/>
  <c r="BC4319" i="4"/>
  <c r="BC4257" i="4"/>
  <c r="BD4203" i="4"/>
  <c r="BC4140" i="4"/>
  <c r="BD4090" i="4"/>
  <c r="BD4049" i="4"/>
  <c r="BC4009" i="4"/>
  <c r="BD3970" i="4"/>
  <c r="BC3934" i="4"/>
  <c r="BC3897" i="4"/>
  <c r="BC3859" i="4"/>
  <c r="BC3822" i="4"/>
  <c r="BD3783" i="4"/>
  <c r="BC3748" i="4"/>
  <c r="BD3712" i="4"/>
  <c r="BC3678" i="4"/>
  <c r="BD3645" i="4"/>
  <c r="BC3613" i="4"/>
  <c r="BD3580" i="4"/>
  <c r="BC3548" i="4"/>
  <c r="BD3515" i="4"/>
  <c r="BD3485" i="4"/>
  <c r="BC3454" i="4"/>
  <c r="BD3423" i="4"/>
  <c r="BD3392" i="4"/>
  <c r="BD3361" i="4"/>
  <c r="BC3333" i="4"/>
  <c r="BD3302" i="4"/>
  <c r="BD3271" i="4"/>
  <c r="BD3240" i="4"/>
  <c r="BC3212" i="4"/>
  <c r="BD3181" i="4"/>
  <c r="BD3152" i="4"/>
  <c r="BD3126" i="4"/>
  <c r="BD3102" i="4"/>
  <c r="BD3078" i="4"/>
  <c r="BC3051" i="4"/>
  <c r="BC3024" i="4"/>
  <c r="BD2998" i="4"/>
  <c r="BD2974" i="4"/>
  <c r="BC2953" i="4"/>
  <c r="BD2931" i="4"/>
  <c r="BD2907" i="4"/>
  <c r="BD2883" i="4"/>
  <c r="BD2860" i="4"/>
  <c r="BC2837" i="4"/>
  <c r="BC2817" i="4"/>
  <c r="BD2797" i="4"/>
  <c r="BC2776" i="4"/>
  <c r="BC2755" i="4"/>
  <c r="BD2736" i="4"/>
  <c r="BD2718" i="4"/>
  <c r="BD2698" i="4"/>
  <c r="BD2682" i="4"/>
  <c r="BC2663" i="4"/>
  <c r="BC2647" i="4"/>
  <c r="BC2627" i="4"/>
  <c r="BD2609" i="4"/>
  <c r="BD2591" i="4"/>
  <c r="BD2571" i="4"/>
  <c r="BC2556" i="4"/>
  <c r="BC2536" i="4"/>
  <c r="BD2520" i="4"/>
  <c r="BD2500" i="4"/>
  <c r="BD2482" i="4"/>
  <c r="BC2465" i="4"/>
  <c r="BC2446" i="4"/>
  <c r="BC2430" i="4"/>
  <c r="BD2412" i="4"/>
  <c r="BC2398" i="4"/>
  <c r="BC2384" i="4"/>
  <c r="BC2367" i="4"/>
  <c r="BC2353" i="4"/>
  <c r="BC2337" i="4"/>
  <c r="BC2322" i="4"/>
  <c r="BC2308" i="4"/>
  <c r="BC2291" i="4"/>
  <c r="BC2277" i="4"/>
  <c r="BC2263" i="4"/>
  <c r="BC2246" i="4"/>
  <c r="BC2232" i="4"/>
  <c r="BC2216" i="4"/>
  <c r="BC2201" i="4"/>
  <c r="BC2187" i="4"/>
  <c r="BC2170" i="4"/>
  <c r="BC2156" i="4"/>
  <c r="BC2142" i="4"/>
  <c r="BC2125" i="4"/>
  <c r="BC2111" i="4"/>
  <c r="BC2095" i="4"/>
  <c r="BC2080" i="4"/>
  <c r="BC2066" i="4"/>
  <c r="BC2049" i="4"/>
  <c r="BC2035" i="4"/>
  <c r="BC2021" i="4"/>
  <c r="BC2004" i="4"/>
  <c r="BC1990" i="4"/>
  <c r="BC1974" i="4"/>
  <c r="BC1959" i="4"/>
  <c r="BC1945" i="4"/>
  <c r="BC1928" i="4"/>
  <c r="BC1914" i="4"/>
  <c r="BC1900" i="4"/>
  <c r="BC1883" i="4"/>
  <c r="BC1869" i="4"/>
  <c r="BC1853" i="4"/>
  <c r="BC1838" i="4"/>
  <c r="BC1824" i="4"/>
  <c r="BC1807" i="4"/>
  <c r="BC1793" i="4"/>
  <c r="BC1779" i="4"/>
  <c r="BC1762" i="4"/>
  <c r="BC1748" i="4"/>
  <c r="BC1732" i="4"/>
  <c r="BC1717" i="4"/>
  <c r="BC1703" i="4"/>
  <c r="BC1686" i="4"/>
  <c r="BC1672" i="4"/>
  <c r="BD1658" i="4"/>
  <c r="BD1642" i="4"/>
  <c r="BC1629" i="4"/>
  <c r="BD1615" i="4"/>
  <c r="BC1600" i="4"/>
  <c r="BD1586" i="4"/>
  <c r="BD1573" i="4"/>
  <c r="BD1560" i="4"/>
  <c r="BD1545" i="4"/>
  <c r="BD1532" i="4"/>
  <c r="BD1519" i="4"/>
  <c r="BD1506" i="4"/>
  <c r="BD1493" i="4"/>
  <c r="BD1478" i="4"/>
  <c r="BD1465" i="4"/>
  <c r="BD1452" i="4"/>
  <c r="BD1439" i="4"/>
  <c r="BD1424" i="4"/>
  <c r="BD1411" i="4"/>
  <c r="BD1398" i="4"/>
  <c r="BD1385" i="4"/>
  <c r="BD1372" i="4"/>
  <c r="BD1357" i="4"/>
  <c r="BD1344" i="4"/>
  <c r="BD1331" i="4"/>
  <c r="BD1318" i="4"/>
  <c r="BD1303" i="4"/>
  <c r="BD1290" i="4"/>
  <c r="BD1277" i="4"/>
  <c r="BD1264" i="4"/>
  <c r="BD1251" i="4"/>
  <c r="BD1236" i="4"/>
  <c r="BD1223" i="4"/>
  <c r="BD1210" i="4"/>
  <c r="BD1197" i="4"/>
  <c r="BD1182" i="4"/>
  <c r="BD1169" i="4"/>
  <c r="BD1156" i="4"/>
  <c r="BD1143" i="4"/>
  <c r="BD1130" i="4"/>
  <c r="BD1115" i="4"/>
  <c r="BD1102" i="4"/>
  <c r="BD1089" i="4"/>
  <c r="BD1076" i="4"/>
  <c r="BD1061" i="4"/>
  <c r="BD1049" i="4"/>
  <c r="BD1037" i="4"/>
  <c r="BD1025" i="4"/>
  <c r="BD1013" i="4"/>
  <c r="BD1001" i="4"/>
  <c r="BD989" i="4"/>
  <c r="BD977" i="4"/>
  <c r="BD965" i="4"/>
  <c r="BC953" i="4"/>
  <c r="BD941" i="4"/>
  <c r="BC930" i="4"/>
  <c r="BD918" i="4"/>
  <c r="BC907" i="4"/>
  <c r="BD895" i="4"/>
  <c r="BC884" i="4"/>
  <c r="BD872" i="4"/>
  <c r="BC861" i="4"/>
  <c r="BD849" i="4"/>
  <c r="BC838" i="4"/>
  <c r="BD826" i="4"/>
  <c r="BC815" i="4"/>
  <c r="BD803" i="4"/>
  <c r="BC792" i="4"/>
  <c r="BD780" i="4"/>
  <c r="BC769" i="4"/>
  <c r="BD757" i="4"/>
  <c r="BC746" i="4"/>
  <c r="BD734" i="4"/>
  <c r="BC723" i="4"/>
  <c r="BD711" i="4"/>
  <c r="BD700" i="4"/>
  <c r="BD689" i="4"/>
  <c r="BD678" i="4"/>
  <c r="BD667" i="4"/>
  <c r="BD656" i="4"/>
  <c r="BD645" i="4"/>
  <c r="BD634" i="4"/>
  <c r="BD623" i="4"/>
  <c r="BD612" i="4"/>
  <c r="BD601" i="4"/>
  <c r="BD590" i="4"/>
  <c r="BD579" i="4"/>
  <c r="BD568" i="4"/>
  <c r="BD557" i="4"/>
  <c r="BD546" i="4"/>
  <c r="BD535" i="4"/>
  <c r="BD524" i="4"/>
  <c r="BD513" i="4"/>
  <c r="BD502" i="4"/>
  <c r="BD491" i="4"/>
  <c r="BD480" i="4"/>
  <c r="BD469" i="4"/>
  <c r="BD458" i="4"/>
  <c r="BD447" i="4"/>
  <c r="BD436" i="4"/>
  <c r="BD425" i="4"/>
  <c r="BD414" i="4"/>
  <c r="BD403" i="4"/>
  <c r="BD392" i="4"/>
  <c r="BD381" i="4"/>
  <c r="BD370" i="4"/>
  <c r="BD359" i="4"/>
  <c r="BD348" i="4"/>
  <c r="BD337" i="4"/>
  <c r="BD326" i="4"/>
  <c r="BD315" i="4"/>
  <c r="BD304" i="4"/>
  <c r="BD293" i="4"/>
  <c r="BD282" i="4"/>
  <c r="BD271" i="4"/>
  <c r="BD260" i="4"/>
  <c r="BD249" i="4"/>
  <c r="BD238" i="4"/>
  <c r="BD227" i="4"/>
  <c r="BD216" i="4"/>
  <c r="BD205" i="4"/>
  <c r="BD194" i="4"/>
  <c r="BD183" i="4"/>
  <c r="BD172" i="4"/>
  <c r="BD161" i="4"/>
  <c r="BD150" i="4"/>
  <c r="BD139" i="4"/>
  <c r="BD128" i="4"/>
  <c r="BD117" i="4"/>
  <c r="BD106" i="4"/>
  <c r="BD95" i="4"/>
  <c r="BD84" i="4"/>
  <c r="BD73" i="4"/>
  <c r="BD62" i="4"/>
  <c r="BD51" i="4"/>
  <c r="BD40" i="4"/>
  <c r="BD29" i="4"/>
  <c r="BD18" i="4"/>
  <c r="BD7" i="4"/>
  <c r="BD4346" i="4"/>
  <c r="BD2526" i="4"/>
  <c r="BD1607" i="4"/>
  <c r="BC971" i="4"/>
  <c r="BC530" i="4"/>
  <c r="BC200" i="4"/>
  <c r="BC3468" i="4"/>
  <c r="BC2043" i="4"/>
  <c r="BD1135" i="4"/>
  <c r="BC6371" i="4"/>
  <c r="BC6262" i="4"/>
  <c r="BD6150" i="4"/>
  <c r="BC6068" i="4"/>
  <c r="BC5980" i="4"/>
  <c r="BC5871" i="4"/>
  <c r="BC5792" i="4"/>
  <c r="BC5702" i="4"/>
  <c r="BD5617" i="4"/>
  <c r="BD5549" i="4"/>
  <c r="BD5461" i="4"/>
  <c r="BD5393" i="4"/>
  <c r="BD5336" i="4"/>
  <c r="BC5273" i="4"/>
  <c r="BC5216" i="4"/>
  <c r="BD5136" i="4"/>
  <c r="BC5072" i="4"/>
  <c r="BD5014" i="4"/>
  <c r="BD4951" i="4"/>
  <c r="BD4886" i="4"/>
  <c r="BC4815" i="4"/>
  <c r="BC4750" i="4"/>
  <c r="BC4687" i="4"/>
  <c r="BD4629" i="4"/>
  <c r="BD4564" i="4"/>
  <c r="BC4488" i="4"/>
  <c r="BD4434" i="4"/>
  <c r="BC4373" i="4"/>
  <c r="BD4318" i="4"/>
  <c r="BD4256" i="4"/>
  <c r="BD4183" i="4"/>
  <c r="BD4138" i="4"/>
  <c r="BC4090" i="4"/>
  <c r="BC4048" i="4"/>
  <c r="BD4005" i="4"/>
  <c r="BC3970" i="4"/>
  <c r="BC3933" i="4"/>
  <c r="BD3896" i="4"/>
  <c r="BC3858" i="4"/>
  <c r="BD3821" i="4"/>
  <c r="BC3783" i="4"/>
  <c r="BD3747" i="4"/>
  <c r="BC3712" i="4"/>
  <c r="BD3677" i="4"/>
  <c r="BC3645" i="4"/>
  <c r="BD3612" i="4"/>
  <c r="BC3580" i="4"/>
  <c r="BD3547" i="4"/>
  <c r="BC3515" i="4"/>
  <c r="BD3482" i="4"/>
  <c r="BC3453" i="4"/>
  <c r="BC3423" i="4"/>
  <c r="BC3392" i="4"/>
  <c r="BC3361" i="4"/>
  <c r="BC3332" i="4"/>
  <c r="BC3302" i="4"/>
  <c r="BC3271" i="4"/>
  <c r="BC3240" i="4"/>
  <c r="BC3211" i="4"/>
  <c r="BC3181" i="4"/>
  <c r="BC3152" i="4"/>
  <c r="BC3126" i="4"/>
  <c r="BD3097" i="4"/>
  <c r="BC3077" i="4"/>
  <c r="BD3050" i="4"/>
  <c r="BD3023" i="4"/>
  <c r="BC2998" i="4"/>
  <c r="BC2974" i="4"/>
  <c r="BC2950" i="4"/>
  <c r="BC2931" i="4"/>
  <c r="BC2907" i="4"/>
  <c r="BC2883" i="4"/>
  <c r="BC2860" i="4"/>
  <c r="BD2836" i="4"/>
  <c r="BD2813" i="4"/>
  <c r="BC2797" i="4"/>
  <c r="BD2775" i="4"/>
  <c r="BD2754" i="4"/>
  <c r="BC2736" i="4"/>
  <c r="BC2718" i="4"/>
  <c r="BC2698" i="4"/>
  <c r="BC2682" i="4"/>
  <c r="BD2662" i="4"/>
  <c r="BD2644" i="4"/>
  <c r="BD2626" i="4"/>
  <c r="BD2607" i="4"/>
  <c r="BC2591" i="4"/>
  <c r="BC2571" i="4"/>
  <c r="BD2555" i="4"/>
  <c r="BD2535" i="4"/>
  <c r="BD2517" i="4"/>
  <c r="BC2500" i="4"/>
  <c r="BD2480" i="4"/>
  <c r="BD2464" i="4"/>
  <c r="BC2445" i="4"/>
  <c r="BD2429" i="4"/>
  <c r="BC2412" i="4"/>
  <c r="BD2397" i="4"/>
  <c r="BD2381" i="4"/>
  <c r="BD2366" i="4"/>
  <c r="BD2352" i="4"/>
  <c r="BD2335" i="4"/>
  <c r="BD2321" i="4"/>
  <c r="BD2307" i="4"/>
  <c r="BD2290" i="4"/>
  <c r="BD2276" i="4"/>
  <c r="BD2260" i="4"/>
  <c r="BD2245" i="4"/>
  <c r="BD2231" i="4"/>
  <c r="BD2214" i="4"/>
  <c r="BD2200" i="4"/>
  <c r="BD2186" i="4"/>
  <c r="BD2169" i="4"/>
  <c r="BD2155" i="4"/>
  <c r="BD2139" i="4"/>
  <c r="BD2124" i="4"/>
  <c r="BD2110" i="4"/>
  <c r="BD2093" i="4"/>
  <c r="BD2079" i="4"/>
  <c r="BD2065" i="4"/>
  <c r="BD2048" i="4"/>
  <c r="BD2034" i="4"/>
  <c r="BD2018" i="4"/>
  <c r="BD2003" i="4"/>
  <c r="BD1989" i="4"/>
  <c r="BD1972" i="4"/>
  <c r="BD1958" i="4"/>
  <c r="BD1944" i="4"/>
  <c r="BD1927" i="4"/>
  <c r="BD1913" i="4"/>
  <c r="BD1897" i="4"/>
  <c r="BD1882" i="4"/>
  <c r="BD1868" i="4"/>
  <c r="BD1851" i="4"/>
  <c r="BD1837" i="4"/>
  <c r="BD1823" i="4"/>
  <c r="BD1806" i="4"/>
  <c r="BD1792" i="4"/>
  <c r="BD1776" i="4"/>
  <c r="BD1761" i="4"/>
  <c r="BD1747" i="4"/>
  <c r="BD1730" i="4"/>
  <c r="BD1716" i="4"/>
  <c r="BD1702" i="4"/>
  <c r="BD1685" i="4"/>
  <c r="BD1671" i="4"/>
  <c r="BC1658" i="4"/>
  <c r="BC1642" i="4"/>
  <c r="BD1628" i="4"/>
  <c r="BC1615" i="4"/>
  <c r="BC1599" i="4"/>
  <c r="BC1586" i="4"/>
  <c r="BC1573" i="4"/>
  <c r="BC1560" i="4"/>
  <c r="BC1545" i="4"/>
  <c r="BC1532" i="4"/>
  <c r="BC1519" i="4"/>
  <c r="BC1506" i="4"/>
  <c r="BC1493" i="4"/>
  <c r="BC1478" i="4"/>
  <c r="BC1465" i="4"/>
  <c r="BC1452" i="4"/>
  <c r="BC1439" i="4"/>
  <c r="BC1424" i="4"/>
  <c r="BC1411" i="4"/>
  <c r="BC1398" i="4"/>
  <c r="BC1385" i="4"/>
  <c r="BC1372" i="4"/>
  <c r="BC1357" i="4"/>
  <c r="BC1344" i="4"/>
  <c r="BC1331" i="4"/>
  <c r="BC1318" i="4"/>
  <c r="BC1303" i="4"/>
  <c r="BC1290" i="4"/>
  <c r="BC1277" i="4"/>
  <c r="BC1264" i="4"/>
  <c r="BC1251" i="4"/>
  <c r="BC1236" i="4"/>
  <c r="BC1223" i="4"/>
  <c r="BC1210" i="4"/>
  <c r="BC1197" i="4"/>
  <c r="BC1182" i="4"/>
  <c r="BC1169" i="4"/>
  <c r="BC1156" i="4"/>
  <c r="BC1143" i="4"/>
  <c r="BC1130" i="4"/>
  <c r="BC1115" i="4"/>
  <c r="BC1102" i="4"/>
  <c r="BC1089" i="4"/>
  <c r="BC1076" i="4"/>
  <c r="BC1061" i="4"/>
  <c r="BC1049" i="4"/>
  <c r="BC1037" i="4"/>
  <c r="BC1025" i="4"/>
  <c r="BC1013" i="4"/>
  <c r="BC1001" i="4"/>
  <c r="BC989" i="4"/>
  <c r="BC977" i="4"/>
  <c r="BC965" i="4"/>
  <c r="BD952" i="4"/>
  <c r="BC941" i="4"/>
  <c r="BD929" i="4"/>
  <c r="BC918" i="4"/>
  <c r="BD906" i="4"/>
  <c r="BC895" i="4"/>
  <c r="BD883" i="4"/>
  <c r="BC872" i="4"/>
  <c r="BD860" i="4"/>
  <c r="BC849" i="4"/>
  <c r="BD837" i="4"/>
  <c r="BC826" i="4"/>
  <c r="BD814" i="4"/>
  <c r="BC803" i="4"/>
  <c r="BD791" i="4"/>
  <c r="BC780" i="4"/>
  <c r="BD768" i="4"/>
  <c r="BC757" i="4"/>
  <c r="BD745" i="4"/>
  <c r="BC734" i="4"/>
  <c r="BC722" i="4"/>
  <c r="BC711" i="4"/>
  <c r="BC700" i="4"/>
  <c r="BC689" i="4"/>
  <c r="BC678" i="4"/>
  <c r="BC667" i="4"/>
  <c r="BC656" i="4"/>
  <c r="BC645" i="4"/>
  <c r="BC634" i="4"/>
  <c r="BC623" i="4"/>
  <c r="BC612" i="4"/>
  <c r="BC601" i="4"/>
  <c r="BC590" i="4"/>
  <c r="BC579" i="4"/>
  <c r="BC568" i="4"/>
  <c r="BC557" i="4"/>
  <c r="BC546" i="4"/>
  <c r="BC535" i="4"/>
  <c r="BC524" i="4"/>
  <c r="BC513" i="4"/>
  <c r="BC502" i="4"/>
  <c r="BC491" i="4"/>
  <c r="BC480" i="4"/>
  <c r="BC469" i="4"/>
  <c r="BC458" i="4"/>
  <c r="BC447" i="4"/>
  <c r="BC436" i="4"/>
  <c r="BC425" i="4"/>
  <c r="BC414" i="4"/>
  <c r="BC403" i="4"/>
  <c r="BC392" i="4"/>
  <c r="BC381" i="4"/>
  <c r="BC370" i="4"/>
  <c r="BC359" i="4"/>
  <c r="BC348" i="4"/>
  <c r="BC337" i="4"/>
  <c r="BC326" i="4"/>
  <c r="BC315" i="4"/>
  <c r="BC304" i="4"/>
  <c r="BC293" i="4"/>
  <c r="BC282" i="4"/>
  <c r="BC271" i="4"/>
  <c r="BC260" i="4"/>
  <c r="BC249" i="4"/>
  <c r="BC238" i="4"/>
  <c r="BC227" i="4"/>
  <c r="BC216" i="4"/>
  <c r="BC205" i="4"/>
  <c r="BC194" i="4"/>
  <c r="BC183" i="4"/>
  <c r="BC172" i="4"/>
  <c r="BC161" i="4"/>
  <c r="BC150" i="4"/>
  <c r="BC139" i="4"/>
  <c r="BC128" i="4"/>
  <c r="BC117" i="4"/>
  <c r="BC106" i="4"/>
  <c r="BC95" i="4"/>
  <c r="BC84" i="4"/>
  <c r="BC73" i="4"/>
  <c r="BC62" i="4"/>
  <c r="BC51" i="4"/>
  <c r="BC40" i="4"/>
  <c r="BC29" i="4"/>
  <c r="BC18" i="4"/>
  <c r="BC7" i="4"/>
  <c r="BD5180" i="4"/>
  <c r="BD2581" i="4"/>
  <c r="BC1218" i="4"/>
  <c r="BC354" i="4"/>
  <c r="BD3763" i="4"/>
  <c r="BC2192" i="4"/>
  <c r="BD1230" i="4"/>
  <c r="BD6367" i="4"/>
  <c r="BD6261" i="4"/>
  <c r="BD6147" i="4"/>
  <c r="BD6067" i="4"/>
  <c r="BD5979" i="4"/>
  <c r="BC5870" i="4"/>
  <c r="BD5791" i="4"/>
  <c r="BD5701" i="4"/>
  <c r="BC5617" i="4"/>
  <c r="BC5549" i="4"/>
  <c r="BC5461" i="4"/>
  <c r="BC5393" i="4"/>
  <c r="BC5336" i="4"/>
  <c r="BD5272" i="4"/>
  <c r="BD5215" i="4"/>
  <c r="BC5136" i="4"/>
  <c r="BD5071" i="4"/>
  <c r="BC5014" i="4"/>
  <c r="BC4951" i="4"/>
  <c r="BC4886" i="4"/>
  <c r="BD4814" i="4"/>
  <c r="BD4749" i="4"/>
  <c r="BD4686" i="4"/>
  <c r="BC4629" i="4"/>
  <c r="BC4564" i="4"/>
  <c r="BD4487" i="4"/>
  <c r="BC4433" i="4"/>
  <c r="BD4372" i="4"/>
  <c r="BC4318" i="4"/>
  <c r="BC4256" i="4"/>
  <c r="BC4183" i="4"/>
  <c r="BD4132" i="4"/>
  <c r="BD4089" i="4"/>
  <c r="BD4043" i="4"/>
  <c r="BC4004" i="4"/>
  <c r="BC3967" i="4"/>
  <c r="BD3932" i="4"/>
  <c r="BC3894" i="4"/>
  <c r="BD3857" i="4"/>
  <c r="BD3820" i="4"/>
  <c r="BD3782" i="4"/>
  <c r="BC3747" i="4"/>
  <c r="BD3711" i="4"/>
  <c r="BC3677" i="4"/>
  <c r="BD3644" i="4"/>
  <c r="BC3612" i="4"/>
  <c r="BD3579" i="4"/>
  <c r="BC3547" i="4"/>
  <c r="BD3514" i="4"/>
  <c r="BC3482" i="4"/>
  <c r="BD3452" i="4"/>
  <c r="BD3422" i="4"/>
  <c r="BD3391" i="4"/>
  <c r="BD3360" i="4"/>
  <c r="BD3331" i="4"/>
  <c r="BD3301" i="4"/>
  <c r="BD3270" i="4"/>
  <c r="BD3239" i="4"/>
  <c r="BD3210" i="4"/>
  <c r="BD3180" i="4"/>
  <c r="BD3151" i="4"/>
  <c r="BD3125" i="4"/>
  <c r="BC3097" i="4"/>
  <c r="BD3073" i="4"/>
  <c r="BC3050" i="4"/>
  <c r="BC3022" i="4"/>
  <c r="BD2997" i="4"/>
  <c r="BD2973" i="4"/>
  <c r="BD2949" i="4"/>
  <c r="BC2928" i="4"/>
  <c r="BD2906" i="4"/>
  <c r="BD2882" i="4"/>
  <c r="BC2859" i="4"/>
  <c r="BC2836" i="4"/>
  <c r="BC2813" i="4"/>
  <c r="BC2794" i="4"/>
  <c r="BC2775" i="4"/>
  <c r="BC2754" i="4"/>
  <c r="BC2733" i="4"/>
  <c r="BD2717" i="4"/>
  <c r="BD2697" i="4"/>
  <c r="BD2681" i="4"/>
  <c r="BC2662" i="4"/>
  <c r="BC2644" i="4"/>
  <c r="BC2626" i="4"/>
  <c r="BC2606" i="4"/>
  <c r="BD2590" i="4"/>
  <c r="BD2570" i="4"/>
  <c r="BC2555" i="4"/>
  <c r="BC2535" i="4"/>
  <c r="BC2517" i="4"/>
  <c r="BD2499" i="4"/>
  <c r="BD2479" i="4"/>
  <c r="BC2464" i="4"/>
  <c r="BD2444" i="4"/>
  <c r="BC2429" i="4"/>
  <c r="BC2411" i="4"/>
  <c r="BC2397" i="4"/>
  <c r="BC2381" i="4"/>
  <c r="BC2366" i="4"/>
  <c r="BC2352" i="4"/>
  <c r="BC2335" i="4"/>
  <c r="BC2321" i="4"/>
  <c r="BC2307" i="4"/>
  <c r="BC2290" i="4"/>
  <c r="BC2276" i="4"/>
  <c r="BC2260" i="4"/>
  <c r="BC2245" i="4"/>
  <c r="BC2231" i="4"/>
  <c r="BC2214" i="4"/>
  <c r="BC2200" i="4"/>
  <c r="BC2186" i="4"/>
  <c r="BC2169" i="4"/>
  <c r="BC2155" i="4"/>
  <c r="BC2139" i="4"/>
  <c r="BC2124" i="4"/>
  <c r="BC2110" i="4"/>
  <c r="BC2093" i="4"/>
  <c r="BC2079" i="4"/>
  <c r="BC2065" i="4"/>
  <c r="BC2048" i="4"/>
  <c r="BC2034" i="4"/>
  <c r="BC2018" i="4"/>
  <c r="BC2003" i="4"/>
  <c r="BC1989" i="4"/>
  <c r="BC1972" i="4"/>
  <c r="BC1958" i="4"/>
  <c r="BC1944" i="4"/>
  <c r="BC1927" i="4"/>
  <c r="BC1913" i="4"/>
  <c r="BC1897" i="4"/>
  <c r="BC1882" i="4"/>
  <c r="BC1868" i="4"/>
  <c r="BC1851" i="4"/>
  <c r="BC1837" i="4"/>
  <c r="BC1823" i="4"/>
  <c r="BC1806" i="4"/>
  <c r="BC1792" i="4"/>
  <c r="BC1776" i="4"/>
  <c r="BC1761" i="4"/>
  <c r="BC1747" i="4"/>
  <c r="BC1730" i="4"/>
  <c r="BC1716" i="4"/>
  <c r="BC1702" i="4"/>
  <c r="BC1685" i="4"/>
  <c r="BC1671" i="4"/>
  <c r="BD1655" i="4"/>
  <c r="BD1641" i="4"/>
  <c r="BC1628" i="4"/>
  <c r="BD1614" i="4"/>
  <c r="BD1598" i="4"/>
  <c r="BD1585" i="4"/>
  <c r="BD1572" i="4"/>
  <c r="BD1559" i="4"/>
  <c r="BD1544" i="4"/>
  <c r="BD1531" i="4"/>
  <c r="BD1518" i="4"/>
  <c r="BD1505" i="4"/>
  <c r="BD1490" i="4"/>
  <c r="BD1477" i="4"/>
  <c r="BD1464" i="4"/>
  <c r="BD1451" i="4"/>
  <c r="BD1438" i="4"/>
  <c r="BD1423" i="4"/>
  <c r="BD1410" i="4"/>
  <c r="BD1397" i="4"/>
  <c r="BD1384" i="4"/>
  <c r="BD1369" i="4"/>
  <c r="BD1356" i="4"/>
  <c r="BD1343" i="4"/>
  <c r="BD1330" i="4"/>
  <c r="BD1317" i="4"/>
  <c r="BD1302" i="4"/>
  <c r="BD1289" i="4"/>
  <c r="BD1276" i="4"/>
  <c r="BD1263" i="4"/>
  <c r="BD1248" i="4"/>
  <c r="BD1235" i="4"/>
  <c r="BD1222" i="4"/>
  <c r="BD1209" i="4"/>
  <c r="BD1196" i="4"/>
  <c r="BD1181" i="4"/>
  <c r="BD1168" i="4"/>
  <c r="BD1155" i="4"/>
  <c r="BD1142" i="4"/>
  <c r="BD1127" i="4"/>
  <c r="BD1114" i="4"/>
  <c r="BD1101" i="4"/>
  <c r="BD1088" i="4"/>
  <c r="BD1075" i="4"/>
  <c r="BD1060" i="4"/>
  <c r="BD1048" i="4"/>
  <c r="BD1036" i="4"/>
  <c r="BD1024" i="4"/>
  <c r="BD1012" i="4"/>
  <c r="BD1000" i="4"/>
  <c r="BD988" i="4"/>
  <c r="BD976" i="4"/>
  <c r="BD963" i="4"/>
  <c r="BC952" i="4"/>
  <c r="BD940" i="4"/>
  <c r="BC929" i="4"/>
  <c r="BD917" i="4"/>
  <c r="BC906" i="4"/>
  <c r="BD894" i="4"/>
  <c r="BC883" i="4"/>
  <c r="BD871" i="4"/>
  <c r="BC860" i="4"/>
  <c r="BD848" i="4"/>
  <c r="BC837" i="4"/>
  <c r="BD825" i="4"/>
  <c r="BC814" i="4"/>
  <c r="BD802" i="4"/>
  <c r="BC791" i="4"/>
  <c r="BD779" i="4"/>
  <c r="BC768" i="4"/>
  <c r="BD756" i="4"/>
  <c r="BC745" i="4"/>
  <c r="BC733" i="4"/>
  <c r="BD721" i="4"/>
  <c r="BD710" i="4"/>
  <c r="BD699" i="4"/>
  <c r="BD688" i="4"/>
  <c r="BD677" i="4"/>
  <c r="BD666" i="4"/>
  <c r="BD655" i="4"/>
  <c r="BD644" i="4"/>
  <c r="BD633" i="4"/>
  <c r="BD622" i="4"/>
  <c r="BD611" i="4"/>
  <c r="BD600" i="4"/>
  <c r="BD589" i="4"/>
  <c r="BD578" i="4"/>
  <c r="BD567" i="4"/>
  <c r="BD556" i="4"/>
  <c r="BD545" i="4"/>
  <c r="BD534" i="4"/>
  <c r="BD523" i="4"/>
  <c r="BD512" i="4"/>
  <c r="BD501" i="4"/>
  <c r="BD490" i="4"/>
  <c r="BD479" i="4"/>
  <c r="BD468" i="4"/>
  <c r="BD457" i="4"/>
  <c r="BD446" i="4"/>
  <c r="BD435" i="4"/>
  <c r="BD424" i="4"/>
  <c r="BD413" i="4"/>
  <c r="BD402" i="4"/>
  <c r="BD391" i="4"/>
  <c r="BD380" i="4"/>
  <c r="BD369" i="4"/>
  <c r="BD358" i="4"/>
  <c r="BD347" i="4"/>
  <c r="BD336" i="4"/>
  <c r="BD325" i="4"/>
  <c r="BD314" i="4"/>
  <c r="BD303" i="4"/>
  <c r="BD292" i="4"/>
  <c r="BD281" i="4"/>
  <c r="BD270" i="4"/>
  <c r="BD259" i="4"/>
  <c r="BD248" i="4"/>
  <c r="BD237" i="4"/>
  <c r="BD226" i="4"/>
  <c r="BD215" i="4"/>
  <c r="BD204" i="4"/>
  <c r="BD193" i="4"/>
  <c r="BD182" i="4"/>
  <c r="BD171" i="4"/>
  <c r="BD160" i="4"/>
  <c r="BD149" i="4"/>
  <c r="BD138" i="4"/>
  <c r="BD127" i="4"/>
  <c r="BD116" i="4"/>
  <c r="BD105" i="4"/>
  <c r="BD94" i="4"/>
  <c r="BD83" i="4"/>
  <c r="BD72" i="4"/>
  <c r="BD61" i="4"/>
  <c r="BD50" i="4"/>
  <c r="BD39" i="4"/>
  <c r="BD28" i="4"/>
  <c r="BD17" i="4"/>
  <c r="BD6" i="4"/>
  <c r="BD3437" i="4"/>
  <c r="BC1324" i="4"/>
  <c r="BC46" i="4"/>
  <c r="BD6108" i="4"/>
  <c r="BD6364" i="4"/>
  <c r="BC6261" i="4"/>
  <c r="BC6147" i="4"/>
  <c r="BD6056" i="4"/>
  <c r="BC5957" i="4"/>
  <c r="BD5868" i="4"/>
  <c r="BC5780" i="4"/>
  <c r="BC5701" i="4"/>
  <c r="BD5616" i="4"/>
  <c r="BC5524" i="4"/>
  <c r="BD5460" i="4"/>
  <c r="BD5392" i="4"/>
  <c r="BD5335" i="4"/>
  <c r="BC5272" i="4"/>
  <c r="BC5193" i="4"/>
  <c r="BD5135" i="4"/>
  <c r="BD5070" i="4"/>
  <c r="BD5007" i="4"/>
  <c r="BD4950" i="4"/>
  <c r="BC4871" i="4"/>
  <c r="BC4806" i="4"/>
  <c r="BC4749" i="4"/>
  <c r="BD4685" i="4"/>
  <c r="BD4628" i="4"/>
  <c r="BD4549" i="4"/>
  <c r="BC4487" i="4"/>
  <c r="BD4432" i="4"/>
  <c r="BC4372" i="4"/>
  <c r="BC4310" i="4"/>
  <c r="BC4242" i="4"/>
  <c r="BD4182" i="4"/>
  <c r="BC4132" i="4"/>
  <c r="BC4089" i="4"/>
  <c r="BC4043" i="4"/>
  <c r="BD4003" i="4"/>
  <c r="BD3966" i="4"/>
  <c r="BD3929" i="4"/>
  <c r="BD3893" i="4"/>
  <c r="BD3856" i="4"/>
  <c r="BC3820" i="4"/>
  <c r="BD3781" i="4"/>
  <c r="BD3746" i="4"/>
  <c r="BC3711" i="4"/>
  <c r="BD3676" i="4"/>
  <c r="BC3644" i="4"/>
  <c r="BD3611" i="4"/>
  <c r="BC3579" i="4"/>
  <c r="BD3546" i="4"/>
  <c r="BC3514" i="4"/>
  <c r="BD3481" i="4"/>
  <c r="BD3450" i="4"/>
  <c r="BD3421" i="4"/>
  <c r="BC3391" i="4"/>
  <c r="BC3360" i="4"/>
  <c r="BD3329" i="4"/>
  <c r="BD3300" i="4"/>
  <c r="BC3270" i="4"/>
  <c r="BC3239" i="4"/>
  <c r="BD3208" i="4"/>
  <c r="BD3179" i="4"/>
  <c r="BC3151" i="4"/>
  <c r="BD3124" i="4"/>
  <c r="BD3096" i="4"/>
  <c r="BD3070" i="4"/>
  <c r="BD3049" i="4"/>
  <c r="BD3021" i="4"/>
  <c r="BC2997" i="4"/>
  <c r="BC2973" i="4"/>
  <c r="BC2949" i="4"/>
  <c r="BD2924" i="4"/>
  <c r="BC2906" i="4"/>
  <c r="BC2882" i="4"/>
  <c r="BD2858" i="4"/>
  <c r="BC2835" i="4"/>
  <c r="BD2812" i="4"/>
  <c r="BD2790" i="4"/>
  <c r="BD2774" i="4"/>
  <c r="BD2753" i="4"/>
  <c r="BD2732" i="4"/>
  <c r="BC2717" i="4"/>
  <c r="BC2697" i="4"/>
  <c r="BC2679" i="4"/>
  <c r="BC2661" i="4"/>
  <c r="BC2642" i="4"/>
  <c r="BD2625" i="4"/>
  <c r="BD2605" i="4"/>
  <c r="BC2590" i="4"/>
  <c r="BC2570" i="4"/>
  <c r="BD2552" i="4"/>
  <c r="BD2534" i="4"/>
  <c r="BC2515" i="4"/>
  <c r="BC2499" i="4"/>
  <c r="BC2479" i="4"/>
  <c r="BC2463" i="4"/>
  <c r="BC2444" i="4"/>
  <c r="BD2428" i="4"/>
  <c r="BD2410" i="4"/>
  <c r="BD2396" i="4"/>
  <c r="BD2379" i="4"/>
  <c r="BD2365" i="4"/>
  <c r="BD2351" i="4"/>
  <c r="BD2334" i="4"/>
  <c r="BD2320" i="4"/>
  <c r="BD2304" i="4"/>
  <c r="BD2289" i="4"/>
  <c r="BD2275" i="4"/>
  <c r="BD2258" i="4"/>
  <c r="BD2244" i="4"/>
  <c r="BD2230" i="4"/>
  <c r="BD2213" i="4"/>
  <c r="BD2199" i="4"/>
  <c r="BD2183" i="4"/>
  <c r="BD2168" i="4"/>
  <c r="BD2154" i="4"/>
  <c r="BD2137" i="4"/>
  <c r="BD2123" i="4"/>
  <c r="BD2109" i="4"/>
  <c r="BD2092" i="4"/>
  <c r="BD2078" i="4"/>
  <c r="BD2062" i="4"/>
  <c r="BD2047" i="4"/>
  <c r="BD2033" i="4"/>
  <c r="BD2016" i="4"/>
  <c r="BD2002" i="4"/>
  <c r="BD1988" i="4"/>
  <c r="BD1971" i="4"/>
  <c r="BD1957" i="4"/>
  <c r="BD1941" i="4"/>
  <c r="BD1926" i="4"/>
  <c r="BD1912" i="4"/>
  <c r="BD1895" i="4"/>
  <c r="BD1881" i="4"/>
  <c r="BD1867" i="4"/>
  <c r="BD1850" i="4"/>
  <c r="BD1836" i="4"/>
  <c r="BD1820" i="4"/>
  <c r="BD1805" i="4"/>
  <c r="BD1791" i="4"/>
  <c r="BD1774" i="4"/>
  <c r="BD1760" i="4"/>
  <c r="BD1746" i="4"/>
  <c r="BD1729" i="4"/>
  <c r="BD1715" i="4"/>
  <c r="BD1699" i="4"/>
  <c r="BD1684" i="4"/>
  <c r="BD1670" i="4"/>
  <c r="BC1655" i="4"/>
  <c r="BC1641" i="4"/>
  <c r="BD1627" i="4"/>
  <c r="BC1614" i="4"/>
  <c r="BC1598" i="4"/>
  <c r="BC1585" i="4"/>
  <c r="BC1572" i="4"/>
  <c r="BC1559" i="4"/>
  <c r="BC1544" i="4"/>
  <c r="BC1531" i="4"/>
  <c r="BC1518" i="4"/>
  <c r="BC1505" i="4"/>
  <c r="BC1490" i="4"/>
  <c r="BC1477" i="4"/>
  <c r="BC1464" i="4"/>
  <c r="BC1451" i="4"/>
  <c r="BC1438" i="4"/>
  <c r="BC1423" i="4"/>
  <c r="BC1410" i="4"/>
  <c r="BC1397" i="4"/>
  <c r="BC1384" i="4"/>
  <c r="BC1369" i="4"/>
  <c r="BC1356" i="4"/>
  <c r="BC1343" i="4"/>
  <c r="BC1330" i="4"/>
  <c r="BC1317" i="4"/>
  <c r="BC1302" i="4"/>
  <c r="BC1289" i="4"/>
  <c r="BC1276" i="4"/>
  <c r="BC1263" i="4"/>
  <c r="BC1248" i="4"/>
  <c r="BC1235" i="4"/>
  <c r="BC1222" i="4"/>
  <c r="BC1209" i="4"/>
  <c r="BC1196" i="4"/>
  <c r="BC1181" i="4"/>
  <c r="BC1168" i="4"/>
  <c r="BC1155" i="4"/>
  <c r="BC1142" i="4"/>
  <c r="BC1127" i="4"/>
  <c r="BC1114" i="4"/>
  <c r="BC1101" i="4"/>
  <c r="BC1088" i="4"/>
  <c r="BC1075" i="4"/>
  <c r="BC1060" i="4"/>
  <c r="BC1048" i="4"/>
  <c r="BC1036" i="4"/>
  <c r="BC1024" i="4"/>
  <c r="BC1012" i="4"/>
  <c r="BC1000" i="4"/>
  <c r="BC988" i="4"/>
  <c r="BC976" i="4"/>
  <c r="BC963" i="4"/>
  <c r="BD951" i="4"/>
  <c r="BC940" i="4"/>
  <c r="BD928" i="4"/>
  <c r="BC917" i="4"/>
  <c r="BD905" i="4"/>
  <c r="BC894" i="4"/>
  <c r="BD882" i="4"/>
  <c r="BC871" i="4"/>
  <c r="BD859" i="4"/>
  <c r="BC848" i="4"/>
  <c r="BD836" i="4"/>
  <c r="BC825" i="4"/>
  <c r="BD813" i="4"/>
  <c r="BC802" i="4"/>
  <c r="BD790" i="4"/>
  <c r="BC779" i="4"/>
  <c r="BD767" i="4"/>
  <c r="BC756" i="4"/>
  <c r="BC744" i="4"/>
  <c r="BD732" i="4"/>
  <c r="BC721" i="4"/>
  <c r="BC710" i="4"/>
  <c r="BC699" i="4"/>
  <c r="BC688" i="4"/>
  <c r="BC677" i="4"/>
  <c r="BC666" i="4"/>
  <c r="BC655" i="4"/>
  <c r="BC644" i="4"/>
  <c r="BC633" i="4"/>
  <c r="BC622" i="4"/>
  <c r="BC611" i="4"/>
  <c r="BC600" i="4"/>
  <c r="BC589" i="4"/>
  <c r="BC578" i="4"/>
  <c r="BC567" i="4"/>
  <c r="BC556" i="4"/>
  <c r="BC545" i="4"/>
  <c r="BC534" i="4"/>
  <c r="BC523" i="4"/>
  <c r="BC512" i="4"/>
  <c r="BC501" i="4"/>
  <c r="BC490" i="4"/>
  <c r="BC479" i="4"/>
  <c r="BC468" i="4"/>
  <c r="BC457" i="4"/>
  <c r="BC446" i="4"/>
  <c r="BC435" i="4"/>
  <c r="BC424" i="4"/>
  <c r="BC413" i="4"/>
  <c r="BC402" i="4"/>
  <c r="BC391" i="4"/>
  <c r="BC380" i="4"/>
  <c r="BC369" i="4"/>
  <c r="BC358" i="4"/>
  <c r="BC347" i="4"/>
  <c r="BC336" i="4"/>
  <c r="BC325" i="4"/>
  <c r="BC314" i="4"/>
  <c r="BC303" i="4"/>
  <c r="BC292" i="4"/>
  <c r="BC281" i="4"/>
  <c r="BC270" i="4"/>
  <c r="BC259" i="4"/>
  <c r="BC248" i="4"/>
  <c r="BC237" i="4"/>
  <c r="BC226" i="4"/>
  <c r="BC215" i="4"/>
  <c r="BC204" i="4"/>
  <c r="BC193" i="4"/>
  <c r="BC182" i="4"/>
  <c r="BC171" i="4"/>
  <c r="BC160" i="4"/>
  <c r="BC149" i="4"/>
  <c r="BC138" i="4"/>
  <c r="BC127" i="4"/>
  <c r="BC116" i="4"/>
  <c r="BC105" i="4"/>
  <c r="BC94" i="4"/>
  <c r="BC83" i="4"/>
  <c r="BC72" i="4"/>
  <c r="BC61" i="4"/>
  <c r="BC50" i="4"/>
  <c r="BC39" i="4"/>
  <c r="BC28" i="4"/>
  <c r="BC17" i="4"/>
  <c r="BC6" i="4"/>
  <c r="BD2223" i="4"/>
  <c r="BD6362" i="4"/>
  <c r="BD6260" i="4"/>
  <c r="BC6146" i="4"/>
  <c r="BC6056" i="4"/>
  <c r="BD5956" i="4"/>
  <c r="BC5868" i="4"/>
  <c r="BD5779" i="4"/>
  <c r="BD5700" i="4"/>
  <c r="BC5616" i="4"/>
  <c r="BD5523" i="4"/>
  <c r="BC5460" i="4"/>
  <c r="BC5392" i="4"/>
  <c r="BD5334" i="4"/>
  <c r="BC5271" i="4"/>
  <c r="BD5192" i="4"/>
  <c r="BC5135" i="4"/>
  <c r="BC5070" i="4"/>
  <c r="BC5007" i="4"/>
  <c r="BD4949" i="4"/>
  <c r="BD4870" i="4"/>
  <c r="BD4805" i="4"/>
  <c r="BD4748" i="4"/>
  <c r="BC4685" i="4"/>
  <c r="BC4628" i="4"/>
  <c r="BC4549" i="4"/>
  <c r="BD4486" i="4"/>
  <c r="BC4432" i="4"/>
  <c r="BD4371" i="4"/>
  <c r="BD4309" i="4"/>
  <c r="BD4241" i="4"/>
  <c r="BD4181" i="4"/>
  <c r="BD4131" i="4"/>
  <c r="BD4088" i="4"/>
  <c r="BD4042" i="4"/>
  <c r="BC4003" i="4"/>
  <c r="BC3966" i="4"/>
  <c r="BD3928" i="4"/>
  <c r="BD3890" i="4"/>
  <c r="BC3856" i="4"/>
  <c r="BD3818" i="4"/>
  <c r="BC3781" i="4"/>
  <c r="BD3745" i="4"/>
  <c r="BD3710" i="4"/>
  <c r="BC3676" i="4"/>
  <c r="BD3643" i="4"/>
  <c r="BC3611" i="4"/>
  <c r="BD3578" i="4"/>
  <c r="BC3546" i="4"/>
  <c r="BD3513" i="4"/>
  <c r="BC3481" i="4"/>
  <c r="BD3449" i="4"/>
  <c r="BC3421" i="4"/>
  <c r="BD3390" i="4"/>
  <c r="BD3359" i="4"/>
  <c r="BD3328" i="4"/>
  <c r="BC3300" i="4"/>
  <c r="BD3269" i="4"/>
  <c r="BD3238" i="4"/>
  <c r="BD3207" i="4"/>
  <c r="BC3179" i="4"/>
  <c r="BD3150" i="4"/>
  <c r="BC3124" i="4"/>
  <c r="BC3096" i="4"/>
  <c r="BD3069" i="4"/>
  <c r="BD3045" i="4"/>
  <c r="BD3020" i="4"/>
  <c r="BD2996" i="4"/>
  <c r="BD2972" i="4"/>
  <c r="BD2948" i="4"/>
  <c r="BC2924" i="4"/>
  <c r="BD2902" i="4"/>
  <c r="BC2881" i="4"/>
  <c r="BC2858" i="4"/>
  <c r="BD2834" i="4"/>
  <c r="BC2812" i="4"/>
  <c r="BC2790" i="4"/>
  <c r="BC2774" i="4"/>
  <c r="BC2753" i="4"/>
  <c r="BC2732" i="4"/>
  <c r="BC2716" i="4"/>
  <c r="BD2696" i="4"/>
  <c r="BD2678" i="4"/>
  <c r="BD2660" i="4"/>
  <c r="BC2641" i="4"/>
  <c r="BC2625" i="4"/>
  <c r="BC2605" i="4"/>
  <c r="BD2589" i="4"/>
  <c r="BD2569" i="4"/>
  <c r="BC2552" i="4"/>
  <c r="BC2534" i="4"/>
  <c r="BC2514" i="4"/>
  <c r="BD2498" i="4"/>
  <c r="BD2478" i="4"/>
  <c r="BD2462" i="4"/>
  <c r="BD2443" i="4"/>
  <c r="BC2428" i="4"/>
  <c r="BC2410" i="4"/>
  <c r="BC2396" i="4"/>
  <c r="BC2379" i="4"/>
  <c r="BC2365" i="4"/>
  <c r="BC2351" i="4"/>
  <c r="BC2334" i="4"/>
  <c r="BC2320" i="4"/>
  <c r="BC2304" i="4"/>
  <c r="BC2289" i="4"/>
  <c r="BC2275" i="4"/>
  <c r="BC2258" i="4"/>
  <c r="BC2244" i="4"/>
  <c r="BC2230" i="4"/>
  <c r="BC2213" i="4"/>
  <c r="BC2199" i="4"/>
  <c r="BC2183" i="4"/>
  <c r="BC2168" i="4"/>
  <c r="BC2154" i="4"/>
  <c r="BC2137" i="4"/>
  <c r="BC2123" i="4"/>
  <c r="BC2109" i="4"/>
  <c r="BC2092" i="4"/>
  <c r="BC2078" i="4"/>
  <c r="BC2062" i="4"/>
  <c r="BC2047" i="4"/>
  <c r="BC2033" i="4"/>
  <c r="BC2016" i="4"/>
  <c r="BC2002" i="4"/>
  <c r="BC1988" i="4"/>
  <c r="BC1971" i="4"/>
  <c r="BC1957" i="4"/>
  <c r="BC1941" i="4"/>
  <c r="BC1926" i="4"/>
  <c r="BC1912" i="4"/>
  <c r="BC1895" i="4"/>
  <c r="BC1881" i="4"/>
  <c r="BC1867" i="4"/>
  <c r="BC1850" i="4"/>
  <c r="BC1836" i="4"/>
  <c r="BC1820" i="4"/>
  <c r="BC1805" i="4"/>
  <c r="BC1791" i="4"/>
  <c r="BC1774" i="4"/>
  <c r="BC1760" i="4"/>
  <c r="BC1746" i="4"/>
  <c r="BC1729" i="4"/>
  <c r="BC1715" i="4"/>
  <c r="BC1699" i="4"/>
  <c r="BC1684" i="4"/>
  <c r="BC1670" i="4"/>
  <c r="BC1654" i="4"/>
  <c r="BD1640" i="4"/>
  <c r="BC1627" i="4"/>
  <c r="BD1611" i="4"/>
  <c r="BD1597" i="4"/>
  <c r="BD1584" i="4"/>
  <c r="BD1571" i="4"/>
  <c r="BD1556" i="4"/>
  <c r="BD1543" i="4"/>
  <c r="BD1530" i="4"/>
  <c r="BD1517" i="4"/>
  <c r="BD1504" i="4"/>
  <c r="BD1489" i="4"/>
  <c r="BD1476" i="4"/>
  <c r="BD1463" i="4"/>
  <c r="BD1450" i="4"/>
  <c r="BD1435" i="4"/>
  <c r="BD1422" i="4"/>
  <c r="BD1409" i="4"/>
  <c r="BD1396" i="4"/>
  <c r="BD1383" i="4"/>
  <c r="BD1368" i="4"/>
  <c r="BD1355" i="4"/>
  <c r="BD1342" i="4"/>
  <c r="BD1329" i="4"/>
  <c r="BD1314" i="4"/>
  <c r="BD1301" i="4"/>
  <c r="BD1288" i="4"/>
  <c r="BD1275" i="4"/>
  <c r="BD1262" i="4"/>
  <c r="BD1247" i="4"/>
  <c r="BD1234" i="4"/>
  <c r="BD1221" i="4"/>
  <c r="BD1208" i="4"/>
  <c r="BD1193" i="4"/>
  <c r="BD1180" i="4"/>
  <c r="BD1167" i="4"/>
  <c r="BD1154" i="4"/>
  <c r="BD1141" i="4"/>
  <c r="BD1126" i="4"/>
  <c r="BD1113" i="4"/>
  <c r="BD1100" i="4"/>
  <c r="BD1087" i="4"/>
  <c r="BD1072" i="4"/>
  <c r="BD1059" i="4"/>
  <c r="BD1047" i="4"/>
  <c r="BD1035" i="4"/>
  <c r="BD1023" i="4"/>
  <c r="BD1011" i="4"/>
  <c r="BD999" i="4"/>
  <c r="BD987" i="4"/>
  <c r="BD974" i="4"/>
  <c r="BD962" i="4"/>
  <c r="BC951" i="4"/>
  <c r="BD939" i="4"/>
  <c r="BC928" i="4"/>
  <c r="BD916" i="4"/>
  <c r="BC905" i="4"/>
  <c r="BD893" i="4"/>
  <c r="BC882" i="4"/>
  <c r="BD870" i="4"/>
  <c r="BC859" i="4"/>
  <c r="BD847" i="4"/>
  <c r="BC836" i="4"/>
  <c r="BD824" i="4"/>
  <c r="BC813" i="4"/>
  <c r="BD801" i="4"/>
  <c r="BC790" i="4"/>
  <c r="BD778" i="4"/>
  <c r="BC767" i="4"/>
  <c r="BC755" i="4"/>
  <c r="BD743" i="4"/>
  <c r="BC732" i="4"/>
  <c r="BD720" i="4"/>
  <c r="BD709" i="4"/>
  <c r="BD698" i="4"/>
  <c r="BD687" i="4"/>
  <c r="BD676" i="4"/>
  <c r="BD665" i="4"/>
  <c r="BD654" i="4"/>
  <c r="BD643" i="4"/>
  <c r="BD632" i="4"/>
  <c r="BD621" i="4"/>
  <c r="BD610" i="4"/>
  <c r="BD599" i="4"/>
  <c r="BD588" i="4"/>
  <c r="BD577" i="4"/>
  <c r="BD566" i="4"/>
  <c r="BD555" i="4"/>
  <c r="BD544" i="4"/>
  <c r="BD533" i="4"/>
  <c r="BD522" i="4"/>
  <c r="BD511" i="4"/>
  <c r="BD500" i="4"/>
  <c r="BD489" i="4"/>
  <c r="BD478" i="4"/>
  <c r="BD467" i="4"/>
  <c r="BD456" i="4"/>
  <c r="BD445" i="4"/>
  <c r="BD434" i="4"/>
  <c r="BD423" i="4"/>
  <c r="BD412" i="4"/>
  <c r="BD401" i="4"/>
  <c r="BD390" i="4"/>
  <c r="BD379" i="4"/>
  <c r="BD368" i="4"/>
  <c r="BD357" i="4"/>
  <c r="BD346" i="4"/>
  <c r="BD335" i="4"/>
  <c r="BD324" i="4"/>
  <c r="BD313" i="4"/>
  <c r="BD302" i="4"/>
  <c r="BD291" i="4"/>
  <c r="BD280" i="4"/>
  <c r="BD269" i="4"/>
  <c r="BD258" i="4"/>
  <c r="BD247" i="4"/>
  <c r="BD236" i="4"/>
  <c r="BD225" i="4"/>
  <c r="BD214" i="4"/>
  <c r="BD203" i="4"/>
  <c r="BD192" i="4"/>
  <c r="BD181" i="4"/>
  <c r="BD170" i="4"/>
  <c r="BD159" i="4"/>
  <c r="BD148" i="4"/>
  <c r="BD137" i="4"/>
  <c r="BD126" i="4"/>
  <c r="BD115" i="4"/>
  <c r="BD104" i="4"/>
  <c r="BD93" i="4"/>
  <c r="BD82" i="4"/>
  <c r="BD71" i="4"/>
  <c r="BD60" i="4"/>
  <c r="BD49" i="4"/>
  <c r="BD38" i="4"/>
  <c r="BD27" i="4"/>
  <c r="BD16" i="4"/>
  <c r="BD5" i="4"/>
  <c r="BD2268" i="4"/>
  <c r="BC6362" i="4"/>
  <c r="BC6245" i="4"/>
  <c r="BD6145" i="4"/>
  <c r="BC6035" i="4"/>
  <c r="BC5946" i="4"/>
  <c r="BC5867" i="4"/>
  <c r="BC5779" i="4"/>
  <c r="BC5700" i="4"/>
  <c r="BC5595" i="4"/>
  <c r="BD5522" i="4"/>
  <c r="BD5459" i="4"/>
  <c r="BD5391" i="4"/>
  <c r="BD5326" i="4"/>
  <c r="BC5255" i="4"/>
  <c r="BD5191" i="4"/>
  <c r="BC5127" i="4"/>
  <c r="BD5069" i="4"/>
  <c r="BC5006" i="4"/>
  <c r="BC4927" i="4"/>
  <c r="BC4870" i="4"/>
  <c r="BC4805" i="4"/>
  <c r="BC4748" i="4"/>
  <c r="BD4684" i="4"/>
  <c r="BD4605" i="4"/>
  <c r="BD4548" i="4"/>
  <c r="BC4486" i="4"/>
  <c r="BD4425" i="4"/>
  <c r="BC4371" i="4"/>
  <c r="BD4295" i="4"/>
  <c r="BD4233" i="4"/>
  <c r="BC4180" i="4"/>
  <c r="BC4131" i="4"/>
  <c r="BD4087" i="4"/>
  <c r="BC4042" i="4"/>
  <c r="BD4002" i="4"/>
  <c r="BD3965" i="4"/>
  <c r="BC3927" i="4"/>
  <c r="BC3890" i="4"/>
  <c r="BC3853" i="4"/>
  <c r="BC3817" i="4"/>
  <c r="BC3780" i="4"/>
  <c r="BC3745" i="4"/>
  <c r="BD3709" i="4"/>
  <c r="BD3675" i="4"/>
  <c r="BC3643" i="4"/>
  <c r="BD3610" i="4"/>
  <c r="BC3578" i="4"/>
  <c r="BD3545" i="4"/>
  <c r="BC3513" i="4"/>
  <c r="BD3480" i="4"/>
  <c r="BC3449" i="4"/>
  <c r="BC3420" i="4"/>
  <c r="BC3390" i="4"/>
  <c r="BC3359" i="4"/>
  <c r="BC3328" i="4"/>
  <c r="BC3299" i="4"/>
  <c r="BC3269" i="4"/>
  <c r="BC3238" i="4"/>
  <c r="BC3207" i="4"/>
  <c r="BC3178" i="4"/>
  <c r="BC3150" i="4"/>
  <c r="BC3123" i="4"/>
  <c r="BD3095" i="4"/>
  <c r="BC3069" i="4"/>
  <c r="BC3041" i="4"/>
  <c r="BC3020" i="4"/>
  <c r="BC2996" i="4"/>
  <c r="BC2972" i="4"/>
  <c r="BC2948" i="4"/>
  <c r="BC2923" i="4"/>
  <c r="BD2898" i="4"/>
  <c r="BD2880" i="4"/>
  <c r="BC2857" i="4"/>
  <c r="BC2834" i="4"/>
  <c r="BD2811" i="4"/>
  <c r="BD2789" i="4"/>
  <c r="BC2771" i="4"/>
  <c r="BD2752" i="4"/>
  <c r="BD2731" i="4"/>
  <c r="BD2713" i="4"/>
  <c r="BC2696" i="4"/>
  <c r="BD2676" i="4"/>
  <c r="BC2660" i="4"/>
  <c r="BD2640" i="4"/>
  <c r="BD2624" i="4"/>
  <c r="BD2604" i="4"/>
  <c r="BC2587" i="4"/>
  <c r="BC2569" i="4"/>
  <c r="BD2549" i="4"/>
  <c r="BD2533" i="4"/>
  <c r="BD2513" i="4"/>
  <c r="BC2498" i="4"/>
  <c r="BC2478" i="4"/>
  <c r="BC2460" i="4"/>
  <c r="BC2443" i="4"/>
  <c r="BD2425" i="4"/>
  <c r="BD2409" i="4"/>
  <c r="BD2395" i="4"/>
  <c r="BD2378" i="4"/>
  <c r="BD2364" i="4"/>
  <c r="BD2348" i="4"/>
  <c r="BD2333" i="4"/>
  <c r="BD2319" i="4"/>
  <c r="BD2302" i="4"/>
  <c r="BD2288" i="4"/>
  <c r="BD2274" i="4"/>
  <c r="BD2257" i="4"/>
  <c r="BD2243" i="4"/>
  <c r="BD2227" i="4"/>
  <c r="BD2212" i="4"/>
  <c r="BD2198" i="4"/>
  <c r="BD2181" i="4"/>
  <c r="BD2167" i="4"/>
  <c r="BD2153" i="4"/>
  <c r="BD2136" i="4"/>
  <c r="BD2122" i="4"/>
  <c r="BD2106" i="4"/>
  <c r="BD2091" i="4"/>
  <c r="BD2077" i="4"/>
  <c r="BD2060" i="4"/>
  <c r="BD2046" i="4"/>
  <c r="BD2032" i="4"/>
  <c r="BD2015" i="4"/>
  <c r="BD2001" i="4"/>
  <c r="BD1985" i="4"/>
  <c r="BD1970" i="4"/>
  <c r="BD1956" i="4"/>
  <c r="BD1939" i="4"/>
  <c r="BD1925" i="4"/>
  <c r="BD1911" i="4"/>
  <c r="BD1894" i="4"/>
  <c r="BD1880" i="4"/>
  <c r="BD1864" i="4"/>
  <c r="BD1849" i="4"/>
  <c r="BD1835" i="4"/>
  <c r="BD1818" i="4"/>
  <c r="BD1804" i="4"/>
  <c r="BD1790" i="4"/>
  <c r="BD1773" i="4"/>
  <c r="BD1759" i="4"/>
  <c r="BD1743" i="4"/>
  <c r="BD1728" i="4"/>
  <c r="BD1714" i="4"/>
  <c r="BD1697" i="4"/>
  <c r="BD1683" i="4"/>
  <c r="BD1669" i="4"/>
  <c r="BD1653" i="4"/>
  <c r="BC1640" i="4"/>
  <c r="BD1626" i="4"/>
  <c r="BC1611" i="4"/>
  <c r="BC1597" i="4"/>
  <c r="BC1584" i="4"/>
  <c r="BC1571" i="4"/>
  <c r="BC1556" i="4"/>
  <c r="BC1543" i="4"/>
  <c r="BC1530" i="4"/>
  <c r="BC1517" i="4"/>
  <c r="BC1504" i="4"/>
  <c r="BC1489" i="4"/>
  <c r="BC1476" i="4"/>
  <c r="BC1463" i="4"/>
  <c r="BC1450" i="4"/>
  <c r="BC1435" i="4"/>
  <c r="BC1422" i="4"/>
  <c r="BC1409" i="4"/>
  <c r="BC1396" i="4"/>
  <c r="BC1383" i="4"/>
  <c r="BC1368" i="4"/>
  <c r="BC1355" i="4"/>
  <c r="BC1342" i="4"/>
  <c r="BC1329" i="4"/>
  <c r="BC1314" i="4"/>
  <c r="BC1301" i="4"/>
  <c r="BC1288" i="4"/>
  <c r="BC1275" i="4"/>
  <c r="BC1262" i="4"/>
  <c r="BC1247" i="4"/>
  <c r="BC1234" i="4"/>
  <c r="BC1221" i="4"/>
  <c r="BC1208" i="4"/>
  <c r="BC1193" i="4"/>
  <c r="BC1180" i="4"/>
  <c r="BC1167" i="4"/>
  <c r="BC1154" i="4"/>
  <c r="BC1141" i="4"/>
  <c r="BC1126" i="4"/>
  <c r="BC1113" i="4"/>
  <c r="BC1100" i="4"/>
  <c r="BC1087" i="4"/>
  <c r="BC1072" i="4"/>
  <c r="BC1059" i="4"/>
  <c r="BC1047" i="4"/>
  <c r="BC1035" i="4"/>
  <c r="BC1023" i="4"/>
  <c r="BC1011" i="4"/>
  <c r="BC999" i="4"/>
  <c r="BC987" i="4"/>
  <c r="BC974" i="4"/>
  <c r="BC962" i="4"/>
  <c r="BD950" i="4"/>
  <c r="BC939" i="4"/>
  <c r="BD927" i="4"/>
  <c r="BC916" i="4"/>
  <c r="BD904" i="4"/>
  <c r="BC893" i="4"/>
  <c r="BD881" i="4"/>
  <c r="BC870" i="4"/>
  <c r="BD858" i="4"/>
  <c r="BC847" i="4"/>
  <c r="BD835" i="4"/>
  <c r="BC824" i="4"/>
  <c r="BD812" i="4"/>
  <c r="BC801" i="4"/>
  <c r="BD789" i="4"/>
  <c r="BC778" i="4"/>
  <c r="BC766" i="4"/>
  <c r="BD754" i="4"/>
  <c r="BC743" i="4"/>
  <c r="BD731" i="4"/>
  <c r="BC720" i="4"/>
  <c r="BC709" i="4"/>
  <c r="BC698" i="4"/>
  <c r="BC687" i="4"/>
  <c r="BC676" i="4"/>
  <c r="BC665" i="4"/>
  <c r="BC654" i="4"/>
  <c r="BC643" i="4"/>
  <c r="BC632" i="4"/>
  <c r="BC621" i="4"/>
  <c r="BC610" i="4"/>
  <c r="BC599" i="4"/>
  <c r="BC588" i="4"/>
  <c r="BC577" i="4"/>
  <c r="BC566" i="4"/>
  <c r="BC555" i="4"/>
  <c r="BC544" i="4"/>
  <c r="BC533" i="4"/>
  <c r="BC522" i="4"/>
  <c r="BC511" i="4"/>
  <c r="BC500" i="4"/>
  <c r="BC489" i="4"/>
  <c r="BC478" i="4"/>
  <c r="BC467" i="4"/>
  <c r="BC456" i="4"/>
  <c r="BC445" i="4"/>
  <c r="BC434" i="4"/>
  <c r="BC423" i="4"/>
  <c r="BC412" i="4"/>
  <c r="BC401" i="4"/>
  <c r="BC390" i="4"/>
  <c r="BC379" i="4"/>
  <c r="BC368" i="4"/>
  <c r="BC357" i="4"/>
  <c r="BC346" i="4"/>
  <c r="BC335" i="4"/>
  <c r="BC324" i="4"/>
  <c r="BC313" i="4"/>
  <c r="BC302" i="4"/>
  <c r="BC291" i="4"/>
  <c r="BC280" i="4"/>
  <c r="BC269" i="4"/>
  <c r="BC258" i="4"/>
  <c r="BC247" i="4"/>
  <c r="BC236" i="4"/>
  <c r="BC225" i="4"/>
  <c r="BC214" i="4"/>
  <c r="BC203" i="4"/>
  <c r="BC192" i="4"/>
  <c r="BC181" i="4"/>
  <c r="BC170" i="4"/>
  <c r="BC159" i="4"/>
  <c r="BC148" i="4"/>
  <c r="BC137" i="4"/>
  <c r="BC126" i="4"/>
  <c r="BC115" i="4"/>
  <c r="BC104" i="4"/>
  <c r="BC93" i="4"/>
  <c r="BC82" i="4"/>
  <c r="BC71" i="4"/>
  <c r="BC60" i="4"/>
  <c r="BC49" i="4"/>
  <c r="BC38" i="4"/>
  <c r="BC27" i="4"/>
  <c r="BC16" i="4"/>
  <c r="BC5" i="4"/>
  <c r="BD6214" i="4"/>
  <c r="BC5942" i="4"/>
  <c r="BC5743" i="4"/>
  <c r="BD5582" i="4"/>
  <c r="BD5430" i="4"/>
  <c r="BC5309" i="4"/>
  <c r="BC5108" i="4"/>
  <c r="BD4922" i="4"/>
  <c r="BC4780" i="4"/>
  <c r="BC4658" i="4"/>
  <c r="BC4462" i="4"/>
  <c r="BC4285" i="4"/>
  <c r="BD4163" i="4"/>
  <c r="BC3989" i="4"/>
  <c r="BD3913" i="4"/>
  <c r="BC3838" i="4"/>
  <c r="BD3764" i="4"/>
  <c r="BD3695" i="4"/>
  <c r="BD3630" i="4"/>
  <c r="BC3566" i="4"/>
  <c r="BC3501" i="4"/>
  <c r="BD3408" i="4"/>
  <c r="BD3347" i="4"/>
  <c r="BD3287" i="4"/>
  <c r="BD3226" i="4"/>
  <c r="BC3167" i="4"/>
  <c r="BD3092" i="4"/>
  <c r="BC3038" i="4"/>
  <c r="BD2986" i="4"/>
  <c r="BD2943" i="4"/>
  <c r="BD2895" i="4"/>
  <c r="BC2849" i="4"/>
  <c r="BD2808" i="4"/>
  <c r="BD2765" i="4"/>
  <c r="BD2728" i="4"/>
  <c r="BC2673" i="4"/>
  <c r="BC2617" i="4"/>
  <c r="BC2564" i="4"/>
  <c r="BD2510" i="4"/>
  <c r="BC2475" i="4"/>
  <c r="BD2439" i="4"/>
  <c r="BD2406" i="4"/>
  <c r="BD2375" i="4"/>
  <c r="BD2330" i="4"/>
  <c r="BD2285" i="4"/>
  <c r="BD2238" i="4"/>
  <c r="BD2192" i="4"/>
  <c r="BD2164" i="4"/>
  <c r="BD2147" i="4"/>
  <c r="BD2102" i="4"/>
  <c r="BD2088" i="4"/>
  <c r="BD2057" i="4"/>
  <c r="BD2043" i="4"/>
  <c r="BD2012" i="4"/>
  <c r="BD1967" i="4"/>
  <c r="BD1936" i="4"/>
  <c r="BD1905" i="4"/>
  <c r="BD1860" i="4"/>
  <c r="BD1801" i="4"/>
  <c r="BD1754" i="4"/>
  <c r="BD1725" i="4"/>
  <c r="BC1664" i="4"/>
  <c r="BC1637" i="4"/>
  <c r="BC1566" i="4"/>
  <c r="BC1540" i="4"/>
  <c r="BC1499" i="4"/>
  <c r="BC1473" i="4"/>
  <c r="BC1445" i="4"/>
  <c r="BC1419" i="4"/>
  <c r="BC1391" i="4"/>
  <c r="BC1352" i="4"/>
  <c r="BC1298" i="4"/>
  <c r="BC1244" i="4"/>
  <c r="BC1177" i="4"/>
  <c r="BC1123" i="4"/>
  <c r="BC1082" i="4"/>
  <c r="BC1044" i="4"/>
  <c r="BC1007" i="4"/>
  <c r="BC959" i="4"/>
  <c r="BD924" i="4"/>
  <c r="BC890" i="4"/>
  <c r="BC844" i="4"/>
  <c r="BD797" i="4"/>
  <c r="BC763" i="4"/>
  <c r="BD728" i="4"/>
  <c r="BC695" i="4"/>
  <c r="BC662" i="4"/>
  <c r="BC607" i="4"/>
  <c r="BC552" i="4"/>
  <c r="BC508" i="4"/>
  <c r="BC475" i="4"/>
  <c r="BC442" i="4"/>
  <c r="BC409" i="4"/>
  <c r="BC387" i="4"/>
  <c r="BC332" i="4"/>
  <c r="BC288" i="4"/>
  <c r="BC255" i="4"/>
  <c r="BC211" i="4"/>
  <c r="BC189" i="4"/>
  <c r="BC156" i="4"/>
  <c r="BC134" i="4"/>
  <c r="BC101" i="4"/>
  <c r="BC79" i="4"/>
  <c r="BC35" i="4"/>
  <c r="BD6213" i="4"/>
  <c r="BD5941" i="4"/>
  <c r="BD5663" i="4"/>
  <c r="BD5516" i="4"/>
  <c r="BD5308" i="4"/>
  <c r="BC5180" i="4"/>
  <c r="BC5044" i="4"/>
  <c r="BC4922" i="4"/>
  <c r="BD4779" i="4"/>
  <c r="BD4657" i="4"/>
  <c r="BC4537" i="4"/>
  <c r="BC4407" i="4"/>
  <c r="BD4284" i="4"/>
  <c r="BD4157" i="4"/>
  <c r="BC4067" i="4"/>
  <c r="BD3988" i="4"/>
  <c r="BC3913" i="4"/>
  <c r="BD3800" i="4"/>
  <c r="BC3695" i="4"/>
  <c r="BD3597" i="4"/>
  <c r="BD3500" i="4"/>
  <c r="BD3406" i="4"/>
  <c r="BC3347" i="4"/>
  <c r="BD3285" i="4"/>
  <c r="BC3195" i="4"/>
  <c r="BC3139" i="4"/>
  <c r="BD3087" i="4"/>
  <c r="BD3037" i="4"/>
  <c r="BC2986" i="4"/>
  <c r="BD2940" i="4"/>
  <c r="BC2895" i="4"/>
  <c r="BC2848" i="4"/>
  <c r="BD2805" i="4"/>
  <c r="BC2765" i="4"/>
  <c r="BC2728" i="4"/>
  <c r="BC2690" i="4"/>
  <c r="BD2652" i="4"/>
  <c r="BD2616" i="4"/>
  <c r="BC2581" i="4"/>
  <c r="BD2525" i="4"/>
  <c r="BC2490" i="4"/>
  <c r="BD2454" i="4"/>
  <c r="BD2420" i="4"/>
  <c r="BC2389" i="4"/>
  <c r="BC2359" i="4"/>
  <c r="BC2330" i="4"/>
  <c r="BC2299" i="4"/>
  <c r="BC2268" i="4"/>
  <c r="BC2238" i="4"/>
  <c r="BC2209" i="4"/>
  <c r="BC2178" i="4"/>
  <c r="BC2133" i="4"/>
  <c r="BC2088" i="4"/>
  <c r="BC2026" i="4"/>
  <c r="BC1996" i="4"/>
  <c r="BC1936" i="4"/>
  <c r="BC1891" i="4"/>
  <c r="BC1860" i="4"/>
  <c r="BC1829" i="4"/>
  <c r="BC1801" i="4"/>
  <c r="BC1770" i="4"/>
  <c r="BC1725" i="4"/>
  <c r="BC1694" i="4"/>
  <c r="BD1663" i="4"/>
  <c r="BD1636" i="4"/>
  <c r="BC1607" i="4"/>
  <c r="BD1578" i="4"/>
  <c r="BD1552" i="4"/>
  <c r="BD1526" i="4"/>
  <c r="BD1511" i="4"/>
  <c r="BD1472" i="4"/>
  <c r="BD1457" i="4"/>
  <c r="BD1431" i="4"/>
  <c r="BD1418" i="4"/>
  <c r="BD1390" i="4"/>
  <c r="BD1364" i="4"/>
  <c r="BD1336" i="4"/>
  <c r="BD1310" i="4"/>
  <c r="BD1284" i="4"/>
  <c r="BD1256" i="4"/>
  <c r="BD1202" i="4"/>
  <c r="BD1176" i="4"/>
  <c r="BD1148" i="4"/>
  <c r="BD1109" i="4"/>
  <c r="BD1068" i="4"/>
  <c r="BD1043" i="4"/>
  <c r="BD1018" i="4"/>
  <c r="BD994" i="4"/>
  <c r="BD970" i="4"/>
  <c r="BC947" i="4"/>
  <c r="BC924" i="4"/>
  <c r="BC901" i="4"/>
  <c r="BC878" i="4"/>
  <c r="BC855" i="4"/>
  <c r="BC820" i="4"/>
  <c r="BC797" i="4"/>
  <c r="BC774" i="4"/>
  <c r="BC751" i="4"/>
  <c r="BC728" i="4"/>
  <c r="BD705" i="4"/>
  <c r="BD683" i="4"/>
  <c r="BD672" i="4"/>
  <c r="BD650" i="4"/>
  <c r="BD617" i="4"/>
  <c r="BD551" i="4"/>
  <c r="BD507" i="4"/>
  <c r="BD485" i="4"/>
  <c r="BD6361" i="4"/>
  <c r="BD6244" i="4"/>
  <c r="BD6144" i="4"/>
  <c r="BD6034" i="4"/>
  <c r="BD5944" i="4"/>
  <c r="BD5866" i="4"/>
  <c r="BD5778" i="4"/>
  <c r="BD5699" i="4"/>
  <c r="BD5594" i="4"/>
  <c r="BC5520" i="4"/>
  <c r="BD5458" i="4"/>
  <c r="BC5391" i="4"/>
  <c r="BC5326" i="4"/>
  <c r="BD5254" i="4"/>
  <c r="BC5191" i="4"/>
  <c r="BD5126" i="4"/>
  <c r="BC5069" i="4"/>
  <c r="BC5004" i="4"/>
  <c r="BD4926" i="4"/>
  <c r="BD4869" i="4"/>
  <c r="BD4804" i="4"/>
  <c r="BD4747" i="4"/>
  <c r="BC4684" i="4"/>
  <c r="BC4605" i="4"/>
  <c r="BC4548" i="4"/>
  <c r="BD4485" i="4"/>
  <c r="BC4425" i="4"/>
  <c r="BD4370" i="4"/>
  <c r="BC4295" i="4"/>
  <c r="BC4233" i="4"/>
  <c r="BD4179" i="4"/>
  <c r="BD4130" i="4"/>
  <c r="BC4087" i="4"/>
  <c r="BD4041" i="4"/>
  <c r="BC4002" i="4"/>
  <c r="BC3965" i="4"/>
  <c r="BD3926" i="4"/>
  <c r="BD3889" i="4"/>
  <c r="BD3852" i="4"/>
  <c r="BC3814" i="4"/>
  <c r="BD3779" i="4"/>
  <c r="BC3744" i="4"/>
  <c r="BD3708" i="4"/>
  <c r="BD3674" i="4"/>
  <c r="BD3642" i="4"/>
  <c r="BC3610" i="4"/>
  <c r="BD3577" i="4"/>
  <c r="BC3545" i="4"/>
  <c r="BD3512" i="4"/>
  <c r="BC3480" i="4"/>
  <c r="BD3448" i="4"/>
  <c r="BD3419" i="4"/>
  <c r="BD3389" i="4"/>
  <c r="BD3358" i="4"/>
  <c r="BD3327" i="4"/>
  <c r="BD3298" i="4"/>
  <c r="BD3268" i="4"/>
  <c r="BD3237" i="4"/>
  <c r="BD3206" i="4"/>
  <c r="BD3177" i="4"/>
  <c r="BD3149" i="4"/>
  <c r="BD3122" i="4"/>
  <c r="BC3095" i="4"/>
  <c r="BC3068" i="4"/>
  <c r="BD3040" i="4"/>
  <c r="BC3017" i="4"/>
  <c r="BD2995" i="4"/>
  <c r="BD2971" i="4"/>
  <c r="BC2947" i="4"/>
  <c r="BD2922" i="4"/>
  <c r="BC2898" i="4"/>
  <c r="BC2877" i="4"/>
  <c r="BD2856" i="4"/>
  <c r="BD2833" i="4"/>
  <c r="BC2811" i="4"/>
  <c r="BC2789" i="4"/>
  <c r="BD2770" i="4"/>
  <c r="BC2752" i="4"/>
  <c r="BC2731" i="4"/>
  <c r="BC2713" i="4"/>
  <c r="BD2695" i="4"/>
  <c r="BD2675" i="4"/>
  <c r="BD2659" i="4"/>
  <c r="BC2640" i="4"/>
  <c r="BC2624" i="4"/>
  <c r="BC2604" i="4"/>
  <c r="BD2586" i="4"/>
  <c r="BD2568" i="4"/>
  <c r="BD2548" i="4"/>
  <c r="BC2533" i="4"/>
  <c r="BC2513" i="4"/>
  <c r="BD2497" i="4"/>
  <c r="BD2477" i="4"/>
  <c r="BD2459" i="4"/>
  <c r="BD2442" i="4"/>
  <c r="BC2425" i="4"/>
  <c r="BC2409" i="4"/>
  <c r="BC2395" i="4"/>
  <c r="BC2378" i="4"/>
  <c r="BC2364" i="4"/>
  <c r="BC2348" i="4"/>
  <c r="BC2333" i="4"/>
  <c r="BC2319" i="4"/>
  <c r="BC2302" i="4"/>
  <c r="BC2288" i="4"/>
  <c r="BC2274" i="4"/>
  <c r="BC2257" i="4"/>
  <c r="BC2243" i="4"/>
  <c r="BC2227" i="4"/>
  <c r="BC2212" i="4"/>
  <c r="BC2198" i="4"/>
  <c r="BC2181" i="4"/>
  <c r="BC2167" i="4"/>
  <c r="BC2153" i="4"/>
  <c r="BC2136" i="4"/>
  <c r="BC2122" i="4"/>
  <c r="BC2106" i="4"/>
  <c r="BC2091" i="4"/>
  <c r="BC2077" i="4"/>
  <c r="BC2060" i="4"/>
  <c r="BC2046" i="4"/>
  <c r="BC2032" i="4"/>
  <c r="BC2015" i="4"/>
  <c r="BC2001" i="4"/>
  <c r="BC1985" i="4"/>
  <c r="BC1970" i="4"/>
  <c r="BC1956" i="4"/>
  <c r="BC1939" i="4"/>
  <c r="BC1925" i="4"/>
  <c r="BC1911" i="4"/>
  <c r="BC1894" i="4"/>
  <c r="BC1880" i="4"/>
  <c r="BC1864" i="4"/>
  <c r="BC1849" i="4"/>
  <c r="BC1835" i="4"/>
  <c r="BC1818" i="4"/>
  <c r="BC1804" i="4"/>
  <c r="BC1790" i="4"/>
  <c r="BC1773" i="4"/>
  <c r="BC1759" i="4"/>
  <c r="BC1743" i="4"/>
  <c r="BC1728" i="4"/>
  <c r="BC1714" i="4"/>
  <c r="BC1697" i="4"/>
  <c r="BC1683" i="4"/>
  <c r="BC1669" i="4"/>
  <c r="BC1653" i="4"/>
  <c r="BD1639" i="4"/>
  <c r="BC1626" i="4"/>
  <c r="BC1610" i="4"/>
  <c r="BD1596" i="4"/>
  <c r="BD1583" i="4"/>
  <c r="BD1570" i="4"/>
  <c r="BD1555" i="4"/>
  <c r="BD1542" i="4"/>
  <c r="BD1529" i="4"/>
  <c r="BD1516" i="4"/>
  <c r="BD1501" i="4"/>
  <c r="BD1488" i="4"/>
  <c r="BD1475" i="4"/>
  <c r="BD1462" i="4"/>
  <c r="BD1449" i="4"/>
  <c r="BD1434" i="4"/>
  <c r="BD1421" i="4"/>
  <c r="BD1408" i="4"/>
  <c r="BD1395" i="4"/>
  <c r="BD1380" i="4"/>
  <c r="BD1367" i="4"/>
  <c r="BD1354" i="4"/>
  <c r="BD1341" i="4"/>
  <c r="BD1328" i="4"/>
  <c r="BD1313" i="4"/>
  <c r="BD1300" i="4"/>
  <c r="BD1287" i="4"/>
  <c r="BD1274" i="4"/>
  <c r="BD1259" i="4"/>
  <c r="BD1246" i="4"/>
  <c r="BD1233" i="4"/>
  <c r="BD1220" i="4"/>
  <c r="BD1207" i="4"/>
  <c r="BD1192" i="4"/>
  <c r="BD1179" i="4"/>
  <c r="BD1166" i="4"/>
  <c r="BD1153" i="4"/>
  <c r="BD1138" i="4"/>
  <c r="BD1125" i="4"/>
  <c r="BD1112" i="4"/>
  <c r="BD1099" i="4"/>
  <c r="BD1086" i="4"/>
  <c r="BD1071" i="4"/>
  <c r="BD1058" i="4"/>
  <c r="BD1046" i="4"/>
  <c r="BD1034" i="4"/>
  <c r="BD1022" i="4"/>
  <c r="BD1010" i="4"/>
  <c r="BD998" i="4"/>
  <c r="BD985" i="4"/>
  <c r="BD973" i="4"/>
  <c r="BD961" i="4"/>
  <c r="BC950" i="4"/>
  <c r="BD938" i="4"/>
  <c r="BC927" i="4"/>
  <c r="BD915" i="4"/>
  <c r="BC904" i="4"/>
  <c r="BD892" i="4"/>
  <c r="BC881" i="4"/>
  <c r="BD869" i="4"/>
  <c r="BC858" i="4"/>
  <c r="BD846" i="4"/>
  <c r="BC835" i="4"/>
  <c r="BD823" i="4"/>
  <c r="BC812" i="4"/>
  <c r="BD800" i="4"/>
  <c r="BC789" i="4"/>
  <c r="BC777" i="4"/>
  <c r="BD765" i="4"/>
  <c r="BC754" i="4"/>
  <c r="BD742" i="4"/>
  <c r="BC731" i="4"/>
  <c r="BD719" i="4"/>
  <c r="BD708" i="4"/>
  <c r="BD697" i="4"/>
  <c r="BD686" i="4"/>
  <c r="BD675" i="4"/>
  <c r="BD664" i="4"/>
  <c r="BD653" i="4"/>
  <c r="BD642" i="4"/>
  <c r="BD631" i="4"/>
  <c r="BD620" i="4"/>
  <c r="BD609" i="4"/>
  <c r="BD598" i="4"/>
  <c r="BD587" i="4"/>
  <c r="BD576" i="4"/>
  <c r="BD565" i="4"/>
  <c r="BD554" i="4"/>
  <c r="BD543" i="4"/>
  <c r="BD532" i="4"/>
  <c r="BD521" i="4"/>
  <c r="BD510" i="4"/>
  <c r="BD499" i="4"/>
  <c r="BD488" i="4"/>
  <c r="BD477" i="4"/>
  <c r="BD466" i="4"/>
  <c r="BD455" i="4"/>
  <c r="BD444" i="4"/>
  <c r="BD433" i="4"/>
  <c r="BD422" i="4"/>
  <c r="BD411" i="4"/>
  <c r="BD400" i="4"/>
  <c r="BD389" i="4"/>
  <c r="BD378" i="4"/>
  <c r="BD367" i="4"/>
  <c r="BD356" i="4"/>
  <c r="BD345" i="4"/>
  <c r="BD334" i="4"/>
  <c r="BD323" i="4"/>
  <c r="BD312" i="4"/>
  <c r="BD301" i="4"/>
  <c r="BD290" i="4"/>
  <c r="BD279" i="4"/>
  <c r="BD268" i="4"/>
  <c r="BD257" i="4"/>
  <c r="BD246" i="4"/>
  <c r="BD235" i="4"/>
  <c r="BD224" i="4"/>
  <c r="BD213" i="4"/>
  <c r="BD202" i="4"/>
  <c r="BD191" i="4"/>
  <c r="BD180" i="4"/>
  <c r="BD169" i="4"/>
  <c r="BD158" i="4"/>
  <c r="BD147" i="4"/>
  <c r="BD136" i="4"/>
  <c r="BD125" i="4"/>
  <c r="BD114" i="4"/>
  <c r="BD103" i="4"/>
  <c r="BD92" i="4"/>
  <c r="BD81" i="4"/>
  <c r="BD70" i="4"/>
  <c r="BD59" i="4"/>
  <c r="BD48" i="4"/>
  <c r="BD37" i="4"/>
  <c r="BD26" i="4"/>
  <c r="BD15" i="4"/>
  <c r="BD4" i="4"/>
  <c r="BC629" i="4"/>
  <c r="BC3876" i="4"/>
  <c r="BD2545" i="4"/>
  <c r="BC1754" i="4"/>
  <c r="BD1243" i="4"/>
  <c r="BD935" i="4"/>
  <c r="BD739" i="4"/>
  <c r="BD628" i="4"/>
  <c r="BD529" i="4"/>
  <c r="BC6361" i="4"/>
  <c r="BD6243" i="4"/>
  <c r="BC6113" i="4"/>
  <c r="BC6034" i="4"/>
  <c r="BC5944" i="4"/>
  <c r="BC5866" i="4"/>
  <c r="BC5778" i="4"/>
  <c r="BC5669" i="4"/>
  <c r="BC5594" i="4"/>
  <c r="BC5519" i="4"/>
  <c r="BD5449" i="4"/>
  <c r="BD5390" i="4"/>
  <c r="BC5311" i="4"/>
  <c r="BC5246" i="4"/>
  <c r="BC5190" i="4"/>
  <c r="BD5125" i="4"/>
  <c r="BD5068" i="4"/>
  <c r="BD4989" i="4"/>
  <c r="BC4926" i="4"/>
  <c r="BC4869" i="4"/>
  <c r="BC4804" i="4"/>
  <c r="BC4739" i="4"/>
  <c r="BC4668" i="4"/>
  <c r="BD4604" i="4"/>
  <c r="BD4539" i="4"/>
  <c r="BC4485" i="4"/>
  <c r="BD4424" i="4"/>
  <c r="BC4349" i="4"/>
  <c r="BD4294" i="4"/>
  <c r="BD4232" i="4"/>
  <c r="BC4179" i="4"/>
  <c r="BC4130" i="4"/>
  <c r="BC4075" i="4"/>
  <c r="BC4030" i="4"/>
  <c r="BC3991" i="4"/>
  <c r="BC3954" i="4"/>
  <c r="BD3915" i="4"/>
  <c r="BC3881" i="4"/>
  <c r="BC3844" i="4"/>
  <c r="BC3806" i="4"/>
  <c r="BD3769" i="4"/>
  <c r="BD3734" i="4"/>
  <c r="BC3699" i="4"/>
  <c r="BD3665" i="4"/>
  <c r="BC3633" i="4"/>
  <c r="BD3600" i="4"/>
  <c r="BC3568" i="4"/>
  <c r="BD3535" i="4"/>
  <c r="BC3503" i="4"/>
  <c r="BD3470" i="4"/>
  <c r="BD3441" i="4"/>
  <c r="BD3411" i="4"/>
  <c r="BD3380" i="4"/>
  <c r="BD3349" i="4"/>
  <c r="BD3320" i="4"/>
  <c r="BD3290" i="4"/>
  <c r="BD3259" i="4"/>
  <c r="BD3228" i="4"/>
  <c r="BD3199" i="4"/>
  <c r="BC3170" i="4"/>
  <c r="BC3149" i="4"/>
  <c r="BC3121" i="4"/>
  <c r="BD3094" i="4"/>
  <c r="BD3067" i="4"/>
  <c r="BC3040" i="4"/>
  <c r="BC3014" i="4"/>
  <c r="BC2995" i="4"/>
  <c r="BC2971" i="4"/>
  <c r="BD2946" i="4"/>
  <c r="BD2921" i="4"/>
  <c r="BD2897" i="4"/>
  <c r="BC2874" i="4"/>
  <c r="BC2856" i="4"/>
  <c r="BC2833" i="4"/>
  <c r="BD2810" i="4"/>
  <c r="BD2788" i="4"/>
  <c r="BD2767" i="4"/>
  <c r="BD2751" i="4"/>
  <c r="BD2730" i="4"/>
  <c r="BC2711" i="4"/>
  <c r="BC2695" i="4"/>
  <c r="BC2675" i="4"/>
  <c r="BC2659" i="4"/>
  <c r="BC2639" i="4"/>
  <c r="BD2621" i="4"/>
  <c r="BD2603" i="4"/>
  <c r="BC2584" i="4"/>
  <c r="BC2568" i="4"/>
  <c r="BC2548" i="4"/>
  <c r="BD2532" i="4"/>
  <c r="BD2512" i="4"/>
  <c r="BD2494" i="4"/>
  <c r="BC2477" i="4"/>
  <c r="BD2457" i="4"/>
  <c r="BC2442" i="4"/>
  <c r="BD2423" i="4"/>
  <c r="BD2408" i="4"/>
  <c r="BD2392" i="4"/>
  <c r="BD2377" i="4"/>
  <c r="BD2363" i="4"/>
  <c r="BD2346" i="4"/>
  <c r="BD2332" i="4"/>
  <c r="BD2318" i="4"/>
  <c r="BD2301" i="4"/>
  <c r="BD2287" i="4"/>
  <c r="BD2271" i="4"/>
  <c r="BD2256" i="4"/>
  <c r="BD2242" i="4"/>
  <c r="BD2225" i="4"/>
  <c r="BD2211" i="4"/>
  <c r="BD2197" i="4"/>
  <c r="BD2180" i="4"/>
  <c r="BD2166" i="4"/>
  <c r="BD2150" i="4"/>
  <c r="BD2135" i="4"/>
  <c r="BD2121" i="4"/>
  <c r="BD2104" i="4"/>
  <c r="BD2090" i="4"/>
  <c r="BD2076" i="4"/>
  <c r="BD2059" i="4"/>
  <c r="BD2045" i="4"/>
  <c r="BD2029" i="4"/>
  <c r="BD2014" i="4"/>
  <c r="BD2000" i="4"/>
  <c r="BD1983" i="4"/>
  <c r="BD1969" i="4"/>
  <c r="BD1955" i="4"/>
  <c r="BD1938" i="4"/>
  <c r="BD1924" i="4"/>
  <c r="BD1908" i="4"/>
  <c r="BD1893" i="4"/>
  <c r="BD1879" i="4"/>
  <c r="BD1862" i="4"/>
  <c r="BD1848" i="4"/>
  <c r="BD1834" i="4"/>
  <c r="BD1817" i="4"/>
  <c r="BD1803" i="4"/>
  <c r="BD1787" i="4"/>
  <c r="BD1772" i="4"/>
  <c r="BD1758" i="4"/>
  <c r="BD1741" i="4"/>
  <c r="BD1727" i="4"/>
  <c r="BD1713" i="4"/>
  <c r="BD1696" i="4"/>
  <c r="BD1682" i="4"/>
  <c r="BD1666" i="4"/>
  <c r="BD1652" i="4"/>
  <c r="BC1639" i="4"/>
  <c r="BD1625" i="4"/>
  <c r="BD1609" i="4"/>
  <c r="BC1596" i="4"/>
  <c r="BC1583" i="4"/>
  <c r="BC1570" i="4"/>
  <c r="BC1555" i="4"/>
  <c r="BC1542" i="4"/>
  <c r="BC1529" i="4"/>
  <c r="BC1516" i="4"/>
  <c r="BC1501" i="4"/>
  <c r="BC1488" i="4"/>
  <c r="BC1475" i="4"/>
  <c r="BC1462" i="4"/>
  <c r="BC1449" i="4"/>
  <c r="BC1434" i="4"/>
  <c r="BC1421" i="4"/>
  <c r="BC1408" i="4"/>
  <c r="BC1395" i="4"/>
  <c r="BC1380" i="4"/>
  <c r="BC1367" i="4"/>
  <c r="BC1354" i="4"/>
  <c r="BC1341" i="4"/>
  <c r="BC1328" i="4"/>
  <c r="BC1313" i="4"/>
  <c r="BC1300" i="4"/>
  <c r="BC1287" i="4"/>
  <c r="BC1274" i="4"/>
  <c r="BC1259" i="4"/>
  <c r="BC1246" i="4"/>
  <c r="BC1233" i="4"/>
  <c r="BC1220" i="4"/>
  <c r="BC1207" i="4"/>
  <c r="BC1192" i="4"/>
  <c r="BC1179" i="4"/>
  <c r="BC1166" i="4"/>
  <c r="BC1153" i="4"/>
  <c r="BC1138" i="4"/>
  <c r="BC1125" i="4"/>
  <c r="BC1112" i="4"/>
  <c r="BC1099" i="4"/>
  <c r="BC1086" i="4"/>
  <c r="BC1071" i="4"/>
  <c r="BC1058" i="4"/>
  <c r="BC1046" i="4"/>
  <c r="BC1034" i="4"/>
  <c r="BC1022" i="4"/>
  <c r="BC1010" i="4"/>
  <c r="BC998" i="4"/>
  <c r="BC985" i="4"/>
  <c r="BC973" i="4"/>
  <c r="BC961" i="4"/>
  <c r="BD949" i="4"/>
  <c r="BC938" i="4"/>
  <c r="BD926" i="4"/>
  <c r="BC915" i="4"/>
  <c r="BD903" i="4"/>
  <c r="BC892" i="4"/>
  <c r="BD880" i="4"/>
  <c r="BC869" i="4"/>
  <c r="BD857" i="4"/>
  <c r="BC846" i="4"/>
  <c r="BD834" i="4"/>
  <c r="BC823" i="4"/>
  <c r="BD811" i="4"/>
  <c r="BC800" i="4"/>
  <c r="BC788" i="4"/>
  <c r="BD776" i="4"/>
  <c r="BC765" i="4"/>
  <c r="BD753" i="4"/>
  <c r="BC742" i="4"/>
  <c r="BD730" i="4"/>
  <c r="BC719" i="4"/>
  <c r="BC708" i="4"/>
  <c r="BC697" i="4"/>
  <c r="BC686" i="4"/>
  <c r="BC675" i="4"/>
  <c r="BC664" i="4"/>
  <c r="BC653" i="4"/>
  <c r="BC642" i="4"/>
  <c r="BC631" i="4"/>
  <c r="BC620" i="4"/>
  <c r="BC609" i="4"/>
  <c r="BC598" i="4"/>
  <c r="BC587" i="4"/>
  <c r="BC576" i="4"/>
  <c r="BC565" i="4"/>
  <c r="BC554" i="4"/>
  <c r="BC543" i="4"/>
  <c r="BC532" i="4"/>
  <c r="BC521" i="4"/>
  <c r="BC510" i="4"/>
  <c r="BC499" i="4"/>
  <c r="BC488" i="4"/>
  <c r="BC477" i="4"/>
  <c r="BC466" i="4"/>
  <c r="BC455" i="4"/>
  <c r="BC444" i="4"/>
  <c r="BC433" i="4"/>
  <c r="BC422" i="4"/>
  <c r="BC411" i="4"/>
  <c r="BC400" i="4"/>
  <c r="BC389" i="4"/>
  <c r="BC378" i="4"/>
  <c r="BC367" i="4"/>
  <c r="BC356" i="4"/>
  <c r="BC345" i="4"/>
  <c r="BC334" i="4"/>
  <c r="BC323" i="4"/>
  <c r="BC312" i="4"/>
  <c r="BC301" i="4"/>
  <c r="BC290" i="4"/>
  <c r="BC279" i="4"/>
  <c r="BC268" i="4"/>
  <c r="BC257" i="4"/>
  <c r="BC246" i="4"/>
  <c r="BC235" i="4"/>
  <c r="BC224" i="4"/>
  <c r="BC213" i="4"/>
  <c r="BC202" i="4"/>
  <c r="BC191" i="4"/>
  <c r="BC180" i="4"/>
  <c r="BC169" i="4"/>
  <c r="BC158" i="4"/>
  <c r="BC147" i="4"/>
  <c r="BC136" i="4"/>
  <c r="BC125" i="4"/>
  <c r="BC114" i="4"/>
  <c r="BC103" i="4"/>
  <c r="BC92" i="4"/>
  <c r="BC81" i="4"/>
  <c r="BC70" i="4"/>
  <c r="BC59" i="4"/>
  <c r="BC48" i="4"/>
  <c r="BC37" i="4"/>
  <c r="BC26" i="4"/>
  <c r="BC15" i="4"/>
  <c r="BC4" i="4"/>
  <c r="BD4027" i="4"/>
  <c r="BC2637" i="4"/>
  <c r="BD1680" i="4"/>
  <c r="BC1020" i="4"/>
  <c r="BC574" i="4"/>
  <c r="BC244" i="4"/>
  <c r="BC2" i="4"/>
  <c r="BD3565" i="4"/>
  <c r="BC2071" i="4"/>
  <c r="BD1122" i="4"/>
  <c r="BD6360" i="4"/>
  <c r="BC6243" i="4"/>
  <c r="BC6112" i="4"/>
  <c r="BD6033" i="4"/>
  <c r="BD5943" i="4"/>
  <c r="BD5864" i="4"/>
  <c r="BC5777" i="4"/>
  <c r="BD5667" i="4"/>
  <c r="BD5593" i="4"/>
  <c r="BD5518" i="4"/>
  <c r="BC5449" i="4"/>
  <c r="BD5389" i="4"/>
  <c r="BD5310" i="4"/>
  <c r="BD5245" i="4"/>
  <c r="BD5188" i="4"/>
  <c r="BC5125" i="4"/>
  <c r="BC5068" i="4"/>
  <c r="BC4989" i="4"/>
  <c r="BC4925" i="4"/>
  <c r="BD4868" i="4"/>
  <c r="BD4803" i="4"/>
  <c r="BD4738" i="4"/>
  <c r="BD4667" i="4"/>
  <c r="BC4604" i="4"/>
  <c r="BC4539" i="4"/>
  <c r="BD4484" i="4"/>
  <c r="BD4423" i="4"/>
  <c r="BD4348" i="4"/>
  <c r="BC4294" i="4"/>
  <c r="BC4232" i="4"/>
  <c r="BD4178" i="4"/>
  <c r="BD4129" i="4"/>
  <c r="BD4074" i="4"/>
  <c r="BD4029" i="4"/>
  <c r="BD3990" i="4"/>
  <c r="BD3953" i="4"/>
  <c r="BC3915" i="4"/>
  <c r="BC3878" i="4"/>
  <c r="BD3843" i="4"/>
  <c r="BC3805" i="4"/>
  <c r="BC3769" i="4"/>
  <c r="BD3733" i="4"/>
  <c r="BD3698" i="4"/>
  <c r="BC3665" i="4"/>
  <c r="BD3632" i="4"/>
  <c r="BC3600" i="4"/>
  <c r="BD3567" i="4"/>
  <c r="BC3535" i="4"/>
  <c r="BD3502" i="4"/>
  <c r="BC3470" i="4"/>
  <c r="BD3439" i="4"/>
  <c r="BD3410" i="4"/>
  <c r="BC3380" i="4"/>
  <c r="BC3349" i="4"/>
  <c r="BD3318" i="4"/>
  <c r="BD3289" i="4"/>
  <c r="BC3259" i="4"/>
  <c r="BC3228" i="4"/>
  <c r="BD3197" i="4"/>
  <c r="BD3169" i="4"/>
  <c r="BC3145" i="4"/>
  <c r="BD3120" i="4"/>
  <c r="BC3094" i="4"/>
  <c r="BC3066" i="4"/>
  <c r="BD3039" i="4"/>
  <c r="BC3013" i="4"/>
  <c r="BC2992" i="4"/>
  <c r="BD2970" i="4"/>
  <c r="BC2946" i="4"/>
  <c r="BC2921" i="4"/>
  <c r="BC2897" i="4"/>
  <c r="BD2873" i="4"/>
  <c r="BC2853" i="4"/>
  <c r="BD2832" i="4"/>
  <c r="BC2810" i="4"/>
  <c r="BC2788" i="4"/>
  <c r="BC2767" i="4"/>
  <c r="BC2751" i="4"/>
  <c r="BC2730" i="4"/>
  <c r="BC2710" i="4"/>
  <c r="BC2694" i="4"/>
  <c r="BD2674" i="4"/>
  <c r="BD2658" i="4"/>
  <c r="BD2638" i="4"/>
  <c r="BC2621" i="4"/>
  <c r="BC2603" i="4"/>
  <c r="BC2583" i="4"/>
  <c r="BD2567" i="4"/>
  <c r="BD2547" i="4"/>
  <c r="BC2532" i="4"/>
  <c r="BC2512" i="4"/>
  <c r="BC2494" i="4"/>
  <c r="BD2476" i="4"/>
  <c r="BD2456" i="4"/>
  <c r="BC2441" i="4"/>
  <c r="BC2423" i="4"/>
  <c r="BC2408" i="4"/>
  <c r="BC2392" i="4"/>
  <c r="BC2377" i="4"/>
  <c r="BC2363" i="4"/>
  <c r="BC2346" i="4"/>
  <c r="BC2332" i="4"/>
  <c r="BC2318" i="4"/>
  <c r="BC2301" i="4"/>
  <c r="BC2287" i="4"/>
  <c r="BC2271" i="4"/>
  <c r="BC2256" i="4"/>
  <c r="BC2242" i="4"/>
  <c r="BC2225" i="4"/>
  <c r="BC2211" i="4"/>
  <c r="BC2197" i="4"/>
  <c r="BC2180" i="4"/>
  <c r="BC2166" i="4"/>
  <c r="BC2150" i="4"/>
  <c r="BC2135" i="4"/>
  <c r="BC2121" i="4"/>
  <c r="BC2104" i="4"/>
  <c r="BC2090" i="4"/>
  <c r="BC2076" i="4"/>
  <c r="BC2059" i="4"/>
  <c r="BC2045" i="4"/>
  <c r="BC2029" i="4"/>
  <c r="BC2014" i="4"/>
  <c r="BC2000" i="4"/>
  <c r="BC1983" i="4"/>
  <c r="BC1969" i="4"/>
  <c r="BC1955" i="4"/>
  <c r="BC1938" i="4"/>
  <c r="BC1924" i="4"/>
  <c r="BC1908" i="4"/>
  <c r="BC1893" i="4"/>
  <c r="BC1879" i="4"/>
  <c r="BC1862" i="4"/>
  <c r="BC1848" i="4"/>
  <c r="BC1834" i="4"/>
  <c r="BC1817" i="4"/>
  <c r="BC1803" i="4"/>
  <c r="BC1787" i="4"/>
  <c r="BC1772" i="4"/>
  <c r="BC1758" i="4"/>
  <c r="BC1741" i="4"/>
  <c r="BC1727" i="4"/>
  <c r="BC1713" i="4"/>
  <c r="BC1696" i="4"/>
  <c r="BC1682" i="4"/>
  <c r="BC1666" i="4"/>
  <c r="BC1652" i="4"/>
  <c r="BD1638" i="4"/>
  <c r="BC1625" i="4"/>
  <c r="BC1609" i="4"/>
  <c r="BD1595" i="4"/>
  <c r="BD1582" i="4"/>
  <c r="BD1567" i="4"/>
  <c r="BD1554" i="4"/>
  <c r="BD1541" i="4"/>
  <c r="BD1528" i="4"/>
  <c r="BD1515" i="4"/>
  <c r="BD1500" i="4"/>
  <c r="BD1487" i="4"/>
  <c r="BD1474" i="4"/>
  <c r="BD1461" i="4"/>
  <c r="BD1446" i="4"/>
  <c r="BD1433" i="4"/>
  <c r="BD1420" i="4"/>
  <c r="BD1407" i="4"/>
  <c r="BD1394" i="4"/>
  <c r="BD1379" i="4"/>
  <c r="BD1366" i="4"/>
  <c r="BD1353" i="4"/>
  <c r="BD1340" i="4"/>
  <c r="BD1325" i="4"/>
  <c r="BD1312" i="4"/>
  <c r="BD1299" i="4"/>
  <c r="BD1286" i="4"/>
  <c r="BD1273" i="4"/>
  <c r="BD1258" i="4"/>
  <c r="BD1245" i="4"/>
  <c r="BD1232" i="4"/>
  <c r="BD1219" i="4"/>
  <c r="BD1204" i="4"/>
  <c r="BD1191" i="4"/>
  <c r="BD1178" i="4"/>
  <c r="BD1165" i="4"/>
  <c r="BD1152" i="4"/>
  <c r="BD1137" i="4"/>
  <c r="BD1124" i="4"/>
  <c r="BD1111" i="4"/>
  <c r="BD1098" i="4"/>
  <c r="BD1083" i="4"/>
  <c r="BD1070" i="4"/>
  <c r="BD1057" i="4"/>
  <c r="BD1045" i="4"/>
  <c r="BD1033" i="4"/>
  <c r="BD1021" i="4"/>
  <c r="BD1009" i="4"/>
  <c r="BD996" i="4"/>
  <c r="BD984" i="4"/>
  <c r="BD972" i="4"/>
  <c r="BD960" i="4"/>
  <c r="BC949" i="4"/>
  <c r="BD937" i="4"/>
  <c r="BC926" i="4"/>
  <c r="BD914" i="4"/>
  <c r="BC903" i="4"/>
  <c r="BD891" i="4"/>
  <c r="BC880" i="4"/>
  <c r="BD868" i="4"/>
  <c r="BC857" i="4"/>
  <c r="BD845" i="4"/>
  <c r="BC834" i="4"/>
  <c r="BD822" i="4"/>
  <c r="BC811" i="4"/>
  <c r="BC799" i="4"/>
  <c r="BD787" i="4"/>
  <c r="BC776" i="4"/>
  <c r="BD764" i="4"/>
  <c r="BC753" i="4"/>
  <c r="BD741" i="4"/>
  <c r="BC730" i="4"/>
  <c r="BD718" i="4"/>
  <c r="BD707" i="4"/>
  <c r="BD696" i="4"/>
  <c r="BD685" i="4"/>
  <c r="BD674" i="4"/>
  <c r="BD663" i="4"/>
  <c r="BD652" i="4"/>
  <c r="BD641" i="4"/>
  <c r="BD630" i="4"/>
  <c r="BD619" i="4"/>
  <c r="BD608" i="4"/>
  <c r="BD597" i="4"/>
  <c r="BD586" i="4"/>
  <c r="BD575" i="4"/>
  <c r="BD564" i="4"/>
  <c r="BD553" i="4"/>
  <c r="BD542" i="4"/>
  <c r="BD531" i="4"/>
  <c r="BD520" i="4"/>
  <c r="BD509" i="4"/>
  <c r="BD498" i="4"/>
  <c r="BD487" i="4"/>
  <c r="BD476" i="4"/>
  <c r="BD465" i="4"/>
  <c r="BD454" i="4"/>
  <c r="BD443" i="4"/>
  <c r="BD432" i="4"/>
  <c r="BD421" i="4"/>
  <c r="BD410" i="4"/>
  <c r="BD399" i="4"/>
  <c r="BD388" i="4"/>
  <c r="BD377" i="4"/>
  <c r="BD366" i="4"/>
  <c r="BD355" i="4"/>
  <c r="BD344" i="4"/>
  <c r="BD333" i="4"/>
  <c r="BD322" i="4"/>
  <c r="BD311" i="4"/>
  <c r="BD300" i="4"/>
  <c r="BD289" i="4"/>
  <c r="BD278" i="4"/>
  <c r="BD267" i="4"/>
  <c r="BD256" i="4"/>
  <c r="BD245" i="4"/>
  <c r="BD234" i="4"/>
  <c r="BD223" i="4"/>
  <c r="BD212" i="4"/>
  <c r="BD201" i="4"/>
  <c r="BD190" i="4"/>
  <c r="BD179" i="4"/>
  <c r="BD168" i="4"/>
  <c r="BD157" i="4"/>
  <c r="BD146" i="4"/>
  <c r="BD135" i="4"/>
  <c r="BD124" i="4"/>
  <c r="BD113" i="4"/>
  <c r="BD102" i="4"/>
  <c r="BD91" i="4"/>
  <c r="BD80" i="4"/>
  <c r="BD69" i="4"/>
  <c r="BD58" i="4"/>
  <c r="BD47" i="4"/>
  <c r="BD36" i="4"/>
  <c r="BD25" i="4"/>
  <c r="BD14" i="4"/>
  <c r="BD3" i="4"/>
  <c r="BC6109" i="4"/>
  <c r="BD4979" i="4"/>
  <c r="BC4114" i="4"/>
  <c r="BD3598" i="4"/>
  <c r="BC3113" i="4"/>
  <c r="BD2690" i="4"/>
  <c r="BD2344" i="4"/>
  <c r="BD2133" i="4"/>
  <c r="BD1996" i="4"/>
  <c r="BD1875" i="4"/>
  <c r="BD1770" i="4"/>
  <c r="BD1694" i="4"/>
  <c r="BC1594" i="4"/>
  <c r="BC1512" i="4"/>
  <c r="BC1432" i="4"/>
  <c r="BC1365" i="4"/>
  <c r="BC1311" i="4"/>
  <c r="BC1257" i="4"/>
  <c r="BC1203" i="4"/>
  <c r="BC1149" i="4"/>
  <c r="BC1110" i="4"/>
  <c r="BC1069" i="4"/>
  <c r="BC1032" i="4"/>
  <c r="BC983" i="4"/>
  <c r="BC936" i="4"/>
  <c r="BD901" i="4"/>
  <c r="BC867" i="4"/>
  <c r="BD820" i="4"/>
  <c r="BC786" i="4"/>
  <c r="BD751" i="4"/>
  <c r="BC717" i="4"/>
  <c r="BC684" i="4"/>
  <c r="BC651" i="4"/>
  <c r="BC618" i="4"/>
  <c r="BC585" i="4"/>
  <c r="BC541" i="4"/>
  <c r="BC497" i="4"/>
  <c r="BC464" i="4"/>
  <c r="BC431" i="4"/>
  <c r="BC398" i="4"/>
  <c r="BC365" i="4"/>
  <c r="BC321" i="4"/>
  <c r="BC277" i="4"/>
  <c r="BC233" i="4"/>
  <c r="BC167" i="4"/>
  <c r="BC112" i="4"/>
  <c r="BC57" i="4"/>
  <c r="BC5430" i="4"/>
  <c r="BD3256" i="4"/>
  <c r="BC2147" i="4"/>
  <c r="BD1498" i="4"/>
  <c r="BD1081" i="4"/>
  <c r="BC843" i="4"/>
  <c r="BD661" i="4"/>
  <c r="BC6360" i="4"/>
  <c r="BD6216" i="4"/>
  <c r="BD6110" i="4"/>
  <c r="BC6033" i="4"/>
  <c r="BC5943" i="4"/>
  <c r="BC5854" i="4"/>
  <c r="BC5755" i="4"/>
  <c r="BC5667" i="4"/>
  <c r="BD5583" i="4"/>
  <c r="BC5518" i="4"/>
  <c r="BD5448" i="4"/>
  <c r="BC5367" i="4"/>
  <c r="BC5310" i="4"/>
  <c r="BC5245" i="4"/>
  <c r="BC5188" i="4"/>
  <c r="BD5124" i="4"/>
  <c r="BD5045" i="4"/>
  <c r="BD4988" i="4"/>
  <c r="BD4923" i="4"/>
  <c r="BC4860" i="4"/>
  <c r="BC4803" i="4"/>
  <c r="BC4724" i="4"/>
  <c r="BC4660" i="4"/>
  <c r="BD4603" i="4"/>
  <c r="BD4538" i="4"/>
  <c r="BC4484" i="4"/>
  <c r="BD4408" i="4"/>
  <c r="BC4348" i="4"/>
  <c r="BD4293" i="4"/>
  <c r="BD4231" i="4"/>
  <c r="BC4178" i="4"/>
  <c r="BD4116" i="4"/>
  <c r="BD4068" i="4"/>
  <c r="BC4029" i="4"/>
  <c r="BC3990" i="4"/>
  <c r="BC3953" i="4"/>
  <c r="BD3914" i="4"/>
  <c r="BD3877" i="4"/>
  <c r="BC3839" i="4"/>
  <c r="BD3804" i="4"/>
  <c r="BC3768" i="4"/>
  <c r="BC3733" i="4"/>
  <c r="BD3697" i="4"/>
  <c r="BD3664" i="4"/>
  <c r="BC3632" i="4"/>
  <c r="BD3599" i="4"/>
  <c r="BC3567" i="4"/>
  <c r="BD3534" i="4"/>
  <c r="BC3502" i="4"/>
  <c r="BD3469" i="4"/>
  <c r="BD3438" i="4"/>
  <c r="BC3410" i="4"/>
  <c r="BD3379" i="4"/>
  <c r="BD3348" i="4"/>
  <c r="BD3317" i="4"/>
  <c r="BC3289" i="4"/>
  <c r="BD3258" i="4"/>
  <c r="BD3227" i="4"/>
  <c r="BD3196" i="4"/>
  <c r="BD3168" i="4"/>
  <c r="BD3140" i="4"/>
  <c r="BD3119" i="4"/>
  <c r="BD3093" i="4"/>
  <c r="BD3065" i="4"/>
  <c r="BC3039" i="4"/>
  <c r="BD3012" i="4"/>
  <c r="BD2987" i="4"/>
  <c r="BC2970" i="4"/>
  <c r="BC2945" i="4"/>
  <c r="BD2920" i="4"/>
  <c r="BD2896" i="4"/>
  <c r="BC2873" i="4"/>
  <c r="BC2850" i="4"/>
  <c r="BC2832" i="4"/>
  <c r="BD2809" i="4"/>
  <c r="BD2787" i="4"/>
  <c r="BD2766" i="4"/>
  <c r="BC2748" i="4"/>
  <c r="BD2729" i="4"/>
  <c r="BD2709" i="4"/>
  <c r="BD2693" i="4"/>
  <c r="BC2674" i="4"/>
  <c r="BC2656" i="4"/>
  <c r="BC2638" i="4"/>
  <c r="BC2619" i="4"/>
  <c r="BD2602" i="4"/>
  <c r="BD2582" i="4"/>
  <c r="BC2567" i="4"/>
  <c r="BC2547" i="4"/>
  <c r="BC2529" i="4"/>
  <c r="BD2511" i="4"/>
  <c r="BC2492" i="4"/>
  <c r="BC2476" i="4"/>
  <c r="BC2456" i="4"/>
  <c r="BD2440" i="4"/>
  <c r="BC2422" i="4"/>
  <c r="BD2407" i="4"/>
  <c r="BD2390" i="4"/>
  <c r="BD2376" i="4"/>
  <c r="BD2362" i="4"/>
  <c r="BD2345" i="4"/>
  <c r="BD2331" i="4"/>
  <c r="BD2315" i="4"/>
  <c r="BD2300" i="4"/>
  <c r="BD2286" i="4"/>
  <c r="BD2269" i="4"/>
  <c r="BD2255" i="4"/>
  <c r="BD2241" i="4"/>
  <c r="BD2224" i="4"/>
  <c r="BD2210" i="4"/>
  <c r="BD2194" i="4"/>
  <c r="BD2179" i="4"/>
  <c r="BD2165" i="4"/>
  <c r="BD2148" i="4"/>
  <c r="BD2134" i="4"/>
  <c r="BD2120" i="4"/>
  <c r="BD2103" i="4"/>
  <c r="BD2089" i="4"/>
  <c r="BD2073" i="4"/>
  <c r="BD2058" i="4"/>
  <c r="BD2044" i="4"/>
  <c r="BD2027" i="4"/>
  <c r="BD2013" i="4"/>
  <c r="BD1999" i="4"/>
  <c r="BD1982" i="4"/>
  <c r="BD1968" i="4"/>
  <c r="BD1952" i="4"/>
  <c r="BD1937" i="4"/>
  <c r="BD1923" i="4"/>
  <c r="BD1906" i="4"/>
  <c r="BD1892" i="4"/>
  <c r="BD1878" i="4"/>
  <c r="BD1861" i="4"/>
  <c r="BD1847" i="4"/>
  <c r="BD1831" i="4"/>
  <c r="BD1816" i="4"/>
  <c r="BD1802" i="4"/>
  <c r="BD1785" i="4"/>
  <c r="BD1771" i="4"/>
  <c r="BD1757" i="4"/>
  <c r="BD1740" i="4"/>
  <c r="BD1726" i="4"/>
  <c r="BD1710" i="4"/>
  <c r="BD1695" i="4"/>
  <c r="BD1681" i="4"/>
  <c r="BC1665" i="4"/>
  <c r="BD1651" i="4"/>
  <c r="BC1638" i="4"/>
  <c r="BD1622" i="4"/>
  <c r="BD1608" i="4"/>
  <c r="BC1595" i="4"/>
  <c r="BC1582" i="4"/>
  <c r="BC1567" i="4"/>
  <c r="BC1554" i="4"/>
  <c r="BC1541" i="4"/>
  <c r="BC1528" i="4"/>
  <c r="BC1515" i="4"/>
  <c r="BC1500" i="4"/>
  <c r="BC1487" i="4"/>
  <c r="BC1474" i="4"/>
  <c r="BC1461" i="4"/>
  <c r="BC1446" i="4"/>
  <c r="BC1433" i="4"/>
  <c r="BC1420" i="4"/>
  <c r="BC1407" i="4"/>
  <c r="BC1394" i="4"/>
  <c r="BC1379" i="4"/>
  <c r="BC1366" i="4"/>
  <c r="BC1353" i="4"/>
  <c r="BC1340" i="4"/>
  <c r="BC1325" i="4"/>
  <c r="BC1312" i="4"/>
  <c r="BC1299" i="4"/>
  <c r="BC1286" i="4"/>
  <c r="BC1273" i="4"/>
  <c r="BC1258" i="4"/>
  <c r="BC1245" i="4"/>
  <c r="BC1232" i="4"/>
  <c r="BC1219" i="4"/>
  <c r="BC1204" i="4"/>
  <c r="BC1191" i="4"/>
  <c r="BC1178" i="4"/>
  <c r="BC1165" i="4"/>
  <c r="BC1152" i="4"/>
  <c r="BC1137" i="4"/>
  <c r="BC1124" i="4"/>
  <c r="BC1111" i="4"/>
  <c r="BC1098" i="4"/>
  <c r="BC1083" i="4"/>
  <c r="BC1070" i="4"/>
  <c r="BC1057" i="4"/>
  <c r="BC1045" i="4"/>
  <c r="BC1033" i="4"/>
  <c r="BC1021" i="4"/>
  <c r="BC1009" i="4"/>
  <c r="BC996" i="4"/>
  <c r="BC984" i="4"/>
  <c r="BC972" i="4"/>
  <c r="BC960" i="4"/>
  <c r="BD948" i="4"/>
  <c r="BC937" i="4"/>
  <c r="BD925" i="4"/>
  <c r="BC914" i="4"/>
  <c r="BD902" i="4"/>
  <c r="BC891" i="4"/>
  <c r="BD879" i="4"/>
  <c r="BC868" i="4"/>
  <c r="BD856" i="4"/>
  <c r="BC845" i="4"/>
  <c r="BD833" i="4"/>
  <c r="BC822" i="4"/>
  <c r="BC810" i="4"/>
  <c r="BD798" i="4"/>
  <c r="BC787" i="4"/>
  <c r="BD775" i="4"/>
  <c r="BC764" i="4"/>
  <c r="BD752" i="4"/>
  <c r="BC741" i="4"/>
  <c r="BD729" i="4"/>
  <c r="BC718" i="4"/>
  <c r="BC707" i="4"/>
  <c r="BC696" i="4"/>
  <c r="BC685" i="4"/>
  <c r="BC674" i="4"/>
  <c r="BC663" i="4"/>
  <c r="BC652" i="4"/>
  <c r="BC641" i="4"/>
  <c r="BC630" i="4"/>
  <c r="BC619" i="4"/>
  <c r="BC608" i="4"/>
  <c r="BC597" i="4"/>
  <c r="BC586" i="4"/>
  <c r="BC575" i="4"/>
  <c r="BC564" i="4"/>
  <c r="BC553" i="4"/>
  <c r="BC542" i="4"/>
  <c r="BC531" i="4"/>
  <c r="BC520" i="4"/>
  <c r="BC509" i="4"/>
  <c r="BC498" i="4"/>
  <c r="BC487" i="4"/>
  <c r="BC476" i="4"/>
  <c r="BC465" i="4"/>
  <c r="BC454" i="4"/>
  <c r="BC443" i="4"/>
  <c r="BC432" i="4"/>
  <c r="BC421" i="4"/>
  <c r="BC410" i="4"/>
  <c r="BC399" i="4"/>
  <c r="BC388" i="4"/>
  <c r="BC377" i="4"/>
  <c r="BC366" i="4"/>
  <c r="BC355" i="4"/>
  <c r="BC344" i="4"/>
  <c r="BC333" i="4"/>
  <c r="BC322" i="4"/>
  <c r="BC311" i="4"/>
  <c r="BC300" i="4"/>
  <c r="BC289" i="4"/>
  <c r="BC278" i="4"/>
  <c r="BC267" i="4"/>
  <c r="BC256" i="4"/>
  <c r="BC245" i="4"/>
  <c r="BC234" i="4"/>
  <c r="BC223" i="4"/>
  <c r="BC212" i="4"/>
  <c r="BC201" i="4"/>
  <c r="BC190" i="4"/>
  <c r="BC179" i="4"/>
  <c r="BC168" i="4"/>
  <c r="BC157" i="4"/>
  <c r="BC146" i="4"/>
  <c r="BC135" i="4"/>
  <c r="BC124" i="4"/>
  <c r="BC113" i="4"/>
  <c r="BC102" i="4"/>
  <c r="BC91" i="4"/>
  <c r="BC80" i="4"/>
  <c r="BC69" i="4"/>
  <c r="BC58" i="4"/>
  <c r="BC47" i="4"/>
  <c r="BC36" i="4"/>
  <c r="BC25" i="4"/>
  <c r="BC14" i="4"/>
  <c r="BC3" i="4"/>
  <c r="BD3316" i="4"/>
  <c r="BC1270" i="4"/>
  <c r="BC13" i="4"/>
  <c r="BD5832" i="4"/>
  <c r="BD6359" i="4"/>
  <c r="BC6216" i="4"/>
  <c r="BC6110" i="4"/>
  <c r="BC6032" i="4"/>
  <c r="BD5942" i="4"/>
  <c r="BD5853" i="4"/>
  <c r="BD5754" i="4"/>
  <c r="BC5666" i="4"/>
  <c r="BC5583" i="4"/>
  <c r="BD5517" i="4"/>
  <c r="BC5448" i="4"/>
  <c r="BD5366" i="4"/>
  <c r="BD5309" i="4"/>
  <c r="BD5244" i="4"/>
  <c r="BD5187" i="4"/>
  <c r="BC5124" i="4"/>
  <c r="BC5045" i="4"/>
  <c r="BC4988" i="4"/>
  <c r="BC4923" i="4"/>
  <c r="BD4859" i="4"/>
  <c r="BD4802" i="4"/>
  <c r="BD4723" i="4"/>
  <c r="BD4658" i="4"/>
  <c r="BD4602" i="4"/>
  <c r="BC4538" i="4"/>
  <c r="BD4483" i="4"/>
  <c r="BC4408" i="4"/>
  <c r="BD4347" i="4"/>
  <c r="BC4293" i="4"/>
  <c r="BC4231" i="4"/>
  <c r="BD4177" i="4"/>
  <c r="BD4115" i="4"/>
  <c r="BC4068" i="4"/>
  <c r="BD4028" i="4"/>
  <c r="BD3989" i="4"/>
  <c r="BD3952" i="4"/>
  <c r="BC3914" i="4"/>
  <c r="BC3877" i="4"/>
  <c r="BD3838" i="4"/>
  <c r="BD3801" i="4"/>
  <c r="BD3767" i="4"/>
  <c r="BC3732" i="4"/>
  <c r="BC3697" i="4"/>
  <c r="BD3663" i="4"/>
  <c r="BD3631" i="4"/>
  <c r="BC3599" i="4"/>
  <c r="BD3566" i="4"/>
  <c r="BC3534" i="4"/>
  <c r="BD3501" i="4"/>
  <c r="BC3469" i="4"/>
  <c r="BC3438" i="4"/>
  <c r="BC3409" i="4"/>
  <c r="BC3379" i="4"/>
  <c r="BC3348" i="4"/>
  <c r="BC3317" i="4"/>
  <c r="BC3288" i="4"/>
  <c r="BC3258" i="4"/>
  <c r="BC3227" i="4"/>
  <c r="BC3196" i="4"/>
  <c r="BC3168" i="4"/>
  <c r="BC3140" i="4"/>
  <c r="BD3116" i="4"/>
  <c r="BC3093" i="4"/>
  <c r="BD3064" i="4"/>
  <c r="BD3038" i="4"/>
  <c r="BC3012" i="4"/>
  <c r="BC2987" i="4"/>
  <c r="BD2965" i="4"/>
  <c r="BD2944" i="4"/>
  <c r="BC2920" i="4"/>
  <c r="BC2896" i="4"/>
  <c r="BD2872" i="4"/>
  <c r="BD2849" i="4"/>
  <c r="BC2829" i="4"/>
  <c r="BC2809" i="4"/>
  <c r="BC2787" i="4"/>
  <c r="BC2766" i="4"/>
  <c r="BD2747" i="4"/>
  <c r="BC2729" i="4"/>
  <c r="BC2709" i="4"/>
  <c r="BC2693" i="4"/>
  <c r="BD2673" i="4"/>
  <c r="BD2655" i="4"/>
  <c r="BD2637" i="4"/>
  <c r="BC2618" i="4"/>
  <c r="BC2602" i="4"/>
  <c r="BC2582" i="4"/>
  <c r="BD2566" i="4"/>
  <c r="BD2546" i="4"/>
  <c r="BD2528" i="4"/>
  <c r="BC2511" i="4"/>
  <c r="BC2491" i="4"/>
  <c r="BD2475" i="4"/>
  <c r="BD2455" i="4"/>
  <c r="BC2440" i="4"/>
  <c r="BD2421" i="4"/>
  <c r="BC2407" i="4"/>
  <c r="BC2390" i="4"/>
  <c r="BC2376" i="4"/>
  <c r="BC2362" i="4"/>
  <c r="BC2345" i="4"/>
  <c r="BC2331" i="4"/>
  <c r="BC2315" i="4"/>
  <c r="BC2300" i="4"/>
  <c r="BC2286" i="4"/>
  <c r="BC2269" i="4"/>
  <c r="BC2255" i="4"/>
  <c r="BC2241" i="4"/>
  <c r="BC2224" i="4"/>
  <c r="BC2210" i="4"/>
  <c r="BC2194" i="4"/>
  <c r="BC2179" i="4"/>
  <c r="BC2165" i="4"/>
  <c r="BC2148" i="4"/>
  <c r="BC2134" i="4"/>
  <c r="BC2120" i="4"/>
  <c r="BC2103" i="4"/>
  <c r="BC2089" i="4"/>
  <c r="BC2073" i="4"/>
  <c r="BC2058" i="4"/>
  <c r="BC2044" i="4"/>
  <c r="BC2027" i="4"/>
  <c r="BC2013" i="4"/>
  <c r="BC1999" i="4"/>
  <c r="BC1982" i="4"/>
  <c r="BC1968" i="4"/>
  <c r="BC1952" i="4"/>
  <c r="BC1937" i="4"/>
  <c r="BC1923" i="4"/>
  <c r="BC1906" i="4"/>
  <c r="BC1892" i="4"/>
  <c r="BC1878" i="4"/>
  <c r="BC1861" i="4"/>
  <c r="BC1847" i="4"/>
  <c r="BC1831" i="4"/>
  <c r="BC1816" i="4"/>
  <c r="BC1802" i="4"/>
  <c r="BC1785" i="4"/>
  <c r="BC1771" i="4"/>
  <c r="BC1757" i="4"/>
  <c r="BC1740" i="4"/>
  <c r="BC1726" i="4"/>
  <c r="BC1710" i="4"/>
  <c r="BC1695" i="4"/>
  <c r="BC1681" i="4"/>
  <c r="BD1664" i="4"/>
  <c r="BC1651" i="4"/>
  <c r="BD1637" i="4"/>
  <c r="BC1622" i="4"/>
  <c r="BC1608" i="4"/>
  <c r="BD1594" i="4"/>
  <c r="BD1581" i="4"/>
  <c r="BD1566" i="4"/>
  <c r="BD1553" i="4"/>
  <c r="BD1540" i="4"/>
  <c r="BD1527" i="4"/>
  <c r="BD1512" i="4"/>
  <c r="BD1499" i="4"/>
  <c r="BD1486" i="4"/>
  <c r="BD1473" i="4"/>
  <c r="BD1460" i="4"/>
  <c r="BD1445" i="4"/>
  <c r="BD1432" i="4"/>
  <c r="BD1419" i="4"/>
  <c r="BD1406" i="4"/>
  <c r="BD1391" i="4"/>
  <c r="BD1378" i="4"/>
  <c r="BD1365" i="4"/>
  <c r="BD1352" i="4"/>
  <c r="BD1339" i="4"/>
  <c r="BD1324" i="4"/>
  <c r="BD1311" i="4"/>
  <c r="BD1298" i="4"/>
  <c r="BD1285" i="4"/>
  <c r="BD1270" i="4"/>
  <c r="BD1257" i="4"/>
  <c r="BD1244" i="4"/>
  <c r="BD1231" i="4"/>
  <c r="BD1218" i="4"/>
  <c r="BD1203" i="4"/>
  <c r="BD1190" i="4"/>
  <c r="BD1177" i="4"/>
  <c r="BD1164" i="4"/>
  <c r="BD1149" i="4"/>
  <c r="BD1136" i="4"/>
  <c r="BD1123" i="4"/>
  <c r="BD1110" i="4"/>
  <c r="BD1097" i="4"/>
  <c r="BD1082" i="4"/>
  <c r="BD1069" i="4"/>
  <c r="BD1056" i="4"/>
  <c r="BD1044" i="4"/>
  <c r="BD1032" i="4"/>
  <c r="BD1020" i="4"/>
  <c r="BD1007" i="4"/>
  <c r="BD995" i="4"/>
  <c r="BD983" i="4"/>
  <c r="BD971" i="4"/>
  <c r="BD959" i="4"/>
  <c r="BC948" i="4"/>
  <c r="BD936" i="4"/>
  <c r="BC925" i="4"/>
  <c r="BD913" i="4"/>
  <c r="BC902" i="4"/>
  <c r="BD890" i="4"/>
  <c r="BC879" i="4"/>
  <c r="BD867" i="4"/>
  <c r="BC856" i="4"/>
  <c r="BD844" i="4"/>
  <c r="BC833" i="4"/>
  <c r="BC821" i="4"/>
  <c r="BD809" i="4"/>
  <c r="BC798" i="4"/>
  <c r="BD786" i="4"/>
  <c r="BC775" i="4"/>
  <c r="BD763" i="4"/>
  <c r="BC752" i="4"/>
  <c r="BD740" i="4"/>
  <c r="BC729" i="4"/>
  <c r="BD717" i="4"/>
  <c r="BD706" i="4"/>
  <c r="BD695" i="4"/>
  <c r="BD684" i="4"/>
  <c r="BD673" i="4"/>
  <c r="BD662" i="4"/>
  <c r="BD651" i="4"/>
  <c r="BD640" i="4"/>
  <c r="BD629" i="4"/>
  <c r="BD618" i="4"/>
  <c r="BD607" i="4"/>
  <c r="BD596" i="4"/>
  <c r="BD585" i="4"/>
  <c r="BD574" i="4"/>
  <c r="BD563" i="4"/>
  <c r="BD552" i="4"/>
  <c r="BD541" i="4"/>
  <c r="BD530" i="4"/>
  <c r="BD519" i="4"/>
  <c r="BD508" i="4"/>
  <c r="BD497" i="4"/>
  <c r="BD486" i="4"/>
  <c r="BD475" i="4"/>
  <c r="BD464" i="4"/>
  <c r="BD453" i="4"/>
  <c r="BD442" i="4"/>
  <c r="BD431" i="4"/>
  <c r="BD420" i="4"/>
  <c r="BD409" i="4"/>
  <c r="BD398" i="4"/>
  <c r="BD387" i="4"/>
  <c r="BD376" i="4"/>
  <c r="BD365" i="4"/>
  <c r="BD354" i="4"/>
  <c r="BD343" i="4"/>
  <c r="BD332" i="4"/>
  <c r="BD321" i="4"/>
  <c r="BD310" i="4"/>
  <c r="BD299" i="4"/>
  <c r="BD288" i="4"/>
  <c r="BD277" i="4"/>
  <c r="BD266" i="4"/>
  <c r="BD255" i="4"/>
  <c r="BD244" i="4"/>
  <c r="BD233" i="4"/>
  <c r="BD222" i="4"/>
  <c r="BD211" i="4"/>
  <c r="BD200" i="4"/>
  <c r="BD189" i="4"/>
  <c r="BD178" i="4"/>
  <c r="BD167" i="4"/>
  <c r="BD156" i="4"/>
  <c r="BD145" i="4"/>
  <c r="BD134" i="4"/>
  <c r="BD123" i="4"/>
  <c r="BD112" i="4"/>
  <c r="BD101" i="4"/>
  <c r="BD90" i="4"/>
  <c r="BD79" i="4"/>
  <c r="BD68" i="4"/>
  <c r="BD57" i="4"/>
  <c r="BD46" i="4"/>
  <c r="BD35" i="4"/>
  <c r="BD24" i="4"/>
  <c r="BD13" i="4"/>
  <c r="BD2" i="4"/>
  <c r="BD4537" i="4"/>
  <c r="BD1815" i="4"/>
  <c r="BC310" i="4"/>
  <c r="BC3662" i="4"/>
  <c r="BC2102" i="4"/>
  <c r="BD1189" i="4"/>
  <c r="BC32" i="4"/>
  <c r="BC56" i="4"/>
  <c r="BD86" i="4"/>
  <c r="BD110" i="4"/>
  <c r="BC141" i="4"/>
  <c r="BC165" i="4"/>
  <c r="BD195" i="4"/>
  <c r="BD219" i="4"/>
  <c r="BD243" i="4"/>
  <c r="BC274" i="4"/>
  <c r="BC298" i="4"/>
  <c r="BD328" i="4"/>
  <c r="BD352" i="4"/>
  <c r="BC383" i="4"/>
  <c r="BC407" i="4"/>
  <c r="BD437" i="4"/>
  <c r="BD461" i="4"/>
  <c r="BC493" i="4"/>
  <c r="BC518" i="4"/>
  <c r="BD549" i="4"/>
  <c r="BD580" i="4"/>
  <c r="BC605" i="4"/>
  <c r="BD636" i="4"/>
  <c r="BD668" i="4"/>
  <c r="BD693" i="4"/>
  <c r="BC726" i="4"/>
  <c r="BD759" i="4"/>
  <c r="BC793" i="4"/>
  <c r="BC819" i="4"/>
  <c r="BD852" i="4"/>
  <c r="BC886" i="4"/>
  <c r="BD919" i="4"/>
  <c r="BC946" i="4"/>
  <c r="BD980" i="4"/>
  <c r="BD1015" i="4"/>
  <c r="BD1050" i="4"/>
  <c r="BD1080" i="4"/>
  <c r="BD1120" i="4"/>
  <c r="BD1158" i="4"/>
  <c r="BD1198" i="4"/>
  <c r="BD1229" i="4"/>
  <c r="BD1267" i="4"/>
  <c r="BD1307" i="4"/>
  <c r="BD1345" i="4"/>
  <c r="BD1376" i="4"/>
  <c r="BD1416" i="4"/>
  <c r="BD1454" i="4"/>
  <c r="BD1494" i="4"/>
  <c r="BD1523" i="4"/>
  <c r="BD1563" i="4"/>
  <c r="BC1604" i="4"/>
  <c r="BC1644" i="4"/>
  <c r="BC1677" i="4"/>
  <c r="BC1721" i="4"/>
  <c r="BC1765" i="4"/>
  <c r="BC1809" i="4"/>
  <c r="BC1845" i="4"/>
  <c r="BC1889" i="4"/>
  <c r="BD1930" i="4"/>
  <c r="BC1966" i="4"/>
  <c r="BC2010" i="4"/>
  <c r="BC2054" i="4"/>
  <c r="BC2098" i="4"/>
  <c r="BC2132" i="4"/>
  <c r="BC2176" i="4"/>
  <c r="BC2220" i="4"/>
  <c r="BC2264" i="4"/>
  <c r="BC2298" i="4"/>
  <c r="BC2342" i="4"/>
  <c r="BC2386" i="4"/>
  <c r="BD2431" i="4"/>
  <c r="BC2471" i="4"/>
  <c r="BD2523" i="4"/>
  <c r="BC2578" i="4"/>
  <c r="BC2628" i="4"/>
  <c r="BC2671" i="4"/>
  <c r="BD2721" i="4"/>
  <c r="BC2778" i="4"/>
  <c r="BC2841" i="4"/>
  <c r="BC2894" i="4"/>
  <c r="BC2960" i="4"/>
  <c r="BC3027" i="4"/>
  <c r="BD3106" i="4"/>
  <c r="BD3164" i="4"/>
  <c r="BD3252" i="4"/>
  <c r="BD3335" i="4"/>
  <c r="BD3424" i="4"/>
  <c r="BD3499" i="4"/>
  <c r="BD3592" i="4"/>
  <c r="BC3680" i="4"/>
  <c r="BD3785" i="4"/>
  <c r="BC3875" i="4"/>
  <c r="BC3986" i="4"/>
  <c r="BC4106" i="4"/>
  <c r="BD4259" i="4"/>
  <c r="BD4398" i="4"/>
  <c r="BD4576" i="4"/>
  <c r="BD4776" i="4"/>
  <c r="BC4953" i="4"/>
  <c r="BC5100" i="4"/>
  <c r="BD5298" i="4"/>
  <c r="BD5489" i="4"/>
  <c r="BD5704" i="4"/>
  <c r="BC5909" i="4"/>
  <c r="BC6196" i="4"/>
  <c r="BD8" i="4"/>
  <c r="BD32" i="4"/>
  <c r="BD56" i="4"/>
  <c r="BC87" i="4"/>
  <c r="BC111" i="4"/>
  <c r="BD141" i="4"/>
  <c r="BD165" i="4"/>
  <c r="BC196" i="4"/>
  <c r="BC220" i="4"/>
  <c r="BD250" i="4"/>
  <c r="BD274" i="4"/>
  <c r="BD298" i="4"/>
  <c r="BC329" i="4"/>
  <c r="BC353" i="4"/>
  <c r="BD383" i="4"/>
  <c r="BD407" i="4"/>
  <c r="BC438" i="4"/>
  <c r="BC462" i="4"/>
  <c r="BD493" i="4"/>
  <c r="BD518" i="4"/>
  <c r="BC550" i="4"/>
  <c r="BC581" i="4"/>
  <c r="BD605" i="4"/>
  <c r="BC637" i="4"/>
  <c r="BC669" i="4"/>
  <c r="BC694" i="4"/>
  <c r="BD726" i="4"/>
  <c r="BC760" i="4"/>
  <c r="BD793" i="4"/>
  <c r="BD819" i="4"/>
  <c r="BC853" i="4"/>
  <c r="BD886" i="4"/>
  <c r="BC920" i="4"/>
  <c r="BD946" i="4"/>
  <c r="BC981" i="4"/>
  <c r="BC1016" i="4"/>
  <c r="BC1051" i="4"/>
  <c r="BC1081" i="4"/>
  <c r="BC1121" i="4"/>
  <c r="BC1159" i="4"/>
  <c r="BC1199" i="4"/>
  <c r="BC1230" i="4"/>
  <c r="BC1268" i="4"/>
  <c r="BC1308" i="4"/>
  <c r="BC1346" i="4"/>
  <c r="BC1377" i="4"/>
  <c r="BC1417" i="4"/>
  <c r="BC1455" i="4"/>
  <c r="BC1495" i="4"/>
  <c r="BC1526" i="4"/>
  <c r="BC1564" i="4"/>
  <c r="BD1604" i="4"/>
  <c r="BD1644" i="4"/>
  <c r="BD1677" i="4"/>
  <c r="BD1721" i="4"/>
  <c r="BD1765" i="4"/>
  <c r="BD1809" i="4"/>
  <c r="BD1845" i="4"/>
  <c r="BD1889" i="4"/>
  <c r="BC1933" i="4"/>
  <c r="BD1966" i="4"/>
  <c r="BD2010" i="4"/>
  <c r="BD2054" i="4"/>
  <c r="BD2098" i="4"/>
  <c r="BD2132" i="4"/>
  <c r="BD2176" i="4"/>
  <c r="BD2220" i="4"/>
  <c r="BD2264" i="4"/>
  <c r="BD2298" i="4"/>
  <c r="BD2342" i="4"/>
  <c r="BD2386" i="4"/>
  <c r="BC2432" i="4"/>
  <c r="BD2471" i="4"/>
  <c r="BC2524" i="4"/>
  <c r="BD2578" i="4"/>
  <c r="BC2629" i="4"/>
  <c r="BD2671" i="4"/>
  <c r="BD2722" i="4"/>
  <c r="BD2778" i="4"/>
  <c r="BC2844" i="4"/>
  <c r="BD2894" i="4"/>
  <c r="BD2960" i="4"/>
  <c r="BD3027" i="4"/>
  <c r="BC3107" i="4"/>
  <c r="BC3165" i="4"/>
  <c r="BD3254" i="4"/>
  <c r="BC3344" i="4"/>
  <c r="BC3425" i="4"/>
  <c r="BC3500" i="4"/>
  <c r="BD3595" i="4"/>
  <c r="BC3690" i="4"/>
  <c r="BD3786" i="4"/>
  <c r="BD3875" i="4"/>
  <c r="BC3987" i="4"/>
  <c r="BD4106" i="4"/>
  <c r="BC4260" i="4"/>
  <c r="BC4399" i="4"/>
  <c r="BC4577" i="4"/>
  <c r="BC4777" i="4"/>
  <c r="BD4953" i="4"/>
  <c r="BD5100" i="4"/>
  <c r="BC5299" i="4"/>
  <c r="BC5490" i="4"/>
  <c r="BC5705" i="4"/>
  <c r="BD5909" i="4"/>
  <c r="BD6197" i="4"/>
  <c r="BC9" i="4"/>
  <c r="BC33" i="4"/>
  <c r="BD63" i="4"/>
  <c r="BD87" i="4"/>
  <c r="BD111" i="4"/>
  <c r="BC142" i="4"/>
  <c r="BC166" i="4"/>
  <c r="BD196" i="4"/>
  <c r="BD220" i="4"/>
  <c r="BC251" i="4"/>
  <c r="BC275" i="4"/>
  <c r="BD305" i="4"/>
  <c r="BD329" i="4"/>
  <c r="BD353" i="4"/>
  <c r="BC384" i="4"/>
  <c r="BC408" i="4"/>
  <c r="BD438" i="4"/>
  <c r="BD462" i="4"/>
  <c r="BC494" i="4"/>
  <c r="BD525" i="4"/>
  <c r="BD550" i="4"/>
  <c r="BD581" i="4"/>
  <c r="BC606" i="4"/>
  <c r="BD637" i="4"/>
  <c r="BD669" i="4"/>
  <c r="BD701" i="4"/>
  <c r="BC727" i="4"/>
  <c r="BD760" i="4"/>
  <c r="BC794" i="4"/>
  <c r="BD827" i="4"/>
  <c r="BD853" i="4"/>
  <c r="BC887" i="4"/>
  <c r="BC921" i="4"/>
  <c r="BD954" i="4"/>
  <c r="BD981" i="4"/>
  <c r="BD1016" i="4"/>
  <c r="BD1051" i="4"/>
  <c r="BD1090" i="4"/>
  <c r="BD1121" i="4"/>
  <c r="BD1159" i="4"/>
  <c r="BD1199" i="4"/>
  <c r="BD1237" i="4"/>
  <c r="BD1268" i="4"/>
  <c r="BD1308" i="4"/>
  <c r="BD1346" i="4"/>
  <c r="BD1386" i="4"/>
  <c r="BD1417" i="4"/>
  <c r="BD1455" i="4"/>
  <c r="BD1495" i="4"/>
  <c r="BD1533" i="4"/>
  <c r="BD1564" i="4"/>
  <c r="BC1605" i="4"/>
  <c r="BC1647" i="4"/>
  <c r="BC1688" i="4"/>
  <c r="BC1724" i="4"/>
  <c r="BC1768" i="4"/>
  <c r="BC1812" i="4"/>
  <c r="BC1856" i="4"/>
  <c r="BC1890" i="4"/>
  <c r="BD1933" i="4"/>
  <c r="BC1977" i="4"/>
  <c r="BC2011" i="4"/>
  <c r="BC2055" i="4"/>
  <c r="BC2099" i="4"/>
  <c r="BC2143" i="4"/>
  <c r="BC2177" i="4"/>
  <c r="BC2221" i="4"/>
  <c r="BC2265" i="4"/>
  <c r="BC2309" i="4"/>
  <c r="BC2343" i="4"/>
  <c r="BC2387" i="4"/>
  <c r="BD2432" i="4"/>
  <c r="BC2486" i="4"/>
  <c r="BD2524" i="4"/>
  <c r="BC2579" i="4"/>
  <c r="BD2629" i="4"/>
  <c r="BC2684" i="4"/>
  <c r="BD2724" i="4"/>
  <c r="BC2779" i="4"/>
  <c r="BD2844" i="4"/>
  <c r="BD2908" i="4"/>
  <c r="BC2961" i="4"/>
  <c r="BD3030" i="4"/>
  <c r="BD3107" i="4"/>
  <c r="BD3182" i="4"/>
  <c r="BC3255" i="4"/>
  <c r="BD3344" i="4"/>
  <c r="BD3425" i="4"/>
  <c r="BC3519" i="4"/>
  <c r="BC3596" i="4"/>
  <c r="BD3690" i="4"/>
  <c r="BC3787" i="4"/>
  <c r="BD3898" i="4"/>
  <c r="BD3987" i="4"/>
  <c r="BC4107" i="4"/>
  <c r="BD4266" i="4"/>
  <c r="BC4450" i="4"/>
  <c r="BC4593" i="4"/>
  <c r="BD4777" i="4"/>
  <c r="BC4962" i="4"/>
  <c r="BD5152" i="4"/>
  <c r="BD5299" i="4"/>
  <c r="BD5490" i="4"/>
  <c r="BD5737" i="4"/>
  <c r="BC5982" i="4"/>
  <c r="BD6198" i="4"/>
  <c r="BD9" i="4"/>
  <c r="BD33" i="4"/>
  <c r="BC64" i="4"/>
  <c r="BC88" i="4"/>
  <c r="BD118" i="4"/>
  <c r="BD142" i="4"/>
  <c r="BD166" i="4"/>
  <c r="BC197" i="4"/>
  <c r="BC221" i="4"/>
  <c r="BD251" i="4"/>
  <c r="BD275" i="4"/>
  <c r="BC306" i="4"/>
  <c r="BC330" i="4"/>
  <c r="BD360" i="4"/>
  <c r="BD384" i="4"/>
  <c r="BD408" i="4"/>
  <c r="BC439" i="4"/>
  <c r="BC463" i="4"/>
  <c r="BD494" i="4"/>
  <c r="BC526" i="4"/>
  <c r="BC551" i="4"/>
  <c r="BC582" i="4"/>
  <c r="BD606" i="4"/>
  <c r="BC638" i="4"/>
  <c r="BC670" i="4"/>
  <c r="BC702" i="4"/>
  <c r="BD727" i="4"/>
  <c r="BC761" i="4"/>
  <c r="BD794" i="4"/>
  <c r="BC828" i="4"/>
  <c r="BC854" i="4"/>
  <c r="BC888" i="4"/>
  <c r="BD921" i="4"/>
  <c r="BC955" i="4"/>
  <c r="BC982" i="4"/>
  <c r="BC1017" i="4"/>
  <c r="BC1053" i="4"/>
  <c r="BC1091" i="4"/>
  <c r="BC1122" i="4"/>
  <c r="BC1160" i="4"/>
  <c r="BC1200" i="4"/>
  <c r="BC1240" i="4"/>
  <c r="BC1269" i="4"/>
  <c r="BC1309" i="4"/>
  <c r="BC1347" i="4"/>
  <c r="BC1387" i="4"/>
  <c r="BC1418" i="4"/>
  <c r="BC1456" i="4"/>
  <c r="BC1496" i="4"/>
  <c r="BC1534" i="4"/>
  <c r="BC1565" i="4"/>
  <c r="BD1605" i="4"/>
  <c r="BD1647" i="4"/>
  <c r="BD1688" i="4"/>
  <c r="BD1724" i="4"/>
  <c r="BD1768" i="4"/>
  <c r="BD1812" i="4"/>
  <c r="BD1856" i="4"/>
  <c r="BD1890" i="4"/>
  <c r="BC1934" i="4"/>
  <c r="BD1977" i="4"/>
  <c r="BD2011" i="4"/>
  <c r="BD2055" i="4"/>
  <c r="BD2099" i="4"/>
  <c r="BD2143" i="4"/>
  <c r="BD2177" i="4"/>
  <c r="BD2221" i="4"/>
  <c r="BD2265" i="4"/>
  <c r="BD2309" i="4"/>
  <c r="BD2343" i="4"/>
  <c r="BD2387" i="4"/>
  <c r="BC2433" i="4"/>
  <c r="BD2486" i="4"/>
  <c r="BC2525" i="4"/>
  <c r="BD2579" i="4"/>
  <c r="BD2630" i="4"/>
  <c r="BD2684" i="4"/>
  <c r="BC2725" i="4"/>
  <c r="BC2782" i="4"/>
  <c r="BC2845" i="4"/>
  <c r="BC2909" i="4"/>
  <c r="BD2961" i="4"/>
  <c r="BC3035" i="4"/>
  <c r="BC3108" i="4"/>
  <c r="BC3183" i="4"/>
  <c r="BC3256" i="4"/>
  <c r="BD3345" i="4"/>
  <c r="BD3434" i="4"/>
  <c r="BC3520" i="4"/>
  <c r="BC3597" i="4"/>
  <c r="BC3691" i="4"/>
  <c r="BC3798" i="4"/>
  <c r="BC3899" i="4"/>
  <c r="BC3988" i="4"/>
  <c r="BD4107" i="4"/>
  <c r="BC4267" i="4"/>
  <c r="BD4450" i="4"/>
  <c r="BD4593" i="4"/>
  <c r="BC4778" i="4"/>
  <c r="BD4962" i="4"/>
  <c r="BC5153" i="4"/>
  <c r="BC5300" i="4"/>
  <c r="BC5491" i="4"/>
  <c r="BC5738" i="4"/>
  <c r="BD5982" i="4"/>
  <c r="BC6199" i="4"/>
  <c r="BC10" i="4"/>
  <c r="BC34" i="4"/>
  <c r="BD64" i="4"/>
  <c r="BD88" i="4"/>
  <c r="BC119" i="4"/>
  <c r="BC143" i="4"/>
  <c r="BD173" i="4"/>
  <c r="BD197" i="4"/>
  <c r="BD221" i="4"/>
  <c r="BC252" i="4"/>
  <c r="BC276" i="4"/>
  <c r="BD306" i="4"/>
  <c r="BD330" i="4"/>
  <c r="BC361" i="4"/>
  <c r="BC385" i="4"/>
  <c r="BD415" i="4"/>
  <c r="BD439" i="4"/>
  <c r="BD463" i="4"/>
  <c r="BC495" i="4"/>
  <c r="BD526" i="4"/>
  <c r="BD558" i="4"/>
  <c r="BD582" i="4"/>
  <c r="BD613" i="4"/>
  <c r="BD638" i="4"/>
  <c r="BD670" i="4"/>
  <c r="BD702" i="4"/>
  <c r="BD735" i="4"/>
  <c r="BD761" i="4"/>
  <c r="BC795" i="4"/>
  <c r="BD828" i="4"/>
  <c r="BC862" i="4"/>
  <c r="BD888" i="4"/>
  <c r="BC922" i="4"/>
  <c r="BD955" i="4"/>
  <c r="BD990" i="4"/>
  <c r="BD1017" i="4"/>
  <c r="BD1053" i="4"/>
  <c r="BD1091" i="4"/>
  <c r="BD1131" i="4"/>
  <c r="BD1160" i="4"/>
  <c r="BD1200" i="4"/>
  <c r="BD1240" i="4"/>
  <c r="BD1278" i="4"/>
  <c r="BD1309" i="4"/>
  <c r="BD1347" i="4"/>
  <c r="BD1387" i="4"/>
  <c r="BD1427" i="4"/>
  <c r="BD1456" i="4"/>
  <c r="BD1496" i="4"/>
  <c r="BD1534" i="4"/>
  <c r="BD1574" i="4"/>
  <c r="BC1606" i="4"/>
  <c r="BC1648" i="4"/>
  <c r="BC1691" i="4"/>
  <c r="BC1735" i="4"/>
  <c r="BC1769" i="4"/>
  <c r="BC1813" i="4"/>
  <c r="BC1857" i="4"/>
  <c r="BC1901" i="4"/>
  <c r="BD1934" i="4"/>
  <c r="BC1978" i="4"/>
  <c r="BC2022" i="4"/>
  <c r="BC2056" i="4"/>
  <c r="BC2100" i="4"/>
  <c r="BC2144" i="4"/>
  <c r="BC2188" i="4"/>
  <c r="BC2222" i="4"/>
  <c r="BC2266" i="4"/>
  <c r="BC2310" i="4"/>
  <c r="BC2354" i="4"/>
  <c r="BC2388" i="4"/>
  <c r="BD2433" i="4"/>
  <c r="BC2487" i="4"/>
  <c r="BC2537" i="4"/>
  <c r="BC2580" i="4"/>
  <c r="BD2632" i="4"/>
  <c r="BC2685" i="4"/>
  <c r="BC2740" i="4"/>
  <c r="BC2783" i="4"/>
  <c r="BD2845" i="4"/>
  <c r="BD2909" i="4"/>
  <c r="BC2979" i="4"/>
  <c r="BC3036" i="4"/>
  <c r="BD3108" i="4"/>
  <c r="BD3183" i="4"/>
  <c r="BD3272" i="4"/>
  <c r="BC3346" i="4"/>
  <c r="BC3435" i="4"/>
  <c r="BD3520" i="4"/>
  <c r="BC3614" i="4"/>
  <c r="BD3691" i="4"/>
  <c r="BD3798" i="4"/>
  <c r="BD3899" i="4"/>
  <c r="BD4010" i="4"/>
  <c r="BC4112" i="4"/>
  <c r="BD4267" i="4"/>
  <c r="BD4458" i="4"/>
  <c r="BD4631" i="4"/>
  <c r="BD4778" i="4"/>
  <c r="BC4977" i="4"/>
  <c r="BD5161" i="4"/>
  <c r="BC5338" i="4"/>
  <c r="BD5491" i="4"/>
  <c r="BD5738" i="4"/>
  <c r="BD5994" i="4"/>
  <c r="BD6293" i="4"/>
  <c r="BD10" i="4"/>
  <c r="BD34" i="4"/>
  <c r="BC65" i="4"/>
  <c r="BC89" i="4"/>
  <c r="BD119" i="4"/>
  <c r="BD143" i="4"/>
  <c r="BC174" i="4"/>
  <c r="BC198" i="4"/>
  <c r="BD228" i="4"/>
  <c r="BD252" i="4"/>
  <c r="BD276" i="4"/>
  <c r="BC307" i="4"/>
  <c r="BC331" i="4"/>
  <c r="BD361" i="4"/>
  <c r="BD385" i="4"/>
  <c r="BC416" i="4"/>
  <c r="BC440" i="4"/>
  <c r="BD470" i="4"/>
  <c r="BD495" i="4"/>
  <c r="BC527" i="4"/>
  <c r="BC559" i="4"/>
  <c r="BC583" i="4"/>
  <c r="BC614" i="4"/>
  <c r="BC639" i="4"/>
  <c r="BC671" i="4"/>
  <c r="BC703" i="4"/>
  <c r="BC736" i="4"/>
  <c r="BC762" i="4"/>
  <c r="BD795" i="4"/>
  <c r="BC829" i="4"/>
  <c r="BD862" i="4"/>
  <c r="BC889" i="4"/>
  <c r="BD922" i="4"/>
  <c r="BC956" i="4"/>
  <c r="BC991" i="4"/>
  <c r="BC1018" i="4"/>
  <c r="BC1054" i="4"/>
  <c r="BC1092" i="4"/>
  <c r="BC1132" i="4"/>
  <c r="BC1163" i="4"/>
  <c r="BC1201" i="4"/>
  <c r="BC1241" i="4"/>
  <c r="BC1279" i="4"/>
  <c r="BC1310" i="4"/>
  <c r="BC1350" i="4"/>
  <c r="BC1388" i="4"/>
  <c r="BC1428" i="4"/>
  <c r="BC1457" i="4"/>
  <c r="BC1497" i="4"/>
  <c r="BC1537" i="4"/>
  <c r="BC1575" i="4"/>
  <c r="BD1606" i="4"/>
  <c r="BD1648" i="4"/>
  <c r="BD1691" i="4"/>
  <c r="BD1735" i="4"/>
  <c r="BD1769" i="4"/>
  <c r="BD1813" i="4"/>
  <c r="BD1857" i="4"/>
  <c r="BD1901" i="4"/>
  <c r="BC1935" i="4"/>
  <c r="BD1978" i="4"/>
  <c r="BD2022" i="4"/>
  <c r="BD2056" i="4"/>
  <c r="BD2100" i="4"/>
  <c r="BD2144" i="4"/>
  <c r="BD2188" i="4"/>
  <c r="BD2222" i="4"/>
  <c r="BD2266" i="4"/>
  <c r="BD2310" i="4"/>
  <c r="BD2354" i="4"/>
  <c r="BD2388" i="4"/>
  <c r="BD2434" i="4"/>
  <c r="BD2487" i="4"/>
  <c r="BC2538" i="4"/>
  <c r="BD2580" i="4"/>
  <c r="BC2633" i="4"/>
  <c r="BD2685" i="4"/>
  <c r="BD2740" i="4"/>
  <c r="BD2785" i="4"/>
  <c r="BC2846" i="4"/>
  <c r="BC2910" i="4"/>
  <c r="BD2982" i="4"/>
  <c r="BD3036" i="4"/>
  <c r="BD3109" i="4"/>
  <c r="BD3192" i="4"/>
  <c r="BC3273" i="4"/>
  <c r="BD3346" i="4"/>
  <c r="BD3435" i="4"/>
  <c r="BD3529" i="4"/>
  <c r="BD3614" i="4"/>
  <c r="BC3692" i="4"/>
  <c r="BC3799" i="4"/>
  <c r="BD3910" i="4"/>
  <c r="BC4011" i="4"/>
  <c r="BD4112" i="4"/>
  <c r="BC4268" i="4"/>
  <c r="BC4459" i="4"/>
  <c r="BC4632" i="4"/>
  <c r="BC4779" i="4"/>
  <c r="BD4977" i="4"/>
  <c r="BC5162" i="4"/>
  <c r="BD5338" i="4"/>
  <c r="BC5492" i="4"/>
  <c r="BC5739" i="4"/>
  <c r="BC5996" i="4"/>
  <c r="BD6295" i="4"/>
  <c r="BC11" i="4"/>
  <c r="BD41" i="4"/>
  <c r="BD65" i="4"/>
  <c r="BD89" i="4"/>
  <c r="BC120" i="4"/>
  <c r="BC144" i="4"/>
  <c r="BD174" i="4"/>
  <c r="BD198" i="4"/>
  <c r="BC229" i="4"/>
  <c r="BC253" i="4"/>
  <c r="BD283" i="4"/>
  <c r="BD307" i="4"/>
  <c r="BD331" i="4"/>
  <c r="BC362" i="4"/>
  <c r="BC386" i="4"/>
  <c r="BD416" i="4"/>
  <c r="BD440" i="4"/>
  <c r="BC471" i="4"/>
  <c r="BC496" i="4"/>
  <c r="BD527" i="4"/>
  <c r="BD559" i="4"/>
  <c r="BD583" i="4"/>
  <c r="BD614" i="4"/>
  <c r="BD646" i="4"/>
  <c r="BD671" i="4"/>
  <c r="BD703" i="4"/>
  <c r="BD736" i="4"/>
  <c r="BC770" i="4"/>
  <c r="BC796" i="4"/>
  <c r="BD829" i="4"/>
  <c r="BC863" i="4"/>
  <c r="BD896" i="4"/>
  <c r="BC923" i="4"/>
  <c r="BD956" i="4"/>
  <c r="BD991" i="4"/>
  <c r="BD1026" i="4"/>
  <c r="BD1054" i="4"/>
  <c r="BD1092" i="4"/>
  <c r="BD1132" i="4"/>
  <c r="BD1170" i="4"/>
  <c r="BD1201" i="4"/>
  <c r="BD1241" i="4"/>
  <c r="BD1279" i="4"/>
  <c r="BD1319" i="4"/>
  <c r="BD1350" i="4"/>
  <c r="BD1388" i="4"/>
  <c r="BD1428" i="4"/>
  <c r="BD1466" i="4"/>
  <c r="BD1497" i="4"/>
  <c r="BD1537" i="4"/>
  <c r="BD1575" i="4"/>
  <c r="BD1616" i="4"/>
  <c r="BC1649" i="4"/>
  <c r="BC1692" i="4"/>
  <c r="BC1736" i="4"/>
  <c r="BC1780" i="4"/>
  <c r="BC1814" i="4"/>
  <c r="BC1858" i="4"/>
  <c r="BC1902" i="4"/>
  <c r="BD1935" i="4"/>
  <c r="BC1979" i="4"/>
  <c r="BC2023" i="4"/>
  <c r="BC2067" i="4"/>
  <c r="BC2101" i="4"/>
  <c r="BC2145" i="4"/>
  <c r="BC2189" i="4"/>
  <c r="BC2233" i="4"/>
  <c r="BC2267" i="4"/>
  <c r="BC2311" i="4"/>
  <c r="BC2355" i="4"/>
  <c r="BC2399" i="4"/>
  <c r="BC2435" i="4"/>
  <c r="BC2488" i="4"/>
  <c r="BC2540" i="4"/>
  <c r="BD2592" i="4"/>
  <c r="BD2635" i="4"/>
  <c r="BC2686" i="4"/>
  <c r="BC2741" i="4"/>
  <c r="BD2798" i="4"/>
  <c r="BC2847" i="4"/>
  <c r="BD2910" i="4"/>
  <c r="BC2983" i="4"/>
  <c r="BC3052" i="4"/>
  <c r="BC3110" i="4"/>
  <c r="BC3193" i="4"/>
  <c r="BD3273" i="4"/>
  <c r="BD3364" i="4"/>
  <c r="BC3436" i="4"/>
  <c r="BC3530" i="4"/>
  <c r="BD3617" i="4"/>
  <c r="BD3713" i="4"/>
  <c r="BD3799" i="4"/>
  <c r="BC3911" i="4"/>
  <c r="BC4012" i="4"/>
  <c r="BD4153" i="4"/>
  <c r="BD4283" i="4"/>
  <c r="BD4459" i="4"/>
  <c r="BD4632" i="4"/>
  <c r="BC4831" i="4"/>
  <c r="BC4978" i="4"/>
  <c r="BD5162" i="4"/>
  <c r="BC5361" i="4"/>
  <c r="BC5551" i="4"/>
  <c r="BC5740" i="4"/>
  <c r="BD5996" i="4"/>
  <c r="BC6309" i="4"/>
  <c r="BM145" i="4"/>
  <c r="BN173" i="4"/>
  <c r="BN270" i="4"/>
  <c r="BN1568" i="4"/>
  <c r="BM1568" i="4"/>
  <c r="BM525" i="4"/>
  <c r="BN525" i="4"/>
  <c r="BN1361" i="4"/>
  <c r="BM1361" i="4"/>
  <c r="BM1818" i="4"/>
  <c r="BN56" i="4"/>
  <c r="BN84" i="4"/>
  <c r="BN238" i="4"/>
  <c r="BN271" i="4"/>
  <c r="BM271" i="4"/>
  <c r="BN342" i="4"/>
  <c r="BM342" i="4"/>
  <c r="BN563" i="4"/>
  <c r="BM563" i="4"/>
  <c r="BN1118" i="4"/>
  <c r="BM1118" i="4"/>
  <c r="BM1431" i="4"/>
  <c r="BM2976" i="4"/>
  <c r="BM5" i="4"/>
  <c r="BN378" i="4"/>
  <c r="BM378" i="4"/>
  <c r="BN414" i="4"/>
  <c r="BM414" i="4"/>
  <c r="BM452" i="4"/>
  <c r="BN1119" i="4"/>
  <c r="BM1119" i="4"/>
  <c r="BM1502" i="4"/>
  <c r="BN3285" i="4"/>
  <c r="BN3501" i="4"/>
  <c r="BM3501" i="4"/>
  <c r="BM114" i="4"/>
  <c r="BN307" i="4"/>
  <c r="BM852" i="4"/>
  <c r="BN1064" i="4"/>
  <c r="BN2553" i="4"/>
  <c r="BN2834" i="4"/>
  <c r="BM2834" i="4"/>
  <c r="BN2988" i="4"/>
  <c r="BM490" i="4"/>
  <c r="BM602" i="4"/>
  <c r="BN602" i="4"/>
  <c r="BM1821" i="4"/>
  <c r="BM2117" i="4"/>
  <c r="BN91" i="4"/>
  <c r="BM316" i="4"/>
  <c r="BN316" i="4"/>
  <c r="BN424" i="4"/>
  <c r="BM424" i="4"/>
  <c r="BN644" i="4"/>
  <c r="BM644" i="4"/>
  <c r="BM1018" i="4"/>
  <c r="BM1589" i="4"/>
  <c r="BN1589" i="4"/>
  <c r="BN3520" i="4"/>
  <c r="BM3520" i="4"/>
  <c r="BM183" i="4"/>
  <c r="BN183" i="4"/>
  <c r="BM390" i="4"/>
  <c r="BN390" i="4"/>
  <c r="BN576" i="4"/>
  <c r="BM576" i="4"/>
  <c r="BM1389" i="4"/>
  <c r="BN1525" i="4"/>
  <c r="BM1525" i="4"/>
  <c r="BN1593" i="4"/>
  <c r="BM1593" i="4"/>
  <c r="BN1671" i="4"/>
  <c r="BM1671" i="4"/>
  <c r="BN1761" i="4"/>
  <c r="BM10" i="4"/>
  <c r="BM149" i="4"/>
  <c r="BN149" i="4"/>
  <c r="BN1082" i="4"/>
  <c r="BN1390" i="4"/>
  <c r="BN1526" i="4"/>
  <c r="BN3537" i="4"/>
  <c r="BM391" i="4"/>
  <c r="BM733" i="4"/>
  <c r="BM3198" i="4"/>
  <c r="BN357" i="4"/>
  <c r="BN503" i="4"/>
  <c r="BM1329" i="4"/>
  <c r="BM1602" i="4"/>
  <c r="BM3539" i="4"/>
  <c r="BN694" i="4"/>
  <c r="BM694" i="4"/>
  <c r="BM1330" i="4"/>
  <c r="BN2606" i="4"/>
  <c r="BM2606" i="4"/>
  <c r="BN15" i="4"/>
  <c r="BM221" i="4"/>
  <c r="BN221" i="4"/>
  <c r="BM431" i="4"/>
  <c r="BM467" i="4"/>
  <c r="BM504" i="4"/>
  <c r="BN1461" i="4"/>
  <c r="BM1461" i="4"/>
  <c r="BN2489" i="4"/>
  <c r="BN21" i="4"/>
  <c r="BM21" i="4"/>
  <c r="BN779" i="4"/>
  <c r="BM779" i="4"/>
  <c r="BN1608" i="4"/>
  <c r="BN3220" i="4"/>
  <c r="BM3220" i="4"/>
  <c r="BM375" i="4"/>
  <c r="BM435" i="4"/>
  <c r="BN545" i="4"/>
  <c r="BM545" i="4"/>
  <c r="BM696" i="4"/>
  <c r="BM738" i="4"/>
  <c r="BN738" i="4"/>
  <c r="BN878" i="4"/>
  <c r="BM878" i="4"/>
  <c r="BM1609" i="4"/>
  <c r="BM1684" i="4"/>
  <c r="BN2908" i="4"/>
  <c r="BM101" i="4"/>
  <c r="BM164" i="4"/>
  <c r="BM262" i="4"/>
  <c r="BN509" i="4"/>
  <c r="BM509" i="4"/>
  <c r="BN619" i="4"/>
  <c r="BM619" i="4"/>
  <c r="BM828" i="4"/>
  <c r="BM1035" i="4"/>
  <c r="BM1541" i="4"/>
  <c r="BN1541" i="4"/>
  <c r="BM2655" i="4"/>
  <c r="BM103" i="4"/>
  <c r="BN103" i="4"/>
  <c r="BN298" i="4"/>
  <c r="BM298" i="4"/>
  <c r="BM403" i="4"/>
  <c r="BN403" i="4"/>
  <c r="BN590" i="4"/>
  <c r="BM590" i="4"/>
  <c r="BN791" i="4"/>
  <c r="BM791" i="4"/>
  <c r="BM1162" i="4"/>
  <c r="BN1703" i="4"/>
  <c r="BM1703" i="4"/>
  <c r="BM80" i="4"/>
  <c r="BN80" i="4"/>
  <c r="BN166" i="4"/>
  <c r="BM166" i="4"/>
  <c r="BN199" i="4"/>
  <c r="BM199" i="4"/>
  <c r="BN410" i="4"/>
  <c r="BM709" i="4"/>
  <c r="BN709" i="4"/>
  <c r="BN2098" i="4"/>
  <c r="BN3444" i="4"/>
  <c r="BM3444" i="4"/>
  <c r="BA462" i="4"/>
  <c r="BM234" i="4"/>
  <c r="BN448" i="4"/>
  <c r="BN631" i="4"/>
  <c r="BN944" i="4"/>
  <c r="BM944" i="4"/>
  <c r="BN1113" i="4"/>
  <c r="BM1113" i="4"/>
  <c r="BN1291" i="4"/>
  <c r="BN138" i="4"/>
  <c r="BN1173" i="4"/>
  <c r="BM1173" i="4"/>
  <c r="BM1233" i="4"/>
  <c r="BN1233" i="4"/>
  <c r="BN1496" i="4"/>
  <c r="BM1816" i="4"/>
  <c r="BN1907" i="4"/>
  <c r="BM1907" i="4"/>
  <c r="BN412" i="4"/>
  <c r="BM412" i="4"/>
  <c r="BN487" i="4"/>
  <c r="BM524" i="4"/>
  <c r="BM559" i="4"/>
  <c r="BM1423" i="4"/>
  <c r="BN1817" i="4"/>
  <c r="BM1817" i="4"/>
  <c r="BK11" i="4"/>
  <c r="BK25" i="4"/>
  <c r="BK42" i="4"/>
  <c r="BK56" i="4"/>
  <c r="BJ71" i="4"/>
  <c r="BK87" i="4"/>
  <c r="BK101" i="4"/>
  <c r="BJ117" i="4"/>
  <c r="BK134" i="4"/>
  <c r="BK149" i="4"/>
  <c r="BK169" i="4"/>
  <c r="BK185" i="4"/>
  <c r="BJ205" i="4"/>
  <c r="BK221" i="4"/>
  <c r="BK240" i="4"/>
  <c r="BJ257" i="4"/>
  <c r="BJ274" i="4"/>
  <c r="BK292" i="4"/>
  <c r="BJ310" i="4"/>
  <c r="BJ328" i="4"/>
  <c r="BJ345" i="4"/>
  <c r="BJ364" i="4"/>
  <c r="BK379" i="4"/>
  <c r="BK399" i="4"/>
  <c r="BJ416" i="4"/>
  <c r="BK436" i="4"/>
  <c r="BK453" i="4"/>
  <c r="BK474" i="4"/>
  <c r="BK490" i="4"/>
  <c r="BK511" i="4"/>
  <c r="BK527" i="4"/>
  <c r="BK546" i="4"/>
  <c r="BJ565" i="4"/>
  <c r="BJ584" i="4"/>
  <c r="BK602" i="4"/>
  <c r="BK620" i="4"/>
  <c r="BJ640" i="4"/>
  <c r="BK656" i="4"/>
  <c r="BJ679" i="4"/>
  <c r="BJ697" i="4"/>
  <c r="BJ720" i="4"/>
  <c r="BK739" i="4"/>
  <c r="BJ763" i="4"/>
  <c r="BK781" i="4"/>
  <c r="BK806" i="4"/>
  <c r="BK828" i="4"/>
  <c r="BJ856" i="4"/>
  <c r="BJ879" i="4"/>
  <c r="BK906" i="4"/>
  <c r="BK929" i="4"/>
  <c r="BK956" i="4"/>
  <c r="BJ983" i="4"/>
  <c r="BK1008" i="4"/>
  <c r="BJ1041" i="4"/>
  <c r="BK1065" i="4"/>
  <c r="BJ1096" i="4"/>
  <c r="BK1122" i="4"/>
  <c r="BJ1152" i="4"/>
  <c r="BK1182" i="4"/>
  <c r="BK1214" i="4"/>
  <c r="BJ1248" i="4"/>
  <c r="BJ1274" i="4"/>
  <c r="BK1306" i="4"/>
  <c r="BJ1334" i="4"/>
  <c r="BK1368" i="4"/>
  <c r="BJ1403" i="4"/>
  <c r="BJ1435" i="4"/>
  <c r="BJ1474" i="4"/>
  <c r="BJ1505" i="4"/>
  <c r="BK1541" i="4"/>
  <c r="BK1573" i="4"/>
  <c r="BJ1613" i="4"/>
  <c r="BK1652" i="4"/>
  <c r="BJ1685" i="4"/>
  <c r="BJ1735" i="4"/>
  <c r="BK1782" i="4"/>
  <c r="BJ1822" i="4"/>
  <c r="BK1876" i="4"/>
  <c r="BK1928" i="4"/>
  <c r="BJ1976" i="4"/>
  <c r="BJ2018" i="4"/>
  <c r="BJ2072" i="4"/>
  <c r="BK2118" i="4"/>
  <c r="BJ2171" i="4"/>
  <c r="BJ2226" i="4"/>
  <c r="BK2285" i="4"/>
  <c r="BK2329" i="4"/>
  <c r="BJ2392" i="4"/>
  <c r="BJ2452" i="4"/>
  <c r="BK2498" i="4"/>
  <c r="BJ2559" i="4"/>
  <c r="BJ2622" i="4"/>
  <c r="BK2673" i="4"/>
  <c r="BJ2734" i="4"/>
  <c r="BJ2792" i="4"/>
  <c r="BJ2854" i="4"/>
  <c r="BK2918" i="4"/>
  <c r="BJ2995" i="4"/>
  <c r="BJ3077" i="4"/>
  <c r="BK3152" i="4"/>
  <c r="BJ3228" i="4"/>
  <c r="BJ3304" i="4"/>
  <c r="BJ3371" i="4"/>
  <c r="BK3454" i="4"/>
  <c r="BJ3541" i="4"/>
  <c r="BJ12" i="4"/>
  <c r="BJ26" i="4"/>
  <c r="BJ43" i="4"/>
  <c r="BJ57" i="4"/>
  <c r="BK71" i="4"/>
  <c r="BJ88" i="4"/>
  <c r="BJ102" i="4"/>
  <c r="BK117" i="4"/>
  <c r="BJ135" i="4"/>
  <c r="BJ150" i="4"/>
  <c r="BJ170" i="4"/>
  <c r="BJ186" i="4"/>
  <c r="BK205" i="4"/>
  <c r="BJ222" i="4"/>
  <c r="BJ241" i="4"/>
  <c r="BK257" i="4"/>
  <c r="BJ277" i="4"/>
  <c r="BJ293" i="4"/>
  <c r="BK310" i="4"/>
  <c r="BK328" i="4"/>
  <c r="BJ346" i="4"/>
  <c r="BK364" i="4"/>
  <c r="BK381" i="4"/>
  <c r="BJ400" i="4"/>
  <c r="BK416" i="4"/>
  <c r="BJ437" i="4"/>
  <c r="BJ454" i="4"/>
  <c r="BJ475" i="4"/>
  <c r="BJ491" i="4"/>
  <c r="BJ512" i="4"/>
  <c r="BK528" i="4"/>
  <c r="BJ549" i="4"/>
  <c r="BJ566" i="4"/>
  <c r="BK584" i="4"/>
  <c r="BJ603" i="4"/>
  <c r="BK621" i="4"/>
  <c r="BK640" i="4"/>
  <c r="BK658" i="4"/>
  <c r="BK679" i="4"/>
  <c r="BK697" i="4"/>
  <c r="BK720" i="4"/>
  <c r="BJ740" i="4"/>
  <c r="BK763" i="4"/>
  <c r="BJ782" i="4"/>
  <c r="BJ809" i="4"/>
  <c r="BJ829" i="4"/>
  <c r="BK856" i="4"/>
  <c r="BK879" i="4"/>
  <c r="BJ907" i="4"/>
  <c r="BK931" i="4"/>
  <c r="BJ958" i="4"/>
  <c r="BK983" i="4"/>
  <c r="BK1009" i="4"/>
  <c r="BK1041" i="4"/>
  <c r="BJ1066" i="4"/>
  <c r="BK1097" i="4"/>
  <c r="BK1124" i="4"/>
  <c r="BK1152" i="4"/>
  <c r="BK1183" i="4"/>
  <c r="BJ1215" i="4"/>
  <c r="BK1248" i="4"/>
  <c r="BK1274" i="4"/>
  <c r="BJ1307" i="4"/>
  <c r="BJ1336" i="4"/>
  <c r="BJ1370" i="4"/>
  <c r="BK1403" i="4"/>
  <c r="BK1436" i="4"/>
  <c r="BJ1475" i="4"/>
  <c r="BK1505" i="4"/>
  <c r="BJ1542" i="4"/>
  <c r="BJ1577" i="4"/>
  <c r="BJ1615" i="4"/>
  <c r="BK1654" i="4"/>
  <c r="BK1685" i="4"/>
  <c r="BK1735" i="4"/>
  <c r="BJ1783" i="4"/>
  <c r="BK1832" i="4"/>
  <c r="BJ1878" i="4"/>
  <c r="BJ1930" i="4"/>
  <c r="BJ1977" i="4"/>
  <c r="BK2019" i="4"/>
  <c r="BK2072" i="4"/>
  <c r="BJ2127" i="4"/>
  <c r="BK2172" i="4"/>
  <c r="BK2228" i="4"/>
  <c r="BJ2286" i="4"/>
  <c r="BJ2330" i="4"/>
  <c r="BK2392" i="4"/>
  <c r="BK2453" i="4"/>
  <c r="BK2506" i="4"/>
  <c r="BK2559" i="4"/>
  <c r="BK2622" i="4"/>
  <c r="BJ2674" i="4"/>
  <c r="BJ2736" i="4"/>
  <c r="BJ2793" i="4"/>
  <c r="BJ2861" i="4"/>
  <c r="BK2934" i="4"/>
  <c r="BJ2996" i="4"/>
  <c r="BJ3078" i="4"/>
  <c r="BJ3155" i="4"/>
  <c r="BJ3229" i="4"/>
  <c r="BK3311" i="4"/>
  <c r="BJ3388" i="4"/>
  <c r="BJ3460" i="4"/>
  <c r="BK3541" i="4"/>
  <c r="BB499" i="4"/>
  <c r="BA499" i="4"/>
  <c r="BK12" i="4"/>
  <c r="BJ27" i="4"/>
  <c r="BK43" i="4"/>
  <c r="BK57" i="4"/>
  <c r="BK72" i="4"/>
  <c r="BK88" i="4"/>
  <c r="BK102" i="4"/>
  <c r="BJ120" i="4"/>
  <c r="BK135" i="4"/>
  <c r="BJ152" i="4"/>
  <c r="BK170" i="4"/>
  <c r="BK186" i="4"/>
  <c r="BJ206" i="4"/>
  <c r="BK222" i="4"/>
  <c r="BK241" i="4"/>
  <c r="BJ258" i="4"/>
  <c r="BJ278" i="4"/>
  <c r="BK293" i="4"/>
  <c r="BK313" i="4"/>
  <c r="BJ329" i="4"/>
  <c r="BJ347" i="4"/>
  <c r="BJ365" i="4"/>
  <c r="BK382" i="4"/>
  <c r="BK400" i="4"/>
  <c r="BK418" i="4"/>
  <c r="BK437" i="4"/>
  <c r="BK454" i="4"/>
  <c r="BK475" i="4"/>
  <c r="BK491" i="4"/>
  <c r="BK512" i="4"/>
  <c r="BJ529" i="4"/>
  <c r="BK549" i="4"/>
  <c r="BK566" i="4"/>
  <c r="BJ587" i="4"/>
  <c r="BK603" i="4"/>
  <c r="BJ622" i="4"/>
  <c r="BK641" i="4"/>
  <c r="BK659" i="4"/>
  <c r="BJ680" i="4"/>
  <c r="BJ700" i="4"/>
  <c r="BJ721" i="4"/>
  <c r="BK740" i="4"/>
  <c r="BJ764" i="4"/>
  <c r="BJ783" i="4"/>
  <c r="BK809" i="4"/>
  <c r="BK829" i="4"/>
  <c r="BK857" i="4"/>
  <c r="BK880" i="4"/>
  <c r="BJ908" i="4"/>
  <c r="BJ933" i="4"/>
  <c r="BK959" i="4"/>
  <c r="BJ988" i="4"/>
  <c r="BJ1011" i="4"/>
  <c r="BJ1042" i="4"/>
  <c r="BK1067" i="4"/>
  <c r="BJ1098" i="4"/>
  <c r="BK1125" i="4"/>
  <c r="BK1155" i="4"/>
  <c r="BK1190" i="4"/>
  <c r="BJ1216" i="4"/>
  <c r="BJ1249" i="4"/>
  <c r="BJ1275" i="4"/>
  <c r="BK1307" i="4"/>
  <c r="BK1338" i="4"/>
  <c r="BK1371" i="4"/>
  <c r="BK1407" i="4"/>
  <c r="BJ1439" i="4"/>
  <c r="BK1475" i="4"/>
  <c r="BK1506" i="4"/>
  <c r="BJ1543" i="4"/>
  <c r="BJ1580" i="4"/>
  <c r="BJ1616" i="4"/>
  <c r="BJ1655" i="4"/>
  <c r="BK1691" i="4"/>
  <c r="BK1736" i="4"/>
  <c r="BJ1784" i="4"/>
  <c r="BJ1833" i="4"/>
  <c r="BK1878" i="4"/>
  <c r="BJ1931" i="4"/>
  <c r="BK1979" i="4"/>
  <c r="BJ2023" i="4"/>
  <c r="BJ2074" i="4"/>
  <c r="BJ2131" i="4"/>
  <c r="BK2173" i="4"/>
  <c r="BK2231" i="4"/>
  <c r="BK2286" i="4"/>
  <c r="BK2342" i="4"/>
  <c r="BJ2393" i="4"/>
  <c r="BJ2454" i="4"/>
  <c r="BJ2508" i="4"/>
  <c r="BJ2560" i="4"/>
  <c r="BK2623" i="4"/>
  <c r="BK2688" i="4"/>
  <c r="BK2736" i="4"/>
  <c r="BK2794" i="4"/>
  <c r="BJ2866" i="4"/>
  <c r="BJ2935" i="4"/>
  <c r="BJ2997" i="4"/>
  <c r="BJ3080" i="4"/>
  <c r="BK3155" i="4"/>
  <c r="BJ3230" i="4"/>
  <c r="BJ3312" i="4"/>
  <c r="BJ3389" i="4"/>
  <c r="BJ3461" i="4"/>
  <c r="BJ3542" i="4"/>
  <c r="BJ294" i="4"/>
  <c r="BJ314" i="4"/>
  <c r="BK329" i="4"/>
  <c r="BK349" i="4"/>
  <c r="BK365" i="4"/>
  <c r="BJ383" i="4"/>
  <c r="BJ401" i="4"/>
  <c r="BK419" i="4"/>
  <c r="BJ438" i="4"/>
  <c r="BJ456" i="4"/>
  <c r="BJ476" i="4"/>
  <c r="BJ492" i="4"/>
  <c r="BJ513" i="4"/>
  <c r="BK529" i="4"/>
  <c r="BK550" i="4"/>
  <c r="BJ567" i="4"/>
  <c r="BK587" i="4"/>
  <c r="BJ604" i="4"/>
  <c r="BJ625" i="4"/>
  <c r="BJ642" i="4"/>
  <c r="BK660" i="4"/>
  <c r="BJ681" i="4"/>
  <c r="BK701" i="4"/>
  <c r="BK721" i="4"/>
  <c r="BJ742" i="4"/>
  <c r="BK764" i="4"/>
  <c r="BK783" i="4"/>
  <c r="BK810" i="4"/>
  <c r="BJ830" i="4"/>
  <c r="BK859" i="4"/>
  <c r="BJ883" i="4"/>
  <c r="BK909" i="4"/>
  <c r="BJ936" i="4"/>
  <c r="BJ961" i="4"/>
  <c r="BJ989" i="4"/>
  <c r="BK1011" i="4"/>
  <c r="BK1042" i="4"/>
  <c r="BK1069" i="4"/>
  <c r="BK1098" i="4"/>
  <c r="BJ1126" i="4"/>
  <c r="BK1156" i="4"/>
  <c r="BJ1191" i="4"/>
  <c r="BK1216" i="4"/>
  <c r="BK1249" i="4"/>
  <c r="BK1277" i="4"/>
  <c r="BJ1308" i="4"/>
  <c r="BJ1341" i="4"/>
  <c r="BJ1372" i="4"/>
  <c r="BJ1408" i="4"/>
  <c r="BK1439" i="4"/>
  <c r="BJ1476" i="4"/>
  <c r="BJ1510" i="4"/>
  <c r="BJ1545" i="4"/>
  <c r="BJ1581" i="4"/>
  <c r="BK1616" i="4"/>
  <c r="BK1656" i="4"/>
  <c r="BJ1695" i="4"/>
  <c r="BJ1737" i="4"/>
  <c r="BK1784" i="4"/>
  <c r="BJ1841" i="4"/>
  <c r="BJ1881" i="4"/>
  <c r="BK1935" i="4"/>
  <c r="BJ1984" i="4"/>
  <c r="BJ2027" i="4"/>
  <c r="BJ2075" i="4"/>
  <c r="BK2131" i="4"/>
  <c r="BJ2182" i="4"/>
  <c r="BJ2233" i="4"/>
  <c r="BJ2287" i="4"/>
  <c r="BJ2344" i="4"/>
  <c r="BK2393" i="4"/>
  <c r="BJ2456" i="4"/>
  <c r="BK2513" i="4"/>
  <c r="BK2560" i="4"/>
  <c r="BJ2624" i="4"/>
  <c r="BJ2689" i="4"/>
  <c r="BJ2739" i="4"/>
  <c r="BJ2801" i="4"/>
  <c r="BK2866" i="4"/>
  <c r="BK2938" i="4"/>
  <c r="BJ3010" i="4"/>
  <c r="BK3080" i="4"/>
  <c r="BK3157" i="4"/>
  <c r="BJ3239" i="4"/>
  <c r="BJ3314" i="4"/>
  <c r="BK3397" i="4"/>
  <c r="BK3474" i="4"/>
  <c r="BK3545" i="4"/>
  <c r="BK13" i="4"/>
  <c r="BK28" i="4"/>
  <c r="BK44" i="4"/>
  <c r="BK58" i="4"/>
  <c r="BK75" i="4"/>
  <c r="BK89" i="4"/>
  <c r="BJ104" i="4"/>
  <c r="BK121" i="4"/>
  <c r="BK136" i="4"/>
  <c r="BK153" i="4"/>
  <c r="BK171" i="4"/>
  <c r="BK189" i="4"/>
  <c r="BJ207" i="4"/>
  <c r="BK224" i="4"/>
  <c r="BK243" i="4"/>
  <c r="BJ259" i="4"/>
  <c r="BJ279" i="4"/>
  <c r="BK294" i="4"/>
  <c r="BK314" i="4"/>
  <c r="BK330" i="4"/>
  <c r="BJ350" i="4"/>
  <c r="BJ366" i="4"/>
  <c r="BJ386" i="4"/>
  <c r="BK401" i="4"/>
  <c r="BJ420" i="4"/>
  <c r="BJ439" i="4"/>
  <c r="BJ457" i="4"/>
  <c r="BK476" i="4"/>
  <c r="BK493" i="4"/>
  <c r="BK513" i="4"/>
  <c r="BJ530" i="4"/>
  <c r="BJ551" i="4"/>
  <c r="BK567" i="4"/>
  <c r="BJ588" i="4"/>
  <c r="BK605" i="4"/>
  <c r="BK625" i="4"/>
  <c r="BK642" i="4"/>
  <c r="BJ663" i="4"/>
  <c r="BK681" i="4"/>
  <c r="BJ702" i="4"/>
  <c r="BK722" i="4"/>
  <c r="BJ743" i="4"/>
  <c r="BJ765" i="4"/>
  <c r="BJ787" i="4"/>
  <c r="BJ811" i="4"/>
  <c r="BJ831" i="4"/>
  <c r="BJ860" i="4"/>
  <c r="BJ885" i="4"/>
  <c r="BJ910" i="4"/>
  <c r="BK939" i="4"/>
  <c r="BK961" i="4"/>
  <c r="BK989" i="4"/>
  <c r="BJ1013" i="4"/>
  <c r="BJ1043" i="4"/>
  <c r="BK1070" i="4"/>
  <c r="BJ1099" i="4"/>
  <c r="BK1132" i="4"/>
  <c r="BJ1158" i="4"/>
  <c r="BK1191" i="4"/>
  <c r="BK1217" i="4"/>
  <c r="BJ1250" i="4"/>
  <c r="BJ1279" i="4"/>
  <c r="BK1309" i="4"/>
  <c r="BJ1346" i="4"/>
  <c r="BJ1373" i="4"/>
  <c r="BK1408" i="4"/>
  <c r="BK1440" i="4"/>
  <c r="BK1476" i="4"/>
  <c r="BJ1512" i="4"/>
  <c r="BK1549" i="4"/>
  <c r="BK1586" i="4"/>
  <c r="BJ1618" i="4"/>
  <c r="BJ1657" i="4"/>
  <c r="BJ1700" i="4"/>
  <c r="BJ1738" i="4"/>
  <c r="BK1790" i="4"/>
  <c r="BK1841" i="4"/>
  <c r="BK1881" i="4"/>
  <c r="BJ1936" i="4"/>
  <c r="BK1988" i="4"/>
  <c r="BJ2033" i="4"/>
  <c r="BJ2076" i="4"/>
  <c r="BK2132" i="4"/>
  <c r="BK2182" i="4"/>
  <c r="BJ2235" i="4"/>
  <c r="BK2287" i="4"/>
  <c r="BJ2349" i="4"/>
  <c r="BJ2394" i="4"/>
  <c r="BK2456" i="4"/>
  <c r="BJ2514" i="4"/>
  <c r="BK2562" i="4"/>
  <c r="BJ2625" i="4"/>
  <c r="BK2690" i="4"/>
  <c r="BJ2744" i="4"/>
  <c r="BK2802" i="4"/>
  <c r="BJ2867" i="4"/>
  <c r="BJ2940" i="4"/>
  <c r="BJ3012" i="4"/>
  <c r="BJ3081" i="4"/>
  <c r="BK3160" i="4"/>
  <c r="BK3241" i="4"/>
  <c r="BJ3315" i="4"/>
  <c r="BK3398" i="4"/>
  <c r="BK3480" i="4"/>
  <c r="BJ3565" i="4"/>
  <c r="BJ14" i="4"/>
  <c r="BJ29" i="4"/>
  <c r="BJ45" i="4"/>
  <c r="BJ59" i="4"/>
  <c r="BJ76" i="4"/>
  <c r="BJ90" i="4"/>
  <c r="BK104" i="4"/>
  <c r="BJ122" i="4"/>
  <c r="BJ137" i="4"/>
  <c r="BK156" i="4"/>
  <c r="BJ172" i="4"/>
  <c r="BJ190" i="4"/>
  <c r="BK207" i="4"/>
  <c r="BK225" i="4"/>
  <c r="BJ244" i="4"/>
  <c r="BK260" i="4"/>
  <c r="BK279" i="4"/>
  <c r="BJ295" i="4"/>
  <c r="BJ315" i="4"/>
  <c r="BJ331" i="4"/>
  <c r="BK350" i="4"/>
  <c r="BK366" i="4"/>
  <c r="BK386" i="4"/>
  <c r="BJ402" i="4"/>
  <c r="BK422" i="4"/>
  <c r="BK439" i="4"/>
  <c r="BK457" i="4"/>
  <c r="BJ477" i="4"/>
  <c r="BK494" i="4"/>
  <c r="BJ514" i="4"/>
  <c r="BJ532" i="4"/>
  <c r="BK551" i="4"/>
  <c r="BJ568" i="4"/>
  <c r="BJ589" i="4"/>
  <c r="BJ606" i="4"/>
  <c r="BJ626" i="4"/>
  <c r="BJ643" i="4"/>
  <c r="BJ664" i="4"/>
  <c r="BK682" i="4"/>
  <c r="BK705" i="4"/>
  <c r="BJ723" i="4"/>
  <c r="BK743" i="4"/>
  <c r="BK765" i="4"/>
  <c r="BJ788" i="4"/>
  <c r="BJ812" i="4"/>
  <c r="BK834" i="4"/>
  <c r="BJ861" i="4"/>
  <c r="BJ886" i="4"/>
  <c r="BK911" i="4"/>
  <c r="BJ940" i="4"/>
  <c r="BK962" i="4"/>
  <c r="BK990" i="4"/>
  <c r="BK1016" i="4"/>
  <c r="BK1043" i="4"/>
  <c r="BJ1071" i="4"/>
  <c r="BK1099" i="4"/>
  <c r="BK1133" i="4"/>
  <c r="BK1158" i="4"/>
  <c r="BJ1192" i="4"/>
  <c r="BK1219" i="4"/>
  <c r="BK1250" i="4"/>
  <c r="BK1279" i="4"/>
  <c r="BK1310" i="4"/>
  <c r="BK1346" i="4"/>
  <c r="BJ1374" i="4"/>
  <c r="BJ1409" i="4"/>
  <c r="BK1443" i="4"/>
  <c r="BJ1477" i="4"/>
  <c r="BK1513" i="4"/>
  <c r="BJ1550" i="4"/>
  <c r="BJ1588" i="4"/>
  <c r="BK1618" i="4"/>
  <c r="BJ1658" i="4"/>
  <c r="BJ1701" i="4"/>
  <c r="BJ1739" i="4"/>
  <c r="BJ1792" i="4"/>
  <c r="BJ1842" i="4"/>
  <c r="BJ1890" i="4"/>
  <c r="BK1936" i="4"/>
  <c r="BJ1989" i="4"/>
  <c r="BK2033" i="4"/>
  <c r="BJ2077" i="4"/>
  <c r="BJ2133" i="4"/>
  <c r="BJ2192" i="4"/>
  <c r="BJ2236" i="4"/>
  <c r="BJ2288" i="4"/>
  <c r="BJ2350" i="4"/>
  <c r="BK2395" i="4"/>
  <c r="BJ2459" i="4"/>
  <c r="BJ2517" i="4"/>
  <c r="BK2574" i="4"/>
  <c r="BJ2626" i="4"/>
  <c r="BJ2691" i="4"/>
  <c r="BJ2745" i="4"/>
  <c r="BJ2803" i="4"/>
  <c r="BK2867" i="4"/>
  <c r="BJ2941" i="4"/>
  <c r="BJ3024" i="4"/>
  <c r="BJ3090" i="4"/>
  <c r="BK3165" i="4"/>
  <c r="BJ3242" i="4"/>
  <c r="BK3315" i="4"/>
  <c r="BJ3404" i="4"/>
  <c r="BK3483" i="4"/>
  <c r="BK3579" i="4"/>
  <c r="BK14" i="4"/>
  <c r="BK31" i="4"/>
  <c r="BK45" i="4"/>
  <c r="BJ60" i="4"/>
  <c r="BK76" i="4"/>
  <c r="BK90" i="4"/>
  <c r="BK105" i="4"/>
  <c r="BK122" i="4"/>
  <c r="BK137" i="4"/>
  <c r="BJ157" i="4"/>
  <c r="BK172" i="4"/>
  <c r="BK192" i="4"/>
  <c r="BK208" i="4"/>
  <c r="BJ226" i="4"/>
  <c r="BK244" i="4"/>
  <c r="BK261" i="4"/>
  <c r="BJ280" i="4"/>
  <c r="BK296" i="4"/>
  <c r="BK315" i="4"/>
  <c r="BK331" i="4"/>
  <c r="BJ351" i="4"/>
  <c r="BJ367" i="4"/>
  <c r="BJ387" i="4"/>
  <c r="BK402" i="4"/>
  <c r="BJ423" i="4"/>
  <c r="BK440" i="4"/>
  <c r="BK460" i="4"/>
  <c r="BK477" i="4"/>
  <c r="BK495" i="4"/>
  <c r="BK514" i="4"/>
  <c r="BK533" i="4"/>
  <c r="BJ552" i="4"/>
  <c r="BJ570" i="4"/>
  <c r="BK589" i="4"/>
  <c r="BK606" i="4"/>
  <c r="BK626" i="4"/>
  <c r="BK643" i="4"/>
  <c r="BK664" i="4"/>
  <c r="BJ683" i="4"/>
  <c r="BJ706" i="4"/>
  <c r="BJ724" i="4"/>
  <c r="BK746" i="4"/>
  <c r="BJ766" i="4"/>
  <c r="BK788" i="4"/>
  <c r="BK812" i="4"/>
  <c r="BK836" i="4"/>
  <c r="BK861" i="4"/>
  <c r="BJ890" i="4"/>
  <c r="BK912" i="4"/>
  <c r="BK940" i="4"/>
  <c r="BJ963" i="4"/>
  <c r="BJ991" i="4"/>
  <c r="BK1017" i="4"/>
  <c r="BJ1044" i="4"/>
  <c r="BJ1077" i="4"/>
  <c r="BJ1101" i="4"/>
  <c r="BK1134" i="4"/>
  <c r="BK1159" i="4"/>
  <c r="BK1192" i="4"/>
  <c r="BK1221" i="4"/>
  <c r="BJ1251" i="4"/>
  <c r="BJ1286" i="4"/>
  <c r="BJ1312" i="4"/>
  <c r="BJ1347" i="4"/>
  <c r="BK1375" i="4"/>
  <c r="BK1409" i="4"/>
  <c r="BK1444" i="4"/>
  <c r="BK1478" i="4"/>
  <c r="BK1519" i="4"/>
  <c r="BJ1551" i="4"/>
  <c r="BK1588" i="4"/>
  <c r="BJ1619" i="4"/>
  <c r="BJ1659" i="4"/>
  <c r="BJ1702" i="4"/>
  <c r="BK1744" i="4"/>
  <c r="BK1792" i="4"/>
  <c r="BJ1843" i="4"/>
  <c r="BK1891" i="4"/>
  <c r="BJ1937" i="4"/>
  <c r="BJ1990" i="4"/>
  <c r="BK2037" i="4"/>
  <c r="BJ2078" i="4"/>
  <c r="BK2135" i="4"/>
  <c r="BJ2195" i="4"/>
  <c r="BJ2239" i="4"/>
  <c r="BK2294" i="4"/>
  <c r="BK2351" i="4"/>
  <c r="BJ2407" i="4"/>
  <c r="BJ2460" i="4"/>
  <c r="BJ2522" i="4"/>
  <c r="BJ2575" i="4"/>
  <c r="BK2627" i="4"/>
  <c r="BJ2692" i="4"/>
  <c r="BJ2756" i="4"/>
  <c r="BK2804" i="4"/>
  <c r="BJ2868" i="4"/>
  <c r="BJ2943" i="4"/>
  <c r="BK3024" i="4"/>
  <c r="BK3096" i="4"/>
  <c r="BK3166" i="4"/>
  <c r="BJ3243" i="4"/>
  <c r="BJ3320" i="4"/>
  <c r="BJ3405" i="4"/>
  <c r="BJ3485" i="4"/>
  <c r="BJ3580" i="4"/>
  <c r="BK2522" i="4"/>
  <c r="BJ2579" i="4"/>
  <c r="BJ2628" i="4"/>
  <c r="BK2692" i="4"/>
  <c r="BJ2757" i="4"/>
  <c r="BJ2805" i="4"/>
  <c r="BJ2869" i="4"/>
  <c r="BJ2946" i="4"/>
  <c r="BJ3025" i="4"/>
  <c r="BJ3107" i="4"/>
  <c r="BK3172" i="4"/>
  <c r="BJ3244" i="4"/>
  <c r="BJ3327" i="4"/>
  <c r="BK3405" i="4"/>
  <c r="BK3486" i="4"/>
  <c r="BK3580" i="4"/>
  <c r="BJ16" i="4"/>
  <c r="BK32" i="4"/>
  <c r="BK46" i="4"/>
  <c r="BK61" i="4"/>
  <c r="BK77" i="4"/>
  <c r="BK91" i="4"/>
  <c r="BK108" i="4"/>
  <c r="BK123" i="4"/>
  <c r="BK139" i="4"/>
  <c r="BJ158" i="4"/>
  <c r="BJ174" i="4"/>
  <c r="BK193" i="4"/>
  <c r="BJ210" i="4"/>
  <c r="BJ229" i="4"/>
  <c r="BK245" i="4"/>
  <c r="BJ265" i="4"/>
  <c r="BJ281" i="4"/>
  <c r="BK298" i="4"/>
  <c r="BK316" i="4"/>
  <c r="BJ334" i="4"/>
  <c r="BK352" i="4"/>
  <c r="BJ369" i="4"/>
  <c r="BJ388" i="4"/>
  <c r="BK403" i="4"/>
  <c r="BK424" i="4"/>
  <c r="BK441" i="4"/>
  <c r="BK462" i="4"/>
  <c r="BK478" i="4"/>
  <c r="BK499" i="4"/>
  <c r="BK515" i="4"/>
  <c r="BK536" i="4"/>
  <c r="BJ553" i="4"/>
  <c r="BK571" i="4"/>
  <c r="BK590" i="4"/>
  <c r="BJ609" i="4"/>
  <c r="BJ628" i="4"/>
  <c r="BK645" i="4"/>
  <c r="BJ666" i="4"/>
  <c r="BJ684" i="4"/>
  <c r="BJ707" i="4"/>
  <c r="BK725" i="4"/>
  <c r="BK748" i="4"/>
  <c r="BJ767" i="4"/>
  <c r="BK791" i="4"/>
  <c r="BK813" i="4"/>
  <c r="BJ840" i="4"/>
  <c r="BJ863" i="4"/>
  <c r="BK891" i="4"/>
  <c r="BK914" i="4"/>
  <c r="BK941" i="4"/>
  <c r="BK966" i="4"/>
  <c r="BK992" i="4"/>
  <c r="BJ1021" i="4"/>
  <c r="BK1045" i="4"/>
  <c r="BJ1079" i="4"/>
  <c r="BK1103" i="4"/>
  <c r="BK1135" i="4"/>
  <c r="BK1163" i="4"/>
  <c r="BK1193" i="4"/>
  <c r="BJ1228" i="4"/>
  <c r="BK1252" i="4"/>
  <c r="BJ1288" i="4"/>
  <c r="BJ1314" i="4"/>
  <c r="BK1348" i="4"/>
  <c r="BJ1380" i="4"/>
  <c r="BJ1411" i="4"/>
  <c r="BK1452" i="4"/>
  <c r="BK1483" i="4"/>
  <c r="BJ1522" i="4"/>
  <c r="BK1552" i="4"/>
  <c r="BJ1590" i="4"/>
  <c r="BK1623" i="4"/>
  <c r="BK1661" i="4"/>
  <c r="BK1703" i="4"/>
  <c r="BJ1755" i="4"/>
  <c r="BK1794" i="4"/>
  <c r="BJ1844" i="4"/>
  <c r="BK1898" i="4"/>
  <c r="BJ1938" i="4"/>
  <c r="BK1991" i="4"/>
  <c r="BJ2044" i="4"/>
  <c r="BK2090" i="4"/>
  <c r="BJ2137" i="4"/>
  <c r="BK2196" i="4"/>
  <c r="BK2244" i="4"/>
  <c r="BK2298" i="4"/>
  <c r="BJ2353" i="4"/>
  <c r="BJ2416" i="4"/>
  <c r="BJ2462" i="4"/>
  <c r="BJ2524" i="4"/>
  <c r="BK2579" i="4"/>
  <c r="BJ2629" i="4"/>
  <c r="BJ2694" i="4"/>
  <c r="BK2758" i="4"/>
  <c r="BK2815" i="4"/>
  <c r="BK2871" i="4"/>
  <c r="BJ2947" i="4"/>
  <c r="BJ3026" i="4"/>
  <c r="BJ3108" i="4"/>
  <c r="BJ3173" i="4"/>
  <c r="BJ3246" i="4"/>
  <c r="BJ3328" i="4"/>
  <c r="BJ3406" i="4"/>
  <c r="BJ3488" i="4"/>
  <c r="BJ3581" i="4"/>
  <c r="BK16" i="4"/>
  <c r="BJ33" i="4"/>
  <c r="BJ47" i="4"/>
  <c r="BJ62" i="4"/>
  <c r="BJ78" i="4"/>
  <c r="BJ92" i="4"/>
  <c r="BJ109" i="4"/>
  <c r="BJ124" i="4"/>
  <c r="BJ140" i="4"/>
  <c r="BK158" i="4"/>
  <c r="BK174" i="4"/>
  <c r="BJ194" i="4"/>
  <c r="BK210" i="4"/>
  <c r="BK229" i="4"/>
  <c r="BJ246" i="4"/>
  <c r="BK265" i="4"/>
  <c r="BK281" i="4"/>
  <c r="BK301" i="4"/>
  <c r="BJ317" i="4"/>
  <c r="BK334" i="4"/>
  <c r="BJ353" i="4"/>
  <c r="BK370" i="4"/>
  <c r="BK388" i="4"/>
  <c r="BK405" i="4"/>
  <c r="BJ425" i="4"/>
  <c r="BJ442" i="4"/>
  <c r="BJ463" i="4"/>
  <c r="BJ479" i="4"/>
  <c r="BJ500" i="4"/>
  <c r="BJ516" i="4"/>
  <c r="BJ537" i="4"/>
  <c r="BK553" i="4"/>
  <c r="BK574" i="4"/>
  <c r="BJ591" i="4"/>
  <c r="BK609" i="4"/>
  <c r="BK628" i="4"/>
  <c r="BJ647" i="4"/>
  <c r="BK666" i="4"/>
  <c r="BK685" i="4"/>
  <c r="BK707" i="4"/>
  <c r="BK726" i="4"/>
  <c r="BJ749" i="4"/>
  <c r="BK767" i="4"/>
  <c r="BK792" i="4"/>
  <c r="BK814" i="4"/>
  <c r="BK840" i="4"/>
  <c r="BK863" i="4"/>
  <c r="BJ892" i="4"/>
  <c r="BK916" i="4"/>
  <c r="BJ942" i="4"/>
  <c r="BJ967" i="4"/>
  <c r="BK993" i="4"/>
  <c r="BJ1022" i="4"/>
  <c r="BJ1046" i="4"/>
  <c r="BK1079" i="4"/>
  <c r="BK1106" i="4"/>
  <c r="BJ1136" i="4"/>
  <c r="BJ1164" i="4"/>
  <c r="BJ1194" i="4"/>
  <c r="BK1228" i="4"/>
  <c r="BK1253" i="4"/>
  <c r="BK1288" i="4"/>
  <c r="BK1318" i="4"/>
  <c r="BJ1349" i="4"/>
  <c r="BJ1381" i="4"/>
  <c r="BJ1412" i="4"/>
  <c r="BK1453" i="4"/>
  <c r="BJ1484" i="4"/>
  <c r="BJ1523" i="4"/>
  <c r="BK1554" i="4"/>
  <c r="BK1590" i="4"/>
  <c r="BJ1632" i="4"/>
  <c r="BJ1662" i="4"/>
  <c r="BJ1705" i="4"/>
  <c r="BJ1756" i="4"/>
  <c r="BJ1796" i="4"/>
  <c r="BK1846" i="4"/>
  <c r="BJ1899" i="4"/>
  <c r="BJ1949" i="4"/>
  <c r="BJ1992" i="4"/>
  <c r="BK2045" i="4"/>
  <c r="BJ2091" i="4"/>
  <c r="BK2137" i="4"/>
  <c r="BJ2197" i="4"/>
  <c r="BJ2256" i="4"/>
  <c r="BK2299" i="4"/>
  <c r="BK2353" i="4"/>
  <c r="BK2418" i="4"/>
  <c r="BK2465" i="4"/>
  <c r="BK2526" i="4"/>
  <c r="BJ2581" i="4"/>
  <c r="BJ2644" i="4"/>
  <c r="BK2695" i="4"/>
  <c r="BK2760" i="4"/>
  <c r="BJ2816" i="4"/>
  <c r="BK2878" i="4"/>
  <c r="BJ2951" i="4"/>
  <c r="BK3026" i="4"/>
  <c r="BJ3112" i="4"/>
  <c r="BK3188" i="4"/>
  <c r="BJ3259" i="4"/>
  <c r="BJ3330" i="4"/>
  <c r="BK3408" i="4"/>
  <c r="BJ3492" i="4"/>
  <c r="BK3577" i="4"/>
  <c r="BK3566" i="4"/>
  <c r="BK3555" i="4"/>
  <c r="BK3544" i="4"/>
  <c r="BK3533" i="4"/>
  <c r="BK3522" i="4"/>
  <c r="BK3511" i="4"/>
  <c r="BK3500" i="4"/>
  <c r="BK3489" i="4"/>
  <c r="BK3478" i="4"/>
  <c r="BK3467" i="4"/>
  <c r="BK3456" i="4"/>
  <c r="BK3445" i="4"/>
  <c r="BK3434" i="4"/>
  <c r="BK3423" i="4"/>
  <c r="BK3412" i="4"/>
  <c r="BK3401" i="4"/>
  <c r="BK3390" i="4"/>
  <c r="BK3379" i="4"/>
  <c r="BK3368" i="4"/>
  <c r="BK3357" i="4"/>
  <c r="BK3346" i="4"/>
  <c r="BK3335" i="4"/>
  <c r="BK3324" i="4"/>
  <c r="BK3313" i="4"/>
  <c r="BK3302" i="4"/>
  <c r="BK3291" i="4"/>
  <c r="BK3280" i="4"/>
  <c r="BK3269" i="4"/>
  <c r="BK3258" i="4"/>
  <c r="BK3247" i="4"/>
  <c r="BK3236" i="4"/>
  <c r="BK3225" i="4"/>
  <c r="BK3214" i="4"/>
  <c r="BK3203" i="4"/>
  <c r="BK3192" i="4"/>
  <c r="BK3181" i="4"/>
  <c r="BK3170" i="4"/>
  <c r="BK3159" i="4"/>
  <c r="BK3148" i="4"/>
  <c r="BK3137" i="4"/>
  <c r="BK3126" i="4"/>
  <c r="BK3115" i="4"/>
  <c r="BK3104" i="4"/>
  <c r="BK3093" i="4"/>
  <c r="BK3082" i="4"/>
  <c r="BK3071" i="4"/>
  <c r="BK3060" i="4"/>
  <c r="BK3049" i="4"/>
  <c r="BK3038" i="4"/>
  <c r="BK3027" i="4"/>
  <c r="BK3016" i="4"/>
  <c r="BK3005" i="4"/>
  <c r="BK2994" i="4"/>
  <c r="BK2983" i="4"/>
  <c r="BK2972" i="4"/>
  <c r="BK2961" i="4"/>
  <c r="BK2950" i="4"/>
  <c r="BK2939" i="4"/>
  <c r="BK2928" i="4"/>
  <c r="BK2917" i="4"/>
  <c r="BK2906" i="4"/>
  <c r="BK2895" i="4"/>
  <c r="BK2884" i="4"/>
  <c r="BK2873" i="4"/>
  <c r="BK2862" i="4"/>
  <c r="BK2851" i="4"/>
  <c r="BK2840" i="4"/>
  <c r="BK2829" i="4"/>
  <c r="BK2818" i="4"/>
  <c r="BK2807" i="4"/>
  <c r="BK2796" i="4"/>
  <c r="BK2785" i="4"/>
  <c r="BK2774" i="4"/>
  <c r="BK2763" i="4"/>
  <c r="BK2752" i="4"/>
  <c r="BK2741" i="4"/>
  <c r="BK2730" i="4"/>
  <c r="BK2719" i="4"/>
  <c r="BK2708" i="4"/>
  <c r="BK2697" i="4"/>
  <c r="BK2686" i="4"/>
  <c r="BK2675" i="4"/>
  <c r="BK2664" i="4"/>
  <c r="BK2653" i="4"/>
  <c r="BK2642" i="4"/>
  <c r="BK2631" i="4"/>
  <c r="BK2620" i="4"/>
  <c r="BK2609" i="4"/>
  <c r="BK2598" i="4"/>
  <c r="BK2587" i="4"/>
  <c r="BK2576" i="4"/>
  <c r="BK2565" i="4"/>
  <c r="BK2554" i="4"/>
  <c r="BK2543" i="4"/>
  <c r="BK2532" i="4"/>
  <c r="BK2521" i="4"/>
  <c r="BK2510" i="4"/>
  <c r="BK2499" i="4"/>
  <c r="BK2488" i="4"/>
  <c r="BK2477" i="4"/>
  <c r="BK2466" i="4"/>
  <c r="BK2455" i="4"/>
  <c r="BK2444" i="4"/>
  <c r="BK2433" i="4"/>
  <c r="BK2422" i="4"/>
  <c r="BK2411" i="4"/>
  <c r="BK2400" i="4"/>
  <c r="BK2389" i="4"/>
  <c r="BK2378" i="4"/>
  <c r="BK2367" i="4"/>
  <c r="BK2356" i="4"/>
  <c r="BK2345" i="4"/>
  <c r="BK2334" i="4"/>
  <c r="BK2323" i="4"/>
  <c r="BK2312" i="4"/>
  <c r="BK2301" i="4"/>
  <c r="BK2290" i="4"/>
  <c r="BK2279" i="4"/>
  <c r="BK2268" i="4"/>
  <c r="BK2257" i="4"/>
  <c r="BK2246" i="4"/>
  <c r="BK2235" i="4"/>
  <c r="BK2224" i="4"/>
  <c r="BK2213" i="4"/>
  <c r="BK2202" i="4"/>
  <c r="BK2191" i="4"/>
  <c r="BK2180" i="4"/>
  <c r="BK2169" i="4"/>
  <c r="BK2158" i="4"/>
  <c r="BK2147" i="4"/>
  <c r="BK2136" i="4"/>
  <c r="BJ3577" i="4"/>
  <c r="BJ3566" i="4"/>
  <c r="BJ3555" i="4"/>
  <c r="BJ3544" i="4"/>
  <c r="BJ3533" i="4"/>
  <c r="BJ3522" i="4"/>
  <c r="BJ3511" i="4"/>
  <c r="BJ3500" i="4"/>
  <c r="BJ3489" i="4"/>
  <c r="BJ3478" i="4"/>
  <c r="BJ3467" i="4"/>
  <c r="BJ3456" i="4"/>
  <c r="BJ3445" i="4"/>
  <c r="BJ3434" i="4"/>
  <c r="BJ3423" i="4"/>
  <c r="BJ3412" i="4"/>
  <c r="BJ3401" i="4"/>
  <c r="BJ3390" i="4"/>
  <c r="BJ3379" i="4"/>
  <c r="BJ3368" i="4"/>
  <c r="BJ3357" i="4"/>
  <c r="BJ3346" i="4"/>
  <c r="BJ3335" i="4"/>
  <c r="BJ3324" i="4"/>
  <c r="BJ3313" i="4"/>
  <c r="BJ3302" i="4"/>
  <c r="BJ3291" i="4"/>
  <c r="BJ3280" i="4"/>
  <c r="BJ3269" i="4"/>
  <c r="BJ3258" i="4"/>
  <c r="BJ3247" i="4"/>
  <c r="BJ3236" i="4"/>
  <c r="BJ3225" i="4"/>
  <c r="BJ3214" i="4"/>
  <c r="BJ3203" i="4"/>
  <c r="BJ3192" i="4"/>
  <c r="BJ3181" i="4"/>
  <c r="BJ3170" i="4"/>
  <c r="BJ3159" i="4"/>
  <c r="BJ3148" i="4"/>
  <c r="BJ3137" i="4"/>
  <c r="BJ3126" i="4"/>
  <c r="BJ3115" i="4"/>
  <c r="BJ3104" i="4"/>
  <c r="BJ3093" i="4"/>
  <c r="BJ3082" i="4"/>
  <c r="BJ3071" i="4"/>
  <c r="BJ3060" i="4"/>
  <c r="BJ3049" i="4"/>
  <c r="BJ3038" i="4"/>
  <c r="BJ3027" i="4"/>
  <c r="BJ3016" i="4"/>
  <c r="BJ3005" i="4"/>
  <c r="BJ2994" i="4"/>
  <c r="BJ2983" i="4"/>
  <c r="BJ2972" i="4"/>
  <c r="BJ2961" i="4"/>
  <c r="BJ2950" i="4"/>
  <c r="BJ2939" i="4"/>
  <c r="BJ2928" i="4"/>
  <c r="BJ2917" i="4"/>
  <c r="BJ2906" i="4"/>
  <c r="BJ2895" i="4"/>
  <c r="BJ2884" i="4"/>
  <c r="BJ2873" i="4"/>
  <c r="BJ2862" i="4"/>
  <c r="BJ2851" i="4"/>
  <c r="BJ2840" i="4"/>
  <c r="BJ2829" i="4"/>
  <c r="BJ2818" i="4"/>
  <c r="BJ2807" i="4"/>
  <c r="BJ2796" i="4"/>
  <c r="BJ2785" i="4"/>
  <c r="BJ2774" i="4"/>
  <c r="BJ2763" i="4"/>
  <c r="BJ2752" i="4"/>
  <c r="BJ2741" i="4"/>
  <c r="BJ2730" i="4"/>
  <c r="BJ2719" i="4"/>
  <c r="BJ2708" i="4"/>
  <c r="BJ2697" i="4"/>
  <c r="BJ2686" i="4"/>
  <c r="BJ2675" i="4"/>
  <c r="BJ2664" i="4"/>
  <c r="BJ2653" i="4"/>
  <c r="BJ2642" i="4"/>
  <c r="BJ2631" i="4"/>
  <c r="BJ2620" i="4"/>
  <c r="BJ2609" i="4"/>
  <c r="BJ2598" i="4"/>
  <c r="BJ2587" i="4"/>
  <c r="BJ2576" i="4"/>
  <c r="BJ2565" i="4"/>
  <c r="BJ2554" i="4"/>
  <c r="BJ2543" i="4"/>
  <c r="BJ2532" i="4"/>
  <c r="BJ2521" i="4"/>
  <c r="BJ2510" i="4"/>
  <c r="BJ2499" i="4"/>
  <c r="BJ2488" i="4"/>
  <c r="BJ2477" i="4"/>
  <c r="BJ2466" i="4"/>
  <c r="BJ2455" i="4"/>
  <c r="BJ2444" i="4"/>
  <c r="BJ2433" i="4"/>
  <c r="BJ2422" i="4"/>
  <c r="BJ2411" i="4"/>
  <c r="BJ2400" i="4"/>
  <c r="BJ2389" i="4"/>
  <c r="BJ2378" i="4"/>
  <c r="BJ2367" i="4"/>
  <c r="BJ2356" i="4"/>
  <c r="BJ2345" i="4"/>
  <c r="BJ2334" i="4"/>
  <c r="BK3573" i="4"/>
  <c r="BK3561" i="4"/>
  <c r="BK3549" i="4"/>
  <c r="BK3537" i="4"/>
  <c r="BK3525" i="4"/>
  <c r="BK3513" i="4"/>
  <c r="BK3501" i="4"/>
  <c r="BK3488" i="4"/>
  <c r="BK3476" i="4"/>
  <c r="BK3464" i="4"/>
  <c r="BK3452" i="4"/>
  <c r="BK3440" i="4"/>
  <c r="BK3428" i="4"/>
  <c r="BK3416" i="4"/>
  <c r="BK3404" i="4"/>
  <c r="BK3392" i="4"/>
  <c r="BK3380" i="4"/>
  <c r="BK3367" i="4"/>
  <c r="BK3355" i="4"/>
  <c r="BK3343" i="4"/>
  <c r="BK3331" i="4"/>
  <c r="BK3319" i="4"/>
  <c r="BK3307" i="4"/>
  <c r="BK3295" i="4"/>
  <c r="BK3283" i="4"/>
  <c r="BK3271" i="4"/>
  <c r="BK3259" i="4"/>
  <c r="BK3246" i="4"/>
  <c r="BK3234" i="4"/>
  <c r="BK3222" i="4"/>
  <c r="BK3210" i="4"/>
  <c r="BK3198" i="4"/>
  <c r="BK3186" i="4"/>
  <c r="BK3174" i="4"/>
  <c r="BK3162" i="4"/>
  <c r="BK3150" i="4"/>
  <c r="BK3138" i="4"/>
  <c r="BK3125" i="4"/>
  <c r="BK3113" i="4"/>
  <c r="BK3101" i="4"/>
  <c r="BK3089" i="4"/>
  <c r="BK3077" i="4"/>
  <c r="BK3065" i="4"/>
  <c r="BK3053" i="4"/>
  <c r="BK3041" i="4"/>
  <c r="BK3029" i="4"/>
  <c r="BK3017" i="4"/>
  <c r="BK3004" i="4"/>
  <c r="BK2992" i="4"/>
  <c r="BK2980" i="4"/>
  <c r="BK2968" i="4"/>
  <c r="BK2956" i="4"/>
  <c r="BK3584" i="4"/>
  <c r="BK3572" i="4"/>
  <c r="BK3560" i="4"/>
  <c r="BK3548" i="4"/>
  <c r="BK3536" i="4"/>
  <c r="BK3524" i="4"/>
  <c r="BK3512" i="4"/>
  <c r="BK3499" i="4"/>
  <c r="BK3487" i="4"/>
  <c r="BK3475" i="4"/>
  <c r="BK3463" i="4"/>
  <c r="BK3451" i="4"/>
  <c r="BK3439" i="4"/>
  <c r="BK3427" i="4"/>
  <c r="BK3415" i="4"/>
  <c r="BK3403" i="4"/>
  <c r="BK3391" i="4"/>
  <c r="BK3378" i="4"/>
  <c r="BK3366" i="4"/>
  <c r="BK3354" i="4"/>
  <c r="BK3342" i="4"/>
  <c r="BK3330" i="4"/>
  <c r="BK3318" i="4"/>
  <c r="BK3306" i="4"/>
  <c r="BK3294" i="4"/>
  <c r="BK3282" i="4"/>
  <c r="BK3270" i="4"/>
  <c r="BK3257" i="4"/>
  <c r="BK3245" i="4"/>
  <c r="BK3233" i="4"/>
  <c r="BK3221" i="4"/>
  <c r="BK3209" i="4"/>
  <c r="BK3197" i="4"/>
  <c r="BK3185" i="4"/>
  <c r="BK3173" i="4"/>
  <c r="BK3161" i="4"/>
  <c r="BK3149" i="4"/>
  <c r="BK3136" i="4"/>
  <c r="BK3124" i="4"/>
  <c r="BK3112" i="4"/>
  <c r="BK3100" i="4"/>
  <c r="BK3088" i="4"/>
  <c r="BK3076" i="4"/>
  <c r="BK3064" i="4"/>
  <c r="BK3052" i="4"/>
  <c r="BK3040" i="4"/>
  <c r="BK3028" i="4"/>
  <c r="BK3015" i="4"/>
  <c r="BK3003" i="4"/>
  <c r="BK2991" i="4"/>
  <c r="BK2979" i="4"/>
  <c r="BK2967" i="4"/>
  <c r="BK2955" i="4"/>
  <c r="BK2943" i="4"/>
  <c r="BK2931" i="4"/>
  <c r="BK2919" i="4"/>
  <c r="BK2907" i="4"/>
  <c r="BK2894" i="4"/>
  <c r="BK2882" i="4"/>
  <c r="BK2870" i="4"/>
  <c r="BK2858" i="4"/>
  <c r="BK2846" i="4"/>
  <c r="BK2834" i="4"/>
  <c r="BK2822" i="4"/>
  <c r="BK2810" i="4"/>
  <c r="BK2798" i="4"/>
  <c r="BK2786" i="4"/>
  <c r="BK2773" i="4"/>
  <c r="BK2761" i="4"/>
  <c r="BK2749" i="4"/>
  <c r="BK2737" i="4"/>
  <c r="BK2725" i="4"/>
  <c r="BK2713" i="4"/>
  <c r="BK2701" i="4"/>
  <c r="BK2689" i="4"/>
  <c r="BK2677" i="4"/>
  <c r="BK2665" i="4"/>
  <c r="BK2652" i="4"/>
  <c r="BK2640" i="4"/>
  <c r="BK2628" i="4"/>
  <c r="BK2616" i="4"/>
  <c r="BK2604" i="4"/>
  <c r="BK2592" i="4"/>
  <c r="BK2580" i="4"/>
  <c r="BK2568" i="4"/>
  <c r="BK2556" i="4"/>
  <c r="BK2544" i="4"/>
  <c r="BK2531" i="4"/>
  <c r="BK2519" i="4"/>
  <c r="BK2507" i="4"/>
  <c r="BK2495" i="4"/>
  <c r="BK2483" i="4"/>
  <c r="BK2471" i="4"/>
  <c r="BK2459" i="4"/>
  <c r="BK2447" i="4"/>
  <c r="BK2435" i="4"/>
  <c r="BK2423" i="4"/>
  <c r="BK2410" i="4"/>
  <c r="BK2398" i="4"/>
  <c r="BK2386" i="4"/>
  <c r="BK2374" i="4"/>
  <c r="BK2362" i="4"/>
  <c r="BK2350" i="4"/>
  <c r="BK2338" i="4"/>
  <c r="BK2326" i="4"/>
  <c r="BJ2315" i="4"/>
  <c r="BK2303" i="4"/>
  <c r="BJ2292" i="4"/>
  <c r="BK2280" i="4"/>
  <c r="BJ2269" i="4"/>
  <c r="BJ2257" i="4"/>
  <c r="BK2245" i="4"/>
  <c r="BJ2234" i="4"/>
  <c r="BK2222" i="4"/>
  <c r="BJ2211" i="4"/>
  <c r="BK2199" i="4"/>
  <c r="BJ2188" i="4"/>
  <c r="BK2176" i="4"/>
  <c r="BJ2165" i="4"/>
  <c r="BK2153" i="4"/>
  <c r="BJ2142" i="4"/>
  <c r="BK2130" i="4"/>
  <c r="BK2119" i="4"/>
  <c r="BK2108" i="4"/>
  <c r="BK2097" i="4"/>
  <c r="BK2086" i="4"/>
  <c r="BK2075" i="4"/>
  <c r="BK2064" i="4"/>
  <c r="BK2053" i="4"/>
  <c r="BK2042" i="4"/>
  <c r="BK2031" i="4"/>
  <c r="BK2020" i="4"/>
  <c r="BK2009" i="4"/>
  <c r="BK1998" i="4"/>
  <c r="BK1987" i="4"/>
  <c r="BK1976" i="4"/>
  <c r="BK1965" i="4"/>
  <c r="BK1954" i="4"/>
  <c r="BK1943" i="4"/>
  <c r="BK1932" i="4"/>
  <c r="BK1921" i="4"/>
  <c r="BK1910" i="4"/>
  <c r="BK1899" i="4"/>
  <c r="BK1888" i="4"/>
  <c r="BK1877" i="4"/>
  <c r="BK1866" i="4"/>
  <c r="BK1855" i="4"/>
  <c r="BK1844" i="4"/>
  <c r="BK1833" i="4"/>
  <c r="BK1822" i="4"/>
  <c r="BK1811" i="4"/>
  <c r="BK1800" i="4"/>
  <c r="BK1789" i="4"/>
  <c r="BK1778" i="4"/>
  <c r="BK1767" i="4"/>
  <c r="BK1756" i="4"/>
  <c r="BK1745" i="4"/>
  <c r="BK1734" i="4"/>
  <c r="BK1723" i="4"/>
  <c r="BK1712" i="4"/>
  <c r="BK1701" i="4"/>
  <c r="BK1690" i="4"/>
  <c r="BK1679" i="4"/>
  <c r="BK1668" i="4"/>
  <c r="BK1657" i="4"/>
  <c r="BK1646" i="4"/>
  <c r="BK1635" i="4"/>
  <c r="BK1624" i="4"/>
  <c r="BK1613" i="4"/>
  <c r="BK1602" i="4"/>
  <c r="BK1591" i="4"/>
  <c r="BK1580" i="4"/>
  <c r="BK1569" i="4"/>
  <c r="BK1558" i="4"/>
  <c r="BK1547" i="4"/>
  <c r="BK1536" i="4"/>
  <c r="BK1525" i="4"/>
  <c r="BK1514" i="4"/>
  <c r="BK1503" i="4"/>
  <c r="BK1492" i="4"/>
  <c r="BK1481" i="4"/>
  <c r="BK1470" i="4"/>
  <c r="BK1459" i="4"/>
  <c r="BK1448" i="4"/>
  <c r="BK1437" i="4"/>
  <c r="BK1426" i="4"/>
  <c r="BK1415" i="4"/>
  <c r="BK1404" i="4"/>
  <c r="BK1393" i="4"/>
  <c r="BK3582" i="4"/>
  <c r="BK3570" i="4"/>
  <c r="BK3558" i="4"/>
  <c r="BK3546" i="4"/>
  <c r="BK3534" i="4"/>
  <c r="BK3521" i="4"/>
  <c r="BK3509" i="4"/>
  <c r="BK3497" i="4"/>
  <c r="BK3485" i="4"/>
  <c r="BK3473" i="4"/>
  <c r="BK3461" i="4"/>
  <c r="BK3449" i="4"/>
  <c r="BK3437" i="4"/>
  <c r="BK3425" i="4"/>
  <c r="BK3413" i="4"/>
  <c r="BK3400" i="4"/>
  <c r="BK3388" i="4"/>
  <c r="BK3376" i="4"/>
  <c r="BK3364" i="4"/>
  <c r="BK3352" i="4"/>
  <c r="BK3340" i="4"/>
  <c r="BK3328" i="4"/>
  <c r="BK3316" i="4"/>
  <c r="BK3304" i="4"/>
  <c r="BK3292" i="4"/>
  <c r="BK3279" i="4"/>
  <c r="BK3267" i="4"/>
  <c r="BK3255" i="4"/>
  <c r="BK3243" i="4"/>
  <c r="BK3231" i="4"/>
  <c r="BK3219" i="4"/>
  <c r="BK3207" i="4"/>
  <c r="BK3195" i="4"/>
  <c r="BK3183" i="4"/>
  <c r="BK3171" i="4"/>
  <c r="BK3158" i="4"/>
  <c r="BK3146" i="4"/>
  <c r="BK3134" i="4"/>
  <c r="BK3122" i="4"/>
  <c r="BK3110" i="4"/>
  <c r="BK3098" i="4"/>
  <c r="BK3086" i="4"/>
  <c r="BK3074" i="4"/>
  <c r="BK3062" i="4"/>
  <c r="BK3050" i="4"/>
  <c r="BK3037" i="4"/>
  <c r="BK3025" i="4"/>
  <c r="BK3013" i="4"/>
  <c r="BK3001" i="4"/>
  <c r="BK2989" i="4"/>
  <c r="BK2977" i="4"/>
  <c r="BK2965" i="4"/>
  <c r="BK2953" i="4"/>
  <c r="BK2941" i="4"/>
  <c r="BK2929" i="4"/>
  <c r="BK2916" i="4"/>
  <c r="BK2904" i="4"/>
  <c r="BK2892" i="4"/>
  <c r="BK2880" i="4"/>
  <c r="BK2868" i="4"/>
  <c r="BK2856" i="4"/>
  <c r="BK2844" i="4"/>
  <c r="BK2832" i="4"/>
  <c r="BK2820" i="4"/>
  <c r="BK2808" i="4"/>
  <c r="BK2795" i="4"/>
  <c r="BK2783" i="4"/>
  <c r="BK2771" i="4"/>
  <c r="BK2759" i="4"/>
  <c r="BK2747" i="4"/>
  <c r="BK2735" i="4"/>
  <c r="BK2723" i="4"/>
  <c r="BK2711" i="4"/>
  <c r="BK2699" i="4"/>
  <c r="BK2687" i="4"/>
  <c r="BK2674" i="4"/>
  <c r="BK2662" i="4"/>
  <c r="BK2650" i="4"/>
  <c r="BK2638" i="4"/>
  <c r="BK2626" i="4"/>
  <c r="BK2614" i="4"/>
  <c r="BK2602" i="4"/>
  <c r="BK2590" i="4"/>
  <c r="BK2578" i="4"/>
  <c r="BK2566" i="4"/>
  <c r="BK2553" i="4"/>
  <c r="BK2541" i="4"/>
  <c r="BK2529" i="4"/>
  <c r="BK2517" i="4"/>
  <c r="BK2505" i="4"/>
  <c r="BK2493" i="4"/>
  <c r="BK2481" i="4"/>
  <c r="BK2469" i="4"/>
  <c r="BK2457" i="4"/>
  <c r="BK2445" i="4"/>
  <c r="BK2432" i="4"/>
  <c r="BK2420" i="4"/>
  <c r="BK2408" i="4"/>
  <c r="BK2396" i="4"/>
  <c r="BK2384" i="4"/>
  <c r="BK2372" i="4"/>
  <c r="BK2360" i="4"/>
  <c r="BK2348" i="4"/>
  <c r="BK2336" i="4"/>
  <c r="BK2324" i="4"/>
  <c r="BJ2313" i="4"/>
  <c r="BJ2301" i="4"/>
  <c r="BK2289" i="4"/>
  <c r="BJ2278" i="4"/>
  <c r="BK2266" i="4"/>
  <c r="BJ2255" i="4"/>
  <c r="BK2243" i="4"/>
  <c r="BJ2232" i="4"/>
  <c r="BK2220" i="4"/>
  <c r="BJ2209" i="4"/>
  <c r="BK2197" i="4"/>
  <c r="BJ2186" i="4"/>
  <c r="BK2174" i="4"/>
  <c r="BJ2163" i="4"/>
  <c r="BK2151" i="4"/>
  <c r="BJ2140" i="4"/>
  <c r="BK2128" i="4"/>
  <c r="BK2117" i="4"/>
  <c r="BK2106" i="4"/>
  <c r="BK2095" i="4"/>
  <c r="BK2084" i="4"/>
  <c r="BK2073" i="4"/>
  <c r="BK2062" i="4"/>
  <c r="BK2051" i="4"/>
  <c r="BK2040" i="4"/>
  <c r="BK2029" i="4"/>
  <c r="BK2018" i="4"/>
  <c r="BK2007" i="4"/>
  <c r="BK1996" i="4"/>
  <c r="BK1985" i="4"/>
  <c r="BK1974" i="4"/>
  <c r="BK1963" i="4"/>
  <c r="BK1952" i="4"/>
  <c r="BK1941" i="4"/>
  <c r="BK1930" i="4"/>
  <c r="BK1919" i="4"/>
  <c r="BK1908" i="4"/>
  <c r="BK1897" i="4"/>
  <c r="BK1886" i="4"/>
  <c r="BK1875" i="4"/>
  <c r="BK1864" i="4"/>
  <c r="BK1853" i="4"/>
  <c r="BK1842" i="4"/>
  <c r="BK1831" i="4"/>
  <c r="BK1820" i="4"/>
  <c r="BK1809" i="4"/>
  <c r="BK1798" i="4"/>
  <c r="BK1787" i="4"/>
  <c r="BK1776" i="4"/>
  <c r="BK1765" i="4"/>
  <c r="BK1754" i="4"/>
  <c r="BK1743" i="4"/>
  <c r="BK1732" i="4"/>
  <c r="BK1721" i="4"/>
  <c r="BK1710" i="4"/>
  <c r="BK1699" i="4"/>
  <c r="BK1688" i="4"/>
  <c r="BK1677" i="4"/>
  <c r="BK1666" i="4"/>
  <c r="BK1655" i="4"/>
  <c r="BK1644" i="4"/>
  <c r="BK1633" i="4"/>
  <c r="BK1622" i="4"/>
  <c r="BK1611" i="4"/>
  <c r="BK1600" i="4"/>
  <c r="BK1589" i="4"/>
  <c r="BK1578" i="4"/>
  <c r="BK1567" i="4"/>
  <c r="BK1556" i="4"/>
  <c r="BK1545" i="4"/>
  <c r="BK1534" i="4"/>
  <c r="BK1523" i="4"/>
  <c r="BK1512" i="4"/>
  <c r="BK1501" i="4"/>
  <c r="BK1490" i="4"/>
  <c r="BK1479" i="4"/>
  <c r="BK1468" i="4"/>
  <c r="BK1457" i="4"/>
  <c r="BK1446" i="4"/>
  <c r="BK1435" i="4"/>
  <c r="BK1424" i="4"/>
  <c r="BK1413" i="4"/>
  <c r="BK1402" i="4"/>
  <c r="BK1391" i="4"/>
  <c r="BK1380" i="4"/>
  <c r="BK1369" i="4"/>
  <c r="BK1358" i="4"/>
  <c r="BK1347" i="4"/>
  <c r="BK1336" i="4"/>
  <c r="BK1325" i="4"/>
  <c r="BK1314" i="4"/>
  <c r="BK3574" i="4"/>
  <c r="BJ3560" i="4"/>
  <c r="BJ3546" i="4"/>
  <c r="BK3531" i="4"/>
  <c r="BJ3518" i="4"/>
  <c r="BK3504" i="4"/>
  <c r="BJ3491" i="4"/>
  <c r="BJ3476" i="4"/>
  <c r="BJ3462" i="4"/>
  <c r="BJ3448" i="4"/>
  <c r="BK3433" i="4"/>
  <c r="BJ3420" i="4"/>
  <c r="BK3406" i="4"/>
  <c r="BJ3393" i="4"/>
  <c r="BK3377" i="4"/>
  <c r="BK3363" i="4"/>
  <c r="BJ3350" i="4"/>
  <c r="BK3336" i="4"/>
  <c r="BJ3322" i="4"/>
  <c r="BK3308" i="4"/>
  <c r="BJ3294" i="4"/>
  <c r="BJ3279" i="4"/>
  <c r="BK3265" i="4"/>
  <c r="BJ3252" i="4"/>
  <c r="BK3238" i="4"/>
  <c r="BJ3224" i="4"/>
  <c r="BJ3210" i="4"/>
  <c r="BJ3196" i="4"/>
  <c r="BJ3182" i="4"/>
  <c r="BK3167" i="4"/>
  <c r="BJ3154" i="4"/>
  <c r="BK3140" i="4"/>
  <c r="BJ3127" i="4"/>
  <c r="BK3111" i="4"/>
  <c r="BK3097" i="4"/>
  <c r="BJ3084" i="4"/>
  <c r="BK3069" i="4"/>
  <c r="BJ3056" i="4"/>
  <c r="BK3042" i="4"/>
  <c r="BJ3028" i="4"/>
  <c r="BJ3013" i="4"/>
  <c r="BK2999" i="4"/>
  <c r="BJ2986" i="4"/>
  <c r="BK2971" i="4"/>
  <c r="BJ2958" i="4"/>
  <c r="BK2944" i="4"/>
  <c r="BJ2931" i="4"/>
  <c r="BJ2918" i="4"/>
  <c r="BK2903" i="4"/>
  <c r="BK2890" i="4"/>
  <c r="BK2877" i="4"/>
  <c r="BK2864" i="4"/>
  <c r="BK2850" i="4"/>
  <c r="BK2837" i="4"/>
  <c r="BK2824" i="4"/>
  <c r="BK2811" i="4"/>
  <c r="BJ2798" i="4"/>
  <c r="BJ2784" i="4"/>
  <c r="BK2770" i="4"/>
  <c r="BK2757" i="4"/>
  <c r="BK2744" i="4"/>
  <c r="BK2731" i="4"/>
  <c r="BK2717" i="4"/>
  <c r="BK2704" i="4"/>
  <c r="BK2691" i="4"/>
  <c r="BK2678" i="4"/>
  <c r="BJ2665" i="4"/>
  <c r="BJ2651" i="4"/>
  <c r="BK2637" i="4"/>
  <c r="BK2624" i="4"/>
  <c r="BK2611" i="4"/>
  <c r="BK2597" i="4"/>
  <c r="BK2584" i="4"/>
  <c r="BJ3579" i="4"/>
  <c r="BJ3564" i="4"/>
  <c r="BJ3550" i="4"/>
  <c r="BJ3535" i="4"/>
  <c r="BK3519" i="4"/>
  <c r="BK3505" i="4"/>
  <c r="BK3491" i="4"/>
  <c r="BJ3475" i="4"/>
  <c r="BK3460" i="4"/>
  <c r="BK3446" i="4"/>
  <c r="BK3431" i="4"/>
  <c r="BK3417" i="4"/>
  <c r="BK3402" i="4"/>
  <c r="BJ3387" i="4"/>
  <c r="BJ3373" i="4"/>
  <c r="BJ3359" i="4"/>
  <c r="BJ3344" i="4"/>
  <c r="BJ3329" i="4"/>
  <c r="BK3314" i="4"/>
  <c r="BK3299" i="4"/>
  <c r="BK3285" i="4"/>
  <c r="BJ3271" i="4"/>
  <c r="BJ3255" i="4"/>
  <c r="BJ3241" i="4"/>
  <c r="BJ3227" i="4"/>
  <c r="BJ3212" i="4"/>
  <c r="BJ3197" i="4"/>
  <c r="BK3182" i="4"/>
  <c r="BJ3167" i="4"/>
  <c r="BJ3153" i="4"/>
  <c r="BJ3139" i="4"/>
  <c r="BJ3123" i="4"/>
  <c r="BK3108" i="4"/>
  <c r="BK3094" i="4"/>
  <c r="BK3079" i="4"/>
  <c r="BJ3065" i="4"/>
  <c r="BJ3050" i="4"/>
  <c r="BJ3035" i="4"/>
  <c r="BJ3021" i="4"/>
  <c r="BJ3007" i="4"/>
  <c r="BJ2991" i="4"/>
  <c r="BK2976" i="4"/>
  <c r="BK2962" i="4"/>
  <c r="BK2947" i="4"/>
  <c r="BJ2934" i="4"/>
  <c r="BK2920" i="4"/>
  <c r="BK2905" i="4"/>
  <c r="BK2891" i="4"/>
  <c r="BJ2878" i="4"/>
  <c r="BJ2864" i="4"/>
  <c r="BK2849" i="4"/>
  <c r="BJ2836" i="4"/>
  <c r="BJ2822" i="4"/>
  <c r="BJ2808" i="4"/>
  <c r="BK2793" i="4"/>
  <c r="BJ2780" i="4"/>
  <c r="BK2766" i="4"/>
  <c r="BJ2753" i="4"/>
  <c r="BK2738" i="4"/>
  <c r="BK2724" i="4"/>
  <c r="BK2710" i="4"/>
  <c r="BJ2696" i="4"/>
  <c r="BK2682" i="4"/>
  <c r="BJ2669" i="4"/>
  <c r="BK2655" i="4"/>
  <c r="BJ2641" i="4"/>
  <c r="BJ2627" i="4"/>
  <c r="BJ2613" i="4"/>
  <c r="BK2599" i="4"/>
  <c r="BJ2585" i="4"/>
  <c r="BK2571" i="4"/>
  <c r="BK2558" i="4"/>
  <c r="BK2545" i="4"/>
  <c r="BJ2531" i="4"/>
  <c r="BJ2518" i="4"/>
  <c r="BK2504" i="4"/>
  <c r="BK2491" i="4"/>
  <c r="BK2478" i="4"/>
  <c r="BK2464" i="4"/>
  <c r="BK2451" i="4"/>
  <c r="BK2438" i="4"/>
  <c r="BK2425" i="4"/>
  <c r="BK2412" i="4"/>
  <c r="BJ2398" i="4"/>
  <c r="BJ2385" i="4"/>
  <c r="BK2371" i="4"/>
  <c r="BK2358" i="4"/>
  <c r="BK2344" i="4"/>
  <c r="BK2331" i="4"/>
  <c r="BJ2319" i="4"/>
  <c r="BK2306" i="4"/>
  <c r="BJ2294" i="4"/>
  <c r="BK2281" i="4"/>
  <c r="BJ2268" i="4"/>
  <c r="BK2255" i="4"/>
  <c r="BK2242" i="4"/>
  <c r="BJ2230" i="4"/>
  <c r="BK2217" i="4"/>
  <c r="BJ2205" i="4"/>
  <c r="BK2192" i="4"/>
  <c r="BK2179" i="4"/>
  <c r="BJ2167" i="4"/>
  <c r="BK2154" i="4"/>
  <c r="BK2141" i="4"/>
  <c r="BJ2129" i="4"/>
  <c r="BK2116" i="4"/>
  <c r="BK2104" i="4"/>
  <c r="BK3578" i="4"/>
  <c r="BK3563" i="4"/>
  <c r="BJ3549" i="4"/>
  <c r="BJ3578" i="4"/>
  <c r="BJ3563" i="4"/>
  <c r="BJ3548" i="4"/>
  <c r="BK3532" i="4"/>
  <c r="BK3518" i="4"/>
  <c r="BJ3504" i="4"/>
  <c r="BJ3490" i="4"/>
  <c r="BJ3474" i="4"/>
  <c r="BK3459" i="4"/>
  <c r="BK3444" i="4"/>
  <c r="BK3430" i="4"/>
  <c r="BJ3416" i="4"/>
  <c r="BJ3400" i="4"/>
  <c r="BJ3386" i="4"/>
  <c r="BJ3372" i="4"/>
  <c r="BJ3358" i="4"/>
  <c r="BJ3342" i="4"/>
  <c r="BK3327" i="4"/>
  <c r="BK3312" i="4"/>
  <c r="BK3298" i="4"/>
  <c r="BK3284" i="4"/>
  <c r="BK3268" i="4"/>
  <c r="BJ3254" i="4"/>
  <c r="BJ3240" i="4"/>
  <c r="BJ3226" i="4"/>
  <c r="BJ3211" i="4"/>
  <c r="BJ3195" i="4"/>
  <c r="BJ3180" i="4"/>
  <c r="BJ3166" i="4"/>
  <c r="BJ3152" i="4"/>
  <c r="BJ3136" i="4"/>
  <c r="BK3121" i="4"/>
  <c r="BK3107" i="4"/>
  <c r="BK3092" i="4"/>
  <c r="BK3078" i="4"/>
  <c r="BK3063" i="4"/>
  <c r="BJ3048" i="4"/>
  <c r="BJ3034" i="4"/>
  <c r="BJ3020" i="4"/>
  <c r="BJ3006" i="4"/>
  <c r="BJ2990" i="4"/>
  <c r="BK2975" i="4"/>
  <c r="BK2960" i="4"/>
  <c r="BK2946" i="4"/>
  <c r="BJ2933" i="4"/>
  <c r="BJ2919" i="4"/>
  <c r="BJ2904" i="4"/>
  <c r="BJ2890" i="4"/>
  <c r="BK2876" i="4"/>
  <c r="BJ2863" i="4"/>
  <c r="BK2848" i="4"/>
  <c r="BJ2835" i="4"/>
  <c r="BJ2821" i="4"/>
  <c r="BJ2806" i="4"/>
  <c r="BK2792" i="4"/>
  <c r="BJ2779" i="4"/>
  <c r="BK2765" i="4"/>
  <c r="BJ2751" i="4"/>
  <c r="BJ2737" i="4"/>
  <c r="BJ2723" i="4"/>
  <c r="BK2709" i="4"/>
  <c r="BJ2695" i="4"/>
  <c r="BK2681" i="4"/>
  <c r="BJ2668" i="4"/>
  <c r="BK2654" i="4"/>
  <c r="BK2639" i="4"/>
  <c r="BK2625" i="4"/>
  <c r="BJ2612" i="4"/>
  <c r="BJ2597" i="4"/>
  <c r="BK2583" i="4"/>
  <c r="BK2570" i="4"/>
  <c r="BK2557" i="4"/>
  <c r="BJ2544" i="4"/>
  <c r="BJ2530" i="4"/>
  <c r="BK2516" i="4"/>
  <c r="BK2503" i="4"/>
  <c r="BK2490" i="4"/>
  <c r="BK2476" i="4"/>
  <c r="BK2463" i="4"/>
  <c r="BK2450" i="4"/>
  <c r="BK2437" i="4"/>
  <c r="BK2424" i="4"/>
  <c r="BJ2410" i="4"/>
  <c r="BJ2397" i="4"/>
  <c r="BK2383" i="4"/>
  <c r="BK2370" i="4"/>
  <c r="BK2357" i="4"/>
  <c r="BK2343" i="4"/>
  <c r="BK2330" i="4"/>
  <c r="BJ2318" i="4"/>
  <c r="BK2305" i="4"/>
  <c r="BJ2293" i="4"/>
  <c r="BJ2280" i="4"/>
  <c r="BJ2267" i="4"/>
  <c r="BJ2254" i="4"/>
  <c r="BK2241" i="4"/>
  <c r="BJ2229" i="4"/>
  <c r="BK2216" i="4"/>
  <c r="BJ2204" i="4"/>
  <c r="BJ2191" i="4"/>
  <c r="BK2178" i="4"/>
  <c r="BJ2166" i="4"/>
  <c r="BJ2153" i="4"/>
  <c r="BK2140" i="4"/>
  <c r="BK2127" i="4"/>
  <c r="BK2115" i="4"/>
  <c r="BK2103" i="4"/>
  <c r="BK2091" i="4"/>
  <c r="BK2079" i="4"/>
  <c r="BK2067" i="4"/>
  <c r="BK2055" i="4"/>
  <c r="BK2043" i="4"/>
  <c r="BJ2031" i="4"/>
  <c r="BJ2019" i="4"/>
  <c r="BK2006" i="4"/>
  <c r="BK1994" i="4"/>
  <c r="BK1982" i="4"/>
  <c r="BK1970" i="4"/>
  <c r="BK1958" i="4"/>
  <c r="BK1946" i="4"/>
  <c r="BK1934" i="4"/>
  <c r="BK1922" i="4"/>
  <c r="BJ1910" i="4"/>
  <c r="BJ1898" i="4"/>
  <c r="BK1885" i="4"/>
  <c r="BK1873" i="4"/>
  <c r="BK1861" i="4"/>
  <c r="BK1849" i="4"/>
  <c r="BK1837" i="4"/>
  <c r="BK1825" i="4"/>
  <c r="BK1813" i="4"/>
  <c r="BK1801" i="4"/>
  <c r="BJ1789" i="4"/>
  <c r="BJ1777" i="4"/>
  <c r="BK1764" i="4"/>
  <c r="BK1752" i="4"/>
  <c r="BK1740" i="4"/>
  <c r="BK1728" i="4"/>
  <c r="BK1716" i="4"/>
  <c r="BK1704" i="4"/>
  <c r="BK1692" i="4"/>
  <c r="BK1680" i="4"/>
  <c r="BJ1668" i="4"/>
  <c r="BJ1656" i="4"/>
  <c r="BK1643" i="4"/>
  <c r="BK1631" i="4"/>
  <c r="BK1619" i="4"/>
  <c r="BK1607" i="4"/>
  <c r="BK1595" i="4"/>
  <c r="BK1583" i="4"/>
  <c r="BK1571" i="4"/>
  <c r="BK1559" i="4"/>
  <c r="BJ1547" i="4"/>
  <c r="BJ1535" i="4"/>
  <c r="BK1522" i="4"/>
  <c r="BK1510" i="4"/>
  <c r="BK1498" i="4"/>
  <c r="BK1486" i="4"/>
  <c r="BK1474" i="4"/>
  <c r="BK1462" i="4"/>
  <c r="BK1450" i="4"/>
  <c r="BK1438" i="4"/>
  <c r="BJ1426" i="4"/>
  <c r="BJ1414" i="4"/>
  <c r="BK1401" i="4"/>
  <c r="BK1389" i="4"/>
  <c r="BJ1378" i="4"/>
  <c r="BK1366" i="4"/>
  <c r="BJ1355" i="4"/>
  <c r="BK1343" i="4"/>
  <c r="BJ1332" i="4"/>
  <c r="BK1320" i="4"/>
  <c r="BJ1309" i="4"/>
  <c r="BJ1298" i="4"/>
  <c r="BJ1287" i="4"/>
  <c r="BJ1276" i="4"/>
  <c r="BJ1265" i="4"/>
  <c r="BJ1254" i="4"/>
  <c r="BJ1243" i="4"/>
  <c r="BJ1232" i="4"/>
  <c r="BJ1221" i="4"/>
  <c r="BJ1210" i="4"/>
  <c r="BJ1199" i="4"/>
  <c r="BJ1188" i="4"/>
  <c r="BJ1177" i="4"/>
  <c r="BJ1166" i="4"/>
  <c r="BJ1155" i="4"/>
  <c r="BJ1144" i="4"/>
  <c r="BJ1133" i="4"/>
  <c r="BJ1122" i="4"/>
  <c r="BJ1111" i="4"/>
  <c r="BJ1100" i="4"/>
  <c r="BJ1089" i="4"/>
  <c r="BJ1078" i="4"/>
  <c r="BJ1067" i="4"/>
  <c r="BJ1056" i="4"/>
  <c r="BJ1045" i="4"/>
  <c r="BJ1034" i="4"/>
  <c r="BJ1023" i="4"/>
  <c r="BJ1012" i="4"/>
  <c r="BJ1001" i="4"/>
  <c r="BJ990" i="4"/>
  <c r="BJ979" i="4"/>
  <c r="BJ968" i="4"/>
  <c r="BJ957" i="4"/>
  <c r="BJ946" i="4"/>
  <c r="BJ935" i="4"/>
  <c r="BJ924" i="4"/>
  <c r="BJ913" i="4"/>
  <c r="BJ902" i="4"/>
  <c r="BJ891" i="4"/>
  <c r="BJ880" i="4"/>
  <c r="BJ869" i="4"/>
  <c r="BJ858" i="4"/>
  <c r="BJ847" i="4"/>
  <c r="BJ836" i="4"/>
  <c r="BJ825" i="4"/>
  <c r="BJ814" i="4"/>
  <c r="BJ803" i="4"/>
  <c r="BJ792" i="4"/>
  <c r="BJ781" i="4"/>
  <c r="BJ770" i="4"/>
  <c r="BJ759" i="4"/>
  <c r="BJ748" i="4"/>
  <c r="BJ737" i="4"/>
  <c r="BJ726" i="4"/>
  <c r="BJ715" i="4"/>
  <c r="BJ704" i="4"/>
  <c r="BJ693" i="4"/>
  <c r="BJ682" i="4"/>
  <c r="BJ671" i="4"/>
  <c r="BJ660" i="4"/>
  <c r="BJ649" i="4"/>
  <c r="BJ638" i="4"/>
  <c r="BJ627" i="4"/>
  <c r="BJ616" i="4"/>
  <c r="BJ605" i="4"/>
  <c r="BJ594" i="4"/>
  <c r="BJ583" i="4"/>
  <c r="BJ572" i="4"/>
  <c r="BJ561" i="4"/>
  <c r="BJ550" i="4"/>
  <c r="BJ539" i="4"/>
  <c r="BJ528" i="4"/>
  <c r="BJ517" i="4"/>
  <c r="BJ506" i="4"/>
  <c r="BJ495" i="4"/>
  <c r="BJ484" i="4"/>
  <c r="BJ473" i="4"/>
  <c r="BJ462" i="4"/>
  <c r="BJ451" i="4"/>
  <c r="BJ440" i="4"/>
  <c r="BJ429" i="4"/>
  <c r="BJ418" i="4"/>
  <c r="BJ407" i="4"/>
  <c r="BJ396" i="4"/>
  <c r="BJ385" i="4"/>
  <c r="BJ374" i="4"/>
  <c r="BJ363" i="4"/>
  <c r="BJ352" i="4"/>
  <c r="BJ341" i="4"/>
  <c r="BJ330" i="4"/>
  <c r="BJ319" i="4"/>
  <c r="BJ308" i="4"/>
  <c r="BJ297" i="4"/>
  <c r="BJ286" i="4"/>
  <c r="BJ275" i="4"/>
  <c r="BJ264" i="4"/>
  <c r="BJ253" i="4"/>
  <c r="BJ242" i="4"/>
  <c r="BJ231" i="4"/>
  <c r="BJ220" i="4"/>
  <c r="BJ209" i="4"/>
  <c r="BJ198" i="4"/>
  <c r="BJ187" i="4"/>
  <c r="BJ176" i="4"/>
  <c r="BJ165" i="4"/>
  <c r="BJ154" i="4"/>
  <c r="BJ143" i="4"/>
  <c r="BJ132" i="4"/>
  <c r="BJ121" i="4"/>
  <c r="BJ3575" i="4"/>
  <c r="BK3559" i="4"/>
  <c r="BJ3545" i="4"/>
  <c r="BJ3530" i="4"/>
  <c r="BJ3516" i="4"/>
  <c r="BJ3502" i="4"/>
  <c r="BJ3486" i="4"/>
  <c r="BK3471" i="4"/>
  <c r="BK3457" i="4"/>
  <c r="BK3442" i="4"/>
  <c r="BJ3428" i="4"/>
  <c r="BJ3413" i="4"/>
  <c r="BJ3398" i="4"/>
  <c r="BJ3384" i="4"/>
  <c r="BJ3370" i="4"/>
  <c r="BJ3354" i="4"/>
  <c r="BK3339" i="4"/>
  <c r="BK3325" i="4"/>
  <c r="BK3310" i="4"/>
  <c r="BK3296" i="4"/>
  <c r="BK3281" i="4"/>
  <c r="BJ3266" i="4"/>
  <c r="BK3251" i="4"/>
  <c r="BK3237" i="4"/>
  <c r="BJ3222" i="4"/>
  <c r="BJ3207" i="4"/>
  <c r="BJ3193" i="4"/>
  <c r="BJ3178" i="4"/>
  <c r="BJ3164" i="4"/>
  <c r="BJ3149" i="4"/>
  <c r="BK3133" i="4"/>
  <c r="BK3119" i="4"/>
  <c r="BK3105" i="4"/>
  <c r="BK3090" i="4"/>
  <c r="BK3075" i="4"/>
  <c r="BJ3061" i="4"/>
  <c r="BJ3046" i="4"/>
  <c r="BJ3032" i="4"/>
  <c r="BJ3018" i="4"/>
  <c r="BJ3002" i="4"/>
  <c r="BK2987" i="4"/>
  <c r="BK2973" i="4"/>
  <c r="BK2958" i="4"/>
  <c r="BJ2944" i="4"/>
  <c r="BJ2930" i="4"/>
  <c r="BJ2915" i="4"/>
  <c r="BK2901" i="4"/>
  <c r="BJ2888" i="4"/>
  <c r="BK2874" i="4"/>
  <c r="BJ2860" i="4"/>
  <c r="BJ2846" i="4"/>
  <c r="BJ2832" i="4"/>
  <c r="BK2817" i="4"/>
  <c r="BJ2804" i="4"/>
  <c r="BK2790" i="4"/>
  <c r="BJ2777" i="4"/>
  <c r="BK2762" i="4"/>
  <c r="BK2748" i="4"/>
  <c r="BK2734" i="4"/>
  <c r="BJ2721" i="4"/>
  <c r="BK2706" i="4"/>
  <c r="BJ2693" i="4"/>
  <c r="BK2679" i="4"/>
  <c r="BJ2666" i="4"/>
  <c r="BJ2650" i="4"/>
  <c r="BK2636" i="4"/>
  <c r="BJ2623" i="4"/>
  <c r="BK2608" i="4"/>
  <c r="BJ2595" i="4"/>
  <c r="BK2581" i="4"/>
  <c r="BJ2568" i="4"/>
  <c r="BJ2555" i="4"/>
  <c r="BK2540" i="4"/>
  <c r="BK2527" i="4"/>
  <c r="BK2514" i="4"/>
  <c r="BK2501" i="4"/>
  <c r="BK2487" i="4"/>
  <c r="BK2474" i="4"/>
  <c r="BK2461" i="4"/>
  <c r="BK2448" i="4"/>
  <c r="BJ2435" i="4"/>
  <c r="BJ2421" i="4"/>
  <c r="BK2407" i="4"/>
  <c r="BK2394" i="4"/>
  <c r="BK2381" i="4"/>
  <c r="BK2368" i="4"/>
  <c r="BK2354" i="4"/>
  <c r="BK2341" i="4"/>
  <c r="BK2328" i="4"/>
  <c r="BJ2316" i="4"/>
  <c r="BJ2303" i="4"/>
  <c r="BJ2290" i="4"/>
  <c r="BJ2277" i="4"/>
  <c r="BK2264" i="4"/>
  <c r="BJ2252" i="4"/>
  <c r="BK2239" i="4"/>
  <c r="BJ2227" i="4"/>
  <c r="BK2214" i="4"/>
  <c r="BK2201" i="4"/>
  <c r="BJ2189" i="4"/>
  <c r="BJ2176" i="4"/>
  <c r="BK2163" i="4"/>
  <c r="BK2150" i="4"/>
  <c r="BJ2138" i="4"/>
  <c r="BK2125" i="4"/>
  <c r="BK2113" i="4"/>
  <c r="BK2101" i="4"/>
  <c r="BK2089" i="4"/>
  <c r="BK2077" i="4"/>
  <c r="BK2065" i="4"/>
  <c r="BJ2053" i="4"/>
  <c r="BJ2041" i="4"/>
  <c r="BK2028" i="4"/>
  <c r="BK2016" i="4"/>
  <c r="BK2004" i="4"/>
  <c r="BK1992" i="4"/>
  <c r="BK1980" i="4"/>
  <c r="BK1968" i="4"/>
  <c r="BK1956" i="4"/>
  <c r="BK1944" i="4"/>
  <c r="BJ1932" i="4"/>
  <c r="BJ1920" i="4"/>
  <c r="BK1907" i="4"/>
  <c r="BK1895" i="4"/>
  <c r="BK1883" i="4"/>
  <c r="BK1871" i="4"/>
  <c r="BK1859" i="4"/>
  <c r="BK1847" i="4"/>
  <c r="BK1835" i="4"/>
  <c r="BK1823" i="4"/>
  <c r="BJ1811" i="4"/>
  <c r="BJ1799" i="4"/>
  <c r="BK1786" i="4"/>
  <c r="BK1774" i="4"/>
  <c r="BK1762" i="4"/>
  <c r="BK1750" i="4"/>
  <c r="BK1738" i="4"/>
  <c r="BK1726" i="4"/>
  <c r="BK1714" i="4"/>
  <c r="BK1702" i="4"/>
  <c r="BJ1690" i="4"/>
  <c r="BJ1678" i="4"/>
  <c r="BK1665" i="4"/>
  <c r="BK1653" i="4"/>
  <c r="BK1641" i="4"/>
  <c r="BK1629" i="4"/>
  <c r="BK1617" i="4"/>
  <c r="BK1605" i="4"/>
  <c r="BK1593" i="4"/>
  <c r="BK1581" i="4"/>
  <c r="BJ1569" i="4"/>
  <c r="BJ1557" i="4"/>
  <c r="BK1544" i="4"/>
  <c r="BK1532" i="4"/>
  <c r="BK1520" i="4"/>
  <c r="BK1508" i="4"/>
  <c r="BK1496" i="4"/>
  <c r="BK1484" i="4"/>
  <c r="BK1472" i="4"/>
  <c r="BK1460" i="4"/>
  <c r="BJ1448" i="4"/>
  <c r="BJ1436" i="4"/>
  <c r="BK1423" i="4"/>
  <c r="BK1411" i="4"/>
  <c r="BJ3573" i="4"/>
  <c r="BJ3558" i="4"/>
  <c r="BJ3543" i="4"/>
  <c r="BJ3529" i="4"/>
  <c r="BJ3515" i="4"/>
  <c r="BJ3499" i="4"/>
  <c r="BK3484" i="4"/>
  <c r="BK3470" i="4"/>
  <c r="BK3455" i="4"/>
  <c r="BK3441" i="4"/>
  <c r="BK3426" i="4"/>
  <c r="BJ3411" i="4"/>
  <c r="BJ3397" i="4"/>
  <c r="BJ3383" i="4"/>
  <c r="BJ3369" i="4"/>
  <c r="BJ3353" i="4"/>
  <c r="BK3338" i="4"/>
  <c r="BK3323" i="4"/>
  <c r="BK3309" i="4"/>
  <c r="BJ3295" i="4"/>
  <c r="BK3278" i="4"/>
  <c r="BK3264" i="4"/>
  <c r="BK3250" i="4"/>
  <c r="BK3235" i="4"/>
  <c r="BK3220" i="4"/>
  <c r="BJ3206" i="4"/>
  <c r="BJ3191" i="4"/>
  <c r="BJ3177" i="4"/>
  <c r="BJ3163" i="4"/>
  <c r="BJ3147" i="4"/>
  <c r="BK3132" i="4"/>
  <c r="BK3118" i="4"/>
  <c r="BK3103" i="4"/>
  <c r="BJ3089" i="4"/>
  <c r="BJ3074" i="4"/>
  <c r="BJ3059" i="4"/>
  <c r="BJ3045" i="4"/>
  <c r="BJ3031" i="4"/>
  <c r="BJ3015" i="4"/>
  <c r="BK3000" i="4"/>
  <c r="BK2986" i="4"/>
  <c r="BJ2971" i="4"/>
  <c r="BJ2957" i="4"/>
  <c r="BK2942" i="4"/>
  <c r="BK2927" i="4"/>
  <c r="BJ2914" i="4"/>
  <c r="BK2900" i="4"/>
  <c r="BJ2887" i="4"/>
  <c r="BK2872" i="4"/>
  <c r="BJ2859" i="4"/>
  <c r="BJ2845" i="4"/>
  <c r="BJ3572" i="4"/>
  <c r="BK3557" i="4"/>
  <c r="BK3542" i="4"/>
  <c r="BK3528" i="4"/>
  <c r="BK3514" i="4"/>
  <c r="BK3498" i="4"/>
  <c r="BJ3484" i="4"/>
  <c r="BJ3470" i="4"/>
  <c r="BJ3455" i="4"/>
  <c r="BJ3441" i="4"/>
  <c r="BJ3426" i="4"/>
  <c r="BK3410" i="4"/>
  <c r="BK3396" i="4"/>
  <c r="BK3382" i="4"/>
  <c r="BJ3367" i="4"/>
  <c r="BJ3352" i="4"/>
  <c r="BJ3338" i="4"/>
  <c r="BK3575" i="4"/>
  <c r="BJ3554" i="4"/>
  <c r="BJ3536" i="4"/>
  <c r="BK3516" i="4"/>
  <c r="BJ3496" i="4"/>
  <c r="BK3479" i="4"/>
  <c r="BJ3459" i="4"/>
  <c r="BJ3439" i="4"/>
  <c r="BJ3421" i="4"/>
  <c r="BJ3403" i="4"/>
  <c r="BK3383" i="4"/>
  <c r="BJ3363" i="4"/>
  <c r="BK3345" i="4"/>
  <c r="BK3326" i="4"/>
  <c r="BJ3308" i="4"/>
  <c r="BK3289" i="4"/>
  <c r="BK3273" i="4"/>
  <c r="BK3254" i="4"/>
  <c r="BJ3237" i="4"/>
  <c r="BJ3218" i="4"/>
  <c r="BJ3201" i="4"/>
  <c r="BJ3184" i="4"/>
  <c r="BJ3165" i="4"/>
  <c r="BK3145" i="4"/>
  <c r="BK3129" i="4"/>
  <c r="BJ3111" i="4"/>
  <c r="BJ3094" i="4"/>
  <c r="BJ3075" i="4"/>
  <c r="BJ3057" i="4"/>
  <c r="BK3039" i="4"/>
  <c r="BJ3022" i="4"/>
  <c r="BJ3003" i="4"/>
  <c r="BJ2985" i="4"/>
  <c r="BJ2967" i="4"/>
  <c r="BK2949" i="4"/>
  <c r="BK2933" i="4"/>
  <c r="BK2914" i="4"/>
  <c r="BK2898" i="4"/>
  <c r="BK2881" i="4"/>
  <c r="BK2865" i="4"/>
  <c r="BK2847" i="4"/>
  <c r="BK2830" i="4"/>
  <c r="BK2814" i="4"/>
  <c r="BK2799" i="4"/>
  <c r="BJ2782" i="4"/>
  <c r="BJ2767" i="4"/>
  <c r="BJ2750" i="4"/>
  <c r="BK2733" i="4"/>
  <c r="BJ2717" i="4"/>
  <c r="BJ2702" i="4"/>
  <c r="BJ2685" i="4"/>
  <c r="BJ2670" i="4"/>
  <c r="BJ2654" i="4"/>
  <c r="BJ2636" i="4"/>
  <c r="BJ2621" i="4"/>
  <c r="BJ2605" i="4"/>
  <c r="BJ2589" i="4"/>
  <c r="BJ2573" i="4"/>
  <c r="BJ2558" i="4"/>
  <c r="BJ2541" i="4"/>
  <c r="BJ2526" i="4"/>
  <c r="BK2511" i="4"/>
  <c r="BJ2496" i="4"/>
  <c r="BK2480" i="4"/>
  <c r="BJ2465" i="4"/>
  <c r="BK2449" i="4"/>
  <c r="BJ2434" i="4"/>
  <c r="BJ2418" i="4"/>
  <c r="BK2403" i="4"/>
  <c r="BJ2388" i="4"/>
  <c r="BJ2373" i="4"/>
  <c r="BJ2357" i="4"/>
  <c r="BJ2341" i="4"/>
  <c r="BJ2326" i="4"/>
  <c r="BJ2311" i="4"/>
  <c r="BJ2297" i="4"/>
  <c r="BJ2283" i="4"/>
  <c r="BK2267" i="4"/>
  <c r="BK2252" i="4"/>
  <c r="BJ2238" i="4"/>
  <c r="BK2223" i="4"/>
  <c r="BK2208" i="4"/>
  <c r="BK2194" i="4"/>
  <c r="BJ2180" i="4"/>
  <c r="BK2164" i="4"/>
  <c r="BK2149" i="4"/>
  <c r="BJ2135" i="4"/>
  <c r="BK2121" i="4"/>
  <c r="BK2107" i="4"/>
  <c r="BK2093" i="4"/>
  <c r="BK2080" i="4"/>
  <c r="BJ2067" i="4"/>
  <c r="BJ2054" i="4"/>
  <c r="BK2039" i="4"/>
  <c r="BK2026" i="4"/>
  <c r="BK2013" i="4"/>
  <c r="BK2000" i="4"/>
  <c r="BJ1987" i="4"/>
  <c r="BK1973" i="4"/>
  <c r="BK1960" i="4"/>
  <c r="BK1947" i="4"/>
  <c r="BJ1934" i="4"/>
  <c r="BK1920" i="4"/>
  <c r="BK1906" i="4"/>
  <c r="BK1893" i="4"/>
  <c r="BK1880" i="4"/>
  <c r="BK1867" i="4"/>
  <c r="BJ1854" i="4"/>
  <c r="BK1840" i="4"/>
  <c r="BK1827" i="4"/>
  <c r="BK1814" i="4"/>
  <c r="BJ1801" i="4"/>
  <c r="BJ1787" i="4"/>
  <c r="BK1773" i="4"/>
  <c r="BK1760" i="4"/>
  <c r="BK1747" i="4"/>
  <c r="BJ1734" i="4"/>
  <c r="BK1720" i="4"/>
  <c r="BK1707" i="4"/>
  <c r="BK1694" i="4"/>
  <c r="BK1681" i="4"/>
  <c r="BK1667" i="4"/>
  <c r="BJ1654" i="4"/>
  <c r="BK1640" i="4"/>
  <c r="BK1627" i="4"/>
  <c r="BK1614" i="4"/>
  <c r="BJ1601" i="4"/>
  <c r="BK1587" i="4"/>
  <c r="BK1574" i="4"/>
  <c r="BK1561" i="4"/>
  <c r="BK1548" i="4"/>
  <c r="BJ1534" i="4"/>
  <c r="BJ1521" i="4"/>
  <c r="BK1507" i="4"/>
  <c r="BK1494" i="4"/>
  <c r="BJ1481" i="4"/>
  <c r="BK1467" i="4"/>
  <c r="BK1454" i="4"/>
  <c r="BK1441" i="4"/>
  <c r="BK1428" i="4"/>
  <c r="BJ1415" i="4"/>
  <c r="BJ1401" i="4"/>
  <c r="BK1388" i="4"/>
  <c r="BK1376" i="4"/>
  <c r="BK1364" i="4"/>
  <c r="BK1352" i="4"/>
  <c r="BK1340" i="4"/>
  <c r="BK1328" i="4"/>
  <c r="BK1316" i="4"/>
  <c r="BK1304" i="4"/>
  <c r="BJ1293" i="4"/>
  <c r="BK1281" i="4"/>
  <c r="BJ1270" i="4"/>
  <c r="BK1258" i="4"/>
  <c r="BJ1247" i="4"/>
  <c r="BK1235" i="4"/>
  <c r="BJ1224" i="4"/>
  <c r="BK1212" i="4"/>
  <c r="BJ1201" i="4"/>
  <c r="BK1189" i="4"/>
  <c r="BJ1178" i="4"/>
  <c r="BK1166" i="4"/>
  <c r="BK1154" i="4"/>
  <c r="BJ1143" i="4"/>
  <c r="BK1131" i="4"/>
  <c r="BJ1120" i="4"/>
  <c r="BK1108" i="4"/>
  <c r="BJ1097" i="4"/>
  <c r="BK1085" i="4"/>
  <c r="BJ1074" i="4"/>
  <c r="BK1062" i="4"/>
  <c r="BJ1051" i="4"/>
  <c r="BK1039" i="4"/>
  <c r="BJ3574" i="4"/>
  <c r="BK3553" i="4"/>
  <c r="BK3535" i="4"/>
  <c r="BK3515" i="4"/>
  <c r="BK3495" i="4"/>
  <c r="BJ3479" i="4"/>
  <c r="BK3458" i="4"/>
  <c r="BK3438" i="4"/>
  <c r="BK3420" i="4"/>
  <c r="BJ3402" i="4"/>
  <c r="BJ3382" i="4"/>
  <c r="BK3362" i="4"/>
  <c r="BJ3345" i="4"/>
  <c r="BJ3326" i="4"/>
  <c r="BJ3307" i="4"/>
  <c r="BJ3289" i="4"/>
  <c r="BJ3273" i="4"/>
  <c r="BK3253" i="4"/>
  <c r="BJ3235" i="4"/>
  <c r="BK3217" i="4"/>
  <c r="BK3200" i="4"/>
  <c r="BJ3183" i="4"/>
  <c r="BK3164" i="4"/>
  <c r="BJ3145" i="4"/>
  <c r="BJ3129" i="4"/>
  <c r="BJ3110" i="4"/>
  <c r="BJ3092" i="4"/>
  <c r="BK3073" i="4"/>
  <c r="BK3056" i="4"/>
  <c r="BJ3039" i="4"/>
  <c r="BK3021" i="4"/>
  <c r="BK3002" i="4"/>
  <c r="BK2984" i="4"/>
  <c r="BK2966" i="4"/>
  <c r="BJ2949" i="4"/>
  <c r="BK2932" i="4"/>
  <c r="BK2913" i="4"/>
  <c r="BJ2898" i="4"/>
  <c r="BJ2881" i="4"/>
  <c r="BJ2865" i="4"/>
  <c r="BJ2847" i="4"/>
  <c r="BJ2830" i="4"/>
  <c r="BJ2814" i="4"/>
  <c r="BJ2799" i="4"/>
  <c r="BK2781" i="4"/>
  <c r="BJ2766" i="4"/>
  <c r="BJ2749" i="4"/>
  <c r="BJ2733" i="4"/>
  <c r="BK2716" i="4"/>
  <c r="BJ2701" i="4"/>
  <c r="BK2684" i="4"/>
  <c r="BK2669" i="4"/>
  <c r="BJ2652" i="4"/>
  <c r="BK2635" i="4"/>
  <c r="BK2619" i="4"/>
  <c r="BJ2604" i="4"/>
  <c r="BK2588" i="4"/>
  <c r="BK2572" i="4"/>
  <c r="BJ2557" i="4"/>
  <c r="BJ2540" i="4"/>
  <c r="BK2525" i="4"/>
  <c r="BJ2511" i="4"/>
  <c r="BJ2495" i="4"/>
  <c r="BJ2480" i="4"/>
  <c r="BJ2464" i="4"/>
  <c r="BJ2449" i="4"/>
  <c r="BJ2432" i="4"/>
  <c r="BK2417" i="4"/>
  <c r="BJ2403" i="4"/>
  <c r="BK2387" i="4"/>
  <c r="BJ2372" i="4"/>
  <c r="BK2355" i="4"/>
  <c r="BK2340" i="4"/>
  <c r="BK2325" i="4"/>
  <c r="BK2310" i="4"/>
  <c r="BK2296" i="4"/>
  <c r="BK2282" i="4"/>
  <c r="BJ2266" i="4"/>
  <c r="BK2251" i="4"/>
  <c r="BK2237" i="4"/>
  <c r="BJ2223" i="4"/>
  <c r="BJ2208" i="4"/>
  <c r="BJ2194" i="4"/>
  <c r="BJ2179" i="4"/>
  <c r="BJ2164" i="4"/>
  <c r="BJ2149" i="4"/>
  <c r="BK2134" i="4"/>
  <c r="BJ2121" i="4"/>
  <c r="BJ2107" i="4"/>
  <c r="BJ2093" i="4"/>
  <c r="BJ2080" i="4"/>
  <c r="BK2066" i="4"/>
  <c r="BK2052" i="4"/>
  <c r="BJ2039" i="4"/>
  <c r="BJ2026" i="4"/>
  <c r="BJ2013" i="4"/>
  <c r="BJ2000" i="4"/>
  <c r="BK1986" i="4"/>
  <c r="BJ1973" i="4"/>
  <c r="BJ1960" i="4"/>
  <c r="BJ1947" i="4"/>
  <c r="BK1933" i="4"/>
  <c r="BJ1919" i="4"/>
  <c r="BJ1906" i="4"/>
  <c r="BJ1893" i="4"/>
  <c r="BJ1880" i="4"/>
  <c r="BJ1867" i="4"/>
  <c r="BJ1853" i="4"/>
  <c r="BJ1840" i="4"/>
  <c r="BJ1827" i="4"/>
  <c r="BJ1814" i="4"/>
  <c r="BJ1800" i="4"/>
  <c r="BJ1786" i="4"/>
  <c r="BJ1773" i="4"/>
  <c r="BJ1760" i="4"/>
  <c r="BJ1747" i="4"/>
  <c r="BK1733" i="4"/>
  <c r="BJ1720" i="4"/>
  <c r="BJ1707" i="4"/>
  <c r="BJ1694" i="4"/>
  <c r="BJ1681" i="4"/>
  <c r="BJ1667" i="4"/>
  <c r="BJ1653" i="4"/>
  <c r="BJ1640" i="4"/>
  <c r="BJ1627" i="4"/>
  <c r="BJ1614" i="4"/>
  <c r="BJ1600" i="4"/>
  <c r="BJ1587" i="4"/>
  <c r="BJ1574" i="4"/>
  <c r="BJ1561" i="4"/>
  <c r="BJ1548" i="4"/>
  <c r="BK1533" i="4"/>
  <c r="BJ1520" i="4"/>
  <c r="BJ1507" i="4"/>
  <c r="BJ1494" i="4"/>
  <c r="BK1480" i="4"/>
  <c r="BJ1467" i="4"/>
  <c r="BJ1454" i="4"/>
  <c r="BJ1441" i="4"/>
  <c r="BJ1428" i="4"/>
  <c r="BK1414" i="4"/>
  <c r="BK1400" i="4"/>
  <c r="BJ1388" i="4"/>
  <c r="BJ1376" i="4"/>
  <c r="BJ1364" i="4"/>
  <c r="BJ1352" i="4"/>
  <c r="BJ1340" i="4"/>
  <c r="BJ1328" i="4"/>
  <c r="BJ1316" i="4"/>
  <c r="BJ1304" i="4"/>
  <c r="BK1292" i="4"/>
  <c r="BJ1281" i="4"/>
  <c r="BK1269" i="4"/>
  <c r="BJ1258" i="4"/>
  <c r="BK1246" i="4"/>
  <c r="BJ1235" i="4"/>
  <c r="BK1223" i="4"/>
  <c r="BJ1212" i="4"/>
  <c r="BK1200" i="4"/>
  <c r="BJ1189" i="4"/>
  <c r="BK1177" i="4"/>
  <c r="BK1165" i="4"/>
  <c r="BJ1154" i="4"/>
  <c r="BK1142" i="4"/>
  <c r="BJ1131" i="4"/>
  <c r="BK1119" i="4"/>
  <c r="BJ1108" i="4"/>
  <c r="BK1096" i="4"/>
  <c r="BJ1085" i="4"/>
  <c r="BK1073" i="4"/>
  <c r="BJ1062" i="4"/>
  <c r="BK1050" i="4"/>
  <c r="BJ1039" i="4"/>
  <c r="BK1027" i="4"/>
  <c r="BJ1016" i="4"/>
  <c r="BK1004" i="4"/>
  <c r="BJ993" i="4"/>
  <c r="BK981" i="4"/>
  <c r="BJ970" i="4"/>
  <c r="BK958" i="4"/>
  <c r="BJ947" i="4"/>
  <c r="BK935" i="4"/>
  <c r="BK923" i="4"/>
  <c r="BJ912" i="4"/>
  <c r="BK900" i="4"/>
  <c r="BJ889" i="4"/>
  <c r="BK877" i="4"/>
  <c r="BJ866" i="4"/>
  <c r="BK854" i="4"/>
  <c r="BJ843" i="4"/>
  <c r="BK831" i="4"/>
  <c r="BJ820" i="4"/>
  <c r="BK808" i="4"/>
  <c r="BJ797" i="4"/>
  <c r="BK785" i="4"/>
  <c r="BK3571" i="4"/>
  <c r="BJ3553" i="4"/>
  <c r="BJ3534" i="4"/>
  <c r="BJ3514" i="4"/>
  <c r="BJ3495" i="4"/>
  <c r="BK3477" i="4"/>
  <c r="BJ3458" i="4"/>
  <c r="BJ3438" i="4"/>
  <c r="BK3419" i="4"/>
  <c r="BK3399" i="4"/>
  <c r="BK3381" i="4"/>
  <c r="BJ3362" i="4"/>
  <c r="BK3344" i="4"/>
  <c r="BJ3325" i="4"/>
  <c r="BJ3306" i="4"/>
  <c r="BK3288" i="4"/>
  <c r="BK3272" i="4"/>
  <c r="BJ3253" i="4"/>
  <c r="BJ3234" i="4"/>
  <c r="BJ3217" i="4"/>
  <c r="BJ3200" i="4"/>
  <c r="BK3180" i="4"/>
  <c r="BK3163" i="4"/>
  <c r="BK3144" i="4"/>
  <c r="BK3128" i="4"/>
  <c r="BK3109" i="4"/>
  <c r="BK3091" i="4"/>
  <c r="BJ3073" i="4"/>
  <c r="BK3055" i="4"/>
  <c r="BJ3037" i="4"/>
  <c r="BK3020" i="4"/>
  <c r="BJ3001" i="4"/>
  <c r="BJ2984" i="4"/>
  <c r="BJ2966" i="4"/>
  <c r="BK2948" i="4"/>
  <c r="BJ2932" i="4"/>
  <c r="BJ2913" i="4"/>
  <c r="BK2897" i="4"/>
  <c r="BJ2880" i="4"/>
  <c r="BK2863" i="4"/>
  <c r="BK2845" i="4"/>
  <c r="BK2828" i="4"/>
  <c r="BK2813" i="4"/>
  <c r="BK2797" i="4"/>
  <c r="BJ2781" i="4"/>
  <c r="BJ2765" i="4"/>
  <c r="BJ2748" i="4"/>
  <c r="BK2732" i="4"/>
  <c r="BJ2716" i="4"/>
  <c r="BK2700" i="4"/>
  <c r="BJ2684" i="4"/>
  <c r="BK2668" i="4"/>
  <c r="BK2651" i="4"/>
  <c r="BJ2635" i="4"/>
  <c r="BJ2619" i="4"/>
  <c r="BK2603" i="4"/>
  <c r="BJ2588" i="4"/>
  <c r="BJ2572" i="4"/>
  <c r="BJ2556" i="4"/>
  <c r="BK2539" i="4"/>
  <c r="BJ2525" i="4"/>
  <c r="BK2509" i="4"/>
  <c r="BK2494" i="4"/>
  <c r="BK2479" i="4"/>
  <c r="BJ2463" i="4"/>
  <c r="BJ2448" i="4"/>
  <c r="BK2431" i="4"/>
  <c r="BJ2417" i="4"/>
  <c r="BK2402" i="4"/>
  <c r="BJ2387" i="4"/>
  <c r="BJ2371" i="4"/>
  <c r="BJ2355" i="4"/>
  <c r="BJ2340" i="4"/>
  <c r="BJ2325" i="4"/>
  <c r="BJ2310" i="4"/>
  <c r="BJ2296" i="4"/>
  <c r="BJ2282" i="4"/>
  <c r="BK2265" i="4"/>
  <c r="BJ2251" i="4"/>
  <c r="BJ2237" i="4"/>
  <c r="BJ2222" i="4"/>
  <c r="BK2207" i="4"/>
  <c r="BK2193" i="4"/>
  <c r="BJ2178" i="4"/>
  <c r="BK2162" i="4"/>
  <c r="BK2148" i="4"/>
  <c r="BJ2134" i="4"/>
  <c r="BK2120" i="4"/>
  <c r="BJ2106" i="4"/>
  <c r="BK2092" i="4"/>
  <c r="BJ2079" i="4"/>
  <c r="BJ2066" i="4"/>
  <c r="BJ2052" i="4"/>
  <c r="BK2038" i="4"/>
  <c r="BK2025" i="4"/>
  <c r="BK2012" i="4"/>
  <c r="BK1999" i="4"/>
  <c r="BJ1986" i="4"/>
  <c r="BK1972" i="4"/>
  <c r="BK1959" i="4"/>
  <c r="BJ1946" i="4"/>
  <c r="BJ1933" i="4"/>
  <c r="BK1918" i="4"/>
  <c r="BK1905" i="4"/>
  <c r="BK1892" i="4"/>
  <c r="BK1879" i="4"/>
  <c r="BJ1866" i="4"/>
  <c r="BK1852" i="4"/>
  <c r="BK1839" i="4"/>
  <c r="BK1826" i="4"/>
  <c r="BJ1813" i="4"/>
  <c r="BK1799" i="4"/>
  <c r="BK1785" i="4"/>
  <c r="BK1772" i="4"/>
  <c r="BK1759" i="4"/>
  <c r="BK1746" i="4"/>
  <c r="BJ1733" i="4"/>
  <c r="BK1719" i="4"/>
  <c r="BK1706" i="4"/>
  <c r="BK1693" i="4"/>
  <c r="BJ3571" i="4"/>
  <c r="BK3552" i="4"/>
  <c r="BJ3532" i="4"/>
  <c r="BJ3513" i="4"/>
  <c r="BK3494" i="4"/>
  <c r="BJ3477" i="4"/>
  <c r="BJ3457" i="4"/>
  <c r="BJ3437" i="4"/>
  <c r="BJ3419" i="4"/>
  <c r="BJ3399" i="4"/>
  <c r="BJ3381" i="4"/>
  <c r="BK3361" i="4"/>
  <c r="BJ3343" i="4"/>
  <c r="BJ3323" i="4"/>
  <c r="BK3305" i="4"/>
  <c r="BJ3288" i="4"/>
  <c r="BJ3272" i="4"/>
  <c r="BK3252" i="4"/>
  <c r="BJ3233" i="4"/>
  <c r="BK3216" i="4"/>
  <c r="BK3199" i="4"/>
  <c r="BK3179" i="4"/>
  <c r="BJ3162" i="4"/>
  <c r="BJ3144" i="4"/>
  <c r="BJ3128" i="4"/>
  <c r="BJ3109" i="4"/>
  <c r="BJ3091" i="4"/>
  <c r="BK3072" i="4"/>
  <c r="BJ3055" i="4"/>
  <c r="BK3036" i="4"/>
  <c r="BK3019" i="4"/>
  <c r="BJ3000" i="4"/>
  <c r="BK2982" i="4"/>
  <c r="BJ2965" i="4"/>
  <c r="BJ2948" i="4"/>
  <c r="BK2930" i="4"/>
  <c r="BK2912" i="4"/>
  <c r="BJ2897" i="4"/>
  <c r="BK2879" i="4"/>
  <c r="BK2861" i="4"/>
  <c r="BJ2844" i="4"/>
  <c r="BJ2828" i="4"/>
  <c r="BJ2813" i="4"/>
  <c r="BJ2797" i="4"/>
  <c r="BK2780" i="4"/>
  <c r="BK2764" i="4"/>
  <c r="BJ2747" i="4"/>
  <c r="BJ2732" i="4"/>
  <c r="BK2715" i="4"/>
  <c r="BJ2700" i="4"/>
  <c r="BK2683" i="4"/>
  <c r="BK2667" i="4"/>
  <c r="BK2649" i="4"/>
  <c r="BK2634" i="4"/>
  <c r="BK2618" i="4"/>
  <c r="BJ2603" i="4"/>
  <c r="BK2586" i="4"/>
  <c r="BJ2571" i="4"/>
  <c r="BK2555" i="4"/>
  <c r="BJ2539" i="4"/>
  <c r="BK2524" i="4"/>
  <c r="BJ2509" i="4"/>
  <c r="BJ2494" i="4"/>
  <c r="BJ2479" i="4"/>
  <c r="BK2462" i="4"/>
  <c r="BJ2447" i="4"/>
  <c r="BJ2431" i="4"/>
  <c r="BK2416" i="4"/>
  <c r="BJ2402" i="4"/>
  <c r="BJ2386" i="4"/>
  <c r="BJ2370" i="4"/>
  <c r="BJ2354" i="4"/>
  <c r="BK2339" i="4"/>
  <c r="BJ2324" i="4"/>
  <c r="BK2309" i="4"/>
  <c r="BK2295" i="4"/>
  <c r="BJ2281" i="4"/>
  <c r="BJ2265" i="4"/>
  <c r="BK2250" i="4"/>
  <c r="BK2236" i="4"/>
  <c r="BK2221" i="4"/>
  <c r="BJ2207" i="4"/>
  <c r="BJ2193" i="4"/>
  <c r="BK2177" i="4"/>
  <c r="BJ2162" i="4"/>
  <c r="BJ2148" i="4"/>
  <c r="BK2133" i="4"/>
  <c r="BJ2120" i="4"/>
  <c r="BK2105" i="4"/>
  <c r="BJ2092" i="4"/>
  <c r="BK2078" i="4"/>
  <c r="BJ2065" i="4"/>
  <c r="BJ2051" i="4"/>
  <c r="BJ2038" i="4"/>
  <c r="BJ2025" i="4"/>
  <c r="BJ2012" i="4"/>
  <c r="BJ1999" i="4"/>
  <c r="BJ1985" i="4"/>
  <c r="BJ1972" i="4"/>
  <c r="BJ1959" i="4"/>
  <c r="BK1945" i="4"/>
  <c r="BK1931" i="4"/>
  <c r="BJ1918" i="4"/>
  <c r="BJ1905" i="4"/>
  <c r="BJ1892" i="4"/>
  <c r="BJ1879" i="4"/>
  <c r="BK1865" i="4"/>
  <c r="BJ1852" i="4"/>
  <c r="BJ1839" i="4"/>
  <c r="BJ1826" i="4"/>
  <c r="BK1812" i="4"/>
  <c r="BJ1798" i="4"/>
  <c r="BJ1785" i="4"/>
  <c r="BJ1772" i="4"/>
  <c r="BJ1759" i="4"/>
  <c r="BJ1746" i="4"/>
  <c r="BJ1732" i="4"/>
  <c r="BJ1719" i="4"/>
  <c r="BJ1706" i="4"/>
  <c r="BJ1693" i="4"/>
  <c r="BJ1679" i="4"/>
  <c r="BJ1665" i="4"/>
  <c r="BJ1652" i="4"/>
  <c r="BJ1639" i="4"/>
  <c r="BJ1626" i="4"/>
  <c r="BK1612" i="4"/>
  <c r="BJ1599" i="4"/>
  <c r="BJ1586" i="4"/>
  <c r="BJ1573" i="4"/>
  <c r="BJ1560" i="4"/>
  <c r="BJ1546" i="4"/>
  <c r="BJ1532" i="4"/>
  <c r="BJ1519" i="4"/>
  <c r="BJ1506" i="4"/>
  <c r="BJ1493" i="4"/>
  <c r="BJ1479" i="4"/>
  <c r="BJ1466" i="4"/>
  <c r="BJ1453" i="4"/>
  <c r="BJ1440" i="4"/>
  <c r="BJ1427" i="4"/>
  <c r="BK1412" i="4"/>
  <c r="BK1399" i="4"/>
  <c r="BJ1387" i="4"/>
  <c r="BJ1375" i="4"/>
  <c r="BJ1363" i="4"/>
  <c r="BJ1351" i="4"/>
  <c r="BJ1339" i="4"/>
  <c r="BJ1327" i="4"/>
  <c r="BJ1315" i="4"/>
  <c r="BJ1303" i="4"/>
  <c r="BK1291" i="4"/>
  <c r="BJ1280" i="4"/>
  <c r="BK1268" i="4"/>
  <c r="BJ1257" i="4"/>
  <c r="BK1245" i="4"/>
  <c r="BJ1234" i="4"/>
  <c r="BK1222" i="4"/>
  <c r="BJ1211" i="4"/>
  <c r="BK1199" i="4"/>
  <c r="BK1187" i="4"/>
  <c r="BJ1176" i="4"/>
  <c r="BK1164" i="4"/>
  <c r="BJ1153" i="4"/>
  <c r="BK1141" i="4"/>
  <c r="BJ1130" i="4"/>
  <c r="BK1118" i="4"/>
  <c r="BJ1107" i="4"/>
  <c r="BK1095" i="4"/>
  <c r="BJ1084" i="4"/>
  <c r="BK1072" i="4"/>
  <c r="BJ1061" i="4"/>
  <c r="BK1049" i="4"/>
  <c r="BJ1038" i="4"/>
  <c r="BK1026" i="4"/>
  <c r="BJ1015" i="4"/>
  <c r="BK1003" i="4"/>
  <c r="BJ992" i="4"/>
  <c r="BK980" i="4"/>
  <c r="BJ969" i="4"/>
  <c r="BK957" i="4"/>
  <c r="BK945" i="4"/>
  <c r="BJ934" i="4"/>
  <c r="BK922" i="4"/>
  <c r="BJ911" i="4"/>
  <c r="BK899" i="4"/>
  <c r="BJ888" i="4"/>
  <c r="BK876" i="4"/>
  <c r="BJ865" i="4"/>
  <c r="BK853" i="4"/>
  <c r="BJ842" i="4"/>
  <c r="BK830" i="4"/>
  <c r="BJ819" i="4"/>
  <c r="BK807" i="4"/>
  <c r="BJ796" i="4"/>
  <c r="BK784" i="4"/>
  <c r="BJ773" i="4"/>
  <c r="BK761" i="4"/>
  <c r="BJ750" i="4"/>
  <c r="BK738" i="4"/>
  <c r="BJ727" i="4"/>
  <c r="BK715" i="4"/>
  <c r="BK703" i="4"/>
  <c r="BJ692" i="4"/>
  <c r="BK680" i="4"/>
  <c r="BJ669" i="4"/>
  <c r="BK657" i="4"/>
  <c r="BJ646" i="4"/>
  <c r="BK634" i="4"/>
  <c r="BJ623" i="4"/>
  <c r="BK611" i="4"/>
  <c r="BJ600" i="4"/>
  <c r="BK588" i="4"/>
  <c r="BJ577" i="4"/>
  <c r="BK565" i="4"/>
  <c r="BJ554" i="4"/>
  <c r="BK542" i="4"/>
  <c r="BJ531" i="4"/>
  <c r="BK519" i="4"/>
  <c r="BJ508" i="4"/>
  <c r="BK496" i="4"/>
  <c r="BJ485" i="4"/>
  <c r="BK473" i="4"/>
  <c r="BK461" i="4"/>
  <c r="BJ450" i="4"/>
  <c r="BK438" i="4"/>
  <c r="BJ427" i="4"/>
  <c r="BK415" i="4"/>
  <c r="BJ404" i="4"/>
  <c r="BK392" i="4"/>
  <c r="BJ381" i="4"/>
  <c r="BK369" i="4"/>
  <c r="BJ358" i="4"/>
  <c r="BK346" i="4"/>
  <c r="BJ335" i="4"/>
  <c r="BK323" i="4"/>
  <c r="BJ312" i="4"/>
  <c r="BK300" i="4"/>
  <c r="BJ289" i="4"/>
  <c r="BK277" i="4"/>
  <c r="BJ266" i="4"/>
  <c r="BK254" i="4"/>
  <c r="BJ243" i="4"/>
  <c r="BK231" i="4"/>
  <c r="BK219" i="4"/>
  <c r="BJ208" i="4"/>
  <c r="BK196" i="4"/>
  <c r="BJ185" i="4"/>
  <c r="BK173" i="4"/>
  <c r="BJ162" i="4"/>
  <c r="BK150" i="4"/>
  <c r="BJ139" i="4"/>
  <c r="BK127" i="4"/>
  <c r="BJ116" i="4"/>
  <c r="BJ3569" i="4"/>
  <c r="BJ3551" i="4"/>
  <c r="BK3529" i="4"/>
  <c r="BJ3510" i="4"/>
  <c r="BJ3493" i="4"/>
  <c r="BK3472" i="4"/>
  <c r="BK3453" i="4"/>
  <c r="BK3435" i="4"/>
  <c r="BJ3417" i="4"/>
  <c r="BJ3396" i="4"/>
  <c r="BJ3377" i="4"/>
  <c r="BJ3360" i="4"/>
  <c r="BJ3340" i="4"/>
  <c r="BJ3321" i="4"/>
  <c r="BK3303" i="4"/>
  <c r="BK3286" i="4"/>
  <c r="BJ3267" i="4"/>
  <c r="BK3249" i="4"/>
  <c r="BJ3231" i="4"/>
  <c r="BJ3215" i="4"/>
  <c r="BK3196" i="4"/>
  <c r="BK3177" i="4"/>
  <c r="BJ3160" i="4"/>
  <c r="BK3142" i="4"/>
  <c r="BJ3124" i="4"/>
  <c r="BK3106" i="4"/>
  <c r="BK3087" i="4"/>
  <c r="BJ3070" i="4"/>
  <c r="BJ3053" i="4"/>
  <c r="BK3034" i="4"/>
  <c r="BJ3017" i="4"/>
  <c r="BJ2998" i="4"/>
  <c r="BJ2981" i="4"/>
  <c r="BK2963" i="4"/>
  <c r="BK2945" i="4"/>
  <c r="BK2926" i="4"/>
  <c r="BJ2911" i="4"/>
  <c r="BJ2894" i="4"/>
  <c r="BJ2877" i="4"/>
  <c r="BK2859" i="4"/>
  <c r="BK2842" i="4"/>
  <c r="BK2826" i="4"/>
  <c r="BJ2811" i="4"/>
  <c r="BJ2794" i="4"/>
  <c r="BJ2778" i="4"/>
  <c r="BJ2761" i="4"/>
  <c r="BK2745" i="4"/>
  <c r="BJ2729" i="4"/>
  <c r="BJ2714" i="4"/>
  <c r="BJ2698" i="4"/>
  <c r="BJ2681" i="4"/>
  <c r="BK2663" i="4"/>
  <c r="BJ2648" i="4"/>
  <c r="BJ2633" i="4"/>
  <c r="BJ2617" i="4"/>
  <c r="BJ2601" i="4"/>
  <c r="BJ2584" i="4"/>
  <c r="BJ2569" i="4"/>
  <c r="BJ2552" i="4"/>
  <c r="BK2537" i="4"/>
  <c r="BJ2523" i="4"/>
  <c r="BJ2507" i="4"/>
  <c r="BJ2492" i="4"/>
  <c r="BK2475" i="4"/>
  <c r="BK2460" i="4"/>
  <c r="BJ2445" i="4"/>
  <c r="BK2429" i="4"/>
  <c r="BJ2415" i="4"/>
  <c r="BK2399" i="4"/>
  <c r="BJ2383" i="4"/>
  <c r="BJ2368" i="4"/>
  <c r="BK2352" i="4"/>
  <c r="BK2337" i="4"/>
  <c r="BJ2322" i="4"/>
  <c r="BJ2308" i="4"/>
  <c r="BK2293" i="4"/>
  <c r="BK2277" i="4"/>
  <c r="BJ2263" i="4"/>
  <c r="BJ2249" i="4"/>
  <c r="BK2234" i="4"/>
  <c r="BK2219" i="4"/>
  <c r="BK2205" i="4"/>
  <c r="BJ2190" i="4"/>
  <c r="BJ2175" i="4"/>
  <c r="BK2160" i="4"/>
  <c r="BJ2146" i="4"/>
  <c r="BJ2132" i="4"/>
  <c r="BJ2118" i="4"/>
  <c r="BJ2103" i="4"/>
  <c r="BJ2090" i="4"/>
  <c r="BK2076" i="4"/>
  <c r="BJ2063" i="4"/>
  <c r="BK2049" i="4"/>
  <c r="BK2036" i="4"/>
  <c r="BK2023" i="4"/>
  <c r="BK2010" i="4"/>
  <c r="BJ1997" i="4"/>
  <c r="BK1983" i="4"/>
  <c r="BJ1970" i="4"/>
  <c r="BJ1957" i="4"/>
  <c r="BJ1943" i="4"/>
  <c r="BK1929" i="4"/>
  <c r="BK1916" i="4"/>
  <c r="BK1903" i="4"/>
  <c r="BK1890" i="4"/>
  <c r="BJ1877" i="4"/>
  <c r="BK1863" i="4"/>
  <c r="BK1850" i="4"/>
  <c r="BJ1837" i="4"/>
  <c r="BJ1824" i="4"/>
  <c r="BJ1810" i="4"/>
  <c r="BK1796" i="4"/>
  <c r="BK1783" i="4"/>
  <c r="BK1770" i="4"/>
  <c r="BK1757" i="4"/>
  <c r="BJ1744" i="4"/>
  <c r="BK1730" i="4"/>
  <c r="BK1717" i="4"/>
  <c r="BJ1704" i="4"/>
  <c r="BJ1691" i="4"/>
  <c r="BK1676" i="4"/>
  <c r="BK1663" i="4"/>
  <c r="BK1650" i="4"/>
  <c r="BK1637" i="4"/>
  <c r="BJ1624" i="4"/>
  <c r="BK1610" i="4"/>
  <c r="BK1597" i="4"/>
  <c r="BK1584" i="4"/>
  <c r="BJ1571" i="4"/>
  <c r="BK1557" i="4"/>
  <c r="BK1543" i="4"/>
  <c r="BK1530" i="4"/>
  <c r="BK1517" i="4"/>
  <c r="BK1504" i="4"/>
  <c r="BJ1491" i="4"/>
  <c r="BK1477" i="4"/>
  <c r="BK1464" i="4"/>
  <c r="BK1451" i="4"/>
  <c r="BJ1438" i="4"/>
  <c r="BJ1424" i="4"/>
  <c r="BK1410" i="4"/>
  <c r="BJ1398" i="4"/>
  <c r="BK1385" i="4"/>
  <c r="BK1373" i="4"/>
  <c r="BK1361" i="4"/>
  <c r="BK1349" i="4"/>
  <c r="BK1337" i="4"/>
  <c r="BJ1325" i="4"/>
  <c r="BJ1313" i="4"/>
  <c r="BK1301" i="4"/>
  <c r="BJ1290" i="4"/>
  <c r="BK1278" i="4"/>
  <c r="BJ1267" i="4"/>
  <c r="BK1255" i="4"/>
  <c r="BJ1244" i="4"/>
  <c r="BK1232" i="4"/>
  <c r="BK1220" i="4"/>
  <c r="BJ1209" i="4"/>
  <c r="BK1197" i="4"/>
  <c r="BJ1186" i="4"/>
  <c r="BK1174" i="4"/>
  <c r="BJ1163" i="4"/>
  <c r="BK1151" i="4"/>
  <c r="BK3568" i="4"/>
  <c r="BK3550" i="4"/>
  <c r="BJ3528" i="4"/>
  <c r="BJ3509" i="4"/>
  <c r="BK3492" i="4"/>
  <c r="BJ3472" i="4"/>
  <c r="BJ3453" i="4"/>
  <c r="BJ3435" i="4"/>
  <c r="BJ3415" i="4"/>
  <c r="BK3395" i="4"/>
  <c r="BJ3376" i="4"/>
  <c r="BK3359" i="4"/>
  <c r="BJ3339" i="4"/>
  <c r="BK3320" i="4"/>
  <c r="BJ3303" i="4"/>
  <c r="BJ3286" i="4"/>
  <c r="BK3266" i="4"/>
  <c r="BJ3249" i="4"/>
  <c r="BK3230" i="4"/>
  <c r="BK3213" i="4"/>
  <c r="BK3194" i="4"/>
  <c r="BK3176" i="4"/>
  <c r="BJ3158" i="4"/>
  <c r="BJ3142" i="4"/>
  <c r="BK3123" i="4"/>
  <c r="BJ3106" i="4"/>
  <c r="BJ3087" i="4"/>
  <c r="BJ3069" i="4"/>
  <c r="BJ3052" i="4"/>
  <c r="BK3033" i="4"/>
  <c r="BK3014" i="4"/>
  <c r="BK2997" i="4"/>
  <c r="BJ2980" i="4"/>
  <c r="BJ2963" i="4"/>
  <c r="BJ2945" i="4"/>
  <c r="BJ2926" i="4"/>
  <c r="BK2910" i="4"/>
  <c r="BK2893" i="4"/>
  <c r="BJ2876" i="4"/>
  <c r="BJ2858" i="4"/>
  <c r="BK3567" i="4"/>
  <c r="BJ3547" i="4"/>
  <c r="BJ3527" i="4"/>
  <c r="BJ3508" i="4"/>
  <c r="BK3490" i="4"/>
  <c r="BK3469" i="4"/>
  <c r="BJ3451" i="4"/>
  <c r="BK3432" i="4"/>
  <c r="BJ3414" i="4"/>
  <c r="BK3394" i="4"/>
  <c r="BJ3375" i="4"/>
  <c r="BK3356" i="4"/>
  <c r="BJ3337" i="4"/>
  <c r="BJ3319" i="4"/>
  <c r="BJ3301" i="4"/>
  <c r="BJ3284" i="4"/>
  <c r="BJ3264" i="4"/>
  <c r="BJ3248" i="4"/>
  <c r="BK3229" i="4"/>
  <c r="BK3212" i="4"/>
  <c r="BK3193" i="4"/>
  <c r="BK3175" i="4"/>
  <c r="BJ3157" i="4"/>
  <c r="BJ3141" i="4"/>
  <c r="BJ3121" i="4"/>
  <c r="BJ3103" i="4"/>
  <c r="BK3085" i="4"/>
  <c r="BJ3068" i="4"/>
  <c r="BJ3051" i="4"/>
  <c r="BK3032" i="4"/>
  <c r="BK3012" i="4"/>
  <c r="BK2996" i="4"/>
  <c r="BK2978" i="4"/>
  <c r="BJ2960" i="4"/>
  <c r="BJ2942" i="4"/>
  <c r="BJ2925" i="4"/>
  <c r="BK2909" i="4"/>
  <c r="BJ2892" i="4"/>
  <c r="BJ2875" i="4"/>
  <c r="BJ2857" i="4"/>
  <c r="BJ2841" i="4"/>
  <c r="BJ2825" i="4"/>
  <c r="BJ2809" i="4"/>
  <c r="BK2791" i="4"/>
  <c r="BJ2776" i="4"/>
  <c r="BJ2759" i="4"/>
  <c r="BK2743" i="4"/>
  <c r="BK2727" i="4"/>
  <c r="BJ2712" i="4"/>
  <c r="BK2694" i="4"/>
  <c r="BJ2679" i="4"/>
  <c r="BK2661" i="4"/>
  <c r="BK2646" i="4"/>
  <c r="BK2630" i="4"/>
  <c r="BJ2615" i="4"/>
  <c r="BJ2599" i="4"/>
  <c r="BJ2582" i="4"/>
  <c r="BJ2566" i="4"/>
  <c r="BK2550" i="4"/>
  <c r="BJ2536" i="4"/>
  <c r="BK2520" i="4"/>
  <c r="BJ2505" i="4"/>
  <c r="BK2489" i="4"/>
  <c r="BK2473" i="4"/>
  <c r="BK2458" i="4"/>
  <c r="BK2442" i="4"/>
  <c r="BJ2428" i="4"/>
  <c r="BK2413" i="4"/>
  <c r="BJ2396" i="4"/>
  <c r="BJ2381" i="4"/>
  <c r="BK2365" i="4"/>
  <c r="BJ2351" i="4"/>
  <c r="BK2335" i="4"/>
  <c r="BK2320" i="4"/>
  <c r="BJ2306" i="4"/>
  <c r="BJ2291" i="4"/>
  <c r="BK2275" i="4"/>
  <c r="BK2261" i="4"/>
  <c r="BK2247" i="4"/>
  <c r="BK2232" i="4"/>
  <c r="BJ2218" i="4"/>
  <c r="BJ2203" i="4"/>
  <c r="BK2187" i="4"/>
  <c r="BJ2173" i="4"/>
  <c r="BJ2159" i="4"/>
  <c r="BK2144" i="4"/>
  <c r="BJ2130" i="4"/>
  <c r="BJ2115" i="4"/>
  <c r="BJ2101" i="4"/>
  <c r="BJ2088" i="4"/>
  <c r="BK2074" i="4"/>
  <c r="BJ2061" i="4"/>
  <c r="BJ2048" i="4"/>
  <c r="BJ2035" i="4"/>
  <c r="BJ2022" i="4"/>
  <c r="BK2008" i="4"/>
  <c r="BJ1995" i="4"/>
  <c r="BK1981" i="4"/>
  <c r="BJ1968" i="4"/>
  <c r="BJ1955" i="4"/>
  <c r="BJ1941" i="4"/>
  <c r="BJ1928" i="4"/>
  <c r="BJ1915" i="4"/>
  <c r="BJ1902" i="4"/>
  <c r="BJ1889" i="4"/>
  <c r="BJ1875" i="4"/>
  <c r="BJ1862" i="4"/>
  <c r="BK1848" i="4"/>
  <c r="BJ1835" i="4"/>
  <c r="BK1821" i="4"/>
  <c r="BJ1808" i="4"/>
  <c r="BJ1795" i="4"/>
  <c r="BJ1782" i="4"/>
  <c r="BJ1769" i="4"/>
  <c r="BK1755" i="4"/>
  <c r="BJ1742" i="4"/>
  <c r="BJ1729" i="4"/>
  <c r="BJ3584" i="4"/>
  <c r="BK3565" i="4"/>
  <c r="BK3543" i="4"/>
  <c r="BJ3526" i="4"/>
  <c r="BJ3507" i="4"/>
  <c r="BJ3487" i="4"/>
  <c r="BK3468" i="4"/>
  <c r="BJ3450" i="4"/>
  <c r="BJ3431" i="4"/>
  <c r="BJ3410" i="4"/>
  <c r="BK3393" i="4"/>
  <c r="BJ3374" i="4"/>
  <c r="BJ3355" i="4"/>
  <c r="BK3334" i="4"/>
  <c r="BK3317" i="4"/>
  <c r="BJ3300" i="4"/>
  <c r="BJ3282" i="4"/>
  <c r="BJ3263" i="4"/>
  <c r="BJ3245" i="4"/>
  <c r="BK3228" i="4"/>
  <c r="BJ3209" i="4"/>
  <c r="BK3190" i="4"/>
  <c r="BJ3174" i="4"/>
  <c r="BJ3156" i="4"/>
  <c r="BK3139" i="4"/>
  <c r="BJ3120" i="4"/>
  <c r="BJ3102" i="4"/>
  <c r="BK3084" i="4"/>
  <c r="BJ3067" i="4"/>
  <c r="BK3047" i="4"/>
  <c r="BK3030" i="4"/>
  <c r="BK3011" i="4"/>
  <c r="BK2995" i="4"/>
  <c r="BJ2977" i="4"/>
  <c r="BJ2959" i="4"/>
  <c r="BK2940" i="4"/>
  <c r="BJ2924" i="4"/>
  <c r="BK2908" i="4"/>
  <c r="BK2889" i="4"/>
  <c r="BJ2872" i="4"/>
  <c r="BK2855" i="4"/>
  <c r="BJ2839" i="4"/>
  <c r="BK2823" i="4"/>
  <c r="BK2805" i="4"/>
  <c r="BJ2790" i="4"/>
  <c r="BJ2775" i="4"/>
  <c r="BJ2758" i="4"/>
  <c r="BK2742" i="4"/>
  <c r="BK2726" i="4"/>
  <c r="BJ2710" i="4"/>
  <c r="BK2693" i="4"/>
  <c r="BJ2677" i="4"/>
  <c r="BK2660" i="4"/>
  <c r="BK2645" i="4"/>
  <c r="BK2629" i="4"/>
  <c r="BK2613" i="4"/>
  <c r="BJ2596" i="4"/>
  <c r="BJ2580" i="4"/>
  <c r="BJ2564" i="4"/>
  <c r="BK2549" i="4"/>
  <c r="BJ2535" i="4"/>
  <c r="BJ2519" i="4"/>
  <c r="BJ2503" i="4"/>
  <c r="BJ2487" i="4"/>
  <c r="BK2472" i="4"/>
  <c r="BJ2457" i="4"/>
  <c r="BK2441" i="4"/>
  <c r="BJ2427" i="4"/>
  <c r="BJ2412" i="4"/>
  <c r="BJ2395" i="4"/>
  <c r="BJ2380" i="4"/>
  <c r="BK2364" i="4"/>
  <c r="BK2349" i="4"/>
  <c r="BK2333" i="4"/>
  <c r="BK2319" i="4"/>
  <c r="BK2304" i="4"/>
  <c r="BK2288" i="4"/>
  <c r="BK2274" i="4"/>
  <c r="BK2260" i="4"/>
  <c r="BJ2246" i="4"/>
  <c r="BJ2231" i="4"/>
  <c r="BJ2216" i="4"/>
  <c r="BJ2201" i="4"/>
  <c r="BK2186" i="4"/>
  <c r="BJ2172" i="4"/>
  <c r="BK2157" i="4"/>
  <c r="BK2143" i="4"/>
  <c r="BJ2128" i="4"/>
  <c r="BJ2114" i="4"/>
  <c r="BJ2100" i="4"/>
  <c r="BJ2087" i="4"/>
  <c r="BJ2073" i="4"/>
  <c r="BJ2060" i="4"/>
  <c r="BJ2047" i="4"/>
  <c r="BJ2034" i="4"/>
  <c r="BJ2021" i="4"/>
  <c r="BJ2007" i="4"/>
  <c r="BK1993" i="4"/>
  <c r="BJ1980" i="4"/>
  <c r="BJ1967" i="4"/>
  <c r="BK1953" i="4"/>
  <c r="BJ1940" i="4"/>
  <c r="BJ1927" i="4"/>
  <c r="BJ1914" i="4"/>
  <c r="BJ1901" i="4"/>
  <c r="BK1887" i="4"/>
  <c r="BJ1874" i="4"/>
  <c r="BK1860" i="4"/>
  <c r="BJ1847" i="4"/>
  <c r="BJ1834" i="4"/>
  <c r="BJ1820" i="4"/>
  <c r="BJ1807" i="4"/>
  <c r="BJ1794" i="4"/>
  <c r="BJ1781" i="4"/>
  <c r="BJ1768" i="4"/>
  <c r="BJ1754" i="4"/>
  <c r="BJ1741" i="4"/>
  <c r="BK1727" i="4"/>
  <c r="BJ1714" i="4"/>
  <c r="BK1700" i="4"/>
  <c r="BJ1687" i="4"/>
  <c r="BJ3570" i="4"/>
  <c r="BJ3540" i="4"/>
  <c r="BK3508" i="4"/>
  <c r="BK3481" i="4"/>
  <c r="BJ3449" i="4"/>
  <c r="BJ3422" i="4"/>
  <c r="BK3389" i="4"/>
  <c r="BJ3361" i="4"/>
  <c r="BJ3332" i="4"/>
  <c r="BK3301" i="4"/>
  <c r="BK3275" i="4"/>
  <c r="BK3244" i="4"/>
  <c r="BJ3219" i="4"/>
  <c r="BJ3189" i="4"/>
  <c r="BJ3161" i="4"/>
  <c r="BJ3133" i="4"/>
  <c r="BJ3105" i="4"/>
  <c r="BJ3079" i="4"/>
  <c r="BJ3047" i="4"/>
  <c r="BJ3023" i="4"/>
  <c r="BJ2993" i="4"/>
  <c r="BK2964" i="4"/>
  <c r="BJ2937" i="4"/>
  <c r="BJ2910" i="4"/>
  <c r="BJ2885" i="4"/>
  <c r="BJ2855" i="4"/>
  <c r="BJ2833" i="4"/>
  <c r="BK2806" i="4"/>
  <c r="BJ2786" i="4"/>
  <c r="BJ2760" i="4"/>
  <c r="BJ2738" i="4"/>
  <c r="BJ2713" i="4"/>
  <c r="BJ2690" i="4"/>
  <c r="BK2666" i="4"/>
  <c r="BK2643" i="4"/>
  <c r="BJ2618" i="4"/>
  <c r="BJ2594" i="4"/>
  <c r="BK2573" i="4"/>
  <c r="BK2548" i="4"/>
  <c r="BJ2527" i="4"/>
  <c r="BK2502" i="4"/>
  <c r="BK2482" i="4"/>
  <c r="BJ2458" i="4"/>
  <c r="BJ2437" i="4"/>
  <c r="BJ2414" i="4"/>
  <c r="BK2391" i="4"/>
  <c r="BK2366" i="4"/>
  <c r="BK2346" i="4"/>
  <c r="BK2322" i="4"/>
  <c r="BK2300" i="4"/>
  <c r="BJ2279" i="4"/>
  <c r="BJ2259" i="4"/>
  <c r="BK2238" i="4"/>
  <c r="BJ2215" i="4"/>
  <c r="BK2195" i="4"/>
  <c r="BK2171" i="4"/>
  <c r="BJ2152" i="4"/>
  <c r="BK2129" i="4"/>
  <c r="BJ2110" i="4"/>
  <c r="BK2088" i="4"/>
  <c r="BJ2070" i="4"/>
  <c r="BJ2049" i="4"/>
  <c r="BK2030" i="4"/>
  <c r="BJ2011" i="4"/>
  <c r="BJ1991" i="4"/>
  <c r="BK1971" i="4"/>
  <c r="BK1951" i="4"/>
  <c r="BJ1935" i="4"/>
  <c r="BJ1913" i="4"/>
  <c r="BK1894" i="4"/>
  <c r="BJ1873" i="4"/>
  <c r="BJ1856" i="4"/>
  <c r="BK1834" i="4"/>
  <c r="BK1816" i="4"/>
  <c r="BK1795" i="4"/>
  <c r="BK1777" i="4"/>
  <c r="BJ1757" i="4"/>
  <c r="BK1737" i="4"/>
  <c r="BJ1718" i="4"/>
  <c r="BJ1699" i="4"/>
  <c r="BJ1683" i="4"/>
  <c r="BK1664" i="4"/>
  <c r="BJ1649" i="4"/>
  <c r="BJ1633" i="4"/>
  <c r="BJ1617" i="4"/>
  <c r="BK1601" i="4"/>
  <c r="BJ1584" i="4"/>
  <c r="BJ1567" i="4"/>
  <c r="BJ1552" i="4"/>
  <c r="BJ1537" i="4"/>
  <c r="BK1518" i="4"/>
  <c r="BK1502" i="4"/>
  <c r="BJ1487" i="4"/>
  <c r="BJ1471" i="4"/>
  <c r="BJ1455" i="4"/>
  <c r="BJ1437" i="4"/>
  <c r="BJ1421" i="4"/>
  <c r="BJ1406" i="4"/>
  <c r="BK1390" i="4"/>
  <c r="BK1374" i="4"/>
  <c r="BJ1360" i="4"/>
  <c r="BK1345" i="4"/>
  <c r="BJ1331" i="4"/>
  <c r="BJ1317" i="4"/>
  <c r="BJ1301" i="4"/>
  <c r="BK1287" i="4"/>
  <c r="BK1273" i="4"/>
  <c r="BJ1260" i="4"/>
  <c r="BJ1245" i="4"/>
  <c r="BK1230" i="4"/>
  <c r="BJ1217" i="4"/>
  <c r="BK1203" i="4"/>
  <c r="BJ1190" i="4"/>
  <c r="BJ1174" i="4"/>
  <c r="BK1160" i="4"/>
  <c r="BJ1147" i="4"/>
  <c r="BJ1134" i="4"/>
  <c r="BK1120" i="4"/>
  <c r="BJ1106" i="4"/>
  <c r="BJ1093" i="4"/>
  <c r="BJ1080" i="4"/>
  <c r="BK1066" i="4"/>
  <c r="BK1053" i="4"/>
  <c r="BK1040" i="4"/>
  <c r="BJ1027" i="4"/>
  <c r="BJ1014" i="4"/>
  <c r="BK1001" i="4"/>
  <c r="BK988" i="4"/>
  <c r="BJ976" i="4"/>
  <c r="BK963" i="4"/>
  <c r="BJ951" i="4"/>
  <c r="BK938" i="4"/>
  <c r="BJ926" i="4"/>
  <c r="BK913" i="4"/>
  <c r="BJ900" i="4"/>
  <c r="BJ887" i="4"/>
  <c r="BK874" i="4"/>
  <c r="BJ862" i="4"/>
  <c r="BK849" i="4"/>
  <c r="BJ837" i="4"/>
  <c r="BJ824" i="4"/>
  <c r="BK811" i="4"/>
  <c r="BJ799" i="4"/>
  <c r="BK786" i="4"/>
  <c r="BJ774" i="4"/>
  <c r="BJ762" i="4"/>
  <c r="BK749" i="4"/>
  <c r="BK737" i="4"/>
  <c r="BJ725" i="4"/>
  <c r="BJ713" i="4"/>
  <c r="BJ701" i="4"/>
  <c r="BJ689" i="4"/>
  <c r="BJ677" i="4"/>
  <c r="BJ665" i="4"/>
  <c r="BJ653" i="4"/>
  <c r="BJ641" i="4"/>
  <c r="BJ629" i="4"/>
  <c r="BJ617" i="4"/>
  <c r="BK604" i="4"/>
  <c r="BK592" i="4"/>
  <c r="BK580" i="4"/>
  <c r="BK568" i="4"/>
  <c r="BK556" i="4"/>
  <c r="BK544" i="4"/>
  <c r="BK532" i="4"/>
  <c r="BK520" i="4"/>
  <c r="BK508" i="4"/>
  <c r="BJ496" i="4"/>
  <c r="BK483" i="4"/>
  <c r="BK471" i="4"/>
  <c r="BK459" i="4"/>
  <c r="BK447" i="4"/>
  <c r="BK435" i="4"/>
  <c r="BK423" i="4"/>
  <c r="BK411" i="4"/>
  <c r="BJ3567" i="4"/>
  <c r="BK3538" i="4"/>
  <c r="BJ3506" i="4"/>
  <c r="BJ3480" i="4"/>
  <c r="BJ3447" i="4"/>
  <c r="BJ3418" i="4"/>
  <c r="BK3387" i="4"/>
  <c r="BJ3356" i="4"/>
  <c r="BK3329" i="4"/>
  <c r="BJ3298" i="4"/>
  <c r="BJ3274" i="4"/>
  <c r="BK3242" i="4"/>
  <c r="BK3215" i="4"/>
  <c r="BK3187" i="4"/>
  <c r="BK3156" i="4"/>
  <c r="BJ3131" i="4"/>
  <c r="BJ3100" i="4"/>
  <c r="BJ3076" i="4"/>
  <c r="BK3044" i="4"/>
  <c r="BK3018" i="4"/>
  <c r="BJ2989" i="4"/>
  <c r="BK2959" i="4"/>
  <c r="BK2935" i="4"/>
  <c r="BJ2907" i="4"/>
  <c r="BJ2882" i="4"/>
  <c r="BK2853" i="4"/>
  <c r="BK2827" i="4"/>
  <c r="BK2803" i="4"/>
  <c r="BK2782" i="4"/>
  <c r="BK2756" i="4"/>
  <c r="BJ2735" i="4"/>
  <c r="BJ2709" i="4"/>
  <c r="BJ2688" i="4"/>
  <c r="BJ2661" i="4"/>
  <c r="BJ2640" i="4"/>
  <c r="BK2615" i="4"/>
  <c r="BJ2592" i="4"/>
  <c r="BK2567" i="4"/>
  <c r="BJ2547" i="4"/>
  <c r="BK2523" i="4"/>
  <c r="BK2500" i="4"/>
  <c r="BJ2478" i="4"/>
  <c r="BK2454" i="4"/>
  <c r="BK2434" i="4"/>
  <c r="BJ2409" i="4"/>
  <c r="BJ2390" i="4"/>
  <c r="BJ2364" i="4"/>
  <c r="BJ2343" i="4"/>
  <c r="BJ2320" i="4"/>
  <c r="BJ2299" i="4"/>
  <c r="BJ2276" i="4"/>
  <c r="BK2256" i="4"/>
  <c r="BK2233" i="4"/>
  <c r="BK2212" i="4"/>
  <c r="BK2190" i="4"/>
  <c r="BJ2170" i="4"/>
  <c r="BJ2147" i="4"/>
  <c r="BJ2126" i="4"/>
  <c r="BJ2108" i="4"/>
  <c r="BK2085" i="4"/>
  <c r="BK2068" i="4"/>
  <c r="BK2046" i="4"/>
  <c r="BJ2028" i="4"/>
  <c r="BJ2008" i="4"/>
  <c r="BK1989" i="4"/>
  <c r="BJ1969" i="4"/>
  <c r="BJ1950" i="4"/>
  <c r="BJ1929" i="4"/>
  <c r="BK1911" i="4"/>
  <c r="BJ1891" i="4"/>
  <c r="BJ1871" i="4"/>
  <c r="BK1851" i="4"/>
  <c r="BJ1832" i="4"/>
  <c r="BJ1815" i="4"/>
  <c r="BJ1793" i="4"/>
  <c r="BJ1775" i="4"/>
  <c r="BK1753" i="4"/>
  <c r="BJ1736" i="4"/>
  <c r="BK1715" i="4"/>
  <c r="BK1697" i="4"/>
  <c r="BJ1680" i="4"/>
  <c r="BK1662" i="4"/>
  <c r="BK1647" i="4"/>
  <c r="BJ1631" i="4"/>
  <c r="BK1615" i="4"/>
  <c r="BJ1598" i="4"/>
  <c r="BJ1582" i="4"/>
  <c r="BK1565" i="4"/>
  <c r="BK1550" i="4"/>
  <c r="BJ1533" i="4"/>
  <c r="BK1516" i="4"/>
  <c r="BK1500" i="4"/>
  <c r="BJ1485" i="4"/>
  <c r="BJ1469" i="4"/>
  <c r="BJ1452" i="4"/>
  <c r="BK1434" i="4"/>
  <c r="BK1419" i="4"/>
  <c r="BJ1404" i="4"/>
  <c r="BK1387" i="4"/>
  <c r="BK1372" i="4"/>
  <c r="BJ1358" i="4"/>
  <c r="BJ1344" i="4"/>
  <c r="BK1329" i="4"/>
  <c r="BK1313" i="4"/>
  <c r="BK1299" i="4"/>
  <c r="BK1285" i="4"/>
  <c r="BJ1272" i="4"/>
  <c r="BK1257" i="4"/>
  <c r="BK1242" i="4"/>
  <c r="BJ1229" i="4"/>
  <c r="BK1215" i="4"/>
  <c r="BJ1202" i="4"/>
  <c r="BK1186" i="4"/>
  <c r="BK1172" i="4"/>
  <c r="BJ1159" i="4"/>
  <c r="BK1145" i="4"/>
  <c r="BJ1132" i="4"/>
  <c r="BK1117" i="4"/>
  <c r="BK1104" i="4"/>
  <c r="BK1091" i="4"/>
  <c r="BK1078" i="4"/>
  <c r="BJ1065" i="4"/>
  <c r="BJ1052" i="4"/>
  <c r="BK1037" i="4"/>
  <c r="BJ1025" i="4"/>
  <c r="BK1012" i="4"/>
  <c r="BK999" i="4"/>
  <c r="BJ987" i="4"/>
  <c r="BK974" i="4"/>
  <c r="BJ962" i="4"/>
  <c r="BK949" i="4"/>
  <c r="BJ937" i="4"/>
  <c r="BK924" i="4"/>
  <c r="BK910" i="4"/>
  <c r="BJ898" i="4"/>
  <c r="BK885" i="4"/>
  <c r="BJ873" i="4"/>
  <c r="BK860" i="4"/>
  <c r="BJ848" i="4"/>
  <c r="BJ835" i="4"/>
  <c r="BK822" i="4"/>
  <c r="BJ810" i="4"/>
  <c r="BK797" i="4"/>
  <c r="BJ784" i="4"/>
  <c r="BJ772" i="4"/>
  <c r="BJ760" i="4"/>
  <c r="BK747" i="4"/>
  <c r="BK735" i="4"/>
  <c r="BK723" i="4"/>
  <c r="BK711" i="4"/>
  <c r="BK699" i="4"/>
  <c r="BK687" i="4"/>
  <c r="BK675" i="4"/>
  <c r="BK663" i="4"/>
  <c r="BK3562" i="4"/>
  <c r="BJ3531" i="4"/>
  <c r="BJ3503" i="4"/>
  <c r="BJ3471" i="4"/>
  <c r="BK3443" i="4"/>
  <c r="BK3409" i="4"/>
  <c r="BJ3385" i="4"/>
  <c r="BJ3351" i="4"/>
  <c r="BK3322" i="4"/>
  <c r="BJ3296" i="4"/>
  <c r="BJ3265" i="4"/>
  <c r="BK3240" i="4"/>
  <c r="BK3208" i="4"/>
  <c r="BJ3185" i="4"/>
  <c r="BK3154" i="4"/>
  <c r="BK3127" i="4"/>
  <c r="BJ3098" i="4"/>
  <c r="BK3068" i="4"/>
  <c r="BJ3043" i="4"/>
  <c r="BJ3011" i="4"/>
  <c r="BJ2987" i="4"/>
  <c r="BJ2955" i="4"/>
  <c r="BJ2929" i="4"/>
  <c r="BK2902" i="4"/>
  <c r="BK2875" i="4"/>
  <c r="BJ2852" i="4"/>
  <c r="BK2825" i="4"/>
  <c r="BJ2802" i="4"/>
  <c r="BK2777" i="4"/>
  <c r="BJ2755" i="4"/>
  <c r="BK2729" i="4"/>
  <c r="BJ2706" i="4"/>
  <c r="BJ2683" i="4"/>
  <c r="BJ2659" i="4"/>
  <c r="BJ2637" i="4"/>
  <c r="BJ2611" i="4"/>
  <c r="BJ2590" i="4"/>
  <c r="BK2563" i="4"/>
  <c r="BJ2545" i="4"/>
  <c r="BJ2520" i="4"/>
  <c r="BJ2498" i="4"/>
  <c r="BJ2474" i="4"/>
  <c r="BJ2453" i="4"/>
  <c r="BJ2429" i="4"/>
  <c r="BK2406" i="4"/>
  <c r="BJ2384" i="4"/>
  <c r="BJ2362" i="4"/>
  <c r="BJ2339" i="4"/>
  <c r="BJ2317" i="4"/>
  <c r="BK2297" i="4"/>
  <c r="BK2273" i="4"/>
  <c r="BK2253" i="4"/>
  <c r="BK2230" i="4"/>
  <c r="BK2210" i="4"/>
  <c r="BJ2187" i="4"/>
  <c r="BJ2168" i="4"/>
  <c r="BJ2145" i="4"/>
  <c r="BJ2124" i="4"/>
  <c r="BK2102" i="4"/>
  <c r="BK2083" i="4"/>
  <c r="BK2063" i="4"/>
  <c r="BJ2045" i="4"/>
  <c r="BK2024" i="4"/>
  <c r="BJ2005" i="4"/>
  <c r="BJ1988" i="4"/>
  <c r="BJ1966" i="4"/>
  <c r="BK1948" i="4"/>
  <c r="BK1926" i="4"/>
  <c r="BJ1909" i="4"/>
  <c r="BJ1888" i="4"/>
  <c r="BK1869" i="4"/>
  <c r="BJ1849" i="4"/>
  <c r="BJ1830" i="4"/>
  <c r="BJ1809" i="4"/>
  <c r="BK1791" i="4"/>
  <c r="BJ1771" i="4"/>
  <c r="BK1751" i="4"/>
  <c r="BK1731" i="4"/>
  <c r="BJ1713" i="4"/>
  <c r="BJ1696" i="4"/>
  <c r="BJ1676" i="4"/>
  <c r="BJ1661" i="4"/>
  <c r="BK1645" i="4"/>
  <c r="BJ1629" i="4"/>
  <c r="BJ1612" i="4"/>
  <c r="BJ1596" i="4"/>
  <c r="BK1579" i="4"/>
  <c r="BJ1564" i="4"/>
  <c r="BJ1549" i="4"/>
  <c r="BJ1530" i="4"/>
  <c r="BJ1515" i="4"/>
  <c r="BJ1499" i="4"/>
  <c r="BJ1483" i="4"/>
  <c r="BK1465" i="4"/>
  <c r="BK1449" i="4"/>
  <c r="BJ1433" i="4"/>
  <c r="BJ1418" i="4"/>
  <c r="BJ1402" i="4"/>
  <c r="BJ1385" i="4"/>
  <c r="BJ1371" i="4"/>
  <c r="BK1356" i="4"/>
  <c r="BJ1342" i="4"/>
  <c r="BK1326" i="4"/>
  <c r="BK1311" i="4"/>
  <c r="BK1297" i="4"/>
  <c r="BJ1284" i="4"/>
  <c r="BK1270" i="4"/>
  <c r="BJ1255" i="4"/>
  <c r="BJ1241" i="4"/>
  <c r="BK1227" i="4"/>
  <c r="BJ1214" i="4"/>
  <c r="BK1198" i="4"/>
  <c r="BK1184" i="4"/>
  <c r="BJ1171" i="4"/>
  <c r="BK1157" i="4"/>
  <c r="BK1143" i="4"/>
  <c r="BJ1129" i="4"/>
  <c r="BJ1116" i="4"/>
  <c r="BJ1103" i="4"/>
  <c r="BJ1090" i="4"/>
  <c r="BK1076" i="4"/>
  <c r="BK1063" i="4"/>
  <c r="BJ1049" i="4"/>
  <c r="BJ1036" i="4"/>
  <c r="BK1023" i="4"/>
  <c r="BK1010" i="4"/>
  <c r="BJ998" i="4"/>
  <c r="BK985" i="4"/>
  <c r="BJ973" i="4"/>
  <c r="BK960" i="4"/>
  <c r="BJ948" i="4"/>
  <c r="BK934" i="4"/>
  <c r="BK921" i="4"/>
  <c r="BJ909" i="4"/>
  <c r="BK896" i="4"/>
  <c r="BJ884" i="4"/>
  <c r="BK871" i="4"/>
  <c r="BJ859" i="4"/>
  <c r="BJ846" i="4"/>
  <c r="BK833" i="4"/>
  <c r="BJ821" i="4"/>
  <c r="BJ808" i="4"/>
  <c r="BJ795" i="4"/>
  <c r="BK782" i="4"/>
  <c r="BK770" i="4"/>
  <c r="BJ758" i="4"/>
  <c r="BJ746" i="4"/>
  <c r="BJ734" i="4"/>
  <c r="BJ722" i="4"/>
  <c r="BJ710" i="4"/>
  <c r="BJ698" i="4"/>
  <c r="BJ686" i="4"/>
  <c r="BJ674" i="4"/>
  <c r="BJ3562" i="4"/>
  <c r="BK3530" i="4"/>
  <c r="BK3502" i="4"/>
  <c r="BJ3469" i="4"/>
  <c r="BJ3443" i="4"/>
  <c r="BJ3409" i="4"/>
  <c r="BK3384" i="4"/>
  <c r="BK3350" i="4"/>
  <c r="BK3321" i="4"/>
  <c r="BK3293" i="4"/>
  <c r="BK3263" i="4"/>
  <c r="BK3239" i="4"/>
  <c r="BJ3208" i="4"/>
  <c r="BK3184" i="4"/>
  <c r="BK3153" i="4"/>
  <c r="BJ3125" i="4"/>
  <c r="BJ3097" i="4"/>
  <c r="BK3067" i="4"/>
  <c r="BJ3042" i="4"/>
  <c r="BK3010" i="4"/>
  <c r="BK2985" i="4"/>
  <c r="BK2954" i="4"/>
  <c r="BJ2927" i="4"/>
  <c r="BJ2902" i="4"/>
  <c r="BJ2874" i="4"/>
  <c r="BJ2850" i="4"/>
  <c r="BJ2824" i="4"/>
  <c r="BK2801" i="4"/>
  <c r="BK2776" i="4"/>
  <c r="BK2754" i="4"/>
  <c r="BK2728" i="4"/>
  <c r="BK2705" i="4"/>
  <c r="BJ2682" i="4"/>
  <c r="BK2658" i="4"/>
  <c r="BJ2634" i="4"/>
  <c r="BK2610" i="4"/>
  <c r="BK2589" i="4"/>
  <c r="BJ2563" i="4"/>
  <c r="BK2542" i="4"/>
  <c r="BK2518" i="4"/>
  <c r="BK2497" i="4"/>
  <c r="BJ2473" i="4"/>
  <c r="BK2452" i="4"/>
  <c r="BK2428" i="4"/>
  <c r="BJ2406" i="4"/>
  <c r="BK2382" i="4"/>
  <c r="BK2361" i="4"/>
  <c r="BJ2338" i="4"/>
  <c r="BK2316" i="4"/>
  <c r="BJ2295" i="4"/>
  <c r="BJ2273" i="4"/>
  <c r="BJ2253" i="4"/>
  <c r="BK2229" i="4"/>
  <c r="BJ2210" i="4"/>
  <c r="BK2185" i="4"/>
  <c r="BK2167" i="4"/>
  <c r="BJ2144" i="4"/>
  <c r="BK2123" i="4"/>
  <c r="BJ2102" i="4"/>
  <c r="BJ2083" i="4"/>
  <c r="BJ2062" i="4"/>
  <c r="BK2044" i="4"/>
  <c r="BJ2024" i="4"/>
  <c r="BJ2004" i="4"/>
  <c r="BK1984" i="4"/>
  <c r="BJ1965" i="4"/>
  <c r="BJ1948" i="4"/>
  <c r="BJ1926" i="4"/>
  <c r="BJ1908" i="4"/>
  <c r="BJ1887" i="4"/>
  <c r="BJ1869" i="4"/>
  <c r="BJ1848" i="4"/>
  <c r="BK1829" i="4"/>
  <c r="BK1808" i="4"/>
  <c r="BJ1791" i="4"/>
  <c r="BJ1770" i="4"/>
  <c r="BJ1751" i="4"/>
  <c r="BJ1731" i="4"/>
  <c r="BJ1712" i="4"/>
  <c r="BK1695" i="4"/>
  <c r="BK1675" i="4"/>
  <c r="BK1660" i="4"/>
  <c r="BJ1645" i="4"/>
  <c r="BK1628" i="4"/>
  <c r="BJ1611" i="4"/>
  <c r="BJ1595" i="4"/>
  <c r="BJ1579" i="4"/>
  <c r="BK1563" i="4"/>
  <c r="BK1546" i="4"/>
  <c r="BK1529" i="4"/>
  <c r="BJ1514" i="4"/>
  <c r="BJ1498" i="4"/>
  <c r="BK1482" i="4"/>
  <c r="BJ1465" i="4"/>
  <c r="BJ1449" i="4"/>
  <c r="BK1432" i="4"/>
  <c r="BK1417" i="4"/>
  <c r="BJ1400" i="4"/>
  <c r="BK1384" i="4"/>
  <c r="BK1370" i="4"/>
  <c r="BJ1356" i="4"/>
  <c r="BK1341" i="4"/>
  <c r="BJ1326" i="4"/>
  <c r="BJ1311" i="4"/>
  <c r="BJ1297" i="4"/>
  <c r="BK1283" i="4"/>
  <c r="BJ1269" i="4"/>
  <c r="BK1254" i="4"/>
  <c r="BK1240" i="4"/>
  <c r="BJ1227" i="4"/>
  <c r="BK1213" i="4"/>
  <c r="BJ1198" i="4"/>
  <c r="BJ1184" i="4"/>
  <c r="BK1170" i="4"/>
  <c r="BJ1157" i="4"/>
  <c r="BJ1142" i="4"/>
  <c r="BK1128" i="4"/>
  <c r="BK1115" i="4"/>
  <c r="BK1102" i="4"/>
  <c r="BK1089" i="4"/>
  <c r="BJ1076" i="4"/>
  <c r="BJ1063" i="4"/>
  <c r="BK1048" i="4"/>
  <c r="BK1035" i="4"/>
  <c r="BK1022" i="4"/>
  <c r="BJ1010" i="4"/>
  <c r="BK997" i="4"/>
  <c r="BJ985" i="4"/>
  <c r="BK972" i="4"/>
  <c r="BJ960" i="4"/>
  <c r="BK947" i="4"/>
  <c r="BK933" i="4"/>
  <c r="BJ921" i="4"/>
  <c r="BK908" i="4"/>
  <c r="BJ896" i="4"/>
  <c r="BK883" i="4"/>
  <c r="BJ871" i="4"/>
  <c r="BK858" i="4"/>
  <c r="BK845" i="4"/>
  <c r="BJ833" i="4"/>
  <c r="BK820" i="4"/>
  <c r="BJ807" i="4"/>
  <c r="BJ3559" i="4"/>
  <c r="BK3526" i="4"/>
  <c r="BJ3498" i="4"/>
  <c r="BK3466" i="4"/>
  <c r="BJ3440" i="4"/>
  <c r="BJ3408" i="4"/>
  <c r="BJ3378" i="4"/>
  <c r="BJ3349" i="4"/>
  <c r="BJ3318" i="4"/>
  <c r="BJ3292" i="4"/>
  <c r="BJ3262" i="4"/>
  <c r="BJ3238" i="4"/>
  <c r="BK3205" i="4"/>
  <c r="BK3178" i="4"/>
  <c r="BK3151" i="4"/>
  <c r="BK3120" i="4"/>
  <c r="BJ3096" i="4"/>
  <c r="BJ3066" i="4"/>
  <c r="BJ3040" i="4"/>
  <c r="BK3009" i="4"/>
  <c r="BK2981" i="4"/>
  <c r="BJ2953" i="4"/>
  <c r="BK2924" i="4"/>
  <c r="BJ2900" i="4"/>
  <c r="BJ2871" i="4"/>
  <c r="BJ2848" i="4"/>
  <c r="BK2821" i="4"/>
  <c r="BK2800" i="4"/>
  <c r="BJ2773" i="4"/>
  <c r="BK2753" i="4"/>
  <c r="BJ2727" i="4"/>
  <c r="BJ2704" i="4"/>
  <c r="BJ2680" i="4"/>
  <c r="BK2657" i="4"/>
  <c r="BK2632" i="4"/>
  <c r="BJ2608" i="4"/>
  <c r="BK2585" i="4"/>
  <c r="BJ2562" i="4"/>
  <c r="BK2538" i="4"/>
  <c r="BJ2516" i="4"/>
  <c r="BK2496" i="4"/>
  <c r="BJ2471" i="4"/>
  <c r="BJ2451" i="4"/>
  <c r="BK2426" i="4"/>
  <c r="BJ2405" i="4"/>
  <c r="BK2380" i="4"/>
  <c r="BJ2360" i="4"/>
  <c r="BJ2336" i="4"/>
  <c r="BK2314" i="4"/>
  <c r="BK2292" i="4"/>
  <c r="BJ2272" i="4"/>
  <c r="BK2249" i="4"/>
  <c r="BJ2228" i="4"/>
  <c r="BK2206" i="4"/>
  <c r="BK2184" i="4"/>
  <c r="BK2165" i="4"/>
  <c r="BK2142" i="4"/>
  <c r="BK2122" i="4"/>
  <c r="BK2099" i="4"/>
  <c r="BJ2082" i="4"/>
  <c r="BK2060" i="4"/>
  <c r="BJ2043" i="4"/>
  <c r="BK2022" i="4"/>
  <c r="BJ2003" i="4"/>
  <c r="BJ1983" i="4"/>
  <c r="BJ1964" i="4"/>
  <c r="BJ1944" i="4"/>
  <c r="BJ1925" i="4"/>
  <c r="BK1904" i="4"/>
  <c r="BJ1885" i="4"/>
  <c r="BJ1868" i="4"/>
  <c r="BJ1846" i="4"/>
  <c r="BK1828" i="4"/>
  <c r="BK1806" i="4"/>
  <c r="BJ1790" i="4"/>
  <c r="BK1768" i="4"/>
  <c r="BK1749" i="4"/>
  <c r="BK1729" i="4"/>
  <c r="BJ1711" i="4"/>
  <c r="BJ1692" i="4"/>
  <c r="BK1674" i="4"/>
  <c r="BK1659" i="4"/>
  <c r="BJ1643" i="4"/>
  <c r="BK1626" i="4"/>
  <c r="BK1609" i="4"/>
  <c r="BJ1594" i="4"/>
  <c r="BK1577" i="4"/>
  <c r="BK1562" i="4"/>
  <c r="BJ1544" i="4"/>
  <c r="BK1528" i="4"/>
  <c r="BJ1513" i="4"/>
  <c r="BJ1497" i="4"/>
  <c r="BJ1480" i="4"/>
  <c r="BK1463" i="4"/>
  <c r="BJ1447" i="4"/>
  <c r="BK1431" i="4"/>
  <c r="BK1416" i="4"/>
  <c r="BK1398" i="4"/>
  <c r="BK1383" i="4"/>
  <c r="BJ1369" i="4"/>
  <c r="BK1354" i="4"/>
  <c r="BK1339" i="4"/>
  <c r="BJ1324" i="4"/>
  <c r="BJ1310" i="4"/>
  <c r="BJ1296" i="4"/>
  <c r="BK1282" i="4"/>
  <c r="BK1267" i="4"/>
  <c r="BJ1253" i="4"/>
  <c r="BK1239" i="4"/>
  <c r="BJ1226" i="4"/>
  <c r="BK1211" i="4"/>
  <c r="BK1196" i="4"/>
  <c r="BJ1183" i="4"/>
  <c r="BK1169" i="4"/>
  <c r="BJ1156" i="4"/>
  <c r="BK1140" i="4"/>
  <c r="BK1127" i="4"/>
  <c r="BK1114" i="4"/>
  <c r="BK1101" i="4"/>
  <c r="BJ1088" i="4"/>
  <c r="BJ1075" i="4"/>
  <c r="BK1060" i="4"/>
  <c r="BK1047" i="4"/>
  <c r="BK1034" i="4"/>
  <c r="BK1021" i="4"/>
  <c r="BJ1009" i="4"/>
  <c r="BK996" i="4"/>
  <c r="BJ984" i="4"/>
  <c r="BK971" i="4"/>
  <c r="BJ959" i="4"/>
  <c r="BJ945" i="4"/>
  <c r="BK932" i="4"/>
  <c r="BJ920" i="4"/>
  <c r="BK907" i="4"/>
  <c r="BJ895" i="4"/>
  <c r="BK882" i="4"/>
  <c r="BJ870" i="4"/>
  <c r="BJ857" i="4"/>
  <c r="BK844" i="4"/>
  <c r="BJ832" i="4"/>
  <c r="BK818" i="4"/>
  <c r="BJ806" i="4"/>
  <c r="BK793" i="4"/>
  <c r="BK780" i="4"/>
  <c r="BK768" i="4"/>
  <c r="BK756" i="4"/>
  <c r="BJ3557" i="4"/>
  <c r="BJ3525" i="4"/>
  <c r="BJ3497" i="4"/>
  <c r="BJ3466" i="4"/>
  <c r="BK3436" i="4"/>
  <c r="BK3407" i="4"/>
  <c r="BK3375" i="4"/>
  <c r="BK3348" i="4"/>
  <c r="BJ3317" i="4"/>
  <c r="BK3290" i="4"/>
  <c r="BK3261" i="4"/>
  <c r="BK3232" i="4"/>
  <c r="BJ3205" i="4"/>
  <c r="BJ3176" i="4"/>
  <c r="BJ3151" i="4"/>
  <c r="BJ3119" i="4"/>
  <c r="BK3095" i="4"/>
  <c r="BJ3064" i="4"/>
  <c r="BJ3036" i="4"/>
  <c r="BJ3009" i="4"/>
  <c r="BJ2979" i="4"/>
  <c r="BK2952" i="4"/>
  <c r="BK2923" i="4"/>
  <c r="BK2899" i="4"/>
  <c r="BJ2870" i="4"/>
  <c r="BK2843" i="4"/>
  <c r="BJ2820" i="4"/>
  <c r="BJ2800" i="4"/>
  <c r="BK2772" i="4"/>
  <c r="BK2751" i="4"/>
  <c r="BJ2726" i="4"/>
  <c r="BK2703" i="4"/>
  <c r="BJ2678" i="4"/>
  <c r="BJ2657" i="4"/>
  <c r="BJ2632" i="4"/>
  <c r="BK2607" i="4"/>
  <c r="BJ2583" i="4"/>
  <c r="BK2561" i="4"/>
  <c r="BJ2538" i="4"/>
  <c r="BK2515" i="4"/>
  <c r="BJ2493" i="4"/>
  <c r="BK2470" i="4"/>
  <c r="BJ2450" i="4"/>
  <c r="BJ2426" i="4"/>
  <c r="BK2404" i="4"/>
  <c r="BK2379" i="4"/>
  <c r="BK2359" i="4"/>
  <c r="BJ2335" i="4"/>
  <c r="BJ2314" i="4"/>
  <c r="BK2291" i="4"/>
  <c r="BK2271" i="4"/>
  <c r="BK2248" i="4"/>
  <c r="BK2227" i="4"/>
  <c r="BJ2206" i="4"/>
  <c r="BJ2184" i="4"/>
  <c r="BK2161" i="4"/>
  <c r="BJ2141" i="4"/>
  <c r="BJ2122" i="4"/>
  <c r="BJ2099" i="4"/>
  <c r="BK2081" i="4"/>
  <c r="BK2059" i="4"/>
  <c r="BJ2042" i="4"/>
  <c r="BK2021" i="4"/>
  <c r="BK2002" i="4"/>
  <c r="BJ1982" i="4"/>
  <c r="BJ1963" i="4"/>
  <c r="BK1942" i="4"/>
  <c r="BK1924" i="4"/>
  <c r="BJ1904" i="4"/>
  <c r="BK1884" i="4"/>
  <c r="BJ1865" i="4"/>
  <c r="BK1845" i="4"/>
  <c r="BJ1828" i="4"/>
  <c r="BJ1806" i="4"/>
  <c r="BK1788" i="4"/>
  <c r="BJ1767" i="4"/>
  <c r="BJ1749" i="4"/>
  <c r="BJ1728" i="4"/>
  <c r="BK3556" i="4"/>
  <c r="BJ3524" i="4"/>
  <c r="BK3496" i="4"/>
  <c r="BK3465" i="4"/>
  <c r="BJ3436" i="4"/>
  <c r="BJ3407" i="4"/>
  <c r="BK3374" i="4"/>
  <c r="BJ3348" i="4"/>
  <c r="BJ3316" i="4"/>
  <c r="BJ3290" i="4"/>
  <c r="BJ3261" i="4"/>
  <c r="BJ3232" i="4"/>
  <c r="BK3204" i="4"/>
  <c r="BJ3175" i="4"/>
  <c r="BJ3150" i="4"/>
  <c r="BJ3118" i="4"/>
  <c r="BJ3095" i="4"/>
  <c r="BJ3063" i="4"/>
  <c r="BK3035" i="4"/>
  <c r="BK3008" i="4"/>
  <c r="BJ2978" i="4"/>
  <c r="BJ2952" i="4"/>
  <c r="BJ2923" i="4"/>
  <c r="BJ2899" i="4"/>
  <c r="BK2869" i="4"/>
  <c r="BJ2843" i="4"/>
  <c r="BK2819" i="4"/>
  <c r="BJ2795" i="4"/>
  <c r="BJ2772" i="4"/>
  <c r="BK2750" i="4"/>
  <c r="BJ2725" i="4"/>
  <c r="BJ2703" i="4"/>
  <c r="BK2676" i="4"/>
  <c r="BK2656" i="4"/>
  <c r="BJ2630" i="4"/>
  <c r="BJ2607" i="4"/>
  <c r="BK2582" i="4"/>
  <c r="BJ2561" i="4"/>
  <c r="BJ2537" i="4"/>
  <c r="BJ2515" i="4"/>
  <c r="BK2492" i="4"/>
  <c r="BJ2470" i="4"/>
  <c r="BK2446" i="4"/>
  <c r="BJ2425" i="4"/>
  <c r="BJ2404" i="4"/>
  <c r="BJ2379" i="4"/>
  <c r="BJ2359" i="4"/>
  <c r="BJ2333" i="4"/>
  <c r="BK2313" i="4"/>
  <c r="BJ2289" i="4"/>
  <c r="BJ2271" i="4"/>
  <c r="BJ2248" i="4"/>
  <c r="BK2226" i="4"/>
  <c r="BK2204" i="4"/>
  <c r="BK2183" i="4"/>
  <c r="BJ2161" i="4"/>
  <c r="BK2139" i="4"/>
  <c r="BJ2119" i="4"/>
  <c r="BK2098" i="4"/>
  <c r="BJ2081" i="4"/>
  <c r="BJ2059" i="4"/>
  <c r="BK2041" i="4"/>
  <c r="BJ2020" i="4"/>
  <c r="BJ2002" i="4"/>
  <c r="BJ1981" i="4"/>
  <c r="BK1962" i="4"/>
  <c r="BJ1942" i="4"/>
  <c r="BJ1924" i="4"/>
  <c r="BJ1903" i="4"/>
  <c r="BJ1884" i="4"/>
  <c r="BJ1864" i="4"/>
  <c r="BJ1845" i="4"/>
  <c r="BJ1825" i="4"/>
  <c r="BK1805" i="4"/>
  <c r="BJ1788" i="4"/>
  <c r="BK1766" i="4"/>
  <c r="BK1748" i="4"/>
  <c r="BJ1727" i="4"/>
  <c r="BK1709" i="4"/>
  <c r="BK1689" i="4"/>
  <c r="BK1673" i="4"/>
  <c r="BK1658" i="4"/>
  <c r="BJ1642" i="4"/>
  <c r="BJ1625" i="4"/>
  <c r="BK1608" i="4"/>
  <c r="BK1592" i="4"/>
  <c r="BK1576" i="4"/>
  <c r="BK1560" i="4"/>
  <c r="BK1542" i="4"/>
  <c r="BK1527" i="4"/>
  <c r="BK1511" i="4"/>
  <c r="BK1495" i="4"/>
  <c r="BJ1478" i="4"/>
  <c r="BJ1462" i="4"/>
  <c r="BK1445" i="4"/>
  <c r="BK1430" i="4"/>
  <c r="BJ1413" i="4"/>
  <c r="BJ1397" i="4"/>
  <c r="BK1382" i="4"/>
  <c r="BJ1368" i="4"/>
  <c r="BK1353" i="4"/>
  <c r="BJ1338" i="4"/>
  <c r="BJ1323" i="4"/>
  <c r="BK1308" i="4"/>
  <c r="BJ1295" i="4"/>
  <c r="BK1280" i="4"/>
  <c r="BJ1266" i="4"/>
  <c r="BJ1252" i="4"/>
  <c r="BK1238" i="4"/>
  <c r="BJ1225" i="4"/>
  <c r="BK1209" i="4"/>
  <c r="BK1195" i="4"/>
  <c r="BJ1182" i="4"/>
  <c r="BK1168" i="4"/>
  <c r="BK1153" i="4"/>
  <c r="BK1139" i="4"/>
  <c r="BK1126" i="4"/>
  <c r="BK1113" i="4"/>
  <c r="BK1100" i="4"/>
  <c r="BJ1087" i="4"/>
  <c r="BJ1073" i="4"/>
  <c r="BK1059" i="4"/>
  <c r="BK1046" i="4"/>
  <c r="BJ1033" i="4"/>
  <c r="BK1020" i="4"/>
  <c r="BJ1008" i="4"/>
  <c r="BK3576" i="4"/>
  <c r="BK3523" i="4"/>
  <c r="BJ3483" i="4"/>
  <c r="BJ3442" i="4"/>
  <c r="BJ3395" i="4"/>
  <c r="BK3351" i="4"/>
  <c r="BJ3311" i="4"/>
  <c r="BJ3270" i="4"/>
  <c r="BK3226" i="4"/>
  <c r="BJ3188" i="4"/>
  <c r="BJ3143" i="4"/>
  <c r="BK3102" i="4"/>
  <c r="BK3059" i="4"/>
  <c r="BK3023" i="4"/>
  <c r="BJ2975" i="4"/>
  <c r="BJ2938" i="4"/>
  <c r="BK2896" i="4"/>
  <c r="BK2860" i="4"/>
  <c r="BJ2823" i="4"/>
  <c r="BK2788" i="4"/>
  <c r="BK2755" i="4"/>
  <c r="BJ2720" i="4"/>
  <c r="BJ2687" i="4"/>
  <c r="BK2647" i="4"/>
  <c r="BJ2616" i="4"/>
  <c r="BJ2578" i="4"/>
  <c r="BJ2548" i="4"/>
  <c r="BJ2513" i="4"/>
  <c r="BJ2483" i="4"/>
  <c r="BK2443" i="4"/>
  <c r="BK2415" i="4"/>
  <c r="BK2377" i="4"/>
  <c r="BJ2348" i="4"/>
  <c r="BK2315" i="4"/>
  <c r="BJ2285" i="4"/>
  <c r="BK2254" i="4"/>
  <c r="BJ2220" i="4"/>
  <c r="BK2189" i="4"/>
  <c r="BK2156" i="4"/>
  <c r="BK2126" i="4"/>
  <c r="BJ2096" i="4"/>
  <c r="BK2069" i="4"/>
  <c r="BJ2037" i="4"/>
  <c r="BK2011" i="4"/>
  <c r="BJ1979" i="4"/>
  <c r="BJ1953" i="4"/>
  <c r="BK1923" i="4"/>
  <c r="BK1896" i="4"/>
  <c r="BK1868" i="4"/>
  <c r="BK1838" i="4"/>
  <c r="BK1810" i="4"/>
  <c r="BK1780" i="4"/>
  <c r="BJ1753" i="4"/>
  <c r="BJ1724" i="4"/>
  <c r="BK1698" i="4"/>
  <c r="BJ1673" i="4"/>
  <c r="BK1651" i="4"/>
  <c r="BK1630" i="4"/>
  <c r="BK1606" i="4"/>
  <c r="BK1585" i="4"/>
  <c r="BJ1563" i="4"/>
  <c r="BJ1540" i="4"/>
  <c r="BJ1518" i="4"/>
  <c r="BJ1495" i="4"/>
  <c r="BK1473" i="4"/>
  <c r="BJ1451" i="4"/>
  <c r="BJ1429" i="4"/>
  <c r="BJ1407" i="4"/>
  <c r="BJ1384" i="4"/>
  <c r="BJ1365" i="4"/>
  <c r="BJ1345" i="4"/>
  <c r="BK1322" i="4"/>
  <c r="BJ1305" i="4"/>
  <c r="BJ1285" i="4"/>
  <c r="BJ1264" i="4"/>
  <c r="BK1247" i="4"/>
  <c r="BK1226" i="4"/>
  <c r="BK1206" i="4"/>
  <c r="BK1188" i="4"/>
  <c r="BJ1168" i="4"/>
  <c r="BJ1149" i="4"/>
  <c r="BK1130" i="4"/>
  <c r="BJ1112" i="4"/>
  <c r="BJ1094" i="4"/>
  <c r="BK1075" i="4"/>
  <c r="BJ1057" i="4"/>
  <c r="BJ1040" i="4"/>
  <c r="BJ1020" i="4"/>
  <c r="BJ1004" i="4"/>
  <c r="BK987" i="4"/>
  <c r="BK970" i="4"/>
  <c r="BJ954" i="4"/>
  <c r="BJ939" i="4"/>
  <c r="BK920" i="4"/>
  <c r="BJ905" i="4"/>
  <c r="BK889" i="4"/>
  <c r="BK872" i="4"/>
  <c r="BK855" i="4"/>
  <c r="BK839" i="4"/>
  <c r="BK823" i="4"/>
  <c r="BK805" i="4"/>
  <c r="BK790" i="4"/>
  <c r="BJ776" i="4"/>
  <c r="BJ761" i="4"/>
  <c r="BK745" i="4"/>
  <c r="BJ732" i="4"/>
  <c r="BK718" i="4"/>
  <c r="BJ705" i="4"/>
  <c r="BK690" i="4"/>
  <c r="BK676" i="4"/>
  <c r="BK662" i="4"/>
  <c r="BJ650" i="4"/>
  <c r="BJ637" i="4"/>
  <c r="BK624" i="4"/>
  <c r="BJ612" i="4"/>
  <c r="BJ599" i="4"/>
  <c r="BK586" i="4"/>
  <c r="BJ574" i="4"/>
  <c r="BK561" i="4"/>
  <c r="BK548" i="4"/>
  <c r="BJ536" i="4"/>
  <c r="BK523" i="4"/>
  <c r="BJ511" i="4"/>
  <c r="BK498" i="4"/>
  <c r="BJ486" i="4"/>
  <c r="BK472" i="4"/>
  <c r="BJ460" i="4"/>
  <c r="BJ447" i="4"/>
  <c r="BK434" i="4"/>
  <c r="BJ422" i="4"/>
  <c r="BK409" i="4"/>
  <c r="BK397" i="4"/>
  <c r="BK385" i="4"/>
  <c r="BJ373" i="4"/>
  <c r="BJ361" i="4"/>
  <c r="BJ349" i="4"/>
  <c r="BJ337" i="4"/>
  <c r="BJ325" i="4"/>
  <c r="BJ313" i="4"/>
  <c r="BJ301" i="4"/>
  <c r="BK288" i="4"/>
  <c r="BK276" i="4"/>
  <c r="BK264" i="4"/>
  <c r="BJ252" i="4"/>
  <c r="BJ240" i="4"/>
  <c r="BJ228" i="4"/>
  <c r="BJ216" i="4"/>
  <c r="BJ204" i="4"/>
  <c r="BJ192" i="4"/>
  <c r="BJ180" i="4"/>
  <c r="BJ168" i="4"/>
  <c r="BJ156" i="4"/>
  <c r="BJ144" i="4"/>
  <c r="BK131" i="4"/>
  <c r="BK119" i="4"/>
  <c r="BJ108" i="4"/>
  <c r="BJ97" i="4"/>
  <c r="BJ86" i="4"/>
  <c r="BJ75" i="4"/>
  <c r="BJ64" i="4"/>
  <c r="BJ53" i="4"/>
  <c r="BJ42" i="4"/>
  <c r="BJ31" i="4"/>
  <c r="BJ20" i="4"/>
  <c r="BJ9" i="4"/>
  <c r="BJ3576" i="4"/>
  <c r="BJ3523" i="4"/>
  <c r="BK3482" i="4"/>
  <c r="BJ3433" i="4"/>
  <c r="BJ3394" i="4"/>
  <c r="BK3349" i="4"/>
  <c r="BJ3310" i="4"/>
  <c r="BJ3268" i="4"/>
  <c r="BK3224" i="4"/>
  <c r="BJ3187" i="4"/>
  <c r="BK3141" i="4"/>
  <c r="BJ3101" i="4"/>
  <c r="BK3058" i="4"/>
  <c r="BK3022" i="4"/>
  <c r="BK2974" i="4"/>
  <c r="BK2937" i="4"/>
  <c r="BJ2896" i="4"/>
  <c r="BK2857" i="4"/>
  <c r="BJ2819" i="4"/>
  <c r="BJ2788" i="4"/>
  <c r="BJ2754" i="4"/>
  <c r="BK2718" i="4"/>
  <c r="BK2685" i="4"/>
  <c r="BJ2647" i="4"/>
  <c r="BJ2614" i="4"/>
  <c r="BK2577" i="4"/>
  <c r="BK2547" i="4"/>
  <c r="BK2512" i="4"/>
  <c r="BJ2482" i="4"/>
  <c r="BJ2443" i="4"/>
  <c r="BK2414" i="4"/>
  <c r="BJ2377" i="4"/>
  <c r="BK2347" i="4"/>
  <c r="BJ2312" i="4"/>
  <c r="BK2284" i="4"/>
  <c r="BJ2250" i="4"/>
  <c r="BJ2219" i="4"/>
  <c r="BK2188" i="4"/>
  <c r="BJ2156" i="4"/>
  <c r="BJ2125" i="4"/>
  <c r="BJ2095" i="4"/>
  <c r="BJ2069" i="4"/>
  <c r="BJ2036" i="4"/>
  <c r="BJ2010" i="4"/>
  <c r="BK1978" i="4"/>
  <c r="BJ1952" i="4"/>
  <c r="BJ1923" i="4"/>
  <c r="BJ1896" i="4"/>
  <c r="BJ1863" i="4"/>
  <c r="BJ1838" i="4"/>
  <c r="BK1807" i="4"/>
  <c r="BJ1780" i="4"/>
  <c r="BJ1752" i="4"/>
  <c r="BJ1723" i="4"/>
  <c r="BJ1698" i="4"/>
  <c r="BK1672" i="4"/>
  <c r="BJ1651" i="4"/>
  <c r="BJ1630" i="4"/>
  <c r="BJ1606" i="4"/>
  <c r="BJ1585" i="4"/>
  <c r="BJ1562" i="4"/>
  <c r="BK1539" i="4"/>
  <c r="BJ1517" i="4"/>
  <c r="BK1493" i="4"/>
  <c r="BJ1473" i="4"/>
  <c r="BJ1450" i="4"/>
  <c r="BK1427" i="4"/>
  <c r="BK1406" i="4"/>
  <c r="BJ1383" i="4"/>
  <c r="BK1363" i="4"/>
  <c r="BK1344" i="4"/>
  <c r="BJ1322" i="4"/>
  <c r="BK1303" i="4"/>
  <c r="BK1284" i="4"/>
  <c r="BK1263" i="4"/>
  <c r="BJ1246" i="4"/>
  <c r="BK1225" i="4"/>
  <c r="BJ1206" i="4"/>
  <c r="BJ1187" i="4"/>
  <c r="BK1167" i="4"/>
  <c r="BK1148" i="4"/>
  <c r="BK1129" i="4"/>
  <c r="BK1111" i="4"/>
  <c r="BK1093" i="4"/>
  <c r="BK1074" i="4"/>
  <c r="BK1056" i="4"/>
  <c r="BK1038" i="4"/>
  <c r="BK1019" i="4"/>
  <c r="BJ1003" i="4"/>
  <c r="BK986" i="4"/>
  <c r="BK969" i="4"/>
  <c r="BK953" i="4"/>
  <c r="BJ938" i="4"/>
  <c r="BK919" i="4"/>
  <c r="BK904" i="4"/>
  <c r="BK888" i="4"/>
  <c r="BJ872" i="4"/>
  <c r="BJ855" i="4"/>
  <c r="BJ839" i="4"/>
  <c r="BJ823" i="4"/>
  <c r="BJ805" i="4"/>
  <c r="BJ790" i="4"/>
  <c r="BK775" i="4"/>
  <c r="BK760" i="4"/>
  <c r="BJ745" i="4"/>
  <c r="BK731" i="4"/>
  <c r="BJ718" i="4"/>
  <c r="BK704" i="4"/>
  <c r="BJ690" i="4"/>
  <c r="BJ676" i="4"/>
  <c r="BJ662" i="4"/>
  <c r="BK649" i="4"/>
  <c r="BK636" i="4"/>
  <c r="BJ624" i="4"/>
  <c r="BJ611" i="4"/>
  <c r="BK598" i="4"/>
  <c r="BJ586" i="4"/>
  <c r="BK573" i="4"/>
  <c r="BK560" i="4"/>
  <c r="BJ548" i="4"/>
  <c r="BK535" i="4"/>
  <c r="BJ523" i="4"/>
  <c r="BK510" i="4"/>
  <c r="BJ498" i="4"/>
  <c r="BK485" i="4"/>
  <c r="BJ472" i="4"/>
  <c r="BJ459" i="4"/>
  <c r="BK446" i="4"/>
  <c r="BJ434" i="4"/>
  <c r="BK421" i="4"/>
  <c r="BJ409" i="4"/>
  <c r="BJ397" i="4"/>
  <c r="BK384" i="4"/>
  <c r="BK372" i="4"/>
  <c r="BK360" i="4"/>
  <c r="BK348" i="4"/>
  <c r="BK336" i="4"/>
  <c r="BK324" i="4"/>
  <c r="BK312" i="4"/>
  <c r="BJ300" i="4"/>
  <c r="BJ288" i="4"/>
  <c r="BJ276" i="4"/>
  <c r="BK263" i="4"/>
  <c r="BK251" i="4"/>
  <c r="BK239" i="4"/>
  <c r="BK227" i="4"/>
  <c r="BK215" i="4"/>
  <c r="BK203" i="4"/>
  <c r="BK191" i="4"/>
  <c r="BK179" i="4"/>
  <c r="BK167" i="4"/>
  <c r="BK155" i="4"/>
  <c r="BK143" i="4"/>
  <c r="BJ131" i="4"/>
  <c r="BJ119" i="4"/>
  <c r="BK107" i="4"/>
  <c r="BK96" i="4"/>
  <c r="BK85" i="4"/>
  <c r="BK74" i="4"/>
  <c r="BK63" i="4"/>
  <c r="BK52" i="4"/>
  <c r="BK41" i="4"/>
  <c r="BK30" i="4"/>
  <c r="BK19" i="4"/>
  <c r="BK8" i="4"/>
  <c r="BK3569" i="4"/>
  <c r="BJ3521" i="4"/>
  <c r="BJ3482" i="4"/>
  <c r="BJ3432" i="4"/>
  <c r="BJ3392" i="4"/>
  <c r="BK3347" i="4"/>
  <c r="BJ3309" i="4"/>
  <c r="BK3262" i="4"/>
  <c r="BK3223" i="4"/>
  <c r="BJ3186" i="4"/>
  <c r="BJ3140" i="4"/>
  <c r="BK3099" i="4"/>
  <c r="BJ3058" i="4"/>
  <c r="BJ3019" i="4"/>
  <c r="BJ2974" i="4"/>
  <c r="BK2936" i="4"/>
  <c r="BJ2893" i="4"/>
  <c r="BJ2856" i="4"/>
  <c r="BJ2817" i="4"/>
  <c r="BK2787" i="4"/>
  <c r="BK2746" i="4"/>
  <c r="BJ2718" i="4"/>
  <c r="BK2680" i="4"/>
  <c r="BJ2646" i="4"/>
  <c r="BK2612" i="4"/>
  <c r="BJ2577" i="4"/>
  <c r="BK2546" i="4"/>
  <c r="BJ2512" i="4"/>
  <c r="BJ2481" i="4"/>
  <c r="BJ2442" i="4"/>
  <c r="BJ2413" i="4"/>
  <c r="BK2376" i="4"/>
  <c r="BJ2347" i="4"/>
  <c r="BK2311" i="4"/>
  <c r="BJ2284" i="4"/>
  <c r="BJ2247" i="4"/>
  <c r="BK2218" i="4"/>
  <c r="BJ2185" i="4"/>
  <c r="BK2155" i="4"/>
  <c r="BK2124" i="4"/>
  <c r="BK2094" i="4"/>
  <c r="BJ2068" i="4"/>
  <c r="BK2035" i="4"/>
  <c r="BJ2009" i="4"/>
  <c r="BJ1978" i="4"/>
  <c r="BJ1951" i="4"/>
  <c r="BJ1922" i="4"/>
  <c r="BJ1895" i="4"/>
  <c r="BK1862" i="4"/>
  <c r="BK1836" i="4"/>
  <c r="BJ1805" i="4"/>
  <c r="BK1779" i="4"/>
  <c r="BJ1750" i="4"/>
  <c r="BK1722" i="4"/>
  <c r="BJ1697" i="4"/>
  <c r="BJ1672" i="4"/>
  <c r="BJ1650" i="4"/>
  <c r="BJ1628" i="4"/>
  <c r="BJ1605" i="4"/>
  <c r="BJ1583" i="4"/>
  <c r="BJ1559" i="4"/>
  <c r="BJ1539" i="4"/>
  <c r="BJ1516" i="4"/>
  <c r="BJ1492" i="4"/>
  <c r="BJ1472" i="4"/>
  <c r="BK1447" i="4"/>
  <c r="BK1425" i="4"/>
  <c r="BK1405" i="4"/>
  <c r="BJ1382" i="4"/>
  <c r="BK1362" i="4"/>
  <c r="BJ1343" i="4"/>
  <c r="BK1321" i="4"/>
  <c r="BK1302" i="4"/>
  <c r="BJ1283" i="4"/>
  <c r="BJ1263" i="4"/>
  <c r="BK1244" i="4"/>
  <c r="BK1224" i="4"/>
  <c r="BK1205" i="4"/>
  <c r="BK1185" i="4"/>
  <c r="BJ1167" i="4"/>
  <c r="BJ1148" i="4"/>
  <c r="BJ1128" i="4"/>
  <c r="BK1110" i="4"/>
  <c r="BK1092" i="4"/>
  <c r="BJ1072" i="4"/>
  <c r="BK1055" i="4"/>
  <c r="BJ1037" i="4"/>
  <c r="BJ1019" i="4"/>
  <c r="BK1002" i="4"/>
  <c r="BJ986" i="4"/>
  <c r="BK968" i="4"/>
  <c r="BJ953" i="4"/>
  <c r="BK937" i="4"/>
  <c r="BJ919" i="4"/>
  <c r="BJ904" i="4"/>
  <c r="BK887" i="4"/>
  <c r="BK870" i="4"/>
  <c r="BJ854" i="4"/>
  <c r="BK838" i="4"/>
  <c r="BJ822" i="4"/>
  <c r="BK804" i="4"/>
  <c r="BK789" i="4"/>
  <c r="BJ775" i="4"/>
  <c r="BK759" i="4"/>
  <c r="BK744" i="4"/>
  <c r="BJ731" i="4"/>
  <c r="BK717" i="4"/>
  <c r="BJ703" i="4"/>
  <c r="BK689" i="4"/>
  <c r="BJ675" i="4"/>
  <c r="BK661" i="4"/>
  <c r="BK648" i="4"/>
  <c r="BJ636" i="4"/>
  <c r="BK623" i="4"/>
  <c r="BK610" i="4"/>
  <c r="BJ598" i="4"/>
  <c r="BK585" i="4"/>
  <c r="BJ573" i="4"/>
  <c r="BJ560" i="4"/>
  <c r="BK547" i="4"/>
  <c r="BJ535" i="4"/>
  <c r="BK522" i="4"/>
  <c r="BJ510" i="4"/>
  <c r="BK497" i="4"/>
  <c r="BK484" i="4"/>
  <c r="BJ471" i="4"/>
  <c r="BK458" i="4"/>
  <c r="BJ446" i="4"/>
  <c r="BK433" i="4"/>
  <c r="BJ421" i="4"/>
  <c r="BK408" i="4"/>
  <c r="BK396" i="4"/>
  <c r="BJ384" i="4"/>
  <c r="BJ372" i="4"/>
  <c r="BJ360" i="4"/>
  <c r="BJ348" i="4"/>
  <c r="BJ336" i="4"/>
  <c r="BJ324" i="4"/>
  <c r="BK311" i="4"/>
  <c r="BK299" i="4"/>
  <c r="BK287" i="4"/>
  <c r="BK275" i="4"/>
  <c r="BJ263" i="4"/>
  <c r="BJ251" i="4"/>
  <c r="BJ239" i="4"/>
  <c r="BJ227" i="4"/>
  <c r="BJ215" i="4"/>
  <c r="BJ203" i="4"/>
  <c r="BJ191" i="4"/>
  <c r="BJ179" i="4"/>
  <c r="BJ167" i="4"/>
  <c r="BJ155" i="4"/>
  <c r="BK142" i="4"/>
  <c r="BK130" i="4"/>
  <c r="BK118" i="4"/>
  <c r="BJ107" i="4"/>
  <c r="BJ96" i="4"/>
  <c r="BJ85" i="4"/>
  <c r="BJ74" i="4"/>
  <c r="BJ63" i="4"/>
  <c r="BJ52" i="4"/>
  <c r="BJ41" i="4"/>
  <c r="BJ30" i="4"/>
  <c r="BJ19" i="4"/>
  <c r="BJ8" i="4"/>
  <c r="BJ3568" i="4"/>
  <c r="BK3520" i="4"/>
  <c r="BJ3481" i="4"/>
  <c r="BJ3430" i="4"/>
  <c r="BJ3391" i="4"/>
  <c r="BJ3347" i="4"/>
  <c r="BJ3305" i="4"/>
  <c r="BK3260" i="4"/>
  <c r="BJ3223" i="4"/>
  <c r="BJ3179" i="4"/>
  <c r="BJ3138" i="4"/>
  <c r="BJ3099" i="4"/>
  <c r="BK3057" i="4"/>
  <c r="BJ3014" i="4"/>
  <c r="BJ2973" i="4"/>
  <c r="BJ2936" i="4"/>
  <c r="BJ2891" i="4"/>
  <c r="BK2854" i="4"/>
  <c r="BK2816" i="4"/>
  <c r="BJ2787" i="4"/>
  <c r="BJ2746" i="4"/>
  <c r="BJ2715" i="4"/>
  <c r="BJ2676" i="4"/>
  <c r="BJ2645" i="4"/>
  <c r="BJ2610" i="4"/>
  <c r="BK2575" i="4"/>
  <c r="BJ2546" i="4"/>
  <c r="BK2508" i="4"/>
  <c r="BJ2476" i="4"/>
  <c r="BJ2441" i="4"/>
  <c r="BK2409" i="4"/>
  <c r="BJ2376" i="4"/>
  <c r="BJ2346" i="4"/>
  <c r="BJ2309" i="4"/>
  <c r="BK2283" i="4"/>
  <c r="BJ2245" i="4"/>
  <c r="BJ2217" i="4"/>
  <c r="BJ2183" i="4"/>
  <c r="BJ2155" i="4"/>
  <c r="BJ2123" i="4"/>
  <c r="BJ2094" i="4"/>
  <c r="BJ2064" i="4"/>
  <c r="BK2034" i="4"/>
  <c r="BJ2006" i="4"/>
  <c r="BK1977" i="4"/>
  <c r="BK1950" i="4"/>
  <c r="BJ1921" i="4"/>
  <c r="BJ1894" i="4"/>
  <c r="BJ1861" i="4"/>
  <c r="BJ1836" i="4"/>
  <c r="BK1804" i="4"/>
  <c r="BJ1779" i="4"/>
  <c r="BJ1748" i="4"/>
  <c r="BJ1722" i="4"/>
  <c r="BK1696" i="4"/>
  <c r="BK1671" i="4"/>
  <c r="BK1649" i="4"/>
  <c r="BK1625" i="4"/>
  <c r="BK1604" i="4"/>
  <c r="BK1582" i="4"/>
  <c r="BJ1558" i="4"/>
  <c r="BK1538" i="4"/>
  <c r="BK1515" i="4"/>
  <c r="BK1491" i="4"/>
  <c r="BK1471" i="4"/>
  <c r="BJ1446" i="4"/>
  <c r="BJ1425" i="4"/>
  <c r="BJ1405" i="4"/>
  <c r="BK1381" i="4"/>
  <c r="BJ1362" i="4"/>
  <c r="BK1342" i="4"/>
  <c r="BJ1321" i="4"/>
  <c r="BJ1302" i="4"/>
  <c r="BJ1282" i="4"/>
  <c r="BK1262" i="4"/>
  <c r="BK1243" i="4"/>
  <c r="BJ1223" i="4"/>
  <c r="BJ1205" i="4"/>
  <c r="BJ1185" i="4"/>
  <c r="BJ1165" i="4"/>
  <c r="BK1147" i="4"/>
  <c r="BJ1127" i="4"/>
  <c r="BJ1110" i="4"/>
  <c r="BJ1092" i="4"/>
  <c r="BK1071" i="4"/>
  <c r="BJ1055" i="4"/>
  <c r="BK1036" i="4"/>
  <c r="BK1018" i="4"/>
  <c r="BJ1002" i="4"/>
  <c r="BK984" i="4"/>
  <c r="BK967" i="4"/>
  <c r="BK952" i="4"/>
  <c r="BK936" i="4"/>
  <c r="BK918" i="4"/>
  <c r="BK903" i="4"/>
  <c r="BK886" i="4"/>
  <c r="BK869" i="4"/>
  <c r="BJ853" i="4"/>
  <c r="BJ838" i="4"/>
  <c r="BK821" i="4"/>
  <c r="BJ804" i="4"/>
  <c r="BJ789" i="4"/>
  <c r="BK774" i="4"/>
  <c r="BK758" i="4"/>
  <c r="BJ744" i="4"/>
  <c r="BK730" i="4"/>
  <c r="BJ717" i="4"/>
  <c r="BK702" i="4"/>
  <c r="BK688" i="4"/>
  <c r="BK674" i="4"/>
  <c r="BJ661" i="4"/>
  <c r="BJ648" i="4"/>
  <c r="BK635" i="4"/>
  <c r="BK622" i="4"/>
  <c r="BJ610" i="4"/>
  <c r="BK597" i="4"/>
  <c r="BJ585" i="4"/>
  <c r="BK572" i="4"/>
  <c r="BK559" i="4"/>
  <c r="BJ547" i="4"/>
  <c r="BK534" i="4"/>
  <c r="BJ522" i="4"/>
  <c r="BK509" i="4"/>
  <c r="BJ497" i="4"/>
  <c r="BJ483" i="4"/>
  <c r="BK470" i="4"/>
  <c r="BJ458" i="4"/>
  <c r="BK445" i="4"/>
  <c r="BJ433" i="4"/>
  <c r="BK420" i="4"/>
  <c r="BJ408" i="4"/>
  <c r="BK395" i="4"/>
  <c r="BK383" i="4"/>
  <c r="BK371" i="4"/>
  <c r="BK359" i="4"/>
  <c r="BK347" i="4"/>
  <c r="BK335" i="4"/>
  <c r="BJ323" i="4"/>
  <c r="BJ311" i="4"/>
  <c r="BJ299" i="4"/>
  <c r="BJ287" i="4"/>
  <c r="BK274" i="4"/>
  <c r="BK262" i="4"/>
  <c r="BK250" i="4"/>
  <c r="BK238" i="4"/>
  <c r="BK226" i="4"/>
  <c r="BK214" i="4"/>
  <c r="BK202" i="4"/>
  <c r="BK190" i="4"/>
  <c r="BK178" i="4"/>
  <c r="BK166" i="4"/>
  <c r="BK154" i="4"/>
  <c r="BJ142" i="4"/>
  <c r="BJ130" i="4"/>
  <c r="BJ118" i="4"/>
  <c r="BK106" i="4"/>
  <c r="BK95" i="4"/>
  <c r="BK84" i="4"/>
  <c r="BK73" i="4"/>
  <c r="BK62" i="4"/>
  <c r="BK51" i="4"/>
  <c r="BK40" i="4"/>
  <c r="BK29" i="4"/>
  <c r="BK18" i="4"/>
  <c r="BK7" i="4"/>
  <c r="BK3564" i="4"/>
  <c r="BJ3519" i="4"/>
  <c r="BJ3561" i="4"/>
  <c r="BK3517" i="4"/>
  <c r="BJ3473" i="4"/>
  <c r="BJ3427" i="4"/>
  <c r="BK3386" i="4"/>
  <c r="BK3337" i="4"/>
  <c r="BJ3299" i="4"/>
  <c r="BJ3257" i="4"/>
  <c r="BK3218" i="4"/>
  <c r="BJ3172" i="4"/>
  <c r="BJ3134" i="4"/>
  <c r="BJ3088" i="4"/>
  <c r="BK3051" i="4"/>
  <c r="BJ3008" i="4"/>
  <c r="BK2969" i="4"/>
  <c r="BK2925" i="4"/>
  <c r="BK2887" i="4"/>
  <c r="BK2852" i="4"/>
  <c r="BJ2815" i="4"/>
  <c r="BK2779" i="4"/>
  <c r="BJ2743" i="4"/>
  <c r="BJ2711" i="4"/>
  <c r="BJ2673" i="4"/>
  <c r="BJ2643" i="4"/>
  <c r="BK2605" i="4"/>
  <c r="BJ2574" i="4"/>
  <c r="BK2535" i="4"/>
  <c r="BJ2506" i="4"/>
  <c r="BJ2469" i="4"/>
  <c r="BK2439" i="4"/>
  <c r="BK2405" i="4"/>
  <c r="BJ2374" i="4"/>
  <c r="BJ2342" i="4"/>
  <c r="BJ2307" i="4"/>
  <c r="BJ2275" i="4"/>
  <c r="BJ2243" i="4"/>
  <c r="BJ2213" i="4"/>
  <c r="BK2181" i="4"/>
  <c r="BJ2151" i="4"/>
  <c r="BJ2116" i="4"/>
  <c r="BJ2089" i="4"/>
  <c r="BJ2058" i="4"/>
  <c r="BK2032" i="4"/>
  <c r="BK2001" i="4"/>
  <c r="BK1975" i="4"/>
  <c r="BJ1945" i="4"/>
  <c r="BJ1916" i="4"/>
  <c r="BK1889" i="4"/>
  <c r="BK1858" i="4"/>
  <c r="BJ1831" i="4"/>
  <c r="BJ1803" i="4"/>
  <c r="BK1775" i="4"/>
  <c r="BJ1743" i="4"/>
  <c r="BJ1717" i="4"/>
  <c r="BJ1689" i="4"/>
  <c r="BJ1670" i="4"/>
  <c r="BJ1647" i="4"/>
  <c r="BJ1622" i="4"/>
  <c r="BJ1603" i="4"/>
  <c r="BJ1578" i="4"/>
  <c r="BJ1555" i="4"/>
  <c r="BJ1536" i="4"/>
  <c r="BJ1511" i="4"/>
  <c r="BJ1489" i="4"/>
  <c r="BJ1468" i="4"/>
  <c r="BJ1444" i="4"/>
  <c r="BJ1422" i="4"/>
  <c r="BJ1399" i="4"/>
  <c r="BK1379" i="4"/>
  <c r="BK1359" i="4"/>
  <c r="BJ1337" i="4"/>
  <c r="BJ1319" i="4"/>
  <c r="BJ1299" i="4"/>
  <c r="BJ1278" i="4"/>
  <c r="BJ1261" i="4"/>
  <c r="BJ1240" i="4"/>
  <c r="BJ1220" i="4"/>
  <c r="BJ1203" i="4"/>
  <c r="BK1181" i="4"/>
  <c r="BK1162" i="4"/>
  <c r="BJ1145" i="4"/>
  <c r="BJ1125" i="4"/>
  <c r="BK1107" i="4"/>
  <c r="BK1088" i="4"/>
  <c r="BJ1070" i="4"/>
  <c r="BJ1053" i="4"/>
  <c r="BK1032" i="4"/>
  <c r="BJ1017" i="4"/>
  <c r="BJ999" i="4"/>
  <c r="BK982" i="4"/>
  <c r="BJ966" i="4"/>
  <c r="BK950" i="4"/>
  <c r="BJ932" i="4"/>
  <c r="BJ917" i="4"/>
  <c r="BK901" i="4"/>
  <c r="BK884" i="4"/>
  <c r="BK867" i="4"/>
  <c r="BK851" i="4"/>
  <c r="BK835" i="4"/>
  <c r="BK817" i="4"/>
  <c r="BJ802" i="4"/>
  <c r="BK787" i="4"/>
  <c r="BK771" i="4"/>
  <c r="BJ756" i="4"/>
  <c r="BK742" i="4"/>
  <c r="BJ729" i="4"/>
  <c r="BK714" i="4"/>
  <c r="BK700" i="4"/>
  <c r="BK686" i="4"/>
  <c r="BK672" i="4"/>
  <c r="BJ659" i="4"/>
  <c r="BK646" i="4"/>
  <c r="BK633" i="4"/>
  <c r="BJ621" i="4"/>
  <c r="BK608" i="4"/>
  <c r="BJ596" i="4"/>
  <c r="BK583" i="4"/>
  <c r="BK570" i="4"/>
  <c r="BJ558" i="4"/>
  <c r="BK545" i="4"/>
  <c r="BJ533" i="4"/>
  <c r="BJ520" i="4"/>
  <c r="BJ507" i="4"/>
  <c r="BJ494" i="4"/>
  <c r="BK481" i="4"/>
  <c r="BJ469" i="4"/>
  <c r="BK456" i="4"/>
  <c r="BJ444" i="4"/>
  <c r="BK431" i="4"/>
  <c r="BJ419" i="4"/>
  <c r="BJ406" i="4"/>
  <c r="BJ394" i="4"/>
  <c r="BJ382" i="4"/>
  <c r="BJ370" i="4"/>
  <c r="BK357" i="4"/>
  <c r="BK345" i="4"/>
  <c r="BK333" i="4"/>
  <c r="BK321" i="4"/>
  <c r="BK309" i="4"/>
  <c r="BK297" i="4"/>
  <c r="BJ285" i="4"/>
  <c r="BJ273" i="4"/>
  <c r="BJ261" i="4"/>
  <c r="BJ249" i="4"/>
  <c r="BJ237" i="4"/>
  <c r="BJ225" i="4"/>
  <c r="BJ213" i="4"/>
  <c r="BJ201" i="4"/>
  <c r="BJ189" i="4"/>
  <c r="BJ177" i="4"/>
  <c r="BK164" i="4"/>
  <c r="BK152" i="4"/>
  <c r="BK140" i="4"/>
  <c r="BK128" i="4"/>
  <c r="BK116" i="4"/>
  <c r="BJ105" i="4"/>
  <c r="BJ94" i="4"/>
  <c r="BJ83" i="4"/>
  <c r="BJ72" i="4"/>
  <c r="BJ61" i="4"/>
  <c r="BJ50" i="4"/>
  <c r="BJ39" i="4"/>
  <c r="BJ28" i="4"/>
  <c r="BJ17" i="4"/>
  <c r="BJ6" i="4"/>
  <c r="BJ3556" i="4"/>
  <c r="BJ3517" i="4"/>
  <c r="BJ3468" i="4"/>
  <c r="BJ3425" i="4"/>
  <c r="BK3385" i="4"/>
  <c r="BJ3336" i="4"/>
  <c r="BK3297" i="4"/>
  <c r="BK3256" i="4"/>
  <c r="BJ3216" i="4"/>
  <c r="BJ3171" i="4"/>
  <c r="BJ3132" i="4"/>
  <c r="BJ3086" i="4"/>
  <c r="BK3048" i="4"/>
  <c r="BK3007" i="4"/>
  <c r="BJ2969" i="4"/>
  <c r="BK2922" i="4"/>
  <c r="BK2886" i="4"/>
  <c r="BJ2849" i="4"/>
  <c r="BK2812" i="4"/>
  <c r="BK2778" i="4"/>
  <c r="BJ2742" i="4"/>
  <c r="BK2707" i="4"/>
  <c r="BK2672" i="4"/>
  <c r="BK2641" i="4"/>
  <c r="BJ2602" i="4"/>
  <c r="BJ2570" i="4"/>
  <c r="BK2534" i="4"/>
  <c r="BJ2504" i="4"/>
  <c r="BK2468" i="4"/>
  <c r="BJ2439" i="4"/>
  <c r="BK2401" i="4"/>
  <c r="BK2373" i="4"/>
  <c r="BJ2337" i="4"/>
  <c r="BJ2305" i="4"/>
  <c r="BJ2274" i="4"/>
  <c r="BJ2242" i="4"/>
  <c r="BJ2212" i="4"/>
  <c r="BJ2181" i="4"/>
  <c r="BJ2150" i="4"/>
  <c r="BK2114" i="4"/>
  <c r="BK2087" i="4"/>
  <c r="BK2057" i="4"/>
  <c r="BJ2032" i="4"/>
  <c r="BJ2001" i="4"/>
  <c r="BJ1975" i="4"/>
  <c r="BK1940" i="4"/>
  <c r="BK1915" i="4"/>
  <c r="BJ1886" i="4"/>
  <c r="BJ1858" i="4"/>
  <c r="BK1830" i="4"/>
  <c r="BK1802" i="4"/>
  <c r="BJ1774" i="4"/>
  <c r="BK1742" i="4"/>
  <c r="BJ1716" i="4"/>
  <c r="BJ1688" i="4"/>
  <c r="BK1669" i="4"/>
  <c r="BJ1646" i="4"/>
  <c r="BK1621" i="4"/>
  <c r="BK3554" i="4"/>
  <c r="BJ3512" i="4"/>
  <c r="BJ3465" i="4"/>
  <c r="BK3424" i="4"/>
  <c r="BJ3380" i="4"/>
  <c r="BJ3334" i="4"/>
  <c r="BJ3297" i="4"/>
  <c r="BJ3256" i="4"/>
  <c r="BJ3213" i="4"/>
  <c r="BK3169" i="4"/>
  <c r="BK3131" i="4"/>
  <c r="BJ3085" i="4"/>
  <c r="BK3046" i="4"/>
  <c r="BK3006" i="4"/>
  <c r="BJ2968" i="4"/>
  <c r="BJ2922" i="4"/>
  <c r="BJ2886" i="4"/>
  <c r="BJ2842" i="4"/>
  <c r="BJ2812" i="4"/>
  <c r="BK2775" i="4"/>
  <c r="BK2740" i="4"/>
  <c r="BJ2707" i="4"/>
  <c r="BJ2672" i="4"/>
  <c r="BJ2639" i="4"/>
  <c r="BK2601" i="4"/>
  <c r="BK2569" i="4"/>
  <c r="BJ2534" i="4"/>
  <c r="BJ2502" i="4"/>
  <c r="BJ2468" i="4"/>
  <c r="BJ2438" i="4"/>
  <c r="BJ2401" i="4"/>
  <c r="BK2369" i="4"/>
  <c r="BK2332" i="4"/>
  <c r="BJ2304" i="4"/>
  <c r="BK2272" i="4"/>
  <c r="BJ2241" i="4"/>
  <c r="BK2211" i="4"/>
  <c r="BJ2177" i="4"/>
  <c r="BK2146" i="4"/>
  <c r="BJ2113" i="4"/>
  <c r="BJ2086" i="4"/>
  <c r="BJ2057" i="4"/>
  <c r="BJ2030" i="4"/>
  <c r="BJ1998" i="4"/>
  <c r="BJ1974" i="4"/>
  <c r="BK1939" i="4"/>
  <c r="BK1914" i="4"/>
  <c r="BJ1883" i="4"/>
  <c r="BK1857" i="4"/>
  <c r="BJ1829" i="4"/>
  <c r="BJ1802" i="4"/>
  <c r="BK1771" i="4"/>
  <c r="BK1741" i="4"/>
  <c r="BJ1715" i="4"/>
  <c r="BK1687" i="4"/>
  <c r="BJ1669" i="4"/>
  <c r="BJ1644" i="4"/>
  <c r="BJ1621" i="4"/>
  <c r="BK1599" i="4"/>
  <c r="BJ1576" i="4"/>
  <c r="BJ1554" i="4"/>
  <c r="BK1531" i="4"/>
  <c r="BK1509" i="4"/>
  <c r="BJ1488" i="4"/>
  <c r="BJ1464" i="4"/>
  <c r="BJ1443" i="4"/>
  <c r="BK1420" i="4"/>
  <c r="BK1396" i="4"/>
  <c r="BK1378" i="4"/>
  <c r="BK1357" i="4"/>
  <c r="BK1335" i="4"/>
  <c r="BJ1318" i="4"/>
  <c r="BK1296" i="4"/>
  <c r="BJ1277" i="4"/>
  <c r="BK1259" i="4"/>
  <c r="BJ1238" i="4"/>
  <c r="BJ1219" i="4"/>
  <c r="BK1201" i="4"/>
  <c r="BK1180" i="4"/>
  <c r="BK1161" i="4"/>
  <c r="BJ1141" i="4"/>
  <c r="BJ1124" i="4"/>
  <c r="BK1105" i="4"/>
  <c r="BK1086" i="4"/>
  <c r="BJ1069" i="4"/>
  <c r="BK1051" i="4"/>
  <c r="BK1031" i="4"/>
  <c r="BK1015" i="4"/>
  <c r="BJ997" i="4"/>
  <c r="BJ981" i="4"/>
  <c r="BJ965" i="4"/>
  <c r="BJ949" i="4"/>
  <c r="BJ931" i="4"/>
  <c r="BJ916" i="4"/>
  <c r="BJ899" i="4"/>
  <c r="BJ882" i="4"/>
  <c r="BK866" i="4"/>
  <c r="BK850" i="4"/>
  <c r="BJ834" i="4"/>
  <c r="BK816" i="4"/>
  <c r="BJ801" i="4"/>
  <c r="BJ786" i="4"/>
  <c r="BK769" i="4"/>
  <c r="BJ755" i="4"/>
  <c r="BK741" i="4"/>
  <c r="BJ728" i="4"/>
  <c r="BK713" i="4"/>
  <c r="BJ699" i="4"/>
  <c r="BJ685" i="4"/>
  <c r="BK671" i="4"/>
  <c r="BJ658" i="4"/>
  <c r="BJ645" i="4"/>
  <c r="BK632" i="4"/>
  <c r="BJ620" i="4"/>
  <c r="BK607" i="4"/>
  <c r="BJ595" i="4"/>
  <c r="BJ582" i="4"/>
  <c r="BK569" i="4"/>
  <c r="BJ557" i="4"/>
  <c r="BJ544" i="4"/>
  <c r="BK531" i="4"/>
  <c r="BK518" i="4"/>
  <c r="BK505" i="4"/>
  <c r="BJ493" i="4"/>
  <c r="BK480" i="4"/>
  <c r="BJ468" i="4"/>
  <c r="BK455" i="4"/>
  <c r="BJ443" i="4"/>
  <c r="BK430" i="4"/>
  <c r="BK417" i="4"/>
  <c r="BJ405" i="4"/>
  <c r="BJ393" i="4"/>
  <c r="BK380" i="4"/>
  <c r="BK368" i="4"/>
  <c r="BK356" i="4"/>
  <c r="BK344" i="4"/>
  <c r="BK332" i="4"/>
  <c r="BK320" i="4"/>
  <c r="BK308" i="4"/>
  <c r="BJ296" i="4"/>
  <c r="BJ284" i="4"/>
  <c r="BJ272" i="4"/>
  <c r="BJ260" i="4"/>
  <c r="BJ248" i="4"/>
  <c r="BJ236" i="4"/>
  <c r="BJ224" i="4"/>
  <c r="BJ212" i="4"/>
  <c r="BJ200" i="4"/>
  <c r="BJ188" i="4"/>
  <c r="BK175" i="4"/>
  <c r="BK163" i="4"/>
  <c r="BK151" i="4"/>
  <c r="BJ3552" i="4"/>
  <c r="BK3510" i="4"/>
  <c r="BJ3464" i="4"/>
  <c r="BJ3424" i="4"/>
  <c r="BK3373" i="4"/>
  <c r="BK3333" i="4"/>
  <c r="BJ3293" i="4"/>
  <c r="BJ3251" i="4"/>
  <c r="BK3211" i="4"/>
  <c r="BJ3169" i="4"/>
  <c r="BK3130" i="4"/>
  <c r="BK3083" i="4"/>
  <c r="BK3045" i="4"/>
  <c r="BJ3004" i="4"/>
  <c r="BJ2964" i="4"/>
  <c r="BK2921" i="4"/>
  <c r="BK2885" i="4"/>
  <c r="BK2841" i="4"/>
  <c r="BJ2810" i="4"/>
  <c r="BJ2771" i="4"/>
  <c r="BJ2740" i="4"/>
  <c r="BJ2705" i="4"/>
  <c r="BK2671" i="4"/>
  <c r="BJ2638" i="4"/>
  <c r="BK2600" i="4"/>
  <c r="BJ2567" i="4"/>
  <c r="BK2533" i="4"/>
  <c r="BJ2501" i="4"/>
  <c r="BK2467" i="4"/>
  <c r="BK2436" i="4"/>
  <c r="BJ2399" i="4"/>
  <c r="BJ2369" i="4"/>
  <c r="BJ2332" i="4"/>
  <c r="BK2302" i="4"/>
  <c r="BK2270" i="4"/>
  <c r="BK2240" i="4"/>
  <c r="BK2209" i="4"/>
  <c r="BK2175" i="4"/>
  <c r="BK2145" i="4"/>
  <c r="BK2112" i="4"/>
  <c r="BJ2085" i="4"/>
  <c r="BK2056" i="4"/>
  <c r="BJ2029" i="4"/>
  <c r="BK1997" i="4"/>
  <c r="BJ1971" i="4"/>
  <c r="BJ1939" i="4"/>
  <c r="BK1913" i="4"/>
  <c r="BK1882" i="4"/>
  <c r="BJ1857" i="4"/>
  <c r="BK1824" i="4"/>
  <c r="BK1797" i="4"/>
  <c r="BK1769" i="4"/>
  <c r="BJ1740" i="4"/>
  <c r="BK1713" i="4"/>
  <c r="BK1686" i="4"/>
  <c r="BJ1666" i="4"/>
  <c r="BK1642" i="4"/>
  <c r="BK1620" i="4"/>
  <c r="BK1598" i="4"/>
  <c r="BK1575" i="4"/>
  <c r="BK1553" i="4"/>
  <c r="BJ1531" i="4"/>
  <c r="BJ1509" i="4"/>
  <c r="BK1487" i="4"/>
  <c r="BJ1463" i="4"/>
  <c r="BK1442" i="4"/>
  <c r="BJ1420" i="4"/>
  <c r="BJ1396" i="4"/>
  <c r="BK1377" i="4"/>
  <c r="BJ1357" i="4"/>
  <c r="BJ1335" i="4"/>
  <c r="BK1317" i="4"/>
  <c r="BK1295" i="4"/>
  <c r="BK1276" i="4"/>
  <c r="BJ1259" i="4"/>
  <c r="BK1237" i="4"/>
  <c r="BK1218" i="4"/>
  <c r="BJ1200" i="4"/>
  <c r="BJ1180" i="4"/>
  <c r="BJ1161" i="4"/>
  <c r="BJ1140" i="4"/>
  <c r="BK1123" i="4"/>
  <c r="BJ1105" i="4"/>
  <c r="BJ1086" i="4"/>
  <c r="BK1068" i="4"/>
  <c r="BJ1050" i="4"/>
  <c r="BJ1031" i="4"/>
  <c r="BK1014" i="4"/>
  <c r="BJ996" i="4"/>
  <c r="BJ980" i="4"/>
  <c r="BK964" i="4"/>
  <c r="BK948" i="4"/>
  <c r="BK930" i="4"/>
  <c r="BK915" i="4"/>
  <c r="BK898" i="4"/>
  <c r="BK881" i="4"/>
  <c r="BK865" i="4"/>
  <c r="BJ850" i="4"/>
  <c r="BK832" i="4"/>
  <c r="BJ816" i="4"/>
  <c r="BK800" i="4"/>
  <c r="BJ785" i="4"/>
  <c r="BJ769" i="4"/>
  <c r="BK754" i="4"/>
  <c r="BJ741" i="4"/>
  <c r="BK727" i="4"/>
  <c r="BK712" i="4"/>
  <c r="BK698" i="4"/>
  <c r="BK684" i="4"/>
  <c r="BK670" i="4"/>
  <c r="BJ657" i="4"/>
  <c r="BK644" i="4"/>
  <c r="BJ632" i="4"/>
  <c r="BK619" i="4"/>
  <c r="BJ607" i="4"/>
  <c r="BK594" i="4"/>
  <c r="BK581" i="4"/>
  <c r="BJ569" i="4"/>
  <c r="BJ556" i="4"/>
  <c r="BK543" i="4"/>
  <c r="BK530" i="4"/>
  <c r="BJ518" i="4"/>
  <c r="BJ505" i="4"/>
  <c r="BK492" i="4"/>
  <c r="BJ480" i="4"/>
  <c r="BK467" i="4"/>
  <c r="BJ455" i="4"/>
  <c r="BK442" i="4"/>
  <c r="BJ430" i="4"/>
  <c r="BJ417" i="4"/>
  <c r="BK404" i="4"/>
  <c r="BJ392" i="4"/>
  <c r="BJ380" i="4"/>
  <c r="BJ368" i="4"/>
  <c r="BJ356" i="4"/>
  <c r="BJ344" i="4"/>
  <c r="BJ332" i="4"/>
  <c r="BJ320" i="4"/>
  <c r="BK307" i="4"/>
  <c r="BK295" i="4"/>
  <c r="BK283" i="4"/>
  <c r="BK271" i="4"/>
  <c r="BK259" i="4"/>
  <c r="BK247" i="4"/>
  <c r="BK235" i="4"/>
  <c r="BK223" i="4"/>
  <c r="BK211" i="4"/>
  <c r="BK199" i="4"/>
  <c r="BK187" i="4"/>
  <c r="BJ175" i="4"/>
  <c r="BJ163" i="4"/>
  <c r="BJ151" i="4"/>
  <c r="BK138" i="4"/>
  <c r="BK126" i="4"/>
  <c r="BK114" i="4"/>
  <c r="BK103" i="4"/>
  <c r="BK92" i="4"/>
  <c r="BK81" i="4"/>
  <c r="BK70" i="4"/>
  <c r="BK59" i="4"/>
  <c r="BK48" i="4"/>
  <c r="BK37" i="4"/>
  <c r="BK26" i="4"/>
  <c r="BK15" i="4"/>
  <c r="BK4" i="4"/>
  <c r="BK3551" i="4"/>
  <c r="BK3507" i="4"/>
  <c r="BJ3463" i="4"/>
  <c r="BK3422" i="4"/>
  <c r="BK3372" i="4"/>
  <c r="BJ3333" i="4"/>
  <c r="BK3287" i="4"/>
  <c r="BJ3250" i="4"/>
  <c r="BK3206" i="4"/>
  <c r="BK3168" i="4"/>
  <c r="BJ3130" i="4"/>
  <c r="BJ3083" i="4"/>
  <c r="BJ3044" i="4"/>
  <c r="BJ2999" i="4"/>
  <c r="BJ2962" i="4"/>
  <c r="BJ2921" i="4"/>
  <c r="BK2883" i="4"/>
  <c r="BK2839" i="4"/>
  <c r="BK2809" i="4"/>
  <c r="BJ2770" i="4"/>
  <c r="BK2739" i="4"/>
  <c r="BK2702" i="4"/>
  <c r="BJ2671" i="4"/>
  <c r="BK2633" i="4"/>
  <c r="BJ2600" i="4"/>
  <c r="BK2564" i="4"/>
  <c r="BJ2533" i="4"/>
  <c r="BJ2500" i="4"/>
  <c r="BJ2467" i="4"/>
  <c r="BJ2436" i="4"/>
  <c r="BK2397" i="4"/>
  <c r="BJ2366" i="4"/>
  <c r="BJ2331" i="4"/>
  <c r="BJ2302" i="4"/>
  <c r="BJ2270" i="4"/>
  <c r="BJ2240" i="4"/>
  <c r="BK2203" i="4"/>
  <c r="BJ2174" i="4"/>
  <c r="BJ2143" i="4"/>
  <c r="BJ2112" i="4"/>
  <c r="BJ2084" i="4"/>
  <c r="BJ2056" i="4"/>
  <c r="BK2027" i="4"/>
  <c r="BJ1996" i="4"/>
  <c r="BK1969" i="4"/>
  <c r="BK1938" i="4"/>
  <c r="BK1912" i="4"/>
  <c r="BJ1882" i="4"/>
  <c r="BK1856" i="4"/>
  <c r="BJ1823" i="4"/>
  <c r="BJ1797" i="4"/>
  <c r="BJ1766" i="4"/>
  <c r="BK1739" i="4"/>
  <c r="BK1711" i="4"/>
  <c r="BJ1686" i="4"/>
  <c r="BJ1664" i="4"/>
  <c r="BJ1641" i="4"/>
  <c r="BJ1620" i="4"/>
  <c r="BJ1597" i="4"/>
  <c r="BJ1575" i="4"/>
  <c r="BJ1553" i="4"/>
  <c r="BJ1529" i="4"/>
  <c r="BJ1508" i="4"/>
  <c r="BJ1486" i="4"/>
  <c r="BK1461" i="4"/>
  <c r="BJ1442" i="4"/>
  <c r="BJ1419" i="4"/>
  <c r="BK1395" i="4"/>
  <c r="BJ1377" i="4"/>
  <c r="BK1355" i="4"/>
  <c r="BK1334" i="4"/>
  <c r="BK1315" i="4"/>
  <c r="BK1294" i="4"/>
  <c r="BK1275" i="4"/>
  <c r="BK1256" i="4"/>
  <c r="BJ1237" i="4"/>
  <c r="BJ1218" i="4"/>
  <c r="BJ1197" i="4"/>
  <c r="BK1179" i="4"/>
  <c r="BJ1160" i="4"/>
  <c r="BJ1139" i="4"/>
  <c r="BJ1123" i="4"/>
  <c r="BJ1104" i="4"/>
  <c r="BK1084" i="4"/>
  <c r="BJ1068" i="4"/>
  <c r="BJ1048" i="4"/>
  <c r="BK1030" i="4"/>
  <c r="BK1013" i="4"/>
  <c r="BK995" i="4"/>
  <c r="BK979" i="4"/>
  <c r="BJ964" i="4"/>
  <c r="BK946" i="4"/>
  <c r="BJ930" i="4"/>
  <c r="BJ915" i="4"/>
  <c r="BK897" i="4"/>
  <c r="BJ881" i="4"/>
  <c r="BK864" i="4"/>
  <c r="BJ849" i="4"/>
  <c r="BK3547" i="4"/>
  <c r="BK3506" i="4"/>
  <c r="BK3462" i="4"/>
  <c r="BK3421" i="4"/>
  <c r="BK3371" i="4"/>
  <c r="BK3332" i="4"/>
  <c r="BJ3287" i="4"/>
  <c r="BK3248" i="4"/>
  <c r="BJ3204" i="4"/>
  <c r="BJ3168" i="4"/>
  <c r="BJ3122" i="4"/>
  <c r="BK3081" i="4"/>
  <c r="BK3043" i="4"/>
  <c r="BK2998" i="4"/>
  <c r="BK2957" i="4"/>
  <c r="BJ2920" i="4"/>
  <c r="BJ2883" i="4"/>
  <c r="BK17" i="4"/>
  <c r="BK33" i="4"/>
  <c r="BK47" i="4"/>
  <c r="BK64" i="4"/>
  <c r="BK78" i="4"/>
  <c r="BJ93" i="4"/>
  <c r="BK109" i="4"/>
  <c r="BK124" i="4"/>
  <c r="BJ141" i="4"/>
  <c r="BJ159" i="4"/>
  <c r="BK176" i="4"/>
  <c r="BK194" i="4"/>
  <c r="BJ211" i="4"/>
  <c r="BJ230" i="4"/>
  <c r="BK246" i="4"/>
  <c r="BK266" i="4"/>
  <c r="BJ282" i="4"/>
  <c r="BJ302" i="4"/>
  <c r="BK317" i="4"/>
  <c r="BK337" i="4"/>
  <c r="BK353" i="4"/>
  <c r="BJ371" i="4"/>
  <c r="BJ389" i="4"/>
  <c r="BK406" i="4"/>
  <c r="BK425" i="4"/>
  <c r="BK443" i="4"/>
  <c r="BK463" i="4"/>
  <c r="BK479" i="4"/>
  <c r="BK500" i="4"/>
  <c r="BK516" i="4"/>
  <c r="BK537" i="4"/>
  <c r="BK554" i="4"/>
  <c r="BJ575" i="4"/>
  <c r="BK591" i="4"/>
  <c r="BK612" i="4"/>
  <c r="BK629" i="4"/>
  <c r="BK647" i="4"/>
  <c r="BJ667" i="4"/>
  <c r="BJ687" i="4"/>
  <c r="BJ708" i="4"/>
  <c r="BK728" i="4"/>
  <c r="BK750" i="4"/>
  <c r="BJ768" i="4"/>
  <c r="BJ793" i="4"/>
  <c r="BJ815" i="4"/>
  <c r="BJ841" i="4"/>
  <c r="BJ864" i="4"/>
  <c r="BK892" i="4"/>
  <c r="BK917" i="4"/>
  <c r="BK942" i="4"/>
  <c r="BJ971" i="4"/>
  <c r="BJ994" i="4"/>
  <c r="BJ1024" i="4"/>
  <c r="BJ1047" i="4"/>
  <c r="BK1080" i="4"/>
  <c r="BJ1109" i="4"/>
  <c r="BK1136" i="4"/>
  <c r="BJ1169" i="4"/>
  <c r="BK1194" i="4"/>
  <c r="BK1229" i="4"/>
  <c r="BJ1256" i="4"/>
  <c r="BJ1289" i="4"/>
  <c r="BK1319" i="4"/>
  <c r="BJ1350" i="4"/>
  <c r="BJ1386" i="4"/>
  <c r="BJ1416" i="4"/>
  <c r="BK1455" i="4"/>
  <c r="BK1485" i="4"/>
  <c r="BJ1524" i="4"/>
  <c r="BK1555" i="4"/>
  <c r="BJ1591" i="4"/>
  <c r="BK1632" i="4"/>
  <c r="BJ1663" i="4"/>
  <c r="BK1705" i="4"/>
  <c r="BJ1758" i="4"/>
  <c r="BK1803" i="4"/>
  <c r="BJ1850" i="4"/>
  <c r="BJ1900" i="4"/>
  <c r="BK1949" i="4"/>
  <c r="BJ1993" i="4"/>
  <c r="BJ2046" i="4"/>
  <c r="BK2096" i="4"/>
  <c r="BK2138" i="4"/>
  <c r="BJ2198" i="4"/>
  <c r="BJ2258" i="4"/>
  <c r="BJ2300" i="4"/>
  <c r="BJ2358" i="4"/>
  <c r="BJ2419" i="4"/>
  <c r="BJ2472" i="4"/>
  <c r="BJ2528" i="4"/>
  <c r="BJ2586" i="4"/>
  <c r="BK2644" i="4"/>
  <c r="BK2696" i="4"/>
  <c r="BJ2762" i="4"/>
  <c r="BJ2826" i="4"/>
  <c r="BJ2879" i="4"/>
  <c r="BK2951" i="4"/>
  <c r="BJ3029" i="4"/>
  <c r="BJ3113" i="4"/>
  <c r="BK3189" i="4"/>
  <c r="BJ3260" i="4"/>
  <c r="BJ3331" i="4"/>
  <c r="BK3411" i="4"/>
  <c r="BK3493" i="4"/>
  <c r="BJ3582" i="4"/>
  <c r="BJ3" i="4"/>
  <c r="BJ18" i="4"/>
  <c r="BJ34" i="4"/>
  <c r="BJ48" i="4"/>
  <c r="BJ65" i="4"/>
  <c r="BJ79" i="4"/>
  <c r="BK93" i="4"/>
  <c r="BJ110" i="4"/>
  <c r="BJ125" i="4"/>
  <c r="BK141" i="4"/>
  <c r="BK159" i="4"/>
  <c r="BK177" i="4"/>
  <c r="BJ195" i="4"/>
  <c r="BK212" i="4"/>
  <c r="BK230" i="4"/>
  <c r="BJ247" i="4"/>
  <c r="BJ267" i="4"/>
  <c r="BK282" i="4"/>
  <c r="BK302" i="4"/>
  <c r="BJ318" i="4"/>
  <c r="BJ338" i="4"/>
  <c r="BJ354" i="4"/>
  <c r="BK373" i="4"/>
  <c r="BK389" i="4"/>
  <c r="BK407" i="4"/>
  <c r="BJ426" i="4"/>
  <c r="BK444" i="4"/>
  <c r="BJ464" i="4"/>
  <c r="BJ481" i="4"/>
  <c r="BJ501" i="4"/>
  <c r="BK517" i="4"/>
  <c r="BJ538" i="4"/>
  <c r="BJ555" i="4"/>
  <c r="BK575" i="4"/>
  <c r="BJ592" i="4"/>
  <c r="BJ613" i="4"/>
  <c r="BJ630" i="4"/>
  <c r="BK650" i="4"/>
  <c r="BK667" i="4"/>
  <c r="BJ688" i="4"/>
  <c r="BK708" i="4"/>
  <c r="BK729" i="4"/>
  <c r="BJ751" i="4"/>
  <c r="BJ771" i="4"/>
  <c r="BJ794" i="4"/>
  <c r="BK815" i="4"/>
  <c r="BK841" i="4"/>
  <c r="BJ867" i="4"/>
  <c r="BJ893" i="4"/>
  <c r="BJ918" i="4"/>
  <c r="BJ943" i="4"/>
  <c r="BJ972" i="4"/>
  <c r="BK994" i="4"/>
  <c r="BK1024" i="4"/>
  <c r="BK1052" i="4"/>
  <c r="BJ1081" i="4"/>
  <c r="BK1109" i="4"/>
  <c r="BJ1137" i="4"/>
  <c r="BJ1170" i="4"/>
  <c r="BJ1195" i="4"/>
  <c r="BJ1230" i="4"/>
  <c r="BK1260" i="4"/>
  <c r="BK1289" i="4"/>
  <c r="BJ1320" i="4"/>
  <c r="BK1350" i="4"/>
  <c r="BK1386" i="4"/>
  <c r="BJ1417" i="4"/>
  <c r="BJ1456" i="4"/>
  <c r="BK1488" i="4"/>
  <c r="BK1524" i="4"/>
  <c r="BJ1556" i="4"/>
  <c r="BJ1592" i="4"/>
  <c r="BJ1634" i="4"/>
  <c r="BK1670" i="4"/>
  <c r="BJ1708" i="4"/>
  <c r="BK1758" i="4"/>
  <c r="BJ1804" i="4"/>
  <c r="BJ1851" i="4"/>
  <c r="BK1900" i="4"/>
  <c r="BJ1954" i="4"/>
  <c r="BJ1994" i="4"/>
  <c r="BK2047" i="4"/>
  <c r="BJ2097" i="4"/>
  <c r="BJ2139" i="4"/>
  <c r="BK2198" i="4"/>
  <c r="BK2258" i="4"/>
  <c r="BK2307" i="4"/>
  <c r="BJ2361" i="4"/>
  <c r="BK2419" i="4"/>
  <c r="BJ2475" i="4"/>
  <c r="BK2528" i="4"/>
  <c r="BJ2591" i="4"/>
  <c r="BK2648" i="4"/>
  <c r="BK2698" i="4"/>
  <c r="BJ2764" i="4"/>
  <c r="BJ2827" i="4"/>
  <c r="BK2888" i="4"/>
  <c r="BJ2954" i="4"/>
  <c r="BJ3030" i="4"/>
  <c r="BJ3114" i="4"/>
  <c r="BJ3190" i="4"/>
  <c r="BK3274" i="4"/>
  <c r="BJ3341" i="4"/>
  <c r="BK3414" i="4"/>
  <c r="BJ3494" i="4"/>
  <c r="BJ3583" i="4"/>
  <c r="BB477" i="4"/>
  <c r="BA477" i="4"/>
  <c r="BA470" i="4"/>
  <c r="BB470" i="4"/>
  <c r="BA403" i="4"/>
  <c r="BB403" i="4"/>
  <c r="BA402" i="4"/>
  <c r="BB402" i="4"/>
  <c r="BB515" i="4"/>
  <c r="BA515" i="4"/>
  <c r="BB569" i="4"/>
  <c r="BA569" i="4"/>
  <c r="BB406" i="4"/>
  <c r="BA406" i="4"/>
  <c r="BA511" i="4"/>
  <c r="BB511" i="4"/>
  <c r="BA407" i="4"/>
  <c r="BB407" i="4"/>
  <c r="BB455" i="4"/>
  <c r="BA455" i="4"/>
  <c r="BB545" i="4"/>
  <c r="BA545" i="4"/>
  <c r="BB479" i="4"/>
  <c r="BA479" i="4"/>
  <c r="BB427" i="4"/>
  <c r="BA427" i="4"/>
  <c r="BB659" i="4"/>
  <c r="BA659" i="4"/>
  <c r="BB415" i="4"/>
  <c r="BA415" i="4"/>
  <c r="BA439" i="4"/>
  <c r="BB538" i="4"/>
  <c r="BA538" i="4"/>
  <c r="BB496" i="4"/>
  <c r="BA496" i="4"/>
  <c r="BA524" i="4"/>
  <c r="BB524" i="4"/>
  <c r="P588" i="4"/>
  <c r="BB649" i="4"/>
  <c r="BA649" i="4"/>
  <c r="BA433" i="4"/>
  <c r="BB433" i="4"/>
  <c r="BB440" i="4"/>
  <c r="BA440" i="4"/>
  <c r="BA488" i="4"/>
  <c r="BB488" i="4"/>
  <c r="BA513" i="4"/>
  <c r="BA553" i="4"/>
  <c r="BB553" i="4"/>
  <c r="BA594" i="4"/>
  <c r="BB594" i="4"/>
  <c r="O607" i="4"/>
  <c r="BA453" i="4"/>
  <c r="P578" i="4"/>
  <c r="P607" i="4"/>
  <c r="BA558" i="4"/>
  <c r="BB558" i="4"/>
  <c r="BB587" i="4"/>
  <c r="BA587" i="4"/>
  <c r="BA424" i="4"/>
  <c r="BB424" i="4"/>
  <c r="BB501" i="4"/>
  <c r="BA501" i="4"/>
  <c r="BB517" i="4"/>
  <c r="BA517" i="4"/>
  <c r="BB532" i="4"/>
  <c r="BA532" i="4"/>
  <c r="P617" i="4"/>
  <c r="O617" i="4"/>
  <c r="BA523" i="4"/>
  <c r="BB523" i="4"/>
  <c r="BB567" i="4"/>
  <c r="BA567" i="4"/>
  <c r="BB573" i="4"/>
  <c r="BA573" i="4"/>
  <c r="P603" i="4"/>
  <c r="AQ658" i="4"/>
  <c r="AQ659" i="4" s="1"/>
  <c r="AQ660" i="4" s="1"/>
  <c r="AQ661" i="4" s="1"/>
  <c r="AQ662" i="4" s="1"/>
  <c r="BB413" i="4"/>
  <c r="BA413" i="4"/>
  <c r="BA507" i="4"/>
  <c r="BB507" i="4"/>
  <c r="BB561" i="4"/>
  <c r="BA561" i="4"/>
  <c r="BB521" i="4"/>
  <c r="BA521" i="4"/>
  <c r="BB564" i="4"/>
  <c r="BA564" i="4"/>
  <c r="BB580" i="4"/>
  <c r="BA580" i="4"/>
  <c r="BB459" i="4"/>
  <c r="BA459" i="4"/>
  <c r="BA492" i="4"/>
  <c r="BB492" i="4"/>
  <c r="BB502" i="4"/>
  <c r="BA502" i="4"/>
  <c r="BB410" i="4"/>
  <c r="BA410" i="4"/>
  <c r="O592" i="4"/>
  <c r="BB527" i="4"/>
  <c r="BA527" i="4"/>
  <c r="BB529" i="4"/>
  <c r="BA529" i="4"/>
  <c r="P573" i="4"/>
  <c r="O573" i="4"/>
  <c r="BB602" i="4"/>
  <c r="BA602" i="4"/>
  <c r="BB636" i="4"/>
  <c r="BA636" i="4"/>
  <c r="BA536" i="4"/>
  <c r="BB536" i="4"/>
  <c r="AA643" i="4"/>
  <c r="BA543" i="4"/>
  <c r="BB543" i="4"/>
  <c r="BB591" i="4"/>
  <c r="BA591" i="4"/>
  <c r="BB595" i="4"/>
  <c r="BA595" i="4"/>
  <c r="BB618" i="4"/>
  <c r="BA618" i="4"/>
  <c r="AB643" i="4"/>
  <c r="BB461" i="4"/>
  <c r="BA461" i="4"/>
  <c r="BA457" i="4"/>
  <c r="O570" i="4"/>
  <c r="BB612" i="4"/>
  <c r="BA612" i="4"/>
  <c r="BB634" i="4"/>
  <c r="BA634" i="4"/>
  <c r="P570" i="4"/>
  <c r="BB583" i="4"/>
  <c r="BA583" i="4"/>
  <c r="BB498" i="4"/>
  <c r="BA498" i="4"/>
  <c r="BA547" i="4"/>
  <c r="BB547" i="4"/>
  <c r="BA554" i="4"/>
  <c r="BB530" i="4"/>
  <c r="BA530" i="4"/>
  <c r="BB447" i="4"/>
  <c r="BB454" i="4"/>
  <c r="BA454" i="4"/>
  <c r="BB537" i="4"/>
  <c r="BA537" i="4"/>
  <c r="P599" i="4"/>
  <c r="O610" i="4"/>
  <c r="P640" i="4"/>
  <c r="O635" i="4"/>
  <c r="U652" i="4"/>
  <c r="P635" i="4"/>
  <c r="V637" i="4"/>
  <c r="O595" i="4"/>
  <c r="P602" i="4"/>
  <c r="P649" i="4"/>
  <c r="O649" i="4"/>
  <c r="U650" i="4"/>
  <c r="BB556" i="4"/>
  <c r="BB656" i="4"/>
  <c r="BA656" i="4"/>
  <c r="BB661" i="4"/>
  <c r="BA661" i="4"/>
  <c r="BB623" i="4"/>
  <c r="BA623" i="4"/>
  <c r="BB491" i="4"/>
  <c r="BB568" i="4"/>
  <c r="BA568" i="4"/>
  <c r="BA640" i="4"/>
  <c r="BB640" i="4"/>
  <c r="BA422" i="4"/>
  <c r="BA487" i="4"/>
  <c r="O579" i="4"/>
  <c r="BB585" i="4"/>
  <c r="BA585" i="4"/>
  <c r="BA586" i="4"/>
  <c r="BB617" i="4"/>
  <c r="BA617" i="4"/>
  <c r="BA630" i="4"/>
  <c r="BA483" i="4"/>
  <c r="BB560" i="4"/>
  <c r="P579" i="4"/>
  <c r="BA590" i="4"/>
  <c r="O640" i="4"/>
  <c r="BB584" i="4"/>
  <c r="BA584" i="4"/>
  <c r="P596" i="4"/>
  <c r="P618" i="4"/>
  <c r="AA653" i="4"/>
  <c r="BB678" i="4"/>
  <c r="BA678" i="4"/>
  <c r="BB546" i="4"/>
  <c r="BA546" i="4"/>
  <c r="P624" i="4"/>
  <c r="AB652" i="4"/>
  <c r="AB653" i="4"/>
  <c r="BB559" i="4"/>
  <c r="BA559" i="4"/>
  <c r="BB628" i="4"/>
  <c r="BA628" i="4"/>
  <c r="BA641" i="4"/>
  <c r="V644" i="4"/>
  <c r="O629" i="4"/>
  <c r="BA635" i="4"/>
  <c r="AA644" i="4"/>
  <c r="U649" i="4"/>
  <c r="BA671" i="4"/>
  <c r="P592" i="4"/>
  <c r="P629" i="4"/>
  <c r="V649" i="4"/>
  <c r="BB642" i="4"/>
  <c r="BA642" i="4"/>
  <c r="BB652" i="4"/>
  <c r="BA652" i="4"/>
  <c r="BA660" i="4"/>
  <c r="BB664" i="4"/>
  <c r="BA664" i="4"/>
  <c r="BB606" i="4"/>
  <c r="BA606" i="4"/>
  <c r="BA629" i="4"/>
  <c r="BB675" i="4"/>
  <c r="BA675" i="4"/>
  <c r="AB644" i="4"/>
  <c r="P643" i="4"/>
  <c r="BA644" i="4"/>
  <c r="BB674" i="4"/>
  <c r="BA674" i="4"/>
  <c r="U641" i="4"/>
  <c r="BA666" i="4"/>
  <c r="U592" i="2"/>
  <c r="V592" i="2"/>
  <c r="U18" i="2"/>
  <c r="U32" i="2"/>
  <c r="V114" i="2"/>
  <c r="V118" i="2"/>
  <c r="U118" i="2"/>
  <c r="U145" i="2"/>
  <c r="V168" i="2"/>
  <c r="V262" i="2"/>
  <c r="V270" i="2"/>
  <c r="U270" i="2"/>
  <c r="U318" i="2"/>
  <c r="U325" i="2"/>
  <c r="V345" i="2"/>
  <c r="V14" i="2"/>
  <c r="V28" i="2"/>
  <c r="U28" i="2"/>
  <c r="V56" i="2"/>
  <c r="U228" i="2"/>
  <c r="V305" i="2"/>
  <c r="U315" i="2"/>
  <c r="U65" i="2"/>
  <c r="U84" i="2"/>
  <c r="U157" i="2"/>
  <c r="V177" i="2"/>
  <c r="U177" i="2"/>
  <c r="U236" i="2"/>
  <c r="U255" i="2"/>
  <c r="U312" i="2"/>
  <c r="V322" i="2"/>
  <c r="U332" i="2"/>
  <c r="U10" i="2"/>
  <c r="U38" i="2"/>
  <c r="U52" i="2"/>
  <c r="V61" i="2"/>
  <c r="V92" i="2"/>
  <c r="V119" i="2"/>
  <c r="V138" i="2"/>
  <c r="U146" i="2"/>
  <c r="V165" i="2"/>
  <c r="V169" i="2"/>
  <c r="U193" i="2"/>
  <c r="U205" i="2"/>
  <c r="V244" i="2"/>
  <c r="U244" i="2"/>
  <c r="V290" i="2"/>
  <c r="V372" i="2"/>
  <c r="U372" i="2"/>
  <c r="U498" i="2"/>
  <c r="V498" i="2"/>
  <c r="V523" i="2"/>
  <c r="U523" i="2"/>
  <c r="V585" i="2"/>
  <c r="U585" i="2"/>
  <c r="V239" i="2"/>
  <c r="V468" i="2"/>
  <c r="U468" i="2"/>
  <c r="U412" i="2"/>
  <c r="V412" i="2"/>
  <c r="U57" i="2"/>
  <c r="U231" i="2"/>
  <c r="U209" i="2"/>
  <c r="V432" i="2"/>
  <c r="U432" i="2"/>
  <c r="V479" i="2"/>
  <c r="U479" i="2"/>
  <c r="U64" i="2"/>
  <c r="U83" i="2"/>
  <c r="U5" i="2"/>
  <c r="U19" i="2"/>
  <c r="U47" i="2"/>
  <c r="V88" i="2"/>
  <c r="U142" i="2"/>
  <c r="U329" i="2"/>
  <c r="V366" i="2"/>
  <c r="P366" i="2" s="1"/>
  <c r="S366" i="2" s="1"/>
  <c r="T366" i="2" s="1"/>
  <c r="U48" i="2"/>
  <c r="U62" i="2"/>
  <c r="V112" i="2"/>
  <c r="V135" i="2"/>
  <c r="U158" i="2"/>
  <c r="V166" i="2"/>
  <c r="U166" i="2"/>
  <c r="V383" i="2"/>
  <c r="V430" i="2"/>
  <c r="U430" i="2"/>
  <c r="V564" i="2"/>
  <c r="O564" i="2" s="1"/>
  <c r="V607" i="2"/>
  <c r="U607" i="2"/>
  <c r="U390" i="2"/>
  <c r="V390" i="2"/>
  <c r="U87" i="2"/>
  <c r="U106" i="2"/>
  <c r="U160" i="2"/>
  <c r="U254" i="2"/>
  <c r="U281" i="2"/>
  <c r="U328" i="2"/>
  <c r="U348" i="2"/>
  <c r="U66" i="2"/>
  <c r="V162" i="2"/>
  <c r="V225" i="2"/>
  <c r="V287" i="2"/>
  <c r="V306" i="2"/>
  <c r="V316" i="2"/>
  <c r="U340" i="2"/>
  <c r="U350" i="2"/>
  <c r="V361" i="2"/>
  <c r="U361" i="2"/>
  <c r="U370" i="2"/>
  <c r="U25" i="2"/>
  <c r="U39" i="2"/>
  <c r="U53" i="2"/>
  <c r="U70" i="2"/>
  <c r="U97" i="2"/>
  <c r="U116" i="2"/>
  <c r="U120" i="2"/>
  <c r="U139" i="2"/>
  <c r="U143" i="2"/>
  <c r="U182" i="2"/>
  <c r="U194" i="2"/>
  <c r="U264" i="2"/>
  <c r="U268" i="2"/>
  <c r="U272" i="2"/>
  <c r="U291" i="2"/>
  <c r="U295" i="2"/>
  <c r="V357" i="2"/>
  <c r="V380" i="2"/>
  <c r="U380" i="2"/>
  <c r="V395" i="2"/>
  <c r="U395" i="2"/>
  <c r="U408" i="2"/>
  <c r="U410" i="2"/>
  <c r="V450" i="2"/>
  <c r="V488" i="2"/>
  <c r="U488" i="2"/>
  <c r="V81" i="2"/>
  <c r="V127" i="2"/>
  <c r="V279" i="2"/>
  <c r="V74" i="2"/>
  <c r="U74" i="2"/>
  <c r="V218" i="2"/>
  <c r="U218" i="2"/>
  <c r="U359" i="2"/>
  <c r="V397" i="2"/>
  <c r="U397" i="2"/>
  <c r="V448" i="2"/>
  <c r="N448" i="2" s="1"/>
  <c r="U4" i="2"/>
  <c r="V27" i="2"/>
  <c r="U60" i="2"/>
  <c r="V68" i="2"/>
  <c r="V91" i="2"/>
  <c r="V141" i="2"/>
  <c r="V172" i="2"/>
  <c r="V176" i="2"/>
  <c r="V180" i="2"/>
  <c r="U184" i="2"/>
  <c r="V258" i="2"/>
  <c r="V308" i="2"/>
  <c r="S375" i="2"/>
  <c r="T375" i="2" s="1"/>
  <c r="V23" i="2"/>
  <c r="V80" i="2"/>
  <c r="V107" i="2"/>
  <c r="U107" i="2"/>
  <c r="U134" i="2"/>
  <c r="V556" i="2"/>
  <c r="U556" i="2"/>
  <c r="U73" i="2"/>
  <c r="U77" i="2"/>
  <c r="U201" i="2"/>
  <c r="U217" i="2"/>
  <c r="U298" i="2"/>
  <c r="U302" i="2"/>
  <c r="V309" i="2"/>
  <c r="V6" i="2"/>
  <c r="U6" i="2"/>
  <c r="V34" i="2"/>
  <c r="V43" i="2"/>
  <c r="V85" i="2"/>
  <c r="U85" i="2"/>
  <c r="V108" i="2"/>
  <c r="V131" i="2"/>
  <c r="V154" i="2"/>
  <c r="U229" i="2"/>
  <c r="V323" i="2"/>
  <c r="U323" i="2"/>
  <c r="V353" i="2"/>
  <c r="V445" i="2"/>
  <c r="U445" i="2"/>
  <c r="V615" i="2"/>
  <c r="U615" i="2"/>
  <c r="V619" i="2"/>
  <c r="U619" i="2"/>
  <c r="H671" i="2"/>
  <c r="V417" i="2"/>
  <c r="U417" i="2"/>
  <c r="U41" i="2"/>
  <c r="V110" i="2"/>
  <c r="V156" i="2"/>
  <c r="V235" i="2"/>
  <c r="V338" i="2"/>
  <c r="V419" i="2"/>
  <c r="U419" i="2"/>
  <c r="V421" i="2"/>
  <c r="U421" i="2"/>
  <c r="U69" i="2"/>
  <c r="U173" i="2"/>
  <c r="V232" i="2"/>
  <c r="U240" i="2"/>
  <c r="U294" i="2"/>
  <c r="V426" i="2"/>
  <c r="V9" i="2"/>
  <c r="V72" i="2"/>
  <c r="V95" i="2"/>
  <c r="U130" i="2"/>
  <c r="U149" i="2"/>
  <c r="V216" i="2"/>
  <c r="V247" i="2"/>
  <c r="V604" i="2"/>
  <c r="U604" i="2"/>
  <c r="V123" i="2"/>
  <c r="U150" i="2"/>
  <c r="U213" i="2"/>
  <c r="U221" i="2"/>
  <c r="U275" i="2"/>
  <c r="U283" i="2"/>
  <c r="U319" i="2"/>
  <c r="U326" i="2"/>
  <c r="V374" i="2"/>
  <c r="U374" i="2"/>
  <c r="V63" i="2"/>
  <c r="U63" i="2"/>
  <c r="V307" i="2"/>
  <c r="U307" i="2"/>
  <c r="V369" i="2"/>
  <c r="U369" i="2"/>
  <c r="V382" i="2"/>
  <c r="U382" i="2"/>
  <c r="V393" i="2"/>
  <c r="V50" i="2"/>
  <c r="U50" i="2"/>
  <c r="V129" i="2"/>
  <c r="U129" i="2"/>
  <c r="V364" i="2"/>
  <c r="U364" i="2"/>
  <c r="V103" i="2"/>
  <c r="U161" i="2"/>
  <c r="U224" i="2"/>
  <c r="V251" i="2"/>
  <c r="V96" i="2"/>
  <c r="U96" i="2"/>
  <c r="U398" i="2"/>
  <c r="V140" i="2"/>
  <c r="U140" i="2"/>
  <c r="V443" i="2"/>
  <c r="U443" i="2"/>
  <c r="U472" i="2"/>
  <c r="V472" i="2"/>
  <c r="V377" i="2"/>
  <c r="U377" i="2"/>
  <c r="U76" i="2"/>
  <c r="U99" i="2"/>
  <c r="U188" i="2"/>
  <c r="U212" i="2"/>
  <c r="U220" i="2"/>
  <c r="U243" i="2"/>
  <c r="U266" i="2"/>
  <c r="U301" i="2"/>
  <c r="U342" i="2"/>
  <c r="V385" i="2"/>
  <c r="U385" i="2"/>
  <c r="V407" i="2"/>
  <c r="U407" i="2"/>
  <c r="V514" i="2"/>
  <c r="U514" i="2"/>
  <c r="U470" i="2"/>
  <c r="V470" i="2"/>
  <c r="U606" i="2"/>
  <c r="V606" i="2"/>
  <c r="V203" i="2"/>
  <c r="U203" i="2"/>
  <c r="U509" i="2"/>
  <c r="V509" i="2"/>
  <c r="V434" i="2"/>
  <c r="U434" i="2"/>
  <c r="V423" i="2"/>
  <c r="U423" i="2"/>
  <c r="U192" i="2"/>
  <c r="U207" i="2"/>
  <c r="U233" i="2"/>
  <c r="U259" i="2"/>
  <c r="U300" i="2"/>
  <c r="U320" i="2"/>
  <c r="U339" i="2"/>
  <c r="U516" i="2"/>
  <c r="V516" i="2"/>
  <c r="U520" i="2"/>
  <c r="V520" i="2"/>
  <c r="V455" i="2"/>
  <c r="U455" i="2"/>
  <c r="V457" i="2"/>
  <c r="U457" i="2"/>
  <c r="V547" i="2"/>
  <c r="U547" i="2"/>
  <c r="S573" i="2"/>
  <c r="T573" i="2" s="1"/>
  <c r="U614" i="2"/>
  <c r="V614" i="2"/>
  <c r="U11" i="2"/>
  <c r="U33" i="2"/>
  <c r="U55" i="2"/>
  <c r="U159" i="2"/>
  <c r="U174" i="2"/>
  <c r="U200" i="2"/>
  <c r="U226" i="2"/>
  <c r="U267" i="2"/>
  <c r="U282" i="2"/>
  <c r="U333" i="2"/>
  <c r="U349" i="2"/>
  <c r="V545" i="2"/>
  <c r="U545" i="2"/>
  <c r="U549" i="2"/>
  <c r="V549" i="2"/>
  <c r="V512" i="2"/>
  <c r="O512" i="2" s="1"/>
  <c r="V578" i="2"/>
  <c r="U578" i="2"/>
  <c r="U387" i="2"/>
  <c r="U409" i="2"/>
  <c r="U465" i="2"/>
  <c r="V465" i="2"/>
  <c r="V543" i="2"/>
  <c r="U543" i="2"/>
  <c r="V597" i="2"/>
  <c r="U597" i="2"/>
  <c r="U628" i="2"/>
  <c r="V628" i="2"/>
  <c r="U636" i="2"/>
  <c r="V636" i="2"/>
  <c r="U453" i="2"/>
  <c r="V558" i="2"/>
  <c r="U558" i="2"/>
  <c r="V467" i="2"/>
  <c r="U467" i="2"/>
  <c r="V525" i="2"/>
  <c r="U525" i="2"/>
  <c r="V576" i="2"/>
  <c r="U576" i="2"/>
  <c r="H672" i="2"/>
  <c r="V596" i="2"/>
  <c r="U596" i="2"/>
  <c r="S551" i="2"/>
  <c r="T551" i="2" s="1"/>
  <c r="U587" i="2"/>
  <c r="V618" i="2"/>
  <c r="U618" i="2"/>
  <c r="S642" i="2"/>
  <c r="T642" i="2" s="1"/>
  <c r="V534" i="2"/>
  <c r="U534" i="2"/>
  <c r="V536" i="2"/>
  <c r="U536" i="2"/>
  <c r="V553" i="2"/>
  <c r="P553" i="2" s="1"/>
  <c r="S553" i="2" s="1"/>
  <c r="T553" i="2" s="1"/>
  <c r="V567" i="2"/>
  <c r="U567" i="2"/>
  <c r="V569" i="2"/>
  <c r="U569" i="2"/>
  <c r="H673" i="2"/>
  <c r="V622" i="2"/>
  <c r="U622" i="2"/>
  <c r="V481" i="2"/>
  <c r="O481" i="2" s="1"/>
  <c r="V600" i="2"/>
  <c r="U600" i="2"/>
  <c r="U428" i="2"/>
  <c r="U439" i="2"/>
  <c r="U452" i="2"/>
  <c r="V593" i="2"/>
  <c r="U593" i="2"/>
  <c r="U629" i="2"/>
  <c r="V631" i="2"/>
  <c r="O631" i="2" s="1"/>
  <c r="V476" i="2"/>
  <c r="P476" i="2" s="1"/>
  <c r="S476" i="2" s="1"/>
  <c r="T476" i="2" s="1"/>
  <c r="V483" i="2"/>
  <c r="O483" i="2" s="1"/>
  <c r="V490" i="2"/>
  <c r="P490" i="2" s="1"/>
  <c r="S490" i="2" s="1"/>
  <c r="T490" i="2" s="1"/>
  <c r="V609" i="2"/>
  <c r="S635" i="2"/>
  <c r="T635" i="2" s="1"/>
  <c r="Z702" i="2"/>
  <c r="X659" i="2"/>
  <c r="X670" i="2"/>
  <c r="X681" i="2"/>
  <c r="X692" i="2"/>
  <c r="X703" i="2"/>
  <c r="X714" i="2"/>
  <c r="X725" i="2"/>
  <c r="X736" i="2"/>
  <c r="AE669" i="2"/>
  <c r="U654" i="2"/>
  <c r="Y659" i="2"/>
  <c r="Y670" i="2"/>
  <c r="Y681" i="2"/>
  <c r="Y692" i="2"/>
  <c r="Y703" i="2"/>
  <c r="Y714" i="2"/>
  <c r="Y725" i="2"/>
  <c r="Y736" i="2"/>
  <c r="AE663" i="2"/>
  <c r="X660" i="2"/>
  <c r="X671" i="2"/>
  <c r="X682" i="2"/>
  <c r="X693" i="2"/>
  <c r="X704" i="2"/>
  <c r="X715" i="2"/>
  <c r="X726" i="2"/>
  <c r="X737" i="2"/>
  <c r="AE670" i="2"/>
  <c r="U656" i="2"/>
  <c r="Y660" i="2"/>
  <c r="Y671" i="2"/>
  <c r="Y682" i="2"/>
  <c r="Y693" i="2"/>
  <c r="Y704" i="2"/>
  <c r="Y715" i="2"/>
  <c r="Y726" i="2"/>
  <c r="Y737" i="2"/>
  <c r="AE664" i="2"/>
  <c r="X661" i="2"/>
  <c r="X672" i="2"/>
  <c r="X683" i="2"/>
  <c r="X694" i="2"/>
  <c r="X705" i="2"/>
  <c r="X716" i="2"/>
  <c r="X727" i="2"/>
  <c r="X662" i="2"/>
  <c r="X673" i="2"/>
  <c r="X684" i="2"/>
  <c r="X695" i="2"/>
  <c r="X706" i="2"/>
  <c r="X717" i="2"/>
  <c r="X728" i="2"/>
  <c r="U678" i="2"/>
  <c r="Y662" i="2"/>
  <c r="Y673" i="2"/>
  <c r="Y684" i="2"/>
  <c r="Y695" i="2"/>
  <c r="Y706" i="2"/>
  <c r="Y717" i="2"/>
  <c r="Y728" i="2"/>
  <c r="X663" i="2"/>
  <c r="X674" i="2"/>
  <c r="X685" i="2"/>
  <c r="X696" i="2"/>
  <c r="X707" i="2"/>
  <c r="X718" i="2"/>
  <c r="X729" i="2"/>
  <c r="U677" i="2"/>
  <c r="U651" i="2"/>
  <c r="Y663" i="2"/>
  <c r="Y674" i="2"/>
  <c r="Y685" i="2"/>
  <c r="Y696" i="2"/>
  <c r="Y707" i="2"/>
  <c r="Y718" i="2"/>
  <c r="Y729" i="2"/>
  <c r="X664" i="2"/>
  <c r="X675" i="2"/>
  <c r="X686" i="2"/>
  <c r="X697" i="2"/>
  <c r="X708" i="2"/>
  <c r="X719" i="2"/>
  <c r="X730" i="2"/>
  <c r="U676" i="2"/>
  <c r="U653" i="2"/>
  <c r="Y664" i="2"/>
  <c r="Y675" i="2"/>
  <c r="Y686" i="2"/>
  <c r="Y697" i="2"/>
  <c r="Y708" i="2"/>
  <c r="Y719" i="2"/>
  <c r="Y730" i="2"/>
  <c r="X665" i="2"/>
  <c r="X676" i="2"/>
  <c r="X687" i="2"/>
  <c r="X698" i="2"/>
  <c r="X709" i="2"/>
  <c r="X720" i="2"/>
  <c r="X731" i="2"/>
  <c r="U675" i="2"/>
  <c r="U655" i="2"/>
  <c r="Y665" i="2"/>
  <c r="Y676" i="2"/>
  <c r="Y687" i="2"/>
  <c r="Y698" i="2"/>
  <c r="Y709" i="2"/>
  <c r="Y720" i="2"/>
  <c r="Y731" i="2"/>
  <c r="X666" i="2"/>
  <c r="X677" i="2"/>
  <c r="X688" i="2"/>
  <c r="X699" i="2"/>
  <c r="X710" i="2"/>
  <c r="X721" i="2"/>
  <c r="X732" i="2"/>
  <c r="U674" i="2"/>
  <c r="Y666" i="2"/>
  <c r="Y677" i="2"/>
  <c r="Y688" i="2"/>
  <c r="Y699" i="2"/>
  <c r="Y710" i="2"/>
  <c r="Y721" i="2"/>
  <c r="Y732" i="2"/>
  <c r="U668" i="2"/>
  <c r="U581" i="2"/>
  <c r="U603" i="2"/>
  <c r="U625" i="2"/>
  <c r="X667" i="2"/>
  <c r="X678" i="2"/>
  <c r="X689" i="2"/>
  <c r="X700" i="2"/>
  <c r="X711" i="2"/>
  <c r="X722" i="2"/>
  <c r="X733" i="2"/>
  <c r="U662" i="2"/>
  <c r="U669" i="2"/>
  <c r="U673" i="2"/>
  <c r="Y667" i="2"/>
  <c r="Y678" i="2"/>
  <c r="Y689" i="2"/>
  <c r="Y700" i="2"/>
  <c r="Y711" i="2"/>
  <c r="Y722" i="2"/>
  <c r="G12" i="1"/>
  <c r="G13" i="1"/>
  <c r="G14" i="1"/>
  <c r="G4" i="1"/>
  <c r="G48" i="1"/>
  <c r="I48" i="1" s="1"/>
  <c r="A31" i="1"/>
  <c r="A42" i="1"/>
  <c r="G27" i="1"/>
  <c r="I27" i="1" s="1"/>
  <c r="G38" i="1"/>
  <c r="G49" i="1"/>
  <c r="I49" i="1" s="1"/>
  <c r="I164" i="1" s="1"/>
  <c r="B31" i="1"/>
  <c r="B42" i="1"/>
  <c r="H27" i="1"/>
  <c r="H38" i="1"/>
  <c r="H49" i="1"/>
  <c r="B30" i="1"/>
  <c r="A32" i="1"/>
  <c r="A43" i="1"/>
  <c r="G28" i="1"/>
  <c r="I28" i="1" s="1"/>
  <c r="G39" i="1"/>
  <c r="B32" i="1"/>
  <c r="B43" i="1"/>
  <c r="H28" i="1"/>
  <c r="H39" i="1"/>
  <c r="B41" i="1"/>
  <c r="H26" i="1"/>
  <c r="H37" i="1"/>
  <c r="A33" i="1"/>
  <c r="A44" i="1"/>
  <c r="G29" i="1"/>
  <c r="G40" i="1"/>
  <c r="H47" i="1"/>
  <c r="I47" i="1" s="1"/>
  <c r="H48" i="1"/>
  <c r="B33" i="1"/>
  <c r="B44" i="1"/>
  <c r="H29" i="1"/>
  <c r="H40" i="1"/>
  <c r="B34" i="1"/>
  <c r="B45" i="1"/>
  <c r="H30" i="1"/>
  <c r="H41" i="1"/>
  <c r="H25" i="1"/>
  <c r="A41" i="1"/>
  <c r="A34" i="1"/>
  <c r="C34" i="1" s="1" a="1"/>
  <c r="C34" i="1" s="1"/>
  <c r="A45" i="1"/>
  <c r="G30" i="1"/>
  <c r="G41" i="1"/>
  <c r="A35" i="1"/>
  <c r="A46" i="1"/>
  <c r="G31" i="1"/>
  <c r="G42" i="1"/>
  <c r="B35" i="1"/>
  <c r="B46" i="1"/>
  <c r="H31" i="1"/>
  <c r="H42" i="1"/>
  <c r="G37" i="1"/>
  <c r="G43" i="1"/>
  <c r="B25" i="1"/>
  <c r="B36" i="1"/>
  <c r="B47" i="1"/>
  <c r="H32" i="1"/>
  <c r="H43" i="1"/>
  <c r="H36" i="1"/>
  <c r="G26" i="1"/>
  <c r="I26" i="1" s="1"/>
  <c r="A25" i="1"/>
  <c r="C25" i="1" s="1"/>
  <c r="A36" i="1"/>
  <c r="A47" i="1"/>
  <c r="G32" i="1"/>
  <c r="A26" i="1"/>
  <c r="C26" i="1" s="1" a="1"/>
  <c r="C26" i="1" s="1"/>
  <c r="A37" i="1"/>
  <c r="A48" i="1"/>
  <c r="G33" i="1"/>
  <c r="G44" i="1"/>
  <c r="A27" i="1"/>
  <c r="A38" i="1"/>
  <c r="A49" i="1"/>
  <c r="G45" i="1"/>
  <c r="B27" i="1"/>
  <c r="B38" i="1"/>
  <c r="B49" i="1"/>
  <c r="C49" i="1" s="1"/>
  <c r="H34" i="1"/>
  <c r="H45" i="1"/>
  <c r="B40" i="1"/>
  <c r="C40" i="1" s="1" a="1"/>
  <c r="C40" i="1" s="1"/>
  <c r="B26" i="1"/>
  <c r="B37" i="1"/>
  <c r="B48" i="1"/>
  <c r="C48" i="1" s="1"/>
  <c r="H33" i="1"/>
  <c r="G34" i="1"/>
  <c r="A28" i="1"/>
  <c r="C28" i="1" s="1"/>
  <c r="A39" i="1"/>
  <c r="G35" i="1"/>
  <c r="G46" i="1"/>
  <c r="H35" i="1"/>
  <c r="H46" i="1"/>
  <c r="B29" i="1"/>
  <c r="A30" i="1"/>
  <c r="H44" i="1"/>
  <c r="B28" i="1"/>
  <c r="B39" i="1"/>
  <c r="A29" i="1"/>
  <c r="G25" i="1"/>
  <c r="I25" i="1" s="1"/>
  <c r="G36" i="1"/>
  <c r="BF5827" i="4" l="1"/>
  <c r="BG2373" i="4"/>
  <c r="BG100" i="4"/>
  <c r="BG1333" i="4"/>
  <c r="BF207" i="4"/>
  <c r="BF584" i="4"/>
  <c r="BF1256" i="4"/>
  <c r="BF747" i="4"/>
  <c r="BF1509" i="4"/>
  <c r="BG1960" i="4"/>
  <c r="BG505" i="4"/>
  <c r="BG3860" i="4"/>
  <c r="BM719" i="4"/>
  <c r="BF1550" i="4"/>
  <c r="BG319" i="4"/>
  <c r="BG1405" i="4"/>
  <c r="BG3137" i="4"/>
  <c r="BF122" i="4"/>
  <c r="BG12" i="4"/>
  <c r="BF1134" i="4"/>
  <c r="BG1916" i="4"/>
  <c r="BF5365" i="4"/>
  <c r="BF4633" i="4"/>
  <c r="BG5363" i="4"/>
  <c r="BF3936" i="4"/>
  <c r="BF2545" i="4"/>
  <c r="BF2236" i="4"/>
  <c r="BG865" i="4"/>
  <c r="BM541" i="4"/>
  <c r="BG2448" i="4"/>
  <c r="BM453" i="4"/>
  <c r="BM1721" i="4"/>
  <c r="BF1243" i="4"/>
  <c r="BM1208" i="4"/>
  <c r="BM376" i="4"/>
  <c r="BM465" i="4"/>
  <c r="BN250" i="4"/>
  <c r="BM1430" i="4"/>
  <c r="BN2485" i="4"/>
  <c r="BG4657" i="4"/>
  <c r="BN136" i="4"/>
  <c r="BN1527" i="4"/>
  <c r="BG1105" i="4"/>
  <c r="BM268" i="4"/>
  <c r="BM255" i="4"/>
  <c r="BM1204" i="4"/>
  <c r="BN2327" i="4"/>
  <c r="BF2451" i="4"/>
  <c r="BG2329" i="4"/>
  <c r="BF2400" i="4"/>
  <c r="BG2862" i="4"/>
  <c r="BN1030" i="4"/>
  <c r="BF4712" i="4"/>
  <c r="BG1147" i="4"/>
  <c r="BN1635" i="4"/>
  <c r="BM752" i="4"/>
  <c r="BM3276" i="4"/>
  <c r="BM1604" i="4"/>
  <c r="BM322" i="4"/>
  <c r="BN461" i="4"/>
  <c r="BF1873" i="4"/>
  <c r="BF1589" i="4"/>
  <c r="BN2158" i="4"/>
  <c r="BN1730" i="4"/>
  <c r="BM1236" i="4"/>
  <c r="BN1565" i="4"/>
  <c r="BN1763" i="4"/>
  <c r="BM68" i="4"/>
  <c r="BM2136" i="4"/>
  <c r="BN800" i="4"/>
  <c r="BF1904" i="4"/>
  <c r="BG108" i="4"/>
  <c r="BF2937" i="4"/>
  <c r="BF1280" i="4"/>
  <c r="BM1007" i="4"/>
  <c r="BM55" i="4"/>
  <c r="BM395" i="4"/>
  <c r="BM1872" i="4"/>
  <c r="BG1295" i="4"/>
  <c r="BG131" i="4"/>
  <c r="BG482" i="4"/>
  <c r="BN1222" i="4"/>
  <c r="BM1091" i="4"/>
  <c r="BM3041" i="4"/>
  <c r="BN245" i="4"/>
  <c r="BM1239" i="4"/>
  <c r="BG1631" i="4"/>
  <c r="BF1825" i="4"/>
  <c r="BF2323" i="4"/>
  <c r="BN1393" i="4"/>
  <c r="BN1083" i="4"/>
  <c r="BN1379" i="4"/>
  <c r="BM214" i="4"/>
  <c r="BM470" i="4"/>
  <c r="BM3364" i="4"/>
  <c r="BM1135" i="4"/>
  <c r="BF1663" i="4"/>
  <c r="BM874" i="4"/>
  <c r="BM2040" i="4"/>
  <c r="BG738" i="4"/>
  <c r="BF4841" i="4"/>
  <c r="BG831" i="4"/>
  <c r="BM217" i="4"/>
  <c r="BM1501" i="4"/>
  <c r="BG3564" i="4"/>
  <c r="BF339" i="4"/>
  <c r="BN1000" i="4"/>
  <c r="BM1660" i="4"/>
  <c r="BN415" i="4"/>
  <c r="BF5243" i="4"/>
  <c r="BG716" i="4"/>
  <c r="BF2280" i="4"/>
  <c r="BG3365" i="4"/>
  <c r="BG2865" i="4"/>
  <c r="BG21" i="4"/>
  <c r="BF1915" i="4"/>
  <c r="BN540" i="4"/>
  <c r="BF4284" i="4"/>
  <c r="BM309" i="4"/>
  <c r="BM903" i="4"/>
  <c r="BN73" i="4"/>
  <c r="BM1294" i="4"/>
  <c r="BG3008" i="4"/>
  <c r="BG3366" i="4"/>
  <c r="BG1429" i="4"/>
  <c r="BM929" i="4"/>
  <c r="BM171" i="4"/>
  <c r="BM1353" i="4"/>
  <c r="BM975" i="4"/>
  <c r="BG473" i="4"/>
  <c r="BM3116" i="4"/>
  <c r="BM339" i="4"/>
  <c r="BN1193" i="4"/>
  <c r="BM955" i="4"/>
  <c r="BF1737" i="4"/>
  <c r="BG1109" i="4"/>
  <c r="BM2071" i="4"/>
  <c r="BN527" i="4"/>
  <c r="BM1776" i="4"/>
  <c r="BM1870" i="4"/>
  <c r="BM254" i="4"/>
  <c r="BM2261" i="4"/>
  <c r="BM1121" i="4"/>
  <c r="BM1432" i="4"/>
  <c r="BF899" i="4"/>
  <c r="BF1334" i="4"/>
  <c r="BF1483" i="4"/>
  <c r="BN2221" i="4"/>
  <c r="BM2375" i="4"/>
  <c r="BM1391" i="4"/>
  <c r="BM2260" i="4"/>
  <c r="BG154" i="4"/>
  <c r="BG474" i="4"/>
  <c r="BN449" i="4"/>
  <c r="BN69" i="4"/>
  <c r="BG1946" i="4"/>
  <c r="BG5814" i="4"/>
  <c r="BN925" i="4"/>
  <c r="BM1765" i="4"/>
  <c r="BM777" i="4"/>
  <c r="BN49" i="4"/>
  <c r="BN901" i="4"/>
  <c r="BF1364" i="4"/>
  <c r="BF4713" i="4"/>
  <c r="BM2423" i="4"/>
  <c r="BM2970" i="4"/>
  <c r="BF2613" i="4"/>
  <c r="BM615" i="4"/>
  <c r="BN1410" i="4"/>
  <c r="BN66" i="4"/>
  <c r="BF3658" i="4"/>
  <c r="BF2126" i="4"/>
  <c r="BM441" i="4"/>
  <c r="BF2559" i="4"/>
  <c r="BM542" i="4"/>
  <c r="BN1115" i="4"/>
  <c r="BM123" i="4"/>
  <c r="BF2664" i="4"/>
  <c r="BG2312" i="4"/>
  <c r="BG428" i="4"/>
  <c r="BN928" i="4"/>
  <c r="BF43" i="4"/>
  <c r="BN1242" i="4"/>
  <c r="BG570" i="4"/>
  <c r="BM1181" i="4"/>
  <c r="BF2205" i="4"/>
  <c r="BN1117" i="4"/>
  <c r="BN196" i="4"/>
  <c r="BN128" i="4"/>
  <c r="BG175" i="4"/>
  <c r="BF2161" i="4"/>
  <c r="BF394" i="4"/>
  <c r="BF2068" i="4"/>
  <c r="BG2742" i="4"/>
  <c r="BF341" i="4"/>
  <c r="BN922" i="4"/>
  <c r="BG2648" i="4"/>
  <c r="BG45" i="4"/>
  <c r="BF1390" i="4"/>
  <c r="BG5828" i="4"/>
  <c r="BG1870" i="4"/>
  <c r="BM1566" i="4"/>
  <c r="BN651" i="4"/>
  <c r="BF1254" i="4"/>
  <c r="BF317" i="4"/>
  <c r="BG4656" i="4"/>
  <c r="BM126" i="4"/>
  <c r="BF4206" i="4"/>
  <c r="BN2015" i="4"/>
  <c r="BN735" i="4"/>
  <c r="BM3199" i="4"/>
  <c r="BF1363" i="4"/>
  <c r="Z735" i="2"/>
  <c r="BM618" i="4"/>
  <c r="BN818" i="4"/>
  <c r="BF528" i="4"/>
  <c r="BM580" i="4"/>
  <c r="BG561" i="4"/>
  <c r="BF1284" i="4"/>
  <c r="BG3314" i="4"/>
  <c r="BM148" i="4"/>
  <c r="BN897" i="4"/>
  <c r="BN654" i="4"/>
  <c r="BM633" i="4"/>
  <c r="BM303" i="4"/>
  <c r="BM614" i="4"/>
  <c r="BM343" i="4"/>
  <c r="BN851" i="4"/>
  <c r="BF4156" i="4"/>
  <c r="BG3487" i="4"/>
  <c r="Z691" i="2"/>
  <c r="BN489" i="4"/>
  <c r="BG782" i="4"/>
  <c r="BM13" i="4"/>
  <c r="BM1028" i="4"/>
  <c r="BM283" i="4"/>
  <c r="BN1060" i="4"/>
  <c r="BG529" i="4"/>
  <c r="BG417" i="4"/>
  <c r="BF3714" i="4"/>
  <c r="BF155" i="4"/>
  <c r="BM813" i="4"/>
  <c r="BF1549" i="4"/>
  <c r="BN736" i="4"/>
  <c r="BN1005" i="4"/>
  <c r="BG309" i="4"/>
  <c r="BF472" i="4"/>
  <c r="BG650" i="4"/>
  <c r="BG208" i="4"/>
  <c r="BM3033" i="4"/>
  <c r="BF593" i="4"/>
  <c r="BM58" i="4"/>
  <c r="BN754" i="4"/>
  <c r="BG3912" i="4"/>
  <c r="BG1592" i="4"/>
  <c r="BM235" i="4"/>
  <c r="BN169" i="4"/>
  <c r="BM3275" i="4"/>
  <c r="BN2649" i="4"/>
  <c r="BM100" i="4"/>
  <c r="BN98" i="4"/>
  <c r="BM2017" i="4"/>
  <c r="BN714" i="4"/>
  <c r="BF5633" i="4"/>
  <c r="BG1511" i="4"/>
  <c r="BF2038" i="4"/>
  <c r="BN652" i="4"/>
  <c r="BF1175" i="4"/>
  <c r="BG262" i="4"/>
  <c r="BM2298" i="4"/>
  <c r="BM1460" i="4"/>
  <c r="BM184" i="4"/>
  <c r="BM2982" i="4"/>
  <c r="BM3283" i="4"/>
  <c r="BF1351" i="4"/>
  <c r="BF805" i="4"/>
  <c r="BG2802" i="4"/>
  <c r="BF1005" i="4"/>
  <c r="BF1980" i="4"/>
  <c r="BF682" i="4"/>
  <c r="BF3376" i="4"/>
  <c r="BM81" i="4"/>
  <c r="BN3072" i="4"/>
  <c r="BM1778" i="4"/>
  <c r="BM3538" i="4"/>
  <c r="BN1726" i="4"/>
  <c r="BF4052" i="4"/>
  <c r="BG4461" i="4"/>
  <c r="BF1212" i="4"/>
  <c r="BF2705" i="4"/>
  <c r="BF876" i="4"/>
  <c r="BM269" i="4"/>
  <c r="BM2903" i="4"/>
  <c r="BM1268" i="4"/>
  <c r="BM1459" i="4"/>
  <c r="BM1179" i="4"/>
  <c r="BN32" i="4"/>
  <c r="BN413" i="4"/>
  <c r="BG625" i="4"/>
  <c r="BM562" i="4"/>
  <c r="BM304" i="4"/>
  <c r="BN432" i="4"/>
  <c r="BN3221" i="4"/>
  <c r="BN35" i="4"/>
  <c r="BG3726" i="4"/>
  <c r="BM2912" i="4"/>
  <c r="BF3225" i="4"/>
  <c r="BG285" i="4"/>
  <c r="BG1292" i="4"/>
  <c r="BG1133" i="4"/>
  <c r="BG683" i="4"/>
  <c r="BF866" i="4"/>
  <c r="BF808" i="4"/>
  <c r="BM362" i="4"/>
  <c r="BG3727" i="4"/>
  <c r="BN1623" i="4"/>
  <c r="BM826" i="4"/>
  <c r="BM1207" i="4"/>
  <c r="BM2050" i="4"/>
  <c r="BM1196" i="4"/>
  <c r="BM3452" i="4"/>
  <c r="BM3278" i="4"/>
  <c r="BG4065" i="4"/>
  <c r="BF771" i="4"/>
  <c r="BF287" i="4"/>
  <c r="BG2191" i="4"/>
  <c r="BM2014" i="4"/>
  <c r="BM1482" i="4"/>
  <c r="BM982" i="4"/>
  <c r="BM1333" i="4"/>
  <c r="BN778" i="4"/>
  <c r="BM1725" i="4"/>
  <c r="BF3063" i="4"/>
  <c r="BF2799" i="4"/>
  <c r="BG3823" i="4"/>
  <c r="BG23" i="4"/>
  <c r="BF898" i="4"/>
  <c r="BG2466" i="4"/>
  <c r="BN1710" i="4"/>
  <c r="BM1231" i="4"/>
  <c r="BM1032" i="4"/>
  <c r="BM1146" i="4"/>
  <c r="BM1306" i="4"/>
  <c r="BM2551" i="4"/>
  <c r="BN3117" i="4"/>
  <c r="BF2934" i="4"/>
  <c r="BF1003" i="4"/>
  <c r="BF77" i="4"/>
  <c r="BF540" i="4"/>
  <c r="BG749" i="4"/>
  <c r="BF1994" i="4"/>
  <c r="BG1029" i="4"/>
  <c r="BM2724" i="4"/>
  <c r="BF1093" i="4"/>
  <c r="BF1443" i="4"/>
  <c r="BG1443" i="4"/>
  <c r="BF515" i="4"/>
  <c r="BG515" i="4"/>
  <c r="BG1693" i="4"/>
  <c r="BF1693" i="4"/>
  <c r="BM436" i="4"/>
  <c r="BN436" i="4"/>
  <c r="BM2169" i="4"/>
  <c r="BN2169" i="4"/>
  <c r="BN1607" i="4"/>
  <c r="BM1607" i="4"/>
  <c r="BF397" i="4"/>
  <c r="BG397" i="4"/>
  <c r="BG2665" i="4"/>
  <c r="BF2665" i="4"/>
  <c r="BN197" i="4"/>
  <c r="BM197" i="4"/>
  <c r="BM2497" i="4"/>
  <c r="BN2497" i="4"/>
  <c r="BN923" i="4"/>
  <c r="BG2114" i="4"/>
  <c r="BF2114" i="4"/>
  <c r="BG571" i="4"/>
  <c r="BF571" i="4"/>
  <c r="BG1950" i="4"/>
  <c r="BF1950" i="4"/>
  <c r="BN11" i="4"/>
  <c r="BM634" i="4"/>
  <c r="BG691" i="4"/>
  <c r="BN894" i="4"/>
  <c r="BM894" i="4"/>
  <c r="BM1029" i="4"/>
  <c r="BN1029" i="4"/>
  <c r="BN44" i="4"/>
  <c r="BF1662" i="4"/>
  <c r="BN2529" i="4"/>
  <c r="BM2529" i="4"/>
  <c r="BN1457" i="4"/>
  <c r="BM1457" i="4"/>
  <c r="BN478" i="4"/>
  <c r="BM478" i="4"/>
  <c r="BM1859" i="4"/>
  <c r="BN1859" i="4"/>
  <c r="BM3446" i="4"/>
  <c r="BN3446" i="4"/>
  <c r="BN398" i="4"/>
  <c r="BM398" i="4"/>
  <c r="BM2901" i="4"/>
  <c r="BN2901" i="4"/>
  <c r="BN2728" i="4"/>
  <c r="BM2728" i="4"/>
  <c r="BN2956" i="4"/>
  <c r="BM2956" i="4"/>
  <c r="BN2663" i="4"/>
  <c r="BM2663" i="4"/>
  <c r="BN2440" i="4"/>
  <c r="BM2440" i="4"/>
  <c r="BN2992" i="4"/>
  <c r="BM2992" i="4"/>
  <c r="BG1949" i="4"/>
  <c r="BF1949" i="4"/>
  <c r="BN153" i="4"/>
  <c r="BM153" i="4"/>
  <c r="BM1709" i="4"/>
  <c r="BM739" i="4"/>
  <c r="BM2160" i="4"/>
  <c r="BN7" i="4"/>
  <c r="BM2225" i="4"/>
  <c r="BM597" i="4"/>
  <c r="BG4155" i="4"/>
  <c r="BF3625" i="4"/>
  <c r="BG199" i="4"/>
  <c r="BG5418" i="4"/>
  <c r="BF130" i="4"/>
  <c r="BG1040" i="4"/>
  <c r="BF1040" i="4"/>
  <c r="BG935" i="4"/>
  <c r="BF935" i="4"/>
  <c r="BG363" i="4"/>
  <c r="BF363" i="4"/>
  <c r="BF1551" i="4"/>
  <c r="BG1551" i="4"/>
  <c r="BM1675" i="4"/>
  <c r="BN1675" i="4"/>
  <c r="BN38" i="4"/>
  <c r="BM38" i="4"/>
  <c r="BN2196" i="4"/>
  <c r="BM2196" i="4"/>
  <c r="BM747" i="4"/>
  <c r="BN747" i="4"/>
  <c r="BN399" i="4"/>
  <c r="BM399" i="4"/>
  <c r="BM1354" i="4"/>
  <c r="BN1354" i="4"/>
  <c r="BM3194" i="4"/>
  <c r="BN3194" i="4"/>
  <c r="BN1058" i="4"/>
  <c r="BM1058" i="4"/>
  <c r="BG713" i="4"/>
  <c r="BF713" i="4"/>
  <c r="BM2264" i="4"/>
  <c r="BN355" i="4"/>
  <c r="BM3505" i="4"/>
  <c r="BN1300" i="4"/>
  <c r="BF3135" i="4"/>
  <c r="BF1176" i="4"/>
  <c r="BF1004" i="4"/>
  <c r="BF839" i="4"/>
  <c r="BG839" i="4"/>
  <c r="BG2594" i="4"/>
  <c r="BF2594" i="4"/>
  <c r="BG2984" i="4"/>
  <c r="BF2984" i="4"/>
  <c r="BG2687" i="4"/>
  <c r="BF2687" i="4"/>
  <c r="BF909" i="4"/>
  <c r="BG909" i="4"/>
  <c r="BG3465" i="4"/>
  <c r="BF3465" i="4"/>
  <c r="BN1395" i="4"/>
  <c r="BM1395" i="4"/>
  <c r="BN67" i="4"/>
  <c r="BM67" i="4"/>
  <c r="BM1912" i="4"/>
  <c r="BN1912" i="4"/>
  <c r="BN2486" i="4"/>
  <c r="BM2486" i="4"/>
  <c r="BN54" i="4"/>
  <c r="BM54" i="4"/>
  <c r="BN1470" i="4"/>
  <c r="BM1470" i="4"/>
  <c r="BN656" i="4"/>
  <c r="BM656" i="4"/>
  <c r="BN23" i="4"/>
  <c r="BM23" i="4"/>
  <c r="BN2699" i="4"/>
  <c r="BM2699" i="4"/>
  <c r="BN578" i="4"/>
  <c r="BM578" i="4"/>
  <c r="BG2418" i="4"/>
  <c r="BF2418" i="4"/>
  <c r="BF4513" i="4"/>
  <c r="BG4513" i="4"/>
  <c r="BF483" i="4"/>
  <c r="BG483" i="4"/>
  <c r="BG1104" i="4"/>
  <c r="BF1104" i="4"/>
  <c r="BM36" i="4"/>
  <c r="BG185" i="4"/>
  <c r="BM2224" i="4"/>
  <c r="BN2224" i="4"/>
  <c r="BF2868" i="4"/>
  <c r="BG2868" i="4"/>
  <c r="BG1783" i="4"/>
  <c r="BN2916" i="4"/>
  <c r="BM2916" i="4"/>
  <c r="BN24" i="4"/>
  <c r="BM24" i="4"/>
  <c r="BN2731" i="4"/>
  <c r="BM2731" i="4"/>
  <c r="BN950" i="4"/>
  <c r="BM950" i="4"/>
  <c r="BN1636" i="4"/>
  <c r="BF672" i="4"/>
  <c r="BG672" i="4"/>
  <c r="BF993" i="4"/>
  <c r="BG993" i="4"/>
  <c r="BG994" i="4"/>
  <c r="BF994" i="4"/>
  <c r="BF2324" i="4"/>
  <c r="BG2324" i="4"/>
  <c r="BM1348" i="4"/>
  <c r="BN1348" i="4"/>
  <c r="BN2660" i="4"/>
  <c r="BM2660" i="4"/>
  <c r="BG970" i="4"/>
  <c r="BF970" i="4"/>
  <c r="BF295" i="4"/>
  <c r="BG295" i="4"/>
  <c r="BF840" i="4"/>
  <c r="BG840" i="4"/>
  <c r="BG3055" i="4"/>
  <c r="BF3055" i="4"/>
  <c r="BG3949" i="4"/>
  <c r="BF3949" i="4"/>
  <c r="BM25" i="4"/>
  <c r="BN25" i="4"/>
  <c r="BN1962" i="4"/>
  <c r="BM1764" i="4"/>
  <c r="BM2722" i="4"/>
  <c r="BN218" i="4"/>
  <c r="BN3146" i="4"/>
  <c r="BN3281" i="4"/>
  <c r="BF2502" i="4"/>
  <c r="BF681" i="4"/>
  <c r="BM499" i="4"/>
  <c r="BN499" i="4"/>
  <c r="BM673" i="4"/>
  <c r="BN673" i="4"/>
  <c r="BN1911" i="4"/>
  <c r="BM1911" i="4"/>
  <c r="BN526" i="4"/>
  <c r="BM526" i="4"/>
  <c r="BN2329" i="4"/>
  <c r="BM2329" i="4"/>
  <c r="BN691" i="4"/>
  <c r="BM691" i="4"/>
  <c r="BG5552" i="4"/>
  <c r="BF5552" i="4"/>
  <c r="BF1782" i="4"/>
  <c r="BG1782" i="4"/>
  <c r="BG4382" i="4"/>
  <c r="BF4382" i="4"/>
  <c r="BM1745" i="4"/>
  <c r="BN1745" i="4"/>
  <c r="BN579" i="4"/>
  <c r="BM579" i="4"/>
  <c r="BG67" i="4"/>
  <c r="BF67" i="4"/>
  <c r="BG2821" i="4"/>
  <c r="BF2821" i="4"/>
  <c r="AA658" i="2"/>
  <c r="Z658" i="2"/>
  <c r="BG2935" i="4"/>
  <c r="BF2935" i="4"/>
  <c r="BF2025" i="4"/>
  <c r="BG2025" i="4"/>
  <c r="BG2649" i="4"/>
  <c r="BF2649" i="4"/>
  <c r="BM868" i="4"/>
  <c r="BN868" i="4"/>
  <c r="BN1262" i="4"/>
  <c r="BM1262" i="4"/>
  <c r="BM291" i="4"/>
  <c r="BN291" i="4"/>
  <c r="BM2889" i="4"/>
  <c r="BN2889" i="4"/>
  <c r="BM1114" i="4"/>
  <c r="BN1114" i="4"/>
  <c r="BM875" i="4"/>
  <c r="BN428" i="4"/>
  <c r="BN306" i="4"/>
  <c r="BM306" i="4"/>
  <c r="BM1638" i="4"/>
  <c r="BN1638" i="4"/>
  <c r="BN977" i="4"/>
  <c r="BM977" i="4"/>
  <c r="BN1151" i="4"/>
  <c r="BM1151" i="4"/>
  <c r="BM519" i="4"/>
  <c r="BN519" i="4"/>
  <c r="BM2490" i="4"/>
  <c r="BN2490" i="4"/>
  <c r="BN757" i="4"/>
  <c r="BM757" i="4"/>
  <c r="BM182" i="4"/>
  <c r="BN182" i="4"/>
  <c r="BG560" i="4"/>
  <c r="BF560" i="4"/>
  <c r="BN2200" i="4"/>
  <c r="BN780" i="4"/>
  <c r="BM1392" i="4"/>
  <c r="BN4" i="4"/>
  <c r="BN2352" i="4"/>
  <c r="BM2352" i="4"/>
  <c r="BN564" i="4"/>
  <c r="BM564" i="4"/>
  <c r="BM978" i="4"/>
  <c r="BN40" i="4"/>
  <c r="BM914" i="4"/>
  <c r="BM87" i="4"/>
  <c r="BF2596" i="4"/>
  <c r="BG3824" i="4"/>
  <c r="BF3824" i="4"/>
  <c r="BG452" i="4"/>
  <c r="BF452" i="4"/>
  <c r="BG42" i="4"/>
  <c r="BF42" i="4"/>
  <c r="BF1781" i="4"/>
  <c r="BG1781" i="4"/>
  <c r="BG2688" i="4"/>
  <c r="BF2688" i="4"/>
  <c r="BN952" i="4"/>
  <c r="BG2509" i="4"/>
  <c r="BF2509" i="4"/>
  <c r="BN2789" i="4"/>
  <c r="BM2789" i="4"/>
  <c r="BM3202" i="4"/>
  <c r="BN3202" i="4"/>
  <c r="BF1281" i="4"/>
  <c r="BG1281" i="4"/>
  <c r="BG5164" i="4"/>
  <c r="BF5164" i="4"/>
  <c r="BN1876" i="4"/>
  <c r="BM1876" i="4"/>
  <c r="BN678" i="4"/>
  <c r="BM678" i="4"/>
  <c r="BN1138" i="4"/>
  <c r="BM1138" i="4"/>
  <c r="BF649" i="4"/>
  <c r="BG957" i="4"/>
  <c r="BN1648" i="4"/>
  <c r="BM181" i="4"/>
  <c r="BM1006" i="4"/>
  <c r="BF1751" i="4"/>
  <c r="BF2293" i="4"/>
  <c r="BG5033" i="4"/>
  <c r="BF177" i="4"/>
  <c r="BN2420" i="4"/>
  <c r="BM3429" i="4"/>
  <c r="BM2157" i="4"/>
  <c r="BN534" i="4"/>
  <c r="BM1572" i="4"/>
  <c r="BM112" i="4"/>
  <c r="BF992" i="4"/>
  <c r="BF1576" i="4"/>
  <c r="BG3053" i="4"/>
  <c r="BG1482" i="4"/>
  <c r="BF2506" i="4"/>
  <c r="BG968" i="4"/>
  <c r="BF968" i="4"/>
  <c r="BN2593" i="4"/>
  <c r="BM2593" i="4"/>
  <c r="BN488" i="4"/>
  <c r="BM488" i="4"/>
  <c r="BN95" i="4"/>
  <c r="BM95" i="4"/>
  <c r="BN1677" i="4"/>
  <c r="BM1677" i="4"/>
  <c r="BM670" i="4"/>
  <c r="BN670" i="4"/>
  <c r="BG3647" i="4"/>
  <c r="BF3647" i="4"/>
  <c r="BF5997" i="4"/>
  <c r="BG5997" i="4"/>
  <c r="BN546" i="4"/>
  <c r="BM546" i="4"/>
  <c r="BN711" i="4"/>
  <c r="BM711" i="4"/>
  <c r="BM2446" i="4"/>
  <c r="BN2446" i="4"/>
  <c r="BG1673" i="4"/>
  <c r="BF1673" i="4"/>
  <c r="BG240" i="4"/>
  <c r="BF240" i="4"/>
  <c r="BM2109" i="4"/>
  <c r="BN2109" i="4"/>
  <c r="BF816" i="4"/>
  <c r="BF22" i="4"/>
  <c r="BG22" i="4"/>
  <c r="BF1145" i="4"/>
  <c r="BG1145" i="4"/>
  <c r="BF1255" i="4"/>
  <c r="BG1255" i="4"/>
  <c r="BF1400" i="4"/>
  <c r="BG1400" i="4"/>
  <c r="BM2199" i="4"/>
  <c r="BN2199" i="4"/>
  <c r="BG4460" i="4"/>
  <c r="BF4460" i="4"/>
  <c r="BN2838" i="4"/>
  <c r="BM2838" i="4"/>
  <c r="BF4833" i="4"/>
  <c r="BF592" i="4"/>
  <c r="BG592" i="4"/>
  <c r="BN1674" i="4"/>
  <c r="BM1674" i="4"/>
  <c r="BN1860" i="4"/>
  <c r="BM1860" i="4"/>
  <c r="BG1296" i="4"/>
  <c r="BG1214" i="4"/>
  <c r="BF1827" i="4"/>
  <c r="BG2614" i="4"/>
  <c r="BN1490" i="4"/>
  <c r="BM2658" i="4"/>
  <c r="BN1897" i="4"/>
  <c r="BN581" i="4"/>
  <c r="BM2662" i="4"/>
  <c r="BN77" i="4"/>
  <c r="BM1956" i="4"/>
  <c r="BN2837" i="4"/>
  <c r="BF537" i="4"/>
  <c r="BF5220" i="4"/>
  <c r="BF1619" i="4"/>
  <c r="BF2885" i="4"/>
  <c r="BG318" i="4"/>
  <c r="BG2869" i="4"/>
  <c r="BG1498" i="4"/>
  <c r="BF4157" i="4"/>
  <c r="BG539" i="4"/>
  <c r="BF539" i="4"/>
  <c r="BG451" i="4"/>
  <c r="BF451" i="4"/>
  <c r="BN730" i="4"/>
  <c r="BM730" i="4"/>
  <c r="BF1539" i="4"/>
  <c r="BG1539" i="4"/>
  <c r="BF1027" i="4"/>
  <c r="BG1027" i="4"/>
  <c r="BN89" i="4"/>
  <c r="BM89" i="4"/>
  <c r="BF450" i="4"/>
  <c r="BM115" i="4"/>
  <c r="BN115" i="4"/>
  <c r="BF395" i="4"/>
  <c r="BN377" i="4"/>
  <c r="BG1947" i="4"/>
  <c r="BN844" i="4"/>
  <c r="BM1271" i="4"/>
  <c r="BN716" i="4"/>
  <c r="BG1202" i="4"/>
  <c r="BG374" i="4"/>
  <c r="BF864" i="4"/>
  <c r="BF1361" i="4"/>
  <c r="BF2403" i="4"/>
  <c r="BG3725" i="4"/>
  <c r="BN2202" i="4"/>
  <c r="BM2391" i="4"/>
  <c r="BN1961" i="4"/>
  <c r="BM1855" i="4"/>
  <c r="BN1819" i="4"/>
  <c r="BF419" i="4"/>
  <c r="BG504" i="4"/>
  <c r="BG427" i="4"/>
  <c r="BF2452" i="4"/>
  <c r="BG2452" i="4"/>
  <c r="BF1065" i="4"/>
  <c r="BG1065" i="4"/>
  <c r="BM411" i="4"/>
  <c r="BM3454" i="4"/>
  <c r="BG2759" i="4"/>
  <c r="BM2105" i="4"/>
  <c r="BM2542" i="4"/>
  <c r="BM1528" i="4"/>
  <c r="BM2853" i="4"/>
  <c r="BN2461" i="4"/>
  <c r="BM2791" i="4"/>
  <c r="BG2936" i="4"/>
  <c r="BG152" i="4"/>
  <c r="BF1903" i="4"/>
  <c r="BF2069" i="4"/>
  <c r="BG739" i="4"/>
  <c r="BG2598" i="4"/>
  <c r="BF2598" i="4"/>
  <c r="BG900" i="4"/>
  <c r="BF900" i="4"/>
  <c r="BG2541" i="4"/>
  <c r="BF2541" i="4"/>
  <c r="BG1467" i="4"/>
  <c r="BF1467" i="4"/>
  <c r="BN635" i="4"/>
  <c r="BM635" i="4"/>
  <c r="BM655" i="4"/>
  <c r="BN655" i="4"/>
  <c r="BG705" i="4"/>
  <c r="BF705" i="4"/>
  <c r="BG5218" i="4"/>
  <c r="BF5218" i="4"/>
  <c r="BG2593" i="4"/>
  <c r="BF2593" i="4"/>
  <c r="BF76" i="4"/>
  <c r="BG76" i="4"/>
  <c r="BG714" i="4"/>
  <c r="BF714" i="4"/>
  <c r="BG1401" i="4"/>
  <c r="BF1401" i="4"/>
  <c r="BG5163" i="4"/>
  <c r="BF5163" i="4"/>
  <c r="BG1253" i="4"/>
  <c r="BF1253" i="4"/>
  <c r="BN1175" i="4"/>
  <c r="BM1175" i="4"/>
  <c r="BM1434" i="4"/>
  <c r="BN1434" i="4"/>
  <c r="BM127" i="4"/>
  <c r="BM202" i="4"/>
  <c r="BN1095" i="4"/>
  <c r="BM2550" i="4"/>
  <c r="BG1068" i="4"/>
  <c r="BG1374" i="4"/>
  <c r="BF5042" i="4"/>
  <c r="BG2234" i="4"/>
  <c r="BN1359" i="4"/>
  <c r="BG4320" i="4"/>
  <c r="BF2822" i="4"/>
  <c r="BM2656" i="4"/>
  <c r="BG4842" i="4"/>
  <c r="BF2871" i="4"/>
  <c r="BG1552" i="4"/>
  <c r="BG1859" i="4"/>
  <c r="BN1292" i="4"/>
  <c r="BN1762" i="4"/>
  <c r="BF5581" i="4"/>
  <c r="BG75" i="4"/>
  <c r="BM1570" i="4"/>
  <c r="BF4696" i="4"/>
  <c r="BF2702" i="4"/>
  <c r="BM2905" i="4"/>
  <c r="BM1500" i="4"/>
  <c r="BF1322" i="4"/>
  <c r="BF1242" i="4"/>
  <c r="BM219" i="4"/>
  <c r="BM146" i="4"/>
  <c r="BG5219" i="4"/>
  <c r="BN160" i="4"/>
  <c r="BG1067" i="4"/>
  <c r="BG3563" i="4"/>
  <c r="BF2368" i="4"/>
  <c r="BF1028" i="4"/>
  <c r="Z690" i="2"/>
  <c r="BN2382" i="4"/>
  <c r="BM113" i="4"/>
  <c r="BF4025" i="4"/>
  <c r="BM2328" i="4"/>
  <c r="BG97" i="4"/>
  <c r="BG231" i="4"/>
  <c r="O473" i="2"/>
  <c r="P492" i="2"/>
  <c r="S492" i="2" s="1"/>
  <c r="T492" i="2" s="1"/>
  <c r="O491" i="2"/>
  <c r="Z713" i="2"/>
  <c r="C45" i="1" a="1"/>
  <c r="C45" i="1" s="1"/>
  <c r="C47" i="1"/>
  <c r="C29" i="1" a="1"/>
  <c r="C29" i="1" s="1"/>
  <c r="C164" i="1"/>
  <c r="C30" i="1" a="1"/>
  <c r="C30" i="1" s="1"/>
  <c r="C32" i="1"/>
  <c r="N599" i="2"/>
  <c r="P599" i="2"/>
  <c r="S599" i="2" s="1"/>
  <c r="T599" i="2" s="1"/>
  <c r="N469" i="2"/>
  <c r="Q649" i="2"/>
  <c r="Z723" i="2"/>
  <c r="N574" i="2"/>
  <c r="R461" i="2"/>
  <c r="N365" i="2"/>
  <c r="N386" i="2"/>
  <c r="R431" i="2"/>
  <c r="R542" i="2"/>
  <c r="Z712" i="2"/>
  <c r="Q489" i="2"/>
  <c r="Q440" i="2"/>
  <c r="R440" i="2"/>
  <c r="N624" i="2"/>
  <c r="Q624" i="2" s="1"/>
  <c r="Z679" i="2"/>
  <c r="R583" i="2"/>
  <c r="R533" i="2"/>
  <c r="O422" i="2"/>
  <c r="R422" i="2" s="1"/>
  <c r="P624" i="2"/>
  <c r="S624" i="2" s="1"/>
  <c r="T624" i="2" s="1"/>
  <c r="O406" i="2"/>
  <c r="Q645" i="2"/>
  <c r="Q449" i="2"/>
  <c r="N528" i="2"/>
  <c r="N438" i="2"/>
  <c r="Q438" i="2" s="1"/>
  <c r="Q617" i="2"/>
  <c r="Z701" i="2"/>
  <c r="O577" i="2"/>
  <c r="R577" i="2" s="1"/>
  <c r="Q542" i="2"/>
  <c r="P411" i="2"/>
  <c r="S411" i="2" s="1"/>
  <c r="T411" i="2" s="1"/>
  <c r="S499" i="2"/>
  <c r="T499" i="2" s="1"/>
  <c r="Q499" i="2"/>
  <c r="Q623" i="2"/>
  <c r="N584" i="2"/>
  <c r="Q584" i="2" s="1"/>
  <c r="O469" i="2"/>
  <c r="O506" i="2"/>
  <c r="O436" i="2"/>
  <c r="Q477" i="2"/>
  <c r="R499" i="2"/>
  <c r="Q368" i="2"/>
  <c r="Q461" i="2"/>
  <c r="P506" i="2"/>
  <c r="S506" i="2" s="1"/>
  <c r="T506" i="2" s="1"/>
  <c r="Q411" i="2"/>
  <c r="O598" i="2"/>
  <c r="R598" i="2" s="1"/>
  <c r="R355" i="2"/>
  <c r="N602" i="2"/>
  <c r="O621" i="2"/>
  <c r="R621" i="2" s="1"/>
  <c r="N621" i="2"/>
  <c r="Q621" i="2" s="1"/>
  <c r="Q362" i="2"/>
  <c r="R418" i="2"/>
  <c r="O429" i="2"/>
  <c r="R362" i="2"/>
  <c r="Z724" i="2"/>
  <c r="N598" i="2"/>
  <c r="Q598" i="2" s="1"/>
  <c r="Q418" i="2"/>
  <c r="P586" i="2"/>
  <c r="S586" i="2" s="1"/>
  <c r="T586" i="2" s="1"/>
  <c r="Q358" i="2"/>
  <c r="Q406" i="2"/>
  <c r="P482" i="2"/>
  <c r="R570" i="2"/>
  <c r="AA668" i="2"/>
  <c r="O588" i="2"/>
  <c r="O386" i="2"/>
  <c r="N589" i="2"/>
  <c r="P396" i="2"/>
  <c r="S396" i="2" s="1"/>
  <c r="T396" i="2" s="1"/>
  <c r="N404" i="2"/>
  <c r="N572" i="2"/>
  <c r="Q572" i="2" s="1"/>
  <c r="R459" i="2"/>
  <c r="O572" i="2"/>
  <c r="R572" i="2" s="1"/>
  <c r="N447" i="2"/>
  <c r="O404" i="2"/>
  <c r="Q554" i="2"/>
  <c r="Q519" i="2"/>
  <c r="P447" i="2"/>
  <c r="S447" i="2" s="1"/>
  <c r="T447" i="2" s="1"/>
  <c r="O611" i="2"/>
  <c r="R554" i="2"/>
  <c r="O524" i="2"/>
  <c r="R524" i="2" s="1"/>
  <c r="O648" i="2"/>
  <c r="P648" i="2"/>
  <c r="N610" i="2"/>
  <c r="Q610" i="2" s="1"/>
  <c r="Q620" i="2"/>
  <c r="P611" i="2"/>
  <c r="O640" i="2"/>
  <c r="R640" i="2" s="1"/>
  <c r="R492" i="2"/>
  <c r="N481" i="2"/>
  <c r="R620" i="2"/>
  <c r="N518" i="2"/>
  <c r="O589" i="2"/>
  <c r="Q608" i="2"/>
  <c r="R504" i="2"/>
  <c r="R413" i="2"/>
  <c r="N640" i="2"/>
  <c r="Q640" i="2" s="1"/>
  <c r="O508" i="2"/>
  <c r="N517" i="2"/>
  <c r="Q517" i="2" s="1"/>
  <c r="P560" i="2"/>
  <c r="S560" i="2" s="1"/>
  <c r="T560" i="2" s="1"/>
  <c r="R608" i="2"/>
  <c r="N524" i="2"/>
  <c r="Q524" i="2" s="1"/>
  <c r="N508" i="2"/>
  <c r="Q508" i="2" s="1"/>
  <c r="O358" i="2"/>
  <c r="R358" i="2" s="1"/>
  <c r="P575" i="2"/>
  <c r="S575" i="2" s="1"/>
  <c r="T575" i="2" s="1"/>
  <c r="N396" i="2"/>
  <c r="P563" i="2"/>
  <c r="S563" i="2" s="1"/>
  <c r="T563" i="2" s="1"/>
  <c r="N492" i="2"/>
  <c r="Q491" i="2"/>
  <c r="R528" i="2"/>
  <c r="R491" i="2"/>
  <c r="O562" i="2"/>
  <c r="P494" i="2"/>
  <c r="S494" i="2" s="1"/>
  <c r="T494" i="2" s="1"/>
  <c r="O365" i="2"/>
  <c r="P588" i="2"/>
  <c r="R427" i="2"/>
  <c r="O573" i="2"/>
  <c r="R573" i="2" s="1"/>
  <c r="P463" i="2"/>
  <c r="R477" i="2"/>
  <c r="O474" i="2"/>
  <c r="R386" i="2"/>
  <c r="R449" i="2"/>
  <c r="N485" i="2"/>
  <c r="N490" i="2"/>
  <c r="N480" i="2"/>
  <c r="N563" i="2"/>
  <c r="O485" i="2"/>
  <c r="O503" i="2"/>
  <c r="P602" i="2"/>
  <c r="S602" i="2" s="1"/>
  <c r="T602" i="2" s="1"/>
  <c r="P552" i="2"/>
  <c r="S552" i="2" s="1"/>
  <c r="T552" i="2" s="1"/>
  <c r="N565" i="2"/>
  <c r="P565" i="2"/>
  <c r="S565" i="2" s="1"/>
  <c r="T565" i="2" s="1"/>
  <c r="O565" i="2"/>
  <c r="Q427" i="2"/>
  <c r="Z734" i="2"/>
  <c r="N539" i="2"/>
  <c r="P539" i="2"/>
  <c r="S539" i="2" s="1"/>
  <c r="T539" i="2" s="1"/>
  <c r="N530" i="2"/>
  <c r="P481" i="2"/>
  <c r="S481" i="2" s="1"/>
  <c r="T481" i="2" s="1"/>
  <c r="Q384" i="2"/>
  <c r="N505" i="2"/>
  <c r="Q505" i="2" s="1"/>
  <c r="O505" i="2"/>
  <c r="P643" i="2"/>
  <c r="S643" i="2" s="1"/>
  <c r="T643" i="2" s="1"/>
  <c r="O643" i="2"/>
  <c r="R384" i="2"/>
  <c r="N463" i="2"/>
  <c r="Q463" i="2" s="1"/>
  <c r="Q481" i="2"/>
  <c r="P483" i="2"/>
  <c r="S483" i="2" s="1"/>
  <c r="T483" i="2" s="1"/>
  <c r="O610" i="2"/>
  <c r="O389" i="2"/>
  <c r="P389" i="2"/>
  <c r="S389" i="2" s="1"/>
  <c r="T389" i="2" s="1"/>
  <c r="O486" i="2"/>
  <c r="P474" i="2"/>
  <c r="S474" i="2" s="1"/>
  <c r="T474" i="2" s="1"/>
  <c r="O490" i="2"/>
  <c r="O480" i="2"/>
  <c r="R480" i="2" s="1"/>
  <c r="P530" i="2"/>
  <c r="S530" i="2" s="1"/>
  <c r="T530" i="2" s="1"/>
  <c r="P515" i="2"/>
  <c r="S515" i="2" s="1"/>
  <c r="T515" i="2" s="1"/>
  <c r="N515" i="2"/>
  <c r="N575" i="2"/>
  <c r="N573" i="2"/>
  <c r="Q573" i="2" s="1"/>
  <c r="N373" i="2"/>
  <c r="Q373" i="2" s="1"/>
  <c r="Q528" i="2"/>
  <c r="O425" i="2"/>
  <c r="R425" i="2" s="1"/>
  <c r="N529" i="2"/>
  <c r="Q529" i="2" s="1"/>
  <c r="N561" i="2"/>
  <c r="O561" i="2"/>
  <c r="P561" i="2"/>
  <c r="S561" i="2" s="1"/>
  <c r="T561" i="2" s="1"/>
  <c r="P531" i="2"/>
  <c r="O373" i="2"/>
  <c r="R373" i="2" s="1"/>
  <c r="I33" i="1"/>
  <c r="Q526" i="2"/>
  <c r="R508" i="2"/>
  <c r="R415" i="2"/>
  <c r="R649" i="2"/>
  <c r="R571" i="2"/>
  <c r="R599" i="2"/>
  <c r="R489" i="2"/>
  <c r="Q413" i="2"/>
  <c r="R490" i="2"/>
  <c r="R506" i="2"/>
  <c r="Q365" i="2"/>
  <c r="Q644" i="2"/>
  <c r="Q386" i="2"/>
  <c r="Q518" i="2"/>
  <c r="Q490" i="2"/>
  <c r="R496" i="2"/>
  <c r="Q571" i="2"/>
  <c r="Q504" i="2"/>
  <c r="Q602" i="2"/>
  <c r="Q583" i="2"/>
  <c r="S529" i="2"/>
  <c r="T529" i="2" s="1"/>
  <c r="R562" i="2"/>
  <c r="S562" i="2"/>
  <c r="T562" i="2" s="1"/>
  <c r="BF2082" i="4"/>
  <c r="P568" i="2"/>
  <c r="S568" i="2" s="1"/>
  <c r="T568" i="2" s="1"/>
  <c r="N393" i="2"/>
  <c r="O393" i="2"/>
  <c r="P393" i="2"/>
  <c r="S393" i="2" s="1"/>
  <c r="T393" i="2" s="1"/>
  <c r="BM3062" i="4"/>
  <c r="BM1682" i="4"/>
  <c r="BM817" i="4"/>
  <c r="BN956" i="4"/>
  <c r="BN521" i="4"/>
  <c r="BM106" i="4"/>
  <c r="BN1538" i="4"/>
  <c r="BM2262" i="4"/>
  <c r="BM3135" i="4"/>
  <c r="BG1471" i="4"/>
  <c r="BG1215" i="4"/>
  <c r="P582" i="2"/>
  <c r="S582" i="2" s="1"/>
  <c r="T582" i="2" s="1"/>
  <c r="BN2104" i="4"/>
  <c r="BM974" i="4"/>
  <c r="BN608" i="4"/>
  <c r="BN639" i="4"/>
  <c r="BM2831" i="4"/>
  <c r="BF2235" i="4"/>
  <c r="BG342" i="4"/>
  <c r="BF342" i="4"/>
  <c r="BF807" i="4"/>
  <c r="BG807" i="4"/>
  <c r="BF1442" i="4"/>
  <c r="BG1442" i="4"/>
  <c r="BG2279" i="4"/>
  <c r="BF2279" i="4"/>
  <c r="BG1617" i="4"/>
  <c r="BF1617" i="4"/>
  <c r="BG1618" i="4"/>
  <c r="BF1618" i="4"/>
  <c r="BG2651" i="4"/>
  <c r="BF2651" i="4"/>
  <c r="P521" i="2"/>
  <c r="S521" i="2" s="1"/>
  <c r="T521" i="2" s="1"/>
  <c r="O521" i="2"/>
  <c r="N521" i="2"/>
  <c r="N627" i="2"/>
  <c r="P627" i="2"/>
  <c r="S627" i="2" s="1"/>
  <c r="T627" i="2" s="1"/>
  <c r="O627" i="2"/>
  <c r="N564" i="2"/>
  <c r="Q429" i="2"/>
  <c r="N651" i="2"/>
  <c r="O651" i="2"/>
  <c r="P651" i="2"/>
  <c r="S651" i="2" s="1"/>
  <c r="T651" i="2" s="1"/>
  <c r="N605" i="2"/>
  <c r="P605" i="2"/>
  <c r="S605" i="2" s="1"/>
  <c r="T605" i="2" s="1"/>
  <c r="O605" i="2"/>
  <c r="BF737" i="4"/>
  <c r="BF3552" i="4"/>
  <c r="P522" i="2"/>
  <c r="S522" i="2" s="1"/>
  <c r="T522" i="2" s="1"/>
  <c r="O522" i="2"/>
  <c r="N522" i="2"/>
  <c r="N626" i="2"/>
  <c r="O626" i="2"/>
  <c r="P626" i="2"/>
  <c r="S626" i="2" s="1"/>
  <c r="T626" i="2" s="1"/>
  <c r="N628" i="2"/>
  <c r="O628" i="2"/>
  <c r="P628" i="2"/>
  <c r="S628" i="2" s="1"/>
  <c r="T628" i="2" s="1"/>
  <c r="P423" i="2"/>
  <c r="S423" i="2" s="1"/>
  <c r="T423" i="2" s="1"/>
  <c r="O423" i="2"/>
  <c r="N423" i="2"/>
  <c r="BN326" i="4"/>
  <c r="BM1026" i="4"/>
  <c r="BF6020" i="4"/>
  <c r="BF1186" i="4"/>
  <c r="Z657" i="2"/>
  <c r="AA657" i="2"/>
  <c r="P647" i="2"/>
  <c r="O647" i="2"/>
  <c r="N647" i="2"/>
  <c r="P532" i="2"/>
  <c r="S532" i="2" s="1"/>
  <c r="T532" i="2" s="1"/>
  <c r="O532" i="2"/>
  <c r="N532" i="2"/>
  <c r="P559" i="2"/>
  <c r="S559" i="2" s="1"/>
  <c r="T559" i="2" s="1"/>
  <c r="N559" i="2"/>
  <c r="N545" i="2"/>
  <c r="O545" i="2"/>
  <c r="P545" i="2"/>
  <c r="S545" i="2" s="1"/>
  <c r="T545" i="2" s="1"/>
  <c r="P614" i="2"/>
  <c r="S614" i="2" s="1"/>
  <c r="T614" i="2" s="1"/>
  <c r="O614" i="2"/>
  <c r="N614" i="2"/>
  <c r="P520" i="2"/>
  <c r="S520" i="2" s="1"/>
  <c r="T520" i="2" s="1"/>
  <c r="O520" i="2"/>
  <c r="N520" i="2"/>
  <c r="N443" i="2"/>
  <c r="P443" i="2"/>
  <c r="S443" i="2" s="1"/>
  <c r="T443" i="2" s="1"/>
  <c r="O443" i="2"/>
  <c r="P468" i="2"/>
  <c r="S468" i="2" s="1"/>
  <c r="T468" i="2" s="1"/>
  <c r="O468" i="2"/>
  <c r="N468" i="2"/>
  <c r="BN1054" i="4"/>
  <c r="BN223" i="4"/>
  <c r="BM2154" i="4"/>
  <c r="BF910" i="4"/>
  <c r="BF3223" i="4"/>
  <c r="BF658" i="4"/>
  <c r="P631" i="2"/>
  <c r="S631" i="2" s="1"/>
  <c r="T631" i="2" s="1"/>
  <c r="N631" i="2"/>
  <c r="Q631" i="2" s="1"/>
  <c r="O434" i="2"/>
  <c r="P434" i="2"/>
  <c r="S434" i="2" s="1"/>
  <c r="T434" i="2" s="1"/>
  <c r="N434" i="2"/>
  <c r="N369" i="2"/>
  <c r="O369" i="2"/>
  <c r="P369" i="2"/>
  <c r="S369" i="2" s="1"/>
  <c r="T369" i="2" s="1"/>
  <c r="Q396" i="2"/>
  <c r="BM995" i="4"/>
  <c r="BM333" i="4"/>
  <c r="BM1273" i="4"/>
  <c r="BM129" i="4"/>
  <c r="BM359" i="4"/>
  <c r="BN2365" i="4"/>
  <c r="BM2244" i="4"/>
  <c r="BM571" i="4"/>
  <c r="BG1430" i="4"/>
  <c r="BF680" i="4"/>
  <c r="BG680" i="4"/>
  <c r="BG418" i="4"/>
  <c r="BF418" i="4"/>
  <c r="BG2800" i="4"/>
  <c r="BF2800" i="4"/>
  <c r="BG350" i="4"/>
  <c r="BF350" i="4"/>
  <c r="BG2652" i="4"/>
  <c r="BF2652" i="4"/>
  <c r="BG4154" i="4"/>
  <c r="BF4154" i="4"/>
  <c r="BG3835" i="4"/>
  <c r="BF3835" i="4"/>
  <c r="BG1108" i="4"/>
  <c r="BF1108" i="4"/>
  <c r="N512" i="2"/>
  <c r="N544" i="2"/>
  <c r="P544" i="2"/>
  <c r="S544" i="2" s="1"/>
  <c r="T544" i="2" s="1"/>
  <c r="O544" i="2"/>
  <c r="P650" i="2"/>
  <c r="S650" i="2" s="1"/>
  <c r="T650" i="2" s="1"/>
  <c r="N650" i="2"/>
  <c r="P466" i="2"/>
  <c r="S466" i="2" s="1"/>
  <c r="T466" i="2" s="1"/>
  <c r="O466" i="2"/>
  <c r="R466" i="2" s="1"/>
  <c r="N466" i="2"/>
  <c r="P376" i="2"/>
  <c r="S376" i="2" s="1"/>
  <c r="T376" i="2" s="1"/>
  <c r="O376" i="2"/>
  <c r="N376" i="2"/>
  <c r="Q496" i="2"/>
  <c r="O538" i="2"/>
  <c r="P538" i="2"/>
  <c r="S538" i="2" s="1"/>
  <c r="T538" i="2" s="1"/>
  <c r="N538" i="2"/>
  <c r="Q538" i="2" s="1"/>
  <c r="O568" i="2"/>
  <c r="R568" i="2" s="1"/>
  <c r="O527" i="2"/>
  <c r="P527" i="2"/>
  <c r="S527" i="2" s="1"/>
  <c r="T527" i="2" s="1"/>
  <c r="N527" i="2"/>
  <c r="P548" i="2"/>
  <c r="S548" i="2" s="1"/>
  <c r="T548" i="2" s="1"/>
  <c r="O548" i="2"/>
  <c r="N548" i="2"/>
  <c r="Z680" i="2"/>
  <c r="P360" i="2"/>
  <c r="S360" i="2" s="1"/>
  <c r="T360" i="2" s="1"/>
  <c r="O360" i="2"/>
  <c r="N360" i="2"/>
  <c r="N534" i="2"/>
  <c r="P534" i="2"/>
  <c r="S534" i="2" s="1"/>
  <c r="T534" i="2" s="1"/>
  <c r="O534" i="2"/>
  <c r="O407" i="2"/>
  <c r="N407" i="2"/>
  <c r="P407" i="2"/>
  <c r="S407" i="2" s="1"/>
  <c r="T407" i="2" s="1"/>
  <c r="P382" i="2"/>
  <c r="S382" i="2" s="1"/>
  <c r="T382" i="2" s="1"/>
  <c r="O382" i="2"/>
  <c r="N382" i="2"/>
  <c r="P359" i="2"/>
  <c r="O359" i="2"/>
  <c r="N359" i="2"/>
  <c r="O357" i="2"/>
  <c r="P357" i="2"/>
  <c r="S357" i="2" s="1"/>
  <c r="T357" i="2" s="1"/>
  <c r="N357" i="2"/>
  <c r="O412" i="2"/>
  <c r="P412" i="2"/>
  <c r="S412" i="2" s="1"/>
  <c r="T412" i="2" s="1"/>
  <c r="N412" i="2"/>
  <c r="BN906" i="4"/>
  <c r="BG5419" i="4"/>
  <c r="N629" i="2"/>
  <c r="P629" i="2"/>
  <c r="S629" i="2" s="1"/>
  <c r="T629" i="2" s="1"/>
  <c r="O629" i="2"/>
  <c r="O547" i="2"/>
  <c r="P547" i="2"/>
  <c r="S547" i="2" s="1"/>
  <c r="T547" i="2" s="1"/>
  <c r="N547" i="2"/>
  <c r="P516" i="2"/>
  <c r="S516" i="2" s="1"/>
  <c r="T516" i="2" s="1"/>
  <c r="O516" i="2"/>
  <c r="N516" i="2"/>
  <c r="P385" i="2"/>
  <c r="S385" i="2" s="1"/>
  <c r="T385" i="2" s="1"/>
  <c r="O385" i="2"/>
  <c r="N385" i="2"/>
  <c r="O430" i="2"/>
  <c r="P430" i="2"/>
  <c r="S430" i="2" s="1"/>
  <c r="T430" i="2" s="1"/>
  <c r="N430" i="2"/>
  <c r="BM290" i="4"/>
  <c r="BN1958" i="4"/>
  <c r="BM601" i="4"/>
  <c r="BN2667" i="4"/>
  <c r="BM712" i="4"/>
  <c r="BG1174" i="4"/>
  <c r="BG715" i="4"/>
  <c r="BG449" i="4"/>
  <c r="BF449" i="4"/>
  <c r="BF241" i="4"/>
  <c r="BG241" i="4"/>
  <c r="BG617" i="4"/>
  <c r="BF617" i="4"/>
  <c r="BG1468" i="4"/>
  <c r="BF1468" i="4"/>
  <c r="BG616" i="4"/>
  <c r="BF616" i="4"/>
  <c r="BG1078" i="4"/>
  <c r="BF1078" i="4"/>
  <c r="BN1102" i="4"/>
  <c r="BM1102" i="4"/>
  <c r="O442" i="2"/>
  <c r="N442" i="2"/>
  <c r="P442" i="2"/>
  <c r="S442" i="2" s="1"/>
  <c r="T442" i="2" s="1"/>
  <c r="P537" i="2"/>
  <c r="S537" i="2" s="1"/>
  <c r="T537" i="2" s="1"/>
  <c r="O537" i="2"/>
  <c r="N537" i="2"/>
  <c r="Q537" i="2" s="1"/>
  <c r="Q563" i="2"/>
  <c r="BF1431" i="4"/>
  <c r="BG1431" i="4"/>
  <c r="BF2278" i="4"/>
  <c r="BG2278" i="4"/>
  <c r="BG931" i="4"/>
  <c r="BF931" i="4"/>
  <c r="BG1578" i="4"/>
  <c r="BF1578" i="4"/>
  <c r="BF1508" i="4"/>
  <c r="BG1508" i="4"/>
  <c r="BG2357" i="4"/>
  <c r="BF2357" i="4"/>
  <c r="BG1402" i="4"/>
  <c r="BF1402" i="4"/>
  <c r="BF1321" i="4"/>
  <c r="BG1321" i="4"/>
  <c r="BG3060" i="4"/>
  <c r="BF3060" i="4"/>
  <c r="BF842" i="4"/>
  <c r="BG842" i="4"/>
  <c r="BG2146" i="4"/>
  <c r="BF2146" i="4"/>
  <c r="P377" i="2"/>
  <c r="S377" i="2" s="1"/>
  <c r="T377" i="2" s="1"/>
  <c r="O377" i="2"/>
  <c r="N377" i="2"/>
  <c r="O636" i="2"/>
  <c r="N636" i="2"/>
  <c r="P636" i="2"/>
  <c r="S636" i="2" s="1"/>
  <c r="T636" i="2" s="1"/>
  <c r="P408" i="2"/>
  <c r="S408" i="2" s="1"/>
  <c r="T408" i="2" s="1"/>
  <c r="O408" i="2"/>
  <c r="R408" i="2" s="1"/>
  <c r="N408" i="2"/>
  <c r="P390" i="2"/>
  <c r="S390" i="2" s="1"/>
  <c r="T390" i="2" s="1"/>
  <c r="O390" i="2"/>
  <c r="N390" i="2"/>
  <c r="BM515" i="4"/>
  <c r="BF1135" i="4"/>
  <c r="BG2489" i="4"/>
  <c r="BN1812" i="4"/>
  <c r="BM1812" i="4"/>
  <c r="BN51" i="4"/>
  <c r="BM51" i="4"/>
  <c r="N378" i="2"/>
  <c r="P378" i="2"/>
  <c r="S378" i="2" s="1"/>
  <c r="T378" i="2" s="1"/>
  <c r="O378" i="2"/>
  <c r="P597" i="2"/>
  <c r="S597" i="2" s="1"/>
  <c r="T597" i="2" s="1"/>
  <c r="N597" i="2"/>
  <c r="Q597" i="2" s="1"/>
  <c r="O597" i="2"/>
  <c r="BM1213" i="4"/>
  <c r="BM2055" i="4"/>
  <c r="BN466" i="4"/>
  <c r="BM2484" i="4"/>
  <c r="BN2111" i="4"/>
  <c r="BN1917" i="4"/>
  <c r="BG254" i="4"/>
  <c r="BF254" i="4"/>
  <c r="BG933" i="4"/>
  <c r="BF933" i="4"/>
  <c r="BN2768" i="4"/>
  <c r="BM2768" i="4"/>
  <c r="BN827" i="4"/>
  <c r="BM827" i="4"/>
  <c r="O633" i="2"/>
  <c r="N633" i="2"/>
  <c r="P633" i="2"/>
  <c r="S633" i="2" s="1"/>
  <c r="T633" i="2" s="1"/>
  <c r="N392" i="2"/>
  <c r="P392" i="2"/>
  <c r="S392" i="2" s="1"/>
  <c r="T392" i="2" s="1"/>
  <c r="O392" i="2"/>
  <c r="R485" i="2"/>
  <c r="S485" i="2"/>
  <c r="T485" i="2" s="1"/>
  <c r="P567" i="2"/>
  <c r="S567" i="2" s="1"/>
  <c r="T567" i="2" s="1"/>
  <c r="O567" i="2"/>
  <c r="N567" i="2"/>
  <c r="N445" i="2"/>
  <c r="P445" i="2"/>
  <c r="S445" i="2" s="1"/>
  <c r="T445" i="2" s="1"/>
  <c r="O445" i="2"/>
  <c r="BG3283" i="4"/>
  <c r="C31" i="1" a="1"/>
  <c r="C31" i="1" s="1"/>
  <c r="P535" i="2"/>
  <c r="S535" i="2" s="1"/>
  <c r="T535" i="2" s="1"/>
  <c r="O535" i="2"/>
  <c r="N535" i="2"/>
  <c r="P612" i="2"/>
  <c r="S612" i="2" s="1"/>
  <c r="T612" i="2" s="1"/>
  <c r="O612" i="2"/>
  <c r="N612" i="2"/>
  <c r="P448" i="2"/>
  <c r="S448" i="2" s="1"/>
  <c r="T448" i="2" s="1"/>
  <c r="N609" i="2"/>
  <c r="P609" i="2"/>
  <c r="S609" i="2" s="1"/>
  <c r="T609" i="2" s="1"/>
  <c r="N398" i="2"/>
  <c r="O398" i="2"/>
  <c r="P398" i="2"/>
  <c r="S398" i="2" s="1"/>
  <c r="T398" i="2" s="1"/>
  <c r="BN668" i="4"/>
  <c r="BM2016" i="4"/>
  <c r="R595" i="2"/>
  <c r="S595" i="2"/>
  <c r="T595" i="2" s="1"/>
  <c r="P596" i="2"/>
  <c r="S596" i="2" s="1"/>
  <c r="T596" i="2" s="1"/>
  <c r="O596" i="2"/>
  <c r="N596" i="2"/>
  <c r="Q595" i="2"/>
  <c r="O432" i="2"/>
  <c r="N432" i="2"/>
  <c r="P432" i="2"/>
  <c r="S432" i="2" s="1"/>
  <c r="T432" i="2" s="1"/>
  <c r="BM2549" i="4"/>
  <c r="BN845" i="4"/>
  <c r="BN161" i="4"/>
  <c r="BN232" i="4"/>
  <c r="BN46" i="4"/>
  <c r="BM3366" i="4"/>
  <c r="BN193" i="4"/>
  <c r="BM379" i="4"/>
  <c r="BN2323" i="4"/>
  <c r="BG4023" i="4"/>
  <c r="BF626" i="4"/>
  <c r="BF3629" i="4"/>
  <c r="BG3629" i="4"/>
  <c r="BG6019" i="4"/>
  <c r="BF6019" i="4"/>
  <c r="BG1389" i="4"/>
  <c r="BF1389" i="4"/>
  <c r="BG209" i="4"/>
  <c r="BF209" i="4"/>
  <c r="BF2157" i="4"/>
  <c r="BG2157" i="4"/>
  <c r="BG3284" i="4"/>
  <c r="BF3284" i="4"/>
  <c r="BG230" i="4"/>
  <c r="BF230" i="4"/>
  <c r="BG2202" i="4"/>
  <c r="BF2202" i="4"/>
  <c r="BG286" i="4"/>
  <c r="BF286" i="4"/>
  <c r="BG1213" i="4"/>
  <c r="BF1213" i="4"/>
  <c r="R560" i="2"/>
  <c r="O634" i="2"/>
  <c r="P634" i="2"/>
  <c r="S634" i="2" s="1"/>
  <c r="T634" i="2" s="1"/>
  <c r="N634" i="2"/>
  <c r="O507" i="2"/>
  <c r="N507" i="2"/>
  <c r="P507" i="2"/>
  <c r="S507" i="2" s="1"/>
  <c r="T507" i="2" s="1"/>
  <c r="N562" i="2"/>
  <c r="Q562" i="2" s="1"/>
  <c r="N560" i="2"/>
  <c r="Q560" i="2" s="1"/>
  <c r="BM178" i="4"/>
  <c r="BN178" i="4"/>
  <c r="BM305" i="4"/>
  <c r="BN305" i="4"/>
  <c r="N483" i="2"/>
  <c r="Q483" i="2" s="1"/>
  <c r="R611" i="2"/>
  <c r="Q404" i="2"/>
  <c r="N616" i="2"/>
  <c r="O616" i="2"/>
  <c r="P616" i="2"/>
  <c r="S616" i="2" s="1"/>
  <c r="T616" i="2" s="1"/>
  <c r="P525" i="2"/>
  <c r="S525" i="2" s="1"/>
  <c r="T525" i="2" s="1"/>
  <c r="O525" i="2"/>
  <c r="N525" i="2"/>
  <c r="P472" i="2"/>
  <c r="S472" i="2" s="1"/>
  <c r="T472" i="2" s="1"/>
  <c r="O472" i="2"/>
  <c r="N472" i="2"/>
  <c r="BF594" i="4"/>
  <c r="P641" i="2"/>
  <c r="S641" i="2" s="1"/>
  <c r="T641" i="2" s="1"/>
  <c r="O641" i="2"/>
  <c r="N641" i="2"/>
  <c r="S611" i="2"/>
  <c r="T611" i="2" s="1"/>
  <c r="Q611" i="2"/>
  <c r="O593" i="2"/>
  <c r="P593" i="2"/>
  <c r="N593" i="2"/>
  <c r="P585" i="2"/>
  <c r="S585" i="2" s="1"/>
  <c r="T585" i="2" s="1"/>
  <c r="N585" i="2"/>
  <c r="O585" i="2"/>
  <c r="P465" i="2"/>
  <c r="S465" i="2" s="1"/>
  <c r="T465" i="2" s="1"/>
  <c r="O465" i="2"/>
  <c r="N465" i="2"/>
  <c r="R474" i="2"/>
  <c r="P383" i="2"/>
  <c r="O383" i="2"/>
  <c r="BG943" i="4"/>
  <c r="P564" i="2"/>
  <c r="S564" i="2" s="1"/>
  <c r="T564" i="2" s="1"/>
  <c r="BN543" i="4"/>
  <c r="BM543" i="4"/>
  <c r="BN2408" i="4"/>
  <c r="BM2408" i="4"/>
  <c r="BN340" i="4"/>
  <c r="BM340" i="4"/>
  <c r="I37" i="1"/>
  <c r="P452" i="2"/>
  <c r="O452" i="2"/>
  <c r="N452" i="2"/>
  <c r="O587" i="2"/>
  <c r="P587" i="2"/>
  <c r="S587" i="2" s="1"/>
  <c r="T587" i="2" s="1"/>
  <c r="N587" i="2"/>
  <c r="P558" i="2"/>
  <c r="S558" i="2" s="1"/>
  <c r="T558" i="2" s="1"/>
  <c r="O558" i="2"/>
  <c r="N558" i="2"/>
  <c r="O409" i="2"/>
  <c r="P409" i="2"/>
  <c r="S409" i="2" s="1"/>
  <c r="T409" i="2" s="1"/>
  <c r="N409" i="2"/>
  <c r="O374" i="2"/>
  <c r="N374" i="2"/>
  <c r="P374" i="2"/>
  <c r="S374" i="2" s="1"/>
  <c r="T374" i="2" s="1"/>
  <c r="P426" i="2"/>
  <c r="S426" i="2" s="1"/>
  <c r="T426" i="2" s="1"/>
  <c r="N426" i="2"/>
  <c r="P417" i="2"/>
  <c r="S417" i="2" s="1"/>
  <c r="T417" i="2" s="1"/>
  <c r="O417" i="2"/>
  <c r="N417" i="2"/>
  <c r="BM941" i="4"/>
  <c r="BN321" i="4"/>
  <c r="BN502" i="4"/>
  <c r="BN1503" i="4"/>
  <c r="BF176" i="4"/>
  <c r="BF210" i="4"/>
  <c r="BF3750" i="4"/>
  <c r="BF2756" i="4"/>
  <c r="BG897" i="4"/>
  <c r="BF562" i="4"/>
  <c r="O630" i="2"/>
  <c r="P630" i="2"/>
  <c r="S630" i="2" s="1"/>
  <c r="T630" i="2" s="1"/>
  <c r="N630" i="2"/>
  <c r="BG3836" i="4"/>
  <c r="BF3836" i="4"/>
  <c r="BG1588" i="4"/>
  <c r="BF1588" i="4"/>
  <c r="BG284" i="4"/>
  <c r="BF284" i="4"/>
  <c r="BG1441" i="4"/>
  <c r="BF1441" i="4"/>
  <c r="BG5096" i="4"/>
  <c r="BF5096" i="4"/>
  <c r="O493" i="2"/>
  <c r="P493" i="2"/>
  <c r="S493" i="2" s="1"/>
  <c r="T493" i="2" s="1"/>
  <c r="N493" i="2"/>
  <c r="N555" i="2"/>
  <c r="P555" i="2"/>
  <c r="S555" i="2" s="1"/>
  <c r="T555" i="2" s="1"/>
  <c r="O555" i="2"/>
  <c r="BN2783" i="4"/>
  <c r="BM2783" i="4"/>
  <c r="BM1150" i="4"/>
  <c r="BN1150" i="4"/>
  <c r="P462" i="2"/>
  <c r="S462" i="2" s="1"/>
  <c r="T462" i="2" s="1"/>
  <c r="O462" i="2"/>
  <c r="N462" i="2"/>
  <c r="N497" i="2"/>
  <c r="P497" i="2"/>
  <c r="S497" i="2" s="1"/>
  <c r="T497" i="2" s="1"/>
  <c r="O497" i="2"/>
  <c r="R623" i="2"/>
  <c r="P473" i="2"/>
  <c r="S473" i="2" s="1"/>
  <c r="T473" i="2" s="1"/>
  <c r="P450" i="2"/>
  <c r="O450" i="2"/>
  <c r="P363" i="2"/>
  <c r="S363" i="2" s="1"/>
  <c r="T363" i="2" s="1"/>
  <c r="O363" i="2"/>
  <c r="N363" i="2"/>
  <c r="P604" i="2"/>
  <c r="S604" i="2" s="1"/>
  <c r="T604" i="2" s="1"/>
  <c r="N604" i="2"/>
  <c r="O604" i="2"/>
  <c r="BF3837" i="4"/>
  <c r="BG3837" i="4"/>
  <c r="BG958" i="4"/>
  <c r="BF958" i="4"/>
  <c r="BG98" i="4"/>
  <c r="BF98" i="4"/>
  <c r="BG2024" i="4"/>
  <c r="BF2024" i="4"/>
  <c r="BF3001" i="4"/>
  <c r="BG3001" i="4"/>
  <c r="BG441" i="4"/>
  <c r="BF441" i="4"/>
  <c r="BG1704" i="4"/>
  <c r="BF1704" i="4"/>
  <c r="P388" i="2"/>
  <c r="S388" i="2" s="1"/>
  <c r="T388" i="2" s="1"/>
  <c r="O388" i="2"/>
  <c r="N388" i="2"/>
  <c r="P512" i="2"/>
  <c r="S512" i="2" s="1"/>
  <c r="T512" i="2" s="1"/>
  <c r="P622" i="2"/>
  <c r="S622" i="2" s="1"/>
  <c r="T622" i="2" s="1"/>
  <c r="O622" i="2"/>
  <c r="N622" i="2"/>
  <c r="O618" i="2"/>
  <c r="P618" i="2"/>
  <c r="N618" i="2"/>
  <c r="P523" i="2"/>
  <c r="S523" i="2" s="1"/>
  <c r="T523" i="2" s="1"/>
  <c r="O523" i="2"/>
  <c r="N523" i="2"/>
  <c r="BM474" i="4"/>
  <c r="BN327" i="4"/>
  <c r="BN672" i="4"/>
  <c r="BG1472" i="4"/>
  <c r="BF1472" i="4"/>
  <c r="BG1707" i="4"/>
  <c r="BF1707" i="4"/>
  <c r="BG5903" i="4"/>
  <c r="BF5903" i="4"/>
  <c r="BG4834" i="4"/>
  <c r="BF4834" i="4"/>
  <c r="BF186" i="4"/>
  <c r="BG186" i="4"/>
  <c r="BG1320" i="4"/>
  <c r="BF1320" i="4"/>
  <c r="BF5832" i="4"/>
  <c r="BG5832" i="4"/>
  <c r="BG2112" i="4"/>
  <c r="BF2112" i="4"/>
  <c r="BG3377" i="4"/>
  <c r="BF3377" i="4"/>
  <c r="P439" i="2"/>
  <c r="N439" i="2"/>
  <c r="O439" i="2"/>
  <c r="BM2424" i="4"/>
  <c r="BM798" i="4"/>
  <c r="BN877" i="4"/>
  <c r="BN876" i="4"/>
  <c r="BN3054" i="4"/>
  <c r="BM927" i="4"/>
  <c r="BG132" i="4"/>
  <c r="BF121" i="4"/>
  <c r="Q591" i="2"/>
  <c r="R591" i="2"/>
  <c r="BG3130" i="4"/>
  <c r="BF3130" i="4"/>
  <c r="BG1738" i="4"/>
  <c r="BF1738" i="4"/>
  <c r="BF615" i="4"/>
  <c r="BG615" i="4"/>
  <c r="BG1146" i="4"/>
  <c r="BF1146" i="4"/>
  <c r="BG1839" i="4"/>
  <c r="BF1839" i="4"/>
  <c r="BG2650" i="4"/>
  <c r="BF2650" i="4"/>
  <c r="BG232" i="4"/>
  <c r="BF232" i="4"/>
  <c r="BF340" i="4"/>
  <c r="BG340" i="4"/>
  <c r="BG507" i="4"/>
  <c r="BF507" i="4"/>
  <c r="BG2401" i="4"/>
  <c r="BF2401" i="4"/>
  <c r="BF396" i="4"/>
  <c r="BG396" i="4"/>
  <c r="BG5553" i="4"/>
  <c r="BF5553" i="4"/>
  <c r="N502" i="2"/>
  <c r="P502" i="2"/>
  <c r="S502" i="2" s="1"/>
  <c r="T502" i="2" s="1"/>
  <c r="O502" i="2"/>
  <c r="BM37" i="4"/>
  <c r="BN37" i="4"/>
  <c r="BN233" i="4"/>
  <c r="BM233" i="4"/>
  <c r="P420" i="2"/>
  <c r="S420" i="2" s="1"/>
  <c r="T420" i="2" s="1"/>
  <c r="O420" i="2"/>
  <c r="N420" i="2"/>
  <c r="R589" i="2"/>
  <c r="P541" i="2"/>
  <c r="S541" i="2" s="1"/>
  <c r="T541" i="2" s="1"/>
  <c r="O541" i="2"/>
  <c r="N541" i="2"/>
  <c r="R586" i="2"/>
  <c r="O455" i="2"/>
  <c r="P455" i="2"/>
  <c r="S455" i="2" s="1"/>
  <c r="T455" i="2" s="1"/>
  <c r="N455" i="2"/>
  <c r="BG5421" i="4"/>
  <c r="BF5421" i="4"/>
  <c r="BF263" i="4"/>
  <c r="BG263" i="4"/>
  <c r="BG595" i="4"/>
  <c r="BF595" i="4"/>
  <c r="BG3947" i="4"/>
  <c r="BF3947" i="4"/>
  <c r="BF806" i="4"/>
  <c r="BG806" i="4"/>
  <c r="BF1538" i="4"/>
  <c r="BG1538" i="4"/>
  <c r="O361" i="2"/>
  <c r="P361" i="2"/>
  <c r="S361" i="2" s="1"/>
  <c r="T361" i="2" s="1"/>
  <c r="N361" i="2"/>
  <c r="BM22" i="4"/>
  <c r="BN1394" i="4"/>
  <c r="BM1394" i="4"/>
  <c r="BF2190" i="4"/>
  <c r="BG2190" i="4"/>
  <c r="O448" i="2"/>
  <c r="BN2491" i="4"/>
  <c r="R617" i="2"/>
  <c r="N428" i="2"/>
  <c r="P428" i="2"/>
  <c r="S428" i="2" s="1"/>
  <c r="T428" i="2" s="1"/>
  <c r="O428" i="2"/>
  <c r="N387" i="2"/>
  <c r="O387" i="2"/>
  <c r="P387" i="2"/>
  <c r="S387" i="2" s="1"/>
  <c r="T387" i="2" s="1"/>
  <c r="P372" i="2"/>
  <c r="S372" i="2" s="1"/>
  <c r="T372" i="2" s="1"/>
  <c r="O372" i="2"/>
  <c r="N372" i="2"/>
  <c r="BN82" i="4"/>
  <c r="BM482" i="4"/>
  <c r="BM2909" i="4"/>
  <c r="BM1367" i="4"/>
  <c r="BM147" i="4"/>
  <c r="BF3531" i="4"/>
  <c r="BF53" i="4"/>
  <c r="BF1795" i="4"/>
  <c r="BF308" i="4"/>
  <c r="BF265" i="4"/>
  <c r="O426" i="2"/>
  <c r="R426" i="2" s="1"/>
  <c r="Q539" i="2"/>
  <c r="N383" i="2"/>
  <c r="Q383" i="2" s="1"/>
  <c r="BM1059" i="4"/>
  <c r="BN1059" i="4"/>
  <c r="R438" i="2"/>
  <c r="S438" i="2"/>
  <c r="T438" i="2" s="1"/>
  <c r="N450" i="2"/>
  <c r="S406" i="2"/>
  <c r="T406" i="2" s="1"/>
  <c r="R406" i="2"/>
  <c r="Q586" i="2"/>
  <c r="O529" i="2"/>
  <c r="R529" i="2" s="1"/>
  <c r="P569" i="2"/>
  <c r="S569" i="2" s="1"/>
  <c r="T569" i="2" s="1"/>
  <c r="O569" i="2"/>
  <c r="N569" i="2"/>
  <c r="N576" i="2"/>
  <c r="P576" i="2"/>
  <c r="S576" i="2" s="1"/>
  <c r="T576" i="2" s="1"/>
  <c r="O576" i="2"/>
  <c r="I35" i="1"/>
  <c r="F659" i="2"/>
  <c r="O556" i="2"/>
  <c r="N556" i="2"/>
  <c r="P556" i="2"/>
  <c r="S556" i="2" s="1"/>
  <c r="T556" i="2" s="1"/>
  <c r="P395" i="2"/>
  <c r="S395" i="2" s="1"/>
  <c r="T395" i="2" s="1"/>
  <c r="O395" i="2"/>
  <c r="N395" i="2"/>
  <c r="P607" i="2"/>
  <c r="S607" i="2" s="1"/>
  <c r="T607" i="2" s="1"/>
  <c r="O607" i="2"/>
  <c r="N607" i="2"/>
  <c r="P638" i="2"/>
  <c r="S638" i="2" s="1"/>
  <c r="T638" i="2" s="1"/>
  <c r="O638" i="2"/>
  <c r="N638" i="2"/>
  <c r="N419" i="2"/>
  <c r="P419" i="2"/>
  <c r="S419" i="2" s="1"/>
  <c r="T419" i="2" s="1"/>
  <c r="O419" i="2"/>
  <c r="P397" i="2"/>
  <c r="S397" i="2" s="1"/>
  <c r="T397" i="2" s="1"/>
  <c r="O397" i="2"/>
  <c r="N397" i="2"/>
  <c r="BM1610" i="4"/>
  <c r="BN2363" i="4"/>
  <c r="O603" i="2"/>
  <c r="P603" i="2"/>
  <c r="S603" i="2" s="1"/>
  <c r="T603" i="2" s="1"/>
  <c r="N603" i="2"/>
  <c r="O476" i="2"/>
  <c r="R476" i="2" s="1"/>
  <c r="N476" i="2"/>
  <c r="Q476" i="2" s="1"/>
  <c r="P606" i="2"/>
  <c r="S606" i="2" s="1"/>
  <c r="T606" i="2" s="1"/>
  <c r="O606" i="2"/>
  <c r="N606" i="2"/>
  <c r="P619" i="2"/>
  <c r="S619" i="2" s="1"/>
  <c r="T619" i="2" s="1"/>
  <c r="O619" i="2"/>
  <c r="N619" i="2"/>
  <c r="BM2321" i="4"/>
  <c r="BM753" i="4"/>
  <c r="BM3277" i="4"/>
  <c r="BN1172" i="4"/>
  <c r="BM292" i="4"/>
  <c r="BM99" i="4"/>
  <c r="BM1366" i="4"/>
  <c r="BM2214" i="4"/>
  <c r="BG1620" i="4"/>
  <c r="BF2158" i="4"/>
  <c r="BG506" i="4"/>
  <c r="Q474" i="2"/>
  <c r="Q599" i="2"/>
  <c r="BN70" i="4"/>
  <c r="BM70" i="4"/>
  <c r="BM256" i="4"/>
  <c r="BN256" i="4"/>
  <c r="BN593" i="4"/>
  <c r="BM593" i="4"/>
  <c r="R526" i="2"/>
  <c r="P371" i="2"/>
  <c r="S371" i="2" s="1"/>
  <c r="T371" i="2" s="1"/>
  <c r="O371" i="2"/>
  <c r="N371" i="2"/>
  <c r="N501" i="2"/>
  <c r="P501" i="2"/>
  <c r="S501" i="2" s="1"/>
  <c r="T501" i="2" s="1"/>
  <c r="N475" i="2"/>
  <c r="P475" i="2"/>
  <c r="S475" i="2" s="1"/>
  <c r="T475" i="2" s="1"/>
  <c r="O475" i="2"/>
  <c r="O613" i="2"/>
  <c r="P613" i="2"/>
  <c r="N613" i="2"/>
  <c r="S519" i="2"/>
  <c r="T519" i="2" s="1"/>
  <c r="R519" i="2"/>
  <c r="BF3154" i="4"/>
  <c r="BG3154" i="4"/>
  <c r="BG1094" i="4"/>
  <c r="BF1094" i="4"/>
  <c r="BG372" i="4"/>
  <c r="BF372" i="4"/>
  <c r="BG1705" i="4"/>
  <c r="BF1705" i="4"/>
  <c r="BG1905" i="4"/>
  <c r="BF1905" i="4"/>
  <c r="O471" i="2"/>
  <c r="P471" i="2"/>
  <c r="S471" i="2" s="1"/>
  <c r="T471" i="2" s="1"/>
  <c r="N471" i="2"/>
  <c r="O609" i="2"/>
  <c r="O581" i="2"/>
  <c r="P581" i="2"/>
  <c r="S581" i="2" s="1"/>
  <c r="T581" i="2" s="1"/>
  <c r="N581" i="2"/>
  <c r="P453" i="2"/>
  <c r="S453" i="2" s="1"/>
  <c r="T453" i="2" s="1"/>
  <c r="O453" i="2"/>
  <c r="N453" i="2"/>
  <c r="BN445" i="4"/>
  <c r="BM2769" i="4"/>
  <c r="BM695" i="4"/>
  <c r="BM3365" i="4"/>
  <c r="BM1445" i="4"/>
  <c r="BN1504" i="4"/>
  <c r="BF3304" i="4"/>
  <c r="BG1187" i="4"/>
  <c r="BF1749" i="4"/>
  <c r="O579" i="2"/>
  <c r="P579" i="2"/>
  <c r="S579" i="2" s="1"/>
  <c r="T579" i="2" s="1"/>
  <c r="N579" i="2"/>
  <c r="O456" i="2"/>
  <c r="P456" i="2"/>
  <c r="S456" i="2" s="1"/>
  <c r="T456" i="2" s="1"/>
  <c r="N456" i="2"/>
  <c r="O518" i="2"/>
  <c r="R518" i="2" s="1"/>
  <c r="BN2430" i="4"/>
  <c r="BM2430" i="4"/>
  <c r="BN1637" i="4"/>
  <c r="BM1637" i="4"/>
  <c r="N582" i="2"/>
  <c r="P511" i="2"/>
  <c r="S511" i="2" s="1"/>
  <c r="T511" i="2" s="1"/>
  <c r="O511" i="2"/>
  <c r="N511" i="2"/>
  <c r="O399" i="2"/>
  <c r="N399" i="2"/>
  <c r="P399" i="2"/>
  <c r="S399" i="2" s="1"/>
  <c r="T399" i="2" s="1"/>
  <c r="N410" i="2"/>
  <c r="P410" i="2"/>
  <c r="S410" i="2" s="1"/>
  <c r="T410" i="2" s="1"/>
  <c r="O410" i="2"/>
  <c r="P600" i="2"/>
  <c r="S600" i="2" s="1"/>
  <c r="T600" i="2" s="1"/>
  <c r="O600" i="2"/>
  <c r="R600" i="2" s="1"/>
  <c r="N600" i="2"/>
  <c r="O421" i="2"/>
  <c r="P421" i="2"/>
  <c r="S421" i="2" s="1"/>
  <c r="T421" i="2" s="1"/>
  <c r="N421" i="2"/>
  <c r="P370" i="2"/>
  <c r="S370" i="2" s="1"/>
  <c r="T370" i="2" s="1"/>
  <c r="O370" i="2"/>
  <c r="N370" i="2"/>
  <c r="N553" i="2"/>
  <c r="Q553" i="2" s="1"/>
  <c r="O553" i="2"/>
  <c r="R553" i="2" s="1"/>
  <c r="N380" i="2"/>
  <c r="O380" i="2"/>
  <c r="P380" i="2"/>
  <c r="N536" i="2"/>
  <c r="P536" i="2"/>
  <c r="S536" i="2" s="1"/>
  <c r="T536" i="2" s="1"/>
  <c r="O536" i="2"/>
  <c r="P592" i="2"/>
  <c r="S592" i="2" s="1"/>
  <c r="T592" i="2" s="1"/>
  <c r="O592" i="2"/>
  <c r="N592" i="2"/>
  <c r="P479" i="2"/>
  <c r="S479" i="2" s="1"/>
  <c r="T479" i="2" s="1"/>
  <c r="O479" i="2"/>
  <c r="N479" i="2"/>
  <c r="P401" i="2"/>
  <c r="S401" i="2" s="1"/>
  <c r="T401" i="2" s="1"/>
  <c r="N401" i="2"/>
  <c r="O401" i="2"/>
  <c r="P513" i="2"/>
  <c r="S513" i="2" s="1"/>
  <c r="T513" i="2" s="1"/>
  <c r="O513" i="2"/>
  <c r="N513" i="2"/>
  <c r="N578" i="2"/>
  <c r="P578" i="2"/>
  <c r="S578" i="2" s="1"/>
  <c r="T578" i="2" s="1"/>
  <c r="O578" i="2"/>
  <c r="O457" i="2"/>
  <c r="P457" i="2"/>
  <c r="S457" i="2" s="1"/>
  <c r="T457" i="2" s="1"/>
  <c r="N457" i="2"/>
  <c r="N470" i="2"/>
  <c r="P470" i="2"/>
  <c r="S470" i="2" s="1"/>
  <c r="T470" i="2" s="1"/>
  <c r="O470" i="2"/>
  <c r="N366" i="2"/>
  <c r="Q366" i="2" s="1"/>
  <c r="O366" i="2"/>
  <c r="R366" i="2" s="1"/>
  <c r="BN111" i="4"/>
  <c r="BN1458" i="4"/>
  <c r="BF2636" i="4"/>
  <c r="BG5364" i="4"/>
  <c r="BG2070" i="4"/>
  <c r="BF2070" i="4"/>
  <c r="BF153" i="4"/>
  <c r="BG153" i="4"/>
  <c r="BG648" i="4"/>
  <c r="BF648" i="4"/>
  <c r="BG99" i="4"/>
  <c r="BF99" i="4"/>
  <c r="BG772" i="4"/>
  <c r="BF772" i="4"/>
  <c r="BG627" i="4"/>
  <c r="BF627" i="4"/>
  <c r="BF773" i="4"/>
  <c r="BG773" i="4"/>
  <c r="P379" i="2"/>
  <c r="S379" i="2" s="1"/>
  <c r="T379" i="2" s="1"/>
  <c r="N379" i="2"/>
  <c r="O379" i="2"/>
  <c r="P424" i="2"/>
  <c r="S424" i="2" s="1"/>
  <c r="T424" i="2" s="1"/>
  <c r="O424" i="2"/>
  <c r="N424" i="2"/>
  <c r="P495" i="2"/>
  <c r="S495" i="2" s="1"/>
  <c r="T495" i="2" s="1"/>
  <c r="O495" i="2"/>
  <c r="R495" i="2" s="1"/>
  <c r="N495" i="2"/>
  <c r="R404" i="2"/>
  <c r="BF2544" i="4"/>
  <c r="BF830" i="4"/>
  <c r="BG2417" i="4"/>
  <c r="BF1660" i="4"/>
  <c r="P435" i="2"/>
  <c r="S435" i="2" s="1"/>
  <c r="T435" i="2" s="1"/>
  <c r="N435" i="2"/>
  <c r="O435" i="2"/>
  <c r="O478" i="2"/>
  <c r="P478" i="2"/>
  <c r="S478" i="2" s="1"/>
  <c r="T478" i="2" s="1"/>
  <c r="N478" i="2"/>
  <c r="Q589" i="2"/>
  <c r="N494" i="2"/>
  <c r="Q494" i="2" s="1"/>
  <c r="Q533" i="2"/>
  <c r="R644" i="2"/>
  <c r="O487" i="2"/>
  <c r="P487" i="2"/>
  <c r="S487" i="2" s="1"/>
  <c r="T487" i="2" s="1"/>
  <c r="N487" i="2"/>
  <c r="P458" i="2"/>
  <c r="S458" i="2" s="1"/>
  <c r="T458" i="2" s="1"/>
  <c r="O458" i="2"/>
  <c r="N458" i="2"/>
  <c r="O594" i="2"/>
  <c r="P594" i="2"/>
  <c r="S594" i="2" s="1"/>
  <c r="T594" i="2" s="1"/>
  <c r="N594" i="2"/>
  <c r="R365" i="2"/>
  <c r="P509" i="2"/>
  <c r="S509" i="2" s="1"/>
  <c r="T509" i="2" s="1"/>
  <c r="O509" i="2"/>
  <c r="N509" i="2"/>
  <c r="N546" i="2"/>
  <c r="O546" i="2"/>
  <c r="P546" i="2"/>
  <c r="S546" i="2" s="1"/>
  <c r="T546" i="2" s="1"/>
  <c r="O632" i="2"/>
  <c r="P632" i="2"/>
  <c r="N632" i="2"/>
  <c r="Q570" i="2"/>
  <c r="P566" i="2"/>
  <c r="S566" i="2" s="1"/>
  <c r="T566" i="2" s="1"/>
  <c r="N566" i="2"/>
  <c r="O566" i="2"/>
  <c r="R469" i="2"/>
  <c r="Q447" i="2"/>
  <c r="P436" i="2"/>
  <c r="R505" i="2"/>
  <c r="R429" i="2"/>
  <c r="O460" i="2"/>
  <c r="P460" i="2"/>
  <c r="S460" i="2" s="1"/>
  <c r="T460" i="2" s="1"/>
  <c r="N460" i="2"/>
  <c r="P486" i="2"/>
  <c r="S486" i="2" s="1"/>
  <c r="T486" i="2" s="1"/>
  <c r="P557" i="2"/>
  <c r="S557" i="2" s="1"/>
  <c r="T557" i="2" s="1"/>
  <c r="O557" i="2"/>
  <c r="N557" i="2"/>
  <c r="O416" i="2"/>
  <c r="P416" i="2"/>
  <c r="S416" i="2" s="1"/>
  <c r="T416" i="2" s="1"/>
  <c r="N416" i="2"/>
  <c r="P446" i="2"/>
  <c r="S446" i="2" s="1"/>
  <c r="T446" i="2" s="1"/>
  <c r="O446" i="2"/>
  <c r="N446" i="2"/>
  <c r="Q469" i="2"/>
  <c r="R447" i="2"/>
  <c r="O580" i="2"/>
  <c r="P580" i="2"/>
  <c r="S580" i="2" s="1"/>
  <c r="T580" i="2" s="1"/>
  <c r="N580" i="2"/>
  <c r="P367" i="2"/>
  <c r="S367" i="2" s="1"/>
  <c r="T367" i="2" s="1"/>
  <c r="N367" i="2"/>
  <c r="Q367" i="2" s="1"/>
  <c r="O367" i="2"/>
  <c r="N425" i="2"/>
  <c r="Q425" i="2" s="1"/>
  <c r="P381" i="2"/>
  <c r="O381" i="2"/>
  <c r="N381" i="2"/>
  <c r="P500" i="2"/>
  <c r="S500" i="2" s="1"/>
  <c r="T500" i="2" s="1"/>
  <c r="O500" i="2"/>
  <c r="N500" i="2"/>
  <c r="Z669" i="2"/>
  <c r="AA669" i="2"/>
  <c r="Q355" i="2"/>
  <c r="P464" i="2"/>
  <c r="S464" i="2" s="1"/>
  <c r="T464" i="2" s="1"/>
  <c r="O464" i="2"/>
  <c r="N464" i="2"/>
  <c r="P550" i="2"/>
  <c r="S550" i="2" s="1"/>
  <c r="T550" i="2" s="1"/>
  <c r="N550" i="2"/>
  <c r="Q550" i="2" s="1"/>
  <c r="O550" i="2"/>
  <c r="P433" i="2"/>
  <c r="S433" i="2" s="1"/>
  <c r="T433" i="2" s="1"/>
  <c r="O433" i="2"/>
  <c r="N433" i="2"/>
  <c r="BM133" i="4"/>
  <c r="BN133" i="4"/>
  <c r="R563" i="2"/>
  <c r="O394" i="2"/>
  <c r="P394" i="2"/>
  <c r="N394" i="2"/>
  <c r="Q480" i="2"/>
  <c r="N451" i="2"/>
  <c r="P451" i="2"/>
  <c r="S451" i="2" s="1"/>
  <c r="T451" i="2" s="1"/>
  <c r="O451" i="2"/>
  <c r="R645" i="2"/>
  <c r="P503" i="2"/>
  <c r="R503" i="2" s="1"/>
  <c r="O637" i="2"/>
  <c r="N637" i="2"/>
  <c r="P637" i="2"/>
  <c r="R539" i="2"/>
  <c r="R610" i="2"/>
  <c r="O540" i="2"/>
  <c r="N540" i="2"/>
  <c r="P540" i="2"/>
  <c r="Q485" i="2"/>
  <c r="N402" i="2"/>
  <c r="P402" i="2"/>
  <c r="S402" i="2" s="1"/>
  <c r="T402" i="2" s="1"/>
  <c r="O402" i="2"/>
  <c r="R396" i="2"/>
  <c r="P514" i="2"/>
  <c r="S514" i="2" s="1"/>
  <c r="T514" i="2" s="1"/>
  <c r="O514" i="2"/>
  <c r="N514" i="2"/>
  <c r="BF874" i="4"/>
  <c r="BF1992" i="4"/>
  <c r="BF4521" i="4"/>
  <c r="BF1991" i="4"/>
  <c r="BF3082" i="4"/>
  <c r="BF932" i="4"/>
  <c r="BG2249" i="4"/>
  <c r="BF3194" i="4"/>
  <c r="BF5816" i="4"/>
  <c r="BF1577" i="4"/>
  <c r="BG1362" i="4"/>
  <c r="BF1871" i="4"/>
  <c r="BF373" i="4"/>
  <c r="BG2801" i="4"/>
  <c r="BF3000" i="4"/>
  <c r="BF20" i="4"/>
  <c r="O601" i="2"/>
  <c r="P601" i="2"/>
  <c r="S601" i="2" s="1"/>
  <c r="T601" i="2" s="1"/>
  <c r="N601" i="2"/>
  <c r="Q415" i="2"/>
  <c r="P510" i="2"/>
  <c r="S510" i="2" s="1"/>
  <c r="T510" i="2" s="1"/>
  <c r="O510" i="2"/>
  <c r="N510" i="2"/>
  <c r="P403" i="2"/>
  <c r="S403" i="2" s="1"/>
  <c r="T403" i="2" s="1"/>
  <c r="N403" i="2"/>
  <c r="O403" i="2"/>
  <c r="O405" i="2"/>
  <c r="P405" i="2"/>
  <c r="N405" i="2"/>
  <c r="O356" i="2"/>
  <c r="P356" i="2"/>
  <c r="S356" i="2" s="1"/>
  <c r="T356" i="2" s="1"/>
  <c r="N356" i="2"/>
  <c r="Q492" i="2"/>
  <c r="P625" i="2"/>
  <c r="S625" i="2" s="1"/>
  <c r="T625" i="2" s="1"/>
  <c r="O625" i="2"/>
  <c r="N625" i="2"/>
  <c r="P467" i="2"/>
  <c r="S467" i="2" s="1"/>
  <c r="T467" i="2" s="1"/>
  <c r="O467" i="2"/>
  <c r="N467" i="2"/>
  <c r="N543" i="2"/>
  <c r="P543" i="2"/>
  <c r="O543" i="2"/>
  <c r="N549" i="2"/>
  <c r="P549" i="2"/>
  <c r="S549" i="2" s="1"/>
  <c r="T549" i="2" s="1"/>
  <c r="O549" i="2"/>
  <c r="O364" i="2"/>
  <c r="N364" i="2"/>
  <c r="P364" i="2"/>
  <c r="S364" i="2" s="1"/>
  <c r="T364" i="2" s="1"/>
  <c r="N615" i="2"/>
  <c r="O615" i="2"/>
  <c r="P615" i="2"/>
  <c r="P488" i="2"/>
  <c r="S488" i="2" s="1"/>
  <c r="T488" i="2" s="1"/>
  <c r="O488" i="2"/>
  <c r="N488" i="2"/>
  <c r="P498" i="2"/>
  <c r="S498" i="2" s="1"/>
  <c r="T498" i="2" s="1"/>
  <c r="O498" i="2"/>
  <c r="N498" i="2"/>
  <c r="P441" i="2"/>
  <c r="S441" i="2" s="1"/>
  <c r="T441" i="2" s="1"/>
  <c r="O441" i="2"/>
  <c r="N441" i="2"/>
  <c r="P437" i="2"/>
  <c r="S437" i="2" s="1"/>
  <c r="T437" i="2" s="1"/>
  <c r="N437" i="2"/>
  <c r="O437" i="2"/>
  <c r="P400" i="2"/>
  <c r="S400" i="2" s="1"/>
  <c r="T400" i="2" s="1"/>
  <c r="O400" i="2"/>
  <c r="N400" i="2"/>
  <c r="N414" i="2"/>
  <c r="Q414" i="2" s="1"/>
  <c r="O414" i="2"/>
  <c r="R414" i="2" s="1"/>
  <c r="Q575" i="2"/>
  <c r="P574" i="2"/>
  <c r="S574" i="2" s="1"/>
  <c r="T574" i="2" s="1"/>
  <c r="O444" i="2"/>
  <c r="R444" i="2" s="1"/>
  <c r="N444" i="2"/>
  <c r="Q444" i="2" s="1"/>
  <c r="P639" i="2"/>
  <c r="O639" i="2"/>
  <c r="N639" i="2"/>
  <c r="BM134" i="4"/>
  <c r="BN134" i="4"/>
  <c r="P391" i="2"/>
  <c r="S391" i="2" s="1"/>
  <c r="T391" i="2" s="1"/>
  <c r="O391" i="2"/>
  <c r="R391" i="2" s="1"/>
  <c r="N391" i="2"/>
  <c r="N646" i="2"/>
  <c r="O646" i="2"/>
  <c r="P646" i="2"/>
  <c r="S646" i="2" s="1"/>
  <c r="T646" i="2" s="1"/>
  <c r="R575" i="2"/>
  <c r="BG425" i="4"/>
  <c r="BF425" i="4"/>
  <c r="BG3349" i="4"/>
  <c r="BF3349" i="4"/>
  <c r="BG2683" i="4"/>
  <c r="BF2683" i="4"/>
  <c r="BG4275" i="4"/>
  <c r="BF4275" i="4"/>
  <c r="BG5962" i="4"/>
  <c r="BF5962" i="4"/>
  <c r="BG2564" i="4"/>
  <c r="BF2564" i="4"/>
  <c r="BM3460" i="4"/>
  <c r="BN3460" i="4"/>
  <c r="BN1215" i="4"/>
  <c r="BM1215" i="4"/>
  <c r="BN3077" i="4"/>
  <c r="BM3077" i="4"/>
  <c r="BN1822" i="4"/>
  <c r="BM1822" i="4"/>
  <c r="BN565" i="4"/>
  <c r="BM565" i="4"/>
  <c r="BG5551" i="4"/>
  <c r="BF5551" i="4"/>
  <c r="BF1902" i="4"/>
  <c r="BG1902" i="4"/>
  <c r="BF386" i="4"/>
  <c r="BG386" i="4"/>
  <c r="BG4779" i="4"/>
  <c r="BF4779" i="4"/>
  <c r="BG4112" i="4"/>
  <c r="BF4112" i="4"/>
  <c r="BG2487" i="4"/>
  <c r="BF2487" i="4"/>
  <c r="BF795" i="4"/>
  <c r="BG795" i="4"/>
  <c r="BG3691" i="4"/>
  <c r="BF3691" i="4"/>
  <c r="BG1418" i="4"/>
  <c r="BF1418" i="4"/>
  <c r="BF670" i="4"/>
  <c r="BG670" i="4"/>
  <c r="BF64" i="4"/>
  <c r="BG64" i="4"/>
  <c r="BG2143" i="4"/>
  <c r="BF2143" i="4"/>
  <c r="BF1121" i="4"/>
  <c r="BG1121" i="4"/>
  <c r="BG438" i="4"/>
  <c r="BF438" i="4"/>
  <c r="BF5100" i="4"/>
  <c r="BG5100" i="4"/>
  <c r="BG2778" i="4"/>
  <c r="BF2778" i="4"/>
  <c r="BG1809" i="4"/>
  <c r="BF1809" i="4"/>
  <c r="BG775" i="4"/>
  <c r="BF775" i="4"/>
  <c r="BG1622" i="4"/>
  <c r="BF1622" i="4"/>
  <c r="BG1952" i="4"/>
  <c r="BF1952" i="4"/>
  <c r="BG2286" i="4"/>
  <c r="BF2286" i="4"/>
  <c r="BG3140" i="4"/>
  <c r="BF3140" i="4"/>
  <c r="BF5045" i="4"/>
  <c r="BG5045" i="4"/>
  <c r="BF14" i="4"/>
  <c r="BG14" i="4"/>
  <c r="BG256" i="4"/>
  <c r="BF256" i="4"/>
  <c r="BG498" i="4"/>
  <c r="BF498" i="4"/>
  <c r="BG741" i="4"/>
  <c r="BF741" i="4"/>
  <c r="BF996" i="4"/>
  <c r="BG996" i="4"/>
  <c r="BG1286" i="4"/>
  <c r="BF1286" i="4"/>
  <c r="BF1582" i="4"/>
  <c r="BG1582" i="4"/>
  <c r="BG3733" i="4"/>
  <c r="BF3733" i="4"/>
  <c r="BG4860" i="4"/>
  <c r="BF4860" i="4"/>
  <c r="BG1772" i="4"/>
  <c r="BF1772" i="4"/>
  <c r="BG2104" i="4"/>
  <c r="BF2104" i="4"/>
  <c r="BG2441" i="4"/>
  <c r="BF2441" i="4"/>
  <c r="BG2853" i="4"/>
  <c r="BF2853" i="4"/>
  <c r="BG4294" i="4"/>
  <c r="BF4294" i="4"/>
  <c r="BF5777" i="4"/>
  <c r="BG5777" i="4"/>
  <c r="BF59" i="4"/>
  <c r="BG59" i="4"/>
  <c r="BG301" i="4"/>
  <c r="BF301" i="4"/>
  <c r="BF543" i="4"/>
  <c r="BG543" i="4"/>
  <c r="BG788" i="4"/>
  <c r="BF788" i="4"/>
  <c r="BG1046" i="4"/>
  <c r="BF1046" i="4"/>
  <c r="BG1341" i="4"/>
  <c r="BF1341" i="4"/>
  <c r="BF1639" i="4"/>
  <c r="BG1639" i="4"/>
  <c r="BG2675" i="4"/>
  <c r="BF2675" i="4"/>
  <c r="BF3170" i="4"/>
  <c r="BG3170" i="4"/>
  <c r="BF3881" i="4"/>
  <c r="BG3881" i="4"/>
  <c r="BG950" i="4"/>
  <c r="BF950" i="4"/>
  <c r="BG1849" i="4"/>
  <c r="BF1849" i="4"/>
  <c r="BF2181" i="4"/>
  <c r="BG2181" i="4"/>
  <c r="BG2533" i="4"/>
  <c r="BF2533" i="4"/>
  <c r="BG3610" i="4"/>
  <c r="BF3610" i="4"/>
  <c r="BF4605" i="4"/>
  <c r="BG4605" i="4"/>
  <c r="BF79" i="4"/>
  <c r="BG79" i="4"/>
  <c r="BG890" i="4"/>
  <c r="BF890" i="4"/>
  <c r="BF2617" i="4"/>
  <c r="BG2617" i="4"/>
  <c r="BG82" i="4"/>
  <c r="BF82" i="4"/>
  <c r="BG324" i="4"/>
  <c r="BF324" i="4"/>
  <c r="BF566" i="4"/>
  <c r="BG566" i="4"/>
  <c r="BF1072" i="4"/>
  <c r="BG1072" i="4"/>
  <c r="BF1368" i="4"/>
  <c r="BG1368" i="4"/>
  <c r="BF3238" i="4"/>
  <c r="BG3238" i="4"/>
  <c r="BG5255" i="4"/>
  <c r="BF5255" i="4"/>
  <c r="BG813" i="4"/>
  <c r="BF813" i="4"/>
  <c r="BF1670" i="4"/>
  <c r="BG1670" i="4"/>
  <c r="BG2002" i="4"/>
  <c r="BF2002" i="4"/>
  <c r="BG2334" i="4"/>
  <c r="BF2334" i="4"/>
  <c r="BG2716" i="4"/>
  <c r="BF2716" i="4"/>
  <c r="BF3966" i="4"/>
  <c r="BG3966" i="4"/>
  <c r="BG5271" i="4"/>
  <c r="BF5271" i="4"/>
  <c r="BF83" i="4"/>
  <c r="BG83" i="4"/>
  <c r="BF325" i="4"/>
  <c r="BG325" i="4"/>
  <c r="BG567" i="4"/>
  <c r="BF567" i="4"/>
  <c r="BG1075" i="4"/>
  <c r="BF1075" i="4"/>
  <c r="BF1369" i="4"/>
  <c r="BG1369" i="4"/>
  <c r="BG2717" i="4"/>
  <c r="BF2717" i="4"/>
  <c r="BF3239" i="4"/>
  <c r="BG3239" i="4"/>
  <c r="BG5272" i="4"/>
  <c r="BF5272" i="4"/>
  <c r="BG1628" i="4"/>
  <c r="BF1628" i="4"/>
  <c r="BG1958" i="4"/>
  <c r="BF1958" i="4"/>
  <c r="BG2290" i="4"/>
  <c r="BF2290" i="4"/>
  <c r="BG2662" i="4"/>
  <c r="BF2662" i="4"/>
  <c r="BG227" i="4"/>
  <c r="BF227" i="4"/>
  <c r="BG469" i="4"/>
  <c r="BF469" i="4"/>
  <c r="BG711" i="4"/>
  <c r="BF711" i="4"/>
  <c r="BG965" i="4"/>
  <c r="BF965" i="4"/>
  <c r="BG1251" i="4"/>
  <c r="BF1251" i="4"/>
  <c r="BG1545" i="4"/>
  <c r="BF1545" i="4"/>
  <c r="BG2998" i="4"/>
  <c r="BF2998" i="4"/>
  <c r="BF3645" i="4"/>
  <c r="BG3645" i="4"/>
  <c r="BG4687" i="4"/>
  <c r="BF4687" i="4"/>
  <c r="BG1748" i="4"/>
  <c r="BF1748" i="4"/>
  <c r="BG2080" i="4"/>
  <c r="BF2080" i="4"/>
  <c r="BG2817" i="4"/>
  <c r="BF2817" i="4"/>
  <c r="BG5628" i="4"/>
  <c r="BF5628" i="4"/>
  <c r="BG1708" i="4"/>
  <c r="BF1708" i="4"/>
  <c r="BG2510" i="4"/>
  <c r="BF2510" i="4"/>
  <c r="BG123" i="4"/>
  <c r="BF123" i="4"/>
  <c r="BF96" i="4"/>
  <c r="BG96" i="4"/>
  <c r="BG338" i="4"/>
  <c r="BF338" i="4"/>
  <c r="BG580" i="4"/>
  <c r="BF580" i="4"/>
  <c r="BG827" i="4"/>
  <c r="BF827" i="4"/>
  <c r="BG1090" i="4"/>
  <c r="BF1090" i="4"/>
  <c r="BG1386" i="4"/>
  <c r="BF1386" i="4"/>
  <c r="BG3272" i="4"/>
  <c r="BF3272" i="4"/>
  <c r="BF4990" i="4"/>
  <c r="BG4990" i="4"/>
  <c r="BF5670" i="4"/>
  <c r="BG5670" i="4"/>
  <c r="BG2480" i="4"/>
  <c r="BF2480" i="4"/>
  <c r="BG3321" i="4"/>
  <c r="BF3321" i="4"/>
  <c r="BF3666" i="4"/>
  <c r="BG3666" i="4"/>
  <c r="BF4076" i="4"/>
  <c r="BG4076" i="4"/>
  <c r="BG4669" i="4"/>
  <c r="BF4669" i="4"/>
  <c r="BG5312" i="4"/>
  <c r="BF5312" i="4"/>
  <c r="BG3976" i="4"/>
  <c r="BF3976" i="4"/>
  <c r="BG5922" i="4"/>
  <c r="BF5922" i="4"/>
  <c r="BG4331" i="4"/>
  <c r="BF4331" i="4"/>
  <c r="BG5635" i="4"/>
  <c r="BF5635" i="4"/>
  <c r="BG1731" i="4"/>
  <c r="BF1731" i="4"/>
  <c r="BG1973" i="4"/>
  <c r="BF1973" i="4"/>
  <c r="BG2215" i="4"/>
  <c r="BF2215" i="4"/>
  <c r="BG2712" i="4"/>
  <c r="BF2712" i="4"/>
  <c r="BF3635" i="4"/>
  <c r="BG3635" i="4"/>
  <c r="BF4616" i="4"/>
  <c r="BG4616" i="4"/>
  <c r="BG2747" i="4"/>
  <c r="BF2747" i="4"/>
  <c r="BG3338" i="4"/>
  <c r="BF3338" i="4"/>
  <c r="BG3686" i="4"/>
  <c r="BF3686" i="4"/>
  <c r="BG4101" i="4"/>
  <c r="BF4101" i="4"/>
  <c r="BG4700" i="4"/>
  <c r="BF4700" i="4"/>
  <c r="BG3811" i="4"/>
  <c r="BF3811" i="4"/>
  <c r="BG4279" i="4"/>
  <c r="BF4279" i="4"/>
  <c r="BG4910" i="4"/>
  <c r="BF4910" i="4"/>
  <c r="BG3117" i="4"/>
  <c r="BF3117" i="4"/>
  <c r="BG3446" i="4"/>
  <c r="BF3446" i="4"/>
  <c r="BF5569" i="4"/>
  <c r="BG5569" i="4"/>
  <c r="BG1095" i="4"/>
  <c r="BF1095" i="4"/>
  <c r="BG1337" i="4"/>
  <c r="BF1337" i="4"/>
  <c r="BG1579" i="4"/>
  <c r="BF1579" i="4"/>
  <c r="BG1821" i="4"/>
  <c r="BF1821" i="4"/>
  <c r="BG2063" i="4"/>
  <c r="BF2063" i="4"/>
  <c r="BG2305" i="4"/>
  <c r="BF2305" i="4"/>
  <c r="BG2553" i="4"/>
  <c r="BF2553" i="4"/>
  <c r="BG4856" i="4"/>
  <c r="BF4856" i="4"/>
  <c r="BG2784" i="4"/>
  <c r="BF2784" i="4"/>
  <c r="BG3387" i="4"/>
  <c r="BF3387" i="4"/>
  <c r="BG3739" i="4"/>
  <c r="BF3739" i="4"/>
  <c r="BG4793" i="4"/>
  <c r="BF4793" i="4"/>
  <c r="BG5446" i="4"/>
  <c r="BF5446" i="4"/>
  <c r="BG1195" i="4"/>
  <c r="BF1195" i="4"/>
  <c r="BF1437" i="4"/>
  <c r="BG1437" i="4"/>
  <c r="BG1679" i="4"/>
  <c r="BF1679" i="4"/>
  <c r="BG1921" i="4"/>
  <c r="BF1921" i="4"/>
  <c r="BG2163" i="4"/>
  <c r="BF2163" i="4"/>
  <c r="BG2405" i="4"/>
  <c r="BF2405" i="4"/>
  <c r="BG4475" i="4"/>
  <c r="BF4475" i="4"/>
  <c r="BG5123" i="4"/>
  <c r="BF5123" i="4"/>
  <c r="BG5850" i="4"/>
  <c r="BF5850" i="4"/>
  <c r="BG2785" i="4"/>
  <c r="BF2785" i="4"/>
  <c r="BF4176" i="4"/>
  <c r="BG4176" i="4"/>
  <c r="BG4802" i="4"/>
  <c r="BF4802" i="4"/>
  <c r="BG5047" i="4"/>
  <c r="BF5047" i="4"/>
  <c r="BG5671" i="4"/>
  <c r="BF5671" i="4"/>
  <c r="BG2977" i="4"/>
  <c r="BF2977" i="4"/>
  <c r="BG3219" i="4"/>
  <c r="BF3219" i="4"/>
  <c r="BG3461" i="4"/>
  <c r="BF3461" i="4"/>
  <c r="BG3704" i="4"/>
  <c r="BF3704" i="4"/>
  <c r="BG3980" i="4"/>
  <c r="BF3980" i="4"/>
  <c r="BG4261" i="4"/>
  <c r="BF4261" i="4"/>
  <c r="BG4835" i="4"/>
  <c r="BF4835" i="4"/>
  <c r="BG5128" i="4"/>
  <c r="BF5128" i="4"/>
  <c r="BG5781" i="4"/>
  <c r="BF5781" i="4"/>
  <c r="BF4452" i="4"/>
  <c r="BG4452" i="4"/>
  <c r="BG5035" i="4"/>
  <c r="BF5035" i="4"/>
  <c r="BF5656" i="4"/>
  <c r="BG5656" i="4"/>
  <c r="BF3264" i="4"/>
  <c r="BG3264" i="4"/>
  <c r="BF3506" i="4"/>
  <c r="BG3506" i="4"/>
  <c r="BG3754" i="4"/>
  <c r="BF3754" i="4"/>
  <c r="BG4312" i="4"/>
  <c r="BF4312" i="4"/>
  <c r="BG5183" i="4"/>
  <c r="BF5183" i="4"/>
  <c r="BG5481" i="4"/>
  <c r="BF5481" i="4"/>
  <c r="BG5858" i="4"/>
  <c r="BF5858" i="4"/>
  <c r="BG4033" i="4"/>
  <c r="BF4033" i="4"/>
  <c r="BG4596" i="4"/>
  <c r="BF4596" i="4"/>
  <c r="BG4889" i="4"/>
  <c r="BF4889" i="4"/>
  <c r="BG3221" i="4"/>
  <c r="BF3221" i="4"/>
  <c r="BG3463" i="4"/>
  <c r="BF3463" i="4"/>
  <c r="BG3706" i="4"/>
  <c r="BF3706" i="4"/>
  <c r="BF3982" i="4"/>
  <c r="BG3982" i="4"/>
  <c r="BF4263" i="4"/>
  <c r="BG4263" i="4"/>
  <c r="BG4837" i="4"/>
  <c r="BF4837" i="4"/>
  <c r="BG5130" i="4"/>
  <c r="BF5130" i="4"/>
  <c r="BG4797" i="4"/>
  <c r="BF4797" i="4"/>
  <c r="BG5091" i="4"/>
  <c r="BF5091" i="4"/>
  <c r="BG5384" i="4"/>
  <c r="BF5384" i="4"/>
  <c r="BG5729" i="4"/>
  <c r="BF5729" i="4"/>
  <c r="BG4442" i="4"/>
  <c r="BF4442" i="4"/>
  <c r="BG4732" i="4"/>
  <c r="BF4732" i="4"/>
  <c r="BF5319" i="4"/>
  <c r="BG5319" i="4"/>
  <c r="BG3708" i="4"/>
  <c r="BF3708" i="4"/>
  <c r="BG3985" i="4"/>
  <c r="BF3985" i="4"/>
  <c r="BG4546" i="4"/>
  <c r="BF4546" i="4"/>
  <c r="BG5427" i="4"/>
  <c r="BF5427" i="4"/>
  <c r="BG5788" i="4"/>
  <c r="BF5788" i="4"/>
  <c r="BG4666" i="4"/>
  <c r="BF4666" i="4"/>
  <c r="BG5253" i="4"/>
  <c r="BF5253" i="4"/>
  <c r="BG5955" i="4"/>
  <c r="BF5955" i="4"/>
  <c r="BG4139" i="4"/>
  <c r="BF4139" i="4"/>
  <c r="BG4707" i="4"/>
  <c r="BF4707" i="4"/>
  <c r="BG5000" i="4"/>
  <c r="BF5000" i="4"/>
  <c r="BG5294" i="4"/>
  <c r="BF5294" i="4"/>
  <c r="BG5608" i="4"/>
  <c r="BF5608" i="4"/>
  <c r="BF3070" i="4"/>
  <c r="BG3070" i="4"/>
  <c r="BF3312" i="4"/>
  <c r="BG3312" i="4"/>
  <c r="BF3554" i="4"/>
  <c r="BG3554" i="4"/>
  <c r="BG4088" i="4"/>
  <c r="BF4088" i="4"/>
  <c r="BG4654" i="4"/>
  <c r="BF4654" i="4"/>
  <c r="BG5241" i="4"/>
  <c r="BF5241" i="4"/>
  <c r="BG5546" i="4"/>
  <c r="BF5546" i="4"/>
  <c r="BF5703" i="4"/>
  <c r="BG5703" i="4"/>
  <c r="BG5999" i="4"/>
  <c r="BF5999" i="4"/>
  <c r="BG4751" i="4"/>
  <c r="BF4751" i="4"/>
  <c r="BG5815" i="4"/>
  <c r="BF5815" i="4"/>
  <c r="BG3818" i="4"/>
  <c r="BF3818" i="4"/>
  <c r="BG4060" i="4"/>
  <c r="BF4060" i="4"/>
  <c r="BG4302" i="4"/>
  <c r="BF4302" i="4"/>
  <c r="BG4798" i="4"/>
  <c r="BF4798" i="4"/>
  <c r="BG5305" i="4"/>
  <c r="BF5305" i="4"/>
  <c r="BG3786" i="4"/>
  <c r="BF3786" i="4"/>
  <c r="BG4028" i="4"/>
  <c r="BF4028" i="4"/>
  <c r="BG4270" i="4"/>
  <c r="BF4270" i="4"/>
  <c r="BG4512" i="4"/>
  <c r="BF4512" i="4"/>
  <c r="BG5018" i="4"/>
  <c r="BF5018" i="4"/>
  <c r="BG5466" i="4"/>
  <c r="BF5466" i="4"/>
  <c r="BG5708" i="4"/>
  <c r="BF5708" i="4"/>
  <c r="BG5950" i="4"/>
  <c r="BF5950" i="4"/>
  <c r="BG4543" i="4"/>
  <c r="BF4543" i="4"/>
  <c r="BG4785" i="4"/>
  <c r="BF4785" i="4"/>
  <c r="BG5027" i="4"/>
  <c r="BF5027" i="4"/>
  <c r="BG5269" i="4"/>
  <c r="BF5269" i="4"/>
  <c r="BG5511" i="4"/>
  <c r="BF5511" i="4"/>
  <c r="BG5753" i="4"/>
  <c r="BF5753" i="4"/>
  <c r="BG5995" i="4"/>
  <c r="BF5995" i="4"/>
  <c r="BF1229" i="4"/>
  <c r="BG1229" i="4"/>
  <c r="BG1886" i="4"/>
  <c r="BF1886" i="4"/>
  <c r="BG2615" i="4"/>
  <c r="BF2615" i="4"/>
  <c r="BG242" i="4"/>
  <c r="BF242" i="4"/>
  <c r="BG3861" i="4"/>
  <c r="BF3861" i="4"/>
  <c r="BG2374" i="4"/>
  <c r="BF2374" i="4"/>
  <c r="BG724" i="4"/>
  <c r="BF724" i="4"/>
  <c r="BG4410" i="4"/>
  <c r="BF4410" i="4"/>
  <c r="BG4783" i="4"/>
  <c r="BF4783" i="4"/>
  <c r="BG1036" i="4"/>
  <c r="BF1036" i="4"/>
  <c r="BG3757" i="4"/>
  <c r="BF3757" i="4"/>
  <c r="BF4417" i="4"/>
  <c r="BG4417" i="4"/>
  <c r="BG700" i="4"/>
  <c r="BF700" i="4"/>
  <c r="BG4014" i="4"/>
  <c r="BF4014" i="4"/>
  <c r="BF4153" i="4"/>
  <c r="BG4153" i="4"/>
  <c r="BN2943" i="4"/>
  <c r="BM2943" i="4"/>
  <c r="BN2626" i="4"/>
  <c r="BM2626" i="4"/>
  <c r="BN1550" i="4"/>
  <c r="BM1550" i="4"/>
  <c r="BN886" i="4"/>
  <c r="BM886" i="4"/>
  <c r="BM59" i="4"/>
  <c r="BN59" i="4"/>
  <c r="BN2394" i="4"/>
  <c r="BM2394" i="4"/>
  <c r="BN787" i="4"/>
  <c r="BM787" i="4"/>
  <c r="BM366" i="4"/>
  <c r="BN366" i="4"/>
  <c r="BN2182" i="4"/>
  <c r="BM2182" i="4"/>
  <c r="BN294" i="4"/>
  <c r="BM294" i="4"/>
  <c r="BN1275" i="4"/>
  <c r="BM1275" i="4"/>
  <c r="BN700" i="4"/>
  <c r="BM700" i="4"/>
  <c r="BN3388" i="4"/>
  <c r="BM3388" i="4"/>
  <c r="BM241" i="4"/>
  <c r="BN241" i="4"/>
  <c r="BM2995" i="4"/>
  <c r="BN2995" i="4"/>
  <c r="BN1041" i="4"/>
  <c r="BM1041" i="4"/>
  <c r="BG2067" i="4"/>
  <c r="BF2067" i="4"/>
  <c r="BG496" i="4"/>
  <c r="BF496" i="4"/>
  <c r="BG2910" i="4"/>
  <c r="BF2910" i="4"/>
  <c r="BG1054" i="4"/>
  <c r="BF1054" i="4"/>
  <c r="BG1735" i="4"/>
  <c r="BF1735" i="4"/>
  <c r="BG276" i="4"/>
  <c r="BF276" i="4"/>
  <c r="BF550" i="4"/>
  <c r="BG550" i="4"/>
  <c r="BG3027" i="4"/>
  <c r="BF3027" i="4"/>
  <c r="BG2224" i="4"/>
  <c r="BF2224" i="4"/>
  <c r="BF454" i="4"/>
  <c r="BG454" i="4"/>
  <c r="BG1528" i="4"/>
  <c r="BF1528" i="4"/>
  <c r="BG2970" i="4"/>
  <c r="BF2970" i="4"/>
  <c r="BG2045" i="4"/>
  <c r="BF2045" i="4"/>
  <c r="BG15" i="4"/>
  <c r="BF15" i="4"/>
  <c r="BF499" i="4"/>
  <c r="BG499" i="4"/>
  <c r="BG1287" i="4"/>
  <c r="BF1287" i="4"/>
  <c r="BG1790" i="4"/>
  <c r="BF1790" i="4"/>
  <c r="BG2877" i="4"/>
  <c r="BF2877" i="4"/>
  <c r="BG2299" i="4"/>
  <c r="BF2299" i="4"/>
  <c r="BF38" i="4"/>
  <c r="BG38" i="4"/>
  <c r="BG522" i="4"/>
  <c r="BF522" i="4"/>
  <c r="BG1023" i="4"/>
  <c r="BF1023" i="4"/>
  <c r="BG1611" i="4"/>
  <c r="BF1611" i="4"/>
  <c r="BG3123" i="4"/>
  <c r="BF3123" i="4"/>
  <c r="BG5006" i="4"/>
  <c r="BF5006" i="4"/>
  <c r="BG767" i="4"/>
  <c r="BF767" i="4"/>
  <c r="BG1941" i="4"/>
  <c r="BF1941" i="4"/>
  <c r="BG2641" i="4"/>
  <c r="BF2641" i="4"/>
  <c r="BF39" i="4"/>
  <c r="BG39" i="4"/>
  <c r="BG523" i="4"/>
  <c r="BF523" i="4"/>
  <c r="BG1024" i="4"/>
  <c r="BF1024" i="4"/>
  <c r="BG1614" i="4"/>
  <c r="BF1614" i="4"/>
  <c r="BF733" i="4"/>
  <c r="BG733" i="4"/>
  <c r="BG2231" i="4"/>
  <c r="BF2231" i="4"/>
  <c r="BG3050" i="4"/>
  <c r="BF3050" i="4"/>
  <c r="BF183" i="4"/>
  <c r="BG183" i="4"/>
  <c r="BG918" i="4"/>
  <c r="BF918" i="4"/>
  <c r="BG1493" i="4"/>
  <c r="BF1493" i="4"/>
  <c r="BG2907" i="4"/>
  <c r="BF2907" i="4"/>
  <c r="BG2021" i="4"/>
  <c r="BF2021" i="4"/>
  <c r="BG4009" i="4"/>
  <c r="BF4009" i="4"/>
  <c r="BF2421" i="4"/>
  <c r="BG2421" i="4"/>
  <c r="BG52" i="4"/>
  <c r="BF52" i="4"/>
  <c r="BG536" i="4"/>
  <c r="BF536" i="4"/>
  <c r="BF1332" i="4"/>
  <c r="BG1332" i="4"/>
  <c r="BG2434" i="4"/>
  <c r="BF2434" i="4"/>
  <c r="BG3260" i="4"/>
  <c r="BF3260" i="4"/>
  <c r="BF5194" i="4"/>
  <c r="BG5194" i="4"/>
  <c r="BG3413" i="4"/>
  <c r="BF3413" i="4"/>
  <c r="BG4218" i="4"/>
  <c r="BF4218" i="4"/>
  <c r="BG1929" i="4"/>
  <c r="BF1929" i="4"/>
  <c r="BG2413" i="4"/>
  <c r="BF2413" i="4"/>
  <c r="BG2927" i="4"/>
  <c r="BF2927" i="4"/>
  <c r="BG3959" i="4"/>
  <c r="BF3959" i="4"/>
  <c r="BG2701" i="4"/>
  <c r="BF2701" i="4"/>
  <c r="BG5231" i="4"/>
  <c r="BF5231" i="4"/>
  <c r="BG4168" i="4"/>
  <c r="BF4168" i="4"/>
  <c r="BF3738" i="4"/>
  <c r="BG3738" i="4"/>
  <c r="BF4792" i="4"/>
  <c r="BG4792" i="4"/>
  <c r="BG1535" i="4"/>
  <c r="BF1535" i="4"/>
  <c r="BG2019" i="4"/>
  <c r="BF2019" i="4"/>
  <c r="BG3703" i="4"/>
  <c r="BF3703" i="4"/>
  <c r="BF2484" i="4"/>
  <c r="BG2484" i="4"/>
  <c r="BG3326" i="4"/>
  <c r="BF3326" i="4"/>
  <c r="BG4080" i="4"/>
  <c r="BF4080" i="4"/>
  <c r="BG1151" i="4"/>
  <c r="BF1151" i="4"/>
  <c r="BG1635" i="4"/>
  <c r="BF1635" i="4"/>
  <c r="BG2361" i="4"/>
  <c r="BF2361" i="4"/>
  <c r="BG5003" i="4"/>
  <c r="BF5003" i="4"/>
  <c r="BG2485" i="4"/>
  <c r="BF2485" i="4"/>
  <c r="BG3007" i="4"/>
  <c r="BF3007" i="4"/>
  <c r="BG3674" i="4"/>
  <c r="BF3674" i="4"/>
  <c r="BG4683" i="4"/>
  <c r="BF4683" i="4"/>
  <c r="BG6002" i="4"/>
  <c r="BF6002" i="4"/>
  <c r="BG3175" i="4"/>
  <c r="BF3175" i="4"/>
  <c r="BG3659" i="4"/>
  <c r="BF3659" i="4"/>
  <c r="BF4781" i="4"/>
  <c r="BG4781" i="4"/>
  <c r="BF4981" i="4"/>
  <c r="BG4981" i="4"/>
  <c r="BG5585" i="4"/>
  <c r="BF5585" i="4"/>
  <c r="BF3220" i="4"/>
  <c r="BG3220" i="4"/>
  <c r="BF3705" i="4"/>
  <c r="BG3705" i="4"/>
  <c r="BG4262" i="4"/>
  <c r="BF4262" i="4"/>
  <c r="BF4836" i="4"/>
  <c r="BG4836" i="4"/>
  <c r="BG5425" i="4"/>
  <c r="BF5425" i="4"/>
  <c r="BG3419" i="4"/>
  <c r="BF3419" i="4"/>
  <c r="BG5712" i="4"/>
  <c r="BF5712" i="4"/>
  <c r="BG4392" i="4"/>
  <c r="BF4392" i="4"/>
  <c r="BG5574" i="4"/>
  <c r="BF5574" i="4"/>
  <c r="BG5372" i="4"/>
  <c r="BF5372" i="4"/>
  <c r="BG4612" i="4"/>
  <c r="BF4612" i="4"/>
  <c r="BG5199" i="4"/>
  <c r="BF5199" i="4"/>
  <c r="BF4946" i="4"/>
  <c r="BG4946" i="4"/>
  <c r="BG5937" i="4"/>
  <c r="BF5937" i="4"/>
  <c r="BF3268" i="4"/>
  <c r="BG3268" i="4"/>
  <c r="BF4600" i="4"/>
  <c r="BG4600" i="4"/>
  <c r="BG5187" i="4"/>
  <c r="BF5187" i="4"/>
  <c r="BG5864" i="4"/>
  <c r="BF5864" i="4"/>
  <c r="BF5945" i="4"/>
  <c r="BG5945" i="4"/>
  <c r="BG5212" i="4"/>
  <c r="BF5212" i="4"/>
  <c r="BG5761" i="4"/>
  <c r="BF5761" i="4"/>
  <c r="BG4258" i="4"/>
  <c r="BF4258" i="4"/>
  <c r="BG5259" i="4"/>
  <c r="BF5259" i="4"/>
  <c r="BG3742" i="4"/>
  <c r="BF3742" i="4"/>
  <c r="BG4226" i="4"/>
  <c r="BF4226" i="4"/>
  <c r="BG4718" i="4"/>
  <c r="BF4718" i="4"/>
  <c r="BF5664" i="4"/>
  <c r="BG5664" i="4"/>
  <c r="BG4983" i="4"/>
  <c r="BF4983" i="4"/>
  <c r="BG5225" i="4"/>
  <c r="BF5225" i="4"/>
  <c r="BG5709" i="4"/>
  <c r="BF5709" i="4"/>
  <c r="BG636" i="4"/>
  <c r="BF636" i="4"/>
  <c r="BG3163" i="4"/>
  <c r="BF3163" i="4"/>
  <c r="BG485" i="4"/>
  <c r="BF485" i="4"/>
  <c r="BG351" i="4"/>
  <c r="BF351" i="4"/>
  <c r="BF2560" i="4"/>
  <c r="BG2560" i="4"/>
  <c r="BF2241" i="4"/>
  <c r="BG2241" i="4"/>
  <c r="BG778" i="4"/>
  <c r="BF778" i="4"/>
  <c r="BF1703" i="4"/>
  <c r="BG1703" i="4"/>
  <c r="BG1162" i="4"/>
  <c r="BF1162" i="4"/>
  <c r="BG1979" i="4"/>
  <c r="BF1979" i="4"/>
  <c r="BG331" i="4"/>
  <c r="BF331" i="4"/>
  <c r="BG2580" i="4"/>
  <c r="BF2580" i="4"/>
  <c r="BG862" i="4"/>
  <c r="BF862" i="4"/>
  <c r="BG3899" i="4"/>
  <c r="BF3899" i="4"/>
  <c r="BG1496" i="4"/>
  <c r="BF1496" i="4"/>
  <c r="BF2221" i="4"/>
  <c r="BG2221" i="4"/>
  <c r="BG606" i="4"/>
  <c r="BF606" i="4"/>
  <c r="BF3165" i="4"/>
  <c r="BG3165" i="4"/>
  <c r="BG1889" i="4"/>
  <c r="BF1889" i="4"/>
  <c r="BG383" i="4"/>
  <c r="BF383" i="4"/>
  <c r="BG752" i="4"/>
  <c r="BF752" i="4"/>
  <c r="BG1923" i="4"/>
  <c r="BF1923" i="4"/>
  <c r="BG2618" i="4"/>
  <c r="BF2618" i="4"/>
  <c r="BF476" i="4"/>
  <c r="BG476" i="4"/>
  <c r="BG972" i="4"/>
  <c r="BF972" i="4"/>
  <c r="BG1554" i="4"/>
  <c r="BF1554" i="4"/>
  <c r="BG4724" i="4"/>
  <c r="BF4724" i="4"/>
  <c r="BG684" i="4"/>
  <c r="BF684" i="4"/>
  <c r="BG1741" i="4"/>
  <c r="BF1741" i="4"/>
  <c r="BG2408" i="4"/>
  <c r="BF2408" i="4"/>
  <c r="BF37" i="4"/>
  <c r="BG37" i="4"/>
  <c r="BF521" i="4"/>
  <c r="BG521" i="4"/>
  <c r="BF1022" i="4"/>
  <c r="BG1022" i="4"/>
  <c r="BF3121" i="4"/>
  <c r="BG3121" i="4"/>
  <c r="BF927" i="4"/>
  <c r="BG927" i="4"/>
  <c r="BF2153" i="4"/>
  <c r="BG2153" i="4"/>
  <c r="BG3347" i="4"/>
  <c r="BF3347" i="4"/>
  <c r="BG60" i="4"/>
  <c r="BF60" i="4"/>
  <c r="BF544" i="4"/>
  <c r="BG544" i="4"/>
  <c r="BG1342" i="4"/>
  <c r="BF1342" i="4"/>
  <c r="BG3178" i="4"/>
  <c r="BF3178" i="4"/>
  <c r="BG5127" i="4"/>
  <c r="BF5127" i="4"/>
  <c r="BG2304" i="4"/>
  <c r="BF2304" i="4"/>
  <c r="BG3179" i="4"/>
  <c r="BF3179" i="4"/>
  <c r="BG5135" i="4"/>
  <c r="BF5135" i="4"/>
  <c r="BF303" i="4"/>
  <c r="BG303" i="4"/>
  <c r="BF1343" i="4"/>
  <c r="BG1343" i="4"/>
  <c r="BG2679" i="4"/>
  <c r="BF2679" i="4"/>
  <c r="BG2260" i="4"/>
  <c r="BF2260" i="4"/>
  <c r="BG354" i="4"/>
  <c r="BF354" i="4"/>
  <c r="BG447" i="4"/>
  <c r="BF447" i="4"/>
  <c r="BG1519" i="4"/>
  <c r="BF1519" i="4"/>
  <c r="BG3580" i="4"/>
  <c r="BF3580" i="4"/>
  <c r="BF2384" i="4"/>
  <c r="BG2384" i="4"/>
  <c r="BG3333" i="4"/>
  <c r="BF3333" i="4"/>
  <c r="BF1650" i="4"/>
  <c r="BG1650" i="4"/>
  <c r="BG3533" i="4"/>
  <c r="BF3533" i="4"/>
  <c r="BF832" i="4"/>
  <c r="BG832" i="4"/>
  <c r="BG74" i="4"/>
  <c r="BF74" i="4"/>
  <c r="BG558" i="4"/>
  <c r="BF558" i="4"/>
  <c r="BG1064" i="4"/>
  <c r="BF1064" i="4"/>
  <c r="BF1659" i="4"/>
  <c r="BG1659" i="4"/>
  <c r="BF4296" i="4"/>
  <c r="BG4296" i="4"/>
  <c r="BG5596" i="4"/>
  <c r="BF5596" i="4"/>
  <c r="BG3291" i="4"/>
  <c r="BF3291" i="4"/>
  <c r="BG5256" i="4"/>
  <c r="BF5256" i="4"/>
  <c r="BF2913" i="4"/>
  <c r="BG2913" i="4"/>
  <c r="BG5111" i="4"/>
  <c r="BF5111" i="4"/>
  <c r="BF2573" i="4"/>
  <c r="BG2573" i="4"/>
  <c r="BF3115" i="4"/>
  <c r="BG3115" i="4"/>
  <c r="BG1709" i="4"/>
  <c r="BF1709" i="4"/>
  <c r="BG2193" i="4"/>
  <c r="BF2193" i="4"/>
  <c r="BG2952" i="4"/>
  <c r="BF2952" i="4"/>
  <c r="BG3997" i="4"/>
  <c r="BF3997" i="4"/>
  <c r="BF5963" i="4"/>
  <c r="BG5963" i="4"/>
  <c r="BG2991" i="4"/>
  <c r="BF2991" i="4"/>
  <c r="BG4055" i="4"/>
  <c r="BF4055" i="4"/>
  <c r="BG5287" i="4"/>
  <c r="BF5287" i="4"/>
  <c r="BG3773" i="4"/>
  <c r="BF3773" i="4"/>
  <c r="BF3088" i="4"/>
  <c r="BG3088" i="4"/>
  <c r="BG3774" i="4"/>
  <c r="BF3774" i="4"/>
  <c r="BG1073" i="4"/>
  <c r="BF1073" i="4"/>
  <c r="BF1557" i="4"/>
  <c r="BG1557" i="4"/>
  <c r="BG2041" i="4"/>
  <c r="BF2041" i="4"/>
  <c r="BF2530" i="4"/>
  <c r="BG2530" i="4"/>
  <c r="BG3061" i="4"/>
  <c r="BF3061" i="4"/>
  <c r="BG2761" i="4"/>
  <c r="BF2761" i="4"/>
  <c r="BG3357" i="4"/>
  <c r="BF3357" i="4"/>
  <c r="BG4128" i="4"/>
  <c r="BF4128" i="4"/>
  <c r="BF1415" i="4"/>
  <c r="BG1415" i="4"/>
  <c r="BG1899" i="4"/>
  <c r="BF1899" i="4"/>
  <c r="BG2383" i="4"/>
  <c r="BF2383" i="4"/>
  <c r="BG2892" i="4"/>
  <c r="BF2892" i="4"/>
  <c r="BG3909" i="4"/>
  <c r="BF3909" i="4"/>
  <c r="BG5059" i="4"/>
  <c r="BF5059" i="4"/>
  <c r="BG3707" i="4"/>
  <c r="BF3707" i="4"/>
  <c r="BF4738" i="4"/>
  <c r="BG4738" i="4"/>
  <c r="BF5314" i="4"/>
  <c r="BG5314" i="4"/>
  <c r="BG3439" i="4"/>
  <c r="BF3439" i="4"/>
  <c r="BG3955" i="4"/>
  <c r="BF3955" i="4"/>
  <c r="BG5745" i="4"/>
  <c r="BF5745" i="4"/>
  <c r="BG4146" i="4"/>
  <c r="BF4146" i="4"/>
  <c r="BF3242" i="4"/>
  <c r="BG3242" i="4"/>
  <c r="BG3729" i="4"/>
  <c r="BF3729" i="4"/>
  <c r="BG4287" i="4"/>
  <c r="BF4287" i="4"/>
  <c r="BF4008" i="4"/>
  <c r="BG4008" i="4"/>
  <c r="BG4570" i="4"/>
  <c r="BF4570" i="4"/>
  <c r="BG5157" i="4"/>
  <c r="BF5157" i="4"/>
  <c r="BG3199" i="4"/>
  <c r="BF3199" i="4"/>
  <c r="BF3683" i="4"/>
  <c r="BG3683" i="4"/>
  <c r="BG4238" i="4"/>
  <c r="BF4238" i="4"/>
  <c r="BF4704" i="4"/>
  <c r="BG4704" i="4"/>
  <c r="BG5606" i="4"/>
  <c r="BF5606" i="4"/>
  <c r="BG4354" i="4"/>
  <c r="BF4354" i="4"/>
  <c r="BG5529" i="4"/>
  <c r="BF5529" i="4"/>
  <c r="BG4974" i="4"/>
  <c r="BF4974" i="4"/>
  <c r="BG5578" i="4"/>
  <c r="BF5578" i="4"/>
  <c r="BG3048" i="4"/>
  <c r="BF3048" i="4"/>
  <c r="BF3782" i="4"/>
  <c r="BG3782" i="4"/>
  <c r="BF5901" i="4"/>
  <c r="BG5901" i="4"/>
  <c r="BG5789" i="4"/>
  <c r="BF5789" i="4"/>
  <c r="BG3796" i="4"/>
  <c r="BF3796" i="4"/>
  <c r="BG4280" i="4"/>
  <c r="BF4280" i="4"/>
  <c r="BG3764" i="4"/>
  <c r="BF3764" i="4"/>
  <c r="BG4248" i="4"/>
  <c r="BF4248" i="4"/>
  <c r="BG5444" i="4"/>
  <c r="BF5444" i="4"/>
  <c r="BG5928" i="4"/>
  <c r="BF5928" i="4"/>
  <c r="BF4763" i="4"/>
  <c r="BG4763" i="4"/>
  <c r="BF5247" i="4"/>
  <c r="BG5247" i="4"/>
  <c r="BF5731" i="4"/>
  <c r="BG5731" i="4"/>
  <c r="BF4066" i="4"/>
  <c r="BG4066" i="4"/>
  <c r="BG163" i="4"/>
  <c r="BF163" i="4"/>
  <c r="BG5322" i="4"/>
  <c r="BF5322" i="4"/>
  <c r="BN2868" i="4"/>
  <c r="BM2868" i="4"/>
  <c r="BN1702" i="4"/>
  <c r="BM1702" i="4"/>
  <c r="BN991" i="4"/>
  <c r="BM991" i="4"/>
  <c r="BN861" i="4"/>
  <c r="BM861" i="4"/>
  <c r="BN45" i="4"/>
  <c r="BM45" i="4"/>
  <c r="BM2349" i="4"/>
  <c r="BN2349" i="4"/>
  <c r="BN1373" i="4"/>
  <c r="BM1373" i="4"/>
  <c r="BM765" i="4"/>
  <c r="BN765" i="4"/>
  <c r="BM350" i="4"/>
  <c r="BN350" i="4"/>
  <c r="BM681" i="4"/>
  <c r="BN681" i="4"/>
  <c r="BN3542" i="4"/>
  <c r="BM3542" i="4"/>
  <c r="BN2131" i="4"/>
  <c r="BM2131" i="4"/>
  <c r="BM1249" i="4"/>
  <c r="BN1249" i="4"/>
  <c r="BN680" i="4"/>
  <c r="BM680" i="4"/>
  <c r="BN278" i="4"/>
  <c r="BM278" i="4"/>
  <c r="BN1977" i="4"/>
  <c r="BM1977" i="4"/>
  <c r="BN222" i="4"/>
  <c r="BM222" i="4"/>
  <c r="BN1735" i="4"/>
  <c r="BM1735" i="4"/>
  <c r="BG781" i="4"/>
  <c r="BF781" i="4"/>
  <c r="BG2119" i="4"/>
  <c r="BF2119" i="4"/>
  <c r="BG5501" i="4"/>
  <c r="BF5501" i="4"/>
  <c r="BG407" i="4"/>
  <c r="BF407" i="4"/>
  <c r="BG2475" i="4"/>
  <c r="BF2475" i="4"/>
  <c r="BG2879" i="4"/>
  <c r="BF2879" i="4"/>
  <c r="BG4555" i="4"/>
  <c r="BF4555" i="4"/>
  <c r="BG6009" i="4"/>
  <c r="BF6009" i="4"/>
  <c r="BN3244" i="4"/>
  <c r="BM3244" i="4"/>
  <c r="BN1659" i="4"/>
  <c r="BM1659" i="4"/>
  <c r="BN963" i="4"/>
  <c r="BM963" i="4"/>
  <c r="BM2517" i="4"/>
  <c r="BN2517" i="4"/>
  <c r="BN1477" i="4"/>
  <c r="BM1477" i="4"/>
  <c r="BN402" i="4"/>
  <c r="BM402" i="4"/>
  <c r="BN29" i="4"/>
  <c r="BM29" i="4"/>
  <c r="BN1346" i="4"/>
  <c r="BM1346" i="4"/>
  <c r="BM743" i="4"/>
  <c r="BN743" i="4"/>
  <c r="BN2075" i="4"/>
  <c r="BM2075" i="4"/>
  <c r="BN3461" i="4"/>
  <c r="BM3461" i="4"/>
  <c r="BN2074" i="4"/>
  <c r="BM2074" i="4"/>
  <c r="BM1216" i="4"/>
  <c r="BN1216" i="4"/>
  <c r="BN258" i="4"/>
  <c r="BM258" i="4"/>
  <c r="BM3229" i="4"/>
  <c r="BN3229" i="4"/>
  <c r="BN1930" i="4"/>
  <c r="BM1930" i="4"/>
  <c r="BM603" i="4"/>
  <c r="BN603" i="4"/>
  <c r="BM2854" i="4"/>
  <c r="BN2854" i="4"/>
  <c r="BN1685" i="4"/>
  <c r="BM1685" i="4"/>
  <c r="BM983" i="4"/>
  <c r="BN983" i="4"/>
  <c r="BM117" i="4"/>
  <c r="BN117" i="4"/>
  <c r="BF3948" i="4"/>
  <c r="BG3948" i="4"/>
  <c r="BG748" i="4"/>
  <c r="BF748" i="4"/>
  <c r="BG2867" i="4"/>
  <c r="BF2867" i="4"/>
  <c r="BF3110" i="4"/>
  <c r="BG3110" i="4"/>
  <c r="BF1691" i="4"/>
  <c r="BG1691" i="4"/>
  <c r="BF3988" i="4"/>
  <c r="BG3988" i="4"/>
  <c r="BG761" i="4"/>
  <c r="BF761" i="4"/>
  <c r="BF3596" i="4"/>
  <c r="BG3596" i="4"/>
  <c r="BF2960" i="4"/>
  <c r="BG2960" i="4"/>
  <c r="BG1906" i="4"/>
  <c r="BF1906" i="4"/>
  <c r="BF223" i="4"/>
  <c r="BG223" i="4"/>
  <c r="BG707" i="4"/>
  <c r="BF707" i="4"/>
  <c r="BG1245" i="4"/>
  <c r="BF1245" i="4"/>
  <c r="BG2547" i="4"/>
  <c r="BF2547" i="4"/>
  <c r="BG3632" i="4"/>
  <c r="BF3632" i="4"/>
  <c r="BF857" i="4"/>
  <c r="BG857" i="4"/>
  <c r="BF1727" i="4"/>
  <c r="BG1727" i="4"/>
  <c r="BG2392" i="4"/>
  <c r="BF2392" i="4"/>
  <c r="BF26" i="4"/>
  <c r="BG26" i="4"/>
  <c r="BF510" i="4"/>
  <c r="BG510" i="4"/>
  <c r="BG1010" i="4"/>
  <c r="BF1010" i="4"/>
  <c r="BG1596" i="4"/>
  <c r="BF1596" i="4"/>
  <c r="BG4926" i="4"/>
  <c r="BF4926" i="4"/>
  <c r="BF2136" i="4"/>
  <c r="BG2136" i="4"/>
  <c r="BG2330" i="4"/>
  <c r="BF2330" i="4"/>
  <c r="BF1664" i="4"/>
  <c r="BG1664" i="4"/>
  <c r="BF49" i="4"/>
  <c r="BG49" i="4"/>
  <c r="BF533" i="4"/>
  <c r="BG533" i="4"/>
  <c r="BG1329" i="4"/>
  <c r="BF1329" i="4"/>
  <c r="BG2660" i="4"/>
  <c r="BF2660" i="4"/>
  <c r="BG3853" i="4"/>
  <c r="BF3853" i="4"/>
  <c r="BG1627" i="4"/>
  <c r="BF1627" i="4"/>
  <c r="BF2289" i="4"/>
  <c r="BG2289" i="4"/>
  <c r="BG5070" i="4"/>
  <c r="BF5070" i="4"/>
  <c r="BF292" i="4"/>
  <c r="BG292" i="4"/>
  <c r="BG1330" i="4"/>
  <c r="BF1330" i="4"/>
  <c r="BF2661" i="4"/>
  <c r="BG2661" i="4"/>
  <c r="BF2245" i="4"/>
  <c r="BG2245" i="4"/>
  <c r="BG3747" i="4"/>
  <c r="BF3747" i="4"/>
  <c r="BF436" i="4"/>
  <c r="BG436" i="4"/>
  <c r="BF2500" i="4"/>
  <c r="BG2500" i="4"/>
  <c r="BG4488" i="4"/>
  <c r="BF4488" i="4"/>
  <c r="BG2035" i="4"/>
  <c r="BF2035" i="4"/>
  <c r="BG2755" i="4"/>
  <c r="BF2755" i="4"/>
  <c r="BG3437" i="4"/>
  <c r="BF3437" i="4"/>
  <c r="BG809" i="4"/>
  <c r="BF809" i="4"/>
  <c r="BG2455" i="4"/>
  <c r="BF2455" i="4"/>
  <c r="BF63" i="4"/>
  <c r="BG63" i="4"/>
  <c r="BG547" i="4"/>
  <c r="BF547" i="4"/>
  <c r="BG1050" i="4"/>
  <c r="BF1050" i="4"/>
  <c r="BG3182" i="4"/>
  <c r="BF3182" i="4"/>
  <c r="BF5152" i="4"/>
  <c r="BG5152" i="4"/>
  <c r="BG4899" i="4"/>
  <c r="BF4899" i="4"/>
  <c r="BG2963" i="4"/>
  <c r="BF2963" i="4"/>
  <c r="BF5229" i="4"/>
  <c r="BG5229" i="4"/>
  <c r="BG3427" i="4"/>
  <c r="BF3427" i="4"/>
  <c r="BF4244" i="4"/>
  <c r="BG4244" i="4"/>
  <c r="BG1698" i="4"/>
  <c r="BF1698" i="4"/>
  <c r="BG2182" i="4"/>
  <c r="BF2182" i="4"/>
  <c r="BF3977" i="4"/>
  <c r="BG3977" i="4"/>
  <c r="BG2459" i="4"/>
  <c r="BF2459" i="4"/>
  <c r="BG3293" i="4"/>
  <c r="BF3293" i="4"/>
  <c r="BG4036" i="4"/>
  <c r="BF4036" i="4"/>
  <c r="BF4819" i="4"/>
  <c r="BG4819" i="4"/>
  <c r="BG3074" i="4"/>
  <c r="BF3074" i="4"/>
  <c r="BG1062" i="4"/>
  <c r="BF1062" i="4"/>
  <c r="BG1546" i="4"/>
  <c r="BF1546" i="4"/>
  <c r="BG2272" i="4"/>
  <c r="BF2272" i="4"/>
  <c r="BF2772" i="4"/>
  <c r="BG2772" i="4"/>
  <c r="BG3723" i="4"/>
  <c r="BF3723" i="4"/>
  <c r="BG2749" i="4"/>
  <c r="BF2749" i="4"/>
  <c r="BG4103" i="4"/>
  <c r="BF4103" i="4"/>
  <c r="BG5353" i="4"/>
  <c r="BF5353" i="4"/>
  <c r="BF1646" i="4"/>
  <c r="BG1646" i="4"/>
  <c r="BG2130" i="4"/>
  <c r="BF2130" i="4"/>
  <c r="BG2623" i="4"/>
  <c r="BF2623" i="4"/>
  <c r="BF5736" i="4"/>
  <c r="BG5736" i="4"/>
  <c r="BG2497" i="4"/>
  <c r="BF2497" i="4"/>
  <c r="BG4711" i="4"/>
  <c r="BF4711" i="4"/>
  <c r="BG2944" i="4"/>
  <c r="BF2944" i="4"/>
  <c r="BG3428" i="4"/>
  <c r="BF3428" i="4"/>
  <c r="BG4222" i="4"/>
  <c r="BF4222" i="4"/>
  <c r="BG4794" i="4"/>
  <c r="BF4794" i="4"/>
  <c r="BF3473" i="4"/>
  <c r="BG3473" i="4"/>
  <c r="BG4849" i="4"/>
  <c r="BF4849" i="4"/>
  <c r="BG5438" i="4"/>
  <c r="BF5438" i="4"/>
  <c r="BF5803" i="4"/>
  <c r="BG5803" i="4"/>
  <c r="BG3188" i="4"/>
  <c r="BF3188" i="4"/>
  <c r="BF3672" i="4"/>
  <c r="BG3672" i="4"/>
  <c r="BG4224" i="4"/>
  <c r="BF4224" i="4"/>
  <c r="BG5728" i="4"/>
  <c r="BF5728" i="4"/>
  <c r="BG4691" i="4"/>
  <c r="BF4691" i="4"/>
  <c r="BG5278" i="4"/>
  <c r="BF5278" i="4"/>
  <c r="BG4227" i="4"/>
  <c r="BF4227" i="4"/>
  <c r="BF5092" i="4"/>
  <c r="BG5092" i="4"/>
  <c r="BF5515" i="4"/>
  <c r="BG5515" i="4"/>
  <c r="BG3037" i="4"/>
  <c r="BF3037" i="4"/>
  <c r="BF3521" i="4"/>
  <c r="BG3521" i="4"/>
  <c r="BG4330" i="4"/>
  <c r="BF4330" i="4"/>
  <c r="BF5502" i="4"/>
  <c r="BG5502" i="4"/>
  <c r="BG4027" i="4"/>
  <c r="BF4027" i="4"/>
  <c r="BG4511" i="4"/>
  <c r="BF4511" i="4"/>
  <c r="BG3753" i="4"/>
  <c r="BF3753" i="4"/>
  <c r="BG4237" i="4"/>
  <c r="BF4237" i="4"/>
  <c r="BG5237" i="4"/>
  <c r="BF5237" i="4"/>
  <c r="BG5433" i="4"/>
  <c r="BF5433" i="4"/>
  <c r="BG4752" i="4"/>
  <c r="BF4752" i="4"/>
  <c r="BG5236" i="4"/>
  <c r="BF5236" i="4"/>
  <c r="BG979" i="4"/>
  <c r="BF979" i="4"/>
  <c r="BG4207" i="4"/>
  <c r="BF4207" i="4"/>
  <c r="BG187" i="4"/>
  <c r="BF187" i="4"/>
  <c r="BG2282" i="4"/>
  <c r="BF2282" i="4"/>
  <c r="BG2626" i="4"/>
  <c r="BF2626" i="4"/>
  <c r="BG4169" i="4"/>
  <c r="BF4169" i="4"/>
  <c r="BF4811" i="4"/>
  <c r="BG4811" i="4"/>
  <c r="BF5516" i="4"/>
  <c r="BG5516" i="4"/>
  <c r="BG4522" i="4"/>
  <c r="BF4522" i="4"/>
  <c r="BG4995" i="4"/>
  <c r="BF4995" i="4"/>
  <c r="BF5489" i="4"/>
  <c r="BG5489" i="4"/>
  <c r="BG5740" i="4"/>
  <c r="BF5740" i="4"/>
  <c r="BG956" i="4"/>
  <c r="BF956" i="4"/>
  <c r="BG1606" i="4"/>
  <c r="BF1606" i="4"/>
  <c r="BF702" i="4"/>
  <c r="BG702" i="4"/>
  <c r="BF462" i="4"/>
  <c r="BG462" i="4"/>
  <c r="BG1845" i="4"/>
  <c r="BF1845" i="4"/>
  <c r="BF1608" i="4"/>
  <c r="BG1608" i="4"/>
  <c r="BG4988" i="4"/>
  <c r="BF4988" i="4"/>
  <c r="BG245" i="4"/>
  <c r="BF245" i="4"/>
  <c r="BF1273" i="4"/>
  <c r="BG1273" i="4"/>
  <c r="BF4803" i="4"/>
  <c r="BG4803" i="4"/>
  <c r="BG717" i="4"/>
  <c r="BF717" i="4"/>
  <c r="BF1758" i="4"/>
  <c r="BG1758" i="4"/>
  <c r="BG2423" i="4"/>
  <c r="BF2423" i="4"/>
  <c r="BG290" i="4"/>
  <c r="BF290" i="4"/>
  <c r="BG1328" i="4"/>
  <c r="BF1328" i="4"/>
  <c r="BG2659" i="4"/>
  <c r="BF2659" i="4"/>
  <c r="BG3844" i="4"/>
  <c r="BF3844" i="4"/>
  <c r="BG1754" i="4"/>
  <c r="BF1754" i="4"/>
  <c r="BF2167" i="4"/>
  <c r="BG2167" i="4"/>
  <c r="BG2947" i="4"/>
  <c r="BF2947" i="4"/>
  <c r="BG4548" i="4"/>
  <c r="BF4548" i="4"/>
  <c r="BG2389" i="4"/>
  <c r="BF2389" i="4"/>
  <c r="BF35" i="4"/>
  <c r="BG35" i="4"/>
  <c r="BG71" i="4"/>
  <c r="BF71" i="4"/>
  <c r="BG555" i="4"/>
  <c r="BF555" i="4"/>
  <c r="BF1059" i="4"/>
  <c r="BG1059" i="4"/>
  <c r="BF3207" i="4"/>
  <c r="BG3207" i="4"/>
  <c r="BG1988" i="4"/>
  <c r="BF1988" i="4"/>
  <c r="BF72" i="4"/>
  <c r="BG72" i="4"/>
  <c r="BF556" i="4"/>
  <c r="BG556" i="4"/>
  <c r="BG1655" i="4"/>
  <c r="BF1655" i="4"/>
  <c r="BF5193" i="4"/>
  <c r="BG5193" i="4"/>
  <c r="BG1944" i="4"/>
  <c r="BF1944" i="4"/>
  <c r="BG2644" i="4"/>
  <c r="BF2644" i="4"/>
  <c r="BG1218" i="4"/>
  <c r="BF1218" i="4"/>
  <c r="BG458" i="4"/>
  <c r="BF458" i="4"/>
  <c r="BG1236" i="4"/>
  <c r="BF1236" i="4"/>
  <c r="BF861" i="4"/>
  <c r="BG861" i="4"/>
  <c r="BG2066" i="4"/>
  <c r="BF2066" i="4"/>
  <c r="BG4140" i="4"/>
  <c r="BF4140" i="4"/>
  <c r="BG2474" i="4"/>
  <c r="BF2474" i="4"/>
  <c r="BF90" i="4"/>
  <c r="BG90" i="4"/>
  <c r="BG3952" i="4"/>
  <c r="BF3952" i="4"/>
  <c r="BG327" i="4"/>
  <c r="BF327" i="4"/>
  <c r="BG1373" i="4"/>
  <c r="BF1373" i="4"/>
  <c r="BG5274" i="4"/>
  <c r="BF5274" i="4"/>
  <c r="BG4963" i="4"/>
  <c r="BF4963" i="4"/>
  <c r="BG1720" i="4"/>
  <c r="BF1720" i="4"/>
  <c r="BG2204" i="4"/>
  <c r="BF2204" i="4"/>
  <c r="BG3324" i="4"/>
  <c r="BF3324" i="4"/>
  <c r="BG4883" i="4"/>
  <c r="BF4883" i="4"/>
  <c r="BG1084" i="4"/>
  <c r="BF1084" i="4"/>
  <c r="BG1568" i="4"/>
  <c r="BF1568" i="4"/>
  <c r="BF2052" i="4"/>
  <c r="BG2052" i="4"/>
  <c r="BG2795" i="4"/>
  <c r="BF2795" i="4"/>
  <c r="BG2519" i="4"/>
  <c r="BF2519" i="4"/>
  <c r="BG4766" i="4"/>
  <c r="BF4766" i="4"/>
  <c r="BG1426" i="4"/>
  <c r="BF1426" i="4"/>
  <c r="BG1910" i="4"/>
  <c r="BF1910" i="4"/>
  <c r="BG2394" i="4"/>
  <c r="BF2394" i="4"/>
  <c r="BG4449" i="4"/>
  <c r="BF4449" i="4"/>
  <c r="BG2520" i="4"/>
  <c r="BF2520" i="4"/>
  <c r="BG3049" i="4"/>
  <c r="BF3049" i="4"/>
  <c r="BG5417" i="4"/>
  <c r="BF5417" i="4"/>
  <c r="BG4451" i="4"/>
  <c r="BF4451" i="4"/>
  <c r="BF5034" i="4"/>
  <c r="BG5034" i="4"/>
  <c r="BG2966" i="4"/>
  <c r="BF2966" i="4"/>
  <c r="BG3450" i="4"/>
  <c r="BF3450" i="4"/>
  <c r="BG4528" i="4"/>
  <c r="BF4528" i="4"/>
  <c r="BG5765" i="4"/>
  <c r="BF5765" i="4"/>
  <c r="BG5315" i="4"/>
  <c r="BF5315" i="4"/>
  <c r="BF3495" i="4"/>
  <c r="BG3495" i="4"/>
  <c r="BG4020" i="4"/>
  <c r="BF4020" i="4"/>
  <c r="BG4300" i="4"/>
  <c r="BF4300" i="4"/>
  <c r="BG4876" i="4"/>
  <c r="BF4876" i="4"/>
  <c r="BF5117" i="4"/>
  <c r="BG5117" i="4"/>
  <c r="BG5767" i="4"/>
  <c r="BF5767" i="4"/>
  <c r="BG4493" i="4"/>
  <c r="BF4493" i="4"/>
  <c r="BF5371" i="4"/>
  <c r="BG5371" i="4"/>
  <c r="BG4150" i="4"/>
  <c r="BF4150" i="4"/>
  <c r="BF3971" i="4"/>
  <c r="BG3971" i="4"/>
  <c r="BG5545" i="4"/>
  <c r="BF5545" i="4"/>
  <c r="BG4125" i="4"/>
  <c r="BF4125" i="4"/>
  <c r="BG5993" i="4"/>
  <c r="BF5993" i="4"/>
  <c r="BF3301" i="4"/>
  <c r="BG3301" i="4"/>
  <c r="BG4355" i="4"/>
  <c r="BF4355" i="4"/>
  <c r="BF5920" i="4"/>
  <c r="BG5920" i="4"/>
  <c r="BG5986" i="4"/>
  <c r="BF5986" i="4"/>
  <c r="BG4049" i="4"/>
  <c r="BF4049" i="4"/>
  <c r="BG4533" i="4"/>
  <c r="BF4533" i="4"/>
  <c r="BF5040" i="4"/>
  <c r="BG5040" i="4"/>
  <c r="BG4259" i="4"/>
  <c r="BF4259" i="4"/>
  <c r="BF5523" i="4"/>
  <c r="BG5523" i="4"/>
  <c r="BF5697" i="4"/>
  <c r="BG5697" i="4"/>
  <c r="BF4774" i="4"/>
  <c r="BG4774" i="4"/>
  <c r="BG5258" i="4"/>
  <c r="BF5258" i="4"/>
  <c r="BG5742" i="4"/>
  <c r="BF5742" i="4"/>
  <c r="BG1267" i="4"/>
  <c r="BF1267" i="4"/>
  <c r="BG2959" i="4"/>
  <c r="BF2959" i="4"/>
  <c r="BF4722" i="4"/>
  <c r="BG4722" i="4"/>
  <c r="BG750" i="4"/>
  <c r="BF750" i="4"/>
  <c r="BM667" i="4"/>
  <c r="BN667" i="4"/>
  <c r="BM3122" i="4"/>
  <c r="BN3122" i="4"/>
  <c r="BN850" i="4"/>
  <c r="BM850" i="4"/>
  <c r="BN2369" i="4"/>
  <c r="BM2369" i="4"/>
  <c r="BN3169" i="4"/>
  <c r="BM3169" i="4"/>
  <c r="BM296" i="4"/>
  <c r="BN296" i="4"/>
  <c r="BN882" i="4"/>
  <c r="BM882" i="4"/>
  <c r="BN1277" i="4"/>
  <c r="BM1277" i="4"/>
  <c r="BN2438" i="4"/>
  <c r="BM2438" i="4"/>
  <c r="BN3256" i="4"/>
  <c r="BM3256" i="4"/>
  <c r="BN2001" i="4"/>
  <c r="BM2001" i="4"/>
  <c r="BN6" i="4"/>
  <c r="BM6" i="4"/>
  <c r="BN261" i="4"/>
  <c r="BM261" i="4"/>
  <c r="BN533" i="4"/>
  <c r="BM533" i="4"/>
  <c r="BN1220" i="4"/>
  <c r="BM1220" i="4"/>
  <c r="BM1689" i="4"/>
  <c r="BN1689" i="4"/>
  <c r="BN2342" i="4"/>
  <c r="BM2342" i="4"/>
  <c r="BN3134" i="4"/>
  <c r="BM3134" i="4"/>
  <c r="BN648" i="4"/>
  <c r="BM648" i="4"/>
  <c r="BN1405" i="4"/>
  <c r="BM1405" i="4"/>
  <c r="BN2645" i="4"/>
  <c r="BM2645" i="4"/>
  <c r="BN239" i="4"/>
  <c r="BM239" i="4"/>
  <c r="BN510" i="4"/>
  <c r="BM510" i="4"/>
  <c r="BN1650" i="4"/>
  <c r="BM1650" i="4"/>
  <c r="BN2284" i="4"/>
  <c r="BM2284" i="4"/>
  <c r="BN3058" i="4"/>
  <c r="BM3058" i="4"/>
  <c r="BN1952" i="4"/>
  <c r="BM1952" i="4"/>
  <c r="BN2647" i="4"/>
  <c r="BM2647" i="4"/>
  <c r="BN3523" i="4"/>
  <c r="BM3523" i="4"/>
  <c r="BN240" i="4"/>
  <c r="BM240" i="4"/>
  <c r="BN511" i="4"/>
  <c r="BM511" i="4"/>
  <c r="BN2285" i="4"/>
  <c r="BM2285" i="4"/>
  <c r="BN1825" i="4"/>
  <c r="BM1825" i="4"/>
  <c r="BN2271" i="4"/>
  <c r="BM2271" i="4"/>
  <c r="BM2772" i="4"/>
  <c r="BN2772" i="4"/>
  <c r="BN2493" i="4"/>
  <c r="BM2493" i="4"/>
  <c r="BN3036" i="4"/>
  <c r="BM3036" i="4"/>
  <c r="BM1075" i="4"/>
  <c r="BN1075" i="4"/>
  <c r="BN2680" i="4"/>
  <c r="BM2680" i="4"/>
  <c r="BM3262" i="4"/>
  <c r="BN3262" i="4"/>
  <c r="BM1579" i="4"/>
  <c r="BN1579" i="4"/>
  <c r="BM686" i="4"/>
  <c r="BN686" i="4"/>
  <c r="BN1255" i="4"/>
  <c r="BM1255" i="4"/>
  <c r="BM1596" i="4"/>
  <c r="BN1596" i="4"/>
  <c r="BN2005" i="4"/>
  <c r="BM2005" i="4"/>
  <c r="BN2474" i="4"/>
  <c r="BM2474" i="4"/>
  <c r="BN3011" i="4"/>
  <c r="BM3011" i="4"/>
  <c r="BN962" i="4"/>
  <c r="BM962" i="4"/>
  <c r="BM1598" i="4"/>
  <c r="BN1598" i="4"/>
  <c r="BN2008" i="4"/>
  <c r="BM2008" i="4"/>
  <c r="BM2478" i="4"/>
  <c r="BN2478" i="4"/>
  <c r="BM701" i="4"/>
  <c r="BN701" i="4"/>
  <c r="BM976" i="4"/>
  <c r="BN976" i="4"/>
  <c r="BM1617" i="4"/>
  <c r="BN1617" i="4"/>
  <c r="BM3047" i="4"/>
  <c r="BN3047" i="4"/>
  <c r="BM2021" i="4"/>
  <c r="BN2021" i="4"/>
  <c r="BN2677" i="4"/>
  <c r="BM2677" i="4"/>
  <c r="BN3450" i="4"/>
  <c r="BM3450" i="4"/>
  <c r="BN1915" i="4"/>
  <c r="BM1915" i="4"/>
  <c r="BN2218" i="4"/>
  <c r="BM2218" i="4"/>
  <c r="BN3301" i="4"/>
  <c r="BM3301" i="4"/>
  <c r="BN2980" i="4"/>
  <c r="BM2980" i="4"/>
  <c r="BN3376" i="4"/>
  <c r="BM3376" i="4"/>
  <c r="BN2146" i="4"/>
  <c r="BM2146" i="4"/>
  <c r="BN3215" i="4"/>
  <c r="BM3215" i="4"/>
  <c r="BN139" i="4"/>
  <c r="BM139" i="4"/>
  <c r="BN646" i="4"/>
  <c r="BM646" i="4"/>
  <c r="BM1153" i="4"/>
  <c r="BN1153" i="4"/>
  <c r="BN1706" i="4"/>
  <c r="BM1706" i="4"/>
  <c r="BN1999" i="4"/>
  <c r="BM1999" i="4"/>
  <c r="BN3419" i="4"/>
  <c r="BM3419" i="4"/>
  <c r="BN1866" i="4"/>
  <c r="BM1866" i="4"/>
  <c r="BN3234" i="4"/>
  <c r="BM3234" i="4"/>
  <c r="BN820" i="4"/>
  <c r="BM820" i="4"/>
  <c r="BN1328" i="4"/>
  <c r="BM1328" i="4"/>
  <c r="BN1614" i="4"/>
  <c r="BM1614" i="4"/>
  <c r="BM1906" i="4"/>
  <c r="BN1906" i="4"/>
  <c r="BN2208" i="4"/>
  <c r="BM2208" i="4"/>
  <c r="BN2540" i="4"/>
  <c r="BM2540" i="4"/>
  <c r="BN2898" i="4"/>
  <c r="BM2898" i="4"/>
  <c r="BM3289" i="4"/>
  <c r="BN3289" i="4"/>
  <c r="BN1654" i="4"/>
  <c r="BM1654" i="4"/>
  <c r="BN2589" i="4"/>
  <c r="BM2589" i="4"/>
  <c r="BN3470" i="4"/>
  <c r="BM3470" i="4"/>
  <c r="BN3045" i="4"/>
  <c r="BM3045" i="4"/>
  <c r="BN3369" i="4"/>
  <c r="BM3369" i="4"/>
  <c r="BN2303" i="4"/>
  <c r="BM2303" i="4"/>
  <c r="BN2595" i="4"/>
  <c r="BM2595" i="4"/>
  <c r="BN3222" i="4"/>
  <c r="BM3222" i="4"/>
  <c r="BN3545" i="4"/>
  <c r="BM3545" i="4"/>
  <c r="BM330" i="4"/>
  <c r="BN330" i="4"/>
  <c r="BN572" i="4"/>
  <c r="BM572" i="4"/>
  <c r="BM814" i="4"/>
  <c r="BN814" i="4"/>
  <c r="BM1056" i="4"/>
  <c r="BN1056" i="4"/>
  <c r="BN1298" i="4"/>
  <c r="BM1298" i="4"/>
  <c r="BN2668" i="4"/>
  <c r="BM2668" i="4"/>
  <c r="BN2669" i="4"/>
  <c r="BM2669" i="4"/>
  <c r="BN3210" i="4"/>
  <c r="BM3210" i="4"/>
  <c r="BN3518" i="4"/>
  <c r="BM3518" i="4"/>
  <c r="BN2232" i="4"/>
  <c r="BM2232" i="4"/>
  <c r="BN2554" i="4"/>
  <c r="BM2554" i="4"/>
  <c r="BN2796" i="4"/>
  <c r="BM2796" i="4"/>
  <c r="BN3038" i="4"/>
  <c r="BM3038" i="4"/>
  <c r="BM3280" i="4"/>
  <c r="BN3280" i="4"/>
  <c r="BM3522" i="4"/>
  <c r="BN3522" i="4"/>
  <c r="BN1412" i="4"/>
  <c r="BM1412" i="4"/>
  <c r="BM3581" i="4"/>
  <c r="BN3581" i="4"/>
  <c r="BN2137" i="4"/>
  <c r="BM2137" i="4"/>
  <c r="BN684" i="4"/>
  <c r="BM684" i="4"/>
  <c r="BN281" i="4"/>
  <c r="BM281" i="4"/>
  <c r="BN2756" i="4"/>
  <c r="BM2756" i="4"/>
  <c r="BN1619" i="4"/>
  <c r="BM1619" i="4"/>
  <c r="BN2459" i="4"/>
  <c r="BM2459" i="4"/>
  <c r="BN812" i="4"/>
  <c r="BM812" i="4"/>
  <c r="BM14" i="4"/>
  <c r="BN14" i="4"/>
  <c r="BM2235" i="4"/>
  <c r="BN2235" i="4"/>
  <c r="BN2027" i="4"/>
  <c r="BM2027" i="4"/>
  <c r="BN1191" i="4"/>
  <c r="BM1191" i="4"/>
  <c r="BN642" i="4"/>
  <c r="BM642" i="4"/>
  <c r="BN3389" i="4"/>
  <c r="BM3389" i="4"/>
  <c r="BN2023" i="4"/>
  <c r="BM2023" i="4"/>
  <c r="BN3155" i="4"/>
  <c r="BM3155" i="4"/>
  <c r="BN1878" i="4"/>
  <c r="BM1878" i="4"/>
  <c r="BM186" i="4"/>
  <c r="BN186" i="4"/>
  <c r="BN2792" i="4"/>
  <c r="BM2792" i="4"/>
  <c r="BG3758" i="4"/>
  <c r="BF3758" i="4"/>
  <c r="BG2265" i="4"/>
  <c r="BF2265" i="4"/>
  <c r="BG1210" i="4"/>
  <c r="BF1210" i="4"/>
  <c r="BG3047" i="4"/>
  <c r="BF3047" i="4"/>
  <c r="BG2507" i="4"/>
  <c r="BF2507" i="4"/>
  <c r="BF802" i="4"/>
  <c r="BG802" i="4"/>
  <c r="BG2905" i="4"/>
  <c r="BF2905" i="4"/>
  <c r="BF3452" i="4"/>
  <c r="BG3452" i="4"/>
  <c r="BN2046" i="4"/>
  <c r="BM2046" i="4"/>
  <c r="BN3168" i="4"/>
  <c r="BM3168" i="4"/>
  <c r="BN1048" i="4"/>
  <c r="BM1048" i="4"/>
  <c r="BN1486" i="4"/>
  <c r="BM1486" i="4"/>
  <c r="BN2056" i="4"/>
  <c r="BM2056" i="4"/>
  <c r="BN2770" i="4"/>
  <c r="BM2770" i="4"/>
  <c r="BN556" i="4"/>
  <c r="BM556" i="4"/>
  <c r="BN1259" i="4"/>
  <c r="BM1259" i="4"/>
  <c r="BN1740" i="4"/>
  <c r="BM1740" i="4"/>
  <c r="BN2399" i="4"/>
  <c r="BM2399" i="4"/>
  <c r="BN582" i="4"/>
  <c r="BM582" i="4"/>
  <c r="BM899" i="4"/>
  <c r="BN899" i="4"/>
  <c r="BM1802" i="4"/>
  <c r="BN1802" i="4"/>
  <c r="BN2468" i="4"/>
  <c r="BM2468" i="4"/>
  <c r="BM3297" i="4"/>
  <c r="BN3297" i="4"/>
  <c r="BN2032" i="4"/>
  <c r="BM2032" i="4"/>
  <c r="BN2742" i="4"/>
  <c r="BM2742" i="4"/>
  <c r="BM17" i="4"/>
  <c r="BN17" i="4"/>
  <c r="BN273" i="4"/>
  <c r="BM273" i="4"/>
  <c r="BN1240" i="4"/>
  <c r="BM1240" i="4"/>
  <c r="BM1717" i="4"/>
  <c r="BN1717" i="4"/>
  <c r="BN2374" i="4"/>
  <c r="BM2374" i="4"/>
  <c r="BM3172" i="4"/>
  <c r="BN3172" i="4"/>
  <c r="BM118" i="4"/>
  <c r="BN118" i="4"/>
  <c r="BN661" i="4"/>
  <c r="BM661" i="4"/>
  <c r="BN1002" i="4"/>
  <c r="BM1002" i="4"/>
  <c r="BM1425" i="4"/>
  <c r="BN1425" i="4"/>
  <c r="BN2676" i="4"/>
  <c r="BM2676" i="4"/>
  <c r="BM3568" i="4"/>
  <c r="BN3568" i="4"/>
  <c r="BN251" i="4"/>
  <c r="BM251" i="4"/>
  <c r="BM822" i="4"/>
  <c r="BN822" i="4"/>
  <c r="BM1672" i="4"/>
  <c r="BN1672" i="4"/>
  <c r="BN119" i="4"/>
  <c r="BM119" i="4"/>
  <c r="BN662" i="4"/>
  <c r="BM662" i="4"/>
  <c r="BN1003" i="4"/>
  <c r="BM1003" i="4"/>
  <c r="BN3576" i="4"/>
  <c r="BM3576" i="4"/>
  <c r="BN252" i="4"/>
  <c r="BM252" i="4"/>
  <c r="BN1673" i="4"/>
  <c r="BM1673" i="4"/>
  <c r="BN1462" i="4"/>
  <c r="BM1462" i="4"/>
  <c r="BM1845" i="4"/>
  <c r="BN1845" i="4"/>
  <c r="BN2289" i="4"/>
  <c r="BM2289" i="4"/>
  <c r="BN2795" i="4"/>
  <c r="BM2795" i="4"/>
  <c r="BN3407" i="4"/>
  <c r="BM3407" i="4"/>
  <c r="BM2042" i="4"/>
  <c r="BN2042" i="4"/>
  <c r="BN3064" i="4"/>
  <c r="BM3064" i="4"/>
  <c r="BN806" i="4"/>
  <c r="BM806" i="4"/>
  <c r="BN1088" i="4"/>
  <c r="BM1088" i="4"/>
  <c r="BN2704" i="4"/>
  <c r="BM2704" i="4"/>
  <c r="BM3292" i="4"/>
  <c r="BN3292" i="4"/>
  <c r="BN960" i="4"/>
  <c r="BM960" i="4"/>
  <c r="BN1595" i="4"/>
  <c r="BM1595" i="4"/>
  <c r="BM2004" i="4"/>
  <c r="BN2004" i="4"/>
  <c r="BN2473" i="4"/>
  <c r="BM2473" i="4"/>
  <c r="BN698" i="4"/>
  <c r="BM698" i="4"/>
  <c r="BM973" i="4"/>
  <c r="BN973" i="4"/>
  <c r="BN1612" i="4"/>
  <c r="BM1612" i="4"/>
  <c r="BM2498" i="4"/>
  <c r="BN2498" i="4"/>
  <c r="BM3043" i="4"/>
  <c r="BN3043" i="4"/>
  <c r="BN1272" i="4"/>
  <c r="BM1272" i="4"/>
  <c r="BM2028" i="4"/>
  <c r="BN2028" i="4"/>
  <c r="BN713" i="4"/>
  <c r="BM713" i="4"/>
  <c r="BN1633" i="4"/>
  <c r="BM1633" i="4"/>
  <c r="BN2049" i="4"/>
  <c r="BM2049" i="4"/>
  <c r="BN2527" i="4"/>
  <c r="BM2527" i="4"/>
  <c r="BN3079" i="4"/>
  <c r="BM3079" i="4"/>
  <c r="BM1741" i="4"/>
  <c r="BN1741" i="4"/>
  <c r="BN2034" i="4"/>
  <c r="BM2034" i="4"/>
  <c r="BN3067" i="4"/>
  <c r="BM3067" i="4"/>
  <c r="BN1928" i="4"/>
  <c r="BM1928" i="4"/>
  <c r="BN2566" i="4"/>
  <c r="BM2566" i="4"/>
  <c r="BN2925" i="4"/>
  <c r="BM2925" i="4"/>
  <c r="BN3319" i="4"/>
  <c r="BM3319" i="4"/>
  <c r="BN1290" i="4"/>
  <c r="BM1290" i="4"/>
  <c r="BN1571" i="4"/>
  <c r="BM1571" i="4"/>
  <c r="BN2492" i="4"/>
  <c r="BM2492" i="4"/>
  <c r="BN3231" i="4"/>
  <c r="BM3231" i="4"/>
  <c r="BN404" i="4"/>
  <c r="BM404" i="4"/>
  <c r="BM911" i="4"/>
  <c r="BN911" i="4"/>
  <c r="BN1427" i="4"/>
  <c r="BM1427" i="4"/>
  <c r="BM1719" i="4"/>
  <c r="BN1719" i="4"/>
  <c r="BN2012" i="4"/>
  <c r="BM2012" i="4"/>
  <c r="BM2324" i="4"/>
  <c r="BN2324" i="4"/>
  <c r="BN3437" i="4"/>
  <c r="BM3437" i="4"/>
  <c r="BN2178" i="4"/>
  <c r="BM2178" i="4"/>
  <c r="BN3253" i="4"/>
  <c r="BM3253" i="4"/>
  <c r="BN1085" i="4"/>
  <c r="BM1085" i="4"/>
  <c r="BM1340" i="4"/>
  <c r="BN1340" i="4"/>
  <c r="BN1627" i="4"/>
  <c r="BM1627" i="4"/>
  <c r="BN1919" i="4"/>
  <c r="BM1919" i="4"/>
  <c r="BN2223" i="4"/>
  <c r="BM2223" i="4"/>
  <c r="BN2557" i="4"/>
  <c r="BM2557" i="4"/>
  <c r="BN3307" i="4"/>
  <c r="BM3307" i="4"/>
  <c r="BM1120" i="4"/>
  <c r="BN1120" i="4"/>
  <c r="BN2605" i="4"/>
  <c r="BM2605" i="4"/>
  <c r="BM2967" i="4"/>
  <c r="BN2967" i="4"/>
  <c r="BM3363" i="4"/>
  <c r="BN3363" i="4"/>
  <c r="BM3484" i="4"/>
  <c r="BN3484" i="4"/>
  <c r="BN3059" i="4"/>
  <c r="BM3059" i="4"/>
  <c r="BM3383" i="4"/>
  <c r="BN3383" i="4"/>
  <c r="BN2041" i="4"/>
  <c r="BM2041" i="4"/>
  <c r="BM2316" i="4"/>
  <c r="BN2316" i="4"/>
  <c r="BN2915" i="4"/>
  <c r="BM2915" i="4"/>
  <c r="BN341" i="4"/>
  <c r="BM341" i="4"/>
  <c r="BN583" i="4"/>
  <c r="BM583" i="4"/>
  <c r="BN825" i="4"/>
  <c r="BM825" i="4"/>
  <c r="BN1067" i="4"/>
  <c r="BM1067" i="4"/>
  <c r="BN1309" i="4"/>
  <c r="BM1309" i="4"/>
  <c r="BN2990" i="4"/>
  <c r="BM2990" i="4"/>
  <c r="BN2385" i="4"/>
  <c r="BM2385" i="4"/>
  <c r="BN2991" i="4"/>
  <c r="BM2991" i="4"/>
  <c r="BM2918" i="4"/>
  <c r="BN2918" i="4"/>
  <c r="BN3224" i="4"/>
  <c r="BM3224" i="4"/>
  <c r="BN2565" i="4"/>
  <c r="BM2565" i="4"/>
  <c r="BM2807" i="4"/>
  <c r="BN2807" i="4"/>
  <c r="BN3049" i="4"/>
  <c r="BM3049" i="4"/>
  <c r="BM3291" i="4"/>
  <c r="BN3291" i="4"/>
  <c r="BM3533" i="4"/>
  <c r="BN3533" i="4"/>
  <c r="BM1381" i="4"/>
  <c r="BN1381" i="4"/>
  <c r="BN353" i="4"/>
  <c r="BM353" i="4"/>
  <c r="BN3488" i="4"/>
  <c r="BM3488" i="4"/>
  <c r="BN1228" i="4"/>
  <c r="BM1228" i="4"/>
  <c r="BN666" i="4"/>
  <c r="BM666" i="4"/>
  <c r="BN265" i="4"/>
  <c r="BM265" i="4"/>
  <c r="BN3107" i="4"/>
  <c r="BM3107" i="4"/>
  <c r="BN2692" i="4"/>
  <c r="BM2692" i="4"/>
  <c r="BN1409" i="4"/>
  <c r="BM1409" i="4"/>
  <c r="BN788" i="4"/>
  <c r="BM788" i="4"/>
  <c r="BM1279" i="4"/>
  <c r="BN1279" i="4"/>
  <c r="BM702" i="4"/>
  <c r="BN702" i="4"/>
  <c r="BN3314" i="4"/>
  <c r="BM3314" i="4"/>
  <c r="BN1984" i="4"/>
  <c r="BM1984" i="4"/>
  <c r="BN625" i="4"/>
  <c r="BM625" i="4"/>
  <c r="BN3312" i="4"/>
  <c r="BM3312" i="4"/>
  <c r="BN622" i="4"/>
  <c r="BM622" i="4"/>
  <c r="BG1230" i="4"/>
  <c r="BF1230" i="4"/>
  <c r="BG947" i="4"/>
  <c r="BF947" i="4"/>
  <c r="BG2931" i="4"/>
  <c r="BF2931" i="4"/>
  <c r="BG2815" i="4"/>
  <c r="BF2815" i="4"/>
  <c r="BG4145" i="4"/>
  <c r="BF4145" i="4"/>
  <c r="BG4187" i="4"/>
  <c r="BF4187" i="4"/>
  <c r="BG941" i="4"/>
  <c r="BF941" i="4"/>
  <c r="BG1937" i="4"/>
  <c r="BF1937" i="4"/>
  <c r="BG4824" i="4"/>
  <c r="BF4824" i="4"/>
  <c r="BN3331" i="4"/>
  <c r="BM3331" i="4"/>
  <c r="BN1993" i="4"/>
  <c r="BM1993" i="4"/>
  <c r="BM1169" i="4"/>
  <c r="BN1169" i="4"/>
  <c r="BM230" i="4"/>
  <c r="BN230" i="4"/>
  <c r="BN3204" i="4"/>
  <c r="BM3204" i="4"/>
  <c r="BN1068" i="4"/>
  <c r="BM1068" i="4"/>
  <c r="BN1508" i="4"/>
  <c r="BM1508" i="4"/>
  <c r="BN2084" i="4"/>
  <c r="BM2084" i="4"/>
  <c r="BM569" i="4"/>
  <c r="BN569" i="4"/>
  <c r="BM3251" i="4"/>
  <c r="BN3251" i="4"/>
  <c r="BN595" i="4"/>
  <c r="BM595" i="4"/>
  <c r="BN916" i="4"/>
  <c r="BM916" i="4"/>
  <c r="BN1318" i="4"/>
  <c r="BM1318" i="4"/>
  <c r="BN1829" i="4"/>
  <c r="BM1829" i="4"/>
  <c r="BN2502" i="4"/>
  <c r="BM2502" i="4"/>
  <c r="BN3334" i="4"/>
  <c r="BM3334" i="4"/>
  <c r="BM28" i="4"/>
  <c r="BN28" i="4"/>
  <c r="BM285" i="4"/>
  <c r="BN285" i="4"/>
  <c r="BN558" i="4"/>
  <c r="BM558" i="4"/>
  <c r="BN1261" i="4"/>
  <c r="BM1261" i="4"/>
  <c r="BN1743" i="4"/>
  <c r="BM1743" i="4"/>
  <c r="BM130" i="4"/>
  <c r="BN130" i="4"/>
  <c r="BN1446" i="4"/>
  <c r="BM1446" i="4"/>
  <c r="BN2006" i="4"/>
  <c r="BM2006" i="4"/>
  <c r="BN2715" i="4"/>
  <c r="BM2715" i="4"/>
  <c r="BM8" i="4"/>
  <c r="BN8" i="4"/>
  <c r="BM263" i="4"/>
  <c r="BN263" i="4"/>
  <c r="BN535" i="4"/>
  <c r="BM535" i="4"/>
  <c r="BM1697" i="4"/>
  <c r="BN1697" i="4"/>
  <c r="BN2347" i="4"/>
  <c r="BM2347" i="4"/>
  <c r="BM3140" i="4"/>
  <c r="BN3140" i="4"/>
  <c r="BN131" i="4"/>
  <c r="BM131" i="4"/>
  <c r="BN397" i="4"/>
  <c r="BM397" i="4"/>
  <c r="BN676" i="4"/>
  <c r="BM676" i="4"/>
  <c r="BM1450" i="4"/>
  <c r="BN1450" i="4"/>
  <c r="BN2010" i="4"/>
  <c r="BM2010" i="4"/>
  <c r="BN9" i="4"/>
  <c r="BM9" i="4"/>
  <c r="BN536" i="4"/>
  <c r="BM536" i="4"/>
  <c r="BN2348" i="4"/>
  <c r="BM2348" i="4"/>
  <c r="BN3143" i="4"/>
  <c r="BM3143" i="4"/>
  <c r="BN1478" i="4"/>
  <c r="BM1478" i="4"/>
  <c r="BN1864" i="4"/>
  <c r="BM1864" i="4"/>
  <c r="BN3436" i="4"/>
  <c r="BM3436" i="4"/>
  <c r="BN2538" i="4"/>
  <c r="BM2538" i="4"/>
  <c r="BN1790" i="4"/>
  <c r="BM1790" i="4"/>
  <c r="BM2228" i="4"/>
  <c r="BN2228" i="4"/>
  <c r="BN2727" i="4"/>
  <c r="BM2727" i="4"/>
  <c r="BN3318" i="4"/>
  <c r="BM3318" i="4"/>
  <c r="BN1269" i="4"/>
  <c r="BM1269" i="4"/>
  <c r="BN1611" i="4"/>
  <c r="BM1611" i="4"/>
  <c r="BM2024" i="4"/>
  <c r="BN2024" i="4"/>
  <c r="BN3042" i="4"/>
  <c r="BM3042" i="4"/>
  <c r="BM710" i="4"/>
  <c r="BN710" i="4"/>
  <c r="BM1284" i="4"/>
  <c r="BN1284" i="4"/>
  <c r="BM1629" i="4"/>
  <c r="BN1629" i="4"/>
  <c r="BN2045" i="4"/>
  <c r="BM2045" i="4"/>
  <c r="BM2520" i="4"/>
  <c r="BN2520" i="4"/>
  <c r="BM987" i="4"/>
  <c r="BN987" i="4"/>
  <c r="BM1631" i="4"/>
  <c r="BN1631" i="4"/>
  <c r="BN3076" i="4"/>
  <c r="BM3076" i="4"/>
  <c r="BN725" i="4"/>
  <c r="BM725" i="4"/>
  <c r="BN1301" i="4"/>
  <c r="BM1301" i="4"/>
  <c r="BN1649" i="4"/>
  <c r="BM1649" i="4"/>
  <c r="BN2070" i="4"/>
  <c r="BM2070" i="4"/>
  <c r="BN3105" i="4"/>
  <c r="BM3105" i="4"/>
  <c r="BN1754" i="4"/>
  <c r="BM1754" i="4"/>
  <c r="BN2047" i="4"/>
  <c r="BM2047" i="4"/>
  <c r="BN2710" i="4"/>
  <c r="BM2710" i="4"/>
  <c r="BN3487" i="4"/>
  <c r="BM3487" i="4"/>
  <c r="BN1941" i="4"/>
  <c r="BM1941" i="4"/>
  <c r="BN2582" i="4"/>
  <c r="BM2582" i="4"/>
  <c r="BN2942" i="4"/>
  <c r="BM2942" i="4"/>
  <c r="BN3337" i="4"/>
  <c r="BM3337" i="4"/>
  <c r="BM3415" i="4"/>
  <c r="BN3415" i="4"/>
  <c r="BM1877" i="4"/>
  <c r="BN1877" i="4"/>
  <c r="BN2175" i="4"/>
  <c r="BM2175" i="4"/>
  <c r="BN2507" i="4"/>
  <c r="BM2507" i="4"/>
  <c r="BM162" i="4"/>
  <c r="BN162" i="4"/>
  <c r="BM669" i="4"/>
  <c r="BN669" i="4"/>
  <c r="BN1176" i="4"/>
  <c r="BM1176" i="4"/>
  <c r="BN1440" i="4"/>
  <c r="BM1440" i="4"/>
  <c r="BN1732" i="4"/>
  <c r="BM1732" i="4"/>
  <c r="BN2025" i="4"/>
  <c r="BM2025" i="4"/>
  <c r="BN3055" i="4"/>
  <c r="BM3055" i="4"/>
  <c r="BN3457" i="4"/>
  <c r="BM3457" i="4"/>
  <c r="BN2525" i="4"/>
  <c r="BM2525" i="4"/>
  <c r="BN2880" i="4"/>
  <c r="BM2880" i="4"/>
  <c r="BN843" i="4"/>
  <c r="BM843" i="4"/>
  <c r="BN1352" i="4"/>
  <c r="BM1352" i="4"/>
  <c r="BN1640" i="4"/>
  <c r="BM1640" i="4"/>
  <c r="BN3326" i="4"/>
  <c r="BM3326" i="4"/>
  <c r="BM2283" i="4"/>
  <c r="BN2283" i="4"/>
  <c r="BN2621" i="4"/>
  <c r="BM2621" i="4"/>
  <c r="BN2985" i="4"/>
  <c r="BM2985" i="4"/>
  <c r="BN3074" i="4"/>
  <c r="BM3074" i="4"/>
  <c r="BN3397" i="4"/>
  <c r="BM3397" i="4"/>
  <c r="BN2053" i="4"/>
  <c r="BM2053" i="4"/>
  <c r="BN2623" i="4"/>
  <c r="BM2623" i="4"/>
  <c r="BN2930" i="4"/>
  <c r="BM2930" i="4"/>
  <c r="BN3575" i="4"/>
  <c r="BM3575" i="4"/>
  <c r="BN352" i="4"/>
  <c r="BM352" i="4"/>
  <c r="BN594" i="4"/>
  <c r="BM594" i="4"/>
  <c r="BN836" i="4"/>
  <c r="BM836" i="4"/>
  <c r="BN1078" i="4"/>
  <c r="BM1078" i="4"/>
  <c r="BN2397" i="4"/>
  <c r="BM2397" i="4"/>
  <c r="BN2695" i="4"/>
  <c r="BM2695" i="4"/>
  <c r="BM3006" i="4"/>
  <c r="BN3006" i="4"/>
  <c r="BN2398" i="4"/>
  <c r="BM2398" i="4"/>
  <c r="BM2696" i="4"/>
  <c r="BN2696" i="4"/>
  <c r="BN3007" i="4"/>
  <c r="BM3007" i="4"/>
  <c r="BN3329" i="4"/>
  <c r="BM3329" i="4"/>
  <c r="BN2931" i="4"/>
  <c r="BM2931" i="4"/>
  <c r="BN3546" i="4"/>
  <c r="BM3546" i="4"/>
  <c r="BN2255" i="4"/>
  <c r="BM2255" i="4"/>
  <c r="BM2334" i="4"/>
  <c r="BN2334" i="4"/>
  <c r="BM2576" i="4"/>
  <c r="BN2576" i="4"/>
  <c r="BN2818" i="4"/>
  <c r="BM2818" i="4"/>
  <c r="BN3060" i="4"/>
  <c r="BM3060" i="4"/>
  <c r="BM3302" i="4"/>
  <c r="BN3302" i="4"/>
  <c r="BM3544" i="4"/>
  <c r="BN3544" i="4"/>
  <c r="BN1349" i="4"/>
  <c r="BM1349" i="4"/>
  <c r="BN749" i="4"/>
  <c r="BM749" i="4"/>
  <c r="BN3406" i="4"/>
  <c r="BM3406" i="4"/>
  <c r="BN2044" i="4"/>
  <c r="BM2044" i="4"/>
  <c r="BN3025" i="4"/>
  <c r="BM3025" i="4"/>
  <c r="BF13" i="4"/>
  <c r="BG13" i="4"/>
  <c r="BG4846" i="4"/>
  <c r="BF4846" i="4"/>
  <c r="BG3932" i="4"/>
  <c r="BF3932" i="4"/>
  <c r="BF2051" i="4"/>
  <c r="BG2051" i="4"/>
  <c r="BG534" i="4"/>
  <c r="BF534" i="4"/>
  <c r="BG1643" i="4"/>
  <c r="BF1643" i="4"/>
  <c r="BG4970" i="4"/>
  <c r="BF4970" i="4"/>
  <c r="BF5720" i="4"/>
  <c r="BG5720" i="4"/>
  <c r="BG2841" i="4"/>
  <c r="BF2841" i="4"/>
  <c r="BF4212" i="4"/>
  <c r="BG4212" i="4"/>
  <c r="BG4501" i="4"/>
  <c r="BF4501" i="4"/>
  <c r="BN3583" i="4"/>
  <c r="BM3583" i="4"/>
  <c r="BN2139" i="4"/>
  <c r="BM2139" i="4"/>
  <c r="BN688" i="4"/>
  <c r="BM688" i="4"/>
  <c r="BM3260" i="4"/>
  <c r="BN3260" i="4"/>
  <c r="BN211" i="4"/>
  <c r="BM211" i="4"/>
  <c r="BN1529" i="4"/>
  <c r="BM1529" i="4"/>
  <c r="BN2112" i="4"/>
  <c r="BM2112" i="4"/>
  <c r="BN3293" i="4"/>
  <c r="BM3293" i="4"/>
  <c r="BN931" i="4"/>
  <c r="BM931" i="4"/>
  <c r="BN2534" i="4"/>
  <c r="BM2534" i="4"/>
  <c r="BN3380" i="4"/>
  <c r="BM3380" i="4"/>
  <c r="BM39" i="4"/>
  <c r="BN39" i="4"/>
  <c r="BN1278" i="4"/>
  <c r="BM1278" i="4"/>
  <c r="BN3257" i="4"/>
  <c r="BM3257" i="4"/>
  <c r="BM142" i="4"/>
  <c r="BN142" i="4"/>
  <c r="BN408" i="4"/>
  <c r="BM408" i="4"/>
  <c r="BN2746" i="4"/>
  <c r="BM2746" i="4"/>
  <c r="BN19" i="4"/>
  <c r="BM19" i="4"/>
  <c r="BN854" i="4"/>
  <c r="BM854" i="4"/>
  <c r="BN3186" i="4"/>
  <c r="BM3186" i="4"/>
  <c r="BN409" i="4"/>
  <c r="BM409" i="4"/>
  <c r="BN690" i="4"/>
  <c r="BM690" i="4"/>
  <c r="BM1473" i="4"/>
  <c r="BN1473" i="4"/>
  <c r="BN2036" i="4"/>
  <c r="BM2036" i="4"/>
  <c r="BN2754" i="4"/>
  <c r="BM2754" i="4"/>
  <c r="BN20" i="4"/>
  <c r="BM20" i="4"/>
  <c r="BM1724" i="4"/>
  <c r="BN1724" i="4"/>
  <c r="BN3188" i="4"/>
  <c r="BM3188" i="4"/>
  <c r="BN1884" i="4"/>
  <c r="BM1884" i="4"/>
  <c r="BN2333" i="4"/>
  <c r="BM2333" i="4"/>
  <c r="BN2843" i="4"/>
  <c r="BM2843" i="4"/>
  <c r="BN3119" i="4"/>
  <c r="BM3119" i="4"/>
  <c r="BN832" i="4"/>
  <c r="BM832" i="4"/>
  <c r="BN3349" i="4"/>
  <c r="BM3349" i="4"/>
  <c r="BN985" i="4"/>
  <c r="BM985" i="4"/>
  <c r="BN722" i="4"/>
  <c r="BM722" i="4"/>
  <c r="BM998" i="4"/>
  <c r="BN998" i="4"/>
  <c r="BN2545" i="4"/>
  <c r="BM2545" i="4"/>
  <c r="BN3098" i="4"/>
  <c r="BM3098" i="4"/>
  <c r="BN2547" i="4"/>
  <c r="BM2547" i="4"/>
  <c r="BN3100" i="4"/>
  <c r="BM3100" i="4"/>
  <c r="BN1014" i="4"/>
  <c r="BM1014" i="4"/>
  <c r="BN1317" i="4"/>
  <c r="BM1317" i="4"/>
  <c r="BN3133" i="4"/>
  <c r="BM3133" i="4"/>
  <c r="BN1768" i="4"/>
  <c r="BM1768" i="4"/>
  <c r="BN2060" i="4"/>
  <c r="BM2060" i="4"/>
  <c r="BN2380" i="4"/>
  <c r="BM2380" i="4"/>
  <c r="BN3102" i="4"/>
  <c r="BM3102" i="4"/>
  <c r="BN3507" i="4"/>
  <c r="BM3507" i="4"/>
  <c r="BM1955" i="4"/>
  <c r="BN1955" i="4"/>
  <c r="BN2599" i="4"/>
  <c r="BM2599" i="4"/>
  <c r="BN2960" i="4"/>
  <c r="BM2960" i="4"/>
  <c r="BN3435" i="4"/>
  <c r="BM3435" i="4"/>
  <c r="BN1313" i="4"/>
  <c r="BM1313" i="4"/>
  <c r="BN2190" i="4"/>
  <c r="BM2190" i="4"/>
  <c r="BN2523" i="4"/>
  <c r="BM2523" i="4"/>
  <c r="BN2877" i="4"/>
  <c r="BM2877" i="4"/>
  <c r="BN3267" i="4"/>
  <c r="BM3267" i="4"/>
  <c r="BM427" i="4"/>
  <c r="BN427" i="4"/>
  <c r="BN934" i="4"/>
  <c r="BM934" i="4"/>
  <c r="BN1453" i="4"/>
  <c r="BM1453" i="4"/>
  <c r="BN1746" i="4"/>
  <c r="BM1746" i="4"/>
  <c r="BM2038" i="4"/>
  <c r="BN2038" i="4"/>
  <c r="BN2354" i="4"/>
  <c r="BM2354" i="4"/>
  <c r="BN2700" i="4"/>
  <c r="BM2700" i="4"/>
  <c r="BN3477" i="4"/>
  <c r="BM3477" i="4"/>
  <c r="BM1108" i="4"/>
  <c r="BN1108" i="4"/>
  <c r="BN1364" i="4"/>
  <c r="BM1364" i="4"/>
  <c r="BM1653" i="4"/>
  <c r="BN1653" i="4"/>
  <c r="BN1947" i="4"/>
  <c r="BM1947" i="4"/>
  <c r="BN2949" i="4"/>
  <c r="BM2949" i="4"/>
  <c r="BN3345" i="4"/>
  <c r="BM3345" i="4"/>
  <c r="BN1143" i="4"/>
  <c r="BM1143" i="4"/>
  <c r="BN1401" i="4"/>
  <c r="BM1401" i="4"/>
  <c r="BN1987" i="4"/>
  <c r="BM1987" i="4"/>
  <c r="BN2297" i="4"/>
  <c r="BM2297" i="4"/>
  <c r="BN2636" i="4"/>
  <c r="BM2636" i="4"/>
  <c r="BN3003" i="4"/>
  <c r="BM3003" i="4"/>
  <c r="BN3403" i="4"/>
  <c r="BM3403" i="4"/>
  <c r="BN3089" i="4"/>
  <c r="BM3089" i="4"/>
  <c r="BN3411" i="4"/>
  <c r="BM3411" i="4"/>
  <c r="BN1799" i="4"/>
  <c r="BM1799" i="4"/>
  <c r="BM2944" i="4"/>
  <c r="BN2944" i="4"/>
  <c r="BN3266" i="4"/>
  <c r="BM3266" i="4"/>
  <c r="BM121" i="4"/>
  <c r="BN121" i="4"/>
  <c r="BM363" i="4"/>
  <c r="BN363" i="4"/>
  <c r="BN605" i="4"/>
  <c r="BM605" i="4"/>
  <c r="BN847" i="4"/>
  <c r="BM847" i="4"/>
  <c r="BN1089" i="4"/>
  <c r="BM1089" i="4"/>
  <c r="BN1332" i="4"/>
  <c r="BM1332" i="4"/>
  <c r="BN2410" i="4"/>
  <c r="BM2410" i="4"/>
  <c r="BN3020" i="4"/>
  <c r="BM3020" i="4"/>
  <c r="BN3342" i="4"/>
  <c r="BM3342" i="4"/>
  <c r="BN2129" i="4"/>
  <c r="BM2129" i="4"/>
  <c r="BN3021" i="4"/>
  <c r="BM3021" i="4"/>
  <c r="BN3344" i="4"/>
  <c r="BM3344" i="4"/>
  <c r="BN2651" i="4"/>
  <c r="BM2651" i="4"/>
  <c r="BN3252" i="4"/>
  <c r="BM3252" i="4"/>
  <c r="BN3560" i="4"/>
  <c r="BM3560" i="4"/>
  <c r="BM2345" i="4"/>
  <c r="BN2345" i="4"/>
  <c r="BN2587" i="4"/>
  <c r="BM2587" i="4"/>
  <c r="BN2829" i="4"/>
  <c r="BM2829" i="4"/>
  <c r="BN3071" i="4"/>
  <c r="BM3071" i="4"/>
  <c r="BM3313" i="4"/>
  <c r="BN3313" i="4"/>
  <c r="BM3555" i="4"/>
  <c r="BN3555" i="4"/>
  <c r="BN2256" i="4"/>
  <c r="BM2256" i="4"/>
  <c r="BN317" i="4"/>
  <c r="BM317" i="4"/>
  <c r="BM3328" i="4"/>
  <c r="BN3328" i="4"/>
  <c r="BM628" i="4"/>
  <c r="BN628" i="4"/>
  <c r="BN229" i="4"/>
  <c r="BM229" i="4"/>
  <c r="BN2946" i="4"/>
  <c r="BM2946" i="4"/>
  <c r="BF3193" i="4"/>
  <c r="BG3193" i="4"/>
  <c r="BG5492" i="4"/>
  <c r="BF5492" i="4"/>
  <c r="BG2685" i="4"/>
  <c r="BF2685" i="4"/>
  <c r="BG922" i="4"/>
  <c r="BF922" i="4"/>
  <c r="BG1565" i="4"/>
  <c r="BF1565" i="4"/>
  <c r="BG2309" i="4"/>
  <c r="BF2309" i="4"/>
  <c r="BG3344" i="4"/>
  <c r="BF3344" i="4"/>
  <c r="BG1268" i="4"/>
  <c r="BF1268" i="4"/>
  <c r="BG5909" i="4"/>
  <c r="BF5909" i="4"/>
  <c r="BF1966" i="4"/>
  <c r="BG1966" i="4"/>
  <c r="BG729" i="4"/>
  <c r="BF729" i="4"/>
  <c r="BG1892" i="4"/>
  <c r="BF1892" i="4"/>
  <c r="BF2582" i="4"/>
  <c r="BG2582" i="4"/>
  <c r="BG3697" i="4"/>
  <c r="BF3697" i="4"/>
  <c r="BG212" i="4"/>
  <c r="BF212" i="4"/>
  <c r="BG696" i="4"/>
  <c r="BF696" i="4"/>
  <c r="BG1232" i="4"/>
  <c r="BF1232" i="4"/>
  <c r="BG2529" i="4"/>
  <c r="BF2529" i="4"/>
  <c r="BG618" i="4"/>
  <c r="BF618" i="4"/>
  <c r="BG1713" i="4"/>
  <c r="BF1713" i="4"/>
  <c r="BG2767" i="4"/>
  <c r="BF2767" i="4"/>
  <c r="BG5449" i="4"/>
  <c r="BF5449" i="4"/>
  <c r="BG257" i="4"/>
  <c r="BF257" i="4"/>
  <c r="BG998" i="4"/>
  <c r="BF998" i="4"/>
  <c r="BG1583" i="4"/>
  <c r="BF1583" i="4"/>
  <c r="BF4869" i="4"/>
  <c r="BG4869" i="4"/>
  <c r="BG904" i="4"/>
  <c r="BF904" i="4"/>
  <c r="BG2122" i="4"/>
  <c r="BF2122" i="4"/>
  <c r="BG3480" i="4"/>
  <c r="BF3480" i="4"/>
  <c r="BF924" i="4"/>
  <c r="BG924" i="4"/>
  <c r="BG3195" i="4"/>
  <c r="BF3195" i="4"/>
  <c r="BF1637" i="4"/>
  <c r="BG1637" i="4"/>
  <c r="BG280" i="4"/>
  <c r="BF280" i="4"/>
  <c r="BG766" i="4"/>
  <c r="BF766" i="4"/>
  <c r="BG1314" i="4"/>
  <c r="BF1314" i="4"/>
  <c r="BG3817" i="4"/>
  <c r="BF3817" i="4"/>
  <c r="BG2275" i="4"/>
  <c r="BF2275" i="4"/>
  <c r="BG3124" i="4"/>
  <c r="BF3124" i="4"/>
  <c r="BG5007" i="4"/>
  <c r="BF5007" i="4"/>
  <c r="BF281" i="4"/>
  <c r="BG281" i="4"/>
  <c r="BF1317" i="4"/>
  <c r="BG1317" i="4"/>
  <c r="BG2642" i="4"/>
  <c r="BF2642" i="4"/>
  <c r="BG3820" i="4"/>
  <c r="BF3820" i="4"/>
  <c r="BG1897" i="4"/>
  <c r="BF1897" i="4"/>
  <c r="BF2192" i="4"/>
  <c r="BG2192" i="4"/>
  <c r="BG667" i="4"/>
  <c r="BF667" i="4"/>
  <c r="BF1197" i="4"/>
  <c r="BG1197" i="4"/>
  <c r="BG3515" i="4"/>
  <c r="BF3515" i="4"/>
  <c r="BG5980" i="4"/>
  <c r="BF5980" i="4"/>
  <c r="BG1686" i="4"/>
  <c r="BF1686" i="4"/>
  <c r="BG2353" i="4"/>
  <c r="BF2353" i="4"/>
  <c r="BG5337" i="4"/>
  <c r="BF5337" i="4"/>
  <c r="BF1581" i="4"/>
  <c r="BG1581" i="4"/>
  <c r="BG294" i="4"/>
  <c r="BF294" i="4"/>
  <c r="BG1038" i="4"/>
  <c r="BF1038" i="4"/>
  <c r="BG5073" i="4"/>
  <c r="BF5073" i="4"/>
  <c r="BG5531" i="4"/>
  <c r="BF5531" i="4"/>
  <c r="BG3601" i="4"/>
  <c r="BF3601" i="4"/>
  <c r="BG5959" i="4"/>
  <c r="BF5959" i="4"/>
  <c r="BG3522" i="4"/>
  <c r="BF3522" i="4"/>
  <c r="BG5055" i="4"/>
  <c r="BF5055" i="4"/>
  <c r="BG2550" i="4"/>
  <c r="BF2550" i="4"/>
  <c r="BG5503" i="4"/>
  <c r="BF5503" i="4"/>
  <c r="BG1687" i="4"/>
  <c r="BF1687" i="4"/>
  <c r="BG2171" i="4"/>
  <c r="BF2171" i="4"/>
  <c r="BG2666" i="4"/>
  <c r="BF2666" i="4"/>
  <c r="BG3570" i="4"/>
  <c r="BF3570" i="4"/>
  <c r="BG4498" i="4"/>
  <c r="BF4498" i="4"/>
  <c r="BG2965" i="4"/>
  <c r="BF2965" i="4"/>
  <c r="BG3621" i="4"/>
  <c r="BF3621" i="4"/>
  <c r="BG4588" i="4"/>
  <c r="BF4588" i="4"/>
  <c r="BG6001" i="4"/>
  <c r="BF6001" i="4"/>
  <c r="BF5443" i="4"/>
  <c r="BG5443" i="4"/>
  <c r="BG1293" i="4"/>
  <c r="BF1293" i="4"/>
  <c r="BG1777" i="4"/>
  <c r="BF1777" i="4"/>
  <c r="BG2261" i="4"/>
  <c r="BF2261" i="4"/>
  <c r="BG2760" i="4"/>
  <c r="BF2760" i="4"/>
  <c r="BG5380" i="4"/>
  <c r="BF5380" i="4"/>
  <c r="BG4681" i="4"/>
  <c r="BF4681" i="4"/>
  <c r="BG1393" i="4"/>
  <c r="BF1393" i="4"/>
  <c r="BG1877" i="4"/>
  <c r="BF1877" i="4"/>
  <c r="BG2739" i="4"/>
  <c r="BF2739" i="4"/>
  <c r="BG3327" i="4"/>
  <c r="BF3327" i="4"/>
  <c r="BG4081" i="4"/>
  <c r="BF4081" i="4"/>
  <c r="BF5602" i="4"/>
  <c r="BG5602" i="4"/>
  <c r="BF2933" i="4"/>
  <c r="BG2933" i="4"/>
  <c r="BG3417" i="4"/>
  <c r="BF3417" i="4"/>
  <c r="BG3930" i="4"/>
  <c r="BF3930" i="4"/>
  <c r="BG5075" i="4"/>
  <c r="BF5075" i="4"/>
  <c r="BG5707" i="4"/>
  <c r="BF5707" i="4"/>
  <c r="BG4121" i="4"/>
  <c r="BF4121" i="4"/>
  <c r="BF3462" i="4"/>
  <c r="BG3462" i="4"/>
  <c r="BG3981" i="4"/>
  <c r="BF3981" i="4"/>
  <c r="BF5129" i="4"/>
  <c r="BG5129" i="4"/>
  <c r="BG5782" i="4"/>
  <c r="BF5782" i="4"/>
  <c r="BG4542" i="4"/>
  <c r="BF4542" i="4"/>
  <c r="BF3177" i="4"/>
  <c r="BG3177" i="4"/>
  <c r="BG4454" i="4"/>
  <c r="BF4454" i="4"/>
  <c r="BG5037" i="4"/>
  <c r="BF5037" i="4"/>
  <c r="BF4111" i="4"/>
  <c r="BG4111" i="4"/>
  <c r="BG4678" i="4"/>
  <c r="BF4678" i="4"/>
  <c r="BG5265" i="4"/>
  <c r="BF5265" i="4"/>
  <c r="BG5970" i="4"/>
  <c r="BF5970" i="4"/>
  <c r="BG4213" i="4"/>
  <c r="BF4213" i="4"/>
  <c r="BG5079" i="4"/>
  <c r="BF5079" i="4"/>
  <c r="BF4329" i="4"/>
  <c r="BG4329" i="4"/>
  <c r="BG5880" i="4"/>
  <c r="BF5880" i="4"/>
  <c r="BG4367" i="4"/>
  <c r="BF4367" i="4"/>
  <c r="BG3026" i="4"/>
  <c r="BF3026" i="4"/>
  <c r="BF3510" i="4"/>
  <c r="BG3510" i="4"/>
  <c r="BF4894" i="4"/>
  <c r="BG4894" i="4"/>
  <c r="BG5487" i="4"/>
  <c r="BF5487" i="4"/>
  <c r="BG4705" i="4"/>
  <c r="BF4705" i="4"/>
  <c r="BG5470" i="4"/>
  <c r="BF5470" i="4"/>
  <c r="BG4016" i="4"/>
  <c r="BF4016" i="4"/>
  <c r="BG4500" i="4"/>
  <c r="BF4500" i="4"/>
  <c r="BG3984" i="4"/>
  <c r="BF3984" i="4"/>
  <c r="BG4468" i="4"/>
  <c r="BF4468" i="4"/>
  <c r="BG5484" i="4"/>
  <c r="BF5484" i="4"/>
  <c r="BF5422" i="4"/>
  <c r="BG5422" i="4"/>
  <c r="BG5906" i="4"/>
  <c r="BF5906" i="4"/>
  <c r="BG4741" i="4"/>
  <c r="BF4741" i="4"/>
  <c r="BG5467" i="4"/>
  <c r="BF5467" i="4"/>
  <c r="BG5951" i="4"/>
  <c r="BF5951" i="4"/>
  <c r="BG3592" i="4"/>
  <c r="BF3592" i="4"/>
  <c r="BF1376" i="4"/>
  <c r="BG1376" i="4"/>
  <c r="BG2823" i="4"/>
  <c r="BF2823" i="4"/>
  <c r="BF1006" i="4"/>
  <c r="BG1006" i="4"/>
  <c r="BG1632" i="4"/>
  <c r="BF1632" i="4"/>
  <c r="BF3749" i="4"/>
  <c r="BG3749" i="4"/>
  <c r="BF2326" i="4"/>
  <c r="BG2326" i="4"/>
  <c r="BG2433" i="4"/>
  <c r="BF2433" i="4"/>
  <c r="BG2606" i="4"/>
  <c r="BF2606" i="4"/>
  <c r="BF3618" i="4"/>
  <c r="BG3618" i="4"/>
  <c r="BF2030" i="4"/>
  <c r="BG2030" i="4"/>
  <c r="BG5917" i="4"/>
  <c r="BF5917" i="4"/>
  <c r="BG5098" i="4"/>
  <c r="BF5098" i="4"/>
  <c r="BG3052" i="4"/>
  <c r="BF3052" i="4"/>
  <c r="BG5162" i="4"/>
  <c r="BF5162" i="4"/>
  <c r="BF1648" i="4"/>
  <c r="BG1648" i="4"/>
  <c r="BG3519" i="4"/>
  <c r="BF3519" i="4"/>
  <c r="BG9" i="4"/>
  <c r="BF9" i="4"/>
  <c r="BG1199" i="4"/>
  <c r="BF1199" i="4"/>
  <c r="BG2894" i="4"/>
  <c r="BF2894" i="4"/>
  <c r="BG2255" i="4"/>
  <c r="BF2255" i="4"/>
  <c r="BG3093" i="4"/>
  <c r="BF3093" i="4"/>
  <c r="BG4923" i="4"/>
  <c r="BF4923" i="4"/>
  <c r="BF234" i="4"/>
  <c r="BG234" i="4"/>
  <c r="BG718" i="4"/>
  <c r="BF718" i="4"/>
  <c r="BG1258" i="4"/>
  <c r="BF1258" i="4"/>
  <c r="BG2567" i="4"/>
  <c r="BF2567" i="4"/>
  <c r="BG2076" i="4"/>
  <c r="BF2076" i="4"/>
  <c r="BG3380" i="4"/>
  <c r="BF3380" i="4"/>
  <c r="BF279" i="4"/>
  <c r="BG279" i="4"/>
  <c r="BG765" i="4"/>
  <c r="BF765" i="4"/>
  <c r="BF1313" i="4"/>
  <c r="BG1313" i="4"/>
  <c r="BG2639" i="4"/>
  <c r="BF2639" i="4"/>
  <c r="BG3806" i="4"/>
  <c r="BF3806" i="4"/>
  <c r="BF1818" i="4"/>
  <c r="BG1818" i="4"/>
  <c r="BF3545" i="4"/>
  <c r="BG3545" i="4"/>
  <c r="BG2359" i="4"/>
  <c r="BF2359" i="4"/>
  <c r="BG302" i="4"/>
  <c r="BF302" i="4"/>
  <c r="BG1047" i="4"/>
  <c r="BF1047" i="4"/>
  <c r="BF1640" i="4"/>
  <c r="BG1640" i="4"/>
  <c r="BG3890" i="4"/>
  <c r="BF3890" i="4"/>
  <c r="BG790" i="4"/>
  <c r="BF790" i="4"/>
  <c r="BG61" i="4"/>
  <c r="BF61" i="4"/>
  <c r="BG545" i="4"/>
  <c r="BF545" i="4"/>
  <c r="BF1048" i="4"/>
  <c r="BG1048" i="4"/>
  <c r="BG1641" i="4"/>
  <c r="BF1641" i="4"/>
  <c r="BG1927" i="4"/>
  <c r="BF1927" i="4"/>
  <c r="BG3097" i="4"/>
  <c r="BF3097" i="4"/>
  <c r="BG4951" i="4"/>
  <c r="BF4951" i="4"/>
  <c r="BG205" i="4"/>
  <c r="BF205" i="4"/>
  <c r="BF689" i="4"/>
  <c r="BG689" i="4"/>
  <c r="BG1223" i="4"/>
  <c r="BF1223" i="4"/>
  <c r="BG2950" i="4"/>
  <c r="BF2950" i="4"/>
  <c r="BG1717" i="4"/>
  <c r="BF1717" i="4"/>
  <c r="BG2776" i="4"/>
  <c r="BF2776" i="4"/>
  <c r="BG2437" i="4"/>
  <c r="BF2437" i="4"/>
  <c r="BG68" i="4"/>
  <c r="BF68" i="4"/>
  <c r="BG316" i="4"/>
  <c r="BF316" i="4"/>
  <c r="BG804" i="4"/>
  <c r="BF804" i="4"/>
  <c r="BG1358" i="4"/>
  <c r="BF1358" i="4"/>
  <c r="BG5217" i="4"/>
  <c r="BF5217" i="4"/>
  <c r="BG4934" i="4"/>
  <c r="BF4934" i="4"/>
  <c r="BF2457" i="4"/>
  <c r="BG2457" i="4"/>
  <c r="BG6036" i="4"/>
  <c r="BF6036" i="4"/>
  <c r="BG4471" i="4"/>
  <c r="BF4471" i="4"/>
  <c r="BG5567" i="4"/>
  <c r="BF5567" i="4"/>
  <c r="BG1951" i="4"/>
  <c r="BF1951" i="4"/>
  <c r="BG2689" i="4"/>
  <c r="BF2689" i="4"/>
  <c r="BF2724" i="4"/>
  <c r="BG2724" i="4"/>
  <c r="BG4644" i="4"/>
  <c r="BF4644" i="4"/>
  <c r="BG4854" i="4"/>
  <c r="BF4854" i="4"/>
  <c r="BG2806" i="4"/>
  <c r="BF2806" i="4"/>
  <c r="BG3415" i="4"/>
  <c r="BF3415" i="4"/>
  <c r="BG4220" i="4"/>
  <c r="BF4220" i="4"/>
  <c r="BF5505" i="4"/>
  <c r="BG5505" i="4"/>
  <c r="BG1315" i="4"/>
  <c r="BF1315" i="4"/>
  <c r="BG1799" i="4"/>
  <c r="BF1799" i="4"/>
  <c r="BG2283" i="4"/>
  <c r="BF2283" i="4"/>
  <c r="BF4737" i="4"/>
  <c r="BG4737" i="4"/>
  <c r="BF1657" i="4"/>
  <c r="BG1657" i="4"/>
  <c r="BG2141" i="4"/>
  <c r="BF2141" i="4"/>
  <c r="BG3526" i="4"/>
  <c r="BF3526" i="4"/>
  <c r="BG2762" i="4"/>
  <c r="BF2762" i="4"/>
  <c r="BG3358" i="4"/>
  <c r="BF3358" i="4"/>
  <c r="BG4129" i="4"/>
  <c r="BF4129" i="4"/>
  <c r="BG5389" i="4"/>
  <c r="BF5389" i="4"/>
  <c r="BG5021" i="4"/>
  <c r="BF5021" i="4"/>
  <c r="BG2955" i="4"/>
  <c r="BF2955" i="4"/>
  <c r="BG3681" i="4"/>
  <c r="BF3681" i="4"/>
  <c r="BG4427" i="4"/>
  <c r="BF4427" i="4"/>
  <c r="BF5009" i="4"/>
  <c r="BG5009" i="4"/>
  <c r="BF3484" i="4"/>
  <c r="BG3484" i="4"/>
  <c r="BG5821" i="4"/>
  <c r="BF5821" i="4"/>
  <c r="BG4863" i="4"/>
  <c r="BF4863" i="4"/>
  <c r="BG5452" i="4"/>
  <c r="BF5452" i="4"/>
  <c r="BG3441" i="4"/>
  <c r="BF3441" i="4"/>
  <c r="BG3957" i="4"/>
  <c r="BF3957" i="4"/>
  <c r="BG5065" i="4"/>
  <c r="BF5065" i="4"/>
  <c r="BG4136" i="4"/>
  <c r="BF4136" i="4"/>
  <c r="BG4519" i="4"/>
  <c r="BF4519" i="4"/>
  <c r="BF5751" i="4"/>
  <c r="BG5751" i="4"/>
  <c r="BF5227" i="4"/>
  <c r="BG5227" i="4"/>
  <c r="BF3532" i="4"/>
  <c r="BG3532" i="4"/>
  <c r="BG4063" i="4"/>
  <c r="BF4063" i="4"/>
  <c r="BG5215" i="4"/>
  <c r="BF5215" i="4"/>
  <c r="BF5773" i="4"/>
  <c r="BG5773" i="4"/>
  <c r="BG4728" i="4"/>
  <c r="BF4728" i="4"/>
  <c r="BF5495" i="4"/>
  <c r="BG5495" i="4"/>
  <c r="BG4038" i="4"/>
  <c r="BF4038" i="4"/>
  <c r="BG4775" i="4"/>
  <c r="BF4775" i="4"/>
  <c r="BG5282" i="4"/>
  <c r="BF5282" i="4"/>
  <c r="BG4006" i="4"/>
  <c r="BF4006" i="4"/>
  <c r="BG4490" i="4"/>
  <c r="BF4490" i="4"/>
  <c r="BG5686" i="4"/>
  <c r="BF5686" i="4"/>
  <c r="BG5005" i="4"/>
  <c r="BF5005" i="4"/>
  <c r="BF5973" i="4"/>
  <c r="BG5973" i="4"/>
  <c r="BG1963" i="4"/>
  <c r="BF1963" i="4"/>
  <c r="BG2720" i="4"/>
  <c r="BF2720" i="4"/>
  <c r="BG1159" i="4"/>
  <c r="BF1159" i="4"/>
  <c r="BG1060" i="4"/>
  <c r="BF1060" i="4"/>
  <c r="BF4078" i="4"/>
  <c r="BG4078" i="4"/>
  <c r="BN3494" i="4"/>
  <c r="BM3494" i="4"/>
  <c r="BM2097" i="4"/>
  <c r="BN2097" i="4"/>
  <c r="BN1230" i="4"/>
  <c r="BM1230" i="4"/>
  <c r="BM267" i="4"/>
  <c r="BN267" i="4"/>
  <c r="BN1900" i="4"/>
  <c r="BM1900" i="4"/>
  <c r="BN1109" i="4"/>
  <c r="BM1109" i="4"/>
  <c r="BN3287" i="4"/>
  <c r="BM3287" i="4"/>
  <c r="BM1104" i="4"/>
  <c r="BN1104" i="4"/>
  <c r="BN1553" i="4"/>
  <c r="BM1553" i="4"/>
  <c r="BM2143" i="4"/>
  <c r="BN2143" i="4"/>
  <c r="BN320" i="4"/>
  <c r="BM320" i="4"/>
  <c r="BN2501" i="4"/>
  <c r="BM2501" i="4"/>
  <c r="BN620" i="4"/>
  <c r="BM620" i="4"/>
  <c r="BM949" i="4"/>
  <c r="BN949" i="4"/>
  <c r="BN1883" i="4"/>
  <c r="BM1883" i="4"/>
  <c r="BN2849" i="4"/>
  <c r="BM2849" i="4"/>
  <c r="BN50" i="4"/>
  <c r="BM50" i="4"/>
  <c r="BN1299" i="4"/>
  <c r="BM1299" i="4"/>
  <c r="BM1803" i="4"/>
  <c r="BN1803" i="4"/>
  <c r="BN2469" i="4"/>
  <c r="BM2469" i="4"/>
  <c r="BN3299" i="4"/>
  <c r="BM3299" i="4"/>
  <c r="BN1055" i="4"/>
  <c r="BM1055" i="4"/>
  <c r="BN2064" i="4"/>
  <c r="BM2064" i="4"/>
  <c r="BN2787" i="4"/>
  <c r="BM2787" i="4"/>
  <c r="BN30" i="4"/>
  <c r="BM30" i="4"/>
  <c r="BM560" i="4"/>
  <c r="BN560" i="4"/>
  <c r="BM1263" i="4"/>
  <c r="BN1263" i="4"/>
  <c r="BN1750" i="4"/>
  <c r="BM1750" i="4"/>
  <c r="BN2413" i="4"/>
  <c r="BM2413" i="4"/>
  <c r="BN2069" i="4"/>
  <c r="BM2069" i="4"/>
  <c r="BN2788" i="4"/>
  <c r="BM2788" i="4"/>
  <c r="BN31" i="4"/>
  <c r="BM31" i="4"/>
  <c r="BN1264" i="4"/>
  <c r="BM1264" i="4"/>
  <c r="BN1753" i="4"/>
  <c r="BM1753" i="4"/>
  <c r="BN1182" i="4"/>
  <c r="BM1182" i="4"/>
  <c r="BN1903" i="4"/>
  <c r="BM1903" i="4"/>
  <c r="BN2359" i="4"/>
  <c r="BM2359" i="4"/>
  <c r="BN2099" i="4"/>
  <c r="BM2099" i="4"/>
  <c r="BN2583" i="4"/>
  <c r="BM2583" i="4"/>
  <c r="BN3151" i="4"/>
  <c r="BM3151" i="4"/>
  <c r="BM1447" i="4"/>
  <c r="BN1447" i="4"/>
  <c r="BM2272" i="4"/>
  <c r="BN2272" i="4"/>
  <c r="BN2773" i="4"/>
  <c r="BM2773" i="4"/>
  <c r="BN3378" i="4"/>
  <c r="BM3378" i="4"/>
  <c r="BN1297" i="4"/>
  <c r="BM1297" i="4"/>
  <c r="BN1645" i="4"/>
  <c r="BM1645" i="4"/>
  <c r="BN2062" i="4"/>
  <c r="BM2062" i="4"/>
  <c r="BN3097" i="4"/>
  <c r="BM3097" i="4"/>
  <c r="BN734" i="4"/>
  <c r="BM734" i="4"/>
  <c r="BM1661" i="4"/>
  <c r="BN1661" i="4"/>
  <c r="BN3131" i="4"/>
  <c r="BM3131" i="4"/>
  <c r="BN1027" i="4"/>
  <c r="BM1027" i="4"/>
  <c r="BN1331" i="4"/>
  <c r="BM1331" i="4"/>
  <c r="BN1683" i="4"/>
  <c r="BM1683" i="4"/>
  <c r="BN2110" i="4"/>
  <c r="BM2110" i="4"/>
  <c r="BN2594" i="4"/>
  <c r="BM2594" i="4"/>
  <c r="BN3161" i="4"/>
  <c r="BM3161" i="4"/>
  <c r="BN1781" i="4"/>
  <c r="BM1781" i="4"/>
  <c r="BN2073" i="4"/>
  <c r="BM2073" i="4"/>
  <c r="BN2395" i="4"/>
  <c r="BM2395" i="4"/>
  <c r="BN3120" i="4"/>
  <c r="BM3120" i="4"/>
  <c r="BM3526" i="4"/>
  <c r="BN3526" i="4"/>
  <c r="BN1968" i="4"/>
  <c r="BM1968" i="4"/>
  <c r="BN2615" i="4"/>
  <c r="BM2615" i="4"/>
  <c r="BN3375" i="4"/>
  <c r="BM3375" i="4"/>
  <c r="BN3052" i="4"/>
  <c r="BM3052" i="4"/>
  <c r="BM3453" i="4"/>
  <c r="BN3453" i="4"/>
  <c r="BN1325" i="4"/>
  <c r="BM1325" i="4"/>
  <c r="BM2894" i="4"/>
  <c r="BN2894" i="4"/>
  <c r="BN185" i="4"/>
  <c r="BM185" i="4"/>
  <c r="BM692" i="4"/>
  <c r="BN692" i="4"/>
  <c r="BM1466" i="4"/>
  <c r="BN1466" i="4"/>
  <c r="BN1759" i="4"/>
  <c r="BM1759" i="4"/>
  <c r="BN2051" i="4"/>
  <c r="BM2051" i="4"/>
  <c r="BN2370" i="4"/>
  <c r="BM2370" i="4"/>
  <c r="BN3091" i="4"/>
  <c r="BM3091" i="4"/>
  <c r="BN2222" i="4"/>
  <c r="BM2222" i="4"/>
  <c r="BM2556" i="4"/>
  <c r="BN2556" i="4"/>
  <c r="BN2913" i="4"/>
  <c r="BM2913" i="4"/>
  <c r="BM3306" i="4"/>
  <c r="BN3306" i="4"/>
  <c r="BM866" i="4"/>
  <c r="BN866" i="4"/>
  <c r="BN1376" i="4"/>
  <c r="BM1376" i="4"/>
  <c r="BN1667" i="4"/>
  <c r="BM1667" i="4"/>
  <c r="BM1960" i="4"/>
  <c r="BN1960" i="4"/>
  <c r="BN2266" i="4"/>
  <c r="BM2266" i="4"/>
  <c r="BN2604" i="4"/>
  <c r="BM2604" i="4"/>
  <c r="BN1415" i="4"/>
  <c r="BM1415" i="4"/>
  <c r="BN2311" i="4"/>
  <c r="BM2311" i="4"/>
  <c r="BN2654" i="4"/>
  <c r="BM2654" i="4"/>
  <c r="BN3022" i="4"/>
  <c r="BM3022" i="4"/>
  <c r="BN3421" i="4"/>
  <c r="BM3421" i="4"/>
  <c r="BN1811" i="4"/>
  <c r="BM1811" i="4"/>
  <c r="BN2650" i="4"/>
  <c r="BM2650" i="4"/>
  <c r="BM132" i="4"/>
  <c r="BN132" i="4"/>
  <c r="BM374" i="4"/>
  <c r="BN374" i="4"/>
  <c r="BN616" i="4"/>
  <c r="BM616" i="4"/>
  <c r="BN858" i="4"/>
  <c r="BM858" i="4"/>
  <c r="BN1100" i="4"/>
  <c r="BM1100" i="4"/>
  <c r="BN2723" i="4"/>
  <c r="BM2723" i="4"/>
  <c r="BN3034" i="4"/>
  <c r="BM3034" i="4"/>
  <c r="BN3358" i="4"/>
  <c r="BM3358" i="4"/>
  <c r="BN3035" i="4"/>
  <c r="BM3035" i="4"/>
  <c r="BN3359" i="4"/>
  <c r="BM3359" i="4"/>
  <c r="BN2665" i="4"/>
  <c r="BM2665" i="4"/>
  <c r="BN2958" i="4"/>
  <c r="BM2958" i="4"/>
  <c r="BN2278" i="4"/>
  <c r="BM2278" i="4"/>
  <c r="BM2356" i="4"/>
  <c r="BN2356" i="4"/>
  <c r="BN2598" i="4"/>
  <c r="BM2598" i="4"/>
  <c r="BM2840" i="4"/>
  <c r="BN2840" i="4"/>
  <c r="BN3082" i="4"/>
  <c r="BM3082" i="4"/>
  <c r="BM3324" i="4"/>
  <c r="BN3324" i="4"/>
  <c r="BM3566" i="4"/>
  <c r="BN3566" i="4"/>
  <c r="BN2197" i="4"/>
  <c r="BM2197" i="4"/>
  <c r="BN3246" i="4"/>
  <c r="BM3246" i="4"/>
  <c r="BN1938" i="4"/>
  <c r="BM1938" i="4"/>
  <c r="BN609" i="4"/>
  <c r="BM609" i="4"/>
  <c r="BN210" i="4"/>
  <c r="BM210" i="4"/>
  <c r="BG742" i="4"/>
  <c r="BF742" i="4"/>
  <c r="BG2375" i="4"/>
  <c r="BF2375" i="4"/>
  <c r="BG3006" i="4"/>
  <c r="BF3006" i="4"/>
  <c r="BF4494" i="4"/>
  <c r="BG4494" i="4"/>
  <c r="BN1195" i="4"/>
  <c r="BM1195" i="4"/>
  <c r="BN247" i="4"/>
  <c r="BM247" i="4"/>
  <c r="BM3113" i="4"/>
  <c r="BN3113" i="4"/>
  <c r="BN1850" i="4"/>
  <c r="BM1850" i="4"/>
  <c r="BN575" i="4"/>
  <c r="BM575" i="4"/>
  <c r="BN1123" i="4"/>
  <c r="BM1123" i="4"/>
  <c r="BN1575" i="4"/>
  <c r="BM1575" i="4"/>
  <c r="BN2174" i="4"/>
  <c r="BM2174" i="4"/>
  <c r="BN2921" i="4"/>
  <c r="BM2921" i="4"/>
  <c r="BN332" i="4"/>
  <c r="BM332" i="4"/>
  <c r="BN607" i="4"/>
  <c r="BM607" i="4"/>
  <c r="BN1335" i="4"/>
  <c r="BM1335" i="4"/>
  <c r="BN1857" i="4"/>
  <c r="BM1857" i="4"/>
  <c r="BM965" i="4"/>
  <c r="BN965" i="4"/>
  <c r="BM717" i="4"/>
  <c r="BN717" i="4"/>
  <c r="BN1285" i="4"/>
  <c r="BM1285" i="4"/>
  <c r="BF2377" i="4"/>
  <c r="BG2377" i="4"/>
  <c r="BG2887" i="4"/>
  <c r="BF2887" i="4"/>
  <c r="BF3661" i="4"/>
  <c r="BG3661" i="4"/>
  <c r="BG5474" i="4"/>
  <c r="BF5474" i="4"/>
  <c r="BG4552" i="4"/>
  <c r="BF4552" i="4"/>
  <c r="BF5358" i="4"/>
  <c r="BG5358" i="4"/>
  <c r="BF5078" i="4"/>
  <c r="BG5078" i="4"/>
  <c r="BG4017" i="4"/>
  <c r="BF4017" i="4"/>
  <c r="BN3341" i="4"/>
  <c r="BM3341" i="4"/>
  <c r="BN1994" i="4"/>
  <c r="BM1994" i="4"/>
  <c r="BN1170" i="4"/>
  <c r="BM1170" i="4"/>
  <c r="BM630" i="4"/>
  <c r="BN630" i="4"/>
  <c r="BG2370" i="4"/>
  <c r="BF2370" i="4"/>
  <c r="BG2023" i="4"/>
  <c r="BF2023" i="4"/>
  <c r="BG471" i="4"/>
  <c r="BF471" i="4"/>
  <c r="BG2846" i="4"/>
  <c r="BF2846" i="4"/>
  <c r="BG1018" i="4"/>
  <c r="BF1018" i="4"/>
  <c r="BF252" i="4"/>
  <c r="BG252" i="4"/>
  <c r="BG1534" i="4"/>
  <c r="BF1534" i="4"/>
  <c r="BG33" i="4"/>
  <c r="BF33" i="4"/>
  <c r="BG2602" i="4"/>
  <c r="BF2602" i="4"/>
  <c r="BG3732" i="4"/>
  <c r="BF3732" i="4"/>
  <c r="BG1270" i="4"/>
  <c r="BF1270" i="4"/>
  <c r="BG465" i="4"/>
  <c r="BF465" i="4"/>
  <c r="BF960" i="4"/>
  <c r="BG960" i="4"/>
  <c r="BG1541" i="4"/>
  <c r="BF1541" i="4"/>
  <c r="BF4660" i="4"/>
  <c r="BG4660" i="4"/>
  <c r="BG651" i="4"/>
  <c r="BF651" i="4"/>
  <c r="BG2059" i="4"/>
  <c r="BF2059" i="4"/>
  <c r="BG2788" i="4"/>
  <c r="BF2788" i="4"/>
  <c r="BG268" i="4"/>
  <c r="BF268" i="4"/>
  <c r="BF1300" i="4"/>
  <c r="BG1300" i="4"/>
  <c r="BG1804" i="4"/>
  <c r="BF1804" i="4"/>
  <c r="BG2898" i="4"/>
  <c r="BF2898" i="4"/>
  <c r="BG4425" i="4"/>
  <c r="BF4425" i="4"/>
  <c r="BG763" i="4"/>
  <c r="BF763" i="4"/>
  <c r="BG291" i="4"/>
  <c r="BF291" i="4"/>
  <c r="BG1035" i="4"/>
  <c r="BF1035" i="4"/>
  <c r="BG3150" i="4"/>
  <c r="BF3150" i="4"/>
  <c r="BG1957" i="4"/>
  <c r="BF1957" i="4"/>
  <c r="BG3856" i="4"/>
  <c r="BF3856" i="4"/>
  <c r="BF50" i="4"/>
  <c r="BG50" i="4"/>
  <c r="BG779" i="4"/>
  <c r="BF779" i="4"/>
  <c r="BG3151" i="4"/>
  <c r="BF3151" i="4"/>
  <c r="BG745" i="4"/>
  <c r="BF745" i="4"/>
  <c r="BG1913" i="4"/>
  <c r="BF1913" i="4"/>
  <c r="BG4886" i="4"/>
  <c r="BF4886" i="4"/>
  <c r="BF194" i="4"/>
  <c r="BG194" i="4"/>
  <c r="BF678" i="4"/>
  <c r="BG678" i="4"/>
  <c r="BG1506" i="4"/>
  <c r="BF1506" i="4"/>
  <c r="BG838" i="4"/>
  <c r="BF838" i="4"/>
  <c r="BG2367" i="4"/>
  <c r="BF2367" i="4"/>
  <c r="BG5402" i="4"/>
  <c r="BF5402" i="4"/>
  <c r="BF2406" i="4"/>
  <c r="BG2406" i="4"/>
  <c r="BG24" i="4"/>
  <c r="BF24" i="4"/>
  <c r="BG1621" i="4"/>
  <c r="BF1621" i="4"/>
  <c r="BG3801" i="4"/>
  <c r="BF3801" i="4"/>
  <c r="BG305" i="4"/>
  <c r="BF305" i="4"/>
  <c r="BG1345" i="4"/>
  <c r="BF1345" i="4"/>
  <c r="BG3898" i="4"/>
  <c r="BF3898" i="4"/>
  <c r="BG5564" i="4"/>
  <c r="BF5564" i="4"/>
  <c r="BG2699" i="4"/>
  <c r="BF2699" i="4"/>
  <c r="BG4578" i="4"/>
  <c r="BF4578" i="4"/>
  <c r="BF5998" i="4"/>
  <c r="BG5998" i="4"/>
  <c r="BF3201" i="4"/>
  <c r="BG3201" i="4"/>
  <c r="BG5795" i="4"/>
  <c r="BF5795" i="4"/>
  <c r="BG1940" i="4"/>
  <c r="BF1940" i="4"/>
  <c r="BG2424" i="4"/>
  <c r="BF2424" i="4"/>
  <c r="BG3588" i="4"/>
  <c r="BF3588" i="4"/>
  <c r="BG5924" i="4"/>
  <c r="BF5924" i="4"/>
  <c r="BF2978" i="4"/>
  <c r="BG2978" i="4"/>
  <c r="BG3401" i="4"/>
  <c r="BF3401" i="4"/>
  <c r="BG4194" i="4"/>
  <c r="BF4194" i="4"/>
  <c r="BG1304" i="4"/>
  <c r="BF1304" i="4"/>
  <c r="BG1788" i="4"/>
  <c r="BF1788" i="4"/>
  <c r="BG2518" i="4"/>
  <c r="BF2518" i="4"/>
  <c r="BG4710" i="4"/>
  <c r="BF4710" i="4"/>
  <c r="BG1404" i="4"/>
  <c r="BF1404" i="4"/>
  <c r="BG1888" i="4"/>
  <c r="BF1888" i="4"/>
  <c r="BG2372" i="4"/>
  <c r="BF2372" i="4"/>
  <c r="BG5032" i="4"/>
  <c r="BF5032" i="4"/>
  <c r="BG3343" i="4"/>
  <c r="BF3343" i="4"/>
  <c r="BG5354" i="4"/>
  <c r="BF5354" i="4"/>
  <c r="BG4426" i="4"/>
  <c r="BF4426" i="4"/>
  <c r="BG5008" i="4"/>
  <c r="BF5008" i="4"/>
  <c r="BG5618" i="4"/>
  <c r="BF5618" i="4"/>
  <c r="BG3186" i="4"/>
  <c r="BF3186" i="4"/>
  <c r="BF3670" i="4"/>
  <c r="BG3670" i="4"/>
  <c r="BG4503" i="4"/>
  <c r="BF4503" i="4"/>
  <c r="BF5726" i="4"/>
  <c r="BG5726" i="4"/>
  <c r="BG3854" i="4"/>
  <c r="BF3854" i="4"/>
  <c r="BG4996" i="4"/>
  <c r="BF4996" i="4"/>
  <c r="BF3231" i="4"/>
  <c r="BG3231" i="4"/>
  <c r="BG3717" i="4"/>
  <c r="BF3717" i="4"/>
  <c r="BF5142" i="4"/>
  <c r="BG5142" i="4"/>
  <c r="BG3430" i="4"/>
  <c r="BF3430" i="4"/>
  <c r="BF4505" i="4"/>
  <c r="BG4505" i="4"/>
  <c r="BG5591" i="4"/>
  <c r="BF5591" i="4"/>
  <c r="BG3946" i="4"/>
  <c r="BF3946" i="4"/>
  <c r="BG5386" i="4"/>
  <c r="BF5386" i="4"/>
  <c r="BG5213" i="4"/>
  <c r="BF5213" i="4"/>
  <c r="BG5900" i="4"/>
  <c r="BF5900" i="4"/>
  <c r="BF4381" i="4"/>
  <c r="BG4381" i="4"/>
  <c r="BG5561" i="4"/>
  <c r="BF5561" i="4"/>
  <c r="BF3279" i="4"/>
  <c r="BG3279" i="4"/>
  <c r="BG3770" i="4"/>
  <c r="BF3770" i="4"/>
  <c r="BG4614" i="4"/>
  <c r="BF4614" i="4"/>
  <c r="BG5200" i="4"/>
  <c r="BF5200" i="4"/>
  <c r="BG5958" i="4"/>
  <c r="BF5958" i="4"/>
  <c r="BG5776" i="4"/>
  <c r="BF5776" i="4"/>
  <c r="BG3785" i="4"/>
  <c r="BF3785" i="4"/>
  <c r="BG4269" i="4"/>
  <c r="BF4269" i="4"/>
  <c r="BG5017" i="4"/>
  <c r="BF5017" i="4"/>
  <c r="BG3995" i="4"/>
  <c r="BF3995" i="4"/>
  <c r="BG4479" i="4"/>
  <c r="BF4479" i="4"/>
  <c r="BG5675" i="4"/>
  <c r="BF5675" i="4"/>
  <c r="BG4994" i="4"/>
  <c r="BF4994" i="4"/>
  <c r="BG5478" i="4"/>
  <c r="BF5478" i="4"/>
  <c r="BG1336" i="4"/>
  <c r="BF1336" i="4"/>
  <c r="BG2007" i="4"/>
  <c r="BF2007" i="4"/>
  <c r="BF817" i="4"/>
  <c r="BG817" i="4"/>
  <c r="BG991" i="4"/>
  <c r="BF991" i="4"/>
  <c r="BG2810" i="4"/>
  <c r="BF2810" i="4"/>
  <c r="BG1971" i="4"/>
  <c r="BF1971" i="4"/>
  <c r="BG2049" i="4"/>
  <c r="BF2049" i="4"/>
  <c r="BG1173" i="4"/>
  <c r="BF1173" i="4"/>
  <c r="BG3197" i="4"/>
  <c r="BF3197" i="4"/>
  <c r="BG3730" i="4"/>
  <c r="BF3730" i="4"/>
  <c r="BG5693" i="4"/>
  <c r="BF5693" i="4"/>
  <c r="BF3290" i="4"/>
  <c r="BG3290" i="4"/>
  <c r="BG5784" i="4"/>
  <c r="BF5784" i="4"/>
  <c r="BF5235" i="4"/>
  <c r="BG5235" i="4"/>
  <c r="BG1307" i="4"/>
  <c r="BF1307" i="4"/>
  <c r="BG430" i="4"/>
  <c r="BF430" i="4"/>
  <c r="BG2467" i="4"/>
  <c r="BF2467" i="4"/>
  <c r="BG2983" i="4"/>
  <c r="BF2983" i="4"/>
  <c r="BF307" i="4"/>
  <c r="BG307" i="4"/>
  <c r="BF2537" i="4"/>
  <c r="BG2537" i="4"/>
  <c r="BG3798" i="4"/>
  <c r="BF3798" i="4"/>
  <c r="BG1456" i="4"/>
  <c r="BF1456" i="4"/>
  <c r="BG88" i="4"/>
  <c r="BF88" i="4"/>
  <c r="BG2177" i="4"/>
  <c r="BF2177" i="4"/>
  <c r="BG3107" i="4"/>
  <c r="BF3107" i="4"/>
  <c r="BG2269" i="4"/>
  <c r="BF2269" i="4"/>
  <c r="BG3" i="4"/>
  <c r="BF3" i="4"/>
  <c r="BG487" i="4"/>
  <c r="BF487" i="4"/>
  <c r="BG984" i="4"/>
  <c r="BF984" i="4"/>
  <c r="BG1567" i="4"/>
  <c r="BF1567" i="4"/>
  <c r="BF3039" i="4"/>
  <c r="BG3039" i="4"/>
  <c r="BG843" i="4"/>
  <c r="BF843" i="4"/>
  <c r="BF880" i="4"/>
  <c r="BG880" i="4"/>
  <c r="BG2090" i="4"/>
  <c r="BF2090" i="4"/>
  <c r="BG4232" i="4"/>
  <c r="BF4232" i="4"/>
  <c r="BG48" i="4"/>
  <c r="BF48" i="4"/>
  <c r="BF532" i="4"/>
  <c r="BG532" i="4"/>
  <c r="BF1034" i="4"/>
  <c r="BG1034" i="4"/>
  <c r="BG3149" i="4"/>
  <c r="BF3149" i="4"/>
  <c r="BG1835" i="4"/>
  <c r="BF1835" i="4"/>
  <c r="BG2513" i="4"/>
  <c r="BF2513" i="4"/>
  <c r="BG1607" i="4"/>
  <c r="BF1607" i="4"/>
  <c r="BG844" i="4"/>
  <c r="BF844" i="4"/>
  <c r="BG3838" i="4"/>
  <c r="BF3838" i="4"/>
  <c r="BF313" i="4"/>
  <c r="BG313" i="4"/>
  <c r="BG801" i="4"/>
  <c r="BF801" i="4"/>
  <c r="BG1355" i="4"/>
  <c r="BF1355" i="4"/>
  <c r="BG2696" i="4"/>
  <c r="BF2696" i="4"/>
  <c r="BG3927" i="4"/>
  <c r="BF3927" i="4"/>
  <c r="BG1654" i="4"/>
  <c r="BF1654" i="4"/>
  <c r="BG2320" i="4"/>
  <c r="BF2320" i="4"/>
  <c r="BF314" i="4"/>
  <c r="BG314" i="4"/>
  <c r="BG1356" i="4"/>
  <c r="BF1356" i="4"/>
  <c r="BG2697" i="4"/>
  <c r="BF2697" i="4"/>
  <c r="BF768" i="4"/>
  <c r="BG768" i="4"/>
  <c r="BG2276" i="4"/>
  <c r="BF2276" i="4"/>
  <c r="BF5014" i="4"/>
  <c r="BG5014" i="4"/>
  <c r="BF216" i="4"/>
  <c r="BG216" i="4"/>
  <c r="BF1532" i="4"/>
  <c r="BG1532" i="4"/>
  <c r="BG2974" i="4"/>
  <c r="BF2974" i="4"/>
  <c r="BG1732" i="4"/>
  <c r="BF1732" i="4"/>
  <c r="BG2398" i="4"/>
  <c r="BF2398" i="4"/>
  <c r="BG5550" i="4"/>
  <c r="BF5550" i="4"/>
  <c r="BG1680" i="4"/>
  <c r="BF1680" i="4"/>
  <c r="BF3630" i="4"/>
  <c r="BG3630" i="4"/>
  <c r="BG2546" i="4"/>
  <c r="BF2546" i="4"/>
  <c r="BG85" i="4"/>
  <c r="BF85" i="4"/>
  <c r="BG569" i="4"/>
  <c r="BF569" i="4"/>
  <c r="BG1077" i="4"/>
  <c r="BF1077" i="4"/>
  <c r="BG2719" i="4"/>
  <c r="BF2719" i="4"/>
  <c r="BG4322" i="4"/>
  <c r="BF4322" i="4"/>
  <c r="BG2722" i="4"/>
  <c r="BF2722" i="4"/>
  <c r="BG3305" i="4"/>
  <c r="BF3305" i="4"/>
  <c r="BG4053" i="4"/>
  <c r="BF4053" i="4"/>
  <c r="BG5285" i="4"/>
  <c r="BF5285" i="4"/>
  <c r="BF2926" i="4"/>
  <c r="BG2926" i="4"/>
  <c r="BG3569" i="4"/>
  <c r="BF3569" i="4"/>
  <c r="BG4497" i="4"/>
  <c r="BF4497" i="4"/>
  <c r="BG2585" i="4"/>
  <c r="BF2585" i="4"/>
  <c r="BF3458" i="4"/>
  <c r="BG3458" i="4"/>
  <c r="BG1962" i="4"/>
  <c r="BF1962" i="4"/>
  <c r="BG2447" i="4"/>
  <c r="BF2447" i="4"/>
  <c r="BG3278" i="4"/>
  <c r="BF3278" i="4"/>
  <c r="BF2482" i="4"/>
  <c r="BG2482" i="4"/>
  <c r="BG3004" i="4"/>
  <c r="BF3004" i="4"/>
  <c r="BG3668" i="4"/>
  <c r="BF3668" i="4"/>
  <c r="BF3431" i="4"/>
  <c r="BG3431" i="4"/>
  <c r="BG4246" i="4"/>
  <c r="BF4246" i="4"/>
  <c r="BG5537" i="4"/>
  <c r="BF5537" i="4"/>
  <c r="BG1326" i="4"/>
  <c r="BF1326" i="4"/>
  <c r="BG1810" i="4"/>
  <c r="BF1810" i="4"/>
  <c r="BG2294" i="4"/>
  <c r="BF2294" i="4"/>
  <c r="BG5475" i="4"/>
  <c r="BF5475" i="4"/>
  <c r="BG3371" i="4"/>
  <c r="BF3371" i="4"/>
  <c r="BG4151" i="4"/>
  <c r="BF4151" i="4"/>
  <c r="BG5416" i="4"/>
  <c r="BF5416" i="4"/>
  <c r="BG1184" i="4"/>
  <c r="BF1184" i="4"/>
  <c r="BG1668" i="4"/>
  <c r="BF1668" i="4"/>
  <c r="BG2152" i="4"/>
  <c r="BF2152" i="4"/>
  <c r="BG2646" i="4"/>
  <c r="BF2646" i="4"/>
  <c r="BG3544" i="4"/>
  <c r="BF3544" i="4"/>
  <c r="BG3372" i="4"/>
  <c r="BF3372" i="4"/>
  <c r="BG4767" i="4"/>
  <c r="BF4767" i="4"/>
  <c r="BF5327" i="4"/>
  <c r="BG5327" i="4"/>
  <c r="BG3208" i="4"/>
  <c r="BF3208" i="4"/>
  <c r="BG3879" i="4"/>
  <c r="BF3879" i="4"/>
  <c r="BG5022" i="4"/>
  <c r="BF5022" i="4"/>
  <c r="BG5637" i="4"/>
  <c r="BF5637" i="4"/>
  <c r="BF3253" i="4"/>
  <c r="BG3253" i="4"/>
  <c r="BG5838" i="4"/>
  <c r="BF5838" i="4"/>
  <c r="BF4583" i="4"/>
  <c r="BG4583" i="4"/>
  <c r="BF5839" i="4"/>
  <c r="BG5839" i="4"/>
  <c r="BG3210" i="4"/>
  <c r="BF3210" i="4"/>
  <c r="BG4530" i="4"/>
  <c r="BF4530" i="4"/>
  <c r="BG5624" i="4"/>
  <c r="BF5624" i="4"/>
  <c r="BF3696" i="4"/>
  <c r="BG3696" i="4"/>
  <c r="BF4252" i="4"/>
  <c r="BG4252" i="4"/>
  <c r="BG5240" i="4"/>
  <c r="BF5240" i="4"/>
  <c r="BF4406" i="4"/>
  <c r="BG4406" i="4"/>
  <c r="BG4987" i="4"/>
  <c r="BF4987" i="4"/>
  <c r="BG3059" i="4"/>
  <c r="BF3059" i="4"/>
  <c r="BF3543" i="4"/>
  <c r="BG3543" i="4"/>
  <c r="BG5228" i="4"/>
  <c r="BF5228" i="4"/>
  <c r="BG5530" i="4"/>
  <c r="BF5530" i="4"/>
  <c r="BF5690" i="4"/>
  <c r="BG5690" i="4"/>
  <c r="BG4993" i="4"/>
  <c r="BF4993" i="4"/>
  <c r="BF5802" i="4"/>
  <c r="BG5802" i="4"/>
  <c r="BG3807" i="4"/>
  <c r="BF3807" i="4"/>
  <c r="BF4291" i="4"/>
  <c r="BG4291" i="4"/>
  <c r="BF3775" i="4"/>
  <c r="BG3775" i="4"/>
  <c r="BF4753" i="4"/>
  <c r="BG4753" i="4"/>
  <c r="BF5260" i="4"/>
  <c r="BG5260" i="4"/>
  <c r="BG5817" i="4"/>
  <c r="BF5817" i="4"/>
  <c r="BF5455" i="4"/>
  <c r="BG5455" i="4"/>
  <c r="BG5939" i="4"/>
  <c r="BF5939" i="4"/>
  <c r="BG5016" i="4"/>
  <c r="BF5016" i="4"/>
  <c r="BG5500" i="4"/>
  <c r="BF5500" i="4"/>
  <c r="BF5984" i="4"/>
  <c r="BG5984" i="4"/>
  <c r="BG3335" i="4"/>
  <c r="BF3335" i="4"/>
  <c r="BG549" i="4"/>
  <c r="BF549" i="4"/>
  <c r="BG406" i="4"/>
  <c r="BF406" i="4"/>
  <c r="BG911" i="4"/>
  <c r="BF911" i="4"/>
  <c r="BN1954" i="4"/>
  <c r="BM1954" i="4"/>
  <c r="BM1137" i="4"/>
  <c r="BN1137" i="4"/>
  <c r="BM613" i="4"/>
  <c r="BN613" i="4"/>
  <c r="BN1933" i="4"/>
  <c r="BM1933" i="4"/>
  <c r="BN3239" i="4"/>
  <c r="BM3239" i="4"/>
  <c r="BF1595" i="4"/>
  <c r="BG1595" i="4"/>
  <c r="BG3270" i="4"/>
  <c r="BF3270" i="4"/>
  <c r="BF3760" i="4"/>
  <c r="BG3760" i="4"/>
  <c r="BF3565" i="4"/>
  <c r="BG3565" i="4"/>
  <c r="BM313" i="4"/>
  <c r="BN313" i="4"/>
  <c r="BM2378" i="4"/>
  <c r="BN2378" i="4"/>
  <c r="BG2638" i="4"/>
  <c r="BF2638" i="4"/>
  <c r="BF1277" i="4"/>
  <c r="BG1277" i="4"/>
  <c r="BG2830" i="4"/>
  <c r="BF2830" i="4"/>
  <c r="BM1378" i="4"/>
  <c r="BN1378" i="4"/>
  <c r="BN472" i="4"/>
  <c r="BM472" i="4"/>
  <c r="BM3126" i="4"/>
  <c r="BN3126" i="4"/>
  <c r="BG4515" i="4"/>
  <c r="BF4515" i="4"/>
  <c r="BM2954" i="4"/>
  <c r="BN2954" i="4"/>
  <c r="BN2826" i="4"/>
  <c r="BM2826" i="4"/>
  <c r="BN1663" i="4"/>
  <c r="BM1663" i="4"/>
  <c r="BN971" i="4"/>
  <c r="BM971" i="4"/>
  <c r="BM1197" i="4"/>
  <c r="BN1197" i="4"/>
  <c r="BM1664" i="4"/>
  <c r="BN1664" i="4"/>
  <c r="BN2302" i="4"/>
  <c r="BM2302" i="4"/>
  <c r="BM3083" i="4"/>
  <c r="BN3083" i="4"/>
  <c r="BN657" i="4"/>
  <c r="BM657" i="4"/>
  <c r="BN996" i="4"/>
  <c r="BM996" i="4"/>
  <c r="BN1420" i="4"/>
  <c r="BM1420" i="4"/>
  <c r="BN1971" i="4"/>
  <c r="BM1971" i="4"/>
  <c r="BN3552" i="4"/>
  <c r="BM3552" i="4"/>
  <c r="BN405" i="4"/>
  <c r="BM405" i="4"/>
  <c r="BN685" i="4"/>
  <c r="BM685" i="4"/>
  <c r="BM1464" i="4"/>
  <c r="BN1464" i="4"/>
  <c r="BN2030" i="4"/>
  <c r="BM2030" i="4"/>
  <c r="BN1646" i="4"/>
  <c r="BM1646" i="4"/>
  <c r="BM2274" i="4"/>
  <c r="BN2274" i="4"/>
  <c r="BM105" i="4"/>
  <c r="BN105" i="4"/>
  <c r="BN370" i="4"/>
  <c r="BM370" i="4"/>
  <c r="BN1399" i="4"/>
  <c r="BM1399" i="4"/>
  <c r="BN1945" i="4"/>
  <c r="BM1945" i="4"/>
  <c r="BN2643" i="4"/>
  <c r="BM2643" i="4"/>
  <c r="BN483" i="4"/>
  <c r="BM483" i="4"/>
  <c r="BM2217" i="4"/>
  <c r="BN2217" i="4"/>
  <c r="BM2973" i="4"/>
  <c r="BN2973" i="4"/>
  <c r="BN85" i="4"/>
  <c r="BM85" i="4"/>
  <c r="BN953" i="4"/>
  <c r="BM953" i="4"/>
  <c r="BN1895" i="4"/>
  <c r="BM1895" i="4"/>
  <c r="BN2577" i="4"/>
  <c r="BM2577" i="4"/>
  <c r="BN3432" i="4"/>
  <c r="BM3432" i="4"/>
  <c r="BM1606" i="4"/>
  <c r="BN1606" i="4"/>
  <c r="BM2219" i="4"/>
  <c r="BN2219" i="4"/>
  <c r="BM86" i="4"/>
  <c r="BN86" i="4"/>
  <c r="BM349" i="4"/>
  <c r="BN349" i="4"/>
  <c r="BM954" i="4"/>
  <c r="BN954" i="4"/>
  <c r="BN1365" i="4"/>
  <c r="BM1365" i="4"/>
  <c r="BN2578" i="4"/>
  <c r="BM2578" i="4"/>
  <c r="BN3442" i="4"/>
  <c r="BM3442" i="4"/>
  <c r="BM1252" i="4"/>
  <c r="BN1252" i="4"/>
  <c r="BN2002" i="4"/>
  <c r="BM2002" i="4"/>
  <c r="BN2470" i="4"/>
  <c r="BM2470" i="4"/>
  <c r="BN1767" i="4"/>
  <c r="BM1767" i="4"/>
  <c r="BM2206" i="4"/>
  <c r="BN2206" i="4"/>
  <c r="BN1925" i="4"/>
  <c r="BM1925" i="4"/>
  <c r="BN2900" i="4"/>
  <c r="BM2900" i="4"/>
  <c r="BN1063" i="4"/>
  <c r="BM1063" i="4"/>
  <c r="BM795" i="4"/>
  <c r="BN795" i="4"/>
  <c r="BM1385" i="4"/>
  <c r="BN1385" i="4"/>
  <c r="BM2187" i="4"/>
  <c r="BN2187" i="4"/>
  <c r="BN2683" i="4"/>
  <c r="BM2683" i="4"/>
  <c r="BN3265" i="4"/>
  <c r="BM3265" i="4"/>
  <c r="BN2688" i="4"/>
  <c r="BM2688" i="4"/>
  <c r="BN3274" i="4"/>
  <c r="BM3274" i="4"/>
  <c r="BN1093" i="4"/>
  <c r="BM1093" i="4"/>
  <c r="BN1406" i="4"/>
  <c r="BM1406" i="4"/>
  <c r="BN2713" i="4"/>
  <c r="BM2713" i="4"/>
  <c r="BN1847" i="4"/>
  <c r="BM1847" i="4"/>
  <c r="BN3209" i="4"/>
  <c r="BM3209" i="4"/>
  <c r="BN1742" i="4"/>
  <c r="BM1742" i="4"/>
  <c r="BN2035" i="4"/>
  <c r="BM2035" i="4"/>
  <c r="BN2351" i="4"/>
  <c r="BM2351" i="4"/>
  <c r="BN3068" i="4"/>
  <c r="BM3068" i="4"/>
  <c r="BN3142" i="4"/>
  <c r="BM3142" i="4"/>
  <c r="BN1970" i="4"/>
  <c r="BM1970" i="4"/>
  <c r="BN2617" i="4"/>
  <c r="BM2617" i="4"/>
  <c r="BN2981" i="4"/>
  <c r="BM2981" i="4"/>
  <c r="BN3377" i="4"/>
  <c r="BM3377" i="4"/>
  <c r="BM243" i="4"/>
  <c r="BN243" i="4"/>
  <c r="BN750" i="4"/>
  <c r="BM750" i="4"/>
  <c r="BN1257" i="4"/>
  <c r="BM1257" i="4"/>
  <c r="BM1532" i="4"/>
  <c r="BN1532" i="4"/>
  <c r="BN1826" i="4"/>
  <c r="BM1826" i="4"/>
  <c r="BN2120" i="4"/>
  <c r="BM2120" i="4"/>
  <c r="BN2447" i="4"/>
  <c r="BM2447" i="4"/>
  <c r="BN2797" i="4"/>
  <c r="BM2797" i="4"/>
  <c r="BN1986" i="4"/>
  <c r="BM1986" i="4"/>
  <c r="BN2296" i="4"/>
  <c r="BM2296" i="4"/>
  <c r="BN2635" i="4"/>
  <c r="BM2635" i="4"/>
  <c r="BN3001" i="4"/>
  <c r="BM3001" i="4"/>
  <c r="BN1441" i="4"/>
  <c r="BM1441" i="4"/>
  <c r="BN2026" i="4"/>
  <c r="BM2026" i="4"/>
  <c r="BN1481" i="4"/>
  <c r="BM1481" i="4"/>
  <c r="BM2067" i="4"/>
  <c r="BN2067" i="4"/>
  <c r="BN2388" i="4"/>
  <c r="BM2388" i="4"/>
  <c r="BN2859" i="4"/>
  <c r="BM2859" i="4"/>
  <c r="BN3177" i="4"/>
  <c r="BM3177" i="4"/>
  <c r="BN3499" i="4"/>
  <c r="BM3499" i="4"/>
  <c r="BN2138" i="4"/>
  <c r="BM2138" i="4"/>
  <c r="BN2421" i="4"/>
  <c r="BM2421" i="4"/>
  <c r="BN2721" i="4"/>
  <c r="BM2721" i="4"/>
  <c r="BN3032" i="4"/>
  <c r="BM3032" i="4"/>
  <c r="BN3354" i="4"/>
  <c r="BM3354" i="4"/>
  <c r="BM187" i="4"/>
  <c r="BN187" i="4"/>
  <c r="BN429" i="4"/>
  <c r="BM429" i="4"/>
  <c r="BN671" i="4"/>
  <c r="BM671" i="4"/>
  <c r="BN913" i="4"/>
  <c r="BM913" i="4"/>
  <c r="BN1155" i="4"/>
  <c r="BM1155" i="4"/>
  <c r="BM1668" i="4"/>
  <c r="BN1668" i="4"/>
  <c r="BN2204" i="4"/>
  <c r="BM2204" i="4"/>
  <c r="BN2205" i="4"/>
  <c r="BM2205" i="4"/>
  <c r="BM3028" i="4"/>
  <c r="BN3028" i="4"/>
  <c r="BM2188" i="4"/>
  <c r="BN2188" i="4"/>
  <c r="BM2411" i="4"/>
  <c r="BN2411" i="4"/>
  <c r="BN2653" i="4"/>
  <c r="BM2653" i="4"/>
  <c r="BM2895" i="4"/>
  <c r="BN2895" i="4"/>
  <c r="BM3137" i="4"/>
  <c r="BN3137" i="4"/>
  <c r="BM3379" i="4"/>
  <c r="BN3379" i="4"/>
  <c r="BN3259" i="4"/>
  <c r="BM3259" i="4"/>
  <c r="BN1949" i="4"/>
  <c r="BM1949" i="4"/>
  <c r="BN1136" i="4"/>
  <c r="BM1136" i="4"/>
  <c r="BN2628" i="4"/>
  <c r="BM2628" i="4"/>
  <c r="BN2407" i="4"/>
  <c r="BM2407" i="4"/>
  <c r="BN367" i="4"/>
  <c r="BM367" i="4"/>
  <c r="BN2133" i="4"/>
  <c r="BM2133" i="4"/>
  <c r="BN1936" i="4"/>
  <c r="BM1936" i="4"/>
  <c r="BN207" i="4"/>
  <c r="BM207" i="4"/>
  <c r="BN1737" i="4"/>
  <c r="BM1737" i="4"/>
  <c r="BN2935" i="4"/>
  <c r="BM2935" i="4"/>
  <c r="BM1011" i="4"/>
  <c r="BN1011" i="4"/>
  <c r="BN529" i="4"/>
  <c r="BM529" i="4"/>
  <c r="BN2793" i="4"/>
  <c r="BM2793" i="4"/>
  <c r="BN958" i="4"/>
  <c r="BM958" i="4"/>
  <c r="BN491" i="4"/>
  <c r="BM491" i="4"/>
  <c r="BN102" i="4"/>
  <c r="BM102" i="4"/>
  <c r="BN1474" i="4"/>
  <c r="BM1474" i="4"/>
  <c r="BG762" i="4"/>
  <c r="BF762" i="4"/>
  <c r="BF526" i="4"/>
  <c r="BG526" i="4"/>
  <c r="BF1695" i="4"/>
  <c r="BG1695" i="4"/>
  <c r="BG3095" i="4"/>
  <c r="BF3095" i="4"/>
  <c r="BF379" i="4"/>
  <c r="BG379" i="4"/>
  <c r="BG3414" i="4"/>
  <c r="BF3414" i="4"/>
  <c r="BG5877" i="4"/>
  <c r="BF5877" i="4"/>
  <c r="BG5882" i="4"/>
  <c r="BF5882" i="4"/>
  <c r="BG2081" i="4"/>
  <c r="BF2081" i="4"/>
  <c r="BM1708" i="4"/>
  <c r="BN1708" i="4"/>
  <c r="BM125" i="4"/>
  <c r="BN125" i="4"/>
  <c r="BM2762" i="4"/>
  <c r="BN2762" i="4"/>
  <c r="BM93" i="4"/>
  <c r="BN93" i="4"/>
  <c r="BN1218" i="4"/>
  <c r="BM1218" i="4"/>
  <c r="BM1686" i="4"/>
  <c r="BN1686" i="4"/>
  <c r="BM2331" i="4"/>
  <c r="BN2331" i="4"/>
  <c r="BN3130" i="4"/>
  <c r="BM3130" i="4"/>
  <c r="BM392" i="4"/>
  <c r="BN392" i="4"/>
  <c r="BN2705" i="4"/>
  <c r="BM2705" i="4"/>
  <c r="BN699" i="4"/>
  <c r="BM699" i="4"/>
  <c r="BM1488" i="4"/>
  <c r="BN1488" i="4"/>
  <c r="BN2057" i="4"/>
  <c r="BM2057" i="4"/>
  <c r="BM2305" i="4"/>
  <c r="BN2305" i="4"/>
  <c r="BN3086" i="4"/>
  <c r="BM3086" i="4"/>
  <c r="BN382" i="4"/>
  <c r="BM382" i="4"/>
  <c r="BN659" i="4"/>
  <c r="BM659" i="4"/>
  <c r="BM999" i="4"/>
  <c r="BN999" i="4"/>
  <c r="BN1422" i="4"/>
  <c r="BM1422" i="4"/>
  <c r="BN2673" i="4"/>
  <c r="BM2673" i="4"/>
  <c r="BN3561" i="4"/>
  <c r="BM3561" i="4"/>
  <c r="BN497" i="4"/>
  <c r="BM497" i="4"/>
  <c r="BM789" i="4"/>
  <c r="BN789" i="4"/>
  <c r="BM1165" i="4"/>
  <c r="BN1165" i="4"/>
  <c r="BN2245" i="4"/>
  <c r="BM2245" i="4"/>
  <c r="BN3014" i="4"/>
  <c r="BM3014" i="4"/>
  <c r="BN96" i="4"/>
  <c r="BM96" i="4"/>
  <c r="BN360" i="4"/>
  <c r="BM360" i="4"/>
  <c r="BN636" i="4"/>
  <c r="BM636" i="4"/>
  <c r="BN1382" i="4"/>
  <c r="BM1382" i="4"/>
  <c r="BN1922" i="4"/>
  <c r="BM1922" i="4"/>
  <c r="BM3482" i="4"/>
  <c r="BN3482" i="4"/>
  <c r="BM498" i="4"/>
  <c r="BN498" i="4"/>
  <c r="BN790" i="4"/>
  <c r="BM790" i="4"/>
  <c r="BM1630" i="4"/>
  <c r="BN1630" i="4"/>
  <c r="BM2250" i="4"/>
  <c r="BN2250" i="4"/>
  <c r="BM97" i="4"/>
  <c r="BN97" i="4"/>
  <c r="BN361" i="4"/>
  <c r="BM361" i="4"/>
  <c r="BM637" i="4"/>
  <c r="BN637" i="4"/>
  <c r="BN1384" i="4"/>
  <c r="BM1384" i="4"/>
  <c r="BN2616" i="4"/>
  <c r="BM2616" i="4"/>
  <c r="BN3483" i="4"/>
  <c r="BM3483" i="4"/>
  <c r="BM1266" i="4"/>
  <c r="BN1266" i="4"/>
  <c r="BN2020" i="4"/>
  <c r="BM2020" i="4"/>
  <c r="BN2726" i="4"/>
  <c r="BM2726" i="4"/>
  <c r="BM3317" i="4"/>
  <c r="BN3317" i="4"/>
  <c r="BN920" i="4"/>
  <c r="BM920" i="4"/>
  <c r="BN1544" i="4"/>
  <c r="BM1544" i="4"/>
  <c r="BN1944" i="4"/>
  <c r="BM1944" i="4"/>
  <c r="BN2405" i="4"/>
  <c r="BM2405" i="4"/>
  <c r="BM3559" i="4"/>
  <c r="BN3559" i="4"/>
  <c r="BN1076" i="4"/>
  <c r="BM1076" i="4"/>
  <c r="BN1751" i="4"/>
  <c r="BM1751" i="4"/>
  <c r="BN2682" i="4"/>
  <c r="BM2682" i="4"/>
  <c r="BN808" i="4"/>
  <c r="BM808" i="4"/>
  <c r="BN1090" i="4"/>
  <c r="BM1090" i="4"/>
  <c r="BN1402" i="4"/>
  <c r="BM1402" i="4"/>
  <c r="BN1771" i="4"/>
  <c r="BM1771" i="4"/>
  <c r="BN2706" i="4"/>
  <c r="BM2706" i="4"/>
  <c r="BN3296" i="4"/>
  <c r="BM3296" i="4"/>
  <c r="BN810" i="4"/>
  <c r="BM810" i="4"/>
  <c r="BN1404" i="4"/>
  <c r="BM1404" i="4"/>
  <c r="BN1775" i="4"/>
  <c r="BM1775" i="4"/>
  <c r="BN2709" i="4"/>
  <c r="BM2709" i="4"/>
  <c r="BN3298" i="4"/>
  <c r="BM3298" i="4"/>
  <c r="BN824" i="4"/>
  <c r="BM824" i="4"/>
  <c r="BN1106" i="4"/>
  <c r="BM1106" i="4"/>
  <c r="BM1421" i="4"/>
  <c r="BN1421" i="4"/>
  <c r="BN2738" i="4"/>
  <c r="BM2738" i="4"/>
  <c r="BM3332" i="4"/>
  <c r="BN3332" i="4"/>
  <c r="BM2487" i="4"/>
  <c r="BN2487" i="4"/>
  <c r="BN2839" i="4"/>
  <c r="BM2839" i="4"/>
  <c r="BN2048" i="4"/>
  <c r="BM2048" i="4"/>
  <c r="BN2712" i="4"/>
  <c r="BM2712" i="4"/>
  <c r="BN3158" i="4"/>
  <c r="BM3158" i="4"/>
  <c r="BN1398" i="4"/>
  <c r="BM1398" i="4"/>
  <c r="BN1691" i="4"/>
  <c r="BM1691" i="4"/>
  <c r="BN2633" i="4"/>
  <c r="BM2633" i="4"/>
  <c r="BN2998" i="4"/>
  <c r="BM2998" i="4"/>
  <c r="BM3396" i="4"/>
  <c r="BN3396" i="4"/>
  <c r="BN508" i="4"/>
  <c r="BM508" i="4"/>
  <c r="BN1015" i="4"/>
  <c r="BM1015" i="4"/>
  <c r="BM1546" i="4"/>
  <c r="BN1546" i="4"/>
  <c r="BM1839" i="4"/>
  <c r="BN1839" i="4"/>
  <c r="BN2813" i="4"/>
  <c r="BM2813" i="4"/>
  <c r="BN2310" i="4"/>
  <c r="BM2310" i="4"/>
  <c r="BN1189" i="4"/>
  <c r="BM1189" i="4"/>
  <c r="BN1454" i="4"/>
  <c r="BM1454" i="4"/>
  <c r="BN1747" i="4"/>
  <c r="BM1747" i="4"/>
  <c r="BN2039" i="4"/>
  <c r="BM2039" i="4"/>
  <c r="BN2701" i="4"/>
  <c r="BM2701" i="4"/>
  <c r="BN3479" i="4"/>
  <c r="BM3479" i="4"/>
  <c r="BN1224" i="4"/>
  <c r="BM1224" i="4"/>
  <c r="BN1787" i="4"/>
  <c r="BM1787" i="4"/>
  <c r="BN2750" i="4"/>
  <c r="BM2750" i="4"/>
  <c r="BM3536" i="4"/>
  <c r="BN3536" i="4"/>
  <c r="BN3191" i="4"/>
  <c r="BM3191" i="4"/>
  <c r="BM3515" i="4"/>
  <c r="BN3515" i="4"/>
  <c r="BN2435" i="4"/>
  <c r="BM2435" i="4"/>
  <c r="BN3046" i="4"/>
  <c r="BM3046" i="4"/>
  <c r="BM3370" i="4"/>
  <c r="BN3370" i="4"/>
  <c r="BM198" i="4"/>
  <c r="BN198" i="4"/>
  <c r="BM440" i="4"/>
  <c r="BN440" i="4"/>
  <c r="BN682" i="4"/>
  <c r="BM682" i="4"/>
  <c r="BN924" i="4"/>
  <c r="BM924" i="4"/>
  <c r="BN1166" i="4"/>
  <c r="BM1166" i="4"/>
  <c r="BM1414" i="4"/>
  <c r="BN1414" i="4"/>
  <c r="BN2806" i="4"/>
  <c r="BM2806" i="4"/>
  <c r="BN2808" i="4"/>
  <c r="BM2808" i="4"/>
  <c r="BM3123" i="4"/>
  <c r="BN3123" i="4"/>
  <c r="BM3350" i="4"/>
  <c r="BN3350" i="4"/>
  <c r="BM2422" i="4"/>
  <c r="BN2422" i="4"/>
  <c r="BN2664" i="4"/>
  <c r="BM2664" i="4"/>
  <c r="BN2906" i="4"/>
  <c r="BM2906" i="4"/>
  <c r="BM3148" i="4"/>
  <c r="BN3148" i="4"/>
  <c r="BM3390" i="4"/>
  <c r="BN3390" i="4"/>
  <c r="BM1899" i="4"/>
  <c r="BN1899" i="4"/>
  <c r="BM591" i="4"/>
  <c r="BN591" i="4"/>
  <c r="BN194" i="4"/>
  <c r="BM194" i="4"/>
  <c r="BN2579" i="4"/>
  <c r="BM2579" i="4"/>
  <c r="BN766" i="4"/>
  <c r="BM766" i="4"/>
  <c r="BN351" i="4"/>
  <c r="BM351" i="4"/>
  <c r="BN2077" i="4"/>
  <c r="BM2077" i="4"/>
  <c r="BM664" i="4"/>
  <c r="BN664" i="4"/>
  <c r="BN1099" i="4"/>
  <c r="BM1099" i="4"/>
  <c r="BN588" i="4"/>
  <c r="BM588" i="4"/>
  <c r="BN1695" i="4"/>
  <c r="BM1695" i="4"/>
  <c r="BN989" i="4"/>
  <c r="BM989" i="4"/>
  <c r="BN513" i="4"/>
  <c r="BM513" i="4"/>
  <c r="BN2866" i="4"/>
  <c r="BM2866" i="4"/>
  <c r="BN988" i="4"/>
  <c r="BM988" i="4"/>
  <c r="BN120" i="4"/>
  <c r="BM120" i="4"/>
  <c r="BN2736" i="4"/>
  <c r="BM2736" i="4"/>
  <c r="BN1615" i="4"/>
  <c r="BM1615" i="4"/>
  <c r="BN475" i="4"/>
  <c r="BM475" i="4"/>
  <c r="BM88" i="4"/>
  <c r="BN88" i="4"/>
  <c r="BN2452" i="4"/>
  <c r="BM2452" i="4"/>
  <c r="BN1435" i="4"/>
  <c r="BM1435" i="4"/>
  <c r="BG1649" i="4"/>
  <c r="BF1649" i="4"/>
  <c r="BG863" i="4"/>
  <c r="BF863" i="4"/>
  <c r="BG229" i="4"/>
  <c r="BF229" i="4"/>
  <c r="BG1497" i="4"/>
  <c r="BF1497" i="4"/>
  <c r="BG736" i="4"/>
  <c r="BF736" i="4"/>
  <c r="BG2222" i="4"/>
  <c r="BF2222" i="4"/>
  <c r="BF10" i="4"/>
  <c r="BG10" i="4"/>
  <c r="BF3183" i="4"/>
  <c r="BG3183" i="4"/>
  <c r="BF1200" i="4"/>
  <c r="BG1200" i="4"/>
  <c r="BG1890" i="4"/>
  <c r="BF1890" i="4"/>
  <c r="BF384" i="4"/>
  <c r="BG384" i="4"/>
  <c r="BG4777" i="4"/>
  <c r="BF4777" i="4"/>
  <c r="BG920" i="4"/>
  <c r="BF920" i="4"/>
  <c r="BG4106" i="4"/>
  <c r="BF4106" i="4"/>
  <c r="BF2471" i="4"/>
  <c r="BG2471" i="4"/>
  <c r="BG793" i="4"/>
  <c r="BF793" i="4"/>
  <c r="BF165" i="4"/>
  <c r="BG165" i="4"/>
  <c r="BG1710" i="4"/>
  <c r="BF1710" i="4"/>
  <c r="BF2044" i="4"/>
  <c r="BG2044" i="4"/>
  <c r="BF2376" i="4"/>
  <c r="BG2376" i="4"/>
  <c r="BG2766" i="4"/>
  <c r="BF2766" i="4"/>
  <c r="BF3317" i="4"/>
  <c r="BG3317" i="4"/>
  <c r="BG4068" i="4"/>
  <c r="BF4068" i="4"/>
  <c r="BF5448" i="4"/>
  <c r="BG5448" i="4"/>
  <c r="BG80" i="4"/>
  <c r="BF80" i="4"/>
  <c r="BG322" i="4"/>
  <c r="BF322" i="4"/>
  <c r="BF564" i="4"/>
  <c r="BG564" i="4"/>
  <c r="BG810" i="4"/>
  <c r="BF810" i="4"/>
  <c r="BF1070" i="4"/>
  <c r="BG1070" i="4"/>
  <c r="BF1366" i="4"/>
  <c r="BG1366" i="4"/>
  <c r="BG1665" i="4"/>
  <c r="BF1665" i="4"/>
  <c r="BF3953" i="4"/>
  <c r="BG3953" i="4"/>
  <c r="BG5245" i="4"/>
  <c r="BF5245" i="4"/>
  <c r="BG112" i="4"/>
  <c r="BF112" i="4"/>
  <c r="BG983" i="4"/>
  <c r="BF983" i="4"/>
  <c r="BG1862" i="4"/>
  <c r="BF1862" i="4"/>
  <c r="BF2197" i="4"/>
  <c r="BG2197" i="4"/>
  <c r="BG2992" i="4"/>
  <c r="BF2992" i="4"/>
  <c r="BF125" i="4"/>
  <c r="BG125" i="4"/>
  <c r="BF367" i="4"/>
  <c r="BG367" i="4"/>
  <c r="BG609" i="4"/>
  <c r="BF609" i="4"/>
  <c r="BF1125" i="4"/>
  <c r="BG1125" i="4"/>
  <c r="BG1421" i="4"/>
  <c r="BF1421" i="4"/>
  <c r="BG4130" i="4"/>
  <c r="BF4130" i="4"/>
  <c r="BG5519" i="4"/>
  <c r="BF5519" i="4"/>
  <c r="BG1610" i="4"/>
  <c r="BF1610" i="4"/>
  <c r="BF1939" i="4"/>
  <c r="BG1939" i="4"/>
  <c r="BF2274" i="4"/>
  <c r="BG2274" i="4"/>
  <c r="BG2640" i="4"/>
  <c r="BF2640" i="4"/>
  <c r="BG3814" i="4"/>
  <c r="BF3814" i="4"/>
  <c r="BG5004" i="4"/>
  <c r="BF5004" i="4"/>
  <c r="BG1829" i="4"/>
  <c r="BF1829" i="4"/>
  <c r="BG4067" i="4"/>
  <c r="BF4067" i="4"/>
  <c r="BG255" i="4"/>
  <c r="BF255" i="4"/>
  <c r="BF1123" i="4"/>
  <c r="BG1123" i="4"/>
  <c r="BG4780" i="4"/>
  <c r="BF4780" i="4"/>
  <c r="BF148" i="4"/>
  <c r="BG148" i="4"/>
  <c r="BG390" i="4"/>
  <c r="BF390" i="4"/>
  <c r="BF632" i="4"/>
  <c r="BG632" i="4"/>
  <c r="BG1154" i="4"/>
  <c r="BF1154" i="4"/>
  <c r="BG1450" i="4"/>
  <c r="BF1450" i="4"/>
  <c r="BF2834" i="4"/>
  <c r="BG2834" i="4"/>
  <c r="BG3420" i="4"/>
  <c r="BF3420" i="4"/>
  <c r="BG5700" i="4"/>
  <c r="BF5700" i="4"/>
  <c r="BG882" i="4"/>
  <c r="BF882" i="4"/>
  <c r="BG1760" i="4"/>
  <c r="BF1760" i="4"/>
  <c r="BG2092" i="4"/>
  <c r="BF2092" i="4"/>
  <c r="BF2428" i="4"/>
  <c r="BG2428" i="4"/>
  <c r="BF3421" i="4"/>
  <c r="BG3421" i="4"/>
  <c r="BF149" i="4"/>
  <c r="BG149" i="4"/>
  <c r="BG391" i="4"/>
  <c r="BF391" i="4"/>
  <c r="BG633" i="4"/>
  <c r="BF633" i="4"/>
  <c r="BG1155" i="4"/>
  <c r="BF1155" i="4"/>
  <c r="BG1451" i="4"/>
  <c r="BF1451" i="4"/>
  <c r="BG2835" i="4"/>
  <c r="BF2835" i="4"/>
  <c r="BG4242" i="4"/>
  <c r="BF4242" i="4"/>
  <c r="BG5701" i="4"/>
  <c r="BF5701" i="4"/>
  <c r="BF1716" i="4"/>
  <c r="BG1716" i="4"/>
  <c r="BG2048" i="4"/>
  <c r="BF2048" i="4"/>
  <c r="BG2381" i="4"/>
  <c r="BF2381" i="4"/>
  <c r="BF2775" i="4"/>
  <c r="BG2775" i="4"/>
  <c r="BF5461" i="4"/>
  <c r="BG5461" i="4"/>
  <c r="BF51" i="4"/>
  <c r="BG51" i="4"/>
  <c r="BG293" i="4"/>
  <c r="BF293" i="4"/>
  <c r="BG535" i="4"/>
  <c r="BF535" i="4"/>
  <c r="BF780" i="4"/>
  <c r="BG780" i="4"/>
  <c r="BF1037" i="4"/>
  <c r="BG1037" i="4"/>
  <c r="BG1331" i="4"/>
  <c r="BF1331" i="4"/>
  <c r="BF3152" i="4"/>
  <c r="BG3152" i="4"/>
  <c r="BG3858" i="4"/>
  <c r="BF3858" i="4"/>
  <c r="BG5072" i="4"/>
  <c r="BF5072" i="4"/>
  <c r="BF971" i="4"/>
  <c r="BG971" i="4"/>
  <c r="BG1838" i="4"/>
  <c r="BF1838" i="4"/>
  <c r="BG2170" i="4"/>
  <c r="BF2170" i="4"/>
  <c r="BG2953" i="4"/>
  <c r="BF2953" i="4"/>
  <c r="BG1922" i="4"/>
  <c r="BF1922" i="4"/>
  <c r="BG2744" i="4"/>
  <c r="BF2744" i="4"/>
  <c r="BG4345" i="4"/>
  <c r="BF4345" i="4"/>
  <c r="BG343" i="4"/>
  <c r="BF343" i="4"/>
  <c r="BG1136" i="4"/>
  <c r="BF1136" i="4"/>
  <c r="BG2872" i="4"/>
  <c r="BF2872" i="4"/>
  <c r="BG162" i="4"/>
  <c r="BF162" i="4"/>
  <c r="BG404" i="4"/>
  <c r="BF404" i="4"/>
  <c r="BF646" i="4"/>
  <c r="BG646" i="4"/>
  <c r="BG896" i="4"/>
  <c r="BF896" i="4"/>
  <c r="BG1170" i="4"/>
  <c r="BF1170" i="4"/>
  <c r="BG1466" i="4"/>
  <c r="BF1466" i="4"/>
  <c r="BG2861" i="4"/>
  <c r="BF2861" i="4"/>
  <c r="BG5793" i="4"/>
  <c r="BF5793" i="4"/>
  <c r="BG2549" i="4"/>
  <c r="BF2549" i="4"/>
  <c r="BG3412" i="4"/>
  <c r="BF3412" i="4"/>
  <c r="BF4217" i="4"/>
  <c r="BG4217" i="4"/>
  <c r="BG5493" i="4"/>
  <c r="BF5493" i="4"/>
  <c r="BG3015" i="4"/>
  <c r="BF3015" i="4"/>
  <c r="BG4095" i="4"/>
  <c r="BF4095" i="4"/>
  <c r="BG5348" i="4"/>
  <c r="BF5348" i="4"/>
  <c r="BG3958" i="4"/>
  <c r="BF3958" i="4"/>
  <c r="BF5139" i="4"/>
  <c r="BG5139" i="4"/>
  <c r="BG5886" i="4"/>
  <c r="BF5886" i="4"/>
  <c r="BG1797" i="4"/>
  <c r="BF1797" i="4"/>
  <c r="BG2039" i="4"/>
  <c r="BF2039" i="4"/>
  <c r="BG2281" i="4"/>
  <c r="BF2281" i="4"/>
  <c r="BF2781" i="4"/>
  <c r="BG2781" i="4"/>
  <c r="BG4167" i="4"/>
  <c r="BF4167" i="4"/>
  <c r="BG2563" i="4"/>
  <c r="BF2563" i="4"/>
  <c r="BF3102" i="4"/>
  <c r="BG3102" i="4"/>
  <c r="BG3792" i="4"/>
  <c r="BF3792" i="4"/>
  <c r="BF4245" i="4"/>
  <c r="BG4245" i="4"/>
  <c r="BG4882" i="4"/>
  <c r="BF4882" i="4"/>
  <c r="BG5536" i="4"/>
  <c r="BF5536" i="4"/>
  <c r="BF3541" i="4"/>
  <c r="BG3541" i="4"/>
  <c r="BG4447" i="4"/>
  <c r="BF4447" i="4"/>
  <c r="BG2903" i="4"/>
  <c r="BF2903" i="4"/>
  <c r="BF3204" i="4"/>
  <c r="BG3204" i="4"/>
  <c r="BG3542" i="4"/>
  <c r="BF3542" i="4"/>
  <c r="BG3924" i="4"/>
  <c r="BF3924" i="4"/>
  <c r="BG5085" i="4"/>
  <c r="BF5085" i="4"/>
  <c r="BG5810" i="4"/>
  <c r="BF5810" i="4"/>
  <c r="BG1161" i="4"/>
  <c r="BF1161" i="4"/>
  <c r="BG1403" i="4"/>
  <c r="BF1403" i="4"/>
  <c r="BG1645" i="4"/>
  <c r="BF1645" i="4"/>
  <c r="BF1887" i="4"/>
  <c r="BG1887" i="4"/>
  <c r="BG2129" i="4"/>
  <c r="BF2129" i="4"/>
  <c r="BG2371" i="4"/>
  <c r="BF2371" i="4"/>
  <c r="BG2622" i="4"/>
  <c r="BF2622" i="4"/>
  <c r="BG2878" i="4"/>
  <c r="BF2878" i="4"/>
  <c r="BG3174" i="4"/>
  <c r="BF3174" i="4"/>
  <c r="BG5031" i="4"/>
  <c r="BF5031" i="4"/>
  <c r="BG4334" i="4"/>
  <c r="BF4334" i="4"/>
  <c r="BG1019" i="4"/>
  <c r="BF1019" i="4"/>
  <c r="BG1261" i="4"/>
  <c r="BF1261" i="4"/>
  <c r="BF1503" i="4"/>
  <c r="BG1503" i="4"/>
  <c r="BG1745" i="4"/>
  <c r="BF1745" i="4"/>
  <c r="BG1987" i="4"/>
  <c r="BF1987" i="4"/>
  <c r="BG2229" i="4"/>
  <c r="BF2229" i="4"/>
  <c r="BG2473" i="4"/>
  <c r="BF2473" i="4"/>
  <c r="BF2994" i="4"/>
  <c r="BG2994" i="4"/>
  <c r="BG3656" i="4"/>
  <c r="BF3656" i="4"/>
  <c r="BG5650" i="4"/>
  <c r="BF5650" i="4"/>
  <c r="BF4540" i="4"/>
  <c r="BG4540" i="4"/>
  <c r="BG3043" i="4"/>
  <c r="BF3043" i="4"/>
  <c r="BG3285" i="4"/>
  <c r="BF3285" i="4"/>
  <c r="BG3527" i="4"/>
  <c r="BF3527" i="4"/>
  <c r="BG3777" i="4"/>
  <c r="BF3777" i="4"/>
  <c r="BG4621" i="4"/>
  <c r="BF4621" i="4"/>
  <c r="BG4915" i="4"/>
  <c r="BF4915" i="4"/>
  <c r="BG5208" i="4"/>
  <c r="BF5208" i="4"/>
  <c r="BG5892" i="4"/>
  <c r="BF5892" i="4"/>
  <c r="BG3693" i="4"/>
  <c r="BF3693" i="4"/>
  <c r="BF3968" i="4"/>
  <c r="BG3968" i="4"/>
  <c r="BF4249" i="4"/>
  <c r="BG4249" i="4"/>
  <c r="BG5409" i="4"/>
  <c r="BF5409" i="4"/>
  <c r="BF3330" i="4"/>
  <c r="BG3330" i="4"/>
  <c r="BF3572" i="4"/>
  <c r="BG3572" i="4"/>
  <c r="BG3828" i="4"/>
  <c r="BF3828" i="4"/>
  <c r="BF4109" i="4"/>
  <c r="BG4109" i="4"/>
  <c r="BG4676" i="4"/>
  <c r="BF4676" i="4"/>
  <c r="BG5263" i="4"/>
  <c r="BF5263" i="4"/>
  <c r="BG5571" i="4"/>
  <c r="BF5571" i="4"/>
  <c r="BG5968" i="4"/>
  <c r="BF5968" i="4"/>
  <c r="BG4389" i="4"/>
  <c r="BF4389" i="4"/>
  <c r="BG4969" i="4"/>
  <c r="BF4969" i="4"/>
  <c r="BF3045" i="4"/>
  <c r="BG3045" i="4"/>
  <c r="BG3287" i="4"/>
  <c r="BF3287" i="4"/>
  <c r="BG3529" i="4"/>
  <c r="BF3529" i="4"/>
  <c r="BG3779" i="4"/>
  <c r="BF3779" i="4"/>
  <c r="BF4623" i="4"/>
  <c r="BG4623" i="4"/>
  <c r="BG5210" i="4"/>
  <c r="BF5210" i="4"/>
  <c r="BG5513" i="4"/>
  <c r="BF5513" i="4"/>
  <c r="BG4301" i="4"/>
  <c r="BF4301" i="4"/>
  <c r="BG4584" i="4"/>
  <c r="BF4584" i="4"/>
  <c r="BG4877" i="4"/>
  <c r="BF4877" i="4"/>
  <c r="BG5842" i="4"/>
  <c r="BF5842" i="4"/>
  <c r="BG4239" i="4"/>
  <c r="BF4239" i="4"/>
  <c r="BF4812" i="4"/>
  <c r="BG4812" i="4"/>
  <c r="BG5105" i="4"/>
  <c r="BF5105" i="4"/>
  <c r="BF5399" i="4"/>
  <c r="BG5399" i="4"/>
  <c r="BG5750" i="4"/>
  <c r="BF5750" i="4"/>
  <c r="BG4341" i="4"/>
  <c r="BF4341" i="4"/>
  <c r="BG4919" i="4"/>
  <c r="BF4919" i="4"/>
  <c r="BG4746" i="4"/>
  <c r="BF4746" i="4"/>
  <c r="BG5039" i="4"/>
  <c r="BF5039" i="4"/>
  <c r="BF5333" i="4"/>
  <c r="BG5333" i="4"/>
  <c r="BG5660" i="4"/>
  <c r="BF5660" i="4"/>
  <c r="BG4495" i="4"/>
  <c r="BF4495" i="4"/>
  <c r="BF4787" i="4"/>
  <c r="BG4787" i="4"/>
  <c r="BG5080" i="4"/>
  <c r="BF5080" i="4"/>
  <c r="BG5373" i="4"/>
  <c r="BF5373" i="4"/>
  <c r="BG3136" i="4"/>
  <c r="BF3136" i="4"/>
  <c r="BF3378" i="4"/>
  <c r="BG3378" i="4"/>
  <c r="BF3620" i="4"/>
  <c r="BG3620" i="4"/>
  <c r="BG4444" i="4"/>
  <c r="BF4444" i="4"/>
  <c r="BG4734" i="4"/>
  <c r="BF4734" i="4"/>
  <c r="BG5321" i="4"/>
  <c r="BF5321" i="4"/>
  <c r="BG5783" i="4"/>
  <c r="BF5783" i="4"/>
  <c r="BF4567" i="4"/>
  <c r="BG4567" i="4"/>
  <c r="BG5074" i="4"/>
  <c r="BF5074" i="4"/>
  <c r="BG5601" i="4"/>
  <c r="BF5601" i="4"/>
  <c r="BG5897" i="4"/>
  <c r="BF5897" i="4"/>
  <c r="BG3884" i="4"/>
  <c r="BF3884" i="4"/>
  <c r="BG4126" i="4"/>
  <c r="BF4126" i="4"/>
  <c r="BG4368" i="4"/>
  <c r="BF4368" i="4"/>
  <c r="BG4867" i="4"/>
  <c r="BF4867" i="4"/>
  <c r="BF5374" i="4"/>
  <c r="BG5374" i="4"/>
  <c r="BG3852" i="4"/>
  <c r="BF3852" i="4"/>
  <c r="BG4094" i="4"/>
  <c r="BF4094" i="4"/>
  <c r="BF4336" i="4"/>
  <c r="BG4336" i="4"/>
  <c r="BG4580" i="4"/>
  <c r="BF4580" i="4"/>
  <c r="BG5087" i="4"/>
  <c r="BF5087" i="4"/>
  <c r="BG5532" i="4"/>
  <c r="BF5532" i="4"/>
  <c r="BG5774" i="4"/>
  <c r="BF5774" i="4"/>
  <c r="BF6016" i="4"/>
  <c r="BG6016" i="4"/>
  <c r="BG4609" i="4"/>
  <c r="BF4609" i="4"/>
  <c r="BG4851" i="4"/>
  <c r="BF4851" i="4"/>
  <c r="BG5093" i="4"/>
  <c r="BF5093" i="4"/>
  <c r="BG5335" i="4"/>
  <c r="BF5335" i="4"/>
  <c r="BG5577" i="4"/>
  <c r="BF5577" i="4"/>
  <c r="BG5819" i="4"/>
  <c r="BF5819" i="4"/>
  <c r="BG5284" i="4"/>
  <c r="BF5284" i="4"/>
  <c r="BF2824" i="4"/>
  <c r="BG2824" i="4"/>
  <c r="BF1015" i="4"/>
  <c r="BG1015" i="4"/>
  <c r="BG352" i="4"/>
  <c r="BF352" i="4"/>
  <c r="BG2575" i="4"/>
  <c r="BF2575" i="4"/>
  <c r="BG1444" i="4"/>
  <c r="BF1444" i="4"/>
  <c r="BG692" i="4"/>
  <c r="BF692" i="4"/>
  <c r="BG3315" i="4"/>
  <c r="BF3315" i="4"/>
  <c r="BG2128" i="4"/>
  <c r="BF2128" i="4"/>
  <c r="BG3138" i="4"/>
  <c r="BF3138" i="4"/>
  <c r="BF2037" i="4"/>
  <c r="BG2037" i="4"/>
  <c r="BN3109" i="4"/>
  <c r="BM3109" i="4"/>
  <c r="BG4551" i="4"/>
  <c r="BF4551" i="4"/>
  <c r="BG2416" i="4"/>
  <c r="BF2416" i="4"/>
  <c r="BG4518" i="4"/>
  <c r="BF4518" i="4"/>
  <c r="BG4776" i="4"/>
  <c r="BF4776" i="4"/>
  <c r="BN645" i="4"/>
  <c r="BM645" i="4"/>
  <c r="BN52" i="4"/>
  <c r="BM52" i="4"/>
  <c r="BN1696" i="4"/>
  <c r="BM1696" i="4"/>
  <c r="BN2306" i="4"/>
  <c r="BM2306" i="4"/>
  <c r="BN2588" i="4"/>
  <c r="BM2588" i="4"/>
  <c r="BF7" i="4"/>
  <c r="BG7" i="4"/>
  <c r="BG3728" i="4"/>
  <c r="BF3728" i="4"/>
  <c r="BG4010" i="4"/>
  <c r="BF4010" i="4"/>
  <c r="BN2969" i="4"/>
  <c r="BM2969" i="4"/>
  <c r="BG2003" i="4"/>
  <c r="BF2003" i="4"/>
  <c r="BN295" i="4"/>
  <c r="BM295" i="4"/>
  <c r="BG4539" i="4"/>
  <c r="BF4539" i="4"/>
  <c r="BG4789" i="4"/>
  <c r="BF4789" i="4"/>
  <c r="BG3756" i="4"/>
  <c r="BF3756" i="4"/>
  <c r="BG5184" i="4"/>
  <c r="BF5184" i="4"/>
  <c r="BG5307" i="4"/>
  <c r="BF5307" i="4"/>
  <c r="BF5757" i="4"/>
  <c r="BG5757" i="4"/>
  <c r="BG3862" i="4"/>
  <c r="BF3862" i="4"/>
  <c r="BG5313" i="4"/>
  <c r="BF5313" i="4"/>
  <c r="BM538" i="4"/>
  <c r="BN538" i="4"/>
  <c r="BN380" i="4"/>
  <c r="BM380" i="4"/>
  <c r="BM348" i="4"/>
  <c r="BN348" i="4"/>
  <c r="BN1731" i="4"/>
  <c r="BM1731" i="4"/>
  <c r="BN2215" i="4"/>
  <c r="BM2215" i="4"/>
  <c r="BN3111" i="4"/>
  <c r="BM3111" i="4"/>
  <c r="BF1692" i="4"/>
  <c r="BG1692" i="4"/>
  <c r="BG253" i="4"/>
  <c r="BF253" i="4"/>
  <c r="BG4011" i="4"/>
  <c r="BF4011" i="4"/>
  <c r="BG1537" i="4"/>
  <c r="BF1537" i="4"/>
  <c r="BG3614" i="4"/>
  <c r="BF3614" i="4"/>
  <c r="BG2266" i="4"/>
  <c r="BF2266" i="4"/>
  <c r="BG34" i="4"/>
  <c r="BF34" i="4"/>
  <c r="BG3256" i="4"/>
  <c r="BF3256" i="4"/>
  <c r="BF1240" i="4"/>
  <c r="BG1240" i="4"/>
  <c r="BG2961" i="4"/>
  <c r="BF2961" i="4"/>
  <c r="BF408" i="4"/>
  <c r="BG408" i="4"/>
  <c r="BF1604" i="4"/>
  <c r="BG1604" i="4"/>
  <c r="BG819" i="4"/>
  <c r="BF819" i="4"/>
  <c r="BG833" i="4"/>
  <c r="BF833" i="4"/>
  <c r="BG2027" i="4"/>
  <c r="BF2027" i="4"/>
  <c r="BF2362" i="4"/>
  <c r="BG2362" i="4"/>
  <c r="BG3288" i="4"/>
  <c r="BF3288" i="4"/>
  <c r="BG69" i="4"/>
  <c r="BF69" i="4"/>
  <c r="BG311" i="4"/>
  <c r="BF311" i="4"/>
  <c r="BG553" i="4"/>
  <c r="BF553" i="4"/>
  <c r="BG1057" i="4"/>
  <c r="BF1057" i="4"/>
  <c r="BG1353" i="4"/>
  <c r="BF1353" i="4"/>
  <c r="BG5188" i="4"/>
  <c r="BF5188" i="4"/>
  <c r="BG57" i="4"/>
  <c r="BF57" i="4"/>
  <c r="BG936" i="4"/>
  <c r="BF936" i="4"/>
  <c r="BG4114" i="4"/>
  <c r="BF4114" i="4"/>
  <c r="BF949" i="4"/>
  <c r="BG949" i="4"/>
  <c r="BG1848" i="4"/>
  <c r="BF1848" i="4"/>
  <c r="BG2180" i="4"/>
  <c r="BF2180" i="4"/>
  <c r="BG2532" i="4"/>
  <c r="BF2532" i="4"/>
  <c r="BG3600" i="4"/>
  <c r="BF3600" i="4"/>
  <c r="BG4604" i="4"/>
  <c r="BF4604" i="4"/>
  <c r="BF114" i="4"/>
  <c r="BG114" i="4"/>
  <c r="BF356" i="4"/>
  <c r="BG356" i="4"/>
  <c r="BG598" i="4"/>
  <c r="BF598" i="4"/>
  <c r="BG846" i="4"/>
  <c r="BF846" i="4"/>
  <c r="BF1112" i="4"/>
  <c r="BG1112" i="4"/>
  <c r="BG1408" i="4"/>
  <c r="BF1408" i="4"/>
  <c r="BG4075" i="4"/>
  <c r="BF4075" i="4"/>
  <c r="BG754" i="4"/>
  <c r="BF754" i="4"/>
  <c r="BG1925" i="4"/>
  <c r="BF1925" i="4"/>
  <c r="BG2257" i="4"/>
  <c r="BF2257" i="4"/>
  <c r="BG2624" i="4"/>
  <c r="BF2624" i="4"/>
  <c r="BG1801" i="4"/>
  <c r="BF1801" i="4"/>
  <c r="BG211" i="4"/>
  <c r="BF211" i="4"/>
  <c r="BF1082" i="4"/>
  <c r="BG1082" i="4"/>
  <c r="BG2849" i="4"/>
  <c r="BF2849" i="4"/>
  <c r="BF4658" i="4"/>
  <c r="BG4658" i="4"/>
  <c r="BF137" i="4"/>
  <c r="BG137" i="4"/>
  <c r="BG621" i="4"/>
  <c r="BF621" i="4"/>
  <c r="BF870" i="4"/>
  <c r="BG870" i="4"/>
  <c r="BG1141" i="4"/>
  <c r="BF1141" i="4"/>
  <c r="BG1435" i="4"/>
  <c r="BF1435" i="4"/>
  <c r="BG3390" i="4"/>
  <c r="BF3390" i="4"/>
  <c r="BG4180" i="4"/>
  <c r="BF4180" i="4"/>
  <c r="BG5595" i="4"/>
  <c r="BF5595" i="4"/>
  <c r="BG1746" i="4"/>
  <c r="BF1746" i="4"/>
  <c r="BG2078" i="4"/>
  <c r="BF2078" i="4"/>
  <c r="BF2410" i="4"/>
  <c r="BG2410" i="4"/>
  <c r="BG2812" i="4"/>
  <c r="BF2812" i="4"/>
  <c r="BG5616" i="4"/>
  <c r="BF5616" i="4"/>
  <c r="BG138" i="4"/>
  <c r="BF138" i="4"/>
  <c r="BG380" i="4"/>
  <c r="BF380" i="4"/>
  <c r="BG622" i="4"/>
  <c r="BF622" i="4"/>
  <c r="BG871" i="4"/>
  <c r="BF871" i="4"/>
  <c r="BG1142" i="4"/>
  <c r="BF1142" i="4"/>
  <c r="BG1438" i="4"/>
  <c r="BF1438" i="4"/>
  <c r="BG3391" i="4"/>
  <c r="BF3391" i="4"/>
  <c r="BG837" i="4"/>
  <c r="BF837" i="4"/>
  <c r="BF1702" i="4"/>
  <c r="BG1702" i="4"/>
  <c r="BF2034" i="4"/>
  <c r="BG2034" i="4"/>
  <c r="BF2366" i="4"/>
  <c r="BG2366" i="4"/>
  <c r="BG2754" i="4"/>
  <c r="BF2754" i="4"/>
  <c r="BG5393" i="4"/>
  <c r="BF5393" i="4"/>
  <c r="BF40" i="4"/>
  <c r="BG40" i="4"/>
  <c r="BF282" i="4"/>
  <c r="BG282" i="4"/>
  <c r="BF524" i="4"/>
  <c r="BG524" i="4"/>
  <c r="BG1025" i="4"/>
  <c r="BF1025" i="4"/>
  <c r="BG1318" i="4"/>
  <c r="BF1318" i="4"/>
  <c r="BF1615" i="4"/>
  <c r="BG1615" i="4"/>
  <c r="BG3126" i="4"/>
  <c r="BF3126" i="4"/>
  <c r="BF530" i="4"/>
  <c r="BG530" i="4"/>
  <c r="BF930" i="4"/>
  <c r="BG930" i="4"/>
  <c r="BF1824" i="4"/>
  <c r="BG1824" i="4"/>
  <c r="BG2156" i="4"/>
  <c r="BF2156" i="4"/>
  <c r="BG3548" i="4"/>
  <c r="BF3548" i="4"/>
  <c r="BG1875" i="4"/>
  <c r="BF1875" i="4"/>
  <c r="BF2708" i="4"/>
  <c r="BG2708" i="4"/>
  <c r="BF4230" i="4"/>
  <c r="BG4230" i="4"/>
  <c r="BG299" i="4"/>
  <c r="BF299" i="4"/>
  <c r="BG1097" i="4"/>
  <c r="BF1097" i="4"/>
  <c r="BG4859" i="4"/>
  <c r="BF4859" i="4"/>
  <c r="BF151" i="4"/>
  <c r="BG151" i="4"/>
  <c r="BG393" i="4"/>
  <c r="BF393" i="4"/>
  <c r="BG635" i="4"/>
  <c r="BF635" i="4"/>
  <c r="BF1157" i="4"/>
  <c r="BG1157" i="4"/>
  <c r="BF1453" i="4"/>
  <c r="BG1453" i="4"/>
  <c r="BF2431" i="4"/>
  <c r="BG2431" i="4"/>
  <c r="BG2838" i="4"/>
  <c r="BF2838" i="4"/>
  <c r="BF3424" i="4"/>
  <c r="BG3424" i="4"/>
  <c r="BG5704" i="4"/>
  <c r="BF5704" i="4"/>
  <c r="BG4496" i="4"/>
  <c r="BF4496" i="4"/>
  <c r="BF5872" i="4"/>
  <c r="BG5872" i="4"/>
  <c r="BG2791" i="4"/>
  <c r="BF2791" i="4"/>
  <c r="BG3071" i="4"/>
  <c r="BF3071" i="4"/>
  <c r="BG4816" i="4"/>
  <c r="BF4816" i="4"/>
  <c r="BG2734" i="4"/>
  <c r="BF2734" i="4"/>
  <c r="BG3002" i="4"/>
  <c r="BF3002" i="4"/>
  <c r="BG3322" i="4"/>
  <c r="BF3322" i="4"/>
  <c r="BG2654" i="4"/>
  <c r="BF2654" i="4"/>
  <c r="BG3216" i="4"/>
  <c r="BF3216" i="4"/>
  <c r="BG3555" i="4"/>
  <c r="BF3555" i="4"/>
  <c r="BG3938" i="4"/>
  <c r="BF3938" i="4"/>
  <c r="BG5835" i="4"/>
  <c r="BF5835" i="4"/>
  <c r="BG1786" i="4"/>
  <c r="BF1786" i="4"/>
  <c r="BG2028" i="4"/>
  <c r="BF2028" i="4"/>
  <c r="BG2270" i="4"/>
  <c r="BF2270" i="4"/>
  <c r="BG2516" i="4"/>
  <c r="BF2516" i="4"/>
  <c r="BG4143" i="4"/>
  <c r="BF4143" i="4"/>
  <c r="BG5405" i="4"/>
  <c r="BF5405" i="4"/>
  <c r="BG2551" i="4"/>
  <c r="BF2551" i="4"/>
  <c r="BF2805" i="4"/>
  <c r="BG2805" i="4"/>
  <c r="BF4219" i="4"/>
  <c r="BG4219" i="4"/>
  <c r="BF4847" i="4"/>
  <c r="BG4847" i="4"/>
  <c r="BG5504" i="4"/>
  <c r="BF5504" i="4"/>
  <c r="BG3524" i="4"/>
  <c r="BF3524" i="4"/>
  <c r="BG5057" i="4"/>
  <c r="BF5057" i="4"/>
  <c r="BG5760" i="4"/>
  <c r="BF5760" i="4"/>
  <c r="BG2890" i="4"/>
  <c r="BF2890" i="4"/>
  <c r="BG3189" i="4"/>
  <c r="BF3189" i="4"/>
  <c r="BG3903" i="4"/>
  <c r="BF3903" i="4"/>
  <c r="BG4420" i="4"/>
  <c r="BF4420" i="4"/>
  <c r="BG1150" i="4"/>
  <c r="BF1150" i="4"/>
  <c r="BG1392" i="4"/>
  <c r="BF1392" i="4"/>
  <c r="BG1634" i="4"/>
  <c r="BF1634" i="4"/>
  <c r="BG1876" i="4"/>
  <c r="BF1876" i="4"/>
  <c r="BG2118" i="4"/>
  <c r="BF2118" i="4"/>
  <c r="BG2360" i="4"/>
  <c r="BF2360" i="4"/>
  <c r="BF2866" i="4"/>
  <c r="BG2866" i="4"/>
  <c r="BG3869" i="4"/>
  <c r="BF3869" i="4"/>
  <c r="BG4361" i="4"/>
  <c r="BF4361" i="4"/>
  <c r="BG5002" i="4"/>
  <c r="BF5002" i="4"/>
  <c r="BF5685" i="4"/>
  <c r="BG5685" i="4"/>
  <c r="BG2588" i="4"/>
  <c r="BF2588" i="4"/>
  <c r="BF3132" i="4"/>
  <c r="BG3132" i="4"/>
  <c r="BG3833" i="4"/>
  <c r="BF3833" i="4"/>
  <c r="BF4308" i="4"/>
  <c r="BG4308" i="4"/>
  <c r="BG5613" i="4"/>
  <c r="BF5613" i="4"/>
  <c r="BG1008" i="4"/>
  <c r="BF1008" i="4"/>
  <c r="BG1250" i="4"/>
  <c r="BF1250" i="4"/>
  <c r="BF1492" i="4"/>
  <c r="BG1492" i="4"/>
  <c r="BG1734" i="4"/>
  <c r="BF1734" i="4"/>
  <c r="BG1976" i="4"/>
  <c r="BF1976" i="4"/>
  <c r="BG2218" i="4"/>
  <c r="BF2218" i="4"/>
  <c r="BG2715" i="4"/>
  <c r="BF2715" i="4"/>
  <c r="BF3641" i="4"/>
  <c r="BG3641" i="4"/>
  <c r="BG4619" i="4"/>
  <c r="BF4619" i="4"/>
  <c r="BG2589" i="4"/>
  <c r="BF2589" i="4"/>
  <c r="BF3134" i="4"/>
  <c r="BG3134" i="4"/>
  <c r="BG3464" i="4"/>
  <c r="BF3464" i="4"/>
  <c r="BG4309" i="4"/>
  <c r="BF4309" i="4"/>
  <c r="BG4949" i="4"/>
  <c r="BF4949" i="4"/>
  <c r="BF5615" i="4"/>
  <c r="BG5615" i="4"/>
  <c r="BG4820" i="4"/>
  <c r="BF4820" i="4"/>
  <c r="BG5114" i="4"/>
  <c r="BF5114" i="4"/>
  <c r="BF5407" i="4"/>
  <c r="BG5407" i="4"/>
  <c r="BF3032" i="4"/>
  <c r="BG3032" i="4"/>
  <c r="BG3274" i="4"/>
  <c r="BF3274" i="4"/>
  <c r="BG3516" i="4"/>
  <c r="BF3516" i="4"/>
  <c r="BG3765" i="4"/>
  <c r="BF3765" i="4"/>
  <c r="BG4044" i="4"/>
  <c r="BF4044" i="4"/>
  <c r="BG5195" i="4"/>
  <c r="BF5195" i="4"/>
  <c r="BG5494" i="4"/>
  <c r="BF5494" i="4"/>
  <c r="BF5875" i="4"/>
  <c r="BG5875" i="4"/>
  <c r="BG4235" i="4"/>
  <c r="BF4235" i="4"/>
  <c r="BF4516" i="4"/>
  <c r="BG4516" i="4"/>
  <c r="BG4808" i="4"/>
  <c r="BF4808" i="4"/>
  <c r="BG5102" i="4"/>
  <c r="BF5102" i="4"/>
  <c r="BF5395" i="4"/>
  <c r="BG5395" i="4"/>
  <c r="BF3319" i="4"/>
  <c r="BG3319" i="4"/>
  <c r="BF3561" i="4"/>
  <c r="BG3561" i="4"/>
  <c r="BG4376" i="4"/>
  <c r="BF4376" i="4"/>
  <c r="BG5250" i="4"/>
  <c r="BF5250" i="4"/>
  <c r="BG5949" i="4"/>
  <c r="BF5949" i="4"/>
  <c r="BG3816" i="4"/>
  <c r="BF3816" i="4"/>
  <c r="BG4097" i="4"/>
  <c r="BF4097" i="4"/>
  <c r="BG4663" i="4"/>
  <c r="BF4663" i="4"/>
  <c r="BG4956" i="4"/>
  <c r="BF4956" i="4"/>
  <c r="BG5557" i="4"/>
  <c r="BF5557" i="4"/>
  <c r="BF5952" i="4"/>
  <c r="BG5952" i="4"/>
  <c r="BF3034" i="4"/>
  <c r="BG3034" i="4"/>
  <c r="BF3276" i="4"/>
  <c r="BG3276" i="4"/>
  <c r="BF3518" i="4"/>
  <c r="BG3518" i="4"/>
  <c r="BG3767" i="4"/>
  <c r="BF3767" i="4"/>
  <c r="BG4046" i="4"/>
  <c r="BF4046" i="4"/>
  <c r="BG4327" i="4"/>
  <c r="BF4327" i="4"/>
  <c r="BG4610" i="4"/>
  <c r="BF4610" i="4"/>
  <c r="BG4904" i="4"/>
  <c r="BF4904" i="4"/>
  <c r="BG5197" i="4"/>
  <c r="BF5197" i="4"/>
  <c r="BG5498" i="4"/>
  <c r="BF5498" i="4"/>
  <c r="BG4571" i="4"/>
  <c r="BF4571" i="4"/>
  <c r="BF4864" i="4"/>
  <c r="BG4864" i="4"/>
  <c r="BG5158" i="4"/>
  <c r="BF5158" i="4"/>
  <c r="BG5453" i="4"/>
  <c r="BF5453" i="4"/>
  <c r="BG4506" i="4"/>
  <c r="BF4506" i="4"/>
  <c r="BG5732" i="4"/>
  <c r="BF5732" i="4"/>
  <c r="BG4443" i="4"/>
  <c r="BF4443" i="4"/>
  <c r="BG4733" i="4"/>
  <c r="BF4733" i="4"/>
  <c r="BG5320" i="4"/>
  <c r="BF5320" i="4"/>
  <c r="BF5067" i="4"/>
  <c r="BG5067" i="4"/>
  <c r="BG5360" i="4"/>
  <c r="BF5360" i="4"/>
  <c r="BF3125" i="4"/>
  <c r="BG3125" i="4"/>
  <c r="BF3367" i="4"/>
  <c r="BG3367" i="4"/>
  <c r="BF3609" i="4"/>
  <c r="BG3609" i="4"/>
  <c r="BG3871" i="4"/>
  <c r="BF3871" i="4"/>
  <c r="BG4152" i="4"/>
  <c r="BF4152" i="4"/>
  <c r="BG4721" i="4"/>
  <c r="BF4721" i="4"/>
  <c r="BG5308" i="4"/>
  <c r="BF5308" i="4"/>
  <c r="BF5770" i="4"/>
  <c r="BG5770" i="4"/>
  <c r="BG4809" i="4"/>
  <c r="BF4809" i="4"/>
  <c r="BG5316" i="4"/>
  <c r="BF5316" i="4"/>
  <c r="BG3873" i="4"/>
  <c r="BF3873" i="4"/>
  <c r="BG4115" i="4"/>
  <c r="BF4115" i="4"/>
  <c r="BF4357" i="4"/>
  <c r="BG4357" i="4"/>
  <c r="BG4602" i="4"/>
  <c r="BF4602" i="4"/>
  <c r="BG5109" i="4"/>
  <c r="BF5109" i="4"/>
  <c r="BG5641" i="4"/>
  <c r="BF5641" i="4"/>
  <c r="BG3841" i="4"/>
  <c r="BF3841" i="4"/>
  <c r="BG4083" i="4"/>
  <c r="BF4083" i="4"/>
  <c r="BF4325" i="4"/>
  <c r="BG4325" i="4"/>
  <c r="BG4822" i="4"/>
  <c r="BF4822" i="4"/>
  <c r="BG5329" i="4"/>
  <c r="BF5329" i="4"/>
  <c r="BG5521" i="4"/>
  <c r="BF5521" i="4"/>
  <c r="BG5763" i="4"/>
  <c r="BF5763" i="4"/>
  <c r="BG6005" i="4"/>
  <c r="BF6005" i="4"/>
  <c r="BG4598" i="4"/>
  <c r="BF4598" i="4"/>
  <c r="BG4840" i="4"/>
  <c r="BF4840" i="4"/>
  <c r="BG5082" i="4"/>
  <c r="BF5082" i="4"/>
  <c r="BG5324" i="4"/>
  <c r="BF5324" i="4"/>
  <c r="BG5566" i="4"/>
  <c r="BF5566" i="4"/>
  <c r="BG5808" i="4"/>
  <c r="BF5808" i="4"/>
  <c r="BG1043" i="4"/>
  <c r="BF1043" i="4"/>
  <c r="BG4575" i="4"/>
  <c r="BF4575" i="4"/>
  <c r="BG1675" i="4"/>
  <c r="BF1675" i="4"/>
  <c r="BF885" i="4"/>
  <c r="BG885" i="4"/>
  <c r="BF3872" i="4"/>
  <c r="BG3872" i="4"/>
  <c r="BG1484" i="4"/>
  <c r="BF1484" i="4"/>
  <c r="BG109" i="4"/>
  <c r="BF109" i="4"/>
  <c r="BG3404" i="4"/>
  <c r="BF3404" i="4"/>
  <c r="BG2172" i="4"/>
  <c r="BF2172" i="4"/>
  <c r="BG572" i="4"/>
  <c r="BF572" i="4"/>
  <c r="BN2827" i="4"/>
  <c r="BM2827" i="4"/>
  <c r="BN972" i="4"/>
  <c r="BM972" i="4"/>
  <c r="BM501" i="4"/>
  <c r="BN501" i="4"/>
  <c r="BM110" i="4"/>
  <c r="BN110" i="4"/>
  <c r="BN1591" i="4"/>
  <c r="BM1591" i="4"/>
  <c r="BN849" i="4"/>
  <c r="BM849" i="4"/>
  <c r="BN1237" i="4"/>
  <c r="BM1237" i="4"/>
  <c r="BN2366" i="4"/>
  <c r="BM2366" i="4"/>
  <c r="BM1031" i="4"/>
  <c r="BN1031" i="4"/>
  <c r="BN1463" i="4"/>
  <c r="BM1463" i="4"/>
  <c r="BN2029" i="4"/>
  <c r="BM2029" i="4"/>
  <c r="BM2740" i="4"/>
  <c r="BN2740" i="4"/>
  <c r="BN1069" i="4"/>
  <c r="BM1069" i="4"/>
  <c r="BN2086" i="4"/>
  <c r="BM2086" i="4"/>
  <c r="BN2812" i="4"/>
  <c r="BM2812" i="4"/>
  <c r="BN1688" i="4"/>
  <c r="BM1688" i="4"/>
  <c r="BN2337" i="4"/>
  <c r="BM2337" i="4"/>
  <c r="BN3132" i="4"/>
  <c r="BM3132" i="4"/>
  <c r="BN394" i="4"/>
  <c r="BM394" i="4"/>
  <c r="BN1017" i="4"/>
  <c r="BM1017" i="4"/>
  <c r="BN1444" i="4"/>
  <c r="BM1444" i="4"/>
  <c r="BN2711" i="4"/>
  <c r="BM2711" i="4"/>
  <c r="BN3519" i="4"/>
  <c r="BM3519" i="4"/>
  <c r="BN804" i="4"/>
  <c r="BM804" i="4"/>
  <c r="BN1185" i="4"/>
  <c r="BM1185" i="4"/>
  <c r="BN107" i="4"/>
  <c r="BM107" i="4"/>
  <c r="BM372" i="4"/>
  <c r="BN372" i="4"/>
  <c r="BN986" i="4"/>
  <c r="BM986" i="4"/>
  <c r="BN1951" i="4"/>
  <c r="BM1951" i="4"/>
  <c r="BN2646" i="4"/>
  <c r="BM2646" i="4"/>
  <c r="BN3521" i="4"/>
  <c r="BM3521" i="4"/>
  <c r="BN805" i="4"/>
  <c r="BM805" i="4"/>
  <c r="BM1187" i="4"/>
  <c r="BN1187" i="4"/>
  <c r="BN1651" i="4"/>
  <c r="BM1651" i="4"/>
  <c r="BN108" i="4"/>
  <c r="BM108" i="4"/>
  <c r="BN373" i="4"/>
  <c r="BM373" i="4"/>
  <c r="BN650" i="4"/>
  <c r="BM650" i="4"/>
  <c r="BN1407" i="4"/>
  <c r="BM1407" i="4"/>
  <c r="BN1953" i="4"/>
  <c r="BM1953" i="4"/>
  <c r="BN1625" i="4"/>
  <c r="BM1625" i="4"/>
  <c r="BN2515" i="4"/>
  <c r="BM2515" i="4"/>
  <c r="BN3063" i="4"/>
  <c r="BM3063" i="4"/>
  <c r="BN1806" i="4"/>
  <c r="BM1806" i="4"/>
  <c r="BN1226" i="4"/>
  <c r="BM1226" i="4"/>
  <c r="BN1964" i="4"/>
  <c r="BM1964" i="4"/>
  <c r="BN2953" i="4"/>
  <c r="BM2953" i="4"/>
  <c r="BN807" i="4"/>
  <c r="BM807" i="4"/>
  <c r="BM1400" i="4"/>
  <c r="BN1400" i="4"/>
  <c r="BN1770" i="4"/>
  <c r="BM1770" i="4"/>
  <c r="BN2210" i="4"/>
  <c r="BM2210" i="4"/>
  <c r="BN821" i="4"/>
  <c r="BM821" i="4"/>
  <c r="BN1103" i="4"/>
  <c r="BM1103" i="4"/>
  <c r="BN1418" i="4"/>
  <c r="BM1418" i="4"/>
  <c r="BN1793" i="4"/>
  <c r="BM1793" i="4"/>
  <c r="BN2735" i="4"/>
  <c r="BM2735" i="4"/>
  <c r="BM837" i="4"/>
  <c r="BN837" i="4"/>
  <c r="BM1437" i="4"/>
  <c r="BN1437" i="4"/>
  <c r="BN2259" i="4"/>
  <c r="BM2259" i="4"/>
  <c r="BN2760" i="4"/>
  <c r="BM2760" i="4"/>
  <c r="BM3361" i="4"/>
  <c r="BN3361" i="4"/>
  <c r="BM1874" i="4"/>
  <c r="BN1874" i="4"/>
  <c r="BN2172" i="4"/>
  <c r="BM2172" i="4"/>
  <c r="BN2503" i="4"/>
  <c r="BM2503" i="4"/>
  <c r="BN3245" i="4"/>
  <c r="BM3245" i="4"/>
  <c r="BN1769" i="4"/>
  <c r="BM1769" i="4"/>
  <c r="BN2061" i="4"/>
  <c r="BM2061" i="4"/>
  <c r="BN2381" i="4"/>
  <c r="BM2381" i="4"/>
  <c r="BN3103" i="4"/>
  <c r="BM3103" i="4"/>
  <c r="BN3508" i="4"/>
  <c r="BM3508" i="4"/>
  <c r="BN1704" i="4"/>
  <c r="BM1704" i="4"/>
  <c r="BN1997" i="4"/>
  <c r="BM1997" i="4"/>
  <c r="BN2308" i="4"/>
  <c r="BM2308" i="4"/>
  <c r="BM2648" i="4"/>
  <c r="BN2648" i="4"/>
  <c r="BM3017" i="4"/>
  <c r="BN3017" i="4"/>
  <c r="BN3417" i="4"/>
  <c r="BM3417" i="4"/>
  <c r="BN266" i="4"/>
  <c r="BM266" i="4"/>
  <c r="BN773" i="4"/>
  <c r="BM773" i="4"/>
  <c r="BN1280" i="4"/>
  <c r="BM1280" i="4"/>
  <c r="BN1560" i="4"/>
  <c r="BM1560" i="4"/>
  <c r="BN1852" i="4"/>
  <c r="BM1852" i="4"/>
  <c r="BM2148" i="4"/>
  <c r="BN2148" i="4"/>
  <c r="BM2479" i="4"/>
  <c r="BN2479" i="4"/>
  <c r="BN2828" i="4"/>
  <c r="BM2828" i="4"/>
  <c r="BN2325" i="4"/>
  <c r="BM2325" i="4"/>
  <c r="BN3037" i="4"/>
  <c r="BM3037" i="4"/>
  <c r="BM3438" i="4"/>
  <c r="BN3438" i="4"/>
  <c r="BN947" i="4"/>
  <c r="BM947" i="4"/>
  <c r="BN1467" i="4"/>
  <c r="BM1467" i="4"/>
  <c r="BN1760" i="4"/>
  <c r="BM1760" i="4"/>
  <c r="BN2372" i="4"/>
  <c r="BM2372" i="4"/>
  <c r="BM3092" i="4"/>
  <c r="BN3092" i="4"/>
  <c r="BM1801" i="4"/>
  <c r="BN1801" i="4"/>
  <c r="BN2418" i="4"/>
  <c r="BM2418" i="4"/>
  <c r="BN2767" i="4"/>
  <c r="BM2767" i="4"/>
  <c r="BN3554" i="4"/>
  <c r="BM3554" i="4"/>
  <c r="BN2887" i="4"/>
  <c r="BM2887" i="4"/>
  <c r="BM3206" i="4"/>
  <c r="BN3206" i="4"/>
  <c r="BM3529" i="4"/>
  <c r="BN3529" i="4"/>
  <c r="BM3061" i="4"/>
  <c r="BN3061" i="4"/>
  <c r="BN3384" i="4"/>
  <c r="BM3384" i="4"/>
  <c r="BM209" i="4"/>
  <c r="BN209" i="4"/>
  <c r="BN451" i="4"/>
  <c r="BM451" i="4"/>
  <c r="BN693" i="4"/>
  <c r="BM693" i="4"/>
  <c r="BM935" i="4"/>
  <c r="BN935" i="4"/>
  <c r="BN1177" i="4"/>
  <c r="BM1177" i="4"/>
  <c r="BM1426" i="4"/>
  <c r="BN1426" i="4"/>
  <c r="BN2229" i="4"/>
  <c r="BM2229" i="4"/>
  <c r="BN2821" i="4"/>
  <c r="BM2821" i="4"/>
  <c r="BM3136" i="4"/>
  <c r="BN3136" i="4"/>
  <c r="BN2230" i="4"/>
  <c r="BM2230" i="4"/>
  <c r="BN2518" i="4"/>
  <c r="BM2518" i="4"/>
  <c r="BN2822" i="4"/>
  <c r="BM2822" i="4"/>
  <c r="BM3139" i="4"/>
  <c r="BN3139" i="4"/>
  <c r="BN3056" i="4"/>
  <c r="BM3056" i="4"/>
  <c r="BM2211" i="4"/>
  <c r="BN2211" i="4"/>
  <c r="BM2433" i="4"/>
  <c r="BN2433" i="4"/>
  <c r="BN2675" i="4"/>
  <c r="BM2675" i="4"/>
  <c r="BN2917" i="4"/>
  <c r="BM2917" i="4"/>
  <c r="BM3159" i="4"/>
  <c r="BN3159" i="4"/>
  <c r="BM3401" i="4"/>
  <c r="BN3401" i="4"/>
  <c r="BN3112" i="4"/>
  <c r="BM3112" i="4"/>
  <c r="BN1347" i="4"/>
  <c r="BM1347" i="4"/>
  <c r="BM3404" i="4"/>
  <c r="BN3404" i="4"/>
  <c r="BN1192" i="4"/>
  <c r="BM1192" i="4"/>
  <c r="BN643" i="4"/>
  <c r="BM643" i="4"/>
  <c r="BM244" i="4"/>
  <c r="BN244" i="4"/>
  <c r="BN3081" i="4"/>
  <c r="BM3081" i="4"/>
  <c r="BN2801" i="4"/>
  <c r="BM2801" i="4"/>
  <c r="BN961" i="4"/>
  <c r="BM961" i="4"/>
  <c r="BN492" i="4"/>
  <c r="BM492" i="4"/>
  <c r="BM1655" i="4"/>
  <c r="BN1655" i="4"/>
  <c r="BM2674" i="4"/>
  <c r="BN2674" i="4"/>
  <c r="BN1577" i="4"/>
  <c r="BM1577" i="4"/>
  <c r="BM907" i="4"/>
  <c r="BN907" i="4"/>
  <c r="BM454" i="4"/>
  <c r="BN454" i="4"/>
  <c r="BN2392" i="4"/>
  <c r="BM2392" i="4"/>
  <c r="BM1403" i="4"/>
  <c r="BN1403" i="4"/>
  <c r="BN364" i="4"/>
  <c r="BM364" i="4"/>
  <c r="BG2540" i="4"/>
  <c r="BF2540" i="4"/>
  <c r="BF3799" i="4"/>
  <c r="BG3799" i="4"/>
  <c r="BF1457" i="4"/>
  <c r="BG1457" i="4"/>
  <c r="BG703" i="4"/>
  <c r="BF703" i="4"/>
  <c r="BG89" i="4"/>
  <c r="BF89" i="4"/>
  <c r="BF3435" i="4"/>
  <c r="BG3435" i="4"/>
  <c r="BG2188" i="4"/>
  <c r="BF2188" i="4"/>
  <c r="BG3108" i="4"/>
  <c r="BF3108" i="4"/>
  <c r="BG1160" i="4"/>
  <c r="BF1160" i="4"/>
  <c r="BG463" i="4"/>
  <c r="BF463" i="4"/>
  <c r="BF1856" i="4"/>
  <c r="BG1856" i="4"/>
  <c r="BG4577" i="4"/>
  <c r="BF4577" i="4"/>
  <c r="BG2629" i="4"/>
  <c r="BF2629" i="4"/>
  <c r="BF3986" i="4"/>
  <c r="BG3986" i="4"/>
  <c r="BG141" i="4"/>
  <c r="BF141" i="4"/>
  <c r="BG856" i="4"/>
  <c r="BF856" i="4"/>
  <c r="BG1726" i="4"/>
  <c r="BF1726" i="4"/>
  <c r="BG2058" i="4"/>
  <c r="BF2058" i="4"/>
  <c r="BG2390" i="4"/>
  <c r="BF2390" i="4"/>
  <c r="BG2787" i="4"/>
  <c r="BF2787" i="4"/>
  <c r="BF3348" i="4"/>
  <c r="BG3348" i="4"/>
  <c r="BG91" i="4"/>
  <c r="BF91" i="4"/>
  <c r="BG333" i="4"/>
  <c r="BF333" i="4"/>
  <c r="BG575" i="4"/>
  <c r="BF575" i="4"/>
  <c r="BG822" i="4"/>
  <c r="BF822" i="4"/>
  <c r="BG1083" i="4"/>
  <c r="BF1083" i="4"/>
  <c r="BG1379" i="4"/>
  <c r="BF1379" i="4"/>
  <c r="BG3990" i="4"/>
  <c r="BF3990" i="4"/>
  <c r="BG5310" i="4"/>
  <c r="BF5310" i="4"/>
  <c r="BG167" i="4"/>
  <c r="BF167" i="4"/>
  <c r="BG1032" i="4"/>
  <c r="BF1032" i="4"/>
  <c r="BG1879" i="4"/>
  <c r="BF1879" i="4"/>
  <c r="BG2211" i="4"/>
  <c r="BF2211" i="4"/>
  <c r="BG3013" i="4"/>
  <c r="BF3013" i="4"/>
  <c r="BG3665" i="4"/>
  <c r="BF3665" i="4"/>
  <c r="BF136" i="4"/>
  <c r="BG136" i="4"/>
  <c r="BG378" i="4"/>
  <c r="BF378" i="4"/>
  <c r="BG620" i="4"/>
  <c r="BF620" i="4"/>
  <c r="BG869" i="4"/>
  <c r="BF869" i="4"/>
  <c r="BG1138" i="4"/>
  <c r="BF1138" i="4"/>
  <c r="BG1434" i="4"/>
  <c r="BF1434" i="4"/>
  <c r="BG4179" i="4"/>
  <c r="BF4179" i="4"/>
  <c r="BG5594" i="4"/>
  <c r="BF5594" i="4"/>
  <c r="BG777" i="4"/>
  <c r="BF777" i="4"/>
  <c r="BF1626" i="4"/>
  <c r="BG1626" i="4"/>
  <c r="BF1956" i="4"/>
  <c r="BG1956" i="4"/>
  <c r="BG2288" i="4"/>
  <c r="BF2288" i="4"/>
  <c r="BG5069" i="4"/>
  <c r="BF5069" i="4"/>
  <c r="BG1860" i="4"/>
  <c r="BF1860" i="4"/>
  <c r="BG2690" i="4"/>
  <c r="BF2690" i="4"/>
  <c r="BG288" i="4"/>
  <c r="BF288" i="4"/>
  <c r="BG1177" i="4"/>
  <c r="BF1177" i="4"/>
  <c r="BF159" i="4"/>
  <c r="BG159" i="4"/>
  <c r="BG401" i="4"/>
  <c r="BF401" i="4"/>
  <c r="BG643" i="4"/>
  <c r="BF643" i="4"/>
  <c r="BG893" i="4"/>
  <c r="BF893" i="4"/>
  <c r="BF1167" i="4"/>
  <c r="BG1167" i="4"/>
  <c r="BF1463" i="4"/>
  <c r="BG1463" i="4"/>
  <c r="BF2443" i="4"/>
  <c r="BG2443" i="4"/>
  <c r="BG2857" i="4"/>
  <c r="BF2857" i="4"/>
  <c r="BG3449" i="4"/>
  <c r="BF3449" i="4"/>
  <c r="BG5779" i="4"/>
  <c r="BF5779" i="4"/>
  <c r="BG1774" i="4"/>
  <c r="BF1774" i="4"/>
  <c r="BG2109" i="4"/>
  <c r="BF2109" i="4"/>
  <c r="BF2858" i="4"/>
  <c r="BG2858" i="4"/>
  <c r="BG160" i="4"/>
  <c r="BF160" i="4"/>
  <c r="BG402" i="4"/>
  <c r="BF402" i="4"/>
  <c r="BF644" i="4"/>
  <c r="BG644" i="4"/>
  <c r="BF894" i="4"/>
  <c r="BG894" i="4"/>
  <c r="BG1168" i="4"/>
  <c r="BF1168" i="4"/>
  <c r="BG1464" i="4"/>
  <c r="BF1464" i="4"/>
  <c r="BG2444" i="4"/>
  <c r="BF2444" i="4"/>
  <c r="BG4310" i="4"/>
  <c r="BF4310" i="4"/>
  <c r="BG5780" i="4"/>
  <c r="BF5780" i="4"/>
  <c r="BG860" i="4"/>
  <c r="BF860" i="4"/>
  <c r="BF1730" i="4"/>
  <c r="BG1730" i="4"/>
  <c r="BG2065" i="4"/>
  <c r="BF2065" i="4"/>
  <c r="BG2397" i="4"/>
  <c r="BF2397" i="4"/>
  <c r="BF2794" i="4"/>
  <c r="BG2794" i="4"/>
  <c r="BF5549" i="4"/>
  <c r="BG5549" i="4"/>
  <c r="BF62" i="4"/>
  <c r="BG62" i="4"/>
  <c r="BF304" i="4"/>
  <c r="BG304" i="4"/>
  <c r="BG546" i="4"/>
  <c r="BF546" i="4"/>
  <c r="BG1049" i="4"/>
  <c r="BF1049" i="4"/>
  <c r="BG1344" i="4"/>
  <c r="BF1344" i="4"/>
  <c r="BF1642" i="4"/>
  <c r="BG1642" i="4"/>
  <c r="BG2682" i="4"/>
  <c r="BF2682" i="4"/>
  <c r="BG3181" i="4"/>
  <c r="BF3181" i="4"/>
  <c r="BG953" i="4"/>
  <c r="BF953" i="4"/>
  <c r="BF1853" i="4"/>
  <c r="BG1853" i="4"/>
  <c r="BG2187" i="4"/>
  <c r="BF2187" i="4"/>
  <c r="BG2536" i="4"/>
  <c r="BF2536" i="4"/>
  <c r="BG3613" i="4"/>
  <c r="BF3613" i="4"/>
  <c r="BG4630" i="4"/>
  <c r="BF4630" i="4"/>
  <c r="BG1967" i="4"/>
  <c r="BF1967" i="4"/>
  <c r="BF2786" i="4"/>
  <c r="BG2786" i="4"/>
  <c r="BF376" i="4"/>
  <c r="BG376" i="4"/>
  <c r="BG1164" i="4"/>
  <c r="BF1164" i="4"/>
  <c r="BG5244" i="4"/>
  <c r="BF5244" i="4"/>
  <c r="BG173" i="4"/>
  <c r="BF173" i="4"/>
  <c r="BG415" i="4"/>
  <c r="BF415" i="4"/>
  <c r="BG657" i="4"/>
  <c r="BF657" i="4"/>
  <c r="BF1185" i="4"/>
  <c r="BG1185" i="4"/>
  <c r="BG1479" i="4"/>
  <c r="BF1479" i="4"/>
  <c r="BG2884" i="4"/>
  <c r="BF2884" i="4"/>
  <c r="BG3486" i="4"/>
  <c r="BF3486" i="4"/>
  <c r="BG4374" i="4"/>
  <c r="BF4374" i="4"/>
  <c r="BG5902" i="4"/>
  <c r="BF5902" i="4"/>
  <c r="BF4550" i="4"/>
  <c r="BG4550" i="4"/>
  <c r="BG2814" i="4"/>
  <c r="BF2814" i="4"/>
  <c r="BG3426" i="4"/>
  <c r="BF3426" i="4"/>
  <c r="BF4243" i="4"/>
  <c r="BG4243" i="4"/>
  <c r="BG4872" i="4"/>
  <c r="BF4872" i="4"/>
  <c r="BF2757" i="4"/>
  <c r="BG2757" i="4"/>
  <c r="BG3700" i="4"/>
  <c r="BF3700" i="4"/>
  <c r="BG4118" i="4"/>
  <c r="BF4118" i="4"/>
  <c r="BF2677" i="4"/>
  <c r="BG2677" i="4"/>
  <c r="BF2939" i="4"/>
  <c r="BG2939" i="4"/>
  <c r="BG3247" i="4"/>
  <c r="BF3247" i="4"/>
  <c r="BG4525" i="4"/>
  <c r="BF4525" i="4"/>
  <c r="BG5167" i="4"/>
  <c r="BF5167" i="4"/>
  <c r="BF1808" i="4"/>
  <c r="BG1808" i="4"/>
  <c r="BG2050" i="4"/>
  <c r="BF2050" i="4"/>
  <c r="BG2292" i="4"/>
  <c r="BF2292" i="4"/>
  <c r="BG2539" i="4"/>
  <c r="BF2539" i="4"/>
  <c r="BG3399" i="4"/>
  <c r="BF3399" i="4"/>
  <c r="BG4191" i="4"/>
  <c r="BF4191" i="4"/>
  <c r="BG5473" i="4"/>
  <c r="BF5473" i="4"/>
  <c r="BF3116" i="4"/>
  <c r="BG3116" i="4"/>
  <c r="BG3445" i="4"/>
  <c r="BF3445" i="4"/>
  <c r="BG5568" i="4"/>
  <c r="BF5568" i="4"/>
  <c r="BG3941" i="4"/>
  <c r="BF3941" i="4"/>
  <c r="BG4473" i="4"/>
  <c r="BF4473" i="4"/>
  <c r="BF5113" i="4"/>
  <c r="BG5113" i="4"/>
  <c r="BF2916" i="4"/>
  <c r="BG2916" i="4"/>
  <c r="BG3218" i="4"/>
  <c r="BF3218" i="4"/>
  <c r="BG3557" i="4"/>
  <c r="BF3557" i="4"/>
  <c r="BG5848" i="4"/>
  <c r="BF5848" i="4"/>
  <c r="BG1172" i="4"/>
  <c r="BF1172" i="4"/>
  <c r="BG1414" i="4"/>
  <c r="BF1414" i="4"/>
  <c r="BG1656" i="4"/>
  <c r="BF1656" i="4"/>
  <c r="BF1898" i="4"/>
  <c r="BG1898" i="4"/>
  <c r="BG2140" i="4"/>
  <c r="BF2140" i="4"/>
  <c r="BG2382" i="4"/>
  <c r="BF2382" i="4"/>
  <c r="BF2891" i="4"/>
  <c r="BG2891" i="4"/>
  <c r="BF3190" i="4"/>
  <c r="BG3190" i="4"/>
  <c r="BG3525" i="4"/>
  <c r="BF3525" i="4"/>
  <c r="BG5058" i="4"/>
  <c r="BF5058" i="4"/>
  <c r="BF2611" i="4"/>
  <c r="BG2611" i="4"/>
  <c r="BG3161" i="4"/>
  <c r="BF3161" i="4"/>
  <c r="BG3493" i="4"/>
  <c r="BF3493" i="4"/>
  <c r="BF3870" i="4"/>
  <c r="BG3870" i="4"/>
  <c r="BG1030" i="4"/>
  <c r="BF1030" i="4"/>
  <c r="BG1272" i="4"/>
  <c r="BF1272" i="4"/>
  <c r="BG1514" i="4"/>
  <c r="BF1514" i="4"/>
  <c r="BG1756" i="4"/>
  <c r="BF1756" i="4"/>
  <c r="BG1998" i="4"/>
  <c r="BF1998" i="4"/>
  <c r="BG2240" i="4"/>
  <c r="BF2240" i="4"/>
  <c r="BG2738" i="4"/>
  <c r="BF2738" i="4"/>
  <c r="BG3673" i="4"/>
  <c r="BF3673" i="4"/>
  <c r="BG5325" i="4"/>
  <c r="BF5325" i="4"/>
  <c r="BG2612" i="4"/>
  <c r="BF2612" i="4"/>
  <c r="BG3162" i="4"/>
  <c r="BF3162" i="4"/>
  <c r="BG4370" i="4"/>
  <c r="BF4370" i="4"/>
  <c r="BG5688" i="4"/>
  <c r="BF5688" i="4"/>
  <c r="BG4273" i="4"/>
  <c r="BF4273" i="4"/>
  <c r="BG4553" i="4"/>
  <c r="BF4553" i="4"/>
  <c r="BF3054" i="4"/>
  <c r="BG3054" i="4"/>
  <c r="BG3296" i="4"/>
  <c r="BF3296" i="4"/>
  <c r="BG3538" i="4"/>
  <c r="BF3538" i="4"/>
  <c r="BG4069" i="4"/>
  <c r="BF4069" i="4"/>
  <c r="BG4350" i="4"/>
  <c r="BF4350" i="4"/>
  <c r="BG4634" i="4"/>
  <c r="BF4634" i="4"/>
  <c r="BG5221" i="4"/>
  <c r="BF5221" i="4"/>
  <c r="BG5525" i="4"/>
  <c r="BF5525" i="4"/>
  <c r="BF5912" i="4"/>
  <c r="BG5912" i="4"/>
  <c r="BG4541" i="4"/>
  <c r="BF4541" i="4"/>
  <c r="BG5424" i="4"/>
  <c r="BF5424" i="4"/>
  <c r="BF3341" i="4"/>
  <c r="BG3341" i="4"/>
  <c r="BF3583" i="4"/>
  <c r="BG3583" i="4"/>
  <c r="BG3842" i="4"/>
  <c r="BF3842" i="4"/>
  <c r="BF4689" i="4"/>
  <c r="BG4689" i="4"/>
  <c r="BG5276" i="4"/>
  <c r="BF5276" i="4"/>
  <c r="BG5586" i="4"/>
  <c r="BF5586" i="4"/>
  <c r="BG5987" i="4"/>
  <c r="BF5987" i="4"/>
  <c r="BG4122" i="4"/>
  <c r="BF4122" i="4"/>
  <c r="BF4403" i="4"/>
  <c r="BG4403" i="4"/>
  <c r="BG4984" i="4"/>
  <c r="BF4984" i="4"/>
  <c r="BF5589" i="4"/>
  <c r="BG5589" i="4"/>
  <c r="BF3056" i="4"/>
  <c r="BG3056" i="4"/>
  <c r="BG3298" i="4"/>
  <c r="BF3298" i="4"/>
  <c r="BG3540" i="4"/>
  <c r="BF3540" i="4"/>
  <c r="BG4352" i="4"/>
  <c r="BF4352" i="4"/>
  <c r="BG4637" i="4"/>
  <c r="BF4637" i="4"/>
  <c r="BG5223" i="4"/>
  <c r="BF5223" i="4"/>
  <c r="BG5527" i="4"/>
  <c r="BF5527" i="4"/>
  <c r="BG5914" i="4"/>
  <c r="BF5914" i="4"/>
  <c r="BF4315" i="4"/>
  <c r="BG4315" i="4"/>
  <c r="BG4597" i="4"/>
  <c r="BF4597" i="4"/>
  <c r="BF4531" i="4"/>
  <c r="BG4531" i="4"/>
  <c r="BF4825" i="4"/>
  <c r="BG4825" i="4"/>
  <c r="BG5118" i="4"/>
  <c r="BF5118" i="4"/>
  <c r="BF5413" i="4"/>
  <c r="BG5413" i="4"/>
  <c r="BG5768" i="4"/>
  <c r="BF5768" i="4"/>
  <c r="BF3793" i="4"/>
  <c r="BG3793" i="4"/>
  <c r="BG4074" i="4"/>
  <c r="BF4074" i="4"/>
  <c r="BF4639" i="4"/>
  <c r="BG4639" i="4"/>
  <c r="BG4932" i="4"/>
  <c r="BF4932" i="4"/>
  <c r="BG5916" i="4"/>
  <c r="BF5916" i="4"/>
  <c r="BF4759" i="4"/>
  <c r="BG4759" i="4"/>
  <c r="BF5678" i="4"/>
  <c r="BG5678" i="4"/>
  <c r="BG4228" i="4"/>
  <c r="BF4228" i="4"/>
  <c r="BG5734" i="4"/>
  <c r="BF5734" i="4"/>
  <c r="BG3147" i="4"/>
  <c r="BF3147" i="4"/>
  <c r="BF3389" i="4"/>
  <c r="BG3389" i="4"/>
  <c r="BF3631" i="4"/>
  <c r="BG3631" i="4"/>
  <c r="BG4177" i="4"/>
  <c r="BF4177" i="4"/>
  <c r="BG4458" i="4"/>
  <c r="BF4458" i="4"/>
  <c r="BG4747" i="4"/>
  <c r="BF4747" i="4"/>
  <c r="BG5334" i="4"/>
  <c r="BF5334" i="4"/>
  <c r="BG5661" i="4"/>
  <c r="BF5661" i="4"/>
  <c r="BF5798" i="4"/>
  <c r="BG5798" i="4"/>
  <c r="BG5905" i="4"/>
  <c r="BF5905" i="4"/>
  <c r="BG5894" i="4"/>
  <c r="BF5894" i="4"/>
  <c r="BG4832" i="4"/>
  <c r="BF4832" i="4"/>
  <c r="BG5339" i="4"/>
  <c r="BF5339" i="4"/>
  <c r="BF5614" i="4"/>
  <c r="BG5614" i="4"/>
  <c r="BG5910" i="4"/>
  <c r="BF5910" i="4"/>
  <c r="BF3895" i="4"/>
  <c r="BG3895" i="4"/>
  <c r="BG4137" i="4"/>
  <c r="BF4137" i="4"/>
  <c r="BG4379" i="4"/>
  <c r="BF4379" i="4"/>
  <c r="BG4625" i="4"/>
  <c r="BF4625" i="4"/>
  <c r="BG5132" i="4"/>
  <c r="BF5132" i="4"/>
  <c r="BG3863" i="4"/>
  <c r="BF3863" i="4"/>
  <c r="BF4105" i="4"/>
  <c r="BG4105" i="4"/>
  <c r="BF4347" i="4"/>
  <c r="BG4347" i="4"/>
  <c r="BF4845" i="4"/>
  <c r="BG4845" i="4"/>
  <c r="BG5352" i="4"/>
  <c r="BF5352" i="4"/>
  <c r="BF5543" i="4"/>
  <c r="BG5543" i="4"/>
  <c r="BF5785" i="4"/>
  <c r="BG5785" i="4"/>
  <c r="BG6027" i="4"/>
  <c r="BF6027" i="4"/>
  <c r="BG4620" i="4"/>
  <c r="BF4620" i="4"/>
  <c r="BG4862" i="4"/>
  <c r="BF4862" i="4"/>
  <c r="BG5104" i="4"/>
  <c r="BF5104" i="4"/>
  <c r="BG5346" i="4"/>
  <c r="BF5346" i="4"/>
  <c r="BG5588" i="4"/>
  <c r="BF5588" i="4"/>
  <c r="BG5830" i="4"/>
  <c r="BF5830" i="4"/>
  <c r="BG980" i="4"/>
  <c r="BF980" i="4"/>
  <c r="BG328" i="4"/>
  <c r="BF328" i="4"/>
  <c r="BF4208" i="4"/>
  <c r="BG4208" i="4"/>
  <c r="BG1603" i="4"/>
  <c r="BF1603" i="4"/>
  <c r="BG818" i="4"/>
  <c r="BF818" i="4"/>
  <c r="BG188" i="4"/>
  <c r="BF188" i="4"/>
  <c r="BG1413" i="4"/>
  <c r="BF1413" i="4"/>
  <c r="BG660" i="4"/>
  <c r="BF660" i="4"/>
  <c r="BG2084" i="4"/>
  <c r="BF2084" i="4"/>
  <c r="BG516" i="4"/>
  <c r="BF516" i="4"/>
  <c r="BG3080" i="4"/>
  <c r="BF3080" i="4"/>
  <c r="BG1993" i="4"/>
  <c r="BF1993" i="4"/>
  <c r="BN2899" i="4"/>
  <c r="BM2899" i="4"/>
  <c r="BN2563" i="4"/>
  <c r="BM2563" i="4"/>
  <c r="BN2291" i="4"/>
  <c r="BM2291" i="4"/>
  <c r="BN450" i="4"/>
  <c r="BM450" i="4"/>
  <c r="BN2932" i="4"/>
  <c r="BM2932" i="4"/>
  <c r="BM2153" i="4"/>
  <c r="BN2153" i="4"/>
  <c r="BM2367" i="4"/>
  <c r="BN2367" i="4"/>
  <c r="BN2350" i="4"/>
  <c r="BM2350" i="4"/>
  <c r="BN279" i="4"/>
  <c r="BM279" i="4"/>
  <c r="BG2099" i="4"/>
  <c r="BF2099" i="4"/>
  <c r="BG2430" i="4"/>
  <c r="BF2430" i="4"/>
  <c r="BG1399" i="4"/>
  <c r="BF1399" i="4"/>
  <c r="BF1984" i="4"/>
  <c r="BG1984" i="4"/>
  <c r="BG3104" i="4"/>
  <c r="BF3104" i="4"/>
  <c r="BG3402" i="4"/>
  <c r="BF3402" i="4"/>
  <c r="BG4196" i="4"/>
  <c r="BF4196" i="4"/>
  <c r="BG3472" i="4"/>
  <c r="BF3472" i="4"/>
  <c r="BG5196" i="4"/>
  <c r="BF5196" i="4"/>
  <c r="BG5804" i="4"/>
  <c r="BF5804" i="4"/>
  <c r="BG4277" i="4"/>
  <c r="BF4277" i="4"/>
  <c r="BG4679" i="4"/>
  <c r="BF4679" i="4"/>
  <c r="BG5270" i="4"/>
  <c r="BF5270" i="4"/>
  <c r="BF4556" i="4"/>
  <c r="BG4556" i="4"/>
  <c r="BG3797" i="4"/>
  <c r="BF3797" i="4"/>
  <c r="BG5477" i="4"/>
  <c r="BF5477" i="4"/>
  <c r="BG5280" i="4"/>
  <c r="BF5280" i="4"/>
  <c r="BF218" i="4"/>
  <c r="BG218" i="4"/>
  <c r="BG2247" i="4"/>
  <c r="BF2247" i="4"/>
  <c r="BN592" i="4"/>
  <c r="BM592" i="4"/>
  <c r="BN2639" i="4"/>
  <c r="BM2639" i="4"/>
  <c r="BN1868" i="4"/>
  <c r="BM1868" i="4"/>
  <c r="BN2124" i="4"/>
  <c r="BM2124" i="4"/>
  <c r="BN2152" i="4"/>
  <c r="BM2152" i="4"/>
  <c r="BN2251" i="4"/>
  <c r="BM2251" i="4"/>
  <c r="BN3402" i="4"/>
  <c r="BM3402" i="4"/>
  <c r="BM154" i="4"/>
  <c r="BN154" i="4"/>
  <c r="BM2751" i="4"/>
  <c r="BN2751" i="4"/>
  <c r="BN2862" i="4"/>
  <c r="BM2862" i="4"/>
  <c r="BN1844" i="4"/>
  <c r="BM1844" i="4"/>
  <c r="BN587" i="4"/>
  <c r="BM587" i="4"/>
  <c r="BG1814" i="4"/>
  <c r="BF1814" i="4"/>
  <c r="BG3520" i="4"/>
  <c r="BF3520" i="4"/>
  <c r="BG1347" i="4"/>
  <c r="BF1347" i="4"/>
  <c r="BF1051" i="4"/>
  <c r="BG1051" i="4"/>
  <c r="BG1721" i="4"/>
  <c r="BF1721" i="4"/>
  <c r="BG274" i="4"/>
  <c r="BF274" i="4"/>
  <c r="BF1651" i="4"/>
  <c r="BG1651" i="4"/>
  <c r="BF3196" i="4"/>
  <c r="BG3196" i="4"/>
  <c r="BG36" i="4"/>
  <c r="BF36" i="4"/>
  <c r="BG764" i="4"/>
  <c r="BF764" i="4"/>
  <c r="BG2147" i="4"/>
  <c r="BF2147" i="4"/>
  <c r="BG2135" i="4"/>
  <c r="BF2135" i="4"/>
  <c r="BG2897" i="4"/>
  <c r="BF2897" i="4"/>
  <c r="BG81" i="4"/>
  <c r="BF81" i="4"/>
  <c r="BG5246" i="4"/>
  <c r="BF5246" i="4"/>
  <c r="BG3695" i="4"/>
  <c r="BF3695" i="4"/>
  <c r="BF346" i="4"/>
  <c r="BG346" i="4"/>
  <c r="BG1396" i="4"/>
  <c r="BF1396" i="4"/>
  <c r="BG4042" i="4"/>
  <c r="BF4042" i="4"/>
  <c r="BG2033" i="4"/>
  <c r="BF2033" i="4"/>
  <c r="BG3300" i="4"/>
  <c r="BF3300" i="4"/>
  <c r="BG5392" i="4"/>
  <c r="BF5392" i="4"/>
  <c r="BF589" i="4"/>
  <c r="BG589" i="4"/>
  <c r="BG1101" i="4"/>
  <c r="BF1101" i="4"/>
  <c r="BG249" i="4"/>
  <c r="BF249" i="4"/>
  <c r="BF989" i="4"/>
  <c r="BG989" i="4"/>
  <c r="BG3712" i="4"/>
  <c r="BF3712" i="4"/>
  <c r="BG2446" i="4"/>
  <c r="BF2446" i="4"/>
  <c r="BF4319" i="4"/>
  <c r="BG4319" i="4"/>
  <c r="BF1784" i="4"/>
  <c r="BG1784" i="4"/>
  <c r="BG360" i="4"/>
  <c r="BF360" i="4"/>
  <c r="BG1412" i="4"/>
  <c r="BF1412" i="4"/>
  <c r="BG5479" i="4"/>
  <c r="BF5479" i="4"/>
  <c r="BF3619" i="4"/>
  <c r="BG3619" i="4"/>
  <c r="BG2237" i="4"/>
  <c r="BF2237" i="4"/>
  <c r="BG2770" i="4"/>
  <c r="BF2770" i="4"/>
  <c r="BG3721" i="4"/>
  <c r="BF3721" i="4"/>
  <c r="BF4966" i="4"/>
  <c r="BG4966" i="4"/>
  <c r="BG3146" i="4"/>
  <c r="BF3146" i="4"/>
  <c r="BF1843" i="4"/>
  <c r="BG1843" i="4"/>
  <c r="BG2576" i="4"/>
  <c r="BF2576" i="4"/>
  <c r="BG3416" i="4"/>
  <c r="BF3416" i="4"/>
  <c r="BG4857" i="4"/>
  <c r="BF4857" i="4"/>
  <c r="BG975" i="4"/>
  <c r="BF975" i="4"/>
  <c r="BG1701" i="4"/>
  <c r="BF1701" i="4"/>
  <c r="BG3591" i="4"/>
  <c r="BF3591" i="4"/>
  <c r="BF4858" i="4"/>
  <c r="BG4858" i="4"/>
  <c r="BG3241" i="4"/>
  <c r="BF3241" i="4"/>
  <c r="BG4286" i="4"/>
  <c r="BF4286" i="4"/>
  <c r="BG4916" i="4"/>
  <c r="BF4916" i="4"/>
  <c r="BG3485" i="4"/>
  <c r="BF3485" i="4"/>
  <c r="BG4758" i="4"/>
  <c r="BF4758" i="4"/>
  <c r="BG4865" i="4"/>
  <c r="BF4865" i="4"/>
  <c r="BG4692" i="4"/>
  <c r="BF4692" i="4"/>
  <c r="BG5992" i="4"/>
  <c r="BF5992" i="4"/>
  <c r="BG5026" i="4"/>
  <c r="BF5026" i="4"/>
  <c r="BF3576" i="4"/>
  <c r="BG3576" i="4"/>
  <c r="BG4113" i="4"/>
  <c r="BF4113" i="4"/>
  <c r="BG6025" i="4"/>
  <c r="BF6025" i="4"/>
  <c r="BG5547" i="4"/>
  <c r="BF5547" i="4"/>
  <c r="BG3840" i="4"/>
  <c r="BF3840" i="4"/>
  <c r="BG4821" i="4"/>
  <c r="BF4821" i="4"/>
  <c r="BG4292" i="4"/>
  <c r="BF4292" i="4"/>
  <c r="BG5041" i="4"/>
  <c r="BF5041" i="4"/>
  <c r="BG5488" i="4"/>
  <c r="BF5488" i="4"/>
  <c r="BF5049" i="4"/>
  <c r="BG5049" i="4"/>
  <c r="BG2777" i="4"/>
  <c r="BF2777" i="4"/>
  <c r="BF2296" i="4"/>
  <c r="BG2296" i="4"/>
  <c r="BG54" i="4"/>
  <c r="BF54" i="4"/>
  <c r="BM1506" i="4"/>
  <c r="BN1506" i="4"/>
  <c r="BN2702" i="4"/>
  <c r="BM2702" i="4"/>
  <c r="BN2757" i="4"/>
  <c r="BM2757" i="4"/>
  <c r="BN3080" i="4"/>
  <c r="BM3080" i="4"/>
  <c r="BG848" i="4"/>
  <c r="BF848" i="4"/>
  <c r="BG2465" i="4"/>
  <c r="BF2465" i="4"/>
  <c r="BG4100" i="4"/>
  <c r="BF4100" i="4"/>
  <c r="BF1612" i="4"/>
  <c r="BG1612" i="4"/>
  <c r="BG1954" i="4"/>
  <c r="BF1954" i="4"/>
  <c r="BF5710" i="4"/>
  <c r="BG5710" i="4"/>
  <c r="BF3254" i="4"/>
  <c r="BG3254" i="4"/>
  <c r="BG4585" i="4"/>
  <c r="BF4585" i="4"/>
  <c r="BF4693" i="4"/>
  <c r="BG4693" i="4"/>
  <c r="BF4786" i="4"/>
  <c r="BG4786" i="4"/>
  <c r="BG4335" i="4"/>
  <c r="BF4335" i="4"/>
  <c r="BG1120" i="4"/>
  <c r="BF1120" i="4"/>
  <c r="BN1804" i="4"/>
  <c r="BM1804" i="4"/>
  <c r="BN994" i="4"/>
  <c r="BM994" i="4"/>
  <c r="BN2270" i="4"/>
  <c r="BM2270" i="4"/>
  <c r="BM1396" i="4"/>
  <c r="BN1396" i="4"/>
  <c r="BM2638" i="4"/>
  <c r="BN2638" i="4"/>
  <c r="BM393" i="4"/>
  <c r="BN393" i="4"/>
  <c r="BM1443" i="4"/>
  <c r="BN1443" i="4"/>
  <c r="BM966" i="4"/>
  <c r="BN966" i="4"/>
  <c r="BN1916" i="4"/>
  <c r="BM1916" i="4"/>
  <c r="BN3473" i="4"/>
  <c r="BM3473" i="4"/>
  <c r="BN1127" i="4"/>
  <c r="BM1127" i="4"/>
  <c r="BN2936" i="4"/>
  <c r="BM2936" i="4"/>
  <c r="BN3392" i="4"/>
  <c r="BM3392" i="4"/>
  <c r="BM1585" i="4"/>
  <c r="BN1585" i="4"/>
  <c r="BM75" i="4"/>
  <c r="BN75" i="4"/>
  <c r="BN612" i="4"/>
  <c r="BM612" i="4"/>
  <c r="BN1345" i="4"/>
  <c r="BM1345" i="4"/>
  <c r="BN3395" i="4"/>
  <c r="BM3395" i="4"/>
  <c r="BN1981" i="4"/>
  <c r="BM1981" i="4"/>
  <c r="BM2978" i="4"/>
  <c r="BN2978" i="4"/>
  <c r="BM2184" i="4"/>
  <c r="BN2184" i="4"/>
  <c r="BM1183" i="4"/>
  <c r="BN1183" i="4"/>
  <c r="BM2871" i="4"/>
  <c r="BN2871" i="4"/>
  <c r="BN1356" i="4"/>
  <c r="BM1356" i="4"/>
  <c r="BN2634" i="4"/>
  <c r="BM2634" i="4"/>
  <c r="BN1371" i="4"/>
  <c r="BM1371" i="4"/>
  <c r="BN2168" i="4"/>
  <c r="BM2168" i="4"/>
  <c r="BN1736" i="4"/>
  <c r="BM1736" i="4"/>
  <c r="BN799" i="4"/>
  <c r="BM799" i="4"/>
  <c r="BM1834" i="4"/>
  <c r="BN1834" i="4"/>
  <c r="BN3051" i="4"/>
  <c r="BM3051" i="4"/>
  <c r="BN3528" i="4"/>
  <c r="BM3528" i="4"/>
  <c r="BN2263" i="4"/>
  <c r="BM2263" i="4"/>
  <c r="BN3360" i="4"/>
  <c r="BM3360" i="4"/>
  <c r="BM485" i="4"/>
  <c r="BN485" i="4"/>
  <c r="BN3162" i="4"/>
  <c r="BM3162" i="4"/>
  <c r="BM2619" i="4"/>
  <c r="BN2619" i="4"/>
  <c r="BN1720" i="4"/>
  <c r="BM1720" i="4"/>
  <c r="BM1201" i="4"/>
  <c r="BN1201" i="4"/>
  <c r="BM2054" i="4"/>
  <c r="BN2054" i="4"/>
  <c r="BN2717" i="4"/>
  <c r="BM2717" i="4"/>
  <c r="BN3496" i="4"/>
  <c r="BM3496" i="4"/>
  <c r="BM3163" i="4"/>
  <c r="BN3163" i="4"/>
  <c r="BM418" i="4"/>
  <c r="BN418" i="4"/>
  <c r="BN1144" i="4"/>
  <c r="BM1144" i="4"/>
  <c r="BN1656" i="4"/>
  <c r="BM1656" i="4"/>
  <c r="BM2191" i="4"/>
  <c r="BN2191" i="4"/>
  <c r="BN2779" i="4"/>
  <c r="BM2779" i="4"/>
  <c r="BN3013" i="4"/>
  <c r="BM3013" i="4"/>
  <c r="BM2400" i="4"/>
  <c r="BN2400" i="4"/>
  <c r="BG1395" i="4"/>
  <c r="BF1395" i="4"/>
  <c r="BG3073" i="4"/>
  <c r="BF3073" i="4"/>
  <c r="BG5182" i="4"/>
  <c r="BF5182" i="4"/>
  <c r="BG5540" i="4"/>
  <c r="BF5540" i="4"/>
  <c r="BG4784" i="4"/>
  <c r="BF4784" i="4"/>
  <c r="BG4720" i="4"/>
  <c r="BF4720" i="4"/>
  <c r="BN2687" i="4"/>
  <c r="BM2687" i="4"/>
  <c r="BN1782" i="4"/>
  <c r="BM1782" i="4"/>
  <c r="BN1424" i="4"/>
  <c r="BM1424" i="4"/>
  <c r="BN531" i="4"/>
  <c r="BM531" i="4"/>
  <c r="BN2844" i="4"/>
  <c r="BM2844" i="4"/>
  <c r="BN3458" i="4"/>
  <c r="BM3458" i="4"/>
  <c r="BM2733" i="4"/>
  <c r="BN2733" i="4"/>
  <c r="BN1521" i="4"/>
  <c r="BM1521" i="4"/>
  <c r="BN704" i="4"/>
  <c r="BM704" i="4"/>
  <c r="BM2531" i="4"/>
  <c r="BN2531" i="4"/>
  <c r="BM2444" i="4"/>
  <c r="BN2444" i="4"/>
  <c r="BM3412" i="4"/>
  <c r="BN3412" i="4"/>
  <c r="BM2239" i="4"/>
  <c r="BN2239" i="4"/>
  <c r="BN1989" i="4"/>
  <c r="BM1989" i="4"/>
  <c r="BN1043" i="4"/>
  <c r="BM1043" i="4"/>
  <c r="BN476" i="4"/>
  <c r="BM476" i="4"/>
  <c r="BG671" i="4"/>
  <c r="BF671" i="4"/>
  <c r="BG439" i="4"/>
  <c r="BF439" i="4"/>
  <c r="BG2779" i="4"/>
  <c r="BF2779" i="4"/>
  <c r="BG4399" i="4"/>
  <c r="BF4399" i="4"/>
  <c r="BG853" i="4"/>
  <c r="BF853" i="4"/>
  <c r="BG3875" i="4"/>
  <c r="BF3875" i="4"/>
  <c r="BG726" i="4"/>
  <c r="BF726" i="4"/>
  <c r="BG2073" i="4"/>
  <c r="BF2073" i="4"/>
  <c r="BG3379" i="4"/>
  <c r="BF3379" i="4"/>
  <c r="BG5583" i="4"/>
  <c r="BF5583" i="4"/>
  <c r="BG344" i="4"/>
  <c r="BF344" i="4"/>
  <c r="BG1394" i="4"/>
  <c r="BF1394" i="4"/>
  <c r="BG3289" i="4"/>
  <c r="BF3289" i="4"/>
  <c r="BG233" i="4"/>
  <c r="BF233" i="4"/>
  <c r="BG730" i="4"/>
  <c r="BF730" i="4"/>
  <c r="BG2225" i="4"/>
  <c r="BF2225" i="4"/>
  <c r="BF389" i="4"/>
  <c r="BG389" i="4"/>
  <c r="BG1449" i="4"/>
  <c r="BF1449" i="4"/>
  <c r="BG2833" i="4"/>
  <c r="BF2833" i="4"/>
  <c r="BF5669" i="4"/>
  <c r="BG5669" i="4"/>
  <c r="BG789" i="4"/>
  <c r="BF789" i="4"/>
  <c r="BG1970" i="4"/>
  <c r="BF1970" i="4"/>
  <c r="BF1891" i="4"/>
  <c r="BG1891" i="4"/>
  <c r="BF332" i="4"/>
  <c r="BG332" i="4"/>
  <c r="BG5108" i="4"/>
  <c r="BF5108" i="4"/>
  <c r="BG412" i="4"/>
  <c r="BF412" i="4"/>
  <c r="BG4371" i="4"/>
  <c r="BF4371" i="4"/>
  <c r="BF905" i="4"/>
  <c r="BG905" i="4"/>
  <c r="BG2881" i="4"/>
  <c r="BF2881" i="4"/>
  <c r="BG5868" i="4"/>
  <c r="BF5868" i="4"/>
  <c r="BG655" i="4"/>
  <c r="BF655" i="4"/>
  <c r="BG1477" i="4"/>
  <c r="BF1477" i="4"/>
  <c r="BG2463" i="4"/>
  <c r="BF2463" i="4"/>
  <c r="BF1747" i="4"/>
  <c r="BG1747" i="4"/>
  <c r="BG73" i="4"/>
  <c r="BF73" i="4"/>
  <c r="BG803" i="4"/>
  <c r="BF803" i="4"/>
  <c r="BG3211" i="4"/>
  <c r="BF3211" i="4"/>
  <c r="BG2825" i="4"/>
  <c r="BF2825" i="4"/>
  <c r="BG1198" i="4"/>
  <c r="BF1198" i="4"/>
  <c r="BF4436" i="4"/>
  <c r="BG4436" i="4"/>
  <c r="BG2826" i="4"/>
  <c r="BF2826" i="4"/>
  <c r="BG3042" i="4"/>
  <c r="BF3042" i="4"/>
  <c r="BG3261" i="4"/>
  <c r="BF3261" i="4"/>
  <c r="BG4306" i="4"/>
  <c r="BF4306" i="4"/>
  <c r="BG5888" i="4"/>
  <c r="BF5888" i="4"/>
  <c r="BG3551" i="4"/>
  <c r="BF3551" i="4"/>
  <c r="BM1592" i="4"/>
  <c r="BN1592" i="4"/>
  <c r="BN918" i="4"/>
  <c r="BM918" i="4"/>
  <c r="BM464" i="4"/>
  <c r="BN464" i="4"/>
  <c r="BN79" i="4"/>
  <c r="BM79" i="4"/>
  <c r="BM2586" i="4"/>
  <c r="BN2586" i="4"/>
  <c r="BN1524" i="4"/>
  <c r="BM1524" i="4"/>
  <c r="BN864" i="4"/>
  <c r="BM864" i="4"/>
  <c r="BN881" i="4"/>
  <c r="BM881" i="4"/>
  <c r="BN1766" i="4"/>
  <c r="BM1766" i="4"/>
  <c r="BM2436" i="4"/>
  <c r="BN2436" i="4"/>
  <c r="BN3250" i="4"/>
  <c r="BM3250" i="4"/>
  <c r="BN163" i="4"/>
  <c r="BM163" i="4"/>
  <c r="BN430" i="4"/>
  <c r="BM430" i="4"/>
  <c r="BN1509" i="4"/>
  <c r="BM1509" i="4"/>
  <c r="BN2085" i="4"/>
  <c r="BM2085" i="4"/>
  <c r="BM2810" i="4"/>
  <c r="BN2810" i="4"/>
  <c r="BN188" i="4"/>
  <c r="BM188" i="4"/>
  <c r="BM1554" i="4"/>
  <c r="BN1554" i="4"/>
  <c r="BN2886" i="4"/>
  <c r="BM2886" i="4"/>
  <c r="BN3216" i="4"/>
  <c r="BM3216" i="4"/>
  <c r="BN419" i="4"/>
  <c r="BM419" i="4"/>
  <c r="BM1053" i="4"/>
  <c r="BN1053" i="4"/>
  <c r="BN1489" i="4"/>
  <c r="BM1489" i="4"/>
  <c r="BN2058" i="4"/>
  <c r="BM2058" i="4"/>
  <c r="BN838" i="4"/>
  <c r="BM838" i="4"/>
  <c r="BM1223" i="4"/>
  <c r="BN1223" i="4"/>
  <c r="BN2346" i="4"/>
  <c r="BM2346" i="4"/>
  <c r="BN3138" i="4"/>
  <c r="BM3138" i="4"/>
  <c r="BM675" i="4"/>
  <c r="BN675" i="4"/>
  <c r="BN1019" i="4"/>
  <c r="BM1019" i="4"/>
  <c r="BN2009" i="4"/>
  <c r="BM2009" i="4"/>
  <c r="BM2718" i="4"/>
  <c r="BN2718" i="4"/>
  <c r="BN839" i="4"/>
  <c r="BM839" i="4"/>
  <c r="BN1698" i="4"/>
  <c r="BM1698" i="4"/>
  <c r="BM1020" i="4"/>
  <c r="BN1020" i="4"/>
  <c r="BN1451" i="4"/>
  <c r="BM1451" i="4"/>
  <c r="BN2720" i="4"/>
  <c r="BM2720" i="4"/>
  <c r="BN1008" i="4"/>
  <c r="BM1008" i="4"/>
  <c r="BN2081" i="4"/>
  <c r="BM2081" i="4"/>
  <c r="BN2561" i="4"/>
  <c r="BM2561" i="4"/>
  <c r="BN3118" i="4"/>
  <c r="BM3118" i="4"/>
  <c r="BN2800" i="4"/>
  <c r="BM2800" i="4"/>
  <c r="BN959" i="4"/>
  <c r="BM959" i="4"/>
  <c r="BN1253" i="4"/>
  <c r="BM1253" i="4"/>
  <c r="BN1594" i="4"/>
  <c r="BM1594" i="4"/>
  <c r="BN2003" i="4"/>
  <c r="BM2003" i="4"/>
  <c r="BN2471" i="4"/>
  <c r="BM2471" i="4"/>
  <c r="BM833" i="4"/>
  <c r="BN833" i="4"/>
  <c r="BN2253" i="4"/>
  <c r="BM2253" i="4"/>
  <c r="BN846" i="4"/>
  <c r="BM846" i="4"/>
  <c r="BM1129" i="4"/>
  <c r="BN1129" i="4"/>
  <c r="BN1830" i="4"/>
  <c r="BM1830" i="4"/>
  <c r="BN3385" i="4"/>
  <c r="BM3385" i="4"/>
  <c r="BM848" i="4"/>
  <c r="BN848" i="4"/>
  <c r="BN1132" i="4"/>
  <c r="BM1132" i="4"/>
  <c r="BN1452" i="4"/>
  <c r="BM1452" i="4"/>
  <c r="BN1832" i="4"/>
  <c r="BM1832" i="4"/>
  <c r="BN2276" i="4"/>
  <c r="BM2276" i="4"/>
  <c r="BN862" i="4"/>
  <c r="BM862" i="4"/>
  <c r="BM1147" i="4"/>
  <c r="BN1147" i="4"/>
  <c r="BM1471" i="4"/>
  <c r="BN1471" i="4"/>
  <c r="BN1856" i="4"/>
  <c r="BM1856" i="4"/>
  <c r="BN3422" i="4"/>
  <c r="BM3422" i="4"/>
  <c r="BN1901" i="4"/>
  <c r="BM1901" i="4"/>
  <c r="BN2201" i="4"/>
  <c r="BM2201" i="4"/>
  <c r="BN2535" i="4"/>
  <c r="BM2535" i="4"/>
  <c r="BN3282" i="4"/>
  <c r="BM3282" i="4"/>
  <c r="BM1795" i="4"/>
  <c r="BN1795" i="4"/>
  <c r="BN2088" i="4"/>
  <c r="BM2088" i="4"/>
  <c r="BN2759" i="4"/>
  <c r="BM2759" i="4"/>
  <c r="BN3141" i="4"/>
  <c r="BM3141" i="4"/>
  <c r="BM3547" i="4"/>
  <c r="BN3547" i="4"/>
  <c r="BM1438" i="4"/>
  <c r="BN1438" i="4"/>
  <c r="BN2681" i="4"/>
  <c r="BM2681" i="4"/>
  <c r="BN3053" i="4"/>
  <c r="BM3053" i="4"/>
  <c r="BM289" i="4"/>
  <c r="BN289" i="4"/>
  <c r="BN796" i="4"/>
  <c r="BM796" i="4"/>
  <c r="BN1303" i="4"/>
  <c r="BM1303" i="4"/>
  <c r="BM1586" i="4"/>
  <c r="BN1586" i="4"/>
  <c r="BN1879" i="4"/>
  <c r="BM1879" i="4"/>
  <c r="BM2509" i="4"/>
  <c r="BN2509" i="4"/>
  <c r="BN2355" i="4"/>
  <c r="BM2355" i="4"/>
  <c r="BN3073" i="4"/>
  <c r="BM3073" i="4"/>
  <c r="BN970" i="4"/>
  <c r="BM970" i="4"/>
  <c r="BN1494" i="4"/>
  <c r="BM1494" i="4"/>
  <c r="BN1786" i="4"/>
  <c r="BM1786" i="4"/>
  <c r="BN2080" i="4"/>
  <c r="BM2080" i="4"/>
  <c r="BN2403" i="4"/>
  <c r="BM2403" i="4"/>
  <c r="BN2749" i="4"/>
  <c r="BM2749" i="4"/>
  <c r="BN3129" i="4"/>
  <c r="BM3129" i="4"/>
  <c r="BM1534" i="4"/>
  <c r="BN1534" i="4"/>
  <c r="BN3184" i="4"/>
  <c r="BM3184" i="4"/>
  <c r="BN3338" i="4"/>
  <c r="BM3338" i="4"/>
  <c r="BN2914" i="4"/>
  <c r="BM2914" i="4"/>
  <c r="BM3558" i="4"/>
  <c r="BN3558" i="4"/>
  <c r="BN1920" i="4"/>
  <c r="BM1920" i="4"/>
  <c r="BN2189" i="4"/>
  <c r="BM2189" i="4"/>
  <c r="BN2777" i="4"/>
  <c r="BM2777" i="4"/>
  <c r="BN3413" i="4"/>
  <c r="BM3413" i="4"/>
  <c r="BM231" i="4"/>
  <c r="BN231" i="4"/>
  <c r="BN473" i="4"/>
  <c r="BM473" i="4"/>
  <c r="BN715" i="4"/>
  <c r="BM715" i="4"/>
  <c r="BN957" i="4"/>
  <c r="BM957" i="4"/>
  <c r="BN1199" i="4"/>
  <c r="BM1199" i="4"/>
  <c r="BN2254" i="4"/>
  <c r="BM2254" i="4"/>
  <c r="BN2544" i="4"/>
  <c r="BM2544" i="4"/>
  <c r="BN3166" i="4"/>
  <c r="BM3166" i="4"/>
  <c r="BN3490" i="4"/>
  <c r="BM3490" i="4"/>
  <c r="BN3167" i="4"/>
  <c r="BM3167" i="4"/>
  <c r="BM2784" i="4"/>
  <c r="BN2784" i="4"/>
  <c r="BN3084" i="4"/>
  <c r="BM3084" i="4"/>
  <c r="BN3393" i="4"/>
  <c r="BM3393" i="4"/>
  <c r="BN2234" i="4"/>
  <c r="BM2234" i="4"/>
  <c r="BM2455" i="4"/>
  <c r="BN2455" i="4"/>
  <c r="BN2697" i="4"/>
  <c r="BM2697" i="4"/>
  <c r="BN2939" i="4"/>
  <c r="BM2939" i="4"/>
  <c r="BM3181" i="4"/>
  <c r="BN3181" i="4"/>
  <c r="BM3423" i="4"/>
  <c r="BN3423" i="4"/>
  <c r="BM2951" i="4"/>
  <c r="BN2951" i="4"/>
  <c r="BN1756" i="4"/>
  <c r="BM1756" i="4"/>
  <c r="BN1022" i="4"/>
  <c r="BM1022" i="4"/>
  <c r="BM537" i="4"/>
  <c r="BN537" i="4"/>
  <c r="BN140" i="4"/>
  <c r="BM140" i="4"/>
  <c r="BN2629" i="4"/>
  <c r="BM2629" i="4"/>
  <c r="BM2195" i="4"/>
  <c r="BN2195" i="4"/>
  <c r="BM1286" i="4"/>
  <c r="BN1286" i="4"/>
  <c r="BN706" i="4"/>
  <c r="BM706" i="4"/>
  <c r="BN3242" i="4"/>
  <c r="BM3242" i="4"/>
  <c r="BN606" i="4"/>
  <c r="BM606" i="4"/>
  <c r="BM2940" i="4"/>
  <c r="BN2940" i="4"/>
  <c r="BM1738" i="4"/>
  <c r="BN1738" i="4"/>
  <c r="BN1013" i="4"/>
  <c r="BM1013" i="4"/>
  <c r="BM530" i="4"/>
  <c r="BN530" i="4"/>
  <c r="BN2689" i="4"/>
  <c r="BM2689" i="4"/>
  <c r="BN1581" i="4"/>
  <c r="BM1581" i="4"/>
  <c r="BN456" i="4"/>
  <c r="BM456" i="4"/>
  <c r="BN1580" i="4"/>
  <c r="BM1580" i="4"/>
  <c r="BN908" i="4"/>
  <c r="BM908" i="4"/>
  <c r="BM43" i="4"/>
  <c r="BN43" i="4"/>
  <c r="BN1334" i="4"/>
  <c r="BM1334" i="4"/>
  <c r="BN328" i="4"/>
  <c r="BM328" i="4"/>
  <c r="BG4012" i="4"/>
  <c r="BF4012" i="4"/>
  <c r="BG2435" i="4"/>
  <c r="BF2435" i="4"/>
  <c r="BG770" i="4"/>
  <c r="BF770" i="4"/>
  <c r="BG144" i="4"/>
  <c r="BF144" i="4"/>
  <c r="BG1388" i="4"/>
  <c r="BF1388" i="4"/>
  <c r="BG639" i="4"/>
  <c r="BF639" i="4"/>
  <c r="BG2100" i="4"/>
  <c r="BF2100" i="4"/>
  <c r="BG5738" i="4"/>
  <c r="BF5738" i="4"/>
  <c r="BF1934" i="4"/>
  <c r="BG1934" i="4"/>
  <c r="BG1091" i="4"/>
  <c r="BF1091" i="4"/>
  <c r="BG4962" i="4"/>
  <c r="BF4962" i="4"/>
  <c r="BF1768" i="4"/>
  <c r="BG1768" i="4"/>
  <c r="BF4260" i="4"/>
  <c r="BG4260" i="4"/>
  <c r="BG2524" i="4"/>
  <c r="BF2524" i="4"/>
  <c r="BG196" i="4"/>
  <c r="BF196" i="4"/>
  <c r="BG2342" i="4"/>
  <c r="BF2342" i="4"/>
  <c r="BF879" i="4"/>
  <c r="BG879" i="4"/>
  <c r="BG1757" i="4"/>
  <c r="BF1757" i="4"/>
  <c r="BF2089" i="4"/>
  <c r="BG2089" i="4"/>
  <c r="BF2829" i="4"/>
  <c r="BG2829" i="4"/>
  <c r="BG3409" i="4"/>
  <c r="BF3409" i="4"/>
  <c r="BG4231" i="4"/>
  <c r="BF4231" i="4"/>
  <c r="BG5666" i="4"/>
  <c r="BF5666" i="4"/>
  <c r="BG113" i="4"/>
  <c r="BF113" i="4"/>
  <c r="BG355" i="4"/>
  <c r="BF355" i="4"/>
  <c r="BF597" i="4"/>
  <c r="BG597" i="4"/>
  <c r="BG845" i="4"/>
  <c r="BF845" i="4"/>
  <c r="BG1111" i="4"/>
  <c r="BF1111" i="4"/>
  <c r="BG1407" i="4"/>
  <c r="BF1407" i="4"/>
  <c r="BG277" i="4"/>
  <c r="BF277" i="4"/>
  <c r="BF1110" i="4"/>
  <c r="BG1110" i="4"/>
  <c r="BF1908" i="4"/>
  <c r="BG1908" i="4"/>
  <c r="BG2242" i="4"/>
  <c r="BF2242" i="4"/>
  <c r="BF2603" i="4"/>
  <c r="BG2603" i="4"/>
  <c r="BG3066" i="4"/>
  <c r="BF3066" i="4"/>
  <c r="BF158" i="4"/>
  <c r="BG158" i="4"/>
  <c r="BG400" i="4"/>
  <c r="BF400" i="4"/>
  <c r="BG642" i="4"/>
  <c r="BF642" i="4"/>
  <c r="BG892" i="4"/>
  <c r="BF892" i="4"/>
  <c r="BG1166" i="4"/>
  <c r="BF1166" i="4"/>
  <c r="BG1462" i="4"/>
  <c r="BF1462" i="4"/>
  <c r="BG2442" i="4"/>
  <c r="BF2442" i="4"/>
  <c r="BG2856" i="4"/>
  <c r="BF2856" i="4"/>
  <c r="BG5778" i="4"/>
  <c r="BF5778" i="4"/>
  <c r="BF1653" i="4"/>
  <c r="BG1653" i="4"/>
  <c r="BG1985" i="4"/>
  <c r="BF1985" i="4"/>
  <c r="BF2319" i="4"/>
  <c r="BG2319" i="4"/>
  <c r="BG5191" i="4"/>
  <c r="BF5191" i="4"/>
  <c r="BG1936" i="4"/>
  <c r="BF1936" i="4"/>
  <c r="BG2765" i="4"/>
  <c r="BF2765" i="4"/>
  <c r="BG4407" i="4"/>
  <c r="BF4407" i="4"/>
  <c r="BG387" i="4"/>
  <c r="BF387" i="4"/>
  <c r="BG1298" i="4"/>
  <c r="BF1298" i="4"/>
  <c r="BG3038" i="4"/>
  <c r="BF3038" i="4"/>
  <c r="BG5309" i="4"/>
  <c r="BF5309" i="4"/>
  <c r="BF181" i="4"/>
  <c r="BG181" i="4"/>
  <c r="BG423" i="4"/>
  <c r="BF423" i="4"/>
  <c r="BG665" i="4"/>
  <c r="BF665" i="4"/>
  <c r="BF916" i="4"/>
  <c r="BG916" i="4"/>
  <c r="BG1193" i="4"/>
  <c r="BF1193" i="4"/>
  <c r="BG1489" i="4"/>
  <c r="BF1489" i="4"/>
  <c r="BG2478" i="4"/>
  <c r="BF2478" i="4"/>
  <c r="BG3513" i="4"/>
  <c r="BF3513" i="4"/>
  <c r="BG5946" i="4"/>
  <c r="BF5946" i="4"/>
  <c r="BG1805" i="4"/>
  <c r="BF1805" i="4"/>
  <c r="BG2137" i="4"/>
  <c r="BF2137" i="4"/>
  <c r="BF4432" i="4"/>
  <c r="BG4432" i="4"/>
  <c r="BG182" i="4"/>
  <c r="BF182" i="4"/>
  <c r="BG424" i="4"/>
  <c r="BF424" i="4"/>
  <c r="BG666" i="4"/>
  <c r="BF666" i="4"/>
  <c r="BF917" i="4"/>
  <c r="BG917" i="4"/>
  <c r="BG1196" i="4"/>
  <c r="BF1196" i="4"/>
  <c r="BG1490" i="4"/>
  <c r="BF1490" i="4"/>
  <c r="BG2479" i="4"/>
  <c r="BF2479" i="4"/>
  <c r="BF2906" i="4"/>
  <c r="BG2906" i="4"/>
  <c r="BF3514" i="4"/>
  <c r="BG3514" i="4"/>
  <c r="BG5957" i="4"/>
  <c r="BF5957" i="4"/>
  <c r="BF883" i="4"/>
  <c r="BG883" i="4"/>
  <c r="BF1761" i="4"/>
  <c r="BG1761" i="4"/>
  <c r="BG2093" i="4"/>
  <c r="BF2093" i="4"/>
  <c r="BG2429" i="4"/>
  <c r="BF2429" i="4"/>
  <c r="BG2836" i="4"/>
  <c r="BF2836" i="4"/>
  <c r="BG4256" i="4"/>
  <c r="BF4256" i="4"/>
  <c r="BF84" i="4"/>
  <c r="BG84" i="4"/>
  <c r="BF326" i="4"/>
  <c r="BG326" i="4"/>
  <c r="BG568" i="4"/>
  <c r="BF568" i="4"/>
  <c r="BG1076" i="4"/>
  <c r="BF1076" i="4"/>
  <c r="BG1372" i="4"/>
  <c r="BF1372" i="4"/>
  <c r="BG2718" i="4"/>
  <c r="BF2718" i="4"/>
  <c r="BG3240" i="4"/>
  <c r="BF3240" i="4"/>
  <c r="BG3970" i="4"/>
  <c r="BF3970" i="4"/>
  <c r="BF5273" i="4"/>
  <c r="BG5273" i="4"/>
  <c r="BG723" i="4"/>
  <c r="BF723" i="4"/>
  <c r="BG1883" i="4"/>
  <c r="BF1883" i="4"/>
  <c r="BG2216" i="4"/>
  <c r="BF2216" i="4"/>
  <c r="BG3024" i="4"/>
  <c r="BF3024" i="4"/>
  <c r="BG3678" i="4"/>
  <c r="BF3678" i="4"/>
  <c r="BG2012" i="4"/>
  <c r="BF2012" i="4"/>
  <c r="BG453" i="4"/>
  <c r="BF453" i="4"/>
  <c r="BG1231" i="4"/>
  <c r="BF1231" i="4"/>
  <c r="BG3011" i="4"/>
  <c r="BF3011" i="4"/>
  <c r="BG5517" i="4"/>
  <c r="BF5517" i="4"/>
  <c r="BG195" i="4"/>
  <c r="BF195" i="4"/>
  <c r="BG437" i="4"/>
  <c r="BF437" i="4"/>
  <c r="BG679" i="4"/>
  <c r="BF679" i="4"/>
  <c r="BF1211" i="4"/>
  <c r="BG1211" i="4"/>
  <c r="BG1507" i="4"/>
  <c r="BF1507" i="4"/>
  <c r="BG2501" i="4"/>
  <c r="BF2501" i="4"/>
  <c r="BG2932" i="4"/>
  <c r="BF2932" i="4"/>
  <c r="BG4510" i="4"/>
  <c r="BF4510" i="4"/>
  <c r="BG4606" i="4"/>
  <c r="BF4606" i="4"/>
  <c r="BG3457" i="4"/>
  <c r="BF3457" i="4"/>
  <c r="BF5597" i="4"/>
  <c r="BG5597" i="4"/>
  <c r="BG2780" i="4"/>
  <c r="BF2780" i="4"/>
  <c r="BG3057" i="4"/>
  <c r="BF3057" i="4"/>
  <c r="BF4166" i="4"/>
  <c r="BG4166" i="4"/>
  <c r="BG2700" i="4"/>
  <c r="BF2700" i="4"/>
  <c r="BG2964" i="4"/>
  <c r="BF2964" i="4"/>
  <c r="BG3277" i="4"/>
  <c r="BF3277" i="4"/>
  <c r="BG5230" i="4"/>
  <c r="BF5230" i="4"/>
  <c r="BF6000" i="4"/>
  <c r="BG6000" i="4"/>
  <c r="BG1830" i="4"/>
  <c r="BF1830" i="4"/>
  <c r="BG2072" i="4"/>
  <c r="BF2072" i="4"/>
  <c r="BG2314" i="4"/>
  <c r="BF2314" i="4"/>
  <c r="BG2562" i="4"/>
  <c r="BF2562" i="4"/>
  <c r="BG2816" i="4"/>
  <c r="BF2816" i="4"/>
  <c r="BG3101" i="4"/>
  <c r="BF3101" i="4"/>
  <c r="BG3789" i="4"/>
  <c r="BF3789" i="4"/>
  <c r="BG5535" i="4"/>
  <c r="BF5535" i="4"/>
  <c r="BF3476" i="4"/>
  <c r="BG3476" i="4"/>
  <c r="BG4332" i="4"/>
  <c r="BF4332" i="4"/>
  <c r="BG3589" i="4"/>
  <c r="BF3589" i="4"/>
  <c r="BG3978" i="4"/>
  <c r="BF3978" i="4"/>
  <c r="BG2941" i="4"/>
  <c r="BF2941" i="4"/>
  <c r="BG3249" i="4"/>
  <c r="BF3249" i="4"/>
  <c r="BF4527" i="4"/>
  <c r="BG4527" i="4"/>
  <c r="BG5176" i="4"/>
  <c r="BF5176" i="4"/>
  <c r="BG5926" i="4"/>
  <c r="BF5926" i="4"/>
  <c r="BG1194" i="4"/>
  <c r="BF1194" i="4"/>
  <c r="BG1436" i="4"/>
  <c r="BF1436" i="4"/>
  <c r="BF1678" i="4"/>
  <c r="BG1678" i="4"/>
  <c r="BF1920" i="4"/>
  <c r="BG1920" i="4"/>
  <c r="BF2162" i="4"/>
  <c r="BG2162" i="4"/>
  <c r="BG2404" i="4"/>
  <c r="BF2404" i="4"/>
  <c r="BF3942" i="4"/>
  <c r="BG3942" i="4"/>
  <c r="BF4474" i="4"/>
  <c r="BG4474" i="4"/>
  <c r="BG5122" i="4"/>
  <c r="BF5122" i="4"/>
  <c r="BG2634" i="4"/>
  <c r="BF2634" i="4"/>
  <c r="BF3908" i="4"/>
  <c r="BG3908" i="4"/>
  <c r="BG4421" i="4"/>
  <c r="BF4421" i="4"/>
  <c r="BG5772" i="4"/>
  <c r="BF5772" i="4"/>
  <c r="BG1052" i="4"/>
  <c r="BF1052" i="4"/>
  <c r="BG1294" i="4"/>
  <c r="BF1294" i="4"/>
  <c r="BF1536" i="4"/>
  <c r="BG1536" i="4"/>
  <c r="BG1778" i="4"/>
  <c r="BF1778" i="4"/>
  <c r="BG2020" i="4"/>
  <c r="BF2020" i="4"/>
  <c r="BG2262" i="4"/>
  <c r="BF2262" i="4"/>
  <c r="BF2508" i="4"/>
  <c r="BG2508" i="4"/>
  <c r="BG3033" i="4"/>
  <c r="BF3033" i="4"/>
  <c r="BG2635" i="4"/>
  <c r="BF2635" i="4"/>
  <c r="BF2893" i="4"/>
  <c r="BG2893" i="4"/>
  <c r="BG3192" i="4"/>
  <c r="BF3192" i="4"/>
  <c r="BG4422" i="4"/>
  <c r="BF4422" i="4"/>
  <c r="BF4298" i="4"/>
  <c r="BG4298" i="4"/>
  <c r="BG4581" i="4"/>
  <c r="BF4581" i="4"/>
  <c r="BG4874" i="4"/>
  <c r="BF4874" i="4"/>
  <c r="BG5168" i="4"/>
  <c r="BF5168" i="4"/>
  <c r="BG5464" i="4"/>
  <c r="BF5464" i="4"/>
  <c r="BG3076" i="4"/>
  <c r="BF3076" i="4"/>
  <c r="BG3318" i="4"/>
  <c r="BF3318" i="4"/>
  <c r="BG3560" i="4"/>
  <c r="BF3560" i="4"/>
  <c r="BG4375" i="4"/>
  <c r="BF4375" i="4"/>
  <c r="BG5249" i="4"/>
  <c r="BF5249" i="4"/>
  <c r="BG5947" i="4"/>
  <c r="BF5947" i="4"/>
  <c r="BG4007" i="4"/>
  <c r="BF4007" i="4"/>
  <c r="BF4569" i="4"/>
  <c r="BG4569" i="4"/>
  <c r="BG5451" i="4"/>
  <c r="BF5451" i="4"/>
  <c r="BF3363" i="4"/>
  <c r="BG3363" i="4"/>
  <c r="BF3605" i="4"/>
  <c r="BG3605" i="4"/>
  <c r="BG3867" i="4"/>
  <c r="BF3867" i="4"/>
  <c r="BF4715" i="4"/>
  <c r="BG4715" i="4"/>
  <c r="BG6023" i="4"/>
  <c r="BF6023" i="4"/>
  <c r="BG4147" i="4"/>
  <c r="BF4147" i="4"/>
  <c r="BF4428" i="4"/>
  <c r="BG4428" i="4"/>
  <c r="BG5010" i="4"/>
  <c r="BF5010" i="4"/>
  <c r="BF5303" i="4"/>
  <c r="BG5303" i="4"/>
  <c r="BG5622" i="4"/>
  <c r="BF5622" i="4"/>
  <c r="BF3078" i="4"/>
  <c r="BG3078" i="4"/>
  <c r="BG3320" i="4"/>
  <c r="BF3320" i="4"/>
  <c r="BG3562" i="4"/>
  <c r="BF3562" i="4"/>
  <c r="BG4377" i="4"/>
  <c r="BF4377" i="4"/>
  <c r="BG5251" i="4"/>
  <c r="BF5251" i="4"/>
  <c r="BG5953" i="4"/>
  <c r="BF5953" i="4"/>
  <c r="BG4059" i="4"/>
  <c r="BF4059" i="4"/>
  <c r="BF4340" i="4"/>
  <c r="BG4340" i="4"/>
  <c r="BF4918" i="4"/>
  <c r="BG4918" i="4"/>
  <c r="BF5898" i="4"/>
  <c r="BG5898" i="4"/>
  <c r="BG5440" i="4"/>
  <c r="BF5440" i="4"/>
  <c r="BG5805" i="4"/>
  <c r="BF5805" i="4"/>
  <c r="BG4099" i="4"/>
  <c r="BF4099" i="4"/>
  <c r="BG4958" i="4"/>
  <c r="BF4958" i="4"/>
  <c r="BG5559" i="4"/>
  <c r="BF5559" i="4"/>
  <c r="BG5714" i="4"/>
  <c r="BF5714" i="4"/>
  <c r="BF4253" i="4"/>
  <c r="BG4253" i="4"/>
  <c r="BG3169" i="4"/>
  <c r="BF3169" i="4"/>
  <c r="BF3411" i="4"/>
  <c r="BG3411" i="4"/>
  <c r="BF3653" i="4"/>
  <c r="BG3653" i="4"/>
  <c r="BG4202" i="4"/>
  <c r="BF4202" i="4"/>
  <c r="BF4483" i="4"/>
  <c r="BG4483" i="4"/>
  <c r="BG4773" i="4"/>
  <c r="BF4773" i="4"/>
  <c r="BG5699" i="4"/>
  <c r="BF5699" i="4"/>
  <c r="BF5824" i="4"/>
  <c r="BG5824" i="4"/>
  <c r="BG4855" i="4"/>
  <c r="BF4855" i="4"/>
  <c r="BG5362" i="4"/>
  <c r="BF5362" i="4"/>
  <c r="BG5640" i="4"/>
  <c r="BF5640" i="4"/>
  <c r="BG5936" i="4"/>
  <c r="BF5936" i="4"/>
  <c r="BG3917" i="4"/>
  <c r="BF3917" i="4"/>
  <c r="BG4159" i="4"/>
  <c r="BF4159" i="4"/>
  <c r="BG4401" i="4"/>
  <c r="BF4401" i="4"/>
  <c r="BG4648" i="4"/>
  <c r="BF4648" i="4"/>
  <c r="BG5155" i="4"/>
  <c r="BF5155" i="4"/>
  <c r="BG3885" i="4"/>
  <c r="BF3885" i="4"/>
  <c r="BG4127" i="4"/>
  <c r="BF4127" i="4"/>
  <c r="BG4369" i="4"/>
  <c r="BF4369" i="4"/>
  <c r="BG4868" i="4"/>
  <c r="BF4868" i="4"/>
  <c r="BG5375" i="4"/>
  <c r="BF5375" i="4"/>
  <c r="BG5565" i="4"/>
  <c r="BF5565" i="4"/>
  <c r="BG5807" i="4"/>
  <c r="BF5807" i="4"/>
  <c r="BG4642" i="4"/>
  <c r="BF4642" i="4"/>
  <c r="BF4884" i="4"/>
  <c r="BG4884" i="4"/>
  <c r="BF5126" i="4"/>
  <c r="BG5126" i="4"/>
  <c r="BF5368" i="4"/>
  <c r="BG5368" i="4"/>
  <c r="BF5610" i="4"/>
  <c r="BG5610" i="4"/>
  <c r="BF5852" i="4"/>
  <c r="BG5852" i="4"/>
  <c r="BG912" i="4"/>
  <c r="BF912" i="4"/>
  <c r="BG3975" i="4"/>
  <c r="BF3975" i="4"/>
  <c r="BG3497" i="4"/>
  <c r="BF3497" i="4"/>
  <c r="BG1335" i="4"/>
  <c r="BF1335" i="4"/>
  <c r="BG2005" i="4"/>
  <c r="BF2005" i="4"/>
  <c r="BF5630" i="4"/>
  <c r="BG5630" i="4"/>
  <c r="BN3465" i="4"/>
  <c r="BM3465" i="4"/>
  <c r="BN917" i="4"/>
  <c r="BM917" i="4"/>
  <c r="BN1831" i="4"/>
  <c r="BM1831" i="4"/>
  <c r="BN2442" i="4"/>
  <c r="BM2442" i="4"/>
  <c r="BM434" i="4"/>
  <c r="BN434" i="4"/>
  <c r="BN2095" i="4"/>
  <c r="BM2095" i="4"/>
  <c r="BN42" i="4"/>
  <c r="BM42" i="4"/>
  <c r="BN2379" i="4"/>
  <c r="BM2379" i="4"/>
  <c r="BN2122" i="4"/>
  <c r="BM2122" i="4"/>
  <c r="BN3176" i="4"/>
  <c r="BM3176" i="4"/>
  <c r="BM3408" i="4"/>
  <c r="BN3408" i="4"/>
  <c r="BN1311" i="4"/>
  <c r="BM1311" i="4"/>
  <c r="BN3125" i="4"/>
  <c r="BM3125" i="4"/>
  <c r="BN1676" i="4"/>
  <c r="BM1676" i="4"/>
  <c r="BN1680" i="4"/>
  <c r="BM1680" i="4"/>
  <c r="BN2592" i="4"/>
  <c r="BM2592" i="4"/>
  <c r="BN496" i="4"/>
  <c r="BM496" i="4"/>
  <c r="BN1699" i="4"/>
  <c r="BM1699" i="4"/>
  <c r="BN3189" i="4"/>
  <c r="BM3189" i="4"/>
  <c r="BN2087" i="4"/>
  <c r="BM2087" i="4"/>
  <c r="BN3069" i="4"/>
  <c r="BM3069" i="4"/>
  <c r="BM1624" i="4"/>
  <c r="BN1624" i="4"/>
  <c r="BN2911" i="4"/>
  <c r="BM2911" i="4"/>
  <c r="BN2065" i="4"/>
  <c r="BM2065" i="4"/>
  <c r="BN3513" i="4"/>
  <c r="BM3513" i="4"/>
  <c r="BN2572" i="4"/>
  <c r="BM2572" i="4"/>
  <c r="BN1388" i="4"/>
  <c r="BM1388" i="4"/>
  <c r="BN1973" i="4"/>
  <c r="BM1973" i="4"/>
  <c r="BN2326" i="4"/>
  <c r="BM2326" i="4"/>
  <c r="BN3439" i="4"/>
  <c r="BM3439" i="4"/>
  <c r="BN1557" i="4"/>
  <c r="BM1557" i="4"/>
  <c r="BN143" i="4"/>
  <c r="BM143" i="4"/>
  <c r="BN627" i="4"/>
  <c r="BM627" i="4"/>
  <c r="BN1355" i="4"/>
  <c r="BM1355" i="4"/>
  <c r="BN2737" i="4"/>
  <c r="BM2737" i="4"/>
  <c r="BM3372" i="4"/>
  <c r="BN3372" i="4"/>
  <c r="BN2609" i="4"/>
  <c r="BM2609" i="4"/>
  <c r="BM3335" i="4"/>
  <c r="BN3335" i="4"/>
  <c r="BN2869" i="4"/>
  <c r="BM2869" i="4"/>
  <c r="BM890" i="4"/>
  <c r="BN890" i="4"/>
  <c r="BN1374" i="4"/>
  <c r="BM1374" i="4"/>
  <c r="BN3565" i="4"/>
  <c r="BM3565" i="4"/>
  <c r="BN3230" i="4"/>
  <c r="BM3230" i="4"/>
  <c r="BN3078" i="4"/>
  <c r="BM3078" i="4"/>
  <c r="BN566" i="4"/>
  <c r="BM566" i="4"/>
  <c r="BN1613" i="4"/>
  <c r="BM1613" i="4"/>
  <c r="BG2847" i="4"/>
  <c r="BF2847" i="4"/>
  <c r="BG4632" i="4"/>
  <c r="BF4632" i="4"/>
  <c r="BG638" i="4"/>
  <c r="BF638" i="4"/>
  <c r="BG3255" i="4"/>
  <c r="BF3255" i="4"/>
  <c r="BF1081" i="4"/>
  <c r="BG1081" i="4"/>
  <c r="BG1765" i="4"/>
  <c r="BF1765" i="4"/>
  <c r="BG298" i="4"/>
  <c r="BF298" i="4"/>
  <c r="BG1968" i="4"/>
  <c r="BF1968" i="4"/>
  <c r="BG3877" i="4"/>
  <c r="BF3877" i="4"/>
  <c r="BG25" i="4"/>
  <c r="BF25" i="4"/>
  <c r="BF509" i="4"/>
  <c r="BG509" i="4"/>
  <c r="BF1299" i="4"/>
  <c r="BG1299" i="4"/>
  <c r="BG2619" i="4"/>
  <c r="BF2619" i="4"/>
  <c r="BF786" i="4"/>
  <c r="BG786" i="4"/>
  <c r="BG1787" i="4"/>
  <c r="BF1787" i="4"/>
  <c r="BG3470" i="4"/>
  <c r="BF3470" i="4"/>
  <c r="BG312" i="4"/>
  <c r="BF312" i="4"/>
  <c r="BG800" i="4"/>
  <c r="BF800" i="4"/>
  <c r="BF1354" i="4"/>
  <c r="BG1354" i="4"/>
  <c r="BG2695" i="4"/>
  <c r="BF2695" i="4"/>
  <c r="BG3876" i="4"/>
  <c r="BF3876" i="4"/>
  <c r="BF1864" i="4"/>
  <c r="BG1864" i="4"/>
  <c r="BG4684" i="4"/>
  <c r="BF4684" i="4"/>
  <c r="BF101" i="4"/>
  <c r="BG101" i="4"/>
  <c r="BF3989" i="4"/>
  <c r="BG3989" i="4"/>
  <c r="BG335" i="4"/>
  <c r="BF335" i="4"/>
  <c r="BG577" i="4"/>
  <c r="BF577" i="4"/>
  <c r="BG1087" i="4"/>
  <c r="BF1087" i="4"/>
  <c r="BG2016" i="4"/>
  <c r="BF2016" i="4"/>
  <c r="BG2732" i="4"/>
  <c r="BF2732" i="4"/>
  <c r="BG4003" i="4"/>
  <c r="BF4003" i="4"/>
  <c r="BF94" i="4"/>
  <c r="BG94" i="4"/>
  <c r="BG578" i="4"/>
  <c r="BF578" i="4"/>
  <c r="BG1088" i="4"/>
  <c r="BF1088" i="4"/>
  <c r="BG1972" i="4"/>
  <c r="BF1972" i="4"/>
  <c r="BG5136" i="4"/>
  <c r="BF5136" i="4"/>
  <c r="BF238" i="4"/>
  <c r="BG238" i="4"/>
  <c r="BG722" i="4"/>
  <c r="BF722" i="4"/>
  <c r="BG1264" i="4"/>
  <c r="BF1264" i="4"/>
  <c r="BG4750" i="4"/>
  <c r="BF4750" i="4"/>
  <c r="BG884" i="4"/>
  <c r="BF884" i="4"/>
  <c r="BG2095" i="4"/>
  <c r="BF2095" i="4"/>
  <c r="BG1739" i="4"/>
  <c r="BF1739" i="4"/>
  <c r="BF913" i="4"/>
  <c r="BG913" i="4"/>
  <c r="BG107" i="4"/>
  <c r="BF107" i="4"/>
  <c r="BG4051" i="4"/>
  <c r="BF4051" i="4"/>
  <c r="BG4383" i="4"/>
  <c r="BF4383" i="4"/>
  <c r="BG2745" i="4"/>
  <c r="BF2745" i="4"/>
  <c r="BG3336" i="4"/>
  <c r="BF3336" i="4"/>
  <c r="BG4698" i="4"/>
  <c r="BF4698" i="4"/>
  <c r="BG2951" i="4"/>
  <c r="BF2951" i="4"/>
  <c r="BF3490" i="4"/>
  <c r="BG3490" i="4"/>
  <c r="BG1742" i="4"/>
  <c r="BF1742" i="4"/>
  <c r="BG2226" i="4"/>
  <c r="BF2226" i="4"/>
  <c r="BG3030" i="4"/>
  <c r="BF3030" i="4"/>
  <c r="BF5378" i="4"/>
  <c r="BG5378" i="4"/>
  <c r="BG1106" i="4"/>
  <c r="BF1106" i="4"/>
  <c r="BF1832" i="4"/>
  <c r="BG1832" i="4"/>
  <c r="BG2316" i="4"/>
  <c r="BF2316" i="4"/>
  <c r="BG3432" i="4"/>
  <c r="BF3432" i="4"/>
  <c r="BG4254" i="4"/>
  <c r="BF4254" i="4"/>
  <c r="BG3759" i="4"/>
  <c r="BF3759" i="4"/>
  <c r="BG4828" i="4"/>
  <c r="BF4828" i="4"/>
  <c r="BG964" i="4"/>
  <c r="BF964" i="4"/>
  <c r="BF1448" i="4"/>
  <c r="BG1448" i="4"/>
  <c r="BG2174" i="4"/>
  <c r="BF2174" i="4"/>
  <c r="BG2988" i="4"/>
  <c r="BF2988" i="4"/>
  <c r="BF3716" i="4"/>
  <c r="BG3716" i="4"/>
  <c r="BG4848" i="4"/>
  <c r="BF4848" i="4"/>
  <c r="BG5800" i="4"/>
  <c r="BF5800" i="4"/>
  <c r="BF3904" i="4"/>
  <c r="BG3904" i="4"/>
  <c r="BG5672" i="4"/>
  <c r="BF5672" i="4"/>
  <c r="BF3275" i="4"/>
  <c r="BG3275" i="4"/>
  <c r="BG4045" i="4"/>
  <c r="BF4045" i="4"/>
  <c r="BF4903" i="4"/>
  <c r="BG4903" i="4"/>
  <c r="BG5876" i="4"/>
  <c r="BF5876" i="4"/>
  <c r="BG3232" i="4"/>
  <c r="BF3232" i="4"/>
  <c r="BG3718" i="4"/>
  <c r="BF3718" i="4"/>
  <c r="BG5144" i="4"/>
  <c r="BF5144" i="4"/>
  <c r="BG5659" i="4"/>
  <c r="BF5659" i="4"/>
  <c r="BG4852" i="4"/>
  <c r="BF4852" i="4"/>
  <c r="BG4393" i="4"/>
  <c r="BF4393" i="4"/>
  <c r="BG5266" i="4"/>
  <c r="BF5266" i="4"/>
  <c r="BG5013" i="4"/>
  <c r="BF5013" i="4"/>
  <c r="BG5626" i="4"/>
  <c r="BF5626" i="4"/>
  <c r="BG3821" i="4"/>
  <c r="BF3821" i="4"/>
  <c r="BG4667" i="4"/>
  <c r="BF4667" i="4"/>
  <c r="BG5254" i="4"/>
  <c r="BF5254" i="4"/>
  <c r="BG6012" i="4"/>
  <c r="BF6012" i="4"/>
  <c r="BG5534" i="4"/>
  <c r="BF5534" i="4"/>
  <c r="BG3829" i="4"/>
  <c r="BF3829" i="4"/>
  <c r="BG4313" i="4"/>
  <c r="BF4313" i="4"/>
  <c r="BG5063" i="4"/>
  <c r="BF5063" i="4"/>
  <c r="BG4523" i="4"/>
  <c r="BF4523" i="4"/>
  <c r="BG5719" i="4"/>
  <c r="BF5719" i="4"/>
  <c r="BG4554" i="4"/>
  <c r="BF4554" i="4"/>
  <c r="BG4796" i="4"/>
  <c r="BF4796" i="4"/>
  <c r="BG5522" i="4"/>
  <c r="BF5522" i="4"/>
  <c r="BF1189" i="4"/>
  <c r="BG1189" i="4"/>
  <c r="BG1633" i="4"/>
  <c r="BF1633" i="4"/>
  <c r="BG3761" i="4"/>
  <c r="BF3761" i="4"/>
  <c r="BG78" i="4"/>
  <c r="BF78" i="4"/>
  <c r="BN195" i="4"/>
  <c r="BM195" i="4"/>
  <c r="BM2962" i="4"/>
  <c r="BN2962" i="4"/>
  <c r="BN344" i="4"/>
  <c r="BM344" i="4"/>
  <c r="BN1357" i="4"/>
  <c r="BM1357" i="4"/>
  <c r="BN3424" i="4"/>
  <c r="BM3424" i="4"/>
  <c r="BN981" i="4"/>
  <c r="BM981" i="4"/>
  <c r="BN2181" i="4"/>
  <c r="BM2181" i="4"/>
  <c r="BM72" i="4"/>
  <c r="BN72" i="4"/>
  <c r="BM932" i="4"/>
  <c r="BN932" i="4"/>
  <c r="BN904" i="4"/>
  <c r="BM904" i="4"/>
  <c r="BN1805" i="4"/>
  <c r="BM1805" i="4"/>
  <c r="BN3309" i="4"/>
  <c r="BM3309" i="4"/>
  <c r="BN53" i="4"/>
  <c r="BM53" i="4"/>
  <c r="BM2404" i="4"/>
  <c r="BN2404" i="4"/>
  <c r="BN2141" i="4"/>
  <c r="BM2141" i="4"/>
  <c r="BN3205" i="4"/>
  <c r="BM3205" i="4"/>
  <c r="BN1156" i="4"/>
  <c r="BM1156" i="4"/>
  <c r="BN3440" i="4"/>
  <c r="BM3440" i="4"/>
  <c r="BN1342" i="4"/>
  <c r="BM1342" i="4"/>
  <c r="BN2611" i="4"/>
  <c r="BM2611" i="4"/>
  <c r="BM1344" i="4"/>
  <c r="BN1344" i="4"/>
  <c r="BN1360" i="4"/>
  <c r="BM1360" i="4"/>
  <c r="BN1807" i="4"/>
  <c r="BM1807" i="4"/>
  <c r="BN2775" i="4"/>
  <c r="BM2775" i="4"/>
  <c r="BN1995" i="4"/>
  <c r="BM1995" i="4"/>
  <c r="BN3414" i="4"/>
  <c r="BM3414" i="4"/>
  <c r="BN208" i="4"/>
  <c r="BM208" i="4"/>
  <c r="BM969" i="4"/>
  <c r="BN969" i="4"/>
  <c r="BM1785" i="4"/>
  <c r="BN1785" i="4"/>
  <c r="BN3532" i="4"/>
  <c r="BM3532" i="4"/>
  <c r="BN1694" i="4"/>
  <c r="BM1694" i="4"/>
  <c r="BN1178" i="4"/>
  <c r="BM1178" i="4"/>
  <c r="BM1734" i="4"/>
  <c r="BN1734" i="4"/>
  <c r="BM2685" i="4"/>
  <c r="BN2685" i="4"/>
  <c r="BN396" i="4"/>
  <c r="BM396" i="4"/>
  <c r="BN880" i="4"/>
  <c r="BM880" i="4"/>
  <c r="BN3386" i="4"/>
  <c r="BM3386" i="4"/>
  <c r="BN3065" i="4"/>
  <c r="BM3065" i="4"/>
  <c r="BN3294" i="4"/>
  <c r="BM3294" i="4"/>
  <c r="BM2301" i="4"/>
  <c r="BN2301" i="4"/>
  <c r="BM3104" i="4"/>
  <c r="BN3104" i="4"/>
  <c r="BM3108" i="4"/>
  <c r="BN3108" i="4"/>
  <c r="BM2575" i="4"/>
  <c r="BN2575" i="4"/>
  <c r="BN423" i="4"/>
  <c r="BM423" i="4"/>
  <c r="BN2076" i="4"/>
  <c r="BM2076" i="4"/>
  <c r="BN259" i="4"/>
  <c r="BM259" i="4"/>
  <c r="BM549" i="4"/>
  <c r="BN549" i="4"/>
  <c r="BN71" i="4"/>
  <c r="BM71" i="4"/>
  <c r="BF2055" i="4"/>
  <c r="BG2055" i="4"/>
  <c r="BG1021" i="4"/>
  <c r="BF1021" i="4"/>
  <c r="BG323" i="4"/>
  <c r="BF323" i="4"/>
  <c r="BG1694" i="4"/>
  <c r="BF1694" i="4"/>
  <c r="BG1699" i="4"/>
  <c r="BF1699" i="4"/>
  <c r="BG491" i="4"/>
  <c r="BF491" i="4"/>
  <c r="BF4815" i="4"/>
  <c r="BG4815" i="4"/>
  <c r="BF178" i="4"/>
  <c r="BG178" i="4"/>
  <c r="BF850" i="4"/>
  <c r="BG850" i="4"/>
  <c r="BG5046" i="4"/>
  <c r="BF5046" i="4"/>
  <c r="BG4725" i="4"/>
  <c r="BF4725" i="4"/>
  <c r="BG4013" i="4"/>
  <c r="BF4013" i="4"/>
  <c r="BF3044" i="4"/>
  <c r="BG3044" i="4"/>
  <c r="BG1359" i="4"/>
  <c r="BF1359" i="4"/>
  <c r="BG3812" i="4"/>
  <c r="BF3812" i="4"/>
  <c r="BG4221" i="4"/>
  <c r="BF4221" i="4"/>
  <c r="BG1943" i="4"/>
  <c r="BF1943" i="4"/>
  <c r="BG4209" i="4"/>
  <c r="BF4209" i="4"/>
  <c r="BG4568" i="4"/>
  <c r="BF4568" i="4"/>
  <c r="BG3778" i="4"/>
  <c r="BF3778" i="4"/>
  <c r="BG5209" i="4"/>
  <c r="BF5209" i="4"/>
  <c r="BG5592" i="4"/>
  <c r="BF5592" i="4"/>
  <c r="BG5645" i="4"/>
  <c r="BF5645" i="4"/>
  <c r="BG4394" i="4"/>
  <c r="BF4394" i="4"/>
  <c r="BG5975" i="4"/>
  <c r="BF5975" i="4"/>
  <c r="BG5328" i="4"/>
  <c r="BF5328" i="4"/>
  <c r="BG5972" i="4"/>
  <c r="BF5972" i="4"/>
  <c r="BG5775" i="4"/>
  <c r="BF5775" i="4"/>
  <c r="BG3084" i="4"/>
  <c r="BF3084" i="4"/>
  <c r="BG1798" i="4"/>
  <c r="BF1798" i="4"/>
  <c r="BF1593" i="4"/>
  <c r="BG1593" i="4"/>
  <c r="BG2203" i="4"/>
  <c r="BF2203" i="4"/>
  <c r="BN1851" i="4"/>
  <c r="BM1851" i="4"/>
  <c r="BN1024" i="4"/>
  <c r="BM1024" i="4"/>
  <c r="BN1160" i="4"/>
  <c r="BM1160" i="4"/>
  <c r="BN2240" i="4"/>
  <c r="BM2240" i="4"/>
  <c r="BM3464" i="4"/>
  <c r="BN3464" i="4"/>
  <c r="BN997" i="4"/>
  <c r="BM997" i="4"/>
  <c r="BN2672" i="4"/>
  <c r="BM2672" i="4"/>
  <c r="BN2212" i="4"/>
  <c r="BM2212" i="4"/>
  <c r="BN2574" i="4"/>
  <c r="BM2574" i="4"/>
  <c r="BN1110" i="4"/>
  <c r="BM1110" i="4"/>
  <c r="BN2155" i="4"/>
  <c r="BM2155" i="4"/>
  <c r="BN63" i="4"/>
  <c r="BM63" i="4"/>
  <c r="BM598" i="4"/>
  <c r="BN598" i="4"/>
  <c r="BN459" i="4"/>
  <c r="BM459" i="4"/>
  <c r="BN2156" i="4"/>
  <c r="BM2156" i="4"/>
  <c r="BN64" i="4"/>
  <c r="BM64" i="4"/>
  <c r="BN599" i="4"/>
  <c r="BM599" i="4"/>
  <c r="BM2513" i="4"/>
  <c r="BN2513" i="4"/>
  <c r="BN1225" i="4"/>
  <c r="BM1225" i="4"/>
  <c r="BN2425" i="4"/>
  <c r="BM2425" i="4"/>
  <c r="BN1728" i="4"/>
  <c r="BM1728" i="4"/>
  <c r="BN2657" i="4"/>
  <c r="BM2657" i="4"/>
  <c r="BN1497" i="4"/>
  <c r="BM1497" i="4"/>
  <c r="BN2336" i="4"/>
  <c r="BM2336" i="4"/>
  <c r="BN2637" i="4"/>
  <c r="BM2637" i="4"/>
  <c r="BN1052" i="4"/>
  <c r="BM1052" i="4"/>
  <c r="BM2147" i="4"/>
  <c r="BN2147" i="4"/>
  <c r="BN2114" i="4"/>
  <c r="BM2114" i="4"/>
  <c r="BN2790" i="4"/>
  <c r="BM2790" i="4"/>
  <c r="BN3584" i="4"/>
  <c r="BM3584" i="4"/>
  <c r="BN3509" i="4"/>
  <c r="BM3509" i="4"/>
  <c r="BN2249" i="4"/>
  <c r="BM2249" i="4"/>
  <c r="BN727" i="4"/>
  <c r="BM727" i="4"/>
  <c r="BN1234" i="4"/>
  <c r="BM1234" i="4"/>
  <c r="BN2092" i="4"/>
  <c r="BM2092" i="4"/>
  <c r="BN3362" i="4"/>
  <c r="BM3362" i="4"/>
  <c r="BN1154" i="4"/>
  <c r="BM1154" i="4"/>
  <c r="BM1707" i="4"/>
  <c r="BN1707" i="4"/>
  <c r="BM2652" i="4"/>
  <c r="BN2652" i="4"/>
  <c r="BN3075" i="4"/>
  <c r="BM3075" i="4"/>
  <c r="BN3572" i="4"/>
  <c r="BM3572" i="4"/>
  <c r="BM2693" i="4"/>
  <c r="BN2693" i="4"/>
  <c r="BN407" i="4"/>
  <c r="BM407" i="4"/>
  <c r="BN1910" i="4"/>
  <c r="BM1910" i="4"/>
  <c r="BM2389" i="4"/>
  <c r="BN2389" i="4"/>
  <c r="BN2873" i="4"/>
  <c r="BM2873" i="4"/>
  <c r="BN647" i="4"/>
  <c r="BM647" i="4"/>
  <c r="BN3026" i="4"/>
  <c r="BM3026" i="4"/>
  <c r="BN158" i="4"/>
  <c r="BM158" i="4"/>
  <c r="BN315" i="4"/>
  <c r="BM315" i="4"/>
  <c r="BN2033" i="4"/>
  <c r="BM2033" i="4"/>
  <c r="BN1833" i="4"/>
  <c r="BM1833" i="4"/>
  <c r="BN135" i="4"/>
  <c r="BM135" i="4"/>
  <c r="BN879" i="4"/>
  <c r="BM879" i="4"/>
  <c r="BG4978" i="4"/>
  <c r="BF4978" i="4"/>
  <c r="BF1780" i="4"/>
  <c r="BG1780" i="4"/>
  <c r="BG4268" i="4"/>
  <c r="BF4268" i="4"/>
  <c r="BG198" i="4"/>
  <c r="BF198" i="4"/>
  <c r="BG1309" i="4"/>
  <c r="BF1309" i="4"/>
  <c r="BG5299" i="4"/>
  <c r="BF5299" i="4"/>
  <c r="BG353" i="4"/>
  <c r="BF353" i="4"/>
  <c r="BG1677" i="4"/>
  <c r="BF1677" i="4"/>
  <c r="BF2331" i="4"/>
  <c r="BG2331" i="4"/>
  <c r="BG3227" i="4"/>
  <c r="BF3227" i="4"/>
  <c r="BG289" i="4"/>
  <c r="BF289" i="4"/>
  <c r="BG1325" i="4"/>
  <c r="BF1325" i="4"/>
  <c r="BF867" i="4"/>
  <c r="BG867" i="4"/>
  <c r="BG926" i="4"/>
  <c r="BF926" i="4"/>
  <c r="BG2150" i="4"/>
  <c r="BF2150" i="4"/>
  <c r="BG2921" i="4"/>
  <c r="BF2921" i="4"/>
  <c r="BG92" i="4"/>
  <c r="BF92" i="4"/>
  <c r="BG576" i="4"/>
  <c r="BF576" i="4"/>
  <c r="BG1086" i="4"/>
  <c r="BF1086" i="4"/>
  <c r="BG5311" i="4"/>
  <c r="BF5311" i="4"/>
  <c r="BG2227" i="4"/>
  <c r="BF2227" i="4"/>
  <c r="BF1725" i="4"/>
  <c r="BG1725" i="4"/>
  <c r="BG1007" i="4"/>
  <c r="BF1007" i="4"/>
  <c r="BG115" i="4"/>
  <c r="BF115" i="4"/>
  <c r="BG599" i="4"/>
  <c r="BF599" i="4"/>
  <c r="BG1113" i="4"/>
  <c r="BF1113" i="4"/>
  <c r="BG2771" i="4"/>
  <c r="BF2771" i="4"/>
  <c r="BG1715" i="4"/>
  <c r="BF1715" i="4"/>
  <c r="BG2379" i="4"/>
  <c r="BF2379" i="4"/>
  <c r="BG5460" i="4"/>
  <c r="BF5460" i="4"/>
  <c r="BG358" i="4"/>
  <c r="BF358" i="4"/>
  <c r="BG1114" i="4"/>
  <c r="BF1114" i="4"/>
  <c r="BG814" i="4"/>
  <c r="BF814" i="4"/>
  <c r="BG1671" i="4"/>
  <c r="BF1671" i="4"/>
  <c r="BG3967" i="4"/>
  <c r="BF3967" i="4"/>
  <c r="BF18" i="4"/>
  <c r="BG18" i="4"/>
  <c r="BG1586" i="4"/>
  <c r="BF1586" i="4"/>
  <c r="BG3468" i="4"/>
  <c r="BF3468" i="4"/>
  <c r="BG907" i="4"/>
  <c r="BF907" i="4"/>
  <c r="BG2125" i="4"/>
  <c r="BF2125" i="4"/>
  <c r="BG1815" i="4"/>
  <c r="BF1815" i="4"/>
  <c r="BG222" i="4"/>
  <c r="BF222" i="4"/>
  <c r="BG4601" i="4"/>
  <c r="BF4601" i="4"/>
  <c r="BG371" i="4"/>
  <c r="BF371" i="4"/>
  <c r="BG1131" i="4"/>
  <c r="BF1131" i="4"/>
  <c r="BF2976" i="4"/>
  <c r="BG2976" i="4"/>
  <c r="BG4031" i="4"/>
  <c r="BF4031" i="4"/>
  <c r="BG2631" i="4"/>
  <c r="BF2631" i="4"/>
  <c r="BG3185" i="4"/>
  <c r="BF3185" i="4"/>
  <c r="BG3901" i="4"/>
  <c r="BF3901" i="4"/>
  <c r="BG1764" i="4"/>
  <c r="BF1764" i="4"/>
  <c r="BG2248" i="4"/>
  <c r="BF2248" i="4"/>
  <c r="BG3685" i="4"/>
  <c r="BF3685" i="4"/>
  <c r="BG2528" i="4"/>
  <c r="BF2528" i="4"/>
  <c r="BG3383" i="4"/>
  <c r="BF3383" i="4"/>
  <c r="BF5436" i="4"/>
  <c r="BG5436" i="4"/>
  <c r="BF4360" i="4"/>
  <c r="BG4360" i="4"/>
  <c r="BG3160" i="4"/>
  <c r="BF3160" i="4"/>
  <c r="BG5684" i="4"/>
  <c r="BF5684" i="4"/>
  <c r="BG1854" i="4"/>
  <c r="BF1854" i="4"/>
  <c r="BG2842" i="4"/>
  <c r="BF2842" i="4"/>
  <c r="BG5612" i="4"/>
  <c r="BF5612" i="4"/>
  <c r="BG5538" i="4"/>
  <c r="BF5538" i="4"/>
  <c r="BG1228" i="4"/>
  <c r="BF1228" i="4"/>
  <c r="BG1712" i="4"/>
  <c r="BF1712" i="4"/>
  <c r="BF5978" i="4"/>
  <c r="BG5978" i="4"/>
  <c r="BG2566" i="4"/>
  <c r="BF2566" i="4"/>
  <c r="BG5088" i="4"/>
  <c r="BF5088" i="4"/>
  <c r="BG3010" i="4"/>
  <c r="BF3010" i="4"/>
  <c r="BG3494" i="4"/>
  <c r="BF3494" i="4"/>
  <c r="BG5836" i="4"/>
  <c r="BF5836" i="4"/>
  <c r="BF4210" i="4"/>
  <c r="BG4210" i="4"/>
  <c r="BG5369" i="4"/>
  <c r="BF5369" i="4"/>
  <c r="BF3297" i="4"/>
  <c r="BG3297" i="4"/>
  <c r="BF4351" i="4"/>
  <c r="BG4351" i="4"/>
  <c r="BG5526" i="4"/>
  <c r="BF5526" i="4"/>
  <c r="BG3791" i="4"/>
  <c r="BF3791" i="4"/>
  <c r="BG3496" i="4"/>
  <c r="BF3496" i="4"/>
  <c r="BG4021" i="4"/>
  <c r="BF4021" i="4"/>
  <c r="BF5468" i="4"/>
  <c r="BG5468" i="4"/>
  <c r="BG4879" i="4"/>
  <c r="BF4879" i="4"/>
  <c r="BG4706" i="4"/>
  <c r="BF4706" i="4"/>
  <c r="BG6010" i="4"/>
  <c r="BF6010" i="4"/>
  <c r="BF3345" i="4"/>
  <c r="BG3345" i="4"/>
  <c r="BG3846" i="4"/>
  <c r="BF3846" i="4"/>
  <c r="BG5856" i="4"/>
  <c r="BF5856" i="4"/>
  <c r="BG3851" i="4"/>
  <c r="BF3851" i="4"/>
  <c r="BG4579" i="4"/>
  <c r="BF4579" i="4"/>
  <c r="BG4061" i="4"/>
  <c r="BF4061" i="4"/>
  <c r="BG4799" i="4"/>
  <c r="BF4799" i="4"/>
  <c r="BF5575" i="4"/>
  <c r="BG5575" i="4"/>
  <c r="BG5499" i="4"/>
  <c r="BF5499" i="4"/>
  <c r="BG5983" i="4"/>
  <c r="BF5983" i="4"/>
  <c r="BG4576" i="4"/>
  <c r="BF4576" i="4"/>
  <c r="BG5302" i="4"/>
  <c r="BF5302" i="4"/>
  <c r="BG5786" i="4"/>
  <c r="BF5786" i="4"/>
  <c r="BG5908" i="4"/>
  <c r="BF5908" i="4"/>
  <c r="BF1763" i="4"/>
  <c r="BG1763" i="4"/>
  <c r="BF784" i="4"/>
  <c r="BG784" i="4"/>
  <c r="BN1998" i="4"/>
  <c r="BM1998" i="4"/>
  <c r="BM1343" i="4"/>
  <c r="BN1343" i="4"/>
  <c r="BN1712" i="4"/>
  <c r="BM1712" i="4"/>
  <c r="BN2661" i="4"/>
  <c r="BM2661" i="4"/>
  <c r="BM660" i="4"/>
  <c r="BN660" i="4"/>
  <c r="BN2642" i="4"/>
  <c r="BM2642" i="4"/>
  <c r="BM3368" i="4"/>
  <c r="BN3368" i="4"/>
  <c r="BN3330" i="4"/>
  <c r="BM3330" i="4"/>
  <c r="BN1992" i="4"/>
  <c r="BM1992" i="4"/>
  <c r="BM1755" i="4"/>
  <c r="BN1755" i="4"/>
  <c r="BN2460" i="4"/>
  <c r="BM2460" i="4"/>
  <c r="BM387" i="4"/>
  <c r="BN387" i="4"/>
  <c r="BN2192" i="4"/>
  <c r="BM2192" i="4"/>
  <c r="BN3315" i="4"/>
  <c r="BM3315" i="4"/>
  <c r="BN1158" i="4"/>
  <c r="BM1158" i="4"/>
  <c r="BN3010" i="4"/>
  <c r="BM3010" i="4"/>
  <c r="BM2997" i="4"/>
  <c r="BN2997" i="4"/>
  <c r="BM1042" i="4"/>
  <c r="BN1042" i="4"/>
  <c r="BM152" i="4"/>
  <c r="BN152" i="4"/>
  <c r="BM2861" i="4"/>
  <c r="BN2861" i="4"/>
  <c r="BM512" i="4"/>
  <c r="BN512" i="4"/>
  <c r="BN2559" i="4"/>
  <c r="BM2559" i="4"/>
  <c r="BM856" i="4"/>
  <c r="BN856" i="4"/>
  <c r="BG2686" i="4"/>
  <c r="BF2686" i="4"/>
  <c r="BF923" i="4"/>
  <c r="BG923" i="4"/>
  <c r="BG1575" i="4"/>
  <c r="BF1575" i="4"/>
  <c r="BF174" i="4"/>
  <c r="BG174" i="4"/>
  <c r="BG5982" i="4"/>
  <c r="BF5982" i="4"/>
  <c r="BG981" i="4"/>
  <c r="BF981" i="4"/>
  <c r="BF2578" i="4"/>
  <c r="BG2578" i="4"/>
  <c r="BG2013" i="4"/>
  <c r="BF2013" i="4"/>
  <c r="BG2729" i="4"/>
  <c r="BF2729" i="4"/>
  <c r="BG58" i="4"/>
  <c r="BF58" i="4"/>
  <c r="BG542" i="4"/>
  <c r="BF542" i="4"/>
  <c r="BG1045" i="4"/>
  <c r="BF1045" i="4"/>
  <c r="BG1638" i="4"/>
  <c r="BF1638" i="4"/>
  <c r="BG5430" i="4"/>
  <c r="BF5430" i="4"/>
  <c r="BG2166" i="4"/>
  <c r="BF2166" i="4"/>
  <c r="BF2946" i="4"/>
  <c r="BG2946" i="4"/>
  <c r="BF345" i="4"/>
  <c r="BG345" i="4"/>
  <c r="BG2604" i="4"/>
  <c r="BF2604" i="4"/>
  <c r="BF2581" i="4"/>
  <c r="BG2581" i="4"/>
  <c r="BG189" i="4"/>
  <c r="BF189" i="4"/>
  <c r="BG4462" i="4"/>
  <c r="BF4462" i="4"/>
  <c r="BF610" i="4"/>
  <c r="BG610" i="4"/>
  <c r="BG1422" i="4"/>
  <c r="BF1422" i="4"/>
  <c r="BF4131" i="4"/>
  <c r="BG4131" i="4"/>
  <c r="BG859" i="4"/>
  <c r="BF859" i="4"/>
  <c r="BG2062" i="4"/>
  <c r="BF2062" i="4"/>
  <c r="BG369" i="4"/>
  <c r="BF369" i="4"/>
  <c r="BF1423" i="4"/>
  <c r="BG1423" i="4"/>
  <c r="BG5524" i="4"/>
  <c r="BF5524" i="4"/>
  <c r="BG2018" i="4"/>
  <c r="BF2018" i="4"/>
  <c r="BG2733" i="4"/>
  <c r="BF2733" i="4"/>
  <c r="BG4004" i="4"/>
  <c r="BF4004" i="4"/>
  <c r="BG271" i="4"/>
  <c r="BF271" i="4"/>
  <c r="BG757" i="4"/>
  <c r="BF757" i="4"/>
  <c r="BG1303" i="4"/>
  <c r="BF1303" i="4"/>
  <c r="BG1807" i="4"/>
  <c r="BF1807" i="4"/>
  <c r="BG1846" i="4"/>
  <c r="BF1846" i="4"/>
  <c r="BG1056" i="4"/>
  <c r="BF1056" i="4"/>
  <c r="BG4723" i="4"/>
  <c r="BF4723" i="4"/>
  <c r="BF382" i="4"/>
  <c r="BG382" i="4"/>
  <c r="BG873" i="4"/>
  <c r="BF873" i="4"/>
  <c r="BG1440" i="4"/>
  <c r="BF1440" i="4"/>
  <c r="BF3393" i="4"/>
  <c r="BG3393" i="4"/>
  <c r="BG5629" i="4"/>
  <c r="BF5629" i="4"/>
  <c r="BG3735" i="4"/>
  <c r="BF3735" i="4"/>
  <c r="BG3651" i="4"/>
  <c r="BF3651" i="4"/>
  <c r="BG2017" i="4"/>
  <c r="BF2017" i="4"/>
  <c r="BG4119" i="4"/>
  <c r="BF4119" i="4"/>
  <c r="BG3509" i="4"/>
  <c r="BF3509" i="4"/>
  <c r="BG5030" i="4"/>
  <c r="BF5030" i="4"/>
  <c r="BG1139" i="4"/>
  <c r="BF1139" i="4"/>
  <c r="BG1865" i="4"/>
  <c r="BF1865" i="4"/>
  <c r="BG2107" i="4"/>
  <c r="BF2107" i="4"/>
  <c r="BG2599" i="4"/>
  <c r="BF2599" i="4"/>
  <c r="BG3849" i="4"/>
  <c r="BF3849" i="4"/>
  <c r="BG4975" i="4"/>
  <c r="BF4975" i="4"/>
  <c r="BG3447" i="4"/>
  <c r="BF3447" i="4"/>
  <c r="BG997" i="4"/>
  <c r="BF997" i="4"/>
  <c r="BG1481" i="4"/>
  <c r="BF1481" i="4"/>
  <c r="BG1965" i="4"/>
  <c r="BF1965" i="4"/>
  <c r="BG4592" i="4"/>
  <c r="BF4592" i="4"/>
  <c r="BG3448" i="4"/>
  <c r="BF3448" i="4"/>
  <c r="BG3505" i="4"/>
  <c r="BF3505" i="4"/>
  <c r="BF5480" i="4"/>
  <c r="BG5480" i="4"/>
  <c r="BF5089" i="4"/>
  <c r="BG5089" i="4"/>
  <c r="BG3803" i="4"/>
  <c r="BF3803" i="4"/>
  <c r="BF3023" i="4"/>
  <c r="BG3023" i="4"/>
  <c r="BG3755" i="4"/>
  <c r="BF3755" i="4"/>
  <c r="BG5482" i="4"/>
  <c r="BF5482" i="4"/>
  <c r="BG5145" i="4"/>
  <c r="BF5145" i="4"/>
  <c r="BG4035" i="4"/>
  <c r="BF4035" i="4"/>
  <c r="BG5625" i="4"/>
  <c r="BF5625" i="4"/>
  <c r="BG4189" i="4"/>
  <c r="BF4189" i="4"/>
  <c r="BG5054" i="4"/>
  <c r="BF5054" i="4"/>
  <c r="BF3598" i="4"/>
  <c r="BG3598" i="4"/>
  <c r="BF6011" i="4"/>
  <c r="BG6011" i="4"/>
  <c r="BG5573" i="4"/>
  <c r="BF5573" i="4"/>
  <c r="BG4346" i="4"/>
  <c r="BF4346" i="4"/>
  <c r="BG5752" i="4"/>
  <c r="BF5752" i="4"/>
  <c r="BG5555" i="4"/>
  <c r="BF5555" i="4"/>
  <c r="BG1930" i="4"/>
  <c r="BF1930" i="4"/>
  <c r="BF133" i="4"/>
  <c r="BG133" i="4"/>
  <c r="BN406" i="4"/>
  <c r="BM406" i="4"/>
  <c r="BM2312" i="4"/>
  <c r="BN2312" i="4"/>
  <c r="BN3095" i="4"/>
  <c r="BM3095" i="4"/>
  <c r="BN3351" i="4"/>
  <c r="BM3351" i="4"/>
  <c r="BN1134" i="4"/>
  <c r="BM1134" i="4"/>
  <c r="BN1733" i="4"/>
  <c r="BM1733" i="4"/>
  <c r="BN2782" i="4"/>
  <c r="BM2782" i="4"/>
  <c r="BN1188" i="4"/>
  <c r="BM1188" i="4"/>
  <c r="BN3474" i="4"/>
  <c r="BM3474" i="4"/>
  <c r="BN3475" i="4"/>
  <c r="BM3475" i="4"/>
  <c r="BN1312" i="4"/>
  <c r="BM1312" i="4"/>
  <c r="BN3012" i="4"/>
  <c r="BM3012" i="4"/>
  <c r="BN936" i="4"/>
  <c r="BM936" i="4"/>
  <c r="BN763" i="4"/>
  <c r="BM763" i="4"/>
  <c r="BG1153" i="4"/>
  <c r="BF1153" i="4"/>
  <c r="BF2728" i="4"/>
  <c r="BG2728" i="4"/>
  <c r="BF3481" i="4"/>
  <c r="BG3481" i="4"/>
  <c r="BG1061" i="4"/>
  <c r="BF1061" i="4"/>
  <c r="BG668" i="4"/>
  <c r="BF668" i="4"/>
  <c r="BF4647" i="4"/>
  <c r="BG4647" i="4"/>
  <c r="BG3910" i="4"/>
  <c r="BF3910" i="4"/>
  <c r="BN1556" i="4"/>
  <c r="BM1556" i="4"/>
  <c r="BN893" i="4"/>
  <c r="BM893" i="4"/>
  <c r="BM65" i="4"/>
  <c r="BN65" i="4"/>
  <c r="BM2528" i="4"/>
  <c r="BN2528" i="4"/>
  <c r="BN841" i="4"/>
  <c r="BM841" i="4"/>
  <c r="BN1797" i="4"/>
  <c r="BM1797" i="4"/>
  <c r="BN2467" i="4"/>
  <c r="BM2467" i="4"/>
  <c r="BM175" i="4"/>
  <c r="BN175" i="4"/>
  <c r="BM1086" i="4"/>
  <c r="BN1086" i="4"/>
  <c r="BN1531" i="4"/>
  <c r="BM1531" i="4"/>
  <c r="BN200" i="4"/>
  <c r="BM200" i="4"/>
  <c r="BN468" i="4"/>
  <c r="BM468" i="4"/>
  <c r="BM755" i="4"/>
  <c r="BN755" i="4"/>
  <c r="BN1124" i="4"/>
  <c r="BM1124" i="4"/>
  <c r="BM1576" i="4"/>
  <c r="BN1576" i="4"/>
  <c r="BN2177" i="4"/>
  <c r="BM2177" i="4"/>
  <c r="BN2922" i="4"/>
  <c r="BM2922" i="4"/>
  <c r="BM1774" i="4"/>
  <c r="BN1774" i="4"/>
  <c r="BN2439" i="4"/>
  <c r="BM2439" i="4"/>
  <c r="BN1070" i="4"/>
  <c r="BM1070" i="4"/>
  <c r="BN1511" i="4"/>
  <c r="BM1511" i="4"/>
  <c r="BN2089" i="4"/>
  <c r="BM2089" i="4"/>
  <c r="BN2815" i="4"/>
  <c r="BM2815" i="4"/>
  <c r="BM547" i="4"/>
  <c r="BN547" i="4"/>
  <c r="BM853" i="4"/>
  <c r="BN853" i="4"/>
  <c r="BN1722" i="4"/>
  <c r="BM1722" i="4"/>
  <c r="BN2376" i="4"/>
  <c r="BM2376" i="4"/>
  <c r="BN3179" i="4"/>
  <c r="BM3179" i="4"/>
  <c r="BN1037" i="4"/>
  <c r="BM1037" i="4"/>
  <c r="BN1472" i="4"/>
  <c r="BM1472" i="4"/>
  <c r="BN276" i="4"/>
  <c r="BM276" i="4"/>
  <c r="BM548" i="4"/>
  <c r="BN548" i="4"/>
  <c r="BM855" i="4"/>
  <c r="BN855" i="4"/>
  <c r="BN1246" i="4"/>
  <c r="BM1246" i="4"/>
  <c r="BN1723" i="4"/>
  <c r="BM1723" i="4"/>
  <c r="BN2377" i="4"/>
  <c r="BM2377" i="4"/>
  <c r="BN3187" i="4"/>
  <c r="BM3187" i="4"/>
  <c r="BN144" i="4"/>
  <c r="BM144" i="4"/>
  <c r="BN1040" i="4"/>
  <c r="BM1040" i="4"/>
  <c r="BN2037" i="4"/>
  <c r="BM2037" i="4"/>
  <c r="BN1323" i="4"/>
  <c r="BM1323" i="4"/>
  <c r="BN3150" i="4"/>
  <c r="BM3150" i="4"/>
  <c r="BN1865" i="4"/>
  <c r="BM1865" i="4"/>
  <c r="BN2314" i="4"/>
  <c r="BM2314" i="4"/>
  <c r="BN2820" i="4"/>
  <c r="BM2820" i="4"/>
  <c r="BN3040" i="4"/>
  <c r="BM3040" i="4"/>
  <c r="BN1449" i="4"/>
  <c r="BM1449" i="4"/>
  <c r="BN2273" i="4"/>
  <c r="BM2273" i="4"/>
  <c r="BN859" i="4"/>
  <c r="BM859" i="4"/>
  <c r="BN1849" i="4"/>
  <c r="BM1849" i="4"/>
  <c r="BM2802" i="4"/>
  <c r="BN2802" i="4"/>
  <c r="BN1469" i="4"/>
  <c r="BM1469" i="4"/>
  <c r="BN2299" i="4"/>
  <c r="BM2299" i="4"/>
  <c r="BN3418" i="4"/>
  <c r="BM3418" i="4"/>
  <c r="BM1487" i="4"/>
  <c r="BN1487" i="4"/>
  <c r="BN1873" i="4"/>
  <c r="BM1873" i="4"/>
  <c r="BN2833" i="4"/>
  <c r="BM2833" i="4"/>
  <c r="BM3449" i="4"/>
  <c r="BN3449" i="4"/>
  <c r="BN1914" i="4"/>
  <c r="BM1914" i="4"/>
  <c r="BN2216" i="4"/>
  <c r="BM2216" i="4"/>
  <c r="BM3300" i="4"/>
  <c r="BN3300" i="4"/>
  <c r="BN1808" i="4"/>
  <c r="BM1808" i="4"/>
  <c r="BN2101" i="4"/>
  <c r="BM2101" i="4"/>
  <c r="BN2428" i="4"/>
  <c r="BM2428" i="4"/>
  <c r="BN2776" i="4"/>
  <c r="BM2776" i="4"/>
  <c r="BN3157" i="4"/>
  <c r="BM3157" i="4"/>
  <c r="BN1186" i="4"/>
  <c r="BM1186" i="4"/>
  <c r="BN1744" i="4"/>
  <c r="BM1744" i="4"/>
  <c r="BN2698" i="4"/>
  <c r="BM2698" i="4"/>
  <c r="BN3070" i="4"/>
  <c r="BM3070" i="4"/>
  <c r="BM554" i="4"/>
  <c r="BN554" i="4"/>
  <c r="BN1061" i="4"/>
  <c r="BM1061" i="4"/>
  <c r="BM1315" i="4"/>
  <c r="BN1315" i="4"/>
  <c r="BN1599" i="4"/>
  <c r="BM1599" i="4"/>
  <c r="BN1892" i="4"/>
  <c r="BM1892" i="4"/>
  <c r="BN2193" i="4"/>
  <c r="BM2193" i="4"/>
  <c r="BN3272" i="4"/>
  <c r="BM3272" i="4"/>
  <c r="BN2052" i="4"/>
  <c r="BM2052" i="4"/>
  <c r="BM2371" i="4"/>
  <c r="BN2371" i="4"/>
  <c r="BN2716" i="4"/>
  <c r="BM2716" i="4"/>
  <c r="BN3495" i="4"/>
  <c r="BM3495" i="4"/>
  <c r="BN1235" i="4"/>
  <c r="BM1235" i="4"/>
  <c r="BN1507" i="4"/>
  <c r="BM1507" i="4"/>
  <c r="BN1800" i="4"/>
  <c r="BM1800" i="4"/>
  <c r="BN2093" i="4"/>
  <c r="BM2093" i="4"/>
  <c r="BN2766" i="4"/>
  <c r="BM2766" i="4"/>
  <c r="BN3145" i="4"/>
  <c r="BM3145" i="4"/>
  <c r="BN1270" i="4"/>
  <c r="BM1270" i="4"/>
  <c r="BN2135" i="4"/>
  <c r="BM2135" i="4"/>
  <c r="BM2465" i="4"/>
  <c r="BN2465" i="4"/>
  <c r="BM3201" i="4"/>
  <c r="BN3201" i="4"/>
  <c r="BN3352" i="4"/>
  <c r="BM3352" i="4"/>
  <c r="BN3573" i="4"/>
  <c r="BM3573" i="4"/>
  <c r="BM1932" i="4"/>
  <c r="BN1932" i="4"/>
  <c r="BN3428" i="4"/>
  <c r="BM3428" i="4"/>
  <c r="BM242" i="4"/>
  <c r="BN242" i="4"/>
  <c r="BM484" i="4"/>
  <c r="BN484" i="4"/>
  <c r="BN726" i="4"/>
  <c r="BM726" i="4"/>
  <c r="BN968" i="4"/>
  <c r="BM968" i="4"/>
  <c r="BN1210" i="4"/>
  <c r="BM1210" i="4"/>
  <c r="BN2267" i="4"/>
  <c r="BM2267" i="4"/>
  <c r="BM2863" i="4"/>
  <c r="BN2863" i="4"/>
  <c r="BN3180" i="4"/>
  <c r="BM3180" i="4"/>
  <c r="BM3504" i="4"/>
  <c r="BN3504" i="4"/>
  <c r="BM2268" i="4"/>
  <c r="BN2268" i="4"/>
  <c r="BN2864" i="4"/>
  <c r="BM2864" i="4"/>
  <c r="BN2798" i="4"/>
  <c r="BM2798" i="4"/>
  <c r="BN2140" i="4"/>
  <c r="BM2140" i="4"/>
  <c r="BN2466" i="4"/>
  <c r="BM2466" i="4"/>
  <c r="BN2708" i="4"/>
  <c r="BM2708" i="4"/>
  <c r="BN2950" i="4"/>
  <c r="BM2950" i="4"/>
  <c r="BM3192" i="4"/>
  <c r="BN3192" i="4"/>
  <c r="BM3434" i="4"/>
  <c r="BN3434" i="4"/>
  <c r="BN1705" i="4"/>
  <c r="BM1705" i="4"/>
  <c r="BM516" i="4"/>
  <c r="BN516" i="4"/>
  <c r="BN124" i="4"/>
  <c r="BM124" i="4"/>
  <c r="BN1522" i="4"/>
  <c r="BM1522" i="4"/>
  <c r="BM863" i="4"/>
  <c r="BN863" i="4"/>
  <c r="BM3580" i="4"/>
  <c r="BN3580" i="4"/>
  <c r="BN1251" i="4"/>
  <c r="BM1251" i="4"/>
  <c r="BN683" i="4"/>
  <c r="BM683" i="4"/>
  <c r="BN280" i="4"/>
  <c r="BM280" i="4"/>
  <c r="BN1890" i="4"/>
  <c r="BM1890" i="4"/>
  <c r="BN589" i="4"/>
  <c r="BM589" i="4"/>
  <c r="BN190" i="4"/>
  <c r="BM190" i="4"/>
  <c r="BN2867" i="4"/>
  <c r="BM2867" i="4"/>
  <c r="BM1700" i="4"/>
  <c r="BN1700" i="4"/>
  <c r="BN2624" i="4"/>
  <c r="BM2624" i="4"/>
  <c r="BN1545" i="4"/>
  <c r="BM1545" i="4"/>
  <c r="BM883" i="4"/>
  <c r="BN883" i="4"/>
  <c r="BN438" i="4"/>
  <c r="BM438" i="4"/>
  <c r="BM1543" i="4"/>
  <c r="BN1543" i="4"/>
  <c r="BN1475" i="4"/>
  <c r="BM1475" i="4"/>
  <c r="BN829" i="4"/>
  <c r="BM829" i="4"/>
  <c r="BN400" i="4"/>
  <c r="BM400" i="4"/>
  <c r="BN26" i="4"/>
  <c r="BM26" i="4"/>
  <c r="BN2226" i="4"/>
  <c r="BM2226" i="4"/>
  <c r="BN720" i="4"/>
  <c r="BM720" i="4"/>
  <c r="BM310" i="4"/>
  <c r="BN310" i="4"/>
  <c r="BG3911" i="4"/>
  <c r="BF3911" i="4"/>
  <c r="BF2399" i="4"/>
  <c r="BG2399" i="4"/>
  <c r="BF120" i="4"/>
  <c r="BG120" i="4"/>
  <c r="BG1350" i="4"/>
  <c r="BF1350" i="4"/>
  <c r="BF614" i="4"/>
  <c r="BG614" i="4"/>
  <c r="BG2056" i="4"/>
  <c r="BF2056" i="4"/>
  <c r="BF495" i="4"/>
  <c r="BG495" i="4"/>
  <c r="BG5491" i="4"/>
  <c r="BF5491" i="4"/>
  <c r="BG2909" i="4"/>
  <c r="BF2909" i="4"/>
  <c r="BG1053" i="4"/>
  <c r="BF1053" i="4"/>
  <c r="BG2684" i="4"/>
  <c r="BF2684" i="4"/>
  <c r="BG1724" i="4"/>
  <c r="BF1724" i="4"/>
  <c r="BG921" i="4"/>
  <c r="BF921" i="4"/>
  <c r="BG275" i="4"/>
  <c r="BF275" i="4"/>
  <c r="BF1564" i="4"/>
  <c r="BG1564" i="4"/>
  <c r="BG3680" i="4"/>
  <c r="BF3680" i="4"/>
  <c r="BG2298" i="4"/>
  <c r="BF2298" i="4"/>
  <c r="BF56" i="4"/>
  <c r="BG56" i="4"/>
  <c r="BF1771" i="4"/>
  <c r="BG1771" i="4"/>
  <c r="BF2103" i="4"/>
  <c r="BG2103" i="4"/>
  <c r="BG2440" i="4"/>
  <c r="BF2440" i="4"/>
  <c r="BG3438" i="4"/>
  <c r="BF3438" i="4"/>
  <c r="BG4293" i="4"/>
  <c r="BF4293" i="4"/>
  <c r="BF124" i="4"/>
  <c r="BG124" i="4"/>
  <c r="BG366" i="4"/>
  <c r="BF366" i="4"/>
  <c r="BG608" i="4"/>
  <c r="BF608" i="4"/>
  <c r="BF1124" i="4"/>
  <c r="BG1124" i="4"/>
  <c r="BF1420" i="4"/>
  <c r="BG1420" i="4"/>
  <c r="BG5518" i="4"/>
  <c r="BF5518" i="4"/>
  <c r="BG321" i="4"/>
  <c r="BF321" i="4"/>
  <c r="BG1149" i="4"/>
  <c r="BF1149" i="4"/>
  <c r="BF753" i="4"/>
  <c r="BG753" i="4"/>
  <c r="BG1924" i="4"/>
  <c r="BF1924" i="4"/>
  <c r="BF2256" i="4"/>
  <c r="BG2256" i="4"/>
  <c r="BF2621" i="4"/>
  <c r="BG2621" i="4"/>
  <c r="BG3094" i="4"/>
  <c r="BF3094" i="4"/>
  <c r="BG3769" i="4"/>
  <c r="BF3769" i="4"/>
  <c r="BG4925" i="4"/>
  <c r="BF4925" i="4"/>
  <c r="BF2" i="4"/>
  <c r="BG2" i="4"/>
  <c r="BG169" i="4"/>
  <c r="BF169" i="4"/>
  <c r="BF411" i="4"/>
  <c r="BG411" i="4"/>
  <c r="BG653" i="4"/>
  <c r="BF653" i="4"/>
  <c r="BF1179" i="4"/>
  <c r="BG1179" i="4"/>
  <c r="BG1475" i="4"/>
  <c r="BF1475" i="4"/>
  <c r="BG2874" i="4"/>
  <c r="BF2874" i="4"/>
  <c r="BG4349" i="4"/>
  <c r="BF4349" i="4"/>
  <c r="BG5866" i="4"/>
  <c r="BF5866" i="4"/>
  <c r="BG812" i="4"/>
  <c r="BF812" i="4"/>
  <c r="BG1669" i="4"/>
  <c r="BF1669" i="4"/>
  <c r="BG2001" i="4"/>
  <c r="BF2001" i="4"/>
  <c r="BF2333" i="4"/>
  <c r="BG2333" i="4"/>
  <c r="BF2713" i="4"/>
  <c r="BG2713" i="4"/>
  <c r="BG3965" i="4"/>
  <c r="BF3965" i="4"/>
  <c r="BG728" i="4"/>
  <c r="BF728" i="4"/>
  <c r="BG1996" i="4"/>
  <c r="BF1996" i="4"/>
  <c r="BF4537" i="4"/>
  <c r="BG4537" i="4"/>
  <c r="BF409" i="4"/>
  <c r="BG409" i="4"/>
  <c r="BG1352" i="4"/>
  <c r="BF1352" i="4"/>
  <c r="BG192" i="4"/>
  <c r="BF192" i="4"/>
  <c r="BF434" i="4"/>
  <c r="BG434" i="4"/>
  <c r="BG676" i="4"/>
  <c r="BF676" i="4"/>
  <c r="BG1208" i="4"/>
  <c r="BF1208" i="4"/>
  <c r="BG1504" i="4"/>
  <c r="BF1504" i="4"/>
  <c r="BG2498" i="4"/>
  <c r="BF2498" i="4"/>
  <c r="BF2923" i="4"/>
  <c r="BG2923" i="4"/>
  <c r="BG4486" i="4"/>
  <c r="BF4486" i="4"/>
  <c r="BG6035" i="4"/>
  <c r="BF6035" i="4"/>
  <c r="BG928" i="4"/>
  <c r="BF928" i="4"/>
  <c r="BG1820" i="4"/>
  <c r="BF1820" i="4"/>
  <c r="BG2154" i="4"/>
  <c r="BF2154" i="4"/>
  <c r="BF2924" i="4"/>
  <c r="BG2924" i="4"/>
  <c r="BG3546" i="4"/>
  <c r="BF3546" i="4"/>
  <c r="BF193" i="4"/>
  <c r="BG193" i="4"/>
  <c r="BF435" i="4"/>
  <c r="BG435" i="4"/>
  <c r="BF677" i="4"/>
  <c r="BG677" i="4"/>
  <c r="BG1209" i="4"/>
  <c r="BF1209" i="4"/>
  <c r="BG1505" i="4"/>
  <c r="BF1505" i="4"/>
  <c r="BG2499" i="4"/>
  <c r="BF2499" i="4"/>
  <c r="BG4487" i="4"/>
  <c r="BF4487" i="4"/>
  <c r="BG1776" i="4"/>
  <c r="BF1776" i="4"/>
  <c r="BG2110" i="4"/>
  <c r="BF2110" i="4"/>
  <c r="BG2859" i="4"/>
  <c r="BF2859" i="4"/>
  <c r="BF4318" i="4"/>
  <c r="BG4318" i="4"/>
  <c r="BG95" i="4"/>
  <c r="BF95" i="4"/>
  <c r="BG337" i="4"/>
  <c r="BF337" i="4"/>
  <c r="BG579" i="4"/>
  <c r="BF579" i="4"/>
  <c r="BG826" i="4"/>
  <c r="BF826" i="4"/>
  <c r="BF1089" i="4"/>
  <c r="BG1089" i="4"/>
  <c r="BG1385" i="4"/>
  <c r="BF1385" i="4"/>
  <c r="BG2736" i="4"/>
  <c r="BF2736" i="4"/>
  <c r="BF3271" i="4"/>
  <c r="BG3271" i="4"/>
  <c r="BG1900" i="4"/>
  <c r="BF1900" i="4"/>
  <c r="BG2232" i="4"/>
  <c r="BF2232" i="4"/>
  <c r="BG3051" i="4"/>
  <c r="BF3051" i="4"/>
  <c r="BF4830" i="4"/>
  <c r="BG4830" i="4"/>
  <c r="BG2057" i="4"/>
  <c r="BF2057" i="4"/>
  <c r="BG2919" i="4"/>
  <c r="BF2919" i="4"/>
  <c r="BG486" i="4"/>
  <c r="BF486" i="4"/>
  <c r="BG1285" i="4"/>
  <c r="BF1285" i="4"/>
  <c r="BG3064" i="4"/>
  <c r="BF3064" i="4"/>
  <c r="BG206" i="4"/>
  <c r="BF206" i="4"/>
  <c r="BG448" i="4"/>
  <c r="BF448" i="4"/>
  <c r="BF690" i="4"/>
  <c r="BG690" i="4"/>
  <c r="BG942" i="4"/>
  <c r="BF942" i="4"/>
  <c r="BG1224" i="4"/>
  <c r="BF1224" i="4"/>
  <c r="BG1520" i="4"/>
  <c r="BF1520" i="4"/>
  <c r="BG2521" i="4"/>
  <c r="BF2521" i="4"/>
  <c r="BF2957" i="4"/>
  <c r="BG2957" i="4"/>
  <c r="BG3581" i="4"/>
  <c r="BF3581" i="4"/>
  <c r="BG4566" i="4"/>
  <c r="BF4566" i="4"/>
  <c r="BG4641" i="4"/>
  <c r="BF4641" i="4"/>
  <c r="BG2595" i="4"/>
  <c r="BF2595" i="4"/>
  <c r="BG3141" i="4"/>
  <c r="BF3141" i="4"/>
  <c r="BG3471" i="4"/>
  <c r="BF3471" i="4"/>
  <c r="BG3845" i="4"/>
  <c r="BF3845" i="4"/>
  <c r="BG5634" i="4"/>
  <c r="BF5634" i="4"/>
  <c r="BG3751" i="4"/>
  <c r="BF3751" i="4"/>
  <c r="BG4190" i="4"/>
  <c r="BF4190" i="4"/>
  <c r="BG5463" i="4"/>
  <c r="BF5463" i="4"/>
  <c r="BG2458" i="4"/>
  <c r="BF2458" i="4"/>
  <c r="BG3292" i="4"/>
  <c r="BF3292" i="4"/>
  <c r="BG4034" i="4"/>
  <c r="BF4034" i="4"/>
  <c r="BG5257" i="4"/>
  <c r="BF5257" i="4"/>
  <c r="BG1841" i="4"/>
  <c r="BF1841" i="4"/>
  <c r="BG2083" i="4"/>
  <c r="BF2083" i="4"/>
  <c r="BG2325" i="4"/>
  <c r="BF2325" i="4"/>
  <c r="BG2574" i="4"/>
  <c r="BF2574" i="4"/>
  <c r="BG2828" i="4"/>
  <c r="BF2828" i="4"/>
  <c r="BG3810" i="4"/>
  <c r="BF3810" i="4"/>
  <c r="BF4272" i="4"/>
  <c r="BG4272" i="4"/>
  <c r="BF4909" i="4"/>
  <c r="BG4909" i="4"/>
  <c r="BG2609" i="4"/>
  <c r="BF2609" i="4"/>
  <c r="BF3159" i="4"/>
  <c r="BG3159" i="4"/>
  <c r="BG3491" i="4"/>
  <c r="BF3491" i="4"/>
  <c r="BG3865" i="4"/>
  <c r="BF3865" i="4"/>
  <c r="BG5683" i="4"/>
  <c r="BF5683" i="4"/>
  <c r="BG4561" i="4"/>
  <c r="BF4561" i="4"/>
  <c r="BG5965" i="4"/>
  <c r="BF5965" i="4"/>
  <c r="BG5205" i="4"/>
  <c r="BF5205" i="4"/>
  <c r="BG5966" i="4"/>
  <c r="BF5966" i="4"/>
  <c r="BG1205" i="4"/>
  <c r="BF1205" i="4"/>
  <c r="BG1447" i="4"/>
  <c r="BF1447" i="4"/>
  <c r="BG1689" i="4"/>
  <c r="BF1689" i="4"/>
  <c r="BG1931" i="4"/>
  <c r="BF1931" i="4"/>
  <c r="BG2173" i="4"/>
  <c r="BF2173" i="4"/>
  <c r="BG2415" i="4"/>
  <c r="BF2415" i="4"/>
  <c r="BG2668" i="4"/>
  <c r="BF2668" i="4"/>
  <c r="BG2929" i="4"/>
  <c r="BF2929" i="4"/>
  <c r="BF3575" i="4"/>
  <c r="BG3575" i="4"/>
  <c r="BG3963" i="4"/>
  <c r="BF3963" i="4"/>
  <c r="BG3205" i="4"/>
  <c r="BF3205" i="4"/>
  <c r="BF3925" i="4"/>
  <c r="BG3925" i="4"/>
  <c r="BG5812" i="4"/>
  <c r="BF5812" i="4"/>
  <c r="BG1063" i="4"/>
  <c r="BF1063" i="4"/>
  <c r="BG1305" i="4"/>
  <c r="BF1305" i="4"/>
  <c r="BG1547" i="4"/>
  <c r="BF1547" i="4"/>
  <c r="BG1789" i="4"/>
  <c r="BF1789" i="4"/>
  <c r="BG2031" i="4"/>
  <c r="BF2031" i="4"/>
  <c r="BG2273" i="4"/>
  <c r="BF2273" i="4"/>
  <c r="BG2773" i="4"/>
  <c r="BF2773" i="4"/>
  <c r="BG3724" i="4"/>
  <c r="BF3724" i="4"/>
  <c r="BG3206" i="4"/>
  <c r="BF3206" i="4"/>
  <c r="BG3926" i="4"/>
  <c r="BF3926" i="4"/>
  <c r="BG5095" i="4"/>
  <c r="BF5095" i="4"/>
  <c r="BG5813" i="4"/>
  <c r="BF5813" i="4"/>
  <c r="BF4594" i="4"/>
  <c r="BG4594" i="4"/>
  <c r="BG4887" i="4"/>
  <c r="BF4887" i="4"/>
  <c r="BG5855" i="4"/>
  <c r="BF5855" i="4"/>
  <c r="BG3087" i="4"/>
  <c r="BF3087" i="4"/>
  <c r="BG3329" i="4"/>
  <c r="BF3329" i="4"/>
  <c r="BG3571" i="4"/>
  <c r="BF3571" i="4"/>
  <c r="BG3827" i="4"/>
  <c r="BF3827" i="4"/>
  <c r="BG4108" i="4"/>
  <c r="BF4108" i="4"/>
  <c r="BG5262" i="4"/>
  <c r="BF5262" i="4"/>
  <c r="BG5570" i="4"/>
  <c r="BF5570" i="4"/>
  <c r="BF5967" i="4"/>
  <c r="BG5967" i="4"/>
  <c r="BG3741" i="4"/>
  <c r="BF3741" i="4"/>
  <c r="BG4299" i="4"/>
  <c r="BF4299" i="4"/>
  <c r="BG4582" i="4"/>
  <c r="BF4582" i="4"/>
  <c r="BF4875" i="4"/>
  <c r="BG4875" i="4"/>
  <c r="BG5169" i="4"/>
  <c r="BF5169" i="4"/>
  <c r="BF3374" i="4"/>
  <c r="BG3374" i="4"/>
  <c r="BF3616" i="4"/>
  <c r="BG3616" i="4"/>
  <c r="BG4440" i="4"/>
  <c r="BF4440" i="4"/>
  <c r="BF4729" i="4"/>
  <c r="BG4729" i="4"/>
  <c r="BG3880" i="4"/>
  <c r="BF3880" i="4"/>
  <c r="BG4161" i="4"/>
  <c r="BF4161" i="4"/>
  <c r="BF5023" i="4"/>
  <c r="BG5023" i="4"/>
  <c r="BG5317" i="4"/>
  <c r="BF5317" i="4"/>
  <c r="BG5638" i="4"/>
  <c r="BF5638" i="4"/>
  <c r="BF3089" i="4"/>
  <c r="BG3089" i="4"/>
  <c r="BG3331" i="4"/>
  <c r="BF3331" i="4"/>
  <c r="BG3573" i="4"/>
  <c r="BF3573" i="4"/>
  <c r="BG4110" i="4"/>
  <c r="BF4110" i="4"/>
  <c r="BG4677" i="4"/>
  <c r="BF4677" i="4"/>
  <c r="BF5264" i="4"/>
  <c r="BG5264" i="4"/>
  <c r="BG5572" i="4"/>
  <c r="BF5572" i="4"/>
  <c r="BG5969" i="4"/>
  <c r="BF5969" i="4"/>
  <c r="BG4073" i="4"/>
  <c r="BF4073" i="4"/>
  <c r="BF4638" i="4"/>
  <c r="BG4638" i="4"/>
  <c r="BG4931" i="4"/>
  <c r="BF4931" i="4"/>
  <c r="BG4289" i="4"/>
  <c r="BF4289" i="4"/>
  <c r="BG5454" i="4"/>
  <c r="BF5454" i="4"/>
  <c r="BG5823" i="4"/>
  <c r="BF5823" i="4"/>
  <c r="BG3832" i="4"/>
  <c r="BF3832" i="4"/>
  <c r="BG4973" i="4"/>
  <c r="BF4973" i="4"/>
  <c r="BG5971" i="4"/>
  <c r="BF5971" i="4"/>
  <c r="BG4507" i="4"/>
  <c r="BF4507" i="4"/>
  <c r="BG4800" i="4"/>
  <c r="BF4800" i="4"/>
  <c r="BG5387" i="4"/>
  <c r="BF5387" i="4"/>
  <c r="BG5733" i="4"/>
  <c r="BF5733" i="4"/>
  <c r="BG4547" i="4"/>
  <c r="BF4547" i="4"/>
  <c r="BG5134" i="4"/>
  <c r="BF5134" i="4"/>
  <c r="BG5428" i="4"/>
  <c r="BF5428" i="4"/>
  <c r="BF5790" i="4"/>
  <c r="BG5790" i="4"/>
  <c r="BF3180" i="4"/>
  <c r="BG3180" i="4"/>
  <c r="BF3422" i="4"/>
  <c r="BG3422" i="4"/>
  <c r="BG3664" i="4"/>
  <c r="BF3664" i="4"/>
  <c r="BG3935" i="4"/>
  <c r="BF3935" i="4"/>
  <c r="BG4216" i="4"/>
  <c r="BF4216" i="4"/>
  <c r="BG4788" i="4"/>
  <c r="BF4788" i="4"/>
  <c r="BG5715" i="4"/>
  <c r="BF5715" i="4"/>
  <c r="BG5837" i="4"/>
  <c r="BF5837" i="4"/>
  <c r="BF4613" i="4"/>
  <c r="BG4613" i="4"/>
  <c r="BG5120" i="4"/>
  <c r="BF5120" i="4"/>
  <c r="BG5655" i="4"/>
  <c r="BF5655" i="4"/>
  <c r="BF3928" i="4"/>
  <c r="BG3928" i="4"/>
  <c r="BF4170" i="4"/>
  <c r="BG4170" i="4"/>
  <c r="BF4412" i="4"/>
  <c r="BG4412" i="4"/>
  <c r="BF4913" i="4"/>
  <c r="BG4913" i="4"/>
  <c r="BG6004" i="4"/>
  <c r="BF6004" i="4"/>
  <c r="BF3896" i="4"/>
  <c r="BG3896" i="4"/>
  <c r="BG4138" i="4"/>
  <c r="BF4138" i="4"/>
  <c r="BG4380" i="4"/>
  <c r="BF4380" i="4"/>
  <c r="BG4626" i="4"/>
  <c r="BF4626" i="4"/>
  <c r="BG5133" i="4"/>
  <c r="BF5133" i="4"/>
  <c r="BG5576" i="4"/>
  <c r="BF5576" i="4"/>
  <c r="BF5818" i="4"/>
  <c r="BG5818" i="4"/>
  <c r="BG4653" i="4"/>
  <c r="BF4653" i="4"/>
  <c r="BG4895" i="4"/>
  <c r="BF4895" i="4"/>
  <c r="BG5137" i="4"/>
  <c r="BF5137" i="4"/>
  <c r="BG5379" i="4"/>
  <c r="BF5379" i="4"/>
  <c r="BG5621" i="4"/>
  <c r="BF5621" i="4"/>
  <c r="BG5863" i="4"/>
  <c r="BF5863" i="4"/>
  <c r="BG2616" i="4"/>
  <c r="BF2616" i="4"/>
  <c r="BG243" i="4"/>
  <c r="BF243" i="4"/>
  <c r="BG2385" i="4"/>
  <c r="BF2385" i="4"/>
  <c r="BG725" i="4"/>
  <c r="BF725" i="4"/>
  <c r="BG1297" i="4"/>
  <c r="BF1297" i="4"/>
  <c r="BG3009" i="4"/>
  <c r="BF3009" i="4"/>
  <c r="BG1961" i="4"/>
  <c r="BF1961" i="4"/>
  <c r="BF429" i="4"/>
  <c r="BG429" i="4"/>
  <c r="BG2870" i="4"/>
  <c r="BF2870" i="4"/>
  <c r="BG1872" i="4"/>
  <c r="BF1872" i="4"/>
  <c r="BN746" i="4"/>
  <c r="BM746" i="4"/>
  <c r="BN1772" i="4"/>
  <c r="BM1772" i="4"/>
  <c r="BN3373" i="4"/>
  <c r="BM3373" i="4"/>
  <c r="BM1250" i="4"/>
  <c r="BN1250" i="4"/>
  <c r="BG1009" i="4"/>
  <c r="BF1009" i="4"/>
  <c r="BG2608" i="4"/>
  <c r="BF2608" i="4"/>
  <c r="BG3081" i="4"/>
  <c r="BF3081" i="4"/>
  <c r="BN1305" i="4"/>
  <c r="BM1305" i="4"/>
  <c r="BG2591" i="4"/>
  <c r="BF2591" i="4"/>
  <c r="BN649" i="4"/>
  <c r="BM649" i="4"/>
  <c r="BG1033" i="4"/>
  <c r="BF1033" i="4"/>
  <c r="BG4930" i="4"/>
  <c r="BF4930" i="4"/>
  <c r="BN2457" i="4"/>
  <c r="BM2457" i="4"/>
  <c r="BG1269" i="4"/>
  <c r="BF1269" i="4"/>
  <c r="BG1099" i="4"/>
  <c r="BF1099" i="4"/>
  <c r="BG2396" i="4"/>
  <c r="BF2396" i="4"/>
  <c r="BG3118" i="4"/>
  <c r="BF3118" i="4"/>
  <c r="BG4364" i="4"/>
  <c r="BF4364" i="4"/>
  <c r="BG4276" i="4"/>
  <c r="BF4276" i="4"/>
  <c r="BN151" i="4"/>
  <c r="BM151" i="4"/>
  <c r="BN1716" i="4"/>
  <c r="BM1716" i="4"/>
  <c r="BM1205" i="4"/>
  <c r="BN1205" i="4"/>
  <c r="BM1206" i="4"/>
  <c r="BN1206" i="4"/>
  <c r="BM2059" i="4"/>
  <c r="BN2059" i="4"/>
  <c r="BN2519" i="4"/>
  <c r="BM2519" i="4"/>
  <c r="BN2684" i="4"/>
  <c r="BM2684" i="4"/>
  <c r="BM220" i="4"/>
  <c r="BN220" i="4"/>
  <c r="BN2686" i="4"/>
  <c r="BM2686" i="4"/>
  <c r="BN2694" i="4"/>
  <c r="BM2694" i="4"/>
  <c r="BM437" i="4"/>
  <c r="BN437" i="4"/>
  <c r="BG65" i="4"/>
  <c r="BF65" i="4"/>
  <c r="BG2407" i="4"/>
  <c r="BF2407" i="4"/>
  <c r="BF1244" i="4"/>
  <c r="BG1244" i="4"/>
  <c r="BG2123" i="4"/>
  <c r="BF2123" i="4"/>
  <c r="BG171" i="4"/>
  <c r="BF171" i="4"/>
  <c r="BG2813" i="4"/>
  <c r="BF2813" i="4"/>
  <c r="BG5617" i="4"/>
  <c r="BF5617" i="4"/>
  <c r="BG315" i="4"/>
  <c r="BF315" i="4"/>
  <c r="BF1357" i="4"/>
  <c r="BG1357" i="4"/>
  <c r="BG2698" i="4"/>
  <c r="BF2698" i="4"/>
  <c r="BG3933" i="4"/>
  <c r="BF3933" i="4"/>
  <c r="BG1869" i="4"/>
  <c r="BF1869" i="4"/>
  <c r="BG2556" i="4"/>
  <c r="BF2556" i="4"/>
  <c r="BG1981" i="4"/>
  <c r="BF1981" i="4"/>
  <c r="BG1190" i="4"/>
  <c r="BF1190" i="4"/>
  <c r="BF426" i="4"/>
  <c r="BG426" i="4"/>
  <c r="BG919" i="4"/>
  <c r="BF919" i="4"/>
  <c r="BG2483" i="4"/>
  <c r="BF2483" i="4"/>
  <c r="BG5981" i="4"/>
  <c r="BF5981" i="4"/>
  <c r="BG2572" i="4"/>
  <c r="BF2572" i="4"/>
  <c r="BF4142" i="4"/>
  <c r="BG4142" i="4"/>
  <c r="BG5404" i="4"/>
  <c r="BF5404" i="4"/>
  <c r="BG2061" i="4"/>
  <c r="BF2061" i="4"/>
  <c r="BG2303" i="4"/>
  <c r="BF2303" i="4"/>
  <c r="BG3086" i="4"/>
  <c r="BF3086" i="4"/>
  <c r="BG3772" i="4"/>
  <c r="BF3772" i="4"/>
  <c r="BG2586" i="4"/>
  <c r="BF2586" i="4"/>
  <c r="BG4938" i="4"/>
  <c r="BF4938" i="4"/>
  <c r="BG5149" i="4"/>
  <c r="BF5149" i="4"/>
  <c r="BG1425" i="4"/>
  <c r="BF1425" i="4"/>
  <c r="BG2151" i="4"/>
  <c r="BF2151" i="4"/>
  <c r="BG2393" i="4"/>
  <c r="BF2393" i="4"/>
  <c r="BG2645" i="4"/>
  <c r="BF2645" i="4"/>
  <c r="BG3511" i="4"/>
  <c r="BF3511" i="4"/>
  <c r="BF3888" i="4"/>
  <c r="BG3888" i="4"/>
  <c r="BG1525" i="4"/>
  <c r="BF1525" i="4"/>
  <c r="BG2009" i="4"/>
  <c r="BF2009" i="4"/>
  <c r="BG2750" i="4"/>
  <c r="BF2750" i="4"/>
  <c r="BG3689" i="4"/>
  <c r="BF3689" i="4"/>
  <c r="BF3176" i="4"/>
  <c r="BG3176" i="4"/>
  <c r="BG3802" i="4"/>
  <c r="BF3802" i="4"/>
  <c r="BG5539" i="4"/>
  <c r="BF5539" i="4"/>
  <c r="BG5289" i="4"/>
  <c r="BF5289" i="4"/>
  <c r="BG3309" i="4"/>
  <c r="BF3309" i="4"/>
  <c r="BG5541" i="4"/>
  <c r="BF5541" i="4"/>
  <c r="BG4482" i="4"/>
  <c r="BF4482" i="4"/>
  <c r="BF3400" i="4"/>
  <c r="BG3400" i="4"/>
  <c r="BG5627" i="4"/>
  <c r="BF5627" i="4"/>
  <c r="BG4148" i="4"/>
  <c r="BF4148" i="4"/>
  <c r="BG3874" i="4"/>
  <c r="BF3874" i="4"/>
  <c r="BG4358" i="4"/>
  <c r="BF4358" i="4"/>
  <c r="BG5554" i="4"/>
  <c r="BF5554" i="4"/>
  <c r="BG4631" i="4"/>
  <c r="BF4631" i="4"/>
  <c r="BG5841" i="4"/>
  <c r="BF5841" i="4"/>
  <c r="BG2721" i="4"/>
  <c r="BF2721" i="4"/>
  <c r="BF5831" i="4"/>
  <c r="BG5831" i="4"/>
  <c r="BN2591" i="4"/>
  <c r="BM2591" i="4"/>
  <c r="BN867" i="4"/>
  <c r="BM867" i="4"/>
  <c r="BN426" i="4"/>
  <c r="BM426" i="4"/>
  <c r="BN48" i="4"/>
  <c r="BM48" i="4"/>
  <c r="BM2472" i="4"/>
  <c r="BN2472" i="4"/>
  <c r="BM815" i="4"/>
  <c r="BN815" i="4"/>
  <c r="BM389" i="4"/>
  <c r="BN389" i="4"/>
  <c r="BN915" i="4"/>
  <c r="BM915" i="4"/>
  <c r="BN1823" i="4"/>
  <c r="BM1823" i="4"/>
  <c r="BN2500" i="4"/>
  <c r="BM2500" i="4"/>
  <c r="BN3333" i="4"/>
  <c r="BM3333" i="4"/>
  <c r="BN455" i="4"/>
  <c r="BM455" i="4"/>
  <c r="BN741" i="4"/>
  <c r="BM741" i="4"/>
  <c r="BN1105" i="4"/>
  <c r="BM1105" i="4"/>
  <c r="BN212" i="4"/>
  <c r="BM212" i="4"/>
  <c r="BN1141" i="4"/>
  <c r="BM1141" i="4"/>
  <c r="BN2968" i="4"/>
  <c r="BM2968" i="4"/>
  <c r="BN177" i="4"/>
  <c r="BM177" i="4"/>
  <c r="BM444" i="4"/>
  <c r="BN444" i="4"/>
  <c r="BN729" i="4"/>
  <c r="BM729" i="4"/>
  <c r="BN1536" i="4"/>
  <c r="BM1536" i="4"/>
  <c r="BN2116" i="4"/>
  <c r="BM2116" i="4"/>
  <c r="BM287" i="4"/>
  <c r="BN287" i="4"/>
  <c r="BN1748" i="4"/>
  <c r="BM1748" i="4"/>
  <c r="BM3223" i="4"/>
  <c r="BN3223" i="4"/>
  <c r="BN155" i="4"/>
  <c r="BM155" i="4"/>
  <c r="BN421" i="4"/>
  <c r="BM421" i="4"/>
  <c r="BN703" i="4"/>
  <c r="BM703" i="4"/>
  <c r="BN1492" i="4"/>
  <c r="BM1492" i="4"/>
  <c r="BN2068" i="4"/>
  <c r="BM2068" i="4"/>
  <c r="BM288" i="4"/>
  <c r="BN288" i="4"/>
  <c r="BN872" i="4"/>
  <c r="BM872" i="4"/>
  <c r="BM1752" i="4"/>
  <c r="BN1752" i="4"/>
  <c r="BM156" i="4"/>
  <c r="BN156" i="4"/>
  <c r="BN422" i="4"/>
  <c r="BM422" i="4"/>
  <c r="BN705" i="4"/>
  <c r="BM705" i="4"/>
  <c r="BN1057" i="4"/>
  <c r="BM1057" i="4"/>
  <c r="BN1495" i="4"/>
  <c r="BM1495" i="4"/>
  <c r="BN1033" i="4"/>
  <c r="BM1033" i="4"/>
  <c r="BN1338" i="4"/>
  <c r="BM1338" i="4"/>
  <c r="BN2119" i="4"/>
  <c r="BM2119" i="4"/>
  <c r="BN2607" i="4"/>
  <c r="BM2607" i="4"/>
  <c r="BN3175" i="4"/>
  <c r="BM3175" i="4"/>
  <c r="BN2335" i="4"/>
  <c r="BM2335" i="4"/>
  <c r="BN3466" i="4"/>
  <c r="BM3466" i="4"/>
  <c r="BN984" i="4"/>
  <c r="BM984" i="4"/>
  <c r="BN2043" i="4"/>
  <c r="BM2043" i="4"/>
  <c r="BN2516" i="4"/>
  <c r="BM2516" i="4"/>
  <c r="BN3066" i="4"/>
  <c r="BM3066" i="4"/>
  <c r="BN1142" i="4"/>
  <c r="BM1142" i="4"/>
  <c r="BN1465" i="4"/>
  <c r="BM1465" i="4"/>
  <c r="BM1848" i="4"/>
  <c r="BN1848" i="4"/>
  <c r="BN2295" i="4"/>
  <c r="BM2295" i="4"/>
  <c r="BN3409" i="4"/>
  <c r="BM3409" i="4"/>
  <c r="BM1483" i="4"/>
  <c r="BN1483" i="4"/>
  <c r="BN2317" i="4"/>
  <c r="BM2317" i="4"/>
  <c r="BM873" i="4"/>
  <c r="BN873" i="4"/>
  <c r="BN1159" i="4"/>
  <c r="BM1159" i="4"/>
  <c r="BN1485" i="4"/>
  <c r="BM1485" i="4"/>
  <c r="BN1871" i="4"/>
  <c r="BM1871" i="4"/>
  <c r="BN2320" i="4"/>
  <c r="BM2320" i="4"/>
  <c r="BN3447" i="4"/>
  <c r="BM3447" i="4"/>
  <c r="BM617" i="4"/>
  <c r="BN617" i="4"/>
  <c r="BN887" i="4"/>
  <c r="BM887" i="4"/>
  <c r="BN1174" i="4"/>
  <c r="BM1174" i="4"/>
  <c r="BN2855" i="4"/>
  <c r="BM2855" i="4"/>
  <c r="BN1927" i="4"/>
  <c r="BM1927" i="4"/>
  <c r="BM2231" i="4"/>
  <c r="BN2231" i="4"/>
  <c r="BM2564" i="4"/>
  <c r="BN2564" i="4"/>
  <c r="BN2924" i="4"/>
  <c r="BM2924" i="4"/>
  <c r="BN2115" i="4"/>
  <c r="BM2115" i="4"/>
  <c r="BN2858" i="4"/>
  <c r="BM2858" i="4"/>
  <c r="BM3249" i="4"/>
  <c r="BN3249" i="4"/>
  <c r="BN2368" i="4"/>
  <c r="BM2368" i="4"/>
  <c r="BN2714" i="4"/>
  <c r="BM2714" i="4"/>
  <c r="BM3493" i="4"/>
  <c r="BN3493" i="4"/>
  <c r="BN312" i="4"/>
  <c r="BM312" i="4"/>
  <c r="BN819" i="4"/>
  <c r="BM819" i="4"/>
  <c r="BN1327" i="4"/>
  <c r="BM1327" i="4"/>
  <c r="BN1905" i="4"/>
  <c r="BM1905" i="4"/>
  <c r="BN2207" i="4"/>
  <c r="BM2207" i="4"/>
  <c r="BM2539" i="4"/>
  <c r="BN2539" i="4"/>
  <c r="BN2897" i="4"/>
  <c r="BM2897" i="4"/>
  <c r="BN3288" i="4"/>
  <c r="BM3288" i="4"/>
  <c r="BM2066" i="4"/>
  <c r="BN2066" i="4"/>
  <c r="BN2387" i="4"/>
  <c r="BM2387" i="4"/>
  <c r="BN3514" i="4"/>
  <c r="BM3514" i="4"/>
  <c r="BM993" i="4"/>
  <c r="BN993" i="4"/>
  <c r="BM1520" i="4"/>
  <c r="BN1520" i="4"/>
  <c r="BM1814" i="4"/>
  <c r="BN1814" i="4"/>
  <c r="BN2107" i="4"/>
  <c r="BM2107" i="4"/>
  <c r="BN2432" i="4"/>
  <c r="BM2432" i="4"/>
  <c r="BN3574" i="4"/>
  <c r="BM3574" i="4"/>
  <c r="BN1854" i="4"/>
  <c r="BM1854" i="4"/>
  <c r="BM3218" i="4"/>
  <c r="BN3218" i="4"/>
  <c r="BN3367" i="4"/>
  <c r="BM3367" i="4"/>
  <c r="BN1678" i="4"/>
  <c r="BM1678" i="4"/>
  <c r="BN2804" i="4"/>
  <c r="BM2804" i="4"/>
  <c r="BM253" i="4"/>
  <c r="BN253" i="4"/>
  <c r="BM495" i="4"/>
  <c r="BN495" i="4"/>
  <c r="BN737" i="4"/>
  <c r="BM737" i="4"/>
  <c r="BN979" i="4"/>
  <c r="BM979" i="4"/>
  <c r="BN1221" i="4"/>
  <c r="BM1221" i="4"/>
  <c r="BN2280" i="4"/>
  <c r="BM2280" i="4"/>
  <c r="BM3195" i="4"/>
  <c r="BN3195" i="4"/>
  <c r="BN2878" i="4"/>
  <c r="BM2878" i="4"/>
  <c r="BN3197" i="4"/>
  <c r="BM3197" i="4"/>
  <c r="BN3420" i="4"/>
  <c r="BM3420" i="4"/>
  <c r="BM2257" i="4"/>
  <c r="BN2257" i="4"/>
  <c r="BN2477" i="4"/>
  <c r="BM2477" i="4"/>
  <c r="BN2719" i="4"/>
  <c r="BM2719" i="4"/>
  <c r="BN2961" i="4"/>
  <c r="BM2961" i="4"/>
  <c r="BM3203" i="4"/>
  <c r="BN3203" i="4"/>
  <c r="BM3445" i="4"/>
  <c r="BN3445" i="4"/>
  <c r="BN2816" i="4"/>
  <c r="BM2816" i="4"/>
  <c r="BM1662" i="4"/>
  <c r="BN1662" i="4"/>
  <c r="BN967" i="4"/>
  <c r="BM967" i="4"/>
  <c r="BN500" i="4"/>
  <c r="BM500" i="4"/>
  <c r="BN109" i="4"/>
  <c r="BM109" i="4"/>
  <c r="BN2524" i="4"/>
  <c r="BM2524" i="4"/>
  <c r="BN840" i="4"/>
  <c r="BM840" i="4"/>
  <c r="BN3485" i="4"/>
  <c r="BM3485" i="4"/>
  <c r="BN2078" i="4"/>
  <c r="BM2078" i="4"/>
  <c r="BN3090" i="4"/>
  <c r="BM3090" i="4"/>
  <c r="BN1842" i="4"/>
  <c r="BM1842" i="4"/>
  <c r="BN1071" i="4"/>
  <c r="BM1071" i="4"/>
  <c r="BN568" i="4"/>
  <c r="BM568" i="4"/>
  <c r="BN172" i="4"/>
  <c r="BM172" i="4"/>
  <c r="BN1657" i="4"/>
  <c r="BM1657" i="4"/>
  <c r="BN104" i="4"/>
  <c r="BM104" i="4"/>
  <c r="BM1510" i="4"/>
  <c r="BN1510" i="4"/>
  <c r="BM2560" i="4"/>
  <c r="BN2560" i="4"/>
  <c r="BN809" i="4"/>
  <c r="BM809" i="4"/>
  <c r="BN12" i="4"/>
  <c r="BM12" i="4"/>
  <c r="BM2171" i="4"/>
  <c r="BN2171" i="4"/>
  <c r="BN1274" i="4"/>
  <c r="BM1274" i="4"/>
  <c r="BN697" i="4"/>
  <c r="BM697" i="4"/>
  <c r="BF2355" i="4"/>
  <c r="BG2355" i="4"/>
  <c r="BF1310" i="4"/>
  <c r="BG1310" i="4"/>
  <c r="BG583" i="4"/>
  <c r="BF583" i="4"/>
  <c r="BG2022" i="4"/>
  <c r="BF2022" i="4"/>
  <c r="BG5300" i="4"/>
  <c r="BF5300" i="4"/>
  <c r="BG2845" i="4"/>
  <c r="BF2845" i="4"/>
  <c r="BG1017" i="4"/>
  <c r="BF1017" i="4"/>
  <c r="BG4593" i="4"/>
  <c r="BF4593" i="4"/>
  <c r="BG1688" i="4"/>
  <c r="BF1688" i="4"/>
  <c r="BG887" i="4"/>
  <c r="BF887" i="4"/>
  <c r="BG251" i="4"/>
  <c r="BF251" i="4"/>
  <c r="BG3987" i="4"/>
  <c r="BF3987" i="4"/>
  <c r="BF2432" i="4"/>
  <c r="BG2432" i="4"/>
  <c r="BG1526" i="4"/>
  <c r="BF1526" i="4"/>
  <c r="BF760" i="4"/>
  <c r="BG760" i="4"/>
  <c r="BG2264" i="4"/>
  <c r="BF2264" i="4"/>
  <c r="BG32" i="4"/>
  <c r="BF32" i="4"/>
  <c r="BF902" i="4"/>
  <c r="BG902" i="4"/>
  <c r="BG1785" i="4"/>
  <c r="BF1785" i="4"/>
  <c r="BF2120" i="4"/>
  <c r="BG2120" i="4"/>
  <c r="BF3469" i="4"/>
  <c r="BG3469" i="4"/>
  <c r="BG135" i="4"/>
  <c r="BF135" i="4"/>
  <c r="BG377" i="4"/>
  <c r="BF377" i="4"/>
  <c r="BG619" i="4"/>
  <c r="BF619" i="4"/>
  <c r="BG868" i="4"/>
  <c r="BF868" i="4"/>
  <c r="BG1137" i="4"/>
  <c r="BF1137" i="4"/>
  <c r="BG1433" i="4"/>
  <c r="BF1433" i="4"/>
  <c r="BG4178" i="4"/>
  <c r="BF4178" i="4"/>
  <c r="BF365" i="4"/>
  <c r="BG365" i="4"/>
  <c r="BG1203" i="4"/>
  <c r="BF1203" i="4"/>
  <c r="BF1609" i="4"/>
  <c r="BG1609" i="4"/>
  <c r="BG1938" i="4"/>
  <c r="BF1938" i="4"/>
  <c r="BG2271" i="4"/>
  <c r="BF2271" i="4"/>
  <c r="BG3805" i="4"/>
  <c r="BF3805" i="4"/>
  <c r="BG4989" i="4"/>
  <c r="BF4989" i="4"/>
  <c r="BG244" i="4"/>
  <c r="BF244" i="4"/>
  <c r="BG180" i="4"/>
  <c r="BF180" i="4"/>
  <c r="BF422" i="4"/>
  <c r="BG422" i="4"/>
  <c r="BG664" i="4"/>
  <c r="BF664" i="4"/>
  <c r="BG915" i="4"/>
  <c r="BF915" i="4"/>
  <c r="BG1192" i="4"/>
  <c r="BF1192" i="4"/>
  <c r="BG1488" i="4"/>
  <c r="BF1488" i="4"/>
  <c r="BF2477" i="4"/>
  <c r="BG2477" i="4"/>
  <c r="BG3503" i="4"/>
  <c r="BF3503" i="4"/>
  <c r="BG5944" i="4"/>
  <c r="BF5944" i="4"/>
  <c r="BG1683" i="4"/>
  <c r="BF1683" i="4"/>
  <c r="BG2015" i="4"/>
  <c r="BF2015" i="4"/>
  <c r="BG2348" i="4"/>
  <c r="BF2348" i="4"/>
  <c r="BG2731" i="4"/>
  <c r="BF2731" i="4"/>
  <c r="BG4002" i="4"/>
  <c r="BF4002" i="4"/>
  <c r="BG5326" i="4"/>
  <c r="BF5326" i="4"/>
  <c r="BG751" i="4"/>
  <c r="BF751" i="4"/>
  <c r="BG2026" i="4"/>
  <c r="BF2026" i="4"/>
  <c r="BG2848" i="4"/>
  <c r="BF2848" i="4"/>
  <c r="BF442" i="4"/>
  <c r="BG442" i="4"/>
  <c r="BG1391" i="4"/>
  <c r="BF1391" i="4"/>
  <c r="BG3167" i="4"/>
  <c r="BF3167" i="4"/>
  <c r="BF203" i="4"/>
  <c r="BG203" i="4"/>
  <c r="BG445" i="4"/>
  <c r="BF445" i="4"/>
  <c r="BG687" i="4"/>
  <c r="BF687" i="4"/>
  <c r="BF939" i="4"/>
  <c r="BG939" i="4"/>
  <c r="BG1221" i="4"/>
  <c r="BF1221" i="4"/>
  <c r="BG1517" i="4"/>
  <c r="BF1517" i="4"/>
  <c r="BG2948" i="4"/>
  <c r="BF2948" i="4"/>
  <c r="BG3578" i="4"/>
  <c r="BF3578" i="4"/>
  <c r="BG1836" i="4"/>
  <c r="BF1836" i="4"/>
  <c r="BF2168" i="4"/>
  <c r="BG2168" i="4"/>
  <c r="BG2514" i="4"/>
  <c r="BF2514" i="4"/>
  <c r="BG4549" i="4"/>
  <c r="BF4549" i="4"/>
  <c r="BF204" i="4"/>
  <c r="BG204" i="4"/>
  <c r="BG446" i="4"/>
  <c r="BF446" i="4"/>
  <c r="BG688" i="4"/>
  <c r="BF688" i="4"/>
  <c r="BF940" i="4"/>
  <c r="BG940" i="4"/>
  <c r="BF1222" i="4"/>
  <c r="BG1222" i="4"/>
  <c r="BG1518" i="4"/>
  <c r="BF1518" i="4"/>
  <c r="BF2515" i="4"/>
  <c r="BG2515" i="4"/>
  <c r="BF2949" i="4"/>
  <c r="BG2949" i="4"/>
  <c r="BG3579" i="4"/>
  <c r="BF3579" i="4"/>
  <c r="BF906" i="4"/>
  <c r="BG906" i="4"/>
  <c r="BG1792" i="4"/>
  <c r="BF1792" i="4"/>
  <c r="BG2124" i="4"/>
  <c r="BF2124" i="4"/>
  <c r="BG2464" i="4"/>
  <c r="BF2464" i="4"/>
  <c r="BG3482" i="4"/>
  <c r="BF3482" i="4"/>
  <c r="BG5870" i="4"/>
  <c r="BF5870" i="4"/>
  <c r="BF106" i="4"/>
  <c r="BG106" i="4"/>
  <c r="BF348" i="4"/>
  <c r="BG348" i="4"/>
  <c r="BG590" i="4"/>
  <c r="BF590" i="4"/>
  <c r="BG1102" i="4"/>
  <c r="BF1102" i="4"/>
  <c r="BF1398" i="4"/>
  <c r="BG1398" i="4"/>
  <c r="BG3302" i="4"/>
  <c r="BF3302" i="4"/>
  <c r="BF4048" i="4"/>
  <c r="BG4048" i="4"/>
  <c r="BG746" i="4"/>
  <c r="BF746" i="4"/>
  <c r="BG1914" i="4"/>
  <c r="BF1914" i="4"/>
  <c r="BG2246" i="4"/>
  <c r="BF2246" i="4"/>
  <c r="BG3748" i="4"/>
  <c r="BF3748" i="4"/>
  <c r="BG2117" i="4"/>
  <c r="BF2117" i="4"/>
  <c r="BG2962" i="4"/>
  <c r="BF2962" i="4"/>
  <c r="BF4979" i="4"/>
  <c r="BG4979" i="4"/>
  <c r="BG519" i="4"/>
  <c r="BF519" i="4"/>
  <c r="BG1339" i="4"/>
  <c r="BF1339" i="4"/>
  <c r="BG5833" i="4"/>
  <c r="BF5833" i="4"/>
  <c r="BG217" i="4"/>
  <c r="BF217" i="4"/>
  <c r="BF459" i="4"/>
  <c r="BG459" i="4"/>
  <c r="BG701" i="4"/>
  <c r="BF701" i="4"/>
  <c r="BG954" i="4"/>
  <c r="BF954" i="4"/>
  <c r="BG1237" i="4"/>
  <c r="BF1237" i="4"/>
  <c r="BG1533" i="4"/>
  <c r="BF1533" i="4"/>
  <c r="BG2975" i="4"/>
  <c r="BF2975" i="4"/>
  <c r="BF2607" i="4"/>
  <c r="BG2607" i="4"/>
  <c r="BF3156" i="4"/>
  <c r="BG3156" i="4"/>
  <c r="BG3489" i="4"/>
  <c r="BF3489" i="4"/>
  <c r="BG4356" i="4"/>
  <c r="BF4356" i="4"/>
  <c r="BG2803" i="4"/>
  <c r="BF2803" i="4"/>
  <c r="BG3085" i="4"/>
  <c r="BF3085" i="4"/>
  <c r="BF3771" i="4"/>
  <c r="BG3771" i="4"/>
  <c r="BG2723" i="4"/>
  <c r="BF2723" i="4"/>
  <c r="BF2990" i="4"/>
  <c r="BG2990" i="4"/>
  <c r="BF3306" i="4"/>
  <c r="BG3306" i="4"/>
  <c r="BF3652" i="4"/>
  <c r="BG3652" i="4"/>
  <c r="BF4054" i="4"/>
  <c r="BG4054" i="4"/>
  <c r="BG4643" i="4"/>
  <c r="BF4643" i="4"/>
  <c r="BF5286" i="4"/>
  <c r="BG5286" i="4"/>
  <c r="BG1852" i="4"/>
  <c r="BF1852" i="4"/>
  <c r="BG2094" i="4"/>
  <c r="BF2094" i="4"/>
  <c r="BG2336" i="4"/>
  <c r="BF2336" i="4"/>
  <c r="BG2840" i="4"/>
  <c r="BF2840" i="4"/>
  <c r="BF3129" i="4"/>
  <c r="BG3129" i="4"/>
  <c r="BF3826" i="4"/>
  <c r="BG3826" i="4"/>
  <c r="BG5600" i="4"/>
  <c r="BF5600" i="4"/>
  <c r="BG3508" i="4"/>
  <c r="BF3508" i="4"/>
  <c r="BG3886" i="4"/>
  <c r="BF3886" i="4"/>
  <c r="BG5029" i="4"/>
  <c r="BF5029" i="4"/>
  <c r="BF4015" i="4"/>
  <c r="BG4015" i="4"/>
  <c r="BG3280" i="4"/>
  <c r="BF3280" i="4"/>
  <c r="BG3622" i="4"/>
  <c r="BF3622" i="4"/>
  <c r="BF4589" i="4"/>
  <c r="BG4589" i="4"/>
  <c r="BG5232" i="4"/>
  <c r="BF5232" i="4"/>
  <c r="BG6013" i="4"/>
  <c r="BF6013" i="4"/>
  <c r="BG1216" i="4"/>
  <c r="BF1216" i="4"/>
  <c r="BG1458" i="4"/>
  <c r="BF1458" i="4"/>
  <c r="BG1700" i="4"/>
  <c r="BF1700" i="4"/>
  <c r="BG1942" i="4"/>
  <c r="BF1942" i="4"/>
  <c r="BG2184" i="4"/>
  <c r="BF2184" i="4"/>
  <c r="BG2426" i="4"/>
  <c r="BF2426" i="4"/>
  <c r="BG3590" i="4"/>
  <c r="BF3590" i="4"/>
  <c r="BG3979" i="4"/>
  <c r="BF3979" i="4"/>
  <c r="BG4535" i="4"/>
  <c r="BF4535" i="4"/>
  <c r="BG5927" i="4"/>
  <c r="BF5927" i="4"/>
  <c r="BG2657" i="4"/>
  <c r="BF2657" i="4"/>
  <c r="BG2917" i="4"/>
  <c r="BF2917" i="4"/>
  <c r="BG3558" i="4"/>
  <c r="BF3558" i="4"/>
  <c r="BG3945" i="4"/>
  <c r="BF3945" i="4"/>
  <c r="BG5849" i="4"/>
  <c r="BF5849" i="4"/>
  <c r="BG1074" i="4"/>
  <c r="BF1074" i="4"/>
  <c r="BG1316" i="4"/>
  <c r="BF1316" i="4"/>
  <c r="BG1558" i="4"/>
  <c r="BF1558" i="4"/>
  <c r="BG1800" i="4"/>
  <c r="BF1800" i="4"/>
  <c r="BG2042" i="4"/>
  <c r="BF2042" i="4"/>
  <c r="BG2284" i="4"/>
  <c r="BF2284" i="4"/>
  <c r="BG2531" i="4"/>
  <c r="BF2531" i="4"/>
  <c r="BG3062" i="4"/>
  <c r="BF3062" i="4"/>
  <c r="BF3388" i="4"/>
  <c r="BG3388" i="4"/>
  <c r="BG5447" i="4"/>
  <c r="BF5447" i="4"/>
  <c r="BF2658" i="4"/>
  <c r="BG2658" i="4"/>
  <c r="BF2918" i="4"/>
  <c r="BG2918" i="4"/>
  <c r="BG3222" i="4"/>
  <c r="BF3222" i="4"/>
  <c r="BG3559" i="4"/>
  <c r="BF3559" i="4"/>
  <c r="BG5853" i="4"/>
  <c r="BF5853" i="4"/>
  <c r="BG4323" i="4"/>
  <c r="BF4323" i="4"/>
  <c r="BG4607" i="4"/>
  <c r="BF4607" i="4"/>
  <c r="BF4900" i="4"/>
  <c r="BG4900" i="4"/>
  <c r="BG3098" i="4"/>
  <c r="BF3098" i="4"/>
  <c r="BG3340" i="4"/>
  <c r="BF3340" i="4"/>
  <c r="BG3582" i="4"/>
  <c r="BF3582" i="4"/>
  <c r="BG4400" i="4"/>
  <c r="BF4400" i="4"/>
  <c r="BG4688" i="4"/>
  <c r="BF4688" i="4"/>
  <c r="BG5275" i="4"/>
  <c r="BF5275" i="4"/>
  <c r="BF5985" i="4"/>
  <c r="BG5985" i="4"/>
  <c r="BF4032" i="4"/>
  <c r="BG4032" i="4"/>
  <c r="BG4595" i="4"/>
  <c r="BF4595" i="4"/>
  <c r="BG4888" i="4"/>
  <c r="BF4888" i="4"/>
  <c r="BF5857" i="4"/>
  <c r="BG5857" i="4"/>
  <c r="BF3385" i="4"/>
  <c r="BG3385" i="4"/>
  <c r="BF3627" i="4"/>
  <c r="BG3627" i="4"/>
  <c r="BG3892" i="4"/>
  <c r="BF3892" i="4"/>
  <c r="BG4173" i="4"/>
  <c r="BF4173" i="4"/>
  <c r="BG4743" i="4"/>
  <c r="BF4743" i="4"/>
  <c r="BG5330" i="4"/>
  <c r="BF5330" i="4"/>
  <c r="BG5657" i="4"/>
  <c r="BF5657" i="4"/>
  <c r="BG4453" i="4"/>
  <c r="BF4453" i="4"/>
  <c r="BG5036" i="4"/>
  <c r="BF5036" i="4"/>
  <c r="BG3100" i="4"/>
  <c r="BF3100" i="4"/>
  <c r="BG3342" i="4"/>
  <c r="BF3342" i="4"/>
  <c r="BG3584" i="4"/>
  <c r="BF3584" i="4"/>
  <c r="BG3843" i="4"/>
  <c r="BF3843" i="4"/>
  <c r="BG4690" i="4"/>
  <c r="BF4690" i="4"/>
  <c r="BG5277" i="4"/>
  <c r="BF5277" i="4"/>
  <c r="BG5590" i="4"/>
  <c r="BF5590" i="4"/>
  <c r="BG5988" i="4"/>
  <c r="BF5988" i="4"/>
  <c r="BG4365" i="4"/>
  <c r="BF4365" i="4"/>
  <c r="BG4651" i="4"/>
  <c r="BF4651" i="4"/>
  <c r="BF4944" i="4"/>
  <c r="BG4944" i="4"/>
  <c r="BG5542" i="4"/>
  <c r="BF5542" i="4"/>
  <c r="BF4022" i="4"/>
  <c r="BG4022" i="4"/>
  <c r="BG5172" i="4"/>
  <c r="BF5172" i="4"/>
  <c r="BF5469" i="4"/>
  <c r="BG5469" i="4"/>
  <c r="BG4124" i="4"/>
  <c r="BF4124" i="4"/>
  <c r="BG4405" i="4"/>
  <c r="BF4405" i="4"/>
  <c r="BG4986" i="4"/>
  <c r="BF4986" i="4"/>
  <c r="BG5991" i="4"/>
  <c r="BF5991" i="4"/>
  <c r="BG4240" i="4"/>
  <c r="BF4240" i="4"/>
  <c r="BG4813" i="4"/>
  <c r="BF4813" i="4"/>
  <c r="BG5106" i="4"/>
  <c r="BF5106" i="4"/>
  <c r="BG5400" i="4"/>
  <c r="BF5400" i="4"/>
  <c r="BG4278" i="4"/>
  <c r="BF4278" i="4"/>
  <c r="BG4560" i="4"/>
  <c r="BF4560" i="4"/>
  <c r="BG4853" i="4"/>
  <c r="BF4853" i="4"/>
  <c r="BG5147" i="4"/>
  <c r="BF5147" i="4"/>
  <c r="BF3191" i="4"/>
  <c r="BG3191" i="4"/>
  <c r="BF3433" i="4"/>
  <c r="BG3433" i="4"/>
  <c r="BG3675" i="4"/>
  <c r="BF3675" i="4"/>
  <c r="BG4508" i="4"/>
  <c r="BF4508" i="4"/>
  <c r="BG4801" i="4"/>
  <c r="BF4801" i="4"/>
  <c r="BG5094" i="4"/>
  <c r="BF5094" i="4"/>
  <c r="BG5388" i="4"/>
  <c r="BF5388" i="4"/>
  <c r="BG5663" i="4"/>
  <c r="BF5663" i="4"/>
  <c r="BG5652" i="4"/>
  <c r="BF5652" i="4"/>
  <c r="BG4878" i="4"/>
  <c r="BF4878" i="4"/>
  <c r="BG5385" i="4"/>
  <c r="BF5385" i="4"/>
  <c r="BG5668" i="4"/>
  <c r="BF5668" i="4"/>
  <c r="BG5964" i="4"/>
  <c r="BF5964" i="4"/>
  <c r="BG3939" i="4"/>
  <c r="BF3939" i="4"/>
  <c r="BG4181" i="4"/>
  <c r="BF4181" i="4"/>
  <c r="BG4423" i="4"/>
  <c r="BF4423" i="4"/>
  <c r="BF4671" i="4"/>
  <c r="BG4671" i="4"/>
  <c r="BG5178" i="4"/>
  <c r="BF5178" i="4"/>
  <c r="BG3907" i="4"/>
  <c r="BF3907" i="4"/>
  <c r="BF4149" i="4"/>
  <c r="BG4149" i="4"/>
  <c r="BG4391" i="4"/>
  <c r="BF4391" i="4"/>
  <c r="BF4891" i="4"/>
  <c r="BG4891" i="4"/>
  <c r="BG5398" i="4"/>
  <c r="BF5398" i="4"/>
  <c r="BG5587" i="4"/>
  <c r="BF5587" i="4"/>
  <c r="BG5829" i="4"/>
  <c r="BF5829" i="4"/>
  <c r="BG4664" i="4"/>
  <c r="BF4664" i="4"/>
  <c r="BF4906" i="4"/>
  <c r="BG4906" i="4"/>
  <c r="BG5148" i="4"/>
  <c r="BF5148" i="4"/>
  <c r="BG5390" i="4"/>
  <c r="BF5390" i="4"/>
  <c r="BG5632" i="4"/>
  <c r="BF5632" i="4"/>
  <c r="BG5874" i="4"/>
  <c r="BF5874" i="4"/>
  <c r="BG4398" i="4"/>
  <c r="BF4398" i="4"/>
  <c r="BG1636" i="4"/>
  <c r="BF1636" i="4"/>
  <c r="BG852" i="4"/>
  <c r="BF852" i="4"/>
  <c r="BG219" i="4"/>
  <c r="BF219" i="4"/>
  <c r="BG3762" i="4"/>
  <c r="BF3762" i="4"/>
  <c r="BG2341" i="4"/>
  <c r="BF2341" i="4"/>
  <c r="BF1266" i="4"/>
  <c r="BG1266" i="4"/>
  <c r="BG548" i="4"/>
  <c r="BF548" i="4"/>
  <c r="BF405" i="4"/>
  <c r="BG405" i="4"/>
  <c r="BG1828" i="4"/>
  <c r="BF1828" i="4"/>
  <c r="BM1794" i="4"/>
  <c r="BN1794" i="4"/>
  <c r="BN2670" i="4"/>
  <c r="BM2670" i="4"/>
  <c r="BN2851" i="4"/>
  <c r="BM2851" i="4"/>
  <c r="BG2505" i="4"/>
  <c r="BF2505" i="4"/>
  <c r="BG5562" i="4"/>
  <c r="BF5562" i="4"/>
  <c r="BN3029" i="4"/>
  <c r="BM3029" i="4"/>
  <c r="BN760" i="4"/>
  <c r="BM760" i="4"/>
  <c r="BG3017" i="4"/>
  <c r="BF3017" i="4"/>
  <c r="BN2145" i="4"/>
  <c r="BM2145" i="4"/>
  <c r="BN1133" i="4"/>
  <c r="BM1133" i="4"/>
  <c r="BG2354" i="4"/>
  <c r="BF2354" i="4"/>
  <c r="BF5844" i="4"/>
  <c r="BG5844" i="4"/>
  <c r="BN2601" i="4"/>
  <c r="BM2601" i="4"/>
  <c r="BM1505" i="4"/>
  <c r="BN1505" i="4"/>
  <c r="BG3068" i="4"/>
  <c r="BF3068" i="4"/>
  <c r="BN2743" i="4"/>
  <c r="BM2743" i="4"/>
  <c r="BN1038" i="4"/>
  <c r="BM1038" i="4"/>
  <c r="BN2530" i="4"/>
  <c r="BM2530" i="4"/>
  <c r="BG1041" i="4"/>
  <c r="BF1041" i="4"/>
  <c r="BG4652" i="4"/>
  <c r="BF4652" i="4"/>
  <c r="BM34" i="4"/>
  <c r="BN34" i="4"/>
  <c r="BN2419" i="4"/>
  <c r="BM2419" i="4"/>
  <c r="BM1416" i="4"/>
  <c r="BN1416" i="4"/>
  <c r="BN793" i="4"/>
  <c r="BM793" i="4"/>
  <c r="BM371" i="4"/>
  <c r="BN371" i="4"/>
  <c r="BN2883" i="4"/>
  <c r="BM2883" i="4"/>
  <c r="BN930" i="4"/>
  <c r="BM930" i="4"/>
  <c r="BM2533" i="4"/>
  <c r="BN2533" i="4"/>
  <c r="BN224" i="4"/>
  <c r="BM224" i="4"/>
  <c r="BN493" i="4"/>
  <c r="BM493" i="4"/>
  <c r="BN786" i="4"/>
  <c r="BM786" i="4"/>
  <c r="BN1621" i="4"/>
  <c r="BM1621" i="4"/>
  <c r="BN2241" i="4"/>
  <c r="BM2241" i="4"/>
  <c r="BN2504" i="4"/>
  <c r="BM2504" i="4"/>
  <c r="BN3336" i="4"/>
  <c r="BM3336" i="4"/>
  <c r="BN189" i="4"/>
  <c r="BM189" i="4"/>
  <c r="BN1555" i="4"/>
  <c r="BM1555" i="4"/>
  <c r="BM2151" i="4"/>
  <c r="BN2151" i="4"/>
  <c r="BN299" i="4"/>
  <c r="BM299" i="4"/>
  <c r="BM1282" i="4"/>
  <c r="BN1282" i="4"/>
  <c r="BN1779" i="4"/>
  <c r="BM1779" i="4"/>
  <c r="BN2441" i="4"/>
  <c r="BM2441" i="4"/>
  <c r="BN167" i="4"/>
  <c r="BM167" i="4"/>
  <c r="BN1072" i="4"/>
  <c r="BM1072" i="4"/>
  <c r="BN1516" i="4"/>
  <c r="BM1516" i="4"/>
  <c r="BN2817" i="4"/>
  <c r="BM2817" i="4"/>
  <c r="BN300" i="4"/>
  <c r="BM300" i="4"/>
  <c r="BN1780" i="4"/>
  <c r="BM1780" i="4"/>
  <c r="BN2443" i="4"/>
  <c r="BM2443" i="4"/>
  <c r="BN3268" i="4"/>
  <c r="BM3268" i="4"/>
  <c r="BN168" i="4"/>
  <c r="BM168" i="4"/>
  <c r="BN1518" i="4"/>
  <c r="BM1518" i="4"/>
  <c r="BN2096" i="4"/>
  <c r="BM2096" i="4"/>
  <c r="BN2823" i="4"/>
  <c r="BM2823" i="4"/>
  <c r="BM2630" i="4"/>
  <c r="BN2630" i="4"/>
  <c r="BN1904" i="4"/>
  <c r="BM1904" i="4"/>
  <c r="BN2870" i="4"/>
  <c r="BM2870" i="4"/>
  <c r="BN3497" i="4"/>
  <c r="BM3497" i="4"/>
  <c r="BN1296" i="4"/>
  <c r="BM1296" i="4"/>
  <c r="BN1643" i="4"/>
  <c r="BM1643" i="4"/>
  <c r="BN3096" i="4"/>
  <c r="BM3096" i="4"/>
  <c r="BN871" i="4"/>
  <c r="BM871" i="4"/>
  <c r="BN1157" i="4"/>
  <c r="BM1157" i="4"/>
  <c r="BM1869" i="4"/>
  <c r="BN1869" i="4"/>
  <c r="BN2824" i="4"/>
  <c r="BM2824" i="4"/>
  <c r="BN3443" i="4"/>
  <c r="BM3443" i="4"/>
  <c r="BN884" i="4"/>
  <c r="BM884" i="4"/>
  <c r="BN1171" i="4"/>
  <c r="BM1171" i="4"/>
  <c r="BN1499" i="4"/>
  <c r="BM1499" i="4"/>
  <c r="BM1888" i="4"/>
  <c r="BN1888" i="4"/>
  <c r="BN2339" i="4"/>
  <c r="BM2339" i="4"/>
  <c r="BM2852" i="4"/>
  <c r="BN2852" i="4"/>
  <c r="BM3471" i="4"/>
  <c r="BN3471" i="4"/>
  <c r="BN1891" i="4"/>
  <c r="BM1891" i="4"/>
  <c r="BN2343" i="4"/>
  <c r="BM2343" i="4"/>
  <c r="BN3480" i="4"/>
  <c r="BM3480" i="4"/>
  <c r="BM629" i="4"/>
  <c r="BN629" i="4"/>
  <c r="BM900" i="4"/>
  <c r="BN900" i="4"/>
  <c r="BN1190" i="4"/>
  <c r="BM1190" i="4"/>
  <c r="BN1913" i="4"/>
  <c r="BM1913" i="4"/>
  <c r="BM2885" i="4"/>
  <c r="BN2885" i="4"/>
  <c r="BN1940" i="4"/>
  <c r="BM1940" i="4"/>
  <c r="BM2246" i="4"/>
  <c r="BN2246" i="4"/>
  <c r="BN2580" i="4"/>
  <c r="BM2580" i="4"/>
  <c r="BN1835" i="4"/>
  <c r="BM1835" i="4"/>
  <c r="BN2130" i="4"/>
  <c r="BM2130" i="4"/>
  <c r="BN2809" i="4"/>
  <c r="BM2809" i="4"/>
  <c r="BN2876" i="4"/>
  <c r="BM2876" i="4"/>
  <c r="BM1209" i="4"/>
  <c r="BN1209" i="4"/>
  <c r="BN2063" i="4"/>
  <c r="BM2063" i="4"/>
  <c r="BN2383" i="4"/>
  <c r="BM2383" i="4"/>
  <c r="BM2729" i="4"/>
  <c r="BN2729" i="4"/>
  <c r="BN3510" i="4"/>
  <c r="BM3510" i="4"/>
  <c r="BN577" i="4"/>
  <c r="BM577" i="4"/>
  <c r="BN1084" i="4"/>
  <c r="BM1084" i="4"/>
  <c r="BN1339" i="4"/>
  <c r="BM1339" i="4"/>
  <c r="BN1626" i="4"/>
  <c r="BM1626" i="4"/>
  <c r="BN1918" i="4"/>
  <c r="BM1918" i="4"/>
  <c r="BN2079" i="4"/>
  <c r="BM2079" i="4"/>
  <c r="BN2748" i="4"/>
  <c r="BM2748" i="4"/>
  <c r="BN3534" i="4"/>
  <c r="BM3534" i="4"/>
  <c r="BN1258" i="4"/>
  <c r="BM1258" i="4"/>
  <c r="BN1827" i="4"/>
  <c r="BM1827" i="4"/>
  <c r="BN2121" i="4"/>
  <c r="BM2121" i="4"/>
  <c r="BN2449" i="4"/>
  <c r="BM2449" i="4"/>
  <c r="BN2799" i="4"/>
  <c r="BM2799" i="4"/>
  <c r="BM3183" i="4"/>
  <c r="BN3183" i="4"/>
  <c r="BM1293" i="4"/>
  <c r="BN1293" i="4"/>
  <c r="BN2496" i="4"/>
  <c r="BM2496" i="4"/>
  <c r="BN3237" i="4"/>
  <c r="BM3237" i="4"/>
  <c r="BN2957" i="4"/>
  <c r="BM2957" i="4"/>
  <c r="BN1690" i="4"/>
  <c r="BM1690" i="4"/>
  <c r="BN2227" i="4"/>
  <c r="BM2227" i="4"/>
  <c r="BM264" i="4"/>
  <c r="BN264" i="4"/>
  <c r="BN506" i="4"/>
  <c r="BM506" i="4"/>
  <c r="BN748" i="4"/>
  <c r="BM748" i="4"/>
  <c r="BM990" i="4"/>
  <c r="BN990" i="4"/>
  <c r="BN1232" i="4"/>
  <c r="BM1232" i="4"/>
  <c r="BN2019" i="4"/>
  <c r="BM2019" i="4"/>
  <c r="BM2293" i="4"/>
  <c r="BN2293" i="4"/>
  <c r="BN2890" i="4"/>
  <c r="BM2890" i="4"/>
  <c r="BM3211" i="4"/>
  <c r="BN3211" i="4"/>
  <c r="BM2294" i="4"/>
  <c r="BN2294" i="4"/>
  <c r="BN2585" i="4"/>
  <c r="BM2585" i="4"/>
  <c r="BN3212" i="4"/>
  <c r="BM3212" i="4"/>
  <c r="BN3535" i="4"/>
  <c r="BM3535" i="4"/>
  <c r="BN3127" i="4"/>
  <c r="BM3127" i="4"/>
  <c r="BN2163" i="4"/>
  <c r="BM2163" i="4"/>
  <c r="BN2269" i="4"/>
  <c r="BM2269" i="4"/>
  <c r="BN2488" i="4"/>
  <c r="BM2488" i="4"/>
  <c r="BN2730" i="4"/>
  <c r="BM2730" i="4"/>
  <c r="BN2972" i="4"/>
  <c r="BM2972" i="4"/>
  <c r="BM3214" i="4"/>
  <c r="BN3214" i="4"/>
  <c r="BM3456" i="4"/>
  <c r="BN3456" i="4"/>
  <c r="BN1632" i="4"/>
  <c r="BM1632" i="4"/>
  <c r="BN942" i="4"/>
  <c r="BM942" i="4"/>
  <c r="BN479" i="4"/>
  <c r="BM479" i="4"/>
  <c r="BN92" i="4"/>
  <c r="BM92" i="4"/>
  <c r="BN2462" i="4"/>
  <c r="BM2462" i="4"/>
  <c r="BM388" i="4"/>
  <c r="BN388" i="4"/>
  <c r="BN16" i="4"/>
  <c r="BM16" i="4"/>
  <c r="BM3405" i="4"/>
  <c r="BN3405" i="4"/>
  <c r="BN3024" i="4"/>
  <c r="BM3024" i="4"/>
  <c r="BN1792" i="4"/>
  <c r="BM1792" i="4"/>
  <c r="BM2744" i="4"/>
  <c r="BN2744" i="4"/>
  <c r="BN1618" i="4"/>
  <c r="BM1618" i="4"/>
  <c r="BN1476" i="4"/>
  <c r="BM1476" i="4"/>
  <c r="BM830" i="4"/>
  <c r="BN830" i="4"/>
  <c r="BN401" i="4"/>
  <c r="BM401" i="4"/>
  <c r="BN2508" i="4"/>
  <c r="BM2508" i="4"/>
  <c r="BM27" i="4"/>
  <c r="BN27" i="4"/>
  <c r="BN782" i="4"/>
  <c r="BM782" i="4"/>
  <c r="BN3541" i="4"/>
  <c r="BM3541" i="4"/>
  <c r="BN1248" i="4"/>
  <c r="BM1248" i="4"/>
  <c r="BM679" i="4"/>
  <c r="BN679" i="4"/>
  <c r="BN274" i="4"/>
  <c r="BM274" i="4"/>
  <c r="BF2311" i="4"/>
  <c r="BG2311" i="4"/>
  <c r="BG1279" i="4"/>
  <c r="BF1279" i="4"/>
  <c r="BG559" i="4"/>
  <c r="BF559" i="4"/>
  <c r="BG3036" i="4"/>
  <c r="BF3036" i="4"/>
  <c r="BG1978" i="4"/>
  <c r="BF1978" i="4"/>
  <c r="BG5153" i="4"/>
  <c r="BF5153" i="4"/>
  <c r="BG2782" i="4"/>
  <c r="BF2782" i="4"/>
  <c r="BF982" i="4"/>
  <c r="BG982" i="4"/>
  <c r="BG330" i="4"/>
  <c r="BF330" i="4"/>
  <c r="BF4450" i="4"/>
  <c r="BG4450" i="4"/>
  <c r="BG2579" i="4"/>
  <c r="BF2579" i="4"/>
  <c r="BF1647" i="4"/>
  <c r="BG1647" i="4"/>
  <c r="BG1495" i="4"/>
  <c r="BF1495" i="4"/>
  <c r="BG111" i="4"/>
  <c r="BF111" i="4"/>
  <c r="BG2220" i="4"/>
  <c r="BF2220" i="4"/>
  <c r="BG605" i="4"/>
  <c r="BF605" i="4"/>
  <c r="BG1802" i="4"/>
  <c r="BF1802" i="4"/>
  <c r="BG2134" i="4"/>
  <c r="BF2134" i="4"/>
  <c r="BG2896" i="4"/>
  <c r="BF2896" i="4"/>
  <c r="BF4408" i="4"/>
  <c r="BG4408" i="4"/>
  <c r="BG146" i="4"/>
  <c r="BF146" i="4"/>
  <c r="BG388" i="4"/>
  <c r="BF388" i="4"/>
  <c r="BG630" i="4"/>
  <c r="BF630" i="4"/>
  <c r="BG1152" i="4"/>
  <c r="BF1152" i="4"/>
  <c r="BG1446" i="4"/>
  <c r="BF1446" i="4"/>
  <c r="BG2422" i="4"/>
  <c r="BF2422" i="4"/>
  <c r="BG2832" i="4"/>
  <c r="BF2832" i="4"/>
  <c r="BG3410" i="4"/>
  <c r="BF3410" i="4"/>
  <c r="BG5667" i="4"/>
  <c r="BF5667" i="4"/>
  <c r="BF398" i="4"/>
  <c r="BG398" i="4"/>
  <c r="BG1257" i="4"/>
  <c r="BF1257" i="4"/>
  <c r="BG776" i="4"/>
  <c r="BF776" i="4"/>
  <c r="BG1625" i="4"/>
  <c r="BF1625" i="4"/>
  <c r="BG1955" i="4"/>
  <c r="BF1955" i="4"/>
  <c r="BG2287" i="4"/>
  <c r="BF2287" i="4"/>
  <c r="BF3145" i="4"/>
  <c r="BG3145" i="4"/>
  <c r="BG5068" i="4"/>
  <c r="BF5068" i="4"/>
  <c r="BF574" i="4"/>
  <c r="BG574" i="4"/>
  <c r="BG191" i="4"/>
  <c r="BF191" i="4"/>
  <c r="BG433" i="4"/>
  <c r="BF433" i="4"/>
  <c r="BG675" i="4"/>
  <c r="BF675" i="4"/>
  <c r="BF1207" i="4"/>
  <c r="BG1207" i="4"/>
  <c r="BG1501" i="4"/>
  <c r="BF1501" i="4"/>
  <c r="BG4485" i="4"/>
  <c r="BF4485" i="4"/>
  <c r="BG6034" i="4"/>
  <c r="BF6034" i="4"/>
  <c r="BF835" i="4"/>
  <c r="BG835" i="4"/>
  <c r="BF1697" i="4"/>
  <c r="BG1697" i="4"/>
  <c r="BF2032" i="4"/>
  <c r="BG2032" i="4"/>
  <c r="BF2364" i="4"/>
  <c r="BG2364" i="4"/>
  <c r="BG2752" i="4"/>
  <c r="BF2752" i="4"/>
  <c r="BG5391" i="4"/>
  <c r="BF5391" i="4"/>
  <c r="BG774" i="4"/>
  <c r="BF774" i="4"/>
  <c r="BG2088" i="4"/>
  <c r="BF2088" i="4"/>
  <c r="BG2895" i="4"/>
  <c r="BF2895" i="4"/>
  <c r="BF475" i="4"/>
  <c r="BG475" i="4"/>
  <c r="BG1419" i="4"/>
  <c r="BF1419" i="4"/>
  <c r="BG5743" i="4"/>
  <c r="BF5743" i="4"/>
  <c r="BG214" i="4"/>
  <c r="BF214" i="4"/>
  <c r="BF456" i="4"/>
  <c r="BG456" i="4"/>
  <c r="BG698" i="4"/>
  <c r="BF698" i="4"/>
  <c r="BG1234" i="4"/>
  <c r="BF1234" i="4"/>
  <c r="BG1530" i="4"/>
  <c r="BF1530" i="4"/>
  <c r="BG2972" i="4"/>
  <c r="BF2972" i="4"/>
  <c r="BF951" i="4"/>
  <c r="BG951" i="4"/>
  <c r="BG1850" i="4"/>
  <c r="BF1850" i="4"/>
  <c r="BG2183" i="4"/>
  <c r="BF2183" i="4"/>
  <c r="BG2534" i="4"/>
  <c r="BF2534" i="4"/>
  <c r="BG3611" i="4"/>
  <c r="BF3611" i="4"/>
  <c r="BG4628" i="4"/>
  <c r="BF4628" i="4"/>
  <c r="BG215" i="4"/>
  <c r="BF215" i="4"/>
  <c r="BF457" i="4"/>
  <c r="BG457" i="4"/>
  <c r="BG699" i="4"/>
  <c r="BF699" i="4"/>
  <c r="BG1235" i="4"/>
  <c r="BF1235" i="4"/>
  <c r="BG1531" i="4"/>
  <c r="BF1531" i="4"/>
  <c r="BG2973" i="4"/>
  <c r="BF2973" i="4"/>
  <c r="BG1806" i="4"/>
  <c r="BF1806" i="4"/>
  <c r="BG2139" i="4"/>
  <c r="BF2139" i="4"/>
  <c r="BG4433" i="4"/>
  <c r="BF4433" i="4"/>
  <c r="BF117" i="4"/>
  <c r="BG117" i="4"/>
  <c r="BG359" i="4"/>
  <c r="BF359" i="4"/>
  <c r="BG601" i="4"/>
  <c r="BF601" i="4"/>
  <c r="BG849" i="4"/>
  <c r="BF849" i="4"/>
  <c r="BG1115" i="4"/>
  <c r="BF1115" i="4"/>
  <c r="BF1411" i="4"/>
  <c r="BG1411" i="4"/>
  <c r="BG3332" i="4"/>
  <c r="BF3332" i="4"/>
  <c r="BF4090" i="4"/>
  <c r="BG4090" i="4"/>
  <c r="BG1600" i="4"/>
  <c r="BF1600" i="4"/>
  <c r="BG1928" i="4"/>
  <c r="BF1928" i="4"/>
  <c r="BF2263" i="4"/>
  <c r="BG2263" i="4"/>
  <c r="BF2627" i="4"/>
  <c r="BG2627" i="4"/>
  <c r="BG4952" i="4"/>
  <c r="BF4952" i="4"/>
  <c r="BF2164" i="4"/>
  <c r="BG2164" i="4"/>
  <c r="BG563" i="4"/>
  <c r="BF563" i="4"/>
  <c r="BG1378" i="4"/>
  <c r="BF1378" i="4"/>
  <c r="BG6021" i="4"/>
  <c r="BF6021" i="4"/>
  <c r="BG228" i="4"/>
  <c r="BF228" i="4"/>
  <c r="BG470" i="4"/>
  <c r="BF470" i="4"/>
  <c r="BG712" i="4"/>
  <c r="BF712" i="4"/>
  <c r="BG966" i="4"/>
  <c r="BF966" i="4"/>
  <c r="BG1252" i="4"/>
  <c r="BF1252" i="4"/>
  <c r="BG1548" i="4"/>
  <c r="BF1548" i="4"/>
  <c r="BG3646" i="4"/>
  <c r="BF3646" i="4"/>
  <c r="BF5340" i="4"/>
  <c r="BG5340" i="4"/>
  <c r="BG5717" i="4"/>
  <c r="BF5717" i="4"/>
  <c r="BF3099" i="4"/>
  <c r="BG3099" i="4"/>
  <c r="BG3788" i="4"/>
  <c r="BF3788" i="4"/>
  <c r="BG2481" i="4"/>
  <c r="BF2481" i="4"/>
  <c r="BG3003" i="4"/>
  <c r="BF3003" i="4"/>
  <c r="BG3667" i="4"/>
  <c r="BF3667" i="4"/>
  <c r="BF4077" i="4"/>
  <c r="BG4077" i="4"/>
  <c r="BG4670" i="4"/>
  <c r="BF4670" i="4"/>
  <c r="BG1863" i="4"/>
  <c r="BF1863" i="4"/>
  <c r="BG2105" i="4"/>
  <c r="BF2105" i="4"/>
  <c r="BG2347" i="4"/>
  <c r="BF2347" i="4"/>
  <c r="BG2597" i="4"/>
  <c r="BF2597" i="4"/>
  <c r="BG2852" i="4"/>
  <c r="BF2852" i="4"/>
  <c r="BF3143" i="4"/>
  <c r="BG3143" i="4"/>
  <c r="BG3475" i="4"/>
  <c r="BF3475" i="4"/>
  <c r="BG3847" i="4"/>
  <c r="BF3847" i="4"/>
  <c r="BG4965" i="4"/>
  <c r="BF4965" i="4"/>
  <c r="BG5646" i="4"/>
  <c r="BF5646" i="4"/>
  <c r="BF2632" i="4"/>
  <c r="BG2632" i="4"/>
  <c r="BF3902" i="4"/>
  <c r="BG3902" i="4"/>
  <c r="BG5759" i="4"/>
  <c r="BF5759" i="4"/>
  <c r="BG3636" i="4"/>
  <c r="BF3636" i="4"/>
  <c r="BG4037" i="4"/>
  <c r="BF4037" i="4"/>
  <c r="BG4617" i="4"/>
  <c r="BF4617" i="4"/>
  <c r="BG3294" i="4"/>
  <c r="BF3294" i="4"/>
  <c r="BG5261" i="4"/>
  <c r="BF5261" i="4"/>
  <c r="BG1227" i="4"/>
  <c r="BF1227" i="4"/>
  <c r="BG1469" i="4"/>
  <c r="BF1469" i="4"/>
  <c r="BG1711" i="4"/>
  <c r="BF1711" i="4"/>
  <c r="BG1953" i="4"/>
  <c r="BF1953" i="4"/>
  <c r="BG2195" i="4"/>
  <c r="BF2195" i="4"/>
  <c r="BF2691" i="4"/>
  <c r="BG2691" i="4"/>
  <c r="BG2954" i="4"/>
  <c r="BF2954" i="4"/>
  <c r="BG3607" i="4"/>
  <c r="BF3607" i="4"/>
  <c r="BG4000" i="4"/>
  <c r="BF4000" i="4"/>
  <c r="BG4562" i="4"/>
  <c r="BF4562" i="4"/>
  <c r="BG5976" i="4"/>
  <c r="BF5976" i="4"/>
  <c r="BG3236" i="4"/>
  <c r="BF3236" i="4"/>
  <c r="BF4502" i="4"/>
  <c r="BG4502" i="4"/>
  <c r="BG5150" i="4"/>
  <c r="BF5150" i="4"/>
  <c r="BG5889" i="4"/>
  <c r="BF5889" i="4"/>
  <c r="BG1085" i="4"/>
  <c r="BF1085" i="4"/>
  <c r="BF1327" i="4"/>
  <c r="BG1327" i="4"/>
  <c r="BG1569" i="4"/>
  <c r="BF1569" i="4"/>
  <c r="BG1811" i="4"/>
  <c r="BF1811" i="4"/>
  <c r="BG2053" i="4"/>
  <c r="BF2053" i="4"/>
  <c r="BG2295" i="4"/>
  <c r="BF2295" i="4"/>
  <c r="BG2796" i="4"/>
  <c r="BF2796" i="4"/>
  <c r="BG3237" i="4"/>
  <c r="BF3237" i="4"/>
  <c r="BG3577" i="4"/>
  <c r="BF3577" i="4"/>
  <c r="BG4509" i="4"/>
  <c r="BF4509" i="4"/>
  <c r="BG5151" i="4"/>
  <c r="BF5151" i="4"/>
  <c r="BG5890" i="4"/>
  <c r="BF5890" i="4"/>
  <c r="BG4337" i="4"/>
  <c r="BF4337" i="4"/>
  <c r="BG5509" i="4"/>
  <c r="BF5509" i="4"/>
  <c r="BG3109" i="4"/>
  <c r="BF3109" i="4"/>
  <c r="BG3351" i="4"/>
  <c r="BF3351" i="4"/>
  <c r="BG3593" i="4"/>
  <c r="BF3593" i="4"/>
  <c r="BG4133" i="4"/>
  <c r="BF4133" i="4"/>
  <c r="BG4414" i="4"/>
  <c r="BF4414" i="4"/>
  <c r="BG4701" i="4"/>
  <c r="BF4701" i="4"/>
  <c r="BG5288" i="4"/>
  <c r="BF5288" i="4"/>
  <c r="BG5603" i="4"/>
  <c r="BF5603" i="4"/>
  <c r="BF4608" i="4"/>
  <c r="BG4608" i="4"/>
  <c r="BF4902" i="4"/>
  <c r="BG4902" i="4"/>
  <c r="BF3396" i="4"/>
  <c r="BG3396" i="4"/>
  <c r="BF3638" i="4"/>
  <c r="BG3638" i="4"/>
  <c r="BF4465" i="4"/>
  <c r="BG4465" i="4"/>
  <c r="BG4756" i="4"/>
  <c r="BF4756" i="4"/>
  <c r="BG5343" i="4"/>
  <c r="BF5343" i="4"/>
  <c r="BG3905" i="4"/>
  <c r="BF3905" i="4"/>
  <c r="BF4186" i="4"/>
  <c r="BG4186" i="4"/>
  <c r="BG5673" i="4"/>
  <c r="BF5673" i="4"/>
  <c r="BF3111" i="4"/>
  <c r="BG3111" i="4"/>
  <c r="BG3353" i="4"/>
  <c r="BF3353" i="4"/>
  <c r="BG3595" i="4"/>
  <c r="BF3595" i="4"/>
  <c r="BG4135" i="4"/>
  <c r="BF4135" i="4"/>
  <c r="BG4416" i="4"/>
  <c r="BF4416" i="4"/>
  <c r="BG4703" i="4"/>
  <c r="BF4703" i="4"/>
  <c r="BG5290" i="4"/>
  <c r="BF5290" i="4"/>
  <c r="BG5605" i="4"/>
  <c r="BF5605" i="4"/>
  <c r="BG6008" i="4"/>
  <c r="BF6008" i="4"/>
  <c r="BF4098" i="4"/>
  <c r="BG4098" i="4"/>
  <c r="BF4957" i="4"/>
  <c r="BG4957" i="4"/>
  <c r="BG5558" i="4"/>
  <c r="BF5558" i="4"/>
  <c r="BG4892" i="4"/>
  <c r="BF4892" i="4"/>
  <c r="BG5185" i="4"/>
  <c r="BF5185" i="4"/>
  <c r="BG5860" i="4"/>
  <c r="BF5860" i="4"/>
  <c r="BG3857" i="4"/>
  <c r="BF3857" i="4"/>
  <c r="BG4999" i="4"/>
  <c r="BF4999" i="4"/>
  <c r="BG5292" i="4"/>
  <c r="BF5292" i="4"/>
  <c r="BG4532" i="4"/>
  <c r="BF4532" i="4"/>
  <c r="BG4826" i="4"/>
  <c r="BF4826" i="4"/>
  <c r="BG5119" i="4"/>
  <c r="BF5119" i="4"/>
  <c r="BG5414" i="4"/>
  <c r="BF5414" i="4"/>
  <c r="BG5769" i="4"/>
  <c r="BF5769" i="4"/>
  <c r="BF4573" i="4"/>
  <c r="BG4573" i="4"/>
  <c r="BG4866" i="4"/>
  <c r="BF4866" i="4"/>
  <c r="BF3202" i="4"/>
  <c r="BG3202" i="4"/>
  <c r="BF3444" i="4"/>
  <c r="BG3444" i="4"/>
  <c r="BG3960" i="4"/>
  <c r="BF3960" i="4"/>
  <c r="BF4241" i="4"/>
  <c r="BG4241" i="4"/>
  <c r="BF4814" i="4"/>
  <c r="BG4814" i="4"/>
  <c r="BG5107" i="4"/>
  <c r="BF5107" i="4"/>
  <c r="BG5754" i="4"/>
  <c r="BF5754" i="4"/>
  <c r="BF5865" i="4"/>
  <c r="BG5865" i="4"/>
  <c r="BG4636" i="4"/>
  <c r="BF4636" i="4"/>
  <c r="BF5143" i="4"/>
  <c r="BG5143" i="4"/>
  <c r="BG5681" i="4"/>
  <c r="BF5681" i="4"/>
  <c r="BG5977" i="4"/>
  <c r="BF5977" i="4"/>
  <c r="BG3950" i="4"/>
  <c r="BF3950" i="4"/>
  <c r="BG4192" i="4"/>
  <c r="BF4192" i="4"/>
  <c r="BG4434" i="4"/>
  <c r="BF4434" i="4"/>
  <c r="BG4936" i="4"/>
  <c r="BF4936" i="4"/>
  <c r="BG3918" i="4"/>
  <c r="BF3918" i="4"/>
  <c r="BG4160" i="4"/>
  <c r="BF4160" i="4"/>
  <c r="BG4402" i="4"/>
  <c r="BF4402" i="4"/>
  <c r="BF4649" i="4"/>
  <c r="BG4649" i="4"/>
  <c r="BG5156" i="4"/>
  <c r="BF5156" i="4"/>
  <c r="BG5696" i="4"/>
  <c r="BF5696" i="4"/>
  <c r="BG5598" i="4"/>
  <c r="BF5598" i="4"/>
  <c r="BG5840" i="4"/>
  <c r="BF5840" i="4"/>
  <c r="BG4675" i="4"/>
  <c r="BF4675" i="4"/>
  <c r="BG4917" i="4"/>
  <c r="BF4917" i="4"/>
  <c r="BG5159" i="4"/>
  <c r="BF5159" i="4"/>
  <c r="BG5401" i="4"/>
  <c r="BF5401" i="4"/>
  <c r="BF5643" i="4"/>
  <c r="BG5643" i="4"/>
  <c r="BF5885" i="4"/>
  <c r="BG5885" i="4"/>
  <c r="BG2523" i="4"/>
  <c r="BF2523" i="4"/>
  <c r="BG3679" i="4"/>
  <c r="BF3679" i="4"/>
  <c r="BG2297" i="4"/>
  <c r="BF2297" i="4"/>
  <c r="BG55" i="4"/>
  <c r="BF55" i="4"/>
  <c r="BF3244" i="4"/>
  <c r="BG3244" i="4"/>
  <c r="BG1226" i="4"/>
  <c r="BF1226" i="4"/>
  <c r="BG5429" i="4"/>
  <c r="BF5429" i="4"/>
  <c r="BG1884" i="4"/>
  <c r="BF1884" i="4"/>
  <c r="BG5043" i="4"/>
  <c r="BF5043" i="4"/>
  <c r="BG1794" i="4"/>
  <c r="BF1794" i="4"/>
  <c r="BN2758" i="4"/>
  <c r="BM2758" i="4"/>
  <c r="BF362" i="4"/>
  <c r="BG362" i="4"/>
  <c r="BG1762" i="4"/>
  <c r="BF1762" i="4"/>
  <c r="BG5716" i="4"/>
  <c r="BF5716" i="4"/>
  <c r="BN1047" i="4"/>
  <c r="BM1047" i="4"/>
  <c r="BG1753" i="4"/>
  <c r="BF1753" i="4"/>
  <c r="BG4251" i="4"/>
  <c r="BF4251" i="4"/>
  <c r="BG4089" i="4"/>
  <c r="BF4089" i="4"/>
  <c r="BG1128" i="4"/>
  <c r="BF1128" i="4"/>
  <c r="BN2879" i="4"/>
  <c r="BM2879" i="4"/>
  <c r="BN2431" i="4"/>
  <c r="BM2431" i="4"/>
  <c r="BF5101" i="4"/>
  <c r="BG5101" i="4"/>
  <c r="BN2451" i="4"/>
  <c r="BM2451" i="4"/>
  <c r="BN1590" i="4"/>
  <c r="BM1590" i="4"/>
  <c r="BG147" i="4"/>
  <c r="BF147" i="4"/>
  <c r="BG4372" i="4"/>
  <c r="BF4372" i="4"/>
  <c r="BG5725" i="4"/>
  <c r="BF5725" i="4"/>
  <c r="BN2475" i="4"/>
  <c r="BM2475" i="4"/>
  <c r="BN1456" i="4"/>
  <c r="BM1456" i="4"/>
  <c r="BN18" i="4"/>
  <c r="BM18" i="4"/>
  <c r="BN2358" i="4"/>
  <c r="BM2358" i="4"/>
  <c r="BN1386" i="4"/>
  <c r="BM1386" i="4"/>
  <c r="BN768" i="4"/>
  <c r="BM768" i="4"/>
  <c r="BN2920" i="4"/>
  <c r="BM2920" i="4"/>
  <c r="BN1882" i="4"/>
  <c r="BM1882" i="4"/>
  <c r="BM480" i="4"/>
  <c r="BN480" i="4"/>
  <c r="BN769" i="4"/>
  <c r="BM769" i="4"/>
  <c r="BN1140" i="4"/>
  <c r="BM1140" i="4"/>
  <c r="BM2964" i="4"/>
  <c r="BN2964" i="4"/>
  <c r="BM236" i="4"/>
  <c r="BN236" i="4"/>
  <c r="BN801" i="4"/>
  <c r="BM801" i="4"/>
  <c r="BN1644" i="4"/>
  <c r="BM1644" i="4"/>
  <c r="BN1858" i="4"/>
  <c r="BM1858" i="4"/>
  <c r="BN201" i="4"/>
  <c r="BM201" i="4"/>
  <c r="BN469" i="4"/>
  <c r="BM469" i="4"/>
  <c r="BN756" i="4"/>
  <c r="BM756" i="4"/>
  <c r="BN1125" i="4"/>
  <c r="BM1125" i="4"/>
  <c r="BM1578" i="4"/>
  <c r="BN1578" i="4"/>
  <c r="BM311" i="4"/>
  <c r="BN311" i="4"/>
  <c r="BN585" i="4"/>
  <c r="BM585" i="4"/>
  <c r="BN1302" i="4"/>
  <c r="BM1302" i="4"/>
  <c r="BM2476" i="4"/>
  <c r="BN2476" i="4"/>
  <c r="BN3305" i="4"/>
  <c r="BM3305" i="4"/>
  <c r="BN179" i="4"/>
  <c r="BM179" i="4"/>
  <c r="BM446" i="4"/>
  <c r="BN446" i="4"/>
  <c r="BN731" i="4"/>
  <c r="BM731" i="4"/>
  <c r="BN1539" i="4"/>
  <c r="BM1539" i="4"/>
  <c r="BN2856" i="4"/>
  <c r="BM2856" i="4"/>
  <c r="BN586" i="4"/>
  <c r="BM586" i="4"/>
  <c r="BN2482" i="4"/>
  <c r="BM2482" i="4"/>
  <c r="BM3310" i="4"/>
  <c r="BN3310" i="4"/>
  <c r="BN180" i="4"/>
  <c r="BM180" i="4"/>
  <c r="BM447" i="4"/>
  <c r="BN447" i="4"/>
  <c r="BM732" i="4"/>
  <c r="BN732" i="4"/>
  <c r="BM1094" i="4"/>
  <c r="BN1094" i="4"/>
  <c r="BM1540" i="4"/>
  <c r="BN1540" i="4"/>
  <c r="BN1368" i="4"/>
  <c r="BM1368" i="4"/>
  <c r="BN1727" i="4"/>
  <c r="BM1727" i="4"/>
  <c r="BN2161" i="4"/>
  <c r="BM2161" i="4"/>
  <c r="BN3232" i="4"/>
  <c r="BM3232" i="4"/>
  <c r="BN3525" i="4"/>
  <c r="BM3525" i="4"/>
  <c r="BM1009" i="4"/>
  <c r="BN1009" i="4"/>
  <c r="BN1310" i="4"/>
  <c r="BM1310" i="4"/>
  <c r="BN2082" i="4"/>
  <c r="BM2082" i="4"/>
  <c r="BN2562" i="4"/>
  <c r="BM2562" i="4"/>
  <c r="BN1498" i="4"/>
  <c r="BM1498" i="4"/>
  <c r="BN1887" i="4"/>
  <c r="BM1887" i="4"/>
  <c r="BM2338" i="4"/>
  <c r="BN2338" i="4"/>
  <c r="BM2850" i="4"/>
  <c r="BN2850" i="4"/>
  <c r="BN3469" i="4"/>
  <c r="BM3469" i="4"/>
  <c r="BN1515" i="4"/>
  <c r="BM1515" i="4"/>
  <c r="BN1909" i="4"/>
  <c r="BM1909" i="4"/>
  <c r="BN2362" i="4"/>
  <c r="BM2362" i="4"/>
  <c r="BN3503" i="4"/>
  <c r="BM3503" i="4"/>
  <c r="BN898" i="4"/>
  <c r="BM898" i="4"/>
  <c r="BN2364" i="4"/>
  <c r="BM2364" i="4"/>
  <c r="BN2882" i="4"/>
  <c r="BM2882" i="4"/>
  <c r="BN3506" i="4"/>
  <c r="BM3506" i="4"/>
  <c r="BN641" i="4"/>
  <c r="BM641" i="4"/>
  <c r="BN1537" i="4"/>
  <c r="BM1537" i="4"/>
  <c r="BN1935" i="4"/>
  <c r="BM1935" i="4"/>
  <c r="BN2910" i="4"/>
  <c r="BM2910" i="4"/>
  <c r="BN3540" i="4"/>
  <c r="BM3540" i="4"/>
  <c r="BN2596" i="4"/>
  <c r="BM2596" i="4"/>
  <c r="BN2959" i="4"/>
  <c r="BM2959" i="4"/>
  <c r="BN3355" i="4"/>
  <c r="BM3355" i="4"/>
  <c r="BN2825" i="4"/>
  <c r="BM2825" i="4"/>
  <c r="BM3286" i="4"/>
  <c r="BN3286" i="4"/>
  <c r="BM1491" i="4"/>
  <c r="BN1491" i="4"/>
  <c r="BN3124" i="4"/>
  <c r="BM3124" i="4"/>
  <c r="BM335" i="4"/>
  <c r="BN335" i="4"/>
  <c r="BN842" i="4"/>
  <c r="BM842" i="4"/>
  <c r="BM1351" i="4"/>
  <c r="BN1351" i="4"/>
  <c r="BN1639" i="4"/>
  <c r="BM1639" i="4"/>
  <c r="BN2571" i="4"/>
  <c r="BM2571" i="4"/>
  <c r="BN3323" i="4"/>
  <c r="BM3323" i="4"/>
  <c r="BN2417" i="4"/>
  <c r="BM2417" i="4"/>
  <c r="BN2765" i="4"/>
  <c r="BM2765" i="4"/>
  <c r="BN3553" i="4"/>
  <c r="BM3553" i="4"/>
  <c r="BN1016" i="4"/>
  <c r="BM1016" i="4"/>
  <c r="BM1548" i="4"/>
  <c r="BN1548" i="4"/>
  <c r="BN1840" i="4"/>
  <c r="BM1840" i="4"/>
  <c r="BN2464" i="4"/>
  <c r="BM2464" i="4"/>
  <c r="BN2814" i="4"/>
  <c r="BM2814" i="4"/>
  <c r="BN1051" i="4"/>
  <c r="BM1051" i="4"/>
  <c r="BM2180" i="4"/>
  <c r="BN2180" i="4"/>
  <c r="BM2971" i="4"/>
  <c r="BN2971" i="4"/>
  <c r="BM3295" i="4"/>
  <c r="BN3295" i="4"/>
  <c r="BM1436" i="4"/>
  <c r="BN1436" i="4"/>
  <c r="BN2832" i="4"/>
  <c r="BM2832" i="4"/>
  <c r="BN3149" i="4"/>
  <c r="BM3149" i="4"/>
  <c r="BM275" i="4"/>
  <c r="BN275" i="4"/>
  <c r="BN517" i="4"/>
  <c r="BM517" i="4"/>
  <c r="BN759" i="4"/>
  <c r="BM759" i="4"/>
  <c r="BN1001" i="4"/>
  <c r="BM1001" i="4"/>
  <c r="BN1243" i="4"/>
  <c r="BM1243" i="4"/>
  <c r="BM2031" i="4"/>
  <c r="BN2031" i="4"/>
  <c r="BM2597" i="4"/>
  <c r="BN2597" i="4"/>
  <c r="BN2904" i="4"/>
  <c r="BM2904" i="4"/>
  <c r="BN3226" i="4"/>
  <c r="BM3226" i="4"/>
  <c r="BM3548" i="4"/>
  <c r="BN3548" i="4"/>
  <c r="BN3227" i="4"/>
  <c r="BM3227" i="4"/>
  <c r="BN3550" i="4"/>
  <c r="BM3550" i="4"/>
  <c r="BN3448" i="4"/>
  <c r="BM3448" i="4"/>
  <c r="BN2499" i="4"/>
  <c r="BM2499" i="4"/>
  <c r="BN2741" i="4"/>
  <c r="BM2741" i="4"/>
  <c r="BN2983" i="4"/>
  <c r="BM2983" i="4"/>
  <c r="BM3225" i="4"/>
  <c r="BN3225" i="4"/>
  <c r="BM3467" i="4"/>
  <c r="BN3467" i="4"/>
  <c r="BM463" i="4"/>
  <c r="BN463" i="4"/>
  <c r="BN78" i="4"/>
  <c r="BM78" i="4"/>
  <c r="BN2416" i="4"/>
  <c r="BM2416" i="4"/>
  <c r="BN1411" i="4"/>
  <c r="BM1411" i="4"/>
  <c r="BN369" i="4"/>
  <c r="BM369" i="4"/>
  <c r="BN3320" i="4"/>
  <c r="BM3320" i="4"/>
  <c r="BM1990" i="4"/>
  <c r="BN1990" i="4"/>
  <c r="BN226" i="4"/>
  <c r="BM226" i="4"/>
  <c r="BN2941" i="4"/>
  <c r="BM2941" i="4"/>
  <c r="BN1739" i="4"/>
  <c r="BM1739" i="4"/>
  <c r="BN532" i="4"/>
  <c r="BM532" i="4"/>
  <c r="BN137" i="4"/>
  <c r="BM137" i="4"/>
  <c r="BM910" i="4"/>
  <c r="BN910" i="4"/>
  <c r="BN457" i="4"/>
  <c r="BM457" i="4"/>
  <c r="BN2456" i="4"/>
  <c r="BM2456" i="4"/>
  <c r="BN383" i="4"/>
  <c r="BM383" i="4"/>
  <c r="BM2454" i="4"/>
  <c r="BN2454" i="4"/>
  <c r="BM1439" i="4"/>
  <c r="BN1439" i="4"/>
  <c r="BN2330" i="4"/>
  <c r="BM2330" i="4"/>
  <c r="BM1370" i="4"/>
  <c r="BN1370" i="4"/>
  <c r="BN346" i="4"/>
  <c r="BM346" i="4"/>
  <c r="BN2072" i="4"/>
  <c r="BM2072" i="4"/>
  <c r="BM257" i="4"/>
  <c r="BN257" i="4"/>
  <c r="BF2267" i="4"/>
  <c r="BG2267" i="4"/>
  <c r="BG3273" i="4"/>
  <c r="BF3273" i="4"/>
  <c r="BG1241" i="4"/>
  <c r="BF1241" i="4"/>
  <c r="BG527" i="4"/>
  <c r="BF527" i="4"/>
  <c r="BF2979" i="4"/>
  <c r="BG2979" i="4"/>
  <c r="BG2725" i="4"/>
  <c r="BF2725" i="4"/>
  <c r="BG955" i="4"/>
  <c r="BF955" i="4"/>
  <c r="BF306" i="4"/>
  <c r="BG306" i="4"/>
  <c r="BG1605" i="4"/>
  <c r="BF1605" i="4"/>
  <c r="BF1455" i="4"/>
  <c r="BG1455" i="4"/>
  <c r="BG694" i="4"/>
  <c r="BF694" i="4"/>
  <c r="BF87" i="4"/>
  <c r="BG87" i="4"/>
  <c r="BG2176" i="4"/>
  <c r="BF2176" i="4"/>
  <c r="BG2102" i="4"/>
  <c r="BF2102" i="4"/>
  <c r="BG925" i="4"/>
  <c r="BF925" i="4"/>
  <c r="BG1816" i="4"/>
  <c r="BF1816" i="4"/>
  <c r="BG2148" i="4"/>
  <c r="BF2148" i="4"/>
  <c r="BG2491" i="4"/>
  <c r="BF2491" i="4"/>
  <c r="BG2920" i="4"/>
  <c r="BF2920" i="4"/>
  <c r="BG3534" i="4"/>
  <c r="BF3534" i="4"/>
  <c r="BG6032" i="4"/>
  <c r="BF6032" i="4"/>
  <c r="BG157" i="4"/>
  <c r="BF157" i="4"/>
  <c r="BF399" i="4"/>
  <c r="BG399" i="4"/>
  <c r="BG641" i="4"/>
  <c r="BF641" i="4"/>
  <c r="BG891" i="4"/>
  <c r="BF891" i="4"/>
  <c r="BF1165" i="4"/>
  <c r="BG1165" i="4"/>
  <c r="BF1461" i="4"/>
  <c r="BG1461" i="4"/>
  <c r="BF2850" i="4"/>
  <c r="BG2850" i="4"/>
  <c r="BG5755" i="4"/>
  <c r="BF5755" i="4"/>
  <c r="BG431" i="4"/>
  <c r="BF431" i="4"/>
  <c r="BG1311" i="4"/>
  <c r="BF1311" i="4"/>
  <c r="BG1969" i="4"/>
  <c r="BF1969" i="4"/>
  <c r="BG2301" i="4"/>
  <c r="BF2301" i="4"/>
  <c r="BF3878" i="4"/>
  <c r="BG3878" i="4"/>
  <c r="BG5125" i="4"/>
  <c r="BF5125" i="4"/>
  <c r="BG1020" i="4"/>
  <c r="BF1020" i="4"/>
  <c r="BF202" i="4"/>
  <c r="BG202" i="4"/>
  <c r="BG444" i="4"/>
  <c r="BF444" i="4"/>
  <c r="BF686" i="4"/>
  <c r="BG686" i="4"/>
  <c r="BF938" i="4"/>
  <c r="BG938" i="4"/>
  <c r="BG1220" i="4"/>
  <c r="BF1220" i="4"/>
  <c r="BG1516" i="4"/>
  <c r="BF1516" i="4"/>
  <c r="BG3568" i="4"/>
  <c r="BF3568" i="4"/>
  <c r="BF1714" i="4"/>
  <c r="BG1714" i="4"/>
  <c r="BG2046" i="4"/>
  <c r="BF2046" i="4"/>
  <c r="BG2378" i="4"/>
  <c r="BF2378" i="4"/>
  <c r="BF4087" i="4"/>
  <c r="BG4087" i="4"/>
  <c r="BF797" i="4"/>
  <c r="BG797" i="4"/>
  <c r="BG2133" i="4"/>
  <c r="BF2133" i="4"/>
  <c r="BG4922" i="4"/>
  <c r="BF4922" i="4"/>
  <c r="BF508" i="4"/>
  <c r="BG508" i="4"/>
  <c r="BG1445" i="4"/>
  <c r="BF1445" i="4"/>
  <c r="BF5942" i="4"/>
  <c r="BG5942" i="4"/>
  <c r="BF225" i="4"/>
  <c r="BG225" i="4"/>
  <c r="BG467" i="4"/>
  <c r="BF467" i="4"/>
  <c r="BG709" i="4"/>
  <c r="BF709" i="4"/>
  <c r="BG962" i="4"/>
  <c r="BF962" i="4"/>
  <c r="BG1247" i="4"/>
  <c r="BF1247" i="4"/>
  <c r="BF1543" i="4"/>
  <c r="BG1543" i="4"/>
  <c r="BG2996" i="4"/>
  <c r="BF2996" i="4"/>
  <c r="BG3643" i="4"/>
  <c r="BF3643" i="4"/>
  <c r="BF1867" i="4"/>
  <c r="BG1867" i="4"/>
  <c r="BG2199" i="4"/>
  <c r="BF2199" i="4"/>
  <c r="BG2552" i="4"/>
  <c r="BF2552" i="4"/>
  <c r="BG4685" i="4"/>
  <c r="BF4685" i="4"/>
  <c r="BG226" i="4"/>
  <c r="BF226" i="4"/>
  <c r="BG468" i="4"/>
  <c r="BF468" i="4"/>
  <c r="BG710" i="4"/>
  <c r="BF710" i="4"/>
  <c r="BG963" i="4"/>
  <c r="BF963" i="4"/>
  <c r="BF1248" i="4"/>
  <c r="BG1248" i="4"/>
  <c r="BG1544" i="4"/>
  <c r="BF1544" i="4"/>
  <c r="BG2997" i="4"/>
  <c r="BF2997" i="4"/>
  <c r="BG3644" i="4"/>
  <c r="BF3644" i="4"/>
  <c r="BG929" i="4"/>
  <c r="BF929" i="4"/>
  <c r="BG1823" i="4"/>
  <c r="BF1823" i="4"/>
  <c r="BF2155" i="4"/>
  <c r="BG2155" i="4"/>
  <c r="BG2928" i="4"/>
  <c r="BF2928" i="4"/>
  <c r="BG3547" i="4"/>
  <c r="BF3547" i="4"/>
  <c r="BF128" i="4"/>
  <c r="BG128" i="4"/>
  <c r="BG370" i="4"/>
  <c r="BF370" i="4"/>
  <c r="BG612" i="4"/>
  <c r="BF612" i="4"/>
  <c r="BG1130" i="4"/>
  <c r="BF1130" i="4"/>
  <c r="BG1424" i="4"/>
  <c r="BF1424" i="4"/>
  <c r="BG2797" i="4"/>
  <c r="BF2797" i="4"/>
  <c r="BG3361" i="4"/>
  <c r="BF3361" i="4"/>
  <c r="BG769" i="4"/>
  <c r="BF769" i="4"/>
  <c r="BG1945" i="4"/>
  <c r="BF1945" i="4"/>
  <c r="BG2277" i="4"/>
  <c r="BF2277" i="4"/>
  <c r="BF2647" i="4"/>
  <c r="BG2647" i="4"/>
  <c r="BG3822" i="4"/>
  <c r="BF3822" i="4"/>
  <c r="BG5015" i="4"/>
  <c r="BF5015" i="4"/>
  <c r="BF2223" i="4"/>
  <c r="BG2223" i="4"/>
  <c r="BG596" i="4"/>
  <c r="BF596" i="4"/>
  <c r="BG1406" i="4"/>
  <c r="BF1406" i="4"/>
  <c r="BF239" i="4"/>
  <c r="BG239" i="4"/>
  <c r="BG481" i="4"/>
  <c r="BF481" i="4"/>
  <c r="BG978" i="4"/>
  <c r="BF978" i="4"/>
  <c r="BG1265" i="4"/>
  <c r="BF1265" i="4"/>
  <c r="BG1561" i="4"/>
  <c r="BF1561" i="4"/>
  <c r="BF3025" i="4"/>
  <c r="BG3025" i="4"/>
  <c r="BF4117" i="4"/>
  <c r="BG4117" i="4"/>
  <c r="BG2630" i="4"/>
  <c r="BF2630" i="4"/>
  <c r="BG3184" i="4"/>
  <c r="BF3184" i="4"/>
  <c r="BG3900" i="4"/>
  <c r="BF3900" i="4"/>
  <c r="BG5756" i="4"/>
  <c r="BF5756" i="4"/>
  <c r="BF2827" i="4"/>
  <c r="BG2827" i="4"/>
  <c r="BG3443" i="4"/>
  <c r="BF3443" i="4"/>
  <c r="BG3809" i="4"/>
  <c r="BF3809" i="4"/>
  <c r="BG4271" i="4"/>
  <c r="BF4271" i="4"/>
  <c r="BG4908" i="4"/>
  <c r="BF4908" i="4"/>
  <c r="BF2746" i="4"/>
  <c r="BG2746" i="4"/>
  <c r="BG3337" i="4"/>
  <c r="BF3337" i="4"/>
  <c r="BG3684" i="4"/>
  <c r="BF3684" i="4"/>
  <c r="BF4699" i="4"/>
  <c r="BG4699" i="4"/>
  <c r="BF1874" i="4"/>
  <c r="BG1874" i="4"/>
  <c r="BG2116" i="4"/>
  <c r="BF2116" i="4"/>
  <c r="BG2358" i="4"/>
  <c r="BF2358" i="4"/>
  <c r="BG2864" i="4"/>
  <c r="BF2864" i="4"/>
  <c r="BG4359" i="4"/>
  <c r="BF4359" i="4"/>
  <c r="BG4992" i="4"/>
  <c r="BF4992" i="4"/>
  <c r="BF5682" i="4"/>
  <c r="BG5682" i="4"/>
  <c r="BF2902" i="4"/>
  <c r="BG2902" i="4"/>
  <c r="BG3203" i="4"/>
  <c r="BF3203" i="4"/>
  <c r="BG3923" i="4"/>
  <c r="BF3923" i="4"/>
  <c r="BG5084" i="4"/>
  <c r="BF5084" i="4"/>
  <c r="BG5799" i="4"/>
  <c r="BF5799" i="4"/>
  <c r="BG3654" i="4"/>
  <c r="BF3654" i="4"/>
  <c r="BG3310" i="4"/>
  <c r="BF3310" i="4"/>
  <c r="BF4056" i="4"/>
  <c r="BG4056" i="4"/>
  <c r="BG4645" i="4"/>
  <c r="BF4645" i="4"/>
  <c r="BG5296" i="4"/>
  <c r="BF5296" i="4"/>
  <c r="BG1238" i="4"/>
  <c r="BF1238" i="4"/>
  <c r="BF1480" i="4"/>
  <c r="BG1480" i="4"/>
  <c r="BG1722" i="4"/>
  <c r="BF1722" i="4"/>
  <c r="BG1964" i="4"/>
  <c r="BF1964" i="4"/>
  <c r="BG2206" i="4"/>
  <c r="BF2206" i="4"/>
  <c r="BG2449" i="4"/>
  <c r="BF2449" i="4"/>
  <c r="BG2967" i="4"/>
  <c r="BF2967" i="4"/>
  <c r="BF2680" i="4"/>
  <c r="BG2680" i="4"/>
  <c r="BG2942" i="4"/>
  <c r="BF2942" i="4"/>
  <c r="BG3250" i="4"/>
  <c r="BF3250" i="4"/>
  <c r="BG5177" i="4"/>
  <c r="BF5177" i="4"/>
  <c r="BG1096" i="4"/>
  <c r="BF1096" i="4"/>
  <c r="BG1338" i="4"/>
  <c r="BF1338" i="4"/>
  <c r="BG1580" i="4"/>
  <c r="BF1580" i="4"/>
  <c r="BG1822" i="4"/>
  <c r="BF1822" i="4"/>
  <c r="BG2064" i="4"/>
  <c r="BF2064" i="4"/>
  <c r="BG2306" i="4"/>
  <c r="BF2306" i="4"/>
  <c r="BG2554" i="4"/>
  <c r="BF2554" i="4"/>
  <c r="BF3091" i="4"/>
  <c r="BG3091" i="4"/>
  <c r="BG3776" i="4"/>
  <c r="BF3776" i="4"/>
  <c r="BG4229" i="4"/>
  <c r="BF4229" i="4"/>
  <c r="BG2681" i="4"/>
  <c r="BF2681" i="4"/>
  <c r="BG2943" i="4"/>
  <c r="BF2943" i="4"/>
  <c r="BG3251" i="4"/>
  <c r="BF3251" i="4"/>
  <c r="BF5941" i="4"/>
  <c r="BG5941" i="4"/>
  <c r="BG5911" i="4"/>
  <c r="BF5911" i="4"/>
  <c r="BG3120" i="4"/>
  <c r="BF3120" i="4"/>
  <c r="BG3362" i="4"/>
  <c r="BF3362" i="4"/>
  <c r="BG3604" i="4"/>
  <c r="BF3604" i="4"/>
  <c r="BF3866" i="4"/>
  <c r="BG3866" i="4"/>
  <c r="BG4714" i="4"/>
  <c r="BF4714" i="4"/>
  <c r="BF5301" i="4"/>
  <c r="BG5301" i="4"/>
  <c r="BG5619" i="4"/>
  <c r="BF5619" i="4"/>
  <c r="BF6022" i="4"/>
  <c r="BG6022" i="4"/>
  <c r="BG4057" i="4"/>
  <c r="BF4057" i="4"/>
  <c r="BG4338" i="4"/>
  <c r="BF4338" i="4"/>
  <c r="BF3407" i="4"/>
  <c r="BG3407" i="4"/>
  <c r="BF3649" i="4"/>
  <c r="BG3649" i="4"/>
  <c r="BG4198" i="4"/>
  <c r="BF4198" i="4"/>
  <c r="BG4769" i="4"/>
  <c r="BF4769" i="4"/>
  <c r="BG5062" i="4"/>
  <c r="BF5062" i="4"/>
  <c r="BG5356" i="4"/>
  <c r="BF5356" i="4"/>
  <c r="BG5691" i="4"/>
  <c r="BF5691" i="4"/>
  <c r="BF3919" i="4"/>
  <c r="BG3919" i="4"/>
  <c r="BG3122" i="4"/>
  <c r="BF3122" i="4"/>
  <c r="BG3364" i="4"/>
  <c r="BF3364" i="4"/>
  <c r="BG3606" i="4"/>
  <c r="BF3606" i="4"/>
  <c r="BG3868" i="4"/>
  <c r="BF3868" i="4"/>
  <c r="BG4716" i="4"/>
  <c r="BF4716" i="4"/>
  <c r="BG6024" i="4"/>
  <c r="BF6024" i="4"/>
  <c r="BG4971" i="4"/>
  <c r="BF4971" i="4"/>
  <c r="BG4047" i="4"/>
  <c r="BF4047" i="4"/>
  <c r="BG4328" i="4"/>
  <c r="BF4328" i="4"/>
  <c r="BG4611" i="4"/>
  <c r="BF4611" i="4"/>
  <c r="BG4905" i="4"/>
  <c r="BF4905" i="4"/>
  <c r="BG5198" i="4"/>
  <c r="BF5198" i="4"/>
  <c r="BG5879" i="4"/>
  <c r="BF5879" i="4"/>
  <c r="BG4430" i="4"/>
  <c r="BF4430" i="4"/>
  <c r="BF5012" i="4"/>
  <c r="BG5012" i="4"/>
  <c r="BF4265" i="4"/>
  <c r="BG4265" i="4"/>
  <c r="BG4839" i="4"/>
  <c r="BF4839" i="4"/>
  <c r="BG4586" i="4"/>
  <c r="BF4586" i="4"/>
  <c r="BG5472" i="4"/>
  <c r="BF5472" i="4"/>
  <c r="BF3213" i="4"/>
  <c r="BG3213" i="4"/>
  <c r="BF3455" i="4"/>
  <c r="BG3455" i="4"/>
  <c r="BG3698" i="4"/>
  <c r="BF3698" i="4"/>
  <c r="BG3974" i="4"/>
  <c r="BF3974" i="4"/>
  <c r="BG4827" i="4"/>
  <c r="BF4827" i="4"/>
  <c r="BG5121" i="4"/>
  <c r="BF5121" i="4"/>
  <c r="BG5415" i="4"/>
  <c r="BF5415" i="4"/>
  <c r="BG5771" i="4"/>
  <c r="BF5771" i="4"/>
  <c r="BF5878" i="4"/>
  <c r="BG5878" i="4"/>
  <c r="BG4901" i="4"/>
  <c r="BF4901" i="4"/>
  <c r="BG5408" i="4"/>
  <c r="BF5408" i="4"/>
  <c r="BG5694" i="4"/>
  <c r="BF5694" i="4"/>
  <c r="BG5990" i="4"/>
  <c r="BF5990" i="4"/>
  <c r="BG3961" i="4"/>
  <c r="BF3961" i="4"/>
  <c r="BG4203" i="4"/>
  <c r="BF4203" i="4"/>
  <c r="BG4445" i="4"/>
  <c r="BF4445" i="4"/>
  <c r="BG4694" i="4"/>
  <c r="BF4694" i="4"/>
  <c r="BG5201" i="4"/>
  <c r="BF5201" i="4"/>
  <c r="BG5458" i="4"/>
  <c r="BF5458" i="4"/>
  <c r="BG3929" i="4"/>
  <c r="BF3929" i="4"/>
  <c r="BG4171" i="4"/>
  <c r="BF4171" i="4"/>
  <c r="BG4413" i="4"/>
  <c r="BF4413" i="4"/>
  <c r="BF4914" i="4"/>
  <c r="BG4914" i="4"/>
  <c r="BG5609" i="4"/>
  <c r="BF5609" i="4"/>
  <c r="BG5851" i="4"/>
  <c r="BF5851" i="4"/>
  <c r="BG4686" i="4"/>
  <c r="BF4686" i="4"/>
  <c r="BF4928" i="4"/>
  <c r="BG4928" i="4"/>
  <c r="BG5170" i="4"/>
  <c r="BF5170" i="4"/>
  <c r="BG5412" i="4"/>
  <c r="BF5412" i="4"/>
  <c r="BG5654" i="4"/>
  <c r="BF5654" i="4"/>
  <c r="BG5896" i="4"/>
  <c r="BF5896" i="4"/>
  <c r="BG4092" i="4"/>
  <c r="BF4092" i="4"/>
  <c r="BF2469" i="4"/>
  <c r="BG2469" i="4"/>
  <c r="BF1563" i="4"/>
  <c r="BG1563" i="4"/>
  <c r="BG785" i="4"/>
  <c r="BF785" i="4"/>
  <c r="BG3585" i="4"/>
  <c r="BF3585" i="4"/>
  <c r="BG2253" i="4"/>
  <c r="BF2253" i="4"/>
  <c r="BG31" i="4"/>
  <c r="BF31" i="4"/>
  <c r="BG1188" i="4"/>
  <c r="BF1188" i="4"/>
  <c r="BG5281" i="4"/>
  <c r="BF5281" i="4"/>
  <c r="BG1840" i="4"/>
  <c r="BF1840" i="4"/>
  <c r="BG4896" i="4"/>
  <c r="BF4896" i="4"/>
  <c r="BG2706" i="4"/>
  <c r="BF2706" i="4"/>
  <c r="BG1750" i="4"/>
  <c r="BF1750" i="4"/>
  <c r="BN1211" i="4"/>
  <c r="BM1211" i="4"/>
  <c r="BN60" i="4"/>
  <c r="BM60" i="4"/>
  <c r="BN1597" i="4"/>
  <c r="BM1597" i="4"/>
  <c r="BN774" i="4"/>
  <c r="BM774" i="4"/>
  <c r="BN889" i="4"/>
  <c r="BM889" i="4"/>
  <c r="BN3459" i="4"/>
  <c r="BM3459" i="4"/>
  <c r="BG2315" i="4"/>
  <c r="BF2315" i="4"/>
  <c r="BG1803" i="4"/>
  <c r="BF1803" i="4"/>
  <c r="BG588" i="4"/>
  <c r="BF588" i="4"/>
  <c r="BF347" i="4"/>
  <c r="BG347" i="4"/>
  <c r="BG2111" i="4"/>
  <c r="BF2111" i="4"/>
  <c r="BG118" i="4"/>
  <c r="BF118" i="4"/>
  <c r="BG2503" i="4"/>
  <c r="BF2503" i="4"/>
  <c r="BF1601" i="4"/>
  <c r="BG1601" i="4"/>
  <c r="BG2427" i="4"/>
  <c r="BF2427" i="4"/>
  <c r="BG5820" i="4"/>
  <c r="BF5820" i="4"/>
  <c r="BF3528" i="4"/>
  <c r="BG3528" i="4"/>
  <c r="BG5533" i="4"/>
  <c r="BF5533" i="4"/>
  <c r="BG1158" i="4"/>
  <c r="BF1158" i="4"/>
  <c r="BG2522" i="4"/>
  <c r="BF2522" i="4"/>
  <c r="BN356" i="4"/>
  <c r="BM356" i="4"/>
  <c r="BN2848" i="4"/>
  <c r="BM2848" i="4"/>
  <c r="BG3113" i="4"/>
  <c r="BF3113" i="4"/>
  <c r="BF1409" i="4"/>
  <c r="BG1409" i="4"/>
  <c r="BG502" i="4"/>
  <c r="BF502" i="4"/>
  <c r="BG3016" i="4"/>
  <c r="BF3016" i="4"/>
  <c r="BG2096" i="4"/>
  <c r="BF2096" i="4"/>
  <c r="BF4001" i="4"/>
  <c r="BG4001" i="4"/>
  <c r="BF4200" i="4"/>
  <c r="BG4200" i="4"/>
  <c r="BF4418" i="4"/>
  <c r="BG4418" i="4"/>
  <c r="BF5086" i="4"/>
  <c r="BG5086" i="4"/>
  <c r="BF5544" i="4"/>
  <c r="BG5544" i="4"/>
  <c r="BG945" i="4"/>
  <c r="BF945" i="4"/>
  <c r="BF2252" i="4"/>
  <c r="BG2252" i="4"/>
  <c r="BN3451" i="4"/>
  <c r="BM3451" i="4"/>
  <c r="BN2947" i="4"/>
  <c r="BM2947" i="4"/>
  <c r="BG821" i="4"/>
  <c r="BF821" i="4"/>
  <c r="BG1911" i="4"/>
  <c r="BF1911" i="4"/>
  <c r="BF3360" i="4"/>
  <c r="BG3360" i="4"/>
  <c r="BG4438" i="4"/>
  <c r="BF4438" i="4"/>
  <c r="BG2450" i="4"/>
  <c r="BF2450" i="4"/>
  <c r="BG3021" i="4"/>
  <c r="BF3021" i="4"/>
  <c r="BF4084" i="4"/>
  <c r="BG4084" i="4"/>
  <c r="BF3507" i="4"/>
  <c r="BG3507" i="4"/>
  <c r="BF3356" i="4"/>
  <c r="BG3356" i="4"/>
  <c r="BG5295" i="4"/>
  <c r="BF5295" i="4"/>
  <c r="BF4544" i="4"/>
  <c r="BG4544" i="4"/>
  <c r="BG5869" i="4"/>
  <c r="BF5869" i="4"/>
  <c r="BG4104" i="4"/>
  <c r="BF4104" i="4"/>
  <c r="BG4844" i="4"/>
  <c r="BF4844" i="4"/>
  <c r="BG5351" i="4"/>
  <c r="BF5351" i="4"/>
  <c r="BG4314" i="4"/>
  <c r="BF4314" i="4"/>
  <c r="BG5064" i="4"/>
  <c r="BF5064" i="4"/>
  <c r="BG5510" i="4"/>
  <c r="BF5510" i="4"/>
  <c r="BG5994" i="4"/>
  <c r="BF5994" i="4"/>
  <c r="BG5071" i="4"/>
  <c r="BF5071" i="4"/>
  <c r="BG5797" i="4"/>
  <c r="BF5797" i="4"/>
  <c r="BG1080" i="4"/>
  <c r="BF1080" i="4"/>
  <c r="BG1719" i="4"/>
  <c r="BF1719" i="4"/>
  <c r="BG273" i="4"/>
  <c r="BF273" i="4"/>
  <c r="BG2419" i="4"/>
  <c r="BF2419" i="4"/>
  <c r="BF1522" i="4"/>
  <c r="BG1522" i="4"/>
  <c r="BF2208" i="4"/>
  <c r="BG2208" i="4"/>
  <c r="BF603" i="4"/>
  <c r="BG603" i="4"/>
  <c r="BN1417" i="4"/>
  <c r="BM1417" i="4"/>
  <c r="BN794" i="4"/>
  <c r="BM794" i="4"/>
  <c r="BN3" i="4"/>
  <c r="BM3" i="4"/>
  <c r="BN2300" i="4"/>
  <c r="BM2300" i="4"/>
  <c r="BN1350" i="4"/>
  <c r="BM1350" i="4"/>
  <c r="BN964" i="4"/>
  <c r="BM964" i="4"/>
  <c r="BN1377" i="4"/>
  <c r="BM1377" i="4"/>
  <c r="BN2600" i="4"/>
  <c r="BM2600" i="4"/>
  <c r="BN3463" i="4"/>
  <c r="BM3463" i="4"/>
  <c r="BN785" i="4"/>
  <c r="BM785" i="4"/>
  <c r="BM1161" i="4"/>
  <c r="BN1161" i="4"/>
  <c r="BN3004" i="4"/>
  <c r="BM3004" i="4"/>
  <c r="BN248" i="4"/>
  <c r="BM248" i="4"/>
  <c r="BM1669" i="4"/>
  <c r="BN1669" i="4"/>
  <c r="BN2304" i="4"/>
  <c r="BM2304" i="4"/>
  <c r="BM3085" i="4"/>
  <c r="BN3085" i="4"/>
  <c r="BN1886" i="4"/>
  <c r="BM1886" i="4"/>
  <c r="BN2570" i="4"/>
  <c r="BM2570" i="4"/>
  <c r="BN3425" i="4"/>
  <c r="BM3425" i="4"/>
  <c r="BN213" i="4"/>
  <c r="BM213" i="4"/>
  <c r="BN1145" i="4"/>
  <c r="BM1145" i="4"/>
  <c r="BM1603" i="4"/>
  <c r="BN1603" i="4"/>
  <c r="BM2213" i="4"/>
  <c r="BN2213" i="4"/>
  <c r="BM323" i="4"/>
  <c r="BN323" i="4"/>
  <c r="BN1321" i="4"/>
  <c r="BM1321" i="4"/>
  <c r="BN1836" i="4"/>
  <c r="BM1836" i="4"/>
  <c r="BN3347" i="4"/>
  <c r="BM3347" i="4"/>
  <c r="BM191" i="4"/>
  <c r="BN191" i="4"/>
  <c r="BN1559" i="4"/>
  <c r="BM1559" i="4"/>
  <c r="BN2893" i="4"/>
  <c r="BM2893" i="4"/>
  <c r="BM1322" i="4"/>
  <c r="BN1322" i="4"/>
  <c r="BN1838" i="4"/>
  <c r="BM1838" i="4"/>
  <c r="BM192" i="4"/>
  <c r="BN192" i="4"/>
  <c r="BN460" i="4"/>
  <c r="BM460" i="4"/>
  <c r="BM1112" i="4"/>
  <c r="BN1112" i="4"/>
  <c r="BN1563" i="4"/>
  <c r="BM1563" i="4"/>
  <c r="BN1073" i="4"/>
  <c r="BM1073" i="4"/>
  <c r="BM3261" i="4"/>
  <c r="BN3261" i="4"/>
  <c r="BN3557" i="4"/>
  <c r="BM3557" i="4"/>
  <c r="BN1324" i="4"/>
  <c r="BM1324" i="4"/>
  <c r="BN896" i="4"/>
  <c r="BM896" i="4"/>
  <c r="BM1184" i="4"/>
  <c r="BN1184" i="4"/>
  <c r="BM1514" i="4"/>
  <c r="BN1514" i="4"/>
  <c r="BN1908" i="4"/>
  <c r="BM1908" i="4"/>
  <c r="BM2874" i="4"/>
  <c r="BN2874" i="4"/>
  <c r="BN909" i="4"/>
  <c r="BM909" i="4"/>
  <c r="BN1530" i="4"/>
  <c r="BM1530" i="4"/>
  <c r="BN2384" i="4"/>
  <c r="BM2384" i="4"/>
  <c r="BN3531" i="4"/>
  <c r="BM3531" i="4"/>
  <c r="BN1202" i="4"/>
  <c r="BM1202" i="4"/>
  <c r="BN1533" i="4"/>
  <c r="BM1533" i="4"/>
  <c r="BN1929" i="4"/>
  <c r="BM1929" i="4"/>
  <c r="BN2390" i="4"/>
  <c r="BM2390" i="4"/>
  <c r="BM2907" i="4"/>
  <c r="BN2907" i="4"/>
  <c r="BM653" i="4"/>
  <c r="BN653" i="4"/>
  <c r="BN926" i="4"/>
  <c r="BM926" i="4"/>
  <c r="BM1217" i="4"/>
  <c r="BN1217" i="4"/>
  <c r="BN1552" i="4"/>
  <c r="BM1552" i="4"/>
  <c r="BM2414" i="4"/>
  <c r="BN2414" i="4"/>
  <c r="BM2937" i="4"/>
  <c r="BN2937" i="4"/>
  <c r="BM3570" i="4"/>
  <c r="BN3570" i="4"/>
  <c r="BN1967" i="4"/>
  <c r="BM1967" i="4"/>
  <c r="BM2977" i="4"/>
  <c r="BN2977" i="4"/>
  <c r="BN3374" i="4"/>
  <c r="BM3374" i="4"/>
  <c r="BN1862" i="4"/>
  <c r="BM1862" i="4"/>
  <c r="BN2159" i="4"/>
  <c r="BM2159" i="4"/>
  <c r="BN2841" i="4"/>
  <c r="BM2841" i="4"/>
  <c r="BM3303" i="4"/>
  <c r="BN3303" i="4"/>
  <c r="BN2090" i="4"/>
  <c r="BM2090" i="4"/>
  <c r="BM2415" i="4"/>
  <c r="BN2415" i="4"/>
  <c r="BN2761" i="4"/>
  <c r="BM2761" i="4"/>
  <c r="BN3551" i="4"/>
  <c r="BM3551" i="4"/>
  <c r="BN600" i="4"/>
  <c r="BM600" i="4"/>
  <c r="BN1107" i="4"/>
  <c r="BM1107" i="4"/>
  <c r="BN1363" i="4"/>
  <c r="BM1363" i="4"/>
  <c r="BM1652" i="4"/>
  <c r="BN1652" i="4"/>
  <c r="BN2948" i="4"/>
  <c r="BM2948" i="4"/>
  <c r="BM3343" i="4"/>
  <c r="BN3343" i="4"/>
  <c r="BN1813" i="4"/>
  <c r="BM1813" i="4"/>
  <c r="BN2106" i="4"/>
  <c r="BM2106" i="4"/>
  <c r="BN2781" i="4"/>
  <c r="BM2781" i="4"/>
  <c r="BN1281" i="4"/>
  <c r="BM1281" i="4"/>
  <c r="BN1561" i="4"/>
  <c r="BM1561" i="4"/>
  <c r="BN1853" i="4"/>
  <c r="BM1853" i="4"/>
  <c r="BM2149" i="4"/>
  <c r="BN2149" i="4"/>
  <c r="BN2480" i="4"/>
  <c r="BM2480" i="4"/>
  <c r="BN2830" i="4"/>
  <c r="BM2830" i="4"/>
  <c r="BN1601" i="4"/>
  <c r="BM1601" i="4"/>
  <c r="BN2526" i="4"/>
  <c r="BM2526" i="4"/>
  <c r="BN1448" i="4"/>
  <c r="BM1448" i="4"/>
  <c r="BN2252" i="4"/>
  <c r="BM2252" i="4"/>
  <c r="BN2846" i="4"/>
  <c r="BM2846" i="4"/>
  <c r="BM3164" i="4"/>
  <c r="BN3164" i="4"/>
  <c r="BN3486" i="4"/>
  <c r="BM3486" i="4"/>
  <c r="BM286" i="4"/>
  <c r="BN286" i="4"/>
  <c r="BN528" i="4"/>
  <c r="BM528" i="4"/>
  <c r="BN770" i="4"/>
  <c r="BM770" i="4"/>
  <c r="BN1012" i="4"/>
  <c r="BM1012" i="4"/>
  <c r="BN1254" i="4"/>
  <c r="BM1254" i="4"/>
  <c r="BN1777" i="4"/>
  <c r="BM1777" i="4"/>
  <c r="BN2318" i="4"/>
  <c r="BM2318" i="4"/>
  <c r="BM2612" i="4"/>
  <c r="BN2612" i="4"/>
  <c r="BN2919" i="4"/>
  <c r="BM2919" i="4"/>
  <c r="BM3240" i="4"/>
  <c r="BN3240" i="4"/>
  <c r="BN3563" i="4"/>
  <c r="BM3563" i="4"/>
  <c r="BN2319" i="4"/>
  <c r="BM2319" i="4"/>
  <c r="BN2613" i="4"/>
  <c r="BM2613" i="4"/>
  <c r="BN3241" i="4"/>
  <c r="BM3241" i="4"/>
  <c r="BN3564" i="4"/>
  <c r="BM3564" i="4"/>
  <c r="BN3154" i="4"/>
  <c r="BM3154" i="4"/>
  <c r="BN3462" i="4"/>
  <c r="BM3462" i="4"/>
  <c r="BN2186" i="4"/>
  <c r="BM2186" i="4"/>
  <c r="BN2292" i="4"/>
  <c r="BM2292" i="4"/>
  <c r="BN2510" i="4"/>
  <c r="BM2510" i="4"/>
  <c r="BN2752" i="4"/>
  <c r="BM2752" i="4"/>
  <c r="BN2994" i="4"/>
  <c r="BM2994" i="4"/>
  <c r="BM3236" i="4"/>
  <c r="BN3236" i="4"/>
  <c r="BM3478" i="4"/>
  <c r="BN3478" i="4"/>
  <c r="BN2644" i="4"/>
  <c r="BM2644" i="4"/>
  <c r="BN892" i="4"/>
  <c r="BM892" i="4"/>
  <c r="BM442" i="4"/>
  <c r="BN442" i="4"/>
  <c r="BN62" i="4"/>
  <c r="BM62" i="4"/>
  <c r="BN2353" i="4"/>
  <c r="BM2353" i="4"/>
  <c r="BN1380" i="4"/>
  <c r="BM1380" i="4"/>
  <c r="BN767" i="4"/>
  <c r="BM767" i="4"/>
  <c r="BN3243" i="4"/>
  <c r="BM3243" i="4"/>
  <c r="BN1937" i="4"/>
  <c r="BM1937" i="4"/>
  <c r="BN1701" i="4"/>
  <c r="BM1701" i="4"/>
  <c r="BM514" i="4"/>
  <c r="BN514" i="4"/>
  <c r="BM122" i="4"/>
  <c r="BN122" i="4"/>
  <c r="BN2625" i="4"/>
  <c r="BM2625" i="4"/>
  <c r="BN885" i="4"/>
  <c r="BM885" i="4"/>
  <c r="BN439" i="4"/>
  <c r="BM439" i="4"/>
  <c r="BN1408" i="4"/>
  <c r="BM1408" i="4"/>
  <c r="BM2393" i="4"/>
  <c r="BN2393" i="4"/>
  <c r="BN783" i="4"/>
  <c r="BM783" i="4"/>
  <c r="BM365" i="4"/>
  <c r="BN365" i="4"/>
  <c r="BM2286" i="4"/>
  <c r="BN2286" i="4"/>
  <c r="BN1336" i="4"/>
  <c r="BM1336" i="4"/>
  <c r="BN740" i="4"/>
  <c r="BM740" i="4"/>
  <c r="BN3371" i="4"/>
  <c r="BM3371" i="4"/>
  <c r="BN2018" i="4"/>
  <c r="BM2018" i="4"/>
  <c r="BN640" i="4"/>
  <c r="BM640" i="4"/>
  <c r="BG3530" i="4"/>
  <c r="BF3530" i="4"/>
  <c r="BF2233" i="4"/>
  <c r="BG2233" i="4"/>
  <c r="BG11" i="4"/>
  <c r="BF11" i="4"/>
  <c r="BG1201" i="4"/>
  <c r="BF1201" i="4"/>
  <c r="BG1901" i="4"/>
  <c r="BF1901" i="4"/>
  <c r="BG385" i="4"/>
  <c r="BF385" i="4"/>
  <c r="BF4778" i="4"/>
  <c r="BG4778" i="4"/>
  <c r="BG4107" i="4"/>
  <c r="BF4107" i="4"/>
  <c r="BG2486" i="4"/>
  <c r="BF2486" i="4"/>
  <c r="BG794" i="4"/>
  <c r="BF794" i="4"/>
  <c r="BG166" i="4"/>
  <c r="BF166" i="4"/>
  <c r="BF3690" i="4"/>
  <c r="BG3690" i="4"/>
  <c r="BG1417" i="4"/>
  <c r="BF1417" i="4"/>
  <c r="BG669" i="4"/>
  <c r="BF669" i="4"/>
  <c r="BG2132" i="4"/>
  <c r="BF2132" i="4"/>
  <c r="BG3662" i="4"/>
  <c r="BF3662" i="4"/>
  <c r="BG1831" i="4"/>
  <c r="BF1831" i="4"/>
  <c r="BG2165" i="4"/>
  <c r="BF2165" i="4"/>
  <c r="BG2511" i="4"/>
  <c r="BF2511" i="4"/>
  <c r="BG4538" i="4"/>
  <c r="BF4538" i="4"/>
  <c r="BF168" i="4"/>
  <c r="BG168" i="4"/>
  <c r="BG410" i="4"/>
  <c r="BF410" i="4"/>
  <c r="BG652" i="4"/>
  <c r="BF652" i="4"/>
  <c r="BF1178" i="4"/>
  <c r="BG1178" i="4"/>
  <c r="BG1474" i="4"/>
  <c r="BF1474" i="4"/>
  <c r="BG2456" i="4"/>
  <c r="BF2456" i="4"/>
  <c r="BF2873" i="4"/>
  <c r="BG2873" i="4"/>
  <c r="BG4348" i="4"/>
  <c r="BF4348" i="4"/>
  <c r="BG5854" i="4"/>
  <c r="BF5854" i="4"/>
  <c r="BG464" i="4"/>
  <c r="BF464" i="4"/>
  <c r="BF1365" i="4"/>
  <c r="BG1365" i="4"/>
  <c r="BG799" i="4"/>
  <c r="BF799" i="4"/>
  <c r="BG1652" i="4"/>
  <c r="BF1652" i="4"/>
  <c r="BG1983" i="4"/>
  <c r="BF1983" i="4"/>
  <c r="BF2318" i="4"/>
  <c r="BG2318" i="4"/>
  <c r="BG2694" i="4"/>
  <c r="BF2694" i="4"/>
  <c r="BG3915" i="4"/>
  <c r="BF3915" i="4"/>
  <c r="BG213" i="4"/>
  <c r="BF213" i="4"/>
  <c r="BF455" i="4"/>
  <c r="BG455" i="4"/>
  <c r="BG697" i="4"/>
  <c r="BF697" i="4"/>
  <c r="BF1233" i="4"/>
  <c r="BG1233" i="4"/>
  <c r="BF1529" i="4"/>
  <c r="BG1529" i="4"/>
  <c r="BG2971" i="4"/>
  <c r="BF2971" i="4"/>
  <c r="BF858" i="4"/>
  <c r="BG858" i="4"/>
  <c r="BG1728" i="4"/>
  <c r="BF1728" i="4"/>
  <c r="BG2060" i="4"/>
  <c r="BF2060" i="4"/>
  <c r="BF2395" i="4"/>
  <c r="BG2395" i="4"/>
  <c r="BF2789" i="4"/>
  <c r="BG2789" i="4"/>
  <c r="BG5520" i="4"/>
  <c r="BF5520" i="4"/>
  <c r="BG820" i="4"/>
  <c r="BF820" i="4"/>
  <c r="BF2178" i="4"/>
  <c r="BG2178" i="4"/>
  <c r="BG2986" i="4"/>
  <c r="BF2986" i="4"/>
  <c r="BG5044" i="4"/>
  <c r="BF5044" i="4"/>
  <c r="BF552" i="4"/>
  <c r="BG552" i="4"/>
  <c r="BG1473" i="4"/>
  <c r="BF1473" i="4"/>
  <c r="BF236" i="4"/>
  <c r="BG236" i="4"/>
  <c r="BF478" i="4"/>
  <c r="BG478" i="4"/>
  <c r="BG720" i="4"/>
  <c r="BF720" i="4"/>
  <c r="BG974" i="4"/>
  <c r="BF974" i="4"/>
  <c r="BG1262" i="4"/>
  <c r="BF1262" i="4"/>
  <c r="BG1556" i="4"/>
  <c r="BF1556" i="4"/>
  <c r="BG2569" i="4"/>
  <c r="BF2569" i="4"/>
  <c r="BG3020" i="4"/>
  <c r="BF3020" i="4"/>
  <c r="BF4748" i="4"/>
  <c r="BG4748" i="4"/>
  <c r="BG1881" i="4"/>
  <c r="BF1881" i="4"/>
  <c r="BG2213" i="4"/>
  <c r="BF2213" i="4"/>
  <c r="BG3676" i="4"/>
  <c r="BF3676" i="4"/>
  <c r="BF237" i="4"/>
  <c r="BG237" i="4"/>
  <c r="BG479" i="4"/>
  <c r="BF479" i="4"/>
  <c r="BG721" i="4"/>
  <c r="BF721" i="4"/>
  <c r="BG976" i="4"/>
  <c r="BF976" i="4"/>
  <c r="BG1263" i="4"/>
  <c r="BF1263" i="4"/>
  <c r="BF1559" i="4"/>
  <c r="BG1559" i="4"/>
  <c r="BF2570" i="4"/>
  <c r="BG2570" i="4"/>
  <c r="BG4749" i="4"/>
  <c r="BF4749" i="4"/>
  <c r="BG1837" i="4"/>
  <c r="BF1837" i="4"/>
  <c r="BG2169" i="4"/>
  <c r="BF2169" i="4"/>
  <c r="BG2517" i="4"/>
  <c r="BF2517" i="4"/>
  <c r="BG4564" i="4"/>
  <c r="BF4564" i="4"/>
  <c r="BG139" i="4"/>
  <c r="BF139" i="4"/>
  <c r="BG381" i="4"/>
  <c r="BF381" i="4"/>
  <c r="BG623" i="4"/>
  <c r="BF623" i="4"/>
  <c r="BF872" i="4"/>
  <c r="BG872" i="4"/>
  <c r="BG1143" i="4"/>
  <c r="BF1143" i="4"/>
  <c r="BG1439" i="4"/>
  <c r="BF1439" i="4"/>
  <c r="BG2412" i="4"/>
  <c r="BF2412" i="4"/>
  <c r="BG3392" i="4"/>
  <c r="BF3392" i="4"/>
  <c r="BG1629" i="4"/>
  <c r="BF1629" i="4"/>
  <c r="BG1959" i="4"/>
  <c r="BF1959" i="4"/>
  <c r="BG2291" i="4"/>
  <c r="BF2291" i="4"/>
  <c r="BG2663" i="4"/>
  <c r="BF2663" i="4"/>
  <c r="BF3859" i="4"/>
  <c r="BG3859" i="4"/>
  <c r="BG2254" i="4"/>
  <c r="BF2254" i="4"/>
  <c r="BG3112" i="4"/>
  <c r="BF3112" i="4"/>
  <c r="BG640" i="4"/>
  <c r="BF640" i="4"/>
  <c r="BG1460" i="4"/>
  <c r="BF1460" i="4"/>
  <c r="BG8" i="4"/>
  <c r="BF8" i="4"/>
  <c r="BG250" i="4"/>
  <c r="BF250" i="4"/>
  <c r="BG492" i="4"/>
  <c r="BF492" i="4"/>
  <c r="BG735" i="4"/>
  <c r="BF735" i="4"/>
  <c r="BG990" i="4"/>
  <c r="BF990" i="4"/>
  <c r="BG1278" i="4"/>
  <c r="BF1278" i="4"/>
  <c r="BF1574" i="4"/>
  <c r="BG1574" i="4"/>
  <c r="BF2592" i="4"/>
  <c r="BG2592" i="4"/>
  <c r="BG3713" i="4"/>
  <c r="BF3713" i="4"/>
  <c r="BG4141" i="4"/>
  <c r="BF4141" i="4"/>
  <c r="BG5403" i="4"/>
  <c r="BF5403" i="4"/>
  <c r="BG2899" i="4"/>
  <c r="BF2899" i="4"/>
  <c r="BF3200" i="4"/>
  <c r="BG3200" i="4"/>
  <c r="BG3536" i="4"/>
  <c r="BF3536" i="4"/>
  <c r="BG3920" i="4"/>
  <c r="BF3920" i="4"/>
  <c r="BG4437" i="4"/>
  <c r="BF4437" i="4"/>
  <c r="BG5794" i="4"/>
  <c r="BF5794" i="4"/>
  <c r="BG2839" i="4"/>
  <c r="BF2839" i="4"/>
  <c r="BG3128" i="4"/>
  <c r="BF3128" i="4"/>
  <c r="BG3825" i="4"/>
  <c r="BF3825" i="4"/>
  <c r="BG4297" i="4"/>
  <c r="BF4297" i="4"/>
  <c r="BF4935" i="4"/>
  <c r="BG4935" i="4"/>
  <c r="BF2504" i="4"/>
  <c r="BG2504" i="4"/>
  <c r="BG3029" i="4"/>
  <c r="BF3029" i="4"/>
  <c r="BF4726" i="4"/>
  <c r="BG4726" i="4"/>
  <c r="BG5377" i="4"/>
  <c r="BF5377" i="4"/>
  <c r="BG1885" i="4"/>
  <c r="BF1885" i="4"/>
  <c r="BF2127" i="4"/>
  <c r="BG2127" i="4"/>
  <c r="BG2369" i="4"/>
  <c r="BF2369" i="4"/>
  <c r="BF2620" i="4"/>
  <c r="BG2620" i="4"/>
  <c r="BG2876" i="4"/>
  <c r="BF2876" i="4"/>
  <c r="BG3172" i="4"/>
  <c r="BF3172" i="4"/>
  <c r="BG4385" i="4"/>
  <c r="BF4385" i="4"/>
  <c r="BG5721" i="4"/>
  <c r="BF5721" i="4"/>
  <c r="BG2655" i="4"/>
  <c r="BF2655" i="4"/>
  <c r="BG2915" i="4"/>
  <c r="BF2915" i="4"/>
  <c r="BG3217" i="4"/>
  <c r="BF3217" i="4"/>
  <c r="BF3556" i="4"/>
  <c r="BG3556" i="4"/>
  <c r="BG5847" i="4"/>
  <c r="BF5847" i="4"/>
  <c r="BG4673" i="4"/>
  <c r="BF4673" i="4"/>
  <c r="BG3005" i="4"/>
  <c r="BF3005" i="4"/>
  <c r="BF3325" i="4"/>
  <c r="BG3325" i="4"/>
  <c r="BG3669" i="4"/>
  <c r="BF3669" i="4"/>
  <c r="BG4079" i="4"/>
  <c r="BF4079" i="4"/>
  <c r="BG5323" i="4"/>
  <c r="BF5323" i="4"/>
  <c r="BG1249" i="4"/>
  <c r="BF1249" i="4"/>
  <c r="BG1491" i="4"/>
  <c r="BF1491" i="4"/>
  <c r="BF1733" i="4"/>
  <c r="BG1733" i="4"/>
  <c r="BG1975" i="4"/>
  <c r="BF1975" i="4"/>
  <c r="BF2217" i="4"/>
  <c r="BG2217" i="4"/>
  <c r="BG2714" i="4"/>
  <c r="BF2714" i="4"/>
  <c r="BG2980" i="4"/>
  <c r="BF2980" i="4"/>
  <c r="BG4618" i="4"/>
  <c r="BF4618" i="4"/>
  <c r="BG2438" i="4"/>
  <c r="BF2438" i="4"/>
  <c r="BF3266" i="4"/>
  <c r="BG3266" i="4"/>
  <c r="BF3608" i="4"/>
  <c r="BG3608" i="4"/>
  <c r="BF5206" i="4"/>
  <c r="BG5206" i="4"/>
  <c r="BF1107" i="4"/>
  <c r="BG1107" i="4"/>
  <c r="BG1349" i="4"/>
  <c r="BF1349" i="4"/>
  <c r="BG1591" i="4"/>
  <c r="BF1591" i="4"/>
  <c r="BG1833" i="4"/>
  <c r="BF1833" i="4"/>
  <c r="BG2075" i="4"/>
  <c r="BF2075" i="4"/>
  <c r="BG2317" i="4"/>
  <c r="BF2317" i="4"/>
  <c r="BG2819" i="4"/>
  <c r="BF2819" i="4"/>
  <c r="BG3105" i="4"/>
  <c r="BF3105" i="4"/>
  <c r="BG4255" i="4"/>
  <c r="BF4255" i="4"/>
  <c r="BG4885" i="4"/>
  <c r="BF4885" i="4"/>
  <c r="BF2439" i="4"/>
  <c r="BG2439" i="4"/>
  <c r="BF2956" i="4"/>
  <c r="BG2956" i="4"/>
  <c r="BG5207" i="4"/>
  <c r="BF5207" i="4"/>
  <c r="BG5979" i="4"/>
  <c r="BF5979" i="4"/>
  <c r="BF4362" i="4"/>
  <c r="BG4362" i="4"/>
  <c r="BG4941" i="4"/>
  <c r="BF4941" i="4"/>
  <c r="BG2889" i="4"/>
  <c r="BF2889" i="4"/>
  <c r="BG3131" i="4"/>
  <c r="BF3131" i="4"/>
  <c r="BG3373" i="4"/>
  <c r="BF3373" i="4"/>
  <c r="BG3615" i="4"/>
  <c r="BF3615" i="4"/>
  <c r="BG4158" i="4"/>
  <c r="BF4158" i="4"/>
  <c r="BF4439" i="4"/>
  <c r="BG4439" i="4"/>
  <c r="BG4727" i="4"/>
  <c r="BF4727" i="4"/>
  <c r="BF5636" i="4"/>
  <c r="BG5636" i="4"/>
  <c r="BG3790" i="4"/>
  <c r="BF3790" i="4"/>
  <c r="BG4929" i="4"/>
  <c r="BF4929" i="4"/>
  <c r="BF3418" i="4"/>
  <c r="BG3418" i="4"/>
  <c r="BG3660" i="4"/>
  <c r="BF3660" i="4"/>
  <c r="BG3931" i="4"/>
  <c r="BF3931" i="4"/>
  <c r="BG4782" i="4"/>
  <c r="BF4782" i="4"/>
  <c r="BG5711" i="4"/>
  <c r="BF5711" i="4"/>
  <c r="BG4211" i="4"/>
  <c r="BF4211" i="4"/>
  <c r="BG4492" i="4"/>
  <c r="BF4492" i="4"/>
  <c r="BG5077" i="4"/>
  <c r="BF5077" i="4"/>
  <c r="BG5370" i="4"/>
  <c r="BF5370" i="4"/>
  <c r="BG3133" i="4"/>
  <c r="BF3133" i="4"/>
  <c r="BG3375" i="4"/>
  <c r="BF3375" i="4"/>
  <c r="BG3617" i="4"/>
  <c r="BF3617" i="4"/>
  <c r="BG4441" i="4"/>
  <c r="BF4441" i="4"/>
  <c r="BG4731" i="4"/>
  <c r="BF4731" i="4"/>
  <c r="BG5318" i="4"/>
  <c r="BF5318" i="4"/>
  <c r="BG5639" i="4"/>
  <c r="BF5639" i="4"/>
  <c r="BG4123" i="4"/>
  <c r="BF4123" i="4"/>
  <c r="BG4404" i="4"/>
  <c r="BF4404" i="4"/>
  <c r="BG4985" i="4"/>
  <c r="BF4985" i="4"/>
  <c r="BF5989" i="4"/>
  <c r="BG5989" i="4"/>
  <c r="BG4624" i="4"/>
  <c r="BF4624" i="4"/>
  <c r="BG5211" i="4"/>
  <c r="BF5211" i="4"/>
  <c r="BG5514" i="4"/>
  <c r="BF5514" i="4"/>
  <c r="BG5899" i="4"/>
  <c r="BF5899" i="4"/>
  <c r="BG3882" i="4"/>
  <c r="BF3882" i="4"/>
  <c r="BG4163" i="4"/>
  <c r="BF4163" i="4"/>
  <c r="BG5025" i="4"/>
  <c r="BF5025" i="4"/>
  <c r="BG5644" i="4"/>
  <c r="BF5644" i="4"/>
  <c r="BG5441" i="4"/>
  <c r="BF5441" i="4"/>
  <c r="BG4317" i="4"/>
  <c r="BF4317" i="4"/>
  <c r="BG5486" i="4"/>
  <c r="BF5486" i="4"/>
  <c r="BF3224" i="4"/>
  <c r="BG3224" i="4"/>
  <c r="BF3466" i="4"/>
  <c r="BG3466" i="4"/>
  <c r="BG3710" i="4"/>
  <c r="BF3710" i="4"/>
  <c r="BG4266" i="4"/>
  <c r="BF4266" i="4"/>
  <c r="BG5791" i="4"/>
  <c r="BF5791" i="4"/>
  <c r="BF5891" i="4"/>
  <c r="BG5891" i="4"/>
  <c r="BG4659" i="4"/>
  <c r="BF4659" i="4"/>
  <c r="BG5166" i="4"/>
  <c r="BF5166" i="4"/>
  <c r="BG5420" i="4"/>
  <c r="BF5420" i="4"/>
  <c r="BG6003" i="4"/>
  <c r="BF6003" i="4"/>
  <c r="BG3972" i="4"/>
  <c r="BF3972" i="4"/>
  <c r="BG4214" i="4"/>
  <c r="BF4214" i="4"/>
  <c r="BG4456" i="4"/>
  <c r="BF4456" i="4"/>
  <c r="BG4959" i="4"/>
  <c r="BF4959" i="4"/>
  <c r="BF5762" i="4"/>
  <c r="BG5762" i="4"/>
  <c r="BF3940" i="4"/>
  <c r="BG3940" i="4"/>
  <c r="BG4182" i="4"/>
  <c r="BF4182" i="4"/>
  <c r="BG4424" i="4"/>
  <c r="BF4424" i="4"/>
  <c r="BF4672" i="4"/>
  <c r="BG4672" i="4"/>
  <c r="BG5179" i="4"/>
  <c r="BF5179" i="4"/>
  <c r="BG5620" i="4"/>
  <c r="BF5620" i="4"/>
  <c r="BF5862" i="4"/>
  <c r="BG5862" i="4"/>
  <c r="BF4697" i="4"/>
  <c r="BG4697" i="4"/>
  <c r="BG4939" i="4"/>
  <c r="BF4939" i="4"/>
  <c r="BG5181" i="4"/>
  <c r="BF5181" i="4"/>
  <c r="BG5423" i="4"/>
  <c r="BF5423" i="4"/>
  <c r="BG5665" i="4"/>
  <c r="BF5665" i="4"/>
  <c r="BF5907" i="4"/>
  <c r="BG5907" i="4"/>
  <c r="BG2420" i="4"/>
  <c r="BF2420" i="4"/>
  <c r="BF1523" i="4"/>
  <c r="BG1523" i="4"/>
  <c r="BG759" i="4"/>
  <c r="BF759" i="4"/>
  <c r="BG3498" i="4"/>
  <c r="BF3498" i="4"/>
  <c r="BF2219" i="4"/>
  <c r="BG2219" i="4"/>
  <c r="BG604" i="4"/>
  <c r="BF604" i="4"/>
  <c r="BG3083" i="4"/>
  <c r="BF3083" i="4"/>
  <c r="BG1148" i="4"/>
  <c r="BF1148" i="4"/>
  <c r="BG460" i="4"/>
  <c r="BF460" i="4"/>
  <c r="BG2764" i="4"/>
  <c r="BF2764" i="4"/>
  <c r="BF1796" i="4"/>
  <c r="BG1796" i="4"/>
  <c r="BG320" i="4"/>
  <c r="BF320" i="4"/>
  <c r="BG1706" i="4"/>
  <c r="BF1706" i="4"/>
  <c r="BG908" i="4"/>
  <c r="BF908" i="4"/>
  <c r="BN2150" i="4"/>
  <c r="BM2150" i="4"/>
  <c r="BN61" i="4"/>
  <c r="BM61" i="4"/>
  <c r="BN596" i="4"/>
  <c r="BM596" i="4"/>
  <c r="BN1319" i="4"/>
  <c r="BM1319" i="4"/>
  <c r="BN2506" i="4"/>
  <c r="BM2506" i="4"/>
  <c r="BM433" i="4"/>
  <c r="BN433" i="4"/>
  <c r="BN2094" i="4"/>
  <c r="BM2094" i="4"/>
  <c r="BN573" i="4"/>
  <c r="BM573" i="4"/>
  <c r="BN1283" i="4"/>
  <c r="BM1283" i="4"/>
  <c r="BN718" i="4"/>
  <c r="BM718" i="4"/>
  <c r="BN1517" i="4"/>
  <c r="BM1517" i="4"/>
  <c r="BN2819" i="4"/>
  <c r="BM2819" i="4"/>
  <c r="BN301" i="4"/>
  <c r="BM301" i="4"/>
  <c r="BN3270" i="4"/>
  <c r="BM3270" i="4"/>
  <c r="BN1924" i="4"/>
  <c r="BM1924" i="4"/>
  <c r="BN3524" i="4"/>
  <c r="BM3524" i="4"/>
  <c r="BN857" i="4"/>
  <c r="BM857" i="4"/>
  <c r="BN1846" i="4"/>
  <c r="BM1846" i="4"/>
  <c r="BN1010" i="4"/>
  <c r="BM1010" i="4"/>
  <c r="BN2083" i="4"/>
  <c r="BM2083" i="4"/>
  <c r="BN2590" i="4"/>
  <c r="BM2590" i="4"/>
  <c r="BN1025" i="4"/>
  <c r="BM1025" i="4"/>
  <c r="BM2108" i="4"/>
  <c r="BN2108" i="4"/>
  <c r="BM762" i="4"/>
  <c r="BN762" i="4"/>
  <c r="BN2618" i="4"/>
  <c r="BM2618" i="4"/>
  <c r="BN2412" i="4"/>
  <c r="BM2412" i="4"/>
  <c r="BN2552" i="4"/>
  <c r="BM2552" i="4"/>
  <c r="BN1479" i="4"/>
  <c r="BM1479" i="4"/>
  <c r="BN2732" i="4"/>
  <c r="BM2732" i="4"/>
  <c r="BN2237" i="4"/>
  <c r="BM2237" i="4"/>
  <c r="BN1131" i="4"/>
  <c r="BM1131" i="4"/>
  <c r="BN1681" i="4"/>
  <c r="BM1681" i="4"/>
  <c r="BN2666" i="4"/>
  <c r="BM2666" i="4"/>
  <c r="BN385" i="4"/>
  <c r="BM385" i="4"/>
  <c r="BN1111" i="4"/>
  <c r="BM1111" i="4"/>
  <c r="BN3048" i="4"/>
  <c r="BM3048" i="4"/>
  <c r="BM3050" i="4"/>
  <c r="BN3050" i="4"/>
  <c r="BN3279" i="4"/>
  <c r="BM3279" i="4"/>
  <c r="BN2142" i="4"/>
  <c r="BM2142" i="4"/>
  <c r="BN3093" i="4"/>
  <c r="BM3093" i="4"/>
  <c r="BN1126" i="4"/>
  <c r="BM1126" i="4"/>
  <c r="BM206" i="4"/>
  <c r="BN206" i="4"/>
  <c r="BM1066" i="4"/>
  <c r="BN1066" i="4"/>
  <c r="BN170" i="4"/>
  <c r="BM170" i="4"/>
  <c r="BF5361" i="4"/>
  <c r="BG5361" i="4"/>
  <c r="BG1858" i="4"/>
  <c r="BF1858" i="4"/>
  <c r="BF2633" i="4"/>
  <c r="BG2633" i="4"/>
  <c r="BG889" i="4"/>
  <c r="BF889" i="4"/>
  <c r="BG143" i="4"/>
  <c r="BF143" i="4"/>
  <c r="BF1387" i="4"/>
  <c r="BG1387" i="4"/>
  <c r="BG5705" i="4"/>
  <c r="BF5705" i="4"/>
  <c r="BG1933" i="4"/>
  <c r="BF1933" i="4"/>
  <c r="BG4953" i="4"/>
  <c r="BF4953" i="4"/>
  <c r="BG946" i="4"/>
  <c r="BF946" i="4"/>
  <c r="BF2300" i="4"/>
  <c r="BG2300" i="4"/>
  <c r="BG3168" i="4"/>
  <c r="BF3168" i="4"/>
  <c r="BG5124" i="4"/>
  <c r="BF5124" i="4"/>
  <c r="BG267" i="4"/>
  <c r="BF267" i="4"/>
  <c r="BG3768" i="4"/>
  <c r="BF3768" i="4"/>
  <c r="BG903" i="4"/>
  <c r="BF903" i="4"/>
  <c r="BG2121" i="4"/>
  <c r="BF2121" i="4"/>
  <c r="BF70" i="4"/>
  <c r="BG70" i="4"/>
  <c r="BG554" i="4"/>
  <c r="BF554" i="4"/>
  <c r="BG1058" i="4"/>
  <c r="BF1058" i="4"/>
  <c r="BG5190" i="4"/>
  <c r="BF5190" i="4"/>
  <c r="BF2198" i="4"/>
  <c r="BG2198" i="4"/>
  <c r="BF2673" i="4"/>
  <c r="BG2673" i="4"/>
  <c r="BF93" i="4"/>
  <c r="BG93" i="4"/>
  <c r="BG824" i="4"/>
  <c r="BF824" i="4"/>
  <c r="BG1383" i="4"/>
  <c r="BF1383" i="4"/>
  <c r="BG3269" i="4"/>
  <c r="BF3269" i="4"/>
  <c r="BF1684" i="4"/>
  <c r="BG1684" i="4"/>
  <c r="BF2351" i="4"/>
  <c r="BG2351" i="4"/>
  <c r="BG336" i="4"/>
  <c r="BF336" i="4"/>
  <c r="BG825" i="4"/>
  <c r="BF825" i="4"/>
  <c r="BG1384" i="4"/>
  <c r="BF1384" i="4"/>
  <c r="BF2307" i="4"/>
  <c r="BG2307" i="4"/>
  <c r="BG3894" i="4"/>
  <c r="BF3894" i="4"/>
  <c r="BG480" i="4"/>
  <c r="BF480" i="4"/>
  <c r="BG977" i="4"/>
  <c r="BF977" i="4"/>
  <c r="BF1560" i="4"/>
  <c r="BG1560" i="4"/>
  <c r="BG2571" i="4"/>
  <c r="BF2571" i="4"/>
  <c r="BG2837" i="4"/>
  <c r="BF2837" i="4"/>
  <c r="BG4257" i="4"/>
  <c r="BF4257" i="4"/>
  <c r="BG145" i="4"/>
  <c r="BF145" i="4"/>
  <c r="BG591" i="4"/>
  <c r="BF591" i="4"/>
  <c r="BF1103" i="4"/>
  <c r="BG1103" i="4"/>
  <c r="BG3303" i="4"/>
  <c r="BF3303" i="4"/>
  <c r="BG5019" i="4"/>
  <c r="BF5019" i="4"/>
  <c r="BG5341" i="4"/>
  <c r="BF5341" i="4"/>
  <c r="BG3992" i="4"/>
  <c r="BF3992" i="4"/>
  <c r="BG2470" i="4"/>
  <c r="BF2470" i="4"/>
  <c r="BG3354" i="4"/>
  <c r="BF3354" i="4"/>
  <c r="BG4735" i="4"/>
  <c r="BF4735" i="4"/>
  <c r="BG5611" i="4"/>
  <c r="BF5611" i="4"/>
  <c r="BG3460" i="4"/>
  <c r="BF3460" i="4"/>
  <c r="BF4307" i="4"/>
  <c r="BG4307" i="4"/>
  <c r="BG1348" i="4"/>
  <c r="BF1348" i="4"/>
  <c r="BF2074" i="4"/>
  <c r="BG2074" i="4"/>
  <c r="BG2818" i="4"/>
  <c r="BF2818" i="4"/>
  <c r="BG3794" i="4"/>
  <c r="BF3794" i="4"/>
  <c r="BG2542" i="4"/>
  <c r="BF2542" i="4"/>
  <c r="BG3075" i="4"/>
  <c r="BF3075" i="4"/>
  <c r="BG4195" i="4"/>
  <c r="BF4195" i="4"/>
  <c r="BF5476" i="4"/>
  <c r="BG5476" i="4"/>
  <c r="BG1206" i="4"/>
  <c r="BF1206" i="4"/>
  <c r="BG1690" i="4"/>
  <c r="BF1690" i="4"/>
  <c r="BF2669" i="4"/>
  <c r="BG2669" i="4"/>
  <c r="BG3964" i="4"/>
  <c r="BF3964" i="4"/>
  <c r="BG3403" i="4"/>
  <c r="BF3403" i="4"/>
  <c r="BG4476" i="4"/>
  <c r="BF4476" i="4"/>
  <c r="BG3230" i="4"/>
  <c r="BF3230" i="4"/>
  <c r="BF5141" i="4"/>
  <c r="BG5141" i="4"/>
  <c r="BG5437" i="4"/>
  <c r="BF5437" i="4"/>
  <c r="BG4185" i="4"/>
  <c r="BF4185" i="4"/>
  <c r="BG5048" i="4"/>
  <c r="BF5048" i="4"/>
  <c r="BF3517" i="4"/>
  <c r="BG3517" i="4"/>
  <c r="BG4326" i="4"/>
  <c r="BF4326" i="4"/>
  <c r="BG5496" i="4"/>
  <c r="BF5496" i="4"/>
  <c r="BG5497" i="4"/>
  <c r="BF5497" i="4"/>
  <c r="BF3474" i="4"/>
  <c r="BG3474" i="4"/>
  <c r="BG3996" i="4"/>
  <c r="BF3996" i="4"/>
  <c r="BF4850" i="4"/>
  <c r="BG4850" i="4"/>
  <c r="BG5439" i="4"/>
  <c r="BF5439" i="4"/>
  <c r="BG5749" i="4"/>
  <c r="BF5749" i="4"/>
  <c r="BF4175" i="4"/>
  <c r="BG4175" i="4"/>
  <c r="BG4745" i="4"/>
  <c r="BF4745" i="4"/>
  <c r="BG5332" i="4"/>
  <c r="BF5332" i="4"/>
  <c r="BG4559" i="4"/>
  <c r="BF4559" i="4"/>
  <c r="BF5146" i="4"/>
  <c r="BG5146" i="4"/>
  <c r="BG4431" i="4"/>
  <c r="BF4431" i="4"/>
  <c r="BF6030" i="4"/>
  <c r="BG6030" i="4"/>
  <c r="BF5956" i="4"/>
  <c r="BG5956" i="4"/>
  <c r="BG4071" i="4"/>
  <c r="BF4071" i="4"/>
  <c r="BG5883" i="4"/>
  <c r="BF5883" i="4"/>
  <c r="BG4039" i="4"/>
  <c r="BF4039" i="4"/>
  <c r="BG5038" i="4"/>
  <c r="BF5038" i="4"/>
  <c r="BF6006" i="4"/>
  <c r="BG6006" i="4"/>
  <c r="BG1842" i="4"/>
  <c r="BF1842" i="4"/>
  <c r="BG4397" i="4"/>
  <c r="BF4397" i="4"/>
  <c r="BG851" i="4"/>
  <c r="BF851" i="4"/>
  <c r="BF2340" i="4"/>
  <c r="BG2340" i="4"/>
  <c r="BN3190" i="4"/>
  <c r="BM3190" i="4"/>
  <c r="BN159" i="4"/>
  <c r="BM159" i="4"/>
  <c r="BM1139" i="4"/>
  <c r="BN1139" i="4"/>
  <c r="BN3512" i="4"/>
  <c r="BM3512" i="4"/>
  <c r="BM1337" i="4"/>
  <c r="BN1337" i="4"/>
  <c r="BN2123" i="4"/>
  <c r="BM2123" i="4"/>
  <c r="BN2481" i="4"/>
  <c r="BM2481" i="4"/>
  <c r="BN2125" i="4"/>
  <c r="BM2125" i="4"/>
  <c r="BN905" i="4"/>
  <c r="BM905" i="4"/>
  <c r="BN3311" i="4"/>
  <c r="BM3311" i="4"/>
  <c r="BN1942" i="4"/>
  <c r="BM1942" i="4"/>
  <c r="BN2632" i="4"/>
  <c r="BM2632" i="4"/>
  <c r="BN870" i="4"/>
  <c r="BM870" i="4"/>
  <c r="BN1480" i="4"/>
  <c r="BM1480" i="4"/>
  <c r="BM1326" i="4"/>
  <c r="BN1326" i="4"/>
  <c r="BN1036" i="4"/>
  <c r="BM1036" i="4"/>
  <c r="BM3185" i="4"/>
  <c r="BN3185" i="4"/>
  <c r="BN1718" i="4"/>
  <c r="BM1718" i="4"/>
  <c r="BN3219" i="4"/>
  <c r="BM3219" i="4"/>
  <c r="BN2100" i="4"/>
  <c r="BM2100" i="4"/>
  <c r="BN3087" i="4"/>
  <c r="BM3087" i="4"/>
  <c r="BN3321" i="4"/>
  <c r="BM3321" i="4"/>
  <c r="BN1493" i="4"/>
  <c r="BM1493" i="4"/>
  <c r="BN2402" i="4"/>
  <c r="BM2402" i="4"/>
  <c r="BN1946" i="4"/>
  <c r="BM1946" i="4"/>
  <c r="BN3057" i="4"/>
  <c r="BM3057" i="4"/>
  <c r="BN638" i="4"/>
  <c r="BM638" i="4"/>
  <c r="BN1122" i="4"/>
  <c r="BM1122" i="4"/>
  <c r="BN2166" i="4"/>
  <c r="BM2166" i="4"/>
  <c r="BN2167" i="4"/>
  <c r="BM2167" i="4"/>
  <c r="BN3387" i="4"/>
  <c r="BM3387" i="4"/>
  <c r="BN2620" i="4"/>
  <c r="BM2620" i="4"/>
  <c r="BM3346" i="4"/>
  <c r="BN3346" i="4"/>
  <c r="BN1079" i="4"/>
  <c r="BM1079" i="4"/>
  <c r="BM2805" i="4"/>
  <c r="BN2805" i="4"/>
  <c r="BN2288" i="4"/>
  <c r="BM2288" i="4"/>
  <c r="BM331" i="4"/>
  <c r="BN331" i="4"/>
  <c r="BM663" i="4"/>
  <c r="BN663" i="4"/>
  <c r="BN1098" i="4"/>
  <c r="BM1098" i="4"/>
  <c r="BN2996" i="4"/>
  <c r="BM2996" i="4"/>
  <c r="BM150" i="4"/>
  <c r="BN150" i="4"/>
  <c r="BG5490" i="4"/>
  <c r="BF5490" i="4"/>
  <c r="BG1367" i="4"/>
  <c r="BF1367" i="4"/>
  <c r="BG134" i="4"/>
  <c r="BF134" i="4"/>
  <c r="BG2753" i="4"/>
  <c r="BF2753" i="4"/>
  <c r="BG2321" i="4"/>
  <c r="BF2321" i="4"/>
  <c r="BG4091" i="4"/>
  <c r="BF4091" i="4"/>
  <c r="BG3350" i="4"/>
  <c r="BF3350" i="4"/>
  <c r="BG2327" i="4"/>
  <c r="BF2327" i="4"/>
  <c r="BG5579" i="4"/>
  <c r="BF5579" i="4"/>
  <c r="BG3090" i="4"/>
  <c r="BF3090" i="4"/>
  <c r="BG1217" i="4"/>
  <c r="BF1217" i="4"/>
  <c r="BG5706" i="4"/>
  <c r="BF5706" i="4"/>
  <c r="BG4861" i="4"/>
  <c r="BF4861" i="4"/>
  <c r="BG5893" i="4"/>
  <c r="BF5893" i="4"/>
  <c r="BG4339" i="4"/>
  <c r="BF4339" i="4"/>
  <c r="BF4288" i="4"/>
  <c r="BG4288" i="4"/>
  <c r="BG5822" i="4"/>
  <c r="BF5822" i="4"/>
  <c r="BG5052" i="4"/>
  <c r="BF5052" i="4"/>
  <c r="BG4572" i="4"/>
  <c r="BF4572" i="4"/>
  <c r="BF3334" i="4"/>
  <c r="BG3334" i="4"/>
  <c r="BF4680" i="4"/>
  <c r="BG4680" i="4"/>
  <c r="BG4324" i="4"/>
  <c r="BF4324" i="4"/>
  <c r="BG3808" i="4"/>
  <c r="BF3808" i="4"/>
  <c r="BG4807" i="4"/>
  <c r="BF4807" i="4"/>
  <c r="BG6017" i="4"/>
  <c r="BF6017" i="4"/>
  <c r="BG5099" i="4"/>
  <c r="BF5099" i="4"/>
  <c r="BG3467" i="4"/>
  <c r="BF3467" i="4"/>
  <c r="BM3114" i="4"/>
  <c r="BN3114" i="4"/>
  <c r="BN1081" i="4"/>
  <c r="BM1081" i="4"/>
  <c r="BN1758" i="4"/>
  <c r="BM1758" i="4"/>
  <c r="BM141" i="4"/>
  <c r="BN141" i="4"/>
  <c r="BM1620" i="4"/>
  <c r="BN1620" i="4"/>
  <c r="BM2999" i="4"/>
  <c r="BN2999" i="4"/>
  <c r="BN632" i="4"/>
  <c r="BM632" i="4"/>
  <c r="BN1974" i="4"/>
  <c r="BM1974" i="4"/>
  <c r="BM83" i="4"/>
  <c r="BN83" i="4"/>
  <c r="BN621" i="4"/>
  <c r="BM621" i="4"/>
  <c r="BM3427" i="4"/>
  <c r="BN3427" i="4"/>
  <c r="BM458" i="4"/>
  <c r="BN458" i="4"/>
  <c r="BN744" i="4"/>
  <c r="BM744" i="4"/>
  <c r="BM1558" i="4"/>
  <c r="BN1558" i="4"/>
  <c r="BN2891" i="4"/>
  <c r="BM2891" i="4"/>
  <c r="BN324" i="4"/>
  <c r="BM324" i="4"/>
  <c r="BN919" i="4"/>
  <c r="BM919" i="4"/>
  <c r="BN2512" i="4"/>
  <c r="BM2512" i="4"/>
  <c r="BN745" i="4"/>
  <c r="BM745" i="4"/>
  <c r="BN1562" i="4"/>
  <c r="BM1562" i="4"/>
  <c r="BM2896" i="4"/>
  <c r="BN2896" i="4"/>
  <c r="BN325" i="4"/>
  <c r="BM325" i="4"/>
  <c r="BN2952" i="4"/>
  <c r="BM2952" i="4"/>
  <c r="BN1885" i="4"/>
  <c r="BM1885" i="4"/>
  <c r="BM1049" i="4"/>
  <c r="BN1049" i="4"/>
  <c r="BN1713" i="4"/>
  <c r="BM1713" i="4"/>
  <c r="BN772" i="4"/>
  <c r="BM772" i="4"/>
  <c r="BN2640" i="4"/>
  <c r="BM2640" i="4"/>
  <c r="BN1820" i="4"/>
  <c r="BM1820" i="4"/>
  <c r="BM3174" i="4"/>
  <c r="BN3174" i="4"/>
  <c r="BN3106" i="4"/>
  <c r="BM3106" i="4"/>
  <c r="BN1943" i="4"/>
  <c r="BM1943" i="4"/>
  <c r="BN2584" i="4"/>
  <c r="BM2584" i="4"/>
  <c r="BN3340" i="4"/>
  <c r="BM3340" i="4"/>
  <c r="BM1798" i="4"/>
  <c r="BN1798" i="4"/>
  <c r="BN2966" i="4"/>
  <c r="BM2966" i="4"/>
  <c r="BN2000" i="4"/>
  <c r="BM2000" i="4"/>
  <c r="BN2357" i="4"/>
  <c r="BM2357" i="4"/>
  <c r="BN3147" i="4"/>
  <c r="BM3147" i="4"/>
  <c r="BN3002" i="4"/>
  <c r="BM3002" i="4"/>
  <c r="BN165" i="4"/>
  <c r="BM165" i="4"/>
  <c r="BN891" i="4"/>
  <c r="BM891" i="4"/>
  <c r="BN3400" i="4"/>
  <c r="BM3400" i="4"/>
  <c r="BN2313" i="4"/>
  <c r="BM2313" i="4"/>
  <c r="BN2165" i="4"/>
  <c r="BM2165" i="4"/>
  <c r="BM2631" i="4"/>
  <c r="BN2631" i="4"/>
  <c r="BM3115" i="4"/>
  <c r="BN3115" i="4"/>
  <c r="BM1194" i="4"/>
  <c r="BN1194" i="4"/>
  <c r="BN246" i="4"/>
  <c r="BM246" i="4"/>
  <c r="BN553" i="4"/>
  <c r="BM553" i="4"/>
  <c r="BN2522" i="4"/>
  <c r="BM2522" i="4"/>
  <c r="BN2236" i="4"/>
  <c r="BM2236" i="4"/>
  <c r="BM723" i="4"/>
  <c r="BN723" i="4"/>
  <c r="BN1841" i="4"/>
  <c r="BM1841" i="4"/>
  <c r="BN567" i="4"/>
  <c r="BM567" i="4"/>
  <c r="BN2622" i="4"/>
  <c r="BM2622" i="4"/>
  <c r="BG2741" i="4"/>
  <c r="BF2741" i="4"/>
  <c r="BF2538" i="4"/>
  <c r="BG2538" i="4"/>
  <c r="BG829" i="4"/>
  <c r="BF829" i="4"/>
  <c r="BG582" i="4"/>
  <c r="BF582" i="4"/>
  <c r="BG2011" i="4"/>
  <c r="BF2011" i="4"/>
  <c r="BG2844" i="4"/>
  <c r="BF2844" i="4"/>
  <c r="BF1016" i="4"/>
  <c r="BG1016" i="4"/>
  <c r="BG2628" i="4"/>
  <c r="BF2628" i="4"/>
  <c r="BG886" i="4"/>
  <c r="BF886" i="4"/>
  <c r="BF1999" i="4"/>
  <c r="BG1999" i="4"/>
  <c r="BG2709" i="4"/>
  <c r="BF2709" i="4"/>
  <c r="BG47" i="4"/>
  <c r="BF47" i="4"/>
  <c r="BG2656" i="4"/>
  <c r="BF2656" i="4"/>
  <c r="BG3839" i="4"/>
  <c r="BF3839" i="4"/>
  <c r="BG1817" i="4"/>
  <c r="BF1817" i="4"/>
  <c r="BG2494" i="4"/>
  <c r="BF2494" i="4"/>
  <c r="BG3535" i="4"/>
  <c r="BF3535" i="4"/>
  <c r="BG334" i="4"/>
  <c r="BF334" i="4"/>
  <c r="BG823" i="4"/>
  <c r="BF823" i="4"/>
  <c r="BF1380" i="4"/>
  <c r="BG1380" i="4"/>
  <c r="BG3991" i="4"/>
  <c r="BF3991" i="4"/>
  <c r="BG731" i="4"/>
  <c r="BF731" i="4"/>
  <c r="BG1894" i="4"/>
  <c r="BF1894" i="4"/>
  <c r="BG156" i="4"/>
  <c r="BF156" i="4"/>
  <c r="BF4285" i="4"/>
  <c r="BG4285" i="4"/>
  <c r="BF357" i="4"/>
  <c r="BG357" i="4"/>
  <c r="BG847" i="4"/>
  <c r="BF847" i="4"/>
  <c r="BG3328" i="4"/>
  <c r="BF3328" i="4"/>
  <c r="BG2047" i="4"/>
  <c r="BF2047" i="4"/>
  <c r="BG2774" i="4"/>
  <c r="BF2774" i="4"/>
  <c r="BG116" i="4"/>
  <c r="BF116" i="4"/>
  <c r="BG600" i="4"/>
  <c r="BF600" i="4"/>
  <c r="BG1410" i="4"/>
  <c r="BF1410" i="4"/>
  <c r="BG2335" i="4"/>
  <c r="BF2335" i="4"/>
  <c r="BF260" i="4"/>
  <c r="BG260" i="4"/>
  <c r="BG1001" i="4"/>
  <c r="BF1001" i="4"/>
  <c r="BF1290" i="4"/>
  <c r="BG1290" i="4"/>
  <c r="BF3077" i="4"/>
  <c r="BG3077" i="4"/>
  <c r="BF1793" i="4"/>
  <c r="BG1793" i="4"/>
  <c r="BF4026" i="4"/>
  <c r="BG4026" i="4"/>
  <c r="BG995" i="4"/>
  <c r="BF995" i="4"/>
  <c r="BF129" i="4"/>
  <c r="BG129" i="4"/>
  <c r="BG613" i="4"/>
  <c r="BF613" i="4"/>
  <c r="BG1427" i="4"/>
  <c r="BF1427" i="4"/>
  <c r="BG2798" i="4"/>
  <c r="BF2798" i="4"/>
  <c r="BG5081" i="4"/>
  <c r="BF5081" i="4"/>
  <c r="BF2768" i="4"/>
  <c r="BG2768" i="4"/>
  <c r="BG3715" i="4"/>
  <c r="BF3715" i="4"/>
  <c r="BG4754" i="4"/>
  <c r="BF4754" i="4"/>
  <c r="BG3634" i="4"/>
  <c r="BF3634" i="4"/>
  <c r="BG4615" i="4"/>
  <c r="BF4615" i="4"/>
  <c r="BG5758" i="4"/>
  <c r="BF5758" i="4"/>
  <c r="BF2006" i="4"/>
  <c r="BG2006" i="4"/>
  <c r="BF2493" i="4"/>
  <c r="BG2493" i="4"/>
  <c r="BG5349" i="4"/>
  <c r="BF5349" i="4"/>
  <c r="BG3737" i="4"/>
  <c r="BF3737" i="4"/>
  <c r="BG4791" i="4"/>
  <c r="BF4791" i="4"/>
  <c r="BF5001" i="4"/>
  <c r="BG5001" i="4"/>
  <c r="BG3492" i="4"/>
  <c r="BF3492" i="4"/>
  <c r="BG1370" i="4"/>
  <c r="BF1370" i="4"/>
  <c r="BG2338" i="4"/>
  <c r="BF2338" i="4"/>
  <c r="BG4940" i="4"/>
  <c r="BF4940" i="4"/>
  <c r="BG2565" i="4"/>
  <c r="BF2565" i="4"/>
  <c r="BG3795" i="4"/>
  <c r="BF3795" i="4"/>
  <c r="BF986" i="4"/>
  <c r="BG986" i="4"/>
  <c r="BG1470" i="4"/>
  <c r="BF1470" i="4"/>
  <c r="BG2196" i="4"/>
  <c r="BF2196" i="4"/>
  <c r="BG2692" i="4"/>
  <c r="BF2692" i="4"/>
  <c r="BG3267" i="4"/>
  <c r="BF3267" i="4"/>
  <c r="BG3434" i="4"/>
  <c r="BF3434" i="4"/>
  <c r="BG5548" i="4"/>
  <c r="BF5548" i="4"/>
  <c r="BF5381" i="4"/>
  <c r="BG5381" i="4"/>
  <c r="BG3252" i="4"/>
  <c r="BF3252" i="4"/>
  <c r="BG4019" i="4"/>
  <c r="BF4019" i="4"/>
  <c r="BG5465" i="4"/>
  <c r="BF5465" i="4"/>
  <c r="BG4491" i="4"/>
  <c r="BF4491" i="4"/>
  <c r="BG5076" i="4"/>
  <c r="BF5076" i="4"/>
  <c r="BF3539" i="4"/>
  <c r="BG3539" i="4"/>
  <c r="BG4070" i="4"/>
  <c r="BF4070" i="4"/>
  <c r="BG4635" i="4"/>
  <c r="BF4635" i="4"/>
  <c r="BG5222" i="4"/>
  <c r="BF5222" i="4"/>
  <c r="BG5913" i="4"/>
  <c r="BF5913" i="4"/>
  <c r="BG3743" i="4"/>
  <c r="BF3743" i="4"/>
  <c r="BG5171" i="4"/>
  <c r="BF5171" i="4"/>
  <c r="BG5426" i="4"/>
  <c r="BF5426" i="4"/>
  <c r="BG4481" i="4"/>
  <c r="BF4481" i="4"/>
  <c r="BG5607" i="4"/>
  <c r="BF5607" i="4"/>
  <c r="BF3103" i="4"/>
  <c r="BG3103" i="4"/>
  <c r="BF3587" i="4"/>
  <c r="BG3587" i="4"/>
  <c r="BF5744" i="4"/>
  <c r="BG5744" i="4"/>
  <c r="BG5293" i="4"/>
  <c r="BF5293" i="4"/>
  <c r="BG4093" i="4"/>
  <c r="BF4093" i="4"/>
  <c r="BG3819" i="4"/>
  <c r="BF3819" i="4"/>
  <c r="BG4303" i="4"/>
  <c r="BF4303" i="4"/>
  <c r="BG5741" i="4"/>
  <c r="BF5741" i="4"/>
  <c r="BG4818" i="4"/>
  <c r="BF4818" i="4"/>
  <c r="BG6028" i="4"/>
  <c r="BF6028" i="4"/>
  <c r="BG4921" i="4"/>
  <c r="BF4921" i="4"/>
  <c r="BG297" i="4"/>
  <c r="BF297" i="4"/>
  <c r="BG1562" i="4"/>
  <c r="BF1562" i="4"/>
  <c r="BG2159" i="4"/>
  <c r="BF2159" i="4"/>
  <c r="BM336" i="4"/>
  <c r="BN336" i="4"/>
  <c r="BN2548" i="4"/>
  <c r="BM2548" i="4"/>
  <c r="BN3498" i="4"/>
  <c r="BM3498" i="4"/>
  <c r="BN2022" i="4"/>
  <c r="BM2022" i="4"/>
  <c r="BN992" i="4"/>
  <c r="BM992" i="4"/>
  <c r="BM3039" i="4"/>
  <c r="BN3039" i="4"/>
  <c r="BM3416" i="4"/>
  <c r="BN3416" i="4"/>
  <c r="BN1164" i="4"/>
  <c r="BM1164" i="4"/>
  <c r="BG4831" i="4"/>
  <c r="BF4831" i="4"/>
  <c r="BF1736" i="4"/>
  <c r="BG1736" i="4"/>
  <c r="BG2310" i="4"/>
  <c r="BF2310" i="4"/>
  <c r="BG551" i="4"/>
  <c r="BF551" i="4"/>
  <c r="BF1977" i="4"/>
  <c r="BG1977" i="4"/>
  <c r="BF329" i="4"/>
  <c r="BG329" i="4"/>
  <c r="BG1644" i="4"/>
  <c r="BF1644" i="4"/>
  <c r="BF1681" i="4"/>
  <c r="BG1681" i="4"/>
  <c r="BG2345" i="4"/>
  <c r="BF2345" i="4"/>
  <c r="BG3258" i="4"/>
  <c r="BF3258" i="4"/>
  <c r="BF300" i="4"/>
  <c r="BG300" i="4"/>
  <c r="BG787" i="4"/>
  <c r="BF787" i="4"/>
  <c r="BG1340" i="4"/>
  <c r="BF1340" i="4"/>
  <c r="BG2674" i="4"/>
  <c r="BF2674" i="4"/>
  <c r="BG1834" i="4"/>
  <c r="BF1834" i="4"/>
  <c r="BF2512" i="4"/>
  <c r="BG2512" i="4"/>
  <c r="BF103" i="4"/>
  <c r="BG103" i="4"/>
  <c r="BF587" i="4"/>
  <c r="BG587" i="4"/>
  <c r="BF4030" i="4"/>
  <c r="BG4030" i="4"/>
  <c r="BG2243" i="4"/>
  <c r="BF2243" i="4"/>
  <c r="BG3744" i="4"/>
  <c r="BF3744" i="4"/>
  <c r="BG1770" i="4"/>
  <c r="BF1770" i="4"/>
  <c r="BG3913" i="4"/>
  <c r="BF3913" i="4"/>
  <c r="BF1044" i="4"/>
  <c r="BG1044" i="4"/>
  <c r="BG368" i="4"/>
  <c r="BF368" i="4"/>
  <c r="BG1126" i="4"/>
  <c r="BF1126" i="4"/>
  <c r="BG3359" i="4"/>
  <c r="BF3359" i="4"/>
  <c r="BG1729" i="4"/>
  <c r="BF1729" i="4"/>
  <c r="BG2790" i="4"/>
  <c r="BF2790" i="4"/>
  <c r="BF127" i="4"/>
  <c r="BG127" i="4"/>
  <c r="BG1127" i="4"/>
  <c r="BF1127" i="4"/>
  <c r="BG4132" i="4"/>
  <c r="BF4132" i="4"/>
  <c r="BF1685" i="4"/>
  <c r="BG1685" i="4"/>
  <c r="BG2352" i="4"/>
  <c r="BF2352" i="4"/>
  <c r="BG29" i="4"/>
  <c r="BF29" i="4"/>
  <c r="BG513" i="4"/>
  <c r="BF513" i="4"/>
  <c r="BG1013" i="4"/>
  <c r="BF1013" i="4"/>
  <c r="BG1599" i="4"/>
  <c r="BF1599" i="4"/>
  <c r="BG3783" i="4"/>
  <c r="BF3783" i="4"/>
  <c r="BG200" i="4"/>
  <c r="BF200" i="4"/>
  <c r="BF2142" i="4"/>
  <c r="BG2142" i="4"/>
  <c r="BG2672" i="4"/>
  <c r="BF2672" i="4"/>
  <c r="BG266" i="4"/>
  <c r="BF266" i="4"/>
  <c r="BG140" i="4"/>
  <c r="BF140" i="4"/>
  <c r="BG624" i="4"/>
  <c r="BF624" i="4"/>
  <c r="BG1144" i="4"/>
  <c r="BF1144" i="4"/>
  <c r="BG2820" i="4"/>
  <c r="BF2820" i="4"/>
  <c r="BF2526" i="4"/>
  <c r="BG2526" i="4"/>
  <c r="BF3381" i="4"/>
  <c r="BG3381" i="4"/>
  <c r="BF2989" i="4"/>
  <c r="BG2989" i="4"/>
  <c r="BG3537" i="4"/>
  <c r="BF3537" i="4"/>
  <c r="BG5083" i="4"/>
  <c r="BF5083" i="4"/>
  <c r="BG1775" i="4"/>
  <c r="BF1775" i="4"/>
  <c r="BG2259" i="4"/>
  <c r="BF2259" i="4"/>
  <c r="BG2758" i="4"/>
  <c r="BF2758" i="4"/>
  <c r="BG3701" i="4"/>
  <c r="BF3701" i="4"/>
  <c r="BG2793" i="4"/>
  <c r="BF2793" i="4"/>
  <c r="BG3173" i="4"/>
  <c r="BF3173" i="4"/>
  <c r="BF5723" i="4"/>
  <c r="BG5723" i="4"/>
  <c r="BG3887" i="4"/>
  <c r="BF3887" i="4"/>
  <c r="BG5724" i="4"/>
  <c r="BF5724" i="4"/>
  <c r="BG1623" i="4"/>
  <c r="BF1623" i="4"/>
  <c r="BG2349" i="4"/>
  <c r="BF2349" i="4"/>
  <c r="BG2854" i="4"/>
  <c r="BF2854" i="4"/>
  <c r="BG3478" i="4"/>
  <c r="BF3478" i="4"/>
  <c r="BG5648" i="4"/>
  <c r="BF5648" i="4"/>
  <c r="BF1239" i="4"/>
  <c r="BG1239" i="4"/>
  <c r="BF1723" i="4"/>
  <c r="BG1723" i="4"/>
  <c r="BG2207" i="4"/>
  <c r="BF2207" i="4"/>
  <c r="BG3119" i="4"/>
  <c r="BF3119" i="4"/>
  <c r="BG4283" i="4"/>
  <c r="BF4283" i="4"/>
  <c r="BG4234" i="4"/>
  <c r="BF4234" i="4"/>
  <c r="BF5394" i="4"/>
  <c r="BG5394" i="4"/>
  <c r="BG3263" i="4"/>
  <c r="BF3263" i="4"/>
  <c r="BG4311" i="4"/>
  <c r="BF4311" i="4"/>
  <c r="BG3943" i="4"/>
  <c r="BF3943" i="4"/>
  <c r="BF3308" i="4"/>
  <c r="BG3308" i="4"/>
  <c r="BG5931" i="4"/>
  <c r="BF5931" i="4"/>
  <c r="BF4650" i="4"/>
  <c r="BG4650" i="4"/>
  <c r="BG3265" i="4"/>
  <c r="BF3265" i="4"/>
  <c r="BG5859" i="4"/>
  <c r="BF5859" i="4"/>
  <c r="BG5713" i="4"/>
  <c r="BF5713" i="4"/>
  <c r="BF4316" i="4"/>
  <c r="BG4316" i="4"/>
  <c r="BG5861" i="4"/>
  <c r="BF5861" i="4"/>
  <c r="BG6029" i="4"/>
  <c r="BF6029" i="4"/>
  <c r="BG4470" i="4"/>
  <c r="BF4470" i="4"/>
  <c r="BG5347" i="4"/>
  <c r="BF5347" i="4"/>
  <c r="BG4419" i="4"/>
  <c r="BF4419" i="4"/>
  <c r="BF5051" i="4"/>
  <c r="BG5051" i="4"/>
  <c r="BF4072" i="4"/>
  <c r="BG4072" i="4"/>
  <c r="BG4829" i="4"/>
  <c r="BF4829" i="4"/>
  <c r="BG5662" i="4"/>
  <c r="BF5662" i="4"/>
  <c r="BN551" i="4"/>
  <c r="BM551" i="4"/>
  <c r="BN57" i="4"/>
  <c r="BM57" i="4"/>
  <c r="BM345" i="4"/>
  <c r="BN345" i="4"/>
  <c r="BG3346" i="4"/>
  <c r="BF3346" i="4"/>
  <c r="BG1494" i="4"/>
  <c r="BF1494" i="4"/>
  <c r="BG1819" i="4"/>
  <c r="BF1819" i="4"/>
  <c r="BG4448" i="4"/>
  <c r="BF4448" i="4"/>
  <c r="BF5930" i="4"/>
  <c r="BG5930" i="4"/>
  <c r="BN2361" i="4"/>
  <c r="BM2361" i="4"/>
  <c r="BN771" i="4"/>
  <c r="BM771" i="4"/>
  <c r="BN354" i="4"/>
  <c r="BM354" i="4"/>
  <c r="BN2258" i="4"/>
  <c r="BM2258" i="4"/>
  <c r="BN505" i="4"/>
  <c r="BM505" i="4"/>
  <c r="BN1180" i="4"/>
  <c r="BM1180" i="4"/>
  <c r="BN260" i="4"/>
  <c r="BM260" i="4"/>
  <c r="BN834" i="4"/>
  <c r="BM834" i="4"/>
  <c r="BM1219" i="4"/>
  <c r="BN1219" i="4"/>
  <c r="BN2602" i="4"/>
  <c r="BM2602" i="4"/>
  <c r="BN3468" i="4"/>
  <c r="BM3468" i="4"/>
  <c r="BM225" i="4"/>
  <c r="BN225" i="4"/>
  <c r="BM494" i="4"/>
  <c r="BN494" i="4"/>
  <c r="BN1622" i="4"/>
  <c r="BM1622" i="4"/>
  <c r="BN2243" i="4"/>
  <c r="BM2243" i="4"/>
  <c r="BN3008" i="4"/>
  <c r="BM3008" i="4"/>
  <c r="BN610" i="4"/>
  <c r="BM610" i="4"/>
  <c r="BN1861" i="4"/>
  <c r="BM1861" i="4"/>
  <c r="BN2546" i="4"/>
  <c r="BM2546" i="4"/>
  <c r="BN3391" i="4"/>
  <c r="BM3391" i="4"/>
  <c r="BN203" i="4"/>
  <c r="BM203" i="4"/>
  <c r="BN471" i="4"/>
  <c r="BM471" i="4"/>
  <c r="BM1128" i="4"/>
  <c r="BN1128" i="4"/>
  <c r="BN1583" i="4"/>
  <c r="BM1583" i="4"/>
  <c r="BN2185" i="4"/>
  <c r="BM2185" i="4"/>
  <c r="BN611" i="4"/>
  <c r="BM611" i="4"/>
  <c r="BM938" i="4"/>
  <c r="BN938" i="4"/>
  <c r="BN1863" i="4"/>
  <c r="BM1863" i="4"/>
  <c r="BM3394" i="4"/>
  <c r="BN3394" i="4"/>
  <c r="BN204" i="4"/>
  <c r="BM204" i="4"/>
  <c r="BN761" i="4"/>
  <c r="BM761" i="4"/>
  <c r="BN2938" i="4"/>
  <c r="BM2938" i="4"/>
  <c r="BM1087" i="4"/>
  <c r="BN1087" i="4"/>
  <c r="BN1397" i="4"/>
  <c r="BM1397" i="4"/>
  <c r="BN2703" i="4"/>
  <c r="BM2703" i="4"/>
  <c r="BN3290" i="4"/>
  <c r="BM3290" i="4"/>
  <c r="BN1963" i="4"/>
  <c r="BM1963" i="4"/>
  <c r="BM2426" i="4"/>
  <c r="BN2426" i="4"/>
  <c r="BN1692" i="4"/>
  <c r="BM1692" i="4"/>
  <c r="BM2608" i="4"/>
  <c r="BN2608" i="4"/>
  <c r="BN1198" i="4"/>
  <c r="BM1198" i="4"/>
  <c r="BN1926" i="4"/>
  <c r="BM1926" i="4"/>
  <c r="BN2902" i="4"/>
  <c r="BM2902" i="4"/>
  <c r="BN1214" i="4"/>
  <c r="BM1214" i="4"/>
  <c r="BN1549" i="4"/>
  <c r="BM1549" i="4"/>
  <c r="BM2929" i="4"/>
  <c r="BN2929" i="4"/>
  <c r="BN1950" i="4"/>
  <c r="BM1950" i="4"/>
  <c r="BN2409" i="4"/>
  <c r="BM2409" i="4"/>
  <c r="BN3567" i="4"/>
  <c r="BM3567" i="4"/>
  <c r="BN665" i="4"/>
  <c r="BM665" i="4"/>
  <c r="BN1567" i="4"/>
  <c r="BM1567" i="4"/>
  <c r="BM2437" i="4"/>
  <c r="BN2437" i="4"/>
  <c r="BN1687" i="4"/>
  <c r="BM1687" i="4"/>
  <c r="BN1980" i="4"/>
  <c r="BM1980" i="4"/>
  <c r="BN1875" i="4"/>
  <c r="BM1875" i="4"/>
  <c r="BM2173" i="4"/>
  <c r="BN2173" i="4"/>
  <c r="BN2505" i="4"/>
  <c r="BM2505" i="4"/>
  <c r="BM2857" i="4"/>
  <c r="BN2857" i="4"/>
  <c r="BN3248" i="4"/>
  <c r="BM3248" i="4"/>
  <c r="BM2926" i="4"/>
  <c r="BN2926" i="4"/>
  <c r="BN1244" i="4"/>
  <c r="BM1244" i="4"/>
  <c r="BN1810" i="4"/>
  <c r="BM1810" i="4"/>
  <c r="BN2103" i="4"/>
  <c r="BM2103" i="4"/>
  <c r="BN2778" i="4"/>
  <c r="BM2778" i="4"/>
  <c r="BN3160" i="4"/>
  <c r="BM3160" i="4"/>
  <c r="BM3569" i="4"/>
  <c r="BN3569" i="4"/>
  <c r="BM358" i="4"/>
  <c r="BN358" i="4"/>
  <c r="BN865" i="4"/>
  <c r="BM865" i="4"/>
  <c r="BN1375" i="4"/>
  <c r="BM1375" i="4"/>
  <c r="BN1665" i="4"/>
  <c r="BM1665" i="4"/>
  <c r="BN1959" i="4"/>
  <c r="BM1959" i="4"/>
  <c r="BN2265" i="4"/>
  <c r="BM2265" i="4"/>
  <c r="BN2603" i="4"/>
  <c r="BM2603" i="4"/>
  <c r="BN2965" i="4"/>
  <c r="BM2965" i="4"/>
  <c r="BM2448" i="4"/>
  <c r="BN2448" i="4"/>
  <c r="BN1039" i="4"/>
  <c r="BM1039" i="4"/>
  <c r="BN1574" i="4"/>
  <c r="BM1574" i="4"/>
  <c r="BN1867" i="4"/>
  <c r="BM1867" i="4"/>
  <c r="BN2164" i="4"/>
  <c r="BM2164" i="4"/>
  <c r="BN2495" i="4"/>
  <c r="BM2495" i="4"/>
  <c r="BN2847" i="4"/>
  <c r="BM2847" i="4"/>
  <c r="BN3235" i="4"/>
  <c r="BM3235" i="4"/>
  <c r="BN1074" i="4"/>
  <c r="BM1074" i="4"/>
  <c r="BN2541" i="4"/>
  <c r="BM2541" i="4"/>
  <c r="BN3426" i="4"/>
  <c r="BM3426" i="4"/>
  <c r="BN2555" i="4"/>
  <c r="BM2555" i="4"/>
  <c r="BN2860" i="4"/>
  <c r="BM2860" i="4"/>
  <c r="BN3178" i="4"/>
  <c r="BM3178" i="4"/>
  <c r="BN3502" i="4"/>
  <c r="BM3502" i="4"/>
  <c r="BN297" i="4"/>
  <c r="BM297" i="4"/>
  <c r="BN539" i="4"/>
  <c r="BM539" i="4"/>
  <c r="BN781" i="4"/>
  <c r="BM781" i="4"/>
  <c r="BN1023" i="4"/>
  <c r="BM1023" i="4"/>
  <c r="BN1265" i="4"/>
  <c r="BM1265" i="4"/>
  <c r="BN1789" i="4"/>
  <c r="BM1789" i="4"/>
  <c r="BM2933" i="4"/>
  <c r="BN2933" i="4"/>
  <c r="BM3254" i="4"/>
  <c r="BN3254" i="4"/>
  <c r="BN3578" i="4"/>
  <c r="BM3578" i="4"/>
  <c r="BN2627" i="4"/>
  <c r="BM2627" i="4"/>
  <c r="BN2934" i="4"/>
  <c r="BM2934" i="4"/>
  <c r="BN3255" i="4"/>
  <c r="BM3255" i="4"/>
  <c r="BN3579" i="4"/>
  <c r="BM3579" i="4"/>
  <c r="BN3476" i="4"/>
  <c r="BM3476" i="4"/>
  <c r="BM2521" i="4"/>
  <c r="BN2521" i="4"/>
  <c r="BN2763" i="4"/>
  <c r="BM2763" i="4"/>
  <c r="BN3005" i="4"/>
  <c r="BM3005" i="4"/>
  <c r="BM3247" i="4"/>
  <c r="BN3247" i="4"/>
  <c r="BM3489" i="4"/>
  <c r="BN3489" i="4"/>
  <c r="BN2581" i="4"/>
  <c r="BM2581" i="4"/>
  <c r="BN1523" i="4"/>
  <c r="BM1523" i="4"/>
  <c r="BN425" i="4"/>
  <c r="BM425" i="4"/>
  <c r="BN47" i="4"/>
  <c r="BM47" i="4"/>
  <c r="BN334" i="4"/>
  <c r="BM334" i="4"/>
  <c r="BN1101" i="4"/>
  <c r="BM1101" i="4"/>
  <c r="BN2803" i="4"/>
  <c r="BM2803" i="4"/>
  <c r="BN1658" i="4"/>
  <c r="BM1658" i="4"/>
  <c r="BN1512" i="4"/>
  <c r="BM1512" i="4"/>
  <c r="BN860" i="4"/>
  <c r="BM860" i="4"/>
  <c r="BM420" i="4"/>
  <c r="BN420" i="4"/>
  <c r="BN2344" i="4"/>
  <c r="BM2344" i="4"/>
  <c r="BN1372" i="4"/>
  <c r="BM1372" i="4"/>
  <c r="BN764" i="4"/>
  <c r="BM764" i="4"/>
  <c r="BN347" i="4"/>
  <c r="BM347" i="4"/>
  <c r="BN1307" i="4"/>
  <c r="BM1307" i="4"/>
  <c r="BN3304" i="4"/>
  <c r="BM3304" i="4"/>
  <c r="BN1976" i="4"/>
  <c r="BM1976" i="4"/>
  <c r="BM1152" i="4"/>
  <c r="BN1152" i="4"/>
  <c r="BG3436" i="4"/>
  <c r="BF3436" i="4"/>
  <c r="BG2189" i="4"/>
  <c r="BF2189" i="4"/>
  <c r="BG1163" i="4"/>
  <c r="BF1163" i="4"/>
  <c r="BG5338" i="4"/>
  <c r="BF5338" i="4"/>
  <c r="BF1857" i="4"/>
  <c r="BG1857" i="4"/>
  <c r="BG361" i="4"/>
  <c r="BF361" i="4"/>
  <c r="BG888" i="4"/>
  <c r="BF888" i="4"/>
  <c r="BF142" i="4"/>
  <c r="BG142" i="4"/>
  <c r="BF1377" i="4"/>
  <c r="BG1377" i="4"/>
  <c r="BG637" i="4"/>
  <c r="BF637" i="4"/>
  <c r="BG2098" i="4"/>
  <c r="BF2098" i="4"/>
  <c r="BG518" i="4"/>
  <c r="BF518" i="4"/>
  <c r="BF310" i="4"/>
  <c r="BG310" i="4"/>
  <c r="BG948" i="4"/>
  <c r="BF948" i="4"/>
  <c r="BG1847" i="4"/>
  <c r="BF1847" i="4"/>
  <c r="BF2179" i="4"/>
  <c r="BG2179" i="4"/>
  <c r="BG3599" i="4"/>
  <c r="BF3599" i="4"/>
  <c r="BG179" i="4"/>
  <c r="BF179" i="4"/>
  <c r="BF421" i="4"/>
  <c r="BG421" i="4"/>
  <c r="BF663" i="4"/>
  <c r="BG663" i="4"/>
  <c r="BG914" i="4"/>
  <c r="BF914" i="4"/>
  <c r="BG1191" i="4"/>
  <c r="BF1191" i="4"/>
  <c r="BG1487" i="4"/>
  <c r="BF1487" i="4"/>
  <c r="BG2476" i="4"/>
  <c r="BF2476" i="4"/>
  <c r="BG3502" i="4"/>
  <c r="BF3502" i="4"/>
  <c r="BG5943" i="4"/>
  <c r="BF5943" i="4"/>
  <c r="BF497" i="4"/>
  <c r="BG497" i="4"/>
  <c r="BG1432" i="4"/>
  <c r="BF1432" i="4"/>
  <c r="BG811" i="4"/>
  <c r="BF811" i="4"/>
  <c r="BG1666" i="4"/>
  <c r="BF1666" i="4"/>
  <c r="BG2000" i="4"/>
  <c r="BF2000" i="4"/>
  <c r="BG2332" i="4"/>
  <c r="BF2332" i="4"/>
  <c r="BG2710" i="4"/>
  <c r="BF2710" i="4"/>
  <c r="BF3228" i="4"/>
  <c r="BG3228" i="4"/>
  <c r="BG2637" i="4"/>
  <c r="BF2637" i="4"/>
  <c r="BG224" i="4"/>
  <c r="BF224" i="4"/>
  <c r="BF466" i="4"/>
  <c r="BG466" i="4"/>
  <c r="BG708" i="4"/>
  <c r="BF708" i="4"/>
  <c r="BF961" i="4"/>
  <c r="BG961" i="4"/>
  <c r="BF1246" i="4"/>
  <c r="BG1246" i="4"/>
  <c r="BG1542" i="4"/>
  <c r="BF1542" i="4"/>
  <c r="BF2548" i="4"/>
  <c r="BG2548" i="4"/>
  <c r="BG2995" i="4"/>
  <c r="BF2995" i="4"/>
  <c r="BG3633" i="4"/>
  <c r="BF3633" i="4"/>
  <c r="BG4668" i="4"/>
  <c r="BF4668" i="4"/>
  <c r="BG1743" i="4"/>
  <c r="BF1743" i="4"/>
  <c r="BG2077" i="4"/>
  <c r="BF2077" i="4"/>
  <c r="BG2409" i="4"/>
  <c r="BF2409" i="4"/>
  <c r="BG2811" i="4"/>
  <c r="BF2811" i="4"/>
  <c r="BG855" i="4"/>
  <c r="BF855" i="4"/>
  <c r="BG2209" i="4"/>
  <c r="BF2209" i="4"/>
  <c r="BF5180" i="4"/>
  <c r="BG5180" i="4"/>
  <c r="BG607" i="4"/>
  <c r="BF607" i="4"/>
  <c r="BF1499" i="4"/>
  <c r="BG1499" i="4"/>
  <c r="BF5" i="4"/>
  <c r="BG5" i="4"/>
  <c r="BF247" i="4"/>
  <c r="BG247" i="4"/>
  <c r="BG489" i="4"/>
  <c r="BF489" i="4"/>
  <c r="BG987" i="4"/>
  <c r="BF987" i="4"/>
  <c r="BG1275" i="4"/>
  <c r="BF1275" i="4"/>
  <c r="BF1571" i="4"/>
  <c r="BG1571" i="4"/>
  <c r="BG2587" i="4"/>
  <c r="BF2587" i="4"/>
  <c r="BG3041" i="4"/>
  <c r="BF3041" i="4"/>
  <c r="BG4805" i="4"/>
  <c r="BF4805" i="4"/>
  <c r="BG732" i="4"/>
  <c r="BF732" i="4"/>
  <c r="BG1895" i="4"/>
  <c r="BF1895" i="4"/>
  <c r="BF2230" i="4"/>
  <c r="BG2230" i="4"/>
  <c r="BG6" i="4"/>
  <c r="BF6" i="4"/>
  <c r="BG248" i="4"/>
  <c r="BF248" i="4"/>
  <c r="BG490" i="4"/>
  <c r="BF490" i="4"/>
  <c r="BG988" i="4"/>
  <c r="BF988" i="4"/>
  <c r="BG1276" i="4"/>
  <c r="BF1276" i="4"/>
  <c r="BG1572" i="4"/>
  <c r="BF1572" i="4"/>
  <c r="BF2590" i="4"/>
  <c r="BG2590" i="4"/>
  <c r="BG3711" i="4"/>
  <c r="BF3711" i="4"/>
  <c r="BG4806" i="4"/>
  <c r="BF4806" i="4"/>
  <c r="BF46" i="4"/>
  <c r="BG46" i="4"/>
  <c r="BG952" i="4"/>
  <c r="BF952" i="4"/>
  <c r="BG1851" i="4"/>
  <c r="BF1851" i="4"/>
  <c r="BF2186" i="4"/>
  <c r="BG2186" i="4"/>
  <c r="BF2535" i="4"/>
  <c r="BG2535" i="4"/>
  <c r="BG3612" i="4"/>
  <c r="BF3612" i="4"/>
  <c r="BG4629" i="4"/>
  <c r="BF4629" i="4"/>
  <c r="BF150" i="4"/>
  <c r="BG150" i="4"/>
  <c r="BG392" i="4"/>
  <c r="BF392" i="4"/>
  <c r="BG634" i="4"/>
  <c r="BF634" i="4"/>
  <c r="BF1156" i="4"/>
  <c r="BG1156" i="4"/>
  <c r="BG1452" i="4"/>
  <c r="BF1452" i="4"/>
  <c r="BG3423" i="4"/>
  <c r="BF3423" i="4"/>
  <c r="BG5702" i="4"/>
  <c r="BF5702" i="4"/>
  <c r="BF792" i="4"/>
  <c r="BG792" i="4"/>
  <c r="BF1974" i="4"/>
  <c r="BG1974" i="4"/>
  <c r="BG2308" i="4"/>
  <c r="BF2308" i="4"/>
  <c r="BG3897" i="4"/>
  <c r="BF3897" i="4"/>
  <c r="BF2285" i="4"/>
  <c r="BG2285" i="4"/>
  <c r="BF5582" i="4"/>
  <c r="BG5582" i="4"/>
  <c r="BF673" i="4"/>
  <c r="BG673" i="4"/>
  <c r="BG1486" i="4"/>
  <c r="BF1486" i="4"/>
  <c r="BG19" i="4"/>
  <c r="BF19" i="4"/>
  <c r="BG261" i="4"/>
  <c r="BF261" i="4"/>
  <c r="BG503" i="4"/>
  <c r="BF503" i="4"/>
  <c r="BG1002" i="4"/>
  <c r="BF1002" i="4"/>
  <c r="BG1291" i="4"/>
  <c r="BF1291" i="4"/>
  <c r="BG1587" i="4"/>
  <c r="BF1587" i="4"/>
  <c r="BF2610" i="4"/>
  <c r="BG2610" i="4"/>
  <c r="BG3079" i="4"/>
  <c r="BF3079" i="4"/>
  <c r="BG4165" i="4"/>
  <c r="BF4165" i="4"/>
  <c r="BG5431" i="4"/>
  <c r="BF5431" i="4"/>
  <c r="BG2653" i="4"/>
  <c r="BF2653" i="4"/>
  <c r="BG2912" i="4"/>
  <c r="BF2912" i="4"/>
  <c r="BF3215" i="4"/>
  <c r="BG3215" i="4"/>
  <c r="BG3937" i="4"/>
  <c r="BF3937" i="4"/>
  <c r="BG4463" i="4"/>
  <c r="BF4463" i="4"/>
  <c r="BF5834" i="4"/>
  <c r="BG5834" i="4"/>
  <c r="BG2851" i="4"/>
  <c r="BF2851" i="4"/>
  <c r="BG4964" i="4"/>
  <c r="BF4964" i="4"/>
  <c r="BG2769" i="4"/>
  <c r="BF2769" i="4"/>
  <c r="BG3368" i="4"/>
  <c r="BF3368" i="4"/>
  <c r="BG3719" i="4"/>
  <c r="BF3719" i="4"/>
  <c r="BF4761" i="4"/>
  <c r="BG4761" i="4"/>
  <c r="BF1896" i="4"/>
  <c r="BG1896" i="4"/>
  <c r="BG2138" i="4"/>
  <c r="BF2138" i="4"/>
  <c r="BG2380" i="4"/>
  <c r="BF2380" i="4"/>
  <c r="BG2888" i="4"/>
  <c r="BF2888" i="4"/>
  <c r="BG3523" i="4"/>
  <c r="BF3523" i="4"/>
  <c r="BG4411" i="4"/>
  <c r="BF4411" i="4"/>
  <c r="BF5056" i="4"/>
  <c r="BG5056" i="4"/>
  <c r="BF3233" i="4"/>
  <c r="BG3233" i="4"/>
  <c r="BG5140" i="4"/>
  <c r="BF5140" i="4"/>
  <c r="BG5887" i="4"/>
  <c r="BF5887" i="4"/>
  <c r="BG3687" i="4"/>
  <c r="BF3687" i="4"/>
  <c r="BF5350" i="4"/>
  <c r="BG5350" i="4"/>
  <c r="BG3339" i="4"/>
  <c r="BF3339" i="4"/>
  <c r="BG4102" i="4"/>
  <c r="BF4102" i="4"/>
  <c r="BG4709" i="4"/>
  <c r="BF4709" i="4"/>
  <c r="BG1260" i="4"/>
  <c r="BF1260" i="4"/>
  <c r="BG1502" i="4"/>
  <c r="BF1502" i="4"/>
  <c r="BG1744" i="4"/>
  <c r="BF1744" i="4"/>
  <c r="BG1986" i="4"/>
  <c r="BF1986" i="4"/>
  <c r="BF2228" i="4"/>
  <c r="BG2228" i="4"/>
  <c r="BG2472" i="4"/>
  <c r="BF2472" i="4"/>
  <c r="BG2993" i="4"/>
  <c r="BF2993" i="4"/>
  <c r="BF3311" i="4"/>
  <c r="BG3311" i="4"/>
  <c r="BG3655" i="4"/>
  <c r="BF3655" i="4"/>
  <c r="BG4062" i="4"/>
  <c r="BF4062" i="4"/>
  <c r="BG2703" i="4"/>
  <c r="BF2703" i="4"/>
  <c r="BF2968" i="4"/>
  <c r="BG2968" i="4"/>
  <c r="BG3281" i="4"/>
  <c r="BF3281" i="4"/>
  <c r="BG3623" i="4"/>
  <c r="BF3623" i="4"/>
  <c r="BG4018" i="4"/>
  <c r="BF4018" i="4"/>
  <c r="BG4591" i="4"/>
  <c r="BF4591" i="4"/>
  <c r="BG5233" i="4"/>
  <c r="BF5233" i="4"/>
  <c r="BG6014" i="4"/>
  <c r="BF6014" i="4"/>
  <c r="BF1118" i="4"/>
  <c r="BG1118" i="4"/>
  <c r="BG1360" i="4"/>
  <c r="BF1360" i="4"/>
  <c r="BF1602" i="4"/>
  <c r="BG1602" i="4"/>
  <c r="BG1844" i="4"/>
  <c r="BF1844" i="4"/>
  <c r="BG2086" i="4"/>
  <c r="BF2086" i="4"/>
  <c r="BG2328" i="4"/>
  <c r="BF2328" i="4"/>
  <c r="BG2577" i="4"/>
  <c r="BF2577" i="4"/>
  <c r="BG2831" i="4"/>
  <c r="BF2831" i="4"/>
  <c r="BG3813" i="4"/>
  <c r="BF3813" i="4"/>
  <c r="BG4912" i="4"/>
  <c r="BF4912" i="4"/>
  <c r="BG5580" i="4"/>
  <c r="BF5580" i="4"/>
  <c r="BG2704" i="4"/>
  <c r="BF2704" i="4"/>
  <c r="BG2969" i="4"/>
  <c r="BF2969" i="4"/>
  <c r="BF3282" i="4"/>
  <c r="BG3282" i="4"/>
  <c r="BG3624" i="4"/>
  <c r="BF3624" i="4"/>
  <c r="BG5242" i="4"/>
  <c r="BF5242" i="4"/>
  <c r="BG4661" i="4"/>
  <c r="BF4661" i="4"/>
  <c r="BG4954" i="4"/>
  <c r="BF4954" i="4"/>
  <c r="BF5248" i="4"/>
  <c r="BG5248" i="4"/>
  <c r="BG2900" i="4"/>
  <c r="BF2900" i="4"/>
  <c r="BG3142" i="4"/>
  <c r="BF3142" i="4"/>
  <c r="BG3384" i="4"/>
  <c r="BF3384" i="4"/>
  <c r="BG3626" i="4"/>
  <c r="BF3626" i="4"/>
  <c r="BG3891" i="4"/>
  <c r="BF3891" i="4"/>
  <c r="BF4172" i="4"/>
  <c r="BG4172" i="4"/>
  <c r="BG4742" i="4"/>
  <c r="BF4742" i="4"/>
  <c r="BG4363" i="4"/>
  <c r="BF4363" i="4"/>
  <c r="BG4942" i="4"/>
  <c r="BF4942" i="4"/>
  <c r="BF3187" i="4"/>
  <c r="BG3187" i="4"/>
  <c r="BF3429" i="4"/>
  <c r="BG3429" i="4"/>
  <c r="BG3671" i="4"/>
  <c r="BF3671" i="4"/>
  <c r="BF4223" i="4"/>
  <c r="BG4223" i="4"/>
  <c r="BG4504" i="4"/>
  <c r="BF4504" i="4"/>
  <c r="BG4795" i="4"/>
  <c r="BF4795" i="4"/>
  <c r="BG5727" i="4"/>
  <c r="BF5727" i="4"/>
  <c r="BG3944" i="4"/>
  <c r="BF3944" i="4"/>
  <c r="BG5090" i="4"/>
  <c r="BF5090" i="4"/>
  <c r="BG5383" i="4"/>
  <c r="BF5383" i="4"/>
  <c r="BG3144" i="4"/>
  <c r="BF3144" i="4"/>
  <c r="BF3386" i="4"/>
  <c r="BG3386" i="4"/>
  <c r="BG3628" i="4"/>
  <c r="BF3628" i="4"/>
  <c r="BG3893" i="4"/>
  <c r="BF3893" i="4"/>
  <c r="BG4174" i="4"/>
  <c r="BF4174" i="4"/>
  <c r="BF4744" i="4"/>
  <c r="BG4744" i="4"/>
  <c r="BG5331" i="4"/>
  <c r="BF5331" i="4"/>
  <c r="BG5658" i="4"/>
  <c r="BF5658" i="4"/>
  <c r="BG4998" i="4"/>
  <c r="BF4998" i="4"/>
  <c r="BF4353" i="4"/>
  <c r="BG4353" i="4"/>
  <c r="BG5226" i="4"/>
  <c r="BF5226" i="4"/>
  <c r="BF5528" i="4"/>
  <c r="BG5528" i="4"/>
  <c r="BG5915" i="4"/>
  <c r="BF5915" i="4"/>
  <c r="BG4455" i="4"/>
  <c r="BF4455" i="4"/>
  <c r="BG4290" i="4"/>
  <c r="BF4290" i="4"/>
  <c r="BG5160" i="4"/>
  <c r="BF5160" i="4"/>
  <c r="BF5825" i="4"/>
  <c r="BG5825" i="4"/>
  <c r="BG4907" i="4"/>
  <c r="BF4907" i="4"/>
  <c r="BG5881" i="4"/>
  <c r="BF5881" i="4"/>
  <c r="BF3235" i="4"/>
  <c r="BG3235" i="4"/>
  <c r="BF3477" i="4"/>
  <c r="BG3477" i="4"/>
  <c r="BG3722" i="4"/>
  <c r="BF3722" i="4"/>
  <c r="BG3999" i="4"/>
  <c r="BF3999" i="4"/>
  <c r="BG5442" i="4"/>
  <c r="BF5442" i="4"/>
  <c r="BG5809" i="4"/>
  <c r="BF5809" i="4"/>
  <c r="BG5904" i="4"/>
  <c r="BF5904" i="4"/>
  <c r="BF4924" i="4"/>
  <c r="BG4924" i="4"/>
  <c r="BF5432" i="4"/>
  <c r="BG5432" i="4"/>
  <c r="BG5722" i="4"/>
  <c r="BF5722" i="4"/>
  <c r="BG6018" i="4"/>
  <c r="BF6018" i="4"/>
  <c r="BF3983" i="4"/>
  <c r="BG3983" i="4"/>
  <c r="BG4225" i="4"/>
  <c r="BF4225" i="4"/>
  <c r="BG4467" i="4"/>
  <c r="BF4467" i="4"/>
  <c r="BG4717" i="4"/>
  <c r="BF4717" i="4"/>
  <c r="BG5224" i="4"/>
  <c r="BF5224" i="4"/>
  <c r="BG5483" i="4"/>
  <c r="BF5483" i="4"/>
  <c r="BG3709" i="4"/>
  <c r="BF3709" i="4"/>
  <c r="BF3951" i="4"/>
  <c r="BG3951" i="4"/>
  <c r="BG4193" i="4"/>
  <c r="BF4193" i="4"/>
  <c r="BG4435" i="4"/>
  <c r="BF4435" i="4"/>
  <c r="BG4937" i="4"/>
  <c r="BF4937" i="4"/>
  <c r="BF5631" i="4"/>
  <c r="BG5631" i="4"/>
  <c r="BG5873" i="4"/>
  <c r="BF5873" i="4"/>
  <c r="BG4708" i="4"/>
  <c r="BF4708" i="4"/>
  <c r="BG4950" i="4"/>
  <c r="BF4950" i="4"/>
  <c r="BG5192" i="4"/>
  <c r="BF5192" i="4"/>
  <c r="BG5434" i="4"/>
  <c r="BF5434" i="4"/>
  <c r="BG5676" i="4"/>
  <c r="BF5676" i="4"/>
  <c r="BG5918" i="4"/>
  <c r="BF5918" i="4"/>
  <c r="BF1485" i="4"/>
  <c r="BG1485" i="4"/>
  <c r="BG110" i="4"/>
  <c r="BF110" i="4"/>
  <c r="BG3405" i="4"/>
  <c r="BF3405" i="4"/>
  <c r="BF2175" i="4"/>
  <c r="BG2175" i="4"/>
  <c r="BG573" i="4"/>
  <c r="BF573" i="4"/>
  <c r="BG1119" i="4"/>
  <c r="BF1119" i="4"/>
  <c r="BG4898" i="4"/>
  <c r="BF4898" i="4"/>
  <c r="BG1752" i="4"/>
  <c r="BF1752" i="4"/>
  <c r="BF944" i="4"/>
  <c r="BG944" i="4"/>
  <c r="BG296" i="4"/>
  <c r="BF296" i="4"/>
  <c r="BG4514" i="4"/>
  <c r="BF4514" i="4"/>
  <c r="BN41" i="4"/>
  <c r="BM41" i="4"/>
  <c r="BN574" i="4"/>
  <c r="BM574" i="4"/>
  <c r="BN3472" i="4"/>
  <c r="BM3472" i="4"/>
  <c r="BM2386" i="4"/>
  <c r="BN2386" i="4"/>
  <c r="BN3382" i="4"/>
  <c r="BM3382" i="4"/>
  <c r="BN869" i="4"/>
  <c r="BM869" i="4"/>
  <c r="BM3577" i="4"/>
  <c r="BN3577" i="4"/>
  <c r="BN3173" i="4"/>
  <c r="BM3173" i="4"/>
  <c r="BM1551" i="4"/>
  <c r="BN1551" i="4"/>
  <c r="BN604" i="4"/>
  <c r="BM604" i="4"/>
  <c r="BN2734" i="4"/>
  <c r="BM2734" i="4"/>
  <c r="BF3597" i="4"/>
  <c r="BG3597" i="4"/>
  <c r="BF349" i="4"/>
  <c r="BG349" i="4"/>
  <c r="BG3864" i="4"/>
  <c r="BF3864" i="4"/>
  <c r="BG3831" i="4"/>
  <c r="BF3831" i="4"/>
  <c r="BG1590" i="4"/>
  <c r="BF1590" i="4"/>
  <c r="BG1932" i="4"/>
  <c r="BF1932" i="4"/>
  <c r="BF2543" i="4"/>
  <c r="BG2543" i="4"/>
  <c r="BG3766" i="4"/>
  <c r="BF3766" i="4"/>
  <c r="BG5806" i="4"/>
  <c r="BF5806" i="4"/>
  <c r="BG5974" i="4"/>
  <c r="BF5974" i="4"/>
  <c r="BF3323" i="4"/>
  <c r="BG3323" i="4"/>
  <c r="BF4281" i="4"/>
  <c r="BG4281" i="4"/>
  <c r="BG5961" i="4"/>
  <c r="BF5961" i="4"/>
  <c r="BF5764" i="4"/>
  <c r="BG5764" i="4"/>
  <c r="BG2561" i="4"/>
  <c r="BF2561" i="4"/>
  <c r="BN2567" i="4"/>
  <c r="BM2567" i="4"/>
  <c r="BN2923" i="4"/>
  <c r="BM2923" i="4"/>
  <c r="BN2102" i="4"/>
  <c r="BM2102" i="4"/>
  <c r="BN2126" i="4"/>
  <c r="BM2126" i="4"/>
  <c r="BN2427" i="4"/>
  <c r="BM2427" i="4"/>
  <c r="BN2569" i="4"/>
  <c r="BM2569" i="4"/>
  <c r="BN2747" i="4"/>
  <c r="BM2747" i="4"/>
  <c r="BN2341" i="4"/>
  <c r="BM2341" i="4"/>
  <c r="BN1898" i="4"/>
  <c r="BM1898" i="4"/>
  <c r="BN2753" i="4"/>
  <c r="BM2753" i="4"/>
  <c r="BN2091" i="4"/>
  <c r="BM2091" i="4"/>
  <c r="BM174" i="4"/>
  <c r="BN174" i="4"/>
  <c r="BN1783" i="4"/>
  <c r="BM1783" i="4"/>
  <c r="BF4459" i="4"/>
  <c r="BG4459" i="4"/>
  <c r="BF2388" i="4"/>
  <c r="BG2388" i="4"/>
  <c r="BG119" i="4"/>
  <c r="BF119" i="4"/>
  <c r="BF494" i="4"/>
  <c r="BG494" i="4"/>
  <c r="BG2671" i="4"/>
  <c r="BF2671" i="4"/>
  <c r="BG798" i="4"/>
  <c r="BF798" i="4"/>
  <c r="BF1982" i="4"/>
  <c r="BG1982" i="4"/>
  <c r="BG2693" i="4"/>
  <c r="BF2693" i="4"/>
  <c r="BG3914" i="4"/>
  <c r="BF3914" i="4"/>
  <c r="BG278" i="4"/>
  <c r="BF278" i="4"/>
  <c r="BG520" i="4"/>
  <c r="BF520" i="4"/>
  <c r="BG1312" i="4"/>
  <c r="BF1312" i="4"/>
  <c r="BG565" i="4"/>
  <c r="BF565" i="4"/>
  <c r="BG1071" i="4"/>
  <c r="BF1071" i="4"/>
  <c r="BG2711" i="4"/>
  <c r="BF2711" i="4"/>
  <c r="BG3954" i="4"/>
  <c r="BF3954" i="4"/>
  <c r="BG629" i="4"/>
  <c r="BF629" i="4"/>
  <c r="BG1880" i="4"/>
  <c r="BF1880" i="4"/>
  <c r="BG2490" i="4"/>
  <c r="BF2490" i="4"/>
  <c r="BG959" i="4"/>
  <c r="BF959" i="4"/>
  <c r="BF104" i="4"/>
  <c r="BG104" i="4"/>
  <c r="BG1100" i="4"/>
  <c r="BF1100" i="4"/>
  <c r="BG3299" i="4"/>
  <c r="BF3299" i="4"/>
  <c r="BG836" i="4"/>
  <c r="BF836" i="4"/>
  <c r="BG2365" i="4"/>
  <c r="BF2365" i="4"/>
  <c r="BG105" i="4"/>
  <c r="BF105" i="4"/>
  <c r="BG1397" i="4"/>
  <c r="BF1397" i="4"/>
  <c r="BG4043" i="4"/>
  <c r="BF4043" i="4"/>
  <c r="BG1989" i="4"/>
  <c r="BF1989" i="4"/>
  <c r="BG734" i="4"/>
  <c r="BF734" i="4"/>
  <c r="BG1573" i="4"/>
  <c r="BF1573" i="4"/>
  <c r="BG2043" i="4"/>
  <c r="BF2043" i="4"/>
  <c r="BG1779" i="4"/>
  <c r="BF1779" i="4"/>
  <c r="BG3454" i="4"/>
  <c r="BF3454" i="4"/>
  <c r="BG2601" i="4"/>
  <c r="BF2601" i="4"/>
  <c r="BG602" i="4"/>
  <c r="BF602" i="4"/>
  <c r="BG1116" i="4"/>
  <c r="BF1116" i="4"/>
  <c r="BG4409" i="4"/>
  <c r="BF4409" i="4"/>
  <c r="BG5376" i="4"/>
  <c r="BF5376" i="4"/>
  <c r="BG3883" i="4"/>
  <c r="BF3883" i="4"/>
  <c r="BG1995" i="4"/>
  <c r="BF1995" i="4"/>
  <c r="BF2735" i="4"/>
  <c r="BG2735" i="4"/>
  <c r="BG3369" i="4"/>
  <c r="BF3369" i="4"/>
  <c r="BG4762" i="4"/>
  <c r="BF4762" i="4"/>
  <c r="BF3848" i="4"/>
  <c r="BG3848" i="4"/>
  <c r="BG5647" i="4"/>
  <c r="BF5647" i="4"/>
  <c r="BG1117" i="4"/>
  <c r="BF1117" i="4"/>
  <c r="BG2085" i="4"/>
  <c r="BF2085" i="4"/>
  <c r="BG4911" i="4"/>
  <c r="BF4911" i="4"/>
  <c r="BF2807" i="4"/>
  <c r="BG2807" i="4"/>
  <c r="BF5506" i="4"/>
  <c r="BG5506" i="4"/>
  <c r="BG1459" i="4"/>
  <c r="BF1459" i="4"/>
  <c r="BG2185" i="4"/>
  <c r="BF2185" i="4"/>
  <c r="BG4536" i="4"/>
  <c r="BF4536" i="4"/>
  <c r="BG2808" i="4"/>
  <c r="BF2808" i="4"/>
  <c r="BG5507" i="4"/>
  <c r="BF5507" i="4"/>
  <c r="BF2999" i="4"/>
  <c r="BG2999" i="4"/>
  <c r="BG5154" i="4"/>
  <c r="BF5154" i="4"/>
  <c r="BG4477" i="4"/>
  <c r="BF4477" i="4"/>
  <c r="BF3286" i="4"/>
  <c r="BG3286" i="4"/>
  <c r="BF4622" i="4"/>
  <c r="BG4622" i="4"/>
  <c r="BG5512" i="4"/>
  <c r="BF5512" i="4"/>
  <c r="BG4058" i="4"/>
  <c r="BF4058" i="4"/>
  <c r="BG3243" i="4"/>
  <c r="BF3243" i="4"/>
  <c r="BG5345" i="4"/>
  <c r="BF5345" i="4"/>
  <c r="BG5279" i="4"/>
  <c r="BF5279" i="4"/>
  <c r="BF4164" i="4"/>
  <c r="BG4164" i="4"/>
  <c r="BG3092" i="4"/>
  <c r="BF3092" i="4"/>
  <c r="BG5267" i="4"/>
  <c r="BF5267" i="4"/>
  <c r="BG5028" i="4"/>
  <c r="BF5028" i="4"/>
  <c r="BG5843" i="4"/>
  <c r="BF5843" i="4"/>
  <c r="BG4082" i="4"/>
  <c r="BF4082" i="4"/>
  <c r="BG4050" i="4"/>
  <c r="BF4050" i="4"/>
  <c r="BG4534" i="4"/>
  <c r="BF4534" i="4"/>
  <c r="BG5730" i="4"/>
  <c r="BF5730" i="4"/>
  <c r="BG4565" i="4"/>
  <c r="BF4565" i="4"/>
  <c r="BF5291" i="4"/>
  <c r="BG5291" i="4"/>
  <c r="BG461" i="4"/>
  <c r="BF461" i="4"/>
  <c r="BM658" i="4"/>
  <c r="BN658" i="4"/>
  <c r="BN3144" i="4"/>
  <c r="BM3144" i="4"/>
  <c r="BM3357" i="4"/>
  <c r="BN3357" i="4"/>
  <c r="BF531" i="4"/>
  <c r="BG531" i="4"/>
  <c r="BG4563" i="4"/>
  <c r="BF4563" i="4"/>
  <c r="BG3740" i="4"/>
  <c r="BF3740" i="4"/>
  <c r="BG4771" i="4"/>
  <c r="BF4771" i="4"/>
  <c r="BG5593" i="4"/>
  <c r="BF5593" i="4"/>
  <c r="BF5560" i="4"/>
  <c r="BG5560" i="4"/>
  <c r="BF5306" i="4"/>
  <c r="BG5306" i="4"/>
  <c r="BG5060" i="4"/>
  <c r="BF5060" i="4"/>
  <c r="BN3030" i="4"/>
  <c r="BM3030" i="4"/>
  <c r="BN555" i="4"/>
  <c r="BM555" i="4"/>
  <c r="BM1641" i="4"/>
  <c r="BN1641" i="4"/>
  <c r="BN3044" i="4"/>
  <c r="BM3044" i="4"/>
  <c r="BM368" i="4"/>
  <c r="BN368" i="4"/>
  <c r="BN980" i="4"/>
  <c r="BM980" i="4"/>
  <c r="BN1939" i="4"/>
  <c r="BM1939" i="4"/>
  <c r="BM2707" i="4"/>
  <c r="BN2707" i="4"/>
  <c r="BN2242" i="4"/>
  <c r="BM2242" i="4"/>
  <c r="BN94" i="4"/>
  <c r="BM94" i="4"/>
  <c r="BN2183" i="4"/>
  <c r="BM2183" i="4"/>
  <c r="BN74" i="4"/>
  <c r="BM74" i="4"/>
  <c r="BN337" i="4"/>
  <c r="BM337" i="4"/>
  <c r="BN939" i="4"/>
  <c r="BM939" i="4"/>
  <c r="BM1749" i="4"/>
  <c r="BN1749" i="4"/>
  <c r="BN2678" i="4"/>
  <c r="BM2678" i="4"/>
  <c r="BN895" i="4"/>
  <c r="BM895" i="4"/>
  <c r="BN1513" i="4"/>
  <c r="BM1513" i="4"/>
  <c r="BM2360" i="4"/>
  <c r="BN2360" i="4"/>
  <c r="BN2144" i="4"/>
  <c r="BM2144" i="4"/>
  <c r="BN3208" i="4"/>
  <c r="BM3208" i="4"/>
  <c r="BN2659" i="4"/>
  <c r="BM2659" i="4"/>
  <c r="BN784" i="4"/>
  <c r="BM784" i="4"/>
  <c r="BN2170" i="4"/>
  <c r="BM2170" i="4"/>
  <c r="BN1080" i="4"/>
  <c r="BM1080" i="4"/>
  <c r="BN1757" i="4"/>
  <c r="BM1757" i="4"/>
  <c r="BN2690" i="4"/>
  <c r="BM2690" i="4"/>
  <c r="BN2128" i="4"/>
  <c r="BM2128" i="4"/>
  <c r="BN1729" i="4"/>
  <c r="BM1729" i="4"/>
  <c r="BN2679" i="4"/>
  <c r="BM2679" i="4"/>
  <c r="BN1957" i="4"/>
  <c r="BM1957" i="4"/>
  <c r="BM1519" i="4"/>
  <c r="BN1519" i="4"/>
  <c r="BN3571" i="4"/>
  <c r="BM3571" i="4"/>
  <c r="BN2282" i="4"/>
  <c r="BM2282" i="4"/>
  <c r="BM2984" i="4"/>
  <c r="BN2984" i="4"/>
  <c r="BN912" i="4"/>
  <c r="BM912" i="4"/>
  <c r="BN1428" i="4"/>
  <c r="BM1428" i="4"/>
  <c r="BM2013" i="4"/>
  <c r="BN2013" i="4"/>
  <c r="BN2373" i="4"/>
  <c r="BM2373" i="4"/>
  <c r="BM3094" i="4"/>
  <c r="BN3094" i="4"/>
  <c r="BM2845" i="4"/>
  <c r="BN2845" i="4"/>
  <c r="BN3018" i="4"/>
  <c r="BM3018" i="4"/>
  <c r="BM176" i="4"/>
  <c r="BN176" i="4"/>
  <c r="BN902" i="4"/>
  <c r="BM902" i="4"/>
  <c r="BN2780" i="4"/>
  <c r="BM2780" i="4"/>
  <c r="BN3322" i="4"/>
  <c r="BM3322" i="4"/>
  <c r="BM2884" i="4"/>
  <c r="BN2884" i="4"/>
  <c r="BM1021" i="4"/>
  <c r="BN1021" i="4"/>
  <c r="BN1784" i="4"/>
  <c r="BM1784" i="4"/>
  <c r="BG126" i="4"/>
  <c r="BF126" i="4"/>
  <c r="BG5336" i="4"/>
  <c r="BF5336" i="4"/>
  <c r="BF2414" i="4"/>
  <c r="BG2414" i="4"/>
  <c r="BG1381" i="4"/>
  <c r="BF1381" i="4"/>
  <c r="BF3550" i="4"/>
  <c r="BG3550" i="4"/>
  <c r="BG3114" i="4"/>
  <c r="BF3114" i="4"/>
  <c r="BG4557" i="4"/>
  <c r="BF4557" i="4"/>
  <c r="BM943" i="4"/>
  <c r="BN943" i="4"/>
  <c r="BN2113" i="4"/>
  <c r="BM2113" i="4"/>
  <c r="BN522" i="4"/>
  <c r="BM522" i="4"/>
  <c r="BN523" i="4"/>
  <c r="BM523" i="4"/>
  <c r="BN1295" i="4"/>
  <c r="BM1295" i="4"/>
  <c r="BN1983" i="4"/>
  <c r="BM1983" i="4"/>
  <c r="BN1809" i="4"/>
  <c r="BM1809" i="4"/>
  <c r="BN3527" i="4"/>
  <c r="BM3527" i="4"/>
  <c r="BM2162" i="4"/>
  <c r="BN2162" i="4"/>
  <c r="BN2340" i="4"/>
  <c r="BM2340" i="4"/>
  <c r="BN2434" i="4"/>
  <c r="BM2434" i="4"/>
  <c r="BM462" i="4"/>
  <c r="BN462" i="4"/>
  <c r="BN3152" i="4"/>
  <c r="BM3152" i="4"/>
  <c r="BM3153" i="4"/>
  <c r="BN3153" i="4"/>
  <c r="BM3170" i="4"/>
  <c r="BN3170" i="4"/>
  <c r="BN1796" i="4"/>
  <c r="BM1796" i="4"/>
  <c r="BM724" i="4"/>
  <c r="BN724" i="4"/>
  <c r="BN626" i="4"/>
  <c r="BM626" i="4"/>
  <c r="BN2739" i="4"/>
  <c r="BM2739" i="4"/>
  <c r="BN1616" i="4"/>
  <c r="BM1616" i="4"/>
  <c r="BN1542" i="4"/>
  <c r="BM1542" i="4"/>
  <c r="BG796" i="4"/>
  <c r="BF796" i="4"/>
  <c r="BF3692" i="4"/>
  <c r="BG3692" i="4"/>
  <c r="BG1428" i="4"/>
  <c r="BF1428" i="4"/>
  <c r="BG2144" i="4"/>
  <c r="BF2144" i="4"/>
  <c r="BG3035" i="4"/>
  <c r="BF3035" i="4"/>
  <c r="BG1122" i="4"/>
  <c r="BF1122" i="4"/>
  <c r="BG1812" i="4"/>
  <c r="BF1812" i="4"/>
  <c r="BG220" i="4"/>
  <c r="BF220" i="4"/>
  <c r="BG2386" i="4"/>
  <c r="BF2386" i="4"/>
  <c r="BF1740" i="4"/>
  <c r="BG1740" i="4"/>
  <c r="BG2809" i="4"/>
  <c r="BF2809" i="4"/>
  <c r="BG102" i="4"/>
  <c r="BF102" i="4"/>
  <c r="BG586" i="4"/>
  <c r="BF586" i="4"/>
  <c r="BG1098" i="4"/>
  <c r="BF1098" i="4"/>
  <c r="BG2748" i="4"/>
  <c r="BF2748" i="4"/>
  <c r="BG4029" i="4"/>
  <c r="BF4029" i="4"/>
  <c r="BG1069" i="4"/>
  <c r="BF1069" i="4"/>
  <c r="BG1893" i="4"/>
  <c r="BF1893" i="4"/>
  <c r="BG2583" i="4"/>
  <c r="BF2583" i="4"/>
  <c r="BG2071" i="4"/>
  <c r="BF2071" i="4"/>
  <c r="BG631" i="4"/>
  <c r="BF631" i="4"/>
  <c r="BG2302" i="4"/>
  <c r="BF2302" i="4"/>
  <c r="BG170" i="4"/>
  <c r="BF170" i="4"/>
  <c r="BG654" i="4"/>
  <c r="BF654" i="4"/>
  <c r="BG1180" i="4"/>
  <c r="BF1180" i="4"/>
  <c r="BF2460" i="4"/>
  <c r="BG2460" i="4"/>
  <c r="BF5867" i="4"/>
  <c r="BG5867" i="4"/>
  <c r="BG413" i="4"/>
  <c r="BF413" i="4"/>
  <c r="BG1181" i="4"/>
  <c r="BF1181" i="4"/>
  <c r="BG2882" i="4"/>
  <c r="BF2882" i="4"/>
  <c r="BG2079" i="4"/>
  <c r="BF2079" i="4"/>
  <c r="BG4183" i="4"/>
  <c r="BF4183" i="4"/>
  <c r="BG557" i="4"/>
  <c r="BF557" i="4"/>
  <c r="BG5216" i="4"/>
  <c r="BF5216" i="4"/>
  <c r="BF2201" i="4"/>
  <c r="BG2201" i="4"/>
  <c r="BG420" i="4"/>
  <c r="BF420" i="4"/>
  <c r="BG184" i="4"/>
  <c r="BF184" i="4"/>
  <c r="BG3442" i="4"/>
  <c r="BF3442" i="4"/>
  <c r="BG3602" i="4"/>
  <c r="BF3602" i="4"/>
  <c r="BG3234" i="4"/>
  <c r="BF3234" i="4"/>
  <c r="BG1667" i="4"/>
  <c r="BF1667" i="4"/>
  <c r="BG4085" i="4"/>
  <c r="BF4085" i="4"/>
  <c r="AQ663" i="4"/>
  <c r="BN751" i="4"/>
  <c r="BM751" i="4"/>
  <c r="BN338" i="4"/>
  <c r="BM338" i="4"/>
  <c r="BM2198" i="4"/>
  <c r="BN2198" i="4"/>
  <c r="BN1289" i="4"/>
  <c r="BM1289" i="4"/>
  <c r="BM708" i="4"/>
  <c r="BN708" i="4"/>
  <c r="BN302" i="4"/>
  <c r="BM302" i="4"/>
  <c r="BN1419" i="4"/>
  <c r="BM1419" i="4"/>
  <c r="BN2671" i="4"/>
  <c r="BM2671" i="4"/>
  <c r="BM518" i="4"/>
  <c r="BN518" i="4"/>
  <c r="BN816" i="4"/>
  <c r="BM816" i="4"/>
  <c r="BN1200" i="4"/>
  <c r="BM1200" i="4"/>
  <c r="BM1666" i="4"/>
  <c r="BN1666" i="4"/>
  <c r="BM272" i="4"/>
  <c r="BN272" i="4"/>
  <c r="BM544" i="4"/>
  <c r="BN544" i="4"/>
  <c r="BM1238" i="4"/>
  <c r="BN1238" i="4"/>
  <c r="BN1715" i="4"/>
  <c r="BM1715" i="4"/>
  <c r="BN3517" i="4"/>
  <c r="BM3517" i="4"/>
  <c r="BN237" i="4"/>
  <c r="BM237" i="4"/>
  <c r="BN507" i="4"/>
  <c r="BM507" i="4"/>
  <c r="BN802" i="4"/>
  <c r="BM802" i="4"/>
  <c r="BN1647" i="4"/>
  <c r="BM1647" i="4"/>
  <c r="BN2275" i="4"/>
  <c r="BM2275" i="4"/>
  <c r="BN1362" i="4"/>
  <c r="BM1362" i="4"/>
  <c r="BN1894" i="4"/>
  <c r="BM1894" i="4"/>
  <c r="BN3430" i="4"/>
  <c r="BM3430" i="4"/>
  <c r="BN215" i="4"/>
  <c r="BM215" i="4"/>
  <c r="BN775" i="4"/>
  <c r="BM775" i="4"/>
  <c r="BM1148" i="4"/>
  <c r="BN1148" i="4"/>
  <c r="BN1605" i="4"/>
  <c r="BM1605" i="4"/>
  <c r="BN2974" i="4"/>
  <c r="BM2974" i="4"/>
  <c r="BM624" i="4"/>
  <c r="BN624" i="4"/>
  <c r="BN1896" i="4"/>
  <c r="BM1896" i="4"/>
  <c r="BN3433" i="4"/>
  <c r="BM3433" i="4"/>
  <c r="BM216" i="4"/>
  <c r="BN216" i="4"/>
  <c r="BM486" i="4"/>
  <c r="BN486" i="4"/>
  <c r="BN776" i="4"/>
  <c r="BM776" i="4"/>
  <c r="BN1149" i="4"/>
  <c r="BM1149" i="4"/>
  <c r="BN2220" i="4"/>
  <c r="BM2220" i="4"/>
  <c r="BN2975" i="4"/>
  <c r="BM2975" i="4"/>
  <c r="BN1413" i="4"/>
  <c r="BM1413" i="4"/>
  <c r="BN1788" i="4"/>
  <c r="BM1788" i="4"/>
  <c r="BN2725" i="4"/>
  <c r="BM2725" i="4"/>
  <c r="BN3316" i="4"/>
  <c r="BM3316" i="4"/>
  <c r="BN1982" i="4"/>
  <c r="BM1982" i="4"/>
  <c r="BM2450" i="4"/>
  <c r="BN2450" i="4"/>
  <c r="BN2979" i="4"/>
  <c r="BM2979" i="4"/>
  <c r="BM1711" i="4"/>
  <c r="BN1711" i="4"/>
  <c r="BM921" i="4"/>
  <c r="BN921" i="4"/>
  <c r="BN1948" i="4"/>
  <c r="BM1948" i="4"/>
  <c r="BN2406" i="4"/>
  <c r="BM2406" i="4"/>
  <c r="BN2927" i="4"/>
  <c r="BM2927" i="4"/>
  <c r="BN3562" i="4"/>
  <c r="BM3562" i="4"/>
  <c r="BN1564" i="4"/>
  <c r="BM1564" i="4"/>
  <c r="BN1966" i="4"/>
  <c r="BM1966" i="4"/>
  <c r="BN2429" i="4"/>
  <c r="BM2429" i="4"/>
  <c r="BN2955" i="4"/>
  <c r="BM2955" i="4"/>
  <c r="BN937" i="4"/>
  <c r="BM937" i="4"/>
  <c r="BN1229" i="4"/>
  <c r="BM1229" i="4"/>
  <c r="BN1969" i="4"/>
  <c r="BM1969" i="4"/>
  <c r="BN677" i="4"/>
  <c r="BM677" i="4"/>
  <c r="BN951" i="4"/>
  <c r="BM951" i="4"/>
  <c r="BN1245" i="4"/>
  <c r="BM1245" i="4"/>
  <c r="BN1584" i="4"/>
  <c r="BM1584" i="4"/>
  <c r="BM1991" i="4"/>
  <c r="BN1991" i="4"/>
  <c r="BN2458" i="4"/>
  <c r="BM2458" i="4"/>
  <c r="BN2993" i="4"/>
  <c r="BM2993" i="4"/>
  <c r="BN3410" i="4"/>
  <c r="BM3410" i="4"/>
  <c r="BN1889" i="4"/>
  <c r="BM1889" i="4"/>
  <c r="BN2875" i="4"/>
  <c r="BM2875" i="4"/>
  <c r="BN3264" i="4"/>
  <c r="BM3264" i="4"/>
  <c r="BN2945" i="4"/>
  <c r="BM2945" i="4"/>
  <c r="BM3339" i="4"/>
  <c r="BN3339" i="4"/>
  <c r="BN1824" i="4"/>
  <c r="BM1824" i="4"/>
  <c r="BN2118" i="4"/>
  <c r="BM2118" i="4"/>
  <c r="BM2445" i="4"/>
  <c r="BN2445" i="4"/>
  <c r="BN2794" i="4"/>
  <c r="BM2794" i="4"/>
  <c r="BN116" i="4"/>
  <c r="BM116" i="4"/>
  <c r="BN623" i="4"/>
  <c r="BM623" i="4"/>
  <c r="BN1130" i="4"/>
  <c r="BM1130" i="4"/>
  <c r="BN1387" i="4"/>
  <c r="BM1387" i="4"/>
  <c r="BM1679" i="4"/>
  <c r="BN1679" i="4"/>
  <c r="BN1972" i="4"/>
  <c r="BM1972" i="4"/>
  <c r="BM2281" i="4"/>
  <c r="BN2281" i="4"/>
  <c r="BN3381" i="4"/>
  <c r="BM3381" i="4"/>
  <c r="BM2134" i="4"/>
  <c r="BN2134" i="4"/>
  <c r="BN2463" i="4"/>
  <c r="BM2463" i="4"/>
  <c r="BN3200" i="4"/>
  <c r="BM3200" i="4"/>
  <c r="BN797" i="4"/>
  <c r="BM797" i="4"/>
  <c r="BM1304" i="4"/>
  <c r="BN1304" i="4"/>
  <c r="BM1587" i="4"/>
  <c r="BN1587" i="4"/>
  <c r="BM1880" i="4"/>
  <c r="BN1880" i="4"/>
  <c r="BN2179" i="4"/>
  <c r="BM2179" i="4"/>
  <c r="BN2511" i="4"/>
  <c r="BM2511" i="4"/>
  <c r="BN2865" i="4"/>
  <c r="BM2865" i="4"/>
  <c r="BN2558" i="4"/>
  <c r="BM2558" i="4"/>
  <c r="BM3308" i="4"/>
  <c r="BN3308" i="4"/>
  <c r="BM3441" i="4"/>
  <c r="BN3441" i="4"/>
  <c r="BN3015" i="4"/>
  <c r="BM3015" i="4"/>
  <c r="BN2277" i="4"/>
  <c r="BM2277" i="4"/>
  <c r="BM2568" i="4"/>
  <c r="BN2568" i="4"/>
  <c r="BN3193" i="4"/>
  <c r="BM3193" i="4"/>
  <c r="BN3516" i="4"/>
  <c r="BM3516" i="4"/>
  <c r="BM308" i="4"/>
  <c r="BN308" i="4"/>
  <c r="BM550" i="4"/>
  <c r="BN550" i="4"/>
  <c r="BN792" i="4"/>
  <c r="BM792" i="4"/>
  <c r="BN1034" i="4"/>
  <c r="BM1034" i="4"/>
  <c r="BN1276" i="4"/>
  <c r="BM1276" i="4"/>
  <c r="BN1535" i="4"/>
  <c r="BM1535" i="4"/>
  <c r="BN3549" i="4"/>
  <c r="BM3549" i="4"/>
  <c r="BM2641" i="4"/>
  <c r="BN2641" i="4"/>
  <c r="BN3271" i="4"/>
  <c r="BM3271" i="4"/>
  <c r="BN3182" i="4"/>
  <c r="BM3182" i="4"/>
  <c r="BM3491" i="4"/>
  <c r="BN3491" i="4"/>
  <c r="BN2209" i="4"/>
  <c r="BM2209" i="4"/>
  <c r="BN2315" i="4"/>
  <c r="BM2315" i="4"/>
  <c r="BM2532" i="4"/>
  <c r="BN2532" i="4"/>
  <c r="BN2774" i="4"/>
  <c r="BM2774" i="4"/>
  <c r="BM3016" i="4"/>
  <c r="BN3016" i="4"/>
  <c r="BM3258" i="4"/>
  <c r="BN3258" i="4"/>
  <c r="BM3500" i="4"/>
  <c r="BN3500" i="4"/>
  <c r="BN1484" i="4"/>
  <c r="BM1484" i="4"/>
  <c r="BN33" i="4"/>
  <c r="BM33" i="4"/>
  <c r="BN1314" i="4"/>
  <c r="BM1314" i="4"/>
  <c r="BN1843" i="4"/>
  <c r="BM1843" i="4"/>
  <c r="BN1077" i="4"/>
  <c r="BM1077" i="4"/>
  <c r="BM570" i="4"/>
  <c r="BN570" i="4"/>
  <c r="BN2745" i="4"/>
  <c r="BM2745" i="4"/>
  <c r="BN940" i="4"/>
  <c r="BM940" i="4"/>
  <c r="BN477" i="4"/>
  <c r="BM477" i="4"/>
  <c r="BN90" i="4"/>
  <c r="BM90" i="4"/>
  <c r="BN2514" i="4"/>
  <c r="BM2514" i="4"/>
  <c r="BN831" i="4"/>
  <c r="BM831" i="4"/>
  <c r="BN2287" i="4"/>
  <c r="BM2287" i="4"/>
  <c r="BN1341" i="4"/>
  <c r="BM1341" i="4"/>
  <c r="BN742" i="4"/>
  <c r="BM742" i="4"/>
  <c r="BM329" i="4"/>
  <c r="BN329" i="4"/>
  <c r="BM293" i="4"/>
  <c r="BN293" i="4"/>
  <c r="BN3228" i="4"/>
  <c r="BM3228" i="4"/>
  <c r="BN205" i="4"/>
  <c r="BM205" i="4"/>
  <c r="BF2145" i="4"/>
  <c r="BG2145" i="4"/>
  <c r="BF5996" i="4"/>
  <c r="BG5996" i="4"/>
  <c r="BG1132" i="4"/>
  <c r="BF1132" i="4"/>
  <c r="BG440" i="4"/>
  <c r="BF440" i="4"/>
  <c r="BF2783" i="4"/>
  <c r="BG2783" i="4"/>
  <c r="BF1813" i="4"/>
  <c r="BG1813" i="4"/>
  <c r="BG854" i="4"/>
  <c r="BF854" i="4"/>
  <c r="BG221" i="4"/>
  <c r="BF221" i="4"/>
  <c r="BG2387" i="4"/>
  <c r="BF2387" i="4"/>
  <c r="BF727" i="4"/>
  <c r="BG727" i="4"/>
  <c r="BG3500" i="4"/>
  <c r="BF3500" i="4"/>
  <c r="BG1346" i="4"/>
  <c r="BF1346" i="4"/>
  <c r="BG2054" i="4"/>
  <c r="BF2054" i="4"/>
  <c r="BG493" i="4"/>
  <c r="BF493" i="4"/>
  <c r="BF1861" i="4"/>
  <c r="BG1861" i="4"/>
  <c r="BG2194" i="4"/>
  <c r="BF2194" i="4"/>
  <c r="BF2987" i="4"/>
  <c r="BG2987" i="4"/>
  <c r="BG190" i="4"/>
  <c r="BF190" i="4"/>
  <c r="BG432" i="4"/>
  <c r="BF432" i="4"/>
  <c r="BG674" i="4"/>
  <c r="BF674" i="4"/>
  <c r="BG1204" i="4"/>
  <c r="BF1204" i="4"/>
  <c r="BG1500" i="4"/>
  <c r="BF1500" i="4"/>
  <c r="BG2492" i="4"/>
  <c r="BF2492" i="4"/>
  <c r="BG4484" i="4"/>
  <c r="BF4484" i="4"/>
  <c r="BF6033" i="4"/>
  <c r="BG6033" i="4"/>
  <c r="BG541" i="4"/>
  <c r="BF541" i="4"/>
  <c r="BG1512" i="4"/>
  <c r="BF1512" i="4"/>
  <c r="BG1682" i="4"/>
  <c r="BF1682" i="4"/>
  <c r="BG2014" i="4"/>
  <c r="BF2014" i="4"/>
  <c r="BG2346" i="4"/>
  <c r="BF2346" i="4"/>
  <c r="BG2730" i="4"/>
  <c r="BF2730" i="4"/>
  <c r="BG3259" i="4"/>
  <c r="BF3259" i="4"/>
  <c r="BG235" i="4"/>
  <c r="BF235" i="4"/>
  <c r="BF477" i="4"/>
  <c r="BG477" i="4"/>
  <c r="BG719" i="4"/>
  <c r="BF719" i="4"/>
  <c r="BG973" i="4"/>
  <c r="BF973" i="4"/>
  <c r="BG1259" i="4"/>
  <c r="BF1259" i="4"/>
  <c r="BG1555" i="4"/>
  <c r="BF1555" i="4"/>
  <c r="BG2568" i="4"/>
  <c r="BF2568" i="4"/>
  <c r="BG3014" i="4"/>
  <c r="BF3014" i="4"/>
  <c r="BG4739" i="4"/>
  <c r="BF4739" i="4"/>
  <c r="BG881" i="4"/>
  <c r="BF881" i="4"/>
  <c r="BG1759" i="4"/>
  <c r="BF1759" i="4"/>
  <c r="BG2091" i="4"/>
  <c r="BF2091" i="4"/>
  <c r="BG2425" i="4"/>
  <c r="BF2425" i="4"/>
  <c r="BG4233" i="4"/>
  <c r="BF4233" i="4"/>
  <c r="BF878" i="4"/>
  <c r="BG878" i="4"/>
  <c r="BG2238" i="4"/>
  <c r="BF2238" i="4"/>
  <c r="BG662" i="4"/>
  <c r="BF662" i="4"/>
  <c r="BF1540" i="4"/>
  <c r="BG1540" i="4"/>
  <c r="BG3501" i="4"/>
  <c r="BF3501" i="4"/>
  <c r="BG16" i="4"/>
  <c r="BF16" i="4"/>
  <c r="BG258" i="4"/>
  <c r="BF258" i="4"/>
  <c r="BG500" i="4"/>
  <c r="BF500" i="4"/>
  <c r="BG743" i="4"/>
  <c r="BF743" i="4"/>
  <c r="BF999" i="4"/>
  <c r="BG999" i="4"/>
  <c r="BF1288" i="4"/>
  <c r="BG1288" i="4"/>
  <c r="BG1584" i="4"/>
  <c r="BF1584" i="4"/>
  <c r="BG3069" i="4"/>
  <c r="BF3069" i="4"/>
  <c r="BG3745" i="4"/>
  <c r="BF3745" i="4"/>
  <c r="BG4870" i="4"/>
  <c r="BF4870" i="4"/>
  <c r="BG1912" i="4"/>
  <c r="BF1912" i="4"/>
  <c r="BG2244" i="4"/>
  <c r="BF2244" i="4"/>
  <c r="BG2605" i="4"/>
  <c r="BF2605" i="4"/>
  <c r="BG17" i="4"/>
  <c r="BF17" i="4"/>
  <c r="BF259" i="4"/>
  <c r="BG259" i="4"/>
  <c r="BG501" i="4"/>
  <c r="BF501" i="4"/>
  <c r="BG744" i="4"/>
  <c r="BF744" i="4"/>
  <c r="BG1000" i="4"/>
  <c r="BF1000" i="4"/>
  <c r="BG1289" i="4"/>
  <c r="BF1289" i="4"/>
  <c r="BG1585" i="4"/>
  <c r="BF1585" i="4"/>
  <c r="BG4871" i="4"/>
  <c r="BF4871" i="4"/>
  <c r="BG1324" i="4"/>
  <c r="BF1324" i="4"/>
  <c r="BG1868" i="4"/>
  <c r="BF1868" i="4"/>
  <c r="BG2200" i="4"/>
  <c r="BF2200" i="4"/>
  <c r="BF2555" i="4"/>
  <c r="BG2555" i="4"/>
  <c r="BG161" i="4"/>
  <c r="BF161" i="4"/>
  <c r="BG403" i="4"/>
  <c r="BF403" i="4"/>
  <c r="BG645" i="4"/>
  <c r="BF645" i="4"/>
  <c r="BG895" i="4"/>
  <c r="BF895" i="4"/>
  <c r="BG1169" i="4"/>
  <c r="BF1169" i="4"/>
  <c r="BG1465" i="4"/>
  <c r="BF1465" i="4"/>
  <c r="BG2445" i="4"/>
  <c r="BF2445" i="4"/>
  <c r="BG2860" i="4"/>
  <c r="BF2860" i="4"/>
  <c r="BG3453" i="4"/>
  <c r="BF3453" i="4"/>
  <c r="BG5792" i="4"/>
  <c r="BF5792" i="4"/>
  <c r="BG1990" i="4"/>
  <c r="BF1990" i="4"/>
  <c r="BF2322" i="4"/>
  <c r="BG2322" i="4"/>
  <c r="BG3212" i="4"/>
  <c r="BF3212" i="4"/>
  <c r="BF3934" i="4"/>
  <c r="BG3934" i="4"/>
  <c r="BG2313" i="4"/>
  <c r="BF2313" i="4"/>
  <c r="BG3226" i="4"/>
  <c r="BF3226" i="4"/>
  <c r="BG706" i="4"/>
  <c r="BF706" i="4"/>
  <c r="BF1527" i="4"/>
  <c r="BG1527" i="4"/>
  <c r="BG30" i="4"/>
  <c r="BF30" i="4"/>
  <c r="BG272" i="4"/>
  <c r="BF272" i="4"/>
  <c r="BG514" i="4"/>
  <c r="BF514" i="4"/>
  <c r="BG758" i="4"/>
  <c r="BF758" i="4"/>
  <c r="BG1014" i="4"/>
  <c r="BF1014" i="4"/>
  <c r="BG1306" i="4"/>
  <c r="BF1306" i="4"/>
  <c r="BF3106" i="4"/>
  <c r="BG3106" i="4"/>
  <c r="BG3784" i="4"/>
  <c r="BF3784" i="4"/>
  <c r="BG4184" i="4"/>
  <c r="BF4184" i="4"/>
  <c r="BG5462" i="4"/>
  <c r="BF5462" i="4"/>
  <c r="BG2925" i="4"/>
  <c r="BF2925" i="4"/>
  <c r="BG3229" i="4"/>
  <c r="BF3229" i="4"/>
  <c r="BG5138" i="4"/>
  <c r="BF5138" i="4"/>
  <c r="BF2863" i="4"/>
  <c r="BG2863" i="4"/>
  <c r="BG3157" i="4"/>
  <c r="BF3157" i="4"/>
  <c r="BG4991" i="4"/>
  <c r="BF4991" i="4"/>
  <c r="BG5680" i="4"/>
  <c r="BF5680" i="4"/>
  <c r="BG2527" i="4"/>
  <c r="BF2527" i="4"/>
  <c r="BG3058" i="4"/>
  <c r="BF3058" i="4"/>
  <c r="BG3382" i="4"/>
  <c r="BF3382" i="4"/>
  <c r="BG3736" i="4"/>
  <c r="BF3736" i="4"/>
  <c r="BG4790" i="4"/>
  <c r="BF4790" i="4"/>
  <c r="BF5435" i="4"/>
  <c r="BG5435" i="4"/>
  <c r="BG1907" i="4"/>
  <c r="BF1907" i="4"/>
  <c r="BG2149" i="4"/>
  <c r="BF2149" i="4"/>
  <c r="BG2391" i="4"/>
  <c r="BF2391" i="4"/>
  <c r="BG2643" i="4"/>
  <c r="BF2643" i="4"/>
  <c r="BG2901" i="4"/>
  <c r="BF2901" i="4"/>
  <c r="BG3922" i="4"/>
  <c r="BF3922" i="4"/>
  <c r="BG2678" i="4"/>
  <c r="BF2678" i="4"/>
  <c r="BG2940" i="4"/>
  <c r="BF2940" i="4"/>
  <c r="BG3248" i="4"/>
  <c r="BF3248" i="4"/>
  <c r="BG4526" i="4"/>
  <c r="BF4526" i="4"/>
  <c r="BG5175" i="4"/>
  <c r="BF5175" i="4"/>
  <c r="BG5925" i="4"/>
  <c r="BF5925" i="4"/>
  <c r="BF3355" i="4"/>
  <c r="BG3355" i="4"/>
  <c r="BF3702" i="4"/>
  <c r="BG3702" i="4"/>
  <c r="BF4120" i="4"/>
  <c r="BG4120" i="4"/>
  <c r="BG3031" i="4"/>
  <c r="BF3031" i="4"/>
  <c r="BG4736" i="4"/>
  <c r="BF4736" i="4"/>
  <c r="BG1271" i="4"/>
  <c r="BF1271" i="4"/>
  <c r="BG1513" i="4"/>
  <c r="BF1513" i="4"/>
  <c r="BG1755" i="4"/>
  <c r="BF1755" i="4"/>
  <c r="BG1997" i="4"/>
  <c r="BF1997" i="4"/>
  <c r="BG2239" i="4"/>
  <c r="BF2239" i="4"/>
  <c r="BG2737" i="4"/>
  <c r="BF2737" i="4"/>
  <c r="BG2461" i="4"/>
  <c r="BF2461" i="4"/>
  <c r="BG2981" i="4"/>
  <c r="BF2981" i="4"/>
  <c r="BF3295" i="4"/>
  <c r="BG3295" i="4"/>
  <c r="BG3640" i="4"/>
  <c r="BF3640" i="4"/>
  <c r="BG4040" i="4"/>
  <c r="BF4040" i="4"/>
  <c r="BF5268" i="4"/>
  <c r="BG5268" i="4"/>
  <c r="BG1129" i="4"/>
  <c r="BF1129" i="4"/>
  <c r="BG1371" i="4"/>
  <c r="BF1371" i="4"/>
  <c r="BG1613" i="4"/>
  <c r="BF1613" i="4"/>
  <c r="BG1855" i="4"/>
  <c r="BF1855" i="4"/>
  <c r="BG2097" i="4"/>
  <c r="BF2097" i="4"/>
  <c r="BG2339" i="4"/>
  <c r="BF2339" i="4"/>
  <c r="BG2843" i="4"/>
  <c r="BF2843" i="4"/>
  <c r="BG3834" i="4"/>
  <c r="BF3834" i="4"/>
  <c r="BG4948" i="4"/>
  <c r="BF4948" i="4"/>
  <c r="BG2462" i="4"/>
  <c r="BF2462" i="4"/>
  <c r="BG2982" i="4"/>
  <c r="BF2982" i="4"/>
  <c r="BG4041" i="4"/>
  <c r="BF4041" i="4"/>
  <c r="BF4387" i="4"/>
  <c r="BG4387" i="4"/>
  <c r="BG4674" i="4"/>
  <c r="BF4674" i="4"/>
  <c r="BG4967" i="4"/>
  <c r="BF4967" i="4"/>
  <c r="BF2911" i="4"/>
  <c r="BG2911" i="4"/>
  <c r="BG3153" i="4"/>
  <c r="BF3153" i="4"/>
  <c r="BG3395" i="4"/>
  <c r="BF3395" i="4"/>
  <c r="BG3637" i="4"/>
  <c r="BF3637" i="4"/>
  <c r="BG4464" i="4"/>
  <c r="BF4464" i="4"/>
  <c r="BG4755" i="4"/>
  <c r="BF4755" i="4"/>
  <c r="BG5342" i="4"/>
  <c r="BF5342" i="4"/>
  <c r="BF3815" i="4"/>
  <c r="BG3815" i="4"/>
  <c r="BG4096" i="4"/>
  <c r="BF4096" i="4"/>
  <c r="BF4662" i="4"/>
  <c r="BG4662" i="4"/>
  <c r="BG4955" i="4"/>
  <c r="BF4955" i="4"/>
  <c r="BF5556" i="4"/>
  <c r="BG5556" i="4"/>
  <c r="BG5948" i="4"/>
  <c r="BF5948" i="4"/>
  <c r="BF3198" i="4"/>
  <c r="BG3198" i="4"/>
  <c r="BF3440" i="4"/>
  <c r="BG3440" i="4"/>
  <c r="BG3682" i="4"/>
  <c r="BF3682" i="4"/>
  <c r="BG3956" i="4"/>
  <c r="BF3956" i="4"/>
  <c r="BG5746" i="4"/>
  <c r="BF5746" i="4"/>
  <c r="BG4517" i="4"/>
  <c r="BF4517" i="4"/>
  <c r="BG4810" i="4"/>
  <c r="BF4810" i="4"/>
  <c r="BG5103" i="4"/>
  <c r="BF5103" i="4"/>
  <c r="BG5396" i="4"/>
  <c r="BF5396" i="4"/>
  <c r="BG5747" i="4"/>
  <c r="BF5747" i="4"/>
  <c r="BG3155" i="4"/>
  <c r="BF3155" i="4"/>
  <c r="BG3397" i="4"/>
  <c r="BF3397" i="4"/>
  <c r="BG3639" i="4"/>
  <c r="BF3639" i="4"/>
  <c r="BG4466" i="4"/>
  <c r="BF4466" i="4"/>
  <c r="BG4757" i="4"/>
  <c r="BF4757" i="4"/>
  <c r="BF5050" i="4"/>
  <c r="BG5050" i="4"/>
  <c r="BG5344" i="4"/>
  <c r="BF5344" i="4"/>
  <c r="BF5674" i="4"/>
  <c r="BG5674" i="4"/>
  <c r="BG4429" i="4"/>
  <c r="BF4429" i="4"/>
  <c r="BG5011" i="4"/>
  <c r="BF5011" i="4"/>
  <c r="BG5304" i="4"/>
  <c r="BF5304" i="4"/>
  <c r="BF5623" i="4"/>
  <c r="BG5623" i="4"/>
  <c r="BG4086" i="4"/>
  <c r="BF4086" i="4"/>
  <c r="BG5239" i="4"/>
  <c r="BF5239" i="4"/>
  <c r="BF5934" i="4"/>
  <c r="BG5934" i="4"/>
  <c r="BG4188" i="4"/>
  <c r="BF4188" i="4"/>
  <c r="BF4469" i="4"/>
  <c r="BG4469" i="4"/>
  <c r="BG5053" i="4"/>
  <c r="BF5053" i="4"/>
  <c r="BF5677" i="4"/>
  <c r="BG5677" i="4"/>
  <c r="BF4304" i="4"/>
  <c r="BG4304" i="4"/>
  <c r="BF4880" i="4"/>
  <c r="BG4880" i="4"/>
  <c r="BG5173" i="4"/>
  <c r="BF5173" i="4"/>
  <c r="BG5471" i="4"/>
  <c r="BF5471" i="4"/>
  <c r="BG5845" i="4"/>
  <c r="BF5845" i="4"/>
  <c r="BG4342" i="4"/>
  <c r="BF4342" i="4"/>
  <c r="BF4627" i="4"/>
  <c r="BG4627" i="4"/>
  <c r="BG4920" i="4"/>
  <c r="BF4920" i="4"/>
  <c r="BF3246" i="4"/>
  <c r="BG3246" i="4"/>
  <c r="BF3488" i="4"/>
  <c r="BG3488" i="4"/>
  <c r="BG3734" i="4"/>
  <c r="BF3734" i="4"/>
  <c r="BG5161" i="4"/>
  <c r="BF5161" i="4"/>
  <c r="BG5457" i="4"/>
  <c r="BF5457" i="4"/>
  <c r="BG5826" i="4"/>
  <c r="BF5826" i="4"/>
  <c r="BG5919" i="4"/>
  <c r="BF5919" i="4"/>
  <c r="BG6026" i="4"/>
  <c r="BF6026" i="4"/>
  <c r="BG6015" i="4"/>
  <c r="BF6015" i="4"/>
  <c r="BF4682" i="4"/>
  <c r="BG4682" i="4"/>
  <c r="BG5189" i="4"/>
  <c r="BF5189" i="4"/>
  <c r="BG5735" i="4"/>
  <c r="BF5735" i="4"/>
  <c r="BG6031" i="4"/>
  <c r="BF6031" i="4"/>
  <c r="BG3994" i="4"/>
  <c r="BF3994" i="4"/>
  <c r="BG4236" i="4"/>
  <c r="BF4236" i="4"/>
  <c r="BG4478" i="4"/>
  <c r="BF4478" i="4"/>
  <c r="BG4982" i="4"/>
  <c r="BF4982" i="4"/>
  <c r="BG3720" i="4"/>
  <c r="BF3720" i="4"/>
  <c r="BG3962" i="4"/>
  <c r="BF3962" i="4"/>
  <c r="BG4204" i="4"/>
  <c r="BF4204" i="4"/>
  <c r="BF4446" i="4"/>
  <c r="BG4446" i="4"/>
  <c r="BG4695" i="4"/>
  <c r="BF4695" i="4"/>
  <c r="BG5202" i="4"/>
  <c r="BF5202" i="4"/>
  <c r="BG5459" i="4"/>
  <c r="BF5459" i="4"/>
  <c r="BG5642" i="4"/>
  <c r="BF5642" i="4"/>
  <c r="BG5884" i="4"/>
  <c r="BF5884" i="4"/>
  <c r="BF4719" i="4"/>
  <c r="BG4719" i="4"/>
  <c r="BF4961" i="4"/>
  <c r="BG4961" i="4"/>
  <c r="BG5203" i="4"/>
  <c r="BF5203" i="4"/>
  <c r="BG5445" i="4"/>
  <c r="BF5445" i="4"/>
  <c r="BG5687" i="4"/>
  <c r="BF5687" i="4"/>
  <c r="BG5929" i="4"/>
  <c r="BF5929" i="4"/>
  <c r="BG3763" i="4"/>
  <c r="BF3763" i="4"/>
  <c r="BF1454" i="4"/>
  <c r="BG1454" i="4"/>
  <c r="BG693" i="4"/>
  <c r="BF693" i="4"/>
  <c r="BG86" i="4"/>
  <c r="BF86" i="4"/>
  <c r="BF2131" i="4"/>
  <c r="BG2131" i="4"/>
  <c r="BG5651" i="4"/>
  <c r="BF5651" i="4"/>
  <c r="BG2958" i="4"/>
  <c r="BF2958" i="4"/>
  <c r="BG1919" i="4"/>
  <c r="BF1919" i="4"/>
  <c r="BG1079" i="4"/>
  <c r="BF1079" i="4"/>
  <c r="BG2667" i="4"/>
  <c r="BF2667" i="4"/>
  <c r="BG1718" i="4"/>
  <c r="BF1718" i="4"/>
  <c r="BF4344" i="4"/>
  <c r="BG4344" i="4"/>
  <c r="BG2558" i="4"/>
  <c r="BF2558" i="4"/>
  <c r="BG1630" i="4"/>
  <c r="BF1630" i="4"/>
  <c r="BG841" i="4"/>
  <c r="BF841" i="4"/>
  <c r="BN3325" i="4"/>
  <c r="BM3325" i="4"/>
  <c r="BN1931" i="4"/>
  <c r="BM1931" i="4"/>
  <c r="BG791" i="4"/>
  <c r="BF791" i="4"/>
  <c r="BG5960" i="4"/>
  <c r="BF5960" i="4"/>
  <c r="BG2930" i="4"/>
  <c r="BF2930" i="4"/>
  <c r="BG5283" i="4"/>
  <c r="BF5283" i="4"/>
  <c r="BN1092" i="4"/>
  <c r="BM1092" i="4"/>
  <c r="BN2483" i="4"/>
  <c r="BM2483" i="4"/>
  <c r="BN758" i="4"/>
  <c r="BM758" i="4"/>
  <c r="BN3156" i="4"/>
  <c r="BM3156" i="4"/>
  <c r="BN3128" i="4"/>
  <c r="BM3128" i="4"/>
  <c r="BM1569" i="4"/>
  <c r="BN1569" i="4"/>
  <c r="BN2986" i="4"/>
  <c r="BM2986" i="4"/>
  <c r="BN3492" i="4"/>
  <c r="BM3492" i="4"/>
  <c r="BM1881" i="4"/>
  <c r="BN1881" i="4"/>
  <c r="BF2212" i="4"/>
  <c r="BG2212" i="4"/>
  <c r="BG3028" i="4"/>
  <c r="BF3028" i="4"/>
  <c r="BG4333" i="4"/>
  <c r="BF4333" i="4"/>
  <c r="BG3483" i="4"/>
  <c r="BF3483" i="4"/>
  <c r="BN1358" i="4"/>
  <c r="BM1358" i="4"/>
  <c r="BN1065" i="4"/>
  <c r="BM1065" i="4"/>
  <c r="BM416" i="4"/>
  <c r="BN416" i="4"/>
  <c r="BG611" i="4"/>
  <c r="BF611" i="4"/>
  <c r="BG4386" i="4"/>
  <c r="BF4386" i="4"/>
  <c r="BF4282" i="4"/>
  <c r="BG4282" i="4"/>
  <c r="BG5382" i="4"/>
  <c r="BF5382" i="4"/>
  <c r="BG4943" i="4"/>
  <c r="BF4943" i="4"/>
  <c r="BG4558" i="4"/>
  <c r="BF4558" i="4"/>
  <c r="BG5485" i="4"/>
  <c r="BF5485" i="4"/>
  <c r="BG3830" i="4"/>
  <c r="BF3830" i="4"/>
  <c r="BG4587" i="4"/>
  <c r="BF4587" i="4"/>
  <c r="BG2670" i="4"/>
  <c r="BF2670" i="4"/>
  <c r="BF2115" i="4"/>
  <c r="BG2115" i="4"/>
  <c r="BN2764" i="4"/>
  <c r="BM2764" i="4"/>
  <c r="BM1634" i="4"/>
  <c r="BN1634" i="4"/>
  <c r="BN481" i="4"/>
  <c r="BM481" i="4"/>
  <c r="BM417" i="4"/>
  <c r="BN417" i="4"/>
  <c r="BN1050" i="4"/>
  <c r="BM1050" i="4"/>
  <c r="BN2771" i="4"/>
  <c r="BM2771" i="4"/>
  <c r="BN443" i="4"/>
  <c r="BM443" i="4"/>
  <c r="BN728" i="4"/>
  <c r="BM728" i="4"/>
  <c r="BN2842" i="4"/>
  <c r="BM2842" i="4"/>
  <c r="BN3171" i="4"/>
  <c r="BM3171" i="4"/>
  <c r="BM1468" i="4"/>
  <c r="BN1468" i="4"/>
  <c r="BN2309" i="4"/>
  <c r="BM2309" i="4"/>
  <c r="BN3099" i="4"/>
  <c r="BM3099" i="4"/>
  <c r="BN384" i="4"/>
  <c r="BM384" i="4"/>
  <c r="BM1978" i="4"/>
  <c r="BN1978" i="4"/>
  <c r="BN823" i="4"/>
  <c r="BM823" i="4"/>
  <c r="BN3101" i="4"/>
  <c r="BM3101" i="4"/>
  <c r="BM1004" i="4"/>
  <c r="BN1004" i="4"/>
  <c r="BN1429" i="4"/>
  <c r="BM1429" i="4"/>
  <c r="BM1979" i="4"/>
  <c r="BN1979" i="4"/>
  <c r="BM1642" i="4"/>
  <c r="BN1642" i="4"/>
  <c r="BN2537" i="4"/>
  <c r="BM2537" i="4"/>
  <c r="BN1828" i="4"/>
  <c r="BM1828" i="4"/>
  <c r="BM945" i="4"/>
  <c r="BN945" i="4"/>
  <c r="BN1791" i="4"/>
  <c r="BM1791" i="4"/>
  <c r="BN1116" i="4"/>
  <c r="BM1116" i="4"/>
  <c r="BN1433" i="4"/>
  <c r="BM1433" i="4"/>
  <c r="BN2755" i="4"/>
  <c r="BM2755" i="4"/>
  <c r="BN835" i="4"/>
  <c r="BM835" i="4"/>
  <c r="BN1815" i="4"/>
  <c r="BM1815" i="4"/>
  <c r="BN3356" i="4"/>
  <c r="BM3356" i="4"/>
  <c r="BN1455" i="4"/>
  <c r="BM1455" i="4"/>
  <c r="BM2279" i="4"/>
  <c r="BN2279" i="4"/>
  <c r="BN2786" i="4"/>
  <c r="BM2786" i="4"/>
  <c r="BN2872" i="4"/>
  <c r="BM2872" i="4"/>
  <c r="BN3263" i="4"/>
  <c r="BM3263" i="4"/>
  <c r="BN2396" i="4"/>
  <c r="BM2396" i="4"/>
  <c r="BN3121" i="4"/>
  <c r="BM3121" i="4"/>
  <c r="BN1163" i="4"/>
  <c r="BM1163" i="4"/>
  <c r="BN2322" i="4"/>
  <c r="BM2322" i="4"/>
  <c r="BN1573" i="4"/>
  <c r="BM1573" i="4"/>
  <c r="BN2494" i="4"/>
  <c r="BM2494" i="4"/>
  <c r="BN3233" i="4"/>
  <c r="BM3233" i="4"/>
  <c r="BM1212" i="4"/>
  <c r="BN1212" i="4"/>
  <c r="BN1773" i="4"/>
  <c r="BM1773" i="4"/>
  <c r="BM3110" i="4"/>
  <c r="BN3110" i="4"/>
  <c r="BN1247" i="4"/>
  <c r="BM1247" i="4"/>
  <c r="BN3165" i="4"/>
  <c r="BM3165" i="4"/>
  <c r="BN3543" i="4"/>
  <c r="BM3543" i="4"/>
  <c r="BM2176" i="4"/>
  <c r="BN2176" i="4"/>
  <c r="BM3398" i="4"/>
  <c r="BN3398" i="4"/>
  <c r="BN946" i="4"/>
  <c r="BM946" i="4"/>
  <c r="BN2835" i="4"/>
  <c r="BM2835" i="4"/>
  <c r="BN2836" i="4"/>
  <c r="BM2836" i="4"/>
  <c r="BN2928" i="4"/>
  <c r="BM2928" i="4"/>
  <c r="BM1046" i="4"/>
  <c r="BN1046" i="4"/>
  <c r="BN933" i="4"/>
  <c r="BM933" i="4"/>
  <c r="BG2488" i="4"/>
  <c r="BF2488" i="4"/>
  <c r="BG5367" i="4"/>
  <c r="BF5367" i="4"/>
  <c r="BF1476" i="4"/>
  <c r="BG1476" i="4"/>
  <c r="BF1791" i="4"/>
  <c r="BG1791" i="4"/>
  <c r="BG2411" i="4"/>
  <c r="BF2411" i="4"/>
  <c r="BG1658" i="4"/>
  <c r="BF1658" i="4"/>
  <c r="BG5366" i="4"/>
  <c r="BF5366" i="4"/>
  <c r="BG2908" i="4"/>
  <c r="BF2908" i="4"/>
  <c r="BG2804" i="4"/>
  <c r="BF2804" i="4"/>
  <c r="BG3459" i="4"/>
  <c r="BF3459" i="4"/>
  <c r="BG4499" i="4"/>
  <c r="BF4499" i="4"/>
  <c r="BG3574" i="4"/>
  <c r="BF3574" i="4"/>
  <c r="BG1183" i="4"/>
  <c r="BF1183" i="4"/>
  <c r="BF1909" i="4"/>
  <c r="BG1909" i="4"/>
  <c r="BF2904" i="4"/>
  <c r="BG2904" i="4"/>
  <c r="BF4395" i="4"/>
  <c r="BG4395" i="4"/>
  <c r="BG1283" i="4"/>
  <c r="BF1283" i="4"/>
  <c r="BG1767" i="4"/>
  <c r="BF1767" i="4"/>
  <c r="BG2251" i="4"/>
  <c r="BF2251" i="4"/>
  <c r="BG2496" i="4"/>
  <c r="BF2496" i="4"/>
  <c r="BG3019" i="4"/>
  <c r="BF3019" i="4"/>
  <c r="BF2880" i="4"/>
  <c r="BG2880" i="4"/>
  <c r="BG3512" i="4"/>
  <c r="BF3512" i="4"/>
  <c r="BF3889" i="4"/>
  <c r="BG3889" i="4"/>
  <c r="BG4396" i="4"/>
  <c r="BF4396" i="4"/>
  <c r="BG5737" i="4"/>
  <c r="BF5737" i="4"/>
  <c r="BF5450" i="4"/>
  <c r="BG5450" i="4"/>
  <c r="BG3065" i="4"/>
  <c r="BF3065" i="4"/>
  <c r="BG3307" i="4"/>
  <c r="BF3307" i="4"/>
  <c r="BG3549" i="4"/>
  <c r="BF3549" i="4"/>
  <c r="BF5234" i="4"/>
  <c r="BG5234" i="4"/>
  <c r="BF3993" i="4"/>
  <c r="BG3993" i="4"/>
  <c r="BF4274" i="4"/>
  <c r="BG4274" i="4"/>
  <c r="BG5801" i="4"/>
  <c r="BF5801" i="4"/>
  <c r="BF3352" i="4"/>
  <c r="BG3352" i="4"/>
  <c r="BF3594" i="4"/>
  <c r="BG3594" i="4"/>
  <c r="BG4134" i="4"/>
  <c r="BF4134" i="4"/>
  <c r="BG4415" i="4"/>
  <c r="BF4415" i="4"/>
  <c r="BG4702" i="4"/>
  <c r="BF4702" i="4"/>
  <c r="BG5604" i="4"/>
  <c r="BF5604" i="4"/>
  <c r="BG6007" i="4"/>
  <c r="BF6007" i="4"/>
  <c r="BG3855" i="4"/>
  <c r="BF3855" i="4"/>
  <c r="BG4997" i="4"/>
  <c r="BF4997" i="4"/>
  <c r="BF3067" i="4"/>
  <c r="BG3067" i="4"/>
  <c r="BF3804" i="4"/>
  <c r="BG3804" i="4"/>
  <c r="BG5238" i="4"/>
  <c r="BF5238" i="4"/>
  <c r="BG5933" i="4"/>
  <c r="BF5933" i="4"/>
  <c r="BG4264" i="4"/>
  <c r="BF4264" i="4"/>
  <c r="BG4545" i="4"/>
  <c r="BF4545" i="4"/>
  <c r="BG4838" i="4"/>
  <c r="BF4838" i="4"/>
  <c r="BG5131" i="4"/>
  <c r="BF5131" i="4"/>
  <c r="BG5787" i="4"/>
  <c r="BF5787" i="4"/>
  <c r="BG4366" i="4"/>
  <c r="BF4366" i="4"/>
  <c r="BG4945" i="4"/>
  <c r="BF4945" i="4"/>
  <c r="BF5935" i="4"/>
  <c r="BG5935" i="4"/>
  <c r="BG4201" i="4"/>
  <c r="BF4201" i="4"/>
  <c r="BG4772" i="4"/>
  <c r="BF4772" i="4"/>
  <c r="BG4520" i="4"/>
  <c r="BF4520" i="4"/>
  <c r="BF3158" i="4"/>
  <c r="BG3158" i="4"/>
  <c r="BF3642" i="4"/>
  <c r="BG3642" i="4"/>
  <c r="BG4760" i="4"/>
  <c r="BF4760" i="4"/>
  <c r="BF5679" i="4"/>
  <c r="BG5679" i="4"/>
  <c r="BF5811" i="4"/>
  <c r="BG5811" i="4"/>
  <c r="BG4590" i="4"/>
  <c r="BF4590" i="4"/>
  <c r="BG5097" i="4"/>
  <c r="BF5097" i="4"/>
  <c r="BF5923" i="4"/>
  <c r="BG5923" i="4"/>
  <c r="BG3906" i="4"/>
  <c r="BF3906" i="4"/>
  <c r="BG4390" i="4"/>
  <c r="BF4390" i="4"/>
  <c r="BG4890" i="4"/>
  <c r="BF4890" i="4"/>
  <c r="BG5397" i="4"/>
  <c r="BF5397" i="4"/>
  <c r="BG4116" i="4"/>
  <c r="BF4116" i="4"/>
  <c r="BG4603" i="4"/>
  <c r="BF4603" i="4"/>
  <c r="BG5110" i="4"/>
  <c r="BF5110" i="4"/>
  <c r="BG5938" i="4"/>
  <c r="BF5938" i="4"/>
  <c r="BG5796" i="4"/>
  <c r="BF5796" i="4"/>
  <c r="BG4873" i="4"/>
  <c r="BF4873" i="4"/>
  <c r="BG5115" i="4"/>
  <c r="BF5115" i="4"/>
  <c r="BG5357" i="4"/>
  <c r="BF5357" i="4"/>
  <c r="BG5599" i="4"/>
  <c r="BF5599" i="4"/>
  <c r="BG2468" i="4"/>
  <c r="BF2468" i="4"/>
  <c r="BF164" i="4"/>
  <c r="BG164" i="4"/>
  <c r="BG1375" i="4"/>
  <c r="BF1375" i="4"/>
  <c r="BG628" i="4"/>
  <c r="BF628" i="4"/>
  <c r="BG2040" i="4"/>
  <c r="BF2040" i="4"/>
  <c r="BF484" i="4"/>
  <c r="BG484" i="4"/>
  <c r="BN1320" i="4"/>
  <c r="BM1320" i="4"/>
  <c r="BN318" i="4"/>
  <c r="BM318" i="4"/>
  <c r="BN3582" i="4"/>
  <c r="BM3582" i="4"/>
  <c r="BN1256" i="4"/>
  <c r="BM1256" i="4"/>
  <c r="BN687" i="4"/>
  <c r="BM687" i="4"/>
  <c r="BM282" i="4"/>
  <c r="BN282" i="4"/>
  <c r="BN1442" i="4"/>
  <c r="BM1442" i="4"/>
  <c r="BN1996" i="4"/>
  <c r="BM1996" i="4"/>
  <c r="BN2332" i="4"/>
  <c r="BM2332" i="4"/>
  <c r="BM284" i="4"/>
  <c r="BN284" i="4"/>
  <c r="BN557" i="4"/>
  <c r="BM557" i="4"/>
  <c r="BN2401" i="4"/>
  <c r="BM2401" i="4"/>
  <c r="BN3213" i="4"/>
  <c r="BM3213" i="4"/>
  <c r="BN1975" i="4"/>
  <c r="BM1975" i="4"/>
  <c r="BN3556" i="4"/>
  <c r="BM3556" i="4"/>
  <c r="BM249" i="4"/>
  <c r="BN249" i="4"/>
  <c r="BM520" i="4"/>
  <c r="BN520" i="4"/>
  <c r="BM1203" i="4"/>
  <c r="BN1203" i="4"/>
  <c r="BN1670" i="4"/>
  <c r="BM1670" i="4"/>
  <c r="BN2307" i="4"/>
  <c r="BM2307" i="4"/>
  <c r="BN3088" i="4"/>
  <c r="BM3088" i="4"/>
  <c r="BN1921" i="4"/>
  <c r="BM1921" i="4"/>
  <c r="BN2610" i="4"/>
  <c r="BM2610" i="4"/>
  <c r="BN3481" i="4"/>
  <c r="BM3481" i="4"/>
  <c r="BM227" i="4"/>
  <c r="BN227" i="4"/>
  <c r="BM1167" i="4"/>
  <c r="BN1167" i="4"/>
  <c r="BN1628" i="4"/>
  <c r="BM1628" i="4"/>
  <c r="BN2247" i="4"/>
  <c r="BM2247" i="4"/>
  <c r="BN3019" i="4"/>
  <c r="BM3019" i="4"/>
  <c r="BM1383" i="4"/>
  <c r="BN1383" i="4"/>
  <c r="BM1923" i="4"/>
  <c r="BN1923" i="4"/>
  <c r="BN2614" i="4"/>
  <c r="BM2614" i="4"/>
  <c r="BN228" i="4"/>
  <c r="BM228" i="4"/>
  <c r="BN1168" i="4"/>
  <c r="BM1168" i="4"/>
  <c r="BN2248" i="4"/>
  <c r="BM2248" i="4"/>
  <c r="BN3348" i="4"/>
  <c r="BM3348" i="4"/>
  <c r="BM3009" i="4"/>
  <c r="BN3009" i="4"/>
  <c r="BN1369" i="4"/>
  <c r="BM1369" i="4"/>
  <c r="BN3238" i="4"/>
  <c r="BM3238" i="4"/>
  <c r="BM1227" i="4"/>
  <c r="BN1227" i="4"/>
  <c r="BN1965" i="4"/>
  <c r="BM1965" i="4"/>
  <c r="BM674" i="4"/>
  <c r="BN674" i="4"/>
  <c r="BN948" i="4"/>
  <c r="BM948" i="4"/>
  <c r="BM1241" i="4"/>
  <c r="BN1241" i="4"/>
  <c r="BN1988" i="4"/>
  <c r="BM1988" i="4"/>
  <c r="BN2453" i="4"/>
  <c r="BM2453" i="4"/>
  <c r="BN2987" i="4"/>
  <c r="BM2987" i="4"/>
  <c r="BN1582" i="4"/>
  <c r="BM1582" i="4"/>
  <c r="BN2989" i="4"/>
  <c r="BM2989" i="4"/>
  <c r="BN689" i="4"/>
  <c r="BM689" i="4"/>
  <c r="BM1260" i="4"/>
  <c r="BN1260" i="4"/>
  <c r="BN2011" i="4"/>
  <c r="BM2011" i="4"/>
  <c r="BN3023" i="4"/>
  <c r="BM3023" i="4"/>
  <c r="BN1714" i="4"/>
  <c r="BM1714" i="4"/>
  <c r="BN2007" i="4"/>
  <c r="BM2007" i="4"/>
  <c r="BN3431" i="4"/>
  <c r="BM3431" i="4"/>
  <c r="BN1902" i="4"/>
  <c r="BM1902" i="4"/>
  <c r="BN2203" i="4"/>
  <c r="BM2203" i="4"/>
  <c r="BN2536" i="4"/>
  <c r="BM2536" i="4"/>
  <c r="BN2892" i="4"/>
  <c r="BM2892" i="4"/>
  <c r="BM3284" i="4"/>
  <c r="BN3284" i="4"/>
  <c r="BN2963" i="4"/>
  <c r="BM2963" i="4"/>
  <c r="BN1267" i="4"/>
  <c r="BM1267" i="4"/>
  <c r="BN1837" i="4"/>
  <c r="BM1837" i="4"/>
  <c r="BM2132" i="4"/>
  <c r="BN2132" i="4"/>
  <c r="BN2811" i="4"/>
  <c r="BM2811" i="4"/>
  <c r="BN381" i="4"/>
  <c r="BM381" i="4"/>
  <c r="BM888" i="4"/>
  <c r="BN888" i="4"/>
  <c r="BN1693" i="4"/>
  <c r="BM1693" i="4"/>
  <c r="BN1985" i="4"/>
  <c r="BM1985" i="4"/>
  <c r="BN3000" i="4"/>
  <c r="BM3000" i="4"/>
  <c r="BN3399" i="4"/>
  <c r="BM3399" i="4"/>
  <c r="BM3217" i="4"/>
  <c r="BN3217" i="4"/>
  <c r="BN1062" i="4"/>
  <c r="BM1062" i="4"/>
  <c r="BN1316" i="4"/>
  <c r="BM1316" i="4"/>
  <c r="BN1600" i="4"/>
  <c r="BM1600" i="4"/>
  <c r="BN1893" i="4"/>
  <c r="BM1893" i="4"/>
  <c r="BN2194" i="4"/>
  <c r="BM2194" i="4"/>
  <c r="BN2881" i="4"/>
  <c r="BM2881" i="4"/>
  <c r="BM3273" i="4"/>
  <c r="BN3273" i="4"/>
  <c r="BM1097" i="4"/>
  <c r="BN1097" i="4"/>
  <c r="BN1934" i="4"/>
  <c r="BM1934" i="4"/>
  <c r="BN2238" i="4"/>
  <c r="BM2238" i="4"/>
  <c r="BN2573" i="4"/>
  <c r="BM2573" i="4"/>
  <c r="BN3455" i="4"/>
  <c r="BM3455" i="4"/>
  <c r="BN3031" i="4"/>
  <c r="BM3031" i="4"/>
  <c r="BN3353" i="4"/>
  <c r="BM3353" i="4"/>
  <c r="BM2290" i="4"/>
  <c r="BN2290" i="4"/>
  <c r="BM2888" i="4"/>
  <c r="BN2888" i="4"/>
  <c r="BM3207" i="4"/>
  <c r="BN3207" i="4"/>
  <c r="BN3530" i="4"/>
  <c r="BM3530" i="4"/>
  <c r="BM319" i="4"/>
  <c r="BN319" i="4"/>
  <c r="BN561" i="4"/>
  <c r="BM561" i="4"/>
  <c r="BN803" i="4"/>
  <c r="BM803" i="4"/>
  <c r="BN1045" i="4"/>
  <c r="BM1045" i="4"/>
  <c r="BN1287" i="4"/>
  <c r="BM1287" i="4"/>
  <c r="BM1547" i="4"/>
  <c r="BN1547" i="4"/>
  <c r="BM3196" i="4"/>
  <c r="BN3196" i="4"/>
  <c r="BN2543" i="4"/>
  <c r="BM2543" i="4"/>
  <c r="BM2785" i="4"/>
  <c r="BN2785" i="4"/>
  <c r="BN3027" i="4"/>
  <c r="BM3027" i="4"/>
  <c r="BM3269" i="4"/>
  <c r="BN3269" i="4"/>
  <c r="BM3511" i="4"/>
  <c r="BN3511" i="4"/>
  <c r="BN1288" i="4"/>
  <c r="BM1288" i="4"/>
  <c r="BM707" i="4"/>
  <c r="BN707" i="4"/>
  <c r="BM3327" i="4"/>
  <c r="BN3327" i="4"/>
  <c r="BN1044" i="4"/>
  <c r="BM1044" i="4"/>
  <c r="BM552" i="4"/>
  <c r="BN552" i="4"/>
  <c r="BM157" i="4"/>
  <c r="BN157" i="4"/>
  <c r="BM2691" i="4"/>
  <c r="BN2691" i="4"/>
  <c r="BN1588" i="4"/>
  <c r="BM1588" i="4"/>
  <c r="BM76" i="4"/>
  <c r="BN76" i="4"/>
  <c r="BM811" i="4"/>
  <c r="BN811" i="4"/>
  <c r="BN386" i="4"/>
  <c r="BM386" i="4"/>
  <c r="BN2233" i="4"/>
  <c r="BM2233" i="4"/>
  <c r="BM1308" i="4"/>
  <c r="BN1308" i="4"/>
  <c r="BM314" i="4"/>
  <c r="BN314" i="4"/>
  <c r="BM721" i="4"/>
  <c r="BN721" i="4"/>
  <c r="BN2127" i="4"/>
  <c r="BM2127" i="4"/>
  <c r="BN277" i="4"/>
  <c r="BM277" i="4"/>
  <c r="BN1096" i="4"/>
  <c r="BM1096" i="4"/>
  <c r="BN584" i="4"/>
  <c r="BM584" i="4"/>
  <c r="BG2101" i="4"/>
  <c r="BF2101" i="4"/>
  <c r="BG5739" i="4"/>
  <c r="BF5739" i="4"/>
  <c r="BF1935" i="4"/>
  <c r="BG1935" i="4"/>
  <c r="BF1092" i="4"/>
  <c r="BG1092" i="4"/>
  <c r="BG416" i="4"/>
  <c r="BF416" i="4"/>
  <c r="BG4977" i="4"/>
  <c r="BF4977" i="4"/>
  <c r="BG2740" i="4"/>
  <c r="BF2740" i="4"/>
  <c r="BF1769" i="4"/>
  <c r="BG1769" i="4"/>
  <c r="BG4267" i="4"/>
  <c r="BF4267" i="4"/>
  <c r="BG2525" i="4"/>
  <c r="BF2525" i="4"/>
  <c r="BF828" i="4"/>
  <c r="BG828" i="4"/>
  <c r="BG197" i="4"/>
  <c r="BF197" i="4"/>
  <c r="BG3787" i="4"/>
  <c r="BF3787" i="4"/>
  <c r="BG2343" i="4"/>
  <c r="BF2343" i="4"/>
  <c r="BG3425" i="4"/>
  <c r="BF3425" i="4"/>
  <c r="BG1308" i="4"/>
  <c r="BF1308" i="4"/>
  <c r="BF581" i="4"/>
  <c r="BG581" i="4"/>
  <c r="BG2010" i="4"/>
  <c r="BF2010" i="4"/>
  <c r="BG1878" i="4"/>
  <c r="BF1878" i="4"/>
  <c r="BF2210" i="4"/>
  <c r="BG2210" i="4"/>
  <c r="BF3012" i="4"/>
  <c r="BG3012" i="4"/>
  <c r="BF201" i="4"/>
  <c r="BG201" i="4"/>
  <c r="BG443" i="4"/>
  <c r="BF443" i="4"/>
  <c r="BF685" i="4"/>
  <c r="BG685" i="4"/>
  <c r="BG937" i="4"/>
  <c r="BF937" i="4"/>
  <c r="BG1219" i="4"/>
  <c r="BF1219" i="4"/>
  <c r="BG1515" i="4"/>
  <c r="BF1515" i="4"/>
  <c r="BG2945" i="4"/>
  <c r="BF2945" i="4"/>
  <c r="BG3567" i="4"/>
  <c r="BF3567" i="4"/>
  <c r="BG585" i="4"/>
  <c r="BF585" i="4"/>
  <c r="BG1594" i="4"/>
  <c r="BF1594" i="4"/>
  <c r="BG834" i="4"/>
  <c r="BF834" i="4"/>
  <c r="BG1696" i="4"/>
  <c r="BF1696" i="4"/>
  <c r="BG2029" i="4"/>
  <c r="BF2029" i="4"/>
  <c r="BG2363" i="4"/>
  <c r="BF2363" i="4"/>
  <c r="BG2751" i="4"/>
  <c r="BF2751" i="4"/>
  <c r="BG4" i="4"/>
  <c r="BF4" i="4"/>
  <c r="BG246" i="4"/>
  <c r="BF246" i="4"/>
  <c r="BF488" i="4"/>
  <c r="BG488" i="4"/>
  <c r="BF985" i="4"/>
  <c r="BG985" i="4"/>
  <c r="BG1274" i="4"/>
  <c r="BF1274" i="4"/>
  <c r="BF1570" i="4"/>
  <c r="BG1570" i="4"/>
  <c r="BG2584" i="4"/>
  <c r="BF2584" i="4"/>
  <c r="BG3040" i="4"/>
  <c r="BF3040" i="4"/>
  <c r="BG3699" i="4"/>
  <c r="BF3699" i="4"/>
  <c r="BG4804" i="4"/>
  <c r="BF4804" i="4"/>
  <c r="BG1773" i="4"/>
  <c r="BF1773" i="4"/>
  <c r="BF2106" i="4"/>
  <c r="BG2106" i="4"/>
  <c r="BG4295" i="4"/>
  <c r="BF4295" i="4"/>
  <c r="BF901" i="4"/>
  <c r="BG901" i="4"/>
  <c r="BG2268" i="4"/>
  <c r="BF2268" i="4"/>
  <c r="BG3139" i="4"/>
  <c r="BF3139" i="4"/>
  <c r="BG695" i="4"/>
  <c r="BF695" i="4"/>
  <c r="BG1566" i="4"/>
  <c r="BF1566" i="4"/>
  <c r="BG3566" i="4"/>
  <c r="BF3566" i="4"/>
  <c r="BF27" i="4"/>
  <c r="BG27" i="4"/>
  <c r="BG269" i="4"/>
  <c r="BF269" i="4"/>
  <c r="BG511" i="4"/>
  <c r="BF511" i="4"/>
  <c r="BG1011" i="4"/>
  <c r="BF1011" i="4"/>
  <c r="BG1301" i="4"/>
  <c r="BF1301" i="4"/>
  <c r="BG1597" i="4"/>
  <c r="BF1597" i="4"/>
  <c r="BG3780" i="4"/>
  <c r="BF3780" i="4"/>
  <c r="BG4927" i="4"/>
  <c r="BF4927" i="4"/>
  <c r="BG755" i="4"/>
  <c r="BF755" i="4"/>
  <c r="BG1926" i="4"/>
  <c r="BF1926" i="4"/>
  <c r="BG2258" i="4"/>
  <c r="BF2258" i="4"/>
  <c r="BF2625" i="4"/>
  <c r="BG2625" i="4"/>
  <c r="BG3096" i="4"/>
  <c r="BF3096" i="4"/>
  <c r="BG3781" i="4"/>
  <c r="BF3781" i="4"/>
  <c r="BG28" i="4"/>
  <c r="BF28" i="4"/>
  <c r="BG270" i="4"/>
  <c r="BF270" i="4"/>
  <c r="BG512" i="4"/>
  <c r="BF512" i="4"/>
  <c r="BG756" i="4"/>
  <c r="BF756" i="4"/>
  <c r="BG1012" i="4"/>
  <c r="BF1012" i="4"/>
  <c r="BG1302" i="4"/>
  <c r="BF1302" i="4"/>
  <c r="BG1598" i="4"/>
  <c r="BF1598" i="4"/>
  <c r="BG1882" i="4"/>
  <c r="BF1882" i="4"/>
  <c r="BG2214" i="4"/>
  <c r="BF2214" i="4"/>
  <c r="BG3022" i="4"/>
  <c r="BF3022" i="4"/>
  <c r="BG3677" i="4"/>
  <c r="BF3677" i="4"/>
  <c r="BF172" i="4"/>
  <c r="BG172" i="4"/>
  <c r="BF414" i="4"/>
  <c r="BG414" i="4"/>
  <c r="BG656" i="4"/>
  <c r="BF656" i="4"/>
  <c r="BF1182" i="4"/>
  <c r="BG1182" i="4"/>
  <c r="BG1478" i="4"/>
  <c r="BF1478" i="4"/>
  <c r="BG2883" i="4"/>
  <c r="BF2883" i="4"/>
  <c r="BF4373" i="4"/>
  <c r="BG4373" i="4"/>
  <c r="BG5871" i="4"/>
  <c r="BF5871" i="4"/>
  <c r="BG815" i="4"/>
  <c r="BF815" i="4"/>
  <c r="BG1672" i="4"/>
  <c r="BF1672" i="4"/>
  <c r="BG2004" i="4"/>
  <c r="BF2004" i="4"/>
  <c r="BG2337" i="4"/>
  <c r="BF2337" i="4"/>
  <c r="BF2344" i="4"/>
  <c r="BG2344" i="4"/>
  <c r="BG3316" i="4"/>
  <c r="BF3316" i="4"/>
  <c r="BF740" i="4"/>
  <c r="BG740" i="4"/>
  <c r="BG1553" i="4"/>
  <c r="BF1553" i="4"/>
  <c r="BG3663" i="4"/>
  <c r="BF3663" i="4"/>
  <c r="BG41" i="4"/>
  <c r="BF41" i="4"/>
  <c r="BG283" i="4"/>
  <c r="BF283" i="4"/>
  <c r="BG525" i="4"/>
  <c r="BF525" i="4"/>
  <c r="BF1026" i="4"/>
  <c r="BG1026" i="4"/>
  <c r="BG1319" i="4"/>
  <c r="BF1319" i="4"/>
  <c r="BG1616" i="4"/>
  <c r="BF1616" i="4"/>
  <c r="BG3127" i="4"/>
  <c r="BF3127" i="4"/>
  <c r="BG4843" i="4"/>
  <c r="BF4843" i="4"/>
  <c r="BG2676" i="4"/>
  <c r="BF2676" i="4"/>
  <c r="BG2938" i="4"/>
  <c r="BF2938" i="4"/>
  <c r="BF3586" i="4"/>
  <c r="BG3586" i="4"/>
  <c r="BG4524" i="4"/>
  <c r="BF4524" i="4"/>
  <c r="BF5165" i="4"/>
  <c r="BG5165" i="4"/>
  <c r="BG5921" i="4"/>
  <c r="BF5921" i="4"/>
  <c r="BG2875" i="4"/>
  <c r="BF2875" i="4"/>
  <c r="BG3171" i="4"/>
  <c r="BF3171" i="4"/>
  <c r="BG3504" i="4"/>
  <c r="BF3504" i="4"/>
  <c r="BF4384" i="4"/>
  <c r="BG4384" i="4"/>
  <c r="BF5020" i="4"/>
  <c r="BG5020" i="4"/>
  <c r="BF5718" i="4"/>
  <c r="BG5718" i="4"/>
  <c r="BG2792" i="4"/>
  <c r="BF2792" i="4"/>
  <c r="BG3072" i="4"/>
  <c r="BF3072" i="4"/>
  <c r="BG3398" i="4"/>
  <c r="BF3398" i="4"/>
  <c r="BG3752" i="4"/>
  <c r="BF3752" i="4"/>
  <c r="BG4817" i="4"/>
  <c r="BF4817" i="4"/>
  <c r="BG1676" i="4"/>
  <c r="BF1676" i="4"/>
  <c r="BG1918" i="4"/>
  <c r="BF1918" i="4"/>
  <c r="BG2160" i="4"/>
  <c r="BF2160" i="4"/>
  <c r="BG2402" i="4"/>
  <c r="BF2402" i="4"/>
  <c r="BG2914" i="4"/>
  <c r="BF2914" i="4"/>
  <c r="BF4472" i="4"/>
  <c r="BG4472" i="4"/>
  <c r="BG5112" i="4"/>
  <c r="BF5112" i="4"/>
  <c r="BG2436" i="4"/>
  <c r="BF2436" i="4"/>
  <c r="BG3262" i="4"/>
  <c r="BF3262" i="4"/>
  <c r="BG3603" i="4"/>
  <c r="BF3603" i="4"/>
  <c r="BG3998" i="4"/>
  <c r="BF3998" i="4"/>
  <c r="BG5204" i="4"/>
  <c r="BF5204" i="4"/>
  <c r="BG4144" i="4"/>
  <c r="BF4144" i="4"/>
  <c r="BG4764" i="4"/>
  <c r="BF4764" i="4"/>
  <c r="BG5406" i="4"/>
  <c r="BF5406" i="4"/>
  <c r="BG3046" i="4"/>
  <c r="BF3046" i="4"/>
  <c r="BG3370" i="4"/>
  <c r="BF3370" i="4"/>
  <c r="BG4765" i="4"/>
  <c r="BF4765" i="4"/>
  <c r="BG1282" i="4"/>
  <c r="BF1282" i="4"/>
  <c r="BG1524" i="4"/>
  <c r="BF1524" i="4"/>
  <c r="BG1766" i="4"/>
  <c r="BF1766" i="4"/>
  <c r="BG2008" i="4"/>
  <c r="BF2008" i="4"/>
  <c r="BG2250" i="4"/>
  <c r="BF2250" i="4"/>
  <c r="BG2495" i="4"/>
  <c r="BF2495" i="4"/>
  <c r="BG3018" i="4"/>
  <c r="BF3018" i="4"/>
  <c r="BG3688" i="4"/>
  <c r="BF3688" i="4"/>
  <c r="BG2726" i="4"/>
  <c r="BF2726" i="4"/>
  <c r="BG4646" i="4"/>
  <c r="BF4646" i="4"/>
  <c r="BG5297" i="4"/>
  <c r="BF5297" i="4"/>
  <c r="BF1140" i="4"/>
  <c r="BG1140" i="4"/>
  <c r="BG1382" i="4"/>
  <c r="BF1382" i="4"/>
  <c r="BG1624" i="4"/>
  <c r="BF1624" i="4"/>
  <c r="BG1866" i="4"/>
  <c r="BF1866" i="4"/>
  <c r="BG2108" i="4"/>
  <c r="BF2108" i="4"/>
  <c r="BG2350" i="4"/>
  <c r="BF2350" i="4"/>
  <c r="BF2600" i="4"/>
  <c r="BG2600" i="4"/>
  <c r="BG2855" i="4"/>
  <c r="BF2855" i="4"/>
  <c r="BF3148" i="4"/>
  <c r="BG3148" i="4"/>
  <c r="BG3479" i="4"/>
  <c r="BF3479" i="4"/>
  <c r="BG3850" i="4"/>
  <c r="BF3850" i="4"/>
  <c r="BG4976" i="4"/>
  <c r="BF4976" i="4"/>
  <c r="BF5649" i="4"/>
  <c r="BG5649" i="4"/>
  <c r="BG2727" i="4"/>
  <c r="BF2727" i="4"/>
  <c r="BG3313" i="4"/>
  <c r="BF3313" i="4"/>
  <c r="BG4064" i="4"/>
  <c r="BF4064" i="4"/>
  <c r="BG4655" i="4"/>
  <c r="BF4655" i="4"/>
  <c r="BG5298" i="4"/>
  <c r="BF5298" i="4"/>
  <c r="BG4980" i="4"/>
  <c r="BF4980" i="4"/>
  <c r="BG5584" i="4"/>
  <c r="BF5584" i="4"/>
  <c r="BG2922" i="4"/>
  <c r="BF2922" i="4"/>
  <c r="BF3164" i="4"/>
  <c r="BG3164" i="4"/>
  <c r="BG3406" i="4"/>
  <c r="BF3406" i="4"/>
  <c r="BG3648" i="4"/>
  <c r="BF3648" i="4"/>
  <c r="BG3916" i="4"/>
  <c r="BF3916" i="4"/>
  <c r="BF4197" i="4"/>
  <c r="BG4197" i="4"/>
  <c r="BF4768" i="4"/>
  <c r="BG4768" i="4"/>
  <c r="BG5061" i="4"/>
  <c r="BF5061" i="4"/>
  <c r="BF5355" i="4"/>
  <c r="BG5355" i="4"/>
  <c r="BG5689" i="4"/>
  <c r="BF5689" i="4"/>
  <c r="BG4388" i="4"/>
  <c r="BF4388" i="4"/>
  <c r="BF4968" i="4"/>
  <c r="BG4968" i="4"/>
  <c r="BF3209" i="4"/>
  <c r="BG3209" i="4"/>
  <c r="BF3451" i="4"/>
  <c r="BG3451" i="4"/>
  <c r="BG4529" i="4"/>
  <c r="BF4529" i="4"/>
  <c r="BG4823" i="4"/>
  <c r="BF4823" i="4"/>
  <c r="BF5116" i="4"/>
  <c r="BG5116" i="4"/>
  <c r="BF5410" i="4"/>
  <c r="BG5410" i="4"/>
  <c r="BG5766" i="4"/>
  <c r="BF5766" i="4"/>
  <c r="BF3694" i="4"/>
  <c r="BG3694" i="4"/>
  <c r="BG3969" i="4"/>
  <c r="BF3969" i="4"/>
  <c r="BG4250" i="4"/>
  <c r="BF4250" i="4"/>
  <c r="BG3166" i="4"/>
  <c r="BF3166" i="4"/>
  <c r="BG3408" i="4"/>
  <c r="BF3408" i="4"/>
  <c r="BG3650" i="4"/>
  <c r="BF3650" i="4"/>
  <c r="BG4199" i="4"/>
  <c r="BF4199" i="4"/>
  <c r="BG4480" i="4"/>
  <c r="BF4480" i="4"/>
  <c r="BF4770" i="4"/>
  <c r="BG4770" i="4"/>
  <c r="BG5692" i="4"/>
  <c r="BF5692" i="4"/>
  <c r="BG4162" i="4"/>
  <c r="BF4162" i="4"/>
  <c r="BF5024" i="4"/>
  <c r="BG5024" i="4"/>
  <c r="BG4378" i="4"/>
  <c r="BF4378" i="4"/>
  <c r="BF4665" i="4"/>
  <c r="BG4665" i="4"/>
  <c r="BF5252" i="4"/>
  <c r="BG5252" i="4"/>
  <c r="BG5954" i="4"/>
  <c r="BF5954" i="4"/>
  <c r="BG3921" i="4"/>
  <c r="BF3921" i="4"/>
  <c r="BG5066" i="4"/>
  <c r="BF5066" i="4"/>
  <c r="BG5359" i="4"/>
  <c r="BF5359" i="4"/>
  <c r="BG5695" i="4"/>
  <c r="BF5695" i="4"/>
  <c r="BG4599" i="4"/>
  <c r="BF4599" i="4"/>
  <c r="BG4893" i="4"/>
  <c r="BF4893" i="4"/>
  <c r="BG5186" i="4"/>
  <c r="BF5186" i="4"/>
  <c r="BG4640" i="4"/>
  <c r="BF4640" i="4"/>
  <c r="BG4933" i="4"/>
  <c r="BF4933" i="4"/>
  <c r="BF3257" i="4"/>
  <c r="BG3257" i="4"/>
  <c r="BF3499" i="4"/>
  <c r="BG3499" i="4"/>
  <c r="BF3746" i="4"/>
  <c r="BG3746" i="4"/>
  <c r="BG4024" i="4"/>
  <c r="BF4024" i="4"/>
  <c r="BG4305" i="4"/>
  <c r="BF4305" i="4"/>
  <c r="BG4881" i="4"/>
  <c r="BF4881" i="4"/>
  <c r="BG5174" i="4"/>
  <c r="BF5174" i="4"/>
  <c r="BG5846" i="4"/>
  <c r="BF5846" i="4"/>
  <c r="BG5932" i="4"/>
  <c r="BF5932" i="4"/>
  <c r="BG4947" i="4"/>
  <c r="BF4947" i="4"/>
  <c r="BG5748" i="4"/>
  <c r="BF5748" i="4"/>
  <c r="BG4005" i="4"/>
  <c r="BF4005" i="4"/>
  <c r="BG4247" i="4"/>
  <c r="BF4247" i="4"/>
  <c r="BF4489" i="4"/>
  <c r="BG4489" i="4"/>
  <c r="BG4740" i="4"/>
  <c r="BF4740" i="4"/>
  <c r="BG5508" i="4"/>
  <c r="BF5508" i="4"/>
  <c r="BG3731" i="4"/>
  <c r="BF3731" i="4"/>
  <c r="BG3973" i="4"/>
  <c r="BF3973" i="4"/>
  <c r="BG4215" i="4"/>
  <c r="BF4215" i="4"/>
  <c r="BG4457" i="4"/>
  <c r="BF4457" i="4"/>
  <c r="BG4960" i="4"/>
  <c r="BF4960" i="4"/>
  <c r="BG5411" i="4"/>
  <c r="BF5411" i="4"/>
  <c r="BG5653" i="4"/>
  <c r="BF5653" i="4"/>
  <c r="BG5895" i="4"/>
  <c r="BF5895" i="4"/>
  <c r="BG4730" i="4"/>
  <c r="BF4730" i="4"/>
  <c r="BG4972" i="4"/>
  <c r="BF4972" i="4"/>
  <c r="BF5214" i="4"/>
  <c r="BG5214" i="4"/>
  <c r="BG5456" i="4"/>
  <c r="BF5456" i="4"/>
  <c r="BG5698" i="4"/>
  <c r="BF5698" i="4"/>
  <c r="BG5940" i="4"/>
  <c r="BF5940" i="4"/>
  <c r="BG1416" i="4"/>
  <c r="BF1416" i="4"/>
  <c r="BG661" i="4"/>
  <c r="BF661" i="4"/>
  <c r="BF3245" i="4"/>
  <c r="BG3245" i="4"/>
  <c r="BG2087" i="4"/>
  <c r="BF2087" i="4"/>
  <c r="BG517" i="4"/>
  <c r="BF517" i="4"/>
  <c r="BG2886" i="4"/>
  <c r="BF2886" i="4"/>
  <c r="BG1042" i="4"/>
  <c r="BF1042" i="4"/>
  <c r="BG375" i="4"/>
  <c r="BF375" i="4"/>
  <c r="BF4574" i="4"/>
  <c r="BG4574" i="4"/>
  <c r="BG1674" i="4"/>
  <c r="BF1674" i="4"/>
  <c r="BG877" i="4"/>
  <c r="BF877" i="4"/>
  <c r="BG4205" i="4"/>
  <c r="BF4205" i="4"/>
  <c r="AA706" i="2"/>
  <c r="Z706" i="2"/>
  <c r="AA736" i="2"/>
  <c r="Z736" i="2"/>
  <c r="AA695" i="2"/>
  <c r="Z695" i="2"/>
  <c r="AA725" i="2"/>
  <c r="Z725" i="2"/>
  <c r="AA684" i="2"/>
  <c r="Z684" i="2"/>
  <c r="AA714" i="2"/>
  <c r="Z714" i="2"/>
  <c r="K657" i="2"/>
  <c r="H669" i="2"/>
  <c r="Z673" i="2"/>
  <c r="AA673" i="2"/>
  <c r="AA737" i="2"/>
  <c r="Z737" i="2"/>
  <c r="AA703" i="2"/>
  <c r="Z703" i="2"/>
  <c r="H667" i="2"/>
  <c r="K655" i="2"/>
  <c r="H663" i="2"/>
  <c r="H675" i="2" s="1"/>
  <c r="K651" i="2"/>
  <c r="Z716" i="2"/>
  <c r="AA716" i="2"/>
  <c r="AA705" i="2"/>
  <c r="Z705" i="2"/>
  <c r="AA682" i="2"/>
  <c r="Z682" i="2"/>
  <c r="AA674" i="2"/>
  <c r="Z674" i="2"/>
  <c r="AA694" i="2"/>
  <c r="Z694" i="2"/>
  <c r="AA671" i="2"/>
  <c r="Z671" i="2"/>
  <c r="K656" i="2"/>
  <c r="H668" i="2"/>
  <c r="AA707" i="2"/>
  <c r="Z707" i="2"/>
  <c r="Z693" i="2"/>
  <c r="AA693" i="2"/>
  <c r="AA732" i="2"/>
  <c r="Z732" i="2"/>
  <c r="AA730" i="2"/>
  <c r="Z730" i="2"/>
  <c r="AA663" i="2"/>
  <c r="Z663" i="2"/>
  <c r="Z683" i="2"/>
  <c r="AA683" i="2"/>
  <c r="AA660" i="2"/>
  <c r="Z660" i="2"/>
  <c r="K654" i="2"/>
  <c r="H666" i="2"/>
  <c r="H678" i="2" s="1"/>
  <c r="AA696" i="2"/>
  <c r="Z696" i="2"/>
  <c r="AA659" i="2"/>
  <c r="Z659" i="2"/>
  <c r="AA685" i="2"/>
  <c r="Z685" i="2"/>
  <c r="K658" i="2"/>
  <c r="H670" i="2"/>
  <c r="AA721" i="2"/>
  <c r="Z721" i="2"/>
  <c r="AA731" i="2"/>
  <c r="Z731" i="2"/>
  <c r="AA719" i="2"/>
  <c r="Z719" i="2"/>
  <c r="AA672" i="2"/>
  <c r="Z672" i="2"/>
  <c r="AA670" i="2"/>
  <c r="Z670" i="2"/>
  <c r="AA722" i="2"/>
  <c r="Z722" i="2"/>
  <c r="AA688" i="2"/>
  <c r="Z688" i="2"/>
  <c r="AA698" i="2"/>
  <c r="Z698" i="2"/>
  <c r="AA686" i="2"/>
  <c r="Z686" i="2"/>
  <c r="AA733" i="2"/>
  <c r="Z733" i="2"/>
  <c r="AA711" i="2"/>
  <c r="Z711" i="2"/>
  <c r="AA677" i="2"/>
  <c r="Z677" i="2"/>
  <c r="AA687" i="2"/>
  <c r="Z687" i="2"/>
  <c r="AA675" i="2"/>
  <c r="Z675" i="2"/>
  <c r="H662" i="2"/>
  <c r="H674" i="2" s="1"/>
  <c r="K650" i="2"/>
  <c r="Z662" i="2"/>
  <c r="AA662" i="2"/>
  <c r="AA700" i="2"/>
  <c r="Z700" i="2"/>
  <c r="AA666" i="2"/>
  <c r="Z666" i="2"/>
  <c r="AA676" i="2"/>
  <c r="Z676" i="2"/>
  <c r="AA664" i="2"/>
  <c r="Z664" i="2"/>
  <c r="AA729" i="2"/>
  <c r="Z729" i="2"/>
  <c r="AA692" i="2"/>
  <c r="Z692" i="2"/>
  <c r="AA715" i="2"/>
  <c r="Z715" i="2"/>
  <c r="Z727" i="2"/>
  <c r="AA727" i="2"/>
  <c r="AA708" i="2"/>
  <c r="Z708" i="2"/>
  <c r="AA709" i="2"/>
  <c r="Z709" i="2"/>
  <c r="AA689" i="2"/>
  <c r="Z689" i="2"/>
  <c r="AA665" i="2"/>
  <c r="Z665" i="2"/>
  <c r="H665" i="2"/>
  <c r="H677" i="2" s="1"/>
  <c r="K653" i="2"/>
  <c r="AA681" i="2"/>
  <c r="Z681" i="2"/>
  <c r="AA704" i="2"/>
  <c r="Z704" i="2"/>
  <c r="AA720" i="2"/>
  <c r="Z720" i="2"/>
  <c r="AA678" i="2"/>
  <c r="Z678" i="2"/>
  <c r="K652" i="2"/>
  <c r="H664" i="2"/>
  <c r="H676" i="2" s="1"/>
  <c r="AA667" i="2"/>
  <c r="Z667" i="2"/>
  <c r="K660" i="2"/>
  <c r="F660" i="2"/>
  <c r="E660" i="2"/>
  <c r="AA697" i="2"/>
  <c r="Z697" i="2"/>
  <c r="AA728" i="2"/>
  <c r="Z728" i="2"/>
  <c r="AA726" i="2"/>
  <c r="Z726" i="2"/>
  <c r="AA718" i="2"/>
  <c r="Z718" i="2"/>
  <c r="AA710" i="2"/>
  <c r="Z710" i="2"/>
  <c r="AA661" i="2"/>
  <c r="Z661" i="2"/>
  <c r="K659" i="2"/>
  <c r="Z699" i="2"/>
  <c r="AA699" i="2"/>
  <c r="AA717" i="2"/>
  <c r="Z717" i="2"/>
  <c r="C41" i="1" a="1"/>
  <c r="C41" i="1" s="1"/>
  <c r="I39" i="1"/>
  <c r="I45" i="1"/>
  <c r="I43" i="1"/>
  <c r="C43" i="1" a="1"/>
  <c r="C43" i="1" s="1"/>
  <c r="C27" i="1"/>
  <c r="I36" i="1"/>
  <c r="C38" i="1" a="1"/>
  <c r="C38" i="1" s="1"/>
  <c r="I44" i="1"/>
  <c r="I42" i="1"/>
  <c r="I46" i="1"/>
  <c r="I31" i="1"/>
  <c r="C46" i="1" a="1"/>
  <c r="C46" i="1" s="1"/>
  <c r="C39" i="1"/>
  <c r="C37" i="1" a="1"/>
  <c r="C37" i="1" s="1"/>
  <c r="C35" i="1" a="1"/>
  <c r="C35" i="1" s="1"/>
  <c r="I40" i="1"/>
  <c r="I29" i="1"/>
  <c r="I34" i="1"/>
  <c r="I32" i="1"/>
  <c r="C44" i="1"/>
  <c r="I38" i="1"/>
  <c r="I41" i="1"/>
  <c r="C33" i="1" a="1"/>
  <c r="C33" i="1" s="1"/>
  <c r="C36" i="1" a="1"/>
  <c r="C36" i="1" s="1"/>
  <c r="I30" i="1"/>
  <c r="C42" i="1" a="1"/>
  <c r="C42" i="1" s="1"/>
  <c r="E659" i="2" l="1"/>
  <c r="C573" i="4"/>
  <c r="R581" i="2"/>
  <c r="Q501" i="2"/>
  <c r="Q558" i="2"/>
  <c r="Q360" i="2"/>
  <c r="R385" i="2"/>
  <c r="R360" i="2"/>
  <c r="R423" i="2"/>
  <c r="R411" i="2"/>
  <c r="R437" i="2"/>
  <c r="Q467" i="2"/>
  <c r="R624" i="2"/>
  <c r="S482" i="2"/>
  <c r="T482" i="2" s="1"/>
  <c r="R482" i="2"/>
  <c r="Q482" i="2"/>
  <c r="Q592" i="2"/>
  <c r="Q371" i="2"/>
  <c r="Q541" i="2"/>
  <c r="Q641" i="2"/>
  <c r="Q567" i="2"/>
  <c r="R523" i="2"/>
  <c r="R641" i="2"/>
  <c r="R596" i="2"/>
  <c r="Q506" i="2"/>
  <c r="R464" i="2"/>
  <c r="R458" i="2"/>
  <c r="R424" i="2"/>
  <c r="R456" i="2"/>
  <c r="R372" i="2"/>
  <c r="Q361" i="2"/>
  <c r="R432" i="2"/>
  <c r="Q390" i="2"/>
  <c r="Q382" i="2"/>
  <c r="Q376" i="2"/>
  <c r="R544" i="2"/>
  <c r="Q369" i="2"/>
  <c r="Q647" i="2"/>
  <c r="Q515" i="2"/>
  <c r="R433" i="2"/>
  <c r="Q487" i="2"/>
  <c r="R379" i="2"/>
  <c r="Q603" i="2"/>
  <c r="Q630" i="2"/>
  <c r="Q426" i="2"/>
  <c r="R390" i="2"/>
  <c r="R376" i="2"/>
  <c r="R647" i="2"/>
  <c r="R565" i="2"/>
  <c r="S648" i="2"/>
  <c r="T648" i="2" s="1"/>
  <c r="Q648" i="2"/>
  <c r="Q565" i="2"/>
  <c r="R648" i="2"/>
  <c r="Q364" i="2"/>
  <c r="Q453" i="2"/>
  <c r="Q606" i="2"/>
  <c r="Q468" i="2"/>
  <c r="Q437" i="2"/>
  <c r="R364" i="2"/>
  <c r="R467" i="2"/>
  <c r="R500" i="2"/>
  <c r="R453" i="2"/>
  <c r="R606" i="2"/>
  <c r="R441" i="2"/>
  <c r="R625" i="2"/>
  <c r="Q601" i="2"/>
  <c r="R402" i="2"/>
  <c r="Q433" i="2"/>
  <c r="R470" i="2"/>
  <c r="R479" i="2"/>
  <c r="Q579" i="2"/>
  <c r="Q486" i="2"/>
  <c r="R497" i="2"/>
  <c r="R465" i="2"/>
  <c r="Q432" i="2"/>
  <c r="R392" i="2"/>
  <c r="Q547" i="2"/>
  <c r="Q412" i="2"/>
  <c r="R443" i="2"/>
  <c r="R605" i="2"/>
  <c r="R531" i="2"/>
  <c r="S531" i="2"/>
  <c r="T531" i="2" s="1"/>
  <c r="R643" i="2"/>
  <c r="R530" i="2"/>
  <c r="R483" i="2"/>
  <c r="R552" i="2"/>
  <c r="S463" i="2"/>
  <c r="T463" i="2" s="1"/>
  <c r="R463" i="2"/>
  <c r="Q498" i="2"/>
  <c r="R421" i="2"/>
  <c r="Q395" i="2"/>
  <c r="R561" i="2"/>
  <c r="R389" i="2"/>
  <c r="Q391" i="2"/>
  <c r="R498" i="2"/>
  <c r="Q356" i="2"/>
  <c r="R367" i="2"/>
  <c r="Q495" i="2"/>
  <c r="Q457" i="2"/>
  <c r="R592" i="2"/>
  <c r="R371" i="2"/>
  <c r="R395" i="2"/>
  <c r="R541" i="2"/>
  <c r="Q523" i="2"/>
  <c r="R558" i="2"/>
  <c r="R525" i="2"/>
  <c r="R377" i="2"/>
  <c r="R527" i="2"/>
  <c r="Q561" i="2"/>
  <c r="Q643" i="2"/>
  <c r="Q531" i="2"/>
  <c r="S588" i="2"/>
  <c r="T588" i="2" s="1"/>
  <c r="Q588" i="2"/>
  <c r="R602" i="2"/>
  <c r="R356" i="2"/>
  <c r="R566" i="2"/>
  <c r="R546" i="2"/>
  <c r="R457" i="2"/>
  <c r="Q370" i="2"/>
  <c r="R471" i="2"/>
  <c r="Q388" i="2"/>
  <c r="AD670" i="2"/>
  <c r="R515" i="2"/>
  <c r="R549" i="2"/>
  <c r="Q580" i="2"/>
  <c r="Q566" i="2"/>
  <c r="Q458" i="2"/>
  <c r="Q424" i="2"/>
  <c r="R370" i="2"/>
  <c r="R410" i="2"/>
  <c r="R569" i="2"/>
  <c r="Q372" i="2"/>
  <c r="R388" i="2"/>
  <c r="Q548" i="2"/>
  <c r="Q614" i="2"/>
  <c r="R628" i="2"/>
  <c r="Q389" i="2"/>
  <c r="Q552" i="2"/>
  <c r="Q441" i="2"/>
  <c r="Q625" i="2"/>
  <c r="Q479" i="2"/>
  <c r="Q417" i="2"/>
  <c r="Q465" i="2"/>
  <c r="Q650" i="2"/>
  <c r="R614" i="2"/>
  <c r="Q628" i="2"/>
  <c r="Q530" i="2"/>
  <c r="R481" i="2"/>
  <c r="R494" i="2"/>
  <c r="R588" i="2"/>
  <c r="C168" i="1"/>
  <c r="Q473" i="2"/>
  <c r="R603" i="2"/>
  <c r="Q470" i="2"/>
  <c r="R634" i="2"/>
  <c r="Q582" i="2"/>
  <c r="Q576" i="2"/>
  <c r="R468" i="2"/>
  <c r="R501" i="2"/>
  <c r="R545" i="2"/>
  <c r="R488" i="2"/>
  <c r="Q464" i="2"/>
  <c r="R446" i="2"/>
  <c r="Q478" i="2"/>
  <c r="R613" i="2"/>
  <c r="R397" i="2"/>
  <c r="Q569" i="2"/>
  <c r="R361" i="2"/>
  <c r="Q525" i="2"/>
  <c r="R378" i="2"/>
  <c r="R434" i="2"/>
  <c r="R493" i="2"/>
  <c r="R512" i="2"/>
  <c r="R631" i="2"/>
  <c r="Q512" i="2"/>
  <c r="R475" i="2"/>
  <c r="R419" i="2"/>
  <c r="Q439" i="2"/>
  <c r="R537" i="2"/>
  <c r="R548" i="2"/>
  <c r="Q636" i="2"/>
  <c r="R405" i="2"/>
  <c r="R416" i="2"/>
  <c r="Q546" i="2"/>
  <c r="Q419" i="2"/>
  <c r="Q612" i="2"/>
  <c r="Q357" i="2"/>
  <c r="Q527" i="2"/>
  <c r="R574" i="2"/>
  <c r="R403" i="2"/>
  <c r="Q557" i="2"/>
  <c r="Q509" i="2"/>
  <c r="Q456" i="2"/>
  <c r="R585" i="2"/>
  <c r="R612" i="2"/>
  <c r="R520" i="2"/>
  <c r="Q403" i="2"/>
  <c r="R451" i="2"/>
  <c r="Q500" i="2"/>
  <c r="R557" i="2"/>
  <c r="R509" i="2"/>
  <c r="R638" i="2"/>
  <c r="R555" i="2"/>
  <c r="Q587" i="2"/>
  <c r="Q585" i="2"/>
  <c r="Q430" i="2"/>
  <c r="Q450" i="2"/>
  <c r="R502" i="2"/>
  <c r="R401" i="2"/>
  <c r="Q619" i="2"/>
  <c r="Q607" i="2"/>
  <c r="R604" i="2"/>
  <c r="R430" i="2"/>
  <c r="Q445" i="2"/>
  <c r="Q401" i="2"/>
  <c r="Q600" i="2"/>
  <c r="R619" i="2"/>
  <c r="R607" i="2"/>
  <c r="R428" i="2"/>
  <c r="Q622" i="2"/>
  <c r="Q604" i="2"/>
  <c r="Q452" i="2"/>
  <c r="Q434" i="2"/>
  <c r="R650" i="2"/>
  <c r="R412" i="2"/>
  <c r="Q555" i="2"/>
  <c r="R540" i="2"/>
  <c r="S540" i="2"/>
  <c r="T540" i="2" s="1"/>
  <c r="R580" i="2"/>
  <c r="Q651" i="2"/>
  <c r="Q639" i="2"/>
  <c r="Q488" i="2"/>
  <c r="Q540" i="2"/>
  <c r="R550" i="2"/>
  <c r="Q379" i="2"/>
  <c r="R536" i="2"/>
  <c r="R399" i="2"/>
  <c r="Q556" i="2"/>
  <c r="Q428" i="2"/>
  <c r="R622" i="2"/>
  <c r="Q493" i="2"/>
  <c r="Q593" i="2"/>
  <c r="Q535" i="2"/>
  <c r="R357" i="2"/>
  <c r="Q520" i="2"/>
  <c r="R559" i="2"/>
  <c r="R543" i="2"/>
  <c r="S543" i="2"/>
  <c r="T543" i="2" s="1"/>
  <c r="Q410" i="2"/>
  <c r="Q616" i="2"/>
  <c r="R587" i="2"/>
  <c r="R651" i="2"/>
  <c r="Q399" i="2"/>
  <c r="R442" i="2"/>
  <c r="Q443" i="2"/>
  <c r="B524" i="4"/>
  <c r="Q511" i="2"/>
  <c r="R556" i="2"/>
  <c r="Q363" i="2"/>
  <c r="R452" i="2"/>
  <c r="S452" i="2"/>
  <c r="T452" i="2" s="1"/>
  <c r="R593" i="2"/>
  <c r="S593" i="2"/>
  <c r="T593" i="2" s="1"/>
  <c r="R473" i="2"/>
  <c r="R535" i="2"/>
  <c r="Q359" i="2"/>
  <c r="Q564" i="2"/>
  <c r="R460" i="2"/>
  <c r="R409" i="2"/>
  <c r="C166" i="1"/>
  <c r="C170" i="1" s="1"/>
  <c r="R393" i="2"/>
  <c r="Q393" i="2"/>
  <c r="R639" i="2"/>
  <c r="S639" i="2"/>
  <c r="T639" i="2" s="1"/>
  <c r="Q446" i="2"/>
  <c r="Q632" i="2"/>
  <c r="Q536" i="2"/>
  <c r="R511" i="2"/>
  <c r="R486" i="2"/>
  <c r="Q455" i="2"/>
  <c r="R363" i="2"/>
  <c r="Q385" i="2"/>
  <c r="R369" i="2"/>
  <c r="Q423" i="2"/>
  <c r="R627" i="2"/>
  <c r="Q394" i="2"/>
  <c r="S394" i="2"/>
  <c r="T394" i="2" s="1"/>
  <c r="R394" i="2"/>
  <c r="Q398" i="2"/>
  <c r="R387" i="2"/>
  <c r="Q544" i="2"/>
  <c r="Q402" i="2"/>
  <c r="R615" i="2"/>
  <c r="S615" i="2"/>
  <c r="T615" i="2" s="1"/>
  <c r="Q615" i="2"/>
  <c r="Q405" i="2"/>
  <c r="S405" i="2"/>
  <c r="T405" i="2" s="1"/>
  <c r="Q637" i="2"/>
  <c r="Q416" i="2"/>
  <c r="R478" i="2"/>
  <c r="Q613" i="2"/>
  <c r="S613" i="2"/>
  <c r="T613" i="2" s="1"/>
  <c r="R576" i="2"/>
  <c r="R450" i="2"/>
  <c r="S450" i="2"/>
  <c r="T450" i="2" s="1"/>
  <c r="R417" i="2"/>
  <c r="R445" i="2"/>
  <c r="Q516" i="2"/>
  <c r="R382" i="2"/>
  <c r="R538" i="2"/>
  <c r="Q521" i="2"/>
  <c r="R594" i="2"/>
  <c r="R398" i="2"/>
  <c r="R579" i="2"/>
  <c r="Q378" i="2"/>
  <c r="I168" i="1"/>
  <c r="I169" i="1" s="1"/>
  <c r="I171" i="1" s="1"/>
  <c r="R435" i="2"/>
  <c r="Q581" i="2"/>
  <c r="Q397" i="2"/>
  <c r="Q596" i="2"/>
  <c r="Q408" i="2"/>
  <c r="R516" i="2"/>
  <c r="R521" i="2"/>
  <c r="R601" i="2"/>
  <c r="S436" i="2"/>
  <c r="T436" i="2" s="1"/>
  <c r="R436" i="2"/>
  <c r="Q387" i="2"/>
  <c r="R618" i="2"/>
  <c r="Q380" i="2"/>
  <c r="S380" i="2"/>
  <c r="T380" i="2" s="1"/>
  <c r="S503" i="2"/>
  <c r="T503" i="2" s="1"/>
  <c r="Q503" i="2"/>
  <c r="Q435" i="2"/>
  <c r="R578" i="2"/>
  <c r="R582" i="2"/>
  <c r="R381" i="2"/>
  <c r="S381" i="2"/>
  <c r="T381" i="2" s="1"/>
  <c r="B439" i="4"/>
  <c r="R630" i="2"/>
  <c r="R632" i="2"/>
  <c r="S632" i="2"/>
  <c r="T632" i="2" s="1"/>
  <c r="Q407" i="2"/>
  <c r="Q545" i="2"/>
  <c r="Q568" i="2"/>
  <c r="C649" i="4"/>
  <c r="Q609" i="2"/>
  <c r="Q633" i="2"/>
  <c r="R633" i="2"/>
  <c r="Q502" i="2"/>
  <c r="R455" i="2"/>
  <c r="D479" i="4"/>
  <c r="G479" i="4" s="1"/>
  <c r="H479" i="4" s="1"/>
  <c r="Q574" i="2"/>
  <c r="Q578" i="2"/>
  <c r="Q507" i="2"/>
  <c r="R567" i="2"/>
  <c r="R407" i="2"/>
  <c r="Q559" i="2"/>
  <c r="R626" i="2"/>
  <c r="Q629" i="2"/>
  <c r="Q392" i="2"/>
  <c r="Q618" i="2"/>
  <c r="S618" i="2"/>
  <c r="T618" i="2" s="1"/>
  <c r="R637" i="2"/>
  <c r="S637" i="2"/>
  <c r="T637" i="2" s="1"/>
  <c r="R380" i="2"/>
  <c r="Q400" i="2"/>
  <c r="Q510" i="2"/>
  <c r="Q513" i="2"/>
  <c r="R609" i="2"/>
  <c r="Q475" i="2"/>
  <c r="Q497" i="2"/>
  <c r="Q374" i="2"/>
  <c r="R507" i="2"/>
  <c r="R547" i="2"/>
  <c r="R534" i="2"/>
  <c r="Q466" i="2"/>
  <c r="Q626" i="2"/>
  <c r="R646" i="2"/>
  <c r="R439" i="2"/>
  <c r="S439" i="2"/>
  <c r="T439" i="2" s="1"/>
  <c r="Q646" i="2"/>
  <c r="P659" i="2"/>
  <c r="S647" i="2"/>
  <c r="T647" i="2" s="1"/>
  <c r="Q605" i="2"/>
  <c r="Q442" i="2"/>
  <c r="R359" i="2"/>
  <c r="S359" i="2"/>
  <c r="T359" i="2" s="1"/>
  <c r="Q448" i="2"/>
  <c r="Q627" i="2"/>
  <c r="R400" i="2"/>
  <c r="Q549" i="2"/>
  <c r="R510" i="2"/>
  <c r="Q514" i="2"/>
  <c r="Q451" i="2"/>
  <c r="R513" i="2"/>
  <c r="Q421" i="2"/>
  <c r="Q471" i="2"/>
  <c r="Q436" i="2"/>
  <c r="Q420" i="2"/>
  <c r="Q462" i="2"/>
  <c r="R374" i="2"/>
  <c r="Q472" i="2"/>
  <c r="Q634" i="2"/>
  <c r="R636" i="2"/>
  <c r="Q532" i="2"/>
  <c r="Q522" i="2"/>
  <c r="Q543" i="2"/>
  <c r="R616" i="2"/>
  <c r="R487" i="2"/>
  <c r="R448" i="2"/>
  <c r="R514" i="2"/>
  <c r="Q381" i="2"/>
  <c r="Q460" i="2"/>
  <c r="Q594" i="2"/>
  <c r="Q638" i="2"/>
  <c r="R420" i="2"/>
  <c r="R462" i="2"/>
  <c r="Q409" i="2"/>
  <c r="R383" i="2"/>
  <c r="S383" i="2"/>
  <c r="T383" i="2" s="1"/>
  <c r="R472" i="2"/>
  <c r="R597" i="2"/>
  <c r="Q377" i="2"/>
  <c r="R629" i="2"/>
  <c r="Q534" i="2"/>
  <c r="R532" i="2"/>
  <c r="R522" i="2"/>
  <c r="R564" i="2"/>
  <c r="D635" i="4"/>
  <c r="C653" i="4"/>
  <c r="D637" i="4"/>
  <c r="D653" i="4"/>
  <c r="B653" i="4"/>
  <c r="B626" i="4"/>
  <c r="B650" i="4"/>
  <c r="D625" i="4"/>
  <c r="D570" i="4"/>
  <c r="B570" i="4"/>
  <c r="D633" i="4"/>
  <c r="D526" i="4"/>
  <c r="C633" i="4"/>
  <c r="C526" i="4"/>
  <c r="D615" i="4"/>
  <c r="C615" i="4"/>
  <c r="C540" i="4"/>
  <c r="B535" i="4"/>
  <c r="B540" i="4"/>
  <c r="B631" i="4"/>
  <c r="B526" i="4"/>
  <c r="D619" i="4"/>
  <c r="C552" i="4"/>
  <c r="B619" i="4"/>
  <c r="C557" i="4"/>
  <c r="D597" i="4"/>
  <c r="B610" i="4"/>
  <c r="C494" i="4"/>
  <c r="C485" i="4"/>
  <c r="B474" i="4"/>
  <c r="D616" i="4"/>
  <c r="C551" i="4"/>
  <c r="B490" i="4"/>
  <c r="B551" i="4"/>
  <c r="C541" i="4"/>
  <c r="B577" i="4"/>
  <c r="B637" i="4"/>
  <c r="B557" i="4"/>
  <c r="B485" i="4"/>
  <c r="C582" i="4"/>
  <c r="D638" i="4"/>
  <c r="B638" i="4"/>
  <c r="C466" i="4"/>
  <c r="D639" i="4"/>
  <c r="D520" i="4"/>
  <c r="D463" i="4"/>
  <c r="C535" i="4"/>
  <c r="B520" i="4"/>
  <c r="D509" i="4"/>
  <c r="C486" i="4"/>
  <c r="D466" i="4"/>
  <c r="B486" i="4"/>
  <c r="D533" i="4"/>
  <c r="C468" i="4"/>
  <c r="C465" i="4"/>
  <c r="B648" i="4"/>
  <c r="C622" i="4"/>
  <c r="D503" i="4"/>
  <c r="D411" i="4"/>
  <c r="D631" i="4"/>
  <c r="C509" i="4"/>
  <c r="B509" i="4"/>
  <c r="C505" i="4"/>
  <c r="B598" i="4"/>
  <c r="B505" i="4"/>
  <c r="D442" i="4"/>
  <c r="D531" i="4"/>
  <c r="D512" i="4"/>
  <c r="B442" i="4"/>
  <c r="D404" i="4"/>
  <c r="C451" i="4"/>
  <c r="B404" i="4"/>
  <c r="C503" i="4"/>
  <c r="D626" i="4"/>
  <c r="D464" i="4"/>
  <c r="B516" i="4"/>
  <c r="B572" i="4"/>
  <c r="D493" i="4"/>
  <c r="B484" i="4"/>
  <c r="C404" i="4"/>
  <c r="C495" i="4"/>
  <c r="B495" i="4"/>
  <c r="D412" i="4"/>
  <c r="B451" i="4"/>
  <c r="B414" i="4"/>
  <c r="C555" i="4"/>
  <c r="D603" i="4"/>
  <c r="D472" i="4"/>
  <c r="B528" i="4"/>
  <c r="C607" i="4"/>
  <c r="B533" i="4"/>
  <c r="C497" i="4"/>
  <c r="D579" i="4"/>
  <c r="B589" i="4"/>
  <c r="D522" i="4"/>
  <c r="C565" i="4"/>
  <c r="C621" i="4"/>
  <c r="C650" i="4"/>
  <c r="B441" i="4"/>
  <c r="C476" i="4"/>
  <c r="D578" i="4"/>
  <c r="B489" i="4"/>
  <c r="C481" i="4"/>
  <c r="C489" i="4"/>
  <c r="C504" i="4"/>
  <c r="D484" i="4"/>
  <c r="D481" i="4"/>
  <c r="D414" i="4"/>
  <c r="D416" i="4"/>
  <c r="B467" i="4"/>
  <c r="B603" i="4"/>
  <c r="B472" i="4"/>
  <c r="D528" i="4"/>
  <c r="B443" i="4"/>
  <c r="B607" i="4"/>
  <c r="C533" i="4"/>
  <c r="B506" i="4"/>
  <c r="C464" i="4"/>
  <c r="B497" i="4"/>
  <c r="C579" i="4"/>
  <c r="D589" i="4"/>
  <c r="C522" i="4"/>
  <c r="B565" i="4"/>
  <c r="B544" i="4"/>
  <c r="B475" i="4"/>
  <c r="C578" i="4"/>
  <c r="D550" i="4"/>
  <c r="B481" i="4"/>
  <c r="C414" i="4"/>
  <c r="C416" i="4"/>
  <c r="C467" i="4"/>
  <c r="D478" i="4"/>
  <c r="C592" i="4"/>
  <c r="C528" i="4"/>
  <c r="C646" i="4"/>
  <c r="B448" i="4"/>
  <c r="C506" i="4"/>
  <c r="D651" i="4"/>
  <c r="D601" i="4"/>
  <c r="D497" i="4"/>
  <c r="C442" i="4"/>
  <c r="C626" i="4"/>
  <c r="B579" i="4"/>
  <c r="C589" i="4"/>
  <c r="B522" i="4"/>
  <c r="D565" i="4"/>
  <c r="C619" i="4"/>
  <c r="D451" i="4"/>
  <c r="C566" i="4"/>
  <c r="D542" i="4"/>
  <c r="D563" i="4"/>
  <c r="B408" i="4"/>
  <c r="C469" i="4"/>
  <c r="B437" i="4"/>
  <c r="B416" i="4"/>
  <c r="D467" i="4"/>
  <c r="C478" i="4"/>
  <c r="D592" i="4"/>
  <c r="D646" i="4"/>
  <c r="B465" i="4"/>
  <c r="D506" i="4"/>
  <c r="B601" i="4"/>
  <c r="B531" i="4"/>
  <c r="B445" i="4"/>
  <c r="D604" i="4"/>
  <c r="D566" i="4"/>
  <c r="B542" i="4"/>
  <c r="B563" i="4"/>
  <c r="C556" i="4"/>
  <c r="C437" i="4"/>
  <c r="D504" i="4"/>
  <c r="D596" i="4"/>
  <c r="D609" i="4"/>
  <c r="B632" i="4"/>
  <c r="B444" i="4"/>
  <c r="B478" i="4"/>
  <c r="B592" i="4"/>
  <c r="D449" i="4"/>
  <c r="B646" i="4"/>
  <c r="D465" i="4"/>
  <c r="D643" i="4"/>
  <c r="C601" i="4"/>
  <c r="C531" i="4"/>
  <c r="D445" i="4"/>
  <c r="B604" i="4"/>
  <c r="D505" i="4"/>
  <c r="B566" i="4"/>
  <c r="D551" i="4"/>
  <c r="D577" i="4"/>
  <c r="B510" i="4"/>
  <c r="D480" i="4"/>
  <c r="B582" i="4"/>
  <c r="C443" i="4"/>
  <c r="B597" i="4"/>
  <c r="C446" i="4"/>
  <c r="D489" i="4"/>
  <c r="C631" i="4"/>
  <c r="D444" i="4"/>
  <c r="C508" i="4"/>
  <c r="C449" i="4"/>
  <c r="C542" i="4"/>
  <c r="D500" i="4"/>
  <c r="C474" i="4"/>
  <c r="C643" i="4"/>
  <c r="B466" i="4"/>
  <c r="D473" i="4"/>
  <c r="D494" i="4"/>
  <c r="C445" i="4"/>
  <c r="B608" i="4"/>
  <c r="C581" i="4"/>
  <c r="D535" i="4"/>
  <c r="B575" i="4"/>
  <c r="C577" i="4"/>
  <c r="D409" i="4"/>
  <c r="D469" i="4"/>
  <c r="C597" i="4"/>
  <c r="C598" i="4"/>
  <c r="D485" i="4"/>
  <c r="B593" i="4"/>
  <c r="C444" i="4"/>
  <c r="D508" i="4"/>
  <c r="B449" i="4"/>
  <c r="B473" i="4"/>
  <c r="B500" i="4"/>
  <c r="B480" i="4"/>
  <c r="D468" i="4"/>
  <c r="C473" i="4"/>
  <c r="C548" i="4"/>
  <c r="C463" i="4"/>
  <c r="D474" i="4"/>
  <c r="D581" i="4"/>
  <c r="D552" i="4"/>
  <c r="C608" i="4"/>
  <c r="D541" i="4"/>
  <c r="D544" i="4"/>
  <c r="B452" i="4"/>
  <c r="D576" i="4"/>
  <c r="D557" i="4"/>
  <c r="B556" i="4"/>
  <c r="B647" i="4"/>
  <c r="C611" i="4"/>
  <c r="B599" i="4"/>
  <c r="D614" i="4"/>
  <c r="C438" i="4"/>
  <c r="D458" i="4"/>
  <c r="D441" i="4"/>
  <c r="C484" i="4"/>
  <c r="B508" i="4"/>
  <c r="D452" i="4"/>
  <c r="D475" i="4"/>
  <c r="D419" i="4"/>
  <c r="C493" i="4"/>
  <c r="C419" i="4"/>
  <c r="C500" i="4"/>
  <c r="D486" i="4"/>
  <c r="C563" i="4"/>
  <c r="C482" i="4"/>
  <c r="C480" i="4"/>
  <c r="D548" i="4"/>
  <c r="D575" i="4"/>
  <c r="B463" i="4"/>
  <c r="B581" i="4"/>
  <c r="B552" i="4"/>
  <c r="D405" i="4"/>
  <c r="D608" i="4"/>
  <c r="B541" i="4"/>
  <c r="C409" i="4"/>
  <c r="B482" i="4"/>
  <c r="B600" i="4"/>
  <c r="C448" i="4"/>
  <c r="C550" i="4"/>
  <c r="D408" i="4"/>
  <c r="B458" i="4"/>
  <c r="C441" i="4"/>
  <c r="C452" i="4"/>
  <c r="C475" i="4"/>
  <c r="D443" i="4"/>
  <c r="B493" i="4"/>
  <c r="C576" i="4"/>
  <c r="C593" i="4"/>
  <c r="D482" i="4"/>
  <c r="B548" i="4"/>
  <c r="D510" i="4"/>
  <c r="B456" i="4"/>
  <c r="D582" i="4"/>
  <c r="B550" i="4"/>
  <c r="D593" i="4"/>
  <c r="D471" i="4"/>
  <c r="C460" i="4"/>
  <c r="C518" i="4"/>
  <c r="B409" i="4"/>
  <c r="C510" i="4"/>
  <c r="B576" i="4"/>
  <c r="D539" i="4"/>
  <c r="D456" i="4"/>
  <c r="D600" i="4"/>
  <c r="D476" i="4"/>
  <c r="B476" i="4"/>
  <c r="D574" i="4"/>
  <c r="D598" i="4"/>
  <c r="C570" i="4"/>
  <c r="F570" i="4" s="1"/>
  <c r="D518" i="4"/>
  <c r="B578" i="4"/>
  <c r="B468" i="4"/>
  <c r="B588" i="4"/>
  <c r="C605" i="4"/>
  <c r="B616" i="4"/>
  <c r="C638" i="4"/>
  <c r="B633" i="4"/>
  <c r="C574" i="4"/>
  <c r="B605" i="4"/>
  <c r="D514" i="4"/>
  <c r="B504" i="4"/>
  <c r="D627" i="4"/>
  <c r="B614" i="4"/>
  <c r="C648" i="4"/>
  <c r="B621" i="4"/>
  <c r="B514" i="4"/>
  <c r="D460" i="4"/>
  <c r="B518" i="4"/>
  <c r="D647" i="4"/>
  <c r="D516" i="4"/>
  <c r="B643" i="4"/>
  <c r="C539" i="4"/>
  <c r="C456" i="4"/>
  <c r="B611" i="4"/>
  <c r="C600" i="4"/>
  <c r="B494" i="4"/>
  <c r="B574" i="4"/>
  <c r="D605" i="4"/>
  <c r="D599" i="4"/>
  <c r="C616" i="4"/>
  <c r="C637" i="4"/>
  <c r="F637" i="4" s="1"/>
  <c r="D588" i="4"/>
  <c r="B460" i="4"/>
  <c r="C647" i="4"/>
  <c r="C516" i="4"/>
  <c r="D448" i="4"/>
  <c r="C604" i="4"/>
  <c r="B539" i="4"/>
  <c r="D611" i="4"/>
  <c r="C599" i="4"/>
  <c r="C588" i="4"/>
  <c r="C514" i="4"/>
  <c r="C614" i="4"/>
  <c r="D437" i="4"/>
  <c r="C471" i="4"/>
  <c r="C609" i="4"/>
  <c r="D555" i="4"/>
  <c r="B525" i="4"/>
  <c r="C544" i="4"/>
  <c r="C408" i="4"/>
  <c r="C572" i="4"/>
  <c r="C571" i="4"/>
  <c r="B405" i="4"/>
  <c r="B519" i="4"/>
  <c r="C520" i="4"/>
  <c r="B555" i="4"/>
  <c r="D438" i="4"/>
  <c r="B609" i="4"/>
  <c r="B625" i="4"/>
  <c r="D632" i="4"/>
  <c r="B411" i="4"/>
  <c r="D607" i="4"/>
  <c r="D447" i="4"/>
  <c r="D622" i="4"/>
  <c r="B651" i="4"/>
  <c r="D446" i="4"/>
  <c r="C411" i="4"/>
  <c r="D562" i="4"/>
  <c r="B613" i="4"/>
  <c r="B562" i="4"/>
  <c r="C596" i="4"/>
  <c r="C412" i="4"/>
  <c r="D648" i="4"/>
  <c r="C575" i="4"/>
  <c r="B503" i="4"/>
  <c r="C472" i="4"/>
  <c r="C627" i="4"/>
  <c r="C512" i="4"/>
  <c r="D490" i="4"/>
  <c r="C625" i="4"/>
  <c r="F625" i="4" s="1"/>
  <c r="B438" i="4"/>
  <c r="C603" i="4"/>
  <c r="B627" i="4"/>
  <c r="B512" i="4"/>
  <c r="C490" i="4"/>
  <c r="D491" i="4"/>
  <c r="D495" i="4"/>
  <c r="D650" i="4"/>
  <c r="B620" i="4"/>
  <c r="B419" i="4"/>
  <c r="D645" i="4"/>
  <c r="B464" i="4"/>
  <c r="D572" i="4"/>
  <c r="D613" i="4"/>
  <c r="B469" i="4"/>
  <c r="C519" i="4"/>
  <c r="C610" i="4"/>
  <c r="C534" i="4"/>
  <c r="D450" i="4"/>
  <c r="C645" i="4"/>
  <c r="C639" i="4"/>
  <c r="B471" i="4"/>
  <c r="D549" i="4"/>
  <c r="D571" i="4"/>
  <c r="D621" i="4"/>
  <c r="C651" i="4"/>
  <c r="C458" i="4"/>
  <c r="D610" i="4"/>
  <c r="C525" i="4"/>
  <c r="D534" i="4"/>
  <c r="C450" i="4"/>
  <c r="B645" i="4"/>
  <c r="B639" i="4"/>
  <c r="C549" i="4"/>
  <c r="C405" i="4"/>
  <c r="B596" i="4"/>
  <c r="B615" i="4"/>
  <c r="C632" i="4"/>
  <c r="D519" i="4"/>
  <c r="B412" i="4"/>
  <c r="B534" i="4"/>
  <c r="B450" i="4"/>
  <c r="B549" i="4"/>
  <c r="B446" i="4"/>
  <c r="B571" i="4"/>
  <c r="D540" i="4"/>
  <c r="C620" i="4"/>
  <c r="C613" i="4"/>
  <c r="D620" i="4"/>
  <c r="C562" i="4"/>
  <c r="B622" i="4"/>
  <c r="D525" i="4"/>
  <c r="B479" i="4"/>
  <c r="E479" i="4" s="1"/>
  <c r="B644" i="4"/>
  <c r="C629" i="4"/>
  <c r="C554" i="4"/>
  <c r="B553" i="4"/>
  <c r="D554" i="4"/>
  <c r="D502" i="4"/>
  <c r="D567" i="4"/>
  <c r="C561" i="4"/>
  <c r="C453" i="4"/>
  <c r="B587" i="4"/>
  <c r="B618" i="4"/>
  <c r="D529" i="4"/>
  <c r="B491" i="4"/>
  <c r="C457" i="4"/>
  <c r="C496" i="4"/>
  <c r="C403" i="4"/>
  <c r="C547" i="4"/>
  <c r="D455" i="4"/>
  <c r="B649" i="4"/>
  <c r="C530" i="4"/>
  <c r="C483" i="4"/>
  <c r="C479" i="4"/>
  <c r="F479" i="4" s="1"/>
  <c r="D649" i="4"/>
  <c r="C477" i="4"/>
  <c r="C636" i="4"/>
  <c r="D532" i="4"/>
  <c r="D511" i="4"/>
  <c r="D413" i="4"/>
  <c r="B403" i="4"/>
  <c r="D561" i="4"/>
  <c r="D453" i="4"/>
  <c r="D587" i="4"/>
  <c r="C618" i="4"/>
  <c r="D536" i="4"/>
  <c r="B606" i="4"/>
  <c r="B457" i="4"/>
  <c r="D496" i="4"/>
  <c r="D403" i="4"/>
  <c r="D547" i="4"/>
  <c r="D543" i="4"/>
  <c r="C559" i="4"/>
  <c r="D530" i="4"/>
  <c r="D470" i="4"/>
  <c r="B470" i="4"/>
  <c r="C470" i="4"/>
  <c r="D553" i="4"/>
  <c r="C553" i="4"/>
  <c r="B545" i="4"/>
  <c r="B459" i="4"/>
  <c r="B641" i="4"/>
  <c r="B583" i="4"/>
  <c r="B595" i="4"/>
  <c r="C587" i="4"/>
  <c r="D618" i="4"/>
  <c r="B536" i="4"/>
  <c r="C606" i="4"/>
  <c r="D457" i="4"/>
  <c r="B496" i="4"/>
  <c r="B440" i="4"/>
  <c r="B543" i="4"/>
  <c r="C580" i="4"/>
  <c r="BU677" i="4"/>
  <c r="BU667" i="4"/>
  <c r="BU697" i="4"/>
  <c r="BU699" i="4"/>
  <c r="BU691" i="4"/>
  <c r="BU682" i="4"/>
  <c r="BU686" i="4"/>
  <c r="BU642" i="4"/>
  <c r="BU634" i="4"/>
  <c r="BU632" i="4"/>
  <c r="BU618" i="4"/>
  <c r="BU605" i="4"/>
  <c r="BU641" i="4"/>
  <c r="BU579" i="4"/>
  <c r="BU570" i="4"/>
  <c r="BU625" i="4"/>
  <c r="BU700" i="4"/>
  <c r="BU561" i="4"/>
  <c r="BU646" i="4"/>
  <c r="BU659" i="4"/>
  <c r="BU654" i="4"/>
  <c r="BU614" i="4"/>
  <c r="BU606" i="4"/>
  <c r="BU488" i="4"/>
  <c r="BU631" i="4"/>
  <c r="BU599" i="4"/>
  <c r="BU702" i="4"/>
  <c r="BU588" i="4"/>
  <c r="BU581" i="4"/>
  <c r="BU603" i="4"/>
  <c r="BU592" i="4"/>
  <c r="BU596" i="4"/>
  <c r="BU574" i="4"/>
  <c r="BU626" i="4"/>
  <c r="BU555" i="4"/>
  <c r="BU513" i="4"/>
  <c r="BU470" i="4"/>
  <c r="BU511" i="4"/>
  <c r="BU517" i="4"/>
  <c r="BU598" i="4"/>
  <c r="BU548" i="4"/>
  <c r="BU609" i="4"/>
  <c r="BU590" i="4"/>
  <c r="BU542" i="4"/>
  <c r="BU471" i="4"/>
  <c r="BU535" i="4"/>
  <c r="BU461" i="4"/>
  <c r="BU504" i="4"/>
  <c r="BU443" i="4"/>
  <c r="BU501" i="4"/>
  <c r="BU463" i="4"/>
  <c r="BU445" i="4"/>
  <c r="BU610" i="4"/>
  <c r="BU636" i="4"/>
  <c r="BU683" i="4"/>
  <c r="BU552" i="4"/>
  <c r="BU495" i="4"/>
  <c r="BU572" i="4"/>
  <c r="BU566" i="4"/>
  <c r="BU583" i="4"/>
  <c r="BU522" i="4"/>
  <c r="BU562" i="4"/>
  <c r="BU537" i="4"/>
  <c r="BU494" i="4"/>
  <c r="BU448" i="4"/>
  <c r="BU437" i="4"/>
  <c r="BU549" i="4"/>
  <c r="BU394" i="4"/>
  <c r="BU567" i="4"/>
  <c r="BU506" i="4"/>
  <c r="BU482" i="4"/>
  <c r="BU430" i="4"/>
  <c r="BU540" i="4"/>
  <c r="BU524" i="4"/>
  <c r="BU490" i="4"/>
  <c r="BU473" i="4"/>
  <c r="BU450" i="4"/>
  <c r="BU432" i="4"/>
  <c r="BU429" i="4"/>
  <c r="BU392" i="4"/>
  <c r="BU543" i="4"/>
  <c r="BU483" i="4"/>
  <c r="BU475" i="4"/>
  <c r="BU486" i="4"/>
  <c r="BU414" i="4"/>
  <c r="BU396" i="4"/>
  <c r="BU418" i="4"/>
  <c r="BU658" i="4"/>
  <c r="BU426" i="4"/>
  <c r="BU404" i="4"/>
  <c r="BU485" i="4"/>
  <c r="BU444" i="4"/>
  <c r="BU425" i="4"/>
  <c r="BU407" i="4"/>
  <c r="BU476" i="4"/>
  <c r="BU533" i="4"/>
  <c r="BU459" i="4"/>
  <c r="BU424" i="4"/>
  <c r="BU403" i="4"/>
  <c r="BU405" i="4"/>
  <c r="BU435" i="4"/>
  <c r="BU469" i="4"/>
  <c r="BU539" i="4"/>
  <c r="BU399" i="4"/>
  <c r="BU409" i="4"/>
  <c r="BU428" i="4"/>
  <c r="BU498" i="4"/>
  <c r="BU623" i="4"/>
  <c r="BU420" i="4"/>
  <c r="BU440" i="4"/>
  <c r="BU441" i="4"/>
  <c r="BU615" i="4"/>
  <c r="BU499" i="4"/>
  <c r="BU433" i="4"/>
  <c r="BU500" i="4"/>
  <c r="BU508" i="4"/>
  <c r="BU514" i="4"/>
  <c r="BU650" i="4"/>
  <c r="BU611" i="4"/>
  <c r="BU408" i="4"/>
  <c r="BU600" i="4"/>
  <c r="BU678" i="4"/>
  <c r="BU455" i="4"/>
  <c r="BU565" i="4"/>
  <c r="BU593" i="4"/>
  <c r="BU406" i="4"/>
  <c r="BU617" i="4"/>
  <c r="BU594" i="4"/>
  <c r="BU687" i="4"/>
  <c r="BU523" i="4"/>
  <c r="BU661" i="4"/>
  <c r="BU541" i="4"/>
  <c r="BU693" i="4"/>
  <c r="BU612" i="4"/>
  <c r="BU502" i="4"/>
  <c r="BU655" i="4"/>
  <c r="BU547" i="4"/>
  <c r="BU662" i="4"/>
  <c r="BU569" i="4"/>
  <c r="BU466" i="4"/>
  <c r="BU669" i="4"/>
  <c r="BU505" i="4"/>
  <c r="BU674" i="4"/>
  <c r="BU480" i="4"/>
  <c r="BU675" i="4"/>
  <c r="BU705" i="4"/>
  <c r="BU545" i="4"/>
  <c r="BU622" i="4"/>
  <c r="BU706" i="4"/>
  <c r="BU421" i="4"/>
  <c r="BU454" i="4"/>
  <c r="BU601" i="4"/>
  <c r="BU576" i="4"/>
  <c r="BU438" i="4"/>
  <c r="BU518" i="4"/>
  <c r="BU419" i="4"/>
  <c r="BU447" i="4"/>
  <c r="BU649" i="4"/>
  <c r="BU620" i="4"/>
  <c r="BU657" i="4"/>
  <c r="BU452" i="4"/>
  <c r="BU628" i="4"/>
  <c r="BU685" i="4"/>
  <c r="BU550" i="4"/>
  <c r="BU412" i="4"/>
  <c r="BU534" i="4"/>
  <c r="BU647" i="4"/>
  <c r="BU551" i="4"/>
  <c r="BU462" i="4"/>
  <c r="BU460" i="4"/>
  <c r="BU401" i="4"/>
  <c r="BU664" i="4"/>
  <c r="BU640" i="4"/>
  <c r="BU652" i="4"/>
  <c r="BU633" i="4"/>
  <c r="BU507" i="4"/>
  <c r="BU695" i="4"/>
  <c r="BU704" i="4"/>
  <c r="BU571" i="4"/>
  <c r="BU671" i="4"/>
  <c r="BU493" i="4"/>
  <c r="BU395" i="4"/>
  <c r="BU648" i="4"/>
  <c r="BU457" i="4"/>
  <c r="BU679" i="4"/>
  <c r="BU436" i="4"/>
  <c r="BU680" i="4"/>
  <c r="BU639" i="4"/>
  <c r="BU684" i="4"/>
  <c r="BU638" i="4"/>
  <c r="BU709" i="4"/>
  <c r="BU442" i="4"/>
  <c r="BU489" i="4"/>
  <c r="BU607" i="4"/>
  <c r="BU434" i="4"/>
  <c r="BU510" i="4"/>
  <c r="BU644" i="4"/>
  <c r="BU643" i="4"/>
  <c r="BU708" i="4"/>
  <c r="BU554" i="4"/>
  <c r="BU624" i="4"/>
  <c r="BU688" i="4"/>
  <c r="BU491" i="4"/>
  <c r="BU453" i="4"/>
  <c r="BU564" i="4"/>
  <c r="BU557" i="4"/>
  <c r="BU556" i="4"/>
  <c r="BU417" i="4"/>
  <c r="BU645" i="4"/>
  <c r="BU410" i="4"/>
  <c r="BU519" i="4"/>
  <c r="BU692" i="4"/>
  <c r="BU423" i="4"/>
  <c r="BU573" i="4"/>
  <c r="BU411" i="4"/>
  <c r="BU415" i="4"/>
  <c r="BU613" i="4"/>
  <c r="BU672" i="4"/>
  <c r="BU597" i="4"/>
  <c r="BU531" i="4"/>
  <c r="BU563" i="4"/>
  <c r="BU585" i="4"/>
  <c r="BU515" i="4"/>
  <c r="BU604" i="4"/>
  <c r="BU446" i="4"/>
  <c r="BU465" i="4"/>
  <c r="BU497" i="4"/>
  <c r="BU584" i="4"/>
  <c r="BU656" i="4"/>
  <c r="BU398" i="4"/>
  <c r="BU558" i="4"/>
  <c r="BU451" i="4"/>
  <c r="BU468" i="4"/>
  <c r="BU651" i="4"/>
  <c r="BU481" i="4"/>
  <c r="BU578" i="4"/>
  <c r="BU458" i="4"/>
  <c r="BU696" i="4"/>
  <c r="BU681" i="4"/>
  <c r="BU487" i="4"/>
  <c r="BU616" i="4"/>
  <c r="BU413" i="4"/>
  <c r="BU479" i="4"/>
  <c r="BU663" i="4"/>
  <c r="BU589" i="4"/>
  <c r="BU532" i="4"/>
  <c r="BU694" i="4"/>
  <c r="BU635" i="4"/>
  <c r="BU439" i="4"/>
  <c r="BU422" i="4"/>
  <c r="BU402" i="4"/>
  <c r="BU427" i="4"/>
  <c r="BU587" i="4"/>
  <c r="BU676" i="4"/>
  <c r="BU703" i="4"/>
  <c r="BU668" i="4"/>
  <c r="BU530" i="4"/>
  <c r="BU630" i="4"/>
  <c r="BU619" i="4"/>
  <c r="BU529" i="4"/>
  <c r="BU449" i="4"/>
  <c r="BU397" i="4"/>
  <c r="BU586" i="4"/>
  <c r="BU393" i="4"/>
  <c r="BU653" i="4"/>
  <c r="BU665" i="4"/>
  <c r="BU575" i="4"/>
  <c r="BU629" i="4"/>
  <c r="BU660" i="4"/>
  <c r="BU707" i="4"/>
  <c r="BU670" i="4"/>
  <c r="BU472" i="4"/>
  <c r="BU478" i="4"/>
  <c r="BU492" i="4"/>
  <c r="BU525" i="4"/>
  <c r="BU526" i="4"/>
  <c r="BU559" i="4"/>
  <c r="BU673" i="4"/>
  <c r="BU666" i="4"/>
  <c r="BU595" i="4"/>
  <c r="BU538" i="4"/>
  <c r="BU456" i="4"/>
  <c r="BU591" i="4"/>
  <c r="BU400" i="4"/>
  <c r="BU521" i="4"/>
  <c r="BU582" i="4"/>
  <c r="BU568" i="4"/>
  <c r="BU608" i="4"/>
  <c r="BU637" i="4"/>
  <c r="BU546" i="4"/>
  <c r="BU536" i="4"/>
  <c r="BU503" i="4"/>
  <c r="BU690" i="4"/>
  <c r="BU689" i="4"/>
  <c r="BU602" i="4"/>
  <c r="BU560" i="4"/>
  <c r="BU627" i="4"/>
  <c r="BU474" i="4"/>
  <c r="BU509" i="4"/>
  <c r="BU553" i="4"/>
  <c r="BU528" i="4"/>
  <c r="BU527" i="4"/>
  <c r="BU516" i="4"/>
  <c r="BU496" i="4"/>
  <c r="BU701" i="4"/>
  <c r="BU621" i="4"/>
  <c r="BU477" i="4"/>
  <c r="BU431" i="4"/>
  <c r="BU520" i="4"/>
  <c r="BU416" i="4"/>
  <c r="BU512" i="4"/>
  <c r="BU467" i="4"/>
  <c r="BU698" i="4"/>
  <c r="BU484" i="4"/>
  <c r="BU464" i="4"/>
  <c r="BU544" i="4"/>
  <c r="BU577" i="4"/>
  <c r="BU580" i="4"/>
  <c r="B483" i="4"/>
  <c r="C515" i="4"/>
  <c r="B538" i="4"/>
  <c r="B602" i="4"/>
  <c r="D624" i="4"/>
  <c r="C545" i="4"/>
  <c r="C455" i="4"/>
  <c r="C529" i="4"/>
  <c r="F529" i="4" s="1"/>
  <c r="D459" i="4"/>
  <c r="C459" i="4"/>
  <c r="C641" i="4"/>
  <c r="D583" i="4"/>
  <c r="C595" i="4"/>
  <c r="D492" i="4"/>
  <c r="B537" i="4"/>
  <c r="C536" i="4"/>
  <c r="F536" i="4" s="1"/>
  <c r="D606" i="4"/>
  <c r="B585" i="4"/>
  <c r="B558" i="4"/>
  <c r="B498" i="4"/>
  <c r="C440" i="4"/>
  <c r="C543" i="4"/>
  <c r="B532" i="4"/>
  <c r="E532" i="4" s="1"/>
  <c r="D644" i="4"/>
  <c r="D594" i="4"/>
  <c r="D461" i="4"/>
  <c r="D501" i="4"/>
  <c r="C413" i="4"/>
  <c r="B513" i="4"/>
  <c r="D564" i="4"/>
  <c r="D591" i="4"/>
  <c r="D641" i="4"/>
  <c r="C583" i="4"/>
  <c r="D595" i="4"/>
  <c r="B492" i="4"/>
  <c r="B628" i="4"/>
  <c r="C537" i="4"/>
  <c r="B454" i="4"/>
  <c r="C585" i="4"/>
  <c r="C558" i="4"/>
  <c r="B612" i="4"/>
  <c r="D498" i="4"/>
  <c r="D440" i="4"/>
  <c r="B517" i="4"/>
  <c r="C402" i="4"/>
  <c r="C513" i="4"/>
  <c r="B561" i="4"/>
  <c r="E561" i="4" s="1"/>
  <c r="B591" i="4"/>
  <c r="B546" i="4"/>
  <c r="B623" i="4"/>
  <c r="C492" i="4"/>
  <c r="C628" i="4"/>
  <c r="C488" i="4"/>
  <c r="D537" i="4"/>
  <c r="D454" i="4"/>
  <c r="D585" i="4"/>
  <c r="D558" i="4"/>
  <c r="C612" i="4"/>
  <c r="C498" i="4"/>
  <c r="B410" i="4"/>
  <c r="B560" i="4"/>
  <c r="B415" i="4"/>
  <c r="D556" i="4"/>
  <c r="B477" i="4"/>
  <c r="D483" i="4"/>
  <c r="B515" i="4"/>
  <c r="D477" i="4"/>
  <c r="C511" i="4"/>
  <c r="C538" i="4"/>
  <c r="B402" i="4"/>
  <c r="B455" i="4"/>
  <c r="C591" i="4"/>
  <c r="C546" i="4"/>
  <c r="C623" i="4"/>
  <c r="B499" i="4"/>
  <c r="B527" i="4"/>
  <c r="D628" i="4"/>
  <c r="D488" i="4"/>
  <c r="B652" i="4"/>
  <c r="C454" i="4"/>
  <c r="C521" i="4"/>
  <c r="D612" i="4"/>
  <c r="C640" i="4"/>
  <c r="C410" i="4"/>
  <c r="D560" i="4"/>
  <c r="B569" i="4"/>
  <c r="C415" i="4"/>
  <c r="C487" i="4"/>
  <c r="D524" i="4"/>
  <c r="D515" i="4"/>
  <c r="B511" i="4"/>
  <c r="B413" i="4"/>
  <c r="C517" i="4"/>
  <c r="B529" i="4"/>
  <c r="E529" i="4" s="1"/>
  <c r="C567" i="4"/>
  <c r="D546" i="4"/>
  <c r="D623" i="4"/>
  <c r="D499" i="4"/>
  <c r="C527" i="4"/>
  <c r="B488" i="4"/>
  <c r="B462" i="4"/>
  <c r="C652" i="4"/>
  <c r="C568" i="4"/>
  <c r="D521" i="4"/>
  <c r="D640" i="4"/>
  <c r="D410" i="4"/>
  <c r="C560" i="4"/>
  <c r="C569" i="4"/>
  <c r="D415" i="4"/>
  <c r="D487" i="4"/>
  <c r="B636" i="4"/>
  <c r="B594" i="4"/>
  <c r="D538" i="4"/>
  <c r="B507" i="4"/>
  <c r="C532" i="4"/>
  <c r="C644" i="4"/>
  <c r="D517" i="4"/>
  <c r="C602" i="4"/>
  <c r="B567" i="4"/>
  <c r="AQ664" i="4"/>
  <c r="D545" i="4"/>
  <c r="C491" i="4"/>
  <c r="D642" i="4"/>
  <c r="C499" i="4"/>
  <c r="D527" i="4"/>
  <c r="C523" i="4"/>
  <c r="C462" i="4"/>
  <c r="D652" i="4"/>
  <c r="D568" i="4"/>
  <c r="B521" i="4"/>
  <c r="B640" i="4"/>
  <c r="B630" i="4"/>
  <c r="D569" i="4"/>
  <c r="B590" i="4"/>
  <c r="B487" i="4"/>
  <c r="D636" i="4"/>
  <c r="D407" i="4"/>
  <c r="D507" i="4"/>
  <c r="B501" i="4"/>
  <c r="C502" i="4"/>
  <c r="B453" i="4"/>
  <c r="C624" i="4"/>
  <c r="B642" i="4"/>
  <c r="C447" i="4"/>
  <c r="F447" i="4" s="1"/>
  <c r="D523" i="4"/>
  <c r="D462" i="4"/>
  <c r="B586" i="4"/>
  <c r="B568" i="4"/>
  <c r="B406" i="4"/>
  <c r="B617" i="4"/>
  <c r="D630" i="4"/>
  <c r="C584" i="4"/>
  <c r="C590" i="4"/>
  <c r="B634" i="4"/>
  <c r="B559" i="4"/>
  <c r="C524" i="4"/>
  <c r="B407" i="4"/>
  <c r="B530" i="4"/>
  <c r="C407" i="4"/>
  <c r="B629" i="4"/>
  <c r="D602" i="4"/>
  <c r="D402" i="4"/>
  <c r="D629" i="4"/>
  <c r="B554" i="4"/>
  <c r="B502" i="4"/>
  <c r="D513" i="4"/>
  <c r="C564" i="4"/>
  <c r="B547" i="4"/>
  <c r="E547" i="4" s="1"/>
  <c r="C642" i="4"/>
  <c r="B523" i="4"/>
  <c r="C586" i="4"/>
  <c r="D573" i="4"/>
  <c r="F573" i="4" s="1"/>
  <c r="B635" i="4"/>
  <c r="C406" i="4"/>
  <c r="D580" i="4"/>
  <c r="C617" i="4"/>
  <c r="C630" i="4"/>
  <c r="D439" i="4"/>
  <c r="D584" i="4"/>
  <c r="D590" i="4"/>
  <c r="C634" i="4"/>
  <c r="D559" i="4"/>
  <c r="C507" i="4"/>
  <c r="C594" i="4"/>
  <c r="C461" i="4"/>
  <c r="B461" i="4"/>
  <c r="B564" i="4"/>
  <c r="B624" i="4"/>
  <c r="C501" i="4"/>
  <c r="D586" i="4"/>
  <c r="B573" i="4"/>
  <c r="C635" i="4"/>
  <c r="D406" i="4"/>
  <c r="B580" i="4"/>
  <c r="D617" i="4"/>
  <c r="C439" i="4"/>
  <c r="B584" i="4"/>
  <c r="D634" i="4"/>
  <c r="B447" i="4"/>
  <c r="AD668" i="2"/>
  <c r="AD659" i="2"/>
  <c r="AD669" i="2"/>
  <c r="AD657" i="2"/>
  <c r="AD658" i="2"/>
  <c r="AD663" i="2"/>
  <c r="K661" i="2"/>
  <c r="AD664" i="2"/>
  <c r="AD662" i="2"/>
  <c r="C165" i="1"/>
  <c r="I165" i="1"/>
  <c r="E466" i="4" l="1"/>
  <c r="F454" i="4"/>
  <c r="E603" i="4"/>
  <c r="E643" i="4"/>
  <c r="E468" i="4"/>
  <c r="E651" i="4"/>
  <c r="F651" i="4"/>
  <c r="F475" i="4"/>
  <c r="E438" i="4"/>
  <c r="E472" i="4"/>
  <c r="F450" i="4"/>
  <c r="E578" i="4"/>
  <c r="F509" i="4"/>
  <c r="F501" i="4"/>
  <c r="E646" i="4"/>
  <c r="F617" i="4"/>
  <c r="E509" i="4"/>
  <c r="F411" i="4"/>
  <c r="F480" i="4"/>
  <c r="E493" i="4"/>
  <c r="E522" i="4"/>
  <c r="E413" i="4"/>
  <c r="F522" i="4"/>
  <c r="F601" i="4"/>
  <c r="F642" i="4"/>
  <c r="F526" i="4"/>
  <c r="F564" i="4"/>
  <c r="F490" i="4"/>
  <c r="F627" i="4"/>
  <c r="F452" i="4"/>
  <c r="E416" i="4"/>
  <c r="R667" i="2"/>
  <c r="E564" i="4"/>
  <c r="E627" i="4"/>
  <c r="E478" i="4"/>
  <c r="E419" i="4"/>
  <c r="F579" i="4"/>
  <c r="E579" i="4"/>
  <c r="F624" i="4"/>
  <c r="R664" i="2"/>
  <c r="R676" i="2" s="1"/>
  <c r="E624" i="4"/>
  <c r="E548" i="4"/>
  <c r="E601" i="4"/>
  <c r="E638" i="4"/>
  <c r="E452" i="4"/>
  <c r="F444" i="4"/>
  <c r="E488" i="4"/>
  <c r="F511" i="4"/>
  <c r="E570" i="4"/>
  <c r="E511" i="4"/>
  <c r="E585" i="4"/>
  <c r="F459" i="4"/>
  <c r="F587" i="4"/>
  <c r="F470" i="4"/>
  <c r="Q659" i="2"/>
  <c r="Q671" i="2" s="1"/>
  <c r="R659" i="2"/>
  <c r="R671" i="2" s="1"/>
  <c r="F407" i="4"/>
  <c r="F456" i="4"/>
  <c r="F443" i="4"/>
  <c r="F540" i="4"/>
  <c r="Q658" i="2"/>
  <c r="Q670" i="2" s="1"/>
  <c r="Q664" i="2"/>
  <c r="Q676" i="2" s="1"/>
  <c r="E470" i="4"/>
  <c r="E620" i="4"/>
  <c r="F558" i="4"/>
  <c r="E611" i="4"/>
  <c r="F585" i="4"/>
  <c r="F478" i="4"/>
  <c r="F566" i="4"/>
  <c r="E442" i="4"/>
  <c r="F633" i="4"/>
  <c r="Q662" i="2"/>
  <c r="Q674" i="2" s="1"/>
  <c r="Q666" i="2"/>
  <c r="Q678" i="2" s="1"/>
  <c r="F559" i="4"/>
  <c r="E451" i="4"/>
  <c r="E577" i="4"/>
  <c r="Q657" i="2"/>
  <c r="Q669" i="2" s="1"/>
  <c r="R657" i="2"/>
  <c r="R669" i="2" s="1"/>
  <c r="E405" i="4"/>
  <c r="F499" i="4"/>
  <c r="F410" i="4"/>
  <c r="E628" i="4"/>
  <c r="F472" i="4"/>
  <c r="E535" i="4"/>
  <c r="C169" i="1"/>
  <c r="C171" i="1" s="1"/>
  <c r="F635" i="4"/>
  <c r="E523" i="4"/>
  <c r="F523" i="4"/>
  <c r="E454" i="4"/>
  <c r="F483" i="4"/>
  <c r="F539" i="4"/>
  <c r="F593" i="4"/>
  <c r="E582" i="4"/>
  <c r="F578" i="4"/>
  <c r="E495" i="4"/>
  <c r="F615" i="4"/>
  <c r="Q667" i="2"/>
  <c r="E569" i="4"/>
  <c r="F471" i="4"/>
  <c r="F537" i="4"/>
  <c r="E537" i="4"/>
  <c r="E622" i="4"/>
  <c r="F614" i="4"/>
  <c r="F577" i="4"/>
  <c r="F619" i="4"/>
  <c r="E475" i="4"/>
  <c r="E637" i="4"/>
  <c r="E584" i="4"/>
  <c r="F405" i="4"/>
  <c r="Q663" i="2"/>
  <c r="Q675" i="2" s="1"/>
  <c r="F595" i="4"/>
  <c r="F458" i="4"/>
  <c r="F588" i="4"/>
  <c r="F608" i="4"/>
  <c r="F449" i="4"/>
  <c r="E639" i="4"/>
  <c r="E415" i="4"/>
  <c r="F582" i="4"/>
  <c r="Q665" i="2"/>
  <c r="Q677" i="2" s="1"/>
  <c r="F580" i="4"/>
  <c r="F613" i="4"/>
  <c r="E512" i="4"/>
  <c r="F599" i="4"/>
  <c r="E476" i="4"/>
  <c r="F500" i="4"/>
  <c r="F581" i="4"/>
  <c r="F589" i="4"/>
  <c r="F476" i="4"/>
  <c r="E648" i="4"/>
  <c r="E635" i="4"/>
  <c r="Q660" i="2"/>
  <c r="Q672" i="2" s="1"/>
  <c r="E594" i="4"/>
  <c r="F528" i="4"/>
  <c r="E592" i="4"/>
  <c r="F603" i="4"/>
  <c r="E514" i="4"/>
  <c r="F441" i="4"/>
  <c r="F554" i="4"/>
  <c r="R656" i="2"/>
  <c r="R668" i="2" s="1"/>
  <c r="E597" i="4"/>
  <c r="E502" i="4"/>
  <c r="E458" i="4"/>
  <c r="F463" i="4"/>
  <c r="E531" i="4"/>
  <c r="F442" i="4"/>
  <c r="F416" i="4"/>
  <c r="F597" i="4"/>
  <c r="E461" i="4"/>
  <c r="F461" i="4"/>
  <c r="E567" i="4"/>
  <c r="F502" i="4"/>
  <c r="E471" i="4"/>
  <c r="E500" i="4"/>
  <c r="E449" i="4"/>
  <c r="F605" i="4"/>
  <c r="E463" i="4"/>
  <c r="E617" i="4"/>
  <c r="E644" i="4"/>
  <c r="F514" i="4"/>
  <c r="F404" i="4"/>
  <c r="E554" i="4"/>
  <c r="E453" i="4"/>
  <c r="F594" i="4"/>
  <c r="F507" i="4"/>
  <c r="E501" i="4"/>
  <c r="F567" i="4"/>
  <c r="F639" i="4"/>
  <c r="E614" i="4"/>
  <c r="F531" i="4"/>
  <c r="E524" i="4"/>
  <c r="E613" i="4"/>
  <c r="F413" i="4"/>
  <c r="F618" i="4"/>
  <c r="E450" i="4"/>
  <c r="F512" i="4"/>
  <c r="E508" i="4"/>
  <c r="F643" i="4"/>
  <c r="E404" i="4"/>
  <c r="R665" i="2"/>
  <c r="R677" i="2" s="1"/>
  <c r="E477" i="4"/>
  <c r="F532" i="4"/>
  <c r="F520" i="4"/>
  <c r="R660" i="2"/>
  <c r="R672" i="2" s="1"/>
  <c r="F568" i="4"/>
  <c r="R658" i="2"/>
  <c r="R670" i="2" s="1"/>
  <c r="R666" i="2"/>
  <c r="R678" i="2" s="1"/>
  <c r="Q661" i="2"/>
  <c r="Q673" i="2" s="1"/>
  <c r="F641" i="4"/>
  <c r="F403" i="4"/>
  <c r="F419" i="4"/>
  <c r="E608" i="4"/>
  <c r="E441" i="4"/>
  <c r="E572" i="4"/>
  <c r="F465" i="4"/>
  <c r="E490" i="4"/>
  <c r="Q656" i="2"/>
  <c r="Q668" i="2" s="1"/>
  <c r="E481" i="4"/>
  <c r="E440" i="4"/>
  <c r="E539" i="4"/>
  <c r="F445" i="4"/>
  <c r="E445" i="4"/>
  <c r="F626" i="4"/>
  <c r="F468" i="4"/>
  <c r="F609" i="4"/>
  <c r="E560" i="4"/>
  <c r="F556" i="4"/>
  <c r="E563" i="4"/>
  <c r="E457" i="4"/>
  <c r="F457" i="4"/>
  <c r="E625" i="4"/>
  <c r="E497" i="4"/>
  <c r="E485" i="4"/>
  <c r="F489" i="4"/>
  <c r="F498" i="4"/>
  <c r="D655" i="4"/>
  <c r="F473" i="4"/>
  <c r="B11" i="1"/>
  <c r="P660" i="2"/>
  <c r="O659" i="2"/>
  <c r="C11" i="1" s="1"/>
  <c r="N659" i="2"/>
  <c r="D11" i="1" s="1"/>
  <c r="S659" i="2"/>
  <c r="T659" i="2" s="1"/>
  <c r="E661" i="2"/>
  <c r="F481" i="4"/>
  <c r="R663" i="2"/>
  <c r="R675" i="2" s="1"/>
  <c r="F644" i="4"/>
  <c r="E536" i="4"/>
  <c r="F645" i="4"/>
  <c r="E555" i="4"/>
  <c r="F510" i="4"/>
  <c r="E568" i="4"/>
  <c r="D654" i="4"/>
  <c r="D656" i="4" s="1"/>
  <c r="D658" i="4" s="1"/>
  <c r="E645" i="4"/>
  <c r="E652" i="4"/>
  <c r="E520" i="4"/>
  <c r="E489" i="4"/>
  <c r="E609" i="4"/>
  <c r="F524" i="4"/>
  <c r="E590" i="4"/>
  <c r="E605" i="4"/>
  <c r="E473" i="4"/>
  <c r="E573" i="4"/>
  <c r="E510" i="4"/>
  <c r="F491" i="4"/>
  <c r="F630" i="4"/>
  <c r="E619" i="4"/>
  <c r="R662" i="2"/>
  <c r="R674" i="2" s="1"/>
  <c r="F572" i="4"/>
  <c r="F560" i="4"/>
  <c r="E410" i="4"/>
  <c r="F652" i="4"/>
  <c r="F563" i="4"/>
  <c r="F590" i="4"/>
  <c r="F487" i="4"/>
  <c r="E515" i="4"/>
  <c r="F408" i="4"/>
  <c r="F638" i="4"/>
  <c r="I479" i="4"/>
  <c r="J479" i="4" s="1"/>
  <c r="F661" i="2"/>
  <c r="E630" i="4"/>
  <c r="F584" i="4"/>
  <c r="R661" i="2"/>
  <c r="R673" i="2" s="1"/>
  <c r="E586" i="4"/>
  <c r="I482" i="4"/>
  <c r="J482" i="4" s="1"/>
  <c r="G482" i="4"/>
  <c r="H482" i="4" s="1"/>
  <c r="G534" i="4"/>
  <c r="H534" i="4" s="1"/>
  <c r="I534" i="4"/>
  <c r="J534" i="4" s="1"/>
  <c r="F437" i="4"/>
  <c r="G495" i="4"/>
  <c r="H495" i="4" s="1"/>
  <c r="I495" i="4"/>
  <c r="J495" i="4" s="1"/>
  <c r="F612" i="4"/>
  <c r="E575" i="4"/>
  <c r="G486" i="4"/>
  <c r="H486" i="4" s="1"/>
  <c r="I486" i="4"/>
  <c r="J486" i="4" s="1"/>
  <c r="E543" i="4"/>
  <c r="I632" i="4"/>
  <c r="J632" i="4" s="1"/>
  <c r="G632" i="4"/>
  <c r="H632" i="4" s="1"/>
  <c r="G546" i="4"/>
  <c r="H546" i="4" s="1"/>
  <c r="I546" i="4"/>
  <c r="J546" i="4" s="1"/>
  <c r="I533" i="4"/>
  <c r="J533" i="4" s="1"/>
  <c r="G533" i="4"/>
  <c r="H533" i="4" s="1"/>
  <c r="G507" i="4"/>
  <c r="H507" i="4" s="1"/>
  <c r="I507" i="4"/>
  <c r="J507" i="4" s="1"/>
  <c r="I517" i="4"/>
  <c r="J517" i="4" s="1"/>
  <c r="G517" i="4"/>
  <c r="H517" i="4" s="1"/>
  <c r="F623" i="4"/>
  <c r="F628" i="4"/>
  <c r="G564" i="4"/>
  <c r="H564" i="4" s="1"/>
  <c r="I564" i="4"/>
  <c r="J564" i="4" s="1"/>
  <c r="I457" i="4"/>
  <c r="J457" i="4" s="1"/>
  <c r="G457" i="4"/>
  <c r="H457" i="4" s="1"/>
  <c r="E606" i="4"/>
  <c r="E491" i="4"/>
  <c r="E446" i="4"/>
  <c r="G448" i="4"/>
  <c r="H448" i="4" s="1"/>
  <c r="I448" i="4"/>
  <c r="J448" i="4" s="1"/>
  <c r="F648" i="4"/>
  <c r="G539" i="4"/>
  <c r="H539" i="4" s="1"/>
  <c r="I539" i="4"/>
  <c r="J539" i="4" s="1"/>
  <c r="I408" i="4"/>
  <c r="J408" i="4" s="1"/>
  <c r="G408" i="4"/>
  <c r="H408" i="4" s="1"/>
  <c r="G475" i="4"/>
  <c r="H475" i="4" s="1"/>
  <c r="I475" i="4"/>
  <c r="J475" i="4" s="1"/>
  <c r="F548" i="4"/>
  <c r="I473" i="4"/>
  <c r="J473" i="4" s="1"/>
  <c r="G473" i="4"/>
  <c r="H473" i="4" s="1"/>
  <c r="G445" i="4"/>
  <c r="H445" i="4" s="1"/>
  <c r="I445" i="4"/>
  <c r="J445" i="4" s="1"/>
  <c r="G497" i="4"/>
  <c r="H497" i="4" s="1"/>
  <c r="I497" i="4"/>
  <c r="J497" i="4" s="1"/>
  <c r="F464" i="4"/>
  <c r="F565" i="4"/>
  <c r="I626" i="4"/>
  <c r="J626" i="4" s="1"/>
  <c r="G626" i="4"/>
  <c r="H626" i="4" s="1"/>
  <c r="E486" i="4"/>
  <c r="E474" i="4"/>
  <c r="I625" i="4"/>
  <c r="J625" i="4" s="1"/>
  <c r="G625" i="4"/>
  <c r="H625" i="4" s="1"/>
  <c r="I557" i="4"/>
  <c r="J557" i="4" s="1"/>
  <c r="G557" i="4"/>
  <c r="H557" i="4" s="1"/>
  <c r="G586" i="4"/>
  <c r="H586" i="4" s="1"/>
  <c r="I586" i="4"/>
  <c r="J586" i="4" s="1"/>
  <c r="G412" i="4"/>
  <c r="H412" i="4" s="1"/>
  <c r="I412" i="4"/>
  <c r="J412" i="4" s="1"/>
  <c r="I437" i="4"/>
  <c r="J437" i="4" s="1"/>
  <c r="G437" i="4"/>
  <c r="H437" i="4" s="1"/>
  <c r="G530" i="4"/>
  <c r="H530" i="4" s="1"/>
  <c r="I530" i="4"/>
  <c r="J530" i="4" s="1"/>
  <c r="I544" i="4"/>
  <c r="J544" i="4" s="1"/>
  <c r="G544" i="4"/>
  <c r="H544" i="4" s="1"/>
  <c r="I513" i="4"/>
  <c r="J513" i="4" s="1"/>
  <c r="G513" i="4"/>
  <c r="H513" i="4" s="1"/>
  <c r="I503" i="4"/>
  <c r="J503" i="4" s="1"/>
  <c r="G503" i="4"/>
  <c r="H503" i="4" s="1"/>
  <c r="I455" i="4"/>
  <c r="J455" i="4" s="1"/>
  <c r="G455" i="4"/>
  <c r="H455" i="4" s="1"/>
  <c r="I577" i="4"/>
  <c r="J577" i="4" s="1"/>
  <c r="G577" i="4"/>
  <c r="H577" i="4" s="1"/>
  <c r="E518" i="4"/>
  <c r="I493" i="4"/>
  <c r="J493" i="4" s="1"/>
  <c r="G493" i="4"/>
  <c r="H493" i="4" s="1"/>
  <c r="G476" i="4"/>
  <c r="H476" i="4" s="1"/>
  <c r="I476" i="4"/>
  <c r="J476" i="4" s="1"/>
  <c r="F602" i="4"/>
  <c r="I464" i="4"/>
  <c r="J464" i="4" s="1"/>
  <c r="G464" i="4"/>
  <c r="H464" i="4" s="1"/>
  <c r="E629" i="4"/>
  <c r="G407" i="4"/>
  <c r="H407" i="4" s="1"/>
  <c r="I407" i="4"/>
  <c r="J407" i="4" s="1"/>
  <c r="F546" i="4"/>
  <c r="F492" i="4"/>
  <c r="E513" i="4"/>
  <c r="F455" i="4"/>
  <c r="F606" i="4"/>
  <c r="I536" i="4"/>
  <c r="J536" i="4" s="1"/>
  <c r="G536" i="4"/>
  <c r="H536" i="4" s="1"/>
  <c r="I529" i="4"/>
  <c r="J529" i="4" s="1"/>
  <c r="G529" i="4"/>
  <c r="H529" i="4" s="1"/>
  <c r="E549" i="4"/>
  <c r="G490" i="4"/>
  <c r="H490" i="4" s="1"/>
  <c r="I490" i="4"/>
  <c r="J490" i="4" s="1"/>
  <c r="I438" i="4"/>
  <c r="J438" i="4" s="1"/>
  <c r="G438" i="4"/>
  <c r="H438" i="4" s="1"/>
  <c r="F516" i="4"/>
  <c r="E576" i="4"/>
  <c r="F550" i="4"/>
  <c r="G452" i="4"/>
  <c r="H452" i="4" s="1"/>
  <c r="I452" i="4"/>
  <c r="J452" i="4" s="1"/>
  <c r="I506" i="4"/>
  <c r="J506" i="4" s="1"/>
  <c r="G506" i="4"/>
  <c r="H506" i="4" s="1"/>
  <c r="G601" i="4"/>
  <c r="H601" i="4" s="1"/>
  <c r="I601" i="4"/>
  <c r="J601" i="4" s="1"/>
  <c r="E506" i="4"/>
  <c r="G522" i="4"/>
  <c r="H522" i="4" s="1"/>
  <c r="I522" i="4"/>
  <c r="J522" i="4" s="1"/>
  <c r="F503" i="4"/>
  <c r="I466" i="4"/>
  <c r="J466" i="4" s="1"/>
  <c r="G466" i="4"/>
  <c r="H466" i="4" s="1"/>
  <c r="F485" i="4"/>
  <c r="E650" i="4"/>
  <c r="I596" i="4"/>
  <c r="J596" i="4" s="1"/>
  <c r="G596" i="4"/>
  <c r="H596" i="4" s="1"/>
  <c r="I527" i="4"/>
  <c r="J527" i="4" s="1"/>
  <c r="G527" i="4"/>
  <c r="H527" i="4" s="1"/>
  <c r="I518" i="4"/>
  <c r="J518" i="4" s="1"/>
  <c r="G518" i="4"/>
  <c r="H518" i="4" s="1"/>
  <c r="E557" i="4"/>
  <c r="F576" i="4"/>
  <c r="I615" i="4"/>
  <c r="J615" i="4" s="1"/>
  <c r="G615" i="4"/>
  <c r="H615" i="4" s="1"/>
  <c r="I610" i="4"/>
  <c r="J610" i="4" s="1"/>
  <c r="G610" i="4"/>
  <c r="H610" i="4" s="1"/>
  <c r="E542" i="4"/>
  <c r="G488" i="4"/>
  <c r="H488" i="4" s="1"/>
  <c r="I488" i="4"/>
  <c r="J488" i="4" s="1"/>
  <c r="F547" i="4"/>
  <c r="I551" i="4"/>
  <c r="J551" i="4" s="1"/>
  <c r="G551" i="4"/>
  <c r="H551" i="4" s="1"/>
  <c r="I629" i="4"/>
  <c r="J629" i="4" s="1"/>
  <c r="G629" i="4"/>
  <c r="H629" i="4" s="1"/>
  <c r="AQ665" i="4"/>
  <c r="I611" i="4"/>
  <c r="J611" i="4" s="1"/>
  <c r="G611" i="4"/>
  <c r="H611" i="4" s="1"/>
  <c r="E527" i="4"/>
  <c r="I540" i="4"/>
  <c r="J540" i="4" s="1"/>
  <c r="G540" i="4"/>
  <c r="H540" i="4" s="1"/>
  <c r="E621" i="4"/>
  <c r="G570" i="4"/>
  <c r="H570" i="4" s="1"/>
  <c r="I570" i="4"/>
  <c r="J570" i="4" s="1"/>
  <c r="G590" i="4"/>
  <c r="H590" i="4" s="1"/>
  <c r="I590" i="4"/>
  <c r="J590" i="4" s="1"/>
  <c r="I636" i="4"/>
  <c r="J636" i="4" s="1"/>
  <c r="G636" i="4"/>
  <c r="H636" i="4" s="1"/>
  <c r="F517" i="4"/>
  <c r="F591" i="4"/>
  <c r="E623" i="4"/>
  <c r="F545" i="4"/>
  <c r="E618" i="4"/>
  <c r="F647" i="4"/>
  <c r="I627" i="4"/>
  <c r="J627" i="4" s="1"/>
  <c r="G627" i="4"/>
  <c r="H627" i="4" s="1"/>
  <c r="F448" i="4"/>
  <c r="I468" i="4"/>
  <c r="J468" i="4" s="1"/>
  <c r="G468" i="4"/>
  <c r="H468" i="4" s="1"/>
  <c r="E465" i="4"/>
  <c r="I651" i="4"/>
  <c r="J651" i="4" s="1"/>
  <c r="G651" i="4"/>
  <c r="H651" i="4" s="1"/>
  <c r="F533" i="4"/>
  <c r="E589" i="4"/>
  <c r="F486" i="4"/>
  <c r="F494" i="4"/>
  <c r="E626" i="4"/>
  <c r="I484" i="4"/>
  <c r="J484" i="4" s="1"/>
  <c r="G484" i="4"/>
  <c r="H484" i="4" s="1"/>
  <c r="F504" i="4"/>
  <c r="F530" i="4"/>
  <c r="I516" i="4"/>
  <c r="J516" i="4" s="1"/>
  <c r="G516" i="4"/>
  <c r="H516" i="4" s="1"/>
  <c r="E492" i="4"/>
  <c r="I447" i="4"/>
  <c r="J447" i="4" s="1"/>
  <c r="G447" i="4"/>
  <c r="H447" i="4" s="1"/>
  <c r="E565" i="4"/>
  <c r="I585" i="4"/>
  <c r="J585" i="4" s="1"/>
  <c r="G585" i="4"/>
  <c r="H585" i="4" s="1"/>
  <c r="I460" i="4"/>
  <c r="J460" i="4" s="1"/>
  <c r="G460" i="4"/>
  <c r="H460" i="4" s="1"/>
  <c r="I537" i="4"/>
  <c r="J537" i="4" s="1"/>
  <c r="G537" i="4"/>
  <c r="H537" i="4" s="1"/>
  <c r="I571" i="4"/>
  <c r="J571" i="4" s="1"/>
  <c r="G571" i="4"/>
  <c r="H571" i="4" s="1"/>
  <c r="I505" i="4"/>
  <c r="J505" i="4" s="1"/>
  <c r="G505" i="4"/>
  <c r="H505" i="4" s="1"/>
  <c r="G602" i="4"/>
  <c r="H602" i="4" s="1"/>
  <c r="I602" i="4"/>
  <c r="J602" i="4" s="1"/>
  <c r="I456" i="4"/>
  <c r="J456" i="4" s="1"/>
  <c r="G456" i="4"/>
  <c r="H456" i="4" s="1"/>
  <c r="F621" i="4"/>
  <c r="I616" i="4"/>
  <c r="J616" i="4" s="1"/>
  <c r="G616" i="4"/>
  <c r="H616" i="4" s="1"/>
  <c r="F634" i="4"/>
  <c r="E530" i="4"/>
  <c r="I584" i="4"/>
  <c r="J584" i="4" s="1"/>
  <c r="G584" i="4"/>
  <c r="H584" i="4" s="1"/>
  <c r="E407" i="4"/>
  <c r="E487" i="4"/>
  <c r="E507" i="4"/>
  <c r="E455" i="4"/>
  <c r="E546" i="4"/>
  <c r="I501" i="4"/>
  <c r="J501" i="4" s="1"/>
  <c r="G501" i="4"/>
  <c r="H501" i="4" s="1"/>
  <c r="I624" i="4"/>
  <c r="J624" i="4" s="1"/>
  <c r="G624" i="4"/>
  <c r="H624" i="4" s="1"/>
  <c r="I618" i="4"/>
  <c r="J618" i="4" s="1"/>
  <c r="G618" i="4"/>
  <c r="H618" i="4" s="1"/>
  <c r="I587" i="4"/>
  <c r="J587" i="4" s="1"/>
  <c r="G587" i="4"/>
  <c r="H587" i="4" s="1"/>
  <c r="E587" i="4"/>
  <c r="E534" i="4"/>
  <c r="I450" i="4"/>
  <c r="J450" i="4" s="1"/>
  <c r="G450" i="4"/>
  <c r="H450" i="4" s="1"/>
  <c r="E460" i="4"/>
  <c r="E504" i="4"/>
  <c r="E409" i="4"/>
  <c r="E600" i="4"/>
  <c r="F484" i="4"/>
  <c r="E480" i="4"/>
  <c r="F474" i="4"/>
  <c r="I643" i="4"/>
  <c r="J643" i="4" s="1"/>
  <c r="G643" i="4"/>
  <c r="H643" i="4" s="1"/>
  <c r="I646" i="4"/>
  <c r="J646" i="4" s="1"/>
  <c r="G646" i="4"/>
  <c r="H646" i="4" s="1"/>
  <c r="F506" i="4"/>
  <c r="E607" i="4"/>
  <c r="G579" i="4"/>
  <c r="H579" i="4" s="1"/>
  <c r="I579" i="4"/>
  <c r="J579" i="4" s="1"/>
  <c r="F451" i="4"/>
  <c r="I509" i="4"/>
  <c r="J509" i="4" s="1"/>
  <c r="G509" i="4"/>
  <c r="H509" i="4" s="1"/>
  <c r="E610" i="4"/>
  <c r="E653" i="4"/>
  <c r="I649" i="4"/>
  <c r="J649" i="4" s="1"/>
  <c r="G649" i="4"/>
  <c r="H649" i="4" s="1"/>
  <c r="G469" i="4"/>
  <c r="H469" i="4" s="1"/>
  <c r="I469" i="4"/>
  <c r="J469" i="4" s="1"/>
  <c r="I462" i="4"/>
  <c r="J462" i="4" s="1"/>
  <c r="G462" i="4"/>
  <c r="H462" i="4" s="1"/>
  <c r="I650" i="4"/>
  <c r="J650" i="4" s="1"/>
  <c r="G650" i="4"/>
  <c r="H650" i="4" s="1"/>
  <c r="I451" i="4"/>
  <c r="J451" i="4" s="1"/>
  <c r="G451" i="4"/>
  <c r="H451" i="4" s="1"/>
  <c r="F521" i="4"/>
  <c r="F482" i="4"/>
  <c r="F562" i="4"/>
  <c r="I545" i="4"/>
  <c r="J545" i="4" s="1"/>
  <c r="G545" i="4"/>
  <c r="H545" i="4" s="1"/>
  <c r="I574" i="4"/>
  <c r="J574" i="4" s="1"/>
  <c r="G574" i="4"/>
  <c r="H574" i="4" s="1"/>
  <c r="F541" i="4"/>
  <c r="I499" i="4"/>
  <c r="J499" i="4" s="1"/>
  <c r="G499" i="4"/>
  <c r="H499" i="4" s="1"/>
  <c r="I581" i="4"/>
  <c r="J581" i="4" s="1"/>
  <c r="G581" i="4"/>
  <c r="H581" i="4" s="1"/>
  <c r="G459" i="4"/>
  <c r="H459" i="4" s="1"/>
  <c r="I459" i="4"/>
  <c r="J459" i="4" s="1"/>
  <c r="E496" i="4"/>
  <c r="G419" i="4"/>
  <c r="H419" i="4" s="1"/>
  <c r="I419" i="4"/>
  <c r="J419" i="4" s="1"/>
  <c r="I439" i="4"/>
  <c r="J439" i="4" s="1"/>
  <c r="G439" i="4"/>
  <c r="H439" i="4" s="1"/>
  <c r="I538" i="4"/>
  <c r="J538" i="4" s="1"/>
  <c r="G538" i="4"/>
  <c r="H538" i="4" s="1"/>
  <c r="E402" i="4"/>
  <c r="E591" i="4"/>
  <c r="I461" i="4"/>
  <c r="J461" i="4" s="1"/>
  <c r="G461" i="4"/>
  <c r="H461" i="4" s="1"/>
  <c r="E602" i="4"/>
  <c r="G453" i="4"/>
  <c r="H453" i="4" s="1"/>
  <c r="I453" i="4"/>
  <c r="J453" i="4" s="1"/>
  <c r="F453" i="4"/>
  <c r="E412" i="4"/>
  <c r="F534" i="4"/>
  <c r="E519" i="4"/>
  <c r="I588" i="4"/>
  <c r="J588" i="4" s="1"/>
  <c r="G588" i="4"/>
  <c r="H588" i="4" s="1"/>
  <c r="I514" i="4"/>
  <c r="J514" i="4" s="1"/>
  <c r="G514" i="4"/>
  <c r="H514" i="4" s="1"/>
  <c r="F518" i="4"/>
  <c r="E482" i="4"/>
  <c r="I441" i="4"/>
  <c r="J441" i="4" s="1"/>
  <c r="G441" i="4"/>
  <c r="H441" i="4" s="1"/>
  <c r="G500" i="4"/>
  <c r="H500" i="4" s="1"/>
  <c r="I500" i="4"/>
  <c r="J500" i="4" s="1"/>
  <c r="I465" i="4"/>
  <c r="J465" i="4" s="1"/>
  <c r="G465" i="4"/>
  <c r="H465" i="4" s="1"/>
  <c r="I592" i="4"/>
  <c r="J592" i="4" s="1"/>
  <c r="G592" i="4"/>
  <c r="H592" i="4" s="1"/>
  <c r="E448" i="4"/>
  <c r="E443" i="4"/>
  <c r="F497" i="4"/>
  <c r="I404" i="4"/>
  <c r="J404" i="4" s="1"/>
  <c r="G404" i="4"/>
  <c r="H404" i="4" s="1"/>
  <c r="G597" i="4"/>
  <c r="H597" i="4" s="1"/>
  <c r="I597" i="4"/>
  <c r="J597" i="4" s="1"/>
  <c r="G653" i="4"/>
  <c r="H653" i="4" s="1"/>
  <c r="I653" i="4"/>
  <c r="J653" i="4" s="1"/>
  <c r="I640" i="4"/>
  <c r="J640" i="4" s="1"/>
  <c r="G640" i="4"/>
  <c r="H640" i="4" s="1"/>
  <c r="I548" i="4"/>
  <c r="J548" i="4" s="1"/>
  <c r="G548" i="4"/>
  <c r="H548" i="4" s="1"/>
  <c r="G525" i="4"/>
  <c r="H525" i="4" s="1"/>
  <c r="I525" i="4"/>
  <c r="J525" i="4" s="1"/>
  <c r="G642" i="4"/>
  <c r="H642" i="4" s="1"/>
  <c r="I642" i="4"/>
  <c r="J642" i="4" s="1"/>
  <c r="G543" i="4"/>
  <c r="H543" i="4" s="1"/>
  <c r="I543" i="4"/>
  <c r="J543" i="4" s="1"/>
  <c r="I535" i="4"/>
  <c r="J535" i="4" s="1"/>
  <c r="G535" i="4"/>
  <c r="H535" i="4" s="1"/>
  <c r="G547" i="4"/>
  <c r="H547" i="4" s="1"/>
  <c r="I547" i="4"/>
  <c r="J547" i="4" s="1"/>
  <c r="G552" i="4"/>
  <c r="H552" i="4" s="1"/>
  <c r="I552" i="4"/>
  <c r="J552" i="4" s="1"/>
  <c r="I589" i="4"/>
  <c r="J589" i="4" s="1"/>
  <c r="G589" i="4"/>
  <c r="H589" i="4" s="1"/>
  <c r="I496" i="4"/>
  <c r="J496" i="4" s="1"/>
  <c r="G496" i="4"/>
  <c r="H496" i="4" s="1"/>
  <c r="F493" i="4"/>
  <c r="E447" i="4"/>
  <c r="G634" i="4"/>
  <c r="H634" i="4" s="1"/>
  <c r="I634" i="4"/>
  <c r="J634" i="4" s="1"/>
  <c r="E559" i="4"/>
  <c r="G569" i="4"/>
  <c r="H569" i="4" s="1"/>
  <c r="I569" i="4"/>
  <c r="J569" i="4" s="1"/>
  <c r="G515" i="4"/>
  <c r="H515" i="4" s="1"/>
  <c r="I515" i="4"/>
  <c r="J515" i="4" s="1"/>
  <c r="F538" i="4"/>
  <c r="I594" i="4"/>
  <c r="J594" i="4" s="1"/>
  <c r="G594" i="4"/>
  <c r="H594" i="4" s="1"/>
  <c r="E538" i="4"/>
  <c r="E595" i="4"/>
  <c r="I561" i="4"/>
  <c r="J561" i="4" s="1"/>
  <c r="G561" i="4"/>
  <c r="H561" i="4" s="1"/>
  <c r="F561" i="4"/>
  <c r="G519" i="4"/>
  <c r="H519" i="4" s="1"/>
  <c r="I519" i="4"/>
  <c r="J519" i="4" s="1"/>
  <c r="F610" i="4"/>
  <c r="E503" i="4"/>
  <c r="F460" i="4"/>
  <c r="F409" i="4"/>
  <c r="I458" i="4"/>
  <c r="J458" i="4" s="1"/>
  <c r="G458" i="4"/>
  <c r="H458" i="4" s="1"/>
  <c r="F542" i="4"/>
  <c r="F646" i="4"/>
  <c r="G528" i="4"/>
  <c r="H528" i="4" s="1"/>
  <c r="I528" i="4"/>
  <c r="J528" i="4" s="1"/>
  <c r="E533" i="4"/>
  <c r="F535" i="4"/>
  <c r="F557" i="4"/>
  <c r="G637" i="4"/>
  <c r="H637" i="4" s="1"/>
  <c r="I637" i="4"/>
  <c r="J637" i="4" s="1"/>
  <c r="I606" i="4"/>
  <c r="J606" i="4" s="1"/>
  <c r="G606" i="4"/>
  <c r="H606" i="4" s="1"/>
  <c r="G576" i="4"/>
  <c r="H576" i="4" s="1"/>
  <c r="I576" i="4"/>
  <c r="J576" i="4" s="1"/>
  <c r="I446" i="4"/>
  <c r="J446" i="4" s="1"/>
  <c r="G446" i="4"/>
  <c r="H446" i="4" s="1"/>
  <c r="F495" i="4"/>
  <c r="G492" i="4"/>
  <c r="H492" i="4" s="1"/>
  <c r="I492" i="4"/>
  <c r="J492" i="4" s="1"/>
  <c r="I541" i="4"/>
  <c r="J541" i="4" s="1"/>
  <c r="G541" i="4"/>
  <c r="H541" i="4" s="1"/>
  <c r="G454" i="4"/>
  <c r="H454" i="4" s="1"/>
  <c r="I454" i="4"/>
  <c r="J454" i="4" s="1"/>
  <c r="I621" i="4"/>
  <c r="J621" i="4" s="1"/>
  <c r="G621" i="4"/>
  <c r="H621" i="4" s="1"/>
  <c r="G623" i="4"/>
  <c r="H623" i="4" s="1"/>
  <c r="I623" i="4"/>
  <c r="J623" i="4" s="1"/>
  <c r="F496" i="4"/>
  <c r="G474" i="4"/>
  <c r="H474" i="4" s="1"/>
  <c r="I474" i="4"/>
  <c r="J474" i="4" s="1"/>
  <c r="G559" i="4"/>
  <c r="H559" i="4" s="1"/>
  <c r="I559" i="4"/>
  <c r="J559" i="4" s="1"/>
  <c r="E604" i="4"/>
  <c r="E634" i="4"/>
  <c r="E636" i="4"/>
  <c r="I524" i="4"/>
  <c r="J524" i="4" s="1"/>
  <c r="G524" i="4"/>
  <c r="H524" i="4" s="1"/>
  <c r="F513" i="4"/>
  <c r="G644" i="4"/>
  <c r="H644" i="4" s="1"/>
  <c r="I644" i="4"/>
  <c r="J644" i="4" s="1"/>
  <c r="F515" i="4"/>
  <c r="E583" i="4"/>
  <c r="E403" i="4"/>
  <c r="I567" i="4"/>
  <c r="J567" i="4" s="1"/>
  <c r="G567" i="4"/>
  <c r="H567" i="4" s="1"/>
  <c r="F632" i="4"/>
  <c r="F519" i="4"/>
  <c r="F575" i="4"/>
  <c r="F571" i="4"/>
  <c r="F616" i="4"/>
  <c r="F574" i="4"/>
  <c r="I471" i="4"/>
  <c r="J471" i="4" s="1"/>
  <c r="G471" i="4"/>
  <c r="H471" i="4" s="1"/>
  <c r="E541" i="4"/>
  <c r="F438" i="4"/>
  <c r="G449" i="4"/>
  <c r="H449" i="4" s="1"/>
  <c r="I449" i="4"/>
  <c r="J449" i="4" s="1"/>
  <c r="I467" i="4"/>
  <c r="J467" i="4" s="1"/>
  <c r="G467" i="4"/>
  <c r="H467" i="4" s="1"/>
  <c r="F607" i="4"/>
  <c r="I512" i="4"/>
  <c r="J512" i="4" s="1"/>
  <c r="G512" i="4"/>
  <c r="H512" i="4" s="1"/>
  <c r="I463" i="4"/>
  <c r="J463" i="4" s="1"/>
  <c r="G463" i="4"/>
  <c r="H463" i="4" s="1"/>
  <c r="F653" i="4"/>
  <c r="G575" i="4"/>
  <c r="H575" i="4" s="1"/>
  <c r="I575" i="4"/>
  <c r="J575" i="4" s="1"/>
  <c r="F525" i="4"/>
  <c r="E462" i="4"/>
  <c r="I622" i="4"/>
  <c r="J622" i="4" s="1"/>
  <c r="G622" i="4"/>
  <c r="H622" i="4" s="1"/>
  <c r="G565" i="4"/>
  <c r="H565" i="4" s="1"/>
  <c r="I565" i="4"/>
  <c r="J565" i="4" s="1"/>
  <c r="I578" i="4"/>
  <c r="J578" i="4" s="1"/>
  <c r="G578" i="4"/>
  <c r="H578" i="4" s="1"/>
  <c r="I583" i="4"/>
  <c r="J583" i="4" s="1"/>
  <c r="G583" i="4"/>
  <c r="H583" i="4" s="1"/>
  <c r="I607" i="4"/>
  <c r="J607" i="4" s="1"/>
  <c r="G607" i="4"/>
  <c r="H607" i="4" s="1"/>
  <c r="I628" i="4"/>
  <c r="J628" i="4" s="1"/>
  <c r="G628" i="4"/>
  <c r="H628" i="4" s="1"/>
  <c r="F620" i="4"/>
  <c r="E566" i="4"/>
  <c r="F650" i="4"/>
  <c r="I591" i="4"/>
  <c r="J591" i="4" s="1"/>
  <c r="G591" i="4"/>
  <c r="H591" i="4" s="1"/>
  <c r="F439" i="4"/>
  <c r="G580" i="4"/>
  <c r="H580" i="4" s="1"/>
  <c r="I580" i="4"/>
  <c r="J580" i="4" s="1"/>
  <c r="E640" i="4"/>
  <c r="G487" i="4"/>
  <c r="H487" i="4" s="1"/>
  <c r="I487" i="4"/>
  <c r="J487" i="4" s="1"/>
  <c r="I477" i="4"/>
  <c r="J477" i="4" s="1"/>
  <c r="G477" i="4"/>
  <c r="H477" i="4" s="1"/>
  <c r="F402" i="4"/>
  <c r="E483" i="4"/>
  <c r="E641" i="4"/>
  <c r="G413" i="4"/>
  <c r="H413" i="4" s="1"/>
  <c r="I413" i="4"/>
  <c r="J413" i="4" s="1"/>
  <c r="G502" i="4"/>
  <c r="H502" i="4" s="1"/>
  <c r="I502" i="4"/>
  <c r="J502" i="4" s="1"/>
  <c r="E615" i="4"/>
  <c r="E469" i="4"/>
  <c r="I648" i="4"/>
  <c r="J648" i="4" s="1"/>
  <c r="G648" i="4"/>
  <c r="H648" i="4" s="1"/>
  <c r="I599" i="4"/>
  <c r="J599" i="4" s="1"/>
  <c r="G599" i="4"/>
  <c r="H599" i="4" s="1"/>
  <c r="E633" i="4"/>
  <c r="I593" i="4"/>
  <c r="J593" i="4" s="1"/>
  <c r="G593" i="4"/>
  <c r="H593" i="4" s="1"/>
  <c r="G608" i="4"/>
  <c r="H608" i="4" s="1"/>
  <c r="I608" i="4"/>
  <c r="J608" i="4" s="1"/>
  <c r="I614" i="4"/>
  <c r="J614" i="4" s="1"/>
  <c r="G614" i="4"/>
  <c r="H614" i="4" s="1"/>
  <c r="G508" i="4"/>
  <c r="H508" i="4" s="1"/>
  <c r="I508" i="4"/>
  <c r="J508" i="4" s="1"/>
  <c r="F508" i="4"/>
  <c r="F592" i="4"/>
  <c r="E528" i="4"/>
  <c r="I531" i="4"/>
  <c r="J531" i="4" s="1"/>
  <c r="G531" i="4"/>
  <c r="H531" i="4" s="1"/>
  <c r="G520" i="4"/>
  <c r="H520" i="4" s="1"/>
  <c r="I520" i="4"/>
  <c r="J520" i="4" s="1"/>
  <c r="F552" i="4"/>
  <c r="I635" i="4"/>
  <c r="J635" i="4" s="1"/>
  <c r="G635" i="4"/>
  <c r="H635" i="4" s="1"/>
  <c r="I562" i="4"/>
  <c r="J562" i="4" s="1"/>
  <c r="G562" i="4"/>
  <c r="H562" i="4" s="1"/>
  <c r="G542" i="4"/>
  <c r="H542" i="4" s="1"/>
  <c r="I542" i="4"/>
  <c r="J542" i="4" s="1"/>
  <c r="F640" i="4"/>
  <c r="G631" i="4"/>
  <c r="H631" i="4" s="1"/>
  <c r="I631" i="4"/>
  <c r="J631" i="4" s="1"/>
  <c r="I595" i="4"/>
  <c r="J595" i="4" s="1"/>
  <c r="G595" i="4"/>
  <c r="H595" i="4" s="1"/>
  <c r="I526" i="4"/>
  <c r="J526" i="4" s="1"/>
  <c r="G526" i="4"/>
  <c r="H526" i="4" s="1"/>
  <c r="E411" i="4"/>
  <c r="G604" i="4"/>
  <c r="H604" i="4" s="1"/>
  <c r="I604" i="4"/>
  <c r="J604" i="4" s="1"/>
  <c r="G402" i="4"/>
  <c r="H402" i="4" s="1"/>
  <c r="I402" i="4"/>
  <c r="J402" i="4" s="1"/>
  <c r="I600" i="4"/>
  <c r="J600" i="4" s="1"/>
  <c r="G600" i="4"/>
  <c r="H600" i="4" s="1"/>
  <c r="E516" i="4"/>
  <c r="E499" i="4"/>
  <c r="E571" i="4"/>
  <c r="G494" i="4"/>
  <c r="H494" i="4" s="1"/>
  <c r="I494" i="4"/>
  <c r="J494" i="4" s="1"/>
  <c r="E521" i="4"/>
  <c r="I415" i="4"/>
  <c r="J415" i="4" s="1"/>
  <c r="G415" i="4"/>
  <c r="H415" i="4" s="1"/>
  <c r="E517" i="4"/>
  <c r="F543" i="4"/>
  <c r="E459" i="4"/>
  <c r="G511" i="4"/>
  <c r="H511" i="4" s="1"/>
  <c r="I511" i="4"/>
  <c r="J511" i="4" s="1"/>
  <c r="I554" i="4"/>
  <c r="J554" i="4" s="1"/>
  <c r="G554" i="4"/>
  <c r="H554" i="4" s="1"/>
  <c r="E596" i="4"/>
  <c r="G613" i="4"/>
  <c r="H613" i="4" s="1"/>
  <c r="I613" i="4"/>
  <c r="J613" i="4" s="1"/>
  <c r="F412" i="4"/>
  <c r="I605" i="4"/>
  <c r="J605" i="4" s="1"/>
  <c r="G605" i="4"/>
  <c r="H605" i="4" s="1"/>
  <c r="E550" i="4"/>
  <c r="G405" i="4"/>
  <c r="H405" i="4" s="1"/>
  <c r="I405" i="4"/>
  <c r="J405" i="4" s="1"/>
  <c r="E599" i="4"/>
  <c r="G444" i="4"/>
  <c r="H444" i="4" s="1"/>
  <c r="I444" i="4"/>
  <c r="J444" i="4" s="1"/>
  <c r="E437" i="4"/>
  <c r="I478" i="4"/>
  <c r="J478" i="4" s="1"/>
  <c r="G478" i="4"/>
  <c r="H478" i="4" s="1"/>
  <c r="E467" i="4"/>
  <c r="I472" i="4"/>
  <c r="J472" i="4" s="1"/>
  <c r="G472" i="4"/>
  <c r="H472" i="4" s="1"/>
  <c r="I442" i="4"/>
  <c r="J442" i="4" s="1"/>
  <c r="G442" i="4"/>
  <c r="H442" i="4" s="1"/>
  <c r="I639" i="4"/>
  <c r="J639" i="4" s="1"/>
  <c r="G639" i="4"/>
  <c r="H639" i="4" s="1"/>
  <c r="G619" i="4"/>
  <c r="H619" i="4" s="1"/>
  <c r="I619" i="4"/>
  <c r="J619" i="4" s="1"/>
  <c r="I521" i="4"/>
  <c r="J521" i="4" s="1"/>
  <c r="G521" i="4"/>
  <c r="H521" i="4" s="1"/>
  <c r="I550" i="4"/>
  <c r="J550" i="4" s="1"/>
  <c r="G550" i="4"/>
  <c r="H550" i="4" s="1"/>
  <c r="G470" i="4"/>
  <c r="H470" i="4" s="1"/>
  <c r="I470" i="4"/>
  <c r="J470" i="4" s="1"/>
  <c r="G523" i="4"/>
  <c r="H523" i="4" s="1"/>
  <c r="I523" i="4"/>
  <c r="J523" i="4" s="1"/>
  <c r="I480" i="4"/>
  <c r="J480" i="4" s="1"/>
  <c r="G480" i="4"/>
  <c r="H480" i="4" s="1"/>
  <c r="I411" i="4"/>
  <c r="J411" i="4" s="1"/>
  <c r="G411" i="4"/>
  <c r="H411" i="4" s="1"/>
  <c r="E649" i="4"/>
  <c r="I598" i="4"/>
  <c r="J598" i="4" s="1"/>
  <c r="G598" i="4"/>
  <c r="H598" i="4" s="1"/>
  <c r="E642" i="4"/>
  <c r="G620" i="4"/>
  <c r="H620" i="4" s="1"/>
  <c r="I620" i="4"/>
  <c r="J620" i="4" s="1"/>
  <c r="I443" i="4"/>
  <c r="J443" i="4" s="1"/>
  <c r="G443" i="4"/>
  <c r="H443" i="4" s="1"/>
  <c r="E484" i="4"/>
  <c r="F527" i="4"/>
  <c r="I566" i="4"/>
  <c r="J566" i="4" s="1"/>
  <c r="G566" i="4"/>
  <c r="H566" i="4" s="1"/>
  <c r="E551" i="4"/>
  <c r="F583" i="4"/>
  <c r="I403" i="4"/>
  <c r="J403" i="4" s="1"/>
  <c r="G403" i="4"/>
  <c r="H403" i="4" s="1"/>
  <c r="I633" i="4"/>
  <c r="J633" i="4" s="1"/>
  <c r="G633" i="4"/>
  <c r="H633" i="4" s="1"/>
  <c r="I641" i="4"/>
  <c r="J641" i="4" s="1"/>
  <c r="G641" i="4"/>
  <c r="H641" i="4" s="1"/>
  <c r="F551" i="4"/>
  <c r="F488" i="4"/>
  <c r="I549" i="4"/>
  <c r="J549" i="4" s="1"/>
  <c r="G549" i="4"/>
  <c r="H549" i="4" s="1"/>
  <c r="F604" i="4"/>
  <c r="I617" i="4"/>
  <c r="J617" i="4" s="1"/>
  <c r="G617" i="4"/>
  <c r="H617" i="4" s="1"/>
  <c r="F406" i="4"/>
  <c r="E580" i="4"/>
  <c r="G630" i="4"/>
  <c r="H630" i="4" s="1"/>
  <c r="I630" i="4"/>
  <c r="J630" i="4" s="1"/>
  <c r="I568" i="4"/>
  <c r="J568" i="4" s="1"/>
  <c r="G568" i="4"/>
  <c r="H568" i="4" s="1"/>
  <c r="F569" i="4"/>
  <c r="F415" i="4"/>
  <c r="I483" i="4"/>
  <c r="J483" i="4" s="1"/>
  <c r="G483" i="4"/>
  <c r="H483" i="4" s="1"/>
  <c r="I440" i="4"/>
  <c r="J440" i="4" s="1"/>
  <c r="G440" i="4"/>
  <c r="H440" i="4" s="1"/>
  <c r="F440" i="4"/>
  <c r="E545" i="4"/>
  <c r="G532" i="4"/>
  <c r="H532" i="4" s="1"/>
  <c r="I532" i="4"/>
  <c r="J532" i="4" s="1"/>
  <c r="E553" i="4"/>
  <c r="I572" i="4"/>
  <c r="J572" i="4" s="1"/>
  <c r="G572" i="4"/>
  <c r="H572" i="4" s="1"/>
  <c r="F596" i="4"/>
  <c r="F544" i="4"/>
  <c r="E574" i="4"/>
  <c r="E616" i="4"/>
  <c r="I582" i="4"/>
  <c r="J582" i="4" s="1"/>
  <c r="G582" i="4"/>
  <c r="H582" i="4" s="1"/>
  <c r="E552" i="4"/>
  <c r="F611" i="4"/>
  <c r="E593" i="4"/>
  <c r="F631" i="4"/>
  <c r="E444" i="4"/>
  <c r="F469" i="4"/>
  <c r="F467" i="4"/>
  <c r="I416" i="4"/>
  <c r="J416" i="4" s="1"/>
  <c r="G416" i="4"/>
  <c r="H416" i="4" s="1"/>
  <c r="I603" i="4"/>
  <c r="J603" i="4" s="1"/>
  <c r="G603" i="4"/>
  <c r="H603" i="4" s="1"/>
  <c r="E505" i="4"/>
  <c r="F466" i="4"/>
  <c r="E526" i="4"/>
  <c r="F553" i="4"/>
  <c r="F636" i="4"/>
  <c r="F549" i="4"/>
  <c r="E464" i="4"/>
  <c r="E562" i="4"/>
  <c r="E525" i="4"/>
  <c r="E494" i="4"/>
  <c r="E456" i="4"/>
  <c r="E581" i="4"/>
  <c r="E647" i="4"/>
  <c r="I485" i="4"/>
  <c r="J485" i="4" s="1"/>
  <c r="G485" i="4"/>
  <c r="H485" i="4" s="1"/>
  <c r="G489" i="4"/>
  <c r="H489" i="4" s="1"/>
  <c r="I489" i="4"/>
  <c r="J489" i="4" s="1"/>
  <c r="E632" i="4"/>
  <c r="E408" i="4"/>
  <c r="I414" i="4"/>
  <c r="J414" i="4" s="1"/>
  <c r="G414" i="4"/>
  <c r="H414" i="4" s="1"/>
  <c r="F555" i="4"/>
  <c r="E598" i="4"/>
  <c r="E631" i="4"/>
  <c r="E439" i="4"/>
  <c r="I504" i="4"/>
  <c r="J504" i="4" s="1"/>
  <c r="G504" i="4"/>
  <c r="H504" i="4" s="1"/>
  <c r="G612" i="4"/>
  <c r="H612" i="4" s="1"/>
  <c r="I612" i="4"/>
  <c r="J612" i="4" s="1"/>
  <c r="I409" i="4"/>
  <c r="J409" i="4" s="1"/>
  <c r="G409" i="4"/>
  <c r="H409" i="4" s="1"/>
  <c r="G491" i="4"/>
  <c r="H491" i="4" s="1"/>
  <c r="I491" i="4"/>
  <c r="J491" i="4" s="1"/>
  <c r="E544" i="4"/>
  <c r="I558" i="4"/>
  <c r="J558" i="4" s="1"/>
  <c r="G558" i="4"/>
  <c r="H558" i="4" s="1"/>
  <c r="G647" i="4"/>
  <c r="H647" i="4" s="1"/>
  <c r="I647" i="4"/>
  <c r="J647" i="4" s="1"/>
  <c r="F622" i="4"/>
  <c r="G406" i="4"/>
  <c r="H406" i="4" s="1"/>
  <c r="I406" i="4"/>
  <c r="J406" i="4" s="1"/>
  <c r="I573" i="4"/>
  <c r="J573" i="4" s="1"/>
  <c r="G573" i="4"/>
  <c r="H573" i="4" s="1"/>
  <c r="G652" i="4"/>
  <c r="H652" i="4" s="1"/>
  <c r="I652" i="4"/>
  <c r="J652" i="4" s="1"/>
  <c r="G498" i="4"/>
  <c r="H498" i="4" s="1"/>
  <c r="I498" i="4"/>
  <c r="J498" i="4" s="1"/>
  <c r="E498" i="4"/>
  <c r="F586" i="4"/>
  <c r="E406" i="4"/>
  <c r="F462" i="4"/>
  <c r="I410" i="4"/>
  <c r="J410" i="4" s="1"/>
  <c r="G410" i="4"/>
  <c r="H410" i="4" s="1"/>
  <c r="I560" i="4"/>
  <c r="J560" i="4" s="1"/>
  <c r="G560" i="4"/>
  <c r="H560" i="4" s="1"/>
  <c r="I556" i="4"/>
  <c r="J556" i="4" s="1"/>
  <c r="G556" i="4"/>
  <c r="H556" i="4" s="1"/>
  <c r="E612" i="4"/>
  <c r="E558" i="4"/>
  <c r="I553" i="4"/>
  <c r="J553" i="4" s="1"/>
  <c r="G553" i="4"/>
  <c r="H553" i="4" s="1"/>
  <c r="F477" i="4"/>
  <c r="F629" i="4"/>
  <c r="I645" i="4"/>
  <c r="J645" i="4" s="1"/>
  <c r="G645" i="4"/>
  <c r="H645" i="4" s="1"/>
  <c r="G555" i="4"/>
  <c r="H555" i="4" s="1"/>
  <c r="I555" i="4"/>
  <c r="J555" i="4" s="1"/>
  <c r="F600" i="4"/>
  <c r="E588" i="4"/>
  <c r="I510" i="4"/>
  <c r="J510" i="4" s="1"/>
  <c r="G510" i="4"/>
  <c r="H510" i="4" s="1"/>
  <c r="E556" i="4"/>
  <c r="F598" i="4"/>
  <c r="F446" i="4"/>
  <c r="I609" i="4"/>
  <c r="J609" i="4" s="1"/>
  <c r="G609" i="4"/>
  <c r="H609" i="4" s="1"/>
  <c r="I563" i="4"/>
  <c r="J563" i="4" s="1"/>
  <c r="G563" i="4"/>
  <c r="H563" i="4" s="1"/>
  <c r="F414" i="4"/>
  <c r="I481" i="4"/>
  <c r="J481" i="4" s="1"/>
  <c r="G481" i="4"/>
  <c r="H481" i="4" s="1"/>
  <c r="E414" i="4"/>
  <c r="F505" i="4"/>
  <c r="I638" i="4"/>
  <c r="J638" i="4" s="1"/>
  <c r="G638" i="4"/>
  <c r="H638" i="4" s="1"/>
  <c r="E540" i="4"/>
  <c r="F649" i="4"/>
  <c r="K662" i="2" l="1"/>
  <c r="C654" i="4"/>
  <c r="F654" i="4" s="1"/>
  <c r="J11" i="1"/>
  <c r="B655" i="4"/>
  <c r="E655" i="4" s="1"/>
  <c r="G658" i="4"/>
  <c r="H658" i="4" s="1"/>
  <c r="I658" i="4"/>
  <c r="J658" i="4" s="1"/>
  <c r="C655" i="4"/>
  <c r="F655" i="4" s="1"/>
  <c r="O660" i="2"/>
  <c r="P661" i="2"/>
  <c r="S660" i="2"/>
  <c r="T660" i="2" s="1"/>
  <c r="N660" i="2"/>
  <c r="G654" i="4"/>
  <c r="H654" i="4" s="1"/>
  <c r="I654" i="4"/>
  <c r="J654" i="4" s="1"/>
  <c r="E11" i="1"/>
  <c r="B656" i="4"/>
  <c r="E656" i="4" s="1"/>
  <c r="I655" i="4"/>
  <c r="J655" i="4" s="1"/>
  <c r="G655" i="4"/>
  <c r="H655" i="4" s="1"/>
  <c r="I656" i="4"/>
  <c r="J656" i="4" s="1"/>
  <c r="G656" i="4"/>
  <c r="H656" i="4" s="1"/>
  <c r="B654" i="4"/>
  <c r="E654" i="4" s="1"/>
  <c r="D657" i="4"/>
  <c r="C656" i="4"/>
  <c r="F656" i="4" s="1"/>
  <c r="B658" i="4"/>
  <c r="E658" i="4" s="1"/>
  <c r="AQ666" i="4"/>
  <c r="C658" i="4"/>
  <c r="F658" i="4" s="1"/>
  <c r="D664" i="2"/>
  <c r="K663" i="2" l="1"/>
  <c r="B664" i="2"/>
  <c r="E664" i="2" s="1"/>
  <c r="C664" i="2"/>
  <c r="F664" i="2" s="1"/>
  <c r="S661" i="2"/>
  <c r="T661" i="2" s="1"/>
  <c r="N661" i="2"/>
  <c r="D12" i="1" s="1"/>
  <c r="O661" i="2"/>
  <c r="C12" i="1" s="1"/>
  <c r="P662" i="2"/>
  <c r="I657" i="4"/>
  <c r="J657" i="4" s="1"/>
  <c r="G657" i="4"/>
  <c r="H657" i="4" s="1"/>
  <c r="C657" i="4"/>
  <c r="F657" i="4" s="1"/>
  <c r="B12" i="1"/>
  <c r="H12" i="1" s="1"/>
  <c r="B657" i="4"/>
  <c r="E657" i="4" s="1"/>
  <c r="D660" i="4"/>
  <c r="D659" i="4"/>
  <c r="AQ667" i="4"/>
  <c r="K664" i="2" l="1"/>
  <c r="B665" i="2"/>
  <c r="E665" i="2" s="1"/>
  <c r="C665" i="2"/>
  <c r="F665" i="2" s="1"/>
  <c r="E12" i="1"/>
  <c r="G659" i="4"/>
  <c r="H659" i="4" s="1"/>
  <c r="I659" i="4"/>
  <c r="J659" i="4" s="1"/>
  <c r="C659" i="4"/>
  <c r="F659" i="4" s="1"/>
  <c r="B659" i="4"/>
  <c r="E659" i="4" s="1"/>
  <c r="D661" i="4"/>
  <c r="I660" i="4"/>
  <c r="J660" i="4" s="1"/>
  <c r="G660" i="4"/>
  <c r="H660" i="4" s="1"/>
  <c r="C660" i="4"/>
  <c r="F660" i="4" s="1"/>
  <c r="B660" i="4"/>
  <c r="E660" i="4" s="1"/>
  <c r="D662" i="4"/>
  <c r="V3" i="1"/>
  <c r="J12" i="1"/>
  <c r="N662" i="2"/>
  <c r="S662" i="2"/>
  <c r="T662" i="2" s="1"/>
  <c r="P663" i="2"/>
  <c r="O662" i="2"/>
  <c r="K12" i="1"/>
  <c r="I12" i="1"/>
  <c r="AQ668" i="4"/>
  <c r="K665" i="2" l="1"/>
  <c r="B666" i="2"/>
  <c r="E666" i="2" s="1"/>
  <c r="C666" i="2"/>
  <c r="F666" i="2" s="1"/>
  <c r="X3" i="1"/>
  <c r="D664" i="4"/>
  <c r="I664" i="4" s="1"/>
  <c r="J664" i="4" s="1"/>
  <c r="W3" i="1"/>
  <c r="I662" i="4"/>
  <c r="J662" i="4" s="1"/>
  <c r="B662" i="4"/>
  <c r="E662" i="4" s="1"/>
  <c r="C662" i="4"/>
  <c r="F662" i="4" s="1"/>
  <c r="G662" i="4"/>
  <c r="H662" i="4" s="1"/>
  <c r="I661" i="4"/>
  <c r="J661" i="4" s="1"/>
  <c r="C661" i="4"/>
  <c r="F661" i="4" s="1"/>
  <c r="G661" i="4"/>
  <c r="H661" i="4" s="1"/>
  <c r="B661" i="4"/>
  <c r="E661" i="4" s="1"/>
  <c r="D663" i="4"/>
  <c r="P664" i="2"/>
  <c r="N663" i="2"/>
  <c r="S663" i="2"/>
  <c r="T663" i="2" s="1"/>
  <c r="O663" i="2"/>
  <c r="AQ669" i="4"/>
  <c r="G666" i="2"/>
  <c r="K666" i="2" l="1"/>
  <c r="Y3" i="1"/>
  <c r="C664" i="4"/>
  <c r="F664" i="4" s="1"/>
  <c r="G664" i="4"/>
  <c r="H664" i="4" s="1"/>
  <c r="B664" i="4"/>
  <c r="E664" i="4" s="1"/>
  <c r="O664" i="2"/>
  <c r="C13" i="1" s="1"/>
  <c r="S664" i="2"/>
  <c r="T664" i="2" s="1"/>
  <c r="P665" i="2"/>
  <c r="B13" i="1"/>
  <c r="H13" i="1" s="1"/>
  <c r="N664" i="2"/>
  <c r="D13" i="1" s="1"/>
  <c r="D665" i="4"/>
  <c r="G665" i="4" s="1"/>
  <c r="H665" i="4" s="1"/>
  <c r="I663" i="4"/>
  <c r="J663" i="4" s="1"/>
  <c r="C663" i="4"/>
  <c r="F663" i="4" s="1"/>
  <c r="B663" i="4"/>
  <c r="E663" i="4" s="1"/>
  <c r="G663" i="4"/>
  <c r="H663" i="4" s="1"/>
  <c r="D666" i="4"/>
  <c r="AQ670" i="4"/>
  <c r="G667" i="2"/>
  <c r="C667" i="2"/>
  <c r="F667" i="2" s="1"/>
  <c r="D668" i="2"/>
  <c r="B3" i="1" s="1"/>
  <c r="V4" i="1" s="1"/>
  <c r="B667" i="2"/>
  <c r="E667" i="2" s="1"/>
  <c r="K667" i="2" l="1"/>
  <c r="E13" i="1"/>
  <c r="C666" i="4"/>
  <c r="F666" i="4" s="1"/>
  <c r="I666" i="4"/>
  <c r="J666" i="4" s="1"/>
  <c r="B666" i="4"/>
  <c r="E666" i="4" s="1"/>
  <c r="G666" i="4"/>
  <c r="H666" i="4" s="1"/>
  <c r="S665" i="2"/>
  <c r="T665" i="2" s="1"/>
  <c r="P666" i="2"/>
  <c r="O665" i="2"/>
  <c r="N665" i="2"/>
  <c r="J13" i="1"/>
  <c r="I13" i="1"/>
  <c r="K13" i="1"/>
  <c r="D668" i="4"/>
  <c r="I665" i="4"/>
  <c r="J665" i="4" s="1"/>
  <c r="B665" i="4"/>
  <c r="E665" i="4" s="1"/>
  <c r="C665" i="4"/>
  <c r="F665" i="4" s="1"/>
  <c r="D667" i="4"/>
  <c r="D669" i="4" s="1"/>
  <c r="AQ671" i="4"/>
  <c r="G668" i="2"/>
  <c r="D669" i="2"/>
  <c r="C668" i="2"/>
  <c r="F668" i="2" s="1"/>
  <c r="B668" i="2"/>
  <c r="E668" i="2" s="1"/>
  <c r="K668" i="2" l="1"/>
  <c r="C3" i="1"/>
  <c r="W4" i="1" s="1"/>
  <c r="D3" i="1"/>
  <c r="X4" i="1" s="1"/>
  <c r="B669" i="4"/>
  <c r="E669" i="4" s="1"/>
  <c r="C669" i="4"/>
  <c r="F669" i="4" s="1"/>
  <c r="I669" i="4"/>
  <c r="J669" i="4" s="1"/>
  <c r="C668" i="4"/>
  <c r="F668" i="4" s="1"/>
  <c r="B668" i="4"/>
  <c r="E668" i="4" s="1"/>
  <c r="I668" i="4"/>
  <c r="J668" i="4" s="1"/>
  <c r="G667" i="4"/>
  <c r="H667" i="4" s="1"/>
  <c r="P667" i="2"/>
  <c r="O666" i="2"/>
  <c r="S666" i="2"/>
  <c r="T666" i="2" s="1"/>
  <c r="N666" i="2"/>
  <c r="D671" i="4"/>
  <c r="D670" i="4"/>
  <c r="B667" i="4"/>
  <c r="E667" i="4" s="1"/>
  <c r="C667" i="4"/>
  <c r="F667" i="4" s="1"/>
  <c r="I667" i="4"/>
  <c r="J667" i="4" s="1"/>
  <c r="AQ672" i="4"/>
  <c r="G669" i="2"/>
  <c r="D670" i="2"/>
  <c r="C669" i="2"/>
  <c r="B669" i="2"/>
  <c r="K669" i="2" l="1"/>
  <c r="J3" i="1"/>
  <c r="E3" i="1"/>
  <c r="Y4" i="1" s="1"/>
  <c r="B4" i="1"/>
  <c r="V5" i="1" s="1"/>
  <c r="D672" i="4"/>
  <c r="B672" i="4" s="1"/>
  <c r="E672" i="4" s="1"/>
  <c r="B671" i="4"/>
  <c r="E671" i="4" s="1"/>
  <c r="C671" i="4"/>
  <c r="F671" i="4" s="1"/>
  <c r="I671" i="4"/>
  <c r="J671" i="4" s="1"/>
  <c r="G668" i="4"/>
  <c r="H668" i="4" s="1"/>
  <c r="N667" i="2"/>
  <c r="S667" i="2"/>
  <c r="T667" i="2" s="1"/>
  <c r="O667" i="2"/>
  <c r="P668" i="2"/>
  <c r="E669" i="2"/>
  <c r="K3" i="1"/>
  <c r="F669" i="2"/>
  <c r="C670" i="4"/>
  <c r="F670" i="4" s="1"/>
  <c r="B670" i="4"/>
  <c r="E670" i="4" s="1"/>
  <c r="I670" i="4"/>
  <c r="J670" i="4" s="1"/>
  <c r="AQ673" i="4"/>
  <c r="G670" i="2"/>
  <c r="D671" i="2"/>
  <c r="C670" i="2"/>
  <c r="C4" i="1" s="1"/>
  <c r="B670" i="2"/>
  <c r="W5" i="1" l="1"/>
  <c r="K670" i="2"/>
  <c r="E670" i="2"/>
  <c r="F670" i="2"/>
  <c r="H4" i="1"/>
  <c r="D673" i="4"/>
  <c r="C673" i="4" s="1"/>
  <c r="F673" i="4" s="1"/>
  <c r="D4" i="1"/>
  <c r="X5" i="1" s="1"/>
  <c r="I672" i="4"/>
  <c r="J672" i="4" s="1"/>
  <c r="C672" i="4"/>
  <c r="F672" i="4" s="1"/>
  <c r="G669" i="4"/>
  <c r="H669" i="4" s="1"/>
  <c r="P669" i="2"/>
  <c r="B14" i="1"/>
  <c r="H14" i="1" s="1"/>
  <c r="S668" i="2"/>
  <c r="T668" i="2" s="1"/>
  <c r="O668" i="2"/>
  <c r="C14" i="1" s="1"/>
  <c r="N668" i="2"/>
  <c r="D14" i="1" s="1"/>
  <c r="K4" i="1"/>
  <c r="AQ674" i="4"/>
  <c r="G671" i="2"/>
  <c r="C671" i="2"/>
  <c r="D672" i="2"/>
  <c r="D674" i="4" s="1"/>
  <c r="I674" i="4" s="1"/>
  <c r="J674" i="4" s="1"/>
  <c r="B671" i="2"/>
  <c r="E4" i="1" l="1"/>
  <c r="K671" i="2"/>
  <c r="I4" i="1"/>
  <c r="B5" i="1"/>
  <c r="V6" i="1" s="1"/>
  <c r="B673" i="4"/>
  <c r="E673" i="4" s="1"/>
  <c r="F671" i="2"/>
  <c r="I673" i="4"/>
  <c r="J673" i="4" s="1"/>
  <c r="E671" i="2"/>
  <c r="J14" i="1"/>
  <c r="Y5" i="1"/>
  <c r="E14" i="1"/>
  <c r="C674" i="4"/>
  <c r="F674" i="4" s="1"/>
  <c r="B674" i="4"/>
  <c r="E674" i="4" s="1"/>
  <c r="I14" i="1"/>
  <c r="K14" i="1"/>
  <c r="G670" i="4"/>
  <c r="H670" i="4" s="1"/>
  <c r="N669" i="2"/>
  <c r="O669" i="2"/>
  <c r="S669" i="2"/>
  <c r="T669" i="2" s="1"/>
  <c r="P670" i="2"/>
  <c r="J4" i="1"/>
  <c r="AQ675" i="4"/>
  <c r="G672" i="2"/>
  <c r="C672" i="2"/>
  <c r="F672" i="2" s="1"/>
  <c r="D673" i="2"/>
  <c r="B672" i="2"/>
  <c r="E672" i="2" s="1"/>
  <c r="K672" i="2" l="1"/>
  <c r="H5" i="1"/>
  <c r="D5" i="1"/>
  <c r="X6" i="1" s="1"/>
  <c r="D675" i="4"/>
  <c r="B675" i="4" s="1"/>
  <c r="E675" i="4" s="1"/>
  <c r="C5" i="1"/>
  <c r="W6" i="1" s="1"/>
  <c r="G671" i="4"/>
  <c r="H671" i="4" s="1"/>
  <c r="S670" i="2"/>
  <c r="T670" i="2" s="1"/>
  <c r="P671" i="2"/>
  <c r="O670" i="2"/>
  <c r="N670" i="2"/>
  <c r="AQ676" i="4"/>
  <c r="G673" i="2"/>
  <c r="C673" i="2"/>
  <c r="D674" i="2"/>
  <c r="D676" i="4" s="1"/>
  <c r="B673" i="2"/>
  <c r="I5" i="1" l="1"/>
  <c r="K5" i="1"/>
  <c r="K673" i="2"/>
  <c r="E5" i="1"/>
  <c r="Y6" i="1" s="1"/>
  <c r="E673" i="2"/>
  <c r="F673" i="2"/>
  <c r="I675" i="4"/>
  <c r="J675" i="4" s="1"/>
  <c r="C675" i="4"/>
  <c r="F675" i="4" s="1"/>
  <c r="B6" i="1"/>
  <c r="V7" i="1" s="1"/>
  <c r="J5" i="1"/>
  <c r="B676" i="4"/>
  <c r="E676" i="4" s="1"/>
  <c r="C676" i="4"/>
  <c r="F676" i="4" s="1"/>
  <c r="I676" i="4"/>
  <c r="J676" i="4" s="1"/>
  <c r="G672" i="4"/>
  <c r="H672" i="4" s="1"/>
  <c r="N671" i="2"/>
  <c r="O671" i="2"/>
  <c r="S671" i="2"/>
  <c r="T671" i="2" s="1"/>
  <c r="P672" i="2"/>
  <c r="AQ677" i="4"/>
  <c r="G674" i="2"/>
  <c r="C674" i="2"/>
  <c r="F674" i="2" s="1"/>
  <c r="D675" i="2"/>
  <c r="B674" i="2"/>
  <c r="E674" i="2" s="1"/>
  <c r="D677" i="4" l="1"/>
  <c r="I677" i="4" s="1"/>
  <c r="J677" i="4" s="1"/>
  <c r="K674" i="2"/>
  <c r="D6" i="1"/>
  <c r="X7" i="1" s="1"/>
  <c r="H6" i="1"/>
  <c r="C6" i="1"/>
  <c r="W7" i="1" s="1"/>
  <c r="G673" i="4"/>
  <c r="H673" i="4" s="1"/>
  <c r="S672" i="2"/>
  <c r="T672" i="2" s="1"/>
  <c r="P673" i="2"/>
  <c r="N672" i="2"/>
  <c r="O672" i="2"/>
  <c r="AQ678" i="4"/>
  <c r="G675" i="2"/>
  <c r="D676" i="2"/>
  <c r="D678" i="4" s="1"/>
  <c r="B675" i="2"/>
  <c r="C675" i="2"/>
  <c r="C677" i="4" l="1"/>
  <c r="F677" i="4" s="1"/>
  <c r="B677" i="4"/>
  <c r="E677" i="4" s="1"/>
  <c r="E675" i="2"/>
  <c r="I6" i="1"/>
  <c r="F675" i="2"/>
  <c r="K6" i="1"/>
  <c r="K675" i="2"/>
  <c r="J6" i="1"/>
  <c r="E6" i="1"/>
  <c r="Y7" i="1" s="1"/>
  <c r="B678" i="4"/>
  <c r="E678" i="4" s="1"/>
  <c r="C678" i="4"/>
  <c r="F678" i="4" s="1"/>
  <c r="I678" i="4"/>
  <c r="J678" i="4" s="1"/>
  <c r="G674" i="4"/>
  <c r="H674" i="4" s="1"/>
  <c r="S673" i="2"/>
  <c r="T673" i="2" s="1"/>
  <c r="P674" i="2"/>
  <c r="O673" i="2"/>
  <c r="N673" i="2"/>
  <c r="AQ679" i="4"/>
  <c r="I680" i="4" s="1"/>
  <c r="J680" i="4" s="1"/>
  <c r="C676" i="2"/>
  <c r="F676" i="2" s="1"/>
  <c r="D677" i="2"/>
  <c r="D679" i="4" s="1"/>
  <c r="I679" i="4" s="1"/>
  <c r="J679" i="4" s="1"/>
  <c r="B676" i="2"/>
  <c r="E676" i="2" s="1"/>
  <c r="G676" i="2"/>
  <c r="B7" i="1" l="1"/>
  <c r="H7" i="1" s="1"/>
  <c r="K676" i="2"/>
  <c r="G675" i="4"/>
  <c r="H675" i="4" s="1"/>
  <c r="S674" i="2"/>
  <c r="T674" i="2" s="1"/>
  <c r="N674" i="2"/>
  <c r="P675" i="2"/>
  <c r="O674" i="2"/>
  <c r="C679" i="4"/>
  <c r="F679" i="4" s="1"/>
  <c r="B679" i="4"/>
  <c r="E679" i="4" s="1"/>
  <c r="C677" i="2"/>
  <c r="F677" i="2" s="1"/>
  <c r="D678" i="2"/>
  <c r="B677" i="2"/>
  <c r="E677" i="2" s="1"/>
  <c r="G677" i="2"/>
  <c r="D7" i="1" l="1"/>
  <c r="I7" i="1"/>
  <c r="K7" i="1"/>
  <c r="C7" i="1"/>
  <c r="E7" i="1" s="1"/>
  <c r="K677" i="2"/>
  <c r="G676" i="4"/>
  <c r="H676" i="4" s="1"/>
  <c r="S675" i="2"/>
  <c r="T675" i="2" s="1"/>
  <c r="N675" i="2"/>
  <c r="P676" i="2"/>
  <c r="O675" i="2"/>
  <c r="G678" i="2"/>
  <c r="C678" i="2"/>
  <c r="F678" i="2" s="1"/>
  <c r="B678" i="2"/>
  <c r="E678" i="2" s="1"/>
  <c r="J7" i="1" l="1"/>
  <c r="K678" i="2"/>
  <c r="G677" i="4"/>
  <c r="H677" i="4" s="1"/>
  <c r="S676" i="2"/>
  <c r="T676" i="2" s="1"/>
  <c r="O676" i="2"/>
  <c r="N676" i="2"/>
  <c r="P677" i="2"/>
  <c r="G678" i="4" l="1"/>
  <c r="H678" i="4" s="1"/>
  <c r="S677" i="2"/>
  <c r="T677" i="2" s="1"/>
  <c r="N677" i="2"/>
  <c r="O677" i="2"/>
  <c r="P678" i="2"/>
  <c r="G679" i="4" l="1"/>
  <c r="H679" i="4" s="1"/>
  <c r="O678" i="2"/>
  <c r="S678" i="2"/>
  <c r="T678" i="2" s="1"/>
  <c r="N67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<sst xmlns="http://schemas.openxmlformats.org/spreadsheetml/2006/main" count="327" uniqueCount="77">
  <si>
    <t>Corn</t>
  </si>
  <si>
    <t>CME</t>
  </si>
  <si>
    <t>Forecast</t>
  </si>
  <si>
    <t>Low</t>
  </si>
  <si>
    <t>High</t>
  </si>
  <si>
    <t>Midpoint</t>
  </si>
  <si>
    <t>Current</t>
  </si>
  <si>
    <t>Spread</t>
  </si>
  <si>
    <t>Full Carry (₵/bu.)</t>
  </si>
  <si>
    <t>Spread % of Full Carry</t>
  </si>
  <si>
    <t>Range</t>
  </si>
  <si>
    <t>Implied Corn Futures</t>
  </si>
  <si>
    <t>CME Bean/Corn Ratio</t>
  </si>
  <si>
    <t>Storage Cost Per Day</t>
  </si>
  <si>
    <t>Interest Rate</t>
  </si>
  <si>
    <t>http://www.federalreserve.gov/releases/h15/update/</t>
  </si>
  <si>
    <t>Matiff</t>
  </si>
  <si>
    <t>12-Month T-Bill</t>
  </si>
  <si>
    <t>T-Bill + 200 bps</t>
  </si>
  <si>
    <t>(€/tonne)</t>
  </si>
  <si>
    <t>Month</t>
  </si>
  <si>
    <t>Days</t>
  </si>
  <si>
    <t>Nearby CME Corn Futures</t>
  </si>
  <si>
    <t>Nearby Matiff Corn Futures</t>
  </si>
  <si>
    <t>Average</t>
  </si>
  <si>
    <t>Calculated days so far</t>
  </si>
  <si>
    <t>Avg price for rest of mth</t>
  </si>
  <si>
    <t>Average to date</t>
  </si>
  <si>
    <t>Sum to date</t>
  </si>
  <si>
    <t>Potential Sum</t>
  </si>
  <si>
    <t>Projected Average</t>
  </si>
  <si>
    <t>Average Nearby CME Futures</t>
  </si>
  <si>
    <t>US Average</t>
  </si>
  <si>
    <t>Central Illinois Basis</t>
  </si>
  <si>
    <t>Feed Outlook - Central Illinois</t>
  </si>
  <si>
    <t>Difference</t>
  </si>
  <si>
    <t>cents per pound</t>
  </si>
  <si>
    <t>Average Nearby Matiff Futures</t>
  </si>
  <si>
    <t>Matiff Premium</t>
  </si>
  <si>
    <t>High-Avg</t>
  </si>
  <si>
    <t>Low-Avg</t>
  </si>
  <si>
    <t>$/bu</t>
  </si>
  <si>
    <t>Year</t>
  </si>
  <si>
    <t>Euro</t>
  </si>
  <si>
    <t>Max</t>
  </si>
  <si>
    <t>Min</t>
  </si>
  <si>
    <t>AMS_3192</t>
  </si>
  <si>
    <t>https://www.ers.usda.gov/publications/pub-details/?pubid=99831</t>
  </si>
  <si>
    <t>Central Illinois Prices</t>
  </si>
  <si>
    <t xml:space="preserve"> ---</t>
  </si>
  <si>
    <t>Average Nearby ICE Canadian Feed Barley Futures</t>
  </si>
  <si>
    <t>Corn - Barley</t>
  </si>
  <si>
    <t>FOB Russia</t>
  </si>
  <si>
    <t>FOB Ukraine</t>
  </si>
  <si>
    <t>FOB Argentina</t>
  </si>
  <si>
    <t>FOB Australia</t>
  </si>
  <si>
    <t>FOB France</t>
  </si>
  <si>
    <t>Canadian Dollars / US Dollar</t>
  </si>
  <si>
    <t>C$/tonne</t>
  </si>
  <si>
    <t>C¢/bu</t>
  </si>
  <si>
    <t>$/mt</t>
  </si>
  <si>
    <t>¢/bu</t>
  </si>
  <si>
    <t>CAD Avg</t>
  </si>
  <si>
    <t>Canadian Dollars per US Dollar</t>
  </si>
  <si>
    <t>Corn Futures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</si>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</sst>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mmm\-yy;@"/>
    <numFmt numFmtId="165" formatCode="0.0000"/>
    <numFmt numFmtId="166" formatCode="_-* #,##0.00_-;\-* #,##0.00_-;_-* &quot;-&quot;??_-;_-@_-"/>
    <numFmt numFmtId="167" formatCode="[$-409]d\-mmm;@"/>
    <numFmt numFmtId="168" formatCode="#,##0.0_);[Red]\(#,##0.0\)"/>
    <numFmt numFmtId="169" formatCode="0.00_);[Red]\(0.00\)"/>
    <numFmt numFmtId="170" formatCode="[$-409]mmm\ yy;@"/>
    <numFmt numFmtId="171" formatCode="[$-409]d\-mmm\-yy;@"/>
    <numFmt numFmtId="172" formatCode="#,##0.000"/>
    <numFmt numFmtId="173" formatCode="_(* #,##0.0000_);_(* \(#,##0.0000\);_(* &quot;-&quot;??_);_(@_)"/>
  </numFmts>
  <fonts count="22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ptos Display"/>
      <family val="2"/>
    </font>
    <font>
      <sz val="11"/>
      <color theme="1"/>
      <name val="Aptos Display"/>
      <family val="2"/>
    </font>
    <font>
      <u/>
      <sz val="10"/>
      <color theme="10"/>
      <name val="Arial Narrow"/>
      <family val="2"/>
    </font>
    <font>
      <u/>
      <sz val="10"/>
      <color theme="10"/>
      <name val="Aptos Display"/>
      <family val="2"/>
    </font>
    <font>
      <sz val="9"/>
      <color theme="1"/>
      <name val="Aptos Display"/>
      <family val="2"/>
    </font>
    <font>
      <b/>
      <sz val="10"/>
      <color theme="1"/>
      <name val="Aptos Display"/>
      <family val="2"/>
    </font>
    <font>
      <b/>
      <sz val="9"/>
      <color theme="1"/>
      <name val="Aptos Display"/>
      <family val="2"/>
    </font>
    <font>
      <sz val="10"/>
      <name val="Aptos Display"/>
      <family val="2"/>
    </font>
    <font>
      <b/>
      <sz val="10"/>
      <color theme="8" tint="-0.249977111117893"/>
      <name val="Aptos Display"/>
      <family val="2"/>
    </font>
    <font>
      <sz val="9"/>
      <color rgb="FF6F0791"/>
      <name val="Aptos Display"/>
      <family val="2"/>
    </font>
    <font>
      <sz val="10"/>
      <color theme="1"/>
      <name val="Aptos Display"/>
      <family val="2"/>
    </font>
    <font>
      <b/>
      <sz val="11"/>
      <color theme="0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u/>
      <sz val="8"/>
      <color theme="10"/>
      <name val="Avenir Next LT Pro Demi"/>
      <family val="2"/>
    </font>
    <font>
      <sz val="8"/>
      <name val="Avenir Next LT Pro Demi"/>
      <family val="2"/>
    </font>
    <font>
      <sz val="10"/>
      <color rgb="FFFF0000"/>
      <name val="Aptos Display"/>
      <family val="2"/>
    </font>
    <font>
      <b/>
      <sz val="10"/>
      <color theme="3" tint="0.499984740745262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8C8C8C"/>
      </left>
      <right/>
      <top style="medium">
        <color rgb="FF8C8C8C"/>
      </top>
      <bottom/>
      <diagonal/>
    </border>
    <border>
      <left/>
      <right/>
      <top style="medium">
        <color rgb="FF8C8C8C"/>
      </top>
      <bottom/>
      <diagonal/>
    </border>
    <border>
      <left/>
      <right style="medium">
        <color rgb="FF8C8C8C"/>
      </right>
      <top style="medium">
        <color rgb="FF8C8C8C"/>
      </top>
      <bottom/>
      <diagonal/>
    </border>
    <border>
      <left style="medium">
        <color rgb="FF8C8C8C"/>
      </left>
      <right/>
      <top/>
      <bottom/>
      <diagonal/>
    </border>
    <border>
      <left/>
      <right style="medium">
        <color rgb="FF8C8C8C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5" fillId="0" borderId="0" xfId="3" applyNumberFormat="1" applyFont="1" applyAlignment="1" applyProtection="1"/>
    <xf numFmtId="14" fontId="2" fillId="0" borderId="0" xfId="0" applyNumberFormat="1" applyFont="1"/>
    <xf numFmtId="40" fontId="2" fillId="0" borderId="0" xfId="0" applyNumberFormat="1" applyFont="1"/>
    <xf numFmtId="0" fontId="3" fillId="0" borderId="0" xfId="0" applyFont="1"/>
    <xf numFmtId="17" fontId="2" fillId="0" borderId="0" xfId="0" applyNumberFormat="1" applyFont="1"/>
    <xf numFmtId="17" fontId="7" fillId="0" borderId="0" xfId="0" applyNumberFormat="1" applyFont="1" applyAlignment="1">
      <alignment horizontal="centerContinuous"/>
    </xf>
    <xf numFmtId="43" fontId="7" fillId="0" borderId="0" xfId="1" applyFont="1" applyAlignment="1">
      <alignment horizontal="centerContinuous"/>
    </xf>
    <xf numFmtId="43" fontId="2" fillId="0" borderId="0" xfId="1" applyFont="1"/>
    <xf numFmtId="43" fontId="7" fillId="0" borderId="0" xfId="1" applyFont="1" applyAlignment="1">
      <alignment horizontal="center" vertical="center" wrapText="1"/>
    </xf>
    <xf numFmtId="43" fontId="7" fillId="0" borderId="0" xfId="1" applyFont="1" applyAlignment="1">
      <alignment horizontal="center"/>
    </xf>
    <xf numFmtId="170" fontId="2" fillId="0" borderId="0" xfId="0" applyNumberFormat="1" applyFont="1"/>
    <xf numFmtId="169" fontId="2" fillId="0" borderId="0" xfId="0" applyNumberFormat="1" applyFont="1"/>
    <xf numFmtId="2" fontId="2" fillId="0" borderId="0" xfId="0" applyNumberFormat="1" applyFont="1"/>
    <xf numFmtId="40" fontId="9" fillId="0" borderId="0" xfId="0" applyNumberFormat="1" applyFont="1"/>
    <xf numFmtId="40" fontId="7" fillId="0" borderId="0" xfId="0" applyNumberFormat="1" applyFont="1"/>
    <xf numFmtId="40" fontId="10" fillId="0" borderId="0" xfId="0" applyNumberFormat="1" applyFont="1"/>
    <xf numFmtId="0" fontId="5" fillId="0" borderId="0" xfId="3" applyFont="1"/>
    <xf numFmtId="171" fontId="0" fillId="0" borderId="0" xfId="0" applyNumberFormat="1"/>
    <xf numFmtId="14" fontId="0" fillId="0" borderId="0" xfId="0" applyNumberFormat="1"/>
    <xf numFmtId="43" fontId="7" fillId="0" borderId="4" xfId="1" applyFont="1" applyBorder="1" applyAlignment="1">
      <alignment horizontal="center"/>
    </xf>
    <xf numFmtId="43" fontId="7" fillId="0" borderId="0" xfId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14" fontId="6" fillId="0" borderId="0" xfId="0" applyNumberFormat="1" applyFont="1"/>
    <xf numFmtId="0" fontId="6" fillId="0" borderId="0" xfId="0" applyFont="1"/>
    <xf numFmtId="172" fontId="0" fillId="0" borderId="0" xfId="0" applyNumberFormat="1"/>
    <xf numFmtId="40" fontId="6" fillId="0" borderId="0" xfId="0" applyNumberFormat="1" applyFont="1"/>
    <xf numFmtId="172" fontId="6" fillId="0" borderId="0" xfId="0" applyNumberFormat="1" applyFont="1"/>
    <xf numFmtId="40" fontId="0" fillId="0" borderId="0" xfId="0" applyNumberFormat="1"/>
    <xf numFmtId="40" fontId="11" fillId="0" borderId="0" xfId="0" applyNumberFormat="1" applyFont="1"/>
    <xf numFmtId="172" fontId="11" fillId="0" borderId="0" xfId="0" applyNumberFormat="1" applyFont="1"/>
    <xf numFmtId="40" fontId="12" fillId="0" borderId="0" xfId="0" applyNumberFormat="1" applyFont="1"/>
    <xf numFmtId="0" fontId="13" fillId="2" borderId="0" xfId="0" applyFont="1" applyFill="1"/>
    <xf numFmtId="38" fontId="14" fillId="0" borderId="0" xfId="0" applyNumberFormat="1" applyFont="1"/>
    <xf numFmtId="164" fontId="14" fillId="0" borderId="0" xfId="0" applyNumberFormat="1" applyFont="1" applyAlignment="1">
      <alignment horizontal="right"/>
    </xf>
    <xf numFmtId="0" fontId="15" fillId="2" borderId="0" xfId="0" applyFont="1" applyFill="1"/>
    <xf numFmtId="0" fontId="16" fillId="0" borderId="0" xfId="0" applyFont="1"/>
    <xf numFmtId="0" fontId="17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43" fontId="16" fillId="0" borderId="0" xfId="0" applyNumberFormat="1" applyFont="1"/>
    <xf numFmtId="165" fontId="16" fillId="0" borderId="0" xfId="0" applyNumberFormat="1" applyFont="1"/>
    <xf numFmtId="9" fontId="16" fillId="0" borderId="0" xfId="2" applyFont="1"/>
    <xf numFmtId="2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Continuous"/>
    </xf>
    <xf numFmtId="0" fontId="16" fillId="0" borderId="0" xfId="0" applyFont="1" applyAlignment="1">
      <alignment horizontal="right"/>
    </xf>
    <xf numFmtId="166" fontId="16" fillId="0" borderId="0" xfId="0" applyNumberFormat="1" applyFont="1"/>
    <xf numFmtId="9" fontId="18" fillId="0" borderId="0" xfId="3" applyNumberFormat="1" applyFont="1" applyAlignment="1" applyProtection="1"/>
    <xf numFmtId="14" fontId="16" fillId="0" borderId="0" xfId="0" applyNumberFormat="1" applyFont="1"/>
    <xf numFmtId="10" fontId="16" fillId="0" borderId="0" xfId="2" applyNumberFormat="1" applyFont="1"/>
    <xf numFmtId="40" fontId="16" fillId="0" borderId="0" xfId="0" applyNumberFormat="1" applyFont="1"/>
    <xf numFmtId="0" fontId="16" fillId="0" borderId="0" xfId="0" quotePrefix="1" applyFont="1" applyAlignment="1">
      <alignment horizontal="left"/>
    </xf>
    <xf numFmtId="167" fontId="19" fillId="0" borderId="0" xfId="1" applyNumberFormat="1" applyFont="1"/>
    <xf numFmtId="43" fontId="16" fillId="0" borderId="0" xfId="1" applyFont="1"/>
    <xf numFmtId="43" fontId="16" fillId="0" borderId="0" xfId="1" applyFont="1" applyAlignment="1">
      <alignment horizontal="right"/>
    </xf>
    <xf numFmtId="167" fontId="19" fillId="0" borderId="0" xfId="0" applyNumberFormat="1" applyFont="1"/>
    <xf numFmtId="168" fontId="16" fillId="0" borderId="0" xfId="1" applyNumberFormat="1" applyFont="1"/>
    <xf numFmtId="40" fontId="16" fillId="0" borderId="0" xfId="1" applyNumberFormat="1" applyFont="1"/>
    <xf numFmtId="0" fontId="16" fillId="0" borderId="0" xfId="0" applyFont="1" applyAlignment="1">
      <alignment horizontal="left"/>
    </xf>
    <xf numFmtId="0" fontId="16" fillId="3" borderId="0" xfId="0" applyFont="1" applyFill="1"/>
    <xf numFmtId="40" fontId="20" fillId="4" borderId="0" xfId="0" applyNumberFormat="1" applyFont="1" applyFill="1"/>
    <xf numFmtId="40" fontId="21" fillId="0" borderId="0" xfId="0" applyNumberFormat="1" applyFont="1"/>
    <xf numFmtId="173" fontId="16" fillId="0" borderId="0" xfId="0" applyNumberFormat="1" applyFont="1"/>
    <xf numFmtId="0" fontId="2" fillId="0" borderId="0" xfId="0" applyFont="1" applyAlignment="1">
      <alignment horizontal="center" vertical="center" wrapText="1"/>
    </xf>
    <xf numFmtId="43" fontId="7" fillId="0" borderId="0" xfId="1" applyFont="1" applyAlignment="1">
      <alignment horizontal="center" vertical="center" wrapText="1"/>
    </xf>
    <xf numFmtId="169" fontId="7" fillId="0" borderId="0" xfId="0" applyNumberFormat="1" applyFont="1" applyAlignment="1">
      <alignment horizontal="center" wrapText="1"/>
    </xf>
    <xf numFmtId="43" fontId="8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7" fontId="7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 b="1"/>
              <a:t>CME Corn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84780356402819"/>
          <c:y val="0.1859173971178131"/>
          <c:w val="0.91581700521379383"/>
          <c:h val="0.56483335809438928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22225">
                <a:solidFill>
                  <a:srgbClr val="6F0791"/>
                </a:solidFill>
              </a:ln>
              <a:effectLst/>
            </c:spPr>
          </c:marker>
          <c:cat>
            <c:numRef>
              <c:f>Forecasts!$A$3:$A$6</c:f>
              <c:numCache>
                <c:formatCode>[$-409]mmm\-yy;@</c:formatCode>
                <c:ptCount val="4"/>
                <c:pt idx="0">
                  <c:v>46082</c:v>
                </c:pt>
                <c:pt idx="1">
                  <c:v>46143</c:v>
                </c:pt>
                <c:pt idx="2">
                  <c:v>46204</c:v>
                </c:pt>
                <c:pt idx="3">
                  <c:v>46266</c:v>
                </c:pt>
              </c:numCache>
            </c:numRef>
          </c:cat>
          <c:val>
            <c:numRef>
              <c:f>Forecasts!$B$3:$B$6</c:f>
              <c:numCache>
                <c:formatCode>_(* #,##0.00_);_(* \(#,##0.00\);_(* "-"??_);_(@_)</c:formatCode>
                <c:ptCount val="4"/>
                <c:pt idx="0">
                  <c:v>4.3099656584643427</c:v>
                </c:pt>
                <c:pt idx="1">
                  <c:v>4.4780108831862258</c:v>
                </c:pt>
                <c:pt idx="2">
                  <c:v>4.5760431305536571</c:v>
                </c:pt>
                <c:pt idx="3">
                  <c:v>3.7192405858529529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6-4E4D-9994-29EA554164E8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Forecasts!$A$3:$A$6</c:f>
              <c:numCache>
                <c:formatCode>[$-409]mmm\-yy;@</c:formatCode>
                <c:ptCount val="4"/>
                <c:pt idx="0">
                  <c:v>46082</c:v>
                </c:pt>
                <c:pt idx="1">
                  <c:v>46143</c:v>
                </c:pt>
                <c:pt idx="2">
                  <c:v>46204</c:v>
                </c:pt>
                <c:pt idx="3">
                  <c:v>46266</c:v>
                </c:pt>
              </c:numCache>
            </c:numRef>
          </c:cat>
          <c:val>
            <c:numRef>
              <c:f>Forecasts!$C$3:$C$6</c:f>
              <c:numCache>
                <c:formatCode>_(* #,##0.00_);_(* \(#,##0.00\);_(* "-"??_);_(@_)</c:formatCode>
                <c:ptCount val="4"/>
                <c:pt idx="0">
                  <c:v>3.9885697596263388</c:v>
                </c:pt>
                <c:pt idx="1">
                  <c:v>4.2073145762132604</c:v>
                </c:pt>
                <c:pt idx="2">
                  <c:v>4.167265874914559</c:v>
                </c:pt>
                <c:pt idx="3">
                  <c:v>3.4481300037808622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6-4E4D-9994-29EA554164E8}"/>
            </c:ext>
          </c:extLst>
        </c:ser>
        <c:ser>
          <c:idx val="2"/>
          <c:order val="2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Forecasts!$A$3:$A$6</c:f>
              <c:numCache>
                <c:formatCode>[$-409]mmm\-yy;@</c:formatCode>
                <c:ptCount val="4"/>
                <c:pt idx="0">
                  <c:v>46082</c:v>
                </c:pt>
                <c:pt idx="1">
                  <c:v>46143</c:v>
                </c:pt>
                <c:pt idx="2">
                  <c:v>46204</c:v>
                </c:pt>
                <c:pt idx="3">
                  <c:v>46266</c:v>
                </c:pt>
              </c:numCache>
            </c:numRef>
          </c:cat>
          <c:val>
            <c:numRef>
              <c:f>Forecasts!$D$3:$D$6</c:f>
              <c:numCache>
                <c:formatCode>_(* #,##0.00_);_(* \(#,##0.00\);_(* "-"??_);_(@_)</c:formatCode>
                <c:ptCount val="4"/>
                <c:pt idx="0">
                  <c:v>4.6887301606288458</c:v>
                </c:pt>
                <c:pt idx="1">
                  <c:v>4.9794551606288442</c:v>
                </c:pt>
                <c:pt idx="2">
                  <c:v>4.9002658749145596</c:v>
                </c:pt>
                <c:pt idx="3">
                  <c:v>4.0742539701526548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6-4E4D-9994-29EA554164E8}"/>
            </c:ext>
          </c:extLst>
        </c:ser>
        <c:ser>
          <c:idx val="3"/>
          <c:order val="3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  <a:effectLst/>
            </c:spPr>
          </c:marker>
          <c:cat>
            <c:numRef>
              <c:f>Forecasts!$A$3:$A$6</c:f>
              <c:numCache>
                <c:formatCode>[$-409]mmm\-yy;@</c:formatCode>
                <c:ptCount val="4"/>
                <c:pt idx="0">
                  <c:v>46082</c:v>
                </c:pt>
                <c:pt idx="1">
                  <c:v>46143</c:v>
                </c:pt>
                <c:pt idx="2">
                  <c:v>46204</c:v>
                </c:pt>
                <c:pt idx="3">
                  <c:v>46266</c:v>
                </c:pt>
              </c:numCache>
            </c:numRef>
          </c:cat>
          <c:val>
            <c:numRef>
              <c:f>Forecasts!$F$3:$F$6</c:f>
              <c:numCache>
                <c:formatCode>_(* #,##0.0000_);_(* \(#,##0.0000\);_(* "-"??_);_(@_)</c:formatCode>
                <c:ptCount val="4"/>
                <c:pt idx="0">
                  <c:v>4.2474999999999996</c:v>
                </c:pt>
                <c:pt idx="1">
                  <c:v>4.3224999999999998</c:v>
                </c:pt>
                <c:pt idx="2">
                  <c:v>4.3825000000000003</c:v>
                </c:pt>
                <c:pt idx="3">
                  <c:v>4.3650000000000002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66-4E4D-9994-29EA554164E8}"/>
            </c:ext>
          </c:extLst>
        </c:ser>
        <c:ser>
          <c:idx val="4"/>
          <c:order val="4"/>
          <c:tx>
            <c:strRef>
              <c:f>Forecasts!$K$2</c:f>
              <c:strCache>
                <c:ptCount val="1"/>
                <c:pt idx="0">
                  <c:v>Implied Corn Futures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Forecasts!$A$3:$A$6</c:f>
              <c:numCache>
                <c:formatCode>[$-409]mmm\-yy;@</c:formatCode>
                <c:ptCount val="4"/>
                <c:pt idx="0">
                  <c:v>46082</c:v>
                </c:pt>
                <c:pt idx="1">
                  <c:v>46143</c:v>
                </c:pt>
                <c:pt idx="2">
                  <c:v>46204</c:v>
                </c:pt>
                <c:pt idx="3">
                  <c:v>46266</c:v>
                </c:pt>
              </c:numCache>
            </c:numRef>
          </c:cat>
          <c:val>
            <c:numRef>
              <c:f>Forecasts!$K$3:$K$6</c:f>
              <c:numCache>
                <c:formatCode>_(* #,##0.00_);_(* \(#,##0.00\);_(* "-"??_);_(@_)</c:formatCode>
                <c:ptCount val="4"/>
                <c:pt idx="0">
                  <c:v>4.2474999999999996</c:v>
                </c:pt>
                <c:pt idx="1">
                  <c:v>4.1203706478473876</c:v>
                </c:pt>
                <c:pt idx="2">
                  <c:v>3.9782231395854009</c:v>
                </c:pt>
                <c:pt idx="3">
                  <c:v>3.7554343158495005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66-4E4D-9994-29EA55416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99568"/>
        <c:axId val="722090056"/>
      </c:lineChart>
      <c:dateAx>
        <c:axId val="722099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0056"/>
        <c:crosses val="autoZero"/>
        <c:auto val="1"/>
        <c:lblOffset val="100"/>
        <c:baseTimeUnit val="months"/>
      </c:dateAx>
      <c:valAx>
        <c:axId val="722090056"/>
        <c:scaling>
          <c:orientation val="minMax"/>
          <c:max val="6"/>
          <c:min val="3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solidFill>
              <a:schemeClr val="accent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9568"/>
        <c:crosses val="autoZero"/>
        <c:crossBetween val="between"/>
        <c:majorUnit val="1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5303637405036602"/>
          <c:y val="0.20914376269004115"/>
          <c:w val="0.81649347285536678"/>
          <c:h val="0.1251329668697073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 b="1"/>
              <a:t>Matiff Corn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94879704412463E-2"/>
          <c:y val="0.19535126033774078"/>
          <c:w val="0.91581700521379383"/>
          <c:h val="0.52401699787526546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22225">
                <a:solidFill>
                  <a:srgbClr val="6F0791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Forecasts!$B$11:$B$14</c:f>
              <c:numCache>
                <c:formatCode>#,##0.00_);[Red]\(#,##0.00\)</c:formatCode>
                <c:ptCount val="4"/>
                <c:pt idx="0">
                  <c:v>206.75</c:v>
                </c:pt>
                <c:pt idx="1">
                  <c:v>204.25</c:v>
                </c:pt>
                <c:pt idx="2">
                  <c:v>197</c:v>
                </c:pt>
                <c:pt idx="3">
                  <c:v>196.5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F-4B0C-A419-F16688A94141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Forecasts!$C$11:$C$14</c:f>
              <c:numCache>
                <c:formatCode>#,##0.00_);[Red]\(#,##0.00\)</c:formatCode>
                <c:ptCount val="4"/>
                <c:pt idx="0">
                  <c:v>181.75</c:v>
                </c:pt>
                <c:pt idx="1">
                  <c:v>189.25</c:v>
                </c:pt>
                <c:pt idx="2">
                  <c:v>188</c:v>
                </c:pt>
                <c:pt idx="3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F-4B0C-A419-F16688A94141}"/>
            </c:ext>
          </c:extLst>
        </c:ser>
        <c:ser>
          <c:idx val="2"/>
          <c:order val="2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Forecasts!$D$11:$D$14</c:f>
              <c:numCache>
                <c:formatCode>#,##0.00_);[Red]\(#,##0.00\)</c:formatCode>
                <c:ptCount val="4"/>
                <c:pt idx="0">
                  <c:v>216.75</c:v>
                </c:pt>
                <c:pt idx="1">
                  <c:v>215</c:v>
                </c:pt>
                <c:pt idx="2">
                  <c:v>215.25</c:v>
                </c:pt>
                <c:pt idx="3">
                  <c:v>202.75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1F-4B0C-A419-F16688A94141}"/>
            </c:ext>
          </c:extLst>
        </c:ser>
        <c:ser>
          <c:idx val="3"/>
          <c:order val="3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Forecasts!$F$11:$F$14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1F-4B0C-A419-F16688A94141}"/>
            </c:ext>
          </c:extLst>
        </c:ser>
        <c:ser>
          <c:idx val="4"/>
          <c:order val="4"/>
          <c:tx>
            <c:strRef>
              <c:f>Forecasts!$K$2</c:f>
              <c:strCache>
                <c:ptCount val="1"/>
                <c:pt idx="0">
                  <c:v>Implied Corn Futures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22225">
                <a:solidFill>
                  <a:srgbClr val="C00000"/>
                </a:solidFill>
              </a:ln>
              <a:effectLst/>
            </c:spPr>
          </c:marker>
          <c:cat>
            <c:numRef>
              <c:f>Forecasts!$A$11:$A$14</c:f>
              <c:numCache>
                <c:formatCode>[$-409]mmm\-yy;@</c:formatCode>
                <c:ptCount val="4"/>
                <c:pt idx="0">
                  <c:v>45809</c:v>
                </c:pt>
                <c:pt idx="1">
                  <c:v>45870</c:v>
                </c:pt>
                <c:pt idx="2">
                  <c:v>45962</c:v>
                </c:pt>
                <c:pt idx="3">
                  <c:v>46082</c:v>
                </c:pt>
              </c:numCache>
            </c:numRef>
          </c:cat>
          <c:val>
            <c:numRef>
              <c:f>Forecasts!$K$11:$K$14</c:f>
              <c:numCache>
                <c:formatCode>_(* #,##0.00_);_(* \(#,##0.00\);_(*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F-4B0C-A419-F16688A9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99568"/>
        <c:axId val="722090056"/>
      </c:lineChart>
      <c:dateAx>
        <c:axId val="72209956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0056"/>
        <c:crosses val="autoZero"/>
        <c:auto val="1"/>
        <c:lblOffset val="100"/>
        <c:baseTimeUnit val="months"/>
      </c:dateAx>
      <c:valAx>
        <c:axId val="722090056"/>
        <c:scaling>
          <c:orientation val="minMax"/>
          <c:min val="17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722099568"/>
        <c:crosses val="autoZero"/>
        <c:crossBetween val="between"/>
      </c:valAx>
      <c:spPr>
        <a:noFill/>
        <a:ln w="15875">
          <a:solidFill>
            <a:schemeClr val="tx1"/>
          </a:solidFill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2745683767946273"/>
          <c:y val="0.93476743978431265"/>
          <c:w val="0.79546819237523381"/>
          <c:h val="6.3812212152726186E-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>
                <a:latin typeface="Aptos Display" panose="020B0004020202020204" pitchFamily="34" charset="0"/>
              </a:rPr>
              <a:t>Corn Futures Trading Range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0950762389589"/>
          <c:y val="0.12491115958618121"/>
          <c:w val="0.8492467564105497"/>
          <c:h val="0.76909600202202322"/>
        </c:manualLayout>
      </c:layout>
      <c:lineChart>
        <c:grouping val="standard"/>
        <c:varyColors val="0"/>
        <c:ser>
          <c:idx val="0"/>
          <c:order val="0"/>
          <c:tx>
            <c:v>Jacobsen Forecast</c:v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F079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4.715211112019178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B71-47A5-932B-5C1DBD8B9645}"/>
            </c:ext>
          </c:extLst>
        </c:ser>
        <c:ser>
          <c:idx val="1"/>
          <c:order val="1"/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4.2340316007409831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B71-47A5-932B-5C1DBD8B9645}"/>
            </c:ext>
          </c:extLst>
        </c:ser>
        <c:ser>
          <c:idx val="2"/>
          <c:order val="2"/>
          <c:tx>
            <c:v>The Jacobsen Forecast High/Low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5.0723123024953685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DB71-47A5-932B-5C1DBD8B9645}"/>
            </c:ext>
          </c:extLst>
        </c:ser>
        <c:ser>
          <c:idx val="3"/>
          <c:order val="3"/>
          <c:tx>
            <c:v>Current Futures Prices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Forecasts!#REF!</c:f>
              <c:numCache>
                <c:formatCode>_(* #,##0.00_);_(* \(#,##0.00\);_(* "-"??_);_(@_)</c:formatCode>
                <c:ptCount val="1"/>
                <c:pt idx="0">
                  <c:v>4.6900000000000004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Forecasts!#REF!</c15:sqref>
                        </c15:formulaRef>
                      </c:ext>
                    </c:extLst>
                    <c:numCache>
                      <c:formatCode>[$-409]mmm\-yy;@</c:formatCode>
                      <c:ptCount val="1"/>
                      <c:pt idx="0">
                        <c:v>45839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DB71-47A5-932B-5C1DBD8B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099568"/>
        <c:axId val="722090056"/>
      </c:lineChart>
      <c:catAx>
        <c:axId val="72209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Reference Contract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F079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2090056"/>
        <c:crosses val="autoZero"/>
        <c:auto val="0"/>
        <c:lblAlgn val="ctr"/>
        <c:lblOffset val="100"/>
        <c:noMultiLvlLbl val="0"/>
      </c:catAx>
      <c:valAx>
        <c:axId val="722090056"/>
        <c:scaling>
          <c:orientation val="minMax"/>
          <c:max val="6"/>
          <c:min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latin typeface="Aptos Display" panose="020B0004020202020204" pitchFamily="34" charset="0"/>
                  </a:rPr>
                  <a:t>Average</a:t>
                </a:r>
                <a:r>
                  <a:rPr lang="en-US" sz="1200" baseline="0">
                    <a:latin typeface="Aptos Display" panose="020B0004020202020204" pitchFamily="34" charset="0"/>
                  </a:rPr>
                  <a:t> Price While the Reference Contract is the Nearby Contract ($ per bushel)</a:t>
                </a:r>
                <a:endParaRPr lang="en-US" sz="1200">
                  <a:latin typeface="Aptos Display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2099568"/>
        <c:crosses val="autoZero"/>
        <c:crossBetween val="midCat"/>
        <c:majorUnit val="0.5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1159757942925807"/>
          <c:y val="0.13966429431075358"/>
          <c:w val="0.8327065128045561"/>
          <c:h val="8.007841497688894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76CDC8-FD03-4F69-8412-9C1412E68FF7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1</xdr:row>
      <xdr:rowOff>57150</xdr:rowOff>
    </xdr:from>
    <xdr:to>
      <xdr:col>18</xdr:col>
      <xdr:colOff>266700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2674E-22EE-403F-AA2A-74099645B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14</xdr:row>
      <xdr:rowOff>123825</xdr:rowOff>
    </xdr:from>
    <xdr:to>
      <xdr:col>18</xdr:col>
      <xdr:colOff>276225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B418B-C08A-466F-830E-852C1EDDD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17623A-96BE-E485-F6F7-BED84AC19F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Price%20Model.xlsx" TargetMode="External"/><Relationship Id="rId1" Type="http://schemas.openxmlformats.org/officeDocument/2006/relationships/externalLinkPath" Target="/Users/torem/Dropbox/RLC%20Documents/Models/Oilseeds/Soybean%20Price%20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ash%20Prices%20-%20Feed%20Grai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</sheetNames>
    <sheetDataSet>
      <sheetData sheetId="0"/>
      <sheetData sheetId="1">
        <row r="3">
          <cell r="B3">
            <v>9.7250000000000014</v>
          </cell>
          <cell r="C3">
            <v>8.9656089002506292</v>
          </cell>
          <cell r="D3">
            <v>10.787960631578949</v>
          </cell>
          <cell r="E3">
            <v>9.8767847659147883</v>
          </cell>
          <cell r="F3">
            <v>10.45</v>
          </cell>
        </row>
        <row r="4">
          <cell r="B4">
            <v>10.025</v>
          </cell>
          <cell r="C4">
            <v>9.3336428810477727</v>
          </cell>
          <cell r="D4">
            <v>10.652223457142856</v>
          </cell>
          <cell r="E4">
            <v>9.9929331690953145</v>
          </cell>
          <cell r="F4">
            <v>10.5825</v>
          </cell>
        </row>
        <row r="5">
          <cell r="B5">
            <v>10.100000000000001</v>
          </cell>
          <cell r="C5">
            <v>9.0714326836992001</v>
          </cell>
          <cell r="D5">
            <v>10.983311083699197</v>
          </cell>
          <cell r="E5">
            <v>10.0273718836992</v>
          </cell>
          <cell r="F5">
            <v>10.715</v>
          </cell>
        </row>
        <row r="6">
          <cell r="B6">
            <v>9.65</v>
          </cell>
          <cell r="C6">
            <v>8.6445659992380968</v>
          </cell>
          <cell r="D6">
            <v>10.697210479238098</v>
          </cell>
          <cell r="E6">
            <v>9.6708882392380975</v>
          </cell>
          <cell r="F6">
            <v>10.6875</v>
          </cell>
        </row>
        <row r="7">
          <cell r="B7">
            <v>9.0500000000000007</v>
          </cell>
          <cell r="C7">
            <v>7.8138768897843036</v>
          </cell>
          <cell r="D7">
            <v>9.8193610497843054</v>
          </cell>
          <cell r="E7">
            <v>8.8166189697843045</v>
          </cell>
          <cell r="F7">
            <v>10.555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cah6?Settle" advise="1"/>
      <ddeItem name="cam5?Last" advise="1"/>
      <ddeItem name="caq5?Settle" advise="1"/>
      <ddeItem name="cax5?Settle" advise="1"/>
      <ddeItem name="StdDocumentName" ole="1" advise="1"/>
    </ddeItems>
  </dd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CD@C[INTERVAL:DAILY,COMPRESSION:1,FILTER:USA,SORT:ASC,NDATE:10/11/2024,FDATE:1/1/2016,VERSION:1]?DATE,CLOSE" advise="1"/>
      <ddeItem name="@ch5[INTERVAL:DAILY,COMPRESSION:1,SORT:ASC,NDATE:1/10/2024,FDATE:1/11/2025,VERSION:1]?DATE,CLOSE" advise="1"/>
      <ddeItem name="@CK5[INTERVAL:DAILY,COMPRESSION:1,SORT:ASC,SPAN:25]?DATE,CLOSE" advise="1"/>
      <ddeItem name="AFB@C[INTERVAL:DAILY,COMPRESSION:1,FILTER:USA,SORT:ASC,NDATE:10/11/2026,FDATE:1/1/2000,VERSION:1]?DATE,CLOSE" advise="1"/>
      <ddeItem name="CAm25[INTERVAL:DAILY,COMPRESSION:1,SORT:ASC,SPAN:25]?DATE,CLOSE" advise="1"/>
      <ddeItem name="StdDocumentName" ole="1" advise="1"/>
    </ddeItems>
  </dd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Domestic Prices"/>
      <sheetName val="Brazil Corn Price"/>
      <sheetName val="Monthly Prices"/>
    </sheetNames>
    <sheetDataSet>
      <sheetData sheetId="0"/>
      <sheetData sheetId="1"/>
      <sheetData sheetId="2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#REF!</fb>
    <v>10</v>
    <v>38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ederalreserve.gov/releases/h15/updat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ass.usda.gov/Charts_and_Maps/graphics/data/pricecn.txt" TargetMode="External"/><Relationship Id="rId1" Type="http://schemas.openxmlformats.org/officeDocument/2006/relationships/hyperlink" Target="https://www.ers.usda.gov/publications/pub-details/?pubid=998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6A1E-BD0E-4858-A7D8-58901CD1C1DA}">
  <dimension ref="A1:AG171"/>
  <sheetViews>
    <sheetView tabSelected="1" zoomScale="106" zoomScaleNormal="106" workbookViewId="0">
      <selection activeCell="F8" sqref="F8"/>
    </sheetView>
  </sheetViews>
  <sheetFormatPr defaultColWidth="9" defaultRowHeight="11.25" x14ac:dyDescent="0.2"/>
  <cols>
    <col min="1" max="1" width="14" style="38" customWidth="1"/>
    <col min="2" max="11" width="8.5" style="38" customWidth="1"/>
    <col min="12" max="12" width="10.6640625" style="38" bestFit="1" customWidth="1"/>
    <col min="13" max="14" width="9" style="38"/>
    <col min="15" max="16" width="9.33203125" style="38" bestFit="1" customWidth="1"/>
    <col min="17" max="19" width="9" style="38"/>
    <col min="20" max="20" width="10.6640625" style="38" bestFit="1" customWidth="1"/>
    <col min="21" max="21" width="14.6640625" style="38" bestFit="1" customWidth="1"/>
    <col min="22" max="26" width="11.6640625" style="38" bestFit="1" customWidth="1"/>
    <col min="27" max="27" width="9" style="38"/>
    <col min="28" max="28" width="18.1640625" style="38" bestFit="1" customWidth="1"/>
    <col min="29" max="30" width="9" style="38"/>
    <col min="31" max="31" width="12.6640625" style="38" bestFit="1" customWidth="1"/>
    <col min="32" max="32" width="16.83203125" style="38" bestFit="1" customWidth="1"/>
    <col min="33" max="16384" width="9" style="38"/>
  </cols>
  <sheetData>
    <row r="1" spans="1:33" ht="15" x14ac:dyDescent="0.25">
      <c r="A1" s="34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33" ht="45" x14ac:dyDescent="0.2">
      <c r="A2" s="3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1" t="s">
        <v>8</v>
      </c>
      <c r="I2" s="41" t="s">
        <v>9</v>
      </c>
      <c r="J2" s="40" t="s">
        <v>10</v>
      </c>
      <c r="K2" s="41" t="s">
        <v>11</v>
      </c>
      <c r="U2" s="39" t="s">
        <v>12</v>
      </c>
      <c r="V2" s="40" t="s">
        <v>2</v>
      </c>
      <c r="W2" s="40" t="s">
        <v>3</v>
      </c>
      <c r="X2" s="40" t="s">
        <v>4</v>
      </c>
      <c r="Y2" s="40" t="s">
        <v>5</v>
      </c>
      <c r="Z2" s="40" t="s">
        <v>6</v>
      </c>
    </row>
    <row r="3" spans="1:33" x14ac:dyDescent="0.2">
      <c r="A3" s="42">
        <v>46082</v>
      </c>
      <c r="B3" s="43">
        <f>AVERAGE(Prices!D666:D668)</f>
        <v>4.3099656584643427</v>
      </c>
      <c r="C3" s="43">
        <f>MIN(Prices!C666:C668)</f>
        <v>3.9885697596263388</v>
      </c>
      <c r="D3" s="43">
        <f>MAX(Prices!B666:B668)</f>
        <v>4.6887301606288458</v>
      </c>
      <c r="E3" s="43">
        <f>AVERAGE(C3:D3)</f>
        <v>4.3386499601275919</v>
      </c>
      <c r="F3" s="65">
        <v>4.2474999999999996</v>
      </c>
      <c r="G3" s="43"/>
      <c r="H3" s="44"/>
      <c r="I3" s="45"/>
      <c r="J3" s="43">
        <f>D3-C3</f>
        <v>0.70016040100250709</v>
      </c>
      <c r="K3" s="43">
        <f>F3-SUM($H$3:H3)</f>
        <v>4.2474999999999996</v>
      </c>
      <c r="U3" s="42" t="e">
        <f>#REF!</f>
        <v>#REF!</v>
      </c>
      <c r="V3" s="46" t="e">
        <f>[1]Forecasts!B3/#REF!</f>
        <v>#REF!</v>
      </c>
      <c r="W3" s="46" t="e">
        <f>[1]Forecasts!C3/#REF!</f>
        <v>#REF!</v>
      </c>
      <c r="X3" s="46" t="e">
        <f>[1]Forecasts!D3/#REF!</f>
        <v>#REF!</v>
      </c>
      <c r="Y3" s="46" t="e">
        <f>[1]Forecasts!E3/#REF!</f>
        <v>#REF!</v>
      </c>
      <c r="Z3" s="46" t="e">
        <f>[1]Forecasts!F3/#REF!</f>
        <v>#REF!</v>
      </c>
      <c r="AD3" s="47" t="s">
        <v>13</v>
      </c>
      <c r="AE3" s="47"/>
    </row>
    <row r="4" spans="1:33" x14ac:dyDescent="0.2">
      <c r="A4" s="42">
        <v>46143</v>
      </c>
      <c r="B4" s="43">
        <f>AVERAGE(Prices!D669:D670)</f>
        <v>4.4780108831862258</v>
      </c>
      <c r="C4" s="43">
        <f>MIN(Prices!C669:C670)</f>
        <v>4.2073145762132604</v>
      </c>
      <c r="D4" s="43">
        <f>MAX(Prices!B669:B670)</f>
        <v>4.9794551606288442</v>
      </c>
      <c r="E4" s="43">
        <f>AVERAGE(C4:D4)</f>
        <v>4.5933848684210528</v>
      </c>
      <c r="F4" s="65">
        <v>4.3224999999999998</v>
      </c>
      <c r="G4" s="43">
        <f>F4-F3</f>
        <v>7.5000000000000178E-2</v>
      </c>
      <c r="H4" s="44">
        <f>(B4*AE$11/365)+(AE$4*(A4-A3))</f>
        <v>0.20212935215261202</v>
      </c>
      <c r="I4" s="45">
        <f>G4/H4</f>
        <v>0.37104952448159811</v>
      </c>
      <c r="J4" s="43">
        <f>D4-C4</f>
        <v>0.77214058441558375</v>
      </c>
      <c r="K4" s="43">
        <f>F4-SUM($H$3:H4)</f>
        <v>4.1203706478473876</v>
      </c>
      <c r="U4" s="42">
        <f>A3</f>
        <v>46082</v>
      </c>
      <c r="V4" s="46">
        <f>[1]Forecasts!B4/B3</f>
        <v>2.3260046121972922</v>
      </c>
      <c r="W4" s="46">
        <f>[1]Forecasts!C4/C3</f>
        <v>2.3400976900356825</v>
      </c>
      <c r="X4" s="46">
        <f>[1]Forecasts!D4/D3</f>
        <v>2.2718781188538677</v>
      </c>
      <c r="Y4" s="46">
        <f>[1]Forecasts!E4/E3</f>
        <v>2.3032356288086997</v>
      </c>
      <c r="Z4" s="46">
        <f>[1]Forecasts!F4/F3</f>
        <v>2.4914655679811655</v>
      </c>
      <c r="AD4" s="48" t="s">
        <v>0</v>
      </c>
      <c r="AE4" s="38">
        <f>0.00165*2</f>
        <v>3.3E-3</v>
      </c>
    </row>
    <row r="5" spans="1:33" x14ac:dyDescent="0.2">
      <c r="A5" s="42">
        <v>46204</v>
      </c>
      <c r="B5" s="43">
        <f>AVERAGE(Prices!D671:D672)</f>
        <v>4.5760431305536571</v>
      </c>
      <c r="C5" s="43">
        <f>MIN(Prices!C671:C672)</f>
        <v>4.167265874914559</v>
      </c>
      <c r="D5" s="43">
        <f>MAX(Prices!B671:B672)</f>
        <v>4.9002658749145596</v>
      </c>
      <c r="E5" s="43">
        <f t="shared" ref="E5:E6" si="0">AVERAGE(C5:D5)</f>
        <v>4.5337658749145593</v>
      </c>
      <c r="F5" s="65">
        <v>4.3825000000000003</v>
      </c>
      <c r="G5" s="43">
        <f t="shared" ref="G5" si="1">F5-F4</f>
        <v>6.0000000000000497E-2</v>
      </c>
      <c r="H5" s="44">
        <f>(B5*AE$11/365)+(AE$4*(A5-A4))</f>
        <v>0.20214750826198749</v>
      </c>
      <c r="I5" s="45">
        <f t="shared" ref="I5:I6" si="2">G5/H5</f>
        <v>0.29681295859575579</v>
      </c>
      <c r="J5" s="43">
        <f t="shared" ref="J5:J6" si="3">D5-C5</f>
        <v>0.73300000000000054</v>
      </c>
      <c r="K5" s="43">
        <f>F5-SUM($H$3:H5)</f>
        <v>3.9782231395854009</v>
      </c>
      <c r="U5" s="42">
        <f>A4</f>
        <v>46143</v>
      </c>
      <c r="V5" s="46">
        <f>[1]Forecasts!B5/B4</f>
        <v>2.2554657108858072</v>
      </c>
      <c r="W5" s="46">
        <f>[1]Forecasts!C5/C4</f>
        <v>2.1561099174723055</v>
      </c>
      <c r="X5" s="46">
        <f>[1]Forecasts!D5/D4</f>
        <v>2.2057254718430159</v>
      </c>
      <c r="Y5" s="46">
        <f>[1]Forecasts!E5/E4</f>
        <v>2.1830027683149584</v>
      </c>
      <c r="Z5" s="46">
        <f>[1]Forecasts!F5/F4</f>
        <v>2.4788895315211104</v>
      </c>
      <c r="AD5" s="48"/>
    </row>
    <row r="6" spans="1:33" x14ac:dyDescent="0.2">
      <c r="A6" s="42">
        <v>46266</v>
      </c>
      <c r="B6" s="43">
        <f>AVERAGE(Prices!D673:D674)</f>
        <v>3.7192405858529529</v>
      </c>
      <c r="C6" s="43">
        <f>MIN(Prices!C673:C674)</f>
        <v>3.4481300037808622</v>
      </c>
      <c r="D6" s="43">
        <f>MAX(Prices!B673:B674)</f>
        <v>4.0742539701526548</v>
      </c>
      <c r="E6" s="43">
        <f t="shared" si="0"/>
        <v>3.7611919869667583</v>
      </c>
      <c r="F6" s="65">
        <v>4.3650000000000002</v>
      </c>
      <c r="G6" s="43">
        <f>F6-F5</f>
        <v>-1.7500000000000071E-2</v>
      </c>
      <c r="H6" s="44">
        <f>(B6*AE$11/365)+(AE$4*(A6-A5))</f>
        <v>0.20528882373590043</v>
      </c>
      <c r="I6" s="45">
        <f t="shared" si="2"/>
        <v>-8.5245751237356379E-2</v>
      </c>
      <c r="J6" s="43">
        <f t="shared" si="3"/>
        <v>0.62612396637179257</v>
      </c>
      <c r="K6" s="43">
        <f>F6-SUM($H$3:H6)</f>
        <v>3.7554343158495005</v>
      </c>
      <c r="U6" s="42">
        <f>A5</f>
        <v>46204</v>
      </c>
      <c r="V6" s="46">
        <f>[1]Forecasts!B6/B5</f>
        <v>2.1088087949976213</v>
      </c>
      <c r="W6" s="46">
        <f>[1]Forecasts!C6/C5</f>
        <v>2.0743975207522212</v>
      </c>
      <c r="X6" s="46">
        <f>[1]Forecasts!D6/D5</f>
        <v>2.1829857302231819</v>
      </c>
      <c r="Y6" s="46">
        <f>[1]Forecasts!E6/E5</f>
        <v>2.1330806455506153</v>
      </c>
      <c r="Z6" s="46">
        <f>[1]Forecasts!F6/F5</f>
        <v>2.4386765544780373</v>
      </c>
      <c r="AD6" s="48"/>
    </row>
    <row r="7" spans="1:33" x14ac:dyDescent="0.2">
      <c r="A7" s="42">
        <v>46357</v>
      </c>
      <c r="B7" s="43">
        <f>AVERAGE(Prices!D675:D677)</f>
        <v>3.9740537740926758</v>
      </c>
      <c r="C7" s="43">
        <f>MIN(Prices!C675:C677)</f>
        <v>3.7284934939621781</v>
      </c>
      <c r="D7" s="43">
        <f>MAX(Prices!B675:B677)</f>
        <v>4.2250284939621778</v>
      </c>
      <c r="E7" s="43">
        <f t="shared" ref="E7" si="4">AVERAGE(C7:D7)</f>
        <v>3.976760993962178</v>
      </c>
      <c r="F7" s="65">
        <v>4.4950000000000001</v>
      </c>
      <c r="G7" s="43">
        <f>F7-F6</f>
        <v>0.12999999999999989</v>
      </c>
      <c r="H7" s="44">
        <f>(B7*AE$11/365)+(AE$4*(A7-A6))</f>
        <v>0.3010360165345991</v>
      </c>
      <c r="I7" s="45">
        <f t="shared" ref="I7" si="5">G7/H7</f>
        <v>0.43184201510671577</v>
      </c>
      <c r="J7" s="43">
        <f t="shared" ref="J7" si="6">D7-C7</f>
        <v>0.49653499999999973</v>
      </c>
      <c r="K7" s="43">
        <f>F7-SUM($H$3:H7)</f>
        <v>3.5843982993149011</v>
      </c>
      <c r="U7" s="42">
        <f>A6</f>
        <v>46266</v>
      </c>
      <c r="V7" s="46">
        <f>[1]Forecasts!B7/B6</f>
        <v>2.4332924399738762</v>
      </c>
      <c r="W7" s="46">
        <f>[1]Forecasts!C7/C6</f>
        <v>2.2661201524352084</v>
      </c>
      <c r="X7" s="46">
        <f>[1]Forecasts!D7/D6</f>
        <v>2.4101003819888018</v>
      </c>
      <c r="Y7" s="46">
        <f>[1]Forecasts!E7/E6</f>
        <v>2.3441023484936574</v>
      </c>
      <c r="Z7" s="46">
        <f>[1]Forecasts!F7/F6</f>
        <v>2.4180985108820159</v>
      </c>
    </row>
    <row r="9" spans="1:33" x14ac:dyDescent="0.2">
      <c r="F9" s="49"/>
      <c r="AD9" s="47" t="s">
        <v>14</v>
      </c>
      <c r="AE9" s="47"/>
      <c r="AG9" s="50" t="s">
        <v>15</v>
      </c>
    </row>
    <row r="10" spans="1:33" ht="45" x14ac:dyDescent="0.2">
      <c r="A10" s="39" t="s">
        <v>16</v>
      </c>
      <c r="B10" s="40" t="s">
        <v>2</v>
      </c>
      <c r="C10" s="40" t="s">
        <v>3</v>
      </c>
      <c r="D10" s="40" t="s">
        <v>4</v>
      </c>
      <c r="E10" s="40" t="s">
        <v>5</v>
      </c>
      <c r="F10" s="40" t="s">
        <v>6</v>
      </c>
      <c r="G10" s="40" t="s">
        <v>7</v>
      </c>
      <c r="H10" s="41" t="s">
        <v>8</v>
      </c>
      <c r="I10" s="41" t="s">
        <v>9</v>
      </c>
      <c r="J10" s="40" t="s">
        <v>10</v>
      </c>
      <c r="K10" s="41" t="s">
        <v>11</v>
      </c>
      <c r="AB10" s="51">
        <f ca="1">TODAY()-1</f>
        <v>46036</v>
      </c>
      <c r="AD10" s="48" t="s">
        <v>17</v>
      </c>
      <c r="AE10" s="52">
        <v>4.7600000000000003E-2</v>
      </c>
      <c r="AF10" s="35" t="e">
        <f ca="1">_xll.RHistory("USD1YFSR=X","NDA_RAW.Nda_last","START:"&amp;$AB10&amp;" INTERVAL:1D")</f>
        <v>#NAME?</v>
      </c>
    </row>
    <row r="11" spans="1:33" x14ac:dyDescent="0.2">
      <c r="A11" s="42">
        <v>45809</v>
      </c>
      <c r="B11" s="53">
        <f>MROUND(AVERAGE(Prices!P657:P659),0.25)</f>
        <v>206.75</v>
      </c>
      <c r="C11" s="53">
        <f>MROUND(MIN(Prices!O657:O659),0.25)</f>
        <v>181.75</v>
      </c>
      <c r="D11" s="53">
        <f>MROUND(MAX(Prices!N657:N659),0.25)</f>
        <v>216.75</v>
      </c>
      <c r="E11" s="53">
        <f>AVERAGE(C11:D11)</f>
        <v>199.25</v>
      </c>
      <c r="F11" s="43" t="e" vm="1">
        <f t="array" ref="F11">[2]!cam5?Last</f>
        <v>#REF!</v>
      </c>
      <c r="G11" s="43"/>
      <c r="H11" s="44"/>
      <c r="I11" s="45"/>
      <c r="J11" s="53">
        <f>D11-C11</f>
        <v>35</v>
      </c>
      <c r="K11" s="43" t="e" vm="2">
        <f>F11-SUM($H$11:H11)</f>
        <v>#VALUE!</v>
      </c>
      <c r="AD11" s="48" t="s">
        <v>18</v>
      </c>
      <c r="AE11" s="52">
        <f>AE10+0.02</f>
        <v>6.7600000000000007E-2</v>
      </c>
    </row>
    <row r="12" spans="1:33" x14ac:dyDescent="0.2">
      <c r="A12" s="42">
        <v>45870</v>
      </c>
      <c r="B12" s="53">
        <f>MROUND(AVERAGE(Prices!P660:P661),0.25)</f>
        <v>204.25</v>
      </c>
      <c r="C12" s="53">
        <f>MROUND(MIN(Prices!O660:O661),0.25)</f>
        <v>189.25</v>
      </c>
      <c r="D12" s="53">
        <f>MROUND(MAX(Prices!N660:N661),0.25)</f>
        <v>215</v>
      </c>
      <c r="E12" s="53">
        <f t="shared" ref="E12:E14" si="7">AVERAGE(C12:D12)</f>
        <v>202.125</v>
      </c>
      <c r="F12" s="43" t="e" cm="1" vm="1">
        <f t="array" ref="F12">[2]!caq5?Settle</f>
        <v>#REF!</v>
      </c>
      <c r="G12" s="43" t="e" vm="2">
        <f>F12-F11</f>
        <v>#VALUE!</v>
      </c>
      <c r="H12" s="44">
        <f>(B12*AE$11/365)+(AE$4*(A12-A11))</f>
        <v>0.23912821917808219</v>
      </c>
      <c r="I12" s="45" t="e" vm="2">
        <f>G12/H12</f>
        <v>#VALUE!</v>
      </c>
      <c r="J12" s="53">
        <f t="shared" ref="J12:J14" si="8">D12-C12</f>
        <v>25.75</v>
      </c>
      <c r="K12" s="43" t="e" vm="2">
        <f>F12-SUM($H$12:H12)</f>
        <v>#VALUE!</v>
      </c>
    </row>
    <row r="13" spans="1:33" x14ac:dyDescent="0.2">
      <c r="A13" s="42">
        <v>45962</v>
      </c>
      <c r="B13" s="53">
        <f>MROUND(AVERAGE(Prices!P662:P664),0.25)</f>
        <v>197</v>
      </c>
      <c r="C13" s="53">
        <f>MROUND(MIN(Prices!O662:O664),0.25)</f>
        <v>188</v>
      </c>
      <c r="D13" s="53">
        <f>MROUND(MAX(Prices!N662:N664),0.25)</f>
        <v>215.25</v>
      </c>
      <c r="E13" s="53">
        <f t="shared" si="7"/>
        <v>201.625</v>
      </c>
      <c r="F13" s="43" t="e" vm="1">
        <f t="array" ref="F13">[2]!cax5?Settle</f>
        <v>#REF!</v>
      </c>
      <c r="G13" s="43" t="e" vm="2">
        <f>F13-F12</f>
        <v>#VALUE!</v>
      </c>
      <c r="H13" s="44">
        <f>(B13*AE$11/365)+(AE$4*(A13-A12))</f>
        <v>0.34008547945205481</v>
      </c>
      <c r="I13" s="45" t="e" vm="2">
        <f>G13/H13</f>
        <v>#VALUE!</v>
      </c>
      <c r="J13" s="53">
        <f t="shared" si="8"/>
        <v>27.25</v>
      </c>
      <c r="K13" s="43" t="e" vm="2">
        <f>F13-SUM($H$12:H13)</f>
        <v>#VALUE!</v>
      </c>
    </row>
    <row r="14" spans="1:33" x14ac:dyDescent="0.2">
      <c r="A14" s="42">
        <v>46082</v>
      </c>
      <c r="B14" s="53">
        <f>MROUND(AVERAGE(Prices!P666:P668),0.25)</f>
        <v>196.5</v>
      </c>
      <c r="C14" s="53">
        <f>MROUND(MIN(Prices!O666:O668),0.25)</f>
        <v>191</v>
      </c>
      <c r="D14" s="53">
        <f>MROUND(MAX(Prices!N666:N668),0.25)</f>
        <v>202.75</v>
      </c>
      <c r="E14" s="53">
        <f t="shared" si="7"/>
        <v>196.875</v>
      </c>
      <c r="F14" s="43" t="e" vm="1">
        <f t="array" ref="F14">[2]!cah6?Settle</f>
        <v>#REF!</v>
      </c>
      <c r="G14" s="43" t="e" vm="2">
        <f>F14-F13</f>
        <v>#VALUE!</v>
      </c>
      <c r="H14" s="44">
        <f>(B14*AE$11/365)+(AE$4*(A14-A13))</f>
        <v>0.43239287671232879</v>
      </c>
      <c r="I14" s="45" t="e" vm="2">
        <f>G14/H14</f>
        <v>#VALUE!</v>
      </c>
      <c r="J14" s="53">
        <f t="shared" si="8"/>
        <v>11.75</v>
      </c>
      <c r="K14" s="43" t="e" vm="2">
        <f>F14-SUM($H$12:H14)</f>
        <v>#VALUE!</v>
      </c>
    </row>
    <row r="15" spans="1:33" x14ac:dyDescent="0.2">
      <c r="A15" s="36" t="s">
        <v>19</v>
      </c>
    </row>
    <row r="16" spans="1:33" x14ac:dyDescent="0.2">
      <c r="B16" s="53"/>
      <c r="C16" s="53"/>
      <c r="D16" s="53"/>
      <c r="E16" s="53"/>
      <c r="F16" s="43"/>
      <c r="G16" s="43"/>
    </row>
    <row r="21" spans="1:9" x14ac:dyDescent="0.2">
      <c r="A21" s="38" t="s">
        <v>20</v>
      </c>
      <c r="B21" s="38">
        <v>4</v>
      </c>
    </row>
    <row r="22" spans="1:9" x14ac:dyDescent="0.2">
      <c r="A22" s="38" t="s">
        <v>21</v>
      </c>
      <c r="B22" s="38">
        <v>5</v>
      </c>
    </row>
    <row r="24" spans="1:9" x14ac:dyDescent="0.2">
      <c r="A24" s="54" t="s">
        <v>22</v>
      </c>
      <c r="G24" s="54" t="s">
        <v>23</v>
      </c>
    </row>
    <row r="25" spans="1:9" x14ac:dyDescent="0.2">
      <c r="A25" s="55" t="e" vm="1">
        <f t="array" ref="A25:B49">[3]!'@CK5[INTERVAL:DAILY,COMPRESSION:1,SORT:ASC,SPAN:25]?DATE,CLOSE'</f>
        <v>#REF!</v>
      </c>
      <c r="B25" s="56" t="e" vm="1">
        <v>#REF!</v>
      </c>
      <c r="C25" s="57" t="e" vm="2">
        <f>IF(IF(ISNUMBER(A25),MONTH(A25),MONTH(DATEVALUE(A25)))=$B$21,B25/100,"-- ")</f>
        <v>#VALUE!</v>
      </c>
      <c r="G25" s="55" t="e" vm="1">
        <f t="array" ref="G25:H49">[3]!'CAm25[INTERVAL:DAILY,COMPRESSION:1,SORT:ASC,SPAN:25]?DATE,CLOSE'</f>
        <v>#REF!</v>
      </c>
      <c r="H25" s="56" t="e" vm="1">
        <v>#REF!</v>
      </c>
      <c r="I25" s="57" t="e" vm="2">
        <f t="shared" ref="I25:I28" si="9">IF(IF(ISNUMBER(G25),MONTH(G25),MONTH(DATEVALUE(G25)))=$B$21,H25,"-- ")</f>
        <v>#VALUE!</v>
      </c>
    </row>
    <row r="26" spans="1:9" x14ac:dyDescent="0.2">
      <c r="A26" s="55" t="e" vm="1">
        <v>#REF!</v>
      </c>
      <c r="B26" s="56" t="e" vm="1">
        <v>#REF!</v>
      </c>
      <c r="C26" s="57" t="e" vm="2">
        <f t="array" ref="C26">IF(IF(ISNUMBER(A26),MONTH(A26),MONTH(DATEVALUE(A26)))=$B$21,B26/100,"-- ")</f>
        <v>#VALUE!</v>
      </c>
      <c r="G26" s="55" t="e" vm="1">
        <v>#REF!</v>
      </c>
      <c r="H26" s="56" t="e" vm="1">
        <v>#REF!</v>
      </c>
      <c r="I26" s="57" t="e" vm="2">
        <f t="shared" si="9"/>
        <v>#VALUE!</v>
      </c>
    </row>
    <row r="27" spans="1:9" x14ac:dyDescent="0.2">
      <c r="A27" s="55" t="e" vm="1">
        <v>#REF!</v>
      </c>
      <c r="B27" s="56" t="e" vm="1">
        <v>#REF!</v>
      </c>
      <c r="C27" s="57" t="e" vm="2">
        <f>IF(IF(ISNUMBER(A27),MONTH(A27),MONTH(DATEVALUE(A27)))=$B$21,B27/100,"-- ")</f>
        <v>#VALUE!</v>
      </c>
      <c r="G27" s="55" t="e" vm="1">
        <v>#REF!</v>
      </c>
      <c r="H27" s="56" t="e" vm="1">
        <v>#REF!</v>
      </c>
      <c r="I27" s="57" t="e" vm="2">
        <f t="shared" si="9"/>
        <v>#VALUE!</v>
      </c>
    </row>
    <row r="28" spans="1:9" x14ac:dyDescent="0.2">
      <c r="A28" s="55" t="e" vm="1">
        <v>#REF!</v>
      </c>
      <c r="B28" s="56" t="e" vm="1">
        <v>#REF!</v>
      </c>
      <c r="C28" s="57" t="e" vm="2">
        <f>IF(IF(ISNUMBER(A28),MONTH(A28),MONTH(DATEVALUE(A28)))=$B$21,B28/100,"-- ")</f>
        <v>#VALUE!</v>
      </c>
      <c r="G28" s="55" t="e" vm="1">
        <v>#REF!</v>
      </c>
      <c r="H28" s="56" t="e" vm="1">
        <v>#REF!</v>
      </c>
      <c r="I28" s="57" t="e" vm="2">
        <f t="shared" si="9"/>
        <v>#VALUE!</v>
      </c>
    </row>
    <row r="29" spans="1:9" x14ac:dyDescent="0.2">
      <c r="A29" s="55" t="e" vm="1">
        <v>#REF!</v>
      </c>
      <c r="B29" s="56" t="e" vm="1">
        <v>#REF!</v>
      </c>
      <c r="C29" s="57" t="e" vm="2">
        <f t="array" ref="C29">IF(IF(ISNUMBER(A29),MONTH(A29),MONTH(DATEVALUE(A29)))=$B$21,B29/100,"-- ")</f>
        <v>#VALUE!</v>
      </c>
      <c r="G29" s="55" t="e" vm="1">
        <v>#REF!</v>
      </c>
      <c r="H29" s="56" t="e" vm="1">
        <v>#REF!</v>
      </c>
      <c r="I29" s="57" t="e" vm="2">
        <f>IF(IF(ISNUMBER(G29),MONTH(G29),MONTH(DATEVALUE(G29)))=$B$21,H29,"-- ")</f>
        <v>#VALUE!</v>
      </c>
    </row>
    <row r="30" spans="1:9" x14ac:dyDescent="0.2">
      <c r="A30" s="55" t="e" vm="1">
        <v>#REF!</v>
      </c>
      <c r="B30" s="56" t="e" vm="1">
        <v>#REF!</v>
      </c>
      <c r="C30" s="57" t="e" vm="2">
        <f t="array" ref="C30">IF(IF(ISNUMBER(A30),MONTH(A30),MONTH(DATEVALUE(A30)))=$B$21,B30/100,"-- ")</f>
        <v>#VALUE!</v>
      </c>
      <c r="G30" s="55" t="e" vm="1">
        <v>#REF!</v>
      </c>
      <c r="H30" s="56" t="e" vm="1">
        <v>#REF!</v>
      </c>
      <c r="I30" s="57" t="e" vm="2">
        <f t="shared" ref="I30:I34" si="10">IF(IF(ISNUMBER(G30),MONTH(G30),MONTH(DATEVALUE(G30)))=$B$21,H30,"-- ")</f>
        <v>#VALUE!</v>
      </c>
    </row>
    <row r="31" spans="1:9" x14ac:dyDescent="0.2">
      <c r="A31" s="55" t="e" vm="1">
        <v>#REF!</v>
      </c>
      <c r="B31" s="56" t="e" vm="1">
        <v>#REF!</v>
      </c>
      <c r="C31" s="57" t="e" vm="2">
        <f t="array" ref="C31">IF(IF(ISNUMBER(A31),MONTH(A31),MONTH(DATEVALUE(A31)))=$B$21,B31/100,"-- ")</f>
        <v>#VALUE!</v>
      </c>
      <c r="G31" s="55" t="e" vm="1">
        <v>#REF!</v>
      </c>
      <c r="H31" s="56" t="e" vm="1">
        <v>#REF!</v>
      </c>
      <c r="I31" s="57" t="e" vm="2">
        <f t="shared" si="10"/>
        <v>#VALUE!</v>
      </c>
    </row>
    <row r="32" spans="1:9" x14ac:dyDescent="0.2">
      <c r="A32" s="55" t="e" vm="1">
        <v>#REF!</v>
      </c>
      <c r="B32" s="56" t="e" vm="1">
        <v>#REF!</v>
      </c>
      <c r="C32" s="57" t="e" vm="2">
        <f>IF(IF(ISNUMBER(A32),MONTH(A32),MONTH(DATEVALUE(A32)))=$B$21,B32/100,"-- ")</f>
        <v>#VALUE!</v>
      </c>
      <c r="G32" s="55" t="e" vm="1">
        <v>#REF!</v>
      </c>
      <c r="H32" s="56" t="e" vm="1">
        <v>#REF!</v>
      </c>
      <c r="I32" s="57" t="e" vm="2">
        <f t="shared" si="10"/>
        <v>#VALUE!</v>
      </c>
    </row>
    <row r="33" spans="1:9" x14ac:dyDescent="0.2">
      <c r="A33" s="55" t="e" vm="1">
        <v>#REF!</v>
      </c>
      <c r="B33" s="56" t="e" vm="1">
        <v>#REF!</v>
      </c>
      <c r="C33" s="57" t="e" vm="2">
        <f t="array" ref="C33">IF(IF(ISNUMBER(A33),MONTH(A33),MONTH(DATEVALUE(A33)))=$B$21,B33/100,"-- ")</f>
        <v>#VALUE!</v>
      </c>
      <c r="G33" s="55" t="e" vm="1">
        <v>#REF!</v>
      </c>
      <c r="H33" s="56" t="e" vm="1">
        <v>#REF!</v>
      </c>
      <c r="I33" s="57" t="e" vm="2">
        <f t="shared" si="10"/>
        <v>#VALUE!</v>
      </c>
    </row>
    <row r="34" spans="1:9" x14ac:dyDescent="0.2">
      <c r="A34" s="55" t="e" vm="1">
        <v>#REF!</v>
      </c>
      <c r="B34" s="56" t="e" vm="1">
        <v>#REF!</v>
      </c>
      <c r="C34" s="57" t="e" vm="2">
        <f t="array" ref="C34">IF(IF(ISNUMBER(A34),MONTH(A34),MONTH(DATEVALUE(A34)))=$B$21,B34/100,"-- ")</f>
        <v>#VALUE!</v>
      </c>
      <c r="G34" s="55" t="e" vm="1">
        <v>#REF!</v>
      </c>
      <c r="H34" s="56" t="e" vm="1">
        <v>#REF!</v>
      </c>
      <c r="I34" s="57" t="e" vm="2">
        <f t="shared" si="10"/>
        <v>#VALUE!</v>
      </c>
    </row>
    <row r="35" spans="1:9" x14ac:dyDescent="0.2">
      <c r="A35" s="55" t="e" vm="1">
        <v>#REF!</v>
      </c>
      <c r="B35" s="56" t="e" vm="1">
        <v>#REF!</v>
      </c>
      <c r="C35" s="57" t="e" vm="2">
        <f t="array" ref="C35">IF(IF(ISNUMBER(A35),MONTH(A35),MONTH(DATEVALUE(A35)))=$B$21,B35/100,"-- ")</f>
        <v>#VALUE!</v>
      </c>
      <c r="G35" s="55" t="e" vm="1">
        <v>#REF!</v>
      </c>
      <c r="H35" s="56" t="e" vm="1">
        <v>#REF!</v>
      </c>
      <c r="I35" s="57" t="e" vm="2">
        <f>IF(IF(ISNUMBER(G35),MONTH(G35),MONTH(DATEVALUE(G35)))=$B$21,H35,"-- ")</f>
        <v>#VALUE!</v>
      </c>
    </row>
    <row r="36" spans="1:9" x14ac:dyDescent="0.2">
      <c r="A36" s="55" t="e" vm="1">
        <v>#REF!</v>
      </c>
      <c r="B36" s="56" t="e" vm="1">
        <v>#REF!</v>
      </c>
      <c r="C36" s="57" t="e" vm="2">
        <f t="array" ref="C36">IF(IF(ISNUMBER(A36),MONTH(A36),MONTH(DATEVALUE(A36)))=$B$21,B36/100,"-- ")</f>
        <v>#VALUE!</v>
      </c>
      <c r="G36" s="55" t="e" vm="1">
        <v>#REF!</v>
      </c>
      <c r="H36" s="56" t="e" vm="1">
        <v>#REF!</v>
      </c>
      <c r="I36" s="57" t="e" vm="2">
        <f>IF(IF(ISNUMBER(G36),MONTH(G36),MONTH(DATEVALUE(G36)))=$B$21,H36,"-- ")</f>
        <v>#VALUE!</v>
      </c>
    </row>
    <row r="37" spans="1:9" x14ac:dyDescent="0.2">
      <c r="A37" s="55" t="e" vm="1">
        <v>#REF!</v>
      </c>
      <c r="B37" s="56" t="e" vm="1">
        <v>#REF!</v>
      </c>
      <c r="C37" s="57" t="e" vm="2">
        <f t="array" ref="C37">IF(IF(ISNUMBER(A37),MONTH(A37),MONTH(DATEVALUE(A37)))=$B$21,B37/100,"-- ")</f>
        <v>#VALUE!</v>
      </c>
      <c r="G37" s="55" t="e" vm="1">
        <v>#REF!</v>
      </c>
      <c r="H37" s="56" t="e" vm="1">
        <v>#REF!</v>
      </c>
      <c r="I37" s="57" t="e" vm="2">
        <f t="shared" ref="I37:I39" si="11">IF(IF(ISNUMBER(G37),MONTH(G37),MONTH(DATEVALUE(G37)))=$B$21,H37,"-- ")</f>
        <v>#VALUE!</v>
      </c>
    </row>
    <row r="38" spans="1:9" x14ac:dyDescent="0.2">
      <c r="A38" s="55" t="e" vm="1">
        <v>#REF!</v>
      </c>
      <c r="B38" s="56" t="e" vm="1">
        <v>#REF!</v>
      </c>
      <c r="C38" s="57" t="e" vm="2">
        <f t="array" ref="C38">IF(IF(ISNUMBER(A38),MONTH(A38),MONTH(DATEVALUE(A38)))=$B$21,B38/100,"-- ")</f>
        <v>#VALUE!</v>
      </c>
      <c r="G38" s="55" t="e" vm="1">
        <v>#REF!</v>
      </c>
      <c r="H38" s="56" t="e" vm="1">
        <v>#REF!</v>
      </c>
      <c r="I38" s="57" t="e" vm="2">
        <f t="shared" si="11"/>
        <v>#VALUE!</v>
      </c>
    </row>
    <row r="39" spans="1:9" x14ac:dyDescent="0.2">
      <c r="A39" s="55" t="e" vm="1">
        <v>#REF!</v>
      </c>
      <c r="B39" s="56" t="e" vm="1">
        <v>#REF!</v>
      </c>
      <c r="C39" s="57" t="e" vm="2">
        <f>IF(IF(ISNUMBER(A39),MONTH(A39),MONTH(DATEVALUE(A39)))=$B$21,B39/100,"-- ")</f>
        <v>#VALUE!</v>
      </c>
      <c r="G39" s="55" t="e" vm="1">
        <v>#REF!</v>
      </c>
      <c r="H39" s="56" t="e" vm="1">
        <v>#REF!</v>
      </c>
      <c r="I39" s="57" t="e" vm="2">
        <f t="shared" si="11"/>
        <v>#VALUE!</v>
      </c>
    </row>
    <row r="40" spans="1:9" x14ac:dyDescent="0.2">
      <c r="A40" s="55" t="e" vm="1">
        <v>#REF!</v>
      </c>
      <c r="B40" s="56" t="e" vm="1">
        <v>#REF!</v>
      </c>
      <c r="C40" s="57" t="e" vm="2">
        <f t="array" ref="C40">IF(IF(ISNUMBER(A40),MONTH(A40),MONTH(DATEVALUE(A40)))=$B$21,B40/100,"-- ")</f>
        <v>#VALUE!</v>
      </c>
      <c r="G40" s="55" t="e" vm="1">
        <v>#REF!</v>
      </c>
      <c r="H40" s="56" t="e" vm="1">
        <v>#REF!</v>
      </c>
      <c r="I40" s="57" t="e" vm="2">
        <f>IF(IF(ISNUMBER(G40),MONTH(G40),MONTH(DATEVALUE(G40)))=$B$21,H40,"-- ")</f>
        <v>#VALUE!</v>
      </c>
    </row>
    <row r="41" spans="1:9" x14ac:dyDescent="0.2">
      <c r="A41" s="58" t="e" vm="1">
        <v>#REF!</v>
      </c>
      <c r="B41" s="56" t="e" vm="1">
        <v>#REF!</v>
      </c>
      <c r="C41" s="57" t="e" vm="2">
        <f t="array" ref="C41">IF(IF(ISNUMBER(A41),MONTH(A41),MONTH(DATEVALUE(A41)))=$B$21,B41/100,"-- ")</f>
        <v>#VALUE!</v>
      </c>
      <c r="G41" s="58" t="e" vm="1">
        <v>#REF!</v>
      </c>
      <c r="H41" s="56" t="e" vm="1">
        <v>#REF!</v>
      </c>
      <c r="I41" s="57" t="e" vm="2">
        <f t="shared" ref="I41:I49" si="12">IF(IF(ISNUMBER(G41),MONTH(G41),MONTH(DATEVALUE(G41)))=$B$21,H41,"-- ")</f>
        <v>#VALUE!</v>
      </c>
    </row>
    <row r="42" spans="1:9" x14ac:dyDescent="0.2">
      <c r="A42" s="58" t="e" vm="1">
        <v>#REF!</v>
      </c>
      <c r="B42" s="56" t="e" vm="1">
        <v>#REF!</v>
      </c>
      <c r="C42" s="57" t="e" vm="2">
        <f t="array" ref="C42">IF(IF(ISNUMBER(A42),MONTH(A42),MONTH(DATEVALUE(A42)))=$B$21,B42/100,"-- ")</f>
        <v>#VALUE!</v>
      </c>
      <c r="G42" s="58" t="e" vm="1">
        <v>#REF!</v>
      </c>
      <c r="H42" s="56" t="e" vm="1">
        <v>#REF!</v>
      </c>
      <c r="I42" s="57" t="e" vm="2">
        <f t="shared" si="12"/>
        <v>#VALUE!</v>
      </c>
    </row>
    <row r="43" spans="1:9" x14ac:dyDescent="0.2">
      <c r="A43" s="58" t="e" vm="1">
        <v>#REF!</v>
      </c>
      <c r="B43" s="56" t="e" vm="1">
        <v>#REF!</v>
      </c>
      <c r="C43" s="57" t="e" vm="2">
        <f t="array" ref="C43">IF(IF(ISNUMBER(A43),MONTH(A43),MONTH(DATEVALUE(A43)))=$B$21,B43/100,"-- ")</f>
        <v>#VALUE!</v>
      </c>
      <c r="G43" s="58" t="e" vm="1">
        <v>#REF!</v>
      </c>
      <c r="H43" s="56" t="e" vm="1">
        <v>#REF!</v>
      </c>
      <c r="I43" s="57" t="e" vm="2">
        <f t="shared" si="12"/>
        <v>#VALUE!</v>
      </c>
    </row>
    <row r="44" spans="1:9" x14ac:dyDescent="0.2">
      <c r="A44" s="58" t="e" vm="1">
        <v>#REF!</v>
      </c>
      <c r="B44" s="56" t="e" vm="1">
        <v>#REF!</v>
      </c>
      <c r="C44" s="57" t="e" vm="2">
        <f>IF(IF(ISNUMBER(A44),MONTH(A44),MONTH(DATEVALUE(A44)))=$B$21,B44/100,"-- ")</f>
        <v>#VALUE!</v>
      </c>
      <c r="G44" s="58" t="e" vm="1">
        <v>#REF!</v>
      </c>
      <c r="H44" s="56" t="e" vm="1">
        <v>#REF!</v>
      </c>
      <c r="I44" s="57" t="e" vm="2">
        <f t="shared" si="12"/>
        <v>#VALUE!</v>
      </c>
    </row>
    <row r="45" spans="1:9" x14ac:dyDescent="0.2">
      <c r="A45" s="58" t="e" vm="1">
        <v>#REF!</v>
      </c>
      <c r="B45" s="56" t="e" vm="1">
        <v>#REF!</v>
      </c>
      <c r="C45" s="57" t="e" vm="2">
        <f t="array" ref="C45">IF(IF(ISNUMBER(A45),MONTH(A45),MONTH(DATEVALUE(A45)))=$B$21,B45/100,"-- ")</f>
        <v>#VALUE!</v>
      </c>
      <c r="G45" s="58" t="e" vm="1">
        <v>#REF!</v>
      </c>
      <c r="H45" s="56" t="e" vm="1">
        <v>#REF!</v>
      </c>
      <c r="I45" s="57" t="e" vm="2">
        <f t="shared" si="12"/>
        <v>#VALUE!</v>
      </c>
    </row>
    <row r="46" spans="1:9" x14ac:dyDescent="0.2">
      <c r="A46" s="58" t="e" vm="1">
        <v>#REF!</v>
      </c>
      <c r="B46" s="56" t="e" vm="1">
        <v>#REF!</v>
      </c>
      <c r="C46" s="57" t="e" vm="2">
        <f t="array" ref="C46">IF(IF(ISNUMBER(A46),MONTH(A46),MONTH(DATEVALUE(A46)))=$B$21,B46/100,"-- ")</f>
        <v>#VALUE!</v>
      </c>
      <c r="G46" s="58" t="e" vm="1">
        <v>#REF!</v>
      </c>
      <c r="H46" s="56" t="e" vm="1">
        <v>#REF!</v>
      </c>
      <c r="I46" s="57" t="e" vm="2">
        <f t="shared" si="12"/>
        <v>#VALUE!</v>
      </c>
    </row>
    <row r="47" spans="1:9" x14ac:dyDescent="0.2">
      <c r="A47" s="58" t="e" vm="1">
        <v>#REF!</v>
      </c>
      <c r="B47" s="56" t="e" vm="1">
        <v>#REF!</v>
      </c>
      <c r="C47" s="57" t="e" vm="2">
        <f>IF(IF(ISNUMBER(A47),MONTH(A47),MONTH(DATEVALUE(A47)))=$B$21,B47/100,"-- ")</f>
        <v>#VALUE!</v>
      </c>
      <c r="G47" s="58" t="e" vm="1">
        <v>#REF!</v>
      </c>
      <c r="H47" s="56" t="e" vm="1">
        <v>#REF!</v>
      </c>
      <c r="I47" s="57" t="e" vm="2">
        <f t="shared" si="12"/>
        <v>#VALUE!</v>
      </c>
    </row>
    <row r="48" spans="1:9" x14ac:dyDescent="0.2">
      <c r="A48" s="58" t="e" vm="1">
        <v>#REF!</v>
      </c>
      <c r="B48" s="56" t="e" vm="1">
        <v>#REF!</v>
      </c>
      <c r="C48" s="57" t="e" vm="2">
        <f>B48/100</f>
        <v>#VALUE!</v>
      </c>
      <c r="G48" s="58" t="e" vm="1">
        <v>#REF!</v>
      </c>
      <c r="H48" s="56" t="e" vm="1">
        <v>#REF!</v>
      </c>
      <c r="I48" s="57" t="e" vm="2">
        <f t="shared" si="12"/>
        <v>#VALUE!</v>
      </c>
    </row>
    <row r="49" spans="1:9" x14ac:dyDescent="0.2">
      <c r="A49" s="55" t="e" vm="1">
        <v>#REF!</v>
      </c>
      <c r="B49" s="56" t="e" vm="1">
        <v>#REF!</v>
      </c>
      <c r="C49" s="57" t="e" vm="2">
        <f t="shared" ref="C49:C112" si="13">B49/100</f>
        <v>#VALUE!</v>
      </c>
      <c r="G49" s="55" t="e" vm="1">
        <v>#REF!</v>
      </c>
      <c r="H49" s="56" t="e" vm="1">
        <v>#REF!</v>
      </c>
      <c r="I49" s="57" t="e" vm="2">
        <f t="shared" si="12"/>
        <v>#VALUE!</v>
      </c>
    </row>
    <row r="50" spans="1:9" x14ac:dyDescent="0.2">
      <c r="A50" s="55">
        <v>45782</v>
      </c>
      <c r="B50" s="56">
        <v>454.25</v>
      </c>
      <c r="C50" s="57">
        <f t="shared" si="13"/>
        <v>4.5425000000000004</v>
      </c>
      <c r="G50" s="59"/>
      <c r="H50" s="59"/>
      <c r="I50" s="57"/>
    </row>
    <row r="51" spans="1:9" x14ac:dyDescent="0.2">
      <c r="A51" s="55">
        <v>45783</v>
      </c>
      <c r="B51" s="56">
        <v>455.5</v>
      </c>
      <c r="C51" s="57">
        <f t="shared" si="13"/>
        <v>4.5549999999999997</v>
      </c>
    </row>
    <row r="52" spans="1:9" x14ac:dyDescent="0.2">
      <c r="A52" s="55">
        <v>45784</v>
      </c>
      <c r="B52" s="56">
        <v>449.25</v>
      </c>
      <c r="C52" s="57">
        <f t="shared" si="13"/>
        <v>4.4924999999999997</v>
      </c>
    </row>
    <row r="53" spans="1:9" x14ac:dyDescent="0.2">
      <c r="A53" s="55">
        <v>45785</v>
      </c>
      <c r="B53" s="56">
        <v>447.5</v>
      </c>
      <c r="C53" s="57">
        <f t="shared" si="13"/>
        <v>4.4749999999999996</v>
      </c>
    </row>
    <row r="54" spans="1:9" x14ac:dyDescent="0.2">
      <c r="A54" s="55">
        <v>45786</v>
      </c>
      <c r="B54" s="56">
        <v>449.75</v>
      </c>
      <c r="C54" s="57">
        <f t="shared" si="13"/>
        <v>4.4974999999999996</v>
      </c>
    </row>
    <row r="55" spans="1:9" x14ac:dyDescent="0.2">
      <c r="A55" s="55">
        <v>45789</v>
      </c>
      <c r="B55" s="56">
        <v>440.25</v>
      </c>
      <c r="C55" s="57">
        <f t="shared" si="13"/>
        <v>4.4024999999999999</v>
      </c>
    </row>
    <row r="56" spans="1:9" x14ac:dyDescent="0.2">
      <c r="A56" s="55">
        <v>45790</v>
      </c>
      <c r="B56" s="56">
        <v>436</v>
      </c>
      <c r="C56" s="57">
        <f t="shared" si="13"/>
        <v>4.3600000000000003</v>
      </c>
    </row>
    <row r="57" spans="1:9" x14ac:dyDescent="0.2">
      <c r="A57" s="55">
        <v>45791</v>
      </c>
      <c r="B57" s="56">
        <v>438.5</v>
      </c>
      <c r="C57" s="57">
        <f t="shared" si="13"/>
        <v>4.3849999999999998</v>
      </c>
    </row>
    <row r="58" spans="1:9" x14ac:dyDescent="0.2">
      <c r="A58" s="55">
        <v>45792</v>
      </c>
      <c r="B58" s="56">
        <v>448.5</v>
      </c>
      <c r="C58" s="57">
        <f t="shared" si="13"/>
        <v>4.4850000000000003</v>
      </c>
    </row>
    <row r="59" spans="1:9" x14ac:dyDescent="0.2">
      <c r="A59" s="55">
        <v>45793</v>
      </c>
      <c r="B59" s="56">
        <v>443.5</v>
      </c>
      <c r="C59" s="57">
        <f t="shared" si="13"/>
        <v>4.4349999999999996</v>
      </c>
    </row>
    <row r="60" spans="1:9" x14ac:dyDescent="0.2">
      <c r="A60" s="55">
        <v>45796</v>
      </c>
      <c r="B60" s="56">
        <v>447.5</v>
      </c>
      <c r="C60" s="57">
        <f t="shared" si="13"/>
        <v>4.4749999999999996</v>
      </c>
    </row>
    <row r="61" spans="1:9" x14ac:dyDescent="0.2">
      <c r="A61" s="55">
        <v>45797</v>
      </c>
      <c r="B61" s="56">
        <v>454.5</v>
      </c>
      <c r="C61" s="57">
        <f t="shared" si="13"/>
        <v>4.5449999999999999</v>
      </c>
    </row>
    <row r="62" spans="1:9" x14ac:dyDescent="0.2">
      <c r="A62" s="55">
        <v>45798</v>
      </c>
      <c r="B62" s="56">
        <v>461</v>
      </c>
      <c r="C62" s="57">
        <f t="shared" si="13"/>
        <v>4.6100000000000003</v>
      </c>
    </row>
    <row r="63" spans="1:9" x14ac:dyDescent="0.2">
      <c r="A63" s="55">
        <v>45799</v>
      </c>
      <c r="B63" s="56">
        <v>463</v>
      </c>
      <c r="C63" s="57">
        <f t="shared" si="13"/>
        <v>4.63</v>
      </c>
    </row>
    <row r="64" spans="1:9" x14ac:dyDescent="0.2">
      <c r="A64" s="55">
        <v>45800</v>
      </c>
      <c r="B64" s="56">
        <v>459.5</v>
      </c>
      <c r="C64" s="57">
        <f t="shared" si="13"/>
        <v>4.5949999999999998</v>
      </c>
    </row>
    <row r="65" spans="1:3" x14ac:dyDescent="0.2">
      <c r="A65" s="55">
        <v>45803</v>
      </c>
      <c r="B65" s="56">
        <v>459</v>
      </c>
      <c r="C65" s="57">
        <f t="shared" si="13"/>
        <v>4.59</v>
      </c>
    </row>
    <row r="66" spans="1:3" x14ac:dyDescent="0.2">
      <c r="A66" s="55">
        <v>45804</v>
      </c>
      <c r="B66" s="56">
        <v>459.5</v>
      </c>
      <c r="C66" s="57">
        <f t="shared" si="13"/>
        <v>4.5949999999999998</v>
      </c>
    </row>
    <row r="67" spans="1:3" x14ac:dyDescent="0.2">
      <c r="A67" s="55">
        <v>45805</v>
      </c>
      <c r="B67" s="56">
        <v>451</v>
      </c>
      <c r="C67" s="57">
        <f t="shared" si="13"/>
        <v>4.51</v>
      </c>
    </row>
    <row r="68" spans="1:3" x14ac:dyDescent="0.2">
      <c r="A68" s="55">
        <v>45806</v>
      </c>
      <c r="B68" s="56">
        <v>447</v>
      </c>
      <c r="C68" s="57">
        <f t="shared" si="13"/>
        <v>4.47</v>
      </c>
    </row>
    <row r="69" spans="1:3" x14ac:dyDescent="0.2">
      <c r="A69" s="55">
        <v>45807</v>
      </c>
      <c r="B69" s="56">
        <v>444</v>
      </c>
      <c r="C69" s="57">
        <f t="shared" si="13"/>
        <v>4.4400000000000004</v>
      </c>
    </row>
    <row r="70" spans="1:3" x14ac:dyDescent="0.2">
      <c r="A70" s="55">
        <v>45810</v>
      </c>
      <c r="B70" s="56">
        <v>438.25</v>
      </c>
      <c r="C70" s="57">
        <f t="shared" si="13"/>
        <v>4.3825000000000003</v>
      </c>
    </row>
    <row r="71" spans="1:3" x14ac:dyDescent="0.2">
      <c r="A71" s="55">
        <v>45811</v>
      </c>
      <c r="B71" s="56">
        <v>438.5</v>
      </c>
      <c r="C71" s="57">
        <f t="shared" si="13"/>
        <v>4.3849999999999998</v>
      </c>
    </row>
    <row r="72" spans="1:3" x14ac:dyDescent="0.2">
      <c r="A72" s="55">
        <v>45812</v>
      </c>
      <c r="B72" s="56">
        <v>438.75</v>
      </c>
      <c r="C72" s="57">
        <f t="shared" si="13"/>
        <v>4.3875000000000002</v>
      </c>
    </row>
    <row r="73" spans="1:3" x14ac:dyDescent="0.2">
      <c r="A73" s="55">
        <v>45813</v>
      </c>
      <c r="B73" s="56">
        <v>439.5</v>
      </c>
      <c r="C73" s="57">
        <f t="shared" si="13"/>
        <v>4.3949999999999996</v>
      </c>
    </row>
    <row r="74" spans="1:3" x14ac:dyDescent="0.2">
      <c r="A74" s="55">
        <v>45814</v>
      </c>
      <c r="B74" s="56">
        <v>442.5</v>
      </c>
      <c r="C74" s="57">
        <f t="shared" si="13"/>
        <v>4.4249999999999998</v>
      </c>
    </row>
    <row r="75" spans="1:3" x14ac:dyDescent="0.2">
      <c r="A75" s="55">
        <v>45817</v>
      </c>
      <c r="B75" s="56">
        <v>433.5</v>
      </c>
      <c r="C75" s="57">
        <f t="shared" si="13"/>
        <v>4.335</v>
      </c>
    </row>
    <row r="76" spans="1:3" x14ac:dyDescent="0.2">
      <c r="A76" s="55">
        <v>45818</v>
      </c>
      <c r="B76" s="56">
        <v>438.75</v>
      </c>
      <c r="C76" s="57">
        <f t="shared" si="13"/>
        <v>4.3875000000000002</v>
      </c>
    </row>
    <row r="77" spans="1:3" x14ac:dyDescent="0.2">
      <c r="A77" s="55">
        <v>45819</v>
      </c>
      <c r="B77" s="56">
        <v>437</v>
      </c>
      <c r="C77" s="57">
        <f t="shared" si="13"/>
        <v>4.37</v>
      </c>
    </row>
    <row r="78" spans="1:3" x14ac:dyDescent="0.2">
      <c r="A78" s="55">
        <v>45820</v>
      </c>
      <c r="B78" s="56">
        <v>438.5</v>
      </c>
      <c r="C78" s="57">
        <f t="shared" si="13"/>
        <v>4.3849999999999998</v>
      </c>
    </row>
    <row r="79" spans="1:3" x14ac:dyDescent="0.2">
      <c r="A79" s="55">
        <v>45821</v>
      </c>
      <c r="B79" s="56">
        <v>444.5</v>
      </c>
      <c r="C79" s="57">
        <f t="shared" si="13"/>
        <v>4.4450000000000003</v>
      </c>
    </row>
    <row r="80" spans="1:3" x14ac:dyDescent="0.2">
      <c r="A80" s="55">
        <v>45824</v>
      </c>
      <c r="B80" s="56">
        <v>434.75</v>
      </c>
      <c r="C80" s="57">
        <f t="shared" si="13"/>
        <v>4.3475000000000001</v>
      </c>
    </row>
    <row r="81" spans="1:3" x14ac:dyDescent="0.2">
      <c r="A81" s="55">
        <v>45825</v>
      </c>
      <c r="B81" s="56">
        <v>431.5</v>
      </c>
      <c r="C81" s="57">
        <f t="shared" si="13"/>
        <v>4.3150000000000004</v>
      </c>
    </row>
    <row r="82" spans="1:3" x14ac:dyDescent="0.2">
      <c r="A82" s="55">
        <v>45826</v>
      </c>
      <c r="B82" s="56">
        <v>433.5</v>
      </c>
      <c r="C82" s="57">
        <f t="shared" si="13"/>
        <v>4.335</v>
      </c>
    </row>
    <row r="83" spans="1:3" x14ac:dyDescent="0.2">
      <c r="A83" s="55">
        <v>45827</v>
      </c>
      <c r="B83" s="56">
        <v>433.25</v>
      </c>
      <c r="C83" s="57">
        <f t="shared" si="13"/>
        <v>4.3324999999999996</v>
      </c>
    </row>
    <row r="84" spans="1:3" x14ac:dyDescent="0.2">
      <c r="A84" s="55">
        <v>45828</v>
      </c>
      <c r="B84" s="56">
        <v>428.75</v>
      </c>
      <c r="C84" s="57">
        <f t="shared" si="13"/>
        <v>4.2874999999999996</v>
      </c>
    </row>
    <row r="85" spans="1:3" x14ac:dyDescent="0.2">
      <c r="A85" s="55">
        <v>45831</v>
      </c>
      <c r="B85" s="56">
        <v>417.5</v>
      </c>
      <c r="C85" s="57">
        <f t="shared" si="13"/>
        <v>4.1749999999999998</v>
      </c>
    </row>
    <row r="86" spans="1:3" x14ac:dyDescent="0.2">
      <c r="A86" s="55">
        <v>45832</v>
      </c>
      <c r="B86" s="56">
        <v>412.25</v>
      </c>
      <c r="C86" s="57">
        <f t="shared" si="13"/>
        <v>4.1224999999999996</v>
      </c>
    </row>
    <row r="87" spans="1:3" x14ac:dyDescent="0.2">
      <c r="A87" s="55">
        <v>45833</v>
      </c>
      <c r="B87" s="56">
        <v>405</v>
      </c>
      <c r="C87" s="57">
        <f t="shared" si="13"/>
        <v>4.05</v>
      </c>
    </row>
    <row r="88" spans="1:3" x14ac:dyDescent="0.2">
      <c r="A88" s="55">
        <v>45834</v>
      </c>
      <c r="B88" s="56">
        <v>404</v>
      </c>
      <c r="C88" s="57">
        <f t="shared" si="13"/>
        <v>4.04</v>
      </c>
    </row>
    <row r="89" spans="1:3" x14ac:dyDescent="0.2">
      <c r="A89" s="55">
        <v>45835</v>
      </c>
      <c r="B89" s="56">
        <v>411.5</v>
      </c>
      <c r="C89" s="57">
        <f t="shared" si="13"/>
        <v>4.1150000000000002</v>
      </c>
    </row>
    <row r="90" spans="1:3" x14ac:dyDescent="0.2">
      <c r="A90" s="55">
        <v>45838</v>
      </c>
      <c r="B90" s="56">
        <v>425.5</v>
      </c>
      <c r="C90" s="57">
        <f t="shared" si="13"/>
        <v>4.2549999999999999</v>
      </c>
    </row>
    <row r="91" spans="1:3" x14ac:dyDescent="0.2">
      <c r="A91" s="55">
        <v>45839</v>
      </c>
      <c r="B91" s="56">
        <v>422</v>
      </c>
      <c r="C91" s="57">
        <f t="shared" si="13"/>
        <v>4.22</v>
      </c>
    </row>
    <row r="92" spans="1:3" x14ac:dyDescent="0.2">
      <c r="A92" s="55">
        <v>45840</v>
      </c>
      <c r="B92" s="56">
        <v>433.5</v>
      </c>
      <c r="C92" s="57">
        <f t="shared" si="13"/>
        <v>4.335</v>
      </c>
    </row>
    <row r="93" spans="1:3" x14ac:dyDescent="0.2">
      <c r="A93" s="55">
        <v>45841</v>
      </c>
      <c r="B93" s="56">
        <v>437</v>
      </c>
      <c r="C93" s="57">
        <f t="shared" si="13"/>
        <v>4.37</v>
      </c>
    </row>
    <row r="94" spans="1:3" x14ac:dyDescent="0.2">
      <c r="A94" s="55">
        <v>45845</v>
      </c>
      <c r="B94" s="56">
        <v>420.75</v>
      </c>
      <c r="C94" s="57">
        <f t="shared" si="13"/>
        <v>4.2074999999999996</v>
      </c>
    </row>
    <row r="95" spans="1:3" x14ac:dyDescent="0.2">
      <c r="A95" s="55">
        <v>45846</v>
      </c>
      <c r="B95" s="56">
        <v>414.25</v>
      </c>
      <c r="C95" s="57">
        <f t="shared" si="13"/>
        <v>4.1425000000000001</v>
      </c>
    </row>
    <row r="96" spans="1:3" x14ac:dyDescent="0.2">
      <c r="A96" s="55">
        <v>45847</v>
      </c>
      <c r="B96" s="56">
        <v>415.5</v>
      </c>
      <c r="C96" s="57">
        <f t="shared" si="13"/>
        <v>4.1550000000000002</v>
      </c>
    </row>
    <row r="97" spans="1:3" x14ac:dyDescent="0.2">
      <c r="A97" s="55">
        <v>45848</v>
      </c>
      <c r="B97" s="56">
        <v>416.5</v>
      </c>
      <c r="C97" s="57">
        <f t="shared" si="13"/>
        <v>4.165</v>
      </c>
    </row>
    <row r="98" spans="1:3" x14ac:dyDescent="0.2">
      <c r="A98" s="55">
        <v>45849</v>
      </c>
      <c r="B98" s="56">
        <v>412.25</v>
      </c>
      <c r="C98" s="57">
        <f t="shared" si="13"/>
        <v>4.1224999999999996</v>
      </c>
    </row>
    <row r="99" spans="1:3" x14ac:dyDescent="0.2">
      <c r="A99" s="55">
        <v>45852</v>
      </c>
      <c r="B99" s="56">
        <v>400</v>
      </c>
      <c r="C99" s="57">
        <f t="shared" si="13"/>
        <v>4</v>
      </c>
    </row>
    <row r="100" spans="1:3" x14ac:dyDescent="0.2">
      <c r="A100" s="55">
        <v>45853</v>
      </c>
      <c r="B100" s="56">
        <v>419.75</v>
      </c>
      <c r="C100" s="57">
        <f t="shared" si="13"/>
        <v>4.1974999999999998</v>
      </c>
    </row>
    <row r="101" spans="1:3" x14ac:dyDescent="0.2">
      <c r="A101" s="55">
        <v>45854</v>
      </c>
      <c r="B101" s="56">
        <v>424</v>
      </c>
      <c r="C101" s="57">
        <f t="shared" si="13"/>
        <v>4.24</v>
      </c>
    </row>
    <row r="102" spans="1:3" x14ac:dyDescent="0.2">
      <c r="A102" s="55">
        <v>45855</v>
      </c>
      <c r="B102" s="56">
        <v>421</v>
      </c>
      <c r="C102" s="57">
        <f t="shared" si="13"/>
        <v>4.21</v>
      </c>
    </row>
    <row r="103" spans="1:3" x14ac:dyDescent="0.2">
      <c r="A103" s="55">
        <v>45856</v>
      </c>
      <c r="B103" s="56">
        <v>427.75</v>
      </c>
      <c r="C103" s="57">
        <f t="shared" si="13"/>
        <v>4.2774999999999999</v>
      </c>
    </row>
    <row r="104" spans="1:3" x14ac:dyDescent="0.2">
      <c r="A104" s="55">
        <v>45859</v>
      </c>
      <c r="B104" s="56">
        <v>422.25</v>
      </c>
      <c r="C104" s="57">
        <f t="shared" si="13"/>
        <v>4.2225000000000001</v>
      </c>
    </row>
    <row r="105" spans="1:3" x14ac:dyDescent="0.2">
      <c r="A105" s="55">
        <v>45860</v>
      </c>
      <c r="B105" s="56">
        <v>418</v>
      </c>
      <c r="C105" s="57">
        <f t="shared" si="13"/>
        <v>4.18</v>
      </c>
    </row>
    <row r="106" spans="1:3" x14ac:dyDescent="0.2">
      <c r="A106" s="55">
        <v>45861</v>
      </c>
      <c r="B106" s="56">
        <v>417.5</v>
      </c>
      <c r="C106" s="57">
        <f t="shared" si="13"/>
        <v>4.1749999999999998</v>
      </c>
    </row>
    <row r="107" spans="1:3" x14ac:dyDescent="0.2">
      <c r="A107" s="55">
        <v>45862</v>
      </c>
      <c r="B107" s="56">
        <v>420.75</v>
      </c>
      <c r="C107" s="57">
        <f t="shared" si="13"/>
        <v>4.2074999999999996</v>
      </c>
    </row>
    <row r="108" spans="1:3" x14ac:dyDescent="0.2">
      <c r="A108" s="55">
        <v>45863</v>
      </c>
      <c r="B108" s="56">
        <v>419</v>
      </c>
      <c r="C108" s="57">
        <f t="shared" si="13"/>
        <v>4.1900000000000004</v>
      </c>
    </row>
    <row r="109" spans="1:3" x14ac:dyDescent="0.2">
      <c r="A109" s="55">
        <v>45866</v>
      </c>
      <c r="B109" s="56">
        <v>414</v>
      </c>
      <c r="C109" s="57">
        <f t="shared" si="13"/>
        <v>4.1399999999999997</v>
      </c>
    </row>
    <row r="110" spans="1:3" x14ac:dyDescent="0.2">
      <c r="A110" s="55">
        <v>45867</v>
      </c>
      <c r="B110" s="56">
        <v>411</v>
      </c>
      <c r="C110" s="57">
        <f t="shared" si="13"/>
        <v>4.1100000000000003</v>
      </c>
    </row>
    <row r="111" spans="1:3" x14ac:dyDescent="0.2">
      <c r="A111" s="55">
        <v>45868</v>
      </c>
      <c r="B111" s="56">
        <v>412.25</v>
      </c>
      <c r="C111" s="57">
        <f t="shared" si="13"/>
        <v>4.1224999999999996</v>
      </c>
    </row>
    <row r="112" spans="1:3" x14ac:dyDescent="0.2">
      <c r="A112" s="55">
        <v>45869</v>
      </c>
      <c r="B112" s="56">
        <v>413.75</v>
      </c>
      <c r="C112" s="57">
        <f t="shared" si="13"/>
        <v>4.1375000000000002</v>
      </c>
    </row>
    <row r="113" spans="1:3" x14ac:dyDescent="0.2">
      <c r="A113" s="55">
        <v>45870</v>
      </c>
      <c r="B113" s="56">
        <v>410.75</v>
      </c>
      <c r="C113" s="57">
        <f t="shared" ref="C113:C117" si="14">B113/100</f>
        <v>4.1074999999999999</v>
      </c>
    </row>
    <row r="114" spans="1:3" x14ac:dyDescent="0.2">
      <c r="A114" s="55">
        <v>45873</v>
      </c>
      <c r="B114" s="56">
        <v>407</v>
      </c>
      <c r="C114" s="57">
        <f t="shared" si="14"/>
        <v>4.07</v>
      </c>
    </row>
    <row r="115" spans="1:3" x14ac:dyDescent="0.2">
      <c r="A115" s="55">
        <v>45874</v>
      </c>
      <c r="B115" s="56">
        <v>402</v>
      </c>
      <c r="C115" s="57">
        <f t="shared" si="14"/>
        <v>4.0199999999999996</v>
      </c>
    </row>
    <row r="116" spans="1:3" x14ac:dyDescent="0.2">
      <c r="A116" s="55">
        <v>45875</v>
      </c>
      <c r="B116" s="56">
        <v>401.5</v>
      </c>
      <c r="C116" s="57">
        <f t="shared" si="14"/>
        <v>4.0149999999999997</v>
      </c>
    </row>
    <row r="117" spans="1:3" x14ac:dyDescent="0.2">
      <c r="A117" s="55">
        <v>45876</v>
      </c>
      <c r="B117" s="56">
        <v>405.88</v>
      </c>
      <c r="C117" s="57">
        <f t="shared" si="14"/>
        <v>4.0587999999999997</v>
      </c>
    </row>
    <row r="164" spans="1:10" x14ac:dyDescent="0.2">
      <c r="A164" s="59" t="s">
        <v>24</v>
      </c>
      <c r="B164" s="59">
        <v>402</v>
      </c>
      <c r="C164" s="60">
        <f>IF(ISNUMBER(C49),(($B$22-COUNT(C25:C48))*C49+SUM(C25:C48))/$B$22,2.25)</f>
        <v>2.25</v>
      </c>
      <c r="G164" s="59" t="s">
        <v>24</v>
      </c>
      <c r="H164" s="59"/>
      <c r="I164" s="60">
        <f>IF(ISNUMBER(I49),(($B$22-COUNT(I25:I48))*I49+SUM(I25:I48))/$B$22,2.25)</f>
        <v>2.25</v>
      </c>
    </row>
    <row r="165" spans="1:10" x14ac:dyDescent="0.2">
      <c r="B165" s="38">
        <v>401.5</v>
      </c>
      <c r="C165" s="43" t="e" vm="2">
        <f>AVERAGE(C25:C49)</f>
        <v>#VALUE!</v>
      </c>
      <c r="I165" s="43" t="e" vm="2">
        <f>AVERAGE(I25:I49)</f>
        <v>#VALUE!</v>
      </c>
    </row>
    <row r="166" spans="1:10" x14ac:dyDescent="0.2">
      <c r="B166" s="38">
        <v>405.38</v>
      </c>
      <c r="C166" s="38">
        <f>COUNTIF(C25:C49,"&gt;0")</f>
        <v>0</v>
      </c>
      <c r="D166" s="61" t="s">
        <v>25</v>
      </c>
      <c r="I166" s="38">
        <v>5</v>
      </c>
      <c r="J166" s="61" t="s">
        <v>25</v>
      </c>
    </row>
    <row r="167" spans="1:10" x14ac:dyDescent="0.2">
      <c r="C167" s="62">
        <v>4.59</v>
      </c>
      <c r="D167" s="61" t="s">
        <v>26</v>
      </c>
      <c r="E167" s="43"/>
      <c r="I167" s="62">
        <v>215</v>
      </c>
      <c r="J167" s="61" t="s">
        <v>26</v>
      </c>
    </row>
    <row r="168" spans="1:10" x14ac:dyDescent="0.2">
      <c r="C168" s="43" t="e" vm="2">
        <f>AVERAGE(C25:C49)</f>
        <v>#VALUE!</v>
      </c>
      <c r="D168" s="38" t="s">
        <v>27</v>
      </c>
      <c r="I168" s="43" t="e" vm="2">
        <f>AVERAGE(I25:I49)</f>
        <v>#VALUE!</v>
      </c>
      <c r="J168" s="38" t="s">
        <v>27</v>
      </c>
    </row>
    <row r="169" spans="1:10" x14ac:dyDescent="0.2">
      <c r="C169" s="43" t="e" vm="2">
        <f>C166*C168</f>
        <v>#VALUE!</v>
      </c>
      <c r="D169" s="38" t="s">
        <v>28</v>
      </c>
      <c r="I169" s="43" t="e" vm="2">
        <f>I166*I168</f>
        <v>#VALUE!</v>
      </c>
      <c r="J169" s="38" t="s">
        <v>28</v>
      </c>
    </row>
    <row r="170" spans="1:10" x14ac:dyDescent="0.2">
      <c r="C170" s="43">
        <f>C167*(B22-C166)</f>
        <v>22.95</v>
      </c>
      <c r="D170" s="38" t="s">
        <v>29</v>
      </c>
      <c r="I170" s="43">
        <f>I167*(B22-I166)</f>
        <v>0</v>
      </c>
      <c r="J170" s="38" t="s">
        <v>29</v>
      </c>
    </row>
    <row r="171" spans="1:10" x14ac:dyDescent="0.2">
      <c r="C171" s="43" t="e" vm="2">
        <f>(C169+C170)/B22</f>
        <v>#VALUE!</v>
      </c>
      <c r="D171" s="38" t="s">
        <v>30</v>
      </c>
      <c r="I171" s="43" t="e" vm="2">
        <f>(I169+I170)/B22</f>
        <v>#VALUE!</v>
      </c>
      <c r="J171" s="38" t="s">
        <v>30</v>
      </c>
    </row>
  </sheetData>
  <hyperlinks>
    <hyperlink ref="AG9" r:id="rId1" xr:uid="{22FF5C0B-54EA-4C2B-B908-4D778180FB3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FD05-85AF-4E3D-90CA-8666114AF323}">
  <dimension ref="A1:AI737"/>
  <sheetViews>
    <sheetView zoomScaleNormal="100" workbookViewId="0">
      <pane xSplit="1" ySplit="2" topLeftCell="B658" activePane="bottomRight" state="frozen"/>
      <selection activeCell="U16" sqref="U16"/>
      <selection pane="topRight" activeCell="U16" sqref="U16"/>
      <selection pane="bottomLeft" activeCell="U16" sqref="U16"/>
      <selection pane="bottomRight" activeCell="D667" sqref="D667"/>
    </sheetView>
  </sheetViews>
  <sheetFormatPr defaultColWidth="9.33203125" defaultRowHeight="13.5" x14ac:dyDescent="0.25"/>
  <cols>
    <col min="1" max="8" width="9.33203125" style="1" bestFit="1" customWidth="1"/>
    <col min="9" max="9" width="9.33203125" style="14" bestFit="1" customWidth="1"/>
    <col min="10" max="10" width="10.1640625" style="1" customWidth="1"/>
    <col min="11" max="11" width="9.33203125" style="1" bestFit="1" customWidth="1"/>
    <col min="12" max="18" width="9.33203125" style="1" customWidth="1"/>
    <col min="19" max="23" width="9.33203125" style="1"/>
    <col min="24" max="24" width="12.33203125" style="1" bestFit="1" customWidth="1"/>
    <col min="25" max="27" width="9.33203125" style="1" bestFit="1" customWidth="1"/>
    <col min="28" max="28" width="9.33203125" style="1"/>
    <col min="29" max="29" width="11.83203125" style="1" bestFit="1" customWidth="1"/>
    <col min="30" max="35" width="9.33203125" style="1" bestFit="1" customWidth="1"/>
    <col min="36" max="16384" width="9.33203125" style="1"/>
  </cols>
  <sheetData>
    <row r="1" spans="1:23" ht="51" customHeight="1" x14ac:dyDescent="0.25">
      <c r="A1" s="7"/>
      <c r="B1" s="8" t="s">
        <v>31</v>
      </c>
      <c r="C1" s="9"/>
      <c r="D1" s="9"/>
      <c r="E1" s="10"/>
      <c r="G1" s="67" t="s">
        <v>32</v>
      </c>
      <c r="H1" s="67" t="s">
        <v>33</v>
      </c>
      <c r="I1" s="68" t="s">
        <v>34</v>
      </c>
      <c r="J1" s="69" t="s">
        <v>35</v>
      </c>
      <c r="K1" s="67" t="s">
        <v>36</v>
      </c>
      <c r="L1" s="11"/>
      <c r="M1" s="7"/>
      <c r="N1" s="8" t="s">
        <v>37</v>
      </c>
      <c r="O1" s="9"/>
      <c r="P1" s="9"/>
      <c r="Q1" s="10"/>
      <c r="T1" s="66" t="s">
        <v>38</v>
      </c>
    </row>
    <row r="2" spans="1:23" x14ac:dyDescent="0.25">
      <c r="A2" s="7" t="s">
        <v>20</v>
      </c>
      <c r="B2" s="12" t="s">
        <v>4</v>
      </c>
      <c r="C2" s="12" t="s">
        <v>3</v>
      </c>
      <c r="D2" s="12" t="s">
        <v>24</v>
      </c>
      <c r="E2" s="12" t="s">
        <v>39</v>
      </c>
      <c r="F2" s="12" t="s">
        <v>40</v>
      </c>
      <c r="G2" s="67"/>
      <c r="H2" s="67"/>
      <c r="I2" s="68"/>
      <c r="J2" s="69"/>
      <c r="K2" s="67"/>
      <c r="L2" s="11"/>
      <c r="M2" s="7" t="s">
        <v>20</v>
      </c>
      <c r="N2" s="12" t="s">
        <v>4</v>
      </c>
      <c r="O2" s="12" t="s">
        <v>3</v>
      </c>
      <c r="P2" s="12" t="s">
        <v>24</v>
      </c>
      <c r="Q2" s="12" t="s">
        <v>39</v>
      </c>
      <c r="R2" s="12" t="s">
        <v>40</v>
      </c>
      <c r="S2" s="1" t="s">
        <v>41</v>
      </c>
      <c r="T2" s="66"/>
      <c r="U2" s="1" t="s">
        <v>20</v>
      </c>
      <c r="V2" s="1" t="s">
        <v>42</v>
      </c>
      <c r="W2" s="1" t="s">
        <v>43</v>
      </c>
    </row>
    <row r="3" spans="1:23" x14ac:dyDescent="0.25">
      <c r="A3" s="13">
        <v>25812</v>
      </c>
      <c r="B3" s="5">
        <v>1.597</v>
      </c>
      <c r="C3" s="5">
        <v>1.48</v>
      </c>
      <c r="D3" s="5">
        <v>1.5245714285714287</v>
      </c>
      <c r="E3" s="5">
        <f>B3-D3</f>
        <v>7.2428571428571287E-2</v>
      </c>
      <c r="F3" s="5">
        <f>C3-D3</f>
        <v>-4.4571428571428706E-2</v>
      </c>
      <c r="G3" s="33"/>
      <c r="M3" s="13">
        <f t="shared" ref="M3:M66" si="0">A3</f>
        <v>25812</v>
      </c>
      <c r="U3" s="1">
        <f t="shared" ref="U3:U66" si="1">MONTH(M3)</f>
        <v>9</v>
      </c>
      <c r="V3" s="1">
        <f t="shared" ref="V3:V66" si="2">YEAR(M3)</f>
        <v>1970</v>
      </c>
    </row>
    <row r="4" spans="1:23" x14ac:dyDescent="0.25">
      <c r="A4" s="13">
        <v>25842</v>
      </c>
      <c r="B4" s="5">
        <v>1.5549999999999999</v>
      </c>
      <c r="C4" s="5">
        <v>1.4350000000000001</v>
      </c>
      <c r="D4" s="5">
        <v>1.4909545454545454</v>
      </c>
      <c r="E4" s="5">
        <f t="shared" ref="E4:E67" si="3">B4-D4</f>
        <v>6.4045454545454517E-2</v>
      </c>
      <c r="F4" s="5">
        <f t="shared" ref="F4:F67" si="4">C4-D4</f>
        <v>-5.5954545454545368E-2</v>
      </c>
      <c r="G4" s="33"/>
      <c r="M4" s="13">
        <f t="shared" si="0"/>
        <v>25842</v>
      </c>
      <c r="U4" s="1">
        <f t="shared" si="1"/>
        <v>10</v>
      </c>
      <c r="V4" s="1">
        <f t="shared" si="2"/>
        <v>1970</v>
      </c>
    </row>
    <row r="5" spans="1:23" x14ac:dyDescent="0.25">
      <c r="A5" s="13">
        <v>25873</v>
      </c>
      <c r="B5" s="5">
        <v>1.5269999999999999</v>
      </c>
      <c r="C5" s="5">
        <v>1.427</v>
      </c>
      <c r="D5" s="5">
        <v>1.4684210526315788</v>
      </c>
      <c r="E5" s="5">
        <f t="shared" si="3"/>
        <v>5.8578947368421064E-2</v>
      </c>
      <c r="F5" s="5">
        <f t="shared" si="4"/>
        <v>-4.1421052631578803E-2</v>
      </c>
      <c r="G5" s="33"/>
      <c r="M5" s="13">
        <f t="shared" si="0"/>
        <v>25873</v>
      </c>
      <c r="U5" s="1">
        <f t="shared" si="1"/>
        <v>11</v>
      </c>
      <c r="V5" s="1">
        <f t="shared" si="2"/>
        <v>1970</v>
      </c>
    </row>
    <row r="6" spans="1:23" x14ac:dyDescent="0.25">
      <c r="A6" s="13">
        <v>25903</v>
      </c>
      <c r="B6" s="5">
        <v>1.57</v>
      </c>
      <c r="C6" s="5">
        <v>1.5169999999999999</v>
      </c>
      <c r="D6" s="5">
        <v>1.5455000000000001</v>
      </c>
      <c r="E6" s="5">
        <f t="shared" si="3"/>
        <v>2.4499999999999966E-2</v>
      </c>
      <c r="F6" s="5">
        <f t="shared" si="4"/>
        <v>-2.8500000000000192E-2</v>
      </c>
      <c r="G6" s="33"/>
      <c r="M6" s="13">
        <f t="shared" si="0"/>
        <v>25903</v>
      </c>
      <c r="U6" s="1">
        <f t="shared" si="1"/>
        <v>12</v>
      </c>
      <c r="V6" s="1">
        <f t="shared" si="2"/>
        <v>1970</v>
      </c>
    </row>
    <row r="7" spans="1:23" x14ac:dyDescent="0.25">
      <c r="A7" s="13">
        <v>25934</v>
      </c>
      <c r="B7" s="5">
        <v>1.577</v>
      </c>
      <c r="C7" s="5">
        <v>1.5249999999999999</v>
      </c>
      <c r="D7" s="5">
        <v>1.5623499999999999</v>
      </c>
      <c r="E7" s="5">
        <f t="shared" si="3"/>
        <v>1.4650000000000052E-2</v>
      </c>
      <c r="F7" s="5">
        <f t="shared" si="4"/>
        <v>-3.7349999999999994E-2</v>
      </c>
      <c r="G7" s="33"/>
      <c r="M7" s="13">
        <f t="shared" si="0"/>
        <v>25934</v>
      </c>
      <c r="U7" s="1">
        <f t="shared" si="1"/>
        <v>1</v>
      </c>
      <c r="V7" s="1">
        <f t="shared" si="2"/>
        <v>1971</v>
      </c>
    </row>
    <row r="8" spans="1:23" x14ac:dyDescent="0.25">
      <c r="A8" s="13">
        <v>25965</v>
      </c>
      <c r="B8" s="5">
        <v>1.5469999999999999</v>
      </c>
      <c r="C8" s="5">
        <v>1.49</v>
      </c>
      <c r="D8" s="5">
        <v>1.5208947368421053</v>
      </c>
      <c r="E8" s="5">
        <f t="shared" si="3"/>
        <v>2.6105263157894631E-2</v>
      </c>
      <c r="F8" s="5">
        <f t="shared" si="4"/>
        <v>-3.0894736842105308E-2</v>
      </c>
      <c r="G8" s="33"/>
      <c r="M8" s="13">
        <f t="shared" si="0"/>
        <v>25965</v>
      </c>
      <c r="U8" s="1">
        <f t="shared" si="1"/>
        <v>2</v>
      </c>
      <c r="V8" s="1">
        <f t="shared" si="2"/>
        <v>1971</v>
      </c>
    </row>
    <row r="9" spans="1:23" x14ac:dyDescent="0.25">
      <c r="A9" s="13">
        <v>25993</v>
      </c>
      <c r="B9" s="5">
        <v>1.552</v>
      </c>
      <c r="C9" s="5">
        <v>1.4550000000000001</v>
      </c>
      <c r="D9" s="5">
        <v>1.5127391304347826</v>
      </c>
      <c r="E9" s="5">
        <f t="shared" si="3"/>
        <v>3.926086956521746E-2</v>
      </c>
      <c r="F9" s="5">
        <f t="shared" si="4"/>
        <v>-5.7739130434782515E-2</v>
      </c>
      <c r="G9" s="33"/>
      <c r="M9" s="13">
        <f t="shared" si="0"/>
        <v>25993</v>
      </c>
      <c r="U9" s="1">
        <f t="shared" si="1"/>
        <v>3</v>
      </c>
      <c r="V9" s="1">
        <f t="shared" si="2"/>
        <v>1971</v>
      </c>
    </row>
    <row r="10" spans="1:23" x14ac:dyDescent="0.25">
      <c r="A10" s="13">
        <v>26024</v>
      </c>
      <c r="B10" s="5">
        <v>1.5</v>
      </c>
      <c r="C10" s="5">
        <v>1.4019999999999999</v>
      </c>
      <c r="D10" s="5">
        <v>1.4585238095238096</v>
      </c>
      <c r="E10" s="5">
        <f t="shared" si="3"/>
        <v>4.1476190476190444E-2</v>
      </c>
      <c r="F10" s="5">
        <f t="shared" si="4"/>
        <v>-5.6523809523809643E-2</v>
      </c>
      <c r="G10" s="33"/>
      <c r="M10" s="13">
        <f t="shared" si="0"/>
        <v>26024</v>
      </c>
      <c r="U10" s="1">
        <f t="shared" si="1"/>
        <v>4</v>
      </c>
      <c r="V10" s="1">
        <f t="shared" si="2"/>
        <v>1971</v>
      </c>
    </row>
    <row r="11" spans="1:23" x14ac:dyDescent="0.25">
      <c r="A11" s="13">
        <v>26054</v>
      </c>
      <c r="B11" s="5">
        <v>1.502</v>
      </c>
      <c r="C11" s="5">
        <v>1.4219999999999999</v>
      </c>
      <c r="D11" s="5">
        <v>1.45245</v>
      </c>
      <c r="E11" s="5">
        <f t="shared" si="3"/>
        <v>4.9549999999999983E-2</v>
      </c>
      <c r="F11" s="5">
        <f t="shared" si="4"/>
        <v>-3.0450000000000088E-2</v>
      </c>
      <c r="G11" s="33"/>
      <c r="M11" s="13">
        <f t="shared" si="0"/>
        <v>26054</v>
      </c>
      <c r="U11" s="1">
        <f t="shared" si="1"/>
        <v>5</v>
      </c>
      <c r="V11" s="1">
        <f t="shared" si="2"/>
        <v>1971</v>
      </c>
    </row>
    <row r="12" spans="1:23" x14ac:dyDescent="0.25">
      <c r="A12" s="13">
        <v>26085</v>
      </c>
      <c r="B12" s="5">
        <v>1.607</v>
      </c>
      <c r="C12" s="5">
        <v>1.482</v>
      </c>
      <c r="D12" s="5">
        <v>1.5495000000000001</v>
      </c>
      <c r="E12" s="5">
        <f t="shared" si="3"/>
        <v>5.7499999999999885E-2</v>
      </c>
      <c r="F12" s="5">
        <f t="shared" si="4"/>
        <v>-6.7500000000000115E-2</v>
      </c>
      <c r="G12" s="33"/>
      <c r="M12" s="13">
        <f t="shared" si="0"/>
        <v>26085</v>
      </c>
      <c r="U12" s="1">
        <f t="shared" si="1"/>
        <v>6</v>
      </c>
      <c r="V12" s="1">
        <f t="shared" si="2"/>
        <v>1971</v>
      </c>
    </row>
    <row r="13" spans="1:23" x14ac:dyDescent="0.25">
      <c r="A13" s="13">
        <v>26115</v>
      </c>
      <c r="B13" s="5">
        <v>1.53</v>
      </c>
      <c r="C13" s="5">
        <v>1.3169999999999999</v>
      </c>
      <c r="D13" s="5">
        <v>1.4282857142857144</v>
      </c>
      <c r="E13" s="5">
        <f t="shared" si="3"/>
        <v>0.10171428571428565</v>
      </c>
      <c r="F13" s="5">
        <f t="shared" si="4"/>
        <v>-0.11128571428571443</v>
      </c>
      <c r="G13" s="33"/>
      <c r="M13" s="13">
        <f t="shared" si="0"/>
        <v>26115</v>
      </c>
      <c r="U13" s="1">
        <f t="shared" si="1"/>
        <v>7</v>
      </c>
      <c r="V13" s="1">
        <f t="shared" si="2"/>
        <v>1971</v>
      </c>
    </row>
    <row r="14" spans="1:23" x14ac:dyDescent="0.25">
      <c r="A14" s="13">
        <v>26146</v>
      </c>
      <c r="B14" s="5">
        <v>1.33</v>
      </c>
      <c r="C14" s="5">
        <v>1.1719999999999999</v>
      </c>
      <c r="D14" s="5">
        <v>1.2385454545454546</v>
      </c>
      <c r="E14" s="5">
        <f t="shared" si="3"/>
        <v>9.1454545454545455E-2</v>
      </c>
      <c r="F14" s="5">
        <f t="shared" si="4"/>
        <v>-6.6545454545454685E-2</v>
      </c>
      <c r="G14" s="33"/>
      <c r="M14" s="13">
        <f t="shared" si="0"/>
        <v>26146</v>
      </c>
      <c r="U14" s="1">
        <f t="shared" si="1"/>
        <v>8</v>
      </c>
      <c r="V14" s="1">
        <f t="shared" si="2"/>
        <v>1971</v>
      </c>
    </row>
    <row r="15" spans="1:23" x14ac:dyDescent="0.25">
      <c r="A15" s="13">
        <v>26177</v>
      </c>
      <c r="B15" s="5">
        <v>1.222</v>
      </c>
      <c r="C15" s="5">
        <v>1.125</v>
      </c>
      <c r="D15" s="5">
        <v>1.1592857142857143</v>
      </c>
      <c r="E15" s="5">
        <f t="shared" si="3"/>
        <v>6.2714285714285722E-2</v>
      </c>
      <c r="F15" s="5">
        <f t="shared" si="4"/>
        <v>-3.4285714285714253E-2</v>
      </c>
      <c r="G15" s="33"/>
      <c r="M15" s="13">
        <f t="shared" si="0"/>
        <v>26177</v>
      </c>
      <c r="U15" s="1">
        <f t="shared" si="1"/>
        <v>9</v>
      </c>
      <c r="V15" s="1">
        <f t="shared" si="2"/>
        <v>1971</v>
      </c>
    </row>
    <row r="16" spans="1:23" x14ac:dyDescent="0.25">
      <c r="A16" s="13">
        <v>26207</v>
      </c>
      <c r="B16" s="5">
        <v>1.2</v>
      </c>
      <c r="C16" s="5">
        <v>1.125</v>
      </c>
      <c r="D16" s="5">
        <v>1.1554761904761905</v>
      </c>
      <c r="E16" s="5">
        <f t="shared" si="3"/>
        <v>4.452380952380941E-2</v>
      </c>
      <c r="F16" s="5">
        <f t="shared" si="4"/>
        <v>-3.0476190476190546E-2</v>
      </c>
      <c r="G16" s="33"/>
      <c r="M16" s="13">
        <f t="shared" si="0"/>
        <v>26207</v>
      </c>
      <c r="U16" s="1">
        <f t="shared" si="1"/>
        <v>10</v>
      </c>
      <c r="V16" s="1">
        <f t="shared" si="2"/>
        <v>1971</v>
      </c>
    </row>
    <row r="17" spans="1:22" x14ac:dyDescent="0.25">
      <c r="A17" s="13">
        <v>26238</v>
      </c>
      <c r="B17" s="5">
        <v>1.177</v>
      </c>
      <c r="C17" s="5">
        <v>1.1419999999999999</v>
      </c>
      <c r="D17" s="5">
        <v>1.1514761904761905</v>
      </c>
      <c r="E17" s="5">
        <f t="shared" si="3"/>
        <v>2.5523809523809504E-2</v>
      </c>
      <c r="F17" s="5">
        <f t="shared" si="4"/>
        <v>-9.4761904761906379E-3</v>
      </c>
      <c r="G17" s="33"/>
      <c r="M17" s="13">
        <f t="shared" si="0"/>
        <v>26238</v>
      </c>
      <c r="U17" s="1">
        <f t="shared" si="1"/>
        <v>11</v>
      </c>
      <c r="V17" s="1">
        <f t="shared" si="2"/>
        <v>1971</v>
      </c>
    </row>
    <row r="18" spans="1:22" x14ac:dyDescent="0.25">
      <c r="A18" s="13">
        <v>26268</v>
      </c>
      <c r="B18" s="5">
        <v>1.252</v>
      </c>
      <c r="C18" s="5">
        <v>1.1970000000000001</v>
      </c>
      <c r="D18" s="5">
        <v>1.2293809523809525</v>
      </c>
      <c r="E18" s="5">
        <f t="shared" si="3"/>
        <v>2.2619047619047539E-2</v>
      </c>
      <c r="F18" s="5">
        <f t="shared" si="4"/>
        <v>-3.2380952380952399E-2</v>
      </c>
      <c r="G18" s="33"/>
      <c r="M18" s="13">
        <f t="shared" si="0"/>
        <v>26268</v>
      </c>
      <c r="U18" s="1">
        <f t="shared" si="1"/>
        <v>12</v>
      </c>
      <c r="V18" s="1">
        <f t="shared" si="2"/>
        <v>1971</v>
      </c>
    </row>
    <row r="19" spans="1:22" x14ac:dyDescent="0.25">
      <c r="A19" s="13">
        <v>26299</v>
      </c>
      <c r="B19" s="5">
        <v>1.232</v>
      </c>
      <c r="C19" s="5">
        <v>1.2</v>
      </c>
      <c r="D19" s="5">
        <v>1.2148095238095238</v>
      </c>
      <c r="E19" s="5">
        <f t="shared" si="3"/>
        <v>1.71904761904762E-2</v>
      </c>
      <c r="F19" s="5">
        <f t="shared" si="4"/>
        <v>-1.4809523809523828E-2</v>
      </c>
      <c r="G19" s="33"/>
      <c r="M19" s="13">
        <f t="shared" si="0"/>
        <v>26299</v>
      </c>
      <c r="U19" s="1">
        <f t="shared" si="1"/>
        <v>1</v>
      </c>
      <c r="V19" s="1">
        <f t="shared" si="2"/>
        <v>1972</v>
      </c>
    </row>
    <row r="20" spans="1:22" x14ac:dyDescent="0.25">
      <c r="A20" s="13">
        <v>26330</v>
      </c>
      <c r="B20" s="5">
        <v>1.22</v>
      </c>
      <c r="C20" s="5">
        <v>1.1719999999999999</v>
      </c>
      <c r="D20" s="5">
        <v>1.1959500000000001</v>
      </c>
      <c r="E20" s="5">
        <f t="shared" si="3"/>
        <v>2.4049999999999905E-2</v>
      </c>
      <c r="F20" s="5">
        <f t="shared" si="4"/>
        <v>-2.3950000000000138E-2</v>
      </c>
      <c r="G20" s="33"/>
      <c r="M20" s="13">
        <f t="shared" si="0"/>
        <v>26330</v>
      </c>
      <c r="U20" s="1">
        <f t="shared" si="1"/>
        <v>2</v>
      </c>
      <c r="V20" s="1">
        <f t="shared" si="2"/>
        <v>1972</v>
      </c>
    </row>
    <row r="21" spans="1:22" x14ac:dyDescent="0.25">
      <c r="A21" s="13">
        <v>26359</v>
      </c>
      <c r="B21" s="5">
        <v>1.252</v>
      </c>
      <c r="C21" s="5">
        <v>1.21</v>
      </c>
      <c r="D21" s="5">
        <v>1.2387727272727274</v>
      </c>
      <c r="E21" s="5">
        <f t="shared" si="3"/>
        <v>1.3227272727272643E-2</v>
      </c>
      <c r="F21" s="5">
        <f t="shared" si="4"/>
        <v>-2.8772727272727394E-2</v>
      </c>
      <c r="G21" s="33"/>
      <c r="M21" s="13">
        <f t="shared" si="0"/>
        <v>26359</v>
      </c>
      <c r="U21" s="1">
        <f t="shared" si="1"/>
        <v>3</v>
      </c>
      <c r="V21" s="1">
        <f t="shared" si="2"/>
        <v>1972</v>
      </c>
    </row>
    <row r="22" spans="1:22" x14ac:dyDescent="0.25">
      <c r="A22" s="13">
        <v>26390</v>
      </c>
      <c r="B22" s="5">
        <v>1.26</v>
      </c>
      <c r="C22" s="5">
        <v>1.222</v>
      </c>
      <c r="D22" s="5">
        <v>1.2437499999999999</v>
      </c>
      <c r="E22" s="5">
        <f t="shared" si="3"/>
        <v>1.6250000000000098E-2</v>
      </c>
      <c r="F22" s="5">
        <f t="shared" si="4"/>
        <v>-2.1749999999999936E-2</v>
      </c>
      <c r="G22" s="33"/>
      <c r="M22" s="13">
        <f t="shared" si="0"/>
        <v>26390</v>
      </c>
      <c r="U22" s="1">
        <f t="shared" si="1"/>
        <v>4</v>
      </c>
      <c r="V22" s="1">
        <f t="shared" si="2"/>
        <v>1972</v>
      </c>
    </row>
    <row r="23" spans="1:22" x14ac:dyDescent="0.25">
      <c r="A23" s="13">
        <v>26420</v>
      </c>
      <c r="B23" s="5">
        <v>1.28</v>
      </c>
      <c r="C23" s="5">
        <v>1.2549999999999999</v>
      </c>
      <c r="D23" s="5">
        <v>1.2676818181818184</v>
      </c>
      <c r="E23" s="5">
        <f t="shared" si="3"/>
        <v>1.2318181818181673E-2</v>
      </c>
      <c r="F23" s="5">
        <f t="shared" si="4"/>
        <v>-1.2681818181818461E-2</v>
      </c>
      <c r="G23" s="33"/>
      <c r="M23" s="13">
        <f t="shared" si="0"/>
        <v>26420</v>
      </c>
      <c r="U23" s="1">
        <f t="shared" si="1"/>
        <v>5</v>
      </c>
      <c r="V23" s="1">
        <f t="shared" si="2"/>
        <v>1972</v>
      </c>
    </row>
    <row r="24" spans="1:22" x14ac:dyDescent="0.25">
      <c r="A24" s="13">
        <v>26451</v>
      </c>
      <c r="B24" s="5">
        <v>1.2569999999999999</v>
      </c>
      <c r="C24" s="5">
        <v>1.18</v>
      </c>
      <c r="D24" s="5">
        <v>1.2191818181818184</v>
      </c>
      <c r="E24" s="5">
        <f t="shared" si="3"/>
        <v>3.7818181818181529E-2</v>
      </c>
      <c r="F24" s="5">
        <f t="shared" si="4"/>
        <v>-3.9181818181818429E-2</v>
      </c>
      <c r="G24" s="33"/>
      <c r="M24" s="13">
        <f t="shared" si="0"/>
        <v>26451</v>
      </c>
      <c r="U24" s="1">
        <f t="shared" si="1"/>
        <v>6</v>
      </c>
      <c r="V24" s="1">
        <f t="shared" si="2"/>
        <v>1972</v>
      </c>
    </row>
    <row r="25" spans="1:22" x14ac:dyDescent="0.25">
      <c r="A25" s="13">
        <v>26481</v>
      </c>
      <c r="B25" s="5">
        <v>1.282</v>
      </c>
      <c r="C25" s="5">
        <v>1.242</v>
      </c>
      <c r="D25" s="5">
        <v>1.2620499999999999</v>
      </c>
      <c r="E25" s="5">
        <f t="shared" si="3"/>
        <v>1.9950000000000134E-2</v>
      </c>
      <c r="F25" s="5">
        <f t="shared" si="4"/>
        <v>-2.0049999999999901E-2</v>
      </c>
      <c r="G25" s="33"/>
      <c r="M25" s="13">
        <f t="shared" si="0"/>
        <v>26481</v>
      </c>
      <c r="U25" s="1">
        <f t="shared" si="1"/>
        <v>7</v>
      </c>
      <c r="V25" s="1">
        <f t="shared" si="2"/>
        <v>1972</v>
      </c>
    </row>
    <row r="26" spans="1:22" x14ac:dyDescent="0.25">
      <c r="A26" s="13">
        <v>26512</v>
      </c>
      <c r="B26" s="5">
        <v>1.3220000000000001</v>
      </c>
      <c r="C26" s="5">
        <v>1.262</v>
      </c>
      <c r="D26" s="5">
        <v>1.2808695652173911</v>
      </c>
      <c r="E26" s="5">
        <f t="shared" si="3"/>
        <v>4.1130434782608916E-2</v>
      </c>
      <c r="F26" s="5">
        <f t="shared" si="4"/>
        <v>-1.8869565217391138E-2</v>
      </c>
      <c r="G26" s="33"/>
      <c r="M26" s="13">
        <f t="shared" si="0"/>
        <v>26512</v>
      </c>
      <c r="U26" s="1">
        <f t="shared" si="1"/>
        <v>8</v>
      </c>
      <c r="V26" s="1">
        <f t="shared" si="2"/>
        <v>1972</v>
      </c>
    </row>
    <row r="27" spans="1:22" x14ac:dyDescent="0.25">
      <c r="A27" s="13">
        <v>26543</v>
      </c>
      <c r="B27" s="5">
        <v>1.4770000000000001</v>
      </c>
      <c r="C27" s="5">
        <v>1.347</v>
      </c>
      <c r="D27" s="5">
        <v>1.4011</v>
      </c>
      <c r="E27" s="5">
        <f t="shared" si="3"/>
        <v>7.5900000000000079E-2</v>
      </c>
      <c r="F27" s="5">
        <f t="shared" si="4"/>
        <v>-5.4100000000000037E-2</v>
      </c>
      <c r="G27" s="33"/>
      <c r="M27" s="13">
        <f t="shared" si="0"/>
        <v>26543</v>
      </c>
      <c r="U27" s="1">
        <f t="shared" si="1"/>
        <v>9</v>
      </c>
      <c r="V27" s="1">
        <f t="shared" si="2"/>
        <v>1972</v>
      </c>
    </row>
    <row r="28" spans="1:22" x14ac:dyDescent="0.25">
      <c r="A28" s="13">
        <v>26573</v>
      </c>
      <c r="B28" s="5">
        <v>1.395</v>
      </c>
      <c r="C28" s="5">
        <v>1.32</v>
      </c>
      <c r="D28" s="5">
        <v>1.3549545454545455</v>
      </c>
      <c r="E28" s="5">
        <f t="shared" si="3"/>
        <v>4.0045454545454495E-2</v>
      </c>
      <c r="F28" s="5">
        <f t="shared" si="4"/>
        <v>-3.495454545454546E-2</v>
      </c>
      <c r="G28" s="33"/>
      <c r="M28" s="13">
        <f t="shared" si="0"/>
        <v>26573</v>
      </c>
      <c r="U28" s="1">
        <f t="shared" si="1"/>
        <v>10</v>
      </c>
      <c r="V28" s="1">
        <f t="shared" si="2"/>
        <v>1972</v>
      </c>
    </row>
    <row r="29" spans="1:22" x14ac:dyDescent="0.25">
      <c r="A29" s="13">
        <v>26604</v>
      </c>
      <c r="B29" s="5">
        <v>1.4219999999999999</v>
      </c>
      <c r="C29" s="5">
        <v>1.3320000000000001</v>
      </c>
      <c r="D29" s="5">
        <v>1.3704499999999999</v>
      </c>
      <c r="E29" s="5">
        <f t="shared" si="3"/>
        <v>5.1549999999999985E-2</v>
      </c>
      <c r="F29" s="5">
        <f t="shared" si="4"/>
        <v>-3.8449999999999873E-2</v>
      </c>
      <c r="G29" s="33"/>
      <c r="M29" s="13">
        <f t="shared" si="0"/>
        <v>26604</v>
      </c>
      <c r="U29" s="1">
        <f t="shared" si="1"/>
        <v>11</v>
      </c>
      <c r="V29" s="1">
        <f t="shared" si="2"/>
        <v>1972</v>
      </c>
    </row>
    <row r="30" spans="1:22" x14ac:dyDescent="0.25">
      <c r="A30" s="13">
        <v>26634</v>
      </c>
      <c r="B30" s="5">
        <v>1.647</v>
      </c>
      <c r="C30" s="5">
        <v>1.46</v>
      </c>
      <c r="D30" s="5">
        <v>1.5618421052631579</v>
      </c>
      <c r="E30" s="5">
        <f t="shared" si="3"/>
        <v>8.5157894736842099E-2</v>
      </c>
      <c r="F30" s="5">
        <f t="shared" si="4"/>
        <v>-0.10184210526315796</v>
      </c>
      <c r="G30" s="33"/>
      <c r="M30" s="13">
        <f t="shared" si="0"/>
        <v>26634</v>
      </c>
      <c r="U30" s="1">
        <f t="shared" si="1"/>
        <v>12</v>
      </c>
      <c r="V30" s="1">
        <f t="shared" si="2"/>
        <v>1972</v>
      </c>
    </row>
    <row r="31" spans="1:22" x14ac:dyDescent="0.25">
      <c r="A31" s="13">
        <v>26665</v>
      </c>
      <c r="B31" s="5">
        <v>1.635</v>
      </c>
      <c r="C31" s="5">
        <v>1.5169999999999999</v>
      </c>
      <c r="D31" s="5">
        <v>1.5754761904761907</v>
      </c>
      <c r="E31" s="5">
        <f t="shared" si="3"/>
        <v>5.9523809523809312E-2</v>
      </c>
      <c r="F31" s="5">
        <f t="shared" si="4"/>
        <v>-5.8476190476190792E-2</v>
      </c>
      <c r="G31" s="33"/>
      <c r="M31" s="13">
        <f t="shared" si="0"/>
        <v>26665</v>
      </c>
      <c r="U31" s="1">
        <f t="shared" si="1"/>
        <v>1</v>
      </c>
      <c r="V31" s="1">
        <f t="shared" si="2"/>
        <v>1973</v>
      </c>
    </row>
    <row r="32" spans="1:22" x14ac:dyDescent="0.25">
      <c r="A32" s="13">
        <v>26696</v>
      </c>
      <c r="B32" s="5">
        <v>1.76</v>
      </c>
      <c r="C32" s="5">
        <v>1.4850000000000001</v>
      </c>
      <c r="D32" s="5">
        <v>1.6122631578947368</v>
      </c>
      <c r="E32" s="5">
        <f t="shared" si="3"/>
        <v>0.14773684210526317</v>
      </c>
      <c r="F32" s="5">
        <f t="shared" si="4"/>
        <v>-0.12726315789473674</v>
      </c>
      <c r="G32" s="33"/>
      <c r="M32" s="13">
        <f t="shared" si="0"/>
        <v>26696</v>
      </c>
      <c r="U32" s="1">
        <f t="shared" si="1"/>
        <v>2</v>
      </c>
      <c r="V32" s="1">
        <f t="shared" si="2"/>
        <v>1973</v>
      </c>
    </row>
    <row r="33" spans="1:22" x14ac:dyDescent="0.25">
      <c r="A33" s="13">
        <v>26724</v>
      </c>
      <c r="B33" s="5">
        <v>1.667</v>
      </c>
      <c r="C33" s="5">
        <v>1.532</v>
      </c>
      <c r="D33" s="5">
        <v>1.5899090909090909</v>
      </c>
      <c r="E33" s="5">
        <f t="shared" si="3"/>
        <v>7.7090909090909099E-2</v>
      </c>
      <c r="F33" s="5">
        <f t="shared" si="4"/>
        <v>-5.790909090909091E-2</v>
      </c>
      <c r="G33" s="33"/>
      <c r="M33" s="13">
        <f t="shared" si="0"/>
        <v>26724</v>
      </c>
      <c r="U33" s="1">
        <f t="shared" si="1"/>
        <v>3</v>
      </c>
      <c r="V33" s="1">
        <f t="shared" si="2"/>
        <v>1973</v>
      </c>
    </row>
    <row r="34" spans="1:22" x14ac:dyDescent="0.25">
      <c r="A34" s="13">
        <v>26755</v>
      </c>
      <c r="B34" s="5">
        <v>1.657</v>
      </c>
      <c r="C34" s="5">
        <v>1.56</v>
      </c>
      <c r="D34" s="5">
        <v>1.6032500000000001</v>
      </c>
      <c r="E34" s="5">
        <f t="shared" si="3"/>
        <v>5.3749999999999964E-2</v>
      </c>
      <c r="F34" s="5">
        <f t="shared" si="4"/>
        <v>-4.3250000000000011E-2</v>
      </c>
      <c r="G34" s="33"/>
      <c r="M34" s="13">
        <f t="shared" si="0"/>
        <v>26755</v>
      </c>
      <c r="U34" s="1">
        <f t="shared" si="1"/>
        <v>4</v>
      </c>
      <c r="V34" s="1">
        <f t="shared" si="2"/>
        <v>1973</v>
      </c>
    </row>
    <row r="35" spans="1:22" x14ac:dyDescent="0.25">
      <c r="A35" s="13">
        <v>26785</v>
      </c>
      <c r="B35" s="5">
        <v>2.2069999999999999</v>
      </c>
      <c r="C35" s="5">
        <v>1.655</v>
      </c>
      <c r="D35" s="5">
        <v>1.8547272727272728</v>
      </c>
      <c r="E35" s="5">
        <f t="shared" si="3"/>
        <v>0.35227272727272707</v>
      </c>
      <c r="F35" s="5">
        <f t="shared" si="4"/>
        <v>-0.19972727272727275</v>
      </c>
      <c r="G35" s="33"/>
      <c r="M35" s="13">
        <f t="shared" si="0"/>
        <v>26785</v>
      </c>
      <c r="U35" s="1">
        <f t="shared" si="1"/>
        <v>5</v>
      </c>
      <c r="V35" s="1">
        <f t="shared" si="2"/>
        <v>1973</v>
      </c>
    </row>
    <row r="36" spans="1:22" x14ac:dyDescent="0.25">
      <c r="A36" s="13">
        <v>26816</v>
      </c>
      <c r="B36" s="5">
        <v>2.5</v>
      </c>
      <c r="C36" s="5">
        <v>2.09</v>
      </c>
      <c r="D36" s="5">
        <v>2.2814761904761904</v>
      </c>
      <c r="E36" s="5">
        <f t="shared" si="3"/>
        <v>0.21852380952380956</v>
      </c>
      <c r="F36" s="5">
        <f t="shared" si="4"/>
        <v>-0.19147619047619058</v>
      </c>
      <c r="G36" s="33"/>
      <c r="M36" s="13">
        <f t="shared" si="0"/>
        <v>26816</v>
      </c>
      <c r="U36" s="1">
        <f t="shared" si="1"/>
        <v>6</v>
      </c>
      <c r="V36" s="1">
        <f t="shared" si="2"/>
        <v>1973</v>
      </c>
    </row>
    <row r="37" spans="1:22" x14ac:dyDescent="0.25">
      <c r="A37" s="13">
        <v>26846</v>
      </c>
      <c r="B37" s="5">
        <v>2.88</v>
      </c>
      <c r="C37" s="5">
        <v>1.96</v>
      </c>
      <c r="D37" s="5">
        <v>2.3542380952380952</v>
      </c>
      <c r="E37" s="5">
        <f t="shared" si="3"/>
        <v>0.52576190476190465</v>
      </c>
      <c r="F37" s="5">
        <f t="shared" si="4"/>
        <v>-0.39423809523809528</v>
      </c>
      <c r="G37" s="33"/>
      <c r="M37" s="13">
        <f t="shared" si="0"/>
        <v>26846</v>
      </c>
      <c r="U37" s="1">
        <f t="shared" si="1"/>
        <v>7</v>
      </c>
      <c r="V37" s="1">
        <f t="shared" si="2"/>
        <v>1973</v>
      </c>
    </row>
    <row r="38" spans="1:22" x14ac:dyDescent="0.25">
      <c r="A38" s="13">
        <v>26877</v>
      </c>
      <c r="B38" s="5">
        <v>3.4769999999999999</v>
      </c>
      <c r="C38" s="5">
        <v>2.4449999999999998</v>
      </c>
      <c r="D38" s="5">
        <v>2.9746956521739132</v>
      </c>
      <c r="E38" s="5">
        <f t="shared" si="3"/>
        <v>0.50230434782608668</v>
      </c>
      <c r="F38" s="5">
        <f t="shared" si="4"/>
        <v>-0.52969565217391334</v>
      </c>
      <c r="G38" s="33"/>
      <c r="M38" s="13">
        <f t="shared" si="0"/>
        <v>26877</v>
      </c>
      <c r="U38" s="1">
        <f t="shared" si="1"/>
        <v>8</v>
      </c>
      <c r="V38" s="1">
        <f t="shared" si="2"/>
        <v>1973</v>
      </c>
    </row>
    <row r="39" spans="1:22" x14ac:dyDescent="0.25">
      <c r="A39" s="13">
        <v>26908</v>
      </c>
      <c r="B39" s="5">
        <v>2.64</v>
      </c>
      <c r="C39" s="5">
        <v>2.2050000000000001</v>
      </c>
      <c r="D39" s="5">
        <v>2.4768947368421053</v>
      </c>
      <c r="E39" s="5">
        <f t="shared" si="3"/>
        <v>0.16310526315789486</v>
      </c>
      <c r="F39" s="5">
        <f t="shared" si="4"/>
        <v>-0.27189473684210519</v>
      </c>
      <c r="G39" s="33"/>
      <c r="M39" s="13">
        <f t="shared" si="0"/>
        <v>26908</v>
      </c>
      <c r="U39" s="1">
        <f t="shared" si="1"/>
        <v>9</v>
      </c>
      <c r="V39" s="1">
        <f t="shared" si="2"/>
        <v>1973</v>
      </c>
    </row>
    <row r="40" spans="1:22" x14ac:dyDescent="0.25">
      <c r="A40" s="13">
        <v>26938</v>
      </c>
      <c r="B40" s="5">
        <v>2.665</v>
      </c>
      <c r="C40" s="5">
        <v>2.29</v>
      </c>
      <c r="D40" s="5">
        <v>2.4594999999999998</v>
      </c>
      <c r="E40" s="5">
        <f t="shared" si="3"/>
        <v>0.20550000000000024</v>
      </c>
      <c r="F40" s="5">
        <f t="shared" si="4"/>
        <v>-0.16949999999999976</v>
      </c>
      <c r="G40" s="33"/>
      <c r="M40" s="13">
        <f t="shared" si="0"/>
        <v>26938</v>
      </c>
      <c r="U40" s="1">
        <f t="shared" si="1"/>
        <v>10</v>
      </c>
      <c r="V40" s="1">
        <f t="shared" si="2"/>
        <v>1973</v>
      </c>
    </row>
    <row r="41" spans="1:22" x14ac:dyDescent="0.25">
      <c r="A41" s="13">
        <v>26969</v>
      </c>
      <c r="B41" s="5">
        <v>2.81</v>
      </c>
      <c r="C41" s="5">
        <v>2.3250000000000002</v>
      </c>
      <c r="D41" s="5">
        <v>2.5237619047619049</v>
      </c>
      <c r="E41" s="5">
        <f t="shared" si="3"/>
        <v>0.28623809523809518</v>
      </c>
      <c r="F41" s="5">
        <f t="shared" si="4"/>
        <v>-0.1987619047619047</v>
      </c>
      <c r="G41" s="33"/>
      <c r="M41" s="13">
        <f t="shared" si="0"/>
        <v>26969</v>
      </c>
      <c r="U41" s="1">
        <f t="shared" si="1"/>
        <v>11</v>
      </c>
      <c r="V41" s="1">
        <f t="shared" si="2"/>
        <v>1973</v>
      </c>
    </row>
    <row r="42" spans="1:22" x14ac:dyDescent="0.25">
      <c r="A42" s="13">
        <v>26999</v>
      </c>
      <c r="B42" s="5">
        <v>2.7669999999999999</v>
      </c>
      <c r="C42" s="5">
        <v>2.625</v>
      </c>
      <c r="D42" s="5">
        <v>2.693526315789474</v>
      </c>
      <c r="E42" s="5">
        <f t="shared" si="3"/>
        <v>7.3473684210525914E-2</v>
      </c>
      <c r="F42" s="5">
        <f t="shared" si="4"/>
        <v>-6.852631578947399E-2</v>
      </c>
      <c r="G42" s="33"/>
      <c r="M42" s="13">
        <f t="shared" si="0"/>
        <v>26999</v>
      </c>
      <c r="U42" s="1">
        <f t="shared" si="1"/>
        <v>12</v>
      </c>
      <c r="V42" s="1">
        <f t="shared" si="2"/>
        <v>1973</v>
      </c>
    </row>
    <row r="43" spans="1:22" x14ac:dyDescent="0.25">
      <c r="A43" s="13">
        <v>27030</v>
      </c>
      <c r="B43" s="5">
        <v>3.0419999999999998</v>
      </c>
      <c r="C43" s="5">
        <v>2.6749999999999998</v>
      </c>
      <c r="D43" s="5">
        <v>2.8675454545454544</v>
      </c>
      <c r="E43" s="5">
        <f t="shared" si="3"/>
        <v>0.17445454545454542</v>
      </c>
      <c r="F43" s="5">
        <f t="shared" si="4"/>
        <v>-0.19254545454545458</v>
      </c>
      <c r="G43" s="33"/>
      <c r="M43" s="13">
        <f t="shared" si="0"/>
        <v>27030</v>
      </c>
      <c r="U43" s="1">
        <f t="shared" si="1"/>
        <v>1</v>
      </c>
      <c r="V43" s="1">
        <f t="shared" si="2"/>
        <v>1974</v>
      </c>
    </row>
    <row r="44" spans="1:22" x14ac:dyDescent="0.25">
      <c r="A44" s="13">
        <v>27061</v>
      </c>
      <c r="B44" s="5">
        <v>3.43</v>
      </c>
      <c r="C44" s="5">
        <v>2.94</v>
      </c>
      <c r="D44" s="5">
        <v>3.1322777777777779</v>
      </c>
      <c r="E44" s="5">
        <f t="shared" si="3"/>
        <v>0.29772222222222222</v>
      </c>
      <c r="F44" s="5">
        <f t="shared" si="4"/>
        <v>-0.19227777777777799</v>
      </c>
      <c r="G44" s="33"/>
      <c r="M44" s="13">
        <f t="shared" si="0"/>
        <v>27061</v>
      </c>
      <c r="U44" s="1">
        <f t="shared" si="1"/>
        <v>2</v>
      </c>
      <c r="V44" s="1">
        <f t="shared" si="2"/>
        <v>1974</v>
      </c>
    </row>
    <row r="45" spans="1:22" x14ac:dyDescent="0.25">
      <c r="A45" s="13">
        <v>27089</v>
      </c>
      <c r="B45" s="5">
        <v>3.33</v>
      </c>
      <c r="C45" s="5">
        <v>2.7749999999999999</v>
      </c>
      <c r="D45" s="5">
        <v>3.0093333333333332</v>
      </c>
      <c r="E45" s="5">
        <f t="shared" si="3"/>
        <v>0.32066666666666688</v>
      </c>
      <c r="F45" s="5">
        <f t="shared" si="4"/>
        <v>-0.23433333333333328</v>
      </c>
      <c r="G45" s="33"/>
      <c r="M45" s="13">
        <f t="shared" si="0"/>
        <v>27089</v>
      </c>
      <c r="U45" s="1">
        <f t="shared" si="1"/>
        <v>3</v>
      </c>
      <c r="V45" s="1">
        <f t="shared" si="2"/>
        <v>1974</v>
      </c>
    </row>
    <row r="46" spans="1:22" x14ac:dyDescent="0.25">
      <c r="A46" s="13">
        <v>27120</v>
      </c>
      <c r="B46" s="5">
        <v>2.9169999999999998</v>
      </c>
      <c r="C46" s="5">
        <v>2.4849999999999999</v>
      </c>
      <c r="D46" s="5">
        <v>2.6640000000000001</v>
      </c>
      <c r="E46" s="5">
        <f t="shared" si="3"/>
        <v>0.25299999999999967</v>
      </c>
      <c r="F46" s="5">
        <f t="shared" si="4"/>
        <v>-0.17900000000000027</v>
      </c>
      <c r="G46" s="33"/>
      <c r="M46" s="13">
        <f t="shared" si="0"/>
        <v>27120</v>
      </c>
      <c r="U46" s="1">
        <f t="shared" si="1"/>
        <v>4</v>
      </c>
      <c r="V46" s="1">
        <f t="shared" si="2"/>
        <v>1974</v>
      </c>
    </row>
    <row r="47" spans="1:22" x14ac:dyDescent="0.25">
      <c r="A47" s="13">
        <v>27150</v>
      </c>
      <c r="B47" s="5">
        <v>2.77</v>
      </c>
      <c r="C47" s="5">
        <v>2.4700000000000002</v>
      </c>
      <c r="D47" s="5">
        <v>2.6343181818181822</v>
      </c>
      <c r="E47" s="5">
        <f t="shared" si="3"/>
        <v>0.13568181818181779</v>
      </c>
      <c r="F47" s="5">
        <f t="shared" si="4"/>
        <v>-0.16431818181818203</v>
      </c>
      <c r="G47" s="33"/>
      <c r="M47" s="13">
        <f t="shared" si="0"/>
        <v>27150</v>
      </c>
      <c r="U47" s="1">
        <f t="shared" si="1"/>
        <v>5</v>
      </c>
      <c r="V47" s="1">
        <f t="shared" si="2"/>
        <v>1974</v>
      </c>
    </row>
    <row r="48" spans="1:22" x14ac:dyDescent="0.25">
      <c r="A48" s="13">
        <v>27181</v>
      </c>
      <c r="B48" s="5">
        <v>3.0419999999999998</v>
      </c>
      <c r="C48" s="5">
        <v>2.597</v>
      </c>
      <c r="D48" s="5">
        <v>2.8325</v>
      </c>
      <c r="E48" s="5">
        <f t="shared" si="3"/>
        <v>0.2094999999999998</v>
      </c>
      <c r="F48" s="5">
        <f t="shared" si="4"/>
        <v>-0.23550000000000004</v>
      </c>
      <c r="G48" s="33"/>
      <c r="M48" s="13">
        <f t="shared" si="0"/>
        <v>27181</v>
      </c>
      <c r="U48" s="1">
        <f t="shared" si="1"/>
        <v>6</v>
      </c>
      <c r="V48" s="1">
        <f t="shared" si="2"/>
        <v>1974</v>
      </c>
    </row>
    <row r="49" spans="1:22" x14ac:dyDescent="0.25">
      <c r="A49" s="13">
        <v>27211</v>
      </c>
      <c r="B49" s="5">
        <v>3.8319999999999999</v>
      </c>
      <c r="C49" s="5">
        <v>2.9</v>
      </c>
      <c r="D49" s="5">
        <v>3.2603636363636364</v>
      </c>
      <c r="E49" s="5">
        <f t="shared" si="3"/>
        <v>0.5716363636363635</v>
      </c>
      <c r="F49" s="5">
        <f t="shared" si="4"/>
        <v>-0.36036363636363644</v>
      </c>
      <c r="G49" s="33"/>
      <c r="M49" s="13">
        <f t="shared" si="0"/>
        <v>27211</v>
      </c>
      <c r="U49" s="1">
        <f t="shared" si="1"/>
        <v>7</v>
      </c>
      <c r="V49" s="1">
        <f t="shared" si="2"/>
        <v>1974</v>
      </c>
    </row>
    <row r="50" spans="1:22" x14ac:dyDescent="0.25">
      <c r="A50" s="13">
        <v>27242</v>
      </c>
      <c r="B50" s="5">
        <v>3.8</v>
      </c>
      <c r="C50" s="5">
        <v>3.44</v>
      </c>
      <c r="D50" s="5">
        <v>3.576090909090909</v>
      </c>
      <c r="E50" s="5">
        <f t="shared" si="3"/>
        <v>0.22390909090909084</v>
      </c>
      <c r="F50" s="5">
        <f t="shared" si="4"/>
        <v>-0.13609090909090904</v>
      </c>
      <c r="G50" s="33"/>
      <c r="M50" s="13">
        <f t="shared" si="0"/>
        <v>27242</v>
      </c>
      <c r="U50" s="1">
        <f t="shared" si="1"/>
        <v>8</v>
      </c>
      <c r="V50" s="1">
        <f t="shared" si="2"/>
        <v>1974</v>
      </c>
    </row>
    <row r="51" spans="1:22" x14ac:dyDescent="0.25">
      <c r="A51" s="13">
        <v>27273</v>
      </c>
      <c r="B51" s="5">
        <v>3.875</v>
      </c>
      <c r="C51" s="5">
        <v>3.222</v>
      </c>
      <c r="D51" s="5">
        <v>3.4925000000000002</v>
      </c>
      <c r="E51" s="5">
        <f t="shared" si="3"/>
        <v>0.38249999999999984</v>
      </c>
      <c r="F51" s="5">
        <f t="shared" si="4"/>
        <v>-0.27050000000000018</v>
      </c>
      <c r="G51" s="33"/>
      <c r="M51" s="13">
        <f t="shared" si="0"/>
        <v>27273</v>
      </c>
      <c r="U51" s="1">
        <f t="shared" si="1"/>
        <v>9</v>
      </c>
      <c r="V51" s="1">
        <f t="shared" si="2"/>
        <v>1974</v>
      </c>
    </row>
    <row r="52" spans="1:22" x14ac:dyDescent="0.25">
      <c r="A52" s="13">
        <v>27303</v>
      </c>
      <c r="B52" s="5">
        <v>4</v>
      </c>
      <c r="C52" s="5">
        <v>3.62</v>
      </c>
      <c r="D52" s="5">
        <v>3.8018695652173911</v>
      </c>
      <c r="E52" s="5">
        <f t="shared" si="3"/>
        <v>0.19813043478260894</v>
      </c>
      <c r="F52" s="5">
        <f t="shared" si="4"/>
        <v>-0.18186956521739095</v>
      </c>
      <c r="G52" s="33"/>
      <c r="M52" s="13">
        <f t="shared" si="0"/>
        <v>27303</v>
      </c>
      <c r="U52" s="1">
        <f t="shared" si="1"/>
        <v>10</v>
      </c>
      <c r="V52" s="1">
        <f t="shared" si="2"/>
        <v>1974</v>
      </c>
    </row>
    <row r="53" spans="1:22" x14ac:dyDescent="0.25">
      <c r="A53" s="13">
        <v>27334</v>
      </c>
      <c r="B53" s="5">
        <v>3.895</v>
      </c>
      <c r="C53" s="5">
        <v>3.4049999999999998</v>
      </c>
      <c r="D53" s="5">
        <v>3.6482105263157893</v>
      </c>
      <c r="E53" s="5">
        <f t="shared" si="3"/>
        <v>0.24678947368421067</v>
      </c>
      <c r="F53" s="5">
        <f t="shared" si="4"/>
        <v>-0.24321052631578954</v>
      </c>
      <c r="G53" s="33"/>
      <c r="M53" s="13">
        <f t="shared" si="0"/>
        <v>27334</v>
      </c>
      <c r="U53" s="1">
        <f t="shared" si="1"/>
        <v>11</v>
      </c>
      <c r="V53" s="1">
        <f t="shared" si="2"/>
        <v>1974</v>
      </c>
    </row>
    <row r="54" spans="1:22" x14ac:dyDescent="0.25">
      <c r="A54" s="13">
        <v>27364</v>
      </c>
      <c r="B54" s="5">
        <v>3.8149999999999999</v>
      </c>
      <c r="C54" s="5">
        <v>3.335</v>
      </c>
      <c r="D54" s="5">
        <v>3.5745714285714287</v>
      </c>
      <c r="E54" s="5">
        <f t="shared" si="3"/>
        <v>0.24042857142857121</v>
      </c>
      <c r="F54" s="5">
        <f t="shared" si="4"/>
        <v>-0.23957142857142877</v>
      </c>
      <c r="G54" s="33"/>
      <c r="M54" s="13">
        <f t="shared" si="0"/>
        <v>27364</v>
      </c>
      <c r="U54" s="1">
        <f t="shared" si="1"/>
        <v>12</v>
      </c>
      <c r="V54" s="1">
        <f t="shared" si="2"/>
        <v>1974</v>
      </c>
    </row>
    <row r="55" spans="1:22" x14ac:dyDescent="0.25">
      <c r="A55" s="13">
        <v>27395</v>
      </c>
      <c r="B55" s="5">
        <v>3.5249999999999999</v>
      </c>
      <c r="C55" s="5">
        <v>2.95</v>
      </c>
      <c r="D55" s="5">
        <v>3.2698636363636364</v>
      </c>
      <c r="E55" s="5">
        <f t="shared" si="3"/>
        <v>0.25513636363636349</v>
      </c>
      <c r="F55" s="5">
        <f t="shared" si="4"/>
        <v>-0.31986363636363624</v>
      </c>
      <c r="G55" s="33"/>
      <c r="M55" s="13">
        <f t="shared" si="0"/>
        <v>27395</v>
      </c>
      <c r="U55" s="1">
        <f t="shared" si="1"/>
        <v>1</v>
      </c>
      <c r="V55" s="1">
        <f t="shared" si="2"/>
        <v>1975</v>
      </c>
    </row>
    <row r="56" spans="1:22" x14ac:dyDescent="0.25">
      <c r="A56" s="13">
        <v>27426</v>
      </c>
      <c r="B56" s="5">
        <v>3.17</v>
      </c>
      <c r="C56" s="5">
        <v>2.57</v>
      </c>
      <c r="D56" s="5">
        <v>2.956105263157895</v>
      </c>
      <c r="E56" s="5">
        <f t="shared" si="3"/>
        <v>0.21389473684210492</v>
      </c>
      <c r="F56" s="5">
        <f t="shared" si="4"/>
        <v>-0.38610526315789517</v>
      </c>
      <c r="G56" s="33"/>
      <c r="M56" s="13">
        <f t="shared" si="0"/>
        <v>27426</v>
      </c>
      <c r="U56" s="1">
        <f t="shared" si="1"/>
        <v>2</v>
      </c>
      <c r="V56" s="1">
        <f t="shared" si="2"/>
        <v>1975</v>
      </c>
    </row>
    <row r="57" spans="1:22" x14ac:dyDescent="0.25">
      <c r="A57" s="13">
        <v>27454</v>
      </c>
      <c r="B57" s="5">
        <v>3.032</v>
      </c>
      <c r="C57" s="5">
        <v>2.532</v>
      </c>
      <c r="D57" s="5">
        <v>2.8612000000000002</v>
      </c>
      <c r="E57" s="5">
        <f t="shared" si="3"/>
        <v>0.17079999999999984</v>
      </c>
      <c r="F57" s="5">
        <f t="shared" si="4"/>
        <v>-0.32920000000000016</v>
      </c>
      <c r="G57" s="33"/>
      <c r="M57" s="13">
        <f t="shared" si="0"/>
        <v>27454</v>
      </c>
      <c r="U57" s="1">
        <f t="shared" si="1"/>
        <v>3</v>
      </c>
      <c r="V57" s="1">
        <f t="shared" si="2"/>
        <v>1975</v>
      </c>
    </row>
    <row r="58" spans="1:22" x14ac:dyDescent="0.25">
      <c r="A58" s="13">
        <v>27485</v>
      </c>
      <c r="B58" s="5">
        <v>3.0350000000000001</v>
      </c>
      <c r="C58" s="5">
        <v>2.7669999999999999</v>
      </c>
      <c r="D58" s="5">
        <v>2.8884090909090911</v>
      </c>
      <c r="E58" s="5">
        <f t="shared" si="3"/>
        <v>0.14659090909090899</v>
      </c>
      <c r="F58" s="5">
        <f t="shared" si="4"/>
        <v>-0.12140909090909124</v>
      </c>
      <c r="G58" s="33"/>
      <c r="M58" s="13">
        <f t="shared" si="0"/>
        <v>27485</v>
      </c>
      <c r="U58" s="1">
        <f t="shared" si="1"/>
        <v>4</v>
      </c>
      <c r="V58" s="1">
        <f t="shared" si="2"/>
        <v>1975</v>
      </c>
    </row>
    <row r="59" spans="1:22" x14ac:dyDescent="0.25">
      <c r="A59" s="13">
        <v>27515</v>
      </c>
      <c r="B59" s="5">
        <v>2.83</v>
      </c>
      <c r="C59" s="5">
        <v>2.65</v>
      </c>
      <c r="D59" s="5">
        <v>2.725571428571429</v>
      </c>
      <c r="E59" s="5">
        <f t="shared" si="3"/>
        <v>0.10442857142857109</v>
      </c>
      <c r="F59" s="5">
        <f t="shared" si="4"/>
        <v>-7.5571428571429067E-2</v>
      </c>
      <c r="G59" s="33"/>
      <c r="M59" s="13">
        <f t="shared" si="0"/>
        <v>27515</v>
      </c>
      <c r="U59" s="1">
        <f t="shared" si="1"/>
        <v>5</v>
      </c>
      <c r="V59" s="1">
        <f t="shared" si="2"/>
        <v>1975</v>
      </c>
    </row>
    <row r="60" spans="1:22" x14ac:dyDescent="0.25">
      <c r="A60" s="13">
        <v>27546</v>
      </c>
      <c r="B60" s="5">
        <v>2.92</v>
      </c>
      <c r="C60" s="5">
        <v>2.6850000000000001</v>
      </c>
      <c r="D60" s="5">
        <v>2.7981904761904763</v>
      </c>
      <c r="E60" s="5">
        <f t="shared" si="3"/>
        <v>0.12180952380952359</v>
      </c>
      <c r="F60" s="5">
        <f t="shared" si="4"/>
        <v>-0.11319047619047629</v>
      </c>
      <c r="G60" s="33"/>
      <c r="M60" s="13">
        <f t="shared" si="0"/>
        <v>27546</v>
      </c>
      <c r="U60" s="1">
        <f t="shared" si="1"/>
        <v>6</v>
      </c>
      <c r="V60" s="1">
        <f t="shared" si="2"/>
        <v>1975</v>
      </c>
    </row>
    <row r="61" spans="1:22" x14ac:dyDescent="0.25">
      <c r="A61" s="13">
        <v>27576</v>
      </c>
      <c r="B61" s="5">
        <v>2.9950000000000001</v>
      </c>
      <c r="C61" s="5">
        <v>2.46</v>
      </c>
      <c r="D61" s="5">
        <v>2.7222727272727276</v>
      </c>
      <c r="E61" s="5">
        <f t="shared" si="3"/>
        <v>0.27272727272727249</v>
      </c>
      <c r="F61" s="5">
        <f t="shared" si="4"/>
        <v>-0.26227272727272766</v>
      </c>
      <c r="G61" s="33"/>
      <c r="M61" s="13">
        <f t="shared" si="0"/>
        <v>27576</v>
      </c>
      <c r="U61" s="1">
        <f t="shared" si="1"/>
        <v>7</v>
      </c>
      <c r="V61" s="1">
        <f t="shared" si="2"/>
        <v>1975</v>
      </c>
    </row>
    <row r="62" spans="1:22" x14ac:dyDescent="0.25">
      <c r="A62" s="13">
        <v>27607</v>
      </c>
      <c r="B62" s="5">
        <v>3.3069999999999999</v>
      </c>
      <c r="C62" s="5">
        <v>2.8650000000000002</v>
      </c>
      <c r="D62" s="5">
        <v>3.115761904761905</v>
      </c>
      <c r="E62" s="5">
        <f t="shared" si="3"/>
        <v>0.19123809523809499</v>
      </c>
      <c r="F62" s="5">
        <f t="shared" si="4"/>
        <v>-0.25076190476190474</v>
      </c>
      <c r="G62" s="33"/>
      <c r="M62" s="13">
        <f t="shared" si="0"/>
        <v>27607</v>
      </c>
      <c r="U62" s="1">
        <f t="shared" si="1"/>
        <v>8</v>
      </c>
      <c r="V62" s="1">
        <f t="shared" si="2"/>
        <v>1975</v>
      </c>
    </row>
    <row r="63" spans="1:22" x14ac:dyDescent="0.25">
      <c r="A63" s="13">
        <v>27638</v>
      </c>
      <c r="B63" s="5">
        <v>3.1949999999999998</v>
      </c>
      <c r="C63" s="5">
        <v>2.87</v>
      </c>
      <c r="D63" s="5">
        <v>3.0145714285714287</v>
      </c>
      <c r="E63" s="5">
        <f t="shared" si="3"/>
        <v>0.18042857142857116</v>
      </c>
      <c r="F63" s="5">
        <f t="shared" si="4"/>
        <v>-0.14457142857142857</v>
      </c>
      <c r="G63" s="33">
        <v>3</v>
      </c>
      <c r="K63" s="15">
        <f>G63/56*100</f>
        <v>5.3571428571428568</v>
      </c>
      <c r="L63" s="15"/>
      <c r="M63" s="13">
        <f t="shared" si="0"/>
        <v>27638</v>
      </c>
      <c r="N63" s="15"/>
      <c r="O63" s="15"/>
      <c r="P63" s="15"/>
      <c r="Q63" s="15"/>
      <c r="R63" s="15"/>
      <c r="U63" s="1">
        <f t="shared" si="1"/>
        <v>9</v>
      </c>
      <c r="V63" s="1">
        <f t="shared" si="2"/>
        <v>1975</v>
      </c>
    </row>
    <row r="64" spans="1:22" x14ac:dyDescent="0.25">
      <c r="A64" s="13">
        <v>27668</v>
      </c>
      <c r="B64" s="5">
        <v>3.077</v>
      </c>
      <c r="C64" s="5">
        <v>2.7349999999999999</v>
      </c>
      <c r="D64" s="5">
        <v>2.9046521739130435</v>
      </c>
      <c r="E64" s="5">
        <f t="shared" si="3"/>
        <v>0.17234782608695642</v>
      </c>
      <c r="F64" s="5">
        <f t="shared" si="4"/>
        <v>-0.16965217391304366</v>
      </c>
      <c r="G64" s="33">
        <v>2.52</v>
      </c>
      <c r="K64" s="15">
        <f t="shared" ref="K64:K127" si="5">G64/56*100</f>
        <v>4.5</v>
      </c>
      <c r="L64" s="15"/>
      <c r="M64" s="13">
        <f t="shared" si="0"/>
        <v>27668</v>
      </c>
      <c r="N64" s="15"/>
      <c r="O64" s="15"/>
      <c r="P64" s="15"/>
      <c r="Q64" s="15"/>
      <c r="R64" s="15"/>
      <c r="U64" s="1">
        <f t="shared" si="1"/>
        <v>10</v>
      </c>
      <c r="V64" s="1">
        <f t="shared" si="2"/>
        <v>1975</v>
      </c>
    </row>
    <row r="65" spans="1:22" x14ac:dyDescent="0.25">
      <c r="A65" s="13">
        <v>27699</v>
      </c>
      <c r="B65" s="5">
        <v>2.7850000000000001</v>
      </c>
      <c r="C65" s="5">
        <v>2.5720000000000001</v>
      </c>
      <c r="D65" s="5">
        <v>2.6895263157894735</v>
      </c>
      <c r="E65" s="5">
        <f t="shared" si="3"/>
        <v>9.5473684210526599E-2</v>
      </c>
      <c r="F65" s="5">
        <f t="shared" si="4"/>
        <v>-0.11752631578947348</v>
      </c>
      <c r="G65" s="33">
        <v>2.4</v>
      </c>
      <c r="K65" s="15">
        <f t="shared" si="5"/>
        <v>4.2857142857142856</v>
      </c>
      <c r="L65" s="15"/>
      <c r="M65" s="13">
        <f t="shared" si="0"/>
        <v>27699</v>
      </c>
      <c r="N65" s="15"/>
      <c r="O65" s="15"/>
      <c r="P65" s="15"/>
      <c r="Q65" s="15"/>
      <c r="R65" s="15"/>
      <c r="U65" s="1">
        <f t="shared" si="1"/>
        <v>11</v>
      </c>
      <c r="V65" s="1">
        <f t="shared" si="2"/>
        <v>1975</v>
      </c>
    </row>
    <row r="66" spans="1:22" x14ac:dyDescent="0.25">
      <c r="A66" s="13">
        <v>27729</v>
      </c>
      <c r="B66" s="5">
        <v>2.84</v>
      </c>
      <c r="C66" s="5">
        <v>2.5649999999999999</v>
      </c>
      <c r="D66" s="5">
        <v>2.6787619047619047</v>
      </c>
      <c r="E66" s="5">
        <f t="shared" si="3"/>
        <v>0.16123809523809518</v>
      </c>
      <c r="F66" s="5">
        <f t="shared" si="4"/>
        <v>-0.11376190476190473</v>
      </c>
      <c r="G66" s="33">
        <v>2.46</v>
      </c>
      <c r="K66" s="15">
        <f t="shared" si="5"/>
        <v>4.3928571428571423</v>
      </c>
      <c r="L66" s="15"/>
      <c r="M66" s="13">
        <f t="shared" si="0"/>
        <v>27729</v>
      </c>
      <c r="N66" s="15"/>
      <c r="O66" s="15"/>
      <c r="P66" s="15"/>
      <c r="Q66" s="15"/>
      <c r="R66" s="15"/>
      <c r="U66" s="1">
        <f t="shared" si="1"/>
        <v>12</v>
      </c>
      <c r="V66" s="1">
        <f t="shared" si="2"/>
        <v>1975</v>
      </c>
    </row>
    <row r="67" spans="1:22" x14ac:dyDescent="0.25">
      <c r="A67" s="13">
        <v>27760</v>
      </c>
      <c r="B67" s="5">
        <v>2.74</v>
      </c>
      <c r="C67" s="5">
        <v>2.585</v>
      </c>
      <c r="D67" s="5">
        <v>2.674809523809524</v>
      </c>
      <c r="E67" s="5">
        <f t="shared" si="3"/>
        <v>6.5190476190476243E-2</v>
      </c>
      <c r="F67" s="5">
        <f t="shared" si="4"/>
        <v>-8.9809523809524006E-2</v>
      </c>
      <c r="G67" s="33">
        <v>2.46</v>
      </c>
      <c r="K67" s="15">
        <f t="shared" si="5"/>
        <v>4.3928571428571423</v>
      </c>
      <c r="L67" s="15"/>
      <c r="M67" s="13">
        <f t="shared" ref="M67:M130" si="6">A67</f>
        <v>27760</v>
      </c>
      <c r="N67" s="15"/>
      <c r="O67" s="15"/>
      <c r="P67" s="15"/>
      <c r="Q67" s="15"/>
      <c r="R67" s="15"/>
      <c r="U67" s="1">
        <f t="shared" ref="U67:U130" si="7">MONTH(M67)</f>
        <v>1</v>
      </c>
      <c r="V67" s="1">
        <f t="shared" ref="V67:V130" si="8">YEAR(M67)</f>
        <v>1976</v>
      </c>
    </row>
    <row r="68" spans="1:22" x14ac:dyDescent="0.25">
      <c r="A68" s="13">
        <v>27791</v>
      </c>
      <c r="B68" s="5">
        <v>2.74</v>
      </c>
      <c r="C68" s="5">
        <v>2.6520000000000001</v>
      </c>
      <c r="D68" s="5">
        <v>2.6859473684210529</v>
      </c>
      <c r="E68" s="5">
        <f t="shared" ref="E68:E131" si="9">B68-D68</f>
        <v>5.4052631578947352E-2</v>
      </c>
      <c r="F68" s="5">
        <f t="shared" ref="F68:F131" si="10">C68-D68</f>
        <v>-3.3947368421052726E-2</v>
      </c>
      <c r="G68" s="33">
        <v>2.5299999999999998</v>
      </c>
      <c r="K68" s="15">
        <f t="shared" si="5"/>
        <v>4.5178571428571423</v>
      </c>
      <c r="L68" s="15"/>
      <c r="M68" s="13">
        <f t="shared" si="6"/>
        <v>27791</v>
      </c>
      <c r="N68" s="15"/>
      <c r="O68" s="15"/>
      <c r="P68" s="15"/>
      <c r="Q68" s="15"/>
      <c r="R68" s="15"/>
      <c r="U68" s="1">
        <f t="shared" si="7"/>
        <v>2</v>
      </c>
      <c r="V68" s="1">
        <f t="shared" si="8"/>
        <v>1976</v>
      </c>
    </row>
    <row r="69" spans="1:22" x14ac:dyDescent="0.25">
      <c r="A69" s="13">
        <v>27820</v>
      </c>
      <c r="B69" s="5">
        <v>2.7850000000000001</v>
      </c>
      <c r="C69" s="5">
        <v>2.65</v>
      </c>
      <c r="D69" s="5">
        <v>2.7155652173913043</v>
      </c>
      <c r="E69" s="5">
        <f t="shared" si="9"/>
        <v>6.9434782608695844E-2</v>
      </c>
      <c r="F69" s="5">
        <f t="shared" si="10"/>
        <v>-6.5565217391304387E-2</v>
      </c>
      <c r="G69" s="33">
        <v>2.54</v>
      </c>
      <c r="K69" s="15">
        <f t="shared" si="5"/>
        <v>4.5357142857142856</v>
      </c>
      <c r="L69" s="15"/>
      <c r="M69" s="13">
        <f t="shared" si="6"/>
        <v>27820</v>
      </c>
      <c r="N69" s="15"/>
      <c r="O69" s="15"/>
      <c r="P69" s="15"/>
      <c r="Q69" s="15"/>
      <c r="R69" s="15"/>
      <c r="U69" s="1">
        <f t="shared" si="7"/>
        <v>3</v>
      </c>
      <c r="V69" s="1">
        <f t="shared" si="8"/>
        <v>1976</v>
      </c>
    </row>
    <row r="70" spans="1:22" x14ac:dyDescent="0.25">
      <c r="A70" s="13">
        <v>27851</v>
      </c>
      <c r="B70" s="5">
        <v>2.7269999999999999</v>
      </c>
      <c r="C70" s="5">
        <v>2.637</v>
      </c>
      <c r="D70" s="5">
        <v>2.6705714285714288</v>
      </c>
      <c r="E70" s="5">
        <f t="shared" si="9"/>
        <v>5.642857142857105E-2</v>
      </c>
      <c r="F70" s="5">
        <f t="shared" si="10"/>
        <v>-3.3571428571428807E-2</v>
      </c>
      <c r="G70" s="33">
        <v>2.52</v>
      </c>
      <c r="K70" s="15">
        <f t="shared" si="5"/>
        <v>4.5</v>
      </c>
      <c r="L70" s="15"/>
      <c r="M70" s="13">
        <f t="shared" si="6"/>
        <v>27851</v>
      </c>
      <c r="N70" s="15"/>
      <c r="O70" s="15"/>
      <c r="P70" s="15"/>
      <c r="Q70" s="15"/>
      <c r="R70" s="15"/>
      <c r="U70" s="1">
        <f t="shared" si="7"/>
        <v>4</v>
      </c>
      <c r="V70" s="1">
        <f t="shared" si="8"/>
        <v>1976</v>
      </c>
    </row>
    <row r="71" spans="1:22" x14ac:dyDescent="0.25">
      <c r="A71" s="13">
        <v>27881</v>
      </c>
      <c r="B71" s="5">
        <v>2.97</v>
      </c>
      <c r="C71" s="5">
        <v>2.74</v>
      </c>
      <c r="D71" s="5">
        <v>2.8351999999999999</v>
      </c>
      <c r="E71" s="5">
        <f t="shared" si="9"/>
        <v>0.13480000000000025</v>
      </c>
      <c r="F71" s="5">
        <f t="shared" si="10"/>
        <v>-9.5199999999999729E-2</v>
      </c>
      <c r="G71" s="33">
        <v>2.65</v>
      </c>
      <c r="K71" s="15">
        <f t="shared" si="5"/>
        <v>4.7321428571428568</v>
      </c>
      <c r="L71" s="15"/>
      <c r="M71" s="13">
        <f t="shared" si="6"/>
        <v>27881</v>
      </c>
      <c r="N71" s="15"/>
      <c r="O71" s="15"/>
      <c r="P71" s="15"/>
      <c r="Q71" s="15"/>
      <c r="R71" s="15"/>
      <c r="U71" s="1">
        <f t="shared" si="7"/>
        <v>5</v>
      </c>
      <c r="V71" s="1">
        <f t="shared" si="8"/>
        <v>1976</v>
      </c>
    </row>
    <row r="72" spans="1:22" x14ac:dyDescent="0.25">
      <c r="A72" s="13">
        <v>27912</v>
      </c>
      <c r="B72" s="5">
        <v>3.145</v>
      </c>
      <c r="C72" s="5">
        <v>2.8650000000000002</v>
      </c>
      <c r="D72" s="5">
        <v>2.9794545454545456</v>
      </c>
      <c r="E72" s="5">
        <f t="shared" si="9"/>
        <v>0.16554545454545444</v>
      </c>
      <c r="F72" s="5">
        <f t="shared" si="10"/>
        <v>-0.11445454545454536</v>
      </c>
      <c r="G72" s="33">
        <v>2.78</v>
      </c>
      <c r="K72" s="15">
        <f t="shared" si="5"/>
        <v>4.9642857142857144</v>
      </c>
      <c r="L72" s="15"/>
      <c r="M72" s="13">
        <f t="shared" si="6"/>
        <v>27912</v>
      </c>
      <c r="N72" s="15"/>
      <c r="O72" s="15"/>
      <c r="P72" s="15"/>
      <c r="Q72" s="15"/>
      <c r="R72" s="15"/>
      <c r="U72" s="1">
        <f t="shared" si="7"/>
        <v>6</v>
      </c>
      <c r="V72" s="1">
        <f t="shared" si="8"/>
        <v>1976</v>
      </c>
    </row>
    <row r="73" spans="1:22" x14ac:dyDescent="0.25">
      <c r="A73" s="13">
        <v>27942</v>
      </c>
      <c r="B73" s="5">
        <v>3.0670000000000002</v>
      </c>
      <c r="C73" s="5">
        <v>2.78</v>
      </c>
      <c r="D73" s="5">
        <v>2.9162857142857144</v>
      </c>
      <c r="E73" s="5">
        <f t="shared" si="9"/>
        <v>0.1507142857142858</v>
      </c>
      <c r="F73" s="5">
        <f t="shared" si="10"/>
        <v>-0.13628571428571457</v>
      </c>
      <c r="G73" s="33">
        <v>2.81</v>
      </c>
      <c r="K73" s="15">
        <f t="shared" si="5"/>
        <v>5.0178571428571423</v>
      </c>
      <c r="L73" s="15"/>
      <c r="M73" s="13">
        <f t="shared" si="6"/>
        <v>27942</v>
      </c>
      <c r="N73" s="15"/>
      <c r="O73" s="15"/>
      <c r="P73" s="15"/>
      <c r="Q73" s="15"/>
      <c r="R73" s="15"/>
      <c r="U73" s="1">
        <f t="shared" si="7"/>
        <v>7</v>
      </c>
      <c r="V73" s="1">
        <f t="shared" si="8"/>
        <v>1976</v>
      </c>
    </row>
    <row r="74" spans="1:22" x14ac:dyDescent="0.25">
      <c r="A74" s="13">
        <v>27973</v>
      </c>
      <c r="B74" s="5">
        <v>2.85</v>
      </c>
      <c r="C74" s="5">
        <v>2.722</v>
      </c>
      <c r="D74" s="5">
        <v>2.7855909090909092</v>
      </c>
      <c r="E74" s="5">
        <f t="shared" si="9"/>
        <v>6.440909090909086E-2</v>
      </c>
      <c r="F74" s="5">
        <f t="shared" si="10"/>
        <v>-6.3590909090909253E-2</v>
      </c>
      <c r="G74" s="33">
        <v>2.67</v>
      </c>
      <c r="K74" s="15">
        <f t="shared" si="5"/>
        <v>4.7678571428571423</v>
      </c>
      <c r="L74" s="15"/>
      <c r="M74" s="13">
        <f t="shared" si="6"/>
        <v>27973</v>
      </c>
      <c r="N74" s="15"/>
      <c r="O74" s="15"/>
      <c r="P74" s="15"/>
      <c r="Q74" s="15"/>
      <c r="R74" s="15"/>
      <c r="U74" s="1">
        <f t="shared" si="7"/>
        <v>8</v>
      </c>
      <c r="V74" s="1">
        <f t="shared" si="8"/>
        <v>1976</v>
      </c>
    </row>
    <row r="75" spans="1:22" x14ac:dyDescent="0.25">
      <c r="A75" s="13">
        <v>28004</v>
      </c>
      <c r="B75" s="5">
        <v>3.0019999999999998</v>
      </c>
      <c r="C75" s="5">
        <v>2.65</v>
      </c>
      <c r="D75" s="5">
        <v>2.8332857142857142</v>
      </c>
      <c r="E75" s="5">
        <f t="shared" si="9"/>
        <v>0.16871428571428559</v>
      </c>
      <c r="F75" s="5">
        <f t="shared" si="10"/>
        <v>-0.18328571428571427</v>
      </c>
      <c r="G75" s="33">
        <v>2.57</v>
      </c>
      <c r="K75" s="15">
        <f t="shared" si="5"/>
        <v>4.5892857142857135</v>
      </c>
      <c r="L75" s="15"/>
      <c r="M75" s="13">
        <f t="shared" si="6"/>
        <v>28004</v>
      </c>
      <c r="N75" s="15"/>
      <c r="O75" s="15"/>
      <c r="P75" s="15"/>
      <c r="Q75" s="15"/>
      <c r="R75" s="15"/>
      <c r="U75" s="1">
        <f t="shared" si="7"/>
        <v>9</v>
      </c>
      <c r="V75" s="1">
        <f t="shared" si="8"/>
        <v>1976</v>
      </c>
    </row>
    <row r="76" spans="1:22" x14ac:dyDescent="0.25">
      <c r="A76" s="13">
        <v>28034</v>
      </c>
      <c r="B76" s="5">
        <v>2.77</v>
      </c>
      <c r="C76" s="5">
        <v>2.5</v>
      </c>
      <c r="D76" s="5">
        <v>2.6513333333333331</v>
      </c>
      <c r="E76" s="5">
        <f t="shared" si="9"/>
        <v>0.11866666666666692</v>
      </c>
      <c r="F76" s="5">
        <f t="shared" si="10"/>
        <v>-0.1513333333333331</v>
      </c>
      <c r="G76" s="33">
        <v>2.2999999999999998</v>
      </c>
      <c r="K76" s="15">
        <f t="shared" si="5"/>
        <v>4.1071428571428568</v>
      </c>
      <c r="L76" s="15"/>
      <c r="M76" s="13">
        <f t="shared" si="6"/>
        <v>28034</v>
      </c>
      <c r="N76" s="15"/>
      <c r="O76" s="15"/>
      <c r="P76" s="15"/>
      <c r="Q76" s="15"/>
      <c r="R76" s="15"/>
      <c r="U76" s="1">
        <f t="shared" si="7"/>
        <v>10</v>
      </c>
      <c r="V76" s="1">
        <f t="shared" si="8"/>
        <v>1976</v>
      </c>
    </row>
    <row r="77" spans="1:22" x14ac:dyDescent="0.25">
      <c r="A77" s="13">
        <v>28065</v>
      </c>
      <c r="B77" s="5">
        <v>2.5449999999999999</v>
      </c>
      <c r="C77" s="5">
        <v>2.3050000000000002</v>
      </c>
      <c r="D77" s="5">
        <v>2.4278</v>
      </c>
      <c r="E77" s="5">
        <f t="shared" si="9"/>
        <v>0.11719999999999997</v>
      </c>
      <c r="F77" s="5">
        <f t="shared" si="10"/>
        <v>-0.1227999999999998</v>
      </c>
      <c r="G77" s="33">
        <v>2.14</v>
      </c>
      <c r="K77" s="15">
        <f t="shared" si="5"/>
        <v>3.8214285714285716</v>
      </c>
      <c r="L77" s="15"/>
      <c r="M77" s="13">
        <f t="shared" si="6"/>
        <v>28065</v>
      </c>
      <c r="N77" s="15"/>
      <c r="O77" s="15"/>
      <c r="P77" s="15"/>
      <c r="Q77" s="15"/>
      <c r="R77" s="15"/>
      <c r="U77" s="1">
        <f t="shared" si="7"/>
        <v>11</v>
      </c>
      <c r="V77" s="1">
        <f t="shared" si="8"/>
        <v>1976</v>
      </c>
    </row>
    <row r="78" spans="1:22" x14ac:dyDescent="0.25">
      <c r="A78" s="13">
        <v>28095</v>
      </c>
      <c r="B78" s="5">
        <v>2.577</v>
      </c>
      <c r="C78" s="5">
        <v>2.4620000000000002</v>
      </c>
      <c r="D78" s="5">
        <v>2.5208095238095236</v>
      </c>
      <c r="E78" s="5">
        <f t="shared" si="9"/>
        <v>5.6190476190476346E-2</v>
      </c>
      <c r="F78" s="5">
        <f t="shared" si="10"/>
        <v>-5.8809523809523423E-2</v>
      </c>
      <c r="G78" s="33">
        <v>2.3199999999999998</v>
      </c>
      <c r="K78" s="15">
        <f t="shared" si="5"/>
        <v>4.1428571428571423</v>
      </c>
      <c r="L78" s="15"/>
      <c r="M78" s="13">
        <f t="shared" si="6"/>
        <v>28095</v>
      </c>
      <c r="N78" s="15"/>
      <c r="O78" s="15"/>
      <c r="P78" s="15"/>
      <c r="Q78" s="15"/>
      <c r="R78" s="15"/>
      <c r="U78" s="1">
        <f t="shared" si="7"/>
        <v>12</v>
      </c>
      <c r="V78" s="1">
        <f t="shared" si="8"/>
        <v>1976</v>
      </c>
    </row>
    <row r="79" spans="1:22" x14ac:dyDescent="0.25">
      <c r="A79" s="13">
        <v>28126</v>
      </c>
      <c r="B79" s="5">
        <v>2.6549999999999998</v>
      </c>
      <c r="C79" s="5">
        <v>2.5249999999999999</v>
      </c>
      <c r="D79" s="5">
        <v>2.5940952380952385</v>
      </c>
      <c r="E79" s="5">
        <f t="shared" si="9"/>
        <v>6.0904761904761351E-2</v>
      </c>
      <c r="F79" s="5">
        <f t="shared" si="10"/>
        <v>-6.9095238095238543E-2</v>
      </c>
      <c r="G79" s="33">
        <v>2.37</v>
      </c>
      <c r="K79" s="15">
        <f t="shared" si="5"/>
        <v>4.2321428571428577</v>
      </c>
      <c r="L79" s="15"/>
      <c r="M79" s="13">
        <f t="shared" si="6"/>
        <v>28126</v>
      </c>
      <c r="N79" s="15"/>
      <c r="O79" s="15"/>
      <c r="P79" s="15"/>
      <c r="Q79" s="15"/>
      <c r="R79" s="15"/>
      <c r="U79" s="1">
        <f t="shared" si="7"/>
        <v>1</v>
      </c>
      <c r="V79" s="1">
        <f t="shared" si="8"/>
        <v>1977</v>
      </c>
    </row>
    <row r="80" spans="1:22" x14ac:dyDescent="0.25">
      <c r="A80" s="13">
        <v>28157</v>
      </c>
      <c r="B80" s="5">
        <v>2.5920000000000001</v>
      </c>
      <c r="C80" s="5">
        <v>2.5099999999999998</v>
      </c>
      <c r="D80" s="5">
        <v>2.5568421052631578</v>
      </c>
      <c r="E80" s="5">
        <f t="shared" si="9"/>
        <v>3.5157894736842277E-2</v>
      </c>
      <c r="F80" s="5">
        <f t="shared" si="10"/>
        <v>-4.6842105263158018E-2</v>
      </c>
      <c r="G80" s="33">
        <v>2.36</v>
      </c>
      <c r="K80" s="15">
        <f t="shared" si="5"/>
        <v>4.2142857142857144</v>
      </c>
      <c r="L80" s="15"/>
      <c r="M80" s="13">
        <f t="shared" si="6"/>
        <v>28157</v>
      </c>
      <c r="N80" s="15"/>
      <c r="O80" s="15"/>
      <c r="P80" s="15"/>
      <c r="Q80" s="15"/>
      <c r="R80" s="15"/>
      <c r="U80" s="1">
        <f t="shared" si="7"/>
        <v>2</v>
      </c>
      <c r="V80" s="1">
        <f t="shared" si="8"/>
        <v>1977</v>
      </c>
    </row>
    <row r="81" spans="1:22" x14ac:dyDescent="0.25">
      <c r="A81" s="13">
        <v>28185</v>
      </c>
      <c r="B81" s="5">
        <v>2.645</v>
      </c>
      <c r="C81" s="5">
        <v>2.5150000000000001</v>
      </c>
      <c r="D81" s="5">
        <v>2.5901739130434782</v>
      </c>
      <c r="E81" s="5">
        <f t="shared" si="9"/>
        <v>5.4826086956521802E-2</v>
      </c>
      <c r="F81" s="5">
        <f t="shared" si="10"/>
        <v>-7.5173913043478091E-2</v>
      </c>
      <c r="G81" s="33">
        <v>2.37</v>
      </c>
      <c r="K81" s="15">
        <f t="shared" si="5"/>
        <v>4.2321428571428577</v>
      </c>
      <c r="L81" s="15"/>
      <c r="M81" s="13">
        <f t="shared" si="6"/>
        <v>28185</v>
      </c>
      <c r="N81" s="15"/>
      <c r="O81" s="15"/>
      <c r="P81" s="15"/>
      <c r="Q81" s="15"/>
      <c r="R81" s="15"/>
      <c r="U81" s="1">
        <f t="shared" si="7"/>
        <v>3</v>
      </c>
      <c r="V81" s="1">
        <f t="shared" si="8"/>
        <v>1977</v>
      </c>
    </row>
    <row r="82" spans="1:22" x14ac:dyDescent="0.25">
      <c r="A82" s="13">
        <v>28216</v>
      </c>
      <c r="B82" s="5">
        <v>2.62</v>
      </c>
      <c r="C82" s="5">
        <v>2.4500000000000002</v>
      </c>
      <c r="D82" s="5">
        <v>2.5266500000000001</v>
      </c>
      <c r="E82" s="5">
        <f t="shared" si="9"/>
        <v>9.3350000000000044E-2</v>
      </c>
      <c r="F82" s="5">
        <f t="shared" si="10"/>
        <v>-7.6649999999999885E-2</v>
      </c>
      <c r="G82" s="33">
        <v>2.35</v>
      </c>
      <c r="K82" s="15">
        <f t="shared" si="5"/>
        <v>4.1964285714285721</v>
      </c>
      <c r="L82" s="15"/>
      <c r="M82" s="13">
        <f t="shared" si="6"/>
        <v>28216</v>
      </c>
      <c r="N82" s="15"/>
      <c r="O82" s="15"/>
      <c r="P82" s="15"/>
      <c r="Q82" s="15"/>
      <c r="R82" s="15"/>
      <c r="U82" s="1">
        <f t="shared" si="7"/>
        <v>4</v>
      </c>
      <c r="V82" s="1">
        <f t="shared" si="8"/>
        <v>1977</v>
      </c>
    </row>
    <row r="83" spans="1:22" x14ac:dyDescent="0.25">
      <c r="A83" s="13">
        <v>28246</v>
      </c>
      <c r="B83" s="5">
        <v>2.5350000000000001</v>
      </c>
      <c r="C83" s="5">
        <v>2.387</v>
      </c>
      <c r="D83" s="5">
        <v>2.4406500000000002</v>
      </c>
      <c r="E83" s="5">
        <f t="shared" si="9"/>
        <v>9.4349999999999934E-2</v>
      </c>
      <c r="F83" s="5">
        <f t="shared" si="10"/>
        <v>-5.3650000000000198E-2</v>
      </c>
      <c r="G83" s="33">
        <v>2.2599999999999998</v>
      </c>
      <c r="K83" s="15">
        <f t="shared" si="5"/>
        <v>4.0357142857142856</v>
      </c>
      <c r="L83" s="15"/>
      <c r="M83" s="13">
        <f t="shared" si="6"/>
        <v>28246</v>
      </c>
      <c r="N83" s="15"/>
      <c r="O83" s="15"/>
      <c r="P83" s="15"/>
      <c r="Q83" s="15"/>
      <c r="R83" s="15"/>
      <c r="U83" s="1">
        <f t="shared" si="7"/>
        <v>5</v>
      </c>
      <c r="V83" s="1">
        <f t="shared" si="8"/>
        <v>1977</v>
      </c>
    </row>
    <row r="84" spans="1:22" x14ac:dyDescent="0.25">
      <c r="A84" s="13">
        <v>28277</v>
      </c>
      <c r="B84" s="5">
        <v>2.5150000000000001</v>
      </c>
      <c r="C84" s="5">
        <v>2.2000000000000002</v>
      </c>
      <c r="D84" s="5">
        <v>2.3449545454545455</v>
      </c>
      <c r="E84" s="5">
        <f t="shared" si="9"/>
        <v>0.17004545454545461</v>
      </c>
      <c r="F84" s="5">
        <f t="shared" si="10"/>
        <v>-0.14495454545454534</v>
      </c>
      <c r="G84" s="33">
        <v>2.12</v>
      </c>
      <c r="K84" s="15">
        <f t="shared" si="5"/>
        <v>3.785714285714286</v>
      </c>
      <c r="L84" s="15"/>
      <c r="M84" s="13">
        <f t="shared" si="6"/>
        <v>28277</v>
      </c>
      <c r="N84" s="15"/>
      <c r="O84" s="15"/>
      <c r="P84" s="15"/>
      <c r="Q84" s="15"/>
      <c r="R84" s="15"/>
      <c r="U84" s="1">
        <f t="shared" si="7"/>
        <v>6</v>
      </c>
      <c r="V84" s="1">
        <f t="shared" si="8"/>
        <v>1977</v>
      </c>
    </row>
    <row r="85" spans="1:22" x14ac:dyDescent="0.25">
      <c r="A85" s="13">
        <v>28307</v>
      </c>
      <c r="B85" s="5">
        <v>2.31</v>
      </c>
      <c r="C85" s="5">
        <v>1.94</v>
      </c>
      <c r="D85" s="5">
        <v>2.13795</v>
      </c>
      <c r="E85" s="5">
        <f t="shared" si="9"/>
        <v>0.17205000000000004</v>
      </c>
      <c r="F85" s="5">
        <f t="shared" si="10"/>
        <v>-0.19795000000000007</v>
      </c>
      <c r="G85" s="33">
        <v>1.88</v>
      </c>
      <c r="K85" s="15">
        <f t="shared" si="5"/>
        <v>3.3571428571428572</v>
      </c>
      <c r="L85" s="15"/>
      <c r="M85" s="13">
        <f t="shared" si="6"/>
        <v>28307</v>
      </c>
      <c r="N85" s="15"/>
      <c r="O85" s="15"/>
      <c r="P85" s="15"/>
      <c r="Q85" s="15"/>
      <c r="R85" s="15"/>
      <c r="U85" s="1">
        <f t="shared" si="7"/>
        <v>7</v>
      </c>
      <c r="V85" s="1">
        <f t="shared" si="8"/>
        <v>1977</v>
      </c>
    </row>
    <row r="86" spans="1:22" x14ac:dyDescent="0.25">
      <c r="A86" s="13">
        <v>28338</v>
      </c>
      <c r="B86" s="5">
        <v>2.0099999999999998</v>
      </c>
      <c r="C86" s="5">
        <v>1.8069999999999999</v>
      </c>
      <c r="D86" s="5">
        <v>1.8923478260869566</v>
      </c>
      <c r="E86" s="5">
        <f t="shared" si="9"/>
        <v>0.11765217391304317</v>
      </c>
      <c r="F86" s="5">
        <f t="shared" si="10"/>
        <v>-8.534782608695668E-2</v>
      </c>
      <c r="G86" s="33">
        <v>1.61</v>
      </c>
      <c r="K86" s="15">
        <f t="shared" si="5"/>
        <v>2.875</v>
      </c>
      <c r="L86" s="15"/>
      <c r="M86" s="13">
        <f t="shared" si="6"/>
        <v>28338</v>
      </c>
      <c r="N86" s="15"/>
      <c r="O86" s="15"/>
      <c r="P86" s="15"/>
      <c r="Q86" s="15"/>
      <c r="R86" s="15"/>
      <c r="U86" s="1">
        <f t="shared" si="7"/>
        <v>8</v>
      </c>
      <c r="V86" s="1">
        <f t="shared" si="8"/>
        <v>1977</v>
      </c>
    </row>
    <row r="87" spans="1:22" x14ac:dyDescent="0.25">
      <c r="A87" s="13">
        <v>28369</v>
      </c>
      <c r="B87" s="5">
        <v>2.09</v>
      </c>
      <c r="C87" s="5">
        <v>1.917</v>
      </c>
      <c r="D87" s="5">
        <v>2.011047619047619</v>
      </c>
      <c r="E87" s="5">
        <f t="shared" si="9"/>
        <v>7.8952380952380885E-2</v>
      </c>
      <c r="F87" s="5">
        <f t="shared" si="10"/>
        <v>-9.4047619047618936E-2</v>
      </c>
      <c r="G87" s="33">
        <v>1.58</v>
      </c>
      <c r="K87" s="15">
        <f t="shared" si="5"/>
        <v>2.8214285714285716</v>
      </c>
      <c r="L87" s="15"/>
      <c r="M87" s="13">
        <f t="shared" si="6"/>
        <v>28369</v>
      </c>
      <c r="N87" s="15"/>
      <c r="O87" s="15"/>
      <c r="P87" s="15"/>
      <c r="Q87" s="15"/>
      <c r="R87" s="15"/>
      <c r="U87" s="1">
        <f t="shared" si="7"/>
        <v>9</v>
      </c>
      <c r="V87" s="1">
        <f t="shared" si="8"/>
        <v>1977</v>
      </c>
    </row>
    <row r="88" spans="1:22" x14ac:dyDescent="0.25">
      <c r="A88" s="13">
        <v>28399</v>
      </c>
      <c r="B88" s="5">
        <v>2.15</v>
      </c>
      <c r="C88" s="5">
        <v>2.0169999999999999</v>
      </c>
      <c r="D88" s="5">
        <v>2.084857142857143</v>
      </c>
      <c r="E88" s="5">
        <f t="shared" si="9"/>
        <v>6.5142857142856947E-2</v>
      </c>
      <c r="F88" s="5">
        <f t="shared" si="10"/>
        <v>-6.785714285714306E-2</v>
      </c>
      <c r="G88" s="33">
        <v>1.68</v>
      </c>
      <c r="K88" s="15">
        <f t="shared" si="5"/>
        <v>3</v>
      </c>
      <c r="L88" s="15"/>
      <c r="M88" s="13">
        <f t="shared" si="6"/>
        <v>28399</v>
      </c>
      <c r="N88" s="15"/>
      <c r="O88" s="15"/>
      <c r="P88" s="15"/>
      <c r="Q88" s="15"/>
      <c r="R88" s="15"/>
      <c r="U88" s="1">
        <f t="shared" si="7"/>
        <v>10</v>
      </c>
      <c r="V88" s="1">
        <f t="shared" si="8"/>
        <v>1977</v>
      </c>
    </row>
    <row r="89" spans="1:22" x14ac:dyDescent="0.25">
      <c r="A89" s="13">
        <v>28430</v>
      </c>
      <c r="B89" s="5">
        <v>2.2719999999999998</v>
      </c>
      <c r="C89" s="5">
        <v>2.1419999999999999</v>
      </c>
      <c r="D89" s="5">
        <v>2.2163809523809523</v>
      </c>
      <c r="E89" s="5">
        <f t="shared" si="9"/>
        <v>5.5619047619047457E-2</v>
      </c>
      <c r="F89" s="5">
        <f t="shared" si="10"/>
        <v>-7.4380952380952436E-2</v>
      </c>
      <c r="G89" s="33">
        <v>2.0299999999999998</v>
      </c>
      <c r="K89" s="15">
        <f t="shared" si="5"/>
        <v>3.6249999999999996</v>
      </c>
      <c r="L89" s="15"/>
      <c r="M89" s="13">
        <f t="shared" si="6"/>
        <v>28430</v>
      </c>
      <c r="N89" s="15"/>
      <c r="O89" s="15"/>
      <c r="P89" s="15"/>
      <c r="Q89" s="15"/>
      <c r="R89" s="15"/>
      <c r="U89" s="1">
        <f t="shared" si="7"/>
        <v>11</v>
      </c>
      <c r="V89" s="1">
        <f t="shared" si="8"/>
        <v>1977</v>
      </c>
    </row>
    <row r="90" spans="1:22" x14ac:dyDescent="0.25">
      <c r="A90" s="13">
        <v>28460</v>
      </c>
      <c r="B90" s="5">
        <v>2.3069999999999999</v>
      </c>
      <c r="C90" s="5">
        <v>2.21</v>
      </c>
      <c r="D90" s="5">
        <v>2.2508571428571429</v>
      </c>
      <c r="E90" s="5">
        <f t="shared" si="9"/>
        <v>5.614285714285705E-2</v>
      </c>
      <c r="F90" s="5">
        <f t="shared" si="10"/>
        <v>-4.0857142857142925E-2</v>
      </c>
      <c r="G90" s="33">
        <v>2.08</v>
      </c>
      <c r="K90" s="15">
        <f t="shared" si="5"/>
        <v>3.7142857142857144</v>
      </c>
      <c r="L90" s="15"/>
      <c r="M90" s="13">
        <f t="shared" si="6"/>
        <v>28460</v>
      </c>
      <c r="N90" s="15"/>
      <c r="O90" s="15"/>
      <c r="P90" s="15"/>
      <c r="Q90" s="15"/>
      <c r="R90" s="15"/>
      <c r="U90" s="1">
        <f t="shared" si="7"/>
        <v>12</v>
      </c>
      <c r="V90" s="1">
        <f t="shared" si="8"/>
        <v>1977</v>
      </c>
    </row>
    <row r="91" spans="1:22" x14ac:dyDescent="0.25">
      <c r="A91" s="13">
        <v>28491</v>
      </c>
      <c r="B91" s="5">
        <v>2.2850000000000001</v>
      </c>
      <c r="C91" s="5">
        <v>2.202</v>
      </c>
      <c r="D91" s="5">
        <v>2.2419047619047623</v>
      </c>
      <c r="E91" s="5">
        <f t="shared" si="9"/>
        <v>4.3095238095237853E-2</v>
      </c>
      <c r="F91" s="5">
        <f t="shared" si="10"/>
        <v>-3.9904761904762331E-2</v>
      </c>
      <c r="G91" s="33">
        <v>2.04</v>
      </c>
      <c r="K91" s="15">
        <f t="shared" si="5"/>
        <v>3.6428571428571428</v>
      </c>
      <c r="L91" s="15"/>
      <c r="M91" s="13">
        <f t="shared" si="6"/>
        <v>28491</v>
      </c>
      <c r="N91" s="15"/>
      <c r="O91" s="15"/>
      <c r="P91" s="15"/>
      <c r="Q91" s="15"/>
      <c r="R91" s="15"/>
      <c r="U91" s="1">
        <f t="shared" si="7"/>
        <v>1</v>
      </c>
      <c r="V91" s="1">
        <f t="shared" si="8"/>
        <v>1978</v>
      </c>
    </row>
    <row r="92" spans="1:22" x14ac:dyDescent="0.25">
      <c r="A92" s="13">
        <v>28522</v>
      </c>
      <c r="B92" s="5">
        <v>2.2749999999999999</v>
      </c>
      <c r="C92" s="5">
        <v>2.2400000000000002</v>
      </c>
      <c r="D92" s="5">
        <v>2.2624210526315793</v>
      </c>
      <c r="E92" s="5">
        <f t="shared" si="9"/>
        <v>1.2578947368420579E-2</v>
      </c>
      <c r="F92" s="5">
        <f t="shared" si="10"/>
        <v>-2.2421052631579119E-2</v>
      </c>
      <c r="G92" s="33">
        <v>2.06</v>
      </c>
      <c r="K92" s="15">
        <f t="shared" si="5"/>
        <v>3.6785714285714288</v>
      </c>
      <c r="L92" s="15"/>
      <c r="M92" s="13">
        <f t="shared" si="6"/>
        <v>28522</v>
      </c>
      <c r="N92" s="15"/>
      <c r="O92" s="15"/>
      <c r="P92" s="15"/>
      <c r="Q92" s="15"/>
      <c r="R92" s="15"/>
      <c r="U92" s="1">
        <f t="shared" si="7"/>
        <v>2</v>
      </c>
      <c r="V92" s="1">
        <f t="shared" si="8"/>
        <v>1978</v>
      </c>
    </row>
    <row r="93" spans="1:22" x14ac:dyDescent="0.25">
      <c r="A93" s="13">
        <v>28550</v>
      </c>
      <c r="B93" s="5">
        <v>2.5720000000000001</v>
      </c>
      <c r="C93" s="5">
        <v>2.2850000000000001</v>
      </c>
      <c r="D93" s="5">
        <v>2.4389090909090911</v>
      </c>
      <c r="E93" s="5">
        <f t="shared" si="9"/>
        <v>0.13309090909090893</v>
      </c>
      <c r="F93" s="5">
        <f t="shared" si="10"/>
        <v>-0.153909090909091</v>
      </c>
      <c r="G93" s="33">
        <v>2.2000000000000002</v>
      </c>
      <c r="K93" s="15">
        <f t="shared" si="5"/>
        <v>3.9285714285714293</v>
      </c>
      <c r="L93" s="15"/>
      <c r="M93" s="13">
        <f t="shared" si="6"/>
        <v>28550</v>
      </c>
      <c r="N93" s="15"/>
      <c r="O93" s="15"/>
      <c r="P93" s="15"/>
      <c r="Q93" s="15"/>
      <c r="R93" s="15"/>
      <c r="U93" s="1">
        <f t="shared" si="7"/>
        <v>3</v>
      </c>
      <c r="V93" s="1">
        <f t="shared" si="8"/>
        <v>1978</v>
      </c>
    </row>
    <row r="94" spans="1:22" x14ac:dyDescent="0.25">
      <c r="A94" s="13">
        <v>28581</v>
      </c>
      <c r="B94" s="5">
        <v>2.677</v>
      </c>
      <c r="C94" s="5">
        <v>2.4500000000000002</v>
      </c>
      <c r="D94" s="5">
        <v>2.56575</v>
      </c>
      <c r="E94" s="5">
        <f t="shared" si="9"/>
        <v>0.11125000000000007</v>
      </c>
      <c r="F94" s="5">
        <f t="shared" si="10"/>
        <v>-0.1157499999999998</v>
      </c>
      <c r="G94" s="33">
        <v>2.31</v>
      </c>
      <c r="K94" s="15">
        <f t="shared" si="5"/>
        <v>4.125</v>
      </c>
      <c r="L94" s="15"/>
      <c r="M94" s="13">
        <f t="shared" si="6"/>
        <v>28581</v>
      </c>
      <c r="N94" s="15"/>
      <c r="O94" s="15"/>
      <c r="P94" s="15"/>
      <c r="Q94" s="15"/>
      <c r="R94" s="15"/>
      <c r="U94" s="1">
        <f t="shared" si="7"/>
        <v>4</v>
      </c>
      <c r="V94" s="1">
        <f t="shared" si="8"/>
        <v>1978</v>
      </c>
    </row>
    <row r="95" spans="1:22" x14ac:dyDescent="0.25">
      <c r="A95" s="13">
        <v>28611</v>
      </c>
      <c r="B95" s="5">
        <v>2.7149999999999999</v>
      </c>
      <c r="C95" s="5">
        <v>2.4350000000000001</v>
      </c>
      <c r="D95" s="5">
        <v>2.5599090909090911</v>
      </c>
      <c r="E95" s="5">
        <f t="shared" si="9"/>
        <v>0.15509090909090872</v>
      </c>
      <c r="F95" s="5">
        <f t="shared" si="10"/>
        <v>-0.12490909090909108</v>
      </c>
      <c r="G95" s="33">
        <v>2.34</v>
      </c>
      <c r="K95" s="15">
        <f t="shared" si="5"/>
        <v>4.1785714285714279</v>
      </c>
      <c r="L95" s="15"/>
      <c r="M95" s="13">
        <f t="shared" si="6"/>
        <v>28611</v>
      </c>
      <c r="N95" s="15"/>
      <c r="O95" s="15"/>
      <c r="P95" s="15"/>
      <c r="Q95" s="15"/>
      <c r="R95" s="15"/>
      <c r="U95" s="1">
        <f t="shared" si="7"/>
        <v>5</v>
      </c>
      <c r="V95" s="1">
        <f t="shared" si="8"/>
        <v>1978</v>
      </c>
    </row>
    <row r="96" spans="1:22" x14ac:dyDescent="0.25">
      <c r="A96" s="13">
        <v>28642</v>
      </c>
      <c r="B96" s="5">
        <v>2.69</v>
      </c>
      <c r="C96" s="5">
        <v>2.4500000000000002</v>
      </c>
      <c r="D96" s="5">
        <v>2.566045454545455</v>
      </c>
      <c r="E96" s="5">
        <f t="shared" si="9"/>
        <v>0.12395454545454498</v>
      </c>
      <c r="F96" s="5">
        <f t="shared" si="10"/>
        <v>-0.11604545454545478</v>
      </c>
      <c r="G96" s="33">
        <v>2.3199999999999998</v>
      </c>
      <c r="K96" s="15">
        <f t="shared" si="5"/>
        <v>4.1428571428571423</v>
      </c>
      <c r="L96" s="15"/>
      <c r="M96" s="13">
        <f t="shared" si="6"/>
        <v>28642</v>
      </c>
      <c r="N96" s="15"/>
      <c r="O96" s="15"/>
      <c r="P96" s="15"/>
      <c r="Q96" s="15"/>
      <c r="R96" s="15"/>
      <c r="U96" s="1">
        <f t="shared" si="7"/>
        <v>6</v>
      </c>
      <c r="V96" s="1">
        <f t="shared" si="8"/>
        <v>1978</v>
      </c>
    </row>
    <row r="97" spans="1:22" x14ac:dyDescent="0.25">
      <c r="A97" s="13">
        <v>28672</v>
      </c>
      <c r="B97" s="5">
        <v>2.5150000000000001</v>
      </c>
      <c r="C97" s="5">
        <v>2.262</v>
      </c>
      <c r="D97" s="5">
        <v>2.3679999999999999</v>
      </c>
      <c r="E97" s="5">
        <f t="shared" si="9"/>
        <v>0.14700000000000024</v>
      </c>
      <c r="F97" s="5">
        <f t="shared" si="10"/>
        <v>-0.10599999999999987</v>
      </c>
      <c r="G97" s="33">
        <v>2.11</v>
      </c>
      <c r="K97" s="15">
        <f t="shared" si="5"/>
        <v>3.7678571428571428</v>
      </c>
      <c r="L97" s="15"/>
      <c r="M97" s="13">
        <f t="shared" si="6"/>
        <v>28672</v>
      </c>
      <c r="N97" s="15"/>
      <c r="O97" s="15"/>
      <c r="P97" s="15"/>
      <c r="Q97" s="15"/>
      <c r="R97" s="15"/>
      <c r="U97" s="1">
        <f t="shared" si="7"/>
        <v>7</v>
      </c>
      <c r="V97" s="1">
        <f t="shared" si="8"/>
        <v>1978</v>
      </c>
    </row>
    <row r="98" spans="1:22" x14ac:dyDescent="0.25">
      <c r="A98" s="13">
        <v>28703</v>
      </c>
      <c r="B98" s="5">
        <v>2.2770000000000001</v>
      </c>
      <c r="C98" s="5">
        <v>2.11</v>
      </c>
      <c r="D98" s="5">
        <v>2.1935217391304347</v>
      </c>
      <c r="E98" s="5">
        <f t="shared" si="9"/>
        <v>8.3478260869565446E-2</v>
      </c>
      <c r="F98" s="5">
        <f t="shared" si="10"/>
        <v>-8.3521739130434813E-2</v>
      </c>
      <c r="G98" s="33">
        <v>1.98</v>
      </c>
      <c r="K98" s="15">
        <f t="shared" si="5"/>
        <v>3.5357142857142856</v>
      </c>
      <c r="L98" s="15"/>
      <c r="M98" s="13">
        <f t="shared" si="6"/>
        <v>28703</v>
      </c>
      <c r="N98" s="15"/>
      <c r="O98" s="15"/>
      <c r="P98" s="15"/>
      <c r="Q98" s="15"/>
      <c r="R98" s="15"/>
      <c r="U98" s="1">
        <f t="shared" si="7"/>
        <v>8</v>
      </c>
      <c r="V98" s="1">
        <f t="shared" si="8"/>
        <v>1978</v>
      </c>
    </row>
    <row r="99" spans="1:22" x14ac:dyDescent="0.25">
      <c r="A99" s="13">
        <v>28734</v>
      </c>
      <c r="B99" s="5">
        <v>2.2669999999999999</v>
      </c>
      <c r="C99" s="5">
        <v>2.17</v>
      </c>
      <c r="D99" s="5">
        <v>2.2174999999999998</v>
      </c>
      <c r="E99" s="5">
        <f t="shared" si="9"/>
        <v>4.9500000000000099E-2</v>
      </c>
      <c r="F99" s="5">
        <f t="shared" si="10"/>
        <v>-4.7499999999999876E-2</v>
      </c>
      <c r="G99" s="33">
        <v>1.92</v>
      </c>
      <c r="K99" s="15">
        <f t="shared" si="5"/>
        <v>3.4285714285714288</v>
      </c>
      <c r="L99" s="15"/>
      <c r="M99" s="13">
        <f t="shared" si="6"/>
        <v>28734</v>
      </c>
      <c r="N99" s="15"/>
      <c r="O99" s="15"/>
      <c r="P99" s="15"/>
      <c r="Q99" s="15"/>
      <c r="R99" s="15"/>
      <c r="U99" s="1">
        <f t="shared" si="7"/>
        <v>9</v>
      </c>
      <c r="V99" s="1">
        <f t="shared" si="8"/>
        <v>1978</v>
      </c>
    </row>
    <row r="100" spans="1:22" x14ac:dyDescent="0.25">
      <c r="A100" s="13">
        <v>28764</v>
      </c>
      <c r="B100" s="5">
        <v>2.4049999999999998</v>
      </c>
      <c r="C100" s="5">
        <v>2.2469999999999999</v>
      </c>
      <c r="D100" s="5">
        <v>2.306</v>
      </c>
      <c r="E100" s="5">
        <f t="shared" si="9"/>
        <v>9.8999999999999755E-2</v>
      </c>
      <c r="F100" s="5">
        <f t="shared" si="10"/>
        <v>-5.9000000000000163E-2</v>
      </c>
      <c r="G100" s="33">
        <v>2.02</v>
      </c>
      <c r="K100" s="15">
        <f t="shared" si="5"/>
        <v>3.6071428571428572</v>
      </c>
      <c r="L100" s="15"/>
      <c r="M100" s="13">
        <f t="shared" si="6"/>
        <v>28764</v>
      </c>
      <c r="N100" s="15"/>
      <c r="O100" s="15"/>
      <c r="P100" s="15"/>
      <c r="Q100" s="15"/>
      <c r="R100" s="15"/>
      <c r="U100" s="1">
        <f t="shared" si="7"/>
        <v>10</v>
      </c>
      <c r="V100" s="1">
        <f t="shared" si="8"/>
        <v>1978</v>
      </c>
    </row>
    <row r="101" spans="1:22" x14ac:dyDescent="0.25">
      <c r="A101" s="13">
        <v>28795</v>
      </c>
      <c r="B101" s="5">
        <v>2.36</v>
      </c>
      <c r="C101" s="5">
        <v>2.2370000000000001</v>
      </c>
      <c r="D101" s="5">
        <v>2.28715</v>
      </c>
      <c r="E101" s="5">
        <f t="shared" si="9"/>
        <v>7.2849999999999859E-2</v>
      </c>
      <c r="F101" s="5">
        <f t="shared" si="10"/>
        <v>-5.0149999999999917E-2</v>
      </c>
      <c r="G101" s="33">
        <v>2.15</v>
      </c>
      <c r="K101" s="15">
        <f t="shared" si="5"/>
        <v>3.839285714285714</v>
      </c>
      <c r="L101" s="15"/>
      <c r="M101" s="13">
        <f t="shared" si="6"/>
        <v>28795</v>
      </c>
      <c r="N101" s="15"/>
      <c r="O101" s="15"/>
      <c r="P101" s="15"/>
      <c r="Q101" s="15"/>
      <c r="R101" s="15"/>
      <c r="U101" s="1">
        <f t="shared" si="7"/>
        <v>11</v>
      </c>
      <c r="V101" s="1">
        <f t="shared" si="8"/>
        <v>1978</v>
      </c>
    </row>
    <row r="102" spans="1:22" x14ac:dyDescent="0.25">
      <c r="A102" s="13">
        <v>28825</v>
      </c>
      <c r="B102" s="5">
        <v>2.3919999999999999</v>
      </c>
      <c r="C102" s="5">
        <v>2.2999999999999998</v>
      </c>
      <c r="D102" s="5">
        <v>2.33325</v>
      </c>
      <c r="E102" s="5">
        <f t="shared" si="9"/>
        <v>5.8749999999999858E-2</v>
      </c>
      <c r="F102" s="5">
        <f t="shared" si="10"/>
        <v>-3.3250000000000224E-2</v>
      </c>
      <c r="G102" s="33">
        <v>2.12</v>
      </c>
      <c r="K102" s="15">
        <f t="shared" si="5"/>
        <v>3.785714285714286</v>
      </c>
      <c r="L102" s="15"/>
      <c r="M102" s="13">
        <f t="shared" si="6"/>
        <v>28825</v>
      </c>
      <c r="N102" s="15"/>
      <c r="O102" s="15"/>
      <c r="P102" s="15"/>
      <c r="Q102" s="15"/>
      <c r="R102" s="15"/>
      <c r="U102" s="1">
        <f t="shared" si="7"/>
        <v>12</v>
      </c>
      <c r="V102" s="1">
        <f t="shared" si="8"/>
        <v>1978</v>
      </c>
    </row>
    <row r="103" spans="1:22" x14ac:dyDescent="0.25">
      <c r="A103" s="13">
        <v>28856</v>
      </c>
      <c r="B103" s="5">
        <v>2.3570000000000002</v>
      </c>
      <c r="C103" s="5">
        <v>2.2799999999999998</v>
      </c>
      <c r="D103" s="5">
        <v>2.3178636363636365</v>
      </c>
      <c r="E103" s="5">
        <f t="shared" si="9"/>
        <v>3.9136363636363747E-2</v>
      </c>
      <c r="F103" s="5">
        <f t="shared" si="10"/>
        <v>-3.7863636363636655E-2</v>
      </c>
      <c r="G103" s="33">
        <v>2.12</v>
      </c>
      <c r="K103" s="15">
        <f t="shared" si="5"/>
        <v>3.785714285714286</v>
      </c>
      <c r="L103" s="15"/>
      <c r="M103" s="13">
        <f t="shared" si="6"/>
        <v>28856</v>
      </c>
      <c r="N103" s="15"/>
      <c r="O103" s="15"/>
      <c r="P103" s="15"/>
      <c r="Q103" s="15"/>
      <c r="R103" s="15"/>
      <c r="U103" s="1">
        <f t="shared" si="7"/>
        <v>1</v>
      </c>
      <c r="V103" s="1">
        <f t="shared" si="8"/>
        <v>1979</v>
      </c>
    </row>
    <row r="104" spans="1:22" x14ac:dyDescent="0.25">
      <c r="A104" s="13">
        <v>28887</v>
      </c>
      <c r="B104" s="5">
        <v>2.4</v>
      </c>
      <c r="C104" s="5">
        <v>2.3319999999999999</v>
      </c>
      <c r="D104" s="5">
        <v>2.3644736842105263</v>
      </c>
      <c r="E104" s="5">
        <f t="shared" si="9"/>
        <v>3.5526315789473628E-2</v>
      </c>
      <c r="F104" s="5">
        <f t="shared" si="10"/>
        <v>-3.2473684210526432E-2</v>
      </c>
      <c r="G104" s="33">
        <v>2.17</v>
      </c>
      <c r="K104" s="15">
        <f t="shared" si="5"/>
        <v>3.875</v>
      </c>
      <c r="L104" s="15"/>
      <c r="M104" s="13">
        <f t="shared" si="6"/>
        <v>28887</v>
      </c>
      <c r="N104" s="15"/>
      <c r="O104" s="15"/>
      <c r="P104" s="15"/>
      <c r="Q104" s="15"/>
      <c r="R104" s="15"/>
      <c r="U104" s="1">
        <f t="shared" si="7"/>
        <v>2</v>
      </c>
      <c r="V104" s="1">
        <f t="shared" si="8"/>
        <v>1979</v>
      </c>
    </row>
    <row r="105" spans="1:22" x14ac:dyDescent="0.25">
      <c r="A105" s="13">
        <v>28915</v>
      </c>
      <c r="B105" s="5">
        <v>2.52</v>
      </c>
      <c r="C105" s="5">
        <v>2.4249999999999998</v>
      </c>
      <c r="D105" s="5">
        <v>2.4697727272727277</v>
      </c>
      <c r="E105" s="5">
        <f t="shared" si="9"/>
        <v>5.0227272727272343E-2</v>
      </c>
      <c r="F105" s="5">
        <f t="shared" si="10"/>
        <v>-4.4772727272727852E-2</v>
      </c>
      <c r="G105" s="33">
        <v>2.2599999999999998</v>
      </c>
      <c r="K105" s="15">
        <f t="shared" si="5"/>
        <v>4.0357142857142856</v>
      </c>
      <c r="L105" s="15"/>
      <c r="M105" s="13">
        <f t="shared" si="6"/>
        <v>28915</v>
      </c>
      <c r="N105" s="15"/>
      <c r="O105" s="15"/>
      <c r="P105" s="15"/>
      <c r="Q105" s="15"/>
      <c r="R105" s="15"/>
      <c r="U105" s="1">
        <f t="shared" si="7"/>
        <v>3</v>
      </c>
      <c r="V105" s="1">
        <f t="shared" si="8"/>
        <v>1979</v>
      </c>
    </row>
    <row r="106" spans="1:22" x14ac:dyDescent="0.25">
      <c r="A106" s="13">
        <v>28946</v>
      </c>
      <c r="B106" s="5">
        <v>2.6</v>
      </c>
      <c r="C106" s="5">
        <v>2.492</v>
      </c>
      <c r="D106" s="5">
        <v>2.5405000000000002</v>
      </c>
      <c r="E106" s="5">
        <f t="shared" si="9"/>
        <v>5.9499999999999886E-2</v>
      </c>
      <c r="F106" s="5">
        <f t="shared" si="10"/>
        <v>-4.850000000000021E-2</v>
      </c>
      <c r="G106" s="33">
        <v>2.3199999999999998</v>
      </c>
      <c r="K106" s="15">
        <f t="shared" si="5"/>
        <v>4.1428571428571423</v>
      </c>
      <c r="L106" s="15"/>
      <c r="M106" s="13">
        <f t="shared" si="6"/>
        <v>28946</v>
      </c>
      <c r="N106" s="15"/>
      <c r="O106" s="15"/>
      <c r="P106" s="15"/>
      <c r="Q106" s="15"/>
      <c r="R106" s="15"/>
      <c r="U106" s="1">
        <f t="shared" si="7"/>
        <v>4</v>
      </c>
      <c r="V106" s="1">
        <f t="shared" si="8"/>
        <v>1979</v>
      </c>
    </row>
    <row r="107" spans="1:22" x14ac:dyDescent="0.25">
      <c r="A107" s="13">
        <v>28976</v>
      </c>
      <c r="B107" s="5">
        <v>2.7669999999999999</v>
      </c>
      <c r="C107" s="5">
        <v>2.6070000000000002</v>
      </c>
      <c r="D107" s="5">
        <v>2.672409090909091</v>
      </c>
      <c r="E107" s="5">
        <f t="shared" si="9"/>
        <v>9.4590909090908948E-2</v>
      </c>
      <c r="F107" s="5">
        <f t="shared" si="10"/>
        <v>-6.540909090909075E-2</v>
      </c>
      <c r="G107" s="33">
        <v>2.42</v>
      </c>
      <c r="K107" s="15">
        <f t="shared" si="5"/>
        <v>4.3214285714285712</v>
      </c>
      <c r="L107" s="15"/>
      <c r="M107" s="13">
        <f t="shared" si="6"/>
        <v>28976</v>
      </c>
      <c r="N107" s="15"/>
      <c r="O107" s="15"/>
      <c r="P107" s="15"/>
      <c r="Q107" s="15"/>
      <c r="R107" s="15"/>
      <c r="U107" s="1">
        <f t="shared" si="7"/>
        <v>5</v>
      </c>
      <c r="V107" s="1">
        <f t="shared" si="8"/>
        <v>1979</v>
      </c>
    </row>
    <row r="108" spans="1:22" x14ac:dyDescent="0.25">
      <c r="A108" s="13">
        <v>29007</v>
      </c>
      <c r="B108" s="5">
        <v>3.1749999999999998</v>
      </c>
      <c r="C108" s="5">
        <v>2.6619999999999999</v>
      </c>
      <c r="D108" s="5">
        <v>2.8735238095238094</v>
      </c>
      <c r="E108" s="5">
        <f t="shared" si="9"/>
        <v>0.30147619047619045</v>
      </c>
      <c r="F108" s="5">
        <f t="shared" si="10"/>
        <v>-0.21152380952380945</v>
      </c>
      <c r="G108" s="33">
        <v>2.62</v>
      </c>
      <c r="K108" s="15">
        <f t="shared" si="5"/>
        <v>4.6785714285714288</v>
      </c>
      <c r="L108" s="15"/>
      <c r="M108" s="13">
        <f t="shared" si="6"/>
        <v>29007</v>
      </c>
      <c r="N108" s="15"/>
      <c r="O108" s="15"/>
      <c r="P108" s="15"/>
      <c r="Q108" s="15"/>
      <c r="R108" s="15"/>
      <c r="U108" s="1">
        <f t="shared" si="7"/>
        <v>6</v>
      </c>
      <c r="V108" s="1">
        <f t="shared" si="8"/>
        <v>1979</v>
      </c>
    </row>
    <row r="109" spans="1:22" x14ac:dyDescent="0.25">
      <c r="A109" s="13">
        <v>29037</v>
      </c>
      <c r="B109" s="5">
        <v>3.2320000000000002</v>
      </c>
      <c r="C109" s="5">
        <v>2.7570000000000001</v>
      </c>
      <c r="D109" s="5">
        <v>3.0638095238095238</v>
      </c>
      <c r="E109" s="5">
        <f t="shared" si="9"/>
        <v>0.16819047619047645</v>
      </c>
      <c r="F109" s="5">
        <f t="shared" si="10"/>
        <v>-0.30680952380952364</v>
      </c>
      <c r="G109" s="33">
        <v>2.84</v>
      </c>
      <c r="K109" s="15">
        <f t="shared" si="5"/>
        <v>5.0714285714285712</v>
      </c>
      <c r="L109" s="15"/>
      <c r="M109" s="13">
        <f t="shared" si="6"/>
        <v>29037</v>
      </c>
      <c r="N109" s="15"/>
      <c r="O109" s="15"/>
      <c r="P109" s="15"/>
      <c r="Q109" s="15"/>
      <c r="R109" s="15"/>
      <c r="U109" s="1">
        <f t="shared" si="7"/>
        <v>7</v>
      </c>
      <c r="V109" s="1">
        <f t="shared" si="8"/>
        <v>1979</v>
      </c>
    </row>
    <row r="110" spans="1:22" x14ac:dyDescent="0.25">
      <c r="A110" s="13">
        <v>29068</v>
      </c>
      <c r="B110" s="5">
        <v>2.9</v>
      </c>
      <c r="C110" s="5">
        <v>2.6970000000000001</v>
      </c>
      <c r="D110" s="5">
        <v>2.818826086956522</v>
      </c>
      <c r="E110" s="5">
        <f t="shared" si="9"/>
        <v>8.1173913043477874E-2</v>
      </c>
      <c r="F110" s="5">
        <f t="shared" si="10"/>
        <v>-0.12182608695652197</v>
      </c>
      <c r="G110" s="33">
        <v>2.65</v>
      </c>
      <c r="K110" s="15">
        <f t="shared" si="5"/>
        <v>4.7321428571428568</v>
      </c>
      <c r="L110" s="15"/>
      <c r="M110" s="13">
        <f t="shared" si="6"/>
        <v>29068</v>
      </c>
      <c r="N110" s="15"/>
      <c r="O110" s="15"/>
      <c r="P110" s="15"/>
      <c r="Q110" s="15"/>
      <c r="R110" s="15"/>
      <c r="U110" s="1">
        <f t="shared" si="7"/>
        <v>8</v>
      </c>
      <c r="V110" s="1">
        <f t="shared" si="8"/>
        <v>1979</v>
      </c>
    </row>
    <row r="111" spans="1:22" x14ac:dyDescent="0.25">
      <c r="A111" s="13">
        <v>29099</v>
      </c>
      <c r="B111" s="5">
        <v>2.8620000000000001</v>
      </c>
      <c r="C111" s="5">
        <v>2.68</v>
      </c>
      <c r="D111" s="5">
        <v>2.7809473684210526</v>
      </c>
      <c r="E111" s="5">
        <f t="shared" si="9"/>
        <v>8.1052631578947487E-2</v>
      </c>
      <c r="F111" s="5">
        <f t="shared" si="10"/>
        <v>-0.10094736842105245</v>
      </c>
      <c r="G111" s="33">
        <v>2.58</v>
      </c>
      <c r="K111" s="15">
        <f t="shared" si="5"/>
        <v>4.6071428571428577</v>
      </c>
      <c r="L111" s="15"/>
      <c r="M111" s="13">
        <f t="shared" si="6"/>
        <v>29099</v>
      </c>
      <c r="N111" s="15"/>
      <c r="O111" s="15"/>
      <c r="P111" s="15"/>
      <c r="Q111" s="15"/>
      <c r="R111" s="15"/>
      <c r="U111" s="1">
        <f t="shared" si="7"/>
        <v>9</v>
      </c>
      <c r="V111" s="1">
        <f t="shared" si="8"/>
        <v>1979</v>
      </c>
    </row>
    <row r="112" spans="1:22" x14ac:dyDescent="0.25">
      <c r="A112" s="13">
        <v>29129</v>
      </c>
      <c r="B112" s="5">
        <v>2.97</v>
      </c>
      <c r="C112" s="5">
        <v>2.56</v>
      </c>
      <c r="D112" s="5">
        <v>2.7791304347826085</v>
      </c>
      <c r="E112" s="5">
        <f t="shared" si="9"/>
        <v>0.19086956521739173</v>
      </c>
      <c r="F112" s="5">
        <f t="shared" si="10"/>
        <v>-0.21913043478260841</v>
      </c>
      <c r="G112" s="33">
        <v>2.48</v>
      </c>
      <c r="K112" s="15">
        <f t="shared" si="5"/>
        <v>4.4285714285714279</v>
      </c>
      <c r="L112" s="15"/>
      <c r="M112" s="13">
        <f t="shared" si="6"/>
        <v>29129</v>
      </c>
      <c r="N112" s="15"/>
      <c r="O112" s="15"/>
      <c r="P112" s="15"/>
      <c r="Q112" s="15"/>
      <c r="R112" s="15"/>
      <c r="U112" s="1">
        <f t="shared" si="7"/>
        <v>10</v>
      </c>
      <c r="V112" s="1">
        <f t="shared" si="8"/>
        <v>1979</v>
      </c>
    </row>
    <row r="113" spans="1:22" x14ac:dyDescent="0.25">
      <c r="A113" s="13">
        <v>29160</v>
      </c>
      <c r="B113" s="5">
        <v>2.7749999999999999</v>
      </c>
      <c r="C113" s="5">
        <v>2.5569999999999999</v>
      </c>
      <c r="D113" s="5">
        <v>2.6830476190476191</v>
      </c>
      <c r="E113" s="5">
        <f t="shared" si="9"/>
        <v>9.1952380952380786E-2</v>
      </c>
      <c r="F113" s="5">
        <f t="shared" si="10"/>
        <v>-0.12604761904761919</v>
      </c>
      <c r="G113" s="33">
        <v>2.42</v>
      </c>
      <c r="K113" s="15">
        <f t="shared" si="5"/>
        <v>4.3214285714285712</v>
      </c>
      <c r="L113" s="15"/>
      <c r="M113" s="13">
        <f t="shared" si="6"/>
        <v>29160</v>
      </c>
      <c r="N113" s="15"/>
      <c r="O113" s="15"/>
      <c r="P113" s="15"/>
      <c r="Q113" s="15"/>
      <c r="R113" s="15"/>
      <c r="U113" s="1">
        <f t="shared" si="7"/>
        <v>11</v>
      </c>
      <c r="V113" s="1">
        <f t="shared" si="8"/>
        <v>1979</v>
      </c>
    </row>
    <row r="114" spans="1:22" x14ac:dyDescent="0.25">
      <c r="A114" s="13">
        <v>29190</v>
      </c>
      <c r="B114" s="5">
        <v>2.9470000000000001</v>
      </c>
      <c r="C114" s="5">
        <v>2.83</v>
      </c>
      <c r="D114" s="5">
        <v>2.8736315789473683</v>
      </c>
      <c r="E114" s="5">
        <f t="shared" si="9"/>
        <v>7.3368421052631749E-2</v>
      </c>
      <c r="F114" s="5">
        <f t="shared" si="10"/>
        <v>-4.3631578947368244E-2</v>
      </c>
      <c r="G114" s="33">
        <v>2.52</v>
      </c>
      <c r="K114" s="15">
        <f t="shared" si="5"/>
        <v>4.5</v>
      </c>
      <c r="L114" s="15"/>
      <c r="M114" s="13">
        <f t="shared" si="6"/>
        <v>29190</v>
      </c>
      <c r="N114" s="15"/>
      <c r="O114" s="15"/>
      <c r="P114" s="15"/>
      <c r="Q114" s="15"/>
      <c r="R114" s="15"/>
      <c r="U114" s="1">
        <f t="shared" si="7"/>
        <v>12</v>
      </c>
      <c r="V114" s="1">
        <f t="shared" si="8"/>
        <v>1979</v>
      </c>
    </row>
    <row r="115" spans="1:22" x14ac:dyDescent="0.25">
      <c r="A115" s="13">
        <v>29221</v>
      </c>
      <c r="B115" s="5">
        <v>2.907</v>
      </c>
      <c r="C115" s="5">
        <v>2.6419999999999999</v>
      </c>
      <c r="D115" s="5">
        <v>2.7427000000000001</v>
      </c>
      <c r="E115" s="5">
        <f t="shared" si="9"/>
        <v>0.16429999999999989</v>
      </c>
      <c r="F115" s="5">
        <f t="shared" si="10"/>
        <v>-0.10070000000000023</v>
      </c>
      <c r="G115" s="33">
        <v>2.35</v>
      </c>
      <c r="K115" s="15">
        <f t="shared" si="5"/>
        <v>4.1964285714285721</v>
      </c>
      <c r="L115" s="15"/>
      <c r="M115" s="13">
        <f t="shared" si="6"/>
        <v>29221</v>
      </c>
      <c r="N115" s="15"/>
      <c r="O115" s="15"/>
      <c r="P115" s="15"/>
      <c r="Q115" s="15"/>
      <c r="R115" s="15"/>
      <c r="U115" s="1">
        <f t="shared" si="7"/>
        <v>1</v>
      </c>
      <c r="V115" s="1">
        <f t="shared" si="8"/>
        <v>1980</v>
      </c>
    </row>
    <row r="116" spans="1:22" x14ac:dyDescent="0.25">
      <c r="A116" s="13">
        <v>29252</v>
      </c>
      <c r="B116" s="5">
        <v>2.81</v>
      </c>
      <c r="C116" s="5">
        <v>2.6269999999999998</v>
      </c>
      <c r="D116" s="5">
        <v>2.7175500000000001</v>
      </c>
      <c r="E116" s="5">
        <f t="shared" si="9"/>
        <v>9.2449999999999921E-2</v>
      </c>
      <c r="F116" s="5">
        <f t="shared" si="10"/>
        <v>-9.0550000000000352E-2</v>
      </c>
      <c r="G116" s="33">
        <v>2.46</v>
      </c>
      <c r="K116" s="15">
        <f t="shared" si="5"/>
        <v>4.3928571428571423</v>
      </c>
      <c r="L116" s="15"/>
      <c r="M116" s="13">
        <f t="shared" si="6"/>
        <v>29252</v>
      </c>
      <c r="N116" s="15"/>
      <c r="O116" s="15"/>
      <c r="P116" s="15"/>
      <c r="Q116" s="15"/>
      <c r="R116" s="15"/>
      <c r="U116" s="1">
        <f t="shared" si="7"/>
        <v>2</v>
      </c>
      <c r="V116" s="1">
        <f t="shared" si="8"/>
        <v>1980</v>
      </c>
    </row>
    <row r="117" spans="1:22" x14ac:dyDescent="0.25">
      <c r="A117" s="13">
        <v>29281</v>
      </c>
      <c r="B117" s="5">
        <v>2.8</v>
      </c>
      <c r="C117" s="5">
        <v>2.5649999999999999</v>
      </c>
      <c r="D117" s="5">
        <v>2.6971904761904764</v>
      </c>
      <c r="E117" s="5">
        <f t="shared" si="9"/>
        <v>0.10280952380952346</v>
      </c>
      <c r="F117" s="5">
        <f t="shared" si="10"/>
        <v>-0.13219047619047641</v>
      </c>
      <c r="G117" s="33">
        <v>2.38</v>
      </c>
      <c r="K117" s="15">
        <f t="shared" si="5"/>
        <v>4.25</v>
      </c>
      <c r="L117" s="15"/>
      <c r="M117" s="13">
        <f t="shared" si="6"/>
        <v>29281</v>
      </c>
      <c r="N117" s="15"/>
      <c r="O117" s="15"/>
      <c r="P117" s="15"/>
      <c r="Q117" s="15"/>
      <c r="R117" s="15"/>
      <c r="U117" s="1">
        <f t="shared" si="7"/>
        <v>3</v>
      </c>
      <c r="V117" s="1">
        <f t="shared" si="8"/>
        <v>1980</v>
      </c>
    </row>
    <row r="118" spans="1:22" x14ac:dyDescent="0.25">
      <c r="A118" s="13">
        <v>29312</v>
      </c>
      <c r="B118" s="5">
        <v>2.76</v>
      </c>
      <c r="C118" s="5">
        <v>2.577</v>
      </c>
      <c r="D118" s="5">
        <v>2.6793809523809524</v>
      </c>
      <c r="E118" s="5">
        <f t="shared" si="9"/>
        <v>8.0619047619047368E-2</v>
      </c>
      <c r="F118" s="5">
        <f t="shared" si="10"/>
        <v>-0.10238095238095246</v>
      </c>
      <c r="G118" s="33">
        <v>2.4</v>
      </c>
      <c r="K118" s="15">
        <f t="shared" si="5"/>
        <v>4.2857142857142856</v>
      </c>
      <c r="L118" s="15"/>
      <c r="M118" s="13">
        <f t="shared" si="6"/>
        <v>29312</v>
      </c>
      <c r="N118" s="15"/>
      <c r="O118" s="15"/>
      <c r="P118" s="15"/>
      <c r="Q118" s="15"/>
      <c r="R118" s="15"/>
      <c r="U118" s="1">
        <f t="shared" si="7"/>
        <v>4</v>
      </c>
      <c r="V118" s="1">
        <f t="shared" si="8"/>
        <v>1980</v>
      </c>
    </row>
    <row r="119" spans="1:22" x14ac:dyDescent="0.25">
      <c r="A119" s="13">
        <v>29342</v>
      </c>
      <c r="B119" s="5">
        <v>2.88</v>
      </c>
      <c r="C119" s="5">
        <v>2.7469999999999999</v>
      </c>
      <c r="D119" s="5">
        <v>2.7986190476190473</v>
      </c>
      <c r="E119" s="5">
        <f t="shared" si="9"/>
        <v>8.1380952380952554E-2</v>
      </c>
      <c r="F119" s="5">
        <f t="shared" si="10"/>
        <v>-5.1619047619047453E-2</v>
      </c>
      <c r="G119" s="33">
        <v>2.48</v>
      </c>
      <c r="K119" s="15">
        <f t="shared" si="5"/>
        <v>4.4285714285714279</v>
      </c>
      <c r="L119" s="15"/>
      <c r="M119" s="13">
        <f t="shared" si="6"/>
        <v>29342</v>
      </c>
      <c r="N119" s="15"/>
      <c r="O119" s="15"/>
      <c r="P119" s="15"/>
      <c r="Q119" s="15"/>
      <c r="R119" s="15"/>
      <c r="U119" s="1">
        <f t="shared" si="7"/>
        <v>5</v>
      </c>
      <c r="V119" s="1">
        <f t="shared" si="8"/>
        <v>1980</v>
      </c>
    </row>
    <row r="120" spans="1:22" x14ac:dyDescent="0.25">
      <c r="A120" s="13">
        <v>29373</v>
      </c>
      <c r="B120" s="5">
        <v>2.8519999999999999</v>
      </c>
      <c r="C120" s="5">
        <v>2.73</v>
      </c>
      <c r="D120" s="5">
        <v>2.7892380952380957</v>
      </c>
      <c r="E120" s="5">
        <f t="shared" si="9"/>
        <v>6.276190476190413E-2</v>
      </c>
      <c r="F120" s="5">
        <f t="shared" si="10"/>
        <v>-5.9238095238095756E-2</v>
      </c>
      <c r="G120" s="33">
        <v>2.52</v>
      </c>
      <c r="K120" s="15">
        <f t="shared" si="5"/>
        <v>4.5</v>
      </c>
      <c r="L120" s="15"/>
      <c r="M120" s="13">
        <f t="shared" si="6"/>
        <v>29373</v>
      </c>
      <c r="N120" s="15"/>
      <c r="O120" s="15"/>
      <c r="P120" s="15"/>
      <c r="Q120" s="15"/>
      <c r="R120" s="15"/>
      <c r="U120" s="1">
        <f t="shared" si="7"/>
        <v>6</v>
      </c>
      <c r="V120" s="1">
        <f t="shared" si="8"/>
        <v>1980</v>
      </c>
    </row>
    <row r="121" spans="1:22" x14ac:dyDescent="0.25">
      <c r="A121" s="13">
        <v>29403</v>
      </c>
      <c r="B121" s="5">
        <v>3.3519999999999999</v>
      </c>
      <c r="C121" s="5">
        <v>2.91</v>
      </c>
      <c r="D121" s="5">
        <v>3.1670909090909092</v>
      </c>
      <c r="E121" s="5">
        <f t="shared" si="9"/>
        <v>0.18490909090909069</v>
      </c>
      <c r="F121" s="5">
        <f t="shared" si="10"/>
        <v>-0.25709090909090904</v>
      </c>
      <c r="G121" s="33">
        <v>2.86</v>
      </c>
      <c r="K121" s="15">
        <f t="shared" si="5"/>
        <v>5.1071428571428568</v>
      </c>
      <c r="L121" s="15"/>
      <c r="M121" s="13">
        <f t="shared" si="6"/>
        <v>29403</v>
      </c>
      <c r="N121" s="15"/>
      <c r="O121" s="15"/>
      <c r="P121" s="15"/>
      <c r="Q121" s="15"/>
      <c r="R121" s="15"/>
      <c r="U121" s="1">
        <f t="shared" si="7"/>
        <v>7</v>
      </c>
      <c r="V121" s="1">
        <f t="shared" si="8"/>
        <v>1980</v>
      </c>
    </row>
    <row r="122" spans="1:22" x14ac:dyDescent="0.25">
      <c r="A122" s="13">
        <v>29434</v>
      </c>
      <c r="B122" s="5">
        <v>3.59</v>
      </c>
      <c r="C122" s="5">
        <v>3.2970000000000002</v>
      </c>
      <c r="D122" s="5">
        <v>3.4245714285714288</v>
      </c>
      <c r="E122" s="5">
        <f t="shared" si="9"/>
        <v>0.16542857142857104</v>
      </c>
      <c r="F122" s="5">
        <f t="shared" si="10"/>
        <v>-0.12757142857142867</v>
      </c>
      <c r="G122" s="33">
        <v>3.16</v>
      </c>
      <c r="K122" s="15">
        <f t="shared" si="5"/>
        <v>5.6428571428571432</v>
      </c>
      <c r="L122" s="15"/>
      <c r="M122" s="13">
        <f t="shared" si="6"/>
        <v>29434</v>
      </c>
      <c r="N122" s="15"/>
      <c r="O122" s="15"/>
      <c r="P122" s="15"/>
      <c r="Q122" s="15"/>
      <c r="R122" s="15"/>
      <c r="U122" s="1">
        <f t="shared" si="7"/>
        <v>8</v>
      </c>
      <c r="V122" s="1">
        <f t="shared" si="8"/>
        <v>1980</v>
      </c>
    </row>
    <row r="123" spans="1:22" x14ac:dyDescent="0.25">
      <c r="A123" s="13">
        <v>29465</v>
      </c>
      <c r="B123" s="5">
        <v>3.64</v>
      </c>
      <c r="C123" s="5">
        <v>3.4</v>
      </c>
      <c r="D123" s="5">
        <v>3.5377619047619051</v>
      </c>
      <c r="E123" s="5">
        <f t="shared" si="9"/>
        <v>0.10223809523809502</v>
      </c>
      <c r="F123" s="5">
        <f t="shared" si="10"/>
        <v>-0.1377619047619052</v>
      </c>
      <c r="G123" s="33">
        <v>3.22</v>
      </c>
      <c r="K123" s="15">
        <f t="shared" si="5"/>
        <v>5.75</v>
      </c>
      <c r="L123" s="15"/>
      <c r="M123" s="13">
        <f t="shared" si="6"/>
        <v>29465</v>
      </c>
      <c r="N123" s="15"/>
      <c r="O123" s="15"/>
      <c r="P123" s="15"/>
      <c r="Q123" s="15"/>
      <c r="R123" s="15"/>
      <c r="U123" s="1">
        <f t="shared" si="7"/>
        <v>9</v>
      </c>
      <c r="V123" s="1">
        <f t="shared" si="8"/>
        <v>1980</v>
      </c>
    </row>
    <row r="124" spans="1:22" x14ac:dyDescent="0.25">
      <c r="A124" s="13">
        <v>29495</v>
      </c>
      <c r="B124" s="5">
        <v>3.8</v>
      </c>
      <c r="C124" s="5">
        <v>3.41</v>
      </c>
      <c r="D124" s="5">
        <v>3.6092173913043482</v>
      </c>
      <c r="E124" s="5">
        <f t="shared" si="9"/>
        <v>0.19078260869565167</v>
      </c>
      <c r="F124" s="5">
        <f t="shared" si="10"/>
        <v>-0.19921739130434801</v>
      </c>
      <c r="G124" s="33">
        <v>3.22</v>
      </c>
      <c r="K124" s="15">
        <f t="shared" si="5"/>
        <v>5.75</v>
      </c>
      <c r="L124" s="15"/>
      <c r="M124" s="13">
        <f t="shared" si="6"/>
        <v>29495</v>
      </c>
      <c r="N124" s="15"/>
      <c r="O124" s="15"/>
      <c r="P124" s="15"/>
      <c r="Q124" s="15"/>
      <c r="R124" s="15"/>
      <c r="U124" s="1">
        <f t="shared" si="7"/>
        <v>10</v>
      </c>
      <c r="V124" s="1">
        <f t="shared" si="8"/>
        <v>1980</v>
      </c>
    </row>
    <row r="125" spans="1:22" x14ac:dyDescent="0.25">
      <c r="A125" s="13">
        <v>29526</v>
      </c>
      <c r="B125" s="5">
        <v>3.9569999999999999</v>
      </c>
      <c r="C125" s="5">
        <v>3.7069999999999999</v>
      </c>
      <c r="D125" s="5">
        <v>3.8137777777777777</v>
      </c>
      <c r="E125" s="5">
        <f t="shared" si="9"/>
        <v>0.14322222222222214</v>
      </c>
      <c r="F125" s="5">
        <f t="shared" si="10"/>
        <v>-0.10677777777777786</v>
      </c>
      <c r="G125" s="33">
        <v>3.38</v>
      </c>
      <c r="K125" s="15">
        <f t="shared" si="5"/>
        <v>6.0357142857142856</v>
      </c>
      <c r="L125" s="15"/>
      <c r="M125" s="13">
        <f t="shared" si="6"/>
        <v>29526</v>
      </c>
      <c r="N125" s="15"/>
      <c r="O125" s="15"/>
      <c r="P125" s="15"/>
      <c r="Q125" s="15"/>
      <c r="R125" s="15"/>
      <c r="U125" s="1">
        <f t="shared" si="7"/>
        <v>11</v>
      </c>
      <c r="V125" s="1">
        <f t="shared" si="8"/>
        <v>1980</v>
      </c>
    </row>
    <row r="126" spans="1:22" x14ac:dyDescent="0.25">
      <c r="A126" s="13">
        <v>29556</v>
      </c>
      <c r="B126" s="5">
        <v>4.0949999999999998</v>
      </c>
      <c r="C126" s="5">
        <v>3.49</v>
      </c>
      <c r="D126" s="5">
        <v>3.7988095238095241</v>
      </c>
      <c r="E126" s="5">
        <f t="shared" si="9"/>
        <v>0.29619047619047567</v>
      </c>
      <c r="F126" s="5">
        <f t="shared" si="10"/>
        <v>-0.30880952380952387</v>
      </c>
      <c r="G126" s="33">
        <v>3.36</v>
      </c>
      <c r="K126" s="15">
        <f t="shared" si="5"/>
        <v>6</v>
      </c>
      <c r="L126" s="15"/>
      <c r="M126" s="13">
        <f t="shared" si="6"/>
        <v>29556</v>
      </c>
      <c r="N126" s="15"/>
      <c r="O126" s="15"/>
      <c r="P126" s="15"/>
      <c r="Q126" s="15"/>
      <c r="R126" s="15"/>
      <c r="U126" s="1">
        <f t="shared" si="7"/>
        <v>12</v>
      </c>
      <c r="V126" s="1">
        <f t="shared" si="8"/>
        <v>1980</v>
      </c>
    </row>
    <row r="127" spans="1:22" x14ac:dyDescent="0.25">
      <c r="A127" s="13">
        <v>29587</v>
      </c>
      <c r="B127" s="5">
        <v>3.847</v>
      </c>
      <c r="C127" s="5">
        <v>3.5169999999999999</v>
      </c>
      <c r="D127" s="5">
        <v>3.7154761904761906</v>
      </c>
      <c r="E127" s="5">
        <f t="shared" si="9"/>
        <v>0.13152380952380938</v>
      </c>
      <c r="F127" s="5">
        <f t="shared" si="10"/>
        <v>-0.19847619047619069</v>
      </c>
      <c r="G127" s="33">
        <v>3.36</v>
      </c>
      <c r="K127" s="15">
        <f t="shared" si="5"/>
        <v>6</v>
      </c>
      <c r="L127" s="15"/>
      <c r="M127" s="13">
        <f t="shared" si="6"/>
        <v>29587</v>
      </c>
      <c r="N127" s="15"/>
      <c r="O127" s="15"/>
      <c r="P127" s="15"/>
      <c r="Q127" s="15"/>
      <c r="R127" s="15"/>
      <c r="U127" s="1">
        <f t="shared" si="7"/>
        <v>1</v>
      </c>
      <c r="V127" s="1">
        <f t="shared" si="8"/>
        <v>1981</v>
      </c>
    </row>
    <row r="128" spans="1:22" x14ac:dyDescent="0.25">
      <c r="A128" s="13">
        <v>29618</v>
      </c>
      <c r="B128" s="5">
        <v>3.6949999999999998</v>
      </c>
      <c r="C128" s="5">
        <v>3.55</v>
      </c>
      <c r="D128" s="5">
        <v>3.6108421052631581</v>
      </c>
      <c r="E128" s="5">
        <f t="shared" si="9"/>
        <v>8.4157894736841765E-2</v>
      </c>
      <c r="F128" s="5">
        <f t="shared" si="10"/>
        <v>-6.0842105263158253E-2</v>
      </c>
      <c r="G128" s="33">
        <v>3.28</v>
      </c>
      <c r="K128" s="15">
        <f t="shared" ref="K128:K191" si="11">G128/56*100</f>
        <v>5.8571428571428568</v>
      </c>
      <c r="L128" s="15"/>
      <c r="M128" s="13">
        <f t="shared" si="6"/>
        <v>29618</v>
      </c>
      <c r="N128" s="15"/>
      <c r="O128" s="15"/>
      <c r="P128" s="15"/>
      <c r="Q128" s="15"/>
      <c r="R128" s="15"/>
      <c r="U128" s="1">
        <f t="shared" si="7"/>
        <v>2</v>
      </c>
      <c r="V128" s="1">
        <f t="shared" si="8"/>
        <v>1981</v>
      </c>
    </row>
    <row r="129" spans="1:22" x14ac:dyDescent="0.25">
      <c r="A129" s="13">
        <v>29646</v>
      </c>
      <c r="B129" s="5">
        <v>3.69</v>
      </c>
      <c r="C129" s="5">
        <v>3.5019999999999998</v>
      </c>
      <c r="D129" s="5">
        <v>3.6022272727272728</v>
      </c>
      <c r="E129" s="5">
        <f t="shared" si="9"/>
        <v>8.7772727272727114E-2</v>
      </c>
      <c r="F129" s="5">
        <f t="shared" si="10"/>
        <v>-0.10022727272727305</v>
      </c>
      <c r="G129" s="33">
        <v>3.25</v>
      </c>
      <c r="K129" s="15">
        <f t="shared" si="11"/>
        <v>5.8035714285714288</v>
      </c>
      <c r="L129" s="15"/>
      <c r="M129" s="13">
        <f t="shared" si="6"/>
        <v>29646</v>
      </c>
      <c r="N129" s="15"/>
      <c r="O129" s="15"/>
      <c r="P129" s="15"/>
      <c r="Q129" s="15"/>
      <c r="R129" s="15"/>
      <c r="U129" s="1">
        <f t="shared" si="7"/>
        <v>3</v>
      </c>
      <c r="V129" s="1">
        <f t="shared" si="8"/>
        <v>1981</v>
      </c>
    </row>
    <row r="130" spans="1:22" x14ac:dyDescent="0.25">
      <c r="A130" s="13">
        <v>29677</v>
      </c>
      <c r="B130" s="5">
        <v>3.7250000000000001</v>
      </c>
      <c r="C130" s="5">
        <v>3.5550000000000002</v>
      </c>
      <c r="D130" s="5">
        <v>3.6452857142857145</v>
      </c>
      <c r="E130" s="5">
        <f t="shared" si="9"/>
        <v>7.9714285714285626E-2</v>
      </c>
      <c r="F130" s="5">
        <f t="shared" si="10"/>
        <v>-9.0285714285714302E-2</v>
      </c>
      <c r="G130" s="33">
        <v>3.31</v>
      </c>
      <c r="K130" s="15">
        <f t="shared" si="11"/>
        <v>5.9107142857142856</v>
      </c>
      <c r="L130" s="15"/>
      <c r="M130" s="13">
        <f t="shared" si="6"/>
        <v>29677</v>
      </c>
      <c r="N130" s="15"/>
      <c r="O130" s="15"/>
      <c r="P130" s="15"/>
      <c r="Q130" s="15"/>
      <c r="R130" s="15"/>
      <c r="U130" s="1">
        <f t="shared" si="7"/>
        <v>4</v>
      </c>
      <c r="V130" s="1">
        <f t="shared" si="8"/>
        <v>1981</v>
      </c>
    </row>
    <row r="131" spans="1:22" x14ac:dyDescent="0.25">
      <c r="A131" s="13">
        <v>29707</v>
      </c>
      <c r="B131" s="5">
        <v>3.7050000000000001</v>
      </c>
      <c r="C131" s="5">
        <v>3.42</v>
      </c>
      <c r="D131" s="5">
        <v>3.5522499999999999</v>
      </c>
      <c r="E131" s="5">
        <f t="shared" si="9"/>
        <v>0.15275000000000016</v>
      </c>
      <c r="F131" s="5">
        <f t="shared" si="10"/>
        <v>-0.13224999999999998</v>
      </c>
      <c r="G131" s="33">
        <v>3.26</v>
      </c>
      <c r="K131" s="15">
        <f t="shared" si="11"/>
        <v>5.8214285714285712</v>
      </c>
      <c r="L131" s="15"/>
      <c r="M131" s="13">
        <f t="shared" ref="M131:M194" si="12">A131</f>
        <v>29707</v>
      </c>
      <c r="N131" s="15"/>
      <c r="O131" s="15"/>
      <c r="P131" s="15"/>
      <c r="Q131" s="15"/>
      <c r="R131" s="15"/>
      <c r="U131" s="1">
        <f t="shared" ref="U131:U194" si="13">MONTH(M131)</f>
        <v>5</v>
      </c>
      <c r="V131" s="1">
        <f t="shared" ref="V131:V194" si="14">YEAR(M131)</f>
        <v>1981</v>
      </c>
    </row>
    <row r="132" spans="1:22" x14ac:dyDescent="0.25">
      <c r="A132" s="13">
        <v>29738</v>
      </c>
      <c r="B132" s="5">
        <v>3.54</v>
      </c>
      <c r="C132" s="5">
        <v>3.2050000000000001</v>
      </c>
      <c r="D132" s="5">
        <v>3.4102727272727273</v>
      </c>
      <c r="E132" s="5">
        <f t="shared" ref="E132:E195" si="15">B132-D132</f>
        <v>0.12972727272727269</v>
      </c>
      <c r="F132" s="5">
        <f t="shared" ref="F132:F195" si="16">C132-D132</f>
        <v>-0.20527272727272727</v>
      </c>
      <c r="G132" s="33">
        <v>3.15</v>
      </c>
      <c r="K132" s="15">
        <f t="shared" si="11"/>
        <v>5.625</v>
      </c>
      <c r="L132" s="15"/>
      <c r="M132" s="13">
        <f t="shared" si="12"/>
        <v>29738</v>
      </c>
      <c r="N132" s="15"/>
      <c r="O132" s="15"/>
      <c r="P132" s="15"/>
      <c r="Q132" s="15"/>
      <c r="R132" s="15"/>
      <c r="U132" s="1">
        <f t="shared" si="13"/>
        <v>6</v>
      </c>
      <c r="V132" s="1">
        <f t="shared" si="14"/>
        <v>1981</v>
      </c>
    </row>
    <row r="133" spans="1:22" x14ac:dyDescent="0.25">
      <c r="A133" s="13">
        <v>29768</v>
      </c>
      <c r="B133" s="5">
        <v>3.665</v>
      </c>
      <c r="C133" s="5">
        <v>3.34</v>
      </c>
      <c r="D133" s="5">
        <v>3.4662272727272727</v>
      </c>
      <c r="E133" s="5">
        <f t="shared" si="15"/>
        <v>0.19877272727272732</v>
      </c>
      <c r="F133" s="5">
        <f t="shared" si="16"/>
        <v>-0.12622727272727285</v>
      </c>
      <c r="G133" s="33">
        <v>3.18</v>
      </c>
      <c r="K133" s="15">
        <f t="shared" si="11"/>
        <v>5.6785714285714288</v>
      </c>
      <c r="L133" s="15"/>
      <c r="M133" s="13">
        <f t="shared" si="12"/>
        <v>29768</v>
      </c>
      <c r="N133" s="15"/>
      <c r="O133" s="15"/>
      <c r="P133" s="15"/>
      <c r="Q133" s="15"/>
      <c r="R133" s="15"/>
      <c r="U133" s="1">
        <f t="shared" si="13"/>
        <v>7</v>
      </c>
      <c r="V133" s="1">
        <f t="shared" si="14"/>
        <v>1981</v>
      </c>
    </row>
    <row r="134" spans="1:22" x14ac:dyDescent="0.25">
      <c r="A134" s="13">
        <v>29799</v>
      </c>
      <c r="B134" s="5">
        <v>3.36</v>
      </c>
      <c r="C134" s="5">
        <v>2.88</v>
      </c>
      <c r="D134" s="5">
        <v>3.1108571428571432</v>
      </c>
      <c r="E134" s="5">
        <f t="shared" si="15"/>
        <v>0.24914285714285667</v>
      </c>
      <c r="F134" s="5">
        <f t="shared" si="16"/>
        <v>-0.23085714285714332</v>
      </c>
      <c r="G134" s="33">
        <v>2.86</v>
      </c>
      <c r="K134" s="15">
        <f t="shared" si="11"/>
        <v>5.1071428571428568</v>
      </c>
      <c r="L134" s="15"/>
      <c r="M134" s="13">
        <f t="shared" si="12"/>
        <v>29799</v>
      </c>
      <c r="N134" s="15"/>
      <c r="O134" s="15"/>
      <c r="P134" s="15"/>
      <c r="Q134" s="15"/>
      <c r="R134" s="15"/>
      <c r="U134" s="1">
        <f t="shared" si="13"/>
        <v>8</v>
      </c>
      <c r="V134" s="1">
        <f t="shared" si="14"/>
        <v>1981</v>
      </c>
    </row>
    <row r="135" spans="1:22" x14ac:dyDescent="0.25">
      <c r="A135" s="13">
        <v>29830</v>
      </c>
      <c r="B135" s="5">
        <v>3.1</v>
      </c>
      <c r="C135" s="5">
        <v>2.8319999999999999</v>
      </c>
      <c r="D135" s="5">
        <v>2.9517619047619048</v>
      </c>
      <c r="E135" s="5">
        <f t="shared" si="15"/>
        <v>0.14823809523809528</v>
      </c>
      <c r="F135" s="5">
        <f t="shared" si="16"/>
        <v>-0.11976190476190496</v>
      </c>
      <c r="G135" s="33">
        <v>2.5</v>
      </c>
      <c r="K135" s="15">
        <f t="shared" si="11"/>
        <v>4.4642857142857144</v>
      </c>
      <c r="L135" s="15"/>
      <c r="M135" s="13">
        <f t="shared" si="12"/>
        <v>29830</v>
      </c>
      <c r="N135" s="15"/>
      <c r="O135" s="15"/>
      <c r="P135" s="15"/>
      <c r="Q135" s="15"/>
      <c r="R135" s="15"/>
      <c r="U135" s="1">
        <f t="shared" si="13"/>
        <v>9</v>
      </c>
      <c r="V135" s="1">
        <f t="shared" si="14"/>
        <v>1981</v>
      </c>
    </row>
    <row r="136" spans="1:22" x14ac:dyDescent="0.25">
      <c r="A136" s="13">
        <v>29860</v>
      </c>
      <c r="B136" s="5">
        <v>2.9950000000000001</v>
      </c>
      <c r="C136" s="5">
        <v>2.85</v>
      </c>
      <c r="D136" s="5">
        <v>2.9068181818181822</v>
      </c>
      <c r="E136" s="5">
        <f t="shared" si="15"/>
        <v>8.8181818181817917E-2</v>
      </c>
      <c r="F136" s="5">
        <f t="shared" si="16"/>
        <v>-5.6818181818182101E-2</v>
      </c>
      <c r="G136" s="33">
        <v>2.4</v>
      </c>
      <c r="K136" s="15">
        <f t="shared" si="11"/>
        <v>4.2857142857142856</v>
      </c>
      <c r="L136" s="15"/>
      <c r="M136" s="13">
        <f t="shared" si="12"/>
        <v>29860</v>
      </c>
      <c r="N136" s="15"/>
      <c r="O136" s="15"/>
      <c r="P136" s="15"/>
      <c r="Q136" s="15"/>
      <c r="R136" s="15"/>
      <c r="U136" s="1">
        <f t="shared" si="13"/>
        <v>10</v>
      </c>
      <c r="V136" s="1">
        <f t="shared" si="14"/>
        <v>1981</v>
      </c>
    </row>
    <row r="137" spans="1:22" x14ac:dyDescent="0.25">
      <c r="A137" s="13">
        <v>29891</v>
      </c>
      <c r="B137" s="5">
        <v>2.9049999999999998</v>
      </c>
      <c r="C137" s="5">
        <v>2.61</v>
      </c>
      <c r="D137" s="5">
        <v>2.7696000000000001</v>
      </c>
      <c r="E137" s="5">
        <f t="shared" si="15"/>
        <v>0.13539999999999974</v>
      </c>
      <c r="F137" s="5">
        <f t="shared" si="16"/>
        <v>-0.15960000000000019</v>
      </c>
      <c r="G137" s="33">
        <v>2.42</v>
      </c>
      <c r="K137" s="15">
        <f t="shared" si="11"/>
        <v>4.3214285714285712</v>
      </c>
      <c r="L137" s="15"/>
      <c r="M137" s="13">
        <f t="shared" si="12"/>
        <v>29891</v>
      </c>
      <c r="N137" s="15"/>
      <c r="O137" s="15"/>
      <c r="P137" s="15"/>
      <c r="Q137" s="15"/>
      <c r="R137" s="15"/>
      <c r="U137" s="1">
        <f t="shared" si="13"/>
        <v>11</v>
      </c>
      <c r="V137" s="1">
        <f t="shared" si="14"/>
        <v>1981</v>
      </c>
    </row>
    <row r="138" spans="1:22" x14ac:dyDescent="0.25">
      <c r="A138" s="13">
        <v>29921</v>
      </c>
      <c r="B138" s="5">
        <v>2.8719999999999999</v>
      </c>
      <c r="C138" s="5">
        <v>2.5299999999999998</v>
      </c>
      <c r="D138" s="5">
        <v>2.7219090909090911</v>
      </c>
      <c r="E138" s="5">
        <f t="shared" si="15"/>
        <v>0.15009090909090883</v>
      </c>
      <c r="F138" s="5">
        <f t="shared" si="16"/>
        <v>-0.19190909090909125</v>
      </c>
      <c r="G138" s="33">
        <v>2.36</v>
      </c>
      <c r="K138" s="15">
        <f t="shared" si="11"/>
        <v>4.2142857142857144</v>
      </c>
      <c r="L138" s="15"/>
      <c r="M138" s="13">
        <f t="shared" si="12"/>
        <v>29921</v>
      </c>
      <c r="N138" s="15"/>
      <c r="O138" s="15"/>
      <c r="P138" s="15"/>
      <c r="Q138" s="15"/>
      <c r="R138" s="15"/>
      <c r="U138" s="1">
        <f t="shared" si="13"/>
        <v>12</v>
      </c>
      <c r="V138" s="1">
        <f t="shared" si="14"/>
        <v>1981</v>
      </c>
    </row>
    <row r="139" spans="1:22" x14ac:dyDescent="0.25">
      <c r="A139" s="13">
        <v>29952</v>
      </c>
      <c r="B139" s="5">
        <v>2.7749999999999999</v>
      </c>
      <c r="C139" s="5">
        <v>2.68</v>
      </c>
      <c r="D139" s="5">
        <v>2.7269999999999999</v>
      </c>
      <c r="E139" s="5">
        <f t="shared" si="15"/>
        <v>4.8000000000000043E-2</v>
      </c>
      <c r="F139" s="5">
        <f t="shared" si="16"/>
        <v>-4.6999999999999709E-2</v>
      </c>
      <c r="G139" s="33">
        <v>2.4424999999999999</v>
      </c>
      <c r="K139" s="15">
        <f t="shared" si="11"/>
        <v>4.3616071428571423</v>
      </c>
      <c r="L139" s="15"/>
      <c r="M139" s="13">
        <f t="shared" si="12"/>
        <v>29952</v>
      </c>
      <c r="N139" s="15"/>
      <c r="O139" s="15"/>
      <c r="P139" s="15"/>
      <c r="Q139" s="15"/>
      <c r="R139" s="15"/>
      <c r="U139" s="1">
        <f t="shared" si="13"/>
        <v>1</v>
      </c>
      <c r="V139" s="1">
        <f t="shared" si="14"/>
        <v>1982</v>
      </c>
    </row>
    <row r="140" spans="1:22" x14ac:dyDescent="0.25">
      <c r="A140" s="13">
        <v>29983</v>
      </c>
      <c r="B140" s="5">
        <v>2.7949999999999999</v>
      </c>
      <c r="C140" s="5">
        <v>2.552</v>
      </c>
      <c r="D140" s="5">
        <v>2.6791052631578949</v>
      </c>
      <c r="E140" s="5">
        <f t="shared" si="15"/>
        <v>0.11589473684210505</v>
      </c>
      <c r="F140" s="5">
        <f t="shared" si="16"/>
        <v>-0.12710526315789483</v>
      </c>
      <c r="G140" s="33">
        <v>2.4275000000000002</v>
      </c>
      <c r="K140" s="15">
        <f t="shared" si="11"/>
        <v>4.3348214285714288</v>
      </c>
      <c r="L140" s="15"/>
      <c r="M140" s="13">
        <f t="shared" si="12"/>
        <v>29983</v>
      </c>
      <c r="N140" s="15"/>
      <c r="O140" s="15"/>
      <c r="P140" s="15"/>
      <c r="Q140" s="15"/>
      <c r="R140" s="15"/>
      <c r="U140" s="1">
        <f t="shared" si="13"/>
        <v>2</v>
      </c>
      <c r="V140" s="1">
        <f t="shared" si="14"/>
        <v>1982</v>
      </c>
    </row>
    <row r="141" spans="1:22" x14ac:dyDescent="0.25">
      <c r="A141" s="13">
        <v>30011</v>
      </c>
      <c r="B141" s="5">
        <v>2.7549999999999999</v>
      </c>
      <c r="C141" s="5">
        <v>2.6520000000000001</v>
      </c>
      <c r="D141" s="5">
        <v>2.7074347826086957</v>
      </c>
      <c r="E141" s="5">
        <f t="shared" si="15"/>
        <v>4.7565217391304149E-2</v>
      </c>
      <c r="F141" s="5">
        <f t="shared" si="16"/>
        <v>-5.543478260869561E-2</v>
      </c>
      <c r="G141" s="33">
        <v>2.46</v>
      </c>
      <c r="K141" s="15">
        <f t="shared" si="11"/>
        <v>4.3928571428571423</v>
      </c>
      <c r="L141" s="15"/>
      <c r="M141" s="13">
        <f t="shared" si="12"/>
        <v>30011</v>
      </c>
      <c r="N141" s="15"/>
      <c r="O141" s="15"/>
      <c r="P141" s="15"/>
      <c r="Q141" s="15"/>
      <c r="R141" s="15"/>
      <c r="U141" s="1">
        <f t="shared" si="13"/>
        <v>3</v>
      </c>
      <c r="V141" s="1">
        <f t="shared" si="14"/>
        <v>1982</v>
      </c>
    </row>
    <row r="142" spans="1:22" x14ac:dyDescent="0.25">
      <c r="A142" s="13">
        <v>30042</v>
      </c>
      <c r="B142" s="5">
        <v>2.8319999999999999</v>
      </c>
      <c r="C142" s="5">
        <v>2.74</v>
      </c>
      <c r="D142" s="5">
        <v>2.782142857142857</v>
      </c>
      <c r="E142" s="5">
        <f t="shared" si="15"/>
        <v>4.9857142857142822E-2</v>
      </c>
      <c r="F142" s="5">
        <f t="shared" si="16"/>
        <v>-4.2142857142856815E-2</v>
      </c>
      <c r="G142" s="33">
        <v>2.59</v>
      </c>
      <c r="K142" s="15">
        <f t="shared" si="11"/>
        <v>4.625</v>
      </c>
      <c r="L142" s="15"/>
      <c r="M142" s="13">
        <f t="shared" si="12"/>
        <v>30042</v>
      </c>
      <c r="N142" s="15"/>
      <c r="O142" s="15"/>
      <c r="P142" s="15"/>
      <c r="Q142" s="15"/>
      <c r="R142" s="15"/>
      <c r="U142" s="1">
        <f t="shared" si="13"/>
        <v>4</v>
      </c>
      <c r="V142" s="1">
        <f t="shared" si="14"/>
        <v>1982</v>
      </c>
    </row>
    <row r="143" spans="1:22" x14ac:dyDescent="0.25">
      <c r="A143" s="13">
        <v>30072</v>
      </c>
      <c r="B143" s="5">
        <v>2.87</v>
      </c>
      <c r="C143" s="5">
        <v>2.7450000000000001</v>
      </c>
      <c r="D143" s="5">
        <v>2.7919</v>
      </c>
      <c r="E143" s="5">
        <f t="shared" si="15"/>
        <v>7.8100000000000058E-2</v>
      </c>
      <c r="F143" s="5">
        <f t="shared" si="16"/>
        <v>-4.6899999999999942E-2</v>
      </c>
      <c r="G143" s="33">
        <v>2.6124999999999998</v>
      </c>
      <c r="K143" s="15">
        <f t="shared" si="11"/>
        <v>4.6651785714285712</v>
      </c>
      <c r="L143" s="15"/>
      <c r="M143" s="13">
        <f t="shared" si="12"/>
        <v>30072</v>
      </c>
      <c r="N143" s="15"/>
      <c r="O143" s="15"/>
      <c r="P143" s="15"/>
      <c r="Q143" s="15"/>
      <c r="R143" s="15"/>
      <c r="U143" s="1">
        <f t="shared" si="13"/>
        <v>5</v>
      </c>
      <c r="V143" s="1">
        <f t="shared" si="14"/>
        <v>1982</v>
      </c>
    </row>
    <row r="144" spans="1:22" x14ac:dyDescent="0.25">
      <c r="A144" s="13">
        <v>30103</v>
      </c>
      <c r="B144" s="5">
        <v>2.78</v>
      </c>
      <c r="C144" s="5">
        <v>2.6549999999999998</v>
      </c>
      <c r="D144" s="5">
        <v>2.7272727272727271</v>
      </c>
      <c r="E144" s="5">
        <f t="shared" si="15"/>
        <v>5.2727272727272734E-2</v>
      </c>
      <c r="F144" s="5">
        <f t="shared" si="16"/>
        <v>-7.2272727272727266E-2</v>
      </c>
      <c r="G144" s="33">
        <v>2.5779999999999998</v>
      </c>
      <c r="K144" s="15">
        <f t="shared" si="11"/>
        <v>4.6035714285714286</v>
      </c>
      <c r="L144" s="15"/>
      <c r="M144" s="13">
        <f t="shared" si="12"/>
        <v>30103</v>
      </c>
      <c r="N144" s="15"/>
      <c r="O144" s="15"/>
      <c r="P144" s="15"/>
      <c r="Q144" s="15"/>
      <c r="R144" s="15"/>
      <c r="U144" s="1">
        <f t="shared" si="13"/>
        <v>6</v>
      </c>
      <c r="V144" s="1">
        <f t="shared" si="14"/>
        <v>1982</v>
      </c>
    </row>
    <row r="145" spans="1:22" x14ac:dyDescent="0.25">
      <c r="A145" s="13">
        <v>30133</v>
      </c>
      <c r="B145" s="5">
        <v>2.6619999999999999</v>
      </c>
      <c r="C145" s="5">
        <v>2.4169999999999998</v>
      </c>
      <c r="D145" s="5">
        <v>2.5908571428571427</v>
      </c>
      <c r="E145" s="5">
        <f t="shared" si="15"/>
        <v>7.1142857142857174E-2</v>
      </c>
      <c r="F145" s="5">
        <f t="shared" si="16"/>
        <v>-0.17385714285714293</v>
      </c>
      <c r="G145" s="33">
        <v>2.5</v>
      </c>
      <c r="K145" s="15">
        <f t="shared" si="11"/>
        <v>4.4642857142857144</v>
      </c>
      <c r="L145" s="15"/>
      <c r="M145" s="13">
        <f t="shared" si="12"/>
        <v>30133</v>
      </c>
      <c r="N145" s="15"/>
      <c r="O145" s="15"/>
      <c r="P145" s="15"/>
      <c r="Q145" s="15"/>
      <c r="R145" s="15"/>
      <c r="U145" s="1">
        <f t="shared" si="13"/>
        <v>7</v>
      </c>
      <c r="V145" s="1">
        <f t="shared" si="14"/>
        <v>1982</v>
      </c>
    </row>
    <row r="146" spans="1:22" x14ac:dyDescent="0.25">
      <c r="A146" s="13">
        <v>30164</v>
      </c>
      <c r="B146" s="5">
        <v>2.5049999999999999</v>
      </c>
      <c r="C146" s="5">
        <v>2.1869999999999998</v>
      </c>
      <c r="D146" s="5">
        <v>2.3275454545454544</v>
      </c>
      <c r="E146" s="5">
        <f t="shared" si="15"/>
        <v>0.17745454545454553</v>
      </c>
      <c r="F146" s="5">
        <f t="shared" si="16"/>
        <v>-0.14054545454545453</v>
      </c>
      <c r="G146" s="33">
        <v>2.2400000000000002</v>
      </c>
      <c r="K146" s="15">
        <f t="shared" si="11"/>
        <v>4</v>
      </c>
      <c r="L146" s="15"/>
      <c r="M146" s="13">
        <f t="shared" si="12"/>
        <v>30164</v>
      </c>
      <c r="N146" s="15"/>
      <c r="O146" s="15"/>
      <c r="P146" s="15"/>
      <c r="Q146" s="15"/>
      <c r="R146" s="15"/>
      <c r="U146" s="1">
        <f t="shared" si="13"/>
        <v>8</v>
      </c>
      <c r="V146" s="1">
        <f t="shared" si="14"/>
        <v>1982</v>
      </c>
    </row>
    <row r="147" spans="1:22" x14ac:dyDescent="0.25">
      <c r="A147" s="13">
        <v>30195</v>
      </c>
      <c r="B147" s="5">
        <v>2.35</v>
      </c>
      <c r="C147" s="5">
        <v>2.1749999999999998</v>
      </c>
      <c r="D147" s="5">
        <v>2.2420476190476188</v>
      </c>
      <c r="E147" s="5">
        <f t="shared" si="15"/>
        <v>0.10795238095238124</v>
      </c>
      <c r="F147" s="5">
        <f t="shared" si="16"/>
        <v>-6.7047619047619023E-2</v>
      </c>
      <c r="G147" s="33">
        <v>2.14</v>
      </c>
      <c r="K147" s="15">
        <f t="shared" si="11"/>
        <v>3.8214285714285716</v>
      </c>
      <c r="L147" s="15"/>
      <c r="M147" s="13">
        <f t="shared" si="12"/>
        <v>30195</v>
      </c>
      <c r="N147" s="15"/>
      <c r="O147" s="15"/>
      <c r="P147" s="15"/>
      <c r="Q147" s="15"/>
      <c r="R147" s="15"/>
      <c r="U147" s="1">
        <f t="shared" si="13"/>
        <v>9</v>
      </c>
      <c r="V147" s="1">
        <f t="shared" si="14"/>
        <v>1982</v>
      </c>
    </row>
    <row r="148" spans="1:22" x14ac:dyDescent="0.25">
      <c r="A148" s="13">
        <v>30225</v>
      </c>
      <c r="B148" s="5">
        <v>2.2749999999999999</v>
      </c>
      <c r="C148" s="5">
        <v>2.14</v>
      </c>
      <c r="D148" s="5">
        <v>2.1983333333333333</v>
      </c>
      <c r="E148" s="5">
        <f t="shared" si="15"/>
        <v>7.6666666666666661E-2</v>
      </c>
      <c r="F148" s="5">
        <f t="shared" si="16"/>
        <v>-5.8333333333333126E-2</v>
      </c>
      <c r="G148" s="33">
        <v>1.94</v>
      </c>
      <c r="K148" s="15">
        <f t="shared" si="11"/>
        <v>3.4642857142857144</v>
      </c>
      <c r="L148" s="15"/>
      <c r="M148" s="13">
        <f t="shared" si="12"/>
        <v>30225</v>
      </c>
      <c r="N148" s="15"/>
      <c r="O148" s="15"/>
      <c r="P148" s="15"/>
      <c r="Q148" s="15"/>
      <c r="R148" s="15"/>
      <c r="U148" s="1">
        <f t="shared" si="13"/>
        <v>10</v>
      </c>
      <c r="V148" s="1">
        <f t="shared" si="14"/>
        <v>1982</v>
      </c>
    </row>
    <row r="149" spans="1:22" x14ac:dyDescent="0.25">
      <c r="A149" s="13">
        <v>30256</v>
      </c>
      <c r="B149" s="5">
        <v>2.4119999999999999</v>
      </c>
      <c r="C149" s="5">
        <v>2.165</v>
      </c>
      <c r="D149" s="5">
        <v>2.3304</v>
      </c>
      <c r="E149" s="5">
        <f t="shared" si="15"/>
        <v>8.1599999999999895E-2</v>
      </c>
      <c r="F149" s="5">
        <f t="shared" si="16"/>
        <v>-0.16539999999999999</v>
      </c>
      <c r="G149" s="33">
        <v>2.2400000000000002</v>
      </c>
      <c r="K149" s="15">
        <f t="shared" si="11"/>
        <v>4</v>
      </c>
      <c r="L149" s="15"/>
      <c r="M149" s="13">
        <f t="shared" si="12"/>
        <v>30256</v>
      </c>
      <c r="N149" s="15"/>
      <c r="O149" s="15"/>
      <c r="P149" s="15"/>
      <c r="Q149" s="15"/>
      <c r="R149" s="15"/>
      <c r="U149" s="1">
        <f t="shared" si="13"/>
        <v>11</v>
      </c>
      <c r="V149" s="1">
        <f t="shared" si="14"/>
        <v>1982</v>
      </c>
    </row>
    <row r="150" spans="1:22" x14ac:dyDescent="0.25">
      <c r="A150" s="13">
        <v>30286</v>
      </c>
      <c r="B150" s="5">
        <v>2.4700000000000002</v>
      </c>
      <c r="C150" s="5">
        <v>2.36</v>
      </c>
      <c r="D150" s="5">
        <v>2.4164285714285714</v>
      </c>
      <c r="E150" s="5">
        <f t="shared" si="15"/>
        <v>5.3571428571428825E-2</v>
      </c>
      <c r="F150" s="5">
        <f t="shared" si="16"/>
        <v>-5.6428571428571495E-2</v>
      </c>
      <c r="G150" s="33">
        <v>2.2799999999999998</v>
      </c>
      <c r="K150" s="15">
        <f t="shared" si="11"/>
        <v>4.0714285714285712</v>
      </c>
      <c r="L150" s="15"/>
      <c r="M150" s="13">
        <f t="shared" si="12"/>
        <v>30286</v>
      </c>
      <c r="N150" s="15"/>
      <c r="O150" s="15"/>
      <c r="P150" s="15"/>
      <c r="Q150" s="15"/>
      <c r="R150" s="15"/>
      <c r="U150" s="1">
        <f t="shared" si="13"/>
        <v>12</v>
      </c>
      <c r="V150" s="1">
        <f t="shared" si="14"/>
        <v>1982</v>
      </c>
    </row>
    <row r="151" spans="1:22" x14ac:dyDescent="0.25">
      <c r="A151" s="13">
        <v>30317</v>
      </c>
      <c r="B151" s="5">
        <v>2.6850000000000001</v>
      </c>
      <c r="C151" s="5">
        <v>2.4220000000000002</v>
      </c>
      <c r="D151" s="5">
        <v>2.5492380952380955</v>
      </c>
      <c r="E151" s="5">
        <f t="shared" si="15"/>
        <v>0.13576190476190453</v>
      </c>
      <c r="F151" s="5">
        <f t="shared" si="16"/>
        <v>-0.12723809523809537</v>
      </c>
      <c r="G151" s="33">
        <v>2.35</v>
      </c>
      <c r="K151" s="15">
        <f t="shared" si="11"/>
        <v>4.1964285714285721</v>
      </c>
      <c r="L151" s="15"/>
      <c r="M151" s="13">
        <f t="shared" si="12"/>
        <v>30317</v>
      </c>
      <c r="N151" s="15"/>
      <c r="O151" s="15"/>
      <c r="P151" s="15"/>
      <c r="Q151" s="15"/>
      <c r="R151" s="15"/>
      <c r="U151" s="1">
        <f t="shared" si="13"/>
        <v>1</v>
      </c>
      <c r="V151" s="1">
        <f t="shared" si="14"/>
        <v>1983</v>
      </c>
    </row>
    <row r="152" spans="1:22" x14ac:dyDescent="0.25">
      <c r="A152" s="13">
        <v>30348</v>
      </c>
      <c r="B152" s="5">
        <v>2.8069999999999999</v>
      </c>
      <c r="C152" s="5">
        <v>2.6419999999999999</v>
      </c>
      <c r="D152" s="5">
        <v>2.7317894736842105</v>
      </c>
      <c r="E152" s="5">
        <f t="shared" si="15"/>
        <v>7.5210526315789394E-2</v>
      </c>
      <c r="F152" s="5">
        <f t="shared" si="16"/>
        <v>-8.9789473684210641E-2</v>
      </c>
      <c r="G152" s="33">
        <v>2.62</v>
      </c>
      <c r="K152" s="15">
        <f t="shared" si="11"/>
        <v>4.6785714285714288</v>
      </c>
      <c r="L152" s="15"/>
      <c r="M152" s="13">
        <f t="shared" si="12"/>
        <v>30348</v>
      </c>
      <c r="N152" s="15"/>
      <c r="O152" s="15"/>
      <c r="P152" s="15"/>
      <c r="Q152" s="15"/>
      <c r="R152" s="15"/>
      <c r="U152" s="1">
        <f t="shared" si="13"/>
        <v>2</v>
      </c>
      <c r="V152" s="1">
        <f t="shared" si="14"/>
        <v>1983</v>
      </c>
    </row>
    <row r="153" spans="1:22" x14ac:dyDescent="0.25">
      <c r="A153" s="13">
        <v>30376</v>
      </c>
      <c r="B153" s="5">
        <v>3.1549999999999998</v>
      </c>
      <c r="C153" s="5">
        <v>2.8220000000000001</v>
      </c>
      <c r="D153" s="5">
        <v>2.9572608695652178</v>
      </c>
      <c r="E153" s="5">
        <f t="shared" si="15"/>
        <v>0.19773913043478197</v>
      </c>
      <c r="F153" s="5">
        <f t="shared" si="16"/>
        <v>-0.13526086956521777</v>
      </c>
      <c r="G153" s="33">
        <v>2.82</v>
      </c>
      <c r="K153" s="15">
        <f t="shared" si="11"/>
        <v>5.0357142857142856</v>
      </c>
      <c r="L153" s="15"/>
      <c r="M153" s="13">
        <f t="shared" si="12"/>
        <v>30376</v>
      </c>
      <c r="N153" s="15"/>
      <c r="O153" s="15"/>
      <c r="P153" s="15"/>
      <c r="Q153" s="15"/>
      <c r="R153" s="15"/>
      <c r="U153" s="1">
        <f t="shared" si="13"/>
        <v>3</v>
      </c>
      <c r="V153" s="1">
        <f t="shared" si="14"/>
        <v>1983</v>
      </c>
    </row>
    <row r="154" spans="1:22" x14ac:dyDescent="0.25">
      <c r="A154" s="13">
        <v>30407</v>
      </c>
      <c r="B154" s="5">
        <v>3.1869999999999998</v>
      </c>
      <c r="C154" s="5">
        <v>3.0419999999999998</v>
      </c>
      <c r="D154" s="5">
        <v>3.1252</v>
      </c>
      <c r="E154" s="5">
        <f t="shared" si="15"/>
        <v>6.1799999999999855E-2</v>
      </c>
      <c r="F154" s="5">
        <f t="shared" si="16"/>
        <v>-8.3200000000000163E-2</v>
      </c>
      <c r="G154" s="33">
        <v>3.08</v>
      </c>
      <c r="K154" s="15">
        <f t="shared" si="11"/>
        <v>5.5</v>
      </c>
      <c r="L154" s="15"/>
      <c r="M154" s="13">
        <f t="shared" si="12"/>
        <v>30407</v>
      </c>
      <c r="N154" s="15"/>
      <c r="O154" s="15"/>
      <c r="P154" s="15"/>
      <c r="Q154" s="15"/>
      <c r="R154" s="15"/>
      <c r="U154" s="1">
        <f t="shared" si="13"/>
        <v>4</v>
      </c>
      <c r="V154" s="1">
        <f t="shared" si="14"/>
        <v>1983</v>
      </c>
    </row>
    <row r="155" spans="1:22" x14ac:dyDescent="0.25">
      <c r="A155" s="13">
        <v>30437</v>
      </c>
      <c r="B155" s="5">
        <v>3.2149999999999999</v>
      </c>
      <c r="C155" s="5">
        <v>2.9950000000000001</v>
      </c>
      <c r="D155" s="5">
        <v>3.0947142857142858</v>
      </c>
      <c r="E155" s="5">
        <f t="shared" si="15"/>
        <v>0.12028571428571411</v>
      </c>
      <c r="F155" s="5">
        <f t="shared" si="16"/>
        <v>-9.9714285714285644E-2</v>
      </c>
      <c r="G155" s="33">
        <v>3.09</v>
      </c>
      <c r="K155" s="15">
        <f t="shared" si="11"/>
        <v>5.5178571428571423</v>
      </c>
      <c r="L155" s="15"/>
      <c r="M155" s="13">
        <f t="shared" si="12"/>
        <v>30437</v>
      </c>
      <c r="N155" s="15"/>
      <c r="O155" s="15"/>
      <c r="P155" s="15"/>
      <c r="Q155" s="15"/>
      <c r="R155" s="15"/>
      <c r="U155" s="1">
        <f t="shared" si="13"/>
        <v>5</v>
      </c>
      <c r="V155" s="1">
        <f t="shared" si="14"/>
        <v>1983</v>
      </c>
    </row>
    <row r="156" spans="1:22" x14ac:dyDescent="0.25">
      <c r="A156" s="13">
        <v>30468</v>
      </c>
      <c r="B156" s="5">
        <v>3.2050000000000001</v>
      </c>
      <c r="C156" s="5">
        <v>3.0219999999999998</v>
      </c>
      <c r="D156" s="5">
        <v>3.113818181818182</v>
      </c>
      <c r="E156" s="5">
        <f t="shared" si="15"/>
        <v>9.1181818181818031E-2</v>
      </c>
      <c r="F156" s="5">
        <f t="shared" si="16"/>
        <v>-9.1818181818182243E-2</v>
      </c>
      <c r="G156" s="33">
        <v>3.14</v>
      </c>
      <c r="K156" s="15">
        <f t="shared" si="11"/>
        <v>5.6071428571428568</v>
      </c>
      <c r="L156" s="15"/>
      <c r="M156" s="13">
        <f t="shared" si="12"/>
        <v>30468</v>
      </c>
      <c r="N156" s="15"/>
      <c r="O156" s="15"/>
      <c r="P156" s="15"/>
      <c r="Q156" s="15"/>
      <c r="R156" s="15"/>
      <c r="U156" s="1">
        <f t="shared" si="13"/>
        <v>6</v>
      </c>
      <c r="V156" s="1">
        <f t="shared" si="14"/>
        <v>1983</v>
      </c>
    </row>
    <row r="157" spans="1:22" x14ac:dyDescent="0.25">
      <c r="A157" s="13">
        <v>30498</v>
      </c>
      <c r="B157" s="5">
        <v>3.3370000000000002</v>
      </c>
      <c r="C157" s="5">
        <v>2.9620000000000002</v>
      </c>
      <c r="D157" s="5">
        <v>3.1242999999999999</v>
      </c>
      <c r="E157" s="5">
        <f t="shared" si="15"/>
        <v>0.21270000000000033</v>
      </c>
      <c r="F157" s="5">
        <f t="shared" si="16"/>
        <v>-0.16229999999999967</v>
      </c>
      <c r="G157" s="33">
        <v>3.26</v>
      </c>
      <c r="K157" s="15">
        <f t="shared" si="11"/>
        <v>5.8214285714285712</v>
      </c>
      <c r="L157" s="15"/>
      <c r="M157" s="13">
        <f t="shared" si="12"/>
        <v>30498</v>
      </c>
      <c r="N157" s="15"/>
      <c r="O157" s="15"/>
      <c r="P157" s="15"/>
      <c r="Q157" s="15"/>
      <c r="R157" s="15"/>
      <c r="U157" s="1">
        <f t="shared" si="13"/>
        <v>7</v>
      </c>
      <c r="V157" s="1">
        <f t="shared" si="14"/>
        <v>1983</v>
      </c>
    </row>
    <row r="158" spans="1:22" x14ac:dyDescent="0.25">
      <c r="A158" s="13">
        <v>30529</v>
      </c>
      <c r="B158" s="5">
        <v>3.76</v>
      </c>
      <c r="C158" s="5">
        <v>3.2050000000000001</v>
      </c>
      <c r="D158" s="5">
        <v>3.5286521739130436</v>
      </c>
      <c r="E158" s="5">
        <f t="shared" si="15"/>
        <v>0.23134782608695614</v>
      </c>
      <c r="F158" s="5">
        <f t="shared" si="16"/>
        <v>-0.32365217391304357</v>
      </c>
      <c r="G158" s="33">
        <v>3.58</v>
      </c>
      <c r="K158" s="15">
        <f t="shared" si="11"/>
        <v>6.3928571428571432</v>
      </c>
      <c r="L158" s="15"/>
      <c r="M158" s="13">
        <f t="shared" si="12"/>
        <v>30529</v>
      </c>
      <c r="N158" s="15"/>
      <c r="O158" s="15"/>
      <c r="P158" s="15"/>
      <c r="Q158" s="15"/>
      <c r="R158" s="15"/>
      <c r="U158" s="1">
        <f t="shared" si="13"/>
        <v>8</v>
      </c>
      <c r="V158" s="1">
        <f t="shared" si="14"/>
        <v>1983</v>
      </c>
    </row>
    <row r="159" spans="1:22" x14ac:dyDescent="0.25">
      <c r="A159" s="13">
        <v>30560</v>
      </c>
      <c r="B159" s="5">
        <v>3.7269999999999999</v>
      </c>
      <c r="C159" s="5">
        <v>3.42</v>
      </c>
      <c r="D159" s="5">
        <v>3.5799523809523808</v>
      </c>
      <c r="E159" s="5">
        <f t="shared" si="15"/>
        <v>0.14704761904761909</v>
      </c>
      <c r="F159" s="5">
        <f t="shared" si="16"/>
        <v>-0.15995238095238085</v>
      </c>
      <c r="G159" s="33">
        <v>3.46</v>
      </c>
      <c r="K159" s="15">
        <f t="shared" si="11"/>
        <v>6.1785714285714288</v>
      </c>
      <c r="L159" s="15"/>
      <c r="M159" s="13">
        <f t="shared" si="12"/>
        <v>30560</v>
      </c>
      <c r="N159" s="15"/>
      <c r="O159" s="15"/>
      <c r="P159" s="15"/>
      <c r="Q159" s="15"/>
      <c r="R159" s="15"/>
      <c r="U159" s="1">
        <f t="shared" si="13"/>
        <v>9</v>
      </c>
      <c r="V159" s="1">
        <f t="shared" si="14"/>
        <v>1983</v>
      </c>
    </row>
    <row r="160" spans="1:22" x14ac:dyDescent="0.25">
      <c r="A160" s="13">
        <v>30590</v>
      </c>
      <c r="B160" s="5">
        <v>3.5870000000000002</v>
      </c>
      <c r="C160" s="5">
        <v>3.355</v>
      </c>
      <c r="D160" s="5">
        <v>3.4750476190476189</v>
      </c>
      <c r="E160" s="5">
        <f t="shared" si="15"/>
        <v>0.11195238095238125</v>
      </c>
      <c r="F160" s="5">
        <f t="shared" si="16"/>
        <v>-0.12004761904761896</v>
      </c>
      <c r="G160" s="33">
        <v>3.3574999999999999</v>
      </c>
      <c r="K160" s="15">
        <f t="shared" si="11"/>
        <v>5.9955357142857144</v>
      </c>
      <c r="L160" s="15"/>
      <c r="M160" s="13">
        <f t="shared" si="12"/>
        <v>30590</v>
      </c>
      <c r="N160" s="15"/>
      <c r="O160" s="15"/>
      <c r="P160" s="15"/>
      <c r="Q160" s="15"/>
      <c r="R160" s="15"/>
      <c r="U160" s="1">
        <f t="shared" si="13"/>
        <v>10</v>
      </c>
      <c r="V160" s="1">
        <f t="shared" si="14"/>
        <v>1983</v>
      </c>
    </row>
    <row r="161" spans="1:22" x14ac:dyDescent="0.25">
      <c r="A161" s="13">
        <v>30621</v>
      </c>
      <c r="B161" s="5">
        <v>3.6070000000000002</v>
      </c>
      <c r="C161" s="5">
        <v>3.3319999999999999</v>
      </c>
      <c r="D161" s="5">
        <v>3.4925714285714284</v>
      </c>
      <c r="E161" s="5">
        <f t="shared" si="15"/>
        <v>0.11442857142857177</v>
      </c>
      <c r="F161" s="5">
        <f t="shared" si="16"/>
        <v>-0.16057142857142859</v>
      </c>
      <c r="G161" s="33">
        <v>3.3679999999999999</v>
      </c>
      <c r="K161" s="15">
        <f t="shared" si="11"/>
        <v>6.0142857142857142</v>
      </c>
      <c r="L161" s="15"/>
      <c r="M161" s="13">
        <f t="shared" si="12"/>
        <v>30621</v>
      </c>
      <c r="N161" s="15"/>
      <c r="O161" s="15"/>
      <c r="P161" s="15"/>
      <c r="Q161" s="15"/>
      <c r="R161" s="15"/>
      <c r="U161" s="1">
        <f t="shared" si="13"/>
        <v>11</v>
      </c>
      <c r="V161" s="1">
        <f t="shared" si="14"/>
        <v>1983</v>
      </c>
    </row>
    <row r="162" spans="1:22" x14ac:dyDescent="0.25">
      <c r="A162" s="13">
        <v>30651</v>
      </c>
      <c r="B162" s="5">
        <v>3.45</v>
      </c>
      <c r="C162" s="5">
        <v>3.2669999999999999</v>
      </c>
      <c r="D162" s="5">
        <v>3.355</v>
      </c>
      <c r="E162" s="5">
        <f t="shared" si="15"/>
        <v>9.5000000000000195E-2</v>
      </c>
      <c r="F162" s="5">
        <f t="shared" si="16"/>
        <v>-8.8000000000000078E-2</v>
      </c>
      <c r="G162" s="33">
        <v>3.27</v>
      </c>
      <c r="K162" s="15">
        <f t="shared" si="11"/>
        <v>5.8392857142857144</v>
      </c>
      <c r="L162" s="15"/>
      <c r="M162" s="13">
        <f t="shared" si="12"/>
        <v>30651</v>
      </c>
      <c r="N162" s="15"/>
      <c r="O162" s="15"/>
      <c r="P162" s="15"/>
      <c r="Q162" s="15"/>
      <c r="R162" s="15"/>
      <c r="U162" s="1">
        <f t="shared" si="13"/>
        <v>12</v>
      </c>
      <c r="V162" s="1">
        <f t="shared" si="14"/>
        <v>1983</v>
      </c>
    </row>
    <row r="163" spans="1:22" x14ac:dyDescent="0.25">
      <c r="A163" s="13">
        <v>30682</v>
      </c>
      <c r="B163" s="5">
        <v>3.367</v>
      </c>
      <c r="C163" s="5">
        <v>3.22</v>
      </c>
      <c r="D163" s="5">
        <v>3.302</v>
      </c>
      <c r="E163" s="5">
        <f t="shared" si="15"/>
        <v>6.4999999999999947E-2</v>
      </c>
      <c r="F163" s="5">
        <f t="shared" si="16"/>
        <v>-8.1999999999999851E-2</v>
      </c>
      <c r="G163" s="33">
        <v>3.21</v>
      </c>
      <c r="K163" s="15">
        <f t="shared" si="11"/>
        <v>5.7321428571428568</v>
      </c>
      <c r="L163" s="15"/>
      <c r="M163" s="13">
        <f t="shared" si="12"/>
        <v>30682</v>
      </c>
      <c r="N163" s="15"/>
      <c r="O163" s="15"/>
      <c r="P163" s="15"/>
      <c r="Q163" s="15"/>
      <c r="R163" s="15"/>
      <c r="U163" s="1">
        <f t="shared" si="13"/>
        <v>1</v>
      </c>
      <c r="V163" s="1">
        <f t="shared" si="14"/>
        <v>1984</v>
      </c>
    </row>
    <row r="164" spans="1:22" x14ac:dyDescent="0.25">
      <c r="A164" s="13">
        <v>30713</v>
      </c>
      <c r="B164" s="5">
        <v>3.3250000000000002</v>
      </c>
      <c r="C164" s="5">
        <v>3.16</v>
      </c>
      <c r="D164" s="5">
        <v>3.2475000000000001</v>
      </c>
      <c r="E164" s="5">
        <f t="shared" si="15"/>
        <v>7.7500000000000124E-2</v>
      </c>
      <c r="F164" s="5">
        <f t="shared" si="16"/>
        <v>-8.7499999999999911E-2</v>
      </c>
      <c r="G164" s="33">
        <v>3.15</v>
      </c>
      <c r="K164" s="15">
        <f t="shared" si="11"/>
        <v>5.625</v>
      </c>
      <c r="L164" s="15"/>
      <c r="M164" s="13">
        <f t="shared" si="12"/>
        <v>30713</v>
      </c>
      <c r="N164" s="15"/>
      <c r="O164" s="15"/>
      <c r="P164" s="15"/>
      <c r="Q164" s="15"/>
      <c r="R164" s="15"/>
      <c r="U164" s="1">
        <f t="shared" si="13"/>
        <v>2</v>
      </c>
      <c r="V164" s="1">
        <f t="shared" si="14"/>
        <v>1984</v>
      </c>
    </row>
    <row r="165" spans="1:22" x14ac:dyDescent="0.25">
      <c r="A165" s="13">
        <v>30742</v>
      </c>
      <c r="B165" s="5">
        <v>3.5720000000000001</v>
      </c>
      <c r="C165" s="5">
        <v>3.31</v>
      </c>
      <c r="D165" s="5">
        <v>3.4670454545454548</v>
      </c>
      <c r="E165" s="5">
        <f t="shared" si="15"/>
        <v>0.1049545454545453</v>
      </c>
      <c r="F165" s="5">
        <f t="shared" si="16"/>
        <v>-0.15704545454545471</v>
      </c>
      <c r="G165" s="33">
        <v>3.37</v>
      </c>
      <c r="K165" s="15">
        <f t="shared" si="11"/>
        <v>6.0178571428571432</v>
      </c>
      <c r="L165" s="15"/>
      <c r="M165" s="13">
        <f t="shared" si="12"/>
        <v>30742</v>
      </c>
      <c r="N165" s="15"/>
      <c r="O165" s="15"/>
      <c r="P165" s="15"/>
      <c r="Q165" s="15"/>
      <c r="R165" s="15"/>
      <c r="U165" s="1">
        <f t="shared" si="13"/>
        <v>3</v>
      </c>
      <c r="V165" s="1">
        <f t="shared" si="14"/>
        <v>1984</v>
      </c>
    </row>
    <row r="166" spans="1:22" x14ac:dyDescent="0.25">
      <c r="A166" s="13">
        <v>30773</v>
      </c>
      <c r="B166" s="5">
        <v>3.6219999999999999</v>
      </c>
      <c r="C166" s="5">
        <v>3.4</v>
      </c>
      <c r="D166" s="5">
        <v>3.5398000000000001</v>
      </c>
      <c r="E166" s="5">
        <f t="shared" si="15"/>
        <v>8.2199999999999829E-2</v>
      </c>
      <c r="F166" s="5">
        <f t="shared" si="16"/>
        <v>-0.13980000000000015</v>
      </c>
      <c r="G166" s="33">
        <v>3.45</v>
      </c>
      <c r="K166" s="15">
        <f t="shared" si="11"/>
        <v>6.1607142857142865</v>
      </c>
      <c r="L166" s="15"/>
      <c r="M166" s="13">
        <f t="shared" si="12"/>
        <v>30773</v>
      </c>
      <c r="N166" s="15"/>
      <c r="O166" s="15"/>
      <c r="P166" s="15"/>
      <c r="Q166" s="15"/>
      <c r="R166" s="15"/>
      <c r="U166" s="1">
        <f t="shared" si="13"/>
        <v>4</v>
      </c>
      <c r="V166" s="1">
        <f t="shared" si="14"/>
        <v>1984</v>
      </c>
    </row>
    <row r="167" spans="1:22" x14ac:dyDescent="0.25">
      <c r="A167" s="13">
        <v>30803</v>
      </c>
      <c r="B167" s="5">
        <v>3.57</v>
      </c>
      <c r="C167" s="5">
        <v>3.39</v>
      </c>
      <c r="D167" s="5">
        <v>3.4894090909090911</v>
      </c>
      <c r="E167" s="5">
        <f t="shared" si="15"/>
        <v>8.0590909090908713E-2</v>
      </c>
      <c r="F167" s="5">
        <f t="shared" si="16"/>
        <v>-9.9409090909091002E-2</v>
      </c>
      <c r="G167" s="33">
        <v>3.44</v>
      </c>
      <c r="K167" s="15">
        <f t="shared" si="11"/>
        <v>6.1428571428571432</v>
      </c>
      <c r="L167" s="15"/>
      <c r="M167" s="13">
        <f t="shared" si="12"/>
        <v>30803</v>
      </c>
      <c r="N167" s="15"/>
      <c r="O167" s="15"/>
      <c r="P167" s="15"/>
      <c r="Q167" s="15"/>
      <c r="R167" s="15"/>
      <c r="U167" s="1">
        <f t="shared" si="13"/>
        <v>5</v>
      </c>
      <c r="V167" s="1">
        <f t="shared" si="14"/>
        <v>1984</v>
      </c>
    </row>
    <row r="168" spans="1:22" x14ac:dyDescent="0.25">
      <c r="A168" s="13">
        <v>30834</v>
      </c>
      <c r="B168" s="5">
        <v>3.5550000000000002</v>
      </c>
      <c r="C168" s="5">
        <v>3.44</v>
      </c>
      <c r="D168" s="5">
        <v>3.491714285714286</v>
      </c>
      <c r="E168" s="5">
        <f t="shared" si="15"/>
        <v>6.3285714285714167E-2</v>
      </c>
      <c r="F168" s="5">
        <f t="shared" si="16"/>
        <v>-5.1714285714286046E-2</v>
      </c>
      <c r="G168" s="33">
        <v>3.4424999999999999</v>
      </c>
      <c r="K168" s="15">
        <f t="shared" si="11"/>
        <v>6.1473214285714288</v>
      </c>
      <c r="L168" s="15"/>
      <c r="M168" s="13">
        <f t="shared" si="12"/>
        <v>30834</v>
      </c>
      <c r="N168" s="15"/>
      <c r="O168" s="15"/>
      <c r="P168" s="15"/>
      <c r="Q168" s="15"/>
      <c r="R168" s="15"/>
      <c r="U168" s="1">
        <f t="shared" si="13"/>
        <v>6</v>
      </c>
      <c r="V168" s="1">
        <f t="shared" si="14"/>
        <v>1984</v>
      </c>
    </row>
    <row r="169" spans="1:22" x14ac:dyDescent="0.25">
      <c r="A169" s="13">
        <v>30864</v>
      </c>
      <c r="B169" s="5">
        <v>3.2850000000000001</v>
      </c>
      <c r="C169" s="5">
        <v>2.855</v>
      </c>
      <c r="D169" s="5">
        <v>3.0747142857142857</v>
      </c>
      <c r="E169" s="5">
        <f t="shared" si="15"/>
        <v>0.21028571428571441</v>
      </c>
      <c r="F169" s="5">
        <f t="shared" si="16"/>
        <v>-0.21971428571428575</v>
      </c>
      <c r="G169" s="33">
        <v>3.26</v>
      </c>
      <c r="K169" s="15">
        <f t="shared" si="11"/>
        <v>5.8214285714285712</v>
      </c>
      <c r="L169" s="15"/>
      <c r="M169" s="13">
        <f t="shared" si="12"/>
        <v>30864</v>
      </c>
      <c r="N169" s="15"/>
      <c r="O169" s="15"/>
      <c r="P169" s="15"/>
      <c r="Q169" s="15"/>
      <c r="R169" s="15"/>
      <c r="U169" s="1">
        <f t="shared" si="13"/>
        <v>7</v>
      </c>
      <c r="V169" s="1">
        <f t="shared" si="14"/>
        <v>1984</v>
      </c>
    </row>
    <row r="170" spans="1:22" x14ac:dyDescent="0.25">
      <c r="A170" s="13">
        <v>30895</v>
      </c>
      <c r="B170" s="5">
        <v>3.085</v>
      </c>
      <c r="C170" s="5">
        <v>2.8820000000000001</v>
      </c>
      <c r="D170" s="5">
        <v>2.9731739130434787</v>
      </c>
      <c r="E170" s="5">
        <f t="shared" si="15"/>
        <v>0.1118260869565213</v>
      </c>
      <c r="F170" s="5">
        <f t="shared" si="16"/>
        <v>-9.1173913043478549E-2</v>
      </c>
      <c r="G170" s="33">
        <v>3.16</v>
      </c>
      <c r="K170" s="15">
        <f t="shared" si="11"/>
        <v>5.6428571428571432</v>
      </c>
      <c r="L170" s="15"/>
      <c r="M170" s="13">
        <f t="shared" si="12"/>
        <v>30895</v>
      </c>
      <c r="N170" s="15"/>
      <c r="O170" s="15"/>
      <c r="P170" s="15"/>
      <c r="Q170" s="15"/>
      <c r="R170" s="15"/>
      <c r="U170" s="1">
        <f t="shared" si="13"/>
        <v>8</v>
      </c>
      <c r="V170" s="1">
        <f t="shared" si="14"/>
        <v>1984</v>
      </c>
    </row>
    <row r="171" spans="1:22" x14ac:dyDescent="0.25">
      <c r="A171" s="13">
        <v>30926</v>
      </c>
      <c r="B171" s="5">
        <v>2.92</v>
      </c>
      <c r="C171" s="5">
        <v>2.78</v>
      </c>
      <c r="D171" s="5">
        <v>2.8583684210526314</v>
      </c>
      <c r="E171" s="5">
        <f t="shared" si="15"/>
        <v>6.1631578947368482E-2</v>
      </c>
      <c r="F171" s="5">
        <f t="shared" si="16"/>
        <v>-7.8368421052631643E-2</v>
      </c>
      <c r="G171" s="33">
        <v>2.92</v>
      </c>
      <c r="K171" s="15">
        <f t="shared" si="11"/>
        <v>5.2142857142857144</v>
      </c>
      <c r="L171" s="15"/>
      <c r="M171" s="13">
        <f t="shared" si="12"/>
        <v>30926</v>
      </c>
      <c r="N171" s="15"/>
      <c r="O171" s="15"/>
      <c r="P171" s="15"/>
      <c r="Q171" s="15"/>
      <c r="R171" s="15"/>
      <c r="U171" s="1">
        <f t="shared" si="13"/>
        <v>9</v>
      </c>
      <c r="V171" s="1">
        <f t="shared" si="14"/>
        <v>1984</v>
      </c>
    </row>
    <row r="172" spans="1:22" x14ac:dyDescent="0.25">
      <c r="A172" s="13">
        <v>30956</v>
      </c>
      <c r="B172" s="5">
        <v>2.8370000000000002</v>
      </c>
      <c r="C172" s="5">
        <v>2.73</v>
      </c>
      <c r="D172" s="5">
        <v>2.7835652173913044</v>
      </c>
      <c r="E172" s="5">
        <f t="shared" si="15"/>
        <v>5.343478260869583E-2</v>
      </c>
      <c r="F172" s="5">
        <f t="shared" si="16"/>
        <v>-5.3565217391304376E-2</v>
      </c>
      <c r="G172" s="33">
        <v>2.66</v>
      </c>
      <c r="K172" s="15">
        <f t="shared" si="11"/>
        <v>4.75</v>
      </c>
      <c r="L172" s="15"/>
      <c r="M172" s="13">
        <f t="shared" si="12"/>
        <v>30956</v>
      </c>
      <c r="N172" s="15"/>
      <c r="O172" s="15"/>
      <c r="P172" s="15"/>
      <c r="Q172" s="15"/>
      <c r="R172" s="15"/>
      <c r="U172" s="1">
        <f t="shared" si="13"/>
        <v>10</v>
      </c>
      <c r="V172" s="1">
        <f t="shared" si="14"/>
        <v>1984</v>
      </c>
    </row>
    <row r="173" spans="1:22" x14ac:dyDescent="0.25">
      <c r="A173" s="13">
        <v>30987</v>
      </c>
      <c r="B173" s="5">
        <v>2.7970000000000002</v>
      </c>
      <c r="C173" s="5">
        <v>2.645</v>
      </c>
      <c r="D173" s="5">
        <v>2.7312857142857143</v>
      </c>
      <c r="E173" s="5">
        <f t="shared" si="15"/>
        <v>6.5714285714285836E-2</v>
      </c>
      <c r="F173" s="5">
        <f t="shared" si="16"/>
        <v>-8.6285714285714299E-2</v>
      </c>
      <c r="G173" s="33">
        <v>2.61</v>
      </c>
      <c r="K173" s="15">
        <f t="shared" si="11"/>
        <v>4.6607142857142856</v>
      </c>
      <c r="L173" s="15"/>
      <c r="M173" s="13">
        <f t="shared" si="12"/>
        <v>30987</v>
      </c>
      <c r="N173" s="15"/>
      <c r="O173" s="15"/>
      <c r="P173" s="15"/>
      <c r="Q173" s="15"/>
      <c r="R173" s="15"/>
      <c r="U173" s="1">
        <f t="shared" si="13"/>
        <v>11</v>
      </c>
      <c r="V173" s="1">
        <f t="shared" si="14"/>
        <v>1984</v>
      </c>
    </row>
    <row r="174" spans="1:22" x14ac:dyDescent="0.25">
      <c r="A174" s="13">
        <v>31017</v>
      </c>
      <c r="B174" s="5">
        <v>2.79</v>
      </c>
      <c r="C174" s="5">
        <v>2.65</v>
      </c>
      <c r="D174" s="5">
        <v>2.6995</v>
      </c>
      <c r="E174" s="5">
        <f t="shared" si="15"/>
        <v>9.0500000000000025E-2</v>
      </c>
      <c r="F174" s="5">
        <f t="shared" si="16"/>
        <v>-4.9500000000000099E-2</v>
      </c>
      <c r="G174" s="33">
        <v>2.5625</v>
      </c>
      <c r="K174" s="15">
        <f t="shared" si="11"/>
        <v>4.5758928571428568</v>
      </c>
      <c r="L174" s="15"/>
      <c r="M174" s="13">
        <f t="shared" si="12"/>
        <v>31017</v>
      </c>
      <c r="N174" s="15"/>
      <c r="O174" s="15"/>
      <c r="P174" s="15"/>
      <c r="Q174" s="15"/>
      <c r="R174" s="15"/>
      <c r="U174" s="1">
        <f t="shared" si="13"/>
        <v>12</v>
      </c>
      <c r="V174" s="1">
        <f t="shared" si="14"/>
        <v>1984</v>
      </c>
    </row>
    <row r="175" spans="1:22" x14ac:dyDescent="0.25">
      <c r="A175" s="13">
        <v>31048</v>
      </c>
      <c r="B175" s="5">
        <v>2.74</v>
      </c>
      <c r="C175" s="5">
        <v>2.68</v>
      </c>
      <c r="D175" s="5">
        <v>2.7080000000000002</v>
      </c>
      <c r="E175" s="5">
        <f t="shared" si="15"/>
        <v>3.2000000000000028E-2</v>
      </c>
      <c r="F175" s="5">
        <f t="shared" si="16"/>
        <v>-2.8000000000000025E-2</v>
      </c>
      <c r="G175" s="33">
        <v>2.6379999999999999</v>
      </c>
      <c r="K175" s="15">
        <f t="shared" si="11"/>
        <v>4.7107142857142854</v>
      </c>
      <c r="L175" s="15"/>
      <c r="M175" s="13">
        <f t="shared" si="12"/>
        <v>31048</v>
      </c>
      <c r="N175" s="15"/>
      <c r="O175" s="15"/>
      <c r="P175" s="15"/>
      <c r="Q175" s="15"/>
      <c r="R175" s="15"/>
      <c r="U175" s="1">
        <f t="shared" si="13"/>
        <v>1</v>
      </c>
      <c r="V175" s="1">
        <f t="shared" si="14"/>
        <v>1985</v>
      </c>
    </row>
    <row r="176" spans="1:22" x14ac:dyDescent="0.25">
      <c r="A176" s="13">
        <v>31079</v>
      </c>
      <c r="B176" s="5">
        <v>2.7450000000000001</v>
      </c>
      <c r="C176" s="5">
        <v>2.6150000000000002</v>
      </c>
      <c r="D176" s="5">
        <v>2.6848421052631579</v>
      </c>
      <c r="E176" s="5">
        <f t="shared" si="15"/>
        <v>6.0157894736842188E-2</v>
      </c>
      <c r="F176" s="5">
        <f t="shared" si="16"/>
        <v>-6.9842105263157706E-2</v>
      </c>
      <c r="G176" s="33">
        <v>2.64</v>
      </c>
      <c r="K176" s="15">
        <f t="shared" si="11"/>
        <v>4.7142857142857144</v>
      </c>
      <c r="L176" s="15"/>
      <c r="M176" s="13">
        <f t="shared" si="12"/>
        <v>31079</v>
      </c>
      <c r="N176" s="15"/>
      <c r="O176" s="15"/>
      <c r="P176" s="15"/>
      <c r="Q176" s="15"/>
      <c r="R176" s="15"/>
      <c r="U176" s="1">
        <f t="shared" si="13"/>
        <v>2</v>
      </c>
      <c r="V176" s="1">
        <f t="shared" si="14"/>
        <v>1985</v>
      </c>
    </row>
    <row r="177" spans="1:22" x14ac:dyDescent="0.25">
      <c r="A177" s="13">
        <v>31107</v>
      </c>
      <c r="B177" s="5">
        <v>2.82</v>
      </c>
      <c r="C177" s="5">
        <v>2.7</v>
      </c>
      <c r="D177" s="5">
        <v>2.7528095238095243</v>
      </c>
      <c r="E177" s="5">
        <f t="shared" si="15"/>
        <v>6.7190476190475579E-2</v>
      </c>
      <c r="F177" s="5">
        <f t="shared" si="16"/>
        <v>-5.2809523809524084E-2</v>
      </c>
      <c r="G177" s="33">
        <v>2.68</v>
      </c>
      <c r="K177" s="15">
        <f t="shared" si="11"/>
        <v>4.7857142857142865</v>
      </c>
      <c r="L177" s="15"/>
      <c r="M177" s="13">
        <f t="shared" si="12"/>
        <v>31107</v>
      </c>
      <c r="N177" s="15"/>
      <c r="O177" s="15"/>
      <c r="P177" s="15"/>
      <c r="Q177" s="15"/>
      <c r="R177" s="15"/>
      <c r="U177" s="1">
        <f t="shared" si="13"/>
        <v>3</v>
      </c>
      <c r="V177" s="1">
        <f t="shared" si="14"/>
        <v>1985</v>
      </c>
    </row>
    <row r="178" spans="1:22" x14ac:dyDescent="0.25">
      <c r="A178" s="13">
        <v>31138</v>
      </c>
      <c r="B178" s="5">
        <v>2.86</v>
      </c>
      <c r="C178" s="5">
        <v>2.802</v>
      </c>
      <c r="D178" s="5">
        <v>2.8314285714285714</v>
      </c>
      <c r="E178" s="5">
        <f t="shared" si="15"/>
        <v>2.857142857142847E-2</v>
      </c>
      <c r="F178" s="5">
        <f t="shared" si="16"/>
        <v>-2.942857142857136E-2</v>
      </c>
      <c r="G178" s="33">
        <v>2.72</v>
      </c>
      <c r="K178" s="15">
        <f t="shared" si="11"/>
        <v>4.8571428571428577</v>
      </c>
      <c r="L178" s="15"/>
      <c r="M178" s="13">
        <f t="shared" si="12"/>
        <v>31138</v>
      </c>
      <c r="N178" s="15"/>
      <c r="O178" s="15"/>
      <c r="P178" s="15"/>
      <c r="Q178" s="15"/>
      <c r="R178" s="15"/>
      <c r="U178" s="1">
        <f t="shared" si="13"/>
        <v>4</v>
      </c>
      <c r="V178" s="1">
        <f t="shared" si="14"/>
        <v>1985</v>
      </c>
    </row>
    <row r="179" spans="1:22" x14ac:dyDescent="0.25">
      <c r="A179" s="13">
        <v>31168</v>
      </c>
      <c r="B179" s="5">
        <v>2.7970000000000002</v>
      </c>
      <c r="C179" s="5">
        <v>2.72</v>
      </c>
      <c r="D179" s="5">
        <v>2.7642727272727274</v>
      </c>
      <c r="E179" s="5">
        <f t="shared" si="15"/>
        <v>3.2727272727272716E-2</v>
      </c>
      <c r="F179" s="5">
        <f t="shared" si="16"/>
        <v>-4.4272727272727241E-2</v>
      </c>
      <c r="G179" s="33">
        <v>2.6859999999999999</v>
      </c>
      <c r="K179" s="15">
        <f t="shared" si="11"/>
        <v>4.7964285714285717</v>
      </c>
      <c r="L179" s="15"/>
      <c r="M179" s="13">
        <f t="shared" si="12"/>
        <v>31168</v>
      </c>
      <c r="N179" s="15"/>
      <c r="O179" s="15"/>
      <c r="P179" s="15"/>
      <c r="Q179" s="15"/>
      <c r="R179" s="15"/>
      <c r="U179" s="1">
        <f t="shared" si="13"/>
        <v>5</v>
      </c>
      <c r="V179" s="1">
        <f t="shared" si="14"/>
        <v>1985</v>
      </c>
    </row>
    <row r="180" spans="1:22" x14ac:dyDescent="0.25">
      <c r="A180" s="13">
        <v>31199</v>
      </c>
      <c r="B180" s="5">
        <v>2.7949999999999999</v>
      </c>
      <c r="C180" s="5">
        <v>2.6869999999999998</v>
      </c>
      <c r="D180" s="5">
        <v>2.7544499999999998</v>
      </c>
      <c r="E180" s="5">
        <f t="shared" si="15"/>
        <v>4.0550000000000086E-2</v>
      </c>
      <c r="F180" s="5">
        <f t="shared" si="16"/>
        <v>-6.745000000000001E-2</v>
      </c>
      <c r="G180" s="33">
        <v>2.64</v>
      </c>
      <c r="K180" s="15">
        <f t="shared" si="11"/>
        <v>4.7142857142857144</v>
      </c>
      <c r="L180" s="15"/>
      <c r="M180" s="13">
        <f t="shared" si="12"/>
        <v>31199</v>
      </c>
      <c r="N180" s="15"/>
      <c r="O180" s="15"/>
      <c r="P180" s="15"/>
      <c r="Q180" s="15"/>
      <c r="R180" s="15"/>
      <c r="U180" s="1">
        <f t="shared" si="13"/>
        <v>6</v>
      </c>
      <c r="V180" s="1">
        <f t="shared" si="14"/>
        <v>1985</v>
      </c>
    </row>
    <row r="181" spans="1:22" x14ac:dyDescent="0.25">
      <c r="A181" s="13">
        <v>31229</v>
      </c>
      <c r="B181" s="5">
        <v>2.5649999999999999</v>
      </c>
      <c r="C181" s="5">
        <v>2.2999999999999998</v>
      </c>
      <c r="D181" s="5">
        <v>2.4730909090909092</v>
      </c>
      <c r="E181" s="5">
        <f t="shared" si="15"/>
        <v>9.1909090909090718E-2</v>
      </c>
      <c r="F181" s="5">
        <f t="shared" si="16"/>
        <v>-0.17309090909090941</v>
      </c>
      <c r="G181" s="33">
        <v>2.6</v>
      </c>
      <c r="K181" s="15">
        <f t="shared" si="11"/>
        <v>4.6428571428571432</v>
      </c>
      <c r="L181" s="15"/>
      <c r="M181" s="13">
        <f t="shared" si="12"/>
        <v>31229</v>
      </c>
      <c r="N181" s="15"/>
      <c r="O181" s="15"/>
      <c r="P181" s="15"/>
      <c r="Q181" s="15"/>
      <c r="R181" s="15"/>
      <c r="U181" s="1">
        <f t="shared" si="13"/>
        <v>7</v>
      </c>
      <c r="V181" s="1">
        <f t="shared" si="14"/>
        <v>1985</v>
      </c>
    </row>
    <row r="182" spans="1:22" x14ac:dyDescent="0.25">
      <c r="A182" s="13">
        <v>31260</v>
      </c>
      <c r="B182" s="5">
        <v>2.35</v>
      </c>
      <c r="C182" s="5">
        <v>2.2519999999999998</v>
      </c>
      <c r="D182" s="5">
        <v>2.2984545454545455</v>
      </c>
      <c r="E182" s="5">
        <f t="shared" si="15"/>
        <v>5.1545454545454561E-2</v>
      </c>
      <c r="F182" s="5">
        <f t="shared" si="16"/>
        <v>-4.6454545454545748E-2</v>
      </c>
      <c r="G182" s="33">
        <v>2.46</v>
      </c>
      <c r="K182" s="15">
        <f t="shared" si="11"/>
        <v>4.3928571428571423</v>
      </c>
      <c r="L182" s="15"/>
      <c r="M182" s="13">
        <f t="shared" si="12"/>
        <v>31260</v>
      </c>
      <c r="N182" s="15"/>
      <c r="O182" s="15"/>
      <c r="P182" s="15"/>
      <c r="Q182" s="15"/>
      <c r="R182" s="15"/>
      <c r="U182" s="1">
        <f t="shared" si="13"/>
        <v>8</v>
      </c>
      <c r="V182" s="1">
        <f t="shared" si="14"/>
        <v>1985</v>
      </c>
    </row>
    <row r="183" spans="1:22" x14ac:dyDescent="0.25">
      <c r="A183" s="13">
        <v>31291</v>
      </c>
      <c r="B183" s="5">
        <v>2.2799999999999998</v>
      </c>
      <c r="C183" s="5">
        <v>2.145</v>
      </c>
      <c r="D183" s="5">
        <v>2.1991999999999998</v>
      </c>
      <c r="E183" s="5">
        <f t="shared" si="15"/>
        <v>8.0799999999999983E-2</v>
      </c>
      <c r="F183" s="5">
        <f t="shared" si="16"/>
        <v>-5.4199999999999804E-2</v>
      </c>
      <c r="G183" s="33">
        <v>2.2799999999999998</v>
      </c>
      <c r="K183" s="15">
        <f t="shared" si="11"/>
        <v>4.0714285714285712</v>
      </c>
      <c r="L183" s="15"/>
      <c r="M183" s="13">
        <f t="shared" si="12"/>
        <v>31291</v>
      </c>
      <c r="N183" s="15"/>
      <c r="O183" s="15"/>
      <c r="P183" s="15"/>
      <c r="Q183" s="15"/>
      <c r="R183" s="15"/>
      <c r="U183" s="1">
        <f t="shared" si="13"/>
        <v>9</v>
      </c>
      <c r="V183" s="1">
        <f t="shared" si="14"/>
        <v>1985</v>
      </c>
    </row>
    <row r="184" spans="1:22" x14ac:dyDescent="0.25">
      <c r="A184" s="13">
        <v>31321</v>
      </c>
      <c r="B184" s="5">
        <v>2.33</v>
      </c>
      <c r="C184" s="5">
        <v>2.1819999999999999</v>
      </c>
      <c r="D184" s="5">
        <v>2.2339565217391306</v>
      </c>
      <c r="E184" s="5">
        <f t="shared" si="15"/>
        <v>9.6043478260869453E-2</v>
      </c>
      <c r="F184" s="5">
        <f t="shared" si="16"/>
        <v>-5.1956521739130679E-2</v>
      </c>
      <c r="G184" s="33">
        <v>2.1</v>
      </c>
      <c r="K184" s="15">
        <f t="shared" si="11"/>
        <v>3.75</v>
      </c>
      <c r="L184" s="15"/>
      <c r="M184" s="13">
        <f t="shared" si="12"/>
        <v>31321</v>
      </c>
      <c r="N184" s="15"/>
      <c r="O184" s="15"/>
      <c r="P184" s="15"/>
      <c r="Q184" s="15"/>
      <c r="R184" s="15"/>
      <c r="U184" s="1">
        <f t="shared" si="13"/>
        <v>10</v>
      </c>
      <c r="V184" s="1">
        <f t="shared" si="14"/>
        <v>1985</v>
      </c>
    </row>
    <row r="185" spans="1:22" x14ac:dyDescent="0.25">
      <c r="A185" s="13">
        <v>31352</v>
      </c>
      <c r="B185" s="5">
        <v>2.4550000000000001</v>
      </c>
      <c r="C185" s="5">
        <v>2.3119999999999998</v>
      </c>
      <c r="D185" s="5">
        <v>2.3815</v>
      </c>
      <c r="E185" s="5">
        <f t="shared" si="15"/>
        <v>7.3500000000000121E-2</v>
      </c>
      <c r="F185" s="5">
        <f t="shared" si="16"/>
        <v>-6.9500000000000117E-2</v>
      </c>
      <c r="G185" s="33">
        <v>2.3199999999999998</v>
      </c>
      <c r="K185" s="15">
        <f t="shared" si="11"/>
        <v>4.1428571428571423</v>
      </c>
      <c r="L185" s="15"/>
      <c r="M185" s="13">
        <f t="shared" si="12"/>
        <v>31352</v>
      </c>
      <c r="N185" s="15"/>
      <c r="O185" s="15"/>
      <c r="P185" s="15"/>
      <c r="Q185" s="15"/>
      <c r="R185" s="15"/>
      <c r="U185" s="1">
        <f t="shared" si="13"/>
        <v>11</v>
      </c>
      <c r="V185" s="1">
        <f t="shared" si="14"/>
        <v>1985</v>
      </c>
    </row>
    <row r="186" spans="1:22" x14ac:dyDescent="0.25">
      <c r="A186" s="13">
        <v>31382</v>
      </c>
      <c r="B186" s="5">
        <v>2.52</v>
      </c>
      <c r="C186" s="5">
        <v>2.4249999999999998</v>
      </c>
      <c r="D186" s="5">
        <v>2.4745238095238098</v>
      </c>
      <c r="E186" s="5">
        <f t="shared" si="15"/>
        <v>4.5476190476190226E-2</v>
      </c>
      <c r="F186" s="5">
        <f t="shared" si="16"/>
        <v>-4.952380952380997E-2</v>
      </c>
      <c r="G186" s="33">
        <v>2.38</v>
      </c>
      <c r="K186" s="15">
        <f t="shared" si="11"/>
        <v>4.25</v>
      </c>
      <c r="L186" s="15"/>
      <c r="M186" s="13">
        <f t="shared" si="12"/>
        <v>31382</v>
      </c>
      <c r="N186" s="15"/>
      <c r="O186" s="15"/>
      <c r="P186" s="15"/>
      <c r="Q186" s="15"/>
      <c r="R186" s="15"/>
      <c r="U186" s="1">
        <f t="shared" si="13"/>
        <v>12</v>
      </c>
      <c r="V186" s="1">
        <f t="shared" si="14"/>
        <v>1985</v>
      </c>
    </row>
    <row r="187" spans="1:22" x14ac:dyDescent="0.25">
      <c r="A187" s="13">
        <v>31413</v>
      </c>
      <c r="B187" s="5">
        <v>2.512</v>
      </c>
      <c r="C187" s="5">
        <v>2.4</v>
      </c>
      <c r="D187" s="5">
        <v>2.4658636363636366</v>
      </c>
      <c r="E187" s="5">
        <f t="shared" si="15"/>
        <v>4.613636363636342E-2</v>
      </c>
      <c r="F187" s="5">
        <f t="shared" si="16"/>
        <v>-6.586363636363668E-2</v>
      </c>
      <c r="G187" s="33">
        <v>2.36</v>
      </c>
      <c r="K187" s="15">
        <f t="shared" si="11"/>
        <v>4.2142857142857144</v>
      </c>
      <c r="L187" s="15"/>
      <c r="M187" s="13">
        <f t="shared" si="12"/>
        <v>31413</v>
      </c>
      <c r="N187" s="15"/>
      <c r="O187" s="15"/>
      <c r="P187" s="15"/>
      <c r="Q187" s="15"/>
      <c r="R187" s="15"/>
      <c r="U187" s="1">
        <f t="shared" si="13"/>
        <v>1</v>
      </c>
      <c r="V187" s="1">
        <f t="shared" si="14"/>
        <v>1986</v>
      </c>
    </row>
    <row r="188" spans="1:22" x14ac:dyDescent="0.25">
      <c r="A188" s="13">
        <v>31444</v>
      </c>
      <c r="B188" s="5">
        <v>2.4500000000000002</v>
      </c>
      <c r="C188" s="5">
        <v>2.2770000000000001</v>
      </c>
      <c r="D188" s="5">
        <v>2.3888421052631581</v>
      </c>
      <c r="E188" s="5">
        <f t="shared" si="15"/>
        <v>6.1157894736842078E-2</v>
      </c>
      <c r="F188" s="5">
        <f t="shared" si="16"/>
        <v>-0.11184210526315796</v>
      </c>
      <c r="G188" s="33">
        <v>2.33</v>
      </c>
      <c r="K188" s="15">
        <f t="shared" si="11"/>
        <v>4.1607142857142856</v>
      </c>
      <c r="L188" s="15"/>
      <c r="M188" s="13">
        <f t="shared" si="12"/>
        <v>31444</v>
      </c>
      <c r="N188" s="15"/>
      <c r="O188" s="15"/>
      <c r="P188" s="15"/>
      <c r="Q188" s="15"/>
      <c r="R188" s="15"/>
      <c r="U188" s="1">
        <f t="shared" si="13"/>
        <v>2</v>
      </c>
      <c r="V188" s="1">
        <f t="shared" si="14"/>
        <v>1986</v>
      </c>
    </row>
    <row r="189" spans="1:22" x14ac:dyDescent="0.25">
      <c r="A189" s="13">
        <v>31472</v>
      </c>
      <c r="B189" s="5">
        <v>2.3570000000000002</v>
      </c>
      <c r="C189" s="5">
        <v>2.2250000000000001</v>
      </c>
      <c r="D189" s="5">
        <v>2.3148499999999999</v>
      </c>
      <c r="E189" s="5">
        <f t="shared" si="15"/>
        <v>4.2150000000000354E-2</v>
      </c>
      <c r="F189" s="5">
        <f t="shared" si="16"/>
        <v>-8.9849999999999763E-2</v>
      </c>
      <c r="G189" s="33">
        <v>2.29</v>
      </c>
      <c r="K189" s="15">
        <f t="shared" si="11"/>
        <v>4.0892857142857144</v>
      </c>
      <c r="L189" s="15"/>
      <c r="M189" s="13">
        <f t="shared" si="12"/>
        <v>31472</v>
      </c>
      <c r="N189" s="15"/>
      <c r="O189" s="15"/>
      <c r="P189" s="15"/>
      <c r="Q189" s="15"/>
      <c r="R189" s="15"/>
      <c r="U189" s="1">
        <f t="shared" si="13"/>
        <v>3</v>
      </c>
      <c r="V189" s="1">
        <f t="shared" si="14"/>
        <v>1986</v>
      </c>
    </row>
    <row r="190" spans="1:22" x14ac:dyDescent="0.25">
      <c r="A190" s="13">
        <v>31503</v>
      </c>
      <c r="B190" s="5">
        <v>2.41</v>
      </c>
      <c r="C190" s="5">
        <v>2.2469999999999999</v>
      </c>
      <c r="D190" s="5">
        <v>2.3059090909090907</v>
      </c>
      <c r="E190" s="5">
        <f t="shared" si="15"/>
        <v>0.10409090909090946</v>
      </c>
      <c r="F190" s="5">
        <f t="shared" si="16"/>
        <v>-5.89090909090908E-2</v>
      </c>
      <c r="G190" s="33">
        <v>2.3140000000000001</v>
      </c>
      <c r="K190" s="15">
        <f t="shared" si="11"/>
        <v>4.1321428571428571</v>
      </c>
      <c r="L190" s="15"/>
      <c r="M190" s="13">
        <f t="shared" si="12"/>
        <v>31503</v>
      </c>
      <c r="N190" s="15"/>
      <c r="O190" s="15"/>
      <c r="P190" s="15"/>
      <c r="Q190" s="15"/>
      <c r="R190" s="15"/>
      <c r="U190" s="1">
        <f t="shared" si="13"/>
        <v>4</v>
      </c>
      <c r="V190" s="1">
        <f t="shared" si="14"/>
        <v>1986</v>
      </c>
    </row>
    <row r="191" spans="1:22" x14ac:dyDescent="0.25">
      <c r="A191" s="13">
        <v>31533</v>
      </c>
      <c r="B191" s="5">
        <v>2.4319999999999999</v>
      </c>
      <c r="C191" s="5">
        <v>2.2400000000000002</v>
      </c>
      <c r="D191" s="5">
        <v>2.3528571428571432</v>
      </c>
      <c r="E191" s="5">
        <f t="shared" si="15"/>
        <v>7.9142857142856737E-2</v>
      </c>
      <c r="F191" s="5">
        <f t="shared" si="16"/>
        <v>-0.11285714285714299</v>
      </c>
      <c r="G191" s="33">
        <v>2.42</v>
      </c>
      <c r="K191" s="15">
        <f t="shared" si="11"/>
        <v>4.3214285714285712</v>
      </c>
      <c r="L191" s="15"/>
      <c r="M191" s="13">
        <f t="shared" si="12"/>
        <v>31533</v>
      </c>
      <c r="N191" s="15"/>
      <c r="O191" s="15"/>
      <c r="P191" s="15"/>
      <c r="Q191" s="15"/>
      <c r="R191" s="15"/>
      <c r="U191" s="1">
        <f t="shared" si="13"/>
        <v>5</v>
      </c>
      <c r="V191" s="1">
        <f t="shared" si="14"/>
        <v>1986</v>
      </c>
    </row>
    <row r="192" spans="1:22" x14ac:dyDescent="0.25">
      <c r="A192" s="13">
        <v>31564</v>
      </c>
      <c r="B192" s="5">
        <v>2.3969999999999998</v>
      </c>
      <c r="C192" s="5">
        <v>2.16</v>
      </c>
      <c r="D192" s="5">
        <v>2.3229047619047622</v>
      </c>
      <c r="E192" s="5">
        <f t="shared" si="15"/>
        <v>7.4095238095237548E-2</v>
      </c>
      <c r="F192" s="5">
        <f t="shared" si="16"/>
        <v>-0.16290476190476211</v>
      </c>
      <c r="G192" s="33">
        <v>2.41</v>
      </c>
      <c r="K192" s="15">
        <f t="shared" ref="K192:K255" si="17">G192/56*100</f>
        <v>4.3035714285714288</v>
      </c>
      <c r="L192" s="15"/>
      <c r="M192" s="13">
        <f t="shared" si="12"/>
        <v>31564</v>
      </c>
      <c r="N192" s="15"/>
      <c r="O192" s="15"/>
      <c r="P192" s="15"/>
      <c r="Q192" s="15"/>
      <c r="R192" s="15"/>
      <c r="U192" s="1">
        <f t="shared" si="13"/>
        <v>6</v>
      </c>
      <c r="V192" s="1">
        <f t="shared" si="14"/>
        <v>1986</v>
      </c>
    </row>
    <row r="193" spans="1:22" x14ac:dyDescent="0.25">
      <c r="A193" s="13">
        <v>31594</v>
      </c>
      <c r="B193" s="5">
        <v>1.847</v>
      </c>
      <c r="C193" s="5">
        <v>1.65</v>
      </c>
      <c r="D193" s="5">
        <v>1.7425454545454546</v>
      </c>
      <c r="E193" s="5">
        <f t="shared" si="15"/>
        <v>0.10445454545454536</v>
      </c>
      <c r="F193" s="5">
        <f t="shared" si="16"/>
        <v>-9.2545454545454708E-2</v>
      </c>
      <c r="G193" s="33">
        <v>1.9319999999999999</v>
      </c>
      <c r="K193" s="15">
        <f t="shared" si="17"/>
        <v>3.4499999999999997</v>
      </c>
      <c r="L193" s="15"/>
      <c r="M193" s="13">
        <f t="shared" si="12"/>
        <v>31594</v>
      </c>
      <c r="N193" s="15"/>
      <c r="O193" s="15"/>
      <c r="P193" s="15"/>
      <c r="Q193" s="15"/>
      <c r="R193" s="15"/>
      <c r="U193" s="1">
        <f t="shared" si="13"/>
        <v>7</v>
      </c>
      <c r="V193" s="1">
        <f t="shared" si="14"/>
        <v>1986</v>
      </c>
    </row>
    <row r="194" spans="1:22" x14ac:dyDescent="0.25">
      <c r="A194" s="13">
        <v>31625</v>
      </c>
      <c r="B194" s="5">
        <v>1.72</v>
      </c>
      <c r="C194" s="5">
        <v>1.5149999999999999</v>
      </c>
      <c r="D194" s="5">
        <v>1.6135714285714287</v>
      </c>
      <c r="E194" s="5">
        <f t="shared" si="15"/>
        <v>0.10642857142857132</v>
      </c>
      <c r="F194" s="5">
        <f t="shared" si="16"/>
        <v>-9.8571428571428754E-2</v>
      </c>
      <c r="G194" s="33">
        <v>1.5175000000000001</v>
      </c>
      <c r="K194" s="15">
        <f t="shared" si="17"/>
        <v>2.7098214285714288</v>
      </c>
      <c r="L194" s="15"/>
      <c r="M194" s="13">
        <f t="shared" si="12"/>
        <v>31625</v>
      </c>
      <c r="N194" s="15"/>
      <c r="O194" s="15"/>
      <c r="P194" s="15"/>
      <c r="Q194" s="15"/>
      <c r="R194" s="15"/>
      <c r="U194" s="1">
        <f t="shared" si="13"/>
        <v>8</v>
      </c>
      <c r="V194" s="1">
        <f t="shared" si="14"/>
        <v>1986</v>
      </c>
    </row>
    <row r="195" spans="1:22" x14ac:dyDescent="0.25">
      <c r="A195" s="13">
        <v>31656</v>
      </c>
      <c r="B195" s="5">
        <v>1.8149999999999999</v>
      </c>
      <c r="C195" s="5">
        <v>1.61</v>
      </c>
      <c r="D195" s="5">
        <v>1.6651904761904763</v>
      </c>
      <c r="E195" s="5">
        <f t="shared" si="15"/>
        <v>0.14980952380952361</v>
      </c>
      <c r="F195" s="5">
        <f t="shared" si="16"/>
        <v>-5.5190476190476234E-2</v>
      </c>
      <c r="G195" s="33">
        <v>1.3374999999999999</v>
      </c>
      <c r="K195" s="15">
        <f t="shared" si="17"/>
        <v>2.3883928571428568</v>
      </c>
      <c r="L195" s="15"/>
      <c r="M195" s="13">
        <f t="shared" ref="M195:M258" si="18">A195</f>
        <v>31656</v>
      </c>
      <c r="N195" s="15"/>
      <c r="O195" s="15"/>
      <c r="P195" s="15"/>
      <c r="Q195" s="15"/>
      <c r="R195" s="15"/>
      <c r="U195" s="1">
        <f t="shared" ref="U195:U258" si="19">MONTH(M195)</f>
        <v>9</v>
      </c>
      <c r="V195" s="1">
        <f t="shared" ref="V195:V258" si="20">YEAR(M195)</f>
        <v>1986</v>
      </c>
    </row>
    <row r="196" spans="1:22" x14ac:dyDescent="0.25">
      <c r="A196" s="13">
        <v>31686</v>
      </c>
      <c r="B196" s="5">
        <v>1.78</v>
      </c>
      <c r="C196" s="5">
        <v>1.6220000000000001</v>
      </c>
      <c r="D196" s="5">
        <v>1.6933043478260872</v>
      </c>
      <c r="E196" s="5">
        <f t="shared" ref="E196:E259" si="21">B196-D196</f>
        <v>8.6695652173912841E-2</v>
      </c>
      <c r="F196" s="5">
        <f t="shared" ref="F196:F259" si="22">C196-D196</f>
        <v>-7.1304347826087078E-2</v>
      </c>
      <c r="G196" s="33">
        <v>1.3380000000000001</v>
      </c>
      <c r="K196" s="15">
        <f t="shared" si="17"/>
        <v>2.3892857142857142</v>
      </c>
      <c r="L196" s="15"/>
      <c r="M196" s="13">
        <f t="shared" si="18"/>
        <v>31686</v>
      </c>
      <c r="N196" s="15"/>
      <c r="O196" s="15"/>
      <c r="P196" s="15"/>
      <c r="Q196" s="15"/>
      <c r="R196" s="15"/>
      <c r="U196" s="1">
        <f t="shared" si="19"/>
        <v>10</v>
      </c>
      <c r="V196" s="1">
        <f t="shared" si="20"/>
        <v>1986</v>
      </c>
    </row>
    <row r="197" spans="1:22" x14ac:dyDescent="0.25">
      <c r="A197" s="13">
        <v>31717</v>
      </c>
      <c r="B197" s="5">
        <v>1.7669999999999999</v>
      </c>
      <c r="C197" s="5">
        <v>1.645</v>
      </c>
      <c r="D197" s="5">
        <v>1.7036842105263157</v>
      </c>
      <c r="E197" s="5">
        <f t="shared" si="21"/>
        <v>6.3315789473684214E-2</v>
      </c>
      <c r="F197" s="5">
        <f t="shared" si="22"/>
        <v>-5.8684210526315672E-2</v>
      </c>
      <c r="G197" s="33">
        <v>1.55</v>
      </c>
      <c r="K197" s="15">
        <f t="shared" si="17"/>
        <v>2.7678571428571432</v>
      </c>
      <c r="L197" s="15"/>
      <c r="M197" s="13">
        <f t="shared" si="18"/>
        <v>31717</v>
      </c>
      <c r="N197" s="15"/>
      <c r="O197" s="15"/>
      <c r="P197" s="15"/>
      <c r="Q197" s="15"/>
      <c r="R197" s="15"/>
      <c r="U197" s="1">
        <f t="shared" si="19"/>
        <v>11</v>
      </c>
      <c r="V197" s="1">
        <f t="shared" si="20"/>
        <v>1986</v>
      </c>
    </row>
    <row r="198" spans="1:22" x14ac:dyDescent="0.25">
      <c r="A198" s="13">
        <v>31747</v>
      </c>
      <c r="B198" s="5">
        <v>1.8</v>
      </c>
      <c r="C198" s="5">
        <v>1.59</v>
      </c>
      <c r="D198" s="5">
        <v>1.6698181818181819</v>
      </c>
      <c r="E198" s="5">
        <f t="shared" si="21"/>
        <v>0.13018181818181818</v>
      </c>
      <c r="F198" s="5">
        <f t="shared" si="22"/>
        <v>-7.9818181818181788E-2</v>
      </c>
      <c r="G198" s="33">
        <v>1.52</v>
      </c>
      <c r="K198" s="15">
        <f t="shared" si="17"/>
        <v>2.7142857142857144</v>
      </c>
      <c r="L198" s="15"/>
      <c r="M198" s="13">
        <f t="shared" si="18"/>
        <v>31747</v>
      </c>
      <c r="N198" s="15"/>
      <c r="O198" s="15"/>
      <c r="P198" s="15"/>
      <c r="Q198" s="15"/>
      <c r="R198" s="15"/>
      <c r="U198" s="1">
        <f t="shared" si="19"/>
        <v>12</v>
      </c>
      <c r="V198" s="1">
        <f t="shared" si="20"/>
        <v>1986</v>
      </c>
    </row>
    <row r="199" spans="1:22" x14ac:dyDescent="0.25">
      <c r="A199" s="13">
        <v>31778</v>
      </c>
      <c r="B199" s="5">
        <v>1.627</v>
      </c>
      <c r="C199" s="5">
        <v>1.5269999999999999</v>
      </c>
      <c r="D199" s="5">
        <v>1.574857142857143</v>
      </c>
      <c r="E199" s="5">
        <f t="shared" si="21"/>
        <v>5.2142857142857046E-2</v>
      </c>
      <c r="F199" s="5">
        <f t="shared" si="22"/>
        <v>-4.7857142857143042E-2</v>
      </c>
      <c r="G199" s="33">
        <v>1.4424999999999999</v>
      </c>
      <c r="K199" s="15">
        <f t="shared" si="17"/>
        <v>2.5758928571428568</v>
      </c>
      <c r="L199" s="15"/>
      <c r="M199" s="13">
        <f t="shared" si="18"/>
        <v>31778</v>
      </c>
      <c r="N199" s="15"/>
      <c r="O199" s="15"/>
      <c r="P199" s="15"/>
      <c r="Q199" s="15"/>
      <c r="R199" s="15"/>
      <c r="U199" s="1">
        <f t="shared" si="19"/>
        <v>1</v>
      </c>
      <c r="V199" s="1">
        <f t="shared" si="20"/>
        <v>1987</v>
      </c>
    </row>
    <row r="200" spans="1:22" x14ac:dyDescent="0.25">
      <c r="A200" s="13">
        <v>31809</v>
      </c>
      <c r="B200" s="5">
        <v>1.595</v>
      </c>
      <c r="C200" s="5">
        <v>1.42</v>
      </c>
      <c r="D200" s="5">
        <v>1.4962105263157897</v>
      </c>
      <c r="E200" s="5">
        <f t="shared" si="21"/>
        <v>9.8789473684210316E-2</v>
      </c>
      <c r="F200" s="5">
        <f t="shared" si="22"/>
        <v>-7.6210526315789728E-2</v>
      </c>
      <c r="G200" s="33">
        <v>1.38</v>
      </c>
      <c r="K200" s="15">
        <f t="shared" si="17"/>
        <v>2.464285714285714</v>
      </c>
      <c r="L200" s="15"/>
      <c r="M200" s="13">
        <f t="shared" si="18"/>
        <v>31809</v>
      </c>
      <c r="N200" s="15"/>
      <c r="O200" s="15"/>
      <c r="P200" s="15"/>
      <c r="Q200" s="15"/>
      <c r="R200" s="15"/>
      <c r="U200" s="1">
        <f t="shared" si="19"/>
        <v>2</v>
      </c>
      <c r="V200" s="1">
        <f t="shared" si="20"/>
        <v>1987</v>
      </c>
    </row>
    <row r="201" spans="1:22" x14ac:dyDescent="0.25">
      <c r="A201" s="13">
        <v>31837</v>
      </c>
      <c r="B201" s="5">
        <v>1.66</v>
      </c>
      <c r="C201" s="5">
        <v>1.5269999999999999</v>
      </c>
      <c r="D201" s="5">
        <v>1.5951818181818183</v>
      </c>
      <c r="E201" s="5">
        <f t="shared" si="21"/>
        <v>6.4818181818181664E-2</v>
      </c>
      <c r="F201" s="5">
        <f t="shared" si="22"/>
        <v>-6.8181818181818343E-2</v>
      </c>
      <c r="G201" s="33">
        <v>1.46</v>
      </c>
      <c r="K201" s="15">
        <f t="shared" si="17"/>
        <v>2.6071428571428572</v>
      </c>
      <c r="L201" s="15"/>
      <c r="M201" s="13">
        <f t="shared" si="18"/>
        <v>31837</v>
      </c>
      <c r="N201" s="15"/>
      <c r="O201" s="15"/>
      <c r="P201" s="15"/>
      <c r="Q201" s="15"/>
      <c r="R201" s="15"/>
      <c r="U201" s="1">
        <f t="shared" si="19"/>
        <v>3</v>
      </c>
      <c r="V201" s="1">
        <f t="shared" si="20"/>
        <v>1987</v>
      </c>
    </row>
    <row r="202" spans="1:22" x14ac:dyDescent="0.25">
      <c r="A202" s="13">
        <v>31868</v>
      </c>
      <c r="B202" s="5">
        <v>1.79</v>
      </c>
      <c r="C202" s="5">
        <v>1.5720000000000001</v>
      </c>
      <c r="D202" s="5">
        <v>1.6850476190476189</v>
      </c>
      <c r="E202" s="5">
        <f t="shared" si="21"/>
        <v>0.10495238095238113</v>
      </c>
      <c r="F202" s="5">
        <f t="shared" si="22"/>
        <v>-0.11304761904761884</v>
      </c>
      <c r="G202" s="33">
        <v>1.56</v>
      </c>
      <c r="K202" s="15">
        <f t="shared" si="17"/>
        <v>2.7857142857142856</v>
      </c>
      <c r="L202" s="15"/>
      <c r="M202" s="13">
        <f t="shared" si="18"/>
        <v>31868</v>
      </c>
      <c r="N202" s="15"/>
      <c r="O202" s="15"/>
      <c r="P202" s="15"/>
      <c r="Q202" s="15"/>
      <c r="R202" s="15"/>
      <c r="U202" s="1">
        <f t="shared" si="19"/>
        <v>4</v>
      </c>
      <c r="V202" s="1">
        <f t="shared" si="20"/>
        <v>1987</v>
      </c>
    </row>
    <row r="203" spans="1:22" x14ac:dyDescent="0.25">
      <c r="A203" s="13">
        <v>31898</v>
      </c>
      <c r="B203" s="5">
        <v>2.02</v>
      </c>
      <c r="C203" s="5">
        <v>1.827</v>
      </c>
      <c r="D203" s="5">
        <v>1.90185</v>
      </c>
      <c r="E203" s="5">
        <f t="shared" si="21"/>
        <v>0.11814999999999998</v>
      </c>
      <c r="F203" s="5">
        <f t="shared" si="22"/>
        <v>-7.4850000000000083E-2</v>
      </c>
      <c r="G203" s="33">
        <v>1.7450000000000001</v>
      </c>
      <c r="K203" s="15">
        <f t="shared" si="17"/>
        <v>3.1160714285714288</v>
      </c>
      <c r="L203" s="15"/>
      <c r="M203" s="13">
        <f t="shared" si="18"/>
        <v>31898</v>
      </c>
      <c r="N203" s="15"/>
      <c r="O203" s="15"/>
      <c r="P203" s="15"/>
      <c r="Q203" s="15"/>
      <c r="R203" s="15"/>
      <c r="U203" s="1">
        <f t="shared" si="19"/>
        <v>5</v>
      </c>
      <c r="V203" s="1">
        <f t="shared" si="20"/>
        <v>1987</v>
      </c>
    </row>
    <row r="204" spans="1:22" x14ac:dyDescent="0.25">
      <c r="A204" s="13">
        <v>31929</v>
      </c>
      <c r="B204" s="5">
        <v>2.0270000000000001</v>
      </c>
      <c r="C204" s="5">
        <v>1.78</v>
      </c>
      <c r="D204" s="5">
        <v>1.8879999999999999</v>
      </c>
      <c r="E204" s="5">
        <f t="shared" si="21"/>
        <v>0.13900000000000023</v>
      </c>
      <c r="F204" s="5">
        <f t="shared" si="22"/>
        <v>-0.10799999999999987</v>
      </c>
      <c r="G204" s="33">
        <v>1.744</v>
      </c>
      <c r="K204" s="15">
        <f t="shared" si="17"/>
        <v>3.1142857142857143</v>
      </c>
      <c r="L204" s="15"/>
      <c r="M204" s="13">
        <f t="shared" si="18"/>
        <v>31929</v>
      </c>
      <c r="N204" s="15"/>
      <c r="O204" s="15"/>
      <c r="P204" s="15"/>
      <c r="Q204" s="15"/>
      <c r="R204" s="15"/>
      <c r="U204" s="1">
        <f t="shared" si="19"/>
        <v>6</v>
      </c>
      <c r="V204" s="1">
        <f t="shared" si="20"/>
        <v>1987</v>
      </c>
    </row>
    <row r="205" spans="1:22" x14ac:dyDescent="0.25">
      <c r="A205" s="13">
        <v>31959</v>
      </c>
      <c r="B205" s="5">
        <v>1.857</v>
      </c>
      <c r="C205" s="5">
        <v>1.605</v>
      </c>
      <c r="D205" s="5">
        <v>1.6930909090909092</v>
      </c>
      <c r="E205" s="5">
        <f t="shared" si="21"/>
        <v>0.16390909090909078</v>
      </c>
      <c r="F205" s="5">
        <f t="shared" si="22"/>
        <v>-8.809090909090922E-2</v>
      </c>
      <c r="G205" s="33">
        <v>1.6</v>
      </c>
      <c r="K205" s="15">
        <f t="shared" si="17"/>
        <v>2.8571428571428572</v>
      </c>
      <c r="L205" s="15"/>
      <c r="M205" s="13">
        <f t="shared" si="18"/>
        <v>31959</v>
      </c>
      <c r="N205" s="15"/>
      <c r="O205" s="15"/>
      <c r="P205" s="15"/>
      <c r="Q205" s="15"/>
      <c r="R205" s="15"/>
      <c r="U205" s="1">
        <f t="shared" si="19"/>
        <v>7</v>
      </c>
      <c r="V205" s="1">
        <f t="shared" si="20"/>
        <v>1987</v>
      </c>
    </row>
    <row r="206" spans="1:22" x14ac:dyDescent="0.25">
      <c r="A206" s="13">
        <v>31990</v>
      </c>
      <c r="B206" s="5">
        <v>1.637</v>
      </c>
      <c r="C206" s="5">
        <v>1.5069999999999999</v>
      </c>
      <c r="D206" s="5">
        <v>1.5735238095238095</v>
      </c>
      <c r="E206" s="5">
        <f t="shared" si="21"/>
        <v>6.3476190476190464E-2</v>
      </c>
      <c r="F206" s="5">
        <f t="shared" si="22"/>
        <v>-6.6523809523809652E-2</v>
      </c>
      <c r="G206" s="33">
        <v>1.46</v>
      </c>
      <c r="K206" s="15">
        <f t="shared" si="17"/>
        <v>2.6071428571428572</v>
      </c>
      <c r="L206" s="15"/>
      <c r="M206" s="13">
        <f t="shared" si="18"/>
        <v>31990</v>
      </c>
      <c r="N206" s="15"/>
      <c r="O206" s="15"/>
      <c r="P206" s="15"/>
      <c r="Q206" s="15"/>
      <c r="R206" s="15"/>
      <c r="U206" s="1">
        <f t="shared" si="19"/>
        <v>8</v>
      </c>
      <c r="V206" s="1">
        <f t="shared" si="20"/>
        <v>1987</v>
      </c>
    </row>
    <row r="207" spans="1:22" x14ac:dyDescent="0.25">
      <c r="A207" s="13">
        <v>32021</v>
      </c>
      <c r="B207" s="5">
        <v>1.8220000000000001</v>
      </c>
      <c r="C207" s="5">
        <v>1.6419999999999999</v>
      </c>
      <c r="D207" s="5">
        <v>1.7517142857142858</v>
      </c>
      <c r="E207" s="5">
        <f t="shared" si="21"/>
        <v>7.0285714285714285E-2</v>
      </c>
      <c r="F207" s="5">
        <f t="shared" si="22"/>
        <v>-0.10971428571428588</v>
      </c>
      <c r="G207" s="33">
        <v>1.5</v>
      </c>
      <c r="K207" s="15">
        <f t="shared" si="17"/>
        <v>2.6785714285714284</v>
      </c>
      <c r="L207" s="15"/>
      <c r="M207" s="13">
        <f t="shared" si="18"/>
        <v>32021</v>
      </c>
      <c r="N207" s="15"/>
      <c r="O207" s="15"/>
      <c r="P207" s="15"/>
      <c r="Q207" s="15"/>
      <c r="R207" s="15"/>
      <c r="U207" s="1">
        <f t="shared" si="19"/>
        <v>9</v>
      </c>
      <c r="V207" s="1">
        <f t="shared" si="20"/>
        <v>1987</v>
      </c>
    </row>
    <row r="208" spans="1:22" x14ac:dyDescent="0.25">
      <c r="A208" s="13">
        <v>32051</v>
      </c>
      <c r="B208" s="5">
        <v>1.887</v>
      </c>
      <c r="C208" s="5">
        <v>1.76</v>
      </c>
      <c r="D208" s="5">
        <v>1.8305454545454547</v>
      </c>
      <c r="E208" s="5">
        <f t="shared" si="21"/>
        <v>5.6454545454545313E-2</v>
      </c>
      <c r="F208" s="5">
        <f t="shared" si="22"/>
        <v>-7.0545454545454689E-2</v>
      </c>
      <c r="G208" s="33">
        <v>1.64</v>
      </c>
      <c r="K208" s="15">
        <f t="shared" si="17"/>
        <v>2.9285714285714284</v>
      </c>
      <c r="L208" s="15"/>
      <c r="M208" s="13">
        <f t="shared" si="18"/>
        <v>32051</v>
      </c>
      <c r="N208" s="15"/>
      <c r="O208" s="15"/>
      <c r="P208" s="15"/>
      <c r="Q208" s="15"/>
      <c r="R208" s="15"/>
      <c r="U208" s="1">
        <f t="shared" si="19"/>
        <v>10</v>
      </c>
      <c r="V208" s="1">
        <f t="shared" si="20"/>
        <v>1987</v>
      </c>
    </row>
    <row r="209" spans="1:22" x14ac:dyDescent="0.25">
      <c r="A209" s="13">
        <v>32082</v>
      </c>
      <c r="B209" s="5">
        <v>1.925</v>
      </c>
      <c r="C209" s="5">
        <v>1.75</v>
      </c>
      <c r="D209" s="5">
        <v>1.83335</v>
      </c>
      <c r="E209" s="5">
        <f t="shared" si="21"/>
        <v>9.1650000000000009E-2</v>
      </c>
      <c r="F209" s="5">
        <f t="shared" si="22"/>
        <v>-8.3350000000000035E-2</v>
      </c>
      <c r="G209" s="33">
        <v>1.74</v>
      </c>
      <c r="K209" s="15">
        <f t="shared" si="17"/>
        <v>3.1071428571428572</v>
      </c>
      <c r="L209" s="15"/>
      <c r="M209" s="13">
        <f t="shared" si="18"/>
        <v>32082</v>
      </c>
      <c r="N209" s="15"/>
      <c r="O209" s="15"/>
      <c r="P209" s="15"/>
      <c r="Q209" s="15"/>
      <c r="R209" s="15"/>
      <c r="U209" s="1">
        <f t="shared" si="19"/>
        <v>11</v>
      </c>
      <c r="V209" s="1">
        <f t="shared" si="20"/>
        <v>1987</v>
      </c>
    </row>
    <row r="210" spans="1:22" x14ac:dyDescent="0.25">
      <c r="A210" s="13">
        <v>32112</v>
      </c>
      <c r="B210" s="5">
        <v>1.962</v>
      </c>
      <c r="C210" s="5">
        <v>1.837</v>
      </c>
      <c r="D210" s="5">
        <v>1.8964545454545456</v>
      </c>
      <c r="E210" s="5">
        <f t="shared" si="21"/>
        <v>6.5545454545454351E-2</v>
      </c>
      <c r="F210" s="5">
        <f t="shared" si="22"/>
        <v>-5.9454545454545649E-2</v>
      </c>
      <c r="G210" s="33">
        <v>1.782</v>
      </c>
      <c r="K210" s="15">
        <f t="shared" si="17"/>
        <v>3.1821428571428569</v>
      </c>
      <c r="L210" s="15"/>
      <c r="M210" s="13">
        <f t="shared" si="18"/>
        <v>32112</v>
      </c>
      <c r="N210" s="15"/>
      <c r="O210" s="15"/>
      <c r="P210" s="15"/>
      <c r="Q210" s="15"/>
      <c r="R210" s="15"/>
      <c r="U210" s="1">
        <f t="shared" si="19"/>
        <v>12</v>
      </c>
      <c r="V210" s="1">
        <f t="shared" si="20"/>
        <v>1987</v>
      </c>
    </row>
    <row r="211" spans="1:22" x14ac:dyDescent="0.25">
      <c r="A211" s="13">
        <v>32143</v>
      </c>
      <c r="B211" s="5">
        <v>2.0270000000000001</v>
      </c>
      <c r="C211" s="5">
        <v>1.8420000000000001</v>
      </c>
      <c r="D211" s="5">
        <v>1.9634499999999999</v>
      </c>
      <c r="E211" s="5">
        <f t="shared" si="21"/>
        <v>6.3550000000000217E-2</v>
      </c>
      <c r="F211" s="5">
        <f t="shared" si="22"/>
        <v>-0.12144999999999984</v>
      </c>
      <c r="G211" s="33">
        <v>1.84</v>
      </c>
      <c r="K211" s="15">
        <f t="shared" si="17"/>
        <v>3.2857142857142856</v>
      </c>
      <c r="L211" s="15"/>
      <c r="M211" s="13">
        <f t="shared" si="18"/>
        <v>32143</v>
      </c>
      <c r="N211" s="15"/>
      <c r="O211" s="15"/>
      <c r="P211" s="15"/>
      <c r="Q211" s="15"/>
      <c r="R211" s="15"/>
      <c r="U211" s="1">
        <f t="shared" si="19"/>
        <v>1</v>
      </c>
      <c r="V211" s="1">
        <f t="shared" si="20"/>
        <v>1988</v>
      </c>
    </row>
    <row r="212" spans="1:22" x14ac:dyDescent="0.25">
      <c r="A212" s="13">
        <v>32174</v>
      </c>
      <c r="B212" s="5">
        <v>2.0449999999999999</v>
      </c>
      <c r="C212" s="5">
        <v>1.9550000000000001</v>
      </c>
      <c r="D212" s="5">
        <v>2.0045500000000001</v>
      </c>
      <c r="E212" s="5">
        <f t="shared" si="21"/>
        <v>4.0449999999999875E-2</v>
      </c>
      <c r="F212" s="5">
        <f t="shared" si="22"/>
        <v>-4.9549999999999983E-2</v>
      </c>
      <c r="G212" s="33">
        <v>1.9</v>
      </c>
      <c r="K212" s="15">
        <f t="shared" si="17"/>
        <v>3.3928571428571428</v>
      </c>
      <c r="L212" s="15"/>
      <c r="M212" s="13">
        <f t="shared" si="18"/>
        <v>32174</v>
      </c>
      <c r="N212" s="15"/>
      <c r="O212" s="15"/>
      <c r="P212" s="15"/>
      <c r="Q212" s="15"/>
      <c r="R212" s="15"/>
      <c r="U212" s="1">
        <f t="shared" si="19"/>
        <v>2</v>
      </c>
      <c r="V212" s="1">
        <f t="shared" si="20"/>
        <v>1988</v>
      </c>
    </row>
    <row r="213" spans="1:22" x14ac:dyDescent="0.25">
      <c r="A213" s="13">
        <v>32203</v>
      </c>
      <c r="B213" s="5">
        <v>2.12</v>
      </c>
      <c r="C213" s="5">
        <v>2.02</v>
      </c>
      <c r="D213" s="5">
        <v>2.0699130434782611</v>
      </c>
      <c r="E213" s="5">
        <f t="shared" si="21"/>
        <v>5.0086956521739001E-2</v>
      </c>
      <c r="F213" s="5">
        <f t="shared" si="22"/>
        <v>-4.9913043478261088E-2</v>
      </c>
      <c r="G213" s="33">
        <v>1.9159999999999999</v>
      </c>
      <c r="K213" s="15">
        <f t="shared" si="17"/>
        <v>3.4214285714285713</v>
      </c>
      <c r="L213" s="15"/>
      <c r="M213" s="13">
        <f t="shared" si="18"/>
        <v>32203</v>
      </c>
      <c r="N213" s="15"/>
      <c r="O213" s="15"/>
      <c r="P213" s="15"/>
      <c r="Q213" s="15"/>
      <c r="R213" s="15"/>
      <c r="U213" s="1">
        <f t="shared" si="19"/>
        <v>3</v>
      </c>
      <c r="V213" s="1">
        <f t="shared" si="20"/>
        <v>1988</v>
      </c>
    </row>
    <row r="214" spans="1:22" x14ac:dyDescent="0.25">
      <c r="A214" s="13">
        <v>32234</v>
      </c>
      <c r="B214" s="5">
        <v>2.13</v>
      </c>
      <c r="C214" s="5">
        <v>1.9850000000000001</v>
      </c>
      <c r="D214" s="5">
        <v>2.0435500000000002</v>
      </c>
      <c r="E214" s="5">
        <f t="shared" si="21"/>
        <v>8.6449999999999694E-2</v>
      </c>
      <c r="F214" s="5">
        <f t="shared" si="22"/>
        <v>-5.8550000000000102E-2</v>
      </c>
      <c r="G214" s="33">
        <v>1.9212499999999999</v>
      </c>
      <c r="K214" s="15">
        <f t="shared" si="17"/>
        <v>3.4308035714285716</v>
      </c>
      <c r="L214" s="15"/>
      <c r="M214" s="13">
        <f t="shared" si="18"/>
        <v>32234</v>
      </c>
      <c r="N214" s="15"/>
      <c r="O214" s="15"/>
      <c r="P214" s="15"/>
      <c r="Q214" s="15"/>
      <c r="R214" s="15"/>
      <c r="U214" s="1">
        <f t="shared" si="19"/>
        <v>4</v>
      </c>
      <c r="V214" s="1">
        <f t="shared" si="20"/>
        <v>1988</v>
      </c>
    </row>
    <row r="215" spans="1:22" x14ac:dyDescent="0.25">
      <c r="A215" s="13">
        <v>32264</v>
      </c>
      <c r="B215" s="5">
        <v>2.2599999999999998</v>
      </c>
      <c r="C215" s="5">
        <v>2.0419999999999998</v>
      </c>
      <c r="D215" s="5">
        <v>2.1349999999999998</v>
      </c>
      <c r="E215" s="5">
        <f t="shared" si="21"/>
        <v>0.125</v>
      </c>
      <c r="F215" s="5">
        <f t="shared" si="22"/>
        <v>-9.2999999999999972E-2</v>
      </c>
      <c r="G215" s="33">
        <v>1.9662500000000001</v>
      </c>
      <c r="K215" s="15">
        <f t="shared" si="17"/>
        <v>3.5111607142857144</v>
      </c>
      <c r="L215" s="15"/>
      <c r="M215" s="13">
        <f t="shared" si="18"/>
        <v>32264</v>
      </c>
      <c r="N215" s="15"/>
      <c r="O215" s="15"/>
      <c r="P215" s="15"/>
      <c r="Q215" s="15"/>
      <c r="R215" s="15"/>
      <c r="U215" s="1">
        <f t="shared" si="19"/>
        <v>5</v>
      </c>
      <c r="V215" s="1">
        <f t="shared" si="20"/>
        <v>1988</v>
      </c>
    </row>
    <row r="216" spans="1:22" x14ac:dyDescent="0.25">
      <c r="A216" s="13">
        <v>32295</v>
      </c>
      <c r="B216" s="5">
        <v>3.5449999999999999</v>
      </c>
      <c r="C216" s="5">
        <v>2.1869999999999998</v>
      </c>
      <c r="D216" s="5">
        <v>2.8984090909090909</v>
      </c>
      <c r="E216" s="5">
        <f t="shared" si="21"/>
        <v>0.64659090909090899</v>
      </c>
      <c r="F216" s="5">
        <f t="shared" si="22"/>
        <v>-0.7114090909090911</v>
      </c>
      <c r="G216" s="33">
        <v>2.66</v>
      </c>
      <c r="K216" s="15">
        <f t="shared" si="17"/>
        <v>4.75</v>
      </c>
      <c r="L216" s="15"/>
      <c r="M216" s="13">
        <f t="shared" si="18"/>
        <v>32295</v>
      </c>
      <c r="N216" s="15"/>
      <c r="O216" s="15"/>
      <c r="P216" s="15"/>
      <c r="Q216" s="15"/>
      <c r="R216" s="15"/>
      <c r="U216" s="1">
        <f t="shared" si="19"/>
        <v>6</v>
      </c>
      <c r="V216" s="1">
        <f t="shared" si="20"/>
        <v>1988</v>
      </c>
    </row>
    <row r="217" spans="1:22" x14ac:dyDescent="0.25">
      <c r="A217" s="13">
        <v>32325</v>
      </c>
      <c r="B217" s="5">
        <v>3.61</v>
      </c>
      <c r="C217" s="5">
        <v>2.645</v>
      </c>
      <c r="D217" s="5">
        <v>3.161</v>
      </c>
      <c r="E217" s="5">
        <f t="shared" si="21"/>
        <v>0.44899999999999984</v>
      </c>
      <c r="F217" s="5">
        <f t="shared" si="22"/>
        <v>-0.51600000000000001</v>
      </c>
      <c r="G217" s="33">
        <v>2.85</v>
      </c>
      <c r="K217" s="15">
        <f t="shared" si="17"/>
        <v>5.0892857142857144</v>
      </c>
      <c r="L217" s="15"/>
      <c r="M217" s="13">
        <f t="shared" si="18"/>
        <v>32325</v>
      </c>
      <c r="N217" s="15"/>
      <c r="O217" s="15"/>
      <c r="P217" s="15"/>
      <c r="Q217" s="15"/>
      <c r="R217" s="15"/>
      <c r="U217" s="1">
        <f t="shared" si="19"/>
        <v>7</v>
      </c>
      <c r="V217" s="1">
        <f t="shared" si="20"/>
        <v>1988</v>
      </c>
    </row>
    <row r="218" spans="1:22" x14ac:dyDescent="0.25">
      <c r="A218" s="13">
        <v>32356</v>
      </c>
      <c r="B218" s="5">
        <v>3.0750000000000002</v>
      </c>
      <c r="C218" s="5">
        <v>2.7</v>
      </c>
      <c r="D218" s="5">
        <v>2.8927391304347827</v>
      </c>
      <c r="E218" s="5">
        <f t="shared" si="21"/>
        <v>0.18226086956521748</v>
      </c>
      <c r="F218" s="5">
        <f t="shared" si="22"/>
        <v>-0.19273913043478252</v>
      </c>
      <c r="G218" s="33">
        <v>2.7</v>
      </c>
      <c r="K218" s="15">
        <f t="shared" si="17"/>
        <v>4.8214285714285721</v>
      </c>
      <c r="L218" s="15"/>
      <c r="M218" s="13">
        <f t="shared" si="18"/>
        <v>32356</v>
      </c>
      <c r="N218" s="15"/>
      <c r="O218" s="15"/>
      <c r="P218" s="15"/>
      <c r="Q218" s="15"/>
      <c r="R218" s="15"/>
      <c r="U218" s="1">
        <f t="shared" si="19"/>
        <v>8</v>
      </c>
      <c r="V218" s="1">
        <f t="shared" si="20"/>
        <v>1988</v>
      </c>
    </row>
    <row r="219" spans="1:22" x14ac:dyDescent="0.25">
      <c r="A219" s="13">
        <v>32387</v>
      </c>
      <c r="B219" s="5">
        <v>3.06</v>
      </c>
      <c r="C219" s="5">
        <v>2.8</v>
      </c>
      <c r="D219" s="5">
        <v>2.9314285714285715</v>
      </c>
      <c r="E219" s="5">
        <f t="shared" si="21"/>
        <v>0.12857142857142856</v>
      </c>
      <c r="F219" s="5">
        <f t="shared" si="22"/>
        <v>-0.13142857142857167</v>
      </c>
      <c r="G219" s="33">
        <v>2.68</v>
      </c>
      <c r="K219" s="15">
        <f t="shared" si="17"/>
        <v>4.7857142857142865</v>
      </c>
      <c r="L219" s="15"/>
      <c r="M219" s="13">
        <f t="shared" si="18"/>
        <v>32387</v>
      </c>
      <c r="N219" s="15"/>
      <c r="O219" s="15"/>
      <c r="P219" s="15"/>
      <c r="Q219" s="15"/>
      <c r="R219" s="15"/>
      <c r="U219" s="1">
        <f t="shared" si="19"/>
        <v>9</v>
      </c>
      <c r="V219" s="1">
        <f t="shared" si="20"/>
        <v>1988</v>
      </c>
    </row>
    <row r="220" spans="1:22" x14ac:dyDescent="0.25">
      <c r="A220" s="13">
        <v>32417</v>
      </c>
      <c r="B220" s="5">
        <v>2.9950000000000001</v>
      </c>
      <c r="C220" s="5">
        <v>2.7250000000000001</v>
      </c>
      <c r="D220" s="5">
        <v>2.8861428571428576</v>
      </c>
      <c r="E220" s="5">
        <f t="shared" si="21"/>
        <v>0.10885714285714254</v>
      </c>
      <c r="F220" s="5">
        <f t="shared" si="22"/>
        <v>-0.16114285714285748</v>
      </c>
      <c r="G220" s="33">
        <v>2.7</v>
      </c>
      <c r="K220" s="15">
        <f t="shared" si="17"/>
        <v>4.8214285714285721</v>
      </c>
      <c r="L220" s="15"/>
      <c r="M220" s="13">
        <f t="shared" si="18"/>
        <v>32417</v>
      </c>
      <c r="N220" s="15"/>
      <c r="O220" s="15"/>
      <c r="P220" s="15"/>
      <c r="Q220" s="15"/>
      <c r="R220" s="15"/>
      <c r="U220" s="1">
        <f t="shared" si="19"/>
        <v>10</v>
      </c>
      <c r="V220" s="1">
        <f t="shared" si="20"/>
        <v>1988</v>
      </c>
    </row>
    <row r="221" spans="1:22" x14ac:dyDescent="0.25">
      <c r="A221" s="13">
        <v>32448</v>
      </c>
      <c r="B221" s="5">
        <v>2.887</v>
      </c>
      <c r="C221" s="5">
        <v>2.5169999999999999</v>
      </c>
      <c r="D221" s="5">
        <v>2.6945714285714288</v>
      </c>
      <c r="E221" s="5">
        <f t="shared" si="21"/>
        <v>0.19242857142857117</v>
      </c>
      <c r="F221" s="5">
        <f t="shared" si="22"/>
        <v>-0.17757142857142894</v>
      </c>
      <c r="G221" s="33">
        <v>2.54</v>
      </c>
      <c r="K221" s="15">
        <f t="shared" si="17"/>
        <v>4.5357142857142856</v>
      </c>
      <c r="L221" s="15"/>
      <c r="M221" s="13">
        <f t="shared" si="18"/>
        <v>32448</v>
      </c>
      <c r="N221" s="15"/>
      <c r="O221" s="15"/>
      <c r="P221" s="15"/>
      <c r="Q221" s="15"/>
      <c r="R221" s="15"/>
      <c r="U221" s="1">
        <f t="shared" si="19"/>
        <v>11</v>
      </c>
      <c r="V221" s="1">
        <f t="shared" si="20"/>
        <v>1988</v>
      </c>
    </row>
    <row r="222" spans="1:22" x14ac:dyDescent="0.25">
      <c r="A222" s="13">
        <v>32478</v>
      </c>
      <c r="B222" s="5">
        <v>2.8650000000000002</v>
      </c>
      <c r="C222" s="5">
        <v>2.6349999999999998</v>
      </c>
      <c r="D222" s="5">
        <v>2.7703333333333333</v>
      </c>
      <c r="E222" s="5">
        <f t="shared" si="21"/>
        <v>9.4666666666666899E-2</v>
      </c>
      <c r="F222" s="5">
        <f t="shared" si="22"/>
        <v>-0.13533333333333353</v>
      </c>
      <c r="G222" s="33">
        <v>2.58</v>
      </c>
      <c r="K222" s="15">
        <f t="shared" si="17"/>
        <v>4.6071428571428577</v>
      </c>
      <c r="L222" s="15"/>
      <c r="M222" s="13">
        <f t="shared" si="18"/>
        <v>32478</v>
      </c>
      <c r="N222" s="15"/>
      <c r="O222" s="15"/>
      <c r="P222" s="15"/>
      <c r="Q222" s="15"/>
      <c r="R222" s="15"/>
      <c r="U222" s="1">
        <f t="shared" si="19"/>
        <v>12</v>
      </c>
      <c r="V222" s="1">
        <f t="shared" si="20"/>
        <v>1988</v>
      </c>
    </row>
    <row r="223" spans="1:22" x14ac:dyDescent="0.25">
      <c r="A223" s="13">
        <v>32509</v>
      </c>
      <c r="B223" s="5">
        <v>2.927</v>
      </c>
      <c r="C223" s="5">
        <v>2.6469999999999998</v>
      </c>
      <c r="D223" s="5">
        <v>2.7776190476190479</v>
      </c>
      <c r="E223" s="5">
        <f t="shared" si="21"/>
        <v>0.14938095238095217</v>
      </c>
      <c r="F223" s="5">
        <f t="shared" si="22"/>
        <v>-0.13061904761904808</v>
      </c>
      <c r="G223" s="33">
        <v>2.62</v>
      </c>
      <c r="K223" s="15">
        <f t="shared" si="17"/>
        <v>4.6785714285714288</v>
      </c>
      <c r="L223" s="15"/>
      <c r="M223" s="13">
        <f t="shared" si="18"/>
        <v>32509</v>
      </c>
      <c r="N223" s="15"/>
      <c r="O223" s="15"/>
      <c r="P223" s="15"/>
      <c r="Q223" s="15"/>
      <c r="R223" s="15"/>
      <c r="U223" s="1">
        <f t="shared" si="19"/>
        <v>1</v>
      </c>
      <c r="V223" s="1">
        <f t="shared" si="20"/>
        <v>1989</v>
      </c>
    </row>
    <row r="224" spans="1:22" x14ac:dyDescent="0.25">
      <c r="A224" s="13">
        <v>32540</v>
      </c>
      <c r="B224" s="5">
        <v>2.7519999999999998</v>
      </c>
      <c r="C224" s="5">
        <v>2.6269999999999998</v>
      </c>
      <c r="D224" s="5">
        <v>2.6955789473684213</v>
      </c>
      <c r="E224" s="5">
        <f t="shared" si="21"/>
        <v>5.6421052631578483E-2</v>
      </c>
      <c r="F224" s="5">
        <f t="shared" si="22"/>
        <v>-6.8578947368421517E-2</v>
      </c>
      <c r="G224" s="33">
        <v>2.6</v>
      </c>
      <c r="K224" s="15">
        <f t="shared" si="17"/>
        <v>4.6428571428571432</v>
      </c>
      <c r="L224" s="15"/>
      <c r="M224" s="13">
        <f t="shared" si="18"/>
        <v>32540</v>
      </c>
      <c r="N224" s="15"/>
      <c r="O224" s="15"/>
      <c r="P224" s="15"/>
      <c r="Q224" s="15"/>
      <c r="R224" s="15"/>
      <c r="U224" s="1">
        <f t="shared" si="19"/>
        <v>2</v>
      </c>
      <c r="V224" s="1">
        <f t="shared" si="20"/>
        <v>1989</v>
      </c>
    </row>
    <row r="225" spans="1:22" x14ac:dyDescent="0.25">
      <c r="A225" s="13">
        <v>32568</v>
      </c>
      <c r="B225" s="5">
        <v>2.8450000000000002</v>
      </c>
      <c r="C225" s="5">
        <v>2.645</v>
      </c>
      <c r="D225" s="5">
        <v>2.7873181818181822</v>
      </c>
      <c r="E225" s="5">
        <f t="shared" si="21"/>
        <v>5.7681818181817945E-2</v>
      </c>
      <c r="F225" s="5">
        <f t="shared" si="22"/>
        <v>-0.14231818181818223</v>
      </c>
      <c r="G225" s="33">
        <v>2.64</v>
      </c>
      <c r="K225" s="15">
        <f t="shared" si="17"/>
        <v>4.7142857142857144</v>
      </c>
      <c r="L225" s="15"/>
      <c r="M225" s="13">
        <f t="shared" si="18"/>
        <v>32568</v>
      </c>
      <c r="N225" s="15"/>
      <c r="O225" s="15"/>
      <c r="P225" s="15"/>
      <c r="Q225" s="15"/>
      <c r="R225" s="15"/>
      <c r="U225" s="1">
        <f t="shared" si="19"/>
        <v>3</v>
      </c>
      <c r="V225" s="1">
        <f t="shared" si="20"/>
        <v>1989</v>
      </c>
    </row>
    <row r="226" spans="1:22" x14ac:dyDescent="0.25">
      <c r="A226" s="13">
        <v>32599</v>
      </c>
      <c r="B226" s="5">
        <v>2.8069999999999999</v>
      </c>
      <c r="C226" s="5">
        <v>2.585</v>
      </c>
      <c r="D226" s="5">
        <v>2.6826500000000002</v>
      </c>
      <c r="E226" s="5">
        <f t="shared" si="21"/>
        <v>0.12434999999999974</v>
      </c>
      <c r="F226" s="5">
        <f t="shared" si="22"/>
        <v>-9.7650000000000237E-2</v>
      </c>
      <c r="G226" s="33">
        <v>2.58</v>
      </c>
      <c r="K226" s="15">
        <f t="shared" si="17"/>
        <v>4.6071428571428577</v>
      </c>
      <c r="L226" s="15"/>
      <c r="M226" s="13">
        <f t="shared" si="18"/>
        <v>32599</v>
      </c>
      <c r="N226" s="15"/>
      <c r="O226" s="15"/>
      <c r="P226" s="15"/>
      <c r="Q226" s="15"/>
      <c r="R226" s="15"/>
      <c r="U226" s="1">
        <f t="shared" si="19"/>
        <v>4</v>
      </c>
      <c r="V226" s="1">
        <f t="shared" si="20"/>
        <v>1989</v>
      </c>
    </row>
    <row r="227" spans="1:22" x14ac:dyDescent="0.25">
      <c r="A227" s="13">
        <v>32629</v>
      </c>
      <c r="B227" s="5">
        <v>2.7770000000000001</v>
      </c>
      <c r="C227" s="5">
        <v>2.585</v>
      </c>
      <c r="D227" s="5">
        <v>2.7054999999999998</v>
      </c>
      <c r="E227" s="5">
        <f t="shared" si="21"/>
        <v>7.1500000000000341E-2</v>
      </c>
      <c r="F227" s="5">
        <f t="shared" si="22"/>
        <v>-0.12049999999999983</v>
      </c>
      <c r="G227" s="33">
        <v>2.64</v>
      </c>
      <c r="K227" s="15">
        <f t="shared" si="17"/>
        <v>4.7142857142857144</v>
      </c>
      <c r="L227" s="15"/>
      <c r="M227" s="13">
        <f t="shared" si="18"/>
        <v>32629</v>
      </c>
      <c r="N227" s="15"/>
      <c r="O227" s="15"/>
      <c r="P227" s="15"/>
      <c r="Q227" s="15"/>
      <c r="R227" s="15"/>
      <c r="U227" s="1">
        <f t="shared" si="19"/>
        <v>5</v>
      </c>
      <c r="V227" s="1">
        <f t="shared" si="20"/>
        <v>1989</v>
      </c>
    </row>
    <row r="228" spans="1:22" x14ac:dyDescent="0.25">
      <c r="A228" s="13">
        <v>32660</v>
      </c>
      <c r="B228" s="5">
        <v>2.7269999999999999</v>
      </c>
      <c r="C228" s="5">
        <v>2.4900000000000002</v>
      </c>
      <c r="D228" s="5">
        <v>2.6071363636363638</v>
      </c>
      <c r="E228" s="5">
        <f t="shared" si="21"/>
        <v>0.11986363636363606</v>
      </c>
      <c r="F228" s="5">
        <f t="shared" si="22"/>
        <v>-0.11713636363636359</v>
      </c>
      <c r="G228" s="33">
        <v>2.5299999999999998</v>
      </c>
      <c r="K228" s="15">
        <f t="shared" si="17"/>
        <v>4.5178571428571423</v>
      </c>
      <c r="L228" s="15"/>
      <c r="M228" s="13">
        <f t="shared" si="18"/>
        <v>32660</v>
      </c>
      <c r="N228" s="15"/>
      <c r="O228" s="15"/>
      <c r="P228" s="15"/>
      <c r="Q228" s="15"/>
      <c r="R228" s="15"/>
      <c r="U228" s="1">
        <f t="shared" si="19"/>
        <v>6</v>
      </c>
      <c r="V228" s="1">
        <f t="shared" si="20"/>
        <v>1989</v>
      </c>
    </row>
    <row r="229" spans="1:22" x14ac:dyDescent="0.25">
      <c r="A229" s="13">
        <v>32690</v>
      </c>
      <c r="B229" s="5">
        <v>2.7770000000000001</v>
      </c>
      <c r="C229" s="5">
        <v>2.222</v>
      </c>
      <c r="D229" s="5">
        <v>2.4508999999999999</v>
      </c>
      <c r="E229" s="5">
        <f t="shared" si="21"/>
        <v>0.32610000000000028</v>
      </c>
      <c r="F229" s="5">
        <f t="shared" si="22"/>
        <v>-0.22889999999999988</v>
      </c>
      <c r="G229" s="33">
        <v>2.44</v>
      </c>
      <c r="K229" s="15">
        <f t="shared" si="17"/>
        <v>4.3571428571428577</v>
      </c>
      <c r="L229" s="15"/>
      <c r="M229" s="13">
        <f t="shared" si="18"/>
        <v>32690</v>
      </c>
      <c r="N229" s="15"/>
      <c r="O229" s="15"/>
      <c r="P229" s="15"/>
      <c r="Q229" s="15"/>
      <c r="R229" s="15"/>
      <c r="U229" s="1">
        <f t="shared" si="19"/>
        <v>7</v>
      </c>
      <c r="V229" s="1">
        <f t="shared" si="20"/>
        <v>1989</v>
      </c>
    </row>
    <row r="230" spans="1:22" x14ac:dyDescent="0.25">
      <c r="A230" s="13">
        <v>32721</v>
      </c>
      <c r="B230" s="5">
        <v>2.39</v>
      </c>
      <c r="C230" s="5">
        <v>2.17</v>
      </c>
      <c r="D230" s="5">
        <v>2.2978695652173911</v>
      </c>
      <c r="E230" s="5">
        <f t="shared" si="21"/>
        <v>9.2130434782609072E-2</v>
      </c>
      <c r="F230" s="5">
        <f t="shared" si="22"/>
        <v>-0.12786956521739112</v>
      </c>
      <c r="G230" s="33">
        <v>2.2999999999999998</v>
      </c>
      <c r="K230" s="15">
        <f t="shared" si="17"/>
        <v>4.1071428571428568</v>
      </c>
      <c r="L230" s="15"/>
      <c r="M230" s="13">
        <f t="shared" si="18"/>
        <v>32721</v>
      </c>
      <c r="N230" s="15"/>
      <c r="O230" s="15"/>
      <c r="P230" s="15"/>
      <c r="Q230" s="15"/>
      <c r="R230" s="15"/>
      <c r="U230" s="1">
        <f t="shared" si="19"/>
        <v>8</v>
      </c>
      <c r="V230" s="1">
        <f t="shared" si="20"/>
        <v>1989</v>
      </c>
    </row>
    <row r="231" spans="1:22" x14ac:dyDescent="0.25">
      <c r="A231" s="13">
        <v>32752</v>
      </c>
      <c r="B231" s="5">
        <v>2.4</v>
      </c>
      <c r="C231" s="5">
        <v>2.2650000000000001</v>
      </c>
      <c r="D231" s="5">
        <v>2.3239999999999998</v>
      </c>
      <c r="E231" s="5">
        <f t="shared" si="21"/>
        <v>7.6000000000000068E-2</v>
      </c>
      <c r="F231" s="5">
        <f t="shared" si="22"/>
        <v>-5.8999999999999719E-2</v>
      </c>
      <c r="G231" s="33">
        <v>2.35</v>
      </c>
      <c r="K231" s="15">
        <f t="shared" si="17"/>
        <v>4.1964285714285721</v>
      </c>
      <c r="L231" s="15"/>
      <c r="M231" s="13">
        <f t="shared" si="18"/>
        <v>32752</v>
      </c>
      <c r="N231" s="15"/>
      <c r="O231" s="15"/>
      <c r="P231" s="15"/>
      <c r="Q231" s="15"/>
      <c r="R231" s="15"/>
      <c r="U231" s="1">
        <f t="shared" si="19"/>
        <v>9</v>
      </c>
      <c r="V231" s="1">
        <f t="shared" si="20"/>
        <v>1989</v>
      </c>
    </row>
    <row r="232" spans="1:22" x14ac:dyDescent="0.25">
      <c r="A232" s="13">
        <v>32782</v>
      </c>
      <c r="B232" s="5">
        <v>2.4649999999999999</v>
      </c>
      <c r="C232" s="5">
        <v>2.3149999999999999</v>
      </c>
      <c r="D232" s="5">
        <v>2.391909090909091</v>
      </c>
      <c r="E232" s="5">
        <f t="shared" si="21"/>
        <v>7.3090909090908873E-2</v>
      </c>
      <c r="F232" s="5">
        <f t="shared" si="22"/>
        <v>-7.6909090909091038E-2</v>
      </c>
      <c r="G232" s="33">
        <v>2.25</v>
      </c>
      <c r="K232" s="15">
        <f t="shared" si="17"/>
        <v>4.0178571428571432</v>
      </c>
      <c r="L232" s="15"/>
      <c r="M232" s="13">
        <f t="shared" si="18"/>
        <v>32782</v>
      </c>
      <c r="N232" s="15"/>
      <c r="O232" s="15"/>
      <c r="P232" s="15"/>
      <c r="Q232" s="15"/>
      <c r="R232" s="15"/>
      <c r="U232" s="1">
        <f t="shared" si="19"/>
        <v>10</v>
      </c>
      <c r="V232" s="1">
        <f t="shared" si="20"/>
        <v>1989</v>
      </c>
    </row>
    <row r="233" spans="1:22" x14ac:dyDescent="0.25">
      <c r="A233" s="13">
        <v>32813</v>
      </c>
      <c r="B233" s="5">
        <v>2.42</v>
      </c>
      <c r="C233" s="5">
        <v>2.327</v>
      </c>
      <c r="D233" s="5">
        <v>2.3794285714285714</v>
      </c>
      <c r="E233" s="5">
        <f t="shared" si="21"/>
        <v>4.0571428571428481E-2</v>
      </c>
      <c r="F233" s="5">
        <f t="shared" si="22"/>
        <v>-5.2428571428571491E-2</v>
      </c>
      <c r="G233" s="33">
        <v>2.29</v>
      </c>
      <c r="K233" s="15">
        <f t="shared" si="17"/>
        <v>4.0892857142857144</v>
      </c>
      <c r="L233" s="15"/>
      <c r="M233" s="13">
        <f t="shared" si="18"/>
        <v>32813</v>
      </c>
      <c r="N233" s="15"/>
      <c r="O233" s="15"/>
      <c r="P233" s="15"/>
      <c r="Q233" s="15"/>
      <c r="R233" s="15"/>
      <c r="U233" s="1">
        <f t="shared" si="19"/>
        <v>11</v>
      </c>
      <c r="V233" s="1">
        <f t="shared" si="20"/>
        <v>1989</v>
      </c>
    </row>
    <row r="234" spans="1:22" x14ac:dyDescent="0.25">
      <c r="A234" s="13">
        <v>32843</v>
      </c>
      <c r="B234" s="5">
        <v>2.4300000000000002</v>
      </c>
      <c r="C234" s="5">
        <v>2.355</v>
      </c>
      <c r="D234" s="5">
        <v>2.3956499999999998</v>
      </c>
      <c r="E234" s="5">
        <f t="shared" si="21"/>
        <v>3.4350000000000325E-2</v>
      </c>
      <c r="F234" s="5">
        <f t="shared" si="22"/>
        <v>-4.0649999999999853E-2</v>
      </c>
      <c r="G234" s="33">
        <v>2.29</v>
      </c>
      <c r="K234" s="15">
        <f t="shared" si="17"/>
        <v>4.0892857142857144</v>
      </c>
      <c r="L234" s="15"/>
      <c r="M234" s="13">
        <f t="shared" si="18"/>
        <v>32843</v>
      </c>
      <c r="N234" s="15"/>
      <c r="O234" s="15"/>
      <c r="P234" s="15"/>
      <c r="Q234" s="15"/>
      <c r="R234" s="15"/>
      <c r="U234" s="1">
        <f t="shared" si="19"/>
        <v>12</v>
      </c>
      <c r="V234" s="1">
        <f t="shared" si="20"/>
        <v>1989</v>
      </c>
    </row>
    <row r="235" spans="1:22" x14ac:dyDescent="0.25">
      <c r="A235" s="13">
        <v>32874</v>
      </c>
      <c r="B235" s="5">
        <v>2.4420000000000002</v>
      </c>
      <c r="C235" s="5">
        <v>2.36</v>
      </c>
      <c r="D235" s="5">
        <v>2.3980454545454548</v>
      </c>
      <c r="E235" s="5">
        <f t="shared" si="21"/>
        <v>4.3954545454545357E-2</v>
      </c>
      <c r="F235" s="5">
        <f t="shared" si="22"/>
        <v>-3.8045454545454938E-2</v>
      </c>
      <c r="G235" s="33">
        <v>2.29</v>
      </c>
      <c r="K235" s="15">
        <f t="shared" si="17"/>
        <v>4.0892857142857144</v>
      </c>
      <c r="L235" s="15"/>
      <c r="M235" s="13">
        <f t="shared" si="18"/>
        <v>32874</v>
      </c>
      <c r="N235" s="15"/>
      <c r="O235" s="15"/>
      <c r="P235" s="15"/>
      <c r="Q235" s="15"/>
      <c r="R235" s="15"/>
      <c r="U235" s="1">
        <f t="shared" si="19"/>
        <v>1</v>
      </c>
      <c r="V235" s="1">
        <f t="shared" si="20"/>
        <v>1990</v>
      </c>
    </row>
    <row r="236" spans="1:22" x14ac:dyDescent="0.25">
      <c r="A236" s="13">
        <v>32905</v>
      </c>
      <c r="B236" s="5">
        <v>2.472</v>
      </c>
      <c r="C236" s="5">
        <v>2.3620000000000001</v>
      </c>
      <c r="D236" s="5">
        <v>2.4157368421052632</v>
      </c>
      <c r="E236" s="5">
        <f t="shared" si="21"/>
        <v>5.6263157894736793E-2</v>
      </c>
      <c r="F236" s="5">
        <f t="shared" si="22"/>
        <v>-5.3736842105263083E-2</v>
      </c>
      <c r="G236" s="33">
        <v>2.34</v>
      </c>
      <c r="K236" s="15">
        <f t="shared" si="17"/>
        <v>4.1785714285714279</v>
      </c>
      <c r="L236" s="15"/>
      <c r="M236" s="13">
        <f t="shared" si="18"/>
        <v>32905</v>
      </c>
      <c r="N236" s="15"/>
      <c r="O236" s="15"/>
      <c r="P236" s="15"/>
      <c r="Q236" s="15"/>
      <c r="R236" s="15"/>
      <c r="U236" s="1">
        <f t="shared" si="19"/>
        <v>2</v>
      </c>
      <c r="V236" s="1">
        <f t="shared" si="20"/>
        <v>1990</v>
      </c>
    </row>
    <row r="237" spans="1:22" x14ac:dyDescent="0.25">
      <c r="A237" s="13">
        <v>32933</v>
      </c>
      <c r="B237" s="5">
        <v>2.617</v>
      </c>
      <c r="C237" s="5">
        <v>2.48</v>
      </c>
      <c r="D237" s="5">
        <v>2.551409090909091</v>
      </c>
      <c r="E237" s="5">
        <f t="shared" si="21"/>
        <v>6.5590909090909033E-2</v>
      </c>
      <c r="F237" s="5">
        <f t="shared" si="22"/>
        <v>-7.1409090909090978E-2</v>
      </c>
      <c r="G237" s="33">
        <v>2.44</v>
      </c>
      <c r="K237" s="15">
        <f t="shared" si="17"/>
        <v>4.3571428571428577</v>
      </c>
      <c r="L237" s="15"/>
      <c r="M237" s="13">
        <f t="shared" si="18"/>
        <v>32933</v>
      </c>
      <c r="N237" s="15"/>
      <c r="O237" s="15"/>
      <c r="P237" s="15"/>
      <c r="Q237" s="15"/>
      <c r="R237" s="15"/>
      <c r="U237" s="1">
        <f t="shared" si="19"/>
        <v>3</v>
      </c>
      <c r="V237" s="1">
        <f t="shared" si="20"/>
        <v>1990</v>
      </c>
    </row>
    <row r="238" spans="1:22" x14ac:dyDescent="0.25">
      <c r="A238" s="13">
        <v>32964</v>
      </c>
      <c r="B238" s="5">
        <v>2.83</v>
      </c>
      <c r="C238" s="5">
        <v>2.6219999999999999</v>
      </c>
      <c r="D238" s="5">
        <v>2.7345999999999999</v>
      </c>
      <c r="E238" s="5">
        <f t="shared" si="21"/>
        <v>9.5400000000000151E-2</v>
      </c>
      <c r="F238" s="5">
        <f t="shared" si="22"/>
        <v>-0.11260000000000003</v>
      </c>
      <c r="G238" s="33">
        <v>2.64</v>
      </c>
      <c r="K238" s="15">
        <f t="shared" si="17"/>
        <v>4.7142857142857144</v>
      </c>
      <c r="L238" s="15"/>
      <c r="M238" s="13">
        <f t="shared" si="18"/>
        <v>32964</v>
      </c>
      <c r="N238" s="15"/>
      <c r="O238" s="15"/>
      <c r="P238" s="15"/>
      <c r="Q238" s="15"/>
      <c r="R238" s="15"/>
      <c r="U238" s="1">
        <f t="shared" si="19"/>
        <v>4</v>
      </c>
      <c r="V238" s="1">
        <f t="shared" si="20"/>
        <v>1990</v>
      </c>
    </row>
    <row r="239" spans="1:22" x14ac:dyDescent="0.25">
      <c r="A239" s="13">
        <v>32994</v>
      </c>
      <c r="B239" s="5">
        <v>2.9369999999999998</v>
      </c>
      <c r="C239" s="5">
        <v>2.7349999999999999</v>
      </c>
      <c r="D239" s="5">
        <v>2.8457272727272729</v>
      </c>
      <c r="E239" s="5">
        <f t="shared" si="21"/>
        <v>9.127272727272695E-2</v>
      </c>
      <c r="F239" s="5">
        <f t="shared" si="22"/>
        <v>-0.11072727272727301</v>
      </c>
      <c r="G239" s="33">
        <v>2.73</v>
      </c>
      <c r="K239" s="15">
        <f t="shared" si="17"/>
        <v>4.875</v>
      </c>
      <c r="L239" s="15"/>
      <c r="M239" s="13">
        <f t="shared" si="18"/>
        <v>32994</v>
      </c>
      <c r="N239" s="15"/>
      <c r="O239" s="15"/>
      <c r="P239" s="15"/>
      <c r="Q239" s="15"/>
      <c r="R239" s="15"/>
      <c r="U239" s="1">
        <f t="shared" si="19"/>
        <v>5</v>
      </c>
      <c r="V239" s="1">
        <f t="shared" si="20"/>
        <v>1990</v>
      </c>
    </row>
    <row r="240" spans="1:22" x14ac:dyDescent="0.25">
      <c r="A240" s="13">
        <v>33025</v>
      </c>
      <c r="B240" s="5">
        <v>2.98</v>
      </c>
      <c r="C240" s="5">
        <v>2.71</v>
      </c>
      <c r="D240" s="5">
        <v>2.854857142857143</v>
      </c>
      <c r="E240" s="5">
        <f t="shared" si="21"/>
        <v>0.125142857142857</v>
      </c>
      <c r="F240" s="5">
        <f t="shared" si="22"/>
        <v>-0.14485714285714302</v>
      </c>
      <c r="G240" s="33">
        <v>2.7</v>
      </c>
      <c r="K240" s="15">
        <f t="shared" si="17"/>
        <v>4.8214285714285721</v>
      </c>
      <c r="L240" s="15"/>
      <c r="M240" s="13">
        <f t="shared" si="18"/>
        <v>33025</v>
      </c>
      <c r="N240" s="15"/>
      <c r="O240" s="15"/>
      <c r="P240" s="15"/>
      <c r="Q240" s="15"/>
      <c r="R240" s="15"/>
      <c r="U240" s="1">
        <f t="shared" si="19"/>
        <v>6</v>
      </c>
      <c r="V240" s="1">
        <f t="shared" si="20"/>
        <v>1990</v>
      </c>
    </row>
    <row r="241" spans="1:22" x14ac:dyDescent="0.25">
      <c r="A241" s="13">
        <v>33055</v>
      </c>
      <c r="B241" s="5">
        <v>2.97</v>
      </c>
      <c r="C241" s="5">
        <v>2.5499999999999998</v>
      </c>
      <c r="D241" s="5">
        <v>2.6866190476190481</v>
      </c>
      <c r="E241" s="5">
        <f t="shared" si="21"/>
        <v>0.28338095238095207</v>
      </c>
      <c r="F241" s="5">
        <f t="shared" si="22"/>
        <v>-0.13661904761904831</v>
      </c>
      <c r="G241" s="33">
        <v>2.68</v>
      </c>
      <c r="K241" s="15">
        <f t="shared" si="17"/>
        <v>4.7857142857142865</v>
      </c>
      <c r="L241" s="15"/>
      <c r="M241" s="13">
        <f t="shared" si="18"/>
        <v>33055</v>
      </c>
      <c r="N241" s="15"/>
      <c r="O241" s="15"/>
      <c r="P241" s="15"/>
      <c r="Q241" s="15"/>
      <c r="R241" s="15"/>
      <c r="U241" s="1">
        <f t="shared" si="19"/>
        <v>7</v>
      </c>
      <c r="V241" s="1">
        <f t="shared" si="20"/>
        <v>1990</v>
      </c>
    </row>
    <row r="242" spans="1:22" x14ac:dyDescent="0.25">
      <c r="A242" s="13">
        <v>33086</v>
      </c>
      <c r="B242" s="5">
        <v>2.605</v>
      </c>
      <c r="C242" s="5">
        <v>2.415</v>
      </c>
      <c r="D242" s="5">
        <v>2.510782608695652</v>
      </c>
      <c r="E242" s="5">
        <f t="shared" si="21"/>
        <v>9.421739130434803E-2</v>
      </c>
      <c r="F242" s="5">
        <f t="shared" si="22"/>
        <v>-9.5782608695651916E-2</v>
      </c>
      <c r="G242" s="33">
        <v>2.54</v>
      </c>
      <c r="K242" s="15">
        <f t="shared" si="17"/>
        <v>4.5357142857142856</v>
      </c>
      <c r="L242" s="15"/>
      <c r="M242" s="13">
        <f t="shared" si="18"/>
        <v>33086</v>
      </c>
      <c r="N242" s="15"/>
      <c r="O242" s="15"/>
      <c r="P242" s="15"/>
      <c r="Q242" s="15"/>
      <c r="R242" s="15"/>
      <c r="U242" s="1">
        <f t="shared" si="19"/>
        <v>8</v>
      </c>
      <c r="V242" s="1">
        <f t="shared" si="20"/>
        <v>1990</v>
      </c>
    </row>
    <row r="243" spans="1:22" x14ac:dyDescent="0.25">
      <c r="A243" s="13">
        <v>33117</v>
      </c>
      <c r="B243" s="5">
        <v>2.3769999999999998</v>
      </c>
      <c r="C243" s="5">
        <v>2.2149999999999999</v>
      </c>
      <c r="D243" s="5">
        <v>2.2943157894736843</v>
      </c>
      <c r="E243" s="5">
        <f t="shared" si="21"/>
        <v>8.2684210526315471E-2</v>
      </c>
      <c r="F243" s="5">
        <f t="shared" si="22"/>
        <v>-7.931578947368445E-2</v>
      </c>
      <c r="G243" s="33">
        <v>2.25</v>
      </c>
      <c r="K243" s="15">
        <f t="shared" si="17"/>
        <v>4.0178571428571432</v>
      </c>
      <c r="L243" s="15"/>
      <c r="M243" s="13">
        <f t="shared" si="18"/>
        <v>33117</v>
      </c>
      <c r="N243" s="15"/>
      <c r="O243" s="15"/>
      <c r="P243" s="15"/>
      <c r="Q243" s="15"/>
      <c r="R243" s="15"/>
      <c r="U243" s="1">
        <f t="shared" si="19"/>
        <v>9</v>
      </c>
      <c r="V243" s="1">
        <f t="shared" si="20"/>
        <v>1990</v>
      </c>
    </row>
    <row r="244" spans="1:22" x14ac:dyDescent="0.25">
      <c r="A244" s="13">
        <v>33147</v>
      </c>
      <c r="B244" s="5">
        <v>2.3650000000000002</v>
      </c>
      <c r="C244" s="5">
        <v>2.2269999999999999</v>
      </c>
      <c r="D244" s="5">
        <v>2.2976521739130433</v>
      </c>
      <c r="E244" s="5">
        <f t="shared" si="21"/>
        <v>6.7347826086956886E-2</v>
      </c>
      <c r="F244" s="5">
        <f t="shared" si="22"/>
        <v>-7.0652173913043459E-2</v>
      </c>
      <c r="G244" s="33">
        <v>2.1800000000000002</v>
      </c>
      <c r="K244" s="15">
        <f t="shared" si="17"/>
        <v>3.8928571428571432</v>
      </c>
      <c r="L244" s="15"/>
      <c r="M244" s="13">
        <f t="shared" si="18"/>
        <v>33147</v>
      </c>
      <c r="N244" s="15"/>
      <c r="O244" s="15"/>
      <c r="P244" s="15"/>
      <c r="Q244" s="15"/>
      <c r="R244" s="15"/>
      <c r="U244" s="1">
        <f t="shared" si="19"/>
        <v>10</v>
      </c>
      <c r="V244" s="1">
        <f t="shared" si="20"/>
        <v>1990</v>
      </c>
    </row>
    <row r="245" spans="1:22" x14ac:dyDescent="0.25">
      <c r="A245" s="13">
        <v>33178</v>
      </c>
      <c r="B245" s="5">
        <v>2.35</v>
      </c>
      <c r="C245" s="5">
        <v>2.1549999999999998</v>
      </c>
      <c r="D245" s="5">
        <v>2.2615238095238097</v>
      </c>
      <c r="E245" s="5">
        <f t="shared" si="21"/>
        <v>8.8476190476190375E-2</v>
      </c>
      <c r="F245" s="5">
        <f t="shared" si="22"/>
        <v>-0.10652380952380991</v>
      </c>
      <c r="G245" s="33">
        <v>2.2000000000000002</v>
      </c>
      <c r="K245" s="15">
        <f t="shared" si="17"/>
        <v>3.9285714285714293</v>
      </c>
      <c r="L245" s="15"/>
      <c r="M245" s="13">
        <f t="shared" si="18"/>
        <v>33178</v>
      </c>
      <c r="N245" s="15"/>
      <c r="O245" s="15"/>
      <c r="P245" s="15"/>
      <c r="Q245" s="15"/>
      <c r="R245" s="15"/>
      <c r="U245" s="1">
        <f t="shared" si="19"/>
        <v>11</v>
      </c>
      <c r="V245" s="1">
        <f t="shared" si="20"/>
        <v>1990</v>
      </c>
    </row>
    <row r="246" spans="1:22" x14ac:dyDescent="0.25">
      <c r="A246" s="13">
        <v>33208</v>
      </c>
      <c r="B246" s="5">
        <v>2.407</v>
      </c>
      <c r="C246" s="5">
        <v>2.3149999999999999</v>
      </c>
      <c r="D246" s="5">
        <v>2.3607</v>
      </c>
      <c r="E246" s="5">
        <f t="shared" si="21"/>
        <v>4.6300000000000008E-2</v>
      </c>
      <c r="F246" s="5">
        <f t="shared" si="22"/>
        <v>-4.5700000000000074E-2</v>
      </c>
      <c r="G246" s="33">
        <v>2.27</v>
      </c>
      <c r="K246" s="15">
        <f t="shared" si="17"/>
        <v>4.0535714285714288</v>
      </c>
      <c r="L246" s="15"/>
      <c r="M246" s="13">
        <f t="shared" si="18"/>
        <v>33208</v>
      </c>
      <c r="N246" s="15"/>
      <c r="O246" s="15"/>
      <c r="P246" s="15"/>
      <c r="Q246" s="15"/>
      <c r="R246" s="15"/>
      <c r="U246" s="1">
        <f t="shared" si="19"/>
        <v>12</v>
      </c>
      <c r="V246" s="1">
        <f t="shared" si="20"/>
        <v>1990</v>
      </c>
    </row>
    <row r="247" spans="1:22" x14ac:dyDescent="0.25">
      <c r="A247" s="13">
        <v>33239</v>
      </c>
      <c r="B247" s="5">
        <v>2.4700000000000002</v>
      </c>
      <c r="C247" s="5">
        <v>2.302</v>
      </c>
      <c r="D247" s="5">
        <v>2.3749090909090906</v>
      </c>
      <c r="E247" s="5">
        <f t="shared" si="21"/>
        <v>9.5090909090909559E-2</v>
      </c>
      <c r="F247" s="5">
        <f t="shared" si="22"/>
        <v>-7.290909090909059E-2</v>
      </c>
      <c r="G247" s="33">
        <v>2.31</v>
      </c>
      <c r="K247" s="15">
        <f t="shared" si="17"/>
        <v>4.125</v>
      </c>
      <c r="L247" s="15"/>
      <c r="M247" s="13">
        <f t="shared" si="18"/>
        <v>33239</v>
      </c>
      <c r="N247" s="15"/>
      <c r="O247" s="15"/>
      <c r="P247" s="15"/>
      <c r="Q247" s="15"/>
      <c r="R247" s="15"/>
      <c r="U247" s="1">
        <f t="shared" si="19"/>
        <v>1</v>
      </c>
      <c r="V247" s="1">
        <f t="shared" si="20"/>
        <v>1991</v>
      </c>
    </row>
    <row r="248" spans="1:22" x14ac:dyDescent="0.25">
      <c r="A248" s="13">
        <v>33270</v>
      </c>
      <c r="B248" s="5">
        <v>2.4569999999999999</v>
      </c>
      <c r="C248" s="5">
        <v>2.375</v>
      </c>
      <c r="D248" s="5">
        <v>2.4032105263157897</v>
      </c>
      <c r="E248" s="5">
        <f t="shared" si="21"/>
        <v>5.3789473684210165E-2</v>
      </c>
      <c r="F248" s="5">
        <f t="shared" si="22"/>
        <v>-2.8210526315789686E-2</v>
      </c>
      <c r="G248" s="33">
        <v>2.36</v>
      </c>
      <c r="K248" s="15">
        <f t="shared" si="17"/>
        <v>4.2142857142857144</v>
      </c>
      <c r="L248" s="15"/>
      <c r="M248" s="13">
        <f t="shared" si="18"/>
        <v>33270</v>
      </c>
      <c r="N248" s="15"/>
      <c r="O248" s="15"/>
      <c r="P248" s="15"/>
      <c r="Q248" s="15"/>
      <c r="R248" s="15"/>
      <c r="U248" s="1">
        <f t="shared" si="19"/>
        <v>2</v>
      </c>
      <c r="V248" s="1">
        <f t="shared" si="20"/>
        <v>1991</v>
      </c>
    </row>
    <row r="249" spans="1:22" x14ac:dyDescent="0.25">
      <c r="A249" s="13">
        <v>33298</v>
      </c>
      <c r="B249" s="5">
        <v>2.597</v>
      </c>
      <c r="C249" s="5">
        <v>2.4670000000000001</v>
      </c>
      <c r="D249" s="5">
        <v>2.5394000000000001</v>
      </c>
      <c r="E249" s="5">
        <f t="shared" si="21"/>
        <v>5.7599999999999874E-2</v>
      </c>
      <c r="F249" s="5">
        <f t="shared" si="22"/>
        <v>-7.240000000000002E-2</v>
      </c>
      <c r="G249" s="33">
        <v>2.4500000000000002</v>
      </c>
      <c r="K249" s="15">
        <f t="shared" si="17"/>
        <v>4.375</v>
      </c>
      <c r="L249" s="15"/>
      <c r="M249" s="13">
        <f t="shared" si="18"/>
        <v>33298</v>
      </c>
      <c r="N249" s="15"/>
      <c r="O249" s="15"/>
      <c r="P249" s="15"/>
      <c r="Q249" s="15"/>
      <c r="R249" s="15"/>
      <c r="U249" s="1">
        <f t="shared" si="19"/>
        <v>3</v>
      </c>
      <c r="V249" s="1">
        <f t="shared" si="20"/>
        <v>1991</v>
      </c>
    </row>
    <row r="250" spans="1:22" x14ac:dyDescent="0.25">
      <c r="A250" s="13">
        <v>33329</v>
      </c>
      <c r="B250" s="5">
        <v>2.6120000000000001</v>
      </c>
      <c r="C250" s="5">
        <v>2.4620000000000002</v>
      </c>
      <c r="D250" s="5">
        <v>2.5552272727272727</v>
      </c>
      <c r="E250" s="5">
        <f t="shared" si="21"/>
        <v>5.6772727272727419E-2</v>
      </c>
      <c r="F250" s="5">
        <f t="shared" si="22"/>
        <v>-9.3227272727272492E-2</v>
      </c>
      <c r="G250" s="33">
        <v>2.5</v>
      </c>
      <c r="K250" s="15">
        <f t="shared" si="17"/>
        <v>4.4642857142857144</v>
      </c>
      <c r="L250" s="15"/>
      <c r="M250" s="13">
        <f t="shared" si="18"/>
        <v>33329</v>
      </c>
      <c r="N250" s="15"/>
      <c r="O250" s="15"/>
      <c r="P250" s="15"/>
      <c r="Q250" s="15"/>
      <c r="R250" s="15"/>
      <c r="U250" s="1">
        <f t="shared" si="19"/>
        <v>4</v>
      </c>
      <c r="V250" s="1">
        <f t="shared" si="20"/>
        <v>1991</v>
      </c>
    </row>
    <row r="251" spans="1:22" x14ac:dyDescent="0.25">
      <c r="A251" s="13">
        <v>33359</v>
      </c>
      <c r="B251" s="5">
        <v>2.5619999999999998</v>
      </c>
      <c r="C251" s="5">
        <v>2.427</v>
      </c>
      <c r="D251" s="5">
        <v>2.4886363636363638</v>
      </c>
      <c r="E251" s="5">
        <f t="shared" si="21"/>
        <v>7.3363636363636076E-2</v>
      </c>
      <c r="F251" s="5">
        <f t="shared" si="22"/>
        <v>-6.1636363636363711E-2</v>
      </c>
      <c r="G251" s="33">
        <v>2.41</v>
      </c>
      <c r="K251" s="15">
        <f t="shared" si="17"/>
        <v>4.3035714285714288</v>
      </c>
      <c r="L251" s="15"/>
      <c r="M251" s="13">
        <f t="shared" si="18"/>
        <v>33359</v>
      </c>
      <c r="N251" s="15"/>
      <c r="O251" s="15"/>
      <c r="P251" s="15"/>
      <c r="Q251" s="15"/>
      <c r="R251" s="15"/>
      <c r="U251" s="1">
        <f t="shared" si="19"/>
        <v>5</v>
      </c>
      <c r="V251" s="1">
        <f t="shared" si="20"/>
        <v>1991</v>
      </c>
    </row>
    <row r="252" spans="1:22" x14ac:dyDescent="0.25">
      <c r="A252" s="13">
        <v>33390</v>
      </c>
      <c r="B252" s="5">
        <v>2.5019999999999998</v>
      </c>
      <c r="C252" s="5">
        <v>2.23</v>
      </c>
      <c r="D252" s="5">
        <v>2.3943500000000002</v>
      </c>
      <c r="E252" s="5">
        <f t="shared" si="21"/>
        <v>0.10764999999999958</v>
      </c>
      <c r="F252" s="5">
        <f t="shared" si="22"/>
        <v>-0.16435000000000022</v>
      </c>
      <c r="G252" s="33">
        <v>2.34</v>
      </c>
      <c r="K252" s="15">
        <f t="shared" si="17"/>
        <v>4.1785714285714279</v>
      </c>
      <c r="L252" s="15"/>
      <c r="M252" s="13">
        <f t="shared" si="18"/>
        <v>33390</v>
      </c>
      <c r="N252" s="15"/>
      <c r="O252" s="15"/>
      <c r="P252" s="15"/>
      <c r="Q252" s="15"/>
      <c r="R252" s="15"/>
      <c r="U252" s="1">
        <f t="shared" si="19"/>
        <v>6</v>
      </c>
      <c r="V252" s="1">
        <f t="shared" si="20"/>
        <v>1991</v>
      </c>
    </row>
    <row r="253" spans="1:22" x14ac:dyDescent="0.25">
      <c r="A253" s="13">
        <v>33420</v>
      </c>
      <c r="B253" s="5">
        <v>2.597</v>
      </c>
      <c r="C253" s="5">
        <v>2.1850000000000001</v>
      </c>
      <c r="D253" s="5">
        <v>2.3537272727272729</v>
      </c>
      <c r="E253" s="5">
        <f t="shared" si="21"/>
        <v>0.24327272727272709</v>
      </c>
      <c r="F253" s="5">
        <f t="shared" si="22"/>
        <v>-0.16872727272727284</v>
      </c>
      <c r="G253" s="33">
        <v>2.34</v>
      </c>
      <c r="K253" s="15">
        <f t="shared" si="17"/>
        <v>4.1785714285714279</v>
      </c>
      <c r="L253" s="15"/>
      <c r="M253" s="13">
        <f t="shared" si="18"/>
        <v>33420</v>
      </c>
      <c r="N253" s="15"/>
      <c r="O253" s="15"/>
      <c r="P253" s="15"/>
      <c r="Q253" s="15"/>
      <c r="R253" s="15"/>
      <c r="U253" s="1">
        <f t="shared" si="19"/>
        <v>7</v>
      </c>
      <c r="V253" s="1">
        <f t="shared" si="20"/>
        <v>1991</v>
      </c>
    </row>
    <row r="254" spans="1:22" x14ac:dyDescent="0.25">
      <c r="A254" s="13">
        <v>33451</v>
      </c>
      <c r="B254" s="5">
        <v>2.66</v>
      </c>
      <c r="C254" s="5">
        <v>2.3199999999999998</v>
      </c>
      <c r="D254" s="5">
        <v>2.4940909090909096</v>
      </c>
      <c r="E254" s="5">
        <f t="shared" si="21"/>
        <v>0.16590909090909056</v>
      </c>
      <c r="F254" s="5">
        <f t="shared" si="22"/>
        <v>-0.17409090909090974</v>
      </c>
      <c r="G254" s="33">
        <v>2.4500000000000002</v>
      </c>
      <c r="K254" s="15">
        <f t="shared" si="17"/>
        <v>4.375</v>
      </c>
      <c r="L254" s="15"/>
      <c r="M254" s="13">
        <f t="shared" si="18"/>
        <v>33451</v>
      </c>
      <c r="N254" s="15"/>
      <c r="O254" s="15"/>
      <c r="P254" s="15"/>
      <c r="Q254" s="15"/>
      <c r="R254" s="15"/>
      <c r="U254" s="1">
        <f t="shared" si="19"/>
        <v>8</v>
      </c>
      <c r="V254" s="1">
        <f t="shared" si="20"/>
        <v>1991</v>
      </c>
    </row>
    <row r="255" spans="1:22" x14ac:dyDescent="0.25">
      <c r="A255" s="13">
        <v>33482</v>
      </c>
      <c r="B255" s="5">
        <v>2.58</v>
      </c>
      <c r="C255" s="5">
        <v>2.4470000000000001</v>
      </c>
      <c r="D255" s="5">
        <v>2.51485</v>
      </c>
      <c r="E255" s="5">
        <f t="shared" si="21"/>
        <v>6.5150000000000041E-2</v>
      </c>
      <c r="F255" s="5">
        <f t="shared" si="22"/>
        <v>-6.7849999999999966E-2</v>
      </c>
      <c r="G255" s="33">
        <v>2.39</v>
      </c>
      <c r="K255" s="15">
        <f t="shared" si="17"/>
        <v>4.2678571428571432</v>
      </c>
      <c r="L255" s="15"/>
      <c r="M255" s="13">
        <f t="shared" si="18"/>
        <v>33482</v>
      </c>
      <c r="N255" s="15"/>
      <c r="O255" s="15"/>
      <c r="P255" s="15"/>
      <c r="Q255" s="15"/>
      <c r="R255" s="15"/>
      <c r="U255" s="1">
        <f t="shared" si="19"/>
        <v>9</v>
      </c>
      <c r="V255" s="1">
        <f t="shared" si="20"/>
        <v>1991</v>
      </c>
    </row>
    <row r="256" spans="1:22" x14ac:dyDescent="0.25">
      <c r="A256" s="13">
        <v>33512</v>
      </c>
      <c r="B256" s="5">
        <v>2.5569999999999999</v>
      </c>
      <c r="C256" s="5">
        <v>2.42</v>
      </c>
      <c r="D256" s="5">
        <v>2.5083913043478261</v>
      </c>
      <c r="E256" s="5">
        <f t="shared" si="21"/>
        <v>4.860869565217385E-2</v>
      </c>
      <c r="F256" s="5">
        <f t="shared" si="22"/>
        <v>-8.8391304347826161E-2</v>
      </c>
      <c r="G256" s="33">
        <v>2.41</v>
      </c>
      <c r="K256" s="15">
        <f t="shared" ref="K256:K319" si="23">G256/56*100</f>
        <v>4.3035714285714288</v>
      </c>
      <c r="L256" s="15"/>
      <c r="M256" s="13">
        <f t="shared" si="18"/>
        <v>33512</v>
      </c>
      <c r="N256" s="15"/>
      <c r="O256" s="15"/>
      <c r="P256" s="15"/>
      <c r="Q256" s="15"/>
      <c r="R256" s="15"/>
      <c r="U256" s="1">
        <f t="shared" si="19"/>
        <v>10</v>
      </c>
      <c r="V256" s="1">
        <f t="shared" si="20"/>
        <v>1991</v>
      </c>
    </row>
    <row r="257" spans="1:22" x14ac:dyDescent="0.25">
      <c r="A257" s="13">
        <v>33543</v>
      </c>
      <c r="B257" s="5">
        <v>2.5499999999999998</v>
      </c>
      <c r="C257" s="5">
        <v>2.3769999999999998</v>
      </c>
      <c r="D257" s="5">
        <v>2.43425</v>
      </c>
      <c r="E257" s="5">
        <f t="shared" si="21"/>
        <v>0.1157499999999998</v>
      </c>
      <c r="F257" s="5">
        <f t="shared" si="22"/>
        <v>-5.7250000000000245E-2</v>
      </c>
      <c r="G257" s="33">
        <v>2.41</v>
      </c>
      <c r="K257" s="15">
        <f t="shared" si="23"/>
        <v>4.3035714285714288</v>
      </c>
      <c r="L257" s="15"/>
      <c r="M257" s="13">
        <f t="shared" si="18"/>
        <v>33543</v>
      </c>
      <c r="N257" s="15"/>
      <c r="O257" s="15"/>
      <c r="P257" s="15"/>
      <c r="Q257" s="15"/>
      <c r="R257" s="15"/>
      <c r="U257" s="1">
        <f t="shared" si="19"/>
        <v>11</v>
      </c>
      <c r="V257" s="1">
        <f t="shared" si="20"/>
        <v>1991</v>
      </c>
    </row>
    <row r="258" spans="1:22" x14ac:dyDescent="0.25">
      <c r="A258" s="13">
        <v>33573</v>
      </c>
      <c r="B258" s="5">
        <v>2.5649999999999999</v>
      </c>
      <c r="C258" s="5">
        <v>2.4550000000000001</v>
      </c>
      <c r="D258" s="5">
        <v>2.5111904761904764</v>
      </c>
      <c r="E258" s="5">
        <f t="shared" si="21"/>
        <v>5.380952380952353E-2</v>
      </c>
      <c r="F258" s="5">
        <f t="shared" si="22"/>
        <v>-5.6190476190476346E-2</v>
      </c>
      <c r="G258" s="33">
        <v>2.42</v>
      </c>
      <c r="K258" s="15">
        <f t="shared" si="23"/>
        <v>4.3214285714285712</v>
      </c>
      <c r="L258" s="15"/>
      <c r="M258" s="13">
        <f t="shared" si="18"/>
        <v>33573</v>
      </c>
      <c r="N258" s="15"/>
      <c r="O258" s="15"/>
      <c r="P258" s="15"/>
      <c r="Q258" s="15"/>
      <c r="R258" s="15"/>
      <c r="U258" s="1">
        <f t="shared" si="19"/>
        <v>12</v>
      </c>
      <c r="V258" s="1">
        <f t="shared" si="20"/>
        <v>1991</v>
      </c>
    </row>
    <row r="259" spans="1:22" x14ac:dyDescent="0.25">
      <c r="A259" s="13">
        <v>33604</v>
      </c>
      <c r="B259" s="5">
        <v>2.65</v>
      </c>
      <c r="C259" s="5">
        <v>2.48</v>
      </c>
      <c r="D259" s="5">
        <v>2.5800454545454548</v>
      </c>
      <c r="E259" s="5">
        <f t="shared" si="21"/>
        <v>6.9954545454545158E-2</v>
      </c>
      <c r="F259" s="5">
        <f t="shared" si="22"/>
        <v>-0.10004545454545477</v>
      </c>
      <c r="G259" s="33">
        <v>2.4900000000000002</v>
      </c>
      <c r="K259" s="15">
        <f t="shared" si="23"/>
        <v>4.4464285714285721</v>
      </c>
      <c r="L259" s="15"/>
      <c r="M259" s="13">
        <f t="shared" ref="M259:M322" si="24">A259</f>
        <v>33604</v>
      </c>
      <c r="N259" s="15"/>
      <c r="O259" s="15"/>
      <c r="P259" s="15"/>
      <c r="Q259" s="15"/>
      <c r="R259" s="15"/>
      <c r="U259" s="1">
        <f t="shared" ref="U259:U322" si="25">MONTH(M259)</f>
        <v>1</v>
      </c>
      <c r="V259" s="1">
        <f t="shared" ref="V259:V322" si="26">YEAR(M259)</f>
        <v>1992</v>
      </c>
    </row>
    <row r="260" spans="1:22" x14ac:dyDescent="0.25">
      <c r="A260" s="13">
        <v>33635</v>
      </c>
      <c r="B260" s="5">
        <v>2.7120000000000002</v>
      </c>
      <c r="C260" s="5">
        <v>2.597</v>
      </c>
      <c r="D260" s="5">
        <v>2.6446842105263157</v>
      </c>
      <c r="E260" s="5">
        <f t="shared" ref="E260:E323" si="27">B260-D260</f>
        <v>6.731578947368444E-2</v>
      </c>
      <c r="F260" s="5">
        <f t="shared" ref="F260:F323" si="28">C260-D260</f>
        <v>-4.7684210526315773E-2</v>
      </c>
      <c r="G260" s="33">
        <v>2.58</v>
      </c>
      <c r="K260" s="15">
        <f t="shared" si="23"/>
        <v>4.6071428571428577</v>
      </c>
      <c r="L260" s="15"/>
      <c r="M260" s="13">
        <f t="shared" si="24"/>
        <v>33635</v>
      </c>
      <c r="N260" s="15"/>
      <c r="O260" s="15"/>
      <c r="P260" s="15"/>
      <c r="Q260" s="15"/>
      <c r="R260" s="15"/>
      <c r="U260" s="1">
        <f t="shared" si="25"/>
        <v>2</v>
      </c>
      <c r="V260" s="1">
        <f t="shared" si="26"/>
        <v>1992</v>
      </c>
    </row>
    <row r="261" spans="1:22" x14ac:dyDescent="0.25">
      <c r="A261" s="13">
        <v>33664</v>
      </c>
      <c r="B261" s="5">
        <v>2.7970000000000002</v>
      </c>
      <c r="C261" s="5">
        <v>2.64</v>
      </c>
      <c r="D261" s="5">
        <v>2.7224090909090912</v>
      </c>
      <c r="E261" s="5">
        <f t="shared" si="27"/>
        <v>7.459090909090893E-2</v>
      </c>
      <c r="F261" s="5">
        <f t="shared" si="28"/>
        <v>-8.2409090909091098E-2</v>
      </c>
      <c r="G261" s="33">
        <v>2.64</v>
      </c>
      <c r="K261" s="15">
        <f t="shared" si="23"/>
        <v>4.7142857142857144</v>
      </c>
      <c r="L261" s="15"/>
      <c r="M261" s="13">
        <f t="shared" si="24"/>
        <v>33664</v>
      </c>
      <c r="N261" s="15"/>
      <c r="O261" s="15"/>
      <c r="P261" s="15"/>
      <c r="Q261" s="15"/>
      <c r="R261" s="15"/>
      <c r="U261" s="1">
        <f t="shared" si="25"/>
        <v>3</v>
      </c>
      <c r="V261" s="1">
        <f t="shared" si="26"/>
        <v>1992</v>
      </c>
    </row>
    <row r="262" spans="1:22" x14ac:dyDescent="0.25">
      <c r="A262" s="13">
        <v>33695</v>
      </c>
      <c r="B262" s="5">
        <v>2.65</v>
      </c>
      <c r="C262" s="5">
        <v>2.4369999999999998</v>
      </c>
      <c r="D262" s="5">
        <v>2.5322105263157892</v>
      </c>
      <c r="E262" s="5">
        <f t="shared" si="27"/>
        <v>0.11778947368421067</v>
      </c>
      <c r="F262" s="5">
        <f t="shared" si="28"/>
        <v>-9.5210526315789412E-2</v>
      </c>
      <c r="G262" s="33">
        <v>2.5</v>
      </c>
      <c r="K262" s="15">
        <f t="shared" si="23"/>
        <v>4.4642857142857144</v>
      </c>
      <c r="L262" s="15"/>
      <c r="M262" s="13">
        <f t="shared" si="24"/>
        <v>33695</v>
      </c>
      <c r="N262" s="15"/>
      <c r="O262" s="15"/>
      <c r="P262" s="15"/>
      <c r="Q262" s="15"/>
      <c r="R262" s="15"/>
      <c r="U262" s="1">
        <f t="shared" si="25"/>
        <v>4</v>
      </c>
      <c r="V262" s="1">
        <f t="shared" si="26"/>
        <v>1992</v>
      </c>
    </row>
    <row r="263" spans="1:22" x14ac:dyDescent="0.25">
      <c r="A263" s="13">
        <v>33725</v>
      </c>
      <c r="B263" s="5">
        <v>2.6720000000000002</v>
      </c>
      <c r="C263" s="5">
        <v>2.4870000000000001</v>
      </c>
      <c r="D263" s="5">
        <v>2.5833499999999998</v>
      </c>
      <c r="E263" s="5">
        <f t="shared" si="27"/>
        <v>8.865000000000034E-2</v>
      </c>
      <c r="F263" s="5">
        <f t="shared" si="28"/>
        <v>-9.6349999999999714E-2</v>
      </c>
      <c r="G263" s="33">
        <v>2.5099999999999998</v>
      </c>
      <c r="K263" s="15">
        <f t="shared" si="23"/>
        <v>4.4821428571428568</v>
      </c>
      <c r="L263" s="15"/>
      <c r="M263" s="13">
        <f t="shared" si="24"/>
        <v>33725</v>
      </c>
      <c r="N263" s="15"/>
      <c r="O263" s="15"/>
      <c r="P263" s="15"/>
      <c r="Q263" s="15"/>
      <c r="R263" s="15"/>
      <c r="U263" s="1">
        <f t="shared" si="25"/>
        <v>5</v>
      </c>
      <c r="V263" s="1">
        <f t="shared" si="26"/>
        <v>1992</v>
      </c>
    </row>
    <row r="264" spans="1:22" x14ac:dyDescent="0.25">
      <c r="A264" s="13">
        <v>33756</v>
      </c>
      <c r="B264" s="5">
        <v>2.665</v>
      </c>
      <c r="C264" s="5">
        <v>2.46</v>
      </c>
      <c r="D264" s="5">
        <v>2.5557272727272728</v>
      </c>
      <c r="E264" s="5">
        <f t="shared" si="27"/>
        <v>0.10927272727272719</v>
      </c>
      <c r="F264" s="5">
        <f t="shared" si="28"/>
        <v>-9.5727272727272883E-2</v>
      </c>
      <c r="G264" s="33">
        <v>2.5099999999999998</v>
      </c>
      <c r="K264" s="15">
        <f t="shared" si="23"/>
        <v>4.4821428571428568</v>
      </c>
      <c r="L264" s="15"/>
      <c r="M264" s="13">
        <f t="shared" si="24"/>
        <v>33756</v>
      </c>
      <c r="N264" s="15"/>
      <c r="O264" s="15"/>
      <c r="P264" s="15"/>
      <c r="Q264" s="15"/>
      <c r="R264" s="15"/>
      <c r="U264" s="1">
        <f t="shared" si="25"/>
        <v>6</v>
      </c>
      <c r="V264" s="1">
        <f t="shared" si="26"/>
        <v>1992</v>
      </c>
    </row>
    <row r="265" spans="1:22" x14ac:dyDescent="0.25">
      <c r="A265" s="13">
        <v>33786</v>
      </c>
      <c r="B265" s="5">
        <v>2.5950000000000002</v>
      </c>
      <c r="C265" s="5">
        <v>2.1970000000000001</v>
      </c>
      <c r="D265" s="5">
        <v>2.3284545454545453</v>
      </c>
      <c r="E265" s="5">
        <f t="shared" si="27"/>
        <v>0.26654545454545486</v>
      </c>
      <c r="F265" s="5">
        <f t="shared" si="28"/>
        <v>-0.13145454545454527</v>
      </c>
      <c r="G265" s="33">
        <v>2.31</v>
      </c>
      <c r="K265" s="15">
        <f t="shared" si="23"/>
        <v>4.125</v>
      </c>
      <c r="L265" s="15"/>
      <c r="M265" s="13">
        <f t="shared" si="24"/>
        <v>33786</v>
      </c>
      <c r="N265" s="15"/>
      <c r="O265" s="15"/>
      <c r="P265" s="15"/>
      <c r="Q265" s="15"/>
      <c r="R265" s="15"/>
      <c r="U265" s="1">
        <f t="shared" si="25"/>
        <v>7</v>
      </c>
      <c r="V265" s="1">
        <f t="shared" si="26"/>
        <v>1992</v>
      </c>
    </row>
    <row r="266" spans="1:22" x14ac:dyDescent="0.25">
      <c r="A266" s="13">
        <v>33817</v>
      </c>
      <c r="B266" s="5">
        <v>2.2719999999999998</v>
      </c>
      <c r="C266" s="5">
        <v>2.1150000000000002</v>
      </c>
      <c r="D266" s="5">
        <v>2.1917142857142857</v>
      </c>
      <c r="E266" s="5">
        <f t="shared" si="27"/>
        <v>8.0285714285714072E-2</v>
      </c>
      <c r="F266" s="5">
        <f t="shared" si="28"/>
        <v>-7.6714285714285513E-2</v>
      </c>
      <c r="G266" s="33">
        <v>2.17</v>
      </c>
      <c r="K266" s="15">
        <f t="shared" si="23"/>
        <v>3.875</v>
      </c>
      <c r="L266" s="15"/>
      <c r="M266" s="13">
        <f t="shared" si="24"/>
        <v>33817</v>
      </c>
      <c r="N266" s="15"/>
      <c r="O266" s="15"/>
      <c r="P266" s="15"/>
      <c r="Q266" s="15"/>
      <c r="R266" s="15"/>
      <c r="U266" s="1">
        <f t="shared" si="25"/>
        <v>8</v>
      </c>
      <c r="V266" s="1">
        <f t="shared" si="26"/>
        <v>1992</v>
      </c>
    </row>
    <row r="267" spans="1:22" x14ac:dyDescent="0.25">
      <c r="A267" s="13">
        <v>33848</v>
      </c>
      <c r="B267" s="5">
        <v>2.2669999999999999</v>
      </c>
      <c r="C267" s="5">
        <v>2.1269999999999998</v>
      </c>
      <c r="D267" s="5">
        <v>2.1815714285714285</v>
      </c>
      <c r="E267" s="5">
        <f t="shared" si="27"/>
        <v>8.5428571428571409E-2</v>
      </c>
      <c r="F267" s="5">
        <f t="shared" si="28"/>
        <v>-5.4571428571428715E-2</v>
      </c>
      <c r="G267" s="33">
        <v>2.15</v>
      </c>
      <c r="K267" s="15">
        <f t="shared" si="23"/>
        <v>3.839285714285714</v>
      </c>
      <c r="L267" s="15"/>
      <c r="M267" s="13">
        <f t="shared" si="24"/>
        <v>33848</v>
      </c>
      <c r="N267" s="15"/>
      <c r="O267" s="15"/>
      <c r="P267" s="15"/>
      <c r="Q267" s="15"/>
      <c r="R267" s="15"/>
      <c r="U267" s="1">
        <f t="shared" si="25"/>
        <v>9</v>
      </c>
      <c r="V267" s="1">
        <f t="shared" si="26"/>
        <v>1992</v>
      </c>
    </row>
    <row r="268" spans="1:22" x14ac:dyDescent="0.25">
      <c r="A268" s="13">
        <v>33878</v>
      </c>
      <c r="B268" s="5">
        <v>2.145</v>
      </c>
      <c r="C268" s="5">
        <v>2.0470000000000002</v>
      </c>
      <c r="D268" s="5">
        <v>2.0886363636363638</v>
      </c>
      <c r="E268" s="5">
        <f t="shared" si="27"/>
        <v>5.6363636363636171E-2</v>
      </c>
      <c r="F268" s="5">
        <f t="shared" si="28"/>
        <v>-4.1636363636363694E-2</v>
      </c>
      <c r="G268" s="33">
        <v>1.95</v>
      </c>
      <c r="K268" s="15">
        <f t="shared" si="23"/>
        <v>3.4821428571428572</v>
      </c>
      <c r="L268" s="15"/>
      <c r="M268" s="13">
        <f t="shared" si="24"/>
        <v>33878</v>
      </c>
      <c r="N268" s="15"/>
      <c r="O268" s="15"/>
      <c r="P268" s="15"/>
      <c r="Q268" s="15"/>
      <c r="R268" s="15"/>
      <c r="U268" s="1">
        <f t="shared" si="25"/>
        <v>10</v>
      </c>
      <c r="V268" s="1">
        <f t="shared" si="26"/>
        <v>1992</v>
      </c>
    </row>
    <row r="269" spans="1:22" x14ac:dyDescent="0.25">
      <c r="A269" s="13">
        <v>33909</v>
      </c>
      <c r="B269" s="5">
        <v>2.1800000000000002</v>
      </c>
      <c r="C269" s="5">
        <v>2.0449999999999999</v>
      </c>
      <c r="D269" s="5">
        <v>2.1179999999999999</v>
      </c>
      <c r="E269" s="5">
        <f t="shared" si="27"/>
        <v>6.2000000000000277E-2</v>
      </c>
      <c r="F269" s="5">
        <f t="shared" si="28"/>
        <v>-7.2999999999999954E-2</v>
      </c>
      <c r="G269" s="33">
        <v>2.02</v>
      </c>
      <c r="K269" s="15">
        <f t="shared" si="23"/>
        <v>3.6071428571428572</v>
      </c>
      <c r="L269" s="15"/>
      <c r="M269" s="13">
        <f t="shared" si="24"/>
        <v>33909</v>
      </c>
      <c r="N269" s="15"/>
      <c r="O269" s="15"/>
      <c r="P269" s="15"/>
      <c r="Q269" s="15"/>
      <c r="R269" s="15"/>
      <c r="U269" s="1">
        <f t="shared" si="25"/>
        <v>11</v>
      </c>
      <c r="V269" s="1">
        <f t="shared" si="26"/>
        <v>1992</v>
      </c>
    </row>
    <row r="270" spans="1:22" x14ac:dyDescent="0.25">
      <c r="A270" s="13">
        <v>33939</v>
      </c>
      <c r="B270" s="5">
        <v>2.23</v>
      </c>
      <c r="C270" s="5">
        <v>2.16</v>
      </c>
      <c r="D270" s="5">
        <v>2.1959545454545455</v>
      </c>
      <c r="E270" s="5">
        <f t="shared" si="27"/>
        <v>3.404545454545449E-2</v>
      </c>
      <c r="F270" s="5">
        <f t="shared" si="28"/>
        <v>-3.595454545454535E-2</v>
      </c>
      <c r="G270" s="33">
        <v>2.06</v>
      </c>
      <c r="K270" s="15">
        <f t="shared" si="23"/>
        <v>3.6785714285714288</v>
      </c>
      <c r="L270" s="15"/>
      <c r="M270" s="13">
        <f t="shared" si="24"/>
        <v>33939</v>
      </c>
      <c r="N270" s="15"/>
      <c r="O270" s="15"/>
      <c r="P270" s="15"/>
      <c r="Q270" s="15"/>
      <c r="R270" s="15"/>
      <c r="U270" s="1">
        <f t="shared" si="25"/>
        <v>12</v>
      </c>
      <c r="V270" s="1">
        <f t="shared" si="26"/>
        <v>1992</v>
      </c>
    </row>
    <row r="271" spans="1:22" x14ac:dyDescent="0.25">
      <c r="A271" s="13">
        <v>33970</v>
      </c>
      <c r="B271" s="5">
        <v>2.2200000000000002</v>
      </c>
      <c r="C271" s="5">
        <v>2.14</v>
      </c>
      <c r="D271" s="5">
        <v>2.17645</v>
      </c>
      <c r="E271" s="5">
        <f t="shared" si="27"/>
        <v>4.35500000000002E-2</v>
      </c>
      <c r="F271" s="5">
        <f t="shared" si="28"/>
        <v>-3.6449999999999871E-2</v>
      </c>
      <c r="G271" s="33">
        <v>2.0699999999999998</v>
      </c>
      <c r="K271" s="15">
        <f t="shared" si="23"/>
        <v>3.6964285714285712</v>
      </c>
      <c r="L271" s="15"/>
      <c r="M271" s="13">
        <f t="shared" si="24"/>
        <v>33970</v>
      </c>
      <c r="N271" s="15"/>
      <c r="O271" s="15"/>
      <c r="P271" s="15"/>
      <c r="Q271" s="15"/>
      <c r="R271" s="15"/>
      <c r="U271" s="1">
        <f t="shared" si="25"/>
        <v>1</v>
      </c>
      <c r="V271" s="1">
        <f t="shared" si="26"/>
        <v>1993</v>
      </c>
    </row>
    <row r="272" spans="1:22" x14ac:dyDescent="0.25">
      <c r="A272" s="13">
        <v>34001</v>
      </c>
      <c r="B272" s="5">
        <v>2.145</v>
      </c>
      <c r="C272" s="5">
        <v>2.1</v>
      </c>
      <c r="D272" s="5">
        <v>2.1228947368421056</v>
      </c>
      <c r="E272" s="5">
        <f t="shared" si="27"/>
        <v>2.2105263157894406E-2</v>
      </c>
      <c r="F272" s="5">
        <f t="shared" si="28"/>
        <v>-2.2894736842105523E-2</v>
      </c>
      <c r="G272" s="33">
        <v>2.0499999999999998</v>
      </c>
      <c r="K272" s="15">
        <f t="shared" si="23"/>
        <v>3.6607142857142851</v>
      </c>
      <c r="L272" s="15"/>
      <c r="M272" s="13">
        <f t="shared" si="24"/>
        <v>34001</v>
      </c>
      <c r="N272" s="15"/>
      <c r="O272" s="15"/>
      <c r="P272" s="15"/>
      <c r="Q272" s="15"/>
      <c r="R272" s="15"/>
      <c r="U272" s="1">
        <f t="shared" si="25"/>
        <v>2</v>
      </c>
      <c r="V272" s="1">
        <f t="shared" si="26"/>
        <v>1993</v>
      </c>
    </row>
    <row r="273" spans="1:22" x14ac:dyDescent="0.25">
      <c r="A273" s="13">
        <v>34029</v>
      </c>
      <c r="B273" s="5">
        <v>2.31</v>
      </c>
      <c r="C273" s="5">
        <v>2.1869999999999998</v>
      </c>
      <c r="D273" s="5">
        <v>2.2425217391304351</v>
      </c>
      <c r="E273" s="5">
        <f t="shared" si="27"/>
        <v>6.7478260869564988E-2</v>
      </c>
      <c r="F273" s="5">
        <f t="shared" si="28"/>
        <v>-5.5521739130435233E-2</v>
      </c>
      <c r="G273" s="33">
        <v>2.16</v>
      </c>
      <c r="K273" s="15">
        <f t="shared" si="23"/>
        <v>3.8571428571428577</v>
      </c>
      <c r="L273" s="15"/>
      <c r="M273" s="13">
        <f t="shared" si="24"/>
        <v>34029</v>
      </c>
      <c r="N273" s="15"/>
      <c r="O273" s="15"/>
      <c r="P273" s="15"/>
      <c r="Q273" s="15"/>
      <c r="R273" s="15"/>
      <c r="U273" s="1">
        <f t="shared" si="25"/>
        <v>3</v>
      </c>
      <c r="V273" s="1">
        <f t="shared" si="26"/>
        <v>1993</v>
      </c>
    </row>
    <row r="274" spans="1:22" x14ac:dyDescent="0.25">
      <c r="A274" s="13">
        <v>34060</v>
      </c>
      <c r="B274" s="5">
        <v>2.335</v>
      </c>
      <c r="C274" s="5">
        <v>2.2250000000000001</v>
      </c>
      <c r="D274" s="5">
        <v>2.2867619047619048</v>
      </c>
      <c r="E274" s="5">
        <f t="shared" si="27"/>
        <v>4.8238095238095191E-2</v>
      </c>
      <c r="F274" s="5">
        <f t="shared" si="28"/>
        <v>-6.1761904761904685E-2</v>
      </c>
      <c r="G274" s="33">
        <v>2.23</v>
      </c>
      <c r="K274" s="15">
        <f t="shared" si="23"/>
        <v>3.9821428571428572</v>
      </c>
      <c r="L274" s="15"/>
      <c r="M274" s="13">
        <f t="shared" si="24"/>
        <v>34060</v>
      </c>
      <c r="N274" s="15"/>
      <c r="O274" s="15"/>
      <c r="P274" s="15"/>
      <c r="Q274" s="15"/>
      <c r="R274" s="15"/>
      <c r="U274" s="1">
        <f t="shared" si="25"/>
        <v>4</v>
      </c>
      <c r="V274" s="1">
        <f t="shared" si="26"/>
        <v>1993</v>
      </c>
    </row>
    <row r="275" spans="1:22" x14ac:dyDescent="0.25">
      <c r="A275" s="13">
        <v>34090</v>
      </c>
      <c r="B275" s="5">
        <v>2.347</v>
      </c>
      <c r="C275" s="5">
        <v>2.2349999999999999</v>
      </c>
      <c r="D275" s="5">
        <v>2.2848000000000002</v>
      </c>
      <c r="E275" s="5">
        <f t="shared" si="27"/>
        <v>6.2199999999999811E-2</v>
      </c>
      <c r="F275" s="5">
        <f t="shared" si="28"/>
        <v>-4.9800000000000288E-2</v>
      </c>
      <c r="G275" s="33">
        <v>2.2000000000000002</v>
      </c>
      <c r="K275" s="15">
        <f t="shared" si="23"/>
        <v>3.9285714285714293</v>
      </c>
      <c r="L275" s="15"/>
      <c r="M275" s="13">
        <f t="shared" si="24"/>
        <v>34090</v>
      </c>
      <c r="N275" s="15"/>
      <c r="O275" s="15"/>
      <c r="P275" s="15"/>
      <c r="Q275" s="15"/>
      <c r="R275" s="15"/>
      <c r="U275" s="1">
        <f t="shared" si="25"/>
        <v>5</v>
      </c>
      <c r="V275" s="1">
        <f t="shared" si="26"/>
        <v>1993</v>
      </c>
    </row>
    <row r="276" spans="1:22" x14ac:dyDescent="0.25">
      <c r="A276" s="13">
        <v>34121</v>
      </c>
      <c r="B276" s="5">
        <v>2.2469999999999999</v>
      </c>
      <c r="C276" s="5">
        <v>2.1150000000000002</v>
      </c>
      <c r="D276" s="5">
        <v>2.1805909090909092</v>
      </c>
      <c r="E276" s="5">
        <f t="shared" si="27"/>
        <v>6.640909090909064E-2</v>
      </c>
      <c r="F276" s="5">
        <f t="shared" si="28"/>
        <v>-6.5590909090909033E-2</v>
      </c>
      <c r="G276" s="33">
        <v>2.09</v>
      </c>
      <c r="K276" s="15">
        <f t="shared" si="23"/>
        <v>3.7321428571428568</v>
      </c>
      <c r="L276" s="15"/>
      <c r="M276" s="13">
        <f t="shared" si="24"/>
        <v>34121</v>
      </c>
      <c r="N276" s="15"/>
      <c r="O276" s="15"/>
      <c r="P276" s="15"/>
      <c r="Q276" s="15"/>
      <c r="R276" s="15"/>
      <c r="U276" s="1">
        <f t="shared" si="25"/>
        <v>6</v>
      </c>
      <c r="V276" s="1">
        <f t="shared" si="26"/>
        <v>1993</v>
      </c>
    </row>
    <row r="277" spans="1:22" x14ac:dyDescent="0.25">
      <c r="A277" s="13">
        <v>34151</v>
      </c>
      <c r="B277" s="5">
        <v>2.5099999999999998</v>
      </c>
      <c r="C277" s="5">
        <v>2.2949999999999999</v>
      </c>
      <c r="D277" s="5">
        <v>2.4077142857142859</v>
      </c>
      <c r="E277" s="5">
        <f t="shared" si="27"/>
        <v>0.10228571428571387</v>
      </c>
      <c r="F277" s="5">
        <f t="shared" si="28"/>
        <v>-0.11271428571428599</v>
      </c>
      <c r="G277" s="33">
        <v>2.25</v>
      </c>
      <c r="K277" s="15">
        <f t="shared" si="23"/>
        <v>4.0178571428571432</v>
      </c>
      <c r="L277" s="15"/>
      <c r="M277" s="13">
        <f t="shared" si="24"/>
        <v>34151</v>
      </c>
      <c r="N277" s="15"/>
      <c r="O277" s="15"/>
      <c r="P277" s="15"/>
      <c r="Q277" s="15"/>
      <c r="R277" s="15"/>
      <c r="U277" s="1">
        <f t="shared" si="25"/>
        <v>7</v>
      </c>
      <c r="V277" s="1">
        <f t="shared" si="26"/>
        <v>1993</v>
      </c>
    </row>
    <row r="278" spans="1:22" x14ac:dyDescent="0.25">
      <c r="A278" s="13">
        <v>34182</v>
      </c>
      <c r="B278" s="5">
        <v>2.4350000000000001</v>
      </c>
      <c r="C278" s="5">
        <v>2.2799999999999998</v>
      </c>
      <c r="D278" s="5">
        <v>2.3731363636363638</v>
      </c>
      <c r="E278" s="5">
        <f t="shared" si="27"/>
        <v>6.1863636363636232E-2</v>
      </c>
      <c r="F278" s="5">
        <f t="shared" si="28"/>
        <v>-9.3136363636364017E-2</v>
      </c>
      <c r="G278" s="33">
        <v>2.25</v>
      </c>
      <c r="K278" s="15">
        <f t="shared" si="23"/>
        <v>4.0178571428571432</v>
      </c>
      <c r="L278" s="15"/>
      <c r="M278" s="13">
        <f t="shared" si="24"/>
        <v>34182</v>
      </c>
      <c r="N278" s="15"/>
      <c r="O278" s="15"/>
      <c r="P278" s="15"/>
      <c r="Q278" s="15"/>
      <c r="R278" s="15"/>
      <c r="U278" s="1">
        <f t="shared" si="25"/>
        <v>8</v>
      </c>
      <c r="V278" s="1">
        <f t="shared" si="26"/>
        <v>1993</v>
      </c>
    </row>
    <row r="279" spans="1:22" x14ac:dyDescent="0.25">
      <c r="A279" s="13">
        <v>34213</v>
      </c>
      <c r="B279" s="5">
        <v>2.5049999999999999</v>
      </c>
      <c r="C279" s="5">
        <v>2.3250000000000002</v>
      </c>
      <c r="D279" s="5">
        <v>2.4024761904761904</v>
      </c>
      <c r="E279" s="5">
        <f t="shared" si="27"/>
        <v>0.10252380952380946</v>
      </c>
      <c r="F279" s="5">
        <f t="shared" si="28"/>
        <v>-7.7476190476190254E-2</v>
      </c>
      <c r="G279" s="33">
        <v>2.2200000000000002</v>
      </c>
      <c r="K279" s="15">
        <f t="shared" si="23"/>
        <v>3.9642857142857144</v>
      </c>
      <c r="L279" s="15"/>
      <c r="M279" s="13">
        <f t="shared" si="24"/>
        <v>34213</v>
      </c>
      <c r="N279" s="15"/>
      <c r="O279" s="15"/>
      <c r="P279" s="15"/>
      <c r="Q279" s="15"/>
      <c r="R279" s="15"/>
      <c r="U279" s="1">
        <f t="shared" si="25"/>
        <v>9</v>
      </c>
      <c r="V279" s="1">
        <f t="shared" si="26"/>
        <v>1993</v>
      </c>
    </row>
    <row r="280" spans="1:22" x14ac:dyDescent="0.25">
      <c r="A280" s="13">
        <v>34243</v>
      </c>
      <c r="B280" s="5">
        <v>2.5819999999999999</v>
      </c>
      <c r="C280" s="5">
        <v>2.3620000000000001</v>
      </c>
      <c r="D280" s="5">
        <v>2.4857142857142858</v>
      </c>
      <c r="E280" s="5">
        <f t="shared" si="27"/>
        <v>9.6285714285714086E-2</v>
      </c>
      <c r="F280" s="5">
        <f t="shared" si="28"/>
        <v>-0.12371428571428567</v>
      </c>
      <c r="G280" s="33">
        <v>2.27</v>
      </c>
      <c r="K280" s="15">
        <f t="shared" si="23"/>
        <v>4.0535714285714288</v>
      </c>
      <c r="L280" s="15"/>
      <c r="M280" s="13">
        <f t="shared" si="24"/>
        <v>34243</v>
      </c>
      <c r="N280" s="15"/>
      <c r="O280" s="15"/>
      <c r="P280" s="15"/>
      <c r="Q280" s="15"/>
      <c r="R280" s="15"/>
      <c r="U280" s="1">
        <f t="shared" si="25"/>
        <v>10</v>
      </c>
      <c r="V280" s="1">
        <f t="shared" si="26"/>
        <v>1993</v>
      </c>
    </row>
    <row r="281" spans="1:22" x14ac:dyDescent="0.25">
      <c r="A281" s="13">
        <v>34274</v>
      </c>
      <c r="B281" s="5">
        <v>2.88</v>
      </c>
      <c r="C281" s="5">
        <v>2.58</v>
      </c>
      <c r="D281" s="5">
        <v>2.7379047619047623</v>
      </c>
      <c r="E281" s="5">
        <f t="shared" si="27"/>
        <v>0.14209523809523761</v>
      </c>
      <c r="F281" s="5">
        <f t="shared" si="28"/>
        <v>-0.15790476190476221</v>
      </c>
      <c r="G281" s="33">
        <v>2.63</v>
      </c>
      <c r="K281" s="15">
        <f t="shared" si="23"/>
        <v>4.6964285714285712</v>
      </c>
      <c r="L281" s="15"/>
      <c r="M281" s="13">
        <f t="shared" si="24"/>
        <v>34274</v>
      </c>
      <c r="N281" s="15"/>
      <c r="O281" s="15"/>
      <c r="P281" s="15"/>
      <c r="Q281" s="15"/>
      <c r="R281" s="15"/>
      <c r="U281" s="1">
        <f t="shared" si="25"/>
        <v>11</v>
      </c>
      <c r="V281" s="1">
        <f t="shared" si="26"/>
        <v>1993</v>
      </c>
    </row>
    <row r="282" spans="1:22" x14ac:dyDescent="0.25">
      <c r="A282" s="13">
        <v>34304</v>
      </c>
      <c r="B282" s="5">
        <v>3.0670000000000002</v>
      </c>
      <c r="C282" s="5">
        <v>2.835</v>
      </c>
      <c r="D282" s="5">
        <v>2.960809523809524</v>
      </c>
      <c r="E282" s="5">
        <f t="shared" si="27"/>
        <v>0.10619047619047617</v>
      </c>
      <c r="F282" s="5">
        <f t="shared" si="28"/>
        <v>-0.12580952380952404</v>
      </c>
      <c r="G282" s="33">
        <v>2.81</v>
      </c>
      <c r="K282" s="15">
        <f t="shared" si="23"/>
        <v>5.0178571428571423</v>
      </c>
      <c r="L282" s="15"/>
      <c r="M282" s="13">
        <f t="shared" si="24"/>
        <v>34304</v>
      </c>
      <c r="N282" s="15"/>
      <c r="O282" s="15"/>
      <c r="P282" s="15"/>
      <c r="Q282" s="15"/>
      <c r="R282" s="15"/>
      <c r="U282" s="1">
        <f t="shared" si="25"/>
        <v>12</v>
      </c>
      <c r="V282" s="1">
        <f t="shared" si="26"/>
        <v>1993</v>
      </c>
    </row>
    <row r="283" spans="1:22" x14ac:dyDescent="0.25">
      <c r="A283" s="13">
        <v>34335</v>
      </c>
      <c r="B283" s="5">
        <v>3.117</v>
      </c>
      <c r="C283" s="5">
        <v>2.875</v>
      </c>
      <c r="D283" s="5">
        <v>3.0210952380952381</v>
      </c>
      <c r="E283" s="5">
        <f t="shared" si="27"/>
        <v>9.5904761904761937E-2</v>
      </c>
      <c r="F283" s="5">
        <f t="shared" si="28"/>
        <v>-0.14609523809523806</v>
      </c>
      <c r="G283" s="33">
        <v>2.89</v>
      </c>
      <c r="K283" s="15">
        <f t="shared" si="23"/>
        <v>5.1607142857142856</v>
      </c>
      <c r="L283" s="15"/>
      <c r="M283" s="13">
        <f t="shared" si="24"/>
        <v>34335</v>
      </c>
      <c r="N283" s="15"/>
      <c r="O283" s="15"/>
      <c r="P283" s="15"/>
      <c r="Q283" s="15"/>
      <c r="R283" s="15"/>
      <c r="U283" s="1">
        <f t="shared" si="25"/>
        <v>1</v>
      </c>
      <c r="V283" s="1">
        <f t="shared" si="26"/>
        <v>1994</v>
      </c>
    </row>
    <row r="284" spans="1:22" x14ac:dyDescent="0.25">
      <c r="A284" s="13">
        <v>34366</v>
      </c>
      <c r="B284" s="5">
        <v>2.99</v>
      </c>
      <c r="C284" s="5">
        <v>2.83</v>
      </c>
      <c r="D284" s="5">
        <v>2.9100526315789472</v>
      </c>
      <c r="E284" s="5">
        <f t="shared" si="27"/>
        <v>7.9947368421052989E-2</v>
      </c>
      <c r="F284" s="5">
        <f t="shared" si="28"/>
        <v>-8.0052631578947153E-2</v>
      </c>
      <c r="G284" s="33">
        <v>2.83</v>
      </c>
      <c r="K284" s="15">
        <f t="shared" si="23"/>
        <v>5.0535714285714288</v>
      </c>
      <c r="L284" s="15"/>
      <c r="M284" s="13">
        <f t="shared" si="24"/>
        <v>34366</v>
      </c>
      <c r="N284" s="15"/>
      <c r="O284" s="15"/>
      <c r="P284" s="15"/>
      <c r="Q284" s="15"/>
      <c r="R284" s="15"/>
      <c r="U284" s="1">
        <f t="shared" si="25"/>
        <v>2</v>
      </c>
      <c r="V284" s="1">
        <f t="shared" si="26"/>
        <v>1994</v>
      </c>
    </row>
    <row r="285" spans="1:22" x14ac:dyDescent="0.25">
      <c r="A285" s="13">
        <v>34394</v>
      </c>
      <c r="B285" s="5">
        <v>2.9470000000000001</v>
      </c>
      <c r="C285" s="5">
        <v>2.7250000000000001</v>
      </c>
      <c r="D285" s="5">
        <v>2.8509565217391306</v>
      </c>
      <c r="E285" s="5">
        <f t="shared" si="27"/>
        <v>9.6043478260869453E-2</v>
      </c>
      <c r="F285" s="5">
        <f t="shared" si="28"/>
        <v>-0.12595652173913052</v>
      </c>
      <c r="G285" s="33">
        <v>2.76</v>
      </c>
      <c r="K285" s="15">
        <f t="shared" si="23"/>
        <v>4.9285714285714279</v>
      </c>
      <c r="L285" s="15"/>
      <c r="M285" s="13">
        <f t="shared" si="24"/>
        <v>34394</v>
      </c>
      <c r="N285" s="15"/>
      <c r="O285" s="15"/>
      <c r="P285" s="15"/>
      <c r="Q285" s="15"/>
      <c r="R285" s="15"/>
      <c r="U285" s="1">
        <f t="shared" si="25"/>
        <v>3</v>
      </c>
      <c r="V285" s="1">
        <f t="shared" si="26"/>
        <v>1994</v>
      </c>
    </row>
    <row r="286" spans="1:22" x14ac:dyDescent="0.25">
      <c r="A286" s="13">
        <v>34425</v>
      </c>
      <c r="B286" s="5">
        <v>2.7869999999999999</v>
      </c>
      <c r="C286" s="5">
        <v>2.5499999999999998</v>
      </c>
      <c r="D286" s="5">
        <v>2.6670526315789473</v>
      </c>
      <c r="E286" s="5">
        <f t="shared" si="27"/>
        <v>0.11994736842105258</v>
      </c>
      <c r="F286" s="5">
        <f t="shared" si="28"/>
        <v>-0.11705263157894752</v>
      </c>
      <c r="G286" s="33">
        <v>2.6</v>
      </c>
      <c r="K286" s="15">
        <f t="shared" si="23"/>
        <v>4.6428571428571432</v>
      </c>
      <c r="L286" s="15"/>
      <c r="M286" s="13">
        <f t="shared" si="24"/>
        <v>34425</v>
      </c>
      <c r="N286" s="15"/>
      <c r="O286" s="15"/>
      <c r="P286" s="15"/>
      <c r="Q286" s="15"/>
      <c r="R286" s="15"/>
      <c r="U286" s="1">
        <f t="shared" si="25"/>
        <v>4</v>
      </c>
      <c r="V286" s="1">
        <f t="shared" si="26"/>
        <v>1994</v>
      </c>
    </row>
    <row r="287" spans="1:22" x14ac:dyDescent="0.25">
      <c r="A287" s="13">
        <v>34455</v>
      </c>
      <c r="B287" s="5">
        <v>2.7869999999999999</v>
      </c>
      <c r="C287" s="5">
        <v>2.5569999999999999</v>
      </c>
      <c r="D287" s="5">
        <v>2.6554285714285717</v>
      </c>
      <c r="E287" s="5">
        <f t="shared" si="27"/>
        <v>0.13157142857142823</v>
      </c>
      <c r="F287" s="5">
        <f t="shared" si="28"/>
        <v>-9.8428571428571754E-2</v>
      </c>
      <c r="G287" s="33">
        <v>2.58</v>
      </c>
      <c r="K287" s="15">
        <f t="shared" si="23"/>
        <v>4.6071428571428577</v>
      </c>
      <c r="L287" s="15"/>
      <c r="M287" s="13">
        <f t="shared" si="24"/>
        <v>34455</v>
      </c>
      <c r="N287" s="15"/>
      <c r="O287" s="15"/>
      <c r="P287" s="15"/>
      <c r="Q287" s="15"/>
      <c r="R287" s="15"/>
      <c r="U287" s="1">
        <f t="shared" si="25"/>
        <v>5</v>
      </c>
      <c r="V287" s="1">
        <f t="shared" si="26"/>
        <v>1994</v>
      </c>
    </row>
    <row r="288" spans="1:22" x14ac:dyDescent="0.25">
      <c r="A288" s="13">
        <v>34486</v>
      </c>
      <c r="B288" s="5">
        <v>2.8570000000000002</v>
      </c>
      <c r="C288" s="5">
        <v>2.4500000000000002</v>
      </c>
      <c r="D288" s="5">
        <v>2.6771363636363636</v>
      </c>
      <c r="E288" s="5">
        <f t="shared" si="27"/>
        <v>0.17986363636363656</v>
      </c>
      <c r="F288" s="5">
        <f t="shared" si="28"/>
        <v>-0.22713636363636347</v>
      </c>
      <c r="G288" s="33">
        <v>2.61</v>
      </c>
      <c r="K288" s="15">
        <f t="shared" si="23"/>
        <v>4.6607142857142856</v>
      </c>
      <c r="L288" s="15"/>
      <c r="M288" s="13">
        <f t="shared" si="24"/>
        <v>34486</v>
      </c>
      <c r="N288" s="15"/>
      <c r="O288" s="15"/>
      <c r="P288" s="15"/>
      <c r="Q288" s="15"/>
      <c r="R288" s="15"/>
      <c r="U288" s="1">
        <f t="shared" si="25"/>
        <v>6</v>
      </c>
      <c r="V288" s="1">
        <f t="shared" si="26"/>
        <v>1994</v>
      </c>
    </row>
    <row r="289" spans="1:22" x14ac:dyDescent="0.25">
      <c r="A289" s="13">
        <v>34516</v>
      </c>
      <c r="B289" s="5">
        <v>2.4249999999999998</v>
      </c>
      <c r="C289" s="5">
        <v>2.1469999999999998</v>
      </c>
      <c r="D289" s="5">
        <v>2.2389000000000001</v>
      </c>
      <c r="E289" s="5">
        <f t="shared" si="27"/>
        <v>0.18609999999999971</v>
      </c>
      <c r="F289" s="5">
        <f t="shared" si="28"/>
        <v>-9.1900000000000315E-2</v>
      </c>
      <c r="G289" s="33">
        <v>2.19</v>
      </c>
      <c r="K289" s="15">
        <f t="shared" si="23"/>
        <v>3.9107142857142856</v>
      </c>
      <c r="L289" s="15"/>
      <c r="M289" s="13">
        <f t="shared" si="24"/>
        <v>34516</v>
      </c>
      <c r="N289" s="15"/>
      <c r="O289" s="15"/>
      <c r="P289" s="15"/>
      <c r="Q289" s="15"/>
      <c r="R289" s="15"/>
      <c r="U289" s="1">
        <f t="shared" si="25"/>
        <v>7</v>
      </c>
      <c r="V289" s="1">
        <f t="shared" si="26"/>
        <v>1994</v>
      </c>
    </row>
    <row r="290" spans="1:22" x14ac:dyDescent="0.25">
      <c r="A290" s="13">
        <v>34547</v>
      </c>
      <c r="B290" s="5">
        <v>2.2400000000000002</v>
      </c>
      <c r="C290" s="5">
        <v>2.14</v>
      </c>
      <c r="D290" s="5">
        <v>2.1918260869565218</v>
      </c>
      <c r="E290" s="5">
        <f t="shared" si="27"/>
        <v>4.81739130434784E-2</v>
      </c>
      <c r="F290" s="5">
        <f t="shared" si="28"/>
        <v>-5.1826086956521689E-2</v>
      </c>
      <c r="G290" s="33">
        <v>2.13</v>
      </c>
      <c r="K290" s="15">
        <f t="shared" si="23"/>
        <v>3.8035714285714284</v>
      </c>
      <c r="L290" s="15"/>
      <c r="M290" s="13">
        <f t="shared" si="24"/>
        <v>34547</v>
      </c>
      <c r="N290" s="15"/>
      <c r="O290" s="15"/>
      <c r="P290" s="15"/>
      <c r="Q290" s="15"/>
      <c r="R290" s="15"/>
      <c r="U290" s="1">
        <f t="shared" si="25"/>
        <v>8</v>
      </c>
      <c r="V290" s="1">
        <f t="shared" si="26"/>
        <v>1994</v>
      </c>
    </row>
    <row r="291" spans="1:22" x14ac:dyDescent="0.25">
      <c r="A291" s="13">
        <v>34578</v>
      </c>
      <c r="B291" s="5">
        <v>2.2799999999999998</v>
      </c>
      <c r="C291" s="5">
        <v>2.14</v>
      </c>
      <c r="D291" s="5">
        <v>2.202666666666667</v>
      </c>
      <c r="E291" s="5">
        <f t="shared" si="27"/>
        <v>7.733333333333281E-2</v>
      </c>
      <c r="F291" s="5">
        <f t="shared" si="28"/>
        <v>-6.266666666666687E-2</v>
      </c>
      <c r="G291" s="33">
        <v>2.08</v>
      </c>
      <c r="K291" s="15">
        <f t="shared" si="23"/>
        <v>3.7142857142857144</v>
      </c>
      <c r="L291" s="15"/>
      <c r="M291" s="13">
        <f t="shared" si="24"/>
        <v>34578</v>
      </c>
      <c r="N291" s="15"/>
      <c r="O291" s="15"/>
      <c r="P291" s="15"/>
      <c r="Q291" s="15"/>
      <c r="R291" s="15"/>
      <c r="U291" s="1">
        <f t="shared" si="25"/>
        <v>9</v>
      </c>
      <c r="V291" s="1">
        <f t="shared" si="26"/>
        <v>1994</v>
      </c>
    </row>
    <row r="292" spans="1:22" x14ac:dyDescent="0.25">
      <c r="A292" s="13">
        <v>34608</v>
      </c>
      <c r="B292" s="5">
        <v>2.2000000000000002</v>
      </c>
      <c r="C292" s="5">
        <v>2.1320000000000001</v>
      </c>
      <c r="D292" s="5">
        <v>2.1592857142857143</v>
      </c>
      <c r="E292" s="5">
        <f t="shared" si="27"/>
        <v>4.0714285714285925E-2</v>
      </c>
      <c r="F292" s="5">
        <f t="shared" si="28"/>
        <v>-2.7285714285714135E-2</v>
      </c>
      <c r="G292" s="33">
        <v>1.92</v>
      </c>
      <c r="K292" s="15">
        <f t="shared" si="23"/>
        <v>3.4285714285714288</v>
      </c>
      <c r="L292" s="15"/>
      <c r="M292" s="13">
        <f t="shared" si="24"/>
        <v>34608</v>
      </c>
      <c r="N292" s="15"/>
      <c r="O292" s="15"/>
      <c r="P292" s="15"/>
      <c r="Q292" s="15"/>
      <c r="R292" s="15"/>
      <c r="U292" s="1">
        <f t="shared" si="25"/>
        <v>10</v>
      </c>
      <c r="V292" s="1">
        <f t="shared" si="26"/>
        <v>1994</v>
      </c>
    </row>
    <row r="293" spans="1:22" x14ac:dyDescent="0.25">
      <c r="A293" s="13">
        <v>34639</v>
      </c>
      <c r="B293" s="5">
        <v>2.2200000000000002</v>
      </c>
      <c r="C293" s="5">
        <v>2.105</v>
      </c>
      <c r="D293" s="5">
        <v>2.156714285714286</v>
      </c>
      <c r="E293" s="5">
        <f t="shared" si="27"/>
        <v>6.3285714285714167E-2</v>
      </c>
      <c r="F293" s="5">
        <f t="shared" si="28"/>
        <v>-5.1714285714286046E-2</v>
      </c>
      <c r="G293" s="33">
        <v>2.0299999999999998</v>
      </c>
      <c r="K293" s="15">
        <f t="shared" si="23"/>
        <v>3.6249999999999996</v>
      </c>
      <c r="L293" s="15"/>
      <c r="M293" s="13">
        <f t="shared" si="24"/>
        <v>34639</v>
      </c>
      <c r="N293" s="15"/>
      <c r="O293" s="15"/>
      <c r="P293" s="15"/>
      <c r="Q293" s="15"/>
      <c r="R293" s="15"/>
      <c r="U293" s="1">
        <f t="shared" si="25"/>
        <v>11</v>
      </c>
      <c r="V293" s="1">
        <f t="shared" si="26"/>
        <v>1994</v>
      </c>
    </row>
    <row r="294" spans="1:22" x14ac:dyDescent="0.25">
      <c r="A294" s="13">
        <v>34669</v>
      </c>
      <c r="B294" s="5">
        <v>2.35</v>
      </c>
      <c r="C294" s="5">
        <v>2.2269999999999999</v>
      </c>
      <c r="D294" s="5">
        <v>2.291809523809524</v>
      </c>
      <c r="E294" s="5">
        <f t="shared" si="27"/>
        <v>5.8190476190476126E-2</v>
      </c>
      <c r="F294" s="5">
        <f t="shared" si="28"/>
        <v>-6.4809523809524094E-2</v>
      </c>
      <c r="G294" s="33">
        <v>2.16</v>
      </c>
      <c r="K294" s="15">
        <f t="shared" si="23"/>
        <v>3.8571428571428577</v>
      </c>
      <c r="L294" s="15"/>
      <c r="M294" s="13">
        <f t="shared" si="24"/>
        <v>34669</v>
      </c>
      <c r="N294" s="15"/>
      <c r="O294" s="15"/>
      <c r="P294" s="15"/>
      <c r="Q294" s="15"/>
      <c r="R294" s="15"/>
      <c r="U294" s="1">
        <f t="shared" si="25"/>
        <v>12</v>
      </c>
      <c r="V294" s="1">
        <f t="shared" si="26"/>
        <v>1994</v>
      </c>
    </row>
    <row r="295" spans="1:22" x14ac:dyDescent="0.25">
      <c r="A295" s="13">
        <v>34700</v>
      </c>
      <c r="B295" s="5">
        <v>2.367</v>
      </c>
      <c r="C295" s="5">
        <v>2.2770000000000001</v>
      </c>
      <c r="D295" s="5">
        <v>2.3243809523809524</v>
      </c>
      <c r="E295" s="5">
        <f t="shared" si="27"/>
        <v>4.2619047619047556E-2</v>
      </c>
      <c r="F295" s="5">
        <f t="shared" si="28"/>
        <v>-4.7380952380952301E-2</v>
      </c>
      <c r="G295" s="33">
        <v>2.2200000000000002</v>
      </c>
      <c r="K295" s="15">
        <f t="shared" si="23"/>
        <v>3.9642857142857144</v>
      </c>
      <c r="L295" s="15"/>
      <c r="M295" s="13">
        <f t="shared" si="24"/>
        <v>34700</v>
      </c>
      <c r="N295" s="15"/>
      <c r="O295" s="15"/>
      <c r="P295" s="15"/>
      <c r="Q295" s="15"/>
      <c r="R295" s="15"/>
      <c r="U295" s="1">
        <f t="shared" si="25"/>
        <v>1</v>
      </c>
      <c r="V295" s="1">
        <f t="shared" si="26"/>
        <v>1995</v>
      </c>
    </row>
    <row r="296" spans="1:22" x14ac:dyDescent="0.25">
      <c r="A296" s="13">
        <v>34731</v>
      </c>
      <c r="B296" s="5">
        <v>2.3650000000000002</v>
      </c>
      <c r="C296" s="5">
        <v>2.2919999999999998</v>
      </c>
      <c r="D296" s="5">
        <v>2.3337368421052633</v>
      </c>
      <c r="E296" s="5">
        <f t="shared" si="27"/>
        <v>3.1263157894736882E-2</v>
      </c>
      <c r="F296" s="5">
        <f t="shared" si="28"/>
        <v>-4.1736842105263516E-2</v>
      </c>
      <c r="G296" s="33">
        <v>2.27</v>
      </c>
      <c r="K296" s="15">
        <f t="shared" si="23"/>
        <v>4.0535714285714288</v>
      </c>
      <c r="L296" s="15"/>
      <c r="M296" s="13">
        <f t="shared" si="24"/>
        <v>34731</v>
      </c>
      <c r="N296" s="15"/>
      <c r="O296" s="15"/>
      <c r="P296" s="15"/>
      <c r="Q296" s="15"/>
      <c r="R296" s="15"/>
      <c r="U296" s="1">
        <f t="shared" si="25"/>
        <v>2</v>
      </c>
      <c r="V296" s="1">
        <f t="shared" si="26"/>
        <v>1995</v>
      </c>
    </row>
    <row r="297" spans="1:22" x14ac:dyDescent="0.25">
      <c r="A297" s="13">
        <v>34759</v>
      </c>
      <c r="B297" s="5">
        <v>2.5219999999999998</v>
      </c>
      <c r="C297" s="5">
        <v>2.4020000000000001</v>
      </c>
      <c r="D297" s="5">
        <v>2.4620000000000002</v>
      </c>
      <c r="E297" s="5">
        <f t="shared" si="27"/>
        <v>5.9999999999999609E-2</v>
      </c>
      <c r="F297" s="5">
        <f t="shared" si="28"/>
        <v>-6.0000000000000053E-2</v>
      </c>
      <c r="G297" s="33">
        <v>2.36</v>
      </c>
      <c r="K297" s="15">
        <f t="shared" si="23"/>
        <v>4.2142857142857144</v>
      </c>
      <c r="L297" s="15"/>
      <c r="M297" s="13">
        <f t="shared" si="24"/>
        <v>34759</v>
      </c>
      <c r="N297" s="15"/>
      <c r="O297" s="15"/>
      <c r="P297" s="15"/>
      <c r="Q297" s="15"/>
      <c r="R297" s="15"/>
      <c r="U297" s="1">
        <f t="shared" si="25"/>
        <v>3</v>
      </c>
      <c r="V297" s="1">
        <f t="shared" si="26"/>
        <v>1995</v>
      </c>
    </row>
    <row r="298" spans="1:22" x14ac:dyDescent="0.25">
      <c r="A298" s="13">
        <v>34790</v>
      </c>
      <c r="B298" s="5">
        <v>2.54</v>
      </c>
      <c r="C298" s="5">
        <v>2.42</v>
      </c>
      <c r="D298" s="5">
        <v>2.4863157894736845</v>
      </c>
      <c r="E298" s="5">
        <f t="shared" si="27"/>
        <v>5.3684210526315557E-2</v>
      </c>
      <c r="F298" s="5">
        <f t="shared" si="28"/>
        <v>-6.631578947368455E-2</v>
      </c>
      <c r="G298" s="33">
        <v>2.41</v>
      </c>
      <c r="K298" s="15">
        <f t="shared" si="23"/>
        <v>4.3035714285714288</v>
      </c>
      <c r="L298" s="15"/>
      <c r="M298" s="13">
        <f t="shared" si="24"/>
        <v>34790</v>
      </c>
      <c r="N298" s="15"/>
      <c r="O298" s="15"/>
      <c r="P298" s="15"/>
      <c r="Q298" s="15"/>
      <c r="R298" s="15"/>
      <c r="U298" s="1">
        <f t="shared" si="25"/>
        <v>4</v>
      </c>
      <c r="V298" s="1">
        <f t="shared" si="26"/>
        <v>1995</v>
      </c>
    </row>
    <row r="299" spans="1:22" x14ac:dyDescent="0.25">
      <c r="A299" s="13">
        <v>34820</v>
      </c>
      <c r="B299" s="5">
        <v>2.7120000000000002</v>
      </c>
      <c r="C299" s="5">
        <v>2.5299999999999998</v>
      </c>
      <c r="D299" s="5">
        <v>2.6070909090909091</v>
      </c>
      <c r="E299" s="5">
        <f t="shared" si="27"/>
        <v>0.10490909090909106</v>
      </c>
      <c r="F299" s="5">
        <f t="shared" si="28"/>
        <v>-7.7090909090909321E-2</v>
      </c>
      <c r="G299" s="33">
        <v>2.5</v>
      </c>
      <c r="K299" s="15">
        <f t="shared" si="23"/>
        <v>4.4642857142857144</v>
      </c>
      <c r="L299" s="15"/>
      <c r="M299" s="13">
        <f t="shared" si="24"/>
        <v>34820</v>
      </c>
      <c r="N299" s="15"/>
      <c r="O299" s="15"/>
      <c r="P299" s="15"/>
      <c r="Q299" s="15"/>
      <c r="R299" s="15"/>
      <c r="U299" s="1">
        <f t="shared" si="25"/>
        <v>5</v>
      </c>
      <c r="V299" s="1">
        <f t="shared" si="26"/>
        <v>1995</v>
      </c>
    </row>
    <row r="300" spans="1:22" x14ac:dyDescent="0.25">
      <c r="A300" s="13">
        <v>34851</v>
      </c>
      <c r="B300" s="5">
        <v>2.85</v>
      </c>
      <c r="C300" s="5">
        <v>2.6</v>
      </c>
      <c r="D300" s="5">
        <v>2.7273636363636364</v>
      </c>
      <c r="E300" s="5">
        <f t="shared" si="27"/>
        <v>0.12263636363636365</v>
      </c>
      <c r="F300" s="5">
        <f t="shared" si="28"/>
        <v>-0.12736363636363635</v>
      </c>
      <c r="G300" s="33">
        <v>2.65</v>
      </c>
      <c r="K300" s="15">
        <f t="shared" si="23"/>
        <v>4.7321428571428568</v>
      </c>
      <c r="L300" s="15"/>
      <c r="M300" s="13">
        <f t="shared" si="24"/>
        <v>34851</v>
      </c>
      <c r="N300" s="15"/>
      <c r="O300" s="15"/>
      <c r="P300" s="15"/>
      <c r="Q300" s="15"/>
      <c r="R300" s="15"/>
      <c r="U300" s="1">
        <f t="shared" si="25"/>
        <v>6</v>
      </c>
      <c r="V300" s="1">
        <f t="shared" si="26"/>
        <v>1995</v>
      </c>
    </row>
    <row r="301" spans="1:22" x14ac:dyDescent="0.25">
      <c r="A301" s="13">
        <v>34881</v>
      </c>
      <c r="B301" s="5">
        <v>2.9950000000000001</v>
      </c>
      <c r="C301" s="5">
        <v>2.77</v>
      </c>
      <c r="D301" s="5">
        <v>2.8812000000000002</v>
      </c>
      <c r="E301" s="5">
        <f t="shared" si="27"/>
        <v>0.1137999999999999</v>
      </c>
      <c r="F301" s="5">
        <f t="shared" si="28"/>
        <v>-0.11120000000000019</v>
      </c>
      <c r="G301" s="33">
        <v>2.79</v>
      </c>
      <c r="K301" s="15">
        <f t="shared" si="23"/>
        <v>4.9821428571428577</v>
      </c>
      <c r="L301" s="15"/>
      <c r="M301" s="13">
        <f t="shared" si="24"/>
        <v>34881</v>
      </c>
      <c r="N301" s="15"/>
      <c r="O301" s="15"/>
      <c r="P301" s="15"/>
      <c r="Q301" s="15"/>
      <c r="R301" s="15"/>
      <c r="U301" s="1">
        <f t="shared" si="25"/>
        <v>7</v>
      </c>
      <c r="V301" s="1">
        <f t="shared" si="26"/>
        <v>1995</v>
      </c>
    </row>
    <row r="302" spans="1:22" x14ac:dyDescent="0.25">
      <c r="A302" s="13">
        <v>34912</v>
      </c>
      <c r="B302" s="5">
        <v>2.96</v>
      </c>
      <c r="C302" s="5">
        <v>2.6819999999999999</v>
      </c>
      <c r="D302" s="5">
        <v>2.8302173913043478</v>
      </c>
      <c r="E302" s="5">
        <f t="shared" si="27"/>
        <v>0.12978260869565217</v>
      </c>
      <c r="F302" s="5">
        <f t="shared" si="28"/>
        <v>-0.14821739130434786</v>
      </c>
      <c r="G302" s="33">
        <v>2.68</v>
      </c>
      <c r="K302" s="15">
        <f t="shared" si="23"/>
        <v>4.7857142857142865</v>
      </c>
      <c r="L302" s="15"/>
      <c r="M302" s="13">
        <f t="shared" si="24"/>
        <v>34912</v>
      </c>
      <c r="N302" s="15"/>
      <c r="O302" s="15"/>
      <c r="P302" s="15"/>
      <c r="Q302" s="15"/>
      <c r="R302" s="15"/>
      <c r="U302" s="1">
        <f t="shared" si="25"/>
        <v>8</v>
      </c>
      <c r="V302" s="1">
        <f t="shared" si="26"/>
        <v>1995</v>
      </c>
    </row>
    <row r="303" spans="1:22" x14ac:dyDescent="0.25">
      <c r="A303" s="13">
        <v>34943</v>
      </c>
      <c r="B303" s="5">
        <v>3.1469999999999998</v>
      </c>
      <c r="C303" s="5">
        <v>2.8969999999999998</v>
      </c>
      <c r="D303" s="5">
        <v>3.028</v>
      </c>
      <c r="E303" s="5">
        <f t="shared" si="27"/>
        <v>0.11899999999999977</v>
      </c>
      <c r="F303" s="5">
        <f t="shared" si="28"/>
        <v>-0.13100000000000023</v>
      </c>
      <c r="G303" s="33">
        <v>2.83</v>
      </c>
      <c r="K303" s="15">
        <f t="shared" si="23"/>
        <v>5.0535714285714288</v>
      </c>
      <c r="L303" s="15"/>
      <c r="M303" s="13">
        <f t="shared" si="24"/>
        <v>34943</v>
      </c>
      <c r="N303" s="15"/>
      <c r="O303" s="15"/>
      <c r="P303" s="15"/>
      <c r="Q303" s="15"/>
      <c r="R303" s="15"/>
      <c r="S303" s="5"/>
      <c r="T303" s="5"/>
      <c r="U303" s="1">
        <f t="shared" si="25"/>
        <v>9</v>
      </c>
      <c r="V303" s="1">
        <f t="shared" si="26"/>
        <v>1995</v>
      </c>
    </row>
    <row r="304" spans="1:22" x14ac:dyDescent="0.25">
      <c r="A304" s="13">
        <v>34973</v>
      </c>
      <c r="B304" s="5">
        <v>3.34</v>
      </c>
      <c r="C304" s="5">
        <v>3.0649999999999999</v>
      </c>
      <c r="D304" s="5">
        <v>3.2283636363636363</v>
      </c>
      <c r="E304" s="5">
        <f t="shared" si="27"/>
        <v>0.11163636363636353</v>
      </c>
      <c r="F304" s="5">
        <f t="shared" si="28"/>
        <v>-0.16336363636363638</v>
      </c>
      <c r="G304" s="33">
        <v>3.12</v>
      </c>
      <c r="K304" s="15">
        <f t="shared" si="23"/>
        <v>5.5714285714285712</v>
      </c>
      <c r="L304" s="15"/>
      <c r="M304" s="13">
        <f t="shared" si="24"/>
        <v>34973</v>
      </c>
      <c r="N304" s="15"/>
      <c r="O304" s="15"/>
      <c r="P304" s="15"/>
      <c r="Q304" s="15"/>
      <c r="R304" s="15"/>
      <c r="S304" s="5"/>
      <c r="T304" s="5"/>
      <c r="U304" s="1">
        <f t="shared" si="25"/>
        <v>10</v>
      </c>
      <c r="V304" s="1">
        <f t="shared" si="26"/>
        <v>1995</v>
      </c>
    </row>
    <row r="305" spans="1:22" x14ac:dyDescent="0.25">
      <c r="A305" s="13">
        <v>35004</v>
      </c>
      <c r="B305" s="5">
        <v>3.39</v>
      </c>
      <c r="C305" s="5">
        <v>3.1949999999999998</v>
      </c>
      <c r="D305" s="5">
        <v>3.279666666666667</v>
      </c>
      <c r="E305" s="5">
        <f t="shared" si="27"/>
        <v>0.11033333333333317</v>
      </c>
      <c r="F305" s="5">
        <f t="shared" si="28"/>
        <v>-8.4666666666667112E-2</v>
      </c>
      <c r="G305" s="33">
        <v>3.22</v>
      </c>
      <c r="K305" s="15">
        <f t="shared" si="23"/>
        <v>5.75</v>
      </c>
      <c r="L305" s="15"/>
      <c r="M305" s="13">
        <f t="shared" si="24"/>
        <v>35004</v>
      </c>
      <c r="N305" s="15"/>
      <c r="O305" s="15"/>
      <c r="P305" s="15"/>
      <c r="Q305" s="15"/>
      <c r="R305" s="15"/>
      <c r="S305" s="5"/>
      <c r="T305" s="5"/>
      <c r="U305" s="1">
        <f t="shared" si="25"/>
        <v>11</v>
      </c>
      <c r="V305" s="1">
        <f t="shared" si="26"/>
        <v>1995</v>
      </c>
    </row>
    <row r="306" spans="1:22" x14ac:dyDescent="0.25">
      <c r="A306" s="13">
        <v>35034</v>
      </c>
      <c r="B306" s="5">
        <v>3.7050000000000001</v>
      </c>
      <c r="C306" s="5">
        <v>3.355</v>
      </c>
      <c r="D306" s="5">
        <v>3.5034999999999998</v>
      </c>
      <c r="E306" s="5">
        <f t="shared" si="27"/>
        <v>0.20150000000000023</v>
      </c>
      <c r="F306" s="5">
        <f t="shared" si="28"/>
        <v>-0.14849999999999985</v>
      </c>
      <c r="G306" s="33">
        <v>3.36</v>
      </c>
      <c r="H306" s="5">
        <f>G306-D306</f>
        <v>-0.14349999999999996</v>
      </c>
      <c r="K306" s="15">
        <f t="shared" si="23"/>
        <v>6</v>
      </c>
      <c r="L306" s="15"/>
      <c r="M306" s="13">
        <f t="shared" si="24"/>
        <v>35034</v>
      </c>
      <c r="N306" s="15"/>
      <c r="O306" s="15"/>
      <c r="P306" s="15"/>
      <c r="Q306" s="15"/>
      <c r="R306" s="15"/>
      <c r="S306" s="5"/>
      <c r="T306" s="5"/>
      <c r="U306" s="1">
        <f t="shared" si="25"/>
        <v>12</v>
      </c>
      <c r="V306" s="1">
        <f t="shared" si="26"/>
        <v>1995</v>
      </c>
    </row>
    <row r="307" spans="1:22" x14ac:dyDescent="0.25">
      <c r="A307" s="13">
        <v>35065</v>
      </c>
      <c r="B307" s="5">
        <v>3.7519999999999998</v>
      </c>
      <c r="C307" s="5">
        <v>3.4750000000000001</v>
      </c>
      <c r="D307" s="5">
        <v>3.6224545454545454</v>
      </c>
      <c r="E307" s="5">
        <f t="shared" si="27"/>
        <v>0.12954545454545441</v>
      </c>
      <c r="F307" s="5">
        <f t="shared" si="28"/>
        <v>-0.14745454545454528</v>
      </c>
      <c r="G307" s="33">
        <v>3.53</v>
      </c>
      <c r="H307" s="5">
        <f t="shared" ref="H307:H370" si="29">G307-D307</f>
        <v>-9.2454545454545567E-2</v>
      </c>
      <c r="K307" s="15">
        <f t="shared" si="23"/>
        <v>6.3035714285714279</v>
      </c>
      <c r="L307" s="15"/>
      <c r="M307" s="13">
        <f t="shared" si="24"/>
        <v>35065</v>
      </c>
      <c r="N307" s="15"/>
      <c r="O307" s="15"/>
      <c r="P307" s="15"/>
      <c r="Q307" s="15"/>
      <c r="R307" s="15"/>
      <c r="S307" s="5"/>
      <c r="T307" s="5"/>
      <c r="U307" s="1">
        <f t="shared" si="25"/>
        <v>1</v>
      </c>
      <c r="V307" s="1">
        <f t="shared" si="26"/>
        <v>1996</v>
      </c>
    </row>
    <row r="308" spans="1:22" x14ac:dyDescent="0.25">
      <c r="A308" s="13">
        <v>35096</v>
      </c>
      <c r="B308" s="5">
        <v>3.9550000000000001</v>
      </c>
      <c r="C308" s="5">
        <v>3.585</v>
      </c>
      <c r="D308" s="5">
        <v>3.74335</v>
      </c>
      <c r="E308" s="5">
        <f t="shared" si="27"/>
        <v>0.21165000000000012</v>
      </c>
      <c r="F308" s="5">
        <f t="shared" si="28"/>
        <v>-0.15834999999999999</v>
      </c>
      <c r="G308" s="33">
        <v>3.71</v>
      </c>
      <c r="H308" s="5">
        <f t="shared" si="29"/>
        <v>-3.3349999999999991E-2</v>
      </c>
      <c r="K308" s="15">
        <f t="shared" si="23"/>
        <v>6.625</v>
      </c>
      <c r="L308" s="15"/>
      <c r="M308" s="13">
        <f t="shared" si="24"/>
        <v>35096</v>
      </c>
      <c r="N308" s="15"/>
      <c r="O308" s="15"/>
      <c r="P308" s="15"/>
      <c r="Q308" s="15"/>
      <c r="R308" s="15"/>
      <c r="S308" s="5"/>
      <c r="T308" s="5"/>
      <c r="U308" s="1">
        <f t="shared" si="25"/>
        <v>2</v>
      </c>
      <c r="V308" s="1">
        <f t="shared" si="26"/>
        <v>1996</v>
      </c>
    </row>
    <row r="309" spans="1:22" x14ac:dyDescent="0.25">
      <c r="A309" s="13">
        <v>35125</v>
      </c>
      <c r="B309" s="5">
        <v>4.1050000000000004</v>
      </c>
      <c r="C309" s="5">
        <v>3.7749999999999999</v>
      </c>
      <c r="D309" s="5">
        <v>3.8947619047619049</v>
      </c>
      <c r="E309" s="5">
        <f t="shared" si="27"/>
        <v>0.21023809523809556</v>
      </c>
      <c r="F309" s="5">
        <f t="shared" si="28"/>
        <v>-0.11976190476190496</v>
      </c>
      <c r="G309" s="33">
        <v>3.92</v>
      </c>
      <c r="H309" s="5">
        <f t="shared" si="29"/>
        <v>2.523809523809506E-2</v>
      </c>
      <c r="K309" s="15">
        <f t="shared" si="23"/>
        <v>6.9999999999999991</v>
      </c>
      <c r="L309" s="15"/>
      <c r="M309" s="13">
        <f t="shared" si="24"/>
        <v>35125</v>
      </c>
      <c r="N309" s="15"/>
      <c r="O309" s="15"/>
      <c r="P309" s="15"/>
      <c r="Q309" s="15"/>
      <c r="R309" s="15"/>
      <c r="S309" s="5"/>
      <c r="T309" s="5"/>
      <c r="U309" s="1">
        <f t="shared" si="25"/>
        <v>3</v>
      </c>
      <c r="V309" s="1">
        <f t="shared" si="26"/>
        <v>1996</v>
      </c>
    </row>
    <row r="310" spans="1:22" x14ac:dyDescent="0.25">
      <c r="A310" s="13">
        <v>35156</v>
      </c>
      <c r="B310" s="5">
        <v>5.09</v>
      </c>
      <c r="C310" s="5">
        <v>4.09</v>
      </c>
      <c r="D310" s="5">
        <v>4.5415714285714293</v>
      </c>
      <c r="E310" s="5">
        <f t="shared" si="27"/>
        <v>0.5484285714285706</v>
      </c>
      <c r="F310" s="5">
        <f t="shared" si="28"/>
        <v>-0.4515714285714294</v>
      </c>
      <c r="G310" s="33">
        <v>4.47</v>
      </c>
      <c r="H310" s="5">
        <f t="shared" si="29"/>
        <v>-7.1571428571429507E-2</v>
      </c>
      <c r="K310" s="15">
        <f t="shared" si="23"/>
        <v>7.9821428571428568</v>
      </c>
      <c r="L310" s="15"/>
      <c r="M310" s="13">
        <f t="shared" si="24"/>
        <v>35156</v>
      </c>
      <c r="N310" s="15"/>
      <c r="O310" s="15"/>
      <c r="P310" s="15"/>
      <c r="Q310" s="15"/>
      <c r="R310" s="15"/>
      <c r="S310" s="5"/>
      <c r="T310" s="5"/>
      <c r="U310" s="1">
        <f t="shared" si="25"/>
        <v>4</v>
      </c>
      <c r="V310" s="1">
        <f t="shared" si="26"/>
        <v>1996</v>
      </c>
    </row>
    <row r="311" spans="1:22" x14ac:dyDescent="0.25">
      <c r="A311" s="13">
        <v>35186</v>
      </c>
      <c r="B311" s="5">
        <v>5.1349999999999998</v>
      </c>
      <c r="C311" s="5">
        <v>4.46</v>
      </c>
      <c r="D311" s="5">
        <v>4.8061818181818179</v>
      </c>
      <c r="E311" s="5">
        <f t="shared" si="27"/>
        <v>0.3288181818181819</v>
      </c>
      <c r="F311" s="5">
        <f t="shared" si="28"/>
        <v>-0.34618181818181792</v>
      </c>
      <c r="G311" s="33">
        <v>4.8600000000000003</v>
      </c>
      <c r="H311" s="5">
        <f t="shared" si="29"/>
        <v>5.3818181818182431E-2</v>
      </c>
      <c r="K311" s="15">
        <f t="shared" si="23"/>
        <v>8.6785714285714288</v>
      </c>
      <c r="L311" s="15"/>
      <c r="M311" s="13">
        <f t="shared" si="24"/>
        <v>35186</v>
      </c>
      <c r="N311" s="15"/>
      <c r="O311" s="15"/>
      <c r="P311" s="15"/>
      <c r="Q311" s="15"/>
      <c r="R311" s="15"/>
      <c r="S311" s="5"/>
      <c r="T311" s="5"/>
      <c r="U311" s="1">
        <f t="shared" si="25"/>
        <v>5</v>
      </c>
      <c r="V311" s="1">
        <f t="shared" si="26"/>
        <v>1996</v>
      </c>
    </row>
    <row r="312" spans="1:22" x14ac:dyDescent="0.25">
      <c r="A312" s="13">
        <v>35217</v>
      </c>
      <c r="B312" s="5">
        <v>5.1849999999999996</v>
      </c>
      <c r="C312" s="5">
        <v>4.2919999999999998</v>
      </c>
      <c r="D312" s="5">
        <v>4.6871999999999998</v>
      </c>
      <c r="E312" s="5">
        <f t="shared" si="27"/>
        <v>0.4977999999999998</v>
      </c>
      <c r="F312" s="5">
        <f t="shared" si="28"/>
        <v>-0.3952</v>
      </c>
      <c r="G312" s="33">
        <v>4.74</v>
      </c>
      <c r="H312" s="5">
        <f t="shared" si="29"/>
        <v>5.2800000000000402E-2</v>
      </c>
      <c r="K312" s="15">
        <f t="shared" si="23"/>
        <v>8.4642857142857153</v>
      </c>
      <c r="L312" s="15"/>
      <c r="M312" s="13">
        <f t="shared" si="24"/>
        <v>35217</v>
      </c>
      <c r="N312" s="15"/>
      <c r="O312" s="15"/>
      <c r="P312" s="15"/>
      <c r="Q312" s="15"/>
      <c r="R312" s="15"/>
      <c r="S312" s="5"/>
      <c r="T312" s="5"/>
      <c r="U312" s="1">
        <f t="shared" si="25"/>
        <v>6</v>
      </c>
      <c r="V312" s="1">
        <f t="shared" si="26"/>
        <v>1996</v>
      </c>
    </row>
    <row r="313" spans="1:22" x14ac:dyDescent="0.25">
      <c r="A313" s="13">
        <v>35247</v>
      </c>
      <c r="B313" s="5">
        <v>4.38</v>
      </c>
      <c r="C313" s="5">
        <v>3.472</v>
      </c>
      <c r="D313" s="5">
        <v>3.8617272727272729</v>
      </c>
      <c r="E313" s="5">
        <f t="shared" si="27"/>
        <v>0.518272727272727</v>
      </c>
      <c r="F313" s="5">
        <f t="shared" si="28"/>
        <v>-0.38972727272727292</v>
      </c>
      <c r="G313" s="33">
        <v>4.7</v>
      </c>
      <c r="H313" s="5">
        <f t="shared" si="29"/>
        <v>0.83827272727272728</v>
      </c>
      <c r="K313" s="15">
        <f t="shared" si="23"/>
        <v>8.3928571428571441</v>
      </c>
      <c r="L313" s="15"/>
      <c r="M313" s="13">
        <f t="shared" si="24"/>
        <v>35247</v>
      </c>
      <c r="N313" s="15"/>
      <c r="O313" s="15"/>
      <c r="P313" s="15"/>
      <c r="Q313" s="15"/>
      <c r="R313" s="15"/>
      <c r="S313" s="5"/>
      <c r="T313" s="5"/>
      <c r="U313" s="1">
        <f t="shared" si="25"/>
        <v>7</v>
      </c>
      <c r="V313" s="1">
        <f t="shared" si="26"/>
        <v>1996</v>
      </c>
    </row>
    <row r="314" spans="1:22" x14ac:dyDescent="0.25">
      <c r="A314" s="13">
        <v>35278</v>
      </c>
      <c r="B314" s="5">
        <v>3.89</v>
      </c>
      <c r="C314" s="5">
        <v>3.4119999999999999</v>
      </c>
      <c r="D314" s="5">
        <v>3.6434545454545457</v>
      </c>
      <c r="E314" s="5">
        <f t="shared" si="27"/>
        <v>0.2465454545454544</v>
      </c>
      <c r="F314" s="5">
        <f t="shared" si="28"/>
        <v>-0.2314545454545458</v>
      </c>
      <c r="G314" s="33">
        <v>4.4800000000000004</v>
      </c>
      <c r="H314" s="5">
        <f t="shared" si="29"/>
        <v>0.8365454545454547</v>
      </c>
      <c r="K314" s="15">
        <f t="shared" si="23"/>
        <v>8</v>
      </c>
      <c r="L314" s="15"/>
      <c r="M314" s="13">
        <f t="shared" si="24"/>
        <v>35278</v>
      </c>
      <c r="N314" s="15"/>
      <c r="O314" s="15"/>
      <c r="P314" s="15"/>
      <c r="Q314" s="15"/>
      <c r="R314" s="15"/>
      <c r="S314" s="5"/>
      <c r="T314" s="5"/>
      <c r="U314" s="1">
        <f t="shared" si="25"/>
        <v>8</v>
      </c>
      <c r="V314" s="1">
        <f t="shared" si="26"/>
        <v>1996</v>
      </c>
    </row>
    <row r="315" spans="1:22" x14ac:dyDescent="0.25">
      <c r="A315" s="13">
        <v>35309</v>
      </c>
      <c r="B315" s="5">
        <v>3.46</v>
      </c>
      <c r="C315" s="5">
        <v>2.94</v>
      </c>
      <c r="D315" s="5">
        <v>3.1996500000000001</v>
      </c>
      <c r="E315" s="5">
        <f t="shared" si="27"/>
        <v>0.26034999999999986</v>
      </c>
      <c r="F315" s="5">
        <f t="shared" si="28"/>
        <v>-0.25965000000000016</v>
      </c>
      <c r="G315" s="33">
        <v>3.39</v>
      </c>
      <c r="H315" s="5">
        <f t="shared" si="29"/>
        <v>0.19035000000000002</v>
      </c>
      <c r="K315" s="15">
        <f t="shared" si="23"/>
        <v>6.0535714285714288</v>
      </c>
      <c r="L315" s="15"/>
      <c r="M315" s="13">
        <f t="shared" si="24"/>
        <v>35309</v>
      </c>
      <c r="N315" s="15"/>
      <c r="O315" s="15"/>
      <c r="P315" s="15"/>
      <c r="Q315" s="15"/>
      <c r="R315" s="15"/>
      <c r="S315" s="5"/>
      <c r="T315" s="5"/>
      <c r="U315" s="1">
        <f t="shared" si="25"/>
        <v>9</v>
      </c>
      <c r="V315" s="1">
        <f t="shared" si="26"/>
        <v>1996</v>
      </c>
    </row>
    <row r="316" spans="1:22" x14ac:dyDescent="0.25">
      <c r="A316" s="13">
        <v>35339</v>
      </c>
      <c r="B316" s="5">
        <v>3.0049999999999999</v>
      </c>
      <c r="C316" s="5">
        <v>2.6549999999999998</v>
      </c>
      <c r="D316" s="5">
        <v>2.8376956521739132</v>
      </c>
      <c r="E316" s="5">
        <f t="shared" si="27"/>
        <v>0.16730434782608672</v>
      </c>
      <c r="F316" s="5">
        <f t="shared" si="28"/>
        <v>-0.18269565217391337</v>
      </c>
      <c r="G316" s="33">
        <v>2.81</v>
      </c>
      <c r="H316" s="5">
        <f t="shared" si="29"/>
        <v>-2.7695652173913121E-2</v>
      </c>
      <c r="K316" s="15">
        <f t="shared" si="23"/>
        <v>5.0178571428571423</v>
      </c>
      <c r="L316" s="15"/>
      <c r="M316" s="13">
        <f t="shared" si="24"/>
        <v>35339</v>
      </c>
      <c r="N316" s="15"/>
      <c r="O316" s="15"/>
      <c r="P316" s="15"/>
      <c r="Q316" s="15"/>
      <c r="R316" s="15"/>
      <c r="S316" s="5"/>
      <c r="T316" s="5"/>
      <c r="U316" s="1">
        <f t="shared" si="25"/>
        <v>10</v>
      </c>
      <c r="V316" s="1">
        <f t="shared" si="26"/>
        <v>1996</v>
      </c>
    </row>
    <row r="317" spans="1:22" x14ac:dyDescent="0.25">
      <c r="A317" s="13">
        <v>35370</v>
      </c>
      <c r="B317" s="5">
        <v>2.7749999999999999</v>
      </c>
      <c r="C317" s="5">
        <v>2.577</v>
      </c>
      <c r="D317" s="5">
        <v>2.6802999999999999</v>
      </c>
      <c r="E317" s="5">
        <f t="shared" si="27"/>
        <v>9.4700000000000006E-2</v>
      </c>
      <c r="F317" s="5">
        <f t="shared" si="28"/>
        <v>-0.10329999999999995</v>
      </c>
      <c r="G317" s="33">
        <v>2.63</v>
      </c>
      <c r="H317" s="5">
        <f t="shared" si="29"/>
        <v>-5.0300000000000011E-2</v>
      </c>
      <c r="K317" s="15">
        <f t="shared" si="23"/>
        <v>4.6964285714285712</v>
      </c>
      <c r="L317" s="15"/>
      <c r="M317" s="13">
        <f t="shared" si="24"/>
        <v>35370</v>
      </c>
      <c r="N317" s="15"/>
      <c r="O317" s="15"/>
      <c r="P317" s="15"/>
      <c r="Q317" s="15"/>
      <c r="R317" s="15"/>
      <c r="S317" s="5"/>
      <c r="T317" s="5"/>
      <c r="U317" s="1">
        <f t="shared" si="25"/>
        <v>11</v>
      </c>
      <c r="V317" s="1">
        <f t="shared" si="26"/>
        <v>1996</v>
      </c>
    </row>
    <row r="318" spans="1:22" x14ac:dyDescent="0.25">
      <c r="A318" s="13">
        <v>35400</v>
      </c>
      <c r="B318" s="5">
        <v>2.7050000000000001</v>
      </c>
      <c r="C318" s="5">
        <v>2.577</v>
      </c>
      <c r="D318" s="5">
        <v>2.6438095238095243</v>
      </c>
      <c r="E318" s="5">
        <f t="shared" si="27"/>
        <v>6.1190476190475795E-2</v>
      </c>
      <c r="F318" s="5">
        <f t="shared" si="28"/>
        <v>-6.6809523809524318E-2</v>
      </c>
      <c r="G318" s="33">
        <v>2.62</v>
      </c>
      <c r="H318" s="5">
        <f t="shared" si="29"/>
        <v>-2.3809523809524169E-2</v>
      </c>
      <c r="K318" s="15">
        <f t="shared" si="23"/>
        <v>4.6785714285714288</v>
      </c>
      <c r="L318" s="15"/>
      <c r="M318" s="13">
        <f t="shared" si="24"/>
        <v>35400</v>
      </c>
      <c r="N318" s="15"/>
      <c r="O318" s="15"/>
      <c r="P318" s="15"/>
      <c r="Q318" s="15"/>
      <c r="R318" s="15"/>
      <c r="S318" s="5"/>
      <c r="T318" s="5"/>
      <c r="U318" s="1">
        <f t="shared" si="25"/>
        <v>12</v>
      </c>
      <c r="V318" s="1">
        <f t="shared" si="26"/>
        <v>1996</v>
      </c>
    </row>
    <row r="319" spans="1:22" x14ac:dyDescent="0.25">
      <c r="A319" s="13">
        <v>35431</v>
      </c>
      <c r="B319" s="5">
        <v>2.7719999999999998</v>
      </c>
      <c r="C319" s="5">
        <v>2.56</v>
      </c>
      <c r="D319" s="5">
        <v>2.6800454545454544</v>
      </c>
      <c r="E319" s="5">
        <f t="shared" si="27"/>
        <v>9.19545454545454E-2</v>
      </c>
      <c r="F319" s="5">
        <f t="shared" si="28"/>
        <v>-0.12004545454545434</v>
      </c>
      <c r="G319" s="33">
        <v>2.62</v>
      </c>
      <c r="H319" s="5">
        <f t="shared" si="29"/>
        <v>-6.0045454545454291E-2</v>
      </c>
      <c r="K319" s="15">
        <f t="shared" si="23"/>
        <v>4.6785714285714288</v>
      </c>
      <c r="L319" s="15"/>
      <c r="M319" s="13">
        <f t="shared" si="24"/>
        <v>35431</v>
      </c>
      <c r="N319" s="15"/>
      <c r="O319" s="15"/>
      <c r="P319" s="15"/>
      <c r="Q319" s="15"/>
      <c r="R319" s="15"/>
      <c r="S319" s="5"/>
      <c r="T319" s="5"/>
      <c r="U319" s="1">
        <f t="shared" si="25"/>
        <v>1</v>
      </c>
      <c r="V319" s="1">
        <f t="shared" si="26"/>
        <v>1997</v>
      </c>
    </row>
    <row r="320" spans="1:22" x14ac:dyDescent="0.25">
      <c r="A320" s="13">
        <v>35462</v>
      </c>
      <c r="B320" s="5">
        <v>2.9769999999999999</v>
      </c>
      <c r="C320" s="5">
        <v>2.68</v>
      </c>
      <c r="D320" s="5">
        <v>2.806</v>
      </c>
      <c r="E320" s="5">
        <f t="shared" si="27"/>
        <v>0.17099999999999982</v>
      </c>
      <c r="F320" s="5">
        <f t="shared" si="28"/>
        <v>-0.12599999999999989</v>
      </c>
      <c r="G320" s="33">
        <v>2.71</v>
      </c>
      <c r="H320" s="5">
        <f t="shared" si="29"/>
        <v>-9.6000000000000085E-2</v>
      </c>
      <c r="K320" s="15">
        <f t="shared" ref="K320:K383" si="30">G320/56*100</f>
        <v>4.8392857142857144</v>
      </c>
      <c r="L320" s="15"/>
      <c r="M320" s="13">
        <f t="shared" si="24"/>
        <v>35462</v>
      </c>
      <c r="N320" s="15"/>
      <c r="O320" s="15"/>
      <c r="P320" s="15"/>
      <c r="Q320" s="15"/>
      <c r="R320" s="15"/>
      <c r="S320" s="5"/>
      <c r="T320" s="5"/>
      <c r="U320" s="1">
        <f t="shared" si="25"/>
        <v>2</v>
      </c>
      <c r="V320" s="1">
        <f t="shared" si="26"/>
        <v>1997</v>
      </c>
    </row>
    <row r="321" spans="1:22" x14ac:dyDescent="0.25">
      <c r="A321" s="13">
        <v>35490</v>
      </c>
      <c r="B321" s="5">
        <v>3.13</v>
      </c>
      <c r="C321" s="5">
        <v>2.9220000000000002</v>
      </c>
      <c r="D321" s="5">
        <v>3.03145</v>
      </c>
      <c r="E321" s="5">
        <f t="shared" si="27"/>
        <v>9.8549999999999915E-2</v>
      </c>
      <c r="F321" s="5">
        <f t="shared" si="28"/>
        <v>-0.10944999999999983</v>
      </c>
      <c r="G321" s="33">
        <v>2.9</v>
      </c>
      <c r="H321" s="5">
        <f t="shared" si="29"/>
        <v>-0.13145000000000007</v>
      </c>
      <c r="K321" s="15">
        <f t="shared" si="30"/>
        <v>5.1785714285714279</v>
      </c>
      <c r="L321" s="15"/>
      <c r="M321" s="13">
        <f t="shared" si="24"/>
        <v>35490</v>
      </c>
      <c r="N321" s="15"/>
      <c r="O321" s="15"/>
      <c r="P321" s="15"/>
      <c r="Q321" s="15"/>
      <c r="R321" s="15"/>
      <c r="S321" s="5"/>
      <c r="T321" s="5"/>
      <c r="U321" s="1">
        <f t="shared" si="25"/>
        <v>3</v>
      </c>
      <c r="V321" s="1">
        <f t="shared" si="26"/>
        <v>1997</v>
      </c>
    </row>
    <row r="322" spans="1:22" x14ac:dyDescent="0.25">
      <c r="A322" s="13">
        <v>35521</v>
      </c>
      <c r="B322" s="5">
        <v>3.2</v>
      </c>
      <c r="C322" s="5">
        <v>2.9020000000000001</v>
      </c>
      <c r="D322" s="5">
        <v>2.9927272727272727</v>
      </c>
      <c r="E322" s="5">
        <f t="shared" si="27"/>
        <v>0.2072727272727275</v>
      </c>
      <c r="F322" s="5">
        <f t="shared" si="28"/>
        <v>-9.0727272727272545E-2</v>
      </c>
      <c r="G322" s="33">
        <v>2.87</v>
      </c>
      <c r="H322" s="5">
        <f t="shared" si="29"/>
        <v>-0.12272727272727257</v>
      </c>
      <c r="K322" s="15">
        <f t="shared" si="30"/>
        <v>5.125</v>
      </c>
      <c r="L322" s="15"/>
      <c r="M322" s="13">
        <f t="shared" si="24"/>
        <v>35521</v>
      </c>
      <c r="N322" s="15"/>
      <c r="O322" s="15"/>
      <c r="P322" s="15"/>
      <c r="Q322" s="15"/>
      <c r="R322" s="15"/>
      <c r="S322" s="5"/>
      <c r="T322" s="5"/>
      <c r="U322" s="1">
        <f t="shared" si="25"/>
        <v>4</v>
      </c>
      <c r="V322" s="1">
        <f t="shared" si="26"/>
        <v>1997</v>
      </c>
    </row>
    <row r="323" spans="1:22" x14ac:dyDescent="0.25">
      <c r="A323" s="13">
        <v>35551</v>
      </c>
      <c r="B323" s="5">
        <v>2.99</v>
      </c>
      <c r="C323" s="5">
        <v>2.64</v>
      </c>
      <c r="D323" s="5">
        <v>2.8074761904761907</v>
      </c>
      <c r="E323" s="5">
        <f t="shared" si="27"/>
        <v>0.18252380952380953</v>
      </c>
      <c r="F323" s="5">
        <f t="shared" si="28"/>
        <v>-0.16747619047619056</v>
      </c>
      <c r="G323" s="33">
        <v>2.74</v>
      </c>
      <c r="H323" s="5">
        <f t="shared" si="29"/>
        <v>-6.7476190476190467E-2</v>
      </c>
      <c r="K323" s="15">
        <f t="shared" si="30"/>
        <v>4.8928571428571432</v>
      </c>
      <c r="L323" s="15"/>
      <c r="M323" s="13">
        <f t="shared" ref="M323:M386" si="31">A323</f>
        <v>35551</v>
      </c>
      <c r="N323" s="15"/>
      <c r="O323" s="15"/>
      <c r="P323" s="15"/>
      <c r="Q323" s="15"/>
      <c r="R323" s="15"/>
      <c r="S323" s="5"/>
      <c r="T323" s="5"/>
      <c r="U323" s="1">
        <f t="shared" ref="U323:U386" si="32">MONTH(M323)</f>
        <v>5</v>
      </c>
      <c r="V323" s="1">
        <f t="shared" ref="V323:V386" si="33">YEAR(M323)</f>
        <v>1997</v>
      </c>
    </row>
    <row r="324" spans="1:22" x14ac:dyDescent="0.25">
      <c r="A324" s="13">
        <v>35582</v>
      </c>
      <c r="B324" s="5">
        <v>2.782</v>
      </c>
      <c r="C324" s="5">
        <v>2.4</v>
      </c>
      <c r="D324" s="5">
        <v>2.6614285714285719</v>
      </c>
      <c r="E324" s="5">
        <f t="shared" ref="E324:E387" si="34">B324-D324</f>
        <v>0.12057142857142811</v>
      </c>
      <c r="F324" s="5">
        <f t="shared" ref="F324:F387" si="35">C324-D324</f>
        <v>-0.26142857142857201</v>
      </c>
      <c r="G324" s="33">
        <v>2.59</v>
      </c>
      <c r="H324" s="5">
        <f t="shared" si="29"/>
        <v>-7.1428571428572063E-2</v>
      </c>
      <c r="K324" s="15">
        <f t="shared" si="30"/>
        <v>4.625</v>
      </c>
      <c r="L324" s="15"/>
      <c r="M324" s="13">
        <f t="shared" si="31"/>
        <v>35582</v>
      </c>
      <c r="N324" s="15"/>
      <c r="O324" s="15"/>
      <c r="P324" s="15"/>
      <c r="Q324" s="15"/>
      <c r="R324" s="15"/>
      <c r="S324" s="5"/>
      <c r="T324" s="5"/>
      <c r="U324" s="1">
        <f t="shared" si="32"/>
        <v>6</v>
      </c>
      <c r="V324" s="1">
        <f t="shared" si="33"/>
        <v>1997</v>
      </c>
    </row>
    <row r="325" spans="1:22" x14ac:dyDescent="0.25">
      <c r="A325" s="13">
        <v>35612</v>
      </c>
      <c r="B325" s="5">
        <v>2.665</v>
      </c>
      <c r="C325" s="5">
        <v>2.2749999999999999</v>
      </c>
      <c r="D325" s="5">
        <v>2.4478181818181821</v>
      </c>
      <c r="E325" s="5">
        <f t="shared" si="34"/>
        <v>0.21718181818181792</v>
      </c>
      <c r="F325" s="5">
        <f t="shared" si="35"/>
        <v>-0.1728181818181822</v>
      </c>
      <c r="G325" s="33">
        <v>2.44</v>
      </c>
      <c r="H325" s="5">
        <f t="shared" si="29"/>
        <v>-7.8181818181821683E-3</v>
      </c>
      <c r="K325" s="15">
        <f t="shared" si="30"/>
        <v>4.3571428571428577</v>
      </c>
      <c r="L325" s="15"/>
      <c r="M325" s="13">
        <f t="shared" si="31"/>
        <v>35612</v>
      </c>
      <c r="N325" s="15"/>
      <c r="O325" s="15"/>
      <c r="P325" s="15"/>
      <c r="Q325" s="15"/>
      <c r="R325" s="15"/>
      <c r="S325" s="5"/>
      <c r="T325" s="5"/>
      <c r="U325" s="1">
        <f t="shared" si="32"/>
        <v>7</v>
      </c>
      <c r="V325" s="1">
        <f t="shared" si="33"/>
        <v>1997</v>
      </c>
    </row>
    <row r="326" spans="1:22" x14ac:dyDescent="0.25">
      <c r="A326" s="13">
        <v>35643</v>
      </c>
      <c r="B326" s="5">
        <v>2.75</v>
      </c>
      <c r="C326" s="5">
        <v>2.46</v>
      </c>
      <c r="D326" s="5">
        <v>2.6251904761904763</v>
      </c>
      <c r="E326" s="5">
        <f t="shared" si="34"/>
        <v>0.1248095238095237</v>
      </c>
      <c r="F326" s="5">
        <f t="shared" si="35"/>
        <v>-0.16519047619047633</v>
      </c>
      <c r="G326" s="33">
        <v>2.6</v>
      </c>
      <c r="H326" s="5">
        <f t="shared" si="29"/>
        <v>-2.5190476190476208E-2</v>
      </c>
      <c r="K326" s="15">
        <f t="shared" si="30"/>
        <v>4.6428571428571432</v>
      </c>
      <c r="L326" s="15"/>
      <c r="M326" s="13">
        <f t="shared" si="31"/>
        <v>35643</v>
      </c>
      <c r="N326" s="15"/>
      <c r="O326" s="15"/>
      <c r="P326" s="15"/>
      <c r="Q326" s="15"/>
      <c r="R326" s="15"/>
      <c r="S326" s="5"/>
      <c r="T326" s="5"/>
      <c r="U326" s="1">
        <f t="shared" si="32"/>
        <v>8</v>
      </c>
      <c r="V326" s="1">
        <f t="shared" si="33"/>
        <v>1997</v>
      </c>
    </row>
    <row r="327" spans="1:22" x14ac:dyDescent="0.25">
      <c r="A327" s="13">
        <v>35674</v>
      </c>
      <c r="B327" s="5">
        <v>2.74</v>
      </c>
      <c r="C327" s="5">
        <v>2.5550000000000002</v>
      </c>
      <c r="D327" s="5">
        <v>2.6418095238095241</v>
      </c>
      <c r="E327" s="5">
        <f t="shared" si="34"/>
        <v>9.8190476190476161E-2</v>
      </c>
      <c r="F327" s="5">
        <f t="shared" si="35"/>
        <v>-8.6809523809523892E-2</v>
      </c>
      <c r="G327" s="33">
        <v>2.61</v>
      </c>
      <c r="H327" s="5">
        <f t="shared" si="29"/>
        <v>-3.1809523809524176E-2</v>
      </c>
      <c r="K327" s="15">
        <f t="shared" si="30"/>
        <v>4.6607142857142856</v>
      </c>
      <c r="L327" s="15"/>
      <c r="M327" s="13">
        <f t="shared" si="31"/>
        <v>35674</v>
      </c>
      <c r="N327" s="15"/>
      <c r="O327" s="15"/>
      <c r="P327" s="15"/>
      <c r="Q327" s="15"/>
      <c r="R327" s="15"/>
      <c r="S327" s="5"/>
      <c r="T327" s="5"/>
      <c r="U327" s="1">
        <f t="shared" si="32"/>
        <v>9</v>
      </c>
      <c r="V327" s="1">
        <f t="shared" si="33"/>
        <v>1997</v>
      </c>
    </row>
    <row r="328" spans="1:22" x14ac:dyDescent="0.25">
      <c r="A328" s="13">
        <v>35704</v>
      </c>
      <c r="B328" s="5">
        <v>2.95</v>
      </c>
      <c r="C328" s="5">
        <v>2.5550000000000002</v>
      </c>
      <c r="D328" s="5">
        <v>2.81304347826087</v>
      </c>
      <c r="E328" s="5">
        <f t="shared" si="34"/>
        <v>0.1369565217391302</v>
      </c>
      <c r="F328" s="5">
        <f t="shared" si="35"/>
        <v>-0.25804347826086982</v>
      </c>
      <c r="G328" s="33">
        <v>2.66</v>
      </c>
      <c r="H328" s="5">
        <f t="shared" si="29"/>
        <v>-0.15304347826086984</v>
      </c>
      <c r="K328" s="15">
        <f t="shared" si="30"/>
        <v>4.75</v>
      </c>
      <c r="L328" s="15"/>
      <c r="M328" s="13">
        <f t="shared" si="31"/>
        <v>35704</v>
      </c>
      <c r="N328" s="15"/>
      <c r="O328" s="15"/>
      <c r="P328" s="15"/>
      <c r="Q328" s="15"/>
      <c r="R328" s="15"/>
      <c r="S328" s="5"/>
      <c r="T328" s="5"/>
      <c r="U328" s="1">
        <f t="shared" si="32"/>
        <v>10</v>
      </c>
      <c r="V328" s="1">
        <f t="shared" si="33"/>
        <v>1997</v>
      </c>
    </row>
    <row r="329" spans="1:22" x14ac:dyDescent="0.25">
      <c r="A329" s="13">
        <v>35735</v>
      </c>
      <c r="B329" s="5">
        <v>2.895</v>
      </c>
      <c r="C329" s="5">
        <v>2.7</v>
      </c>
      <c r="D329" s="5">
        <v>2.7607368421052634</v>
      </c>
      <c r="E329" s="5">
        <f t="shared" si="34"/>
        <v>0.13426315789473664</v>
      </c>
      <c r="F329" s="5">
        <f t="shared" si="35"/>
        <v>-6.07368421052632E-2</v>
      </c>
      <c r="G329" s="33">
        <v>2.7</v>
      </c>
      <c r="H329" s="5">
        <f t="shared" si="29"/>
        <v>-6.07368421052632E-2</v>
      </c>
      <c r="K329" s="15">
        <f t="shared" si="30"/>
        <v>4.8214285714285721</v>
      </c>
      <c r="L329" s="15"/>
      <c r="M329" s="13">
        <f t="shared" si="31"/>
        <v>35735</v>
      </c>
      <c r="N329" s="15"/>
      <c r="O329" s="15"/>
      <c r="P329" s="15"/>
      <c r="Q329" s="15"/>
      <c r="R329" s="15"/>
      <c r="S329" s="5"/>
      <c r="T329" s="5"/>
      <c r="U329" s="1">
        <f t="shared" si="32"/>
        <v>11</v>
      </c>
      <c r="V329" s="1">
        <f t="shared" si="33"/>
        <v>1997</v>
      </c>
    </row>
    <row r="330" spans="1:22" x14ac:dyDescent="0.25">
      <c r="A330" s="13">
        <v>35765</v>
      </c>
      <c r="B330" s="5">
        <v>2.85</v>
      </c>
      <c r="C330" s="5">
        <v>2.62</v>
      </c>
      <c r="D330" s="5">
        <v>2.7332727272727273</v>
      </c>
      <c r="E330" s="5">
        <f t="shared" si="34"/>
        <v>0.11672727272727279</v>
      </c>
      <c r="F330" s="5">
        <f t="shared" si="35"/>
        <v>-0.11327272727272719</v>
      </c>
      <c r="G330" s="33">
        <v>2.6</v>
      </c>
      <c r="H330" s="5">
        <f t="shared" si="29"/>
        <v>-0.13327272727272721</v>
      </c>
      <c r="K330" s="15">
        <f t="shared" si="30"/>
        <v>4.6428571428571432</v>
      </c>
      <c r="L330" s="15"/>
      <c r="M330" s="13">
        <f t="shared" si="31"/>
        <v>35765</v>
      </c>
      <c r="N330" s="15"/>
      <c r="O330" s="15"/>
      <c r="P330" s="15"/>
      <c r="Q330" s="15"/>
      <c r="R330" s="15"/>
      <c r="S330" s="5"/>
      <c r="T330" s="5"/>
      <c r="U330" s="1">
        <f t="shared" si="32"/>
        <v>12</v>
      </c>
      <c r="V330" s="1">
        <f t="shared" si="33"/>
        <v>1997</v>
      </c>
    </row>
    <row r="331" spans="1:22" x14ac:dyDescent="0.25">
      <c r="A331" s="13">
        <v>35796</v>
      </c>
      <c r="B331" s="5">
        <v>2.835</v>
      </c>
      <c r="C331" s="5">
        <v>2.57</v>
      </c>
      <c r="D331" s="5">
        <v>2.7079</v>
      </c>
      <c r="E331" s="5">
        <f t="shared" si="34"/>
        <v>0.12709999999999999</v>
      </c>
      <c r="F331" s="5">
        <f t="shared" si="35"/>
        <v>-0.13790000000000013</v>
      </c>
      <c r="G331" s="33">
        <v>2.6</v>
      </c>
      <c r="H331" s="5">
        <f t="shared" si="29"/>
        <v>-0.10789999999999988</v>
      </c>
      <c r="K331" s="15">
        <f t="shared" si="30"/>
        <v>4.6428571428571432</v>
      </c>
      <c r="L331" s="15"/>
      <c r="M331" s="13">
        <f t="shared" si="31"/>
        <v>35796</v>
      </c>
      <c r="N331" s="15"/>
      <c r="O331" s="15"/>
      <c r="P331" s="15"/>
      <c r="Q331" s="15"/>
      <c r="R331" s="15"/>
      <c r="S331" s="5"/>
      <c r="T331" s="5"/>
      <c r="U331" s="1">
        <f t="shared" si="32"/>
        <v>1</v>
      </c>
      <c r="V331" s="1">
        <f t="shared" si="33"/>
        <v>1998</v>
      </c>
    </row>
    <row r="332" spans="1:22" x14ac:dyDescent="0.25">
      <c r="A332" s="13">
        <v>35827</v>
      </c>
      <c r="B332" s="5">
        <v>2.7770000000000001</v>
      </c>
      <c r="C332" s="5">
        <v>2.6120000000000001</v>
      </c>
      <c r="D332" s="5">
        <v>2.6876315789473688</v>
      </c>
      <c r="E332" s="5">
        <f t="shared" si="34"/>
        <v>8.9368421052631319E-2</v>
      </c>
      <c r="F332" s="5">
        <f t="shared" si="35"/>
        <v>-7.5631578947368716E-2</v>
      </c>
      <c r="G332" s="33">
        <v>2.58</v>
      </c>
      <c r="H332" s="5">
        <f t="shared" si="29"/>
        <v>-0.10763157894736874</v>
      </c>
      <c r="K332" s="15">
        <f t="shared" si="30"/>
        <v>4.6071428571428577</v>
      </c>
      <c r="L332" s="15"/>
      <c r="M332" s="13">
        <f t="shared" si="31"/>
        <v>35827</v>
      </c>
      <c r="N332" s="15"/>
      <c r="O332" s="15"/>
      <c r="P332" s="15"/>
      <c r="Q332" s="15"/>
      <c r="R332" s="15"/>
      <c r="S332" s="5"/>
      <c r="T332" s="5"/>
      <c r="U332" s="1">
        <f t="shared" si="32"/>
        <v>2</v>
      </c>
      <c r="V332" s="1">
        <f t="shared" si="33"/>
        <v>1998</v>
      </c>
    </row>
    <row r="333" spans="1:22" x14ac:dyDescent="0.25">
      <c r="A333" s="13">
        <v>35855</v>
      </c>
      <c r="B333" s="5">
        <v>2.8250000000000002</v>
      </c>
      <c r="C333" s="5">
        <v>2.585</v>
      </c>
      <c r="D333" s="5">
        <v>2.7138636363636364</v>
      </c>
      <c r="E333" s="5">
        <f t="shared" si="34"/>
        <v>0.11113636363636381</v>
      </c>
      <c r="F333" s="5">
        <f t="shared" si="35"/>
        <v>-0.1288636363636364</v>
      </c>
      <c r="G333" s="33">
        <v>2.59</v>
      </c>
      <c r="H333" s="5">
        <f t="shared" si="29"/>
        <v>-0.12386363636363651</v>
      </c>
      <c r="K333" s="15">
        <f t="shared" si="30"/>
        <v>4.625</v>
      </c>
      <c r="L333" s="15"/>
      <c r="M333" s="13">
        <f t="shared" si="31"/>
        <v>35855</v>
      </c>
      <c r="N333" s="15"/>
      <c r="O333" s="15"/>
      <c r="P333" s="15"/>
      <c r="Q333" s="15"/>
      <c r="R333" s="15"/>
      <c r="S333" s="5"/>
      <c r="T333" s="5"/>
      <c r="U333" s="1">
        <f t="shared" si="32"/>
        <v>3</v>
      </c>
      <c r="V333" s="1">
        <f t="shared" si="33"/>
        <v>1998</v>
      </c>
    </row>
    <row r="334" spans="1:22" x14ac:dyDescent="0.25">
      <c r="A334" s="13">
        <v>35886</v>
      </c>
      <c r="B334" s="5">
        <v>2.597</v>
      </c>
      <c r="C334" s="5">
        <v>2.4319999999999999</v>
      </c>
      <c r="D334" s="5">
        <v>2.4882857142857144</v>
      </c>
      <c r="E334" s="5">
        <f t="shared" si="34"/>
        <v>0.10871428571428554</v>
      </c>
      <c r="F334" s="5">
        <f t="shared" si="35"/>
        <v>-5.6285714285714494E-2</v>
      </c>
      <c r="G334" s="33">
        <v>2.41</v>
      </c>
      <c r="H334" s="5">
        <f t="shared" si="29"/>
        <v>-7.8285714285714292E-2</v>
      </c>
      <c r="K334" s="15">
        <f t="shared" si="30"/>
        <v>4.3035714285714288</v>
      </c>
      <c r="L334" s="15"/>
      <c r="M334" s="13">
        <f t="shared" si="31"/>
        <v>35886</v>
      </c>
      <c r="N334" s="15"/>
      <c r="O334" s="15"/>
      <c r="P334" s="15"/>
      <c r="Q334" s="15"/>
      <c r="R334" s="15"/>
      <c r="S334" s="5"/>
      <c r="T334" s="5"/>
      <c r="U334" s="1">
        <f t="shared" si="32"/>
        <v>4</v>
      </c>
      <c r="V334" s="1">
        <f t="shared" si="33"/>
        <v>1998</v>
      </c>
    </row>
    <row r="335" spans="1:22" x14ac:dyDescent="0.25">
      <c r="A335" s="13">
        <v>35916</v>
      </c>
      <c r="B335" s="5">
        <v>2.6320000000000001</v>
      </c>
      <c r="C335" s="5">
        <v>2.3519999999999999</v>
      </c>
      <c r="D335" s="5">
        <v>2.4798</v>
      </c>
      <c r="E335" s="5">
        <f t="shared" si="34"/>
        <v>0.15220000000000011</v>
      </c>
      <c r="F335" s="5">
        <f t="shared" si="35"/>
        <v>-0.12780000000000014</v>
      </c>
      <c r="G335" s="33">
        <v>2.37</v>
      </c>
      <c r="H335" s="5">
        <f t="shared" si="29"/>
        <v>-0.1097999999999999</v>
      </c>
      <c r="K335" s="15">
        <f t="shared" si="30"/>
        <v>4.2321428571428577</v>
      </c>
      <c r="L335" s="15"/>
      <c r="M335" s="13">
        <f t="shared" si="31"/>
        <v>35916</v>
      </c>
      <c r="N335" s="15"/>
      <c r="O335" s="15"/>
      <c r="P335" s="15"/>
      <c r="Q335" s="15"/>
      <c r="R335" s="15"/>
      <c r="S335" s="5"/>
      <c r="T335" s="5"/>
      <c r="U335" s="1">
        <f t="shared" si="32"/>
        <v>5</v>
      </c>
      <c r="V335" s="1">
        <f t="shared" si="33"/>
        <v>1998</v>
      </c>
    </row>
    <row r="336" spans="1:22" x14ac:dyDescent="0.25">
      <c r="A336" s="13">
        <v>35947</v>
      </c>
      <c r="B336" s="5">
        <v>2.605</v>
      </c>
      <c r="C336" s="5">
        <v>2.3069999999999999</v>
      </c>
      <c r="D336" s="5">
        <v>2.4213636363636364</v>
      </c>
      <c r="E336" s="5">
        <f t="shared" si="34"/>
        <v>0.1836363636363636</v>
      </c>
      <c r="F336" s="5">
        <f t="shared" si="35"/>
        <v>-0.11436363636363645</v>
      </c>
      <c r="G336" s="33">
        <v>2.29</v>
      </c>
      <c r="H336" s="5">
        <f t="shared" si="29"/>
        <v>-0.13136363636363635</v>
      </c>
      <c r="K336" s="15">
        <f t="shared" si="30"/>
        <v>4.0892857142857144</v>
      </c>
      <c r="L336" s="15"/>
      <c r="M336" s="13">
        <f t="shared" si="31"/>
        <v>35947</v>
      </c>
      <c r="N336" s="15"/>
      <c r="O336" s="15"/>
      <c r="P336" s="15"/>
      <c r="Q336" s="15"/>
      <c r="R336" s="15"/>
      <c r="S336" s="5"/>
      <c r="T336" s="5"/>
      <c r="U336" s="1">
        <f t="shared" si="32"/>
        <v>6</v>
      </c>
      <c r="V336" s="1">
        <f t="shared" si="33"/>
        <v>1998</v>
      </c>
    </row>
    <row r="337" spans="1:22" x14ac:dyDescent="0.25">
      <c r="A337" s="13">
        <v>35977</v>
      </c>
      <c r="B337" s="5">
        <v>2.58</v>
      </c>
      <c r="C337" s="5">
        <v>2.1720000000000002</v>
      </c>
      <c r="D337" s="5">
        <v>2.3264545454545456</v>
      </c>
      <c r="E337" s="5">
        <f t="shared" si="34"/>
        <v>0.25354545454545452</v>
      </c>
      <c r="F337" s="5">
        <f t="shared" si="35"/>
        <v>-0.1544545454545454</v>
      </c>
      <c r="G337" s="33">
        <v>2.16</v>
      </c>
      <c r="H337" s="5">
        <f t="shared" si="29"/>
        <v>-0.16645454545454541</v>
      </c>
      <c r="K337" s="15">
        <f t="shared" si="30"/>
        <v>3.8571428571428577</v>
      </c>
      <c r="L337" s="15"/>
      <c r="M337" s="13">
        <f t="shared" si="31"/>
        <v>35977</v>
      </c>
      <c r="N337" s="15"/>
      <c r="O337" s="15"/>
      <c r="P337" s="15"/>
      <c r="Q337" s="15"/>
      <c r="R337" s="15"/>
      <c r="S337" s="5"/>
      <c r="T337" s="5"/>
      <c r="U337" s="1">
        <f t="shared" si="32"/>
        <v>7</v>
      </c>
      <c r="V337" s="1">
        <f t="shared" si="33"/>
        <v>1998</v>
      </c>
    </row>
    <row r="338" spans="1:22" x14ac:dyDescent="0.25">
      <c r="A338" s="13">
        <v>36008</v>
      </c>
      <c r="B338" s="5">
        <v>2.165</v>
      </c>
      <c r="C338" s="5">
        <v>1.87</v>
      </c>
      <c r="D338" s="5">
        <v>2.0624761904761906</v>
      </c>
      <c r="E338" s="5">
        <f t="shared" si="34"/>
        <v>0.10252380952380946</v>
      </c>
      <c r="F338" s="5">
        <f t="shared" si="35"/>
        <v>-0.19247619047619047</v>
      </c>
      <c r="G338" s="33">
        <v>1.86</v>
      </c>
      <c r="H338" s="5">
        <f t="shared" si="29"/>
        <v>-0.20247619047619048</v>
      </c>
      <c r="K338" s="15">
        <f t="shared" si="30"/>
        <v>3.3214285714285716</v>
      </c>
      <c r="L338" s="15"/>
      <c r="M338" s="13">
        <f t="shared" si="31"/>
        <v>36008</v>
      </c>
      <c r="N338" s="15"/>
      <c r="O338" s="15"/>
      <c r="P338" s="15"/>
      <c r="Q338" s="15"/>
      <c r="R338" s="15"/>
      <c r="S338" s="5"/>
      <c r="T338" s="5"/>
      <c r="U338" s="1">
        <f t="shared" si="32"/>
        <v>8</v>
      </c>
      <c r="V338" s="1">
        <f t="shared" si="33"/>
        <v>1998</v>
      </c>
    </row>
    <row r="339" spans="1:22" x14ac:dyDescent="0.25">
      <c r="A339" s="13">
        <v>36039</v>
      </c>
      <c r="B339" s="5">
        <v>2.15</v>
      </c>
      <c r="C339" s="5">
        <v>1.96</v>
      </c>
      <c r="D339" s="5">
        <v>2.0840000000000001</v>
      </c>
      <c r="E339" s="5">
        <f t="shared" si="34"/>
        <v>6.5999999999999837E-2</v>
      </c>
      <c r="F339" s="5">
        <f t="shared" si="35"/>
        <v>-0.12400000000000011</v>
      </c>
      <c r="G339" s="33">
        <v>1.78</v>
      </c>
      <c r="H339" s="5">
        <f t="shared" si="29"/>
        <v>-0.30400000000000005</v>
      </c>
      <c r="K339" s="15">
        <f t="shared" si="30"/>
        <v>3.1785714285714284</v>
      </c>
      <c r="L339" s="15"/>
      <c r="M339" s="13">
        <f t="shared" si="31"/>
        <v>36039</v>
      </c>
      <c r="N339" s="15"/>
      <c r="O339" s="15"/>
      <c r="P339" s="15"/>
      <c r="Q339" s="15"/>
      <c r="R339" s="15"/>
      <c r="S339" s="5"/>
      <c r="T339" s="5"/>
      <c r="U339" s="1">
        <f t="shared" si="32"/>
        <v>9</v>
      </c>
      <c r="V339" s="1">
        <f t="shared" si="33"/>
        <v>1998</v>
      </c>
    </row>
    <row r="340" spans="1:22" x14ac:dyDescent="0.25">
      <c r="A340" s="13">
        <v>36069</v>
      </c>
      <c r="B340" s="5">
        <v>2.31</v>
      </c>
      <c r="C340" s="5">
        <v>2.0449999999999999</v>
      </c>
      <c r="D340" s="5">
        <v>2.1865000000000001</v>
      </c>
      <c r="E340" s="5">
        <f t="shared" si="34"/>
        <v>0.12349999999999994</v>
      </c>
      <c r="F340" s="5">
        <f t="shared" si="35"/>
        <v>-0.14150000000000018</v>
      </c>
      <c r="G340" s="33">
        <v>1.94</v>
      </c>
      <c r="H340" s="5">
        <f t="shared" si="29"/>
        <v>-0.24650000000000016</v>
      </c>
      <c r="K340" s="15">
        <f t="shared" si="30"/>
        <v>3.4642857142857144</v>
      </c>
      <c r="L340" s="15"/>
      <c r="M340" s="13">
        <f t="shared" si="31"/>
        <v>36069</v>
      </c>
      <c r="N340" s="15"/>
      <c r="O340" s="15"/>
      <c r="P340" s="15"/>
      <c r="Q340" s="15"/>
      <c r="R340" s="15"/>
      <c r="S340" s="5"/>
      <c r="T340" s="5"/>
      <c r="U340" s="1">
        <f t="shared" si="32"/>
        <v>10</v>
      </c>
      <c r="V340" s="1">
        <f t="shared" si="33"/>
        <v>1998</v>
      </c>
    </row>
    <row r="341" spans="1:22" x14ac:dyDescent="0.25">
      <c r="A341" s="13">
        <v>36100</v>
      </c>
      <c r="B341" s="5">
        <v>2.2549999999999999</v>
      </c>
      <c r="C341" s="5">
        <v>2.1419999999999999</v>
      </c>
      <c r="D341" s="5">
        <v>2.1892999999999998</v>
      </c>
      <c r="E341" s="5">
        <f t="shared" si="34"/>
        <v>6.5700000000000092E-2</v>
      </c>
      <c r="F341" s="5">
        <f t="shared" si="35"/>
        <v>-4.7299999999999898E-2</v>
      </c>
      <c r="G341" s="33">
        <v>2.09</v>
      </c>
      <c r="H341" s="5">
        <f t="shared" si="29"/>
        <v>-9.9299999999999944E-2</v>
      </c>
      <c r="K341" s="15">
        <f t="shared" si="30"/>
        <v>3.7321428571428568</v>
      </c>
      <c r="L341" s="15"/>
      <c r="M341" s="13">
        <f t="shared" si="31"/>
        <v>36100</v>
      </c>
      <c r="N341" s="15"/>
      <c r="O341" s="15"/>
      <c r="P341" s="15"/>
      <c r="Q341" s="15"/>
      <c r="R341" s="15"/>
      <c r="S341" s="5"/>
      <c r="T341" s="5"/>
      <c r="U341" s="1">
        <f t="shared" si="32"/>
        <v>11</v>
      </c>
      <c r="V341" s="1">
        <f t="shared" si="33"/>
        <v>1998</v>
      </c>
    </row>
    <row r="342" spans="1:22" x14ac:dyDescent="0.25">
      <c r="A342" s="13">
        <v>36130</v>
      </c>
      <c r="B342" s="5">
        <v>2.2999999999999998</v>
      </c>
      <c r="C342" s="5">
        <v>2.13</v>
      </c>
      <c r="D342" s="5">
        <v>2.2142727272727276</v>
      </c>
      <c r="E342" s="5">
        <f t="shared" si="34"/>
        <v>8.5727272727272208E-2</v>
      </c>
      <c r="F342" s="5">
        <f t="shared" si="35"/>
        <v>-8.4272727272727721E-2</v>
      </c>
      <c r="G342" s="33">
        <v>2.08</v>
      </c>
      <c r="H342" s="5">
        <f t="shared" si="29"/>
        <v>-0.13427272727272754</v>
      </c>
      <c r="K342" s="15">
        <f t="shared" si="30"/>
        <v>3.7142857142857144</v>
      </c>
      <c r="L342" s="15"/>
      <c r="M342" s="13">
        <f t="shared" si="31"/>
        <v>36130</v>
      </c>
      <c r="N342" s="15"/>
      <c r="O342" s="15"/>
      <c r="P342" s="15"/>
      <c r="Q342" s="15"/>
      <c r="R342" s="15"/>
      <c r="S342" s="5"/>
      <c r="T342" s="5"/>
      <c r="U342" s="1">
        <f t="shared" si="32"/>
        <v>12</v>
      </c>
      <c r="V342" s="1">
        <f t="shared" si="33"/>
        <v>1998</v>
      </c>
    </row>
    <row r="343" spans="1:22" x14ac:dyDescent="0.25">
      <c r="A343" s="13">
        <v>36161</v>
      </c>
      <c r="B343" s="5">
        <v>2.2450000000000001</v>
      </c>
      <c r="C343" s="5">
        <v>2.11</v>
      </c>
      <c r="D343" s="5">
        <v>2.1674736842105267</v>
      </c>
      <c r="E343" s="5">
        <f t="shared" si="34"/>
        <v>7.7526315789473443E-2</v>
      </c>
      <c r="F343" s="5">
        <f t="shared" si="35"/>
        <v>-5.7473684210526788E-2</v>
      </c>
      <c r="G343" s="33">
        <v>2.0699999999999998</v>
      </c>
      <c r="H343" s="5">
        <f t="shared" si="29"/>
        <v>-9.7473684210526823E-2</v>
      </c>
      <c r="K343" s="15">
        <f t="shared" si="30"/>
        <v>3.6964285714285712</v>
      </c>
      <c r="L343" s="15"/>
      <c r="M343" s="13">
        <f t="shared" si="31"/>
        <v>36161</v>
      </c>
      <c r="N343" s="15"/>
      <c r="O343" s="15"/>
      <c r="P343" s="15"/>
      <c r="Q343" s="15"/>
      <c r="R343" s="15"/>
      <c r="S343" s="5"/>
      <c r="T343" s="5"/>
      <c r="U343" s="1">
        <f t="shared" si="32"/>
        <v>1</v>
      </c>
      <c r="V343" s="1">
        <f t="shared" si="33"/>
        <v>1999</v>
      </c>
    </row>
    <row r="344" spans="1:22" x14ac:dyDescent="0.25">
      <c r="A344" s="13">
        <v>36192</v>
      </c>
      <c r="B344" s="5">
        <v>2.23</v>
      </c>
      <c r="C344" s="5">
        <v>2.04</v>
      </c>
      <c r="D344" s="5">
        <v>2.1457368421052632</v>
      </c>
      <c r="E344" s="5">
        <f t="shared" si="34"/>
        <v>8.4263157894736818E-2</v>
      </c>
      <c r="F344" s="5">
        <f t="shared" si="35"/>
        <v>-0.10573684210526313</v>
      </c>
      <c r="G344" s="33">
        <v>2.0499999999999998</v>
      </c>
      <c r="H344" s="5">
        <f t="shared" si="29"/>
        <v>-9.5736842105263342E-2</v>
      </c>
      <c r="K344" s="15">
        <f t="shared" si="30"/>
        <v>3.6607142857142851</v>
      </c>
      <c r="L344" s="15"/>
      <c r="M344" s="13">
        <f t="shared" si="31"/>
        <v>36192</v>
      </c>
      <c r="N344" s="15"/>
      <c r="O344" s="15"/>
      <c r="P344" s="15"/>
      <c r="Q344" s="15"/>
      <c r="R344" s="15"/>
      <c r="S344" s="5"/>
      <c r="T344" s="5"/>
      <c r="U344" s="1">
        <f t="shared" si="32"/>
        <v>2</v>
      </c>
      <c r="V344" s="1">
        <f t="shared" si="33"/>
        <v>1999</v>
      </c>
    </row>
    <row r="345" spans="1:22" x14ac:dyDescent="0.25">
      <c r="A345" s="13">
        <v>36220</v>
      </c>
      <c r="B345" s="5">
        <v>2.3420000000000001</v>
      </c>
      <c r="C345" s="5">
        <v>2.1019999999999999</v>
      </c>
      <c r="D345" s="5">
        <v>2.2390869565217395</v>
      </c>
      <c r="E345" s="5">
        <f t="shared" si="34"/>
        <v>0.10291304347826058</v>
      </c>
      <c r="F345" s="5">
        <f t="shared" si="35"/>
        <v>-0.13708695652173963</v>
      </c>
      <c r="G345" s="33">
        <v>2.09</v>
      </c>
      <c r="H345" s="5">
        <f t="shared" si="29"/>
        <v>-0.14908695652173964</v>
      </c>
      <c r="K345" s="15">
        <f t="shared" si="30"/>
        <v>3.7321428571428568</v>
      </c>
      <c r="L345" s="15"/>
      <c r="M345" s="13">
        <f t="shared" si="31"/>
        <v>36220</v>
      </c>
      <c r="N345" s="15"/>
      <c r="O345" s="15"/>
      <c r="P345" s="15"/>
      <c r="Q345" s="15"/>
      <c r="R345" s="15"/>
      <c r="S345" s="5"/>
      <c r="T345" s="5"/>
      <c r="U345" s="1">
        <f t="shared" si="32"/>
        <v>3</v>
      </c>
      <c r="V345" s="1">
        <f t="shared" si="33"/>
        <v>1999</v>
      </c>
    </row>
    <row r="346" spans="1:22" x14ac:dyDescent="0.25">
      <c r="A346" s="13">
        <v>36251</v>
      </c>
      <c r="B346" s="5">
        <v>2.2650000000000001</v>
      </c>
      <c r="C346" s="5">
        <v>2.13</v>
      </c>
      <c r="D346" s="5">
        <v>2.1792380952380954</v>
      </c>
      <c r="E346" s="5">
        <f t="shared" si="34"/>
        <v>8.5761904761904706E-2</v>
      </c>
      <c r="F346" s="5">
        <f t="shared" si="35"/>
        <v>-4.9238095238095525E-2</v>
      </c>
      <c r="G346" s="33">
        <v>2.0499999999999998</v>
      </c>
      <c r="H346" s="5">
        <f t="shared" si="29"/>
        <v>-0.1292380952380956</v>
      </c>
      <c r="K346" s="15">
        <f t="shared" si="30"/>
        <v>3.6607142857142851</v>
      </c>
      <c r="L346" s="15"/>
      <c r="M346" s="13">
        <f t="shared" si="31"/>
        <v>36251</v>
      </c>
      <c r="N346" s="15"/>
      <c r="O346" s="15"/>
      <c r="P346" s="15"/>
      <c r="Q346" s="15"/>
      <c r="R346" s="15"/>
      <c r="S346" s="5"/>
      <c r="T346" s="5"/>
      <c r="U346" s="1">
        <f t="shared" si="32"/>
        <v>4</v>
      </c>
      <c r="V346" s="1">
        <f t="shared" si="33"/>
        <v>1999</v>
      </c>
    </row>
    <row r="347" spans="1:22" x14ac:dyDescent="0.25">
      <c r="A347" s="13">
        <v>36281</v>
      </c>
      <c r="B347" s="5">
        <v>2.262</v>
      </c>
      <c r="C347" s="5">
        <v>2.1150000000000002</v>
      </c>
      <c r="D347" s="5">
        <v>2.1976499999999999</v>
      </c>
      <c r="E347" s="5">
        <f t="shared" si="34"/>
        <v>6.4350000000000129E-2</v>
      </c>
      <c r="F347" s="5">
        <f t="shared" si="35"/>
        <v>-8.2649999999999668E-2</v>
      </c>
      <c r="G347" s="33">
        <v>2.0299999999999998</v>
      </c>
      <c r="H347" s="5">
        <f t="shared" si="29"/>
        <v>-0.16765000000000008</v>
      </c>
      <c r="K347" s="15">
        <f t="shared" si="30"/>
        <v>3.6249999999999996</v>
      </c>
      <c r="L347" s="15"/>
      <c r="M347" s="13">
        <f t="shared" si="31"/>
        <v>36281</v>
      </c>
      <c r="N347" s="15"/>
      <c r="O347" s="15"/>
      <c r="P347" s="15"/>
      <c r="Q347" s="15"/>
      <c r="R347" s="15"/>
      <c r="S347" s="5"/>
      <c r="T347" s="5"/>
      <c r="U347" s="1">
        <f t="shared" si="32"/>
        <v>5</v>
      </c>
      <c r="V347" s="1">
        <f t="shared" si="33"/>
        <v>1999</v>
      </c>
    </row>
    <row r="348" spans="1:22" x14ac:dyDescent="0.25">
      <c r="A348" s="13">
        <v>36312</v>
      </c>
      <c r="B348" s="5">
        <v>2.2650000000000001</v>
      </c>
      <c r="C348" s="5">
        <v>2.0950000000000002</v>
      </c>
      <c r="D348" s="5">
        <v>2.1737272727272727</v>
      </c>
      <c r="E348" s="5">
        <f t="shared" si="34"/>
        <v>9.1272727272727394E-2</v>
      </c>
      <c r="F348" s="5">
        <f t="shared" si="35"/>
        <v>-7.8727272727272535E-2</v>
      </c>
      <c r="G348" s="33">
        <v>1.99</v>
      </c>
      <c r="H348" s="5">
        <f t="shared" si="29"/>
        <v>-0.18372727272727274</v>
      </c>
      <c r="K348" s="15">
        <f t="shared" si="30"/>
        <v>3.5535714285714288</v>
      </c>
      <c r="L348" s="15"/>
      <c r="M348" s="13">
        <f t="shared" si="31"/>
        <v>36312</v>
      </c>
      <c r="N348" s="15"/>
      <c r="O348" s="15"/>
      <c r="P348" s="15"/>
      <c r="Q348" s="15"/>
      <c r="R348" s="15"/>
      <c r="S348" s="5"/>
      <c r="T348" s="5"/>
      <c r="U348" s="1">
        <f t="shared" si="32"/>
        <v>6</v>
      </c>
      <c r="V348" s="1">
        <f t="shared" si="33"/>
        <v>1999</v>
      </c>
    </row>
    <row r="349" spans="1:22" x14ac:dyDescent="0.25">
      <c r="A349" s="13">
        <v>36342</v>
      </c>
      <c r="B349" s="5">
        <v>2.1869999999999998</v>
      </c>
      <c r="C349" s="5">
        <v>1.84</v>
      </c>
      <c r="D349" s="5">
        <v>1.964952380952381</v>
      </c>
      <c r="E349" s="5">
        <f t="shared" si="34"/>
        <v>0.22204761904761883</v>
      </c>
      <c r="F349" s="5">
        <f t="shared" si="35"/>
        <v>-0.12495238095238093</v>
      </c>
      <c r="G349" s="33">
        <v>1.67</v>
      </c>
      <c r="H349" s="5">
        <f t="shared" si="29"/>
        <v>-0.29495238095238108</v>
      </c>
      <c r="K349" s="15">
        <f t="shared" si="30"/>
        <v>2.9821428571428572</v>
      </c>
      <c r="L349" s="15"/>
      <c r="M349" s="13">
        <f t="shared" si="31"/>
        <v>36342</v>
      </c>
      <c r="N349" s="15"/>
      <c r="O349" s="15"/>
      <c r="P349" s="15"/>
      <c r="Q349" s="15"/>
      <c r="R349" s="15"/>
      <c r="S349" s="5"/>
      <c r="T349" s="5"/>
      <c r="U349" s="1">
        <f t="shared" si="32"/>
        <v>7</v>
      </c>
      <c r="V349" s="1">
        <f t="shared" si="33"/>
        <v>1999</v>
      </c>
    </row>
    <row r="350" spans="1:22" x14ac:dyDescent="0.25">
      <c r="A350" s="13">
        <v>36373</v>
      </c>
      <c r="B350" s="5">
        <v>2.3319999999999999</v>
      </c>
      <c r="C350" s="5">
        <v>2.012</v>
      </c>
      <c r="D350" s="5">
        <v>2.1355454545454546</v>
      </c>
      <c r="E350" s="5">
        <f t="shared" si="34"/>
        <v>0.19645454545454522</v>
      </c>
      <c r="F350" s="5">
        <f t="shared" si="35"/>
        <v>-0.12354545454545462</v>
      </c>
      <c r="G350" s="33">
        <v>1.84</v>
      </c>
      <c r="H350" s="5">
        <f t="shared" si="29"/>
        <v>-0.29554545454545456</v>
      </c>
      <c r="K350" s="15">
        <f t="shared" si="30"/>
        <v>3.2857142857142856</v>
      </c>
      <c r="L350" s="15"/>
      <c r="M350" s="13">
        <f t="shared" si="31"/>
        <v>36373</v>
      </c>
      <c r="N350" s="15"/>
      <c r="O350" s="15"/>
      <c r="P350" s="15"/>
      <c r="Q350" s="15"/>
      <c r="R350" s="15"/>
      <c r="S350" s="5"/>
      <c r="T350" s="5"/>
      <c r="U350" s="1">
        <f t="shared" si="32"/>
        <v>8</v>
      </c>
      <c r="V350" s="1">
        <f t="shared" si="33"/>
        <v>1999</v>
      </c>
    </row>
    <row r="351" spans="1:22" x14ac:dyDescent="0.25">
      <c r="A351" s="13">
        <v>36404</v>
      </c>
      <c r="B351" s="5">
        <v>2.2650000000000001</v>
      </c>
      <c r="C351" s="5">
        <v>2.077</v>
      </c>
      <c r="D351" s="5">
        <v>2.1475238095238098</v>
      </c>
      <c r="E351" s="5">
        <f t="shared" si="34"/>
        <v>0.11747619047619029</v>
      </c>
      <c r="F351" s="5">
        <f t="shared" si="35"/>
        <v>-7.0523809523809877E-2</v>
      </c>
      <c r="G351" s="33">
        <v>1.81</v>
      </c>
      <c r="H351" s="5">
        <f t="shared" si="29"/>
        <v>-0.33752380952380978</v>
      </c>
      <c r="K351" s="15">
        <f t="shared" si="30"/>
        <v>3.2321428571428572</v>
      </c>
      <c r="L351" s="15"/>
      <c r="M351" s="13">
        <f t="shared" si="31"/>
        <v>36404</v>
      </c>
      <c r="N351" s="15"/>
      <c r="O351" s="15"/>
      <c r="P351" s="15"/>
      <c r="Q351" s="15"/>
      <c r="R351" s="15"/>
      <c r="S351" s="5"/>
      <c r="T351" s="5"/>
      <c r="U351" s="1">
        <f t="shared" si="32"/>
        <v>9</v>
      </c>
      <c r="V351" s="1">
        <f t="shared" si="33"/>
        <v>1999</v>
      </c>
    </row>
    <row r="352" spans="1:22" x14ac:dyDescent="0.25">
      <c r="A352" s="13">
        <v>36434</v>
      </c>
      <c r="B352" s="5">
        <v>2.085</v>
      </c>
      <c r="C352" s="5">
        <v>1.9750000000000001</v>
      </c>
      <c r="D352" s="5">
        <v>2.0122857142857145</v>
      </c>
      <c r="E352" s="5">
        <f t="shared" si="34"/>
        <v>7.2714285714285509E-2</v>
      </c>
      <c r="F352" s="5">
        <f t="shared" si="35"/>
        <v>-3.7285714285714366E-2</v>
      </c>
      <c r="G352" s="33">
        <v>1.72</v>
      </c>
      <c r="H352" s="5">
        <f t="shared" si="29"/>
        <v>-0.29228571428571448</v>
      </c>
      <c r="K352" s="15">
        <f t="shared" si="30"/>
        <v>3.0714285714285716</v>
      </c>
      <c r="L352" s="15"/>
      <c r="M352" s="13">
        <f t="shared" si="31"/>
        <v>36434</v>
      </c>
      <c r="N352" s="15"/>
      <c r="O352" s="15"/>
      <c r="P352" s="15"/>
      <c r="Q352" s="15"/>
      <c r="R352" s="15"/>
      <c r="S352" s="5"/>
      <c r="T352" s="5"/>
      <c r="U352" s="1">
        <f t="shared" si="32"/>
        <v>10</v>
      </c>
      <c r="V352" s="1">
        <f t="shared" si="33"/>
        <v>1999</v>
      </c>
    </row>
    <row r="353" spans="1:23" x14ac:dyDescent="0.25">
      <c r="A353" s="13">
        <v>36465</v>
      </c>
      <c r="B353" s="5">
        <v>2.0369999999999999</v>
      </c>
      <c r="C353" s="5">
        <v>1.87</v>
      </c>
      <c r="D353" s="5">
        <v>1.955904761904762</v>
      </c>
      <c r="E353" s="5">
        <f t="shared" si="34"/>
        <v>8.1095238095237887E-2</v>
      </c>
      <c r="F353" s="5">
        <f t="shared" si="35"/>
        <v>-8.5904761904761928E-2</v>
      </c>
      <c r="G353" s="33">
        <v>1.82</v>
      </c>
      <c r="H353" s="5">
        <f t="shared" si="29"/>
        <v>-0.13590476190476197</v>
      </c>
      <c r="K353" s="15">
        <f t="shared" si="30"/>
        <v>3.25</v>
      </c>
      <c r="L353" s="15"/>
      <c r="M353" s="13">
        <f t="shared" si="31"/>
        <v>36465</v>
      </c>
      <c r="N353" s="15"/>
      <c r="O353" s="15"/>
      <c r="P353" s="15"/>
      <c r="Q353" s="15"/>
      <c r="R353" s="15"/>
      <c r="S353" s="5"/>
      <c r="T353" s="5"/>
      <c r="U353" s="1">
        <f t="shared" si="32"/>
        <v>11</v>
      </c>
      <c r="V353" s="1">
        <f t="shared" si="33"/>
        <v>1999</v>
      </c>
    </row>
    <row r="354" spans="1:23" x14ac:dyDescent="0.25">
      <c r="A354" s="13">
        <v>36495</v>
      </c>
      <c r="B354" s="5">
        <v>2.0670000000000002</v>
      </c>
      <c r="C354" s="5">
        <v>1.952</v>
      </c>
      <c r="D354" s="5">
        <v>2.0166666666666666</v>
      </c>
      <c r="E354" s="5">
        <f t="shared" si="34"/>
        <v>5.0333333333333563E-2</v>
      </c>
      <c r="F354" s="5">
        <f t="shared" si="35"/>
        <v>-6.466666666666665E-2</v>
      </c>
      <c r="G354" s="33">
        <v>1.84</v>
      </c>
      <c r="H354" s="5">
        <f t="shared" si="29"/>
        <v>-0.17666666666666653</v>
      </c>
      <c r="K354" s="15">
        <f t="shared" si="30"/>
        <v>3.2857142857142856</v>
      </c>
      <c r="L354" s="15"/>
      <c r="M354" s="13">
        <f t="shared" si="31"/>
        <v>36495</v>
      </c>
      <c r="N354" s="15"/>
      <c r="O354" s="15"/>
      <c r="P354" s="15"/>
      <c r="Q354" s="15"/>
      <c r="R354" s="15"/>
      <c r="S354" s="5"/>
      <c r="T354" s="5"/>
      <c r="U354" s="1">
        <f t="shared" si="32"/>
        <v>12</v>
      </c>
      <c r="V354" s="1">
        <f t="shared" si="33"/>
        <v>1999</v>
      </c>
    </row>
    <row r="355" spans="1:23" x14ac:dyDescent="0.25">
      <c r="A355" s="13">
        <v>36526</v>
      </c>
      <c r="B355" s="5">
        <v>2.282</v>
      </c>
      <c r="C355" s="5">
        <v>2.0049999999999999</v>
      </c>
      <c r="D355" s="5">
        <v>2.1596500000000001</v>
      </c>
      <c r="E355" s="5">
        <f t="shared" si="34"/>
        <v>0.12234999999999996</v>
      </c>
      <c r="F355" s="5">
        <f t="shared" si="35"/>
        <v>-0.15465000000000018</v>
      </c>
      <c r="G355" s="33">
        <v>1.95</v>
      </c>
      <c r="H355" s="5">
        <f t="shared" si="29"/>
        <v>-0.20965000000000011</v>
      </c>
      <c r="K355" s="15">
        <f t="shared" si="30"/>
        <v>3.4821428571428572</v>
      </c>
      <c r="L355" s="15"/>
      <c r="M355" s="13">
        <f t="shared" si="31"/>
        <v>36526</v>
      </c>
      <c r="N355" s="5">
        <f>_xlfn.MAXIFS(Sheet1!$B$2:$B$6350,Sheet1!$E$2:$E$6350,Prices!$U355,Sheet1!$F$2:$F$6350,Prices!$V355)</f>
        <v>133</v>
      </c>
      <c r="O355" s="5">
        <f>_xlfn.MINIFS(Sheet1!$B$2:$B$6350,Sheet1!$E$2:$E$6350,Prices!$U355,Sheet1!$F$2:$F$6350,Prices!$V355)</f>
        <v>132</v>
      </c>
      <c r="P355" s="5">
        <f>AVERAGEIFS(Sheet1!$B$2:$B$6350,Sheet1!$E$2:$E$6350,Prices!$U355,Sheet1!$F$2:$F$6350,Prices!$V355)</f>
        <v>132.42500000000001</v>
      </c>
      <c r="Q355" s="5">
        <f>N355-P355</f>
        <v>0.57499999999998863</v>
      </c>
      <c r="R355" s="5">
        <f>O355-P355</f>
        <v>-0.42500000000001137</v>
      </c>
      <c r="S355" s="5">
        <f t="shared" ref="S355:S418" si="36">P355/39.3679/W355</f>
        <v>3.32154508363804</v>
      </c>
      <c r="T355" s="5">
        <f>S355-D355</f>
        <v>1.1618950836380399</v>
      </c>
      <c r="U355" s="1">
        <f t="shared" si="32"/>
        <v>1</v>
      </c>
      <c r="V355" s="1">
        <f t="shared" si="33"/>
        <v>2000</v>
      </c>
      <c r="W355" s="5">
        <v>1.0127157894736842</v>
      </c>
    </row>
    <row r="356" spans="1:23" x14ac:dyDescent="0.25">
      <c r="A356" s="13">
        <v>36557</v>
      </c>
      <c r="B356" s="5">
        <v>2.2650000000000001</v>
      </c>
      <c r="C356" s="5">
        <v>2.1150000000000002</v>
      </c>
      <c r="D356" s="5">
        <v>2.1963499999999998</v>
      </c>
      <c r="E356" s="5">
        <f t="shared" si="34"/>
        <v>6.8650000000000322E-2</v>
      </c>
      <c r="F356" s="5">
        <f t="shared" si="35"/>
        <v>-8.1349999999999589E-2</v>
      </c>
      <c r="G356" s="33">
        <v>2.0299999999999998</v>
      </c>
      <c r="H356" s="5">
        <f t="shared" si="29"/>
        <v>-0.16635</v>
      </c>
      <c r="K356" s="15">
        <f t="shared" si="30"/>
        <v>3.6249999999999996</v>
      </c>
      <c r="L356" s="15"/>
      <c r="M356" s="13">
        <f t="shared" si="31"/>
        <v>36557</v>
      </c>
      <c r="N356" s="5">
        <f>_xlfn.MAXIFS(Sheet1!$B$2:$B$6350,Sheet1!$E$2:$E$6350,Prices!$U356,Sheet1!$F$2:$F$6350,Prices!$V356)</f>
        <v>135.75</v>
      </c>
      <c r="O356" s="5">
        <f>_xlfn.MINIFS(Sheet1!$B$2:$B$6350,Sheet1!$E$2:$E$6350,Prices!$U356,Sheet1!$F$2:$F$6350,Prices!$V356)</f>
        <v>135</v>
      </c>
      <c r="P356" s="5">
        <f>AVERAGEIFS(Sheet1!$B$2:$B$6350,Sheet1!$E$2:$E$6350,Prices!$U356,Sheet1!$F$2:$F$6350,Prices!$V356)</f>
        <v>135.5625</v>
      </c>
      <c r="Q356" s="5">
        <f t="shared" ref="Q356:Q419" si="37">N356-P356</f>
        <v>0.1875</v>
      </c>
      <c r="R356" s="5">
        <f t="shared" ref="R356:R419" si="38">O356-P356</f>
        <v>-0.5625</v>
      </c>
      <c r="S356" s="5">
        <f t="shared" si="36"/>
        <v>3.4990428627362058</v>
      </c>
      <c r="T356" s="5">
        <f t="shared" ref="T356:T419" si="39">S356-D356</f>
        <v>1.302692862736206</v>
      </c>
      <c r="U356" s="1">
        <f t="shared" si="32"/>
        <v>2</v>
      </c>
      <c r="V356" s="1">
        <f t="shared" si="33"/>
        <v>2000</v>
      </c>
      <c r="W356" s="5">
        <v>0.98412000000000011</v>
      </c>
    </row>
    <row r="357" spans="1:23" x14ac:dyDescent="0.25">
      <c r="A357" s="13">
        <v>36586</v>
      </c>
      <c r="B357" s="5">
        <v>2.4169999999999998</v>
      </c>
      <c r="C357" s="5">
        <v>2.2200000000000002</v>
      </c>
      <c r="D357" s="5">
        <v>2.3066086956521739</v>
      </c>
      <c r="E357" s="5">
        <f t="shared" si="34"/>
        <v>0.11039130434782596</v>
      </c>
      <c r="F357" s="5">
        <f t="shared" si="35"/>
        <v>-8.6608695652173662E-2</v>
      </c>
      <c r="G357" s="33">
        <v>2.08</v>
      </c>
      <c r="H357" s="5">
        <f t="shared" si="29"/>
        <v>-0.22660869565217379</v>
      </c>
      <c r="K357" s="15">
        <f t="shared" si="30"/>
        <v>3.7142857142857144</v>
      </c>
      <c r="L357" s="15"/>
      <c r="M357" s="13">
        <f t="shared" si="31"/>
        <v>36586</v>
      </c>
      <c r="N357" s="5">
        <f>_xlfn.MAXIFS(Sheet1!$B$2:$B$6350,Sheet1!$E$2:$E$6350,Prices!$U357,Sheet1!$F$2:$F$6350,Prices!$V357)</f>
        <v>138</v>
      </c>
      <c r="O357" s="5">
        <f>_xlfn.MINIFS(Sheet1!$B$2:$B$6350,Sheet1!$E$2:$E$6350,Prices!$U357,Sheet1!$F$2:$F$6350,Prices!$V357)</f>
        <v>136.25</v>
      </c>
      <c r="P357" s="5">
        <f>AVERAGEIFS(Sheet1!$B$2:$B$6350,Sheet1!$E$2:$E$6350,Prices!$U357,Sheet1!$F$2:$F$6350,Prices!$V357)</f>
        <v>136.90217391304347</v>
      </c>
      <c r="Q357" s="5">
        <f t="shared" si="37"/>
        <v>1.0978260869565304</v>
      </c>
      <c r="R357" s="5">
        <f t="shared" si="38"/>
        <v>-0.65217391304346961</v>
      </c>
      <c r="S357" s="5">
        <f t="shared" si="36"/>
        <v>3.6044306353420308</v>
      </c>
      <c r="T357" s="5">
        <f t="shared" si="39"/>
        <v>1.2978219396898569</v>
      </c>
      <c r="U357" s="1">
        <f t="shared" si="32"/>
        <v>3</v>
      </c>
      <c r="V357" s="1">
        <f t="shared" si="33"/>
        <v>2000</v>
      </c>
      <c r="W357" s="5">
        <v>0.96478695652173907</v>
      </c>
    </row>
    <row r="358" spans="1:23" x14ac:dyDescent="0.25">
      <c r="A358" s="13">
        <v>36617</v>
      </c>
      <c r="B358" s="5">
        <v>2.395</v>
      </c>
      <c r="C358" s="5">
        <v>2.2250000000000001</v>
      </c>
      <c r="D358" s="5">
        <v>2.2745263157894735</v>
      </c>
      <c r="E358" s="5">
        <f t="shared" si="34"/>
        <v>0.12047368421052651</v>
      </c>
      <c r="F358" s="5">
        <f t="shared" si="35"/>
        <v>-4.9526315789473419E-2</v>
      </c>
      <c r="G358" s="33">
        <v>2.09</v>
      </c>
      <c r="H358" s="5">
        <f t="shared" si="29"/>
        <v>-0.18452631578947365</v>
      </c>
      <c r="K358" s="15">
        <f t="shared" si="30"/>
        <v>3.7321428571428568</v>
      </c>
      <c r="L358" s="15"/>
      <c r="M358" s="13">
        <f t="shared" si="31"/>
        <v>36617</v>
      </c>
      <c r="N358" s="5">
        <f>_xlfn.MAXIFS(Sheet1!$B$2:$B$6350,Sheet1!$E$2:$E$6350,Prices!$U358,Sheet1!$F$2:$F$6350,Prices!$V358)</f>
        <v>139</v>
      </c>
      <c r="O358" s="5">
        <f>_xlfn.MINIFS(Sheet1!$B$2:$B$6350,Sheet1!$E$2:$E$6350,Prices!$U358,Sheet1!$F$2:$F$6350,Prices!$V358)</f>
        <v>137.75</v>
      </c>
      <c r="P358" s="5">
        <f>AVERAGEIFS(Sheet1!$B$2:$B$6350,Sheet1!$E$2:$E$6350,Prices!$U358,Sheet1!$F$2:$F$6350,Prices!$V358)</f>
        <v>138.13888888888889</v>
      </c>
      <c r="Q358" s="5">
        <f t="shared" si="37"/>
        <v>0.86111111111111427</v>
      </c>
      <c r="R358" s="5">
        <f t="shared" si="38"/>
        <v>-0.38888888888888573</v>
      </c>
      <c r="S358" s="5">
        <f t="shared" si="36"/>
        <v>3.7113052994540965</v>
      </c>
      <c r="T358" s="5">
        <f t="shared" si="39"/>
        <v>1.436778983664623</v>
      </c>
      <c r="U358" s="1">
        <f t="shared" si="32"/>
        <v>4</v>
      </c>
      <c r="V358" s="1">
        <f t="shared" si="33"/>
        <v>2000</v>
      </c>
      <c r="W358" s="5">
        <v>0.94546842105263151</v>
      </c>
    </row>
    <row r="359" spans="1:23" x14ac:dyDescent="0.25">
      <c r="A359" s="13">
        <v>36647</v>
      </c>
      <c r="B359" s="5">
        <v>2.5819999999999999</v>
      </c>
      <c r="C359" s="5">
        <v>2.2250000000000001</v>
      </c>
      <c r="D359" s="5">
        <v>2.3948636363636364</v>
      </c>
      <c r="E359" s="5">
        <f t="shared" si="34"/>
        <v>0.18713636363636343</v>
      </c>
      <c r="F359" s="5">
        <f t="shared" si="35"/>
        <v>-0.16986363636363633</v>
      </c>
      <c r="G359" s="33">
        <v>2.15</v>
      </c>
      <c r="H359" s="5">
        <f t="shared" si="29"/>
        <v>-0.24486363636363651</v>
      </c>
      <c r="K359" s="15">
        <f t="shared" si="30"/>
        <v>3.839285714285714</v>
      </c>
      <c r="L359" s="15"/>
      <c r="M359" s="13">
        <f t="shared" si="31"/>
        <v>36647</v>
      </c>
      <c r="N359" s="5">
        <f>_xlfn.MAXIFS(Sheet1!$B$2:$B$6350,Sheet1!$E$2:$E$6350,Prices!$U359,Sheet1!$F$2:$F$6350,Prices!$V359)</f>
        <v>141.75</v>
      </c>
      <c r="O359" s="5">
        <f>_xlfn.MINIFS(Sheet1!$B$2:$B$6350,Sheet1!$E$2:$E$6350,Prices!$U359,Sheet1!$F$2:$F$6350,Prices!$V359)</f>
        <v>138</v>
      </c>
      <c r="P359" s="5">
        <f>AVERAGEIFS(Sheet1!$B$2:$B$6350,Sheet1!$E$2:$E$6350,Prices!$U359,Sheet1!$F$2:$F$6350,Prices!$V359)</f>
        <v>140.3452380952381</v>
      </c>
      <c r="Q359" s="5">
        <f t="shared" si="37"/>
        <v>1.404761904761898</v>
      </c>
      <c r="R359" s="5">
        <f t="shared" si="38"/>
        <v>-2.345238095238102</v>
      </c>
      <c r="S359" s="5">
        <f t="shared" si="36"/>
        <v>3.9287114387459861</v>
      </c>
      <c r="T359" s="5">
        <f t="shared" si="39"/>
        <v>1.5338478023823496</v>
      </c>
      <c r="U359" s="1">
        <f t="shared" si="32"/>
        <v>5</v>
      </c>
      <c r="V359" s="1">
        <f t="shared" si="33"/>
        <v>2000</v>
      </c>
      <c r="W359" s="5">
        <v>0.90741363636363626</v>
      </c>
    </row>
    <row r="360" spans="1:23" x14ac:dyDescent="0.25">
      <c r="A360" s="13">
        <v>36678</v>
      </c>
      <c r="B360" s="5">
        <v>2.327</v>
      </c>
      <c r="C360" s="5">
        <v>1.865</v>
      </c>
      <c r="D360" s="5">
        <v>2.0788636363636361</v>
      </c>
      <c r="E360" s="5">
        <f t="shared" si="34"/>
        <v>0.24813636363636382</v>
      </c>
      <c r="F360" s="5">
        <f t="shared" si="35"/>
        <v>-0.21386363636363614</v>
      </c>
      <c r="G360" s="33">
        <v>1.83</v>
      </c>
      <c r="H360" s="5">
        <f t="shared" si="29"/>
        <v>-0.24886363636363606</v>
      </c>
      <c r="K360" s="15">
        <f t="shared" si="30"/>
        <v>3.2678571428571432</v>
      </c>
      <c r="L360" s="15"/>
      <c r="M360" s="13">
        <f t="shared" si="31"/>
        <v>36678</v>
      </c>
      <c r="N360" s="5">
        <f>_xlfn.MAXIFS(Sheet1!$B$2:$B$6350,Sheet1!$E$2:$E$6350,Prices!$U360,Sheet1!$F$2:$F$6350,Prices!$V360)</f>
        <v>141.75</v>
      </c>
      <c r="O360" s="5">
        <f>_xlfn.MINIFS(Sheet1!$B$2:$B$6350,Sheet1!$E$2:$E$6350,Prices!$U360,Sheet1!$F$2:$F$6350,Prices!$V360)</f>
        <v>138</v>
      </c>
      <c r="P360" s="5">
        <f>AVERAGEIFS(Sheet1!$B$2:$B$6350,Sheet1!$E$2:$E$6350,Prices!$U360,Sheet1!$F$2:$F$6350,Prices!$V360)</f>
        <v>139.60714285714286</v>
      </c>
      <c r="Q360" s="5">
        <f t="shared" si="37"/>
        <v>2.1428571428571388</v>
      </c>
      <c r="R360" s="5">
        <f t="shared" si="38"/>
        <v>-1.6071428571428612</v>
      </c>
      <c r="S360" s="5">
        <f t="shared" si="36"/>
        <v>3.7341828627201945</v>
      </c>
      <c r="T360" s="5">
        <f t="shared" si="39"/>
        <v>1.6553192263565584</v>
      </c>
      <c r="U360" s="1">
        <f t="shared" si="32"/>
        <v>6</v>
      </c>
      <c r="V360" s="1">
        <f t="shared" si="33"/>
        <v>2000</v>
      </c>
      <c r="W360" s="5">
        <v>0.94966363636363627</v>
      </c>
    </row>
    <row r="361" spans="1:23" x14ac:dyDescent="0.25">
      <c r="A361" s="13">
        <v>36708</v>
      </c>
      <c r="B361" s="5">
        <v>1.97</v>
      </c>
      <c r="C361" s="5">
        <v>1.77</v>
      </c>
      <c r="D361" s="5">
        <v>1.8465</v>
      </c>
      <c r="E361" s="5">
        <f t="shared" si="34"/>
        <v>0.12349999999999994</v>
      </c>
      <c r="F361" s="5">
        <f t="shared" si="35"/>
        <v>-7.6500000000000012E-2</v>
      </c>
      <c r="G361" s="33">
        <v>1.53</v>
      </c>
      <c r="H361" s="5">
        <f t="shared" si="29"/>
        <v>-0.3165</v>
      </c>
      <c r="K361" s="15">
        <f t="shared" si="30"/>
        <v>2.7321428571428572</v>
      </c>
      <c r="L361" s="15"/>
      <c r="M361" s="13">
        <f t="shared" si="31"/>
        <v>36708</v>
      </c>
      <c r="N361" s="5">
        <f>_xlfn.MAXIFS(Sheet1!$B$2:$B$6350,Sheet1!$E$2:$E$6350,Prices!$U361,Sheet1!$F$2:$F$6350,Prices!$V361)</f>
        <v>164.5</v>
      </c>
      <c r="O361" s="5">
        <f>_xlfn.MINIFS(Sheet1!$B$2:$B$6350,Sheet1!$E$2:$E$6350,Prices!$U361,Sheet1!$F$2:$F$6350,Prices!$V361)</f>
        <v>143</v>
      </c>
      <c r="P361" s="5">
        <f>AVERAGEIFS(Sheet1!$B$2:$B$6350,Sheet1!$E$2:$E$6350,Prices!$U361,Sheet1!$F$2:$F$6350,Prices!$V361)</f>
        <v>150.8125</v>
      </c>
      <c r="Q361" s="5">
        <f t="shared" si="37"/>
        <v>13.6875</v>
      </c>
      <c r="R361" s="5">
        <f t="shared" si="38"/>
        <v>-7.8125</v>
      </c>
      <c r="S361" s="5">
        <f t="shared" si="36"/>
        <v>4.0806027931670767</v>
      </c>
      <c r="T361" s="5">
        <f t="shared" si="39"/>
        <v>2.2341027931670769</v>
      </c>
      <c r="U361" s="1">
        <f t="shared" si="32"/>
        <v>7</v>
      </c>
      <c r="V361" s="1">
        <f t="shared" si="33"/>
        <v>2000</v>
      </c>
      <c r="W361" s="5">
        <v>0.93879500000000005</v>
      </c>
    </row>
    <row r="362" spans="1:23" x14ac:dyDescent="0.25">
      <c r="A362" s="13">
        <v>36739</v>
      </c>
      <c r="B362" s="5">
        <v>1.85</v>
      </c>
      <c r="C362" s="5">
        <v>1.74</v>
      </c>
      <c r="D362" s="5">
        <v>1.7826521739130434</v>
      </c>
      <c r="E362" s="5">
        <f t="shared" si="34"/>
        <v>6.7347826086956664E-2</v>
      </c>
      <c r="F362" s="5">
        <f t="shared" si="35"/>
        <v>-4.2652173913043434E-2</v>
      </c>
      <c r="G362" s="33">
        <v>1.49</v>
      </c>
      <c r="H362" s="5">
        <f t="shared" si="29"/>
        <v>-0.29265217391304343</v>
      </c>
      <c r="K362" s="15">
        <f t="shared" si="30"/>
        <v>2.6607142857142856</v>
      </c>
      <c r="L362" s="15"/>
      <c r="M362" s="13">
        <f t="shared" si="31"/>
        <v>36739</v>
      </c>
      <c r="N362" s="5">
        <f>_xlfn.MAXIFS(Sheet1!$B$2:$B$6350,Sheet1!$E$2:$E$6350,Prices!$U362,Sheet1!$F$2:$F$6350,Prices!$V362)</f>
        <v>166</v>
      </c>
      <c r="O362" s="5">
        <f>_xlfn.MINIFS(Sheet1!$B$2:$B$6350,Sheet1!$E$2:$E$6350,Prices!$U362,Sheet1!$F$2:$F$6350,Prices!$V362)</f>
        <v>121.75</v>
      </c>
      <c r="P362" s="5">
        <f>AVERAGEIFS(Sheet1!$B$2:$B$6350,Sheet1!$E$2:$E$6350,Prices!$U362,Sheet1!$F$2:$F$6350,Prices!$V362)</f>
        <v>131.9</v>
      </c>
      <c r="Q362" s="5">
        <f t="shared" si="37"/>
        <v>34.099999999999994</v>
      </c>
      <c r="R362" s="5">
        <f t="shared" si="38"/>
        <v>-10.150000000000006</v>
      </c>
      <c r="S362" s="5">
        <f t="shared" si="36"/>
        <v>3.7054964134760868</v>
      </c>
      <c r="T362" s="5">
        <f t="shared" si="39"/>
        <v>1.9228442395630434</v>
      </c>
      <c r="U362" s="1">
        <f t="shared" si="32"/>
        <v>8</v>
      </c>
      <c r="V362" s="1">
        <f t="shared" si="33"/>
        <v>2000</v>
      </c>
      <c r="W362" s="5">
        <v>0.90418260869565226</v>
      </c>
    </row>
    <row r="363" spans="1:23" x14ac:dyDescent="0.25">
      <c r="A363" s="13">
        <v>36770</v>
      </c>
      <c r="B363" s="5">
        <v>1.9970000000000001</v>
      </c>
      <c r="C363" s="5">
        <v>1.867</v>
      </c>
      <c r="D363" s="5">
        <v>1.9292499999999999</v>
      </c>
      <c r="E363" s="5">
        <f t="shared" si="34"/>
        <v>6.7750000000000199E-2</v>
      </c>
      <c r="F363" s="5">
        <f t="shared" si="35"/>
        <v>-6.2249999999999917E-2</v>
      </c>
      <c r="G363" s="33">
        <v>1.58</v>
      </c>
      <c r="H363" s="5">
        <f t="shared" si="29"/>
        <v>-0.34924999999999984</v>
      </c>
      <c r="K363" s="15">
        <f t="shared" si="30"/>
        <v>2.8214285714285716</v>
      </c>
      <c r="L363" s="15"/>
      <c r="M363" s="13">
        <f t="shared" si="31"/>
        <v>36770</v>
      </c>
      <c r="N363" s="5">
        <f>_xlfn.MAXIFS(Sheet1!$B$2:$B$6350,Sheet1!$E$2:$E$6350,Prices!$U363,Sheet1!$F$2:$F$6350,Prices!$V363)</f>
        <v>123.25</v>
      </c>
      <c r="O363" s="5">
        <f>_xlfn.MINIFS(Sheet1!$B$2:$B$6350,Sheet1!$E$2:$E$6350,Prices!$U363,Sheet1!$F$2:$F$6350,Prices!$V363)</f>
        <v>121.75</v>
      </c>
      <c r="P363" s="5">
        <f>AVERAGEIFS(Sheet1!$B$2:$B$6350,Sheet1!$E$2:$E$6350,Prices!$U363,Sheet1!$F$2:$F$6350,Prices!$V363)</f>
        <v>122.625</v>
      </c>
      <c r="Q363" s="5">
        <f t="shared" si="37"/>
        <v>0.625</v>
      </c>
      <c r="R363" s="5">
        <f t="shared" si="38"/>
        <v>-0.875</v>
      </c>
      <c r="S363" s="5">
        <f t="shared" si="36"/>
        <v>3.5828170208294012</v>
      </c>
      <c r="T363" s="5">
        <f t="shared" si="39"/>
        <v>1.6535670208294013</v>
      </c>
      <c r="U363" s="1">
        <f t="shared" si="32"/>
        <v>9</v>
      </c>
      <c r="V363" s="1">
        <f t="shared" si="33"/>
        <v>2000</v>
      </c>
      <c r="W363" s="5">
        <v>0.86938499999999996</v>
      </c>
    </row>
    <row r="364" spans="1:23" x14ac:dyDescent="0.25">
      <c r="A364" s="13">
        <v>36800</v>
      </c>
      <c r="B364" s="5">
        <v>2.11</v>
      </c>
      <c r="C364" s="5">
        <v>1.9670000000000001</v>
      </c>
      <c r="D364" s="5">
        <v>2.0414545454545454</v>
      </c>
      <c r="E364" s="5">
        <f t="shared" si="34"/>
        <v>6.8545454545454465E-2</v>
      </c>
      <c r="F364" s="5">
        <f t="shared" si="35"/>
        <v>-7.4454545454545329E-2</v>
      </c>
      <c r="G364" s="33">
        <v>1.81</v>
      </c>
      <c r="H364" s="5">
        <f t="shared" si="29"/>
        <v>-0.23145454545454536</v>
      </c>
      <c r="K364" s="15">
        <f t="shared" si="30"/>
        <v>3.2321428571428572</v>
      </c>
      <c r="L364" s="15"/>
      <c r="M364" s="13">
        <f t="shared" si="31"/>
        <v>36800</v>
      </c>
      <c r="N364" s="5">
        <f>_xlfn.MAXIFS(Sheet1!$B$2:$B$6350,Sheet1!$E$2:$E$6350,Prices!$U364,Sheet1!$F$2:$F$6350,Prices!$V364)</f>
        <v>125.25</v>
      </c>
      <c r="O364" s="5">
        <f>_xlfn.MINIFS(Sheet1!$B$2:$B$6350,Sheet1!$E$2:$E$6350,Prices!$U364,Sheet1!$F$2:$F$6350,Prices!$V364)</f>
        <v>123.25</v>
      </c>
      <c r="P364" s="5">
        <f>AVERAGEIFS(Sheet1!$B$2:$B$6350,Sheet1!$E$2:$E$6350,Prices!$U364,Sheet1!$F$2:$F$6350,Prices!$V364)</f>
        <v>124.07954545454545</v>
      </c>
      <c r="Q364" s="5">
        <f t="shared" si="37"/>
        <v>1.1704545454545467</v>
      </c>
      <c r="R364" s="5">
        <f t="shared" si="38"/>
        <v>-0.82954545454545325</v>
      </c>
      <c r="S364" s="5">
        <f t="shared" si="36"/>
        <v>3.6939884207589535</v>
      </c>
      <c r="T364" s="5">
        <f t="shared" si="39"/>
        <v>1.6525338753044081</v>
      </c>
      <c r="U364" s="1">
        <f t="shared" si="32"/>
        <v>10</v>
      </c>
      <c r="V364" s="1">
        <f t="shared" si="33"/>
        <v>2000</v>
      </c>
      <c r="W364" s="5">
        <v>0.85322272727272752</v>
      </c>
    </row>
    <row r="365" spans="1:23" x14ac:dyDescent="0.25">
      <c r="A365" s="13">
        <v>36831</v>
      </c>
      <c r="B365" s="5">
        <v>2.165</v>
      </c>
      <c r="C365" s="5">
        <v>2.0419999999999998</v>
      </c>
      <c r="D365" s="5">
        <v>2.1063809523809525</v>
      </c>
      <c r="E365" s="5">
        <f t="shared" si="34"/>
        <v>5.8619047619047571E-2</v>
      </c>
      <c r="F365" s="5">
        <f t="shared" si="35"/>
        <v>-6.438095238095265E-2</v>
      </c>
      <c r="G365" s="33">
        <v>1.96</v>
      </c>
      <c r="H365" s="5">
        <f t="shared" si="29"/>
        <v>-0.1463809523809525</v>
      </c>
      <c r="K365" s="15">
        <f t="shared" si="30"/>
        <v>3.4999999999999996</v>
      </c>
      <c r="L365" s="15"/>
      <c r="M365" s="13">
        <f t="shared" si="31"/>
        <v>36831</v>
      </c>
      <c r="N365" s="5">
        <f>_xlfn.MAXIFS(Sheet1!$B$2:$B$6350,Sheet1!$E$2:$E$6350,Prices!$U365,Sheet1!$F$2:$F$6350,Prices!$V365)</f>
        <v>134.5</v>
      </c>
      <c r="O365" s="5">
        <f>_xlfn.MINIFS(Sheet1!$B$2:$B$6350,Sheet1!$E$2:$E$6350,Prices!$U365,Sheet1!$F$2:$F$6350,Prices!$V365)</f>
        <v>124</v>
      </c>
      <c r="P365" s="5">
        <f>AVERAGEIFS(Sheet1!$B$2:$B$6350,Sheet1!$E$2:$E$6350,Prices!$U365,Sheet1!$F$2:$F$6350,Prices!$V365)</f>
        <v>130.34090909090909</v>
      </c>
      <c r="Q365" s="5">
        <f t="shared" si="37"/>
        <v>4.1590909090909065</v>
      </c>
      <c r="R365" s="5">
        <f t="shared" si="38"/>
        <v>-6.3409090909090935</v>
      </c>
      <c r="S365" s="5">
        <f t="shared" si="36"/>
        <v>3.8672686025739895</v>
      </c>
      <c r="T365" s="5">
        <f t="shared" si="39"/>
        <v>1.7608876501930371</v>
      </c>
      <c r="U365" s="1">
        <f t="shared" si="32"/>
        <v>11</v>
      </c>
      <c r="V365" s="1">
        <f t="shared" si="33"/>
        <v>2000</v>
      </c>
      <c r="W365" s="5">
        <v>0.85611904761904745</v>
      </c>
    </row>
    <row r="366" spans="1:23" x14ac:dyDescent="0.25">
      <c r="A366" s="13">
        <v>36861</v>
      </c>
      <c r="B366" s="5">
        <v>2.3199999999999998</v>
      </c>
      <c r="C366" s="5">
        <v>2.1419999999999999</v>
      </c>
      <c r="D366" s="5">
        <v>2.2226499999999998</v>
      </c>
      <c r="E366" s="5">
        <f t="shared" si="34"/>
        <v>9.7350000000000048E-2</v>
      </c>
      <c r="F366" s="5">
        <f t="shared" si="35"/>
        <v>-8.0649999999999888E-2</v>
      </c>
      <c r="G366" s="33">
        <v>2.0099999999999998</v>
      </c>
      <c r="H366" s="5">
        <f t="shared" si="29"/>
        <v>-0.21265000000000001</v>
      </c>
      <c r="K366" s="15">
        <f t="shared" si="30"/>
        <v>3.5892857142857135</v>
      </c>
      <c r="L366" s="15"/>
      <c r="M366" s="13">
        <f t="shared" si="31"/>
        <v>36861</v>
      </c>
      <c r="N366" s="5">
        <f>_xlfn.MAXIFS(Sheet1!$B$2:$B$6350,Sheet1!$E$2:$E$6350,Prices!$U366,Sheet1!$F$2:$F$6350,Prices!$V366)</f>
        <v>134.75</v>
      </c>
      <c r="O366" s="5">
        <f>_xlfn.MINIFS(Sheet1!$B$2:$B$6350,Sheet1!$E$2:$E$6350,Prices!$U366,Sheet1!$F$2:$F$6350,Prices!$V366)</f>
        <v>132</v>
      </c>
      <c r="P366" s="5">
        <f>AVERAGEIFS(Sheet1!$B$2:$B$6350,Sheet1!$E$2:$E$6350,Prices!$U366,Sheet1!$F$2:$F$6350,Prices!$V366)</f>
        <v>133.52631578947367</v>
      </c>
      <c r="Q366" s="5">
        <f t="shared" si="37"/>
        <v>1.2236842105263293</v>
      </c>
      <c r="R366" s="5">
        <f t="shared" si="38"/>
        <v>-1.5263157894736707</v>
      </c>
      <c r="S366" s="5">
        <f t="shared" si="36"/>
        <v>3.7685551027886848</v>
      </c>
      <c r="T366" s="5">
        <f t="shared" si="39"/>
        <v>1.545905102788685</v>
      </c>
      <c r="U366" s="1">
        <f t="shared" si="32"/>
        <v>12</v>
      </c>
      <c r="V366" s="1">
        <f t="shared" si="33"/>
        <v>2000</v>
      </c>
      <c r="W366" s="5">
        <v>0.90001500000000001</v>
      </c>
    </row>
    <row r="367" spans="1:23" x14ac:dyDescent="0.25">
      <c r="A367" s="13">
        <v>36892</v>
      </c>
      <c r="B367" s="5">
        <v>2.3199999999999998</v>
      </c>
      <c r="C367" s="5">
        <v>2.0649999999999999</v>
      </c>
      <c r="D367" s="5">
        <v>2.1897142857142859</v>
      </c>
      <c r="E367" s="5">
        <f t="shared" si="34"/>
        <v>0.13028571428571389</v>
      </c>
      <c r="F367" s="5">
        <f t="shared" si="35"/>
        <v>-0.124714285714286</v>
      </c>
      <c r="G367" s="33">
        <v>1.99</v>
      </c>
      <c r="H367" s="5">
        <f t="shared" si="29"/>
        <v>-0.19971428571428596</v>
      </c>
      <c r="K367" s="15">
        <f t="shared" si="30"/>
        <v>3.5535714285714288</v>
      </c>
      <c r="L367" s="15"/>
      <c r="M367" s="13">
        <f t="shared" si="31"/>
        <v>36892</v>
      </c>
      <c r="N367" s="5">
        <f>_xlfn.MAXIFS(Sheet1!$B$2:$B$6350,Sheet1!$E$2:$E$6350,Prices!$U367,Sheet1!$F$2:$F$6350,Prices!$V367)</f>
        <v>133.5</v>
      </c>
      <c r="O367" s="5">
        <f>_xlfn.MINIFS(Sheet1!$B$2:$B$6350,Sheet1!$E$2:$E$6350,Prices!$U367,Sheet1!$F$2:$F$6350,Prices!$V367)</f>
        <v>131.25</v>
      </c>
      <c r="P367" s="5">
        <f>AVERAGEIFS(Sheet1!$B$2:$B$6350,Sheet1!$E$2:$E$6350,Prices!$U367,Sheet1!$F$2:$F$6350,Prices!$V367)</f>
        <v>132.20454545454547</v>
      </c>
      <c r="Q367" s="5">
        <f t="shared" si="37"/>
        <v>1.2954545454545325</v>
      </c>
      <c r="R367" s="5">
        <f t="shared" si="38"/>
        <v>-0.95454545454546746</v>
      </c>
      <c r="S367" s="5">
        <f t="shared" si="36"/>
        <v>3.5803142199748308</v>
      </c>
      <c r="T367" s="5">
        <f t="shared" si="39"/>
        <v>1.3905999342605448</v>
      </c>
      <c r="U367" s="1">
        <f t="shared" si="32"/>
        <v>1</v>
      </c>
      <c r="V367" s="1">
        <f t="shared" si="33"/>
        <v>2001</v>
      </c>
      <c r="W367" s="5">
        <v>0.93795714285714282</v>
      </c>
    </row>
    <row r="368" spans="1:23" x14ac:dyDescent="0.25">
      <c r="A368" s="13">
        <v>36923</v>
      </c>
      <c r="B368" s="5">
        <v>2.1549999999999998</v>
      </c>
      <c r="C368" s="5">
        <v>2.085</v>
      </c>
      <c r="D368" s="5">
        <v>2.1127894736842108</v>
      </c>
      <c r="E368" s="5">
        <f t="shared" si="34"/>
        <v>4.2210526315789032E-2</v>
      </c>
      <c r="F368" s="5">
        <f t="shared" si="35"/>
        <v>-2.7789473684210808E-2</v>
      </c>
      <c r="G368" s="33">
        <v>1.95</v>
      </c>
      <c r="H368" s="5">
        <f t="shared" si="29"/>
        <v>-0.16278947368421082</v>
      </c>
      <c r="K368" s="15">
        <f t="shared" si="30"/>
        <v>3.4821428571428572</v>
      </c>
      <c r="L368" s="15"/>
      <c r="M368" s="13">
        <f t="shared" si="31"/>
        <v>36923</v>
      </c>
      <c r="N368" s="5">
        <f>_xlfn.MAXIFS(Sheet1!$B$2:$B$6350,Sheet1!$E$2:$E$6350,Prices!$U368,Sheet1!$F$2:$F$6350,Prices!$V368)</f>
        <v>133</v>
      </c>
      <c r="O368" s="5">
        <f>_xlfn.MINIFS(Sheet1!$B$2:$B$6350,Sheet1!$E$2:$E$6350,Prices!$U368,Sheet1!$F$2:$F$6350,Prices!$V368)</f>
        <v>131</v>
      </c>
      <c r="P368" s="5">
        <f>AVERAGEIFS(Sheet1!$B$2:$B$6350,Sheet1!$E$2:$E$6350,Prices!$U368,Sheet1!$F$2:$F$6350,Prices!$V368)</f>
        <v>131.67500000000001</v>
      </c>
      <c r="Q368" s="5">
        <f t="shared" si="37"/>
        <v>1.3249999999999886</v>
      </c>
      <c r="R368" s="5">
        <f t="shared" si="38"/>
        <v>-0.67500000000001137</v>
      </c>
      <c r="S368" s="5">
        <f t="shared" si="36"/>
        <v>3.6321476781018012</v>
      </c>
      <c r="T368" s="5">
        <f t="shared" si="39"/>
        <v>1.5193582044175904</v>
      </c>
      <c r="U368" s="1">
        <f t="shared" si="32"/>
        <v>2</v>
      </c>
      <c r="V368" s="1">
        <f t="shared" si="33"/>
        <v>2001</v>
      </c>
      <c r="W368" s="5">
        <v>0.92086842105263178</v>
      </c>
    </row>
    <row r="369" spans="1:23" x14ac:dyDescent="0.25">
      <c r="A369" s="13">
        <v>36951</v>
      </c>
      <c r="B369" s="5">
        <v>2.2570000000000001</v>
      </c>
      <c r="C369" s="5">
        <v>2.0249999999999999</v>
      </c>
      <c r="D369" s="5">
        <v>2.1424090909090912</v>
      </c>
      <c r="E369" s="5">
        <f t="shared" si="34"/>
        <v>0.11459090909090897</v>
      </c>
      <c r="F369" s="5">
        <f t="shared" si="35"/>
        <v>-0.11740909090909124</v>
      </c>
      <c r="G369" s="33">
        <v>1.92</v>
      </c>
      <c r="H369" s="5">
        <f t="shared" si="29"/>
        <v>-0.22240909090909122</v>
      </c>
      <c r="K369" s="15">
        <f t="shared" si="30"/>
        <v>3.4285714285714288</v>
      </c>
      <c r="L369" s="15"/>
      <c r="M369" s="13">
        <f t="shared" si="31"/>
        <v>36951</v>
      </c>
      <c r="N369" s="5">
        <f>_xlfn.MAXIFS(Sheet1!$B$2:$B$6350,Sheet1!$E$2:$E$6350,Prices!$U369,Sheet1!$F$2:$F$6350,Prices!$V369)</f>
        <v>134.25</v>
      </c>
      <c r="O369" s="5">
        <f>_xlfn.MINIFS(Sheet1!$B$2:$B$6350,Sheet1!$E$2:$E$6350,Prices!$U369,Sheet1!$F$2:$F$6350,Prices!$V369)</f>
        <v>131</v>
      </c>
      <c r="P369" s="5">
        <f>AVERAGEIFS(Sheet1!$B$2:$B$6350,Sheet1!$E$2:$E$6350,Prices!$U369,Sheet1!$F$2:$F$6350,Prices!$V369)</f>
        <v>132.68181818181819</v>
      </c>
      <c r="Q369" s="5">
        <f t="shared" si="37"/>
        <v>1.568181818181813</v>
      </c>
      <c r="R369" s="5">
        <f t="shared" si="38"/>
        <v>-1.681818181818187</v>
      </c>
      <c r="S369" s="5">
        <f t="shared" si="36"/>
        <v>3.7098393054591567</v>
      </c>
      <c r="T369" s="5">
        <f t="shared" si="39"/>
        <v>1.5674302145500656</v>
      </c>
      <c r="U369" s="1">
        <f t="shared" si="32"/>
        <v>3</v>
      </c>
      <c r="V369" s="1">
        <f t="shared" si="33"/>
        <v>2001</v>
      </c>
      <c r="W369" s="5">
        <v>0.90847727272727274</v>
      </c>
    </row>
    <row r="370" spans="1:23" x14ac:dyDescent="0.25">
      <c r="A370" s="13">
        <v>36982</v>
      </c>
      <c r="B370" s="5">
        <v>2.1469999999999998</v>
      </c>
      <c r="C370" s="5">
        <v>1.9319999999999999</v>
      </c>
      <c r="D370" s="5">
        <v>2.0557500000000002</v>
      </c>
      <c r="E370" s="5">
        <f t="shared" si="34"/>
        <v>9.1249999999999609E-2</v>
      </c>
      <c r="F370" s="5">
        <f t="shared" si="35"/>
        <v>-0.12375000000000025</v>
      </c>
      <c r="G370" s="33">
        <v>1.87</v>
      </c>
      <c r="H370" s="5">
        <f t="shared" si="29"/>
        <v>-0.18575000000000008</v>
      </c>
      <c r="K370" s="15">
        <f t="shared" si="30"/>
        <v>3.3392857142857149</v>
      </c>
      <c r="L370" s="15"/>
      <c r="M370" s="13">
        <f t="shared" si="31"/>
        <v>36982</v>
      </c>
      <c r="N370" s="5">
        <f>_xlfn.MAXIFS(Sheet1!$B$2:$B$6350,Sheet1!$E$2:$E$6350,Prices!$U370,Sheet1!$F$2:$F$6350,Prices!$V370)</f>
        <v>131.5</v>
      </c>
      <c r="O370" s="5">
        <f>_xlfn.MINIFS(Sheet1!$B$2:$B$6350,Sheet1!$E$2:$E$6350,Prices!$U370,Sheet1!$F$2:$F$6350,Prices!$V370)</f>
        <v>131</v>
      </c>
      <c r="P370" s="5">
        <f>AVERAGEIFS(Sheet1!$B$2:$B$6350,Sheet1!$E$2:$E$6350,Prices!$U370,Sheet1!$F$2:$F$6350,Prices!$V370)</f>
        <v>131.26315789473685</v>
      </c>
      <c r="Q370" s="5">
        <f t="shared" si="37"/>
        <v>0.23684210526315042</v>
      </c>
      <c r="R370" s="5">
        <f t="shared" si="38"/>
        <v>-0.26315789473684958</v>
      </c>
      <c r="S370" s="5">
        <f t="shared" si="36"/>
        <v>3.7320074197137716</v>
      </c>
      <c r="T370" s="5">
        <f t="shared" si="39"/>
        <v>1.6762574197137714</v>
      </c>
      <c r="U370" s="1">
        <f t="shared" si="32"/>
        <v>4</v>
      </c>
      <c r="V370" s="1">
        <f t="shared" si="33"/>
        <v>2001</v>
      </c>
      <c r="W370" s="5">
        <v>0.89342500000000002</v>
      </c>
    </row>
    <row r="371" spans="1:23" x14ac:dyDescent="0.25">
      <c r="A371" s="13">
        <v>37012</v>
      </c>
      <c r="B371" s="5">
        <v>2.1150000000000002</v>
      </c>
      <c r="C371" s="5">
        <v>1.877</v>
      </c>
      <c r="D371" s="5">
        <v>1.9940454545454545</v>
      </c>
      <c r="E371" s="5">
        <f t="shared" si="34"/>
        <v>0.12095454545454576</v>
      </c>
      <c r="F371" s="5">
        <f t="shared" si="35"/>
        <v>-0.11704545454545445</v>
      </c>
      <c r="G371" s="33">
        <v>1.78</v>
      </c>
      <c r="H371" s="5">
        <f t="shared" ref="H371:H434" si="40">G371-D371</f>
        <v>-0.21404545454545443</v>
      </c>
      <c r="K371" s="15">
        <f t="shared" si="30"/>
        <v>3.1785714285714284</v>
      </c>
      <c r="L371" s="15"/>
      <c r="M371" s="13">
        <f t="shared" si="31"/>
        <v>37012</v>
      </c>
      <c r="N371" s="5">
        <f>_xlfn.MAXIFS(Sheet1!$B$2:$B$6350,Sheet1!$E$2:$E$6350,Prices!$U371,Sheet1!$F$2:$F$6350,Prices!$V371)</f>
        <v>134.5</v>
      </c>
      <c r="O371" s="5">
        <f>_xlfn.MINIFS(Sheet1!$B$2:$B$6350,Sheet1!$E$2:$E$6350,Prices!$U371,Sheet1!$F$2:$F$6350,Prices!$V371)</f>
        <v>131.75</v>
      </c>
      <c r="P371" s="5">
        <f>AVERAGEIFS(Sheet1!$B$2:$B$6350,Sheet1!$E$2:$E$6350,Prices!$U371,Sheet1!$F$2:$F$6350,Prices!$V371)</f>
        <v>133.35227272727272</v>
      </c>
      <c r="Q371" s="5">
        <f t="shared" si="37"/>
        <v>1.1477272727272805</v>
      </c>
      <c r="R371" s="5">
        <f t="shared" si="38"/>
        <v>-1.6022727272727195</v>
      </c>
      <c r="S371" s="5">
        <f t="shared" si="36"/>
        <v>3.8699736716211244</v>
      </c>
      <c r="T371" s="5">
        <f t="shared" si="39"/>
        <v>1.8759282170756699</v>
      </c>
      <c r="U371" s="1">
        <f t="shared" si="32"/>
        <v>5</v>
      </c>
      <c r="V371" s="1">
        <f t="shared" si="33"/>
        <v>2001</v>
      </c>
      <c r="W371" s="5">
        <v>0.87528636363636381</v>
      </c>
    </row>
    <row r="372" spans="1:23" x14ac:dyDescent="0.25">
      <c r="A372" s="13">
        <v>37043</v>
      </c>
      <c r="B372" s="5">
        <v>2.0150000000000001</v>
      </c>
      <c r="C372" s="5">
        <v>1.84</v>
      </c>
      <c r="D372" s="5">
        <v>1.926857142857143</v>
      </c>
      <c r="E372" s="5">
        <f t="shared" si="34"/>
        <v>8.8142857142857078E-2</v>
      </c>
      <c r="F372" s="5">
        <f t="shared" si="35"/>
        <v>-8.6857142857142966E-2</v>
      </c>
      <c r="G372" s="33">
        <v>1.76</v>
      </c>
      <c r="H372" s="5">
        <f t="shared" si="40"/>
        <v>-0.16685714285714304</v>
      </c>
      <c r="K372" s="15">
        <f t="shared" si="30"/>
        <v>3.1428571428571432</v>
      </c>
      <c r="L372" s="15"/>
      <c r="M372" s="13">
        <f t="shared" si="31"/>
        <v>37043</v>
      </c>
      <c r="N372" s="5">
        <f>_xlfn.MAXIFS(Sheet1!$B$2:$B$6350,Sheet1!$E$2:$E$6350,Prices!$U372,Sheet1!$F$2:$F$6350,Prices!$V372)</f>
        <v>139.5</v>
      </c>
      <c r="O372" s="5">
        <f>_xlfn.MINIFS(Sheet1!$B$2:$B$6350,Sheet1!$E$2:$E$6350,Prices!$U372,Sheet1!$F$2:$F$6350,Prices!$V372)</f>
        <v>134.25</v>
      </c>
      <c r="P372" s="5">
        <f>AVERAGEIFS(Sheet1!$B$2:$B$6350,Sheet1!$E$2:$E$6350,Prices!$U372,Sheet1!$F$2:$F$6350,Prices!$V372)</f>
        <v>137.30000000000001</v>
      </c>
      <c r="Q372" s="5">
        <f t="shared" si="37"/>
        <v>2.1999999999999886</v>
      </c>
      <c r="R372" s="5">
        <f t="shared" si="38"/>
        <v>-3.0500000000000114</v>
      </c>
      <c r="S372" s="5">
        <f t="shared" si="36"/>
        <v>4.0860888125872883</v>
      </c>
      <c r="T372" s="5">
        <f t="shared" si="39"/>
        <v>2.1592316697301452</v>
      </c>
      <c r="U372" s="1">
        <f t="shared" si="32"/>
        <v>6</v>
      </c>
      <c r="V372" s="1">
        <f t="shared" si="33"/>
        <v>2001</v>
      </c>
      <c r="W372" s="5">
        <v>0.85353333333333314</v>
      </c>
    </row>
    <row r="373" spans="1:23" x14ac:dyDescent="0.25">
      <c r="A373" s="13">
        <v>37073</v>
      </c>
      <c r="B373" s="5">
        <v>2.36</v>
      </c>
      <c r="C373" s="5">
        <v>1.94</v>
      </c>
      <c r="D373" s="5">
        <v>2.1551904761904765</v>
      </c>
      <c r="E373" s="5">
        <f t="shared" si="34"/>
        <v>0.20480952380952333</v>
      </c>
      <c r="F373" s="5">
        <f t="shared" si="35"/>
        <v>-0.2151904761904766</v>
      </c>
      <c r="G373" s="33">
        <v>1.92</v>
      </c>
      <c r="H373" s="5">
        <f t="shared" si="40"/>
        <v>-0.23519047619047662</v>
      </c>
      <c r="K373" s="15">
        <f t="shared" si="30"/>
        <v>3.4285714285714288</v>
      </c>
      <c r="L373" s="15"/>
      <c r="M373" s="13">
        <f t="shared" si="31"/>
        <v>37073</v>
      </c>
      <c r="N373" s="5">
        <f>_xlfn.MAXIFS(Sheet1!$B$2:$B$6350,Sheet1!$E$2:$E$6350,Prices!$U373,Sheet1!$F$2:$F$6350,Prices!$V373)</f>
        <v>142.75</v>
      </c>
      <c r="O373" s="5">
        <f>_xlfn.MINIFS(Sheet1!$B$2:$B$6350,Sheet1!$E$2:$E$6350,Prices!$U373,Sheet1!$F$2:$F$6350,Prices!$V373)</f>
        <v>137.5</v>
      </c>
      <c r="P373" s="5">
        <f>AVERAGEIFS(Sheet1!$B$2:$B$6350,Sheet1!$E$2:$E$6350,Prices!$U373,Sheet1!$F$2:$F$6350,Prices!$V373)</f>
        <v>140.21590909090909</v>
      </c>
      <c r="Q373" s="5">
        <f t="shared" si="37"/>
        <v>2.5340909090909065</v>
      </c>
      <c r="R373" s="5">
        <f t="shared" si="38"/>
        <v>-2.7159090909090935</v>
      </c>
      <c r="S373" s="5">
        <f t="shared" si="36"/>
        <v>4.1299414749053911</v>
      </c>
      <c r="T373" s="5">
        <f t="shared" si="39"/>
        <v>1.9747509987149146</v>
      </c>
      <c r="U373" s="1">
        <f t="shared" si="32"/>
        <v>7</v>
      </c>
      <c r="V373" s="1">
        <f t="shared" si="33"/>
        <v>2001</v>
      </c>
      <c r="W373" s="5">
        <v>0.86240476190476212</v>
      </c>
    </row>
    <row r="374" spans="1:23" x14ac:dyDescent="0.25">
      <c r="A374" s="13">
        <v>37104</v>
      </c>
      <c r="B374" s="5">
        <v>2.2549999999999999</v>
      </c>
      <c r="C374" s="5">
        <v>2.0870000000000002</v>
      </c>
      <c r="D374" s="5">
        <v>2.1695217391304347</v>
      </c>
      <c r="E374" s="5">
        <f t="shared" si="34"/>
        <v>8.5478260869565226E-2</v>
      </c>
      <c r="F374" s="5">
        <f t="shared" si="35"/>
        <v>-8.2521739130434479E-2</v>
      </c>
      <c r="G374" s="33">
        <v>2</v>
      </c>
      <c r="H374" s="5">
        <f t="shared" si="40"/>
        <v>-0.16952173913043467</v>
      </c>
      <c r="K374" s="15">
        <f t="shared" si="30"/>
        <v>3.5714285714285712</v>
      </c>
      <c r="L374" s="15"/>
      <c r="M374" s="13">
        <f t="shared" si="31"/>
        <v>37104</v>
      </c>
      <c r="N374" s="5">
        <f>_xlfn.MAXIFS(Sheet1!$B$2:$B$6350,Sheet1!$E$2:$E$6350,Prices!$U374,Sheet1!$F$2:$F$6350,Prices!$V374)</f>
        <v>139.25</v>
      </c>
      <c r="O374" s="5">
        <f>_xlfn.MINIFS(Sheet1!$B$2:$B$6350,Sheet1!$E$2:$E$6350,Prices!$U374,Sheet1!$F$2:$F$6350,Prices!$V374)</f>
        <v>128.5</v>
      </c>
      <c r="P374" s="5">
        <f>AVERAGEIFS(Sheet1!$B$2:$B$6350,Sheet1!$E$2:$E$6350,Prices!$U374,Sheet1!$F$2:$F$6350,Prices!$V374)</f>
        <v>131.03260869565219</v>
      </c>
      <c r="Q374" s="5">
        <f t="shared" si="37"/>
        <v>8.2173913043478137</v>
      </c>
      <c r="R374" s="5">
        <f t="shared" si="38"/>
        <v>-2.5326086956521863</v>
      </c>
      <c r="S374" s="5">
        <f t="shared" si="36"/>
        <v>3.6888091047487945</v>
      </c>
      <c r="T374" s="5">
        <f t="shared" si="39"/>
        <v>1.5192873656183599</v>
      </c>
      <c r="U374" s="1">
        <f t="shared" si="32"/>
        <v>8</v>
      </c>
      <c r="V374" s="1">
        <f t="shared" si="33"/>
        <v>2001</v>
      </c>
      <c r="W374" s="5">
        <v>0.90229999999999999</v>
      </c>
    </row>
    <row r="375" spans="1:23" x14ac:dyDescent="0.25">
      <c r="A375" s="13">
        <v>37135</v>
      </c>
      <c r="B375" s="5">
        <v>2.3250000000000002</v>
      </c>
      <c r="C375" s="5">
        <v>2.137</v>
      </c>
      <c r="D375" s="5">
        <v>2.2166666666666668</v>
      </c>
      <c r="E375" s="5">
        <f t="shared" si="34"/>
        <v>0.10833333333333339</v>
      </c>
      <c r="F375" s="5">
        <f t="shared" si="35"/>
        <v>-7.9666666666666774E-2</v>
      </c>
      <c r="G375" s="33">
        <v>1.94</v>
      </c>
      <c r="H375" s="5">
        <f t="shared" si="40"/>
        <v>-0.27666666666666684</v>
      </c>
      <c r="K375" s="15">
        <f t="shared" si="30"/>
        <v>3.4642857142857144</v>
      </c>
      <c r="L375" s="15"/>
      <c r="M375" s="13">
        <f t="shared" si="31"/>
        <v>37135</v>
      </c>
      <c r="N375" s="5">
        <f>_xlfn.MAXIFS(Sheet1!$B$2:$B$6350,Sheet1!$E$2:$E$6350,Prices!$U375,Sheet1!$F$2:$F$6350,Prices!$V375)</f>
        <v>129</v>
      </c>
      <c r="O375" s="5">
        <f>_xlfn.MINIFS(Sheet1!$B$2:$B$6350,Sheet1!$E$2:$E$6350,Prices!$U375,Sheet1!$F$2:$F$6350,Prices!$V375)</f>
        <v>126.5</v>
      </c>
      <c r="P375" s="5">
        <f>AVERAGEIFS(Sheet1!$B$2:$B$6350,Sheet1!$E$2:$E$6350,Prices!$U375,Sheet1!$F$2:$F$6350,Prices!$V375)</f>
        <v>127.33750000000001</v>
      </c>
      <c r="Q375" s="5">
        <f t="shared" si="37"/>
        <v>1.6624999999999943</v>
      </c>
      <c r="R375" s="5">
        <f t="shared" si="38"/>
        <v>-0.83750000000000568</v>
      </c>
      <c r="S375" s="5">
        <f t="shared" si="36"/>
        <v>3.5424988404581979</v>
      </c>
      <c r="T375" s="5">
        <f t="shared" si="39"/>
        <v>1.3258321737915311</v>
      </c>
      <c r="U375" s="1">
        <f t="shared" si="32"/>
        <v>9</v>
      </c>
      <c r="V375" s="1">
        <f t="shared" si="33"/>
        <v>2001</v>
      </c>
      <c r="W375" s="5">
        <v>0.91307058823529419</v>
      </c>
    </row>
    <row r="376" spans="1:23" x14ac:dyDescent="0.25">
      <c r="A376" s="13">
        <v>37165</v>
      </c>
      <c r="B376" s="5">
        <v>2.1669999999999998</v>
      </c>
      <c r="C376" s="5">
        <v>2.02</v>
      </c>
      <c r="D376" s="5">
        <v>2.0841304347826086</v>
      </c>
      <c r="E376" s="5">
        <f t="shared" si="34"/>
        <v>8.2869565217391195E-2</v>
      </c>
      <c r="F376" s="5">
        <f t="shared" si="35"/>
        <v>-6.4130434782608603E-2</v>
      </c>
      <c r="G376" s="33">
        <v>1.84</v>
      </c>
      <c r="H376" s="5">
        <f t="shared" si="40"/>
        <v>-0.24413043478260854</v>
      </c>
      <c r="K376" s="15">
        <f t="shared" si="30"/>
        <v>3.2857142857142856</v>
      </c>
      <c r="L376" s="15"/>
      <c r="M376" s="13">
        <f t="shared" si="31"/>
        <v>37165</v>
      </c>
      <c r="N376" s="5">
        <f>_xlfn.MAXIFS(Sheet1!$B$2:$B$6350,Sheet1!$E$2:$E$6350,Prices!$U376,Sheet1!$F$2:$F$6350,Prices!$V376)</f>
        <v>126.25</v>
      </c>
      <c r="O376" s="5">
        <f>_xlfn.MINIFS(Sheet1!$B$2:$B$6350,Sheet1!$E$2:$E$6350,Prices!$U376,Sheet1!$F$2:$F$6350,Prices!$V376)</f>
        <v>123.5</v>
      </c>
      <c r="P376" s="5">
        <f>AVERAGEIFS(Sheet1!$B$2:$B$6350,Sheet1!$E$2:$E$6350,Prices!$U376,Sheet1!$F$2:$F$6350,Prices!$V376)</f>
        <v>125</v>
      </c>
      <c r="Q376" s="5">
        <f t="shared" si="37"/>
        <v>1.25</v>
      </c>
      <c r="R376" s="5">
        <f t="shared" si="38"/>
        <v>-1.5</v>
      </c>
      <c r="S376" s="5">
        <f t="shared" si="36"/>
        <v>3.5048107879882031</v>
      </c>
      <c r="T376" s="5">
        <f t="shared" si="39"/>
        <v>1.4206803532055945</v>
      </c>
      <c r="U376" s="1">
        <f t="shared" si="32"/>
        <v>10</v>
      </c>
      <c r="V376" s="1">
        <f t="shared" si="33"/>
        <v>2001</v>
      </c>
      <c r="W376" s="5">
        <v>0.90594782608695634</v>
      </c>
    </row>
    <row r="377" spans="1:23" x14ac:dyDescent="0.25">
      <c r="A377" s="13">
        <v>37196</v>
      </c>
      <c r="B377" s="5">
        <v>2.1</v>
      </c>
      <c r="C377" s="5">
        <v>1.982</v>
      </c>
      <c r="D377" s="5">
        <v>2.0487619047619048</v>
      </c>
      <c r="E377" s="5">
        <f t="shared" si="34"/>
        <v>5.1238095238095305E-2</v>
      </c>
      <c r="F377" s="5">
        <f t="shared" si="35"/>
        <v>-6.67619047619048E-2</v>
      </c>
      <c r="G377" s="33">
        <v>1.9</v>
      </c>
      <c r="H377" s="5">
        <f t="shared" si="40"/>
        <v>-0.14876190476190487</v>
      </c>
      <c r="K377" s="15">
        <f t="shared" si="30"/>
        <v>3.3928571428571428</v>
      </c>
      <c r="L377" s="15"/>
      <c r="M377" s="13">
        <f t="shared" si="31"/>
        <v>37196</v>
      </c>
      <c r="N377" s="5">
        <f>_xlfn.MAXIFS(Sheet1!$B$2:$B$6350,Sheet1!$E$2:$E$6350,Prices!$U377,Sheet1!$F$2:$F$6350,Prices!$V377)</f>
        <v>124.5</v>
      </c>
      <c r="O377" s="5">
        <f>_xlfn.MINIFS(Sheet1!$B$2:$B$6350,Sheet1!$E$2:$E$6350,Prices!$U377,Sheet1!$F$2:$F$6350,Prices!$V377)</f>
        <v>124.25</v>
      </c>
      <c r="P377" s="5">
        <f>AVERAGEIFS(Sheet1!$B$2:$B$6350,Sheet1!$E$2:$E$6350,Prices!$U377,Sheet1!$F$2:$F$6350,Prices!$V377)</f>
        <v>124.41666666666667</v>
      </c>
      <c r="Q377" s="5">
        <f t="shared" si="37"/>
        <v>8.3333333333328596E-2</v>
      </c>
      <c r="R377" s="5">
        <f t="shared" si="38"/>
        <v>-0.1666666666666714</v>
      </c>
      <c r="S377" s="5">
        <f t="shared" si="36"/>
        <v>3.5569973030078077</v>
      </c>
      <c r="T377" s="5">
        <f t="shared" si="39"/>
        <v>1.5082353982459029</v>
      </c>
      <c r="U377" s="1">
        <f t="shared" si="32"/>
        <v>11</v>
      </c>
      <c r="V377" s="1">
        <f t="shared" si="33"/>
        <v>2001</v>
      </c>
      <c r="W377" s="5">
        <v>0.88849047619047616</v>
      </c>
    </row>
    <row r="378" spans="1:23" x14ac:dyDescent="0.25">
      <c r="A378" s="13">
        <v>37226</v>
      </c>
      <c r="B378" s="5">
        <v>2.23</v>
      </c>
      <c r="C378" s="5">
        <v>2.08</v>
      </c>
      <c r="D378" s="5">
        <v>2.1523157894736844</v>
      </c>
      <c r="E378" s="5">
        <f t="shared" si="34"/>
        <v>7.7684210526315578E-2</v>
      </c>
      <c r="F378" s="5">
        <f t="shared" si="35"/>
        <v>-7.2315789473684333E-2</v>
      </c>
      <c r="G378" s="33">
        <v>1.97</v>
      </c>
      <c r="H378" s="5">
        <f t="shared" si="40"/>
        <v>-0.18231578947368443</v>
      </c>
      <c r="K378" s="15">
        <f t="shared" si="30"/>
        <v>3.5178571428571428</v>
      </c>
      <c r="L378" s="15"/>
      <c r="M378" s="13">
        <f t="shared" si="31"/>
        <v>37226</v>
      </c>
      <c r="N378" s="5">
        <f>_xlfn.MAXIFS(Sheet1!$B$2:$B$6350,Sheet1!$E$2:$E$6350,Prices!$U378,Sheet1!$F$2:$F$6350,Prices!$V378)</f>
        <v>0</v>
      </c>
      <c r="O378" s="5">
        <f>_xlfn.MINIFS(Sheet1!$B$2:$B$6350,Sheet1!$E$2:$E$6350,Prices!$U378,Sheet1!$F$2:$F$6350,Prices!$V378)</f>
        <v>0</v>
      </c>
      <c r="P378" s="5" t="e">
        <f>AVERAGEIFS(Sheet1!$B$2:$B$6350,Sheet1!$E$2:$E$6350,Prices!$U378,Sheet1!$F$2:$F$6350,Prices!$V378)</f>
        <v>#DIV/0!</v>
      </c>
      <c r="Q378" s="5" t="e">
        <f t="shared" si="37"/>
        <v>#DIV/0!</v>
      </c>
      <c r="R378" s="5" t="e">
        <f t="shared" si="38"/>
        <v>#DIV/0!</v>
      </c>
      <c r="S378" s="5" t="e">
        <f t="shared" si="36"/>
        <v>#DIV/0!</v>
      </c>
      <c r="T378" s="5" t="e">
        <f t="shared" si="39"/>
        <v>#DIV/0!</v>
      </c>
      <c r="U378" s="1">
        <f t="shared" si="32"/>
        <v>12</v>
      </c>
      <c r="V378" s="1">
        <f t="shared" si="33"/>
        <v>2001</v>
      </c>
      <c r="W378" s="5">
        <v>0.89254736842105253</v>
      </c>
    </row>
    <row r="379" spans="1:23" x14ac:dyDescent="0.25">
      <c r="A379" s="13">
        <v>37257</v>
      </c>
      <c r="B379" s="5">
        <v>2.1619999999999999</v>
      </c>
      <c r="C379" s="5">
        <v>2.052</v>
      </c>
      <c r="D379" s="5">
        <v>2.1000476190476189</v>
      </c>
      <c r="E379" s="5">
        <f t="shared" si="34"/>
        <v>6.1952380952380981E-2</v>
      </c>
      <c r="F379" s="5">
        <f t="shared" si="35"/>
        <v>-4.8047619047618895E-2</v>
      </c>
      <c r="G379" s="33">
        <v>1.95</v>
      </c>
      <c r="H379" s="5">
        <f t="shared" si="40"/>
        <v>-0.15004761904761899</v>
      </c>
      <c r="K379" s="15">
        <f t="shared" si="30"/>
        <v>3.4821428571428572</v>
      </c>
      <c r="L379" s="15"/>
      <c r="M379" s="13">
        <f t="shared" si="31"/>
        <v>37257</v>
      </c>
      <c r="N379" s="5">
        <f>_xlfn.MAXIFS(Sheet1!$B$2:$B$6350,Sheet1!$E$2:$E$6350,Prices!$U379,Sheet1!$F$2:$F$6350,Prices!$V379)</f>
        <v>132</v>
      </c>
      <c r="O379" s="5">
        <f>_xlfn.MINIFS(Sheet1!$B$2:$B$6350,Sheet1!$E$2:$E$6350,Prices!$U379,Sheet1!$F$2:$F$6350,Prices!$V379)</f>
        <v>129.25</v>
      </c>
      <c r="P379" s="5">
        <f>AVERAGEIFS(Sheet1!$B$2:$B$6350,Sheet1!$E$2:$E$6350,Prices!$U379,Sheet1!$F$2:$F$6350,Prices!$V379)</f>
        <v>131.27500000000001</v>
      </c>
      <c r="Q379" s="5">
        <f t="shared" si="37"/>
        <v>0.72499999999999432</v>
      </c>
      <c r="R379" s="5">
        <f t="shared" si="38"/>
        <v>-2.0250000000000057</v>
      </c>
      <c r="S379" s="5">
        <f t="shared" si="36"/>
        <v>3.7777336733816798</v>
      </c>
      <c r="T379" s="5">
        <f t="shared" si="39"/>
        <v>1.6776860543340608</v>
      </c>
      <c r="U379" s="1">
        <f t="shared" si="32"/>
        <v>1</v>
      </c>
      <c r="V379" s="1">
        <f t="shared" si="33"/>
        <v>2002</v>
      </c>
      <c r="W379" s="5">
        <v>0.88269047619047603</v>
      </c>
    </row>
    <row r="380" spans="1:23" x14ac:dyDescent="0.25">
      <c r="A380" s="13">
        <v>37288</v>
      </c>
      <c r="B380" s="5">
        <v>2.097</v>
      </c>
      <c r="C380" s="5">
        <v>1.9850000000000001</v>
      </c>
      <c r="D380" s="5">
        <v>2.0455789473684209</v>
      </c>
      <c r="E380" s="5">
        <f t="shared" si="34"/>
        <v>5.1421052631579034E-2</v>
      </c>
      <c r="F380" s="5">
        <f t="shared" si="35"/>
        <v>-6.0578947368420843E-2</v>
      </c>
      <c r="G380" s="33">
        <v>1.92</v>
      </c>
      <c r="H380" s="5">
        <f t="shared" si="40"/>
        <v>-0.12557894736842101</v>
      </c>
      <c r="K380" s="15">
        <f t="shared" si="30"/>
        <v>3.4285714285714288</v>
      </c>
      <c r="L380" s="15"/>
      <c r="M380" s="13">
        <f t="shared" si="31"/>
        <v>37288</v>
      </c>
      <c r="N380" s="5">
        <f>_xlfn.MAXIFS(Sheet1!$B$2:$B$6350,Sheet1!$E$2:$E$6350,Prices!$U380,Sheet1!$F$2:$F$6350,Prices!$V380)</f>
        <v>129.5</v>
      </c>
      <c r="O380" s="5">
        <f>_xlfn.MINIFS(Sheet1!$B$2:$B$6350,Sheet1!$E$2:$E$6350,Prices!$U380,Sheet1!$F$2:$F$6350,Prices!$V380)</f>
        <v>123</v>
      </c>
      <c r="P380" s="5">
        <f>AVERAGEIFS(Sheet1!$B$2:$B$6350,Sheet1!$E$2:$E$6350,Prices!$U380,Sheet1!$F$2:$F$6350,Prices!$V380)</f>
        <v>127.2</v>
      </c>
      <c r="Q380" s="5">
        <f t="shared" si="37"/>
        <v>2.2999999999999972</v>
      </c>
      <c r="R380" s="5">
        <f t="shared" si="38"/>
        <v>-4.2000000000000028</v>
      </c>
      <c r="S380" s="5">
        <f t="shared" si="36"/>
        <v>3.7121315133962396</v>
      </c>
      <c r="T380" s="5">
        <f t="shared" si="39"/>
        <v>1.6665525660278186</v>
      </c>
      <c r="U380" s="1">
        <f t="shared" si="32"/>
        <v>2</v>
      </c>
      <c r="V380" s="1">
        <f t="shared" si="33"/>
        <v>2002</v>
      </c>
      <c r="W380" s="5">
        <v>0.87040526315789479</v>
      </c>
    </row>
    <row r="381" spans="1:23" x14ac:dyDescent="0.25">
      <c r="A381" s="13">
        <v>37316</v>
      </c>
      <c r="B381" s="5">
        <v>2.1219999999999999</v>
      </c>
      <c r="C381" s="5">
        <v>2.0169999999999999</v>
      </c>
      <c r="D381" s="5">
        <v>2.0679500000000002</v>
      </c>
      <c r="E381" s="5">
        <f t="shared" si="34"/>
        <v>5.4049999999999709E-2</v>
      </c>
      <c r="F381" s="5">
        <f t="shared" si="35"/>
        <v>-5.0950000000000273E-2</v>
      </c>
      <c r="G381" s="33">
        <v>1.92</v>
      </c>
      <c r="H381" s="5">
        <f t="shared" si="40"/>
        <v>-0.14795000000000025</v>
      </c>
      <c r="K381" s="15">
        <f t="shared" si="30"/>
        <v>3.4285714285714288</v>
      </c>
      <c r="L381" s="15"/>
      <c r="M381" s="13">
        <f t="shared" si="31"/>
        <v>37316</v>
      </c>
      <c r="N381" s="5">
        <f>_xlfn.MAXIFS(Sheet1!$B$2:$B$6350,Sheet1!$E$2:$E$6350,Prices!$U381,Sheet1!$F$2:$F$6350,Prices!$V381)</f>
        <v>124.5</v>
      </c>
      <c r="O381" s="5">
        <f>_xlfn.MINIFS(Sheet1!$B$2:$B$6350,Sheet1!$E$2:$E$6350,Prices!$U381,Sheet1!$F$2:$F$6350,Prices!$V381)</f>
        <v>123</v>
      </c>
      <c r="P381" s="5">
        <f>AVERAGEIFS(Sheet1!$B$2:$B$6350,Sheet1!$E$2:$E$6350,Prices!$U381,Sheet1!$F$2:$F$6350,Prices!$V381)</f>
        <v>123.5</v>
      </c>
      <c r="Q381" s="5">
        <f t="shared" si="37"/>
        <v>1</v>
      </c>
      <c r="R381" s="5">
        <f t="shared" si="38"/>
        <v>-0.5</v>
      </c>
      <c r="S381" s="5">
        <f t="shared" si="36"/>
        <v>3.5778463919039427</v>
      </c>
      <c r="T381" s="5">
        <f t="shared" si="39"/>
        <v>1.5098963919039425</v>
      </c>
      <c r="U381" s="1">
        <f t="shared" si="32"/>
        <v>3</v>
      </c>
      <c r="V381" s="1">
        <f t="shared" si="33"/>
        <v>2002</v>
      </c>
      <c r="W381" s="5">
        <v>0.87680500000000006</v>
      </c>
    </row>
    <row r="382" spans="1:23" x14ac:dyDescent="0.25">
      <c r="A382" s="13">
        <v>37347</v>
      </c>
      <c r="B382" s="5">
        <v>2.0499999999999998</v>
      </c>
      <c r="C382" s="5">
        <v>1.9219999999999999</v>
      </c>
      <c r="D382" s="5">
        <v>1.9874090909090909</v>
      </c>
      <c r="E382" s="5">
        <f t="shared" si="34"/>
        <v>6.2590909090908919E-2</v>
      </c>
      <c r="F382" s="5">
        <f t="shared" si="35"/>
        <v>-6.5409090909090972E-2</v>
      </c>
      <c r="G382" s="33">
        <v>1.89</v>
      </c>
      <c r="H382" s="5">
        <f t="shared" si="40"/>
        <v>-9.7409090909091001E-2</v>
      </c>
      <c r="K382" s="15">
        <f t="shared" si="30"/>
        <v>3.3749999999999996</v>
      </c>
      <c r="L382" s="15"/>
      <c r="M382" s="13">
        <f t="shared" si="31"/>
        <v>37347</v>
      </c>
      <c r="N382" s="5">
        <f>_xlfn.MAXIFS(Sheet1!$B$2:$B$6350,Sheet1!$E$2:$E$6350,Prices!$U382,Sheet1!$F$2:$F$6350,Prices!$V382)</f>
        <v>0</v>
      </c>
      <c r="O382" s="5">
        <f>_xlfn.MINIFS(Sheet1!$B$2:$B$6350,Sheet1!$E$2:$E$6350,Prices!$U382,Sheet1!$F$2:$F$6350,Prices!$V382)</f>
        <v>0</v>
      </c>
      <c r="P382" s="5" t="e">
        <f>AVERAGEIFS(Sheet1!$B$2:$B$6350,Sheet1!$E$2:$E$6350,Prices!$U382,Sheet1!$F$2:$F$6350,Prices!$V382)</f>
        <v>#DIV/0!</v>
      </c>
      <c r="Q382" s="5" t="e">
        <f t="shared" si="37"/>
        <v>#DIV/0!</v>
      </c>
      <c r="R382" s="5" t="e">
        <f t="shared" si="38"/>
        <v>#DIV/0!</v>
      </c>
      <c r="S382" s="5" t="e">
        <f t="shared" si="36"/>
        <v>#DIV/0!</v>
      </c>
      <c r="T382" s="5" t="e">
        <f t="shared" si="39"/>
        <v>#DIV/0!</v>
      </c>
      <c r="U382" s="1">
        <f t="shared" si="32"/>
        <v>4</v>
      </c>
      <c r="V382" s="1">
        <f t="shared" si="33"/>
        <v>2002</v>
      </c>
      <c r="W382" s="5">
        <v>0.88639999999999974</v>
      </c>
    </row>
    <row r="383" spans="1:23" x14ac:dyDescent="0.25">
      <c r="A383" s="13">
        <v>37377</v>
      </c>
      <c r="B383" s="5">
        <v>2.1669999999999998</v>
      </c>
      <c r="C383" s="5">
        <v>1.98</v>
      </c>
      <c r="D383" s="5">
        <v>2.0829545454545455</v>
      </c>
      <c r="E383" s="5">
        <f t="shared" si="34"/>
        <v>8.4045454545454312E-2</v>
      </c>
      <c r="F383" s="5">
        <f t="shared" si="35"/>
        <v>-0.10295454545454552</v>
      </c>
      <c r="G383" s="33">
        <v>1.96</v>
      </c>
      <c r="H383" s="5">
        <f t="shared" si="40"/>
        <v>-0.12295454545454554</v>
      </c>
      <c r="K383" s="15">
        <f t="shared" si="30"/>
        <v>3.4999999999999996</v>
      </c>
      <c r="L383" s="15"/>
      <c r="M383" s="13">
        <f t="shared" si="31"/>
        <v>37377</v>
      </c>
      <c r="N383" s="5">
        <f>_xlfn.MAXIFS(Sheet1!$B$2:$B$6350,Sheet1!$E$2:$E$6350,Prices!$U383,Sheet1!$F$2:$F$6350,Prices!$V383)</f>
        <v>122.25</v>
      </c>
      <c r="O383" s="5">
        <f>_xlfn.MINIFS(Sheet1!$B$2:$B$6350,Sheet1!$E$2:$E$6350,Prices!$U383,Sheet1!$F$2:$F$6350,Prices!$V383)</f>
        <v>122.25</v>
      </c>
      <c r="P383" s="5">
        <f>AVERAGEIFS(Sheet1!$B$2:$B$6350,Sheet1!$E$2:$E$6350,Prices!$U383,Sheet1!$F$2:$F$6350,Prices!$V383)</f>
        <v>122.25</v>
      </c>
      <c r="Q383" s="5">
        <f t="shared" si="37"/>
        <v>0</v>
      </c>
      <c r="R383" s="5">
        <f t="shared" si="38"/>
        <v>0</v>
      </c>
      <c r="S383" s="5">
        <f t="shared" si="36"/>
        <v>3.3847817370163957</v>
      </c>
      <c r="T383" s="5">
        <f t="shared" si="39"/>
        <v>1.3018271915618502</v>
      </c>
      <c r="U383" s="1">
        <f t="shared" si="32"/>
        <v>5</v>
      </c>
      <c r="V383" s="1">
        <f t="shared" si="33"/>
        <v>2002</v>
      </c>
      <c r="W383" s="5">
        <v>0.91743636363636361</v>
      </c>
    </row>
    <row r="384" spans="1:23" x14ac:dyDescent="0.25">
      <c r="A384" s="13">
        <v>37408</v>
      </c>
      <c r="B384" s="5">
        <v>2.2999999999999998</v>
      </c>
      <c r="C384" s="5">
        <v>2.04</v>
      </c>
      <c r="D384" s="5">
        <v>2.1193499999999998</v>
      </c>
      <c r="E384" s="5">
        <f t="shared" si="34"/>
        <v>0.18064999999999998</v>
      </c>
      <c r="F384" s="5">
        <f t="shared" si="35"/>
        <v>-7.934999999999981E-2</v>
      </c>
      <c r="G384" s="33">
        <v>2.04</v>
      </c>
      <c r="H384" s="5">
        <f t="shared" si="40"/>
        <v>-7.934999999999981E-2</v>
      </c>
      <c r="K384" s="15">
        <f t="shared" ref="K384:K447" si="41">G384/56*100</f>
        <v>3.6428571428571428</v>
      </c>
      <c r="L384" s="15"/>
      <c r="M384" s="13">
        <f t="shared" si="31"/>
        <v>37408</v>
      </c>
      <c r="N384" s="5">
        <f>_xlfn.MAXIFS(Sheet1!$B$2:$B$6350,Sheet1!$E$2:$E$6350,Prices!$U384,Sheet1!$F$2:$F$6350,Prices!$V384)</f>
        <v>125.5</v>
      </c>
      <c r="O384" s="5">
        <f>_xlfn.MINIFS(Sheet1!$B$2:$B$6350,Sheet1!$E$2:$E$6350,Prices!$U384,Sheet1!$F$2:$F$6350,Prices!$V384)</f>
        <v>122</v>
      </c>
      <c r="P384" s="5">
        <f>AVERAGEIFS(Sheet1!$B$2:$B$6350,Sheet1!$E$2:$E$6350,Prices!$U384,Sheet1!$F$2:$F$6350,Prices!$V384)</f>
        <v>124.5625</v>
      </c>
      <c r="Q384" s="5">
        <f t="shared" si="37"/>
        <v>0.9375</v>
      </c>
      <c r="R384" s="5">
        <f t="shared" si="38"/>
        <v>-2.5625</v>
      </c>
      <c r="S384" s="5">
        <f t="shared" si="36"/>
        <v>3.3078031867023938</v>
      </c>
      <c r="T384" s="5">
        <f t="shared" si="39"/>
        <v>1.188453186702394</v>
      </c>
      <c r="U384" s="1">
        <f t="shared" si="32"/>
        <v>6</v>
      </c>
      <c r="V384" s="1">
        <f t="shared" si="33"/>
        <v>2002</v>
      </c>
      <c r="W384" s="5">
        <v>0.95654499999999998</v>
      </c>
    </row>
    <row r="385" spans="1:23" x14ac:dyDescent="0.25">
      <c r="A385" s="13">
        <v>37438</v>
      </c>
      <c r="B385" s="5">
        <v>2.5</v>
      </c>
      <c r="C385" s="5">
        <v>2.202</v>
      </c>
      <c r="D385" s="5">
        <v>2.3541818181818184</v>
      </c>
      <c r="E385" s="5">
        <f t="shared" si="34"/>
        <v>0.14581818181818162</v>
      </c>
      <c r="F385" s="5">
        <f t="shared" si="35"/>
        <v>-0.15218181818181842</v>
      </c>
      <c r="G385" s="33">
        <v>2.2200000000000002</v>
      </c>
      <c r="H385" s="5">
        <f t="shared" si="40"/>
        <v>-0.13418181818181818</v>
      </c>
      <c r="K385" s="15">
        <f t="shared" si="41"/>
        <v>3.9642857142857144</v>
      </c>
      <c r="L385" s="15"/>
      <c r="M385" s="13">
        <f t="shared" si="31"/>
        <v>37438</v>
      </c>
      <c r="N385" s="5">
        <f>_xlfn.MAXIFS(Sheet1!$B$2:$B$6350,Sheet1!$E$2:$E$6350,Prices!$U385,Sheet1!$F$2:$F$6350,Prices!$V385)</f>
        <v>133.5</v>
      </c>
      <c r="O385" s="5">
        <f>_xlfn.MINIFS(Sheet1!$B$2:$B$6350,Sheet1!$E$2:$E$6350,Prices!$U385,Sheet1!$F$2:$F$6350,Prices!$V385)</f>
        <v>125.75</v>
      </c>
      <c r="P385" s="5">
        <f>AVERAGEIFS(Sheet1!$B$2:$B$6350,Sheet1!$E$2:$E$6350,Prices!$U385,Sheet1!$F$2:$F$6350,Prices!$V385)</f>
        <v>129.32608695652175</v>
      </c>
      <c r="Q385" s="5">
        <f t="shared" si="37"/>
        <v>4.173913043478251</v>
      </c>
      <c r="R385" s="5">
        <f t="shared" si="38"/>
        <v>-3.576086956521749</v>
      </c>
      <c r="S385" s="5">
        <f t="shared" si="36"/>
        <v>3.3077979976710461</v>
      </c>
      <c r="T385" s="5">
        <f t="shared" si="39"/>
        <v>0.95361617948922772</v>
      </c>
      <c r="U385" s="1">
        <f t="shared" si="32"/>
        <v>7</v>
      </c>
      <c r="V385" s="1">
        <f t="shared" si="33"/>
        <v>2002</v>
      </c>
      <c r="W385" s="5">
        <v>0.99312727272727241</v>
      </c>
    </row>
    <row r="386" spans="1:23" x14ac:dyDescent="0.25">
      <c r="A386" s="13">
        <v>37469</v>
      </c>
      <c r="B386" s="5">
        <v>2.77</v>
      </c>
      <c r="C386" s="5">
        <v>2.44</v>
      </c>
      <c r="D386" s="5">
        <v>2.5935909090909091</v>
      </c>
      <c r="E386" s="5">
        <f t="shared" si="34"/>
        <v>0.17640909090909096</v>
      </c>
      <c r="F386" s="5">
        <f t="shared" si="35"/>
        <v>-0.15359090909090911</v>
      </c>
      <c r="G386" s="33">
        <v>2.5</v>
      </c>
      <c r="H386" s="5">
        <f t="shared" si="40"/>
        <v>-9.3590909090909058E-2</v>
      </c>
      <c r="K386" s="15">
        <f t="shared" si="41"/>
        <v>4.4642857142857144</v>
      </c>
      <c r="L386" s="15"/>
      <c r="M386" s="13">
        <f t="shared" si="31"/>
        <v>37469</v>
      </c>
      <c r="N386" s="5">
        <f>_xlfn.MAXIFS(Sheet1!$B$2:$B$6350,Sheet1!$E$2:$E$6350,Prices!$U386,Sheet1!$F$2:$F$6350,Prices!$V386)</f>
        <v>136</v>
      </c>
      <c r="O386" s="5">
        <f>_xlfn.MINIFS(Sheet1!$B$2:$B$6350,Sheet1!$E$2:$E$6350,Prices!$U386,Sheet1!$F$2:$F$6350,Prices!$V386)</f>
        <v>132</v>
      </c>
      <c r="P386" s="5">
        <f>AVERAGEIFS(Sheet1!$B$2:$B$6350,Sheet1!$E$2:$E$6350,Prices!$U386,Sheet1!$F$2:$F$6350,Prices!$V386)</f>
        <v>134.16666666666666</v>
      </c>
      <c r="Q386" s="5">
        <f t="shared" si="37"/>
        <v>1.8333333333333428</v>
      </c>
      <c r="R386" s="5">
        <f t="shared" si="38"/>
        <v>-2.1666666666666572</v>
      </c>
      <c r="S386" s="5">
        <f t="shared" si="36"/>
        <v>3.4858676968797111</v>
      </c>
      <c r="T386" s="5">
        <f t="shared" si="39"/>
        <v>0.89227678778880204</v>
      </c>
      <c r="U386" s="1">
        <f t="shared" si="32"/>
        <v>8</v>
      </c>
      <c r="V386" s="1">
        <f t="shared" si="33"/>
        <v>2002</v>
      </c>
      <c r="W386" s="5">
        <v>0.97766818181818183</v>
      </c>
    </row>
    <row r="387" spans="1:23" x14ac:dyDescent="0.25">
      <c r="A387" s="13">
        <v>37500</v>
      </c>
      <c r="B387" s="5">
        <v>2.96</v>
      </c>
      <c r="C387" s="5">
        <v>2.4950000000000001</v>
      </c>
      <c r="D387" s="5">
        <v>2.7211500000000002</v>
      </c>
      <c r="E387" s="5">
        <f t="shared" si="34"/>
        <v>0.23884999999999978</v>
      </c>
      <c r="F387" s="5">
        <f t="shared" si="35"/>
        <v>-0.22615000000000007</v>
      </c>
      <c r="G387" s="33">
        <v>2.57</v>
      </c>
      <c r="H387" s="5">
        <f t="shared" si="40"/>
        <v>-0.15115000000000034</v>
      </c>
      <c r="K387" s="15">
        <f t="shared" si="41"/>
        <v>4.5892857142857135</v>
      </c>
      <c r="L387" s="15"/>
      <c r="M387" s="13">
        <f t="shared" ref="M387:M450" si="42">A387</f>
        <v>37500</v>
      </c>
      <c r="N387" s="5">
        <f>_xlfn.MAXIFS(Sheet1!$B$2:$B$6350,Sheet1!$E$2:$E$6350,Prices!$U387,Sheet1!$F$2:$F$6350,Prices!$V387)</f>
        <v>0</v>
      </c>
      <c r="O387" s="5">
        <f>_xlfn.MINIFS(Sheet1!$B$2:$B$6350,Sheet1!$E$2:$E$6350,Prices!$U387,Sheet1!$F$2:$F$6350,Prices!$V387)</f>
        <v>0</v>
      </c>
      <c r="P387" s="5" t="e">
        <f>AVERAGEIFS(Sheet1!$B$2:$B$6350,Sheet1!$E$2:$E$6350,Prices!$U387,Sheet1!$F$2:$F$6350,Prices!$V387)</f>
        <v>#DIV/0!</v>
      </c>
      <c r="Q387" s="5" t="e">
        <f t="shared" si="37"/>
        <v>#DIV/0!</v>
      </c>
      <c r="R387" s="5" t="e">
        <f t="shared" si="38"/>
        <v>#DIV/0!</v>
      </c>
      <c r="S387" s="5" t="e">
        <f t="shared" si="36"/>
        <v>#DIV/0!</v>
      </c>
      <c r="T387" s="5" t="e">
        <f t="shared" si="39"/>
        <v>#DIV/0!</v>
      </c>
      <c r="U387" s="1">
        <f t="shared" ref="U387:U450" si="43">MONTH(M387)</f>
        <v>9</v>
      </c>
      <c r="V387" s="1">
        <f t="shared" ref="V387:V450" si="44">YEAR(M387)</f>
        <v>2002</v>
      </c>
      <c r="W387" s="5">
        <v>0.98052000000000006</v>
      </c>
    </row>
    <row r="388" spans="1:23" x14ac:dyDescent="0.25">
      <c r="A388" s="13">
        <v>37530</v>
      </c>
      <c r="B388" s="5">
        <v>2.617</v>
      </c>
      <c r="C388" s="5">
        <v>2.4319999999999999</v>
      </c>
      <c r="D388" s="5">
        <v>2.5240434782608698</v>
      </c>
      <c r="E388" s="5">
        <f t="shared" ref="E388:E451" si="45">B388-D388</f>
        <v>9.295652173913016E-2</v>
      </c>
      <c r="F388" s="5">
        <f t="shared" ref="F388:F451" si="46">C388-D388</f>
        <v>-9.2043478260869893E-2</v>
      </c>
      <c r="G388" s="33">
        <v>2.41</v>
      </c>
      <c r="H388" s="5">
        <f t="shared" si="40"/>
        <v>-0.11404347826086969</v>
      </c>
      <c r="K388" s="15">
        <f t="shared" si="41"/>
        <v>4.3035714285714288</v>
      </c>
      <c r="L388" s="15"/>
      <c r="M388" s="13">
        <f t="shared" si="42"/>
        <v>37530</v>
      </c>
      <c r="N388" s="5">
        <f>_xlfn.MAXIFS(Sheet1!$B$2:$B$6350,Sheet1!$E$2:$E$6350,Prices!$U388,Sheet1!$F$2:$F$6350,Prices!$V388)</f>
        <v>120</v>
      </c>
      <c r="O388" s="5">
        <f>_xlfn.MINIFS(Sheet1!$B$2:$B$6350,Sheet1!$E$2:$E$6350,Prices!$U388,Sheet1!$F$2:$F$6350,Prices!$V388)</f>
        <v>117</v>
      </c>
      <c r="P388" s="5">
        <f>AVERAGEIFS(Sheet1!$B$2:$B$6350,Sheet1!$E$2:$E$6350,Prices!$U388,Sheet1!$F$2:$F$6350,Prices!$V388)</f>
        <v>118.15</v>
      </c>
      <c r="Q388" s="5">
        <f t="shared" si="37"/>
        <v>1.8499999999999943</v>
      </c>
      <c r="R388" s="5">
        <f t="shared" si="38"/>
        <v>-1.1500000000000057</v>
      </c>
      <c r="S388" s="5">
        <f t="shared" si="36"/>
        <v>3.0579069058110524</v>
      </c>
      <c r="T388" s="5">
        <f t="shared" si="39"/>
        <v>0.53386342755018257</v>
      </c>
      <c r="U388" s="1">
        <f t="shared" si="43"/>
        <v>10</v>
      </c>
      <c r="V388" s="1">
        <f t="shared" si="44"/>
        <v>2002</v>
      </c>
      <c r="W388" s="5">
        <v>0.98144782608695647</v>
      </c>
    </row>
    <row r="389" spans="1:23" x14ac:dyDescent="0.25">
      <c r="A389" s="13">
        <v>37561</v>
      </c>
      <c r="B389" s="5">
        <v>2.4950000000000001</v>
      </c>
      <c r="C389" s="5">
        <v>2.34</v>
      </c>
      <c r="D389" s="5">
        <v>2.4267500000000002</v>
      </c>
      <c r="E389" s="5">
        <f t="shared" si="45"/>
        <v>6.8249999999999922E-2</v>
      </c>
      <c r="F389" s="5">
        <f t="shared" si="46"/>
        <v>-8.6750000000000327E-2</v>
      </c>
      <c r="G389" s="33">
        <v>2.36</v>
      </c>
      <c r="H389" s="5">
        <f t="shared" si="40"/>
        <v>-6.6750000000000309E-2</v>
      </c>
      <c r="K389" s="15">
        <f t="shared" si="41"/>
        <v>4.2142857142857144</v>
      </c>
      <c r="L389" s="15"/>
      <c r="M389" s="13">
        <f t="shared" si="42"/>
        <v>37561</v>
      </c>
      <c r="N389" s="5">
        <f>_xlfn.MAXIFS(Sheet1!$B$2:$B$6350,Sheet1!$E$2:$E$6350,Prices!$U389,Sheet1!$F$2:$F$6350,Prices!$V389)</f>
        <v>127.25</v>
      </c>
      <c r="O389" s="5">
        <f>_xlfn.MINIFS(Sheet1!$B$2:$B$6350,Sheet1!$E$2:$E$6350,Prices!$U389,Sheet1!$F$2:$F$6350,Prices!$V389)</f>
        <v>117</v>
      </c>
      <c r="P389" s="5">
        <f>AVERAGEIFS(Sheet1!$B$2:$B$6350,Sheet1!$E$2:$E$6350,Prices!$U389,Sheet1!$F$2:$F$6350,Prices!$V389)</f>
        <v>124.77380952380952</v>
      </c>
      <c r="Q389" s="5">
        <f t="shared" si="37"/>
        <v>2.4761904761904816</v>
      </c>
      <c r="R389" s="5">
        <f t="shared" si="38"/>
        <v>-7.7738095238095184</v>
      </c>
      <c r="S389" s="5">
        <f t="shared" si="36"/>
        <v>3.1628356458481219</v>
      </c>
      <c r="T389" s="5">
        <f t="shared" si="39"/>
        <v>0.73608564584812175</v>
      </c>
      <c r="U389" s="1">
        <f t="shared" si="43"/>
        <v>11</v>
      </c>
      <c r="V389" s="1">
        <f t="shared" si="44"/>
        <v>2002</v>
      </c>
      <c r="W389" s="5">
        <v>1.0020849999999999</v>
      </c>
    </row>
    <row r="390" spans="1:23" x14ac:dyDescent="0.25">
      <c r="A390" s="13">
        <v>37591</v>
      </c>
      <c r="B390" s="5">
        <v>2.4420000000000002</v>
      </c>
      <c r="C390" s="5">
        <v>2.35</v>
      </c>
      <c r="D390" s="5">
        <v>2.3896000000000002</v>
      </c>
      <c r="E390" s="5">
        <f t="shared" si="45"/>
        <v>5.2400000000000002E-2</v>
      </c>
      <c r="F390" s="5">
        <f t="shared" si="46"/>
        <v>-3.960000000000008E-2</v>
      </c>
      <c r="G390" s="33">
        <v>2.3199999999999998</v>
      </c>
      <c r="H390" s="5">
        <f t="shared" si="40"/>
        <v>-6.9600000000000328E-2</v>
      </c>
      <c r="K390" s="15">
        <f t="shared" si="41"/>
        <v>4.1428571428571423</v>
      </c>
      <c r="L390" s="15"/>
      <c r="M390" s="13">
        <f t="shared" si="42"/>
        <v>37591</v>
      </c>
      <c r="N390" s="5">
        <f>_xlfn.MAXIFS(Sheet1!$B$2:$B$6350,Sheet1!$E$2:$E$6350,Prices!$U390,Sheet1!$F$2:$F$6350,Prices!$V390)</f>
        <v>126.75</v>
      </c>
      <c r="O390" s="5">
        <f>_xlfn.MINIFS(Sheet1!$B$2:$B$6350,Sheet1!$E$2:$E$6350,Prices!$U390,Sheet1!$F$2:$F$6350,Prices!$V390)</f>
        <v>122.5</v>
      </c>
      <c r="P390" s="5">
        <f>AVERAGEIFS(Sheet1!$B$2:$B$6350,Sheet1!$E$2:$E$6350,Prices!$U390,Sheet1!$F$2:$F$6350,Prices!$V390)</f>
        <v>124.27380952380952</v>
      </c>
      <c r="Q390" s="5">
        <f t="shared" si="37"/>
        <v>2.4761904761904816</v>
      </c>
      <c r="R390" s="5">
        <f t="shared" si="38"/>
        <v>-1.7738095238095184</v>
      </c>
      <c r="S390" s="5">
        <f t="shared" si="36"/>
        <v>3.0935286646931375</v>
      </c>
      <c r="T390" s="5">
        <f t="shared" si="39"/>
        <v>0.70392866469313731</v>
      </c>
      <c r="U390" s="1">
        <f t="shared" si="43"/>
        <v>12</v>
      </c>
      <c r="V390" s="1">
        <f t="shared" si="44"/>
        <v>2002</v>
      </c>
      <c r="W390" s="5">
        <v>1.0204300000000002</v>
      </c>
    </row>
    <row r="391" spans="1:23" x14ac:dyDescent="0.25">
      <c r="A391" s="13">
        <v>37622</v>
      </c>
      <c r="B391" s="5">
        <v>2.46</v>
      </c>
      <c r="C391" s="5">
        <v>2.2850000000000001</v>
      </c>
      <c r="D391" s="5">
        <v>2.3580000000000001</v>
      </c>
      <c r="E391" s="5">
        <f t="shared" si="45"/>
        <v>0.10199999999999987</v>
      </c>
      <c r="F391" s="5">
        <f t="shared" si="46"/>
        <v>-7.2999999999999954E-2</v>
      </c>
      <c r="G391" s="33">
        <v>2.29</v>
      </c>
      <c r="H391" s="5">
        <f t="shared" si="40"/>
        <v>-6.800000000000006E-2</v>
      </c>
      <c r="K391" s="15">
        <f t="shared" si="41"/>
        <v>4.0892857142857144</v>
      </c>
      <c r="L391" s="15"/>
      <c r="M391" s="13">
        <f t="shared" si="42"/>
        <v>37622</v>
      </c>
      <c r="N391" s="5">
        <f>_xlfn.MAXIFS(Sheet1!$B$2:$B$6350,Sheet1!$E$2:$E$6350,Prices!$U391,Sheet1!$F$2:$F$6350,Prices!$V391)</f>
        <v>124.25</v>
      </c>
      <c r="O391" s="5">
        <f>_xlfn.MINIFS(Sheet1!$B$2:$B$6350,Sheet1!$E$2:$E$6350,Prices!$U391,Sheet1!$F$2:$F$6350,Prices!$V391)</f>
        <v>120</v>
      </c>
      <c r="P391" s="5">
        <f>AVERAGEIFS(Sheet1!$B$2:$B$6350,Sheet1!$E$2:$E$6350,Prices!$U391,Sheet1!$F$2:$F$6350,Prices!$V391)</f>
        <v>121.86363636363636</v>
      </c>
      <c r="Q391" s="5">
        <f t="shared" si="37"/>
        <v>2.3863636363636402</v>
      </c>
      <c r="R391" s="5">
        <f t="shared" si="38"/>
        <v>-1.8636363636363598</v>
      </c>
      <c r="S391" s="5">
        <f t="shared" si="36"/>
        <v>2.9117094747575032</v>
      </c>
      <c r="T391" s="5">
        <f t="shared" si="39"/>
        <v>0.5537094747575031</v>
      </c>
      <c r="U391" s="1">
        <f t="shared" si="43"/>
        <v>1</v>
      </c>
      <c r="V391" s="1">
        <f t="shared" si="44"/>
        <v>2003</v>
      </c>
      <c r="W391" s="5">
        <v>1.0631238095238096</v>
      </c>
    </row>
    <row r="392" spans="1:23" x14ac:dyDescent="0.25">
      <c r="A392" s="13">
        <v>37653</v>
      </c>
      <c r="B392" s="5">
        <v>2.4300000000000002</v>
      </c>
      <c r="C392" s="5">
        <v>2.2970000000000002</v>
      </c>
      <c r="D392" s="5">
        <v>2.362526315789474</v>
      </c>
      <c r="E392" s="5">
        <f t="shared" si="45"/>
        <v>6.747368421052613E-2</v>
      </c>
      <c r="F392" s="5">
        <f t="shared" si="46"/>
        <v>-6.5526315789473877E-2</v>
      </c>
      <c r="G392" s="33">
        <v>2.33</v>
      </c>
      <c r="H392" s="5">
        <f t="shared" si="40"/>
        <v>-3.2526315789473959E-2</v>
      </c>
      <c r="K392" s="15">
        <f t="shared" si="41"/>
        <v>4.1607142857142856</v>
      </c>
      <c r="L392" s="15"/>
      <c r="M392" s="13">
        <f t="shared" si="42"/>
        <v>37653</v>
      </c>
      <c r="N392" s="5">
        <f>_xlfn.MAXIFS(Sheet1!$B$2:$B$6350,Sheet1!$E$2:$E$6350,Prices!$U392,Sheet1!$F$2:$F$6350,Prices!$V392)</f>
        <v>121.25</v>
      </c>
      <c r="O392" s="5">
        <f>_xlfn.MINIFS(Sheet1!$B$2:$B$6350,Sheet1!$E$2:$E$6350,Prices!$U392,Sheet1!$F$2:$F$6350,Prices!$V392)</f>
        <v>118.5</v>
      </c>
      <c r="P392" s="5">
        <f>AVERAGEIFS(Sheet1!$B$2:$B$6350,Sheet1!$E$2:$E$6350,Prices!$U392,Sheet1!$F$2:$F$6350,Prices!$V392)</f>
        <v>120.1875</v>
      </c>
      <c r="Q392" s="5">
        <f t="shared" si="37"/>
        <v>1.0625</v>
      </c>
      <c r="R392" s="5">
        <f t="shared" si="38"/>
        <v>-1.6875</v>
      </c>
      <c r="S392" s="5">
        <f t="shared" si="36"/>
        <v>2.8326690661559382</v>
      </c>
      <c r="T392" s="5">
        <f t="shared" si="39"/>
        <v>0.47014275036646413</v>
      </c>
      <c r="U392" s="1">
        <f t="shared" si="43"/>
        <v>2</v>
      </c>
      <c r="V392" s="1">
        <f t="shared" si="44"/>
        <v>2003</v>
      </c>
      <c r="W392" s="5">
        <v>1.077757894736842</v>
      </c>
    </row>
    <row r="393" spans="1:23" x14ac:dyDescent="0.25">
      <c r="A393" s="13">
        <v>37681</v>
      </c>
      <c r="B393" s="5">
        <v>2.4119999999999999</v>
      </c>
      <c r="C393" s="5">
        <v>2.2719999999999998</v>
      </c>
      <c r="D393" s="5">
        <v>2.3325238095238094</v>
      </c>
      <c r="E393" s="5">
        <f t="shared" si="45"/>
        <v>7.9476190476190478E-2</v>
      </c>
      <c r="F393" s="5">
        <f t="shared" si="46"/>
        <v>-6.0523809523809646E-2</v>
      </c>
      <c r="G393" s="33">
        <v>2.31</v>
      </c>
      <c r="H393" s="5">
        <f t="shared" si="40"/>
        <v>-2.252380952380939E-2</v>
      </c>
      <c r="K393" s="15">
        <f t="shared" si="41"/>
        <v>4.125</v>
      </c>
      <c r="L393" s="15"/>
      <c r="M393" s="13">
        <f t="shared" si="42"/>
        <v>37681</v>
      </c>
      <c r="N393" s="5">
        <f>_xlfn.MAXIFS(Sheet1!$B$2:$B$6350,Sheet1!$E$2:$E$6350,Prices!$U393,Sheet1!$F$2:$F$6350,Prices!$V393)</f>
        <v>119.75</v>
      </c>
      <c r="O393" s="5">
        <f>_xlfn.MINIFS(Sheet1!$B$2:$B$6350,Sheet1!$E$2:$E$6350,Prices!$U393,Sheet1!$F$2:$F$6350,Prices!$V393)</f>
        <v>116</v>
      </c>
      <c r="P393" s="5">
        <f>AVERAGEIFS(Sheet1!$B$2:$B$6350,Sheet1!$E$2:$E$6350,Prices!$U393,Sheet1!$F$2:$F$6350,Prices!$V393)</f>
        <v>118.45238095238095</v>
      </c>
      <c r="Q393" s="5">
        <f t="shared" si="37"/>
        <v>1.297619047619051</v>
      </c>
      <c r="R393" s="5">
        <f t="shared" si="38"/>
        <v>-2.452380952380949</v>
      </c>
      <c r="S393" s="5">
        <f t="shared" si="36"/>
        <v>2.7876011043931257</v>
      </c>
      <c r="T393" s="5">
        <f t="shared" si="39"/>
        <v>0.45507729486931625</v>
      </c>
      <c r="U393" s="1">
        <f t="shared" si="43"/>
        <v>3</v>
      </c>
      <c r="V393" s="1">
        <f t="shared" si="44"/>
        <v>2003</v>
      </c>
      <c r="W393" s="5">
        <v>1.0793714285714286</v>
      </c>
    </row>
    <row r="394" spans="1:23" x14ac:dyDescent="0.25">
      <c r="A394" s="13">
        <v>37712</v>
      </c>
      <c r="B394" s="5">
        <v>2.452</v>
      </c>
      <c r="C394" s="5">
        <v>2.302</v>
      </c>
      <c r="D394" s="5">
        <v>2.3848095238095239</v>
      </c>
      <c r="E394" s="5">
        <f t="shared" si="45"/>
        <v>6.7190476190476023E-2</v>
      </c>
      <c r="F394" s="5">
        <f t="shared" si="46"/>
        <v>-8.2809523809523888E-2</v>
      </c>
      <c r="G394" s="33">
        <v>2.36</v>
      </c>
      <c r="H394" s="5">
        <f t="shared" si="40"/>
        <v>-2.4809523809524059E-2</v>
      </c>
      <c r="K394" s="15">
        <f t="shared" si="41"/>
        <v>4.2142857142857144</v>
      </c>
      <c r="L394" s="15"/>
      <c r="M394" s="13">
        <f t="shared" si="42"/>
        <v>37712</v>
      </c>
      <c r="N394" s="5">
        <f>_xlfn.MAXIFS(Sheet1!$B$2:$B$6350,Sheet1!$E$2:$E$6350,Prices!$U394,Sheet1!$F$2:$F$6350,Prices!$V394)</f>
        <v>121</v>
      </c>
      <c r="O394" s="5">
        <f>_xlfn.MINIFS(Sheet1!$B$2:$B$6350,Sheet1!$E$2:$E$6350,Prices!$U394,Sheet1!$F$2:$F$6350,Prices!$V394)</f>
        <v>119</v>
      </c>
      <c r="P394" s="5">
        <f>AVERAGEIFS(Sheet1!$B$2:$B$6350,Sheet1!$E$2:$E$6350,Prices!$U394,Sheet1!$F$2:$F$6350,Prices!$V394)</f>
        <v>120.15</v>
      </c>
      <c r="Q394" s="5">
        <f t="shared" si="37"/>
        <v>0.84999999999999432</v>
      </c>
      <c r="R394" s="5">
        <f t="shared" si="38"/>
        <v>-1.1500000000000057</v>
      </c>
      <c r="S394" s="5">
        <f t="shared" si="36"/>
        <v>2.8072778444079103</v>
      </c>
      <c r="T394" s="5">
        <f t="shared" si="39"/>
        <v>0.42246832059838635</v>
      </c>
      <c r="U394" s="1">
        <f t="shared" si="43"/>
        <v>4</v>
      </c>
      <c r="V394" s="1">
        <f t="shared" si="44"/>
        <v>2003</v>
      </c>
      <c r="W394" s="5">
        <v>1.0871666666666666</v>
      </c>
    </row>
    <row r="395" spans="1:23" x14ac:dyDescent="0.25">
      <c r="A395" s="13">
        <v>37742</v>
      </c>
      <c r="B395" s="5">
        <v>2.59</v>
      </c>
      <c r="C395" s="5">
        <v>2.302</v>
      </c>
      <c r="D395" s="5">
        <v>2.4478095238095241</v>
      </c>
      <c r="E395" s="5">
        <f t="shared" si="45"/>
        <v>0.14219047619047576</v>
      </c>
      <c r="F395" s="5">
        <f t="shared" si="46"/>
        <v>-0.14580952380952406</v>
      </c>
      <c r="G395" s="33">
        <v>2.4</v>
      </c>
      <c r="H395" s="5">
        <f t="shared" si="40"/>
        <v>-4.780952380952419E-2</v>
      </c>
      <c r="K395" s="15">
        <f t="shared" si="41"/>
        <v>4.2857142857142856</v>
      </c>
      <c r="L395" s="15"/>
      <c r="M395" s="13">
        <f t="shared" si="42"/>
        <v>37742</v>
      </c>
      <c r="N395" s="5">
        <f>_xlfn.MAXIFS(Sheet1!$B$2:$B$6350,Sheet1!$E$2:$E$6350,Prices!$U395,Sheet1!$F$2:$F$6350,Prices!$V395)</f>
        <v>121</v>
      </c>
      <c r="O395" s="5">
        <f>_xlfn.MINIFS(Sheet1!$B$2:$B$6350,Sheet1!$E$2:$E$6350,Prices!$U395,Sheet1!$F$2:$F$6350,Prices!$V395)</f>
        <v>117</v>
      </c>
      <c r="P395" s="5">
        <f>AVERAGEIFS(Sheet1!$B$2:$B$6350,Sheet1!$E$2:$E$6350,Prices!$U395,Sheet1!$F$2:$F$6350,Prices!$V395)</f>
        <v>119.28571428571429</v>
      </c>
      <c r="Q395" s="5">
        <f t="shared" si="37"/>
        <v>1.7142857142857082</v>
      </c>
      <c r="R395" s="5">
        <f t="shared" si="38"/>
        <v>-2.2857142857142918</v>
      </c>
      <c r="S395" s="5">
        <f t="shared" si="36"/>
        <v>2.6205242369963044</v>
      </c>
      <c r="T395" s="5">
        <f t="shared" si="39"/>
        <v>0.17271471318678033</v>
      </c>
      <c r="U395" s="1">
        <f t="shared" si="43"/>
        <v>5</v>
      </c>
      <c r="V395" s="1">
        <f t="shared" si="44"/>
        <v>2003</v>
      </c>
      <c r="W395" s="5">
        <v>1.1562666666666668</v>
      </c>
    </row>
    <row r="396" spans="1:23" x14ac:dyDescent="0.25">
      <c r="A396" s="13">
        <v>37773</v>
      </c>
      <c r="B396" s="5">
        <v>2.4820000000000002</v>
      </c>
      <c r="C396" s="5">
        <v>2.2799999999999998</v>
      </c>
      <c r="D396" s="5">
        <v>2.394190476190476</v>
      </c>
      <c r="E396" s="5">
        <f t="shared" si="45"/>
        <v>8.7809523809524226E-2</v>
      </c>
      <c r="F396" s="5">
        <f t="shared" si="46"/>
        <v>-0.11419047619047618</v>
      </c>
      <c r="G396" s="33">
        <v>2.37</v>
      </c>
      <c r="H396" s="5">
        <f t="shared" si="40"/>
        <v>-2.4190476190475874E-2</v>
      </c>
      <c r="K396" s="15">
        <f t="shared" si="41"/>
        <v>4.2321428571428577</v>
      </c>
      <c r="L396" s="15"/>
      <c r="M396" s="13">
        <f t="shared" si="42"/>
        <v>37773</v>
      </c>
      <c r="N396" s="5">
        <f>_xlfn.MAXIFS(Sheet1!$B$2:$B$6350,Sheet1!$E$2:$E$6350,Prices!$U396,Sheet1!$F$2:$F$6350,Prices!$V396)</f>
        <v>122.25</v>
      </c>
      <c r="O396" s="5">
        <f>_xlfn.MINIFS(Sheet1!$B$2:$B$6350,Sheet1!$E$2:$E$6350,Prices!$U396,Sheet1!$F$2:$F$6350,Prices!$V396)</f>
        <v>116.25</v>
      </c>
      <c r="P396" s="5">
        <f>AVERAGEIFS(Sheet1!$B$2:$B$6350,Sheet1!$E$2:$E$6350,Prices!$U396,Sheet1!$F$2:$F$6350,Prices!$V396)</f>
        <v>120.6547619047619</v>
      </c>
      <c r="Q396" s="5">
        <f t="shared" si="37"/>
        <v>1.595238095238102</v>
      </c>
      <c r="R396" s="5">
        <f t="shared" si="38"/>
        <v>-4.404761904761898</v>
      </c>
      <c r="S396" s="5">
        <f t="shared" si="36"/>
        <v>2.6268646882707238</v>
      </c>
      <c r="T396" s="5">
        <f t="shared" si="39"/>
        <v>0.23267421208024786</v>
      </c>
      <c r="U396" s="1">
        <f t="shared" si="43"/>
        <v>6</v>
      </c>
      <c r="V396" s="1">
        <f t="shared" si="44"/>
        <v>2003</v>
      </c>
      <c r="W396" s="5">
        <v>1.1667142857142854</v>
      </c>
    </row>
    <row r="397" spans="1:23" x14ac:dyDescent="0.25">
      <c r="A397" s="13">
        <v>37803</v>
      </c>
      <c r="B397" s="5">
        <v>2.2570000000000001</v>
      </c>
      <c r="C397" s="5">
        <v>2.0449999999999999</v>
      </c>
      <c r="D397" s="5">
        <v>2.123409090909091</v>
      </c>
      <c r="E397" s="5">
        <f t="shared" si="45"/>
        <v>0.13359090909090909</v>
      </c>
      <c r="F397" s="5">
        <f t="shared" si="46"/>
        <v>-7.8409090909091095E-2</v>
      </c>
      <c r="G397" s="33">
        <v>2.13</v>
      </c>
      <c r="H397" s="5">
        <f t="shared" si="40"/>
        <v>6.5909090909088697E-3</v>
      </c>
      <c r="K397" s="15">
        <f t="shared" si="41"/>
        <v>3.8035714285714284</v>
      </c>
      <c r="L397" s="15"/>
      <c r="M397" s="13">
        <f t="shared" si="42"/>
        <v>37803</v>
      </c>
      <c r="N397" s="5">
        <f>_xlfn.MAXIFS(Sheet1!$B$2:$B$6350,Sheet1!$E$2:$E$6350,Prices!$U397,Sheet1!$F$2:$F$6350,Prices!$V397)</f>
        <v>130</v>
      </c>
      <c r="O397" s="5">
        <f>_xlfn.MINIFS(Sheet1!$B$2:$B$6350,Sheet1!$E$2:$E$6350,Prices!$U397,Sheet1!$F$2:$F$6350,Prices!$V397)</f>
        <v>121.25</v>
      </c>
      <c r="P397" s="5">
        <f>AVERAGEIFS(Sheet1!$B$2:$B$6350,Sheet1!$E$2:$E$6350,Prices!$U397,Sheet1!$F$2:$F$6350,Prices!$V397)</f>
        <v>125.03260869565217</v>
      </c>
      <c r="Q397" s="5">
        <f t="shared" si="37"/>
        <v>4.9673913043478279</v>
      </c>
      <c r="R397" s="5">
        <f t="shared" si="38"/>
        <v>-3.7826086956521721</v>
      </c>
      <c r="S397" s="5">
        <f t="shared" si="36"/>
        <v>2.7947382120332067</v>
      </c>
      <c r="T397" s="5">
        <f t="shared" si="39"/>
        <v>0.67132912112411569</v>
      </c>
      <c r="U397" s="1">
        <f t="shared" si="43"/>
        <v>7</v>
      </c>
      <c r="V397" s="1">
        <f t="shared" si="44"/>
        <v>2003</v>
      </c>
      <c r="W397" s="5">
        <v>1.1364227272727276</v>
      </c>
    </row>
    <row r="398" spans="1:23" x14ac:dyDescent="0.25">
      <c r="A398" s="13">
        <v>37834</v>
      </c>
      <c r="B398" s="5">
        <v>2.3450000000000002</v>
      </c>
      <c r="C398" s="5">
        <v>2.06</v>
      </c>
      <c r="D398" s="5">
        <v>2.203904761904762</v>
      </c>
      <c r="E398" s="5">
        <f t="shared" si="45"/>
        <v>0.14109523809523816</v>
      </c>
      <c r="F398" s="5">
        <f t="shared" si="46"/>
        <v>-0.14390476190476198</v>
      </c>
      <c r="G398" s="33">
        <v>2.2599999999999998</v>
      </c>
      <c r="H398" s="5">
        <f t="shared" si="40"/>
        <v>5.6095238095237754E-2</v>
      </c>
      <c r="K398" s="15">
        <f t="shared" si="41"/>
        <v>4.0357142857142856</v>
      </c>
      <c r="L398" s="15"/>
      <c r="M398" s="13">
        <f t="shared" si="42"/>
        <v>37834</v>
      </c>
      <c r="N398" s="5">
        <f>_xlfn.MAXIFS(Sheet1!$B$2:$B$6350,Sheet1!$E$2:$E$6350,Prices!$U398,Sheet1!$F$2:$F$6350,Prices!$V398)</f>
        <v>145</v>
      </c>
      <c r="O398" s="5">
        <f>_xlfn.MINIFS(Sheet1!$B$2:$B$6350,Sheet1!$E$2:$E$6350,Prices!$U398,Sheet1!$F$2:$F$6350,Prices!$V398)</f>
        <v>127</v>
      </c>
      <c r="P398" s="5">
        <f>AVERAGEIFS(Sheet1!$B$2:$B$6350,Sheet1!$E$2:$E$6350,Prices!$U398,Sheet1!$F$2:$F$6350,Prices!$V398)</f>
        <v>139.29761904761904</v>
      </c>
      <c r="Q398" s="5">
        <f t="shared" si="37"/>
        <v>5.7023809523809632</v>
      </c>
      <c r="R398" s="5">
        <f t="shared" si="38"/>
        <v>-12.297619047619037</v>
      </c>
      <c r="S398" s="5">
        <f t="shared" si="36"/>
        <v>3.1728437377993535</v>
      </c>
      <c r="T398" s="5">
        <f t="shared" si="39"/>
        <v>0.96893897589459144</v>
      </c>
      <c r="U398" s="1">
        <f t="shared" si="43"/>
        <v>8</v>
      </c>
      <c r="V398" s="1">
        <f t="shared" si="44"/>
        <v>2003</v>
      </c>
      <c r="W398" s="5">
        <v>1.1152000000000002</v>
      </c>
    </row>
    <row r="399" spans="1:23" x14ac:dyDescent="0.25">
      <c r="A399" s="13">
        <v>37865</v>
      </c>
      <c r="B399" s="5">
        <v>2.472</v>
      </c>
      <c r="C399" s="5">
        <v>2.2000000000000002</v>
      </c>
      <c r="D399" s="5">
        <v>2.3138571428571426</v>
      </c>
      <c r="E399" s="5">
        <f t="shared" si="45"/>
        <v>0.15814285714285736</v>
      </c>
      <c r="F399" s="5">
        <f t="shared" si="46"/>
        <v>-0.11385714285714243</v>
      </c>
      <c r="G399" s="33">
        <v>2.25</v>
      </c>
      <c r="H399" s="5">
        <f t="shared" si="40"/>
        <v>-6.3857142857142613E-2</v>
      </c>
      <c r="K399" s="15">
        <f t="shared" si="41"/>
        <v>4.0178571428571432</v>
      </c>
      <c r="L399" s="15"/>
      <c r="M399" s="13">
        <f t="shared" si="42"/>
        <v>37865</v>
      </c>
      <c r="N399" s="5">
        <f>_xlfn.MAXIFS(Sheet1!$B$2:$B$6350,Sheet1!$E$2:$E$6350,Prices!$U399,Sheet1!$F$2:$F$6350,Prices!$V399)</f>
        <v>161</v>
      </c>
      <c r="O399" s="5">
        <f>_xlfn.MINIFS(Sheet1!$B$2:$B$6350,Sheet1!$E$2:$E$6350,Prices!$U399,Sheet1!$F$2:$F$6350,Prices!$V399)</f>
        <v>145</v>
      </c>
      <c r="P399" s="5">
        <f>AVERAGEIFS(Sheet1!$B$2:$B$6350,Sheet1!$E$2:$E$6350,Prices!$U399,Sheet1!$F$2:$F$6350,Prices!$V399)</f>
        <v>147.921875</v>
      </c>
      <c r="Q399" s="5">
        <f t="shared" si="37"/>
        <v>13.078125</v>
      </c>
      <c r="R399" s="5">
        <f t="shared" si="38"/>
        <v>-2.921875</v>
      </c>
      <c r="S399" s="5">
        <f t="shared" si="36"/>
        <v>3.3333690208344073</v>
      </c>
      <c r="T399" s="5">
        <f t="shared" si="39"/>
        <v>1.0195118779772647</v>
      </c>
      <c r="U399" s="1">
        <f t="shared" si="43"/>
        <v>9</v>
      </c>
      <c r="V399" s="1">
        <f t="shared" si="44"/>
        <v>2003</v>
      </c>
      <c r="W399" s="5">
        <v>1.1272149999999999</v>
      </c>
    </row>
    <row r="400" spans="1:23" x14ac:dyDescent="0.25">
      <c r="A400" s="13">
        <v>37895</v>
      </c>
      <c r="B400" s="5">
        <v>2.5099999999999998</v>
      </c>
      <c r="C400" s="5">
        <v>2.1320000000000001</v>
      </c>
      <c r="D400" s="5">
        <v>2.2552173913043481</v>
      </c>
      <c r="E400" s="5">
        <f t="shared" si="45"/>
        <v>0.25478260869565172</v>
      </c>
      <c r="F400" s="5">
        <f t="shared" si="46"/>
        <v>-0.12321739130434795</v>
      </c>
      <c r="G400" s="33">
        <v>2.11</v>
      </c>
      <c r="H400" s="5">
        <f t="shared" si="40"/>
        <v>-0.14521739130434819</v>
      </c>
      <c r="K400" s="15">
        <f t="shared" si="41"/>
        <v>3.7678571428571428</v>
      </c>
      <c r="L400" s="15"/>
      <c r="M400" s="13">
        <f t="shared" si="42"/>
        <v>37895</v>
      </c>
      <c r="N400" s="5">
        <f>_xlfn.MAXIFS(Sheet1!$B$2:$B$6350,Sheet1!$E$2:$E$6350,Prices!$U400,Sheet1!$F$2:$F$6350,Prices!$V400)</f>
        <v>164.5</v>
      </c>
      <c r="O400" s="5">
        <f>_xlfn.MINIFS(Sheet1!$B$2:$B$6350,Sheet1!$E$2:$E$6350,Prices!$U400,Sheet1!$F$2:$F$6350,Prices!$V400)</f>
        <v>154.75</v>
      </c>
      <c r="P400" s="5">
        <f>AVERAGEIFS(Sheet1!$B$2:$B$6350,Sheet1!$E$2:$E$6350,Prices!$U400,Sheet1!$F$2:$F$6350,Prices!$V400)</f>
        <v>158.60869565217391</v>
      </c>
      <c r="Q400" s="5">
        <f t="shared" si="37"/>
        <v>5.8913043478260931</v>
      </c>
      <c r="R400" s="5">
        <f t="shared" si="38"/>
        <v>-3.8586956521739069</v>
      </c>
      <c r="S400" s="5">
        <f t="shared" si="36"/>
        <v>3.4431705729275963</v>
      </c>
      <c r="T400" s="5">
        <f t="shared" si="39"/>
        <v>1.1879531816232483</v>
      </c>
      <c r="U400" s="1">
        <f t="shared" si="43"/>
        <v>10</v>
      </c>
      <c r="V400" s="1">
        <f t="shared" si="44"/>
        <v>2003</v>
      </c>
      <c r="W400" s="5">
        <v>1.170108695652174</v>
      </c>
    </row>
    <row r="401" spans="1:23" x14ac:dyDescent="0.25">
      <c r="A401" s="13">
        <v>37926</v>
      </c>
      <c r="B401" s="5">
        <v>2.472</v>
      </c>
      <c r="C401" s="5">
        <v>2.29</v>
      </c>
      <c r="D401" s="5">
        <v>2.3699473684210526</v>
      </c>
      <c r="E401" s="5">
        <f t="shared" si="45"/>
        <v>0.10205263157894739</v>
      </c>
      <c r="F401" s="5">
        <f t="shared" si="46"/>
        <v>-7.9947368421052545E-2</v>
      </c>
      <c r="G401" s="33">
        <v>2.2599999999999998</v>
      </c>
      <c r="H401" s="5">
        <f t="shared" si="40"/>
        <v>-0.10994736842105279</v>
      </c>
      <c r="K401" s="15">
        <f t="shared" si="41"/>
        <v>4.0357142857142856</v>
      </c>
      <c r="L401" s="15"/>
      <c r="M401" s="13">
        <f t="shared" si="42"/>
        <v>37926</v>
      </c>
      <c r="N401" s="5">
        <f>_xlfn.MAXIFS(Sheet1!$B$2:$B$6350,Sheet1!$E$2:$E$6350,Prices!$U401,Sheet1!$F$2:$F$6350,Prices!$V401)</f>
        <v>177</v>
      </c>
      <c r="O401" s="5">
        <f>_xlfn.MINIFS(Sheet1!$B$2:$B$6350,Sheet1!$E$2:$E$6350,Prices!$U401,Sheet1!$F$2:$F$6350,Prices!$V401)</f>
        <v>163</v>
      </c>
      <c r="P401" s="5">
        <f>AVERAGEIFS(Sheet1!$B$2:$B$6350,Sheet1!$E$2:$E$6350,Prices!$U401,Sheet1!$F$2:$F$6350,Prices!$V401)</f>
        <v>171.96052631578948</v>
      </c>
      <c r="Q401" s="5">
        <f t="shared" si="37"/>
        <v>5.0394736842105203</v>
      </c>
      <c r="R401" s="5">
        <f t="shared" si="38"/>
        <v>-8.9605263157894797</v>
      </c>
      <c r="S401" s="5">
        <f t="shared" si="36"/>
        <v>3.7322922243882819</v>
      </c>
      <c r="T401" s="5">
        <f t="shared" si="39"/>
        <v>1.3623448559672293</v>
      </c>
      <c r="U401" s="1">
        <f t="shared" si="43"/>
        <v>11</v>
      </c>
      <c r="V401" s="1">
        <f t="shared" si="44"/>
        <v>2003</v>
      </c>
      <c r="W401" s="5">
        <v>1.1703368421052629</v>
      </c>
    </row>
    <row r="402" spans="1:23" x14ac:dyDescent="0.25">
      <c r="A402" s="13">
        <v>37956</v>
      </c>
      <c r="B402" s="5">
        <v>2.5449999999999999</v>
      </c>
      <c r="C402" s="5">
        <v>2.29</v>
      </c>
      <c r="D402" s="5">
        <v>2.4773636363636364</v>
      </c>
      <c r="E402" s="5">
        <f t="shared" si="45"/>
        <v>6.7636363636363495E-2</v>
      </c>
      <c r="F402" s="5">
        <f t="shared" si="46"/>
        <v>-0.1873636363636364</v>
      </c>
      <c r="G402" s="33">
        <v>2.38</v>
      </c>
      <c r="H402" s="5">
        <f t="shared" si="40"/>
        <v>-9.7363636363636541E-2</v>
      </c>
      <c r="K402" s="15">
        <f t="shared" si="41"/>
        <v>4.25</v>
      </c>
      <c r="L402" s="15"/>
      <c r="M402" s="13">
        <f t="shared" si="42"/>
        <v>37956</v>
      </c>
      <c r="N402" s="5">
        <f>_xlfn.MAXIFS(Sheet1!$B$2:$B$6350,Sheet1!$E$2:$E$6350,Prices!$U402,Sheet1!$F$2:$F$6350,Prices!$V402)</f>
        <v>174.25</v>
      </c>
      <c r="O402" s="5">
        <f>_xlfn.MINIFS(Sheet1!$B$2:$B$6350,Sheet1!$E$2:$E$6350,Prices!$U402,Sheet1!$F$2:$F$6350,Prices!$V402)</f>
        <v>168.5</v>
      </c>
      <c r="P402" s="5">
        <f>AVERAGEIFS(Sheet1!$B$2:$B$6350,Sheet1!$E$2:$E$6350,Prices!$U402,Sheet1!$F$2:$F$6350,Prices!$V402)</f>
        <v>170.64285714285714</v>
      </c>
      <c r="Q402" s="5">
        <f t="shared" si="37"/>
        <v>3.6071428571428612</v>
      </c>
      <c r="R402" s="5">
        <f t="shared" si="38"/>
        <v>-2.1428571428571388</v>
      </c>
      <c r="S402" s="5">
        <f t="shared" si="36"/>
        <v>3.5229588050162275</v>
      </c>
      <c r="T402" s="5">
        <f t="shared" si="39"/>
        <v>1.0455951686525911</v>
      </c>
      <c r="U402" s="1">
        <f t="shared" si="43"/>
        <v>12</v>
      </c>
      <c r="V402" s="1">
        <f t="shared" si="44"/>
        <v>2003</v>
      </c>
      <c r="W402" s="5">
        <v>1.2303772727272728</v>
      </c>
    </row>
    <row r="403" spans="1:23" x14ac:dyDescent="0.25">
      <c r="A403" s="13">
        <v>37987</v>
      </c>
      <c r="B403" s="5">
        <v>2.8149999999999999</v>
      </c>
      <c r="C403" s="5">
        <v>2.4769999999999999</v>
      </c>
      <c r="D403" s="5">
        <v>2.6669999999999998</v>
      </c>
      <c r="E403" s="5">
        <f t="shared" si="45"/>
        <v>0.14800000000000013</v>
      </c>
      <c r="F403" s="5">
        <f t="shared" si="46"/>
        <v>-0.18999999999999995</v>
      </c>
      <c r="G403" s="33">
        <v>2.52</v>
      </c>
      <c r="H403" s="5">
        <f t="shared" si="40"/>
        <v>-0.1469999999999998</v>
      </c>
      <c r="K403" s="15">
        <f t="shared" si="41"/>
        <v>4.5</v>
      </c>
      <c r="L403" s="15"/>
      <c r="M403" s="13">
        <f t="shared" si="42"/>
        <v>37987</v>
      </c>
      <c r="N403" s="5">
        <f>_xlfn.MAXIFS(Sheet1!$B$2:$B$6350,Sheet1!$E$2:$E$6350,Prices!$U403,Sheet1!$F$2:$F$6350,Prices!$V403)</f>
        <v>174</v>
      </c>
      <c r="O403" s="5">
        <f>_xlfn.MINIFS(Sheet1!$B$2:$B$6350,Sheet1!$E$2:$E$6350,Prices!$U403,Sheet1!$F$2:$F$6350,Prices!$V403)</f>
        <v>168</v>
      </c>
      <c r="P403" s="5">
        <f>AVERAGEIFS(Sheet1!$B$2:$B$6350,Sheet1!$E$2:$E$6350,Prices!$U403,Sheet1!$F$2:$F$6350,Prices!$V403)</f>
        <v>171.25</v>
      </c>
      <c r="Q403" s="5">
        <f t="shared" si="37"/>
        <v>2.75</v>
      </c>
      <c r="R403" s="5">
        <f t="shared" si="38"/>
        <v>-3.25</v>
      </c>
      <c r="S403" s="5">
        <f t="shared" si="36"/>
        <v>3.448610229699268</v>
      </c>
      <c r="T403" s="5">
        <f t="shared" si="39"/>
        <v>0.78161022969926819</v>
      </c>
      <c r="U403" s="1">
        <f t="shared" si="43"/>
        <v>1</v>
      </c>
      <c r="V403" s="1">
        <f t="shared" si="44"/>
        <v>2004</v>
      </c>
      <c r="W403" s="5">
        <v>1.2613750000000001</v>
      </c>
    </row>
    <row r="404" spans="1:23" x14ac:dyDescent="0.25">
      <c r="A404" s="13">
        <v>38018</v>
      </c>
      <c r="B404" s="5">
        <v>2.9769999999999999</v>
      </c>
      <c r="C404" s="5">
        <v>2.6869999999999998</v>
      </c>
      <c r="D404" s="5">
        <v>2.8292631578947369</v>
      </c>
      <c r="E404" s="5">
        <f t="shared" si="45"/>
        <v>0.14773684210526294</v>
      </c>
      <c r="F404" s="5">
        <f t="shared" si="46"/>
        <v>-0.14226315789473709</v>
      </c>
      <c r="G404" s="33">
        <v>2.73</v>
      </c>
      <c r="H404" s="5">
        <f t="shared" si="40"/>
        <v>-9.9263157894736942E-2</v>
      </c>
      <c r="K404" s="15">
        <f t="shared" si="41"/>
        <v>4.875</v>
      </c>
      <c r="L404" s="15"/>
      <c r="M404" s="13">
        <f t="shared" si="42"/>
        <v>38018</v>
      </c>
      <c r="N404" s="5">
        <f>_xlfn.MAXIFS(Sheet1!$B$2:$B$6350,Sheet1!$E$2:$E$6350,Prices!$U404,Sheet1!$F$2:$F$6350,Prices!$V404)</f>
        <v>173.5</v>
      </c>
      <c r="O404" s="5">
        <f>_xlfn.MINIFS(Sheet1!$B$2:$B$6350,Sheet1!$E$2:$E$6350,Prices!$U404,Sheet1!$F$2:$F$6350,Prices!$V404)</f>
        <v>164.25</v>
      </c>
      <c r="P404" s="5">
        <f>AVERAGEIFS(Sheet1!$B$2:$B$6350,Sheet1!$E$2:$E$6350,Prices!$U404,Sheet1!$F$2:$F$6350,Prices!$V404)</f>
        <v>167.47499999999999</v>
      </c>
      <c r="Q404" s="5">
        <f t="shared" si="37"/>
        <v>6.0250000000000057</v>
      </c>
      <c r="R404" s="5">
        <f t="shared" si="38"/>
        <v>-3.2249999999999943</v>
      </c>
      <c r="S404" s="5">
        <f t="shared" si="36"/>
        <v>3.3695423513798528</v>
      </c>
      <c r="T404" s="5">
        <f t="shared" si="39"/>
        <v>0.54027919348511588</v>
      </c>
      <c r="U404" s="1">
        <f t="shared" si="43"/>
        <v>2</v>
      </c>
      <c r="V404" s="1">
        <f t="shared" si="44"/>
        <v>2004</v>
      </c>
      <c r="W404" s="5">
        <v>1.2625157894736843</v>
      </c>
    </row>
    <row r="405" spans="1:23" x14ac:dyDescent="0.25">
      <c r="A405" s="13">
        <v>38047</v>
      </c>
      <c r="B405" s="5">
        <v>3.2170000000000001</v>
      </c>
      <c r="C405" s="5">
        <v>2.91</v>
      </c>
      <c r="D405" s="5">
        <v>3.0524782608695653</v>
      </c>
      <c r="E405" s="5">
        <f t="shared" si="45"/>
        <v>0.16452173913043477</v>
      </c>
      <c r="F405" s="5">
        <f t="shared" si="46"/>
        <v>-0.14247826086956517</v>
      </c>
      <c r="G405" s="33">
        <v>2.89</v>
      </c>
      <c r="H405" s="5">
        <f t="shared" si="40"/>
        <v>-0.16247826086956518</v>
      </c>
      <c r="K405" s="15">
        <f t="shared" si="41"/>
        <v>5.1607142857142856</v>
      </c>
      <c r="L405" s="15"/>
      <c r="M405" s="13">
        <f t="shared" si="42"/>
        <v>38047</v>
      </c>
      <c r="N405" s="5">
        <f>_xlfn.MAXIFS(Sheet1!$B$2:$B$6350,Sheet1!$E$2:$E$6350,Prices!$U405,Sheet1!$F$2:$F$6350,Prices!$V405)</f>
        <v>171.25</v>
      </c>
      <c r="O405" s="5">
        <f>_xlfn.MINIFS(Sheet1!$B$2:$B$6350,Sheet1!$E$2:$E$6350,Prices!$U405,Sheet1!$F$2:$F$6350,Prices!$V405)</f>
        <v>159</v>
      </c>
      <c r="P405" s="5">
        <f>AVERAGEIFS(Sheet1!$B$2:$B$6350,Sheet1!$E$2:$E$6350,Prices!$U405,Sheet1!$F$2:$F$6350,Prices!$V405)</f>
        <v>167.31521739130434</v>
      </c>
      <c r="Q405" s="5">
        <f t="shared" si="37"/>
        <v>3.9347826086956559</v>
      </c>
      <c r="R405" s="5">
        <f t="shared" si="38"/>
        <v>-8.3152173913043441</v>
      </c>
      <c r="S405" s="5">
        <f t="shared" si="36"/>
        <v>3.4654612842856025</v>
      </c>
      <c r="T405" s="5">
        <f t="shared" si="39"/>
        <v>0.41298302341603721</v>
      </c>
      <c r="U405" s="1">
        <f t="shared" si="43"/>
        <v>3</v>
      </c>
      <c r="V405" s="1">
        <f t="shared" si="44"/>
        <v>2004</v>
      </c>
      <c r="W405" s="5">
        <v>1.2263999999999999</v>
      </c>
    </row>
    <row r="406" spans="1:23" x14ac:dyDescent="0.25">
      <c r="A406" s="13">
        <v>38078</v>
      </c>
      <c r="B406" s="5">
        <v>3.3519999999999999</v>
      </c>
      <c r="C406" s="5">
        <v>2.9649999999999999</v>
      </c>
      <c r="D406" s="5">
        <v>3.1553809523809524</v>
      </c>
      <c r="E406" s="5">
        <f t="shared" si="45"/>
        <v>0.19661904761904747</v>
      </c>
      <c r="F406" s="5">
        <f t="shared" si="46"/>
        <v>-0.19038095238095254</v>
      </c>
      <c r="G406" s="33">
        <v>3.03</v>
      </c>
      <c r="H406" s="5">
        <f t="shared" si="40"/>
        <v>-0.12538095238095259</v>
      </c>
      <c r="K406" s="15">
        <f t="shared" si="41"/>
        <v>5.4107142857142856</v>
      </c>
      <c r="L406" s="15"/>
      <c r="M406" s="13">
        <f t="shared" si="42"/>
        <v>38078</v>
      </c>
      <c r="N406" s="5">
        <f>_xlfn.MAXIFS(Sheet1!$B$2:$B$6350,Sheet1!$E$2:$E$6350,Prices!$U406,Sheet1!$F$2:$F$6350,Prices!$V406)</f>
        <v>168</v>
      </c>
      <c r="O406" s="5">
        <f>_xlfn.MINIFS(Sheet1!$B$2:$B$6350,Sheet1!$E$2:$E$6350,Prices!$U406,Sheet1!$F$2:$F$6350,Prices!$V406)</f>
        <v>157</v>
      </c>
      <c r="P406" s="5">
        <f>AVERAGEIFS(Sheet1!$B$2:$B$6350,Sheet1!$E$2:$E$6350,Prices!$U406,Sheet1!$F$2:$F$6350,Prices!$V406)</f>
        <v>163.03749999999999</v>
      </c>
      <c r="Q406" s="5">
        <f t="shared" si="37"/>
        <v>4.9625000000000057</v>
      </c>
      <c r="R406" s="5">
        <f t="shared" si="38"/>
        <v>-6.0374999999999943</v>
      </c>
      <c r="S406" s="5">
        <f t="shared" si="36"/>
        <v>3.4532617299981059</v>
      </c>
      <c r="T406" s="5">
        <f t="shared" si="39"/>
        <v>0.29788077761715348</v>
      </c>
      <c r="U406" s="1">
        <f t="shared" si="43"/>
        <v>4</v>
      </c>
      <c r="V406" s="1">
        <f t="shared" si="44"/>
        <v>2004</v>
      </c>
      <c r="W406" s="5">
        <v>1.1992666666666669</v>
      </c>
    </row>
    <row r="407" spans="1:23" x14ac:dyDescent="0.25">
      <c r="A407" s="13">
        <v>38108</v>
      </c>
      <c r="B407" s="5">
        <v>3.2650000000000001</v>
      </c>
      <c r="C407" s="5">
        <v>2.875</v>
      </c>
      <c r="D407" s="5">
        <v>3.0211000000000001</v>
      </c>
      <c r="E407" s="5">
        <f t="shared" si="45"/>
        <v>0.24390000000000001</v>
      </c>
      <c r="F407" s="5">
        <f t="shared" si="46"/>
        <v>-0.14610000000000012</v>
      </c>
      <c r="G407" s="33">
        <v>2.9</v>
      </c>
      <c r="H407" s="5">
        <f t="shared" si="40"/>
        <v>-0.12110000000000021</v>
      </c>
      <c r="K407" s="15">
        <f t="shared" si="41"/>
        <v>5.1785714285714279</v>
      </c>
      <c r="L407" s="15"/>
      <c r="M407" s="13">
        <f t="shared" si="42"/>
        <v>38108</v>
      </c>
      <c r="N407" s="5">
        <f>_xlfn.MAXIFS(Sheet1!$B$2:$B$6350,Sheet1!$E$2:$E$6350,Prices!$U407,Sheet1!$F$2:$F$6350,Prices!$V407)</f>
        <v>164.75</v>
      </c>
      <c r="O407" s="5">
        <f>_xlfn.MINIFS(Sheet1!$B$2:$B$6350,Sheet1!$E$2:$E$6350,Prices!$U407,Sheet1!$F$2:$F$6350,Prices!$V407)</f>
        <v>145.5</v>
      </c>
      <c r="P407" s="5">
        <f>AVERAGEIFS(Sheet1!$B$2:$B$6350,Sheet1!$E$2:$E$6350,Prices!$U407,Sheet1!$F$2:$F$6350,Prices!$V407)</f>
        <v>156.23809523809524</v>
      </c>
      <c r="Q407" s="5">
        <f t="shared" si="37"/>
        <v>8.5119047619047592</v>
      </c>
      <c r="R407" s="5">
        <f t="shared" si="38"/>
        <v>-10.738095238095241</v>
      </c>
      <c r="S407" s="5">
        <f t="shared" si="36"/>
        <v>3.3060931224273058</v>
      </c>
      <c r="T407" s="5">
        <f t="shared" si="39"/>
        <v>0.28499312242730568</v>
      </c>
      <c r="U407" s="1">
        <f t="shared" si="43"/>
        <v>5</v>
      </c>
      <c r="V407" s="1">
        <f t="shared" si="44"/>
        <v>2004</v>
      </c>
      <c r="W407" s="5">
        <v>1.2004100000000002</v>
      </c>
    </row>
    <row r="408" spans="1:23" x14ac:dyDescent="0.25">
      <c r="A408" s="13">
        <v>38139</v>
      </c>
      <c r="B408" s="5">
        <v>3.2749999999999999</v>
      </c>
      <c r="C408" s="5">
        <v>2.5449999999999999</v>
      </c>
      <c r="D408" s="5">
        <v>2.8618571428571431</v>
      </c>
      <c r="E408" s="5">
        <f t="shared" si="45"/>
        <v>0.41314285714285681</v>
      </c>
      <c r="F408" s="5">
        <f t="shared" si="46"/>
        <v>-0.31685714285714317</v>
      </c>
      <c r="G408" s="33">
        <v>2.76</v>
      </c>
      <c r="H408" s="5">
        <f t="shared" si="40"/>
        <v>-0.10185714285714331</v>
      </c>
      <c r="K408" s="15">
        <f t="shared" si="41"/>
        <v>4.9285714285714279</v>
      </c>
      <c r="L408" s="15"/>
      <c r="M408" s="13">
        <f t="shared" si="42"/>
        <v>38139</v>
      </c>
      <c r="N408" s="5">
        <f>_xlfn.MAXIFS(Sheet1!$B$2:$B$6350,Sheet1!$E$2:$E$6350,Prices!$U408,Sheet1!$F$2:$F$6350,Prices!$V408)</f>
        <v>156.5</v>
      </c>
      <c r="O408" s="5">
        <f>_xlfn.MINIFS(Sheet1!$B$2:$B$6350,Sheet1!$E$2:$E$6350,Prices!$U408,Sheet1!$F$2:$F$6350,Prices!$V408)</f>
        <v>143.5</v>
      </c>
      <c r="P408" s="5">
        <f>AVERAGEIFS(Sheet1!$B$2:$B$6350,Sheet1!$E$2:$E$6350,Prices!$U408,Sheet1!$F$2:$F$6350,Prices!$V408)</f>
        <v>150.93181818181819</v>
      </c>
      <c r="Q408" s="5">
        <f t="shared" si="37"/>
        <v>5.568181818181813</v>
      </c>
      <c r="R408" s="5">
        <f t="shared" si="38"/>
        <v>-7.431818181818187</v>
      </c>
      <c r="S408" s="5">
        <f t="shared" si="36"/>
        <v>3.157086998624318</v>
      </c>
      <c r="T408" s="5">
        <f t="shared" si="39"/>
        <v>0.29522985576717486</v>
      </c>
      <c r="U408" s="1">
        <f t="shared" si="43"/>
        <v>6</v>
      </c>
      <c r="V408" s="1">
        <f t="shared" si="44"/>
        <v>2004</v>
      </c>
      <c r="W408" s="5">
        <v>1.2143727272727274</v>
      </c>
    </row>
    <row r="409" spans="1:23" x14ac:dyDescent="0.25">
      <c r="A409" s="13">
        <v>38169</v>
      </c>
      <c r="B409" s="5">
        <v>2.6419999999999999</v>
      </c>
      <c r="C409" s="5">
        <v>2.165</v>
      </c>
      <c r="D409" s="5">
        <v>2.3738095238095238</v>
      </c>
      <c r="E409" s="5">
        <f t="shared" si="45"/>
        <v>0.26819047619047609</v>
      </c>
      <c r="F409" s="5">
        <f t="shared" si="46"/>
        <v>-0.20880952380952378</v>
      </c>
      <c r="G409" s="33">
        <v>2.2599999999999998</v>
      </c>
      <c r="H409" s="5">
        <f t="shared" si="40"/>
        <v>-0.11380952380952403</v>
      </c>
      <c r="K409" s="15">
        <f t="shared" si="41"/>
        <v>4.0357142857142856</v>
      </c>
      <c r="L409" s="15"/>
      <c r="M409" s="13">
        <f t="shared" si="42"/>
        <v>38169</v>
      </c>
      <c r="N409" s="5">
        <f>_xlfn.MAXIFS(Sheet1!$B$2:$B$6350,Sheet1!$E$2:$E$6350,Prices!$U409,Sheet1!$F$2:$F$6350,Prices!$V409)</f>
        <v>145.5</v>
      </c>
      <c r="O409" s="5">
        <f>_xlfn.MINIFS(Sheet1!$B$2:$B$6350,Sheet1!$E$2:$E$6350,Prices!$U409,Sheet1!$F$2:$F$6350,Prices!$V409)</f>
        <v>131</v>
      </c>
      <c r="P409" s="5">
        <f>AVERAGEIFS(Sheet1!$B$2:$B$6350,Sheet1!$E$2:$E$6350,Prices!$U409,Sheet1!$F$2:$F$6350,Prices!$V409)</f>
        <v>137.51136363636363</v>
      </c>
      <c r="Q409" s="5">
        <f t="shared" si="37"/>
        <v>7.988636363636374</v>
      </c>
      <c r="R409" s="5">
        <f t="shared" si="38"/>
        <v>-6.511363636363626</v>
      </c>
      <c r="S409" s="5">
        <f t="shared" si="36"/>
        <v>2.8481477294323616</v>
      </c>
      <c r="T409" s="5">
        <f t="shared" si="39"/>
        <v>0.47433820562283779</v>
      </c>
      <c r="U409" s="1">
        <f t="shared" si="43"/>
        <v>7</v>
      </c>
      <c r="V409" s="1">
        <f t="shared" si="44"/>
        <v>2004</v>
      </c>
      <c r="W409" s="5">
        <v>1.226404761904762</v>
      </c>
    </row>
    <row r="410" spans="1:23" x14ac:dyDescent="0.25">
      <c r="A410" s="13">
        <v>38200</v>
      </c>
      <c r="B410" s="5">
        <v>2.35</v>
      </c>
      <c r="C410" s="5">
        <v>2.1520000000000001</v>
      </c>
      <c r="D410" s="5">
        <v>2.2476363636363641</v>
      </c>
      <c r="E410" s="5">
        <f t="shared" si="45"/>
        <v>0.10236363636363599</v>
      </c>
      <c r="F410" s="5">
        <f t="shared" si="46"/>
        <v>-9.5636363636363964E-2</v>
      </c>
      <c r="G410" s="33">
        <v>2.17</v>
      </c>
      <c r="H410" s="5">
        <f t="shared" si="40"/>
        <v>-7.763636363636417E-2</v>
      </c>
      <c r="K410" s="15">
        <f t="shared" si="41"/>
        <v>3.875</v>
      </c>
      <c r="L410" s="15"/>
      <c r="M410" s="13">
        <f t="shared" si="42"/>
        <v>38200</v>
      </c>
      <c r="N410" s="5">
        <f>_xlfn.MAXIFS(Sheet1!$B$2:$B$6350,Sheet1!$E$2:$E$6350,Prices!$U410,Sheet1!$F$2:$F$6350,Prices!$V410)</f>
        <v>138.5</v>
      </c>
      <c r="O410" s="5">
        <f>_xlfn.MINIFS(Sheet1!$B$2:$B$6350,Sheet1!$E$2:$E$6350,Prices!$U410,Sheet1!$F$2:$F$6350,Prices!$V410)</f>
        <v>113.5</v>
      </c>
      <c r="P410" s="5">
        <f>AVERAGEIFS(Sheet1!$B$2:$B$6350,Sheet1!$E$2:$E$6350,Prices!$U410,Sheet1!$F$2:$F$6350,Prices!$V410)</f>
        <v>118.94318181818181</v>
      </c>
      <c r="Q410" s="5">
        <f t="shared" si="37"/>
        <v>19.556818181818187</v>
      </c>
      <c r="R410" s="5">
        <f t="shared" si="38"/>
        <v>-5.443181818181813</v>
      </c>
      <c r="S410" s="5">
        <f t="shared" si="36"/>
        <v>2.4788039679867886</v>
      </c>
      <c r="T410" s="5">
        <f t="shared" si="39"/>
        <v>0.23116760435042449</v>
      </c>
      <c r="U410" s="1">
        <f t="shared" si="43"/>
        <v>8</v>
      </c>
      <c r="V410" s="1">
        <f t="shared" si="44"/>
        <v>2004</v>
      </c>
      <c r="W410" s="5">
        <v>1.2188636363636365</v>
      </c>
    </row>
    <row r="411" spans="1:23" x14ac:dyDescent="0.25">
      <c r="A411" s="13">
        <v>38231</v>
      </c>
      <c r="B411" s="5">
        <v>2.4500000000000002</v>
      </c>
      <c r="C411" s="5">
        <v>2.04</v>
      </c>
      <c r="D411" s="5">
        <v>2.1798095238095239</v>
      </c>
      <c r="E411" s="5">
        <f t="shared" si="45"/>
        <v>0.27019047619047631</v>
      </c>
      <c r="F411" s="5">
        <f t="shared" si="46"/>
        <v>-0.13980952380952383</v>
      </c>
      <c r="G411" s="33">
        <v>1.98</v>
      </c>
      <c r="H411" s="5">
        <f t="shared" si="40"/>
        <v>-0.19980952380952388</v>
      </c>
      <c r="K411" s="15">
        <f t="shared" si="41"/>
        <v>3.5357142857142856</v>
      </c>
      <c r="L411" s="15"/>
      <c r="M411" s="13">
        <f t="shared" si="42"/>
        <v>38231</v>
      </c>
      <c r="N411" s="5">
        <f>_xlfn.MAXIFS(Sheet1!$B$2:$B$6350,Sheet1!$E$2:$E$6350,Prices!$U411,Sheet1!$F$2:$F$6350,Prices!$V411)</f>
        <v>113.5</v>
      </c>
      <c r="O411" s="5">
        <f>_xlfn.MINIFS(Sheet1!$B$2:$B$6350,Sheet1!$E$2:$E$6350,Prices!$U411,Sheet1!$F$2:$F$6350,Prices!$V411)</f>
        <v>105.75</v>
      </c>
      <c r="P411" s="5">
        <f>AVERAGEIFS(Sheet1!$B$2:$B$6350,Sheet1!$E$2:$E$6350,Prices!$U411,Sheet1!$F$2:$F$6350,Prices!$V411)</f>
        <v>107.95454545454545</v>
      </c>
      <c r="Q411" s="5">
        <f t="shared" si="37"/>
        <v>5.5454545454545467</v>
      </c>
      <c r="R411" s="5">
        <f t="shared" si="38"/>
        <v>-2.2045454545454533</v>
      </c>
      <c r="S411" s="5">
        <f t="shared" si="36"/>
        <v>2.241551922808124</v>
      </c>
      <c r="T411" s="5">
        <f t="shared" si="39"/>
        <v>6.1742398998600123E-2</v>
      </c>
      <c r="U411" s="1">
        <f t="shared" si="43"/>
        <v>9</v>
      </c>
      <c r="V411" s="1">
        <f t="shared" si="44"/>
        <v>2004</v>
      </c>
      <c r="W411" s="5">
        <v>1.2233476190476191</v>
      </c>
    </row>
    <row r="412" spans="1:23" x14ac:dyDescent="0.25">
      <c r="A412" s="13">
        <v>38261</v>
      </c>
      <c r="B412" s="5">
        <v>2.0950000000000002</v>
      </c>
      <c r="C412" s="5">
        <v>1.97</v>
      </c>
      <c r="D412" s="5">
        <v>2.0494761904761907</v>
      </c>
      <c r="E412" s="5">
        <f t="shared" si="45"/>
        <v>4.5523809523809522E-2</v>
      </c>
      <c r="F412" s="5">
        <f t="shared" si="46"/>
        <v>-7.94761904761907E-2</v>
      </c>
      <c r="G412" s="33">
        <v>1.77</v>
      </c>
      <c r="H412" s="5">
        <f t="shared" si="40"/>
        <v>-0.27947619047619066</v>
      </c>
      <c r="K412" s="15">
        <f t="shared" si="41"/>
        <v>3.1607142857142856</v>
      </c>
      <c r="L412" s="15"/>
      <c r="M412" s="13">
        <f t="shared" si="42"/>
        <v>38261</v>
      </c>
      <c r="N412" s="5">
        <f>_xlfn.MAXIFS(Sheet1!$B$2:$B$6350,Sheet1!$E$2:$E$6350,Prices!$U412,Sheet1!$F$2:$F$6350,Prices!$V412)</f>
        <v>108</v>
      </c>
      <c r="O412" s="5">
        <f>_xlfn.MINIFS(Sheet1!$B$2:$B$6350,Sheet1!$E$2:$E$6350,Prices!$U412,Sheet1!$F$2:$F$6350,Prices!$V412)</f>
        <v>104.75</v>
      </c>
      <c r="P412" s="5">
        <f>AVERAGEIFS(Sheet1!$B$2:$B$6350,Sheet1!$E$2:$E$6350,Prices!$U412,Sheet1!$F$2:$F$6350,Prices!$V412)</f>
        <v>106.60714285714286</v>
      </c>
      <c r="Q412" s="5">
        <f t="shared" si="37"/>
        <v>1.3928571428571388</v>
      </c>
      <c r="R412" s="5">
        <f t="shared" si="38"/>
        <v>-1.8571428571428612</v>
      </c>
      <c r="S412" s="5">
        <f t="shared" si="36"/>
        <v>2.1660882183995396</v>
      </c>
      <c r="T412" s="5">
        <f t="shared" si="39"/>
        <v>0.1166120279233489</v>
      </c>
      <c r="U412" s="1">
        <f t="shared" si="43"/>
        <v>10</v>
      </c>
      <c r="V412" s="1">
        <f t="shared" si="44"/>
        <v>2004</v>
      </c>
      <c r="W412" s="5">
        <v>1.2501666666666664</v>
      </c>
    </row>
    <row r="413" spans="1:23" x14ac:dyDescent="0.25">
      <c r="A413" s="13">
        <v>38292</v>
      </c>
      <c r="B413" s="5">
        <v>2.085</v>
      </c>
      <c r="C413" s="5">
        <v>1.9219999999999999</v>
      </c>
      <c r="D413" s="5">
        <v>1.9892380952380952</v>
      </c>
      <c r="E413" s="5">
        <f t="shared" si="45"/>
        <v>9.5761904761904715E-2</v>
      </c>
      <c r="F413" s="5">
        <f t="shared" si="46"/>
        <v>-6.7238095238095319E-2</v>
      </c>
      <c r="G413" s="33">
        <v>1.79</v>
      </c>
      <c r="H413" s="5">
        <f t="shared" si="40"/>
        <v>-0.19923809523809521</v>
      </c>
      <c r="K413" s="15">
        <f t="shared" si="41"/>
        <v>3.1964285714285716</v>
      </c>
      <c r="L413" s="15"/>
      <c r="M413" s="13">
        <f t="shared" si="42"/>
        <v>38292</v>
      </c>
      <c r="N413" s="5">
        <f>_xlfn.MAXIFS(Sheet1!$B$2:$B$6350,Sheet1!$E$2:$E$6350,Prices!$U413,Sheet1!$F$2:$F$6350,Prices!$V413)</f>
        <v>116</v>
      </c>
      <c r="O413" s="5">
        <f>_xlfn.MINIFS(Sheet1!$B$2:$B$6350,Sheet1!$E$2:$E$6350,Prices!$U413,Sheet1!$F$2:$F$6350,Prices!$V413)</f>
        <v>108</v>
      </c>
      <c r="P413" s="5">
        <f>AVERAGEIFS(Sheet1!$B$2:$B$6350,Sheet1!$E$2:$E$6350,Prices!$U413,Sheet1!$F$2:$F$6350,Prices!$V413)</f>
        <v>113.48863636363636</v>
      </c>
      <c r="Q413" s="5">
        <f t="shared" si="37"/>
        <v>2.5113636363636402</v>
      </c>
      <c r="R413" s="5">
        <f t="shared" si="38"/>
        <v>-5.4886363636363598</v>
      </c>
      <c r="S413" s="5">
        <f t="shared" si="36"/>
        <v>2.2194916654653376</v>
      </c>
      <c r="T413" s="5">
        <f t="shared" si="39"/>
        <v>0.23025357022724235</v>
      </c>
      <c r="U413" s="1">
        <f t="shared" si="43"/>
        <v>11</v>
      </c>
      <c r="V413" s="1">
        <f t="shared" si="44"/>
        <v>2004</v>
      </c>
      <c r="W413" s="5">
        <v>1.2988428571428574</v>
      </c>
    </row>
    <row r="414" spans="1:23" x14ac:dyDescent="0.25">
      <c r="A414" s="13">
        <v>38322</v>
      </c>
      <c r="B414" s="5">
        <v>2.0950000000000002</v>
      </c>
      <c r="C414" s="5">
        <v>2.0099999999999998</v>
      </c>
      <c r="D414" s="5">
        <v>2.0502857142857143</v>
      </c>
      <c r="E414" s="5">
        <f t="shared" si="45"/>
        <v>4.4714285714285928E-2</v>
      </c>
      <c r="F414" s="5">
        <f t="shared" si="46"/>
        <v>-4.028571428571448E-2</v>
      </c>
      <c r="G414" s="33">
        <v>1.87</v>
      </c>
      <c r="H414" s="5">
        <f t="shared" si="40"/>
        <v>-0.18028571428571416</v>
      </c>
      <c r="K414" s="15">
        <f t="shared" si="41"/>
        <v>3.3392857142857149</v>
      </c>
      <c r="L414" s="15"/>
      <c r="M414" s="13">
        <f t="shared" si="42"/>
        <v>38322</v>
      </c>
      <c r="N414" s="5">
        <f>_xlfn.MAXIFS(Sheet1!$B$2:$B$6350,Sheet1!$E$2:$E$6350,Prices!$U414,Sheet1!$F$2:$F$6350,Prices!$V414)</f>
        <v>114</v>
      </c>
      <c r="O414" s="5">
        <f>_xlfn.MINIFS(Sheet1!$B$2:$B$6350,Sheet1!$E$2:$E$6350,Prices!$U414,Sheet1!$F$2:$F$6350,Prices!$V414)</f>
        <v>113.25</v>
      </c>
      <c r="P414" s="5">
        <f>AVERAGEIFS(Sheet1!$B$2:$B$6350,Sheet1!$E$2:$E$6350,Prices!$U414,Sheet1!$F$2:$F$6350,Prices!$V414)</f>
        <v>113.47826086956522</v>
      </c>
      <c r="Q414" s="5">
        <f t="shared" si="37"/>
        <v>0.52173913043478137</v>
      </c>
      <c r="R414" s="5">
        <f t="shared" si="38"/>
        <v>-0.22826086956521863</v>
      </c>
      <c r="S414" s="5">
        <f t="shared" si="36"/>
        <v>2.1510790183901873</v>
      </c>
      <c r="T414" s="5">
        <f t="shared" si="39"/>
        <v>0.10079330410447307</v>
      </c>
      <c r="U414" s="1">
        <f t="shared" si="43"/>
        <v>12</v>
      </c>
      <c r="V414" s="1">
        <f t="shared" si="44"/>
        <v>2004</v>
      </c>
      <c r="W414" s="5">
        <v>1.3400285714285711</v>
      </c>
    </row>
    <row r="415" spans="1:23" x14ac:dyDescent="0.25">
      <c r="A415" s="13">
        <v>38353</v>
      </c>
      <c r="B415" s="5">
        <v>2.097</v>
      </c>
      <c r="C415" s="5">
        <v>1.95</v>
      </c>
      <c r="D415" s="5">
        <v>2.00095</v>
      </c>
      <c r="E415" s="5">
        <f t="shared" si="45"/>
        <v>9.6049999999999969E-2</v>
      </c>
      <c r="F415" s="5">
        <f t="shared" si="46"/>
        <v>-5.0950000000000051E-2</v>
      </c>
      <c r="G415" s="33">
        <v>1.86</v>
      </c>
      <c r="H415" s="5">
        <f t="shared" si="40"/>
        <v>-0.14094999999999991</v>
      </c>
      <c r="K415" s="15">
        <f t="shared" si="41"/>
        <v>3.3214285714285716</v>
      </c>
      <c r="L415" s="15"/>
      <c r="M415" s="13">
        <f t="shared" si="42"/>
        <v>38353</v>
      </c>
      <c r="N415" s="5">
        <f>_xlfn.MAXIFS(Sheet1!$B$2:$B$6350,Sheet1!$E$2:$E$6350,Prices!$U415,Sheet1!$F$2:$F$6350,Prices!$V415)</f>
        <v>114</v>
      </c>
      <c r="O415" s="5">
        <f>_xlfn.MINIFS(Sheet1!$B$2:$B$6350,Sheet1!$E$2:$E$6350,Prices!$U415,Sheet1!$F$2:$F$6350,Prices!$V415)</f>
        <v>110.5</v>
      </c>
      <c r="P415" s="5">
        <f>AVERAGEIFS(Sheet1!$B$2:$B$6350,Sheet1!$E$2:$E$6350,Prices!$U415,Sheet1!$F$2:$F$6350,Prices!$V415)</f>
        <v>112.28571428571429</v>
      </c>
      <c r="Q415" s="5">
        <f t="shared" si="37"/>
        <v>1.7142857142857082</v>
      </c>
      <c r="R415" s="5">
        <f t="shared" si="38"/>
        <v>-1.7857142857142918</v>
      </c>
      <c r="S415" s="5">
        <f t="shared" si="36"/>
        <v>2.175237553144691</v>
      </c>
      <c r="T415" s="5">
        <f t="shared" si="39"/>
        <v>0.17428755314469102</v>
      </c>
      <c r="U415" s="1">
        <f t="shared" si="43"/>
        <v>1</v>
      </c>
      <c r="V415" s="1">
        <f t="shared" si="44"/>
        <v>2005</v>
      </c>
      <c r="W415" s="5">
        <v>1.3112200000000001</v>
      </c>
    </row>
    <row r="416" spans="1:23" x14ac:dyDescent="0.25">
      <c r="A416" s="13">
        <v>38384</v>
      </c>
      <c r="B416" s="5">
        <v>2.165</v>
      </c>
      <c r="C416" s="5">
        <v>1.94</v>
      </c>
      <c r="D416" s="5">
        <v>2.0032105263157898</v>
      </c>
      <c r="E416" s="5">
        <f t="shared" si="45"/>
        <v>0.16178947368421026</v>
      </c>
      <c r="F416" s="5">
        <f t="shared" si="46"/>
        <v>-6.3210526315789828E-2</v>
      </c>
      <c r="G416" s="33">
        <v>1.86</v>
      </c>
      <c r="H416" s="5">
        <f t="shared" si="40"/>
        <v>-0.14321052631578968</v>
      </c>
      <c r="K416" s="15">
        <f t="shared" si="41"/>
        <v>3.3214285714285716</v>
      </c>
      <c r="L416" s="15"/>
      <c r="M416" s="13">
        <f t="shared" si="42"/>
        <v>38384</v>
      </c>
      <c r="N416" s="5">
        <f>_xlfn.MAXIFS(Sheet1!$B$2:$B$6350,Sheet1!$E$2:$E$6350,Prices!$U416,Sheet1!$F$2:$F$6350,Prices!$V416)</f>
        <v>115.75</v>
      </c>
      <c r="O416" s="5">
        <f>_xlfn.MINIFS(Sheet1!$B$2:$B$6350,Sheet1!$E$2:$E$6350,Prices!$U416,Sheet1!$F$2:$F$6350,Prices!$V416)</f>
        <v>112.5</v>
      </c>
      <c r="P416" s="5">
        <f>AVERAGEIFS(Sheet1!$B$2:$B$6350,Sheet1!$E$2:$E$6350,Prices!$U416,Sheet1!$F$2:$F$6350,Prices!$V416)</f>
        <v>113.41249999999999</v>
      </c>
      <c r="Q416" s="5">
        <f t="shared" si="37"/>
        <v>2.3375000000000057</v>
      </c>
      <c r="R416" s="5">
        <f t="shared" si="38"/>
        <v>-0.91249999999999432</v>
      </c>
      <c r="S416" s="5">
        <f t="shared" si="36"/>
        <v>2.2136444794186705</v>
      </c>
      <c r="T416" s="5">
        <f t="shared" si="39"/>
        <v>0.21043395310288071</v>
      </c>
      <c r="U416" s="1">
        <f t="shared" si="43"/>
        <v>2</v>
      </c>
      <c r="V416" s="1">
        <f t="shared" si="44"/>
        <v>2005</v>
      </c>
      <c r="W416" s="5">
        <v>1.3014000000000001</v>
      </c>
    </row>
    <row r="417" spans="1:23" x14ac:dyDescent="0.25">
      <c r="A417" s="13">
        <v>38412</v>
      </c>
      <c r="B417" s="5">
        <v>2.31</v>
      </c>
      <c r="C417" s="5">
        <v>2.0920000000000001</v>
      </c>
      <c r="D417" s="5">
        <v>2.173</v>
      </c>
      <c r="E417" s="5">
        <f t="shared" si="45"/>
        <v>0.13700000000000001</v>
      </c>
      <c r="F417" s="5">
        <f t="shared" si="46"/>
        <v>-8.0999999999999961E-2</v>
      </c>
      <c r="G417" s="33">
        <v>1.97</v>
      </c>
      <c r="H417" s="5">
        <f t="shared" si="40"/>
        <v>-0.20300000000000007</v>
      </c>
      <c r="K417" s="15">
        <f t="shared" si="41"/>
        <v>3.5178571428571428</v>
      </c>
      <c r="L417" s="15"/>
      <c r="M417" s="13">
        <f t="shared" si="42"/>
        <v>38412</v>
      </c>
      <c r="N417" s="5">
        <f>_xlfn.MAXIFS(Sheet1!$B$2:$B$6350,Sheet1!$E$2:$E$6350,Prices!$U417,Sheet1!$F$2:$F$6350,Prices!$V417)</f>
        <v>118.5</v>
      </c>
      <c r="O417" s="5">
        <f>_xlfn.MINIFS(Sheet1!$B$2:$B$6350,Sheet1!$E$2:$E$6350,Prices!$U417,Sheet1!$F$2:$F$6350,Prices!$V417)</f>
        <v>114.25</v>
      </c>
      <c r="P417" s="5">
        <f>AVERAGEIFS(Sheet1!$B$2:$B$6350,Sheet1!$E$2:$E$6350,Prices!$U417,Sheet1!$F$2:$F$6350,Prices!$V417)</f>
        <v>116.45454545454545</v>
      </c>
      <c r="Q417" s="5">
        <f t="shared" si="37"/>
        <v>2.0454545454545467</v>
      </c>
      <c r="R417" s="5">
        <f t="shared" si="38"/>
        <v>-2.2045454545454533</v>
      </c>
      <c r="S417" s="5">
        <f t="shared" si="36"/>
        <v>2.2430850221362091</v>
      </c>
      <c r="T417" s="5">
        <f t="shared" si="39"/>
        <v>7.0085022136209041E-2</v>
      </c>
      <c r="U417" s="1">
        <f t="shared" si="43"/>
        <v>3</v>
      </c>
      <c r="V417" s="1">
        <f t="shared" si="44"/>
        <v>2005</v>
      </c>
      <c r="W417" s="5">
        <v>1.318768181818182</v>
      </c>
    </row>
    <row r="418" spans="1:23" x14ac:dyDescent="0.25">
      <c r="A418" s="13">
        <v>38443</v>
      </c>
      <c r="B418" s="5">
        <v>2.15</v>
      </c>
      <c r="C418" s="5">
        <v>2.0299999999999998</v>
      </c>
      <c r="D418" s="5">
        <v>2.0784761904761906</v>
      </c>
      <c r="E418" s="5">
        <f t="shared" si="45"/>
        <v>7.1523809523809323E-2</v>
      </c>
      <c r="F418" s="5">
        <f t="shared" si="46"/>
        <v>-4.8476190476190784E-2</v>
      </c>
      <c r="G418" s="33">
        <v>1.94</v>
      </c>
      <c r="H418" s="5">
        <f t="shared" si="40"/>
        <v>-0.13847619047619064</v>
      </c>
      <c r="K418" s="15">
        <f t="shared" si="41"/>
        <v>3.4642857142857144</v>
      </c>
      <c r="L418" s="15"/>
      <c r="M418" s="13">
        <f t="shared" si="42"/>
        <v>38443</v>
      </c>
      <c r="N418" s="5">
        <f>_xlfn.MAXIFS(Sheet1!$B$2:$B$6350,Sheet1!$E$2:$E$6350,Prices!$U418,Sheet1!$F$2:$F$6350,Prices!$V418)</f>
        <v>116.75</v>
      </c>
      <c r="O418" s="5">
        <f>_xlfn.MINIFS(Sheet1!$B$2:$B$6350,Sheet1!$E$2:$E$6350,Prices!$U418,Sheet1!$F$2:$F$6350,Prices!$V418)</f>
        <v>115</v>
      </c>
      <c r="P418" s="5">
        <f>AVERAGEIFS(Sheet1!$B$2:$B$6350,Sheet1!$E$2:$E$6350,Prices!$U418,Sheet1!$F$2:$F$6350,Prices!$V418)</f>
        <v>116.1547619047619</v>
      </c>
      <c r="Q418" s="5">
        <f t="shared" si="37"/>
        <v>0.59523809523810201</v>
      </c>
      <c r="R418" s="5">
        <f t="shared" si="38"/>
        <v>-1.154761904761898</v>
      </c>
      <c r="S418" s="5">
        <f t="shared" si="36"/>
        <v>2.2800004006302577</v>
      </c>
      <c r="T418" s="5">
        <f t="shared" si="39"/>
        <v>0.20152421015406707</v>
      </c>
      <c r="U418" s="1">
        <f t="shared" si="43"/>
        <v>4</v>
      </c>
      <c r="V418" s="1">
        <f t="shared" si="44"/>
        <v>2005</v>
      </c>
      <c r="W418" s="5">
        <v>1.2940761904761904</v>
      </c>
    </row>
    <row r="419" spans="1:23" x14ac:dyDescent="0.25">
      <c r="A419" s="13">
        <v>38473</v>
      </c>
      <c r="B419" s="5">
        <v>2.2799999999999998</v>
      </c>
      <c r="C419" s="5">
        <v>2.0299999999999998</v>
      </c>
      <c r="D419" s="5">
        <v>2.1194285714285717</v>
      </c>
      <c r="E419" s="5">
        <f t="shared" si="45"/>
        <v>0.16057142857142814</v>
      </c>
      <c r="F419" s="5">
        <f t="shared" si="46"/>
        <v>-8.9428571428571857E-2</v>
      </c>
      <c r="G419" s="33">
        <v>1.93</v>
      </c>
      <c r="H419" s="5">
        <f t="shared" si="40"/>
        <v>-0.18942857142857172</v>
      </c>
      <c r="K419" s="15">
        <f t="shared" si="41"/>
        <v>3.4464285714285712</v>
      </c>
      <c r="L419" s="15"/>
      <c r="M419" s="13">
        <f t="shared" si="42"/>
        <v>38473</v>
      </c>
      <c r="N419" s="5">
        <f>_xlfn.MAXIFS(Sheet1!$B$2:$B$6350,Sheet1!$E$2:$E$6350,Prices!$U419,Sheet1!$F$2:$F$6350,Prices!$V419)</f>
        <v>122</v>
      </c>
      <c r="O419" s="5">
        <f>_xlfn.MINIFS(Sheet1!$B$2:$B$6350,Sheet1!$E$2:$E$6350,Prices!$U419,Sheet1!$F$2:$F$6350,Prices!$V419)</f>
        <v>116.75</v>
      </c>
      <c r="P419" s="5">
        <f>AVERAGEIFS(Sheet1!$B$2:$B$6350,Sheet1!$E$2:$E$6350,Prices!$U419,Sheet1!$F$2:$F$6350,Prices!$V419)</f>
        <v>119.01136363636364</v>
      </c>
      <c r="Q419" s="5">
        <f t="shared" si="37"/>
        <v>2.9886363636363598</v>
      </c>
      <c r="R419" s="5">
        <f t="shared" si="38"/>
        <v>-2.2613636363636402</v>
      </c>
      <c r="S419" s="5">
        <f t="shared" ref="S419:S482" si="47">P419/39.3679/W419</f>
        <v>2.3816627992023194</v>
      </c>
      <c r="T419" s="5">
        <f t="shared" si="39"/>
        <v>0.26223422777374772</v>
      </c>
      <c r="U419" s="1">
        <f t="shared" si="43"/>
        <v>5</v>
      </c>
      <c r="V419" s="1">
        <f t="shared" si="44"/>
        <v>2005</v>
      </c>
      <c r="W419" s="5">
        <v>1.2693047619047619</v>
      </c>
    </row>
    <row r="420" spans="1:23" x14ac:dyDescent="0.25">
      <c r="A420" s="13">
        <v>38504</v>
      </c>
      <c r="B420" s="5">
        <v>2.375</v>
      </c>
      <c r="C420" s="5">
        <v>2.09</v>
      </c>
      <c r="D420" s="5">
        <v>2.2182272727272729</v>
      </c>
      <c r="E420" s="5">
        <f t="shared" si="45"/>
        <v>0.15677272727272706</v>
      </c>
      <c r="F420" s="5">
        <f t="shared" si="46"/>
        <v>-0.12822727272727308</v>
      </c>
      <c r="G420" s="33">
        <v>2.02</v>
      </c>
      <c r="H420" s="5">
        <f t="shared" si="40"/>
        <v>-0.19822727272727292</v>
      </c>
      <c r="K420" s="15">
        <f t="shared" si="41"/>
        <v>3.6071428571428572</v>
      </c>
      <c r="L420" s="15"/>
      <c r="M420" s="13">
        <f t="shared" si="42"/>
        <v>38504</v>
      </c>
      <c r="N420" s="5">
        <f>_xlfn.MAXIFS(Sheet1!$B$2:$B$6350,Sheet1!$E$2:$E$6350,Prices!$U420,Sheet1!$F$2:$F$6350,Prices!$V420)</f>
        <v>132</v>
      </c>
      <c r="O420" s="5">
        <f>_xlfn.MINIFS(Sheet1!$B$2:$B$6350,Sheet1!$E$2:$E$6350,Prices!$U420,Sheet1!$F$2:$F$6350,Prices!$V420)</f>
        <v>121</v>
      </c>
      <c r="P420" s="5">
        <f>AVERAGEIFS(Sheet1!$B$2:$B$6350,Sheet1!$E$2:$E$6350,Prices!$U420,Sheet1!$F$2:$F$6350,Prices!$V420)</f>
        <v>128.81818181818181</v>
      </c>
      <c r="Q420" s="5">
        <f t="shared" ref="Q420:Q483" si="48">N420-P420</f>
        <v>3.181818181818187</v>
      </c>
      <c r="R420" s="5">
        <f t="shared" ref="R420:R483" si="49">O420-P420</f>
        <v>-7.818181818181813</v>
      </c>
      <c r="S420" s="5">
        <f t="shared" si="47"/>
        <v>2.6917082504949521</v>
      </c>
      <c r="T420" s="5">
        <f t="shared" ref="T420:T483" si="50">S420-D420</f>
        <v>0.47348097776767917</v>
      </c>
      <c r="U420" s="1">
        <f t="shared" si="43"/>
        <v>6</v>
      </c>
      <c r="V420" s="1">
        <f t="shared" si="44"/>
        <v>2005</v>
      </c>
      <c r="W420" s="5">
        <v>1.2156454545454545</v>
      </c>
    </row>
    <row r="421" spans="1:23" x14ac:dyDescent="0.25">
      <c r="A421" s="13">
        <v>38534</v>
      </c>
      <c r="B421" s="5">
        <v>2.6320000000000001</v>
      </c>
      <c r="C421" s="5">
        <v>2.2200000000000002</v>
      </c>
      <c r="D421" s="5">
        <v>2.4007000000000001</v>
      </c>
      <c r="E421" s="5">
        <f t="shared" si="45"/>
        <v>0.23130000000000006</v>
      </c>
      <c r="F421" s="5">
        <f t="shared" si="46"/>
        <v>-0.18069999999999986</v>
      </c>
      <c r="G421" s="33">
        <v>2.2000000000000002</v>
      </c>
      <c r="H421" s="5">
        <f t="shared" si="40"/>
        <v>-0.20069999999999988</v>
      </c>
      <c r="K421" s="15">
        <f t="shared" si="41"/>
        <v>3.9285714285714293</v>
      </c>
      <c r="L421" s="15"/>
      <c r="M421" s="13">
        <f t="shared" si="42"/>
        <v>38534</v>
      </c>
      <c r="N421" s="5">
        <f>_xlfn.MAXIFS(Sheet1!$B$2:$B$6350,Sheet1!$E$2:$E$6350,Prices!$U421,Sheet1!$F$2:$F$6350,Prices!$V421)</f>
        <v>137</v>
      </c>
      <c r="O421" s="5">
        <f>_xlfn.MINIFS(Sheet1!$B$2:$B$6350,Sheet1!$E$2:$E$6350,Prices!$U421,Sheet1!$F$2:$F$6350,Prices!$V421)</f>
        <v>129</v>
      </c>
      <c r="P421" s="5">
        <f>AVERAGEIFS(Sheet1!$B$2:$B$6350,Sheet1!$E$2:$E$6350,Prices!$U421,Sheet1!$F$2:$F$6350,Prices!$V421)</f>
        <v>131.95238095238096</v>
      </c>
      <c r="Q421" s="5">
        <f t="shared" si="48"/>
        <v>5.0476190476190368</v>
      </c>
      <c r="R421" s="5">
        <f t="shared" si="49"/>
        <v>-2.9523809523809632</v>
      </c>
      <c r="S421" s="5">
        <f t="shared" si="47"/>
        <v>2.7804838493629389</v>
      </c>
      <c r="T421" s="5">
        <f t="shared" si="50"/>
        <v>0.37978384936293885</v>
      </c>
      <c r="U421" s="1">
        <f t="shared" si="43"/>
        <v>7</v>
      </c>
      <c r="V421" s="1">
        <f t="shared" si="44"/>
        <v>2005</v>
      </c>
      <c r="W421" s="5">
        <v>1.205465</v>
      </c>
    </row>
    <row r="422" spans="1:23" x14ac:dyDescent="0.25">
      <c r="A422" s="13">
        <v>38565</v>
      </c>
      <c r="B422" s="5">
        <v>2.395</v>
      </c>
      <c r="C422" s="5">
        <v>2</v>
      </c>
      <c r="D422" s="5">
        <v>2.1514347826086957</v>
      </c>
      <c r="E422" s="5">
        <f t="shared" si="45"/>
        <v>0.24356521739130432</v>
      </c>
      <c r="F422" s="5">
        <f t="shared" si="46"/>
        <v>-0.15143478260869569</v>
      </c>
      <c r="G422" s="33">
        <v>1.98</v>
      </c>
      <c r="H422" s="5">
        <f t="shared" si="40"/>
        <v>-0.17143478260869571</v>
      </c>
      <c r="K422" s="15">
        <f t="shared" si="41"/>
        <v>3.5357142857142856</v>
      </c>
      <c r="L422" s="15"/>
      <c r="M422" s="13">
        <f t="shared" si="42"/>
        <v>38565</v>
      </c>
      <c r="N422" s="5">
        <f>_xlfn.MAXIFS(Sheet1!$B$2:$B$6350,Sheet1!$E$2:$E$6350,Prices!$U422,Sheet1!$F$2:$F$6350,Prices!$V422)</f>
        <v>135</v>
      </c>
      <c r="O422" s="5">
        <f>_xlfn.MINIFS(Sheet1!$B$2:$B$6350,Sheet1!$E$2:$E$6350,Prices!$U422,Sheet1!$F$2:$F$6350,Prices!$V422)</f>
        <v>123.25</v>
      </c>
      <c r="P422" s="5">
        <f>AVERAGEIFS(Sheet1!$B$2:$B$6350,Sheet1!$E$2:$E$6350,Prices!$U422,Sheet1!$F$2:$F$6350,Prices!$V422)</f>
        <v>126.10869565217391</v>
      </c>
      <c r="Q422" s="5">
        <f t="shared" si="48"/>
        <v>8.8913043478260931</v>
      </c>
      <c r="R422" s="5">
        <f t="shared" si="49"/>
        <v>-2.8586956521739069</v>
      </c>
      <c r="S422" s="5">
        <f t="shared" si="47"/>
        <v>2.6045148763209358</v>
      </c>
      <c r="T422" s="5">
        <f t="shared" si="50"/>
        <v>0.45308009371224012</v>
      </c>
      <c r="U422" s="1">
        <f t="shared" si="43"/>
        <v>8</v>
      </c>
      <c r="V422" s="1">
        <f t="shared" si="44"/>
        <v>2005</v>
      </c>
      <c r="W422" s="5">
        <v>1.229917391304348</v>
      </c>
    </row>
    <row r="423" spans="1:23" x14ac:dyDescent="0.25">
      <c r="A423" s="13">
        <v>38596</v>
      </c>
      <c r="B423" s="5">
        <v>2.2269999999999999</v>
      </c>
      <c r="C423" s="5">
        <v>2.0249999999999999</v>
      </c>
      <c r="D423" s="5">
        <v>2.0985238095238095</v>
      </c>
      <c r="E423" s="5">
        <f t="shared" si="45"/>
        <v>0.12847619047619041</v>
      </c>
      <c r="F423" s="5">
        <f t="shared" si="46"/>
        <v>-7.3523809523809547E-2</v>
      </c>
      <c r="G423" s="33">
        <v>1.75</v>
      </c>
      <c r="H423" s="5">
        <f t="shared" si="40"/>
        <v>-0.34852380952380946</v>
      </c>
      <c r="K423" s="15">
        <f t="shared" si="41"/>
        <v>3.125</v>
      </c>
      <c r="L423" s="15"/>
      <c r="M423" s="13">
        <f t="shared" si="42"/>
        <v>38596</v>
      </c>
      <c r="N423" s="5">
        <f>_xlfn.MAXIFS(Sheet1!$B$2:$B$6350,Sheet1!$E$2:$E$6350,Prices!$U423,Sheet1!$F$2:$F$6350,Prices!$V423)</f>
        <v>124.5</v>
      </c>
      <c r="O423" s="5">
        <f>_xlfn.MINIFS(Sheet1!$B$2:$B$6350,Sheet1!$E$2:$E$6350,Prices!$U423,Sheet1!$F$2:$F$6350,Prices!$V423)</f>
        <v>122.5</v>
      </c>
      <c r="P423" s="5">
        <f>AVERAGEIFS(Sheet1!$B$2:$B$6350,Sheet1!$E$2:$E$6350,Prices!$U423,Sheet1!$F$2:$F$6350,Prices!$V423)</f>
        <v>123.67045454545455</v>
      </c>
      <c r="Q423" s="5">
        <f t="shared" si="48"/>
        <v>0.82954545454545325</v>
      </c>
      <c r="R423" s="5">
        <f t="shared" si="49"/>
        <v>-1.1704545454545467</v>
      </c>
      <c r="S423" s="5">
        <f t="shared" si="47"/>
        <v>2.568614572539782</v>
      </c>
      <c r="T423" s="5">
        <f t="shared" si="50"/>
        <v>0.47009076301597252</v>
      </c>
      <c r="U423" s="1">
        <f t="shared" si="43"/>
        <v>9</v>
      </c>
      <c r="V423" s="1">
        <f t="shared" si="44"/>
        <v>2005</v>
      </c>
      <c r="W423" s="5">
        <v>1.2229952380952378</v>
      </c>
    </row>
    <row r="424" spans="1:23" x14ac:dyDescent="0.25">
      <c r="A424" s="13">
        <v>38626</v>
      </c>
      <c r="B424" s="5">
        <v>2.0950000000000002</v>
      </c>
      <c r="C424" s="5">
        <v>1.96</v>
      </c>
      <c r="D424" s="5">
        <v>2.0203333333333333</v>
      </c>
      <c r="E424" s="5">
        <f t="shared" si="45"/>
        <v>7.4666666666666881E-2</v>
      </c>
      <c r="F424" s="5">
        <f t="shared" si="46"/>
        <v>-6.033333333333335E-2</v>
      </c>
      <c r="G424" s="33">
        <v>1.67</v>
      </c>
      <c r="H424" s="5">
        <f t="shared" si="40"/>
        <v>-0.35033333333333339</v>
      </c>
      <c r="K424" s="15">
        <f t="shared" si="41"/>
        <v>2.9821428571428572</v>
      </c>
      <c r="L424" s="15"/>
      <c r="M424" s="13">
        <f t="shared" si="42"/>
        <v>38626</v>
      </c>
      <c r="N424" s="5">
        <f>_xlfn.MAXIFS(Sheet1!$B$2:$B$6350,Sheet1!$E$2:$E$6350,Prices!$U424,Sheet1!$F$2:$F$6350,Prices!$V424)</f>
        <v>128.5</v>
      </c>
      <c r="O424" s="5">
        <f>_xlfn.MINIFS(Sheet1!$B$2:$B$6350,Sheet1!$E$2:$E$6350,Prices!$U424,Sheet1!$F$2:$F$6350,Prices!$V424)</f>
        <v>123</v>
      </c>
      <c r="P424" s="5">
        <f>AVERAGEIFS(Sheet1!$B$2:$B$6350,Sheet1!$E$2:$E$6350,Prices!$U424,Sheet1!$F$2:$F$6350,Prices!$V424)</f>
        <v>125.88095238095238</v>
      </c>
      <c r="Q424" s="5">
        <f t="shared" si="48"/>
        <v>2.6190476190476204</v>
      </c>
      <c r="R424" s="5">
        <f t="shared" si="49"/>
        <v>-2.8809523809523796</v>
      </c>
      <c r="S424" s="5">
        <f t="shared" si="47"/>
        <v>2.6585298800532788</v>
      </c>
      <c r="T424" s="5">
        <f t="shared" si="50"/>
        <v>0.63819654671994552</v>
      </c>
      <c r="U424" s="1">
        <f t="shared" si="43"/>
        <v>10</v>
      </c>
      <c r="V424" s="1">
        <f t="shared" si="44"/>
        <v>2005</v>
      </c>
      <c r="W424" s="5">
        <v>1.2027523809523806</v>
      </c>
    </row>
    <row r="425" spans="1:23" x14ac:dyDescent="0.25">
      <c r="A425" s="13">
        <v>38657</v>
      </c>
      <c r="B425" s="5">
        <v>1.9950000000000001</v>
      </c>
      <c r="C425" s="5">
        <v>1.857</v>
      </c>
      <c r="D425" s="5">
        <v>1.9295238095238096</v>
      </c>
      <c r="E425" s="5">
        <f t="shared" si="45"/>
        <v>6.5476190476190466E-2</v>
      </c>
      <c r="F425" s="5">
        <f t="shared" si="46"/>
        <v>-7.2523809523809657E-2</v>
      </c>
      <c r="G425" s="33">
        <v>1.75</v>
      </c>
      <c r="H425" s="5">
        <f t="shared" si="40"/>
        <v>-0.17952380952380964</v>
      </c>
      <c r="K425" s="15">
        <f t="shared" si="41"/>
        <v>3.125</v>
      </c>
      <c r="L425" s="15"/>
      <c r="M425" s="13">
        <f t="shared" si="42"/>
        <v>38657</v>
      </c>
      <c r="N425" s="5">
        <f>_xlfn.MAXIFS(Sheet1!$B$2:$B$6350,Sheet1!$E$2:$E$6350,Prices!$U425,Sheet1!$F$2:$F$6350,Prices!$V425)</f>
        <v>129.5</v>
      </c>
      <c r="O425" s="5">
        <f>_xlfn.MINIFS(Sheet1!$B$2:$B$6350,Sheet1!$E$2:$E$6350,Prices!$U425,Sheet1!$F$2:$F$6350,Prices!$V425)</f>
        <v>124.75</v>
      </c>
      <c r="P425" s="5">
        <f>AVERAGEIFS(Sheet1!$B$2:$B$6350,Sheet1!$E$2:$E$6350,Prices!$U425,Sheet1!$F$2:$F$6350,Prices!$V425)</f>
        <v>127.73863636363636</v>
      </c>
      <c r="Q425" s="5">
        <f t="shared" si="48"/>
        <v>1.7613636363636402</v>
      </c>
      <c r="R425" s="5">
        <f t="shared" si="49"/>
        <v>-2.9886363636363598</v>
      </c>
      <c r="S425" s="5">
        <f t="shared" si="47"/>
        <v>2.7509238900586301</v>
      </c>
      <c r="T425" s="5">
        <f t="shared" si="50"/>
        <v>0.8214000805348205</v>
      </c>
      <c r="U425" s="1">
        <f t="shared" si="43"/>
        <v>11</v>
      </c>
      <c r="V425" s="1">
        <f t="shared" si="44"/>
        <v>2005</v>
      </c>
      <c r="W425" s="5">
        <v>1.1795095238095237</v>
      </c>
    </row>
    <row r="426" spans="1:23" x14ac:dyDescent="0.25">
      <c r="A426" s="13">
        <v>38687</v>
      </c>
      <c r="B426" s="5">
        <v>2.17</v>
      </c>
      <c r="C426" s="5">
        <v>1.9950000000000001</v>
      </c>
      <c r="D426" s="5">
        <v>2.0826190476190476</v>
      </c>
      <c r="E426" s="5">
        <f t="shared" si="45"/>
        <v>8.7380952380952337E-2</v>
      </c>
      <c r="F426" s="5">
        <f t="shared" si="46"/>
        <v>-8.7619047619047485E-2</v>
      </c>
      <c r="G426" s="33">
        <v>1.89</v>
      </c>
      <c r="H426" s="5">
        <f t="shared" si="40"/>
        <v>-0.19261904761904769</v>
      </c>
      <c r="K426" s="15">
        <f t="shared" si="41"/>
        <v>3.3749999999999996</v>
      </c>
      <c r="L426" s="15"/>
      <c r="M426" s="13">
        <f t="shared" si="42"/>
        <v>38687</v>
      </c>
      <c r="N426" s="5">
        <f>_xlfn.MAXIFS(Sheet1!$B$2:$B$6350,Sheet1!$E$2:$E$6350,Prices!$U426,Sheet1!$F$2:$F$6350,Prices!$V426)</f>
        <v>127.25</v>
      </c>
      <c r="O426" s="5">
        <f>_xlfn.MINIFS(Sheet1!$B$2:$B$6350,Sheet1!$E$2:$E$6350,Prices!$U426,Sheet1!$F$2:$F$6350,Prices!$V426)</f>
        <v>125.5</v>
      </c>
      <c r="P426" s="5">
        <f>AVERAGEIFS(Sheet1!$B$2:$B$6350,Sheet1!$E$2:$E$6350,Prices!$U426,Sheet1!$F$2:$F$6350,Prices!$V426)</f>
        <v>126.51190476190476</v>
      </c>
      <c r="Q426" s="5">
        <f t="shared" si="48"/>
        <v>0.7380952380952408</v>
      </c>
      <c r="R426" s="5">
        <f t="shared" si="49"/>
        <v>-1.0119047619047592</v>
      </c>
      <c r="S426" s="5">
        <f t="shared" si="47"/>
        <v>2.7099871751364293</v>
      </c>
      <c r="T426" s="5">
        <f t="shared" si="50"/>
        <v>0.62736812751738169</v>
      </c>
      <c r="U426" s="1">
        <f t="shared" si="43"/>
        <v>12</v>
      </c>
      <c r="V426" s="1">
        <f t="shared" si="44"/>
        <v>2005</v>
      </c>
      <c r="W426" s="5">
        <v>1.1858285714285717</v>
      </c>
    </row>
    <row r="427" spans="1:23" x14ac:dyDescent="0.25">
      <c r="A427" s="13">
        <v>38718</v>
      </c>
      <c r="B427" s="5">
        <v>2.2200000000000002</v>
      </c>
      <c r="C427" s="5">
        <v>2.0350000000000001</v>
      </c>
      <c r="D427" s="5">
        <v>2.1335999999999999</v>
      </c>
      <c r="E427" s="5">
        <f t="shared" si="45"/>
        <v>8.6400000000000254E-2</v>
      </c>
      <c r="F427" s="5">
        <f t="shared" si="46"/>
        <v>-9.8599999999999799E-2</v>
      </c>
      <c r="G427" s="33">
        <v>1.98</v>
      </c>
      <c r="H427" s="5">
        <f t="shared" si="40"/>
        <v>-0.15359999999999996</v>
      </c>
      <c r="K427" s="15">
        <f t="shared" si="41"/>
        <v>3.5357142857142856</v>
      </c>
      <c r="L427" s="15"/>
      <c r="M427" s="13">
        <f t="shared" si="42"/>
        <v>38718</v>
      </c>
      <c r="N427" s="5">
        <f>_xlfn.MAXIFS(Sheet1!$B$2:$B$6350,Sheet1!$E$2:$E$6350,Prices!$U427,Sheet1!$F$2:$F$6350,Prices!$V427)</f>
        <v>127.75</v>
      </c>
      <c r="O427" s="5">
        <f>_xlfn.MINIFS(Sheet1!$B$2:$B$6350,Sheet1!$E$2:$E$6350,Prices!$U427,Sheet1!$F$2:$F$6350,Prices!$V427)</f>
        <v>125</v>
      </c>
      <c r="P427" s="5">
        <f>AVERAGEIFS(Sheet1!$B$2:$B$6350,Sheet1!$E$2:$E$6350,Prices!$U427,Sheet1!$F$2:$F$6350,Prices!$V427)</f>
        <v>126.46428571428571</v>
      </c>
      <c r="Q427" s="5">
        <f t="shared" si="48"/>
        <v>1.2857142857142918</v>
      </c>
      <c r="R427" s="5">
        <f t="shared" si="49"/>
        <v>-1.4642857142857082</v>
      </c>
      <c r="S427" s="5">
        <f t="shared" si="47"/>
        <v>2.6476527703463364</v>
      </c>
      <c r="T427" s="5">
        <f t="shared" si="50"/>
        <v>0.51405277034633645</v>
      </c>
      <c r="U427" s="1">
        <f t="shared" si="43"/>
        <v>1</v>
      </c>
      <c r="V427" s="1">
        <f t="shared" si="44"/>
        <v>2006</v>
      </c>
      <c r="W427" s="5">
        <v>1.21329</v>
      </c>
    </row>
    <row r="428" spans="1:23" x14ac:dyDescent="0.25">
      <c r="A428" s="13">
        <v>38749</v>
      </c>
      <c r="B428" s="5">
        <v>2.2869999999999999</v>
      </c>
      <c r="C428" s="5">
        <v>2.1520000000000001</v>
      </c>
      <c r="D428" s="5">
        <v>2.229421052631579</v>
      </c>
      <c r="E428" s="5">
        <f t="shared" si="45"/>
        <v>5.7578947368420952E-2</v>
      </c>
      <c r="F428" s="5">
        <f t="shared" si="46"/>
        <v>-7.7421052631578835E-2</v>
      </c>
      <c r="G428" s="33">
        <v>2.0699999999999998</v>
      </c>
      <c r="H428" s="5">
        <f t="shared" si="40"/>
        <v>-0.15942105263157913</v>
      </c>
      <c r="K428" s="15">
        <f t="shared" si="41"/>
        <v>3.6964285714285712</v>
      </c>
      <c r="L428" s="15"/>
      <c r="M428" s="13">
        <f t="shared" si="42"/>
        <v>38749</v>
      </c>
      <c r="N428" s="5">
        <f>_xlfn.MAXIFS(Sheet1!$B$2:$B$6350,Sheet1!$E$2:$E$6350,Prices!$U428,Sheet1!$F$2:$F$6350,Prices!$V428)</f>
        <v>129.5</v>
      </c>
      <c r="O428" s="5">
        <f>_xlfn.MINIFS(Sheet1!$B$2:$B$6350,Sheet1!$E$2:$E$6350,Prices!$U428,Sheet1!$F$2:$F$6350,Prices!$V428)</f>
        <v>124.5</v>
      </c>
      <c r="P428" s="5">
        <f>AVERAGEIFS(Sheet1!$B$2:$B$6350,Sheet1!$E$2:$E$6350,Prices!$U428,Sheet1!$F$2:$F$6350,Prices!$V428)</f>
        <v>127.1</v>
      </c>
      <c r="Q428" s="5">
        <f t="shared" si="48"/>
        <v>2.4000000000000057</v>
      </c>
      <c r="R428" s="5">
        <f t="shared" si="49"/>
        <v>-2.5999999999999943</v>
      </c>
      <c r="S428" s="5">
        <f t="shared" si="47"/>
        <v>2.7041307790886635</v>
      </c>
      <c r="T428" s="5">
        <f t="shared" si="50"/>
        <v>0.47470972645708454</v>
      </c>
      <c r="U428" s="1">
        <f t="shared" si="43"/>
        <v>2</v>
      </c>
      <c r="V428" s="1">
        <f t="shared" si="44"/>
        <v>2006</v>
      </c>
      <c r="W428" s="5">
        <v>1.1939210526315789</v>
      </c>
    </row>
    <row r="429" spans="1:23" x14ac:dyDescent="0.25">
      <c r="A429" s="13">
        <v>38777</v>
      </c>
      <c r="B429" s="5">
        <v>2.4300000000000002</v>
      </c>
      <c r="C429" s="5">
        <v>2.17</v>
      </c>
      <c r="D429" s="5">
        <v>2.2785217391304347</v>
      </c>
      <c r="E429" s="5">
        <f t="shared" si="45"/>
        <v>0.15147826086956551</v>
      </c>
      <c r="F429" s="5">
        <f t="shared" si="46"/>
        <v>-0.10852173913043472</v>
      </c>
      <c r="G429" s="33">
        <v>2.04</v>
      </c>
      <c r="H429" s="5">
        <f t="shared" si="40"/>
        <v>-0.23852173913043462</v>
      </c>
      <c r="K429" s="15">
        <f t="shared" si="41"/>
        <v>3.6428571428571428</v>
      </c>
      <c r="L429" s="15"/>
      <c r="M429" s="13">
        <f t="shared" si="42"/>
        <v>38777</v>
      </c>
      <c r="N429" s="5">
        <f>_xlfn.MAXIFS(Sheet1!$B$2:$B$6350,Sheet1!$E$2:$E$6350,Prices!$U429,Sheet1!$F$2:$F$6350,Prices!$V429)</f>
        <v>128</v>
      </c>
      <c r="O429" s="5">
        <f>_xlfn.MINIFS(Sheet1!$B$2:$B$6350,Sheet1!$E$2:$E$6350,Prices!$U429,Sheet1!$F$2:$F$6350,Prices!$V429)</f>
        <v>124</v>
      </c>
      <c r="P429" s="5">
        <f>AVERAGEIFS(Sheet1!$B$2:$B$6350,Sheet1!$E$2:$E$6350,Prices!$U429,Sheet1!$F$2:$F$6350,Prices!$V429)</f>
        <v>127.01086956521739</v>
      </c>
      <c r="Q429" s="5">
        <f t="shared" si="48"/>
        <v>0.98913043478260931</v>
      </c>
      <c r="R429" s="5">
        <f t="shared" si="49"/>
        <v>-3.0108695652173907</v>
      </c>
      <c r="S429" s="5">
        <f t="shared" si="47"/>
        <v>2.6816567744965103</v>
      </c>
      <c r="T429" s="5">
        <f t="shared" si="50"/>
        <v>0.40313503536607564</v>
      </c>
      <c r="U429" s="1">
        <f t="shared" si="43"/>
        <v>3</v>
      </c>
      <c r="V429" s="1">
        <f t="shared" si="44"/>
        <v>2006</v>
      </c>
      <c r="W429" s="5">
        <v>1.2030826086956519</v>
      </c>
    </row>
    <row r="430" spans="1:23" x14ac:dyDescent="0.25">
      <c r="A430" s="13">
        <v>38808</v>
      </c>
      <c r="B430" s="5">
        <v>2.44</v>
      </c>
      <c r="C430" s="5">
        <v>2.2869999999999999</v>
      </c>
      <c r="D430" s="5">
        <v>2.3679473684210528</v>
      </c>
      <c r="E430" s="5">
        <f t="shared" si="45"/>
        <v>7.2052631578947146E-2</v>
      </c>
      <c r="F430" s="5">
        <f t="shared" si="46"/>
        <v>-8.0947368421052879E-2</v>
      </c>
      <c r="G430" s="33">
        <v>2.1800000000000002</v>
      </c>
      <c r="H430" s="5">
        <f t="shared" si="40"/>
        <v>-0.18794736842105264</v>
      </c>
      <c r="K430" s="15">
        <f t="shared" si="41"/>
        <v>3.8928571428571432</v>
      </c>
      <c r="L430" s="15"/>
      <c r="M430" s="13">
        <f t="shared" si="42"/>
        <v>38808</v>
      </c>
      <c r="N430" s="5">
        <f>_xlfn.MAXIFS(Sheet1!$B$2:$B$6350,Sheet1!$E$2:$E$6350,Prices!$U430,Sheet1!$F$2:$F$6350,Prices!$V430)</f>
        <v>132.25</v>
      </c>
      <c r="O430" s="5">
        <f>_xlfn.MINIFS(Sheet1!$B$2:$B$6350,Sheet1!$E$2:$E$6350,Prices!$U430,Sheet1!$F$2:$F$6350,Prices!$V430)</f>
        <v>127.75</v>
      </c>
      <c r="P430" s="5">
        <f>AVERAGEIFS(Sheet1!$B$2:$B$6350,Sheet1!$E$2:$E$6350,Prices!$U430,Sheet1!$F$2:$F$6350,Prices!$V430)</f>
        <v>129.43055555555554</v>
      </c>
      <c r="Q430" s="5">
        <f t="shared" si="48"/>
        <v>2.8194444444444571</v>
      </c>
      <c r="R430" s="5">
        <f t="shared" si="49"/>
        <v>-1.6805555555555429</v>
      </c>
      <c r="S430" s="5">
        <f t="shared" si="47"/>
        <v>2.6747154944501301</v>
      </c>
      <c r="T430" s="5">
        <f t="shared" si="50"/>
        <v>0.30676812602907733</v>
      </c>
      <c r="U430" s="1">
        <f t="shared" si="43"/>
        <v>4</v>
      </c>
      <c r="V430" s="1">
        <f t="shared" si="44"/>
        <v>2006</v>
      </c>
      <c r="W430" s="5">
        <v>1.2291842105263158</v>
      </c>
    </row>
    <row r="431" spans="1:23" x14ac:dyDescent="0.25">
      <c r="A431" s="13">
        <v>38838</v>
      </c>
      <c r="B431" s="5">
        <v>2.6419999999999999</v>
      </c>
      <c r="C431" s="5">
        <v>2.355</v>
      </c>
      <c r="D431" s="5">
        <v>2.4994090909090909</v>
      </c>
      <c r="E431" s="5">
        <f t="shared" si="45"/>
        <v>0.14259090909090899</v>
      </c>
      <c r="F431" s="5">
        <f t="shared" si="46"/>
        <v>-0.14440909090909093</v>
      </c>
      <c r="G431" s="33">
        <v>2.2200000000000002</v>
      </c>
      <c r="H431" s="5">
        <f t="shared" si="40"/>
        <v>-0.27940909090909072</v>
      </c>
      <c r="K431" s="15">
        <f t="shared" si="41"/>
        <v>3.9642857142857144</v>
      </c>
      <c r="L431" s="15"/>
      <c r="M431" s="13">
        <f t="shared" si="42"/>
        <v>38838</v>
      </c>
      <c r="N431" s="5">
        <f>_xlfn.MAXIFS(Sheet1!$B$2:$B$6350,Sheet1!$E$2:$E$6350,Prices!$U431,Sheet1!$F$2:$F$6350,Prices!$V431)</f>
        <v>139</v>
      </c>
      <c r="O431" s="5">
        <f>_xlfn.MINIFS(Sheet1!$B$2:$B$6350,Sheet1!$E$2:$E$6350,Prices!$U431,Sheet1!$F$2:$F$6350,Prices!$V431)</f>
        <v>129.5</v>
      </c>
      <c r="P431" s="5">
        <f>AVERAGEIFS(Sheet1!$B$2:$B$6350,Sheet1!$E$2:$E$6350,Prices!$U431,Sheet1!$F$2:$F$6350,Prices!$V431)</f>
        <v>133.94318181818181</v>
      </c>
      <c r="Q431" s="5">
        <f t="shared" si="48"/>
        <v>5.056818181818187</v>
      </c>
      <c r="R431" s="5">
        <f t="shared" si="49"/>
        <v>-4.443181818181813</v>
      </c>
      <c r="S431" s="5">
        <f t="shared" si="47"/>
        <v>2.6641843813819719</v>
      </c>
      <c r="T431" s="5">
        <f t="shared" si="50"/>
        <v>0.16477529047288098</v>
      </c>
      <c r="U431" s="1">
        <f t="shared" si="43"/>
        <v>5</v>
      </c>
      <c r="V431" s="1">
        <f t="shared" si="44"/>
        <v>2006</v>
      </c>
      <c r="W431" s="5">
        <v>1.2770681818181815</v>
      </c>
    </row>
    <row r="432" spans="1:23" x14ac:dyDescent="0.25">
      <c r="A432" s="13">
        <v>38869</v>
      </c>
      <c r="B432" s="5">
        <v>2.6</v>
      </c>
      <c r="C432" s="5">
        <v>2.21</v>
      </c>
      <c r="D432" s="5">
        <v>2.3810909090909091</v>
      </c>
      <c r="E432" s="5">
        <f t="shared" si="45"/>
        <v>0.21890909090909094</v>
      </c>
      <c r="F432" s="5">
        <f t="shared" si="46"/>
        <v>-0.17109090909090918</v>
      </c>
      <c r="G432" s="33">
        <v>2.15</v>
      </c>
      <c r="H432" s="5">
        <f t="shared" si="40"/>
        <v>-0.23109090909090924</v>
      </c>
      <c r="K432" s="15">
        <f t="shared" si="41"/>
        <v>3.839285714285714</v>
      </c>
      <c r="L432" s="15"/>
      <c r="M432" s="13">
        <f t="shared" si="42"/>
        <v>38869</v>
      </c>
      <c r="N432" s="5">
        <f>_xlfn.MAXIFS(Sheet1!$B$2:$B$6350,Sheet1!$E$2:$E$6350,Prices!$U432,Sheet1!$F$2:$F$6350,Prices!$V432)</f>
        <v>140.5</v>
      </c>
      <c r="O432" s="5">
        <f>_xlfn.MINIFS(Sheet1!$B$2:$B$6350,Sheet1!$E$2:$E$6350,Prices!$U432,Sheet1!$F$2:$F$6350,Prices!$V432)</f>
        <v>132.5</v>
      </c>
      <c r="P432" s="5">
        <f>AVERAGEIFS(Sheet1!$B$2:$B$6350,Sheet1!$E$2:$E$6350,Prices!$U432,Sheet1!$F$2:$F$6350,Prices!$V432)</f>
        <v>136.60714285714286</v>
      </c>
      <c r="Q432" s="5">
        <f t="shared" si="48"/>
        <v>3.8928571428571388</v>
      </c>
      <c r="R432" s="5">
        <f t="shared" si="49"/>
        <v>-4.1071428571428612</v>
      </c>
      <c r="S432" s="5">
        <f t="shared" si="47"/>
        <v>2.7401005046789577</v>
      </c>
      <c r="T432" s="5">
        <f t="shared" si="50"/>
        <v>0.35900959558804857</v>
      </c>
      <c r="U432" s="1">
        <f t="shared" si="43"/>
        <v>6</v>
      </c>
      <c r="V432" s="1">
        <f t="shared" si="44"/>
        <v>2006</v>
      </c>
      <c r="W432" s="5">
        <v>1.2663818181818183</v>
      </c>
    </row>
    <row r="433" spans="1:23" x14ac:dyDescent="0.25">
      <c r="A433" s="13">
        <v>38899</v>
      </c>
      <c r="B433" s="5">
        <v>2.6869999999999998</v>
      </c>
      <c r="C433" s="5">
        <v>2.3519999999999999</v>
      </c>
      <c r="D433" s="5">
        <v>2.48515</v>
      </c>
      <c r="E433" s="5">
        <f t="shared" si="45"/>
        <v>0.20184999999999986</v>
      </c>
      <c r="F433" s="5">
        <f t="shared" si="46"/>
        <v>-0.1331500000000001</v>
      </c>
      <c r="G433" s="33">
        <v>2.2200000000000002</v>
      </c>
      <c r="H433" s="5">
        <f t="shared" si="40"/>
        <v>-0.26514999999999977</v>
      </c>
      <c r="K433" s="15">
        <f t="shared" si="41"/>
        <v>3.9642857142857144</v>
      </c>
      <c r="L433" s="15"/>
      <c r="M433" s="13">
        <f t="shared" si="42"/>
        <v>38899</v>
      </c>
      <c r="N433" s="5">
        <f>_xlfn.MAXIFS(Sheet1!$B$2:$B$6350,Sheet1!$E$2:$E$6350,Prices!$U433,Sheet1!$F$2:$F$6350,Prices!$V433)</f>
        <v>142</v>
      </c>
      <c r="O433" s="5">
        <f>_xlfn.MINIFS(Sheet1!$B$2:$B$6350,Sheet1!$E$2:$E$6350,Prices!$U433,Sheet1!$F$2:$F$6350,Prices!$V433)</f>
        <v>128.5</v>
      </c>
      <c r="P433" s="5">
        <f>AVERAGEIFS(Sheet1!$B$2:$B$6350,Sheet1!$E$2:$E$6350,Prices!$U433,Sheet1!$F$2:$F$6350,Prices!$V433)</f>
        <v>134.13095238095238</v>
      </c>
      <c r="Q433" s="5">
        <f t="shared" si="48"/>
        <v>7.8690476190476204</v>
      </c>
      <c r="R433" s="5">
        <f t="shared" si="49"/>
        <v>-5.6309523809523796</v>
      </c>
      <c r="S433" s="5">
        <f t="shared" si="47"/>
        <v>2.6856646462766238</v>
      </c>
      <c r="T433" s="5">
        <f t="shared" si="50"/>
        <v>0.20051464627662385</v>
      </c>
      <c r="U433" s="1">
        <f t="shared" si="43"/>
        <v>7</v>
      </c>
      <c r="V433" s="1">
        <f t="shared" si="44"/>
        <v>2006</v>
      </c>
      <c r="W433" s="5">
        <v>1.2686300000000001</v>
      </c>
    </row>
    <row r="434" spans="1:23" x14ac:dyDescent="0.25">
      <c r="A434" s="13">
        <v>38930</v>
      </c>
      <c r="B434" s="5">
        <v>2.4870000000000001</v>
      </c>
      <c r="C434" s="5">
        <v>2.1669999999999998</v>
      </c>
      <c r="D434" s="5">
        <v>2.2976521739130433</v>
      </c>
      <c r="E434" s="5">
        <f t="shared" si="45"/>
        <v>0.18934782608695677</v>
      </c>
      <c r="F434" s="5">
        <f t="shared" si="46"/>
        <v>-0.13065217391304351</v>
      </c>
      <c r="G434" s="33">
        <v>2.0699999999999998</v>
      </c>
      <c r="H434" s="5">
        <f t="shared" si="40"/>
        <v>-0.22765217391304349</v>
      </c>
      <c r="K434" s="15">
        <f t="shared" si="41"/>
        <v>3.6964285714285712</v>
      </c>
      <c r="L434" s="15"/>
      <c r="M434" s="13">
        <f t="shared" si="42"/>
        <v>38930</v>
      </c>
      <c r="N434" s="5">
        <f>_xlfn.MAXIFS(Sheet1!$B$2:$B$6350,Sheet1!$E$2:$E$6350,Prices!$U434,Sheet1!$F$2:$F$6350,Prices!$V434)</f>
        <v>148</v>
      </c>
      <c r="O434" s="5">
        <f>_xlfn.MINIFS(Sheet1!$B$2:$B$6350,Sheet1!$E$2:$E$6350,Prices!$U434,Sheet1!$F$2:$F$6350,Prices!$V434)</f>
        <v>132.75</v>
      </c>
      <c r="P434" s="5">
        <f>AVERAGEIFS(Sheet1!$B$2:$B$6350,Sheet1!$E$2:$E$6350,Prices!$U434,Sheet1!$F$2:$F$6350,Prices!$V434)</f>
        <v>139.58695652173913</v>
      </c>
      <c r="Q434" s="5">
        <f t="shared" si="48"/>
        <v>8.4130434782608745</v>
      </c>
      <c r="R434" s="5">
        <f t="shared" si="49"/>
        <v>-6.8369565217391255</v>
      </c>
      <c r="S434" s="5">
        <f t="shared" si="47"/>
        <v>2.768586702294952</v>
      </c>
      <c r="T434" s="5">
        <f t="shared" si="50"/>
        <v>0.47093452838190863</v>
      </c>
      <c r="U434" s="1">
        <f t="shared" si="43"/>
        <v>8</v>
      </c>
      <c r="V434" s="1">
        <f t="shared" si="44"/>
        <v>2006</v>
      </c>
      <c r="W434" s="5">
        <v>1.2806913043478259</v>
      </c>
    </row>
    <row r="435" spans="1:23" x14ac:dyDescent="0.25">
      <c r="A435" s="13">
        <v>38961</v>
      </c>
      <c r="B435" s="5">
        <v>2.68</v>
      </c>
      <c r="C435" s="5">
        <v>2.36</v>
      </c>
      <c r="D435" s="5">
        <v>2.4849000000000001</v>
      </c>
      <c r="E435" s="5">
        <f t="shared" si="45"/>
        <v>0.19510000000000005</v>
      </c>
      <c r="F435" s="5">
        <f t="shared" si="46"/>
        <v>-0.12490000000000023</v>
      </c>
      <c r="G435" s="33">
        <v>2.21</v>
      </c>
      <c r="H435" s="5">
        <f t="shared" ref="H435:H498" si="51">G435-D435</f>
        <v>-0.27490000000000014</v>
      </c>
      <c r="K435" s="15">
        <f t="shared" si="41"/>
        <v>3.9464285714285716</v>
      </c>
      <c r="L435" s="15"/>
      <c r="M435" s="13">
        <f t="shared" si="42"/>
        <v>38961</v>
      </c>
      <c r="N435" s="5">
        <f>_xlfn.MAXIFS(Sheet1!$B$2:$B$6350,Sheet1!$E$2:$E$6350,Prices!$U435,Sheet1!$F$2:$F$6350,Prices!$V435)</f>
        <v>149</v>
      </c>
      <c r="O435" s="5">
        <f>_xlfn.MINIFS(Sheet1!$B$2:$B$6350,Sheet1!$E$2:$E$6350,Prices!$U435,Sheet1!$F$2:$F$6350,Prices!$V435)</f>
        <v>138.75</v>
      </c>
      <c r="P435" s="5">
        <f>AVERAGEIFS(Sheet1!$B$2:$B$6350,Sheet1!$E$2:$E$6350,Prices!$U435,Sheet1!$F$2:$F$6350,Prices!$V435)</f>
        <v>145.92857142857142</v>
      </c>
      <c r="Q435" s="5">
        <f t="shared" si="48"/>
        <v>3.0714285714285836</v>
      </c>
      <c r="R435" s="5">
        <f t="shared" si="49"/>
        <v>-7.1785714285714164</v>
      </c>
      <c r="S435" s="5">
        <f t="shared" si="47"/>
        <v>2.9138115923037455</v>
      </c>
      <c r="T435" s="5">
        <f t="shared" si="50"/>
        <v>0.42891159230374543</v>
      </c>
      <c r="U435" s="1">
        <f t="shared" si="43"/>
        <v>9</v>
      </c>
      <c r="V435" s="1">
        <f t="shared" si="44"/>
        <v>2006</v>
      </c>
      <c r="W435" s="5">
        <v>1.2721449999999996</v>
      </c>
    </row>
    <row r="436" spans="1:23" x14ac:dyDescent="0.25">
      <c r="A436" s="13">
        <v>38991</v>
      </c>
      <c r="B436" s="5">
        <v>3.34</v>
      </c>
      <c r="C436" s="5">
        <v>2.6150000000000002</v>
      </c>
      <c r="D436" s="5">
        <v>3.0324090909090908</v>
      </c>
      <c r="E436" s="5">
        <f t="shared" si="45"/>
        <v>0.30759090909090903</v>
      </c>
      <c r="F436" s="5">
        <f t="shared" si="46"/>
        <v>-0.41740909090909062</v>
      </c>
      <c r="G436" s="33">
        <v>2.82</v>
      </c>
      <c r="H436" s="5">
        <f t="shared" si="51"/>
        <v>-0.21240909090909099</v>
      </c>
      <c r="K436" s="15">
        <f t="shared" si="41"/>
        <v>5.0357142857142856</v>
      </c>
      <c r="L436" s="15"/>
      <c r="M436" s="13">
        <f t="shared" si="42"/>
        <v>38991</v>
      </c>
      <c r="N436" s="5">
        <f>_xlfn.MAXIFS(Sheet1!$B$2:$B$6350,Sheet1!$E$2:$E$6350,Prices!$U436,Sheet1!$F$2:$F$6350,Prices!$V436)</f>
        <v>161</v>
      </c>
      <c r="O436" s="5">
        <f>_xlfn.MINIFS(Sheet1!$B$2:$B$6350,Sheet1!$E$2:$E$6350,Prices!$U436,Sheet1!$F$2:$F$6350,Prices!$V436)</f>
        <v>149</v>
      </c>
      <c r="P436" s="5">
        <f>AVERAGEIFS(Sheet1!$B$2:$B$6350,Sheet1!$E$2:$E$6350,Prices!$U436,Sheet1!$F$2:$F$6350,Prices!$V436)</f>
        <v>155.27272727272728</v>
      </c>
      <c r="Q436" s="5">
        <f t="shared" si="48"/>
        <v>5.7272727272727195</v>
      </c>
      <c r="R436" s="5">
        <f t="shared" si="49"/>
        <v>-6.2727272727272805</v>
      </c>
      <c r="S436" s="5">
        <f t="shared" si="47"/>
        <v>3.1252346295228888</v>
      </c>
      <c r="T436" s="5">
        <f t="shared" si="50"/>
        <v>9.2825538613797942E-2</v>
      </c>
      <c r="U436" s="1">
        <f t="shared" si="43"/>
        <v>10</v>
      </c>
      <c r="V436" s="1">
        <f t="shared" si="44"/>
        <v>2006</v>
      </c>
      <c r="W436" s="5">
        <v>1.2620318181818184</v>
      </c>
    </row>
    <row r="437" spans="1:23" x14ac:dyDescent="0.25">
      <c r="A437" s="13">
        <v>39022</v>
      </c>
      <c r="B437" s="5">
        <v>3.78</v>
      </c>
      <c r="C437" s="5">
        <v>3.2050000000000001</v>
      </c>
      <c r="D437" s="5">
        <v>3.557809523809524</v>
      </c>
      <c r="E437" s="5">
        <f t="shared" si="45"/>
        <v>0.22219047619047583</v>
      </c>
      <c r="F437" s="5">
        <f t="shared" si="46"/>
        <v>-0.35280952380952391</v>
      </c>
      <c r="G437" s="33">
        <v>3.43</v>
      </c>
      <c r="H437" s="5">
        <f t="shared" si="51"/>
        <v>-0.12780952380952382</v>
      </c>
      <c r="K437" s="15">
        <f t="shared" si="41"/>
        <v>6.1250000000000009</v>
      </c>
      <c r="L437" s="15"/>
      <c r="M437" s="13">
        <f t="shared" si="42"/>
        <v>39022</v>
      </c>
      <c r="N437" s="5">
        <f>_xlfn.MAXIFS(Sheet1!$B$2:$B$6350,Sheet1!$E$2:$E$6350,Prices!$U437,Sheet1!$F$2:$F$6350,Prices!$V437)</f>
        <v>161</v>
      </c>
      <c r="O437" s="5">
        <f>_xlfn.MINIFS(Sheet1!$B$2:$B$6350,Sheet1!$E$2:$E$6350,Prices!$U437,Sheet1!$F$2:$F$6350,Prices!$V437)</f>
        <v>153</v>
      </c>
      <c r="P437" s="5">
        <f>AVERAGEIFS(Sheet1!$B$2:$B$6350,Sheet1!$E$2:$E$6350,Prices!$U437,Sheet1!$F$2:$F$6350,Prices!$V437)</f>
        <v>158.77272727272728</v>
      </c>
      <c r="Q437" s="5">
        <f t="shared" si="48"/>
        <v>2.2272727272727195</v>
      </c>
      <c r="R437" s="5">
        <f t="shared" si="49"/>
        <v>-5.7727272727272805</v>
      </c>
      <c r="S437" s="5">
        <f t="shared" si="47"/>
        <v>3.1296073377824536</v>
      </c>
      <c r="T437" s="5">
        <f t="shared" si="50"/>
        <v>-0.42820218602707039</v>
      </c>
      <c r="U437" s="1">
        <f t="shared" si="43"/>
        <v>11</v>
      </c>
      <c r="V437" s="1">
        <f t="shared" si="44"/>
        <v>2006</v>
      </c>
      <c r="W437" s="5">
        <v>1.2886761904761908</v>
      </c>
    </row>
    <row r="438" spans="1:23" x14ac:dyDescent="0.25">
      <c r="A438" s="13">
        <v>39052</v>
      </c>
      <c r="B438" s="5">
        <v>3.92</v>
      </c>
      <c r="C438" s="5">
        <v>3.62</v>
      </c>
      <c r="D438" s="5">
        <v>3.76315</v>
      </c>
      <c r="E438" s="5">
        <f t="shared" si="45"/>
        <v>0.15684999999999993</v>
      </c>
      <c r="F438" s="5">
        <f t="shared" si="46"/>
        <v>-0.14314999999999989</v>
      </c>
      <c r="G438" s="33">
        <v>3.53</v>
      </c>
      <c r="H438" s="5">
        <f t="shared" si="51"/>
        <v>-0.23315000000000019</v>
      </c>
      <c r="K438" s="15">
        <f t="shared" si="41"/>
        <v>6.3035714285714279</v>
      </c>
      <c r="L438" s="15"/>
      <c r="M438" s="13">
        <f t="shared" si="42"/>
        <v>39052</v>
      </c>
      <c r="N438" s="5">
        <f>_xlfn.MAXIFS(Sheet1!$B$2:$B$6350,Sheet1!$E$2:$E$6350,Prices!$U438,Sheet1!$F$2:$F$6350,Prices!$V438)</f>
        <v>159.5</v>
      </c>
      <c r="O438" s="5">
        <f>_xlfn.MINIFS(Sheet1!$B$2:$B$6350,Sheet1!$E$2:$E$6350,Prices!$U438,Sheet1!$F$2:$F$6350,Prices!$V438)</f>
        <v>156</v>
      </c>
      <c r="P438" s="5">
        <f>AVERAGEIFS(Sheet1!$B$2:$B$6350,Sheet1!$E$2:$E$6350,Prices!$U438,Sheet1!$F$2:$F$6350,Prices!$V438)</f>
        <v>157.42105263157896</v>
      </c>
      <c r="Q438" s="5">
        <f t="shared" si="48"/>
        <v>2.0789473684210407</v>
      </c>
      <c r="R438" s="5">
        <f t="shared" si="49"/>
        <v>-1.4210526315789593</v>
      </c>
      <c r="S438" s="5">
        <f t="shared" si="47"/>
        <v>3.0288599314401723</v>
      </c>
      <c r="T438" s="5">
        <f t="shared" si="50"/>
        <v>-0.7342900685598277</v>
      </c>
      <c r="U438" s="1">
        <f t="shared" si="43"/>
        <v>12</v>
      </c>
      <c r="V438" s="1">
        <f t="shared" si="44"/>
        <v>2006</v>
      </c>
      <c r="W438" s="5">
        <v>1.3202050000000001</v>
      </c>
    </row>
    <row r="439" spans="1:23" x14ac:dyDescent="0.25">
      <c r="A439" s="13">
        <v>39083</v>
      </c>
      <c r="B439" s="5">
        <v>4.2050000000000001</v>
      </c>
      <c r="C439" s="5">
        <v>3.5249999999999999</v>
      </c>
      <c r="D439" s="5">
        <v>3.90855</v>
      </c>
      <c r="E439" s="5">
        <f t="shared" si="45"/>
        <v>0.2964500000000001</v>
      </c>
      <c r="F439" s="5">
        <f t="shared" si="46"/>
        <v>-0.38355000000000006</v>
      </c>
      <c r="G439" s="33">
        <v>3.66</v>
      </c>
      <c r="H439" s="5">
        <f t="shared" si="51"/>
        <v>-0.24854999999999983</v>
      </c>
      <c r="K439" s="15">
        <f t="shared" si="41"/>
        <v>6.5357142857142865</v>
      </c>
      <c r="L439" s="15"/>
      <c r="M439" s="13">
        <f t="shared" si="42"/>
        <v>39083</v>
      </c>
      <c r="N439" s="5">
        <f>_xlfn.MAXIFS(Sheet1!$B$2:$B$6350,Sheet1!$E$2:$E$6350,Prices!$U439,Sheet1!$F$2:$F$6350,Prices!$V439)</f>
        <v>164</v>
      </c>
      <c r="O439" s="5">
        <f>_xlfn.MINIFS(Sheet1!$B$2:$B$6350,Sheet1!$E$2:$E$6350,Prices!$U439,Sheet1!$F$2:$F$6350,Prices!$V439)</f>
        <v>155.25</v>
      </c>
      <c r="P439" s="5">
        <f>AVERAGEIFS(Sheet1!$B$2:$B$6350,Sheet1!$E$2:$E$6350,Prices!$U439,Sheet1!$F$2:$F$6350,Prices!$V439)</f>
        <v>159.69318181818181</v>
      </c>
      <c r="Q439" s="5">
        <f t="shared" si="48"/>
        <v>4.306818181818187</v>
      </c>
      <c r="R439" s="5">
        <f t="shared" si="49"/>
        <v>-4.443181818181813</v>
      </c>
      <c r="S439" s="5">
        <f t="shared" si="47"/>
        <v>3.1228483511580927</v>
      </c>
      <c r="T439" s="5">
        <f t="shared" si="50"/>
        <v>-0.7857016488419073</v>
      </c>
      <c r="U439" s="1">
        <f t="shared" si="43"/>
        <v>1</v>
      </c>
      <c r="V439" s="1">
        <f t="shared" si="44"/>
        <v>2007</v>
      </c>
      <c r="W439" s="5">
        <v>1.2989523809523806</v>
      </c>
    </row>
    <row r="440" spans="1:23" x14ac:dyDescent="0.25">
      <c r="A440" s="13">
        <v>39114</v>
      </c>
      <c r="B440" s="5">
        <v>4.3719999999999999</v>
      </c>
      <c r="C440" s="5">
        <v>3.915</v>
      </c>
      <c r="D440" s="5">
        <v>4.1120000000000001</v>
      </c>
      <c r="E440" s="5">
        <f t="shared" si="45"/>
        <v>0.25999999999999979</v>
      </c>
      <c r="F440" s="5">
        <f t="shared" si="46"/>
        <v>-0.19700000000000006</v>
      </c>
      <c r="G440" s="33">
        <v>3.9</v>
      </c>
      <c r="H440" s="5">
        <f t="shared" si="51"/>
        <v>-0.21200000000000019</v>
      </c>
      <c r="K440" s="15">
        <f t="shared" si="41"/>
        <v>6.9642857142857144</v>
      </c>
      <c r="L440" s="15"/>
      <c r="M440" s="13">
        <f t="shared" si="42"/>
        <v>39114</v>
      </c>
      <c r="N440" s="5">
        <f>_xlfn.MAXIFS(Sheet1!$B$2:$B$6350,Sheet1!$E$2:$E$6350,Prices!$U440,Sheet1!$F$2:$F$6350,Prices!$V440)</f>
        <v>159</v>
      </c>
      <c r="O440" s="5">
        <f>_xlfn.MINIFS(Sheet1!$B$2:$B$6350,Sheet1!$E$2:$E$6350,Prices!$U440,Sheet1!$F$2:$F$6350,Prices!$V440)</f>
        <v>154.25</v>
      </c>
      <c r="P440" s="5">
        <f>AVERAGEIFS(Sheet1!$B$2:$B$6350,Sheet1!$E$2:$E$6350,Prices!$U440,Sheet1!$F$2:$F$6350,Prices!$V440)</f>
        <v>156.30000000000001</v>
      </c>
      <c r="Q440" s="5">
        <f t="shared" si="48"/>
        <v>2.6999999999999886</v>
      </c>
      <c r="R440" s="5">
        <f t="shared" si="49"/>
        <v>-2.0500000000000114</v>
      </c>
      <c r="S440" s="5">
        <f t="shared" si="47"/>
        <v>3.0345944013745445</v>
      </c>
      <c r="T440" s="5">
        <f t="shared" si="50"/>
        <v>-1.0774055986254556</v>
      </c>
      <c r="U440" s="1">
        <f t="shared" si="43"/>
        <v>2</v>
      </c>
      <c r="V440" s="1">
        <f t="shared" si="44"/>
        <v>2007</v>
      </c>
      <c r="W440" s="5">
        <v>1.3083263157894738</v>
      </c>
    </row>
    <row r="441" spans="1:23" x14ac:dyDescent="0.25">
      <c r="A441" s="13">
        <v>39142</v>
      </c>
      <c r="B441" s="5">
        <v>4.3970000000000002</v>
      </c>
      <c r="C441" s="5">
        <v>3.7450000000000001</v>
      </c>
      <c r="D441" s="5">
        <v>4.0661818181818186</v>
      </c>
      <c r="E441" s="5">
        <f t="shared" si="45"/>
        <v>0.33081818181818168</v>
      </c>
      <c r="F441" s="5">
        <f t="shared" si="46"/>
        <v>-0.32118181818181846</v>
      </c>
      <c r="G441" s="33">
        <v>3.76</v>
      </c>
      <c r="H441" s="5">
        <f t="shared" si="51"/>
        <v>-0.30618181818181878</v>
      </c>
      <c r="K441" s="15">
        <f t="shared" si="41"/>
        <v>6.7142857142857144</v>
      </c>
      <c r="L441" s="15"/>
      <c r="M441" s="13">
        <f t="shared" si="42"/>
        <v>39142</v>
      </c>
      <c r="N441" s="5">
        <f>_xlfn.MAXIFS(Sheet1!$B$2:$B$6350,Sheet1!$E$2:$E$6350,Prices!$U441,Sheet1!$F$2:$F$6350,Prices!$V441)</f>
        <v>161.75</v>
      </c>
      <c r="O441" s="5">
        <f>_xlfn.MINIFS(Sheet1!$B$2:$B$6350,Sheet1!$E$2:$E$6350,Prices!$U441,Sheet1!$F$2:$F$6350,Prices!$V441)</f>
        <v>154</v>
      </c>
      <c r="P441" s="5">
        <f>AVERAGEIFS(Sheet1!$B$2:$B$6350,Sheet1!$E$2:$E$6350,Prices!$U441,Sheet1!$F$2:$F$6350,Prices!$V441)</f>
        <v>158.68181818181819</v>
      </c>
      <c r="Q441" s="5">
        <f t="shared" si="48"/>
        <v>3.068181818181813</v>
      </c>
      <c r="R441" s="5">
        <f t="shared" si="49"/>
        <v>-4.681818181818187</v>
      </c>
      <c r="S441" s="5">
        <f t="shared" si="47"/>
        <v>3.0424341635135805</v>
      </c>
      <c r="T441" s="5">
        <f t="shared" si="50"/>
        <v>-1.023747654668238</v>
      </c>
      <c r="U441" s="1">
        <f t="shared" si="43"/>
        <v>3</v>
      </c>
      <c r="V441" s="1">
        <f t="shared" si="44"/>
        <v>2007</v>
      </c>
      <c r="W441" s="5">
        <v>1.324840909090909</v>
      </c>
    </row>
    <row r="442" spans="1:23" x14ac:dyDescent="0.25">
      <c r="A442" s="13">
        <v>39173</v>
      </c>
      <c r="B442" s="5">
        <v>3.8519999999999999</v>
      </c>
      <c r="C442" s="5">
        <v>3.43</v>
      </c>
      <c r="D442" s="5">
        <v>3.6152000000000002</v>
      </c>
      <c r="E442" s="5">
        <f t="shared" si="45"/>
        <v>0.23679999999999968</v>
      </c>
      <c r="F442" s="5">
        <f t="shared" si="46"/>
        <v>-0.18520000000000003</v>
      </c>
      <c r="G442" s="33">
        <v>3.36</v>
      </c>
      <c r="H442" s="5">
        <f t="shared" si="51"/>
        <v>-0.25520000000000032</v>
      </c>
      <c r="K442" s="15">
        <f t="shared" si="41"/>
        <v>6</v>
      </c>
      <c r="L442" s="15"/>
      <c r="M442" s="13">
        <f t="shared" si="42"/>
        <v>39173</v>
      </c>
      <c r="N442" s="5">
        <f>_xlfn.MAXIFS(Sheet1!$B$2:$B$6350,Sheet1!$E$2:$E$6350,Prices!$U442,Sheet1!$F$2:$F$6350,Prices!$V442)</f>
        <v>166</v>
      </c>
      <c r="O442" s="5">
        <f>_xlfn.MINIFS(Sheet1!$B$2:$B$6350,Sheet1!$E$2:$E$6350,Prices!$U442,Sheet1!$F$2:$F$6350,Prices!$V442)</f>
        <v>155</v>
      </c>
      <c r="P442" s="5">
        <f>AVERAGEIFS(Sheet1!$B$2:$B$6350,Sheet1!$E$2:$E$6350,Prices!$U442,Sheet1!$F$2:$F$6350,Prices!$V442)</f>
        <v>161.55263157894737</v>
      </c>
      <c r="Q442" s="5">
        <f t="shared" si="48"/>
        <v>4.4473684210526301</v>
      </c>
      <c r="R442" s="5">
        <f t="shared" si="49"/>
        <v>-6.5526315789473699</v>
      </c>
      <c r="S442" s="5">
        <f t="shared" si="47"/>
        <v>3.0355462721028204</v>
      </c>
      <c r="T442" s="5">
        <f t="shared" si="50"/>
        <v>-0.57965372789717984</v>
      </c>
      <c r="U442" s="1">
        <f t="shared" si="43"/>
        <v>4</v>
      </c>
      <c r="V442" s="1">
        <f t="shared" si="44"/>
        <v>2007</v>
      </c>
      <c r="W442" s="5">
        <v>1.3518700000000003</v>
      </c>
    </row>
    <row r="443" spans="1:23" x14ac:dyDescent="0.25">
      <c r="A443" s="13">
        <v>39203</v>
      </c>
      <c r="B443" s="5">
        <v>4.01</v>
      </c>
      <c r="C443" s="5">
        <v>3.52</v>
      </c>
      <c r="D443" s="5">
        <v>3.7433181818181818</v>
      </c>
      <c r="E443" s="5">
        <f t="shared" si="45"/>
        <v>0.26668181818181802</v>
      </c>
      <c r="F443" s="5">
        <f t="shared" si="46"/>
        <v>-0.22331818181818175</v>
      </c>
      <c r="G443" s="33">
        <v>3.52</v>
      </c>
      <c r="H443" s="5">
        <f t="shared" si="51"/>
        <v>-0.22331818181818175</v>
      </c>
      <c r="K443" s="15">
        <f t="shared" si="41"/>
        <v>6.2857142857142865</v>
      </c>
      <c r="L443" s="15"/>
      <c r="M443" s="13">
        <f t="shared" si="42"/>
        <v>39203</v>
      </c>
      <c r="N443" s="5">
        <f>_xlfn.MAXIFS(Sheet1!$B$2:$B$6350,Sheet1!$E$2:$E$6350,Prices!$U443,Sheet1!$F$2:$F$6350,Prices!$V443)</f>
        <v>173</v>
      </c>
      <c r="O443" s="5">
        <f>_xlfn.MINIFS(Sheet1!$B$2:$B$6350,Sheet1!$E$2:$E$6350,Prices!$U443,Sheet1!$F$2:$F$6350,Prices!$V443)</f>
        <v>163</v>
      </c>
      <c r="P443" s="5">
        <f>AVERAGEIFS(Sheet1!$B$2:$B$6350,Sheet1!$E$2:$E$6350,Prices!$U443,Sheet1!$F$2:$F$6350,Prices!$V443)</f>
        <v>167.1875</v>
      </c>
      <c r="Q443" s="5">
        <f t="shared" si="48"/>
        <v>5.8125</v>
      </c>
      <c r="R443" s="5">
        <f t="shared" si="49"/>
        <v>-4.1875</v>
      </c>
      <c r="S443" s="5">
        <f t="shared" si="47"/>
        <v>3.143331125994326</v>
      </c>
      <c r="T443" s="5">
        <f t="shared" si="50"/>
        <v>-0.59998705582385581</v>
      </c>
      <c r="U443" s="1">
        <f t="shared" si="43"/>
        <v>5</v>
      </c>
      <c r="V443" s="1">
        <f t="shared" si="44"/>
        <v>2007</v>
      </c>
      <c r="W443" s="5">
        <v>1.3510499999999999</v>
      </c>
    </row>
    <row r="444" spans="1:23" x14ac:dyDescent="0.25">
      <c r="A444" s="13">
        <v>39234</v>
      </c>
      <c r="B444" s="5">
        <v>4.2869999999999999</v>
      </c>
      <c r="C444" s="5">
        <v>3.23</v>
      </c>
      <c r="D444" s="5">
        <v>3.8095714285714286</v>
      </c>
      <c r="E444" s="5">
        <f t="shared" si="45"/>
        <v>0.47742857142857131</v>
      </c>
      <c r="F444" s="5">
        <f t="shared" si="46"/>
        <v>-0.57957142857142863</v>
      </c>
      <c r="G444" s="33">
        <v>3.68</v>
      </c>
      <c r="H444" s="5">
        <f t="shared" si="51"/>
        <v>-0.12957142857142845</v>
      </c>
      <c r="K444" s="15">
        <f t="shared" si="41"/>
        <v>6.5714285714285712</v>
      </c>
      <c r="L444" s="15"/>
      <c r="M444" s="13">
        <f t="shared" si="42"/>
        <v>39234</v>
      </c>
      <c r="N444" s="5">
        <f>_xlfn.MAXIFS(Sheet1!$B$2:$B$6350,Sheet1!$E$2:$E$6350,Prices!$U444,Sheet1!$F$2:$F$6350,Prices!$V444)</f>
        <v>196.25</v>
      </c>
      <c r="O444" s="5">
        <f>_xlfn.MINIFS(Sheet1!$B$2:$B$6350,Sheet1!$E$2:$E$6350,Prices!$U444,Sheet1!$F$2:$F$6350,Prices!$V444)</f>
        <v>172</v>
      </c>
      <c r="P444" s="5">
        <f>AVERAGEIFS(Sheet1!$B$2:$B$6350,Sheet1!$E$2:$E$6350,Prices!$U444,Sheet1!$F$2:$F$6350,Prices!$V444)</f>
        <v>184.4404761904762</v>
      </c>
      <c r="Q444" s="5">
        <f t="shared" si="48"/>
        <v>11.809523809523796</v>
      </c>
      <c r="R444" s="5">
        <f t="shared" si="49"/>
        <v>-12.440476190476204</v>
      </c>
      <c r="S444" s="5">
        <f t="shared" si="47"/>
        <v>3.4902264954750319</v>
      </c>
      <c r="T444" s="5">
        <f t="shared" si="50"/>
        <v>-0.31934493309639667</v>
      </c>
      <c r="U444" s="1">
        <f t="shared" si="43"/>
        <v>6</v>
      </c>
      <c r="V444" s="1">
        <f t="shared" si="44"/>
        <v>2007</v>
      </c>
      <c r="W444" s="5">
        <v>1.3423333333333332</v>
      </c>
    </row>
    <row r="445" spans="1:23" x14ac:dyDescent="0.25">
      <c r="A445" s="13">
        <v>39264</v>
      </c>
      <c r="B445" s="5">
        <v>3.57</v>
      </c>
      <c r="C445" s="5">
        <v>3.085</v>
      </c>
      <c r="D445" s="5">
        <v>3.2954285714285718</v>
      </c>
      <c r="E445" s="5">
        <f t="shared" si="45"/>
        <v>0.27457142857142802</v>
      </c>
      <c r="F445" s="5">
        <f t="shared" si="46"/>
        <v>-0.21042857142857185</v>
      </c>
      <c r="G445" s="33">
        <v>3.03</v>
      </c>
      <c r="H445" s="5">
        <f t="shared" si="51"/>
        <v>-0.26542857142857201</v>
      </c>
      <c r="K445" s="15">
        <f t="shared" si="41"/>
        <v>5.4107142857142856</v>
      </c>
      <c r="L445" s="15"/>
      <c r="M445" s="13">
        <f t="shared" si="42"/>
        <v>39264</v>
      </c>
      <c r="N445" s="5">
        <f>_xlfn.MAXIFS(Sheet1!$B$2:$B$6350,Sheet1!$E$2:$E$6350,Prices!$U445,Sheet1!$F$2:$F$6350,Prices!$V445)</f>
        <v>224.5</v>
      </c>
      <c r="O445" s="5">
        <f>_xlfn.MINIFS(Sheet1!$B$2:$B$6350,Sheet1!$E$2:$E$6350,Prices!$U445,Sheet1!$F$2:$F$6350,Prices!$V445)</f>
        <v>182.5</v>
      </c>
      <c r="P445" s="5">
        <f>AVERAGEIFS(Sheet1!$B$2:$B$6350,Sheet1!$E$2:$E$6350,Prices!$U445,Sheet1!$F$2:$F$6350,Prices!$V445)</f>
        <v>200</v>
      </c>
      <c r="Q445" s="5">
        <f t="shared" si="48"/>
        <v>24.5</v>
      </c>
      <c r="R445" s="5">
        <f t="shared" si="49"/>
        <v>-17.5</v>
      </c>
      <c r="S445" s="5">
        <f t="shared" si="47"/>
        <v>3.701479885434201</v>
      </c>
      <c r="T445" s="5">
        <f t="shared" si="50"/>
        <v>0.40605131400562922</v>
      </c>
      <c r="U445" s="1">
        <f t="shared" si="43"/>
        <v>7</v>
      </c>
      <c r="V445" s="1">
        <f t="shared" si="44"/>
        <v>2007</v>
      </c>
      <c r="W445" s="5">
        <v>1.3724999999999998</v>
      </c>
    </row>
    <row r="446" spans="1:23" x14ac:dyDescent="0.25">
      <c r="A446" s="13">
        <v>39295</v>
      </c>
      <c r="B446" s="5">
        <v>3.5449999999999999</v>
      </c>
      <c r="C446" s="5">
        <v>3.0950000000000002</v>
      </c>
      <c r="D446" s="5">
        <v>3.3086086956521741</v>
      </c>
      <c r="E446" s="5">
        <f t="shared" si="45"/>
        <v>0.23639130434782585</v>
      </c>
      <c r="F446" s="5">
        <f t="shared" si="46"/>
        <v>-0.21360869565217389</v>
      </c>
      <c r="G446" s="33">
        <v>3.08</v>
      </c>
      <c r="H446" s="5">
        <f t="shared" si="51"/>
        <v>-0.22860869565217401</v>
      </c>
      <c r="K446" s="15">
        <f t="shared" si="41"/>
        <v>5.5</v>
      </c>
      <c r="L446" s="15"/>
      <c r="M446" s="13">
        <f t="shared" si="42"/>
        <v>39295</v>
      </c>
      <c r="N446" s="5">
        <f>_xlfn.MAXIFS(Sheet1!$B$2:$B$6350,Sheet1!$E$2:$E$6350,Prices!$U446,Sheet1!$F$2:$F$6350,Prices!$V446)</f>
        <v>244</v>
      </c>
      <c r="O446" s="5">
        <f>_xlfn.MINIFS(Sheet1!$B$2:$B$6350,Sheet1!$E$2:$E$6350,Prices!$U446,Sheet1!$F$2:$F$6350,Prices!$V446)</f>
        <v>218.5</v>
      </c>
      <c r="P446" s="5">
        <f>AVERAGEIFS(Sheet1!$B$2:$B$6350,Sheet1!$E$2:$E$6350,Prices!$U446,Sheet1!$F$2:$F$6350,Prices!$V446)</f>
        <v>230.32608695652175</v>
      </c>
      <c r="Q446" s="5">
        <f t="shared" si="48"/>
        <v>13.673913043478251</v>
      </c>
      <c r="R446" s="5">
        <f t="shared" si="49"/>
        <v>-11.826086956521749</v>
      </c>
      <c r="S446" s="5">
        <f t="shared" si="47"/>
        <v>4.2962714198675718</v>
      </c>
      <c r="T446" s="5">
        <f t="shared" si="50"/>
        <v>0.98766272421539769</v>
      </c>
      <c r="U446" s="1">
        <f t="shared" si="43"/>
        <v>8</v>
      </c>
      <c r="V446" s="1">
        <f t="shared" si="44"/>
        <v>2007</v>
      </c>
      <c r="W446" s="5">
        <v>1.3617869565217391</v>
      </c>
    </row>
    <row r="447" spans="1:23" x14ac:dyDescent="0.25">
      <c r="A447" s="13">
        <v>39326</v>
      </c>
      <c r="B447" s="5">
        <v>3.895</v>
      </c>
      <c r="C447" s="5">
        <v>3.355</v>
      </c>
      <c r="D447" s="5">
        <v>3.5858947368421057</v>
      </c>
      <c r="E447" s="5">
        <f t="shared" si="45"/>
        <v>0.30910526315789433</v>
      </c>
      <c r="F447" s="5">
        <f t="shared" si="46"/>
        <v>-0.23089473684210571</v>
      </c>
      <c r="G447" s="33">
        <v>3.15</v>
      </c>
      <c r="H447" s="5">
        <f t="shared" si="51"/>
        <v>-0.43589473684210578</v>
      </c>
      <c r="K447" s="15">
        <f t="shared" si="41"/>
        <v>5.625</v>
      </c>
      <c r="L447" s="15"/>
      <c r="M447" s="13">
        <f t="shared" si="42"/>
        <v>39326</v>
      </c>
      <c r="N447" s="5">
        <f>_xlfn.MAXIFS(Sheet1!$B$2:$B$6350,Sheet1!$E$2:$E$6350,Prices!$U447,Sheet1!$F$2:$F$6350,Prices!$V447)</f>
        <v>265</v>
      </c>
      <c r="O447" s="5">
        <f>_xlfn.MINIFS(Sheet1!$B$2:$B$6350,Sheet1!$E$2:$E$6350,Prices!$U447,Sheet1!$F$2:$F$6350,Prices!$V447)</f>
        <v>227</v>
      </c>
      <c r="P447" s="5">
        <f>AVERAGEIFS(Sheet1!$B$2:$B$6350,Sheet1!$E$2:$E$6350,Prices!$U447,Sheet1!$F$2:$F$6350,Prices!$V447)</f>
        <v>244.66249999999999</v>
      </c>
      <c r="Q447" s="5">
        <f t="shared" si="48"/>
        <v>20.337500000000006</v>
      </c>
      <c r="R447" s="5">
        <f t="shared" si="49"/>
        <v>-17.662499999999994</v>
      </c>
      <c r="S447" s="5">
        <f t="shared" si="47"/>
        <v>4.4604015806068427</v>
      </c>
      <c r="T447" s="5">
        <f t="shared" si="50"/>
        <v>0.87450684376473697</v>
      </c>
      <c r="U447" s="1">
        <f t="shared" si="43"/>
        <v>9</v>
      </c>
      <c r="V447" s="1">
        <f t="shared" si="44"/>
        <v>2007</v>
      </c>
      <c r="W447" s="5">
        <v>1.3933210526315789</v>
      </c>
    </row>
    <row r="448" spans="1:23" x14ac:dyDescent="0.25">
      <c r="A448" s="13">
        <v>39356</v>
      </c>
      <c r="B448" s="5">
        <v>3.8</v>
      </c>
      <c r="C448" s="5">
        <v>3.35</v>
      </c>
      <c r="D448" s="5">
        <v>3.578347826086957</v>
      </c>
      <c r="E448" s="5">
        <f t="shared" si="45"/>
        <v>0.22165217391304282</v>
      </c>
      <c r="F448" s="5">
        <f t="shared" si="46"/>
        <v>-0.22834782608695692</v>
      </c>
      <c r="G448" s="33">
        <v>3.28</v>
      </c>
      <c r="H448" s="5">
        <f t="shared" si="51"/>
        <v>-0.2983478260869572</v>
      </c>
      <c r="K448" s="15">
        <f t="shared" ref="K448:K511" si="52">G448/56*100</f>
        <v>5.8571428571428568</v>
      </c>
      <c r="L448" s="15"/>
      <c r="M448" s="13">
        <f t="shared" si="42"/>
        <v>39356</v>
      </c>
      <c r="N448" s="5">
        <f>_xlfn.MAXIFS(Sheet1!$B$2:$B$6350,Sheet1!$E$2:$E$6350,Prices!$U448,Sheet1!$F$2:$F$6350,Prices!$V448)</f>
        <v>238.5</v>
      </c>
      <c r="O448" s="5">
        <f>_xlfn.MINIFS(Sheet1!$B$2:$B$6350,Sheet1!$E$2:$E$6350,Prices!$U448,Sheet1!$F$2:$F$6350,Prices!$V448)</f>
        <v>201.5</v>
      </c>
      <c r="P448" s="5">
        <f>AVERAGEIFS(Sheet1!$B$2:$B$6350,Sheet1!$E$2:$E$6350,Prices!$U448,Sheet1!$F$2:$F$6350,Prices!$V448)</f>
        <v>216.38043478260869</v>
      </c>
      <c r="Q448" s="5">
        <f t="shared" si="48"/>
        <v>22.119565217391312</v>
      </c>
      <c r="R448" s="5">
        <f t="shared" si="49"/>
        <v>-14.880434782608688</v>
      </c>
      <c r="S448" s="5">
        <f t="shared" si="47"/>
        <v>3.8619190961754057</v>
      </c>
      <c r="T448" s="5">
        <f t="shared" si="50"/>
        <v>0.28357127008844873</v>
      </c>
      <c r="U448" s="1">
        <f t="shared" si="43"/>
        <v>10</v>
      </c>
      <c r="V448" s="1">
        <f t="shared" si="44"/>
        <v>2007</v>
      </c>
      <c r="W448" s="5">
        <v>1.4232217391304347</v>
      </c>
    </row>
    <row r="449" spans="1:23" x14ac:dyDescent="0.25">
      <c r="A449" s="13">
        <v>39387</v>
      </c>
      <c r="B449" s="5">
        <v>3.94</v>
      </c>
      <c r="C449" s="5">
        <v>3.665</v>
      </c>
      <c r="D449" s="5">
        <v>3.8152380952380955</v>
      </c>
      <c r="E449" s="5">
        <f t="shared" si="45"/>
        <v>0.12476190476190441</v>
      </c>
      <c r="F449" s="5">
        <f t="shared" si="46"/>
        <v>-0.1502380952380955</v>
      </c>
      <c r="G449" s="33">
        <v>3.66</v>
      </c>
      <c r="H449" s="5">
        <f t="shared" si="51"/>
        <v>-0.1552380952380954</v>
      </c>
      <c r="K449" s="15">
        <f t="shared" si="52"/>
        <v>6.5357142857142865</v>
      </c>
      <c r="L449" s="15"/>
      <c r="M449" s="13">
        <f t="shared" si="42"/>
        <v>39387</v>
      </c>
      <c r="N449" s="5">
        <f>_xlfn.MAXIFS(Sheet1!$B$2:$B$6350,Sheet1!$E$2:$E$6350,Prices!$U449,Sheet1!$F$2:$F$6350,Prices!$V449)</f>
        <v>218</v>
      </c>
      <c r="O449" s="5">
        <f>_xlfn.MINIFS(Sheet1!$B$2:$B$6350,Sheet1!$E$2:$E$6350,Prices!$U449,Sheet1!$F$2:$F$6350,Prices!$V449)</f>
        <v>199.5</v>
      </c>
      <c r="P449" s="5">
        <f>AVERAGEIFS(Sheet1!$B$2:$B$6350,Sheet1!$E$2:$E$6350,Prices!$U449,Sheet1!$F$2:$F$6350,Prices!$V449)</f>
        <v>206.57954545454547</v>
      </c>
      <c r="Q449" s="5">
        <f t="shared" si="48"/>
        <v>11.420454545454533</v>
      </c>
      <c r="R449" s="5">
        <f t="shared" si="49"/>
        <v>-7.0795454545454675</v>
      </c>
      <c r="S449" s="5">
        <f t="shared" si="47"/>
        <v>3.5769207324050525</v>
      </c>
      <c r="T449" s="5">
        <f t="shared" si="50"/>
        <v>-0.23831736283304306</v>
      </c>
      <c r="U449" s="1">
        <f t="shared" si="43"/>
        <v>11</v>
      </c>
      <c r="V449" s="1">
        <f t="shared" si="44"/>
        <v>2007</v>
      </c>
      <c r="W449" s="5">
        <v>1.4670190476190477</v>
      </c>
    </row>
    <row r="450" spans="1:23" x14ac:dyDescent="0.25">
      <c r="A450" s="13">
        <v>39417</v>
      </c>
      <c r="B450" s="5">
        <v>4.57</v>
      </c>
      <c r="C450" s="5">
        <v>3.9969999999999999</v>
      </c>
      <c r="D450" s="5">
        <v>4.3239999999999998</v>
      </c>
      <c r="E450" s="5">
        <f t="shared" si="45"/>
        <v>0.24600000000000044</v>
      </c>
      <c r="F450" s="5">
        <f t="shared" si="46"/>
        <v>-0.32699999999999996</v>
      </c>
      <c r="G450" s="33">
        <v>4.03</v>
      </c>
      <c r="H450" s="5">
        <f t="shared" si="51"/>
        <v>-0.29399999999999959</v>
      </c>
      <c r="K450" s="15">
        <f t="shared" si="52"/>
        <v>7.1964285714285721</v>
      </c>
      <c r="L450" s="15"/>
      <c r="M450" s="13">
        <f t="shared" si="42"/>
        <v>39417</v>
      </c>
      <c r="N450" s="5">
        <f>_xlfn.MAXIFS(Sheet1!$B$2:$B$6350,Sheet1!$E$2:$E$6350,Prices!$U450,Sheet1!$F$2:$F$6350,Prices!$V450)</f>
        <v>227</v>
      </c>
      <c r="O450" s="5">
        <f>_xlfn.MINIFS(Sheet1!$B$2:$B$6350,Sheet1!$E$2:$E$6350,Prices!$U450,Sheet1!$F$2:$F$6350,Prices!$V450)</f>
        <v>212.5</v>
      </c>
      <c r="P450" s="5">
        <f>AVERAGEIFS(Sheet1!$B$2:$B$6350,Sheet1!$E$2:$E$6350,Prices!$U450,Sheet1!$F$2:$F$6350,Prices!$V450)</f>
        <v>220.73684210526315</v>
      </c>
      <c r="Q450" s="5">
        <f t="shared" si="48"/>
        <v>6.2631578947368496</v>
      </c>
      <c r="R450" s="5">
        <f t="shared" si="49"/>
        <v>-8.2368421052631504</v>
      </c>
      <c r="S450" s="5">
        <f t="shared" si="47"/>
        <v>3.8522361912691845</v>
      </c>
      <c r="T450" s="5">
        <f t="shared" si="50"/>
        <v>-0.47176380873081536</v>
      </c>
      <c r="U450" s="1">
        <f t="shared" si="43"/>
        <v>12</v>
      </c>
      <c r="V450" s="1">
        <f t="shared" si="44"/>
        <v>2007</v>
      </c>
      <c r="W450" s="5">
        <v>1.4555249999999997</v>
      </c>
    </row>
    <row r="451" spans="1:23" x14ac:dyDescent="0.25">
      <c r="A451" s="13">
        <v>39448</v>
      </c>
      <c r="B451" s="5">
        <v>5.1920000000000002</v>
      </c>
      <c r="C451" s="5">
        <v>4.5599999999999996</v>
      </c>
      <c r="D451" s="5">
        <v>4.885476190476191</v>
      </c>
      <c r="E451" s="5">
        <f t="shared" si="45"/>
        <v>0.3065238095238092</v>
      </c>
      <c r="F451" s="5">
        <f t="shared" si="46"/>
        <v>-0.32547619047619136</v>
      </c>
      <c r="G451" s="33">
        <v>4.55</v>
      </c>
      <c r="H451" s="5">
        <f t="shared" si="51"/>
        <v>-0.33547619047619115</v>
      </c>
      <c r="K451" s="15">
        <f t="shared" si="52"/>
        <v>8.125</v>
      </c>
      <c r="L451" s="15"/>
      <c r="M451" s="13">
        <f t="shared" ref="M451:M514" si="53">A451</f>
        <v>39448</v>
      </c>
      <c r="N451" s="5">
        <f>_xlfn.MAXIFS(Sheet1!$B$2:$B$6350,Sheet1!$E$2:$E$6350,Prices!$U451,Sheet1!$F$2:$F$6350,Prices!$V451)</f>
        <v>226.5</v>
      </c>
      <c r="O451" s="5">
        <f>_xlfn.MINIFS(Sheet1!$B$2:$B$6350,Sheet1!$E$2:$E$6350,Prices!$U451,Sheet1!$F$2:$F$6350,Prices!$V451)</f>
        <v>195</v>
      </c>
      <c r="P451" s="5">
        <f>AVERAGEIFS(Sheet1!$B$2:$B$6350,Sheet1!$E$2:$E$6350,Prices!$U451,Sheet1!$F$2:$F$6350,Prices!$V451)</f>
        <v>215.59090909090909</v>
      </c>
      <c r="Q451" s="5">
        <f t="shared" si="48"/>
        <v>10.909090909090907</v>
      </c>
      <c r="R451" s="5">
        <f t="shared" si="49"/>
        <v>-20.590909090909093</v>
      </c>
      <c r="S451" s="5">
        <f t="shared" si="47"/>
        <v>3.716365383326266</v>
      </c>
      <c r="T451" s="5">
        <f t="shared" si="50"/>
        <v>-1.169110807149925</v>
      </c>
      <c r="U451" s="1">
        <f t="shared" ref="U451:U514" si="54">MONTH(M451)</f>
        <v>1</v>
      </c>
      <c r="V451" s="1">
        <f t="shared" ref="V451:V514" si="55">YEAR(M451)</f>
        <v>2008</v>
      </c>
      <c r="W451" s="5">
        <v>1.4735666666666665</v>
      </c>
    </row>
    <row r="452" spans="1:23" x14ac:dyDescent="0.25">
      <c r="A452" s="13">
        <v>39479</v>
      </c>
      <c r="B452" s="5">
        <v>5.4770000000000003</v>
      </c>
      <c r="C452" s="5">
        <v>4.91</v>
      </c>
      <c r="D452" s="5">
        <v>5.1605999999999996</v>
      </c>
      <c r="E452" s="5">
        <f t="shared" ref="E452:E515" si="56">B452-D452</f>
        <v>0.31640000000000068</v>
      </c>
      <c r="F452" s="5">
        <f t="shared" ref="F452:F515" si="57">C452-D452</f>
        <v>-0.25059999999999949</v>
      </c>
      <c r="G452" s="33">
        <v>4.91</v>
      </c>
      <c r="H452" s="5">
        <f t="shared" si="51"/>
        <v>-0.25059999999999949</v>
      </c>
      <c r="K452" s="15">
        <f t="shared" si="52"/>
        <v>8.7678571428571423</v>
      </c>
      <c r="L452" s="15"/>
      <c r="M452" s="13">
        <f t="shared" si="53"/>
        <v>39479</v>
      </c>
      <c r="N452" s="5">
        <f>_xlfn.MAXIFS(Sheet1!$B$2:$B$6350,Sheet1!$E$2:$E$6350,Prices!$U452,Sheet1!$F$2:$F$6350,Prices!$V452)</f>
        <v>207.75</v>
      </c>
      <c r="O452" s="5">
        <f>_xlfn.MINIFS(Sheet1!$B$2:$B$6350,Sheet1!$E$2:$E$6350,Prices!$U452,Sheet1!$F$2:$F$6350,Prices!$V452)</f>
        <v>198</v>
      </c>
      <c r="P452" s="5">
        <f>AVERAGEIFS(Sheet1!$B$2:$B$6350,Sheet1!$E$2:$E$6350,Prices!$U452,Sheet1!$F$2:$F$6350,Prices!$V452)</f>
        <v>201.25</v>
      </c>
      <c r="Q452" s="5">
        <f t="shared" si="48"/>
        <v>6.5</v>
      </c>
      <c r="R452" s="5">
        <f t="shared" si="49"/>
        <v>-3.25</v>
      </c>
      <c r="S452" s="5">
        <f t="shared" si="47"/>
        <v>3.4626979336392845</v>
      </c>
      <c r="T452" s="5">
        <f t="shared" si="50"/>
        <v>-1.6979020663607152</v>
      </c>
      <c r="U452" s="1">
        <f t="shared" si="54"/>
        <v>2</v>
      </c>
      <c r="V452" s="1">
        <f t="shared" si="55"/>
        <v>2008</v>
      </c>
      <c r="W452" s="5">
        <v>1.476315</v>
      </c>
    </row>
    <row r="453" spans="1:23" x14ac:dyDescent="0.25">
      <c r="A453" s="13">
        <v>39508</v>
      </c>
      <c r="B453" s="5">
        <v>5.88</v>
      </c>
      <c r="C453" s="5">
        <v>5.032</v>
      </c>
      <c r="D453" s="5">
        <v>5.5312000000000001</v>
      </c>
      <c r="E453" s="5">
        <f t="shared" si="56"/>
        <v>0.34879999999999978</v>
      </c>
      <c r="F453" s="5">
        <f t="shared" si="57"/>
        <v>-0.49920000000000009</v>
      </c>
      <c r="G453" s="33">
        <v>5.15</v>
      </c>
      <c r="H453" s="5">
        <f t="shared" si="51"/>
        <v>-0.38119999999999976</v>
      </c>
      <c r="K453" s="15">
        <f t="shared" si="52"/>
        <v>9.196428571428573</v>
      </c>
      <c r="L453" s="15"/>
      <c r="M453" s="13">
        <f t="shared" si="53"/>
        <v>39508</v>
      </c>
      <c r="N453" s="5">
        <f>_xlfn.MAXIFS(Sheet1!$B$2:$B$6350,Sheet1!$E$2:$E$6350,Prices!$U453,Sheet1!$F$2:$F$6350,Prices!$V453)</f>
        <v>212</v>
      </c>
      <c r="O453" s="5">
        <f>_xlfn.MINIFS(Sheet1!$B$2:$B$6350,Sheet1!$E$2:$E$6350,Prices!$U453,Sheet1!$F$2:$F$6350,Prices!$V453)</f>
        <v>193.5</v>
      </c>
      <c r="P453" s="5">
        <f>AVERAGEIFS(Sheet1!$B$2:$B$6350,Sheet1!$E$2:$E$6350,Prices!$U453,Sheet1!$F$2:$F$6350,Prices!$V453)</f>
        <v>203.42105263157896</v>
      </c>
      <c r="Q453" s="5">
        <f t="shared" si="48"/>
        <v>8.5789473684210407</v>
      </c>
      <c r="R453" s="5">
        <f t="shared" si="49"/>
        <v>-9.9210526315789593</v>
      </c>
      <c r="S453" s="5">
        <f t="shared" si="47"/>
        <v>3.3267753160367337</v>
      </c>
      <c r="T453" s="5">
        <f t="shared" si="50"/>
        <v>-2.2044246839632664</v>
      </c>
      <c r="U453" s="1">
        <f t="shared" si="54"/>
        <v>3</v>
      </c>
      <c r="V453" s="1">
        <f t="shared" si="55"/>
        <v>2008</v>
      </c>
      <c r="W453" s="5">
        <v>1.5532099999999998</v>
      </c>
    </row>
    <row r="454" spans="1:23" x14ac:dyDescent="0.25">
      <c r="A454" s="13">
        <v>39539</v>
      </c>
      <c r="B454" s="5">
        <v>6.16</v>
      </c>
      <c r="C454" s="5">
        <v>5.6120000000000001</v>
      </c>
      <c r="D454" s="5">
        <v>5.9333636363636364</v>
      </c>
      <c r="E454" s="5">
        <f t="shared" si="56"/>
        <v>0.22663636363636375</v>
      </c>
      <c r="F454" s="5">
        <f t="shared" si="57"/>
        <v>-0.3213636363636363</v>
      </c>
      <c r="G454" s="33">
        <v>5.59</v>
      </c>
      <c r="H454" s="5">
        <f t="shared" si="51"/>
        <v>-0.34336363636363654</v>
      </c>
      <c r="K454" s="15">
        <f t="shared" si="52"/>
        <v>9.9821428571428577</v>
      </c>
      <c r="L454" s="15"/>
      <c r="M454" s="13">
        <f t="shared" si="53"/>
        <v>39539</v>
      </c>
      <c r="N454" s="5">
        <f>_xlfn.MAXIFS(Sheet1!$B$2:$B$6350,Sheet1!$E$2:$E$6350,Prices!$U454,Sheet1!$F$2:$F$6350,Prices!$V454)</f>
        <v>201</v>
      </c>
      <c r="O454" s="5">
        <f>_xlfn.MINIFS(Sheet1!$B$2:$B$6350,Sheet1!$E$2:$E$6350,Prices!$U454,Sheet1!$F$2:$F$6350,Prices!$V454)</f>
        <v>190</v>
      </c>
      <c r="P454" s="5">
        <f>AVERAGEIFS(Sheet1!$B$2:$B$6350,Sheet1!$E$2:$E$6350,Prices!$U454,Sheet1!$F$2:$F$6350,Prices!$V454)</f>
        <v>195.84090909090909</v>
      </c>
      <c r="Q454" s="5">
        <f t="shared" si="48"/>
        <v>5.1590909090909065</v>
      </c>
      <c r="R454" s="5">
        <f t="shared" si="49"/>
        <v>-5.8409090909090935</v>
      </c>
      <c r="S454" s="5">
        <f t="shared" si="47"/>
        <v>3.1566304644546146</v>
      </c>
      <c r="T454" s="5">
        <f t="shared" si="50"/>
        <v>-2.7767331719090218</v>
      </c>
      <c r="U454" s="1">
        <f t="shared" si="54"/>
        <v>4</v>
      </c>
      <c r="V454" s="1">
        <f t="shared" si="55"/>
        <v>2008</v>
      </c>
      <c r="W454" s="5">
        <v>1.575931818181818</v>
      </c>
    </row>
    <row r="455" spans="1:23" x14ac:dyDescent="0.25">
      <c r="A455" s="13">
        <v>39569</v>
      </c>
      <c r="B455" s="5">
        <v>6.39</v>
      </c>
      <c r="C455" s="5">
        <v>5.7270000000000003</v>
      </c>
      <c r="D455" s="5">
        <v>6.0296666666666674</v>
      </c>
      <c r="E455" s="5">
        <f t="shared" si="56"/>
        <v>0.36033333333333228</v>
      </c>
      <c r="F455" s="5">
        <f t="shared" si="57"/>
        <v>-0.30266666666666708</v>
      </c>
      <c r="G455" s="33">
        <v>5.58</v>
      </c>
      <c r="H455" s="5">
        <f t="shared" si="51"/>
        <v>-0.44966666666666733</v>
      </c>
      <c r="K455" s="15">
        <f t="shared" si="52"/>
        <v>9.9642857142857153</v>
      </c>
      <c r="L455" s="15"/>
      <c r="M455" s="13">
        <f t="shared" si="53"/>
        <v>39569</v>
      </c>
      <c r="N455" s="5">
        <f>_xlfn.MAXIFS(Sheet1!$B$2:$B$6350,Sheet1!$E$2:$E$6350,Prices!$U455,Sheet1!$F$2:$F$6350,Prices!$V455)</f>
        <v>198</v>
      </c>
      <c r="O455" s="5">
        <f>_xlfn.MINIFS(Sheet1!$B$2:$B$6350,Sheet1!$E$2:$E$6350,Prices!$U455,Sheet1!$F$2:$F$6350,Prices!$V455)</f>
        <v>182.5</v>
      </c>
      <c r="P455" s="5">
        <f>AVERAGEIFS(Sheet1!$B$2:$B$6350,Sheet1!$E$2:$E$6350,Prices!$U455,Sheet1!$F$2:$F$6350,Prices!$V455)</f>
        <v>193.21250000000001</v>
      </c>
      <c r="Q455" s="5">
        <f t="shared" si="48"/>
        <v>4.7874999999999943</v>
      </c>
      <c r="R455" s="5">
        <f t="shared" si="49"/>
        <v>-10.712500000000006</v>
      </c>
      <c r="S455" s="5">
        <f t="shared" si="47"/>
        <v>3.1563502350757067</v>
      </c>
      <c r="T455" s="5">
        <f t="shared" si="50"/>
        <v>-2.8733164315909607</v>
      </c>
      <c r="U455" s="1">
        <f t="shared" si="54"/>
        <v>5</v>
      </c>
      <c r="V455" s="1">
        <f t="shared" si="55"/>
        <v>2008</v>
      </c>
      <c r="W455" s="5">
        <v>1.554919047619048</v>
      </c>
    </row>
    <row r="456" spans="1:23" x14ac:dyDescent="0.25">
      <c r="A456" s="13">
        <v>39600</v>
      </c>
      <c r="B456" s="5">
        <v>7.65</v>
      </c>
      <c r="C456" s="5">
        <v>5.9569999999999999</v>
      </c>
      <c r="D456" s="5">
        <v>6.9885714285714284</v>
      </c>
      <c r="E456" s="5">
        <f t="shared" si="56"/>
        <v>0.66142857142857192</v>
      </c>
      <c r="F456" s="5">
        <f t="shared" si="57"/>
        <v>-1.0315714285714286</v>
      </c>
      <c r="G456" s="33">
        <v>6.55</v>
      </c>
      <c r="H456" s="5">
        <f t="shared" si="51"/>
        <v>-0.43857142857142861</v>
      </c>
      <c r="K456" s="15">
        <f t="shared" si="52"/>
        <v>11.696428571428571</v>
      </c>
      <c r="L456" s="15"/>
      <c r="M456" s="13">
        <f t="shared" si="53"/>
        <v>39600</v>
      </c>
      <c r="N456" s="5">
        <f>_xlfn.MAXIFS(Sheet1!$B$2:$B$6350,Sheet1!$E$2:$E$6350,Prices!$U456,Sheet1!$F$2:$F$6350,Prices!$V456)</f>
        <v>218.5</v>
      </c>
      <c r="O456" s="5">
        <f>_xlfn.MINIFS(Sheet1!$B$2:$B$6350,Sheet1!$E$2:$E$6350,Prices!$U456,Sheet1!$F$2:$F$6350,Prices!$V456)</f>
        <v>183</v>
      </c>
      <c r="P456" s="5">
        <f>AVERAGEIFS(Sheet1!$B$2:$B$6350,Sheet1!$E$2:$E$6350,Prices!$U456,Sheet1!$F$2:$F$6350,Prices!$V456)</f>
        <v>204.71428571428572</v>
      </c>
      <c r="Q456" s="5">
        <f t="shared" si="48"/>
        <v>13.785714285714278</v>
      </c>
      <c r="R456" s="5">
        <f t="shared" si="49"/>
        <v>-21.714285714285722</v>
      </c>
      <c r="S456" s="5">
        <f t="shared" si="47"/>
        <v>3.3401638005332206</v>
      </c>
      <c r="T456" s="5">
        <f t="shared" si="50"/>
        <v>-3.6484076280382078</v>
      </c>
      <c r="U456" s="1">
        <f t="shared" si="54"/>
        <v>6</v>
      </c>
      <c r="V456" s="1">
        <f t="shared" si="55"/>
        <v>2008</v>
      </c>
      <c r="W456" s="5">
        <v>1.5568190476190475</v>
      </c>
    </row>
    <row r="457" spans="1:23" x14ac:dyDescent="0.25">
      <c r="A457" s="13">
        <v>39630</v>
      </c>
      <c r="B457" s="5">
        <v>7.6349999999999998</v>
      </c>
      <c r="C457" s="5">
        <v>5.4370000000000003</v>
      </c>
      <c r="D457" s="5">
        <v>6.4617272727272734</v>
      </c>
      <c r="E457" s="5">
        <f t="shared" si="56"/>
        <v>1.1732727272727264</v>
      </c>
      <c r="F457" s="5">
        <f t="shared" si="57"/>
        <v>-1.0247272727272732</v>
      </c>
      <c r="G457" s="33">
        <v>5.97</v>
      </c>
      <c r="H457" s="5">
        <f t="shared" si="51"/>
        <v>-0.49172727272727368</v>
      </c>
      <c r="K457" s="15">
        <f t="shared" si="52"/>
        <v>10.660714285714286</v>
      </c>
      <c r="L457" s="15"/>
      <c r="M457" s="13">
        <f t="shared" si="53"/>
        <v>39630</v>
      </c>
      <c r="N457" s="5">
        <f>_xlfn.MAXIFS(Sheet1!$B$2:$B$6350,Sheet1!$E$2:$E$6350,Prices!$U457,Sheet1!$F$2:$F$6350,Prices!$V457)</f>
        <v>220</v>
      </c>
      <c r="O457" s="5">
        <f>_xlfn.MINIFS(Sheet1!$B$2:$B$6350,Sheet1!$E$2:$E$6350,Prices!$U457,Sheet1!$F$2:$F$6350,Prices!$V457)</f>
        <v>191</v>
      </c>
      <c r="P457" s="5">
        <f>AVERAGEIFS(Sheet1!$B$2:$B$6350,Sheet1!$E$2:$E$6350,Prices!$U457,Sheet1!$F$2:$F$6350,Prices!$V457)</f>
        <v>203.7608695652174</v>
      </c>
      <c r="Q457" s="5">
        <f t="shared" si="48"/>
        <v>16.239130434782595</v>
      </c>
      <c r="R457" s="5">
        <f t="shared" si="49"/>
        <v>-12.760869565217405</v>
      </c>
      <c r="S457" s="5">
        <f t="shared" si="47"/>
        <v>3.2828005189748657</v>
      </c>
      <c r="T457" s="5">
        <f t="shared" si="50"/>
        <v>-3.1789267537524077</v>
      </c>
      <c r="U457" s="1">
        <f t="shared" si="54"/>
        <v>7</v>
      </c>
      <c r="V457" s="1">
        <f t="shared" si="55"/>
        <v>2008</v>
      </c>
      <c r="W457" s="5">
        <v>1.5766454545454545</v>
      </c>
    </row>
    <row r="458" spans="1:23" x14ac:dyDescent="0.25">
      <c r="A458" s="13">
        <v>39661</v>
      </c>
      <c r="B458" s="5">
        <v>6.0869999999999997</v>
      </c>
      <c r="C458" s="5">
        <v>4.8520000000000003</v>
      </c>
      <c r="D458" s="5">
        <v>5.4929523809523815</v>
      </c>
      <c r="E458" s="5">
        <f t="shared" si="56"/>
        <v>0.59404761904761827</v>
      </c>
      <c r="F458" s="5">
        <f t="shared" si="57"/>
        <v>-0.64095238095238116</v>
      </c>
      <c r="G458" s="33">
        <v>5.04</v>
      </c>
      <c r="H458" s="5">
        <f t="shared" si="51"/>
        <v>-0.45295238095238144</v>
      </c>
      <c r="K458" s="15">
        <f t="shared" si="52"/>
        <v>9</v>
      </c>
      <c r="L458" s="15"/>
      <c r="M458" s="13">
        <f t="shared" si="53"/>
        <v>39661</v>
      </c>
      <c r="N458" s="5">
        <f>_xlfn.MAXIFS(Sheet1!$B$2:$B$6350,Sheet1!$E$2:$E$6350,Prices!$U458,Sheet1!$F$2:$F$6350,Prices!$V458)</f>
        <v>189</v>
      </c>
      <c r="O458" s="5">
        <f>_xlfn.MINIFS(Sheet1!$B$2:$B$6350,Sheet1!$E$2:$E$6350,Prices!$U458,Sheet1!$F$2:$F$6350,Prices!$V458)</f>
        <v>169.75</v>
      </c>
      <c r="P458" s="5">
        <f>AVERAGEIFS(Sheet1!$B$2:$B$6350,Sheet1!$E$2:$E$6350,Prices!$U458,Sheet1!$F$2:$F$6350,Prices!$V458)</f>
        <v>177.3452380952381</v>
      </c>
      <c r="Q458" s="5">
        <f t="shared" si="48"/>
        <v>11.654761904761898</v>
      </c>
      <c r="R458" s="5">
        <f t="shared" si="49"/>
        <v>-7.595238095238102</v>
      </c>
      <c r="S458" s="5">
        <f t="shared" si="47"/>
        <v>3.0129109332769808</v>
      </c>
      <c r="T458" s="5">
        <f t="shared" si="50"/>
        <v>-2.4800414476754007</v>
      </c>
      <c r="U458" s="1">
        <f t="shared" si="54"/>
        <v>8</v>
      </c>
      <c r="V458" s="1">
        <f t="shared" si="55"/>
        <v>2008</v>
      </c>
      <c r="W458" s="5">
        <v>1.4951714285714286</v>
      </c>
    </row>
    <row r="459" spans="1:23" x14ac:dyDescent="0.25">
      <c r="A459" s="13">
        <v>39692</v>
      </c>
      <c r="B459" s="5">
        <v>5.7969999999999997</v>
      </c>
      <c r="C459" s="5">
        <v>4.8550000000000004</v>
      </c>
      <c r="D459" s="5">
        <v>5.4628571428571435</v>
      </c>
      <c r="E459" s="5">
        <f t="shared" si="56"/>
        <v>0.33414285714285619</v>
      </c>
      <c r="F459" s="5">
        <f t="shared" si="57"/>
        <v>-0.6078571428571431</v>
      </c>
      <c r="G459" s="33">
        <v>5</v>
      </c>
      <c r="H459" s="5">
        <f t="shared" si="51"/>
        <v>-0.46285714285714352</v>
      </c>
      <c r="K459" s="15">
        <f t="shared" si="52"/>
        <v>8.9285714285714288</v>
      </c>
      <c r="L459" s="15"/>
      <c r="M459" s="13">
        <f t="shared" si="53"/>
        <v>39692</v>
      </c>
      <c r="N459" s="5">
        <f>_xlfn.MAXIFS(Sheet1!$B$2:$B$6350,Sheet1!$E$2:$E$6350,Prices!$U459,Sheet1!$F$2:$F$6350,Prices!$V459)</f>
        <v>171</v>
      </c>
      <c r="O459" s="5">
        <f>_xlfn.MINIFS(Sheet1!$B$2:$B$6350,Sheet1!$E$2:$E$6350,Prices!$U459,Sheet1!$F$2:$F$6350,Prices!$V459)</f>
        <v>138.5</v>
      </c>
      <c r="P459" s="5">
        <f>AVERAGEIFS(Sheet1!$B$2:$B$6350,Sheet1!$E$2:$E$6350,Prices!$U459,Sheet1!$F$2:$F$6350,Prices!$V459)</f>
        <v>155.36363636363637</v>
      </c>
      <c r="Q459" s="5">
        <f t="shared" si="48"/>
        <v>15.636363636363626</v>
      </c>
      <c r="R459" s="5">
        <f t="shared" si="49"/>
        <v>-16.863636363636374</v>
      </c>
      <c r="S459" s="5">
        <f t="shared" si="47"/>
        <v>2.7506173280041333</v>
      </c>
      <c r="T459" s="5">
        <f t="shared" si="50"/>
        <v>-2.7122398148530102</v>
      </c>
      <c r="U459" s="1">
        <f t="shared" si="54"/>
        <v>9</v>
      </c>
      <c r="V459" s="1">
        <f t="shared" si="55"/>
        <v>2008</v>
      </c>
      <c r="W459" s="5">
        <v>1.4347523809523812</v>
      </c>
    </row>
    <row r="460" spans="1:23" x14ac:dyDescent="0.25">
      <c r="A460" s="13">
        <v>39722</v>
      </c>
      <c r="B460" s="5">
        <v>5</v>
      </c>
      <c r="C460" s="5">
        <v>3.64</v>
      </c>
      <c r="D460" s="5">
        <v>4.1261304347826089</v>
      </c>
      <c r="E460" s="5">
        <f t="shared" si="56"/>
        <v>0.87386956521739112</v>
      </c>
      <c r="F460" s="5">
        <f t="shared" si="57"/>
        <v>-0.48613043478260876</v>
      </c>
      <c r="G460" s="33">
        <v>3.69</v>
      </c>
      <c r="H460" s="5">
        <f t="shared" si="51"/>
        <v>-0.43613043478260893</v>
      </c>
      <c r="K460" s="15">
        <f t="shared" si="52"/>
        <v>6.5892857142857144</v>
      </c>
      <c r="L460" s="15"/>
      <c r="M460" s="13">
        <f t="shared" si="53"/>
        <v>39722</v>
      </c>
      <c r="N460" s="5">
        <f>_xlfn.MAXIFS(Sheet1!$B$2:$B$6350,Sheet1!$E$2:$E$6350,Prices!$U460,Sheet1!$F$2:$F$6350,Prices!$V460)</f>
        <v>140</v>
      </c>
      <c r="O460" s="5">
        <f>_xlfn.MINIFS(Sheet1!$B$2:$B$6350,Sheet1!$E$2:$E$6350,Prices!$U460,Sheet1!$F$2:$F$6350,Prices!$V460)</f>
        <v>126</v>
      </c>
      <c r="P460" s="5">
        <f>AVERAGEIFS(Sheet1!$B$2:$B$6350,Sheet1!$E$2:$E$6350,Prices!$U460,Sheet1!$F$2:$F$6350,Prices!$V460)</f>
        <v>130.78260869565219</v>
      </c>
      <c r="Q460" s="5">
        <f t="shared" si="48"/>
        <v>9.2173913043478137</v>
      </c>
      <c r="R460" s="5">
        <f t="shared" si="49"/>
        <v>-4.7826086956521863</v>
      </c>
      <c r="S460" s="5">
        <f t="shared" si="47"/>
        <v>2.500742241975229</v>
      </c>
      <c r="T460" s="5">
        <f t="shared" si="50"/>
        <v>-1.6253881928073799</v>
      </c>
      <c r="U460" s="1">
        <f t="shared" si="54"/>
        <v>10</v>
      </c>
      <c r="V460" s="1">
        <f t="shared" si="55"/>
        <v>2008</v>
      </c>
      <c r="W460" s="5">
        <v>1.3284304347826088</v>
      </c>
    </row>
    <row r="461" spans="1:23" x14ac:dyDescent="0.25">
      <c r="A461" s="13">
        <v>39753</v>
      </c>
      <c r="B461" s="5">
        <v>4.22</v>
      </c>
      <c r="C461" s="5">
        <v>3.3650000000000002</v>
      </c>
      <c r="D461" s="5">
        <v>3.738</v>
      </c>
      <c r="E461" s="5">
        <f t="shared" si="56"/>
        <v>0.48199999999999976</v>
      </c>
      <c r="F461" s="5">
        <f t="shared" si="57"/>
        <v>-0.37299999999999978</v>
      </c>
      <c r="G461" s="33">
        <v>3.42</v>
      </c>
      <c r="H461" s="5">
        <f t="shared" si="51"/>
        <v>-0.31800000000000006</v>
      </c>
      <c r="K461" s="15">
        <f t="shared" si="52"/>
        <v>6.1071428571428568</v>
      </c>
      <c r="L461" s="15"/>
      <c r="M461" s="13">
        <f t="shared" si="53"/>
        <v>39753</v>
      </c>
      <c r="N461" s="5">
        <f>_xlfn.MAXIFS(Sheet1!$B$2:$B$6350,Sheet1!$E$2:$E$6350,Prices!$U461,Sheet1!$F$2:$F$6350,Prices!$V461)</f>
        <v>135.5</v>
      </c>
      <c r="O461" s="5">
        <f>_xlfn.MINIFS(Sheet1!$B$2:$B$6350,Sheet1!$E$2:$E$6350,Prices!$U461,Sheet1!$F$2:$F$6350,Prices!$V461)</f>
        <v>120</v>
      </c>
      <c r="P461" s="5">
        <f>AVERAGEIFS(Sheet1!$B$2:$B$6350,Sheet1!$E$2:$E$6350,Prices!$U461,Sheet1!$F$2:$F$6350,Prices!$V461)</f>
        <v>126.575</v>
      </c>
      <c r="Q461" s="5">
        <f t="shared" si="48"/>
        <v>8.9249999999999972</v>
      </c>
      <c r="R461" s="5">
        <f t="shared" si="49"/>
        <v>-6.5750000000000028</v>
      </c>
      <c r="S461" s="5">
        <f t="shared" si="47"/>
        <v>2.5283604622367881</v>
      </c>
      <c r="T461" s="5">
        <f t="shared" si="50"/>
        <v>-1.2096395377632119</v>
      </c>
      <c r="U461" s="1">
        <f t="shared" si="54"/>
        <v>11</v>
      </c>
      <c r="V461" s="1">
        <f t="shared" si="55"/>
        <v>2008</v>
      </c>
      <c r="W461" s="5">
        <v>1.2716473684210527</v>
      </c>
    </row>
    <row r="462" spans="1:23" x14ac:dyDescent="0.25">
      <c r="A462" s="13">
        <v>39783</v>
      </c>
      <c r="B462" s="5">
        <v>4.2370000000000001</v>
      </c>
      <c r="C462" s="5">
        <v>3.0550000000000002</v>
      </c>
      <c r="D462" s="5">
        <v>3.6932727272727273</v>
      </c>
      <c r="E462" s="5">
        <f t="shared" si="56"/>
        <v>0.54372727272727284</v>
      </c>
      <c r="F462" s="5">
        <f t="shared" si="57"/>
        <v>-0.6382727272727271</v>
      </c>
      <c r="G462" s="33">
        <v>3.33</v>
      </c>
      <c r="H462" s="5">
        <f t="shared" si="51"/>
        <v>-0.36327272727272719</v>
      </c>
      <c r="K462" s="15">
        <f t="shared" si="52"/>
        <v>5.9464285714285712</v>
      </c>
      <c r="L462" s="15"/>
      <c r="M462" s="13">
        <f t="shared" si="53"/>
        <v>39783</v>
      </c>
      <c r="N462" s="5">
        <f>_xlfn.MAXIFS(Sheet1!$B$2:$B$6350,Sheet1!$E$2:$E$6350,Prices!$U462,Sheet1!$F$2:$F$6350,Prices!$V462)</f>
        <v>123.5</v>
      </c>
      <c r="O462" s="5">
        <f>_xlfn.MINIFS(Sheet1!$B$2:$B$6350,Sheet1!$E$2:$E$6350,Prices!$U462,Sheet1!$F$2:$F$6350,Prices!$V462)</f>
        <v>112.25</v>
      </c>
      <c r="P462" s="5">
        <f>AVERAGEIFS(Sheet1!$B$2:$B$6350,Sheet1!$E$2:$E$6350,Prices!$U462,Sheet1!$F$2:$F$6350,Prices!$V462)</f>
        <v>117.5</v>
      </c>
      <c r="Q462" s="5">
        <f t="shared" si="48"/>
        <v>6</v>
      </c>
      <c r="R462" s="5">
        <f t="shared" si="49"/>
        <v>-5.25</v>
      </c>
      <c r="S462" s="5">
        <f t="shared" si="47"/>
        <v>2.207355104687259</v>
      </c>
      <c r="T462" s="5">
        <f t="shared" si="50"/>
        <v>-1.4859176225854682</v>
      </c>
      <c r="U462" s="1">
        <f t="shared" si="54"/>
        <v>12</v>
      </c>
      <c r="V462" s="1">
        <f t="shared" si="55"/>
        <v>2008</v>
      </c>
      <c r="W462" s="5">
        <v>1.3521454545454548</v>
      </c>
    </row>
    <row r="463" spans="1:23" x14ac:dyDescent="0.25">
      <c r="A463" s="13">
        <v>39814</v>
      </c>
      <c r="B463" s="5">
        <v>4.29</v>
      </c>
      <c r="C463" s="5">
        <v>3.5870000000000002</v>
      </c>
      <c r="D463" s="5">
        <v>3.9094000000000002</v>
      </c>
      <c r="E463" s="5">
        <f t="shared" si="56"/>
        <v>0.38059999999999983</v>
      </c>
      <c r="F463" s="5">
        <f t="shared" si="57"/>
        <v>-0.32240000000000002</v>
      </c>
      <c r="G463" s="33">
        <v>3.61</v>
      </c>
      <c r="H463" s="5">
        <f t="shared" si="51"/>
        <v>-0.29940000000000033</v>
      </c>
      <c r="K463" s="15">
        <f t="shared" si="52"/>
        <v>6.4464285714285712</v>
      </c>
      <c r="L463" s="15"/>
      <c r="M463" s="13">
        <f t="shared" si="53"/>
        <v>39814</v>
      </c>
      <c r="N463" s="5">
        <f>_xlfn.MAXIFS(Sheet1!$B$2:$B$6350,Sheet1!$E$2:$E$6350,Prices!$U463,Sheet1!$F$2:$F$6350,Prices!$V463)</f>
        <v>142</v>
      </c>
      <c r="O463" s="5">
        <f>_xlfn.MINIFS(Sheet1!$B$2:$B$6350,Sheet1!$E$2:$E$6350,Prices!$U463,Sheet1!$F$2:$F$6350,Prices!$V463)</f>
        <v>124.5</v>
      </c>
      <c r="P463" s="5">
        <f>AVERAGEIFS(Sheet1!$B$2:$B$6350,Sheet1!$E$2:$E$6350,Prices!$U463,Sheet1!$F$2:$F$6350,Prices!$V463)</f>
        <v>133.26190476190476</v>
      </c>
      <c r="Q463" s="5">
        <f t="shared" si="48"/>
        <v>8.7380952380952408</v>
      </c>
      <c r="R463" s="5">
        <f t="shared" si="49"/>
        <v>-8.7619047619047592</v>
      </c>
      <c r="S463" s="5">
        <f t="shared" si="47"/>
        <v>2.5540144781495719</v>
      </c>
      <c r="T463" s="5">
        <f t="shared" si="50"/>
        <v>-1.3553855218504283</v>
      </c>
      <c r="U463" s="1">
        <f t="shared" si="54"/>
        <v>1</v>
      </c>
      <c r="V463" s="1">
        <f t="shared" si="55"/>
        <v>2009</v>
      </c>
      <c r="W463" s="5">
        <v>1.32538</v>
      </c>
    </row>
    <row r="464" spans="1:23" x14ac:dyDescent="0.25">
      <c r="A464" s="13">
        <v>39845</v>
      </c>
      <c r="B464" s="5">
        <v>3.83</v>
      </c>
      <c r="C464" s="5">
        <v>3.42</v>
      </c>
      <c r="D464" s="5">
        <v>3.6184210526315788</v>
      </c>
      <c r="E464" s="5">
        <f t="shared" si="56"/>
        <v>0.21157894736842131</v>
      </c>
      <c r="F464" s="5">
        <f t="shared" si="57"/>
        <v>-0.19842105263157883</v>
      </c>
      <c r="G464" s="33">
        <v>3.46</v>
      </c>
      <c r="H464" s="5">
        <f t="shared" si="51"/>
        <v>-0.1584210526315788</v>
      </c>
      <c r="K464" s="15">
        <f t="shared" si="52"/>
        <v>6.1785714285714288</v>
      </c>
      <c r="L464" s="15"/>
      <c r="M464" s="13">
        <f t="shared" si="53"/>
        <v>39845</v>
      </c>
      <c r="N464" s="5">
        <f>_xlfn.MAXIFS(Sheet1!$B$2:$B$6350,Sheet1!$E$2:$E$6350,Prices!$U464,Sheet1!$F$2:$F$6350,Prices!$V464)</f>
        <v>139.75</v>
      </c>
      <c r="O464" s="5">
        <f>_xlfn.MINIFS(Sheet1!$B$2:$B$6350,Sheet1!$E$2:$E$6350,Prices!$U464,Sheet1!$F$2:$F$6350,Prices!$V464)</f>
        <v>126.5</v>
      </c>
      <c r="P464" s="5">
        <f>AVERAGEIFS(Sheet1!$B$2:$B$6350,Sheet1!$E$2:$E$6350,Prices!$U464,Sheet1!$F$2:$F$6350,Prices!$V464)</f>
        <v>134.71250000000001</v>
      </c>
      <c r="Q464" s="5">
        <f t="shared" si="48"/>
        <v>5.0374999999999943</v>
      </c>
      <c r="R464" s="5">
        <f t="shared" si="49"/>
        <v>-8.2125000000000057</v>
      </c>
      <c r="S464" s="5">
        <f t="shared" si="47"/>
        <v>2.6730633434404805</v>
      </c>
      <c r="T464" s="5">
        <f t="shared" si="50"/>
        <v>-0.94535770919109829</v>
      </c>
      <c r="U464" s="1">
        <f t="shared" si="54"/>
        <v>2</v>
      </c>
      <c r="V464" s="1">
        <f t="shared" si="55"/>
        <v>2009</v>
      </c>
      <c r="W464" s="5">
        <v>1.2801368421052628</v>
      </c>
    </row>
    <row r="465" spans="1:23" x14ac:dyDescent="0.25">
      <c r="A465" s="13">
        <v>39873</v>
      </c>
      <c r="B465" s="5">
        <v>4.0599999999999996</v>
      </c>
      <c r="C465" s="5">
        <v>3.4449999999999998</v>
      </c>
      <c r="D465" s="5">
        <v>3.8045909090909094</v>
      </c>
      <c r="E465" s="5">
        <f t="shared" si="56"/>
        <v>0.25540909090909025</v>
      </c>
      <c r="F465" s="5">
        <f t="shared" si="57"/>
        <v>-0.35959090909090952</v>
      </c>
      <c r="G465" s="33">
        <v>3.6</v>
      </c>
      <c r="H465" s="5">
        <f t="shared" si="51"/>
        <v>-0.20459090909090927</v>
      </c>
      <c r="K465" s="15">
        <f t="shared" si="52"/>
        <v>6.4285714285714297</v>
      </c>
      <c r="L465" s="15"/>
      <c r="M465" s="13">
        <f t="shared" si="53"/>
        <v>39873</v>
      </c>
      <c r="N465" s="5">
        <f>_xlfn.MAXIFS(Sheet1!$B$2:$B$6350,Sheet1!$E$2:$E$6350,Prices!$U465,Sheet1!$F$2:$F$6350,Prices!$V465)</f>
        <v>135.5</v>
      </c>
      <c r="O465" s="5">
        <f>_xlfn.MINIFS(Sheet1!$B$2:$B$6350,Sheet1!$E$2:$E$6350,Prices!$U465,Sheet1!$F$2:$F$6350,Prices!$V465)</f>
        <v>123</v>
      </c>
      <c r="P465" s="5">
        <f>AVERAGEIFS(Sheet1!$B$2:$B$6350,Sheet1!$E$2:$E$6350,Prices!$U465,Sheet1!$F$2:$F$6350,Prices!$V465)</f>
        <v>130.95454545454547</v>
      </c>
      <c r="Q465" s="5">
        <f t="shared" si="48"/>
        <v>4.5454545454545325</v>
      </c>
      <c r="R465" s="5">
        <f t="shared" si="49"/>
        <v>-7.9545454545454675</v>
      </c>
      <c r="S465" s="5">
        <f t="shared" si="47"/>
        <v>2.5445478235971137</v>
      </c>
      <c r="T465" s="5">
        <f t="shared" si="50"/>
        <v>-1.2600430854937956</v>
      </c>
      <c r="U465" s="1">
        <f t="shared" si="54"/>
        <v>3</v>
      </c>
      <c r="V465" s="1">
        <f t="shared" si="55"/>
        <v>2009</v>
      </c>
      <c r="W465" s="5">
        <v>1.3072772727272726</v>
      </c>
    </row>
    <row r="466" spans="1:23" x14ac:dyDescent="0.25">
      <c r="A466" s="13">
        <v>39904</v>
      </c>
      <c r="B466" s="5">
        <v>4.0750000000000002</v>
      </c>
      <c r="C466" s="5">
        <v>3.605</v>
      </c>
      <c r="D466" s="5">
        <v>3.872095238095238</v>
      </c>
      <c r="E466" s="5">
        <f t="shared" si="56"/>
        <v>0.20290476190476214</v>
      </c>
      <c r="F466" s="5">
        <f t="shared" si="57"/>
        <v>-0.26709523809523805</v>
      </c>
      <c r="G466" s="33">
        <v>3.69</v>
      </c>
      <c r="H466" s="5">
        <f t="shared" si="51"/>
        <v>-0.18209523809523809</v>
      </c>
      <c r="K466" s="15">
        <f t="shared" si="52"/>
        <v>6.5892857142857144</v>
      </c>
      <c r="L466" s="15"/>
      <c r="M466" s="13">
        <f t="shared" si="53"/>
        <v>39904</v>
      </c>
      <c r="N466" s="5">
        <f>_xlfn.MAXIFS(Sheet1!$B$2:$B$6350,Sheet1!$E$2:$E$6350,Prices!$U466,Sheet1!$F$2:$F$6350,Prices!$V466)</f>
        <v>142.5</v>
      </c>
      <c r="O466" s="5">
        <f>_xlfn.MINIFS(Sheet1!$B$2:$B$6350,Sheet1!$E$2:$E$6350,Prices!$U466,Sheet1!$F$2:$F$6350,Prices!$V466)</f>
        <v>132</v>
      </c>
      <c r="P466" s="5">
        <f>AVERAGEIFS(Sheet1!$B$2:$B$6350,Sheet1!$E$2:$E$6350,Prices!$U466,Sheet1!$F$2:$F$6350,Prices!$V466)</f>
        <v>137.6</v>
      </c>
      <c r="Q466" s="5">
        <f t="shared" si="48"/>
        <v>4.9000000000000057</v>
      </c>
      <c r="R466" s="5">
        <f t="shared" si="49"/>
        <v>-5.5999999999999943</v>
      </c>
      <c r="S466" s="5">
        <f t="shared" si="47"/>
        <v>2.6477990393806139</v>
      </c>
      <c r="T466" s="5">
        <f t="shared" si="50"/>
        <v>-1.2242961987146241</v>
      </c>
      <c r="U466" s="1">
        <f t="shared" si="54"/>
        <v>4</v>
      </c>
      <c r="V466" s="1">
        <f t="shared" si="55"/>
        <v>2009</v>
      </c>
      <c r="W466" s="5">
        <v>1.320052380952381</v>
      </c>
    </row>
    <row r="467" spans="1:23" x14ac:dyDescent="0.25">
      <c r="A467" s="13">
        <v>39934</v>
      </c>
      <c r="B467" s="5">
        <v>4.37</v>
      </c>
      <c r="C467" s="5">
        <v>3.9649999999999999</v>
      </c>
      <c r="D467" s="5">
        <v>4.2156500000000001</v>
      </c>
      <c r="E467" s="5">
        <f t="shared" si="56"/>
        <v>0.15434999999999999</v>
      </c>
      <c r="F467" s="5">
        <f t="shared" si="57"/>
        <v>-0.25065000000000026</v>
      </c>
      <c r="G467" s="33">
        <v>3.98</v>
      </c>
      <c r="H467" s="5">
        <f t="shared" si="51"/>
        <v>-0.23565000000000014</v>
      </c>
      <c r="K467" s="15">
        <f t="shared" si="52"/>
        <v>7.1071428571428577</v>
      </c>
      <c r="L467" s="15"/>
      <c r="M467" s="13">
        <f t="shared" si="53"/>
        <v>39934</v>
      </c>
      <c r="N467" s="5">
        <f>_xlfn.MAXIFS(Sheet1!$B$2:$B$6350,Sheet1!$E$2:$E$6350,Prices!$U467,Sheet1!$F$2:$F$6350,Prices!$V467)</f>
        <v>161.75</v>
      </c>
      <c r="O467" s="5">
        <f>_xlfn.MINIFS(Sheet1!$B$2:$B$6350,Sheet1!$E$2:$E$6350,Prices!$U467,Sheet1!$F$2:$F$6350,Prices!$V467)</f>
        <v>142.25</v>
      </c>
      <c r="P467" s="5">
        <f>AVERAGEIFS(Sheet1!$B$2:$B$6350,Sheet1!$E$2:$E$6350,Prices!$U467,Sheet1!$F$2:$F$6350,Prices!$V467)</f>
        <v>152.67500000000001</v>
      </c>
      <c r="Q467" s="5">
        <f t="shared" si="48"/>
        <v>9.0749999999999886</v>
      </c>
      <c r="R467" s="5">
        <f t="shared" si="49"/>
        <v>-10.425000000000011</v>
      </c>
      <c r="S467" s="5">
        <f t="shared" si="47"/>
        <v>2.840840802517846</v>
      </c>
      <c r="T467" s="5">
        <f t="shared" si="50"/>
        <v>-1.3748091974821541</v>
      </c>
      <c r="U467" s="1">
        <f t="shared" si="54"/>
        <v>5</v>
      </c>
      <c r="V467" s="1">
        <f t="shared" si="55"/>
        <v>2009</v>
      </c>
      <c r="W467" s="5">
        <v>1.3651449999999998</v>
      </c>
    </row>
    <row r="468" spans="1:23" x14ac:dyDescent="0.25">
      <c r="A468" s="13">
        <v>39965</v>
      </c>
      <c r="B468" s="5">
        <v>4.5</v>
      </c>
      <c r="C468" s="5">
        <v>3.3769999999999998</v>
      </c>
      <c r="D468" s="5">
        <v>4.1243636363636362</v>
      </c>
      <c r="E468" s="5">
        <f t="shared" si="56"/>
        <v>0.37563636363636377</v>
      </c>
      <c r="F468" s="5">
        <f t="shared" si="57"/>
        <v>-0.74736363636363645</v>
      </c>
      <c r="G468" s="33">
        <v>3.97</v>
      </c>
      <c r="H468" s="5">
        <f t="shared" si="51"/>
        <v>-0.15436363636363604</v>
      </c>
      <c r="K468" s="15">
        <f t="shared" si="52"/>
        <v>7.0892857142857144</v>
      </c>
      <c r="L468" s="15"/>
      <c r="M468" s="13">
        <f t="shared" si="53"/>
        <v>39965</v>
      </c>
      <c r="N468" s="5">
        <f>_xlfn.MAXIFS(Sheet1!$B$2:$B$6350,Sheet1!$E$2:$E$6350,Prices!$U468,Sheet1!$F$2:$F$6350,Prices!$V468)</f>
        <v>158</v>
      </c>
      <c r="O468" s="5">
        <f>_xlfn.MINIFS(Sheet1!$B$2:$B$6350,Sheet1!$E$2:$E$6350,Prices!$U468,Sheet1!$F$2:$F$6350,Prices!$V468)</f>
        <v>135.5</v>
      </c>
      <c r="P468" s="5">
        <f>AVERAGEIFS(Sheet1!$B$2:$B$6350,Sheet1!$E$2:$E$6350,Prices!$U468,Sheet1!$F$2:$F$6350,Prices!$V468)</f>
        <v>146.20454545454547</v>
      </c>
      <c r="Q468" s="5">
        <f t="shared" si="48"/>
        <v>11.795454545454533</v>
      </c>
      <c r="R468" s="5">
        <f t="shared" si="49"/>
        <v>-10.704545454545467</v>
      </c>
      <c r="S468" s="5">
        <f t="shared" si="47"/>
        <v>2.6506495418638933</v>
      </c>
      <c r="T468" s="5">
        <f t="shared" si="50"/>
        <v>-1.4737140944997429</v>
      </c>
      <c r="U468" s="1">
        <f t="shared" si="54"/>
        <v>6</v>
      </c>
      <c r="V468" s="1">
        <f t="shared" si="55"/>
        <v>2009</v>
      </c>
      <c r="W468" s="5">
        <v>1.4010909090909087</v>
      </c>
    </row>
    <row r="469" spans="1:23" x14ac:dyDescent="0.25">
      <c r="A469" s="13">
        <v>39995</v>
      </c>
      <c r="B469" s="5">
        <v>3.61</v>
      </c>
      <c r="C469" s="5">
        <v>3.04</v>
      </c>
      <c r="D469" s="5">
        <v>3.2749545454545457</v>
      </c>
      <c r="E469" s="5">
        <f t="shared" si="56"/>
        <v>0.3350454545454542</v>
      </c>
      <c r="F469" s="5">
        <f t="shared" si="57"/>
        <v>-0.23495454545454564</v>
      </c>
      <c r="G469" s="33">
        <v>3.22</v>
      </c>
      <c r="H469" s="5">
        <f t="shared" si="51"/>
        <v>-5.4954545454545478E-2</v>
      </c>
      <c r="K469" s="15">
        <f t="shared" si="52"/>
        <v>5.75</v>
      </c>
      <c r="L469" s="15"/>
      <c r="M469" s="13">
        <f t="shared" si="53"/>
        <v>39995</v>
      </c>
      <c r="N469" s="5">
        <f>_xlfn.MAXIFS(Sheet1!$B$2:$B$6350,Sheet1!$E$2:$E$6350,Prices!$U469,Sheet1!$F$2:$F$6350,Prices!$V469)</f>
        <v>138.5</v>
      </c>
      <c r="O469" s="5">
        <f>_xlfn.MINIFS(Sheet1!$B$2:$B$6350,Sheet1!$E$2:$E$6350,Prices!$U469,Sheet1!$F$2:$F$6350,Prices!$V469)</f>
        <v>125</v>
      </c>
      <c r="P469" s="5">
        <f>AVERAGEIFS(Sheet1!$B$2:$B$6350,Sheet1!$E$2:$E$6350,Prices!$U469,Sheet1!$F$2:$F$6350,Prices!$V469)</f>
        <v>133.61956521739131</v>
      </c>
      <c r="Q469" s="5">
        <f t="shared" si="48"/>
        <v>4.8804347826086882</v>
      </c>
      <c r="R469" s="5">
        <f t="shared" si="49"/>
        <v>-8.6195652173913118</v>
      </c>
      <c r="S469" s="5">
        <f t="shared" si="47"/>
        <v>2.4096353900983725</v>
      </c>
      <c r="T469" s="5">
        <f t="shared" si="50"/>
        <v>-0.86531915535617321</v>
      </c>
      <c r="U469" s="1">
        <f t="shared" si="54"/>
        <v>7</v>
      </c>
      <c r="V469" s="1">
        <f t="shared" si="55"/>
        <v>2009</v>
      </c>
      <c r="W469" s="5">
        <v>1.4085636363636367</v>
      </c>
    </row>
    <row r="470" spans="1:23" x14ac:dyDescent="0.25">
      <c r="A470" s="13">
        <v>40026</v>
      </c>
      <c r="B470" s="5">
        <v>3.65</v>
      </c>
      <c r="C470" s="5">
        <v>3.0419999999999998</v>
      </c>
      <c r="D470" s="5">
        <v>3.2712857142857148</v>
      </c>
      <c r="E470" s="5">
        <f t="shared" si="56"/>
        <v>0.37871428571428511</v>
      </c>
      <c r="F470" s="5">
        <f t="shared" si="57"/>
        <v>-0.22928571428571498</v>
      </c>
      <c r="G470" s="33">
        <v>3.21</v>
      </c>
      <c r="H470" s="5">
        <f t="shared" si="51"/>
        <v>-6.1285714285714832E-2</v>
      </c>
      <c r="K470" s="15">
        <f t="shared" si="52"/>
        <v>5.7321428571428568</v>
      </c>
      <c r="L470" s="15"/>
      <c r="M470" s="13">
        <f t="shared" si="53"/>
        <v>40026</v>
      </c>
      <c r="N470" s="5">
        <f>_xlfn.MAXIFS(Sheet1!$B$2:$B$6350,Sheet1!$E$2:$E$6350,Prices!$U470,Sheet1!$F$2:$F$6350,Prices!$V470)</f>
        <v>128</v>
      </c>
      <c r="O470" s="5">
        <f>_xlfn.MINIFS(Sheet1!$B$2:$B$6350,Sheet1!$E$2:$E$6350,Prices!$U470,Sheet1!$F$2:$F$6350,Prices!$V470)</f>
        <v>121.75</v>
      </c>
      <c r="P470" s="5">
        <f>AVERAGEIFS(Sheet1!$B$2:$B$6350,Sheet1!$E$2:$E$6350,Prices!$U470,Sheet1!$F$2:$F$6350,Prices!$V470)</f>
        <v>124.30952380952381</v>
      </c>
      <c r="Q470" s="5">
        <f t="shared" si="48"/>
        <v>3.6904761904761898</v>
      </c>
      <c r="R470" s="5">
        <f t="shared" si="49"/>
        <v>-2.5595238095238102</v>
      </c>
      <c r="S470" s="5">
        <f t="shared" si="47"/>
        <v>2.2135774769782062</v>
      </c>
      <c r="T470" s="5">
        <f t="shared" si="50"/>
        <v>-1.0577082373075086</v>
      </c>
      <c r="U470" s="1">
        <f t="shared" si="54"/>
        <v>8</v>
      </c>
      <c r="V470" s="1">
        <f t="shared" si="55"/>
        <v>2009</v>
      </c>
      <c r="W470" s="5">
        <v>1.4264857142857144</v>
      </c>
    </row>
    <row r="471" spans="1:23" x14ac:dyDescent="0.25">
      <c r="A471" s="13">
        <v>40057</v>
      </c>
      <c r="B471" s="5">
        <v>3.4769999999999999</v>
      </c>
      <c r="C471" s="5">
        <v>3.02</v>
      </c>
      <c r="D471" s="5">
        <v>3.2504285714285714</v>
      </c>
      <c r="E471" s="5">
        <f t="shared" si="56"/>
        <v>0.22657142857142842</v>
      </c>
      <c r="F471" s="5">
        <f t="shared" si="57"/>
        <v>-0.23042857142857143</v>
      </c>
      <c r="G471" s="33">
        <v>3.1</v>
      </c>
      <c r="H471" s="5">
        <f t="shared" si="51"/>
        <v>-0.15042857142857136</v>
      </c>
      <c r="K471" s="15">
        <f t="shared" si="52"/>
        <v>5.5357142857142865</v>
      </c>
      <c r="L471" s="15"/>
      <c r="M471" s="13">
        <f t="shared" si="53"/>
        <v>40057</v>
      </c>
      <c r="N471" s="5">
        <f>_xlfn.MAXIFS(Sheet1!$B$2:$B$6350,Sheet1!$E$2:$E$6350,Prices!$U471,Sheet1!$F$2:$F$6350,Prices!$V471)</f>
        <v>123</v>
      </c>
      <c r="O471" s="5">
        <f>_xlfn.MINIFS(Sheet1!$B$2:$B$6350,Sheet1!$E$2:$E$6350,Prices!$U471,Sheet1!$F$2:$F$6350,Prices!$V471)</f>
        <v>116.25</v>
      </c>
      <c r="P471" s="5">
        <f>AVERAGEIFS(Sheet1!$B$2:$B$6350,Sheet1!$E$2:$E$6350,Prices!$U471,Sheet1!$F$2:$F$6350,Prices!$V471)</f>
        <v>119.89772727272727</v>
      </c>
      <c r="Q471" s="5">
        <f t="shared" si="48"/>
        <v>3.1022727272727337</v>
      </c>
      <c r="R471" s="5">
        <f t="shared" si="49"/>
        <v>-3.6477272727272663</v>
      </c>
      <c r="S471" s="5">
        <f t="shared" si="47"/>
        <v>2.089988337437886</v>
      </c>
      <c r="T471" s="5">
        <f t="shared" si="50"/>
        <v>-1.1604402339906854</v>
      </c>
      <c r="U471" s="1">
        <f t="shared" si="54"/>
        <v>9</v>
      </c>
      <c r="V471" s="1">
        <f t="shared" si="55"/>
        <v>2009</v>
      </c>
      <c r="W471" s="5">
        <v>1.4572190476190476</v>
      </c>
    </row>
    <row r="472" spans="1:23" x14ac:dyDescent="0.25">
      <c r="A472" s="13">
        <v>40087</v>
      </c>
      <c r="B472" s="5">
        <v>4.1349999999999998</v>
      </c>
      <c r="C472" s="5">
        <v>3.2749999999999999</v>
      </c>
      <c r="D472" s="5">
        <v>3.7199090909090913</v>
      </c>
      <c r="E472" s="5">
        <f t="shared" si="56"/>
        <v>0.41509090909090851</v>
      </c>
      <c r="F472" s="5">
        <f t="shared" si="57"/>
        <v>-0.44490909090909136</v>
      </c>
      <c r="G472" s="33">
        <v>3.52</v>
      </c>
      <c r="H472" s="5">
        <f t="shared" si="51"/>
        <v>-0.19990909090909126</v>
      </c>
      <c r="K472" s="15">
        <f t="shared" si="52"/>
        <v>6.2857142857142865</v>
      </c>
      <c r="L472" s="15"/>
      <c r="M472" s="13">
        <f t="shared" si="53"/>
        <v>40087</v>
      </c>
      <c r="N472" s="5">
        <f>_xlfn.MAXIFS(Sheet1!$B$2:$B$6350,Sheet1!$E$2:$E$6350,Prices!$U472,Sheet1!$F$2:$F$6350,Prices!$V472)</f>
        <v>131.5</v>
      </c>
      <c r="O472" s="5">
        <f>_xlfn.MINIFS(Sheet1!$B$2:$B$6350,Sheet1!$E$2:$E$6350,Prices!$U472,Sheet1!$F$2:$F$6350,Prices!$V472)</f>
        <v>121</v>
      </c>
      <c r="P472" s="5">
        <f>AVERAGEIFS(Sheet1!$B$2:$B$6350,Sheet1!$E$2:$E$6350,Prices!$U472,Sheet1!$F$2:$F$6350,Prices!$V472)</f>
        <v>126.30681818181819</v>
      </c>
      <c r="Q472" s="5">
        <f t="shared" si="48"/>
        <v>5.193181818181813</v>
      </c>
      <c r="R472" s="5">
        <f t="shared" si="49"/>
        <v>-5.306818181818187</v>
      </c>
      <c r="S472" s="5">
        <f t="shared" si="47"/>
        <v>2.1656431080333967</v>
      </c>
      <c r="T472" s="5">
        <f t="shared" si="50"/>
        <v>-1.5542659828756946</v>
      </c>
      <c r="U472" s="1">
        <f t="shared" si="54"/>
        <v>10</v>
      </c>
      <c r="V472" s="1">
        <f t="shared" si="55"/>
        <v>2009</v>
      </c>
      <c r="W472" s="5">
        <v>1.4814863636363638</v>
      </c>
    </row>
    <row r="473" spans="1:23" x14ac:dyDescent="0.25">
      <c r="A473" s="13">
        <v>40118</v>
      </c>
      <c r="B473" s="5">
        <v>4.0949999999999998</v>
      </c>
      <c r="C473" s="5">
        <v>3.5920000000000001</v>
      </c>
      <c r="D473" s="5">
        <v>3.8992499999999999</v>
      </c>
      <c r="E473" s="5">
        <f t="shared" si="56"/>
        <v>0.19574999999999987</v>
      </c>
      <c r="F473" s="5">
        <f t="shared" si="57"/>
        <v>-0.3072499999999998</v>
      </c>
      <c r="G473" s="33">
        <v>3.62</v>
      </c>
      <c r="H473" s="5">
        <f t="shared" si="51"/>
        <v>-0.27924999999999978</v>
      </c>
      <c r="K473" s="15">
        <f t="shared" si="52"/>
        <v>6.4642857142857144</v>
      </c>
      <c r="L473" s="15"/>
      <c r="M473" s="13">
        <f t="shared" si="53"/>
        <v>40118</v>
      </c>
      <c r="N473" s="5">
        <f>_xlfn.MAXIFS(Sheet1!$B$2:$B$6350,Sheet1!$E$2:$E$6350,Prices!$U473,Sheet1!$F$2:$F$6350,Prices!$V473)</f>
        <v>140</v>
      </c>
      <c r="O473" s="5">
        <f>_xlfn.MINIFS(Sheet1!$B$2:$B$6350,Sheet1!$E$2:$E$6350,Prices!$U473,Sheet1!$F$2:$F$6350,Prices!$V473)</f>
        <v>127.5</v>
      </c>
      <c r="P473" s="5">
        <f>AVERAGEIFS(Sheet1!$B$2:$B$6350,Sheet1!$E$2:$E$6350,Prices!$U473,Sheet1!$F$2:$F$6350,Prices!$V473)</f>
        <v>136.0952380952381</v>
      </c>
      <c r="Q473" s="5">
        <f t="shared" si="48"/>
        <v>3.904761904761898</v>
      </c>
      <c r="R473" s="5">
        <f t="shared" si="49"/>
        <v>-8.595238095238102</v>
      </c>
      <c r="S473" s="5">
        <f t="shared" si="47"/>
        <v>2.3169301327839547</v>
      </c>
      <c r="T473" s="5">
        <f t="shared" si="50"/>
        <v>-1.5823198672160452</v>
      </c>
      <c r="U473" s="1">
        <f t="shared" si="54"/>
        <v>11</v>
      </c>
      <c r="V473" s="1">
        <f t="shared" si="55"/>
        <v>2009</v>
      </c>
      <c r="W473" s="5">
        <v>1.492065</v>
      </c>
    </row>
    <row r="474" spans="1:23" x14ac:dyDescent="0.25">
      <c r="A474" s="13">
        <v>40148</v>
      </c>
      <c r="B474" s="5">
        <v>4.2119999999999997</v>
      </c>
      <c r="C474" s="5">
        <v>3.79</v>
      </c>
      <c r="D474" s="5">
        <v>4.0244999999999997</v>
      </c>
      <c r="E474" s="5">
        <f t="shared" si="56"/>
        <v>0.1875</v>
      </c>
      <c r="F474" s="5">
        <f t="shared" si="57"/>
        <v>-0.23449999999999971</v>
      </c>
      <c r="G474" s="33">
        <v>3.59</v>
      </c>
      <c r="H474" s="5">
        <f t="shared" si="51"/>
        <v>-0.43449999999999989</v>
      </c>
      <c r="K474" s="15">
        <f t="shared" si="52"/>
        <v>6.4107142857142847</v>
      </c>
      <c r="L474" s="15"/>
      <c r="M474" s="13">
        <f t="shared" si="53"/>
        <v>40148</v>
      </c>
      <c r="N474" s="5">
        <f>_xlfn.MAXIFS(Sheet1!$B$2:$B$6350,Sheet1!$E$2:$E$6350,Prices!$U474,Sheet1!$F$2:$F$6350,Prices!$V474)</f>
        <v>139.75</v>
      </c>
      <c r="O474" s="5">
        <f>_xlfn.MINIFS(Sheet1!$B$2:$B$6350,Sheet1!$E$2:$E$6350,Prices!$U474,Sheet1!$F$2:$F$6350,Prices!$V474)</f>
        <v>134.5</v>
      </c>
      <c r="P474" s="5">
        <f>AVERAGEIFS(Sheet1!$B$2:$B$6350,Sheet1!$E$2:$E$6350,Prices!$U474,Sheet1!$F$2:$F$6350,Prices!$V474)</f>
        <v>137.51136363636363</v>
      </c>
      <c r="Q474" s="5">
        <f t="shared" si="48"/>
        <v>2.238636363636374</v>
      </c>
      <c r="R474" s="5">
        <f t="shared" si="49"/>
        <v>-3.011363636363626</v>
      </c>
      <c r="S474" s="5">
        <f t="shared" si="47"/>
        <v>2.396422550290326</v>
      </c>
      <c r="T474" s="5">
        <f t="shared" si="50"/>
        <v>-1.6280774497096737</v>
      </c>
      <c r="U474" s="1">
        <f t="shared" si="54"/>
        <v>12</v>
      </c>
      <c r="V474" s="1">
        <f t="shared" si="55"/>
        <v>2009</v>
      </c>
      <c r="W474" s="5">
        <v>1.4575818181818185</v>
      </c>
    </row>
    <row r="475" spans="1:23" x14ac:dyDescent="0.25">
      <c r="A475" s="13">
        <v>40179</v>
      </c>
      <c r="B475" s="5">
        <v>4.2619999999999996</v>
      </c>
      <c r="C475" s="5">
        <v>3.552</v>
      </c>
      <c r="D475" s="5">
        <v>3.8584736842105265</v>
      </c>
      <c r="E475" s="5">
        <f t="shared" si="56"/>
        <v>0.40352631578947307</v>
      </c>
      <c r="F475" s="5">
        <f t="shared" si="57"/>
        <v>-0.30647368421052645</v>
      </c>
      <c r="G475" s="33">
        <v>3.52</v>
      </c>
      <c r="H475" s="5">
        <f t="shared" si="51"/>
        <v>-0.33847368421052648</v>
      </c>
      <c r="K475" s="15">
        <f t="shared" si="52"/>
        <v>6.2857142857142865</v>
      </c>
      <c r="L475" s="15"/>
      <c r="M475" s="13">
        <f t="shared" si="53"/>
        <v>40179</v>
      </c>
      <c r="N475" s="5">
        <f>_xlfn.MAXIFS(Sheet1!$B$2:$B$6350,Sheet1!$E$2:$E$6350,Prices!$U475,Sheet1!$F$2:$F$6350,Prices!$V475)</f>
        <v>141.25</v>
      </c>
      <c r="O475" s="5">
        <f>_xlfn.MINIFS(Sheet1!$B$2:$B$6350,Sheet1!$E$2:$E$6350,Prices!$U475,Sheet1!$F$2:$F$6350,Prices!$V475)</f>
        <v>131.5</v>
      </c>
      <c r="P475" s="5">
        <f>AVERAGEIFS(Sheet1!$B$2:$B$6350,Sheet1!$E$2:$E$6350,Prices!$U475,Sheet1!$F$2:$F$6350,Prices!$V475)</f>
        <v>136.32499999999999</v>
      </c>
      <c r="Q475" s="5">
        <f t="shared" si="48"/>
        <v>4.9250000000000114</v>
      </c>
      <c r="R475" s="5">
        <f t="shared" si="49"/>
        <v>-4.8249999999999886</v>
      </c>
      <c r="S475" s="5">
        <f t="shared" si="47"/>
        <v>2.4277185528582397</v>
      </c>
      <c r="T475" s="5">
        <f t="shared" si="50"/>
        <v>-1.4307551313522868</v>
      </c>
      <c r="U475" s="1">
        <f t="shared" si="54"/>
        <v>1</v>
      </c>
      <c r="V475" s="1">
        <f t="shared" si="55"/>
        <v>2010</v>
      </c>
      <c r="W475" s="5">
        <v>1.4263789473684207</v>
      </c>
    </row>
    <row r="476" spans="1:23" x14ac:dyDescent="0.25">
      <c r="A476" s="13">
        <v>40210</v>
      </c>
      <c r="B476" s="5">
        <v>3.8</v>
      </c>
      <c r="C476" s="5">
        <v>3.4750000000000001</v>
      </c>
      <c r="D476" s="5">
        <v>3.6275789473684212</v>
      </c>
      <c r="E476" s="5">
        <f t="shared" si="56"/>
        <v>0.17242105263157859</v>
      </c>
      <c r="F476" s="5">
        <f t="shared" si="57"/>
        <v>-0.15257894736842115</v>
      </c>
      <c r="G476" s="33">
        <v>3.39</v>
      </c>
      <c r="H476" s="5">
        <f t="shared" si="51"/>
        <v>-0.23757894736842111</v>
      </c>
      <c r="K476" s="15">
        <f t="shared" si="52"/>
        <v>6.0535714285714288</v>
      </c>
      <c r="L476" s="15"/>
      <c r="M476" s="13">
        <f t="shared" si="53"/>
        <v>40210</v>
      </c>
      <c r="N476" s="5">
        <f>_xlfn.MAXIFS(Sheet1!$B$2:$B$6350,Sheet1!$E$2:$E$6350,Prices!$U476,Sheet1!$F$2:$F$6350,Prices!$V476)</f>
        <v>133.25</v>
      </c>
      <c r="O476" s="5">
        <f>_xlfn.MINIFS(Sheet1!$B$2:$B$6350,Sheet1!$E$2:$E$6350,Prices!$U476,Sheet1!$F$2:$F$6350,Prices!$V476)</f>
        <v>128</v>
      </c>
      <c r="P476" s="5">
        <f>AVERAGEIFS(Sheet1!$B$2:$B$6350,Sheet1!$E$2:$E$6350,Prices!$U476,Sheet1!$F$2:$F$6350,Prices!$V476)</f>
        <v>131.46250000000001</v>
      </c>
      <c r="Q476" s="5">
        <f t="shared" si="48"/>
        <v>1.7874999999999943</v>
      </c>
      <c r="R476" s="5">
        <f t="shared" si="49"/>
        <v>-3.4625000000000057</v>
      </c>
      <c r="S476" s="5">
        <f t="shared" si="47"/>
        <v>2.4397276646583563</v>
      </c>
      <c r="T476" s="5">
        <f t="shared" si="50"/>
        <v>-1.1878512827100649</v>
      </c>
      <c r="U476" s="1">
        <f t="shared" si="54"/>
        <v>2</v>
      </c>
      <c r="V476" s="1">
        <f t="shared" si="55"/>
        <v>2010</v>
      </c>
      <c r="W476" s="5">
        <v>1.3687315789473684</v>
      </c>
    </row>
    <row r="477" spans="1:23" x14ac:dyDescent="0.25">
      <c r="A477" s="13">
        <v>40238</v>
      </c>
      <c r="B477" s="5">
        <v>3.92</v>
      </c>
      <c r="C477" s="5">
        <v>3.4420000000000002</v>
      </c>
      <c r="D477" s="5">
        <v>3.6816521739130437</v>
      </c>
      <c r="E477" s="5">
        <f t="shared" si="56"/>
        <v>0.23834782608695626</v>
      </c>
      <c r="F477" s="5">
        <f t="shared" si="57"/>
        <v>-0.2396521739130435</v>
      </c>
      <c r="G477" s="33">
        <v>3.4</v>
      </c>
      <c r="H477" s="5">
        <f t="shared" si="51"/>
        <v>-0.28165217391304376</v>
      </c>
      <c r="K477" s="15">
        <f t="shared" si="52"/>
        <v>6.0714285714285712</v>
      </c>
      <c r="L477" s="15"/>
      <c r="M477" s="13">
        <f t="shared" si="53"/>
        <v>40238</v>
      </c>
      <c r="N477" s="5">
        <f>_xlfn.MAXIFS(Sheet1!$B$2:$B$6350,Sheet1!$E$2:$E$6350,Prices!$U477,Sheet1!$F$2:$F$6350,Prices!$V477)</f>
        <v>136.5</v>
      </c>
      <c r="O477" s="5">
        <f>_xlfn.MINIFS(Sheet1!$B$2:$B$6350,Sheet1!$E$2:$E$6350,Prices!$U477,Sheet1!$F$2:$F$6350,Prices!$V477)</f>
        <v>126.25</v>
      </c>
      <c r="P477" s="5">
        <f>AVERAGEIFS(Sheet1!$B$2:$B$6350,Sheet1!$E$2:$E$6350,Prices!$U477,Sheet1!$F$2:$F$6350,Prices!$V477)</f>
        <v>132.5</v>
      </c>
      <c r="Q477" s="5">
        <f t="shared" si="48"/>
        <v>4</v>
      </c>
      <c r="R477" s="5">
        <f t="shared" si="49"/>
        <v>-6.25</v>
      </c>
      <c r="S477" s="5">
        <f t="shared" si="47"/>
        <v>2.4798828759040132</v>
      </c>
      <c r="T477" s="5">
        <f t="shared" si="50"/>
        <v>-1.2017692980090304</v>
      </c>
      <c r="U477" s="1">
        <f t="shared" si="54"/>
        <v>3</v>
      </c>
      <c r="V477" s="1">
        <f t="shared" si="55"/>
        <v>2010</v>
      </c>
      <c r="W477" s="5">
        <v>1.3571956521739132</v>
      </c>
    </row>
    <row r="478" spans="1:23" x14ac:dyDescent="0.25">
      <c r="A478" s="13">
        <v>40269</v>
      </c>
      <c r="B478" s="5">
        <v>3.7</v>
      </c>
      <c r="C478" s="5">
        <v>3.4350000000000001</v>
      </c>
      <c r="D478" s="5">
        <v>3.54</v>
      </c>
      <c r="E478" s="5">
        <f t="shared" si="56"/>
        <v>0.16000000000000014</v>
      </c>
      <c r="F478" s="5">
        <f t="shared" si="57"/>
        <v>-0.10499999999999998</v>
      </c>
      <c r="G478" s="33">
        <v>3.36</v>
      </c>
      <c r="H478" s="5">
        <f t="shared" si="51"/>
        <v>-0.18000000000000016</v>
      </c>
      <c r="K478" s="15">
        <f t="shared" si="52"/>
        <v>6</v>
      </c>
      <c r="L478" s="15"/>
      <c r="M478" s="13">
        <f t="shared" si="53"/>
        <v>40269</v>
      </c>
      <c r="N478" s="5">
        <f>_xlfn.MAXIFS(Sheet1!$B$2:$B$6350,Sheet1!$E$2:$E$6350,Prices!$U478,Sheet1!$F$2:$F$6350,Prices!$V478)</f>
        <v>145.5</v>
      </c>
      <c r="O478" s="5">
        <f>_xlfn.MINIFS(Sheet1!$B$2:$B$6350,Sheet1!$E$2:$E$6350,Prices!$U478,Sheet1!$F$2:$F$6350,Prices!$V478)</f>
        <v>136.25</v>
      </c>
      <c r="P478" s="5">
        <f>AVERAGEIFS(Sheet1!$B$2:$B$6350,Sheet1!$E$2:$E$6350,Prices!$U478,Sheet1!$F$2:$F$6350,Prices!$V478)</f>
        <v>141.32499999999999</v>
      </c>
      <c r="Q478" s="5">
        <f t="shared" si="48"/>
        <v>4.1750000000000114</v>
      </c>
      <c r="R478" s="5">
        <f t="shared" si="49"/>
        <v>-5.0749999999999886</v>
      </c>
      <c r="S478" s="5">
        <f t="shared" si="47"/>
        <v>2.6748034144264077</v>
      </c>
      <c r="T478" s="5">
        <f t="shared" si="50"/>
        <v>-0.86519658557359236</v>
      </c>
      <c r="U478" s="1">
        <f t="shared" si="54"/>
        <v>4</v>
      </c>
      <c r="V478" s="1">
        <f t="shared" si="55"/>
        <v>2010</v>
      </c>
      <c r="W478" s="5">
        <v>1.3421000000000003</v>
      </c>
    </row>
    <row r="479" spans="1:23" x14ac:dyDescent="0.25">
      <c r="A479" s="13">
        <v>40299</v>
      </c>
      <c r="B479" s="5">
        <v>3.85</v>
      </c>
      <c r="C479" s="5">
        <v>3.5350000000000001</v>
      </c>
      <c r="D479" s="5">
        <v>3.6816</v>
      </c>
      <c r="E479" s="5">
        <f t="shared" si="56"/>
        <v>0.16840000000000011</v>
      </c>
      <c r="F479" s="5">
        <f t="shared" si="57"/>
        <v>-0.14659999999999984</v>
      </c>
      <c r="G479" s="33">
        <v>3.43</v>
      </c>
      <c r="H479" s="5">
        <f t="shared" si="51"/>
        <v>-0.25159999999999982</v>
      </c>
      <c r="K479" s="15">
        <f t="shared" si="52"/>
        <v>6.1250000000000009</v>
      </c>
      <c r="L479" s="15"/>
      <c r="M479" s="13">
        <f t="shared" si="53"/>
        <v>40299</v>
      </c>
      <c r="N479" s="5">
        <f>_xlfn.MAXIFS(Sheet1!$B$2:$B$6350,Sheet1!$E$2:$E$6350,Prices!$U479,Sheet1!$F$2:$F$6350,Prices!$V479)</f>
        <v>155</v>
      </c>
      <c r="O479" s="5">
        <f>_xlfn.MINIFS(Sheet1!$B$2:$B$6350,Sheet1!$E$2:$E$6350,Prices!$U479,Sheet1!$F$2:$F$6350,Prices!$V479)</f>
        <v>143.25</v>
      </c>
      <c r="P479" s="5">
        <f>AVERAGEIFS(Sheet1!$B$2:$B$6350,Sheet1!$E$2:$E$6350,Prices!$U479,Sheet1!$F$2:$F$6350,Prices!$V479)</f>
        <v>148.53571428571428</v>
      </c>
      <c r="Q479" s="5">
        <f t="shared" si="48"/>
        <v>6.4642857142857224</v>
      </c>
      <c r="R479" s="5">
        <f t="shared" si="49"/>
        <v>-5.2857142857142776</v>
      </c>
      <c r="S479" s="5">
        <f t="shared" si="47"/>
        <v>3.0076453827771368</v>
      </c>
      <c r="T479" s="5">
        <f t="shared" si="50"/>
        <v>-0.67395461722286321</v>
      </c>
      <c r="U479" s="1">
        <f t="shared" si="54"/>
        <v>5</v>
      </c>
      <c r="V479" s="1">
        <f t="shared" si="55"/>
        <v>2010</v>
      </c>
      <c r="W479" s="5">
        <v>1.254475</v>
      </c>
    </row>
    <row r="480" spans="1:23" x14ac:dyDescent="0.25">
      <c r="A480" s="13">
        <v>40330</v>
      </c>
      <c r="B480" s="5">
        <v>3.6720000000000002</v>
      </c>
      <c r="C480" s="5">
        <v>3.2450000000000001</v>
      </c>
      <c r="D480" s="5">
        <v>3.4675909090909092</v>
      </c>
      <c r="E480" s="5">
        <f t="shared" si="56"/>
        <v>0.20440909090909098</v>
      </c>
      <c r="F480" s="5">
        <f t="shared" si="57"/>
        <v>-0.22259090909090906</v>
      </c>
      <c r="G480" s="33">
        <v>3.24</v>
      </c>
      <c r="H480" s="5">
        <f t="shared" si="51"/>
        <v>-0.22759090909090895</v>
      </c>
      <c r="K480" s="15">
        <f t="shared" si="52"/>
        <v>5.7857142857142865</v>
      </c>
      <c r="L480" s="15"/>
      <c r="M480" s="13">
        <f t="shared" si="53"/>
        <v>40330</v>
      </c>
      <c r="N480" s="5">
        <f>_xlfn.MAXIFS(Sheet1!$B$2:$B$6350,Sheet1!$E$2:$E$6350,Prices!$U480,Sheet1!$F$2:$F$6350,Prices!$V480)</f>
        <v>159.25</v>
      </c>
      <c r="O480" s="5">
        <f>_xlfn.MINIFS(Sheet1!$B$2:$B$6350,Sheet1!$E$2:$E$6350,Prices!$U480,Sheet1!$F$2:$F$6350,Prices!$V480)</f>
        <v>145.25</v>
      </c>
      <c r="P480" s="5">
        <f>AVERAGEIFS(Sheet1!$B$2:$B$6350,Sheet1!$E$2:$E$6350,Prices!$U480,Sheet1!$F$2:$F$6350,Prices!$V480)</f>
        <v>151.92045454545453</v>
      </c>
      <c r="Q480" s="5">
        <f t="shared" si="48"/>
        <v>7.3295454545454675</v>
      </c>
      <c r="R480" s="5">
        <f t="shared" si="49"/>
        <v>-6.6704545454545325</v>
      </c>
      <c r="S480" s="5">
        <f t="shared" si="47"/>
        <v>3.1609539042650492</v>
      </c>
      <c r="T480" s="5">
        <f t="shared" si="50"/>
        <v>-0.30663700482585998</v>
      </c>
      <c r="U480" s="1">
        <f t="shared" si="54"/>
        <v>6</v>
      </c>
      <c r="V480" s="1">
        <f t="shared" si="55"/>
        <v>2010</v>
      </c>
      <c r="W480" s="5">
        <v>1.2208318181818183</v>
      </c>
    </row>
    <row r="481" spans="1:23" x14ac:dyDescent="0.25">
      <c r="A481" s="13">
        <v>40360</v>
      </c>
      <c r="B481" s="5">
        <v>3.9769999999999999</v>
      </c>
      <c r="C481" s="5">
        <v>3.597</v>
      </c>
      <c r="D481" s="5">
        <v>3.7832857142857144</v>
      </c>
      <c r="E481" s="5">
        <f t="shared" si="56"/>
        <v>0.19371428571428551</v>
      </c>
      <c r="F481" s="5">
        <f t="shared" si="57"/>
        <v>-0.18628571428571439</v>
      </c>
      <c r="G481" s="33">
        <v>3.49</v>
      </c>
      <c r="H481" s="5">
        <f t="shared" si="51"/>
        <v>-0.29328571428571415</v>
      </c>
      <c r="K481" s="15">
        <f t="shared" si="52"/>
        <v>6.2321428571428577</v>
      </c>
      <c r="L481" s="15"/>
      <c r="M481" s="13">
        <f t="shared" si="53"/>
        <v>40360</v>
      </c>
      <c r="N481" s="5">
        <f>_xlfn.MAXIFS(Sheet1!$B$2:$B$6350,Sheet1!$E$2:$E$6350,Prices!$U481,Sheet1!$F$2:$F$6350,Prices!$V481)</f>
        <v>195.5</v>
      </c>
      <c r="O481" s="5">
        <f>_xlfn.MINIFS(Sheet1!$B$2:$B$6350,Sheet1!$E$2:$E$6350,Prices!$U481,Sheet1!$F$2:$F$6350,Prices!$V481)</f>
        <v>162</v>
      </c>
      <c r="P481" s="5">
        <f>AVERAGEIFS(Sheet1!$B$2:$B$6350,Sheet1!$E$2:$E$6350,Prices!$U481,Sheet1!$F$2:$F$6350,Prices!$V481)</f>
        <v>171</v>
      </c>
      <c r="Q481" s="5">
        <f t="shared" si="48"/>
        <v>24.5</v>
      </c>
      <c r="R481" s="5">
        <f t="shared" si="49"/>
        <v>-9</v>
      </c>
      <c r="S481" s="5">
        <f t="shared" si="47"/>
        <v>3.390227643890618</v>
      </c>
      <c r="T481" s="5">
        <f t="shared" si="50"/>
        <v>-0.39305807039509633</v>
      </c>
      <c r="U481" s="1">
        <f t="shared" si="54"/>
        <v>7</v>
      </c>
      <c r="V481" s="1">
        <f t="shared" si="55"/>
        <v>2010</v>
      </c>
      <c r="W481" s="5">
        <v>1.2812238095238095</v>
      </c>
    </row>
    <row r="482" spans="1:23" x14ac:dyDescent="0.25">
      <c r="A482" s="13">
        <v>40391</v>
      </c>
      <c r="B482" s="5">
        <v>4.2949999999999999</v>
      </c>
      <c r="C482" s="5">
        <v>3.85</v>
      </c>
      <c r="D482" s="5">
        <v>4.0859090909090909</v>
      </c>
      <c r="E482" s="5">
        <f t="shared" si="56"/>
        <v>0.20909090909090899</v>
      </c>
      <c r="F482" s="5">
        <f t="shared" si="57"/>
        <v>-0.23590909090909085</v>
      </c>
      <c r="G482" s="33">
        <v>3.77</v>
      </c>
      <c r="H482" s="5">
        <f t="shared" si="51"/>
        <v>-0.31590909090909092</v>
      </c>
      <c r="K482" s="15">
        <f t="shared" si="52"/>
        <v>6.7321428571428577</v>
      </c>
      <c r="L482" s="15"/>
      <c r="M482" s="13">
        <f t="shared" si="53"/>
        <v>40391</v>
      </c>
      <c r="N482" s="5">
        <f>_xlfn.MAXIFS(Sheet1!$B$2:$B$6350,Sheet1!$E$2:$E$6350,Prices!$U482,Sheet1!$F$2:$F$6350,Prices!$V482)</f>
        <v>216.75</v>
      </c>
      <c r="O482" s="5">
        <f>_xlfn.MINIFS(Sheet1!$B$2:$B$6350,Sheet1!$E$2:$E$6350,Prices!$U482,Sheet1!$F$2:$F$6350,Prices!$V482)</f>
        <v>181.5</v>
      </c>
      <c r="P482" s="5">
        <f>AVERAGEIFS(Sheet1!$B$2:$B$6350,Sheet1!$E$2:$E$6350,Prices!$U482,Sheet1!$F$2:$F$6350,Prices!$V482)</f>
        <v>191.21590909090909</v>
      </c>
      <c r="Q482" s="5">
        <f t="shared" si="48"/>
        <v>25.534090909090907</v>
      </c>
      <c r="R482" s="5">
        <f t="shared" si="49"/>
        <v>-9.7159090909090935</v>
      </c>
      <c r="S482" s="5">
        <f t="shared" si="47"/>
        <v>3.7665487074946991</v>
      </c>
      <c r="T482" s="5">
        <f t="shared" si="50"/>
        <v>-0.31936038341439188</v>
      </c>
      <c r="U482" s="1">
        <f t="shared" si="54"/>
        <v>8</v>
      </c>
      <c r="V482" s="1">
        <f t="shared" si="55"/>
        <v>2010</v>
      </c>
      <c r="W482" s="5">
        <v>1.2895499999999998</v>
      </c>
    </row>
    <row r="483" spans="1:23" x14ac:dyDescent="0.25">
      <c r="A483" s="13">
        <v>40422</v>
      </c>
      <c r="B483" s="5">
        <v>5.2869999999999999</v>
      </c>
      <c r="C483" s="5">
        <v>4.3769999999999998</v>
      </c>
      <c r="D483" s="5">
        <v>4.8913809523809526</v>
      </c>
      <c r="E483" s="5">
        <f t="shared" si="56"/>
        <v>0.39561904761904731</v>
      </c>
      <c r="F483" s="5">
        <f t="shared" si="57"/>
        <v>-0.51438095238095283</v>
      </c>
      <c r="G483" s="33">
        <v>4.51</v>
      </c>
      <c r="H483" s="5">
        <f t="shared" si="51"/>
        <v>-0.38138095238095282</v>
      </c>
      <c r="K483" s="15">
        <f t="shared" si="52"/>
        <v>8.0535714285714288</v>
      </c>
      <c r="L483" s="15"/>
      <c r="M483" s="13">
        <f t="shared" si="53"/>
        <v>40422</v>
      </c>
      <c r="N483" s="5">
        <f>_xlfn.MAXIFS(Sheet1!$B$2:$B$6350,Sheet1!$E$2:$E$6350,Prices!$U483,Sheet1!$F$2:$F$6350,Prices!$V483)</f>
        <v>217</v>
      </c>
      <c r="O483" s="5">
        <f>_xlfn.MINIFS(Sheet1!$B$2:$B$6350,Sheet1!$E$2:$E$6350,Prices!$U483,Sheet1!$F$2:$F$6350,Prices!$V483)</f>
        <v>195</v>
      </c>
      <c r="P483" s="5">
        <f>AVERAGEIFS(Sheet1!$B$2:$B$6350,Sheet1!$E$2:$E$6350,Prices!$U483,Sheet1!$F$2:$F$6350,Prices!$V483)</f>
        <v>203.65909090909091</v>
      </c>
      <c r="Q483" s="5">
        <f t="shared" si="48"/>
        <v>13.340909090909093</v>
      </c>
      <c r="R483" s="5">
        <f t="shared" si="49"/>
        <v>-8.6590909090909065</v>
      </c>
      <c r="S483" s="5">
        <f t="shared" ref="S483:S546" si="58">P483/39.3679/W483</f>
        <v>3.9490140386680546</v>
      </c>
      <c r="T483" s="5">
        <f t="shared" si="50"/>
        <v>-0.94236691371289805</v>
      </c>
      <c r="U483" s="1">
        <f t="shared" si="54"/>
        <v>9</v>
      </c>
      <c r="V483" s="1">
        <f t="shared" si="55"/>
        <v>2010</v>
      </c>
      <c r="W483" s="5">
        <v>1.3100047619047619</v>
      </c>
    </row>
    <row r="484" spans="1:23" x14ac:dyDescent="0.25">
      <c r="A484" s="13">
        <v>40452</v>
      </c>
      <c r="B484" s="5">
        <v>5.88</v>
      </c>
      <c r="C484" s="5">
        <v>4.5419999999999998</v>
      </c>
      <c r="D484" s="5">
        <v>5.4552380952380961</v>
      </c>
      <c r="E484" s="5">
        <f t="shared" si="56"/>
        <v>0.42476190476190379</v>
      </c>
      <c r="F484" s="5">
        <f t="shared" si="57"/>
        <v>-0.91323809523809629</v>
      </c>
      <c r="G484" s="33">
        <v>5.19</v>
      </c>
      <c r="H484" s="5">
        <f t="shared" si="51"/>
        <v>-0.26523809523809572</v>
      </c>
      <c r="K484" s="15">
        <f t="shared" si="52"/>
        <v>9.2678571428571423</v>
      </c>
      <c r="L484" s="15"/>
      <c r="M484" s="13">
        <f t="shared" si="53"/>
        <v>40452</v>
      </c>
      <c r="N484" s="5">
        <f>_xlfn.MAXIFS(Sheet1!$B$2:$B$6350,Sheet1!$E$2:$E$6350,Prices!$U484,Sheet1!$F$2:$F$6350,Prices!$V484)</f>
        <v>208.5</v>
      </c>
      <c r="O484" s="5">
        <f>_xlfn.MINIFS(Sheet1!$B$2:$B$6350,Sheet1!$E$2:$E$6350,Prices!$U484,Sheet1!$F$2:$F$6350,Prices!$V484)</f>
        <v>190</v>
      </c>
      <c r="P484" s="5">
        <f>AVERAGEIFS(Sheet1!$B$2:$B$6350,Sheet1!$E$2:$E$6350,Prices!$U484,Sheet1!$F$2:$F$6350,Prices!$V484)</f>
        <v>199.53571428571428</v>
      </c>
      <c r="Q484" s="5">
        <f t="shared" ref="Q484:Q547" si="59">N484-P484</f>
        <v>8.9642857142857224</v>
      </c>
      <c r="R484" s="5">
        <f t="shared" ref="R484:R547" si="60">O484-P484</f>
        <v>-9.5357142857142776</v>
      </c>
      <c r="S484" s="5">
        <f t="shared" si="58"/>
        <v>3.646468933661458</v>
      </c>
      <c r="T484" s="5">
        <f t="shared" ref="T484:T547" si="61">S484-D484</f>
        <v>-1.8087691615766381</v>
      </c>
      <c r="U484" s="1">
        <f t="shared" si="54"/>
        <v>10</v>
      </c>
      <c r="V484" s="1">
        <f t="shared" si="55"/>
        <v>2010</v>
      </c>
      <c r="W484" s="5">
        <v>1.3899714285714286</v>
      </c>
    </row>
    <row r="485" spans="1:23" x14ac:dyDescent="0.25">
      <c r="A485" s="13">
        <v>40483</v>
      </c>
      <c r="B485" s="5">
        <v>6.05</v>
      </c>
      <c r="C485" s="5">
        <v>5.0620000000000003</v>
      </c>
      <c r="D485" s="5">
        <v>5.5221904761904765</v>
      </c>
      <c r="E485" s="5">
        <f t="shared" si="56"/>
        <v>0.52780952380952328</v>
      </c>
      <c r="F485" s="5">
        <f t="shared" si="57"/>
        <v>-0.46019047619047626</v>
      </c>
      <c r="G485" s="33">
        <v>5.33</v>
      </c>
      <c r="H485" s="5">
        <f t="shared" si="51"/>
        <v>-0.19219047619047647</v>
      </c>
      <c r="K485" s="15">
        <f t="shared" si="52"/>
        <v>9.5178571428571423</v>
      </c>
      <c r="L485" s="15"/>
      <c r="M485" s="13">
        <f t="shared" si="53"/>
        <v>40483</v>
      </c>
      <c r="N485" s="5">
        <f>_xlfn.MAXIFS(Sheet1!$B$2:$B$6350,Sheet1!$E$2:$E$6350,Prices!$U485,Sheet1!$F$2:$F$6350,Prices!$V485)</f>
        <v>212.75</v>
      </c>
      <c r="O485" s="5">
        <f>_xlfn.MINIFS(Sheet1!$B$2:$B$6350,Sheet1!$E$2:$E$6350,Prices!$U485,Sheet1!$F$2:$F$6350,Prices!$V485)</f>
        <v>197</v>
      </c>
      <c r="P485" s="5">
        <f>AVERAGEIFS(Sheet1!$B$2:$B$6350,Sheet1!$E$2:$E$6350,Prices!$U485,Sheet1!$F$2:$F$6350,Prices!$V485)</f>
        <v>205.95454545454547</v>
      </c>
      <c r="Q485" s="5">
        <f t="shared" si="59"/>
        <v>6.7954545454545325</v>
      </c>
      <c r="R485" s="5">
        <f t="shared" si="60"/>
        <v>-8.9545454545454675</v>
      </c>
      <c r="S485" s="5">
        <f t="shared" si="58"/>
        <v>3.8318911187981337</v>
      </c>
      <c r="T485" s="5">
        <f t="shared" si="61"/>
        <v>-1.6902993573923428</v>
      </c>
      <c r="U485" s="1">
        <f t="shared" si="54"/>
        <v>11</v>
      </c>
      <c r="V485" s="1">
        <f t="shared" si="55"/>
        <v>2010</v>
      </c>
      <c r="W485" s="5">
        <v>1.3652619047619048</v>
      </c>
    </row>
    <row r="486" spans="1:23" x14ac:dyDescent="0.25">
      <c r="A486" s="13">
        <v>40513</v>
      </c>
      <c r="B486" s="5">
        <v>6.3</v>
      </c>
      <c r="C486" s="5">
        <v>5.4249999999999998</v>
      </c>
      <c r="D486" s="5">
        <v>5.9199090909090915</v>
      </c>
      <c r="E486" s="5">
        <f t="shared" si="56"/>
        <v>0.38009090909090837</v>
      </c>
      <c r="F486" s="5">
        <f t="shared" si="57"/>
        <v>-0.49490909090909163</v>
      </c>
      <c r="G486" s="33">
        <v>5.65</v>
      </c>
      <c r="H486" s="5">
        <f t="shared" si="51"/>
        <v>-0.2699090909090911</v>
      </c>
      <c r="K486" s="15">
        <f t="shared" si="52"/>
        <v>10.089285714285715</v>
      </c>
      <c r="L486" s="15"/>
      <c r="M486" s="13">
        <f t="shared" si="53"/>
        <v>40513</v>
      </c>
      <c r="N486" s="5">
        <f>_xlfn.MAXIFS(Sheet1!$B$2:$B$6350,Sheet1!$E$2:$E$6350,Prices!$U486,Sheet1!$F$2:$F$6350,Prices!$V486)</f>
        <v>234.5</v>
      </c>
      <c r="O486" s="5">
        <f>_xlfn.MINIFS(Sheet1!$B$2:$B$6350,Sheet1!$E$2:$E$6350,Prices!$U486,Sheet1!$F$2:$F$6350,Prices!$V486)</f>
        <v>215.25</v>
      </c>
      <c r="P486" s="5">
        <f>AVERAGEIFS(Sheet1!$B$2:$B$6350,Sheet1!$E$2:$E$6350,Prices!$U486,Sheet1!$F$2:$F$6350,Prices!$V486)</f>
        <v>221.32608695652175</v>
      </c>
      <c r="Q486" s="5">
        <f t="shared" si="59"/>
        <v>13.173913043478251</v>
      </c>
      <c r="R486" s="5">
        <f t="shared" si="60"/>
        <v>-6.076086956521749</v>
      </c>
      <c r="S486" s="5">
        <f t="shared" si="58"/>
        <v>4.2482356868604683</v>
      </c>
      <c r="T486" s="5">
        <f t="shared" si="61"/>
        <v>-1.6716734040486232</v>
      </c>
      <c r="U486" s="1">
        <f t="shared" si="54"/>
        <v>12</v>
      </c>
      <c r="V486" s="1">
        <f t="shared" si="55"/>
        <v>2010</v>
      </c>
      <c r="W486" s="5">
        <v>1.3233714285714284</v>
      </c>
    </row>
    <row r="487" spans="1:23" x14ac:dyDescent="0.25">
      <c r="A487" s="13">
        <v>40544</v>
      </c>
      <c r="B487" s="16">
        <v>6.67</v>
      </c>
      <c r="C487" s="16">
        <v>5.95</v>
      </c>
      <c r="D487" s="16">
        <v>6.3521999999999998</v>
      </c>
      <c r="E487" s="5">
        <f t="shared" si="56"/>
        <v>0.31780000000000008</v>
      </c>
      <c r="F487" s="5">
        <f t="shared" si="57"/>
        <v>-0.40219999999999967</v>
      </c>
      <c r="G487" s="33">
        <v>6.1</v>
      </c>
      <c r="H487" s="5">
        <f t="shared" si="51"/>
        <v>-0.2522000000000002</v>
      </c>
      <c r="K487" s="15">
        <f t="shared" si="52"/>
        <v>10.892857142857142</v>
      </c>
      <c r="L487" s="15"/>
      <c r="M487" s="13">
        <f t="shared" si="53"/>
        <v>40544</v>
      </c>
      <c r="N487" s="5">
        <f>_xlfn.MAXIFS(Sheet1!$B$2:$B$6350,Sheet1!$E$2:$E$6350,Prices!$U487,Sheet1!$F$2:$F$6350,Prices!$V487)</f>
        <v>240.5</v>
      </c>
      <c r="O487" s="5">
        <f>_xlfn.MINIFS(Sheet1!$B$2:$B$6350,Sheet1!$E$2:$E$6350,Prices!$U487,Sheet1!$F$2:$F$6350,Prices!$V487)</f>
        <v>231</v>
      </c>
      <c r="P487" s="5">
        <f>AVERAGEIFS(Sheet1!$B$2:$B$6350,Sheet1!$E$2:$E$6350,Prices!$U487,Sheet1!$F$2:$F$6350,Prices!$V487)</f>
        <v>236</v>
      </c>
      <c r="Q487" s="5">
        <f t="shared" si="59"/>
        <v>4.5</v>
      </c>
      <c r="R487" s="5">
        <f t="shared" si="60"/>
        <v>-5</v>
      </c>
      <c r="S487" s="5">
        <f t="shared" si="58"/>
        <v>4.481813157443761</v>
      </c>
      <c r="T487" s="5">
        <f t="shared" si="61"/>
        <v>-1.8703868425562389</v>
      </c>
      <c r="U487" s="1">
        <f t="shared" si="54"/>
        <v>1</v>
      </c>
      <c r="V487" s="1">
        <f t="shared" si="55"/>
        <v>2011</v>
      </c>
      <c r="W487" s="5">
        <v>1.3375684210526315</v>
      </c>
    </row>
    <row r="488" spans="1:23" x14ac:dyDescent="0.25">
      <c r="A488" s="13">
        <v>40575</v>
      </c>
      <c r="B488" s="16">
        <v>7.242</v>
      </c>
      <c r="C488" s="16">
        <v>6.5570000000000004</v>
      </c>
      <c r="D488" s="16">
        <v>6.9042631578947375</v>
      </c>
      <c r="E488" s="5">
        <f t="shared" si="56"/>
        <v>0.33773684210526245</v>
      </c>
      <c r="F488" s="5">
        <f t="shared" si="57"/>
        <v>-0.34726315789473716</v>
      </c>
      <c r="G488" s="33">
        <v>6.69</v>
      </c>
      <c r="H488" s="5">
        <f t="shared" si="51"/>
        <v>-0.21426315789473716</v>
      </c>
      <c r="K488" s="15">
        <f t="shared" si="52"/>
        <v>11.946428571428571</v>
      </c>
      <c r="L488" s="15"/>
      <c r="M488" s="13">
        <f t="shared" si="53"/>
        <v>40575</v>
      </c>
      <c r="N488" s="5">
        <f>_xlfn.MAXIFS(Sheet1!$B$2:$B$6350,Sheet1!$E$2:$E$6350,Prices!$U488,Sheet1!$F$2:$F$6350,Prices!$V488)</f>
        <v>241.25</v>
      </c>
      <c r="O488" s="5">
        <f>_xlfn.MINIFS(Sheet1!$B$2:$B$6350,Sheet1!$E$2:$E$6350,Prices!$U488,Sheet1!$F$2:$F$6350,Prices!$V488)</f>
        <v>224</v>
      </c>
      <c r="P488" s="5">
        <f>AVERAGEIFS(Sheet1!$B$2:$B$6350,Sheet1!$E$2:$E$6350,Prices!$U488,Sheet1!$F$2:$F$6350,Prices!$V488)</f>
        <v>235.17500000000001</v>
      </c>
      <c r="Q488" s="5">
        <f t="shared" si="59"/>
        <v>6.0749999999999886</v>
      </c>
      <c r="R488" s="5">
        <f t="shared" si="60"/>
        <v>-11.175000000000011</v>
      </c>
      <c r="S488" s="5">
        <f t="shared" si="58"/>
        <v>4.3734413326685502</v>
      </c>
      <c r="T488" s="5">
        <f t="shared" si="61"/>
        <v>-2.5308218252261874</v>
      </c>
      <c r="U488" s="1">
        <f t="shared" si="54"/>
        <v>2</v>
      </c>
      <c r="V488" s="1">
        <f t="shared" si="55"/>
        <v>2011</v>
      </c>
      <c r="W488" s="5">
        <v>1.365921052631579</v>
      </c>
    </row>
    <row r="489" spans="1:23" x14ac:dyDescent="0.25">
      <c r="A489" s="13">
        <v>40603</v>
      </c>
      <c r="B489" s="16">
        <v>7.42</v>
      </c>
      <c r="C489" s="16">
        <v>6.08</v>
      </c>
      <c r="D489" s="16">
        <v>6.8636521739130441</v>
      </c>
      <c r="E489" s="5">
        <f t="shared" si="56"/>
        <v>0.55634782608695588</v>
      </c>
      <c r="F489" s="5">
        <f t="shared" si="57"/>
        <v>-0.78365217391304398</v>
      </c>
      <c r="G489" s="33">
        <v>6.59</v>
      </c>
      <c r="H489" s="5">
        <f t="shared" si="51"/>
        <v>-0.27365217391304419</v>
      </c>
      <c r="K489" s="15">
        <f t="shared" si="52"/>
        <v>11.767857142857142</v>
      </c>
      <c r="L489" s="15"/>
      <c r="M489" s="13">
        <f t="shared" si="53"/>
        <v>40603</v>
      </c>
      <c r="N489" s="5">
        <f>_xlfn.MAXIFS(Sheet1!$B$2:$B$6350,Sheet1!$E$2:$E$6350,Prices!$U489,Sheet1!$F$2:$F$6350,Prices!$V489)</f>
        <v>233</v>
      </c>
      <c r="O489" s="5">
        <f>_xlfn.MINIFS(Sheet1!$B$2:$B$6350,Sheet1!$E$2:$E$6350,Prices!$U489,Sheet1!$F$2:$F$6350,Prices!$V489)</f>
        <v>198.75</v>
      </c>
      <c r="P489" s="5">
        <f>AVERAGEIFS(Sheet1!$B$2:$B$6350,Sheet1!$E$2:$E$6350,Prices!$U489,Sheet1!$F$2:$F$6350,Prices!$V489)</f>
        <v>223.34782608695653</v>
      </c>
      <c r="Q489" s="5">
        <f t="shared" si="59"/>
        <v>9.6521739130434696</v>
      </c>
      <c r="R489" s="5">
        <f t="shared" si="60"/>
        <v>-24.59782608695653</v>
      </c>
      <c r="S489" s="5">
        <f t="shared" si="58"/>
        <v>4.047426949913941</v>
      </c>
      <c r="T489" s="5">
        <f t="shared" si="61"/>
        <v>-2.816225223999103</v>
      </c>
      <c r="U489" s="1">
        <f t="shared" si="54"/>
        <v>3</v>
      </c>
      <c r="V489" s="1">
        <f t="shared" si="55"/>
        <v>2011</v>
      </c>
      <c r="W489" s="5">
        <v>1.4017173913043481</v>
      </c>
    </row>
    <row r="490" spans="1:23" x14ac:dyDescent="0.25">
      <c r="A490" s="13">
        <v>40634</v>
      </c>
      <c r="B490" s="16">
        <v>7.8369999999999997</v>
      </c>
      <c r="C490" s="16">
        <v>7.1550000000000002</v>
      </c>
      <c r="D490" s="16">
        <v>7.5308000000000002</v>
      </c>
      <c r="E490" s="5">
        <f t="shared" si="56"/>
        <v>0.30619999999999958</v>
      </c>
      <c r="F490" s="5">
        <f t="shared" si="57"/>
        <v>-0.37579999999999991</v>
      </c>
      <c r="G490" s="33">
        <v>7.33</v>
      </c>
      <c r="H490" s="5">
        <f t="shared" si="51"/>
        <v>-0.20080000000000009</v>
      </c>
      <c r="K490" s="15">
        <f t="shared" si="52"/>
        <v>13.089285714285715</v>
      </c>
      <c r="L490" s="15"/>
      <c r="M490" s="13">
        <f t="shared" si="53"/>
        <v>40634</v>
      </c>
      <c r="N490" s="5">
        <f>_xlfn.MAXIFS(Sheet1!$B$2:$B$6350,Sheet1!$E$2:$E$6350,Prices!$U490,Sheet1!$F$2:$F$6350,Prices!$V490)</f>
        <v>241.25</v>
      </c>
      <c r="O490" s="5">
        <f>_xlfn.MINIFS(Sheet1!$B$2:$B$6350,Sheet1!$E$2:$E$6350,Prices!$U490,Sheet1!$F$2:$F$6350,Prices!$V490)</f>
        <v>231.75</v>
      </c>
      <c r="P490" s="5">
        <f>AVERAGEIFS(Sheet1!$B$2:$B$6350,Sheet1!$E$2:$E$6350,Prices!$U490,Sheet1!$F$2:$F$6350,Prices!$V490)</f>
        <v>237.31578947368422</v>
      </c>
      <c r="Q490" s="5">
        <f t="shared" si="59"/>
        <v>3.9342105263157805</v>
      </c>
      <c r="R490" s="5">
        <f t="shared" si="60"/>
        <v>-5.5657894736842195</v>
      </c>
      <c r="S490" s="5">
        <f t="shared" si="58"/>
        <v>4.1674216991485968</v>
      </c>
      <c r="T490" s="5">
        <f t="shared" si="61"/>
        <v>-3.3633783008514033</v>
      </c>
      <c r="U490" s="1">
        <f t="shared" si="54"/>
        <v>4</v>
      </c>
      <c r="V490" s="1">
        <f t="shared" si="55"/>
        <v>2011</v>
      </c>
      <c r="W490" s="5">
        <v>1.4464950000000001</v>
      </c>
    </row>
    <row r="491" spans="1:23" x14ac:dyDescent="0.25">
      <c r="A491" s="13">
        <v>40664</v>
      </c>
      <c r="B491" s="16">
        <v>7.75</v>
      </c>
      <c r="C491" s="16">
        <v>6.59</v>
      </c>
      <c r="D491" s="16">
        <v>7.2347619047619052</v>
      </c>
      <c r="E491" s="5">
        <f t="shared" si="56"/>
        <v>0.51523809523809483</v>
      </c>
      <c r="F491" s="5">
        <f t="shared" si="57"/>
        <v>-0.64476190476190531</v>
      </c>
      <c r="G491" s="33">
        <v>7.08</v>
      </c>
      <c r="H491" s="5">
        <f t="shared" si="51"/>
        <v>-0.1547619047619051</v>
      </c>
      <c r="K491" s="15">
        <f t="shared" si="52"/>
        <v>12.642857142857142</v>
      </c>
      <c r="L491" s="15"/>
      <c r="M491" s="13">
        <f t="shared" si="53"/>
        <v>40664</v>
      </c>
      <c r="N491" s="5">
        <f>_xlfn.MAXIFS(Sheet1!$B$2:$B$6350,Sheet1!$E$2:$E$6350,Prices!$U491,Sheet1!$F$2:$F$6350,Prices!$V491)</f>
        <v>247.25</v>
      </c>
      <c r="O491" s="5">
        <f>_xlfn.MINIFS(Sheet1!$B$2:$B$6350,Sheet1!$E$2:$E$6350,Prices!$U491,Sheet1!$F$2:$F$6350,Prices!$V491)</f>
        <v>229.75</v>
      </c>
      <c r="P491" s="5">
        <f>AVERAGEIFS(Sheet1!$B$2:$B$6350,Sheet1!$E$2:$E$6350,Prices!$U491,Sheet1!$F$2:$F$6350,Prices!$V491)</f>
        <v>236.48863636363637</v>
      </c>
      <c r="Q491" s="5">
        <f t="shared" si="59"/>
        <v>10.761363636363626</v>
      </c>
      <c r="R491" s="5">
        <f t="shared" si="60"/>
        <v>-6.738636363636374</v>
      </c>
      <c r="S491" s="5">
        <f t="shared" si="58"/>
        <v>4.1933989222636772</v>
      </c>
      <c r="T491" s="5">
        <f t="shared" si="61"/>
        <v>-3.041362982498228</v>
      </c>
      <c r="U491" s="1">
        <f t="shared" si="54"/>
        <v>5</v>
      </c>
      <c r="V491" s="1">
        <f t="shared" si="55"/>
        <v>2011</v>
      </c>
      <c r="W491" s="5">
        <v>1.4325238095238093</v>
      </c>
    </row>
    <row r="492" spans="1:23" x14ac:dyDescent="0.25">
      <c r="A492" s="13">
        <v>40695</v>
      </c>
      <c r="B492" s="16">
        <v>7.9969999999999999</v>
      </c>
      <c r="C492" s="16">
        <v>6.15</v>
      </c>
      <c r="D492" s="16">
        <v>7.2073181818181817</v>
      </c>
      <c r="E492" s="5">
        <f t="shared" si="56"/>
        <v>0.78968181818181815</v>
      </c>
      <c r="F492" s="5">
        <f t="shared" si="57"/>
        <v>-1.0573181818181814</v>
      </c>
      <c r="G492" s="33">
        <v>7.17</v>
      </c>
      <c r="H492" s="5">
        <f t="shared" si="51"/>
        <v>-3.7318181818181806E-2</v>
      </c>
      <c r="K492" s="15">
        <f t="shared" si="52"/>
        <v>12.803571428571429</v>
      </c>
      <c r="L492" s="15"/>
      <c r="M492" s="13">
        <f t="shared" si="53"/>
        <v>40695</v>
      </c>
      <c r="N492" s="5">
        <f>_xlfn.MAXIFS(Sheet1!$B$2:$B$6350,Sheet1!$E$2:$E$6350,Prices!$U492,Sheet1!$F$2:$F$6350,Prices!$V492)</f>
        <v>249</v>
      </c>
      <c r="O492" s="5">
        <f>_xlfn.MINIFS(Sheet1!$B$2:$B$6350,Sheet1!$E$2:$E$6350,Prices!$U492,Sheet1!$F$2:$F$6350,Prices!$V492)</f>
        <v>229</v>
      </c>
      <c r="P492" s="5">
        <f>AVERAGEIFS(Sheet1!$B$2:$B$6350,Sheet1!$E$2:$E$6350,Prices!$U492,Sheet1!$F$2:$F$6350,Prices!$V492)</f>
        <v>240</v>
      </c>
      <c r="Q492" s="5">
        <f t="shared" si="59"/>
        <v>9</v>
      </c>
      <c r="R492" s="5">
        <f t="shared" si="60"/>
        <v>-11</v>
      </c>
      <c r="S492" s="5">
        <f t="shared" si="58"/>
        <v>4.2339952952578166</v>
      </c>
      <c r="T492" s="5">
        <f t="shared" si="61"/>
        <v>-2.9733228865603651</v>
      </c>
      <c r="U492" s="1">
        <f t="shared" si="54"/>
        <v>6</v>
      </c>
      <c r="V492" s="1">
        <f t="shared" si="55"/>
        <v>2011</v>
      </c>
      <c r="W492" s="5">
        <v>1.4398545454545457</v>
      </c>
    </row>
    <row r="493" spans="1:23" x14ac:dyDescent="0.25">
      <c r="A493" s="13">
        <v>40725</v>
      </c>
      <c r="B493" s="16">
        <v>7.2350000000000003</v>
      </c>
      <c r="C493" s="16">
        <v>6.03</v>
      </c>
      <c r="D493" s="16">
        <v>6.6813500000000001</v>
      </c>
      <c r="E493" s="5">
        <f t="shared" si="56"/>
        <v>0.5536500000000002</v>
      </c>
      <c r="F493" s="5">
        <f t="shared" si="57"/>
        <v>-0.65134999999999987</v>
      </c>
      <c r="G493" s="33">
        <v>6.96</v>
      </c>
      <c r="H493" s="5">
        <f t="shared" si="51"/>
        <v>0.27864999999999984</v>
      </c>
      <c r="K493" s="15">
        <f t="shared" si="52"/>
        <v>12.428571428571429</v>
      </c>
      <c r="L493" s="15"/>
      <c r="M493" s="13">
        <f t="shared" si="53"/>
        <v>40725</v>
      </c>
      <c r="N493" s="5">
        <f>_xlfn.MAXIFS(Sheet1!$B$2:$B$6350,Sheet1!$E$2:$E$6350,Prices!$U493,Sheet1!$F$2:$F$6350,Prices!$V493)</f>
        <v>239.75</v>
      </c>
      <c r="O493" s="5">
        <f>_xlfn.MINIFS(Sheet1!$B$2:$B$6350,Sheet1!$E$2:$E$6350,Prices!$U493,Sheet1!$F$2:$F$6350,Prices!$V493)</f>
        <v>231.75</v>
      </c>
      <c r="P493" s="5">
        <f>AVERAGEIFS(Sheet1!$B$2:$B$6350,Sheet1!$E$2:$E$6350,Prices!$U493,Sheet1!$F$2:$F$6350,Prices!$V493)</f>
        <v>237.4404761904762</v>
      </c>
      <c r="Q493" s="5">
        <f t="shared" si="59"/>
        <v>2.309523809523796</v>
      </c>
      <c r="R493" s="5">
        <f t="shared" si="60"/>
        <v>-5.690476190476204</v>
      </c>
      <c r="S493" s="5">
        <f t="shared" si="58"/>
        <v>4.2236147539147781</v>
      </c>
      <c r="T493" s="5">
        <f t="shared" si="61"/>
        <v>-2.457735246085222</v>
      </c>
      <c r="U493" s="1">
        <f t="shared" si="54"/>
        <v>7</v>
      </c>
      <c r="V493" s="1">
        <f t="shared" si="55"/>
        <v>2011</v>
      </c>
      <c r="W493" s="5">
        <v>1.4280000000000002</v>
      </c>
    </row>
    <row r="494" spans="1:23" x14ac:dyDescent="0.25">
      <c r="A494" s="13">
        <v>40756</v>
      </c>
      <c r="B494" s="16">
        <v>7.6550000000000002</v>
      </c>
      <c r="C494" s="16">
        <v>6.585</v>
      </c>
      <c r="D494" s="16">
        <v>7.1337826086956531</v>
      </c>
      <c r="E494" s="5">
        <f t="shared" si="56"/>
        <v>0.52121739130434719</v>
      </c>
      <c r="F494" s="5">
        <f t="shared" si="57"/>
        <v>-0.5487826086956531</v>
      </c>
      <c r="G494" s="33">
        <v>7.3</v>
      </c>
      <c r="H494" s="5">
        <f t="shared" si="51"/>
        <v>0.16621739130434676</v>
      </c>
      <c r="K494" s="15">
        <f t="shared" si="52"/>
        <v>13.035714285714286</v>
      </c>
      <c r="L494" s="15"/>
      <c r="M494" s="13">
        <f t="shared" si="53"/>
        <v>40756</v>
      </c>
      <c r="N494" s="5">
        <f>_xlfn.MAXIFS(Sheet1!$B$2:$B$6350,Sheet1!$E$2:$E$6350,Prices!$U494,Sheet1!$F$2:$F$6350,Prices!$V494)</f>
        <v>241</v>
      </c>
      <c r="O494" s="5">
        <f>_xlfn.MINIFS(Sheet1!$B$2:$B$6350,Sheet1!$E$2:$E$6350,Prices!$U494,Sheet1!$F$2:$F$6350,Prices!$V494)</f>
        <v>199.5</v>
      </c>
      <c r="P494" s="5">
        <f>AVERAGEIFS(Sheet1!$B$2:$B$6350,Sheet1!$E$2:$E$6350,Prices!$U494,Sheet1!$F$2:$F$6350,Prices!$V494)</f>
        <v>215.2391304347826</v>
      </c>
      <c r="Q494" s="5">
        <f t="shared" si="59"/>
        <v>25.760869565217405</v>
      </c>
      <c r="R494" s="5">
        <f t="shared" si="60"/>
        <v>-15.739130434782595</v>
      </c>
      <c r="S494" s="5">
        <f t="shared" si="58"/>
        <v>3.8132881393871512</v>
      </c>
      <c r="T494" s="5">
        <f t="shared" si="61"/>
        <v>-3.3204944693085019</v>
      </c>
      <c r="U494" s="1">
        <f t="shared" si="54"/>
        <v>8</v>
      </c>
      <c r="V494" s="1">
        <f t="shared" si="55"/>
        <v>2011</v>
      </c>
      <c r="W494" s="5">
        <v>1.4337695652173914</v>
      </c>
    </row>
    <row r="495" spans="1:23" x14ac:dyDescent="0.25">
      <c r="A495" s="13">
        <v>40787</v>
      </c>
      <c r="B495" s="16">
        <v>7.6749999999999998</v>
      </c>
      <c r="C495" s="16">
        <v>5.9249999999999998</v>
      </c>
      <c r="D495" s="16">
        <v>6.9385238095238098</v>
      </c>
      <c r="E495" s="5">
        <f t="shared" si="56"/>
        <v>0.73647619047619006</v>
      </c>
      <c r="F495" s="5">
        <f t="shared" si="57"/>
        <v>-1.0135238095238099</v>
      </c>
      <c r="G495" s="33">
        <v>6.77</v>
      </c>
      <c r="H495" s="5">
        <f t="shared" si="51"/>
        <v>-0.16852380952381019</v>
      </c>
      <c r="K495" s="15">
        <f t="shared" si="52"/>
        <v>12.089285714285714</v>
      </c>
      <c r="L495" s="15"/>
      <c r="M495" s="13">
        <f t="shared" si="53"/>
        <v>40787</v>
      </c>
      <c r="N495" s="5">
        <f>_xlfn.MAXIFS(Sheet1!$B$2:$B$6350,Sheet1!$E$2:$E$6350,Prices!$U495,Sheet1!$F$2:$F$6350,Prices!$V495)</f>
        <v>213.25</v>
      </c>
      <c r="O495" s="5">
        <f>_xlfn.MINIFS(Sheet1!$B$2:$B$6350,Sheet1!$E$2:$E$6350,Prices!$U495,Sheet1!$F$2:$F$6350,Prices!$V495)</f>
        <v>187.25</v>
      </c>
      <c r="P495" s="5">
        <f>AVERAGEIFS(Sheet1!$B$2:$B$6350,Sheet1!$E$2:$E$6350,Prices!$U495,Sheet1!$F$2:$F$6350,Prices!$V495)</f>
        <v>204.67045454545453</v>
      </c>
      <c r="Q495" s="5">
        <f t="shared" si="59"/>
        <v>8.5795454545454675</v>
      </c>
      <c r="R495" s="5">
        <f t="shared" si="60"/>
        <v>-17.420454545454533</v>
      </c>
      <c r="S495" s="5">
        <f t="shared" si="58"/>
        <v>3.7854881011144719</v>
      </c>
      <c r="T495" s="5">
        <f t="shared" si="61"/>
        <v>-3.1530357084093379</v>
      </c>
      <c r="U495" s="1">
        <f t="shared" si="54"/>
        <v>9</v>
      </c>
      <c r="V495" s="1">
        <f t="shared" si="55"/>
        <v>2011</v>
      </c>
      <c r="W495" s="5">
        <v>1.3733809523809524</v>
      </c>
    </row>
    <row r="496" spans="1:23" x14ac:dyDescent="0.25">
      <c r="A496" s="13">
        <v>40817</v>
      </c>
      <c r="B496" s="16">
        <v>6.6550000000000002</v>
      </c>
      <c r="C496" s="16">
        <v>5.7220000000000004</v>
      </c>
      <c r="D496" s="16">
        <v>6.3210476190476186</v>
      </c>
      <c r="E496" s="5">
        <f t="shared" si="56"/>
        <v>0.33395238095238167</v>
      </c>
      <c r="F496" s="5">
        <f t="shared" si="57"/>
        <v>-0.59904761904761816</v>
      </c>
      <c r="G496" s="33">
        <v>6.23</v>
      </c>
      <c r="H496" s="5">
        <f t="shared" si="51"/>
        <v>-9.1047619047618156E-2</v>
      </c>
      <c r="K496" s="15">
        <f t="shared" si="52"/>
        <v>11.125</v>
      </c>
      <c r="L496" s="15"/>
      <c r="M496" s="13">
        <f t="shared" si="53"/>
        <v>40817</v>
      </c>
      <c r="N496" s="5">
        <f>_xlfn.MAXIFS(Sheet1!$B$2:$B$6350,Sheet1!$E$2:$E$6350,Prices!$U496,Sheet1!$F$2:$F$6350,Prices!$V496)</f>
        <v>191.75</v>
      </c>
      <c r="O496" s="5">
        <f>_xlfn.MINIFS(Sheet1!$B$2:$B$6350,Sheet1!$E$2:$E$6350,Prices!$U496,Sheet1!$F$2:$F$6350,Prices!$V496)</f>
        <v>183</v>
      </c>
      <c r="P496" s="5">
        <f>AVERAGEIFS(Sheet1!$B$2:$B$6350,Sheet1!$E$2:$E$6350,Prices!$U496,Sheet1!$F$2:$F$6350,Prices!$V496)</f>
        <v>186.85714285714286</v>
      </c>
      <c r="Q496" s="5">
        <f t="shared" si="59"/>
        <v>4.8928571428571388</v>
      </c>
      <c r="R496" s="5">
        <f t="shared" si="60"/>
        <v>-3.8571428571428612</v>
      </c>
      <c r="S496" s="5">
        <f t="shared" si="58"/>
        <v>3.4585397647786467</v>
      </c>
      <c r="T496" s="5">
        <f t="shared" si="61"/>
        <v>-2.8625078542689719</v>
      </c>
      <c r="U496" s="1">
        <f t="shared" si="54"/>
        <v>10</v>
      </c>
      <c r="V496" s="1">
        <f t="shared" si="55"/>
        <v>2011</v>
      </c>
      <c r="W496" s="5">
        <v>1.3723809523809525</v>
      </c>
    </row>
    <row r="497" spans="1:23" x14ac:dyDescent="0.25">
      <c r="A497" s="13">
        <v>40848</v>
      </c>
      <c r="B497" s="16">
        <v>6.66</v>
      </c>
      <c r="C497" s="16">
        <v>5.8049999999999997</v>
      </c>
      <c r="D497" s="16">
        <v>6.2701428571428579</v>
      </c>
      <c r="E497" s="5">
        <f t="shared" si="56"/>
        <v>0.38985714285714224</v>
      </c>
      <c r="F497" s="5">
        <f t="shared" si="57"/>
        <v>-0.46514285714285819</v>
      </c>
      <c r="G497" s="33">
        <v>6.26</v>
      </c>
      <c r="H497" s="5">
        <f t="shared" si="51"/>
        <v>-1.0142857142858119E-2</v>
      </c>
      <c r="K497" s="15">
        <f t="shared" si="52"/>
        <v>11.178571428571429</v>
      </c>
      <c r="L497" s="15"/>
      <c r="M497" s="13">
        <f t="shared" si="53"/>
        <v>40848</v>
      </c>
      <c r="N497" s="5">
        <f>_xlfn.MAXIFS(Sheet1!$B$2:$B$6350,Sheet1!$E$2:$E$6350,Prices!$U497,Sheet1!$F$2:$F$6350,Prices!$V497)</f>
        <v>193.5</v>
      </c>
      <c r="O497" s="5">
        <f>_xlfn.MINIFS(Sheet1!$B$2:$B$6350,Sheet1!$E$2:$E$6350,Prices!$U497,Sheet1!$F$2:$F$6350,Prices!$V497)</f>
        <v>175.25</v>
      </c>
      <c r="P497" s="5">
        <f>AVERAGEIFS(Sheet1!$B$2:$B$6350,Sheet1!$E$2:$E$6350,Prices!$U497,Sheet1!$F$2:$F$6350,Prices!$V497)</f>
        <v>184.96590909090909</v>
      </c>
      <c r="Q497" s="5">
        <f t="shared" si="59"/>
        <v>8.5340909090909065</v>
      </c>
      <c r="R497" s="5">
        <f t="shared" si="60"/>
        <v>-9.7159090909090935</v>
      </c>
      <c r="S497" s="5">
        <f t="shared" si="58"/>
        <v>3.4645152445410967</v>
      </c>
      <c r="T497" s="5">
        <f t="shared" si="61"/>
        <v>-2.8056276126017612</v>
      </c>
      <c r="U497" s="1">
        <f t="shared" si="54"/>
        <v>11</v>
      </c>
      <c r="V497" s="1">
        <f t="shared" si="55"/>
        <v>2011</v>
      </c>
      <c r="W497" s="5">
        <v>1.3561476190476189</v>
      </c>
    </row>
    <row r="498" spans="1:23" x14ac:dyDescent="0.25">
      <c r="A498" s="13">
        <v>40878</v>
      </c>
      <c r="B498" s="16">
        <v>6.4850000000000003</v>
      </c>
      <c r="C498" s="16">
        <v>5.7619999999999996</v>
      </c>
      <c r="D498" s="16">
        <v>6.0591428571428576</v>
      </c>
      <c r="E498" s="5">
        <f t="shared" si="56"/>
        <v>0.42585714285714271</v>
      </c>
      <c r="F498" s="5">
        <f t="shared" si="57"/>
        <v>-0.29714285714285804</v>
      </c>
      <c r="G498" s="33">
        <v>5.96</v>
      </c>
      <c r="H498" s="5">
        <f t="shared" si="51"/>
        <v>-9.9142857142857643E-2</v>
      </c>
      <c r="K498" s="15">
        <f t="shared" si="52"/>
        <v>10.642857142857142</v>
      </c>
      <c r="L498" s="15"/>
      <c r="M498" s="13">
        <f t="shared" si="53"/>
        <v>40878</v>
      </c>
      <c r="N498" s="5">
        <f>_xlfn.MAXIFS(Sheet1!$B$2:$B$6350,Sheet1!$E$2:$E$6350,Prices!$U498,Sheet1!$F$2:$F$6350,Prices!$V498)</f>
        <v>197.25</v>
      </c>
      <c r="O498" s="5">
        <f>_xlfn.MINIFS(Sheet1!$B$2:$B$6350,Sheet1!$E$2:$E$6350,Prices!$U498,Sheet1!$F$2:$F$6350,Prices!$V498)</f>
        <v>182</v>
      </c>
      <c r="P498" s="5">
        <f>AVERAGEIFS(Sheet1!$B$2:$B$6350,Sheet1!$E$2:$E$6350,Prices!$U498,Sheet1!$F$2:$F$6350,Prices!$V498)</f>
        <v>187</v>
      </c>
      <c r="Q498" s="5">
        <f t="shared" si="59"/>
        <v>10.25</v>
      </c>
      <c r="R498" s="5">
        <f t="shared" si="60"/>
        <v>-5</v>
      </c>
      <c r="S498" s="5">
        <f t="shared" si="58"/>
        <v>3.6121758676553206</v>
      </c>
      <c r="T498" s="5">
        <f t="shared" si="61"/>
        <v>-2.446966989487537</v>
      </c>
      <c r="U498" s="1">
        <f t="shared" si="54"/>
        <v>12</v>
      </c>
      <c r="V498" s="1">
        <f t="shared" si="55"/>
        <v>2011</v>
      </c>
      <c r="W498" s="5">
        <v>1.3150142857142857</v>
      </c>
    </row>
    <row r="499" spans="1:23" x14ac:dyDescent="0.25">
      <c r="A499" s="13">
        <v>40909</v>
      </c>
      <c r="B499" s="16">
        <v>6.6425000000000001</v>
      </c>
      <c r="C499" s="16">
        <v>5.9249999999999998</v>
      </c>
      <c r="D499" s="16">
        <v>6.3086250000000001</v>
      </c>
      <c r="E499" s="5">
        <f t="shared" si="56"/>
        <v>0.33387499999999992</v>
      </c>
      <c r="F499" s="5">
        <f t="shared" si="57"/>
        <v>-0.38362500000000033</v>
      </c>
      <c r="G499" s="33">
        <v>6.25</v>
      </c>
      <c r="H499" s="5">
        <f t="shared" ref="H499:H562" si="62">G499-D499</f>
        <v>-5.8625000000000149E-2</v>
      </c>
      <c r="K499" s="15">
        <f t="shared" si="52"/>
        <v>11.160714285714286</v>
      </c>
      <c r="L499" s="15"/>
      <c r="M499" s="13">
        <f t="shared" si="53"/>
        <v>40909</v>
      </c>
      <c r="N499" s="5">
        <f>_xlfn.MAXIFS(Sheet1!$B$2:$B$6350,Sheet1!$E$2:$E$6350,Prices!$U499,Sheet1!$F$2:$F$6350,Prices!$V499)</f>
        <v>207.75</v>
      </c>
      <c r="O499" s="5">
        <f>_xlfn.MINIFS(Sheet1!$B$2:$B$6350,Sheet1!$E$2:$E$6350,Prices!$U499,Sheet1!$F$2:$F$6350,Prices!$V499)</f>
        <v>198.5</v>
      </c>
      <c r="P499" s="5">
        <f>AVERAGEIFS(Sheet1!$B$2:$B$6350,Sheet1!$E$2:$E$6350,Prices!$U499,Sheet1!$F$2:$F$6350,Prices!$V499)</f>
        <v>202.36363636363637</v>
      </c>
      <c r="Q499" s="5">
        <f t="shared" si="59"/>
        <v>5.386363636363626</v>
      </c>
      <c r="R499" s="5">
        <f t="shared" si="60"/>
        <v>-3.863636363636374</v>
      </c>
      <c r="S499" s="5">
        <f t="shared" si="58"/>
        <v>3.9745449560625636</v>
      </c>
      <c r="T499" s="5">
        <f t="shared" si="61"/>
        <v>-2.3340800439374365</v>
      </c>
      <c r="U499" s="1">
        <f t="shared" si="54"/>
        <v>1</v>
      </c>
      <c r="V499" s="1">
        <f t="shared" si="55"/>
        <v>2012</v>
      </c>
      <c r="W499" s="5">
        <v>1.2933105263157894</v>
      </c>
    </row>
    <row r="500" spans="1:23" x14ac:dyDescent="0.25">
      <c r="A500" s="13">
        <v>40940</v>
      </c>
      <c r="B500" s="16">
        <v>6.59</v>
      </c>
      <c r="C500" s="16">
        <v>6.2175000000000002</v>
      </c>
      <c r="D500" s="16">
        <v>6.4038749999999993</v>
      </c>
      <c r="E500" s="5">
        <f t="shared" si="56"/>
        <v>0.18612500000000054</v>
      </c>
      <c r="F500" s="5">
        <f t="shared" si="57"/>
        <v>-0.18637499999999907</v>
      </c>
      <c r="G500" s="33">
        <v>6.41</v>
      </c>
      <c r="H500" s="5">
        <f t="shared" si="62"/>
        <v>6.1250000000008242E-3</v>
      </c>
      <c r="K500" s="15">
        <f t="shared" si="52"/>
        <v>11.446428571428571</v>
      </c>
      <c r="L500" s="15"/>
      <c r="M500" s="13">
        <f t="shared" si="53"/>
        <v>40940</v>
      </c>
      <c r="N500" s="5">
        <f>_xlfn.MAXIFS(Sheet1!$B$2:$B$6350,Sheet1!$E$2:$E$6350,Prices!$U500,Sheet1!$F$2:$F$6350,Prices!$V500)</f>
        <v>210</v>
      </c>
      <c r="O500" s="5">
        <f>_xlfn.MINIFS(Sheet1!$B$2:$B$6350,Sheet1!$E$2:$E$6350,Prices!$U500,Sheet1!$F$2:$F$6350,Prices!$V500)</f>
        <v>202.75</v>
      </c>
      <c r="P500" s="5">
        <f>AVERAGEIFS(Sheet1!$B$2:$B$6350,Sheet1!$E$2:$E$6350,Prices!$U500,Sheet1!$F$2:$F$6350,Prices!$V500)</f>
        <v>206.47619047619048</v>
      </c>
      <c r="Q500" s="5">
        <f t="shared" si="59"/>
        <v>3.5238095238095184</v>
      </c>
      <c r="R500" s="5">
        <f t="shared" si="60"/>
        <v>-3.7261904761904816</v>
      </c>
      <c r="S500" s="5">
        <f t="shared" si="58"/>
        <v>3.9625454140058114</v>
      </c>
      <c r="T500" s="5">
        <f t="shared" si="61"/>
        <v>-2.4413295859941879</v>
      </c>
      <c r="U500" s="1">
        <f t="shared" si="54"/>
        <v>2</v>
      </c>
      <c r="V500" s="1">
        <f t="shared" si="55"/>
        <v>2012</v>
      </c>
      <c r="W500" s="5">
        <v>1.32359</v>
      </c>
    </row>
    <row r="501" spans="1:23" x14ac:dyDescent="0.25">
      <c r="A501" s="13">
        <v>40969</v>
      </c>
      <c r="B501" s="16">
        <v>6.7575000000000003</v>
      </c>
      <c r="C501" s="16">
        <v>6.03</v>
      </c>
      <c r="D501" s="16">
        <v>6.4764772727272719</v>
      </c>
      <c r="E501" s="5">
        <f t="shared" si="56"/>
        <v>0.28102272727272837</v>
      </c>
      <c r="F501" s="5">
        <f t="shared" si="57"/>
        <v>-0.44647727272727167</v>
      </c>
      <c r="G501" s="33">
        <v>6.46</v>
      </c>
      <c r="H501" s="5">
        <f t="shared" si="62"/>
        <v>-1.6477272727271952E-2</v>
      </c>
      <c r="K501" s="15">
        <f t="shared" si="52"/>
        <v>11.535714285714285</v>
      </c>
      <c r="L501" s="15"/>
      <c r="M501" s="13">
        <f t="shared" si="53"/>
        <v>40969</v>
      </c>
      <c r="N501" s="5">
        <f>_xlfn.MAXIFS(Sheet1!$B$2:$B$6350,Sheet1!$E$2:$E$6350,Prices!$U501,Sheet1!$F$2:$F$6350,Prices!$V501)</f>
        <v>214.75</v>
      </c>
      <c r="O501" s="5">
        <f>_xlfn.MINIFS(Sheet1!$B$2:$B$6350,Sheet1!$E$2:$E$6350,Prices!$U501,Sheet1!$F$2:$F$6350,Prices!$V501)</f>
        <v>205.25</v>
      </c>
      <c r="P501" s="5">
        <f>AVERAGEIFS(Sheet1!$B$2:$B$6350,Sheet1!$E$2:$E$6350,Prices!$U501,Sheet1!$F$2:$F$6350,Prices!$V501)</f>
        <v>210.5</v>
      </c>
      <c r="Q501" s="5">
        <f t="shared" si="59"/>
        <v>4.25</v>
      </c>
      <c r="R501" s="5">
        <f t="shared" si="60"/>
        <v>-5.25</v>
      </c>
      <c r="S501" s="5">
        <f t="shared" si="58"/>
        <v>4.047033542183037</v>
      </c>
      <c r="T501" s="5">
        <f t="shared" si="61"/>
        <v>-2.4294437305442349</v>
      </c>
      <c r="U501" s="1">
        <f t="shared" si="54"/>
        <v>3</v>
      </c>
      <c r="V501" s="1">
        <f t="shared" si="55"/>
        <v>2012</v>
      </c>
      <c r="W501" s="5">
        <v>1.3212136363636364</v>
      </c>
    </row>
    <row r="502" spans="1:23" x14ac:dyDescent="0.25">
      <c r="A502" s="13">
        <v>41000</v>
      </c>
      <c r="B502" s="16">
        <v>6.6574999999999998</v>
      </c>
      <c r="C502" s="16">
        <v>5.9950000000000001</v>
      </c>
      <c r="D502" s="16">
        <v>6.3395000000000001</v>
      </c>
      <c r="E502" s="5">
        <f t="shared" si="56"/>
        <v>0.31799999999999962</v>
      </c>
      <c r="F502" s="5">
        <f t="shared" si="57"/>
        <v>-0.34450000000000003</v>
      </c>
      <c r="G502" s="33">
        <v>6.34</v>
      </c>
      <c r="H502" s="5">
        <f t="shared" si="62"/>
        <v>4.9999999999972289E-4</v>
      </c>
      <c r="K502" s="15">
        <f t="shared" si="52"/>
        <v>11.321428571428571</v>
      </c>
      <c r="L502" s="15"/>
      <c r="M502" s="13">
        <f t="shared" si="53"/>
        <v>41000</v>
      </c>
      <c r="N502" s="5">
        <f>_xlfn.MAXIFS(Sheet1!$B$2:$B$6350,Sheet1!$E$2:$E$6350,Prices!$U502,Sheet1!$F$2:$F$6350,Prices!$V502)</f>
        <v>217.25</v>
      </c>
      <c r="O502" s="5">
        <f>_xlfn.MINIFS(Sheet1!$B$2:$B$6350,Sheet1!$E$2:$E$6350,Prices!$U502,Sheet1!$F$2:$F$6350,Prices!$V502)</f>
        <v>213.5</v>
      </c>
      <c r="P502" s="5">
        <f>AVERAGEIFS(Sheet1!$B$2:$B$6350,Sheet1!$E$2:$E$6350,Prices!$U502,Sheet1!$F$2:$F$6350,Prices!$V502)</f>
        <v>215.40789473684211</v>
      </c>
      <c r="Q502" s="5">
        <f t="shared" si="59"/>
        <v>1.8421052631578902</v>
      </c>
      <c r="R502" s="5">
        <f t="shared" si="60"/>
        <v>-1.9078947368421098</v>
      </c>
      <c r="S502" s="5">
        <f t="shared" si="58"/>
        <v>4.1560145744147627</v>
      </c>
      <c r="T502" s="5">
        <f t="shared" si="61"/>
        <v>-2.1834854255852374</v>
      </c>
      <c r="U502" s="1">
        <f t="shared" si="54"/>
        <v>4</v>
      </c>
      <c r="V502" s="1">
        <f t="shared" si="55"/>
        <v>2012</v>
      </c>
      <c r="W502" s="5">
        <v>1.3165649999999998</v>
      </c>
    </row>
    <row r="503" spans="1:23" x14ac:dyDescent="0.25">
      <c r="A503" s="13">
        <v>41030</v>
      </c>
      <c r="B503" s="16">
        <v>6.4450000000000003</v>
      </c>
      <c r="C503" s="16">
        <v>5.5350000000000001</v>
      </c>
      <c r="D503" s="16">
        <v>6.0112500000000004</v>
      </c>
      <c r="E503" s="5">
        <f t="shared" si="56"/>
        <v>0.43374999999999986</v>
      </c>
      <c r="F503" s="5">
        <f t="shared" si="57"/>
        <v>-0.47625000000000028</v>
      </c>
      <c r="G503" s="33">
        <v>6.27</v>
      </c>
      <c r="H503" s="5">
        <f t="shared" si="62"/>
        <v>0.25874999999999915</v>
      </c>
      <c r="K503" s="15">
        <f t="shared" si="52"/>
        <v>11.196428571428571</v>
      </c>
      <c r="L503" s="15"/>
      <c r="M503" s="13">
        <f t="shared" si="53"/>
        <v>41030</v>
      </c>
      <c r="N503" s="5">
        <f>_xlfn.MAXIFS(Sheet1!$B$2:$B$6350,Sheet1!$E$2:$E$6350,Prices!$U503,Sheet1!$F$2:$F$6350,Prices!$V503)</f>
        <v>215.5</v>
      </c>
      <c r="O503" s="5">
        <f>_xlfn.MINIFS(Sheet1!$B$2:$B$6350,Sheet1!$E$2:$E$6350,Prices!$U503,Sheet1!$F$2:$F$6350,Prices!$V503)</f>
        <v>207.25</v>
      </c>
      <c r="P503" s="5">
        <f>AVERAGEIFS(Sheet1!$B$2:$B$6350,Sheet1!$E$2:$E$6350,Prices!$U503,Sheet1!$F$2:$F$6350,Prices!$V503)</f>
        <v>210.90909090909091</v>
      </c>
      <c r="Q503" s="5">
        <f t="shared" si="59"/>
        <v>4.5909090909090935</v>
      </c>
      <c r="R503" s="5">
        <f t="shared" si="60"/>
        <v>-3.6590909090909065</v>
      </c>
      <c r="S503" s="5">
        <f t="shared" si="58"/>
        <v>4.1861427119485368</v>
      </c>
      <c r="T503" s="5">
        <f t="shared" si="61"/>
        <v>-1.8251072880514636</v>
      </c>
      <c r="U503" s="1">
        <f t="shared" si="54"/>
        <v>5</v>
      </c>
      <c r="V503" s="1">
        <f t="shared" si="55"/>
        <v>2012</v>
      </c>
      <c r="W503" s="5">
        <v>1.279790909090909</v>
      </c>
    </row>
    <row r="504" spans="1:23" x14ac:dyDescent="0.25">
      <c r="A504" s="13">
        <v>41061</v>
      </c>
      <c r="B504" s="16">
        <v>6.7625000000000002</v>
      </c>
      <c r="C504" s="16">
        <v>5.51</v>
      </c>
      <c r="D504" s="16">
        <v>6.0319047619047623</v>
      </c>
      <c r="E504" s="5">
        <f t="shared" si="56"/>
        <v>0.73059523809523785</v>
      </c>
      <c r="F504" s="5">
        <f t="shared" si="57"/>
        <v>-0.52190476190476254</v>
      </c>
      <c r="G504" s="33">
        <v>6.3</v>
      </c>
      <c r="H504" s="5">
        <f t="shared" si="62"/>
        <v>0.2680952380952375</v>
      </c>
      <c r="K504" s="15">
        <f t="shared" si="52"/>
        <v>11.25</v>
      </c>
      <c r="L504" s="15"/>
      <c r="M504" s="13">
        <f t="shared" si="53"/>
        <v>41061</v>
      </c>
      <c r="N504" s="5">
        <f>_xlfn.MAXIFS(Sheet1!$B$2:$B$6350,Sheet1!$E$2:$E$6350,Prices!$U504,Sheet1!$F$2:$F$6350,Prices!$V504)</f>
        <v>217</v>
      </c>
      <c r="O504" s="5">
        <f>_xlfn.MINIFS(Sheet1!$B$2:$B$6350,Sheet1!$E$2:$E$6350,Prices!$U504,Sheet1!$F$2:$F$6350,Prices!$V504)</f>
        <v>203</v>
      </c>
      <c r="P504" s="5">
        <f>AVERAGEIFS(Sheet1!$B$2:$B$6350,Sheet1!$E$2:$E$6350,Prices!$U504,Sheet1!$F$2:$F$6350,Prices!$V504)</f>
        <v>211.4404761904762</v>
      </c>
      <c r="Q504" s="5">
        <f t="shared" si="59"/>
        <v>5.559523809523796</v>
      </c>
      <c r="R504" s="5">
        <f t="shared" si="60"/>
        <v>-8.440476190476204</v>
      </c>
      <c r="S504" s="5">
        <f t="shared" si="58"/>
        <v>4.28093809549833</v>
      </c>
      <c r="T504" s="5">
        <f t="shared" si="61"/>
        <v>-1.7509666664064323</v>
      </c>
      <c r="U504" s="1">
        <f t="shared" si="54"/>
        <v>6</v>
      </c>
      <c r="V504" s="1">
        <f t="shared" si="55"/>
        <v>2012</v>
      </c>
      <c r="W504" s="5">
        <v>1.2546047619047618</v>
      </c>
    </row>
    <row r="505" spans="1:23" x14ac:dyDescent="0.25">
      <c r="A505" s="13">
        <v>41091</v>
      </c>
      <c r="B505" s="16">
        <v>8.2874999999999996</v>
      </c>
      <c r="C505" s="16">
        <v>6.4074999999999998</v>
      </c>
      <c r="D505" s="16">
        <v>7.5927380952380963</v>
      </c>
      <c r="E505" s="5">
        <f t="shared" si="56"/>
        <v>0.69476190476190336</v>
      </c>
      <c r="F505" s="5">
        <f t="shared" si="57"/>
        <v>-1.1852380952380965</v>
      </c>
      <c r="G505" s="33">
        <v>7.85</v>
      </c>
      <c r="H505" s="5">
        <f t="shared" si="62"/>
        <v>0.25726190476190336</v>
      </c>
      <c r="K505" s="15">
        <f t="shared" si="52"/>
        <v>14.017857142857142</v>
      </c>
      <c r="L505" s="15"/>
      <c r="M505" s="13">
        <f t="shared" si="53"/>
        <v>41091</v>
      </c>
      <c r="N505" s="5">
        <f>_xlfn.MAXIFS(Sheet1!$B$2:$B$6350,Sheet1!$E$2:$E$6350,Prices!$U505,Sheet1!$F$2:$F$6350,Prices!$V505)</f>
        <v>264</v>
      </c>
      <c r="O505" s="5">
        <f>_xlfn.MINIFS(Sheet1!$B$2:$B$6350,Sheet1!$E$2:$E$6350,Prices!$U505,Sheet1!$F$2:$F$6350,Prices!$V505)</f>
        <v>219</v>
      </c>
      <c r="P505" s="5">
        <f>AVERAGEIFS(Sheet1!$B$2:$B$6350,Sheet1!$E$2:$E$6350,Prices!$U505,Sheet1!$F$2:$F$6350,Prices!$V505)</f>
        <v>246.54545454545453</v>
      </c>
      <c r="Q505" s="5">
        <f t="shared" si="59"/>
        <v>17.454545454545467</v>
      </c>
      <c r="R505" s="5">
        <f t="shared" si="60"/>
        <v>-27.545454545454533</v>
      </c>
      <c r="S505" s="5">
        <f t="shared" si="58"/>
        <v>5.0996007427065786</v>
      </c>
      <c r="T505" s="5">
        <f t="shared" si="61"/>
        <v>-2.4931373525315177</v>
      </c>
      <c r="U505" s="1">
        <f t="shared" si="54"/>
        <v>7</v>
      </c>
      <c r="V505" s="1">
        <f t="shared" si="55"/>
        <v>2012</v>
      </c>
      <c r="W505" s="5">
        <v>1.2280571428571427</v>
      </c>
    </row>
    <row r="506" spans="1:23" x14ac:dyDescent="0.25">
      <c r="A506" s="13">
        <v>41122</v>
      </c>
      <c r="B506" s="16">
        <v>8.4375</v>
      </c>
      <c r="C506" s="16">
        <v>7.7675000000000001</v>
      </c>
      <c r="D506" s="16">
        <v>8.0354347826086965</v>
      </c>
      <c r="E506" s="5">
        <f t="shared" si="56"/>
        <v>0.40206521739130352</v>
      </c>
      <c r="F506" s="5">
        <f t="shared" si="57"/>
        <v>-0.26793478260869641</v>
      </c>
      <c r="G506" s="33">
        <v>8.15</v>
      </c>
      <c r="H506" s="5">
        <f t="shared" si="62"/>
        <v>0.11456521739130388</v>
      </c>
      <c r="K506" s="15">
        <f t="shared" si="52"/>
        <v>14.553571428571429</v>
      </c>
      <c r="L506" s="15"/>
      <c r="M506" s="13">
        <f t="shared" si="53"/>
        <v>41122</v>
      </c>
      <c r="N506" s="5">
        <f>_xlfn.MAXIFS(Sheet1!$B$2:$B$6350,Sheet1!$E$2:$E$6350,Prices!$U506,Sheet1!$F$2:$F$6350,Prices!$V506)</f>
        <v>261.75</v>
      </c>
      <c r="O506" s="5">
        <f>_xlfn.MINIFS(Sheet1!$B$2:$B$6350,Sheet1!$E$2:$E$6350,Prices!$U506,Sheet1!$F$2:$F$6350,Prices!$V506)</f>
        <v>249.25</v>
      </c>
      <c r="P506" s="5">
        <f>AVERAGEIFS(Sheet1!$B$2:$B$6350,Sheet1!$E$2:$E$6350,Prices!$U506,Sheet1!$F$2:$F$6350,Prices!$V506)</f>
        <v>255.2608695652174</v>
      </c>
      <c r="Q506" s="5">
        <f t="shared" si="59"/>
        <v>6.4891304347825951</v>
      </c>
      <c r="R506" s="5">
        <f t="shared" si="60"/>
        <v>-6.0108695652174049</v>
      </c>
      <c r="S506" s="5">
        <f t="shared" si="58"/>
        <v>5.2279752274501234</v>
      </c>
      <c r="T506" s="5">
        <f t="shared" si="61"/>
        <v>-2.807459555158573</v>
      </c>
      <c r="U506" s="1">
        <f t="shared" si="54"/>
        <v>8</v>
      </c>
      <c r="V506" s="1">
        <f t="shared" si="55"/>
        <v>2012</v>
      </c>
      <c r="W506" s="5">
        <v>1.2402478260869567</v>
      </c>
    </row>
    <row r="507" spans="1:23" x14ac:dyDescent="0.25">
      <c r="A507" s="13">
        <v>41153</v>
      </c>
      <c r="B507" s="16">
        <v>8.15</v>
      </c>
      <c r="C507" s="16">
        <v>7.05</v>
      </c>
      <c r="D507" s="16">
        <v>7.6339473684210519</v>
      </c>
      <c r="E507" s="5">
        <f t="shared" si="56"/>
        <v>0.51605263157894843</v>
      </c>
      <c r="F507" s="5">
        <f t="shared" si="57"/>
        <v>-0.5839473684210521</v>
      </c>
      <c r="G507" s="33">
        <v>7.7</v>
      </c>
      <c r="H507" s="5">
        <f t="shared" si="62"/>
        <v>6.6052631578948251E-2</v>
      </c>
      <c r="K507" s="15">
        <f t="shared" si="52"/>
        <v>13.750000000000002</v>
      </c>
      <c r="L507" s="15"/>
      <c r="M507" s="13">
        <f t="shared" si="53"/>
        <v>41153</v>
      </c>
      <c r="N507" s="5">
        <f>_xlfn.MAXIFS(Sheet1!$B$2:$B$6350,Sheet1!$E$2:$E$6350,Prices!$U507,Sheet1!$F$2:$F$6350,Prices!$V507)</f>
        <v>256.25</v>
      </c>
      <c r="O507" s="5">
        <f>_xlfn.MINIFS(Sheet1!$B$2:$B$6350,Sheet1!$E$2:$E$6350,Prices!$U507,Sheet1!$F$2:$F$6350,Prices!$V507)</f>
        <v>233.5</v>
      </c>
      <c r="P507" s="5">
        <f>AVERAGEIFS(Sheet1!$B$2:$B$6350,Sheet1!$E$2:$E$6350,Prices!$U507,Sheet1!$F$2:$F$6350,Prices!$V507)</f>
        <v>246.9</v>
      </c>
      <c r="Q507" s="5">
        <f t="shared" si="59"/>
        <v>9.3499999999999943</v>
      </c>
      <c r="R507" s="5">
        <f t="shared" si="60"/>
        <v>-13.400000000000006</v>
      </c>
      <c r="S507" s="5">
        <f t="shared" si="58"/>
        <v>4.8665953729149045</v>
      </c>
      <c r="T507" s="5">
        <f t="shared" si="61"/>
        <v>-2.7673519955061474</v>
      </c>
      <c r="U507" s="1">
        <f t="shared" si="54"/>
        <v>9</v>
      </c>
      <c r="V507" s="1">
        <f t="shared" si="55"/>
        <v>2012</v>
      </c>
      <c r="W507" s="5">
        <v>1.2887052631578946</v>
      </c>
    </row>
    <row r="508" spans="1:23" x14ac:dyDescent="0.25">
      <c r="A508" s="13">
        <v>41183</v>
      </c>
      <c r="B508" s="16">
        <v>7.76</v>
      </c>
      <c r="C508" s="16">
        <v>7.3224999999999998</v>
      </c>
      <c r="D508" s="16">
        <v>7.5011956521739123</v>
      </c>
      <c r="E508" s="5">
        <f t="shared" si="56"/>
        <v>0.25880434782608752</v>
      </c>
      <c r="F508" s="5">
        <f t="shared" si="57"/>
        <v>-0.17869565217391248</v>
      </c>
      <c r="G508" s="33">
        <v>7.48</v>
      </c>
      <c r="H508" s="5">
        <f t="shared" si="62"/>
        <v>-2.1195652173911839E-2</v>
      </c>
      <c r="K508" s="15">
        <f t="shared" si="52"/>
        <v>13.357142857142859</v>
      </c>
      <c r="L508" s="15"/>
      <c r="M508" s="13">
        <f t="shared" si="53"/>
        <v>41183</v>
      </c>
      <c r="N508" s="5">
        <f>_xlfn.MAXIFS(Sheet1!$B$2:$B$6350,Sheet1!$E$2:$E$6350,Prices!$U508,Sheet1!$F$2:$F$6350,Prices!$V508)</f>
        <v>249.75</v>
      </c>
      <c r="O508" s="5">
        <f>_xlfn.MINIFS(Sheet1!$B$2:$B$6350,Sheet1!$E$2:$E$6350,Prices!$U508,Sheet1!$F$2:$F$6350,Prices!$V508)</f>
        <v>237</v>
      </c>
      <c r="P508" s="5">
        <f>AVERAGEIFS(Sheet1!$B$2:$B$6350,Sheet1!$E$2:$E$6350,Prices!$U508,Sheet1!$F$2:$F$6350,Prices!$V508)</f>
        <v>242.31521739130434</v>
      </c>
      <c r="Q508" s="5">
        <f t="shared" si="59"/>
        <v>7.4347826086956559</v>
      </c>
      <c r="R508" s="5">
        <f t="shared" si="60"/>
        <v>-5.3152173913043441</v>
      </c>
      <c r="S508" s="5">
        <f t="shared" si="58"/>
        <v>4.7463324849177218</v>
      </c>
      <c r="T508" s="5">
        <f t="shared" si="61"/>
        <v>-2.7548631672561905</v>
      </c>
      <c r="U508" s="1">
        <f t="shared" si="54"/>
        <v>10</v>
      </c>
      <c r="V508" s="1">
        <f t="shared" si="55"/>
        <v>2012</v>
      </c>
      <c r="W508" s="5">
        <v>1.2968217391304346</v>
      </c>
    </row>
    <row r="509" spans="1:23" x14ac:dyDescent="0.25">
      <c r="A509" s="13">
        <v>41214</v>
      </c>
      <c r="B509" s="16">
        <v>7.6325000000000003</v>
      </c>
      <c r="C509" s="16">
        <v>7.1050000000000004</v>
      </c>
      <c r="D509" s="16">
        <v>7.4010714285714281</v>
      </c>
      <c r="E509" s="5">
        <f t="shared" si="56"/>
        <v>0.23142857142857221</v>
      </c>
      <c r="F509" s="5">
        <f t="shared" si="57"/>
        <v>-0.29607142857142765</v>
      </c>
      <c r="G509" s="33">
        <v>7.39</v>
      </c>
      <c r="H509" s="5">
        <f t="shared" si="62"/>
        <v>-1.1071428571428399E-2</v>
      </c>
      <c r="K509" s="15">
        <f t="shared" si="52"/>
        <v>13.196428571428569</v>
      </c>
      <c r="L509" s="15"/>
      <c r="M509" s="13">
        <f t="shared" si="53"/>
        <v>41214</v>
      </c>
      <c r="N509" s="5">
        <f>_xlfn.MAXIFS(Sheet1!$B$2:$B$6350,Sheet1!$E$2:$E$6350,Prices!$U509,Sheet1!$F$2:$F$6350,Prices!$V509)</f>
        <v>258.75</v>
      </c>
      <c r="O509" s="5">
        <f>_xlfn.MINIFS(Sheet1!$B$2:$B$6350,Sheet1!$E$2:$E$6350,Prices!$U509,Sheet1!$F$2:$F$6350,Prices!$V509)</f>
        <v>238</v>
      </c>
      <c r="P509" s="5">
        <f>AVERAGEIFS(Sheet1!$B$2:$B$6350,Sheet1!$E$2:$E$6350,Prices!$U509,Sheet1!$F$2:$F$6350,Prices!$V509)</f>
        <v>253.46590909090909</v>
      </c>
      <c r="Q509" s="5">
        <f t="shared" si="59"/>
        <v>5.2840909090909065</v>
      </c>
      <c r="R509" s="5">
        <f t="shared" si="60"/>
        <v>-15.465909090909093</v>
      </c>
      <c r="S509" s="5">
        <f t="shared" si="58"/>
        <v>5.0163691692984242</v>
      </c>
      <c r="T509" s="5">
        <f t="shared" si="61"/>
        <v>-2.3847022592730038</v>
      </c>
      <c r="U509" s="1">
        <f t="shared" si="54"/>
        <v>11</v>
      </c>
      <c r="V509" s="1">
        <f t="shared" si="55"/>
        <v>2012</v>
      </c>
      <c r="W509" s="5">
        <v>1.2834761904761904</v>
      </c>
    </row>
    <row r="510" spans="1:23" x14ac:dyDescent="0.25">
      <c r="A510" s="13">
        <v>41244</v>
      </c>
      <c r="B510" s="16">
        <v>7.64</v>
      </c>
      <c r="C510" s="16">
        <v>6.875</v>
      </c>
      <c r="D510" s="16">
        <v>7.2072500000000002</v>
      </c>
      <c r="E510" s="5">
        <f t="shared" si="56"/>
        <v>0.43274999999999952</v>
      </c>
      <c r="F510" s="5">
        <f t="shared" si="57"/>
        <v>-0.33225000000000016</v>
      </c>
      <c r="G510" s="33">
        <v>7.23</v>
      </c>
      <c r="H510" s="5">
        <f t="shared" si="62"/>
        <v>2.275000000000027E-2</v>
      </c>
      <c r="K510" s="15">
        <f t="shared" si="52"/>
        <v>12.910714285714286</v>
      </c>
      <c r="L510" s="15"/>
      <c r="M510" s="13">
        <f t="shared" si="53"/>
        <v>41244</v>
      </c>
      <c r="N510" s="5">
        <f>_xlfn.MAXIFS(Sheet1!$B$2:$B$6350,Sheet1!$E$2:$E$6350,Prices!$U510,Sheet1!$F$2:$F$6350,Prices!$V510)</f>
        <v>255.75</v>
      </c>
      <c r="O510" s="5">
        <f>_xlfn.MINIFS(Sheet1!$B$2:$B$6350,Sheet1!$E$2:$E$6350,Prices!$U510,Sheet1!$F$2:$F$6350,Prices!$V510)</f>
        <v>238</v>
      </c>
      <c r="P510" s="5">
        <f>AVERAGEIFS(Sheet1!$B$2:$B$6350,Sheet1!$E$2:$E$6350,Prices!$U510,Sheet1!$F$2:$F$6350,Prices!$V510)</f>
        <v>246.93421052631578</v>
      </c>
      <c r="Q510" s="5">
        <f t="shared" si="59"/>
        <v>8.8157894736842195</v>
      </c>
      <c r="R510" s="5">
        <f t="shared" si="60"/>
        <v>-8.9342105263157805</v>
      </c>
      <c r="S510" s="5">
        <f t="shared" si="58"/>
        <v>4.77988521083312</v>
      </c>
      <c r="T510" s="5">
        <f t="shared" si="61"/>
        <v>-2.4273647891668801</v>
      </c>
      <c r="U510" s="1">
        <f t="shared" si="54"/>
        <v>12</v>
      </c>
      <c r="V510" s="1">
        <f t="shared" si="55"/>
        <v>2012</v>
      </c>
      <c r="W510" s="5">
        <v>1.312265</v>
      </c>
    </row>
    <row r="511" spans="1:23" x14ac:dyDescent="0.25">
      <c r="A511" s="13">
        <v>41275</v>
      </c>
      <c r="B511" s="16">
        <v>7.4450000000000003</v>
      </c>
      <c r="C511" s="16">
        <v>6.78</v>
      </c>
      <c r="D511" s="16">
        <v>7.1465476190476185</v>
      </c>
      <c r="E511" s="5">
        <f t="shared" si="56"/>
        <v>0.2984523809523818</v>
      </c>
      <c r="F511" s="5">
        <f t="shared" si="57"/>
        <v>-0.36654761904761823</v>
      </c>
      <c r="G511" s="33">
        <v>7.17</v>
      </c>
      <c r="H511" s="5">
        <f t="shared" si="62"/>
        <v>2.3452380952381446E-2</v>
      </c>
      <c r="K511" s="15">
        <f t="shared" si="52"/>
        <v>12.803571428571429</v>
      </c>
      <c r="L511" s="15"/>
      <c r="M511" s="13">
        <f t="shared" si="53"/>
        <v>41275</v>
      </c>
      <c r="N511" s="5">
        <f>_xlfn.MAXIFS(Sheet1!$B$2:$B$6350,Sheet1!$E$2:$E$6350,Prices!$U511,Sheet1!$F$2:$F$6350,Prices!$V511)</f>
        <v>243.75</v>
      </c>
      <c r="O511" s="5">
        <f>_xlfn.MINIFS(Sheet1!$B$2:$B$6350,Sheet1!$E$2:$E$6350,Prices!$U511,Sheet1!$F$2:$F$6350,Prices!$V511)</f>
        <v>235.5</v>
      </c>
      <c r="P511" s="5">
        <f>AVERAGEIFS(Sheet1!$B$2:$B$6350,Sheet1!$E$2:$E$6350,Prices!$U511,Sheet1!$F$2:$F$6350,Prices!$V511)</f>
        <v>238.875</v>
      </c>
      <c r="Q511" s="5">
        <f t="shared" si="59"/>
        <v>4.875</v>
      </c>
      <c r="R511" s="5">
        <f t="shared" si="60"/>
        <v>-3.375</v>
      </c>
      <c r="S511" s="5">
        <f t="shared" si="58"/>
        <v>4.5607075548608718</v>
      </c>
      <c r="T511" s="5">
        <f t="shared" si="61"/>
        <v>-2.5858400641867467</v>
      </c>
      <c r="U511" s="1">
        <f t="shared" si="54"/>
        <v>1</v>
      </c>
      <c r="V511" s="1">
        <f t="shared" si="55"/>
        <v>2013</v>
      </c>
      <c r="W511" s="5">
        <v>1.3304428571428573</v>
      </c>
    </row>
    <row r="512" spans="1:23" x14ac:dyDescent="0.25">
      <c r="A512" s="13">
        <v>41306</v>
      </c>
      <c r="B512" s="16">
        <v>7.4625000000000004</v>
      </c>
      <c r="C512" s="16">
        <v>6.8724999999999996</v>
      </c>
      <c r="D512" s="16">
        <v>7.0701315789473691</v>
      </c>
      <c r="E512" s="5">
        <f t="shared" si="56"/>
        <v>0.39236842105263126</v>
      </c>
      <c r="F512" s="5">
        <f t="shared" si="57"/>
        <v>-0.19763157894736949</v>
      </c>
      <c r="G512" s="33">
        <v>7.15</v>
      </c>
      <c r="H512" s="5">
        <f t="shared" si="62"/>
        <v>7.9868421052631255E-2</v>
      </c>
      <c r="K512" s="15">
        <f t="shared" ref="K512:K575" si="63">G512/56*100</f>
        <v>12.767857142857144</v>
      </c>
      <c r="L512" s="15"/>
      <c r="M512" s="13">
        <f t="shared" si="53"/>
        <v>41306</v>
      </c>
      <c r="N512" s="5">
        <f>_xlfn.MAXIFS(Sheet1!$B$2:$B$6350,Sheet1!$E$2:$E$6350,Prices!$U512,Sheet1!$F$2:$F$6350,Prices!$V512)</f>
        <v>235.75</v>
      </c>
      <c r="O512" s="5">
        <f>_xlfn.MINIFS(Sheet1!$B$2:$B$6350,Sheet1!$E$2:$E$6350,Prices!$U512,Sheet1!$F$2:$F$6350,Prices!$V512)</f>
        <v>223</v>
      </c>
      <c r="P512" s="5">
        <f>AVERAGEIFS(Sheet1!$B$2:$B$6350,Sheet1!$E$2:$E$6350,Prices!$U512,Sheet1!$F$2:$F$6350,Prices!$V512)</f>
        <v>227.23750000000001</v>
      </c>
      <c r="Q512" s="5">
        <f t="shared" si="59"/>
        <v>8.5124999999999886</v>
      </c>
      <c r="R512" s="5">
        <f t="shared" si="60"/>
        <v>-4.2375000000000114</v>
      </c>
      <c r="S512" s="5">
        <f t="shared" si="58"/>
        <v>4.3278896109733145</v>
      </c>
      <c r="T512" s="5">
        <f t="shared" si="61"/>
        <v>-2.7422419679740546</v>
      </c>
      <c r="U512" s="1">
        <f t="shared" si="54"/>
        <v>2</v>
      </c>
      <c r="V512" s="1">
        <f t="shared" si="55"/>
        <v>2013</v>
      </c>
      <c r="W512" s="5">
        <v>1.3337105263157893</v>
      </c>
    </row>
    <row r="513" spans="1:23" x14ac:dyDescent="0.25">
      <c r="A513" s="13">
        <v>41334</v>
      </c>
      <c r="B513" s="16">
        <v>7.3775000000000004</v>
      </c>
      <c r="C513" s="16">
        <v>6.82</v>
      </c>
      <c r="D513" s="16">
        <v>7.1537499999999996</v>
      </c>
      <c r="E513" s="5">
        <f t="shared" si="56"/>
        <v>0.22375000000000078</v>
      </c>
      <c r="F513" s="5">
        <f t="shared" si="57"/>
        <v>-0.33374999999999932</v>
      </c>
      <c r="G513" s="33">
        <v>7.33</v>
      </c>
      <c r="H513" s="5">
        <f t="shared" si="62"/>
        <v>0.17625000000000046</v>
      </c>
      <c r="K513" s="15">
        <f t="shared" si="63"/>
        <v>13.089285714285715</v>
      </c>
      <c r="L513" s="15"/>
      <c r="M513" s="13">
        <f t="shared" si="53"/>
        <v>41334</v>
      </c>
      <c r="N513" s="5">
        <f>_xlfn.MAXIFS(Sheet1!$B$2:$B$6350,Sheet1!$E$2:$E$6350,Prices!$U513,Sheet1!$F$2:$F$6350,Prices!$V513)</f>
        <v>233.25</v>
      </c>
      <c r="O513" s="5">
        <f>_xlfn.MINIFS(Sheet1!$B$2:$B$6350,Sheet1!$E$2:$E$6350,Prices!$U513,Sheet1!$F$2:$F$6350,Prices!$V513)</f>
        <v>217.25</v>
      </c>
      <c r="P513" s="5">
        <f>AVERAGEIFS(Sheet1!$B$2:$B$6350,Sheet1!$E$2:$E$6350,Prices!$U513,Sheet1!$F$2:$F$6350,Prices!$V513)</f>
        <v>225.03749999999999</v>
      </c>
      <c r="Q513" s="5">
        <f t="shared" si="59"/>
        <v>8.2125000000000057</v>
      </c>
      <c r="R513" s="5">
        <f t="shared" si="60"/>
        <v>-7.7874999999999943</v>
      </c>
      <c r="S513" s="5">
        <f t="shared" si="58"/>
        <v>4.4101057637414023</v>
      </c>
      <c r="T513" s="5">
        <f t="shared" si="61"/>
        <v>-2.7436442362585973</v>
      </c>
      <c r="U513" s="1">
        <f t="shared" si="54"/>
        <v>3</v>
      </c>
      <c r="V513" s="1">
        <f t="shared" si="55"/>
        <v>2013</v>
      </c>
      <c r="W513" s="5">
        <v>1.2961750000000001</v>
      </c>
    </row>
    <row r="514" spans="1:23" x14ac:dyDescent="0.25">
      <c r="A514" s="13">
        <v>41365</v>
      </c>
      <c r="B514" s="16">
        <v>6.93</v>
      </c>
      <c r="C514" s="16">
        <v>6.2649999999999997</v>
      </c>
      <c r="D514" s="16">
        <v>6.4850000000000021</v>
      </c>
      <c r="E514" s="5">
        <f t="shared" si="56"/>
        <v>0.44499999999999762</v>
      </c>
      <c r="F514" s="5">
        <f t="shared" si="57"/>
        <v>-0.22000000000000242</v>
      </c>
      <c r="G514" s="33">
        <v>6.57</v>
      </c>
      <c r="H514" s="5">
        <f t="shared" si="62"/>
        <v>8.4999999999998188E-2</v>
      </c>
      <c r="K514" s="15">
        <f t="shared" si="63"/>
        <v>11.732142857142858</v>
      </c>
      <c r="L514" s="15"/>
      <c r="M514" s="13">
        <f t="shared" si="53"/>
        <v>41365</v>
      </c>
      <c r="N514" s="5">
        <f>_xlfn.MAXIFS(Sheet1!$B$2:$B$6350,Sheet1!$E$2:$E$6350,Prices!$U514,Sheet1!$F$2:$F$6350,Prices!$V514)</f>
        <v>225.5</v>
      </c>
      <c r="O514" s="5">
        <f>_xlfn.MINIFS(Sheet1!$B$2:$B$6350,Sheet1!$E$2:$E$6350,Prices!$U514,Sheet1!$F$2:$F$6350,Prices!$V514)</f>
        <v>214.25</v>
      </c>
      <c r="P514" s="5">
        <f>AVERAGEIFS(Sheet1!$B$2:$B$6350,Sheet1!$E$2:$E$6350,Prices!$U514,Sheet1!$F$2:$F$6350,Prices!$V514)</f>
        <v>220.67857142857142</v>
      </c>
      <c r="Q514" s="5">
        <f t="shared" si="59"/>
        <v>4.8214285714285836</v>
      </c>
      <c r="R514" s="5">
        <f t="shared" si="60"/>
        <v>-6.4285714285714164</v>
      </c>
      <c r="S514" s="5">
        <f t="shared" si="58"/>
        <v>4.3040275560187595</v>
      </c>
      <c r="T514" s="5">
        <f t="shared" si="61"/>
        <v>-2.1809724439812426</v>
      </c>
      <c r="U514" s="1">
        <f t="shared" si="54"/>
        <v>4</v>
      </c>
      <c r="V514" s="1">
        <f t="shared" si="55"/>
        <v>2013</v>
      </c>
      <c r="W514" s="5">
        <v>1.3023954545454546</v>
      </c>
    </row>
    <row r="515" spans="1:23" x14ac:dyDescent="0.25">
      <c r="A515" s="13">
        <v>41395</v>
      </c>
      <c r="B515" s="16">
        <v>6.6974999999999998</v>
      </c>
      <c r="C515" s="16">
        <v>6.25</v>
      </c>
      <c r="D515" s="16">
        <v>6.5097619047619055</v>
      </c>
      <c r="E515" s="5">
        <f t="shared" si="56"/>
        <v>0.18773809523809426</v>
      </c>
      <c r="F515" s="5">
        <f t="shared" si="57"/>
        <v>-0.25976190476190553</v>
      </c>
      <c r="G515" s="33">
        <v>6.83</v>
      </c>
      <c r="H515" s="5">
        <f t="shared" si="62"/>
        <v>0.32023809523809454</v>
      </c>
      <c r="K515" s="15">
        <f t="shared" si="63"/>
        <v>12.196428571428571</v>
      </c>
      <c r="L515" s="15"/>
      <c r="M515" s="13">
        <f t="shared" ref="M515:M578" si="64">A515</f>
        <v>41395</v>
      </c>
      <c r="N515" s="5">
        <f>_xlfn.MAXIFS(Sheet1!$B$2:$B$6350,Sheet1!$E$2:$E$6350,Prices!$U515,Sheet1!$F$2:$F$6350,Prices!$V515)</f>
        <v>230.25</v>
      </c>
      <c r="O515" s="5">
        <f>_xlfn.MINIFS(Sheet1!$B$2:$B$6350,Sheet1!$E$2:$E$6350,Prices!$U515,Sheet1!$F$2:$F$6350,Prices!$V515)</f>
        <v>214.75</v>
      </c>
      <c r="P515" s="5">
        <f>AVERAGEIFS(Sheet1!$B$2:$B$6350,Sheet1!$E$2:$E$6350,Prices!$U515,Sheet1!$F$2:$F$6350,Prices!$V515)</f>
        <v>218.67045454545453</v>
      </c>
      <c r="Q515" s="5">
        <f t="shared" si="59"/>
        <v>11.579545454545467</v>
      </c>
      <c r="R515" s="5">
        <f t="shared" si="60"/>
        <v>-3.9204545454545325</v>
      </c>
      <c r="S515" s="5">
        <f t="shared" si="58"/>
        <v>4.2797838578922507</v>
      </c>
      <c r="T515" s="5">
        <f t="shared" si="61"/>
        <v>-2.2299780468696548</v>
      </c>
      <c r="U515" s="1">
        <f t="shared" ref="U515:U578" si="65">MONTH(M515)</f>
        <v>5</v>
      </c>
      <c r="V515" s="1">
        <f t="shared" ref="V515:V578" si="66">YEAR(M515)</f>
        <v>2013</v>
      </c>
      <c r="W515" s="5">
        <v>1.2978545454545454</v>
      </c>
    </row>
    <row r="516" spans="1:23" x14ac:dyDescent="0.25">
      <c r="A516" s="13">
        <v>41426</v>
      </c>
      <c r="B516" s="16">
        <v>6.8550000000000004</v>
      </c>
      <c r="C516" s="16">
        <v>6.4050000000000002</v>
      </c>
      <c r="D516" s="16">
        <v>6.6226249999999993</v>
      </c>
      <c r="E516" s="5">
        <f t="shared" ref="E516:E579" si="67">B516-D516</f>
        <v>0.23237500000000111</v>
      </c>
      <c r="F516" s="5">
        <f t="shared" ref="F516:F579" si="68">C516-D516</f>
        <v>-0.21762499999999907</v>
      </c>
      <c r="G516" s="33">
        <v>6.94</v>
      </c>
      <c r="H516" s="5">
        <f t="shared" si="62"/>
        <v>0.31737500000000107</v>
      </c>
      <c r="K516" s="15">
        <f t="shared" si="63"/>
        <v>12.392857142857142</v>
      </c>
      <c r="L516" s="15"/>
      <c r="M516" s="13">
        <f t="shared" si="64"/>
        <v>41426</v>
      </c>
      <c r="N516" s="5">
        <f>_xlfn.MAXIFS(Sheet1!$B$2:$B$6350,Sheet1!$E$2:$E$6350,Prices!$U516,Sheet1!$F$2:$F$6350,Prices!$V516)</f>
        <v>227.25</v>
      </c>
      <c r="O516" s="5">
        <f>_xlfn.MINIFS(Sheet1!$B$2:$B$6350,Sheet1!$E$2:$E$6350,Prices!$U516,Sheet1!$F$2:$F$6350,Prices!$V516)</f>
        <v>216.5</v>
      </c>
      <c r="P516" s="5">
        <f>AVERAGEIFS(Sheet1!$B$2:$B$6350,Sheet1!$E$2:$E$6350,Prices!$U516,Sheet1!$F$2:$F$6350,Prices!$V516)</f>
        <v>220.92500000000001</v>
      </c>
      <c r="Q516" s="5">
        <f t="shared" si="59"/>
        <v>6.3249999999999886</v>
      </c>
      <c r="R516" s="5">
        <f t="shared" si="60"/>
        <v>-4.4250000000000114</v>
      </c>
      <c r="S516" s="5">
        <f t="shared" si="58"/>
        <v>4.251561099231437</v>
      </c>
      <c r="T516" s="5">
        <f t="shared" si="61"/>
        <v>-2.3710639007685623</v>
      </c>
      <c r="U516" s="1">
        <f t="shared" si="65"/>
        <v>6</v>
      </c>
      <c r="V516" s="1">
        <f t="shared" si="66"/>
        <v>2013</v>
      </c>
      <c r="W516" s="5">
        <v>1.3199399999999999</v>
      </c>
    </row>
    <row r="517" spans="1:23" x14ac:dyDescent="0.25">
      <c r="A517" s="13">
        <v>41456</v>
      </c>
      <c r="B517" s="16">
        <v>5.6349999999999998</v>
      </c>
      <c r="C517" s="16">
        <v>4.8825000000000003</v>
      </c>
      <c r="D517" s="16">
        <v>5.2798863636363622</v>
      </c>
      <c r="E517" s="5">
        <f t="shared" si="67"/>
        <v>0.35511363636363757</v>
      </c>
      <c r="F517" s="5">
        <f t="shared" si="68"/>
        <v>-0.39738636363636193</v>
      </c>
      <c r="G517" s="33">
        <v>6.61</v>
      </c>
      <c r="H517" s="5">
        <f t="shared" si="62"/>
        <v>1.3301136363636381</v>
      </c>
      <c r="K517" s="15">
        <f t="shared" si="63"/>
        <v>11.803571428571429</v>
      </c>
      <c r="L517" s="15"/>
      <c r="M517" s="13">
        <f t="shared" si="64"/>
        <v>41456</v>
      </c>
      <c r="N517" s="5">
        <f>_xlfn.MAXIFS(Sheet1!$B$2:$B$6350,Sheet1!$E$2:$E$6350,Prices!$U517,Sheet1!$F$2:$F$6350,Prices!$V517)</f>
        <v>222.5</v>
      </c>
      <c r="O517" s="5">
        <f>_xlfn.MINIFS(Sheet1!$B$2:$B$6350,Sheet1!$E$2:$E$6350,Prices!$U517,Sheet1!$F$2:$F$6350,Prices!$V517)</f>
        <v>217.25</v>
      </c>
      <c r="P517" s="5">
        <f>AVERAGEIFS(Sheet1!$B$2:$B$6350,Sheet1!$E$2:$E$6350,Prices!$U517,Sheet1!$F$2:$F$6350,Prices!$V517)</f>
        <v>220.30434782608697</v>
      </c>
      <c r="Q517" s="5">
        <f t="shared" si="59"/>
        <v>2.1956521739130324</v>
      </c>
      <c r="R517" s="5">
        <f t="shared" si="60"/>
        <v>-3.0543478260869676</v>
      </c>
      <c r="S517" s="5">
        <f t="shared" si="58"/>
        <v>4.2712379962372031</v>
      </c>
      <c r="T517" s="5">
        <f t="shared" si="61"/>
        <v>-1.0086483673991591</v>
      </c>
      <c r="U517" s="1">
        <f t="shared" si="65"/>
        <v>7</v>
      </c>
      <c r="V517" s="1">
        <f t="shared" si="66"/>
        <v>2013</v>
      </c>
      <c r="W517" s="5">
        <v>1.3101681818181818</v>
      </c>
    </row>
    <row r="518" spans="1:23" x14ac:dyDescent="0.25">
      <c r="A518" s="13">
        <v>41487</v>
      </c>
      <c r="B518" s="16">
        <v>5.2275</v>
      </c>
      <c r="C518" s="16">
        <v>4.5374999999999996</v>
      </c>
      <c r="D518" s="16">
        <v>4.8317045454545458</v>
      </c>
      <c r="E518" s="5">
        <f t="shared" si="67"/>
        <v>0.39579545454545428</v>
      </c>
      <c r="F518" s="5">
        <f t="shared" si="68"/>
        <v>-0.29420454545454611</v>
      </c>
      <c r="G518" s="33">
        <v>5.98</v>
      </c>
      <c r="H518" s="5">
        <f t="shared" si="62"/>
        <v>1.1482954545454547</v>
      </c>
      <c r="K518" s="15">
        <f t="shared" si="63"/>
        <v>10.678571428571429</v>
      </c>
      <c r="L518" s="15"/>
      <c r="M518" s="13">
        <f t="shared" si="64"/>
        <v>41487</v>
      </c>
      <c r="N518" s="5">
        <f>_xlfn.MAXIFS(Sheet1!$B$2:$B$6350,Sheet1!$E$2:$E$6350,Prices!$U518,Sheet1!$F$2:$F$6350,Prices!$V518)</f>
        <v>217.75</v>
      </c>
      <c r="O518" s="5">
        <f>_xlfn.MINIFS(Sheet1!$B$2:$B$6350,Sheet1!$E$2:$E$6350,Prices!$U518,Sheet1!$F$2:$F$6350,Prices!$V518)</f>
        <v>164.5</v>
      </c>
      <c r="P518" s="5">
        <f>AVERAGEIFS(Sheet1!$B$2:$B$6350,Sheet1!$E$2:$E$6350,Prices!$U518,Sheet1!$F$2:$F$6350,Prices!$V518)</f>
        <v>173.28409090909091</v>
      </c>
      <c r="Q518" s="5">
        <f t="shared" si="59"/>
        <v>44.465909090909093</v>
      </c>
      <c r="R518" s="5">
        <f t="shared" si="60"/>
        <v>-8.7840909090909065</v>
      </c>
      <c r="S518" s="5">
        <f t="shared" si="58"/>
        <v>3.3050792657983061</v>
      </c>
      <c r="T518" s="5">
        <f t="shared" si="61"/>
        <v>-1.5266252796562396</v>
      </c>
      <c r="U518" s="1">
        <f t="shared" si="65"/>
        <v>8</v>
      </c>
      <c r="V518" s="1">
        <f t="shared" si="66"/>
        <v>2013</v>
      </c>
      <c r="W518" s="5">
        <v>1.3317863636363638</v>
      </c>
    </row>
    <row r="519" spans="1:23" x14ac:dyDescent="0.25">
      <c r="A519" s="13">
        <v>41518</v>
      </c>
      <c r="B519" s="16">
        <v>4.9375</v>
      </c>
      <c r="C519" s="16">
        <v>4.4074999999999998</v>
      </c>
      <c r="D519" s="16">
        <v>4.5952500000000001</v>
      </c>
      <c r="E519" s="5">
        <f t="shared" si="67"/>
        <v>0.34224999999999994</v>
      </c>
      <c r="F519" s="5">
        <f t="shared" si="68"/>
        <v>-0.18775000000000031</v>
      </c>
      <c r="G519" s="33">
        <v>4.78</v>
      </c>
      <c r="H519" s="5">
        <f t="shared" si="62"/>
        <v>0.18475000000000019</v>
      </c>
      <c r="K519" s="15">
        <f t="shared" si="63"/>
        <v>8.5357142857142865</v>
      </c>
      <c r="L519" s="15"/>
      <c r="M519" s="13">
        <f t="shared" si="64"/>
        <v>41518</v>
      </c>
      <c r="N519" s="5">
        <f>_xlfn.MAXIFS(Sheet1!$B$2:$B$6350,Sheet1!$E$2:$E$6350,Prices!$U519,Sheet1!$F$2:$F$6350,Prices!$V519)</f>
        <v>175.25</v>
      </c>
      <c r="O519" s="5">
        <f>_xlfn.MINIFS(Sheet1!$B$2:$B$6350,Sheet1!$E$2:$E$6350,Prices!$U519,Sheet1!$F$2:$F$6350,Prices!$V519)</f>
        <v>165.75</v>
      </c>
      <c r="P519" s="5">
        <f>AVERAGEIFS(Sheet1!$B$2:$B$6350,Sheet1!$E$2:$E$6350,Prices!$U519,Sheet1!$F$2:$F$6350,Prices!$V519)</f>
        <v>169.3452380952381</v>
      </c>
      <c r="Q519" s="5">
        <f t="shared" si="59"/>
        <v>5.904761904761898</v>
      </c>
      <c r="R519" s="5">
        <f t="shared" si="60"/>
        <v>-3.595238095238102</v>
      </c>
      <c r="S519" s="5">
        <f t="shared" si="58"/>
        <v>3.2176343504159908</v>
      </c>
      <c r="T519" s="5">
        <f t="shared" si="61"/>
        <v>-1.3776156495840093</v>
      </c>
      <c r="U519" s="1">
        <f t="shared" si="65"/>
        <v>9</v>
      </c>
      <c r="V519" s="1">
        <f t="shared" si="66"/>
        <v>2013</v>
      </c>
      <c r="W519" s="5">
        <v>1.3368850000000001</v>
      </c>
    </row>
    <row r="520" spans="1:23" x14ac:dyDescent="0.25">
      <c r="A520" s="13">
        <v>41548</v>
      </c>
      <c r="B520" s="16">
        <v>4.4974999999999996</v>
      </c>
      <c r="C520" s="16">
        <v>4.2699999999999996</v>
      </c>
      <c r="D520" s="16">
        <v>4.3916304347826092</v>
      </c>
      <c r="E520" s="5">
        <f t="shared" si="67"/>
        <v>0.10586956521739044</v>
      </c>
      <c r="F520" s="5">
        <f t="shared" si="68"/>
        <v>-0.1216304347826096</v>
      </c>
      <c r="G520" s="33">
        <v>4.2</v>
      </c>
      <c r="H520" s="5">
        <f t="shared" si="62"/>
        <v>-0.19163043478260899</v>
      </c>
      <c r="K520" s="15">
        <f t="shared" si="63"/>
        <v>7.5</v>
      </c>
      <c r="L520" s="15"/>
      <c r="M520" s="13">
        <f t="shared" si="64"/>
        <v>41548</v>
      </c>
      <c r="N520" s="5">
        <f>_xlfn.MAXIFS(Sheet1!$B$2:$B$6350,Sheet1!$E$2:$E$6350,Prices!$U520,Sheet1!$F$2:$F$6350,Prices!$V520)</f>
        <v>178</v>
      </c>
      <c r="O520" s="5">
        <f>_xlfn.MINIFS(Sheet1!$B$2:$B$6350,Sheet1!$E$2:$E$6350,Prices!$U520,Sheet1!$F$2:$F$6350,Prices!$V520)</f>
        <v>165</v>
      </c>
      <c r="P520" s="5">
        <f>AVERAGEIFS(Sheet1!$B$2:$B$6350,Sheet1!$E$2:$E$6350,Prices!$U520,Sheet1!$F$2:$F$6350,Prices!$V520)</f>
        <v>172.95652173913044</v>
      </c>
      <c r="Q520" s="5">
        <f t="shared" si="59"/>
        <v>5.0434782608695627</v>
      </c>
      <c r="R520" s="5">
        <f t="shared" si="60"/>
        <v>-7.9565217391304373</v>
      </c>
      <c r="S520" s="5">
        <f t="shared" si="58"/>
        <v>3.221436284294493</v>
      </c>
      <c r="T520" s="5">
        <f t="shared" si="61"/>
        <v>-1.1701941504881161</v>
      </c>
      <c r="U520" s="1">
        <f t="shared" si="65"/>
        <v>10</v>
      </c>
      <c r="V520" s="1">
        <f t="shared" si="66"/>
        <v>2013</v>
      </c>
      <c r="W520" s="5">
        <v>1.3637826086956524</v>
      </c>
    </row>
    <row r="521" spans="1:23" x14ac:dyDescent="0.25">
      <c r="A521" s="13">
        <v>41579</v>
      </c>
      <c r="B521" s="16">
        <v>4.38</v>
      </c>
      <c r="C521" s="16">
        <v>4.1074999999999999</v>
      </c>
      <c r="D521" s="16">
        <v>4.2300000000000004</v>
      </c>
      <c r="E521" s="5">
        <f t="shared" si="67"/>
        <v>0.14999999999999947</v>
      </c>
      <c r="F521" s="5">
        <f t="shared" si="68"/>
        <v>-0.1225000000000005</v>
      </c>
      <c r="G521" s="33">
        <v>4.0999999999999996</v>
      </c>
      <c r="H521" s="5">
        <f t="shared" si="62"/>
        <v>-0.13000000000000078</v>
      </c>
      <c r="K521" s="15">
        <f t="shared" si="63"/>
        <v>7.3214285714285703</v>
      </c>
      <c r="L521" s="15"/>
      <c r="M521" s="13">
        <f t="shared" si="64"/>
        <v>41579</v>
      </c>
      <c r="N521" s="5">
        <f>_xlfn.MAXIFS(Sheet1!$B$2:$B$6350,Sheet1!$E$2:$E$6350,Prices!$U521,Sheet1!$F$2:$F$6350,Prices!$V521)</f>
        <v>177.75</v>
      </c>
      <c r="O521" s="5">
        <f>_xlfn.MINIFS(Sheet1!$B$2:$B$6350,Sheet1!$E$2:$E$6350,Prices!$U521,Sheet1!$F$2:$F$6350,Prices!$V521)</f>
        <v>162</v>
      </c>
      <c r="P521" s="5">
        <f>AVERAGEIFS(Sheet1!$B$2:$B$6350,Sheet1!$E$2:$E$6350,Prices!$U521,Sheet1!$F$2:$F$6350,Prices!$V521)</f>
        <v>173.57142857142858</v>
      </c>
      <c r="Q521" s="5">
        <f t="shared" si="59"/>
        <v>4.1785714285714164</v>
      </c>
      <c r="R521" s="5">
        <f t="shared" si="60"/>
        <v>-11.571428571428584</v>
      </c>
      <c r="S521" s="5">
        <f t="shared" si="58"/>
        <v>3.2680979604513869</v>
      </c>
      <c r="T521" s="5">
        <f t="shared" si="61"/>
        <v>-0.96190203954861353</v>
      </c>
      <c r="U521" s="1">
        <f t="shared" si="65"/>
        <v>11</v>
      </c>
      <c r="V521" s="1">
        <f t="shared" si="66"/>
        <v>2013</v>
      </c>
      <c r="W521" s="5">
        <v>1.3490899999999999</v>
      </c>
    </row>
    <row r="522" spans="1:23" x14ac:dyDescent="0.25">
      <c r="A522" s="13">
        <v>41609</v>
      </c>
      <c r="B522" s="16">
        <v>4.4074999999999998</v>
      </c>
      <c r="C522" s="16">
        <v>4.1849999999999996</v>
      </c>
      <c r="D522" s="16">
        <v>4.3046428571428574</v>
      </c>
      <c r="E522" s="5">
        <f t="shared" si="67"/>
        <v>0.10285714285714231</v>
      </c>
      <c r="F522" s="5">
        <f t="shared" si="68"/>
        <v>-0.11964285714285783</v>
      </c>
      <c r="G522" s="33">
        <v>4.13</v>
      </c>
      <c r="H522" s="5">
        <f t="shared" si="62"/>
        <v>-0.17464285714285754</v>
      </c>
      <c r="K522" s="15">
        <f t="shared" si="63"/>
        <v>7.375</v>
      </c>
      <c r="L522" s="15"/>
      <c r="M522" s="13">
        <f t="shared" si="64"/>
        <v>41609</v>
      </c>
      <c r="N522" s="5">
        <f>_xlfn.MAXIFS(Sheet1!$B$2:$B$6350,Sheet1!$E$2:$E$6350,Prices!$U522,Sheet1!$F$2:$F$6350,Prices!$V522)</f>
        <v>182</v>
      </c>
      <c r="O522" s="5">
        <f>_xlfn.MINIFS(Sheet1!$B$2:$B$6350,Sheet1!$E$2:$E$6350,Prices!$U522,Sheet1!$F$2:$F$6350,Prices!$V522)</f>
        <v>173.75</v>
      </c>
      <c r="P522" s="5">
        <f>AVERAGEIFS(Sheet1!$B$2:$B$6350,Sheet1!$E$2:$E$6350,Prices!$U522,Sheet1!$F$2:$F$6350,Prices!$V522)</f>
        <v>177.07499999999999</v>
      </c>
      <c r="Q522" s="5">
        <f t="shared" si="59"/>
        <v>4.9250000000000114</v>
      </c>
      <c r="R522" s="5">
        <f t="shared" si="60"/>
        <v>-3.3249999999999886</v>
      </c>
      <c r="S522" s="5">
        <f t="shared" si="58"/>
        <v>3.2824136281145799</v>
      </c>
      <c r="T522" s="5">
        <f t="shared" si="61"/>
        <v>-1.0222292290282775</v>
      </c>
      <c r="U522" s="1">
        <f t="shared" si="65"/>
        <v>12</v>
      </c>
      <c r="V522" s="1">
        <f t="shared" si="66"/>
        <v>2013</v>
      </c>
      <c r="W522" s="5">
        <v>1.3703190476190477</v>
      </c>
    </row>
    <row r="523" spans="1:23" x14ac:dyDescent="0.25">
      <c r="A523" s="13">
        <v>41640</v>
      </c>
      <c r="B523" s="16">
        <v>4.3550000000000004</v>
      </c>
      <c r="C523" s="16">
        <v>4.0625</v>
      </c>
      <c r="D523" s="16">
        <v>4.2722619047619057</v>
      </c>
      <c r="E523" s="5">
        <f t="shared" si="67"/>
        <v>8.2738095238094722E-2</v>
      </c>
      <c r="F523" s="5">
        <f t="shared" si="68"/>
        <v>-0.2097619047619057</v>
      </c>
      <c r="G523" s="33">
        <v>4.13</v>
      </c>
      <c r="H523" s="5">
        <f t="shared" si="62"/>
        <v>-0.14226190476190581</v>
      </c>
      <c r="K523" s="15">
        <f t="shared" si="63"/>
        <v>7.375</v>
      </c>
      <c r="L523" s="15"/>
      <c r="M523" s="13">
        <f t="shared" si="64"/>
        <v>41640</v>
      </c>
      <c r="N523" s="5">
        <f>_xlfn.MAXIFS(Sheet1!$B$2:$B$6350,Sheet1!$E$2:$E$6350,Prices!$U523,Sheet1!$F$2:$F$6350,Prices!$V523)</f>
        <v>175.25</v>
      </c>
      <c r="O523" s="5">
        <f>_xlfn.MINIFS(Sheet1!$B$2:$B$6350,Sheet1!$E$2:$E$6350,Prices!$U523,Sheet1!$F$2:$F$6350,Prices!$V523)</f>
        <v>171</v>
      </c>
      <c r="P523" s="5">
        <f>AVERAGEIFS(Sheet1!$B$2:$B$6350,Sheet1!$E$2:$E$6350,Prices!$U523,Sheet1!$F$2:$F$6350,Prices!$V523)</f>
        <v>173.06818181818181</v>
      </c>
      <c r="Q523" s="5">
        <f t="shared" si="59"/>
        <v>2.181818181818187</v>
      </c>
      <c r="R523" s="5">
        <f t="shared" si="60"/>
        <v>-2.068181818181813</v>
      </c>
      <c r="S523" s="5">
        <f t="shared" si="58"/>
        <v>3.2282880835032857</v>
      </c>
      <c r="T523" s="5">
        <f t="shared" si="61"/>
        <v>-1.04397382125862</v>
      </c>
      <c r="U523" s="1">
        <f t="shared" si="65"/>
        <v>1</v>
      </c>
      <c r="V523" s="1">
        <f t="shared" si="66"/>
        <v>2014</v>
      </c>
      <c r="W523" s="5">
        <v>1.3617666666666668</v>
      </c>
    </row>
    <row r="524" spans="1:23" x14ac:dyDescent="0.25">
      <c r="A524" s="13">
        <v>41671</v>
      </c>
      <c r="B524" s="16">
        <v>4.59</v>
      </c>
      <c r="C524" s="16">
        <v>4.3324999999999996</v>
      </c>
      <c r="D524" s="16">
        <v>4.4728947368421057</v>
      </c>
      <c r="E524" s="5">
        <f t="shared" si="67"/>
        <v>0.11710526315789416</v>
      </c>
      <c r="F524" s="5">
        <f t="shared" si="68"/>
        <v>-0.14039473684210613</v>
      </c>
      <c r="G524" s="33">
        <v>4.33</v>
      </c>
      <c r="H524" s="5">
        <f t="shared" si="62"/>
        <v>-0.14289473684210563</v>
      </c>
      <c r="K524" s="15">
        <f t="shared" si="63"/>
        <v>7.7321428571428568</v>
      </c>
      <c r="L524" s="15"/>
      <c r="M524" s="13">
        <f t="shared" si="64"/>
        <v>41671</v>
      </c>
      <c r="N524" s="5">
        <f>_xlfn.MAXIFS(Sheet1!$B$2:$B$6350,Sheet1!$E$2:$E$6350,Prices!$U524,Sheet1!$F$2:$F$6350,Prices!$V524)</f>
        <v>174.75</v>
      </c>
      <c r="O524" s="5">
        <f>_xlfn.MINIFS(Sheet1!$B$2:$B$6350,Sheet1!$E$2:$E$6350,Prices!$U524,Sheet1!$F$2:$F$6350,Prices!$V524)</f>
        <v>169.25</v>
      </c>
      <c r="P524" s="5">
        <f>AVERAGEIFS(Sheet1!$B$2:$B$6350,Sheet1!$E$2:$E$6350,Prices!$U524,Sheet1!$F$2:$F$6350,Prices!$V524)</f>
        <v>173.17500000000001</v>
      </c>
      <c r="Q524" s="5">
        <f t="shared" si="59"/>
        <v>1.5749999999999886</v>
      </c>
      <c r="R524" s="5">
        <f t="shared" si="60"/>
        <v>-3.9250000000000114</v>
      </c>
      <c r="S524" s="5">
        <f t="shared" si="58"/>
        <v>3.2188310786283902</v>
      </c>
      <c r="T524" s="5">
        <f t="shared" si="61"/>
        <v>-1.2540636582137155</v>
      </c>
      <c r="U524" s="1">
        <f t="shared" si="65"/>
        <v>2</v>
      </c>
      <c r="V524" s="1">
        <f t="shared" si="66"/>
        <v>2014</v>
      </c>
      <c r="W524" s="5">
        <v>1.3666105263157895</v>
      </c>
    </row>
    <row r="525" spans="1:23" x14ac:dyDescent="0.25">
      <c r="A525" s="13">
        <v>41699</v>
      </c>
      <c r="B525" s="16">
        <v>5.0374999999999996</v>
      </c>
      <c r="C525" s="16">
        <v>4.6399999999999997</v>
      </c>
      <c r="D525" s="16">
        <v>4.8548809523809524</v>
      </c>
      <c r="E525" s="5">
        <f t="shared" si="67"/>
        <v>0.18261904761904724</v>
      </c>
      <c r="F525" s="5">
        <f t="shared" si="68"/>
        <v>-0.21488095238095273</v>
      </c>
      <c r="G525" s="33">
        <v>4.6399999999999997</v>
      </c>
      <c r="H525" s="5">
        <f t="shared" si="62"/>
        <v>-0.21488095238095273</v>
      </c>
      <c r="K525" s="15">
        <f t="shared" si="63"/>
        <v>8.2857142857142847</v>
      </c>
      <c r="L525" s="15"/>
      <c r="M525" s="13">
        <f t="shared" si="64"/>
        <v>41699</v>
      </c>
      <c r="N525" s="5">
        <f>_xlfn.MAXIFS(Sheet1!$B$2:$B$6350,Sheet1!$E$2:$E$6350,Prices!$U525,Sheet1!$F$2:$F$6350,Prices!$V525)</f>
        <v>186.75</v>
      </c>
      <c r="O525" s="5">
        <f>_xlfn.MINIFS(Sheet1!$B$2:$B$6350,Sheet1!$E$2:$E$6350,Prices!$U525,Sheet1!$F$2:$F$6350,Prices!$V525)</f>
        <v>170</v>
      </c>
      <c r="P525" s="5">
        <f>AVERAGEIFS(Sheet1!$B$2:$B$6350,Sheet1!$E$2:$E$6350,Prices!$U525,Sheet1!$F$2:$F$6350,Prices!$V525)</f>
        <v>183.13095238095238</v>
      </c>
      <c r="Q525" s="5">
        <f t="shared" si="59"/>
        <v>3.6190476190476204</v>
      </c>
      <c r="R525" s="5">
        <f t="shared" si="60"/>
        <v>-13.13095238095238</v>
      </c>
      <c r="S525" s="5">
        <f t="shared" si="58"/>
        <v>3.3648084714442414</v>
      </c>
      <c r="T525" s="5">
        <f t="shared" si="61"/>
        <v>-1.490072480936711</v>
      </c>
      <c r="U525" s="1">
        <f t="shared" si="65"/>
        <v>3</v>
      </c>
      <c r="V525" s="1">
        <f t="shared" si="66"/>
        <v>2014</v>
      </c>
      <c r="W525" s="5">
        <v>1.3824809523809525</v>
      </c>
    </row>
    <row r="526" spans="1:23" x14ac:dyDescent="0.25">
      <c r="A526" s="13">
        <v>41730</v>
      </c>
      <c r="B526" s="16">
        <v>5.19</v>
      </c>
      <c r="C526" s="16">
        <v>4.8550000000000004</v>
      </c>
      <c r="D526" s="16">
        <v>5.0220238095238097</v>
      </c>
      <c r="E526" s="5">
        <f t="shared" si="67"/>
        <v>0.16797619047619072</v>
      </c>
      <c r="F526" s="5">
        <f t="shared" si="68"/>
        <v>-0.16702380952380924</v>
      </c>
      <c r="G526" s="33">
        <v>4.9800000000000004</v>
      </c>
      <c r="H526" s="5">
        <f t="shared" si="62"/>
        <v>-4.2023809523809241E-2</v>
      </c>
      <c r="K526" s="15">
        <f t="shared" si="63"/>
        <v>8.8928571428571441</v>
      </c>
      <c r="L526" s="15"/>
      <c r="M526" s="13">
        <f t="shared" si="64"/>
        <v>41730</v>
      </c>
      <c r="N526" s="5">
        <f>_xlfn.MAXIFS(Sheet1!$B$2:$B$6350,Sheet1!$E$2:$E$6350,Prices!$U526,Sheet1!$F$2:$F$6350,Prices!$V526)</f>
        <v>189.5</v>
      </c>
      <c r="O526" s="5">
        <f>_xlfn.MINIFS(Sheet1!$B$2:$B$6350,Sheet1!$E$2:$E$6350,Prices!$U526,Sheet1!$F$2:$F$6350,Prices!$V526)</f>
        <v>184.25</v>
      </c>
      <c r="P526" s="5">
        <f>AVERAGEIFS(Sheet1!$B$2:$B$6350,Sheet1!$E$2:$E$6350,Prices!$U526,Sheet1!$F$2:$F$6350,Prices!$V526)</f>
        <v>186.625</v>
      </c>
      <c r="Q526" s="5">
        <f t="shared" si="59"/>
        <v>2.875</v>
      </c>
      <c r="R526" s="5">
        <f t="shared" si="60"/>
        <v>-2.375</v>
      </c>
      <c r="S526" s="5">
        <f t="shared" si="58"/>
        <v>3.4328976029706295</v>
      </c>
      <c r="T526" s="5">
        <f t="shared" si="61"/>
        <v>-1.5891262065531802</v>
      </c>
      <c r="U526" s="1">
        <f t="shared" si="65"/>
        <v>4</v>
      </c>
      <c r="V526" s="1">
        <f t="shared" si="66"/>
        <v>2014</v>
      </c>
      <c r="W526" s="5">
        <v>1.3809142857142855</v>
      </c>
    </row>
    <row r="527" spans="1:23" x14ac:dyDescent="0.25">
      <c r="A527" s="13">
        <v>41760</v>
      </c>
      <c r="B527" s="16">
        <v>5.2275</v>
      </c>
      <c r="C527" s="16">
        <v>4.6500000000000004</v>
      </c>
      <c r="D527" s="16">
        <v>4.9014285714285721</v>
      </c>
      <c r="E527" s="5">
        <f t="shared" si="67"/>
        <v>0.3260714285714279</v>
      </c>
      <c r="F527" s="5">
        <f t="shared" si="68"/>
        <v>-0.25142857142857178</v>
      </c>
      <c r="G527" s="33">
        <v>4.72</v>
      </c>
      <c r="H527" s="5">
        <f t="shared" si="62"/>
        <v>-0.18142857142857238</v>
      </c>
      <c r="K527" s="15">
        <f t="shared" si="63"/>
        <v>8.4285714285714288</v>
      </c>
      <c r="L527" s="15"/>
      <c r="M527" s="13">
        <f t="shared" si="64"/>
        <v>41760</v>
      </c>
      <c r="N527" s="5">
        <f>_xlfn.MAXIFS(Sheet1!$B$2:$B$6350,Sheet1!$E$2:$E$6350,Prices!$U527,Sheet1!$F$2:$F$6350,Prices!$V527)</f>
        <v>186</v>
      </c>
      <c r="O527" s="5">
        <f>_xlfn.MINIFS(Sheet1!$B$2:$B$6350,Sheet1!$E$2:$E$6350,Prices!$U527,Sheet1!$F$2:$F$6350,Prices!$V527)</f>
        <v>171</v>
      </c>
      <c r="P527" s="5">
        <f>AVERAGEIFS(Sheet1!$B$2:$B$6350,Sheet1!$E$2:$E$6350,Prices!$U527,Sheet1!$F$2:$F$6350,Prices!$V527)</f>
        <v>178.8095238095238</v>
      </c>
      <c r="Q527" s="5">
        <f t="shared" si="59"/>
        <v>7.190476190476204</v>
      </c>
      <c r="R527" s="5">
        <f t="shared" si="60"/>
        <v>-7.809523809523796</v>
      </c>
      <c r="S527" s="5">
        <f t="shared" si="58"/>
        <v>3.3066606040904025</v>
      </c>
      <c r="T527" s="5">
        <f t="shared" si="61"/>
        <v>-1.5947679673381696</v>
      </c>
      <c r="U527" s="1">
        <f t="shared" si="65"/>
        <v>5</v>
      </c>
      <c r="V527" s="1">
        <f t="shared" si="66"/>
        <v>2014</v>
      </c>
      <c r="W527" s="5">
        <v>1.3735952380952381</v>
      </c>
    </row>
    <row r="528" spans="1:23" x14ac:dyDescent="0.25">
      <c r="A528" s="13">
        <v>41791</v>
      </c>
      <c r="B528" s="16">
        <v>4.7050000000000001</v>
      </c>
      <c r="C528" s="16">
        <v>4.2249999999999996</v>
      </c>
      <c r="D528" s="16">
        <v>4.4666670000000002</v>
      </c>
      <c r="E528" s="5">
        <f t="shared" si="67"/>
        <v>0.23833299999999991</v>
      </c>
      <c r="F528" s="5">
        <f t="shared" si="68"/>
        <v>-0.24166700000000052</v>
      </c>
      <c r="G528" s="33">
        <v>4.37</v>
      </c>
      <c r="H528" s="5">
        <f t="shared" si="62"/>
        <v>-9.6667000000000058E-2</v>
      </c>
      <c r="K528" s="15">
        <f t="shared" si="63"/>
        <v>7.8035714285714288</v>
      </c>
      <c r="L528" s="15"/>
      <c r="M528" s="13">
        <f t="shared" si="64"/>
        <v>41791</v>
      </c>
      <c r="N528" s="5">
        <f>_xlfn.MAXIFS(Sheet1!$B$2:$B$6350,Sheet1!$E$2:$E$6350,Prices!$U528,Sheet1!$F$2:$F$6350,Prices!$V528)</f>
        <v>178.5</v>
      </c>
      <c r="O528" s="5">
        <f>_xlfn.MINIFS(Sheet1!$B$2:$B$6350,Sheet1!$E$2:$E$6350,Prices!$U528,Sheet1!$F$2:$F$6350,Prices!$V528)</f>
        <v>168</v>
      </c>
      <c r="P528" s="5">
        <f>AVERAGEIFS(Sheet1!$B$2:$B$6350,Sheet1!$E$2:$E$6350,Prices!$U528,Sheet1!$F$2:$F$6350,Prices!$V528)</f>
        <v>174.5</v>
      </c>
      <c r="Q528" s="5">
        <f t="shared" si="59"/>
        <v>4</v>
      </c>
      <c r="R528" s="5">
        <f t="shared" si="60"/>
        <v>-6.5</v>
      </c>
      <c r="S528" s="5">
        <f t="shared" si="58"/>
        <v>3.2593614310892449</v>
      </c>
      <c r="T528" s="5">
        <f t="shared" si="61"/>
        <v>-1.2073055689107552</v>
      </c>
      <c r="U528" s="1">
        <f t="shared" si="65"/>
        <v>6</v>
      </c>
      <c r="V528" s="1">
        <f t="shared" si="66"/>
        <v>2014</v>
      </c>
      <c r="W528" s="5">
        <v>1.3599428571428571</v>
      </c>
    </row>
    <row r="529" spans="1:23" x14ac:dyDescent="0.25">
      <c r="A529" s="13">
        <v>41821</v>
      </c>
      <c r="B529" s="16">
        <v>4.1849999999999996</v>
      </c>
      <c r="C529" s="16">
        <v>3.5649999999999999</v>
      </c>
      <c r="D529" s="16">
        <v>3.7890910000000004</v>
      </c>
      <c r="E529" s="5">
        <f t="shared" si="67"/>
        <v>0.39590899999999918</v>
      </c>
      <c r="F529" s="5">
        <f t="shared" si="68"/>
        <v>-0.22409100000000048</v>
      </c>
      <c r="G529" s="33">
        <v>3.74</v>
      </c>
      <c r="H529" s="5">
        <f t="shared" si="62"/>
        <v>-4.9091000000000218E-2</v>
      </c>
      <c r="K529" s="15">
        <f t="shared" si="63"/>
        <v>6.6785714285714297</v>
      </c>
      <c r="L529" s="15"/>
      <c r="M529" s="13">
        <f t="shared" si="64"/>
        <v>41821</v>
      </c>
      <c r="N529" s="5">
        <f>_xlfn.MAXIFS(Sheet1!$B$2:$B$6350,Sheet1!$E$2:$E$6350,Prices!$U529,Sheet1!$F$2:$F$6350,Prices!$V529)</f>
        <v>171.5</v>
      </c>
      <c r="O529" s="5">
        <f>_xlfn.MINIFS(Sheet1!$B$2:$B$6350,Sheet1!$E$2:$E$6350,Prices!$U529,Sheet1!$F$2:$F$6350,Prices!$V529)</f>
        <v>156.25</v>
      </c>
      <c r="P529" s="5">
        <f>AVERAGEIFS(Sheet1!$B$2:$B$6350,Sheet1!$E$2:$E$6350,Prices!$U529,Sheet1!$F$2:$F$6350,Prices!$V529)</f>
        <v>165.95652173913044</v>
      </c>
      <c r="Q529" s="5">
        <f t="shared" si="59"/>
        <v>5.5434782608695627</v>
      </c>
      <c r="R529" s="5">
        <f t="shared" si="60"/>
        <v>-9.7065217391304373</v>
      </c>
      <c r="S529" s="5">
        <f t="shared" si="58"/>
        <v>3.1146020563264676</v>
      </c>
      <c r="T529" s="5">
        <f t="shared" si="61"/>
        <v>-0.67448894367353285</v>
      </c>
      <c r="U529" s="1">
        <f t="shared" si="65"/>
        <v>7</v>
      </c>
      <c r="V529" s="1">
        <f t="shared" si="66"/>
        <v>2014</v>
      </c>
      <c r="W529" s="5">
        <v>1.3534727272727272</v>
      </c>
    </row>
    <row r="530" spans="1:23" x14ac:dyDescent="0.25">
      <c r="A530" s="13">
        <v>41852</v>
      </c>
      <c r="B530" s="16">
        <v>3.7</v>
      </c>
      <c r="C530" s="16">
        <v>3.4775</v>
      </c>
      <c r="D530" s="16">
        <v>3.5934519999999996</v>
      </c>
      <c r="E530" s="5">
        <f t="shared" si="67"/>
        <v>0.10654800000000053</v>
      </c>
      <c r="F530" s="5">
        <f t="shared" si="68"/>
        <v>-0.11595199999999961</v>
      </c>
      <c r="G530" s="33">
        <v>3.59</v>
      </c>
      <c r="H530" s="5">
        <f t="shared" si="62"/>
        <v>-3.4519999999997886E-3</v>
      </c>
      <c r="K530" s="15">
        <f t="shared" si="63"/>
        <v>6.4107142857142847</v>
      </c>
      <c r="L530" s="15"/>
      <c r="M530" s="13">
        <f t="shared" si="64"/>
        <v>41852</v>
      </c>
      <c r="N530" s="5">
        <f>_xlfn.MAXIFS(Sheet1!$B$2:$B$6350,Sheet1!$E$2:$E$6350,Prices!$U530,Sheet1!$F$2:$F$6350,Prices!$V530)</f>
        <v>163.5</v>
      </c>
      <c r="O530" s="5">
        <f>_xlfn.MINIFS(Sheet1!$B$2:$B$6350,Sheet1!$E$2:$E$6350,Prices!$U530,Sheet1!$F$2:$F$6350,Prices!$V530)</f>
        <v>151</v>
      </c>
      <c r="P530" s="5">
        <f>AVERAGEIFS(Sheet1!$B$2:$B$6350,Sheet1!$E$2:$E$6350,Prices!$U530,Sheet1!$F$2:$F$6350,Prices!$V530)</f>
        <v>154.41666666666666</v>
      </c>
      <c r="Q530" s="5">
        <f t="shared" si="59"/>
        <v>9.0833333333333428</v>
      </c>
      <c r="R530" s="5">
        <f t="shared" si="60"/>
        <v>-3.4166666666666572</v>
      </c>
      <c r="S530" s="5">
        <f t="shared" si="58"/>
        <v>2.9461985527823562</v>
      </c>
      <c r="T530" s="5">
        <f t="shared" si="61"/>
        <v>-0.64725344721764344</v>
      </c>
      <c r="U530" s="1">
        <f t="shared" si="65"/>
        <v>8</v>
      </c>
      <c r="V530" s="1">
        <f t="shared" si="66"/>
        <v>2014</v>
      </c>
      <c r="W530" s="5">
        <v>1.3313428571428569</v>
      </c>
    </row>
    <row r="531" spans="1:23" x14ac:dyDescent="0.25">
      <c r="A531" s="13">
        <v>41883</v>
      </c>
      <c r="B531" s="16">
        <v>3.6749999999999998</v>
      </c>
      <c r="C531" s="16">
        <v>3.1949999999999998</v>
      </c>
      <c r="D531" s="16">
        <v>3.3880950000000003</v>
      </c>
      <c r="E531" s="5">
        <f t="shared" si="67"/>
        <v>0.28690499999999952</v>
      </c>
      <c r="F531" s="5">
        <f t="shared" si="68"/>
        <v>-0.19309500000000046</v>
      </c>
      <c r="G531" s="33">
        <v>3.16</v>
      </c>
      <c r="H531" s="5">
        <f t="shared" si="62"/>
        <v>-0.22809500000000016</v>
      </c>
      <c r="K531" s="15">
        <f t="shared" si="63"/>
        <v>5.6428571428571432</v>
      </c>
      <c r="L531" s="15"/>
      <c r="M531" s="13">
        <f t="shared" si="64"/>
        <v>41883</v>
      </c>
      <c r="N531" s="5">
        <f>_xlfn.MAXIFS(Sheet1!$B$2:$B$6350,Sheet1!$E$2:$E$6350,Prices!$U531,Sheet1!$F$2:$F$6350,Prices!$V531)</f>
        <v>151.75</v>
      </c>
      <c r="O531" s="5">
        <f>_xlfn.MINIFS(Sheet1!$B$2:$B$6350,Sheet1!$E$2:$E$6350,Prices!$U531,Sheet1!$F$2:$F$6350,Prices!$V531)</f>
        <v>131.25</v>
      </c>
      <c r="P531" s="5">
        <f>AVERAGEIFS(Sheet1!$B$2:$B$6350,Sheet1!$E$2:$E$6350,Prices!$U531,Sheet1!$F$2:$F$6350,Prices!$V531)</f>
        <v>141.31818181818181</v>
      </c>
      <c r="Q531" s="5">
        <f t="shared" si="59"/>
        <v>10.431818181818187</v>
      </c>
      <c r="R531" s="5">
        <f t="shared" si="60"/>
        <v>-10.068181818181813</v>
      </c>
      <c r="S531" s="5">
        <f t="shared" si="58"/>
        <v>2.7863494018769837</v>
      </c>
      <c r="T531" s="5">
        <f t="shared" si="61"/>
        <v>-0.60174559812301665</v>
      </c>
      <c r="U531" s="1">
        <f t="shared" si="65"/>
        <v>9</v>
      </c>
      <c r="V531" s="1">
        <f t="shared" si="66"/>
        <v>2014</v>
      </c>
      <c r="W531" s="5">
        <v>1.2883095238095239</v>
      </c>
    </row>
    <row r="532" spans="1:23" x14ac:dyDescent="0.25">
      <c r="A532" s="13">
        <v>41913</v>
      </c>
      <c r="B532" s="16">
        <v>3.81</v>
      </c>
      <c r="C532" s="16">
        <v>3.1825000000000001</v>
      </c>
      <c r="D532" s="16">
        <v>3.4941300000000002</v>
      </c>
      <c r="E532" s="5">
        <f t="shared" si="67"/>
        <v>0.31586999999999987</v>
      </c>
      <c r="F532" s="5">
        <f t="shared" si="68"/>
        <v>-0.31163000000000007</v>
      </c>
      <c r="G532" s="33">
        <v>3.09</v>
      </c>
      <c r="H532" s="5">
        <f t="shared" si="62"/>
        <v>-0.40413000000000032</v>
      </c>
      <c r="K532" s="15">
        <f t="shared" si="63"/>
        <v>5.5178571428571423</v>
      </c>
      <c r="L532" s="15"/>
      <c r="M532" s="13">
        <f t="shared" si="64"/>
        <v>41913</v>
      </c>
      <c r="N532" s="5">
        <f>_xlfn.MAXIFS(Sheet1!$B$2:$B$6350,Sheet1!$E$2:$E$6350,Prices!$U532,Sheet1!$F$2:$F$6350,Prices!$V532)</f>
        <v>145.75</v>
      </c>
      <c r="O532" s="5">
        <f>_xlfn.MINIFS(Sheet1!$B$2:$B$6350,Sheet1!$E$2:$E$6350,Prices!$U532,Sheet1!$F$2:$F$6350,Prices!$V532)</f>
        <v>139.25</v>
      </c>
      <c r="P532" s="5">
        <f>AVERAGEIFS(Sheet1!$B$2:$B$6350,Sheet1!$E$2:$E$6350,Prices!$U532,Sheet1!$F$2:$F$6350,Prices!$V532)</f>
        <v>142.75</v>
      </c>
      <c r="Q532" s="5">
        <f t="shared" si="59"/>
        <v>3</v>
      </c>
      <c r="R532" s="5">
        <f t="shared" si="60"/>
        <v>-3.5</v>
      </c>
      <c r="S532" s="5">
        <f t="shared" si="58"/>
        <v>2.8594359006733199</v>
      </c>
      <c r="T532" s="5">
        <f t="shared" si="61"/>
        <v>-0.63469409932668031</v>
      </c>
      <c r="U532" s="1">
        <f t="shared" si="65"/>
        <v>10</v>
      </c>
      <c r="V532" s="1">
        <f t="shared" si="66"/>
        <v>2014</v>
      </c>
      <c r="W532" s="5">
        <v>1.2681</v>
      </c>
    </row>
    <row r="533" spans="1:23" x14ac:dyDescent="0.25">
      <c r="A533" s="13">
        <v>41944</v>
      </c>
      <c r="B533" s="16">
        <v>3.89</v>
      </c>
      <c r="C533" s="16">
        <v>3.59</v>
      </c>
      <c r="D533" s="16">
        <v>3.7317110000000002</v>
      </c>
      <c r="E533" s="5">
        <f t="shared" si="67"/>
        <v>0.1582889999999999</v>
      </c>
      <c r="F533" s="5">
        <f t="shared" si="68"/>
        <v>-0.14171100000000036</v>
      </c>
      <c r="G533" s="33">
        <v>3.45</v>
      </c>
      <c r="H533" s="5">
        <f t="shared" si="62"/>
        <v>-0.28171100000000004</v>
      </c>
      <c r="K533" s="15">
        <f t="shared" si="63"/>
        <v>6.1607142857142865</v>
      </c>
      <c r="L533" s="15"/>
      <c r="M533" s="13">
        <f t="shared" si="64"/>
        <v>41944</v>
      </c>
      <c r="N533" s="5">
        <f>_xlfn.MAXIFS(Sheet1!$B$2:$B$6350,Sheet1!$E$2:$E$6350,Prices!$U533,Sheet1!$F$2:$F$6350,Prices!$V533)</f>
        <v>156.5</v>
      </c>
      <c r="O533" s="5">
        <f>_xlfn.MINIFS(Sheet1!$B$2:$B$6350,Sheet1!$E$2:$E$6350,Prices!$U533,Sheet1!$F$2:$F$6350,Prices!$V533)</f>
        <v>136.75</v>
      </c>
      <c r="P533" s="5">
        <f>AVERAGEIFS(Sheet1!$B$2:$B$6350,Sheet1!$E$2:$E$6350,Prices!$U533,Sheet1!$F$2:$F$6350,Prices!$V533)</f>
        <v>151.85</v>
      </c>
      <c r="Q533" s="5">
        <f t="shared" si="59"/>
        <v>4.6500000000000057</v>
      </c>
      <c r="R533" s="5">
        <f t="shared" si="60"/>
        <v>-15.099999999999994</v>
      </c>
      <c r="S533" s="5">
        <f t="shared" si="58"/>
        <v>3.0922858617609168</v>
      </c>
      <c r="T533" s="5">
        <f t="shared" si="61"/>
        <v>-0.63942513823908342</v>
      </c>
      <c r="U533" s="1">
        <f t="shared" si="65"/>
        <v>11</v>
      </c>
      <c r="V533" s="1">
        <f t="shared" si="66"/>
        <v>2014</v>
      </c>
      <c r="W533" s="5">
        <v>1.2473631578947371</v>
      </c>
    </row>
    <row r="534" spans="1:23" x14ac:dyDescent="0.25">
      <c r="A534" s="13">
        <v>41974</v>
      </c>
      <c r="B534" s="16">
        <v>4.17</v>
      </c>
      <c r="C534" s="16">
        <v>3.7725</v>
      </c>
      <c r="D534" s="16">
        <v>4.0144320000000002</v>
      </c>
      <c r="E534" s="5">
        <f t="shared" si="67"/>
        <v>0.15556799999999971</v>
      </c>
      <c r="F534" s="5">
        <f t="shared" si="68"/>
        <v>-0.24193200000000026</v>
      </c>
      <c r="G534" s="33">
        <v>3.75</v>
      </c>
      <c r="H534" s="5">
        <f t="shared" si="62"/>
        <v>-0.26443200000000022</v>
      </c>
      <c r="K534" s="15">
        <f t="shared" si="63"/>
        <v>6.6964285714285712</v>
      </c>
      <c r="L534" s="15"/>
      <c r="M534" s="13">
        <f t="shared" si="64"/>
        <v>41974</v>
      </c>
      <c r="N534" s="5">
        <f>_xlfn.MAXIFS(Sheet1!$B$2:$B$6350,Sheet1!$E$2:$E$6350,Prices!$U534,Sheet1!$F$2:$F$6350,Prices!$V534)</f>
        <v>169.25</v>
      </c>
      <c r="O534" s="5">
        <f>_xlfn.MINIFS(Sheet1!$B$2:$B$6350,Sheet1!$E$2:$E$6350,Prices!$U534,Sheet1!$F$2:$F$6350,Prices!$V534)</f>
        <v>158</v>
      </c>
      <c r="P534" s="5">
        <f>AVERAGEIFS(Sheet1!$B$2:$B$6350,Sheet1!$E$2:$E$6350,Prices!$U534,Sheet1!$F$2:$F$6350,Prices!$V534)</f>
        <v>162.6547619047619</v>
      </c>
      <c r="Q534" s="5">
        <f t="shared" si="59"/>
        <v>6.595238095238102</v>
      </c>
      <c r="R534" s="5">
        <f t="shared" si="60"/>
        <v>-4.654761904761898</v>
      </c>
      <c r="S534" s="5">
        <f t="shared" si="58"/>
        <v>3.3566167831855789</v>
      </c>
      <c r="T534" s="5">
        <f t="shared" si="61"/>
        <v>-0.65781521681442134</v>
      </c>
      <c r="U534" s="1">
        <f t="shared" si="65"/>
        <v>12</v>
      </c>
      <c r="V534" s="1">
        <f t="shared" si="66"/>
        <v>2014</v>
      </c>
      <c r="W534" s="5">
        <v>1.2308999999999999</v>
      </c>
    </row>
    <row r="535" spans="1:23" x14ac:dyDescent="0.25">
      <c r="A535" s="13">
        <v>42005</v>
      </c>
      <c r="B535" s="16">
        <v>4.0949999999999998</v>
      </c>
      <c r="C535" s="16">
        <v>3.6575000000000002</v>
      </c>
      <c r="D535" s="16">
        <v>3.8810000000000002</v>
      </c>
      <c r="E535" s="5">
        <f t="shared" si="67"/>
        <v>0.21399999999999952</v>
      </c>
      <c r="F535" s="5">
        <f t="shared" si="68"/>
        <v>-0.22350000000000003</v>
      </c>
      <c r="G535" s="33">
        <v>3.67</v>
      </c>
      <c r="H535" s="5">
        <f t="shared" si="62"/>
        <v>-0.2110000000000003</v>
      </c>
      <c r="K535" s="15">
        <f t="shared" si="63"/>
        <v>6.5535714285714279</v>
      </c>
      <c r="L535" s="15"/>
      <c r="M535" s="13">
        <f t="shared" si="64"/>
        <v>42005</v>
      </c>
      <c r="N535" s="5">
        <f>_xlfn.MAXIFS(Sheet1!$B$2:$B$6350,Sheet1!$E$2:$E$6350,Prices!$U535,Sheet1!$F$2:$F$6350,Prices!$V535)</f>
        <v>168.25</v>
      </c>
      <c r="O535" s="5">
        <f>_xlfn.MINIFS(Sheet1!$B$2:$B$6350,Sheet1!$E$2:$E$6350,Prices!$U535,Sheet1!$F$2:$F$6350,Prices!$V535)</f>
        <v>152.5</v>
      </c>
      <c r="P535" s="5">
        <f>AVERAGEIFS(Sheet1!$B$2:$B$6350,Sheet1!$E$2:$E$6350,Prices!$U535,Sheet1!$F$2:$F$6350,Prices!$V535)</f>
        <v>159.26190476190476</v>
      </c>
      <c r="Q535" s="5">
        <f t="shared" si="59"/>
        <v>8.9880952380952408</v>
      </c>
      <c r="R535" s="5">
        <f t="shared" si="60"/>
        <v>-6.7619047619047592</v>
      </c>
      <c r="S535" s="5">
        <f t="shared" si="58"/>
        <v>3.4857666987846292</v>
      </c>
      <c r="T535" s="5">
        <f t="shared" si="61"/>
        <v>-0.39523330121537104</v>
      </c>
      <c r="U535" s="1">
        <f t="shared" si="65"/>
        <v>1</v>
      </c>
      <c r="V535" s="1">
        <f t="shared" si="66"/>
        <v>2015</v>
      </c>
      <c r="W535" s="5">
        <v>1.1605699999999999</v>
      </c>
    </row>
    <row r="536" spans="1:23" x14ac:dyDescent="0.25">
      <c r="A536" s="13">
        <v>42036</v>
      </c>
      <c r="B536" s="16">
        <v>3.9175</v>
      </c>
      <c r="C536" s="16">
        <v>3.6749999999999998</v>
      </c>
      <c r="D536" s="16">
        <v>3.8368419999999999</v>
      </c>
      <c r="E536" s="5">
        <f t="shared" si="67"/>
        <v>8.0658000000000118E-2</v>
      </c>
      <c r="F536" s="5">
        <f t="shared" si="68"/>
        <v>-0.16184200000000004</v>
      </c>
      <c r="G536" s="33">
        <v>3.65</v>
      </c>
      <c r="H536" s="5">
        <f t="shared" si="62"/>
        <v>-0.18684199999999995</v>
      </c>
      <c r="K536" s="15">
        <f t="shared" si="63"/>
        <v>6.5178571428571432</v>
      </c>
      <c r="L536" s="15"/>
      <c r="M536" s="13">
        <f t="shared" si="64"/>
        <v>42036</v>
      </c>
      <c r="N536" s="5">
        <f>_xlfn.MAXIFS(Sheet1!$B$2:$B$6350,Sheet1!$E$2:$E$6350,Prices!$U536,Sheet1!$F$2:$F$6350,Prices!$V536)</f>
        <v>155.75</v>
      </c>
      <c r="O536" s="5">
        <f>_xlfn.MINIFS(Sheet1!$B$2:$B$6350,Sheet1!$E$2:$E$6350,Prices!$U536,Sheet1!$F$2:$F$6350,Prices!$V536)</f>
        <v>148.5</v>
      </c>
      <c r="P536" s="5">
        <f>AVERAGEIFS(Sheet1!$B$2:$B$6350,Sheet1!$E$2:$E$6350,Prices!$U536,Sheet1!$F$2:$F$6350,Prices!$V536)</f>
        <v>152.41249999999999</v>
      </c>
      <c r="Q536" s="5">
        <f t="shared" si="59"/>
        <v>3.3375000000000057</v>
      </c>
      <c r="R536" s="5">
        <f t="shared" si="60"/>
        <v>-3.9124999999999943</v>
      </c>
      <c r="S536" s="5">
        <f t="shared" si="58"/>
        <v>3.4105789313980508</v>
      </c>
      <c r="T536" s="5">
        <f t="shared" si="61"/>
        <v>-0.42626306860194907</v>
      </c>
      <c r="U536" s="1">
        <f t="shared" si="65"/>
        <v>2</v>
      </c>
      <c r="V536" s="1">
        <f t="shared" si="66"/>
        <v>2015</v>
      </c>
      <c r="W536" s="5">
        <v>1.1351421052631576</v>
      </c>
    </row>
    <row r="537" spans="1:23" x14ac:dyDescent="0.25">
      <c r="A537" s="13">
        <v>42064</v>
      </c>
      <c r="B537" s="16">
        <v>3.9849999999999999</v>
      </c>
      <c r="C537" s="16">
        <v>3.67</v>
      </c>
      <c r="D537" s="16">
        <v>3.8620450000000002</v>
      </c>
      <c r="E537" s="5">
        <f t="shared" si="67"/>
        <v>0.1229549999999997</v>
      </c>
      <c r="F537" s="5">
        <f t="shared" si="68"/>
        <v>-0.19204500000000024</v>
      </c>
      <c r="G537" s="33">
        <v>3.66</v>
      </c>
      <c r="H537" s="5">
        <f t="shared" si="62"/>
        <v>-0.20204500000000003</v>
      </c>
      <c r="K537" s="15">
        <f t="shared" si="63"/>
        <v>6.5357142857142865</v>
      </c>
      <c r="L537" s="15"/>
      <c r="M537" s="13">
        <f t="shared" si="64"/>
        <v>42064</v>
      </c>
      <c r="N537" s="5">
        <f>_xlfn.MAXIFS(Sheet1!$B$2:$B$6350,Sheet1!$E$2:$E$6350,Prices!$U537,Sheet1!$F$2:$F$6350,Prices!$V537)</f>
        <v>165.25</v>
      </c>
      <c r="O537" s="5">
        <f>_xlfn.MINIFS(Sheet1!$B$2:$B$6350,Sheet1!$E$2:$E$6350,Prices!$U537,Sheet1!$F$2:$F$6350,Prices!$V537)</f>
        <v>146.25</v>
      </c>
      <c r="P537" s="5">
        <f>AVERAGEIFS(Sheet1!$B$2:$B$6350,Sheet1!$E$2:$E$6350,Prices!$U537,Sheet1!$F$2:$F$6350,Prices!$V537)</f>
        <v>160.48863636363637</v>
      </c>
      <c r="Q537" s="5">
        <f t="shared" si="59"/>
        <v>4.761363636363626</v>
      </c>
      <c r="R537" s="5">
        <f t="shared" si="60"/>
        <v>-14.238636363636374</v>
      </c>
      <c r="S537" s="5">
        <f t="shared" si="58"/>
        <v>3.7651242736824968</v>
      </c>
      <c r="T537" s="5">
        <f t="shared" si="61"/>
        <v>-9.692072631750337E-2</v>
      </c>
      <c r="U537" s="1">
        <f t="shared" si="65"/>
        <v>3</v>
      </c>
      <c r="V537" s="1">
        <f t="shared" si="66"/>
        <v>2015</v>
      </c>
      <c r="W537" s="5">
        <v>1.0827363636363638</v>
      </c>
    </row>
    <row r="538" spans="1:23" x14ac:dyDescent="0.25">
      <c r="A538" s="13">
        <v>42095</v>
      </c>
      <c r="B538" s="16">
        <v>3.9</v>
      </c>
      <c r="C538" s="16">
        <v>3.59</v>
      </c>
      <c r="D538" s="16">
        <v>3.7396429999999996</v>
      </c>
      <c r="E538" s="5">
        <f t="shared" si="67"/>
        <v>0.1603570000000003</v>
      </c>
      <c r="F538" s="5">
        <f t="shared" si="68"/>
        <v>-0.14964299999999975</v>
      </c>
      <c r="G538" s="33">
        <v>3.59</v>
      </c>
      <c r="H538" s="5">
        <f t="shared" si="62"/>
        <v>-0.14964299999999975</v>
      </c>
      <c r="K538" s="15">
        <f t="shared" si="63"/>
        <v>6.4107142857142847</v>
      </c>
      <c r="L538" s="15"/>
      <c r="M538" s="13">
        <f t="shared" si="64"/>
        <v>42095</v>
      </c>
      <c r="N538" s="5">
        <f>_xlfn.MAXIFS(Sheet1!$B$2:$B$6350,Sheet1!$E$2:$E$6350,Prices!$U538,Sheet1!$F$2:$F$6350,Prices!$V538)</f>
        <v>165.5</v>
      </c>
      <c r="O538" s="5">
        <f>_xlfn.MINIFS(Sheet1!$B$2:$B$6350,Sheet1!$E$2:$E$6350,Prices!$U538,Sheet1!$F$2:$F$6350,Prices!$V538)</f>
        <v>157</v>
      </c>
      <c r="P538" s="5">
        <f>AVERAGEIFS(Sheet1!$B$2:$B$6350,Sheet1!$E$2:$E$6350,Prices!$U538,Sheet1!$F$2:$F$6350,Prices!$V538)</f>
        <v>162.44999999999999</v>
      </c>
      <c r="Q538" s="5">
        <f t="shared" si="59"/>
        <v>3.0500000000000114</v>
      </c>
      <c r="R538" s="5">
        <f t="shared" si="60"/>
        <v>-5.4499999999999886</v>
      </c>
      <c r="S538" s="5">
        <f t="shared" si="58"/>
        <v>3.8175966131687038</v>
      </c>
      <c r="T538" s="5">
        <f t="shared" si="61"/>
        <v>7.7953613168704194E-2</v>
      </c>
      <c r="U538" s="1">
        <f t="shared" si="65"/>
        <v>4</v>
      </c>
      <c r="V538" s="1">
        <f t="shared" si="66"/>
        <v>2015</v>
      </c>
      <c r="W538" s="5">
        <v>1.0809047619047618</v>
      </c>
    </row>
    <row r="539" spans="1:23" x14ac:dyDescent="0.25">
      <c r="A539" s="13">
        <v>42125</v>
      </c>
      <c r="B539" s="16">
        <v>3.7149999999999999</v>
      </c>
      <c r="C539" s="16">
        <v>3.4824999999999999</v>
      </c>
      <c r="D539" s="16">
        <v>3.61</v>
      </c>
      <c r="E539" s="5">
        <f t="shared" si="67"/>
        <v>0.10499999999999998</v>
      </c>
      <c r="F539" s="5">
        <f t="shared" si="68"/>
        <v>-0.12749999999999995</v>
      </c>
      <c r="G539" s="33">
        <v>3.49</v>
      </c>
      <c r="H539" s="5">
        <f t="shared" si="62"/>
        <v>-0.11999999999999966</v>
      </c>
      <c r="K539" s="15">
        <f t="shared" si="63"/>
        <v>6.2321428571428577</v>
      </c>
      <c r="L539" s="15"/>
      <c r="M539" s="13">
        <f t="shared" si="64"/>
        <v>42125</v>
      </c>
      <c r="N539" s="5">
        <f>_xlfn.MAXIFS(Sheet1!$B$2:$B$6350,Sheet1!$E$2:$E$6350,Prices!$U539,Sheet1!$F$2:$F$6350,Prices!$V539)</f>
        <v>156.25</v>
      </c>
      <c r="O539" s="5">
        <f>_xlfn.MINIFS(Sheet1!$B$2:$B$6350,Sheet1!$E$2:$E$6350,Prices!$U539,Sheet1!$F$2:$F$6350,Prices!$V539)</f>
        <v>151.5</v>
      </c>
      <c r="P539" s="5">
        <f>AVERAGEIFS(Sheet1!$B$2:$B$6350,Sheet1!$E$2:$E$6350,Prices!$U539,Sheet1!$F$2:$F$6350,Prices!$V539)</f>
        <v>154.33750000000001</v>
      </c>
      <c r="Q539" s="5">
        <f t="shared" si="59"/>
        <v>1.9124999999999943</v>
      </c>
      <c r="R539" s="5">
        <f t="shared" si="60"/>
        <v>-2.8375000000000057</v>
      </c>
      <c r="S539" s="5">
        <f t="shared" si="58"/>
        <v>3.5110690271654557</v>
      </c>
      <c r="T539" s="5">
        <f t="shared" si="61"/>
        <v>-9.8930972834544217E-2</v>
      </c>
      <c r="U539" s="1">
        <f t="shared" si="65"/>
        <v>5</v>
      </c>
      <c r="V539" s="1">
        <f t="shared" si="66"/>
        <v>2015</v>
      </c>
      <c r="W539" s="5">
        <v>1.1165799999999999</v>
      </c>
    </row>
    <row r="540" spans="1:23" x14ac:dyDescent="0.25">
      <c r="A540" s="13">
        <v>42156</v>
      </c>
      <c r="B540" s="16">
        <v>4.1500000000000004</v>
      </c>
      <c r="C540" s="16">
        <v>3.4674999999999998</v>
      </c>
      <c r="D540" s="16">
        <v>3.643977</v>
      </c>
      <c r="E540" s="5">
        <f t="shared" si="67"/>
        <v>0.50602300000000033</v>
      </c>
      <c r="F540" s="5">
        <f t="shared" si="68"/>
        <v>-0.17647700000000022</v>
      </c>
      <c r="G540" s="33">
        <v>3.52</v>
      </c>
      <c r="H540" s="5">
        <f t="shared" si="62"/>
        <v>-0.123977</v>
      </c>
      <c r="K540" s="15">
        <f t="shared" si="63"/>
        <v>6.2857142857142865</v>
      </c>
      <c r="L540" s="15"/>
      <c r="M540" s="13">
        <f t="shared" si="64"/>
        <v>42156</v>
      </c>
      <c r="N540" s="5">
        <f>_xlfn.MAXIFS(Sheet1!$B$2:$B$6350,Sheet1!$E$2:$E$6350,Prices!$U540,Sheet1!$F$2:$F$6350,Prices!$V540)</f>
        <v>186.75</v>
      </c>
      <c r="O540" s="5">
        <f>_xlfn.MINIFS(Sheet1!$B$2:$B$6350,Sheet1!$E$2:$E$6350,Prices!$U540,Sheet1!$F$2:$F$6350,Prices!$V540)</f>
        <v>154</v>
      </c>
      <c r="P540" s="5">
        <f>AVERAGEIFS(Sheet1!$B$2:$B$6350,Sheet1!$E$2:$E$6350,Prices!$U540,Sheet1!$F$2:$F$6350,Prices!$V540)</f>
        <v>164.43181818181819</v>
      </c>
      <c r="Q540" s="5">
        <f t="shared" si="59"/>
        <v>22.318181818181813</v>
      </c>
      <c r="R540" s="5">
        <f t="shared" si="60"/>
        <v>-10.431818181818187</v>
      </c>
      <c r="S540" s="5">
        <f t="shared" si="58"/>
        <v>3.7179983317543859</v>
      </c>
      <c r="T540" s="5">
        <f t="shared" si="61"/>
        <v>7.4021331754385855E-2</v>
      </c>
      <c r="U540" s="1">
        <f t="shared" si="65"/>
        <v>6</v>
      </c>
      <c r="V540" s="1">
        <f t="shared" si="66"/>
        <v>2015</v>
      </c>
      <c r="W540" s="5">
        <v>1.1234</v>
      </c>
    </row>
    <row r="541" spans="1:23" x14ac:dyDescent="0.25">
      <c r="A541" s="13">
        <v>42186</v>
      </c>
      <c r="B541" s="16">
        <v>4.4325000000000001</v>
      </c>
      <c r="C541" s="16">
        <v>3.6575000000000002</v>
      </c>
      <c r="D541" s="16">
        <v>4.0943180000000003</v>
      </c>
      <c r="E541" s="5">
        <f t="shared" si="67"/>
        <v>0.33818199999999976</v>
      </c>
      <c r="F541" s="5">
        <f t="shared" si="68"/>
        <v>-0.43681800000000015</v>
      </c>
      <c r="G541" s="33">
        <v>3.85</v>
      </c>
      <c r="H541" s="5">
        <f t="shared" si="62"/>
        <v>-0.24431800000000026</v>
      </c>
      <c r="K541" s="15">
        <f t="shared" si="63"/>
        <v>6.8750000000000009</v>
      </c>
      <c r="L541" s="15"/>
      <c r="M541" s="13">
        <f t="shared" si="64"/>
        <v>42186</v>
      </c>
      <c r="N541" s="5">
        <f>_xlfn.MAXIFS(Sheet1!$B$2:$B$6350,Sheet1!$E$2:$E$6350,Prices!$U541,Sheet1!$F$2:$F$6350,Prices!$V541)</f>
        <v>193.75</v>
      </c>
      <c r="O541" s="5">
        <f>_xlfn.MINIFS(Sheet1!$B$2:$B$6350,Sheet1!$E$2:$E$6350,Prices!$U541,Sheet1!$F$2:$F$6350,Prices!$V541)</f>
        <v>173.75</v>
      </c>
      <c r="P541" s="5">
        <f>AVERAGEIFS(Sheet1!$B$2:$B$6350,Sheet1!$E$2:$E$6350,Prices!$U541,Sheet1!$F$2:$F$6350,Prices!$V541)</f>
        <v>182.11956521739131</v>
      </c>
      <c r="Q541" s="5">
        <f t="shared" si="59"/>
        <v>11.630434782608688</v>
      </c>
      <c r="R541" s="5">
        <f t="shared" si="60"/>
        <v>-8.3695652173913118</v>
      </c>
      <c r="S541" s="5">
        <f t="shared" si="58"/>
        <v>4.2083040187205931</v>
      </c>
      <c r="T541" s="5">
        <f t="shared" si="61"/>
        <v>0.11398601872059277</v>
      </c>
      <c r="U541" s="1">
        <f t="shared" si="65"/>
        <v>7</v>
      </c>
      <c r="V541" s="1">
        <f t="shared" si="66"/>
        <v>2015</v>
      </c>
      <c r="W541" s="5">
        <v>1.0992772727272728</v>
      </c>
    </row>
    <row r="542" spans="1:23" x14ac:dyDescent="0.25">
      <c r="A542" s="13">
        <v>42217</v>
      </c>
      <c r="B542" s="16">
        <v>3.915</v>
      </c>
      <c r="C542" s="16">
        <v>3.4649999999999999</v>
      </c>
      <c r="D542" s="16">
        <v>3.6771429999999996</v>
      </c>
      <c r="E542" s="5">
        <f t="shared" si="67"/>
        <v>0.23785700000000043</v>
      </c>
      <c r="F542" s="5">
        <f t="shared" si="68"/>
        <v>-0.21214299999999975</v>
      </c>
      <c r="G542" s="33">
        <v>3.51</v>
      </c>
      <c r="H542" s="5">
        <f t="shared" si="62"/>
        <v>-0.16714299999999982</v>
      </c>
      <c r="K542" s="15">
        <f t="shared" si="63"/>
        <v>6.2678571428571432</v>
      </c>
      <c r="L542" s="15"/>
      <c r="M542" s="13">
        <f t="shared" si="64"/>
        <v>42217</v>
      </c>
      <c r="N542" s="5">
        <f>_xlfn.MAXIFS(Sheet1!$B$2:$B$6350,Sheet1!$E$2:$E$6350,Prices!$U542,Sheet1!$F$2:$F$6350,Prices!$V542)</f>
        <v>188.25</v>
      </c>
      <c r="O542" s="5">
        <f>_xlfn.MINIFS(Sheet1!$B$2:$B$6350,Sheet1!$E$2:$E$6350,Prices!$U542,Sheet1!$F$2:$F$6350,Prices!$V542)</f>
        <v>168.5</v>
      </c>
      <c r="P542" s="5">
        <f>AVERAGEIFS(Sheet1!$B$2:$B$6350,Sheet1!$E$2:$E$6350,Prices!$U542,Sheet1!$F$2:$F$6350,Prices!$V542)</f>
        <v>176.42857142857142</v>
      </c>
      <c r="Q542" s="5">
        <f t="shared" si="59"/>
        <v>11.821428571428584</v>
      </c>
      <c r="R542" s="5">
        <f t="shared" si="60"/>
        <v>-7.9285714285714164</v>
      </c>
      <c r="S542" s="5">
        <f t="shared" si="58"/>
        <v>4.0217173697534347</v>
      </c>
      <c r="T542" s="5">
        <f t="shared" si="61"/>
        <v>0.34457436975343514</v>
      </c>
      <c r="U542" s="1">
        <f t="shared" si="65"/>
        <v>8</v>
      </c>
      <c r="V542" s="1">
        <f t="shared" si="66"/>
        <v>2015</v>
      </c>
      <c r="W542" s="5">
        <v>1.114333333333333</v>
      </c>
    </row>
    <row r="543" spans="1:23" x14ac:dyDescent="0.25">
      <c r="A543" s="13">
        <v>42248</v>
      </c>
      <c r="B543" s="16">
        <v>3.95</v>
      </c>
      <c r="C543" s="16">
        <v>3.605</v>
      </c>
      <c r="D543" s="16">
        <v>3.7946429999999998</v>
      </c>
      <c r="E543" s="5">
        <f t="shared" si="67"/>
        <v>0.15535700000000041</v>
      </c>
      <c r="F543" s="5">
        <f t="shared" si="68"/>
        <v>-0.18964299999999978</v>
      </c>
      <c r="G543" s="33">
        <v>3.55</v>
      </c>
      <c r="H543" s="5">
        <f t="shared" si="62"/>
        <v>-0.24464299999999994</v>
      </c>
      <c r="K543" s="15">
        <f t="shared" si="63"/>
        <v>6.3392857142857135</v>
      </c>
      <c r="L543" s="15"/>
      <c r="M543" s="13">
        <f t="shared" si="64"/>
        <v>42248</v>
      </c>
      <c r="N543" s="5">
        <f>_xlfn.MAXIFS(Sheet1!$B$2:$B$6350,Sheet1!$E$2:$E$6350,Prices!$U543,Sheet1!$F$2:$F$6350,Prices!$V543)</f>
        <v>167.75</v>
      </c>
      <c r="O543" s="5">
        <f>_xlfn.MINIFS(Sheet1!$B$2:$B$6350,Sheet1!$E$2:$E$6350,Prices!$U543,Sheet1!$F$2:$F$6350,Prices!$V543)</f>
        <v>161.25</v>
      </c>
      <c r="P543" s="5">
        <f>AVERAGEIFS(Sheet1!$B$2:$B$6350,Sheet1!$E$2:$E$6350,Prices!$U543,Sheet1!$F$2:$F$6350,Prices!$V543)</f>
        <v>163.69318181818181</v>
      </c>
      <c r="Q543" s="5">
        <f t="shared" si="59"/>
        <v>4.056818181818187</v>
      </c>
      <c r="R543" s="5">
        <f t="shared" si="60"/>
        <v>-2.443181818181813</v>
      </c>
      <c r="S543" s="5">
        <f t="shared" si="58"/>
        <v>3.6996816078015127</v>
      </c>
      <c r="T543" s="5">
        <f t="shared" si="61"/>
        <v>-9.4961392198487093E-2</v>
      </c>
      <c r="U543" s="1">
        <f t="shared" si="65"/>
        <v>9</v>
      </c>
      <c r="V543" s="1">
        <f t="shared" si="66"/>
        <v>2015</v>
      </c>
      <c r="W543" s="5">
        <v>1.1238904761904762</v>
      </c>
    </row>
    <row r="544" spans="1:23" x14ac:dyDescent="0.25">
      <c r="A544" s="13">
        <v>42278</v>
      </c>
      <c r="B544" s="16">
        <v>3.9975000000000001</v>
      </c>
      <c r="C544" s="16">
        <v>3.72</v>
      </c>
      <c r="D544" s="16">
        <v>3.830568</v>
      </c>
      <c r="E544" s="5">
        <f t="shared" si="67"/>
        <v>0.16693200000000008</v>
      </c>
      <c r="F544" s="5">
        <f t="shared" si="68"/>
        <v>-0.11056799999999978</v>
      </c>
      <c r="G544" s="33">
        <v>3.67</v>
      </c>
      <c r="H544" s="5">
        <f t="shared" si="62"/>
        <v>-0.16056800000000004</v>
      </c>
      <c r="K544" s="15">
        <f t="shared" si="63"/>
        <v>6.5535714285714279</v>
      </c>
      <c r="L544" s="15"/>
      <c r="M544" s="13">
        <f t="shared" si="64"/>
        <v>42278</v>
      </c>
      <c r="N544" s="5">
        <f>_xlfn.MAXIFS(Sheet1!$B$2:$B$6350,Sheet1!$E$2:$E$6350,Prices!$U544,Sheet1!$F$2:$F$6350,Prices!$V544)</f>
        <v>166.75</v>
      </c>
      <c r="O544" s="5">
        <f>_xlfn.MINIFS(Sheet1!$B$2:$B$6350,Sheet1!$E$2:$E$6350,Prices!$U544,Sheet1!$F$2:$F$6350,Prices!$V544)</f>
        <v>158.5</v>
      </c>
      <c r="P544" s="5">
        <f>AVERAGEIFS(Sheet1!$B$2:$B$6350,Sheet1!$E$2:$E$6350,Prices!$U544,Sheet1!$F$2:$F$6350,Prices!$V544)</f>
        <v>163.94318181818181</v>
      </c>
      <c r="Q544" s="5">
        <f t="shared" si="59"/>
        <v>2.806818181818187</v>
      </c>
      <c r="R544" s="5">
        <f t="shared" si="60"/>
        <v>-5.443181818181813</v>
      </c>
      <c r="S544" s="5">
        <f t="shared" si="58"/>
        <v>3.712417338977406</v>
      </c>
      <c r="T544" s="5">
        <f t="shared" si="61"/>
        <v>-0.11815066102259397</v>
      </c>
      <c r="U544" s="1">
        <f t="shared" si="65"/>
        <v>10</v>
      </c>
      <c r="V544" s="1">
        <f t="shared" si="66"/>
        <v>2015</v>
      </c>
      <c r="W544" s="5">
        <v>1.1217454545454546</v>
      </c>
    </row>
    <row r="545" spans="1:23" x14ac:dyDescent="0.25">
      <c r="A545" s="13">
        <v>42309</v>
      </c>
      <c r="B545" s="16">
        <v>3.835</v>
      </c>
      <c r="C545" s="16">
        <v>3.56</v>
      </c>
      <c r="D545" s="16">
        <v>3.663125</v>
      </c>
      <c r="E545" s="5">
        <f t="shared" si="67"/>
        <v>0.171875</v>
      </c>
      <c r="F545" s="5">
        <f t="shared" si="68"/>
        <v>-0.10312499999999991</v>
      </c>
      <c r="G545" s="33">
        <v>3.62</v>
      </c>
      <c r="H545" s="5">
        <f t="shared" si="62"/>
        <v>-4.3124999999999858E-2</v>
      </c>
      <c r="K545" s="15">
        <f t="shared" si="63"/>
        <v>6.4642857142857144</v>
      </c>
      <c r="L545" s="15"/>
      <c r="M545" s="13">
        <f t="shared" si="64"/>
        <v>42309</v>
      </c>
      <c r="N545" s="5">
        <f>_xlfn.MAXIFS(Sheet1!$B$2:$B$6350,Sheet1!$E$2:$E$6350,Prices!$U545,Sheet1!$F$2:$F$6350,Prices!$V545)</f>
        <v>175.75</v>
      </c>
      <c r="O545" s="5">
        <f>_xlfn.MINIFS(Sheet1!$B$2:$B$6350,Sheet1!$E$2:$E$6350,Prices!$U545,Sheet1!$F$2:$F$6350,Prices!$V545)</f>
        <v>160.75</v>
      </c>
      <c r="P545" s="5">
        <f>AVERAGEIFS(Sheet1!$B$2:$B$6350,Sheet1!$E$2:$E$6350,Prices!$U545,Sheet1!$F$2:$F$6350,Prices!$V545)</f>
        <v>170.41666666666666</v>
      </c>
      <c r="Q545" s="5">
        <f t="shared" si="59"/>
        <v>5.3333333333333428</v>
      </c>
      <c r="R545" s="5">
        <f t="shared" si="60"/>
        <v>-9.6666666666666572</v>
      </c>
      <c r="S545" s="5">
        <f t="shared" si="58"/>
        <v>4.0328143193516741</v>
      </c>
      <c r="T545" s="5">
        <f t="shared" si="61"/>
        <v>0.36968931935167415</v>
      </c>
      <c r="U545" s="1">
        <f t="shared" si="65"/>
        <v>11</v>
      </c>
      <c r="V545" s="1">
        <f t="shared" si="66"/>
        <v>2015</v>
      </c>
      <c r="W545" s="5">
        <v>1.0734000000000001</v>
      </c>
    </row>
    <row r="546" spans="1:23" x14ac:dyDescent="0.25">
      <c r="A546" s="13">
        <v>42339</v>
      </c>
      <c r="B546" s="16">
        <v>3.82</v>
      </c>
      <c r="C546" s="16">
        <v>3.57</v>
      </c>
      <c r="D546" s="16">
        <v>3.7097730000000002</v>
      </c>
      <c r="E546" s="5">
        <f t="shared" si="67"/>
        <v>0.11022699999999963</v>
      </c>
      <c r="F546" s="5">
        <f t="shared" si="68"/>
        <v>-0.13977300000000037</v>
      </c>
      <c r="G546" s="33">
        <v>3.62</v>
      </c>
      <c r="H546" s="5">
        <f t="shared" si="62"/>
        <v>-8.9773000000000103E-2</v>
      </c>
      <c r="K546" s="15">
        <f t="shared" si="63"/>
        <v>6.4642857142857144</v>
      </c>
      <c r="L546" s="15"/>
      <c r="M546" s="13">
        <f t="shared" si="64"/>
        <v>42339</v>
      </c>
      <c r="N546" s="5">
        <f>_xlfn.MAXIFS(Sheet1!$B$2:$B$6350,Sheet1!$E$2:$E$6350,Prices!$U546,Sheet1!$F$2:$F$6350,Prices!$V546)</f>
        <v>170.25</v>
      </c>
      <c r="O546" s="5">
        <f>_xlfn.MINIFS(Sheet1!$B$2:$B$6350,Sheet1!$E$2:$E$6350,Prices!$U546,Sheet1!$F$2:$F$6350,Prices!$V546)</f>
        <v>163.5</v>
      </c>
      <c r="P546" s="5">
        <f>AVERAGEIFS(Sheet1!$B$2:$B$6350,Sheet1!$E$2:$E$6350,Prices!$U546,Sheet1!$F$2:$F$6350,Prices!$V546)</f>
        <v>167.32954545454547</v>
      </c>
      <c r="Q546" s="5">
        <f t="shared" si="59"/>
        <v>2.9204545454545325</v>
      </c>
      <c r="R546" s="5">
        <f t="shared" si="60"/>
        <v>-3.8295454545454675</v>
      </c>
      <c r="S546" s="5">
        <f t="shared" si="58"/>
        <v>3.9014559087395768</v>
      </c>
      <c r="T546" s="5">
        <f t="shared" si="61"/>
        <v>0.19168290873957661</v>
      </c>
      <c r="U546" s="1">
        <f t="shared" si="65"/>
        <v>12</v>
      </c>
      <c r="V546" s="1">
        <f t="shared" si="66"/>
        <v>2015</v>
      </c>
      <c r="W546" s="5">
        <v>1.0894409090909092</v>
      </c>
    </row>
    <row r="547" spans="1:23" x14ac:dyDescent="0.25">
      <c r="A547" s="13">
        <v>42370</v>
      </c>
      <c r="B547" s="16">
        <v>3.7250000000000001</v>
      </c>
      <c r="C547" s="16">
        <v>3.4849999999999999</v>
      </c>
      <c r="D547" s="16">
        <v>3.6184210000000001</v>
      </c>
      <c r="E547" s="5">
        <f t="shared" si="67"/>
        <v>0.10657899999999998</v>
      </c>
      <c r="F547" s="5">
        <f t="shared" si="68"/>
        <v>-0.13342100000000023</v>
      </c>
      <c r="G547" s="33">
        <v>3.55</v>
      </c>
      <c r="H547" s="5">
        <f t="shared" si="62"/>
        <v>-6.8421000000000287E-2</v>
      </c>
      <c r="K547" s="15">
        <f t="shared" si="63"/>
        <v>6.3392857142857135</v>
      </c>
      <c r="L547" s="15"/>
      <c r="M547" s="13">
        <f t="shared" si="64"/>
        <v>42370</v>
      </c>
      <c r="N547" s="5">
        <f>_xlfn.MAXIFS(Sheet1!$B$2:$B$6350,Sheet1!$E$2:$E$6350,Prices!$U547,Sheet1!$F$2:$F$6350,Prices!$V547)</f>
        <v>162.25</v>
      </c>
      <c r="O547" s="5">
        <f>_xlfn.MINIFS(Sheet1!$B$2:$B$6350,Sheet1!$E$2:$E$6350,Prices!$U547,Sheet1!$F$2:$F$6350,Prices!$V547)</f>
        <v>154.25</v>
      </c>
      <c r="P547" s="5">
        <f>AVERAGEIFS(Sheet1!$B$2:$B$6350,Sheet1!$E$2:$E$6350,Prices!$U547,Sheet1!$F$2:$F$6350,Prices!$V547)</f>
        <v>157.17500000000001</v>
      </c>
      <c r="Q547" s="5">
        <f t="shared" si="59"/>
        <v>5.0749999999999886</v>
      </c>
      <c r="R547" s="5">
        <f t="shared" si="60"/>
        <v>-2.9250000000000114</v>
      </c>
      <c r="S547" s="5">
        <f t="shared" ref="S547:S610" si="69">P547/39.3679/W547</f>
        <v>3.6749146352663291</v>
      </c>
      <c r="T547" s="5">
        <f t="shared" si="61"/>
        <v>5.6493635266329001E-2</v>
      </c>
      <c r="U547" s="1">
        <f t="shared" si="65"/>
        <v>1</v>
      </c>
      <c r="V547" s="1">
        <f t="shared" si="66"/>
        <v>2016</v>
      </c>
      <c r="W547" s="5">
        <v>1.0864105263157893</v>
      </c>
    </row>
    <row r="548" spans="1:23" x14ac:dyDescent="0.25">
      <c r="A548" s="13">
        <v>42401</v>
      </c>
      <c r="B548" s="16">
        <v>3.7374999999999998</v>
      </c>
      <c r="C548" s="16">
        <v>3.5249999999999999</v>
      </c>
      <c r="D548" s="16">
        <v>3.6327499999999997</v>
      </c>
      <c r="E548" s="5">
        <f t="shared" si="67"/>
        <v>0.10475000000000012</v>
      </c>
      <c r="F548" s="5">
        <f t="shared" si="68"/>
        <v>-0.10774999999999979</v>
      </c>
      <c r="G548" s="33">
        <v>3.56</v>
      </c>
      <c r="H548" s="5">
        <f t="shared" si="62"/>
        <v>-7.2749999999999648E-2</v>
      </c>
      <c r="K548" s="15">
        <f t="shared" si="63"/>
        <v>6.3571428571428568</v>
      </c>
      <c r="L548" s="15"/>
      <c r="M548" s="13">
        <f t="shared" si="64"/>
        <v>42401</v>
      </c>
      <c r="N548" s="5">
        <f>_xlfn.MAXIFS(Sheet1!$B$2:$B$6350,Sheet1!$E$2:$E$6350,Prices!$U548,Sheet1!$F$2:$F$6350,Prices!$V548)</f>
        <v>153.25</v>
      </c>
      <c r="O548" s="5">
        <f>_xlfn.MINIFS(Sheet1!$B$2:$B$6350,Sheet1!$E$2:$E$6350,Prices!$U548,Sheet1!$F$2:$F$6350,Prices!$V548)</f>
        <v>144.25</v>
      </c>
      <c r="P548" s="5">
        <f>AVERAGEIFS(Sheet1!$B$2:$B$6350,Sheet1!$E$2:$E$6350,Prices!$U548,Sheet1!$F$2:$F$6350,Prices!$V548)</f>
        <v>148.5</v>
      </c>
      <c r="Q548" s="5">
        <f t="shared" ref="Q548:Q611" si="70">N548-P548</f>
        <v>4.75</v>
      </c>
      <c r="R548" s="5">
        <f t="shared" ref="R548:R611" si="71">O548-P548</f>
        <v>-4.25</v>
      </c>
      <c r="S548" s="5">
        <f t="shared" si="69"/>
        <v>3.3982808622466947</v>
      </c>
      <c r="T548" s="5">
        <f t="shared" ref="T548:T611" si="72">S548-D548</f>
        <v>-0.23446913775330502</v>
      </c>
      <c r="U548" s="1">
        <f t="shared" si="65"/>
        <v>2</v>
      </c>
      <c r="V548" s="1">
        <f t="shared" si="66"/>
        <v>2016</v>
      </c>
      <c r="W548" s="5">
        <v>1.1100049999999999</v>
      </c>
    </row>
    <row r="549" spans="1:23" x14ac:dyDescent="0.25">
      <c r="A549" s="13">
        <v>42430</v>
      </c>
      <c r="B549" s="16">
        <v>3.74</v>
      </c>
      <c r="C549" s="16">
        <v>3.4750000000000001</v>
      </c>
      <c r="D549" s="16">
        <v>3.6429550000000002</v>
      </c>
      <c r="E549" s="5">
        <f t="shared" si="67"/>
        <v>9.7045000000000048E-2</v>
      </c>
      <c r="F549" s="5">
        <f t="shared" si="68"/>
        <v>-0.16795500000000008</v>
      </c>
      <c r="G549" s="33">
        <v>3.54</v>
      </c>
      <c r="H549" s="5">
        <f t="shared" si="62"/>
        <v>-0.10295500000000013</v>
      </c>
      <c r="K549" s="15">
        <f t="shared" si="63"/>
        <v>6.3214285714285712</v>
      </c>
      <c r="L549" s="15"/>
      <c r="M549" s="13">
        <f t="shared" si="64"/>
        <v>42430</v>
      </c>
      <c r="N549" s="5">
        <f>_xlfn.MAXIFS(Sheet1!$B$2:$B$6350,Sheet1!$E$2:$E$6350,Prices!$U549,Sheet1!$F$2:$F$6350,Prices!$V549)</f>
        <v>157.25</v>
      </c>
      <c r="O549" s="5">
        <f>_xlfn.MINIFS(Sheet1!$B$2:$B$6350,Sheet1!$E$2:$E$6350,Prices!$U549,Sheet1!$F$2:$F$6350,Prices!$V549)</f>
        <v>136.25</v>
      </c>
      <c r="P549" s="5">
        <f>AVERAGEIFS(Sheet1!$B$2:$B$6350,Sheet1!$E$2:$E$6350,Prices!$U549,Sheet1!$F$2:$F$6350,Prices!$V549)</f>
        <v>151.66666666666666</v>
      </c>
      <c r="Q549" s="5">
        <f t="shared" si="70"/>
        <v>5.5833333333333428</v>
      </c>
      <c r="R549" s="5">
        <f t="shared" si="71"/>
        <v>-15.416666666666657</v>
      </c>
      <c r="S549" s="5">
        <f t="shared" si="69"/>
        <v>3.458681335535033</v>
      </c>
      <c r="T549" s="5">
        <f t="shared" si="72"/>
        <v>-0.18427366446496718</v>
      </c>
      <c r="U549" s="1">
        <f t="shared" si="65"/>
        <v>3</v>
      </c>
      <c r="V549" s="1">
        <f t="shared" si="66"/>
        <v>2016</v>
      </c>
      <c r="W549" s="5">
        <v>1.1138772727272728</v>
      </c>
    </row>
    <row r="550" spans="1:23" x14ac:dyDescent="0.25">
      <c r="A550" s="13">
        <v>42461</v>
      </c>
      <c r="B550" s="16">
        <v>4.0199999999999996</v>
      </c>
      <c r="C550" s="16">
        <v>3.4725000000000001</v>
      </c>
      <c r="D550" s="16">
        <v>3.7267860000000002</v>
      </c>
      <c r="E550" s="5">
        <f t="shared" si="67"/>
        <v>0.29321399999999942</v>
      </c>
      <c r="F550" s="5">
        <f t="shared" si="68"/>
        <v>-0.25428600000000001</v>
      </c>
      <c r="G550" s="33">
        <v>3.61</v>
      </c>
      <c r="H550" s="5">
        <f t="shared" si="62"/>
        <v>-0.11678600000000028</v>
      </c>
      <c r="K550" s="15">
        <f t="shared" si="63"/>
        <v>6.4464285714285712</v>
      </c>
      <c r="L550" s="15"/>
      <c r="M550" s="13">
        <f t="shared" si="64"/>
        <v>42461</v>
      </c>
      <c r="N550" s="5">
        <f>_xlfn.MAXIFS(Sheet1!$B$2:$B$6350,Sheet1!$E$2:$E$6350,Prices!$U550,Sheet1!$F$2:$F$6350,Prices!$V550)</f>
        <v>165</v>
      </c>
      <c r="O550" s="5">
        <f>_xlfn.MINIFS(Sheet1!$B$2:$B$6350,Sheet1!$E$2:$E$6350,Prices!$U550,Sheet1!$F$2:$F$6350,Prices!$V550)</f>
        <v>151.75</v>
      </c>
      <c r="P550" s="5">
        <f>AVERAGEIFS(Sheet1!$B$2:$B$6350,Sheet1!$E$2:$E$6350,Prices!$U550,Sheet1!$F$2:$F$6350,Prices!$V550)</f>
        <v>157.63095238095238</v>
      </c>
      <c r="Q550" s="5">
        <f t="shared" si="70"/>
        <v>7.3690476190476204</v>
      </c>
      <c r="R550" s="5">
        <f t="shared" si="71"/>
        <v>-5.8809523809523796</v>
      </c>
      <c r="S550" s="5">
        <f t="shared" si="69"/>
        <v>3.5314846751622473</v>
      </c>
      <c r="T550" s="5">
        <f t="shared" si="72"/>
        <v>-0.19530132483775287</v>
      </c>
      <c r="U550" s="1">
        <f t="shared" si="65"/>
        <v>4</v>
      </c>
      <c r="V550" s="1">
        <f t="shared" si="66"/>
        <v>2016</v>
      </c>
      <c r="W550" s="5">
        <v>1.1338142857142859</v>
      </c>
    </row>
    <row r="551" spans="1:23" x14ac:dyDescent="0.25">
      <c r="A551" s="13">
        <v>42491</v>
      </c>
      <c r="B551" s="16">
        <v>4.1349999999999998</v>
      </c>
      <c r="C551" s="16">
        <v>3.68</v>
      </c>
      <c r="D551" s="16">
        <v>3.9083330000000003</v>
      </c>
      <c r="E551" s="5">
        <f t="shared" si="67"/>
        <v>0.22666699999999951</v>
      </c>
      <c r="F551" s="5">
        <f t="shared" si="68"/>
        <v>-0.22833300000000012</v>
      </c>
      <c r="G551" s="33">
        <v>3.74</v>
      </c>
      <c r="H551" s="5">
        <f t="shared" si="62"/>
        <v>-0.16833300000000007</v>
      </c>
      <c r="K551" s="15">
        <f t="shared" si="63"/>
        <v>6.6785714285714297</v>
      </c>
      <c r="L551" s="15"/>
      <c r="M551" s="13">
        <f t="shared" si="64"/>
        <v>42491</v>
      </c>
      <c r="N551" s="5">
        <f>_xlfn.MAXIFS(Sheet1!$B$2:$B$6350,Sheet1!$E$2:$E$6350,Prices!$U551,Sheet1!$F$2:$F$6350,Prices!$V551)</f>
        <v>172</v>
      </c>
      <c r="O551" s="5">
        <f>_xlfn.MINIFS(Sheet1!$B$2:$B$6350,Sheet1!$E$2:$E$6350,Prices!$U551,Sheet1!$F$2:$F$6350,Prices!$V551)</f>
        <v>160.5</v>
      </c>
      <c r="P551" s="5">
        <f>AVERAGEIFS(Sheet1!$B$2:$B$6350,Sheet1!$E$2:$E$6350,Prices!$U551,Sheet1!$F$2:$F$6350,Prices!$V551)</f>
        <v>165.72727272727272</v>
      </c>
      <c r="Q551" s="5">
        <f t="shared" si="70"/>
        <v>6.2727272727272805</v>
      </c>
      <c r="R551" s="5">
        <f t="shared" si="71"/>
        <v>-5.2272727272727195</v>
      </c>
      <c r="S551" s="5">
        <f t="shared" si="69"/>
        <v>3.7241634491720257</v>
      </c>
      <c r="T551" s="5">
        <f t="shared" si="72"/>
        <v>-0.18416955082797459</v>
      </c>
      <c r="U551" s="1">
        <f t="shared" si="65"/>
        <v>5</v>
      </c>
      <c r="V551" s="1">
        <f t="shared" si="66"/>
        <v>2016</v>
      </c>
      <c r="W551" s="5">
        <v>1.1303761904761904</v>
      </c>
    </row>
    <row r="552" spans="1:23" x14ac:dyDescent="0.25">
      <c r="A552" s="13">
        <v>42522</v>
      </c>
      <c r="B552" s="16">
        <v>4.3925000000000001</v>
      </c>
      <c r="C552" s="16">
        <v>3.5575000000000001</v>
      </c>
      <c r="D552" s="16">
        <v>4.102614</v>
      </c>
      <c r="E552" s="5">
        <f t="shared" si="67"/>
        <v>0.28988600000000009</v>
      </c>
      <c r="F552" s="5">
        <f t="shared" si="68"/>
        <v>-0.54511399999999988</v>
      </c>
      <c r="G552" s="33">
        <v>3.91</v>
      </c>
      <c r="H552" s="5">
        <f t="shared" si="62"/>
        <v>-0.19261399999999984</v>
      </c>
      <c r="K552" s="15">
        <f t="shared" si="63"/>
        <v>6.9821428571428577</v>
      </c>
      <c r="L552" s="15"/>
      <c r="M552" s="13">
        <f t="shared" si="64"/>
        <v>42522</v>
      </c>
      <c r="N552" s="5">
        <f>_xlfn.MAXIFS(Sheet1!$B$2:$B$6350,Sheet1!$E$2:$E$6350,Prices!$U552,Sheet1!$F$2:$F$6350,Prices!$V552)</f>
        <v>187.75</v>
      </c>
      <c r="O552" s="5">
        <f>_xlfn.MINIFS(Sheet1!$B$2:$B$6350,Sheet1!$E$2:$E$6350,Prices!$U552,Sheet1!$F$2:$F$6350,Prices!$V552)</f>
        <v>173.25</v>
      </c>
      <c r="P552" s="5">
        <f>AVERAGEIFS(Sheet1!$B$2:$B$6350,Sheet1!$E$2:$E$6350,Prices!$U552,Sheet1!$F$2:$F$6350,Prices!$V552)</f>
        <v>179.80681818181819</v>
      </c>
      <c r="Q552" s="5">
        <f t="shared" si="70"/>
        <v>7.943181818181813</v>
      </c>
      <c r="R552" s="5">
        <f t="shared" si="71"/>
        <v>-6.556818181818187</v>
      </c>
      <c r="S552" s="5">
        <f t="shared" si="69"/>
        <v>4.0636393679918106</v>
      </c>
      <c r="T552" s="5">
        <f t="shared" si="72"/>
        <v>-3.8974632008189403E-2</v>
      </c>
      <c r="U552" s="1">
        <f t="shared" si="65"/>
        <v>6</v>
      </c>
      <c r="V552" s="1">
        <f t="shared" si="66"/>
        <v>2016</v>
      </c>
      <c r="W552" s="5">
        <v>1.1239545454545454</v>
      </c>
    </row>
    <row r="553" spans="1:23" x14ac:dyDescent="0.25">
      <c r="A553" s="13">
        <v>42552</v>
      </c>
      <c r="B553" s="16">
        <v>3.73</v>
      </c>
      <c r="C553" s="16">
        <v>3.2675000000000001</v>
      </c>
      <c r="D553" s="16">
        <v>3.4478750000000002</v>
      </c>
      <c r="E553" s="5">
        <f t="shared" si="67"/>
        <v>0.28212499999999974</v>
      </c>
      <c r="F553" s="5">
        <f t="shared" si="68"/>
        <v>-0.18037500000000017</v>
      </c>
      <c r="G553" s="33">
        <v>3.28</v>
      </c>
      <c r="H553" s="5">
        <f t="shared" si="62"/>
        <v>-0.16787500000000044</v>
      </c>
      <c r="K553" s="15">
        <f t="shared" si="63"/>
        <v>5.8571428571428568</v>
      </c>
      <c r="L553" s="15"/>
      <c r="M553" s="13">
        <f t="shared" si="64"/>
        <v>42552</v>
      </c>
      <c r="N553" s="5">
        <f>_xlfn.MAXIFS(Sheet1!$B$2:$B$6350,Sheet1!$E$2:$E$6350,Prices!$U553,Sheet1!$F$2:$F$6350,Prices!$V553)</f>
        <v>173.75</v>
      </c>
      <c r="O553" s="5">
        <f>_xlfn.MINIFS(Sheet1!$B$2:$B$6350,Sheet1!$E$2:$E$6350,Prices!$U553,Sheet1!$F$2:$F$6350,Prices!$V553)</f>
        <v>167.5</v>
      </c>
      <c r="P553" s="5">
        <f>AVERAGEIFS(Sheet1!$B$2:$B$6350,Sheet1!$E$2:$E$6350,Prices!$U553,Sheet1!$F$2:$F$6350,Prices!$V553)</f>
        <v>170.38095238095238</v>
      </c>
      <c r="Q553" s="5">
        <f t="shared" si="70"/>
        <v>3.3690476190476204</v>
      </c>
      <c r="R553" s="5">
        <f t="shared" si="71"/>
        <v>-2.8809523809523796</v>
      </c>
      <c r="S553" s="5">
        <f t="shared" si="69"/>
        <v>3.9140269206108833</v>
      </c>
      <c r="T553" s="5">
        <f t="shared" si="72"/>
        <v>0.46615192061088306</v>
      </c>
      <c r="U553" s="1">
        <f t="shared" si="65"/>
        <v>7</v>
      </c>
      <c r="V553" s="1">
        <f t="shared" si="66"/>
        <v>2016</v>
      </c>
      <c r="W553" s="5">
        <v>1.105745</v>
      </c>
    </row>
    <row r="554" spans="1:23" x14ac:dyDescent="0.25">
      <c r="A554" s="13">
        <v>42583</v>
      </c>
      <c r="B554" s="16">
        <v>3.3475000000000001</v>
      </c>
      <c r="C554" s="16">
        <v>3.01</v>
      </c>
      <c r="D554" s="16">
        <v>3.2304349999999999</v>
      </c>
      <c r="E554" s="5">
        <f t="shared" si="67"/>
        <v>0.1170650000000002</v>
      </c>
      <c r="F554" s="5">
        <f t="shared" si="68"/>
        <v>-0.22043500000000016</v>
      </c>
      <c r="G554" s="33">
        <v>3.09</v>
      </c>
      <c r="H554" s="5">
        <f t="shared" si="62"/>
        <v>-0.14043500000000009</v>
      </c>
      <c r="K554" s="15">
        <f t="shared" si="63"/>
        <v>5.5178571428571423</v>
      </c>
      <c r="L554" s="15"/>
      <c r="M554" s="13">
        <f t="shared" si="64"/>
        <v>42583</v>
      </c>
      <c r="N554" s="5">
        <f>_xlfn.MAXIFS(Sheet1!$B$2:$B$6350,Sheet1!$E$2:$E$6350,Prices!$U554,Sheet1!$F$2:$F$6350,Prices!$V554)</f>
        <v>169.75</v>
      </c>
      <c r="O554" s="5">
        <f>_xlfn.MINIFS(Sheet1!$B$2:$B$6350,Sheet1!$E$2:$E$6350,Prices!$U554,Sheet1!$F$2:$F$6350,Prices!$V554)</f>
        <v>159.75</v>
      </c>
      <c r="P554" s="5">
        <f>AVERAGEIFS(Sheet1!$B$2:$B$6350,Sheet1!$E$2:$E$6350,Prices!$U554,Sheet1!$F$2:$F$6350,Prices!$V554)</f>
        <v>165.71739130434781</v>
      </c>
      <c r="Q554" s="5">
        <f t="shared" si="70"/>
        <v>4.0326086956521863</v>
      </c>
      <c r="R554" s="5">
        <f t="shared" si="71"/>
        <v>-5.9673913043478137</v>
      </c>
      <c r="S554" s="5">
        <f t="shared" si="69"/>
        <v>3.7573039948353744</v>
      </c>
      <c r="T554" s="5">
        <f t="shared" si="72"/>
        <v>0.52686899483537442</v>
      </c>
      <c r="U554" s="1">
        <f t="shared" si="65"/>
        <v>8</v>
      </c>
      <c r="V554" s="1">
        <f t="shared" si="66"/>
        <v>2016</v>
      </c>
      <c r="W554" s="5">
        <v>1.1203391304347827</v>
      </c>
    </row>
    <row r="555" spans="1:23" x14ac:dyDescent="0.25">
      <c r="A555" s="13">
        <v>42614</v>
      </c>
      <c r="B555" s="16">
        <v>3.4325000000000001</v>
      </c>
      <c r="C555" s="16">
        <v>3.15</v>
      </c>
      <c r="D555" s="16">
        <v>3.3374999999999999</v>
      </c>
      <c r="E555" s="5">
        <f t="shared" si="67"/>
        <v>9.5000000000000195E-2</v>
      </c>
      <c r="F555" s="5">
        <f t="shared" si="68"/>
        <v>-0.1875</v>
      </c>
      <c r="G555" s="33">
        <v>3.09</v>
      </c>
      <c r="H555" s="5">
        <f t="shared" si="62"/>
        <v>-0.24750000000000005</v>
      </c>
      <c r="K555" s="15">
        <f t="shared" si="63"/>
        <v>5.5178571428571423</v>
      </c>
      <c r="L555" s="15"/>
      <c r="M555" s="13">
        <f t="shared" si="64"/>
        <v>42614</v>
      </c>
      <c r="N555" s="5">
        <f>_xlfn.MAXIFS(Sheet1!$B$2:$B$6350,Sheet1!$E$2:$E$6350,Prices!$U555,Sheet1!$F$2:$F$6350,Prices!$V555)</f>
        <v>162.75</v>
      </c>
      <c r="O555" s="5">
        <f>_xlfn.MINIFS(Sheet1!$B$2:$B$6350,Sheet1!$E$2:$E$6350,Prices!$U555,Sheet1!$F$2:$F$6350,Prices!$V555)</f>
        <v>160</v>
      </c>
      <c r="P555" s="5">
        <f>AVERAGEIFS(Sheet1!$B$2:$B$6350,Sheet1!$E$2:$E$6350,Prices!$U555,Sheet1!$F$2:$F$6350,Prices!$V555)</f>
        <v>161.02272727272728</v>
      </c>
      <c r="Q555" s="5">
        <f t="shared" si="70"/>
        <v>1.7272727272727195</v>
      </c>
      <c r="R555" s="5">
        <f t="shared" si="71"/>
        <v>-1.0227272727272805</v>
      </c>
      <c r="S555" s="5">
        <f t="shared" si="69"/>
        <v>3.6473927733715379</v>
      </c>
      <c r="T555" s="5">
        <f t="shared" si="72"/>
        <v>0.30989277337153798</v>
      </c>
      <c r="U555" s="1">
        <f t="shared" si="65"/>
        <v>9</v>
      </c>
      <c r="V555" s="1">
        <f t="shared" si="66"/>
        <v>2016</v>
      </c>
      <c r="W555" s="5">
        <v>1.1214047619047618</v>
      </c>
    </row>
    <row r="556" spans="1:23" x14ac:dyDescent="0.25">
      <c r="A556" s="13">
        <v>42644</v>
      </c>
      <c r="B556" s="16">
        <v>3.5924999999999998</v>
      </c>
      <c r="C556" s="16">
        <v>3.3525</v>
      </c>
      <c r="D556" s="16">
        <v>3.4948809999999999</v>
      </c>
      <c r="E556" s="5">
        <f t="shared" si="67"/>
        <v>9.76189999999999E-2</v>
      </c>
      <c r="F556" s="5">
        <f t="shared" si="68"/>
        <v>-0.14238099999999987</v>
      </c>
      <c r="G556" s="33">
        <v>3.27</v>
      </c>
      <c r="H556" s="5">
        <f t="shared" si="62"/>
        <v>-0.22488099999999989</v>
      </c>
      <c r="K556" s="15">
        <f t="shared" si="63"/>
        <v>5.8392857142857144</v>
      </c>
      <c r="L556" s="15"/>
      <c r="M556" s="13">
        <f t="shared" si="64"/>
        <v>42644</v>
      </c>
      <c r="N556" s="5">
        <f>_xlfn.MAXIFS(Sheet1!$B$2:$B$6350,Sheet1!$E$2:$E$6350,Prices!$U556,Sheet1!$F$2:$F$6350,Prices!$V556)</f>
        <v>167</v>
      </c>
      <c r="O556" s="5">
        <f>_xlfn.MINIFS(Sheet1!$B$2:$B$6350,Sheet1!$E$2:$E$6350,Prices!$U556,Sheet1!$F$2:$F$6350,Prices!$V556)</f>
        <v>157.5</v>
      </c>
      <c r="P556" s="5">
        <f>AVERAGEIFS(Sheet1!$B$2:$B$6350,Sheet1!$E$2:$E$6350,Prices!$U556,Sheet1!$F$2:$F$6350,Prices!$V556)</f>
        <v>160.58333333333334</v>
      </c>
      <c r="Q556" s="5">
        <f t="shared" si="70"/>
        <v>6.4166666666666572</v>
      </c>
      <c r="R556" s="5">
        <f t="shared" si="71"/>
        <v>-3.0833333333333428</v>
      </c>
      <c r="S556" s="5">
        <f t="shared" si="69"/>
        <v>3.7007227961677533</v>
      </c>
      <c r="T556" s="5">
        <f t="shared" si="72"/>
        <v>0.20584179616775344</v>
      </c>
      <c r="U556" s="1">
        <f t="shared" si="65"/>
        <v>10</v>
      </c>
      <c r="V556" s="1">
        <f t="shared" si="66"/>
        <v>2016</v>
      </c>
      <c r="W556" s="5">
        <v>1.1022285714285716</v>
      </c>
    </row>
    <row r="557" spans="1:23" x14ac:dyDescent="0.25">
      <c r="A557" s="13">
        <v>42675</v>
      </c>
      <c r="B557" s="16">
        <v>3.5649999999999999</v>
      </c>
      <c r="C557" s="16">
        <v>3.355</v>
      </c>
      <c r="D557" s="16">
        <v>3.4497620000000002</v>
      </c>
      <c r="E557" s="5">
        <f t="shared" si="67"/>
        <v>0.11523799999999973</v>
      </c>
      <c r="F557" s="5">
        <f t="shared" si="68"/>
        <v>-9.4762000000000235E-2</v>
      </c>
      <c r="G557" s="33">
        <v>3.28</v>
      </c>
      <c r="H557" s="5">
        <f t="shared" si="62"/>
        <v>-0.16976200000000041</v>
      </c>
      <c r="K557" s="15">
        <f t="shared" si="63"/>
        <v>5.8571428571428568</v>
      </c>
      <c r="L557" s="15"/>
      <c r="M557" s="13">
        <f t="shared" si="64"/>
        <v>42675</v>
      </c>
      <c r="N557" s="5">
        <f>_xlfn.MAXIFS(Sheet1!$B$2:$B$6350,Sheet1!$E$2:$E$6350,Prices!$U557,Sheet1!$F$2:$F$6350,Prices!$V557)</f>
        <v>168</v>
      </c>
      <c r="O557" s="5">
        <f>_xlfn.MINIFS(Sheet1!$B$2:$B$6350,Sheet1!$E$2:$E$6350,Prices!$U557,Sheet1!$F$2:$F$6350,Prices!$V557)</f>
        <v>159.5</v>
      </c>
      <c r="P557" s="5">
        <f>AVERAGEIFS(Sheet1!$B$2:$B$6350,Sheet1!$E$2:$E$6350,Prices!$U557,Sheet1!$F$2:$F$6350,Prices!$V557)</f>
        <v>165.73863636363637</v>
      </c>
      <c r="Q557" s="5">
        <f t="shared" si="70"/>
        <v>2.261363636363626</v>
      </c>
      <c r="R557" s="5">
        <f t="shared" si="71"/>
        <v>-6.238636363636374</v>
      </c>
      <c r="S557" s="5">
        <f t="shared" si="69"/>
        <v>3.9002237189678555</v>
      </c>
      <c r="T557" s="5">
        <f t="shared" si="72"/>
        <v>0.45046171896785525</v>
      </c>
      <c r="U557" s="1">
        <f t="shared" si="65"/>
        <v>11</v>
      </c>
      <c r="V557" s="1">
        <f t="shared" si="66"/>
        <v>2016</v>
      </c>
      <c r="W557" s="5">
        <v>1.0794238095238091</v>
      </c>
    </row>
    <row r="558" spans="1:23" x14ac:dyDescent="0.25">
      <c r="A558" s="13">
        <v>42705</v>
      </c>
      <c r="B558" s="16">
        <v>3.6475</v>
      </c>
      <c r="C558" s="16">
        <v>3.4175</v>
      </c>
      <c r="D558" s="16">
        <v>3.535952</v>
      </c>
      <c r="E558" s="5">
        <f t="shared" si="67"/>
        <v>0.11154799999999998</v>
      </c>
      <c r="F558" s="5">
        <f t="shared" si="68"/>
        <v>-0.118452</v>
      </c>
      <c r="G558" s="33">
        <v>3.34</v>
      </c>
      <c r="H558" s="5">
        <f t="shared" si="62"/>
        <v>-0.19595200000000013</v>
      </c>
      <c r="K558" s="15">
        <f t="shared" si="63"/>
        <v>5.9642857142857144</v>
      </c>
      <c r="L558" s="15"/>
      <c r="M558" s="13">
        <f t="shared" si="64"/>
        <v>42705</v>
      </c>
      <c r="N558" s="5">
        <f>_xlfn.MAXIFS(Sheet1!$B$2:$B$6350,Sheet1!$E$2:$E$6350,Prices!$U558,Sheet1!$F$2:$F$6350,Prices!$V558)</f>
        <v>169.25</v>
      </c>
      <c r="O558" s="5">
        <f>_xlfn.MINIFS(Sheet1!$B$2:$B$6350,Sheet1!$E$2:$E$6350,Prices!$U558,Sheet1!$F$2:$F$6350,Prices!$V558)</f>
        <v>163.75</v>
      </c>
      <c r="P558" s="5">
        <f>AVERAGEIFS(Sheet1!$B$2:$B$6350,Sheet1!$E$2:$E$6350,Prices!$U558,Sheet1!$F$2:$F$6350,Prices!$V558)</f>
        <v>166.58333333333334</v>
      </c>
      <c r="Q558" s="5">
        <f t="shared" si="70"/>
        <v>2.6666666666666572</v>
      </c>
      <c r="R558" s="5">
        <f t="shared" si="71"/>
        <v>-2.8333333333333428</v>
      </c>
      <c r="S558" s="5">
        <f t="shared" si="69"/>
        <v>4.0144597285882391</v>
      </c>
      <c r="T558" s="5">
        <f t="shared" si="72"/>
        <v>0.47850772858823909</v>
      </c>
      <c r="U558" s="1">
        <f t="shared" si="65"/>
        <v>12</v>
      </c>
      <c r="V558" s="1">
        <f t="shared" si="66"/>
        <v>2016</v>
      </c>
      <c r="W558" s="5">
        <v>1.0540523809523814</v>
      </c>
    </row>
    <row r="559" spans="1:23" x14ac:dyDescent="0.25">
      <c r="A559" s="13">
        <v>42736</v>
      </c>
      <c r="B559" s="16">
        <v>3.71</v>
      </c>
      <c r="C559" s="16">
        <v>3.5150000000000001</v>
      </c>
      <c r="D559" s="16">
        <v>3.618125</v>
      </c>
      <c r="E559" s="5">
        <f t="shared" si="67"/>
        <v>9.1874999999999929E-2</v>
      </c>
      <c r="F559" s="5">
        <f t="shared" si="68"/>
        <v>-0.10312499999999991</v>
      </c>
      <c r="G559" s="33">
        <v>3.45</v>
      </c>
      <c r="H559" s="5">
        <f t="shared" si="62"/>
        <v>-0.16812499999999986</v>
      </c>
      <c r="K559" s="15">
        <f t="shared" si="63"/>
        <v>6.1607142857142865</v>
      </c>
      <c r="L559" s="15"/>
      <c r="M559" s="13">
        <f t="shared" si="64"/>
        <v>42736</v>
      </c>
      <c r="N559" s="5">
        <f>_xlfn.MAXIFS(Sheet1!$B$2:$B$6350,Sheet1!$E$2:$E$6350,Prices!$U559,Sheet1!$F$2:$F$6350,Prices!$V559)</f>
        <v>171.25</v>
      </c>
      <c r="O559" s="5">
        <f>_xlfn.MINIFS(Sheet1!$B$2:$B$6350,Sheet1!$E$2:$E$6350,Prices!$U559,Sheet1!$F$2:$F$6350,Prices!$V559)</f>
        <v>167.5</v>
      </c>
      <c r="P559" s="5">
        <f>AVERAGEIFS(Sheet1!$B$2:$B$6350,Sheet1!$E$2:$E$6350,Prices!$U559,Sheet1!$F$2:$F$6350,Prices!$V559)</f>
        <v>169.42045454545453</v>
      </c>
      <c r="Q559" s="5">
        <f t="shared" si="70"/>
        <v>1.8295454545454675</v>
      </c>
      <c r="R559" s="5">
        <f t="shared" si="71"/>
        <v>-1.9204545454545325</v>
      </c>
      <c r="S559" s="5">
        <f t="shared" si="69"/>
        <v>4.0450586778997746</v>
      </c>
      <c r="T559" s="5">
        <f t="shared" si="72"/>
        <v>0.42693367789977454</v>
      </c>
      <c r="U559" s="1">
        <f t="shared" si="65"/>
        <v>1</v>
      </c>
      <c r="V559" s="1">
        <f t="shared" si="66"/>
        <v>2017</v>
      </c>
      <c r="W559" s="5">
        <v>1.063895</v>
      </c>
    </row>
    <row r="560" spans="1:23" x14ac:dyDescent="0.25">
      <c r="A560" s="13">
        <v>42767</v>
      </c>
      <c r="B560" s="16">
        <v>3.8</v>
      </c>
      <c r="C560" s="16">
        <v>3.58</v>
      </c>
      <c r="D560" s="16">
        <v>3.6921050000000002</v>
      </c>
      <c r="E560" s="5">
        <f t="shared" si="67"/>
        <v>0.10789499999999963</v>
      </c>
      <c r="F560" s="5">
        <f t="shared" si="68"/>
        <v>-0.11210500000000012</v>
      </c>
      <c r="G560" s="33">
        <v>3.51</v>
      </c>
      <c r="H560" s="5">
        <f t="shared" si="62"/>
        <v>-0.18210500000000041</v>
      </c>
      <c r="K560" s="15">
        <f t="shared" si="63"/>
        <v>6.2678571428571432</v>
      </c>
      <c r="L560" s="15"/>
      <c r="M560" s="13">
        <f t="shared" si="64"/>
        <v>42767</v>
      </c>
      <c r="N560" s="5">
        <f>_xlfn.MAXIFS(Sheet1!$B$2:$B$6350,Sheet1!$E$2:$E$6350,Prices!$U560,Sheet1!$F$2:$F$6350,Prices!$V560)</f>
        <v>173.5</v>
      </c>
      <c r="O560" s="5">
        <f>_xlfn.MINIFS(Sheet1!$B$2:$B$6350,Sheet1!$E$2:$E$6350,Prices!$U560,Sheet1!$F$2:$F$6350,Prices!$V560)</f>
        <v>168.75</v>
      </c>
      <c r="P560" s="5">
        <f>AVERAGEIFS(Sheet1!$B$2:$B$6350,Sheet1!$E$2:$E$6350,Prices!$U560,Sheet1!$F$2:$F$6350,Prices!$V560)</f>
        <v>171.625</v>
      </c>
      <c r="Q560" s="5">
        <f t="shared" si="70"/>
        <v>1.875</v>
      </c>
      <c r="R560" s="5">
        <f t="shared" si="71"/>
        <v>-2.875</v>
      </c>
      <c r="S560" s="5">
        <f t="shared" si="69"/>
        <v>4.0971275798821836</v>
      </c>
      <c r="T560" s="5">
        <f t="shared" si="72"/>
        <v>0.40502257988218338</v>
      </c>
      <c r="U560" s="1">
        <f t="shared" si="65"/>
        <v>2</v>
      </c>
      <c r="V560" s="1">
        <f t="shared" si="66"/>
        <v>2017</v>
      </c>
      <c r="W560" s="5">
        <v>1.0640421052631581</v>
      </c>
    </row>
    <row r="561" spans="1:23" x14ac:dyDescent="0.25">
      <c r="A561" s="13">
        <v>42795</v>
      </c>
      <c r="B561" s="16">
        <v>3.83</v>
      </c>
      <c r="C561" s="16">
        <v>3.5425</v>
      </c>
      <c r="D561" s="16">
        <v>3.6568480000000001</v>
      </c>
      <c r="E561" s="5">
        <f t="shared" si="67"/>
        <v>0.17315199999999997</v>
      </c>
      <c r="F561" s="5">
        <f t="shared" si="68"/>
        <v>-0.11434800000000012</v>
      </c>
      <c r="G561" s="33">
        <v>3.4</v>
      </c>
      <c r="H561" s="5">
        <f t="shared" si="62"/>
        <v>-0.25684800000000019</v>
      </c>
      <c r="K561" s="15">
        <f t="shared" si="63"/>
        <v>6.0714285714285712</v>
      </c>
      <c r="L561" s="15"/>
      <c r="M561" s="13">
        <f t="shared" si="64"/>
        <v>42795</v>
      </c>
      <c r="N561" s="5">
        <f>_xlfn.MAXIFS(Sheet1!$B$2:$B$6350,Sheet1!$E$2:$E$6350,Prices!$U561,Sheet1!$F$2:$F$6350,Prices!$V561)</f>
        <v>175</v>
      </c>
      <c r="O561" s="5">
        <f>_xlfn.MINIFS(Sheet1!$B$2:$B$6350,Sheet1!$E$2:$E$6350,Prices!$U561,Sheet1!$F$2:$F$6350,Prices!$V561)</f>
        <v>166</v>
      </c>
      <c r="P561" s="5">
        <f>AVERAGEIFS(Sheet1!$B$2:$B$6350,Sheet1!$E$2:$E$6350,Prices!$U561,Sheet1!$F$2:$F$6350,Prices!$V561)</f>
        <v>171.68478260869566</v>
      </c>
      <c r="Q561" s="5">
        <f t="shared" si="70"/>
        <v>3.3152173913043441</v>
      </c>
      <c r="R561" s="5">
        <f t="shared" si="71"/>
        <v>-5.6847826086956559</v>
      </c>
      <c r="S561" s="5">
        <f t="shared" si="69"/>
        <v>4.0812558566584185</v>
      </c>
      <c r="T561" s="5">
        <f t="shared" si="72"/>
        <v>0.4244078566584184</v>
      </c>
      <c r="U561" s="1">
        <f t="shared" si="65"/>
        <v>3</v>
      </c>
      <c r="V561" s="1">
        <f t="shared" si="66"/>
        <v>2017</v>
      </c>
      <c r="W561" s="5">
        <v>1.0685521739130435</v>
      </c>
    </row>
    <row r="562" spans="1:23" x14ac:dyDescent="0.25">
      <c r="A562" s="13">
        <v>42826</v>
      </c>
      <c r="B562" s="16">
        <v>3.73</v>
      </c>
      <c r="C562" s="16">
        <v>3.5425</v>
      </c>
      <c r="D562" s="16">
        <v>3.6301319999999997</v>
      </c>
      <c r="E562" s="5">
        <f t="shared" si="67"/>
        <v>9.986800000000029E-2</v>
      </c>
      <c r="F562" s="5">
        <f t="shared" si="68"/>
        <v>-8.763199999999971E-2</v>
      </c>
      <c r="G562" s="33">
        <v>3.41</v>
      </c>
      <c r="H562" s="5">
        <f t="shared" si="62"/>
        <v>-0.22013199999999955</v>
      </c>
      <c r="K562" s="15">
        <f t="shared" si="63"/>
        <v>6.0892857142857144</v>
      </c>
      <c r="L562" s="15"/>
      <c r="M562" s="13">
        <f t="shared" si="64"/>
        <v>42826</v>
      </c>
      <c r="N562" s="5">
        <f>_xlfn.MAXIFS(Sheet1!$B$2:$B$6350,Sheet1!$E$2:$E$6350,Prices!$U562,Sheet1!$F$2:$F$6350,Prices!$V562)</f>
        <v>174</v>
      </c>
      <c r="O562" s="5">
        <f>_xlfn.MINIFS(Sheet1!$B$2:$B$6350,Sheet1!$E$2:$E$6350,Prices!$U562,Sheet1!$F$2:$F$6350,Prices!$V562)</f>
        <v>169.25</v>
      </c>
      <c r="P562" s="5">
        <f>AVERAGEIFS(Sheet1!$B$2:$B$6350,Sheet1!$E$2:$E$6350,Prices!$U562,Sheet1!$F$2:$F$6350,Prices!$V562)</f>
        <v>171.95833333333334</v>
      </c>
      <c r="Q562" s="5">
        <f t="shared" si="70"/>
        <v>2.0416666666666572</v>
      </c>
      <c r="R562" s="5">
        <f t="shared" si="71"/>
        <v>-2.7083333333333428</v>
      </c>
      <c r="S562" s="5">
        <f t="shared" si="69"/>
        <v>4.0744913458206664</v>
      </c>
      <c r="T562" s="5">
        <f t="shared" si="72"/>
        <v>0.44435934582066672</v>
      </c>
      <c r="U562" s="1">
        <f t="shared" si="65"/>
        <v>4</v>
      </c>
      <c r="V562" s="1">
        <f t="shared" si="66"/>
        <v>2017</v>
      </c>
      <c r="W562" s="5">
        <v>1.0720315789473684</v>
      </c>
    </row>
    <row r="563" spans="1:23" x14ac:dyDescent="0.25">
      <c r="A563" s="13">
        <v>42856</v>
      </c>
      <c r="B563" s="16">
        <v>3.79</v>
      </c>
      <c r="C563" s="16">
        <v>3.6425000000000001</v>
      </c>
      <c r="D563" s="16">
        <v>3.7054550000000002</v>
      </c>
      <c r="E563" s="5">
        <f t="shared" si="67"/>
        <v>8.454499999999987E-2</v>
      </c>
      <c r="F563" s="5">
        <f t="shared" si="68"/>
        <v>-6.2955000000000094E-2</v>
      </c>
      <c r="G563" s="33">
        <v>3.47</v>
      </c>
      <c r="H563" s="5">
        <f t="shared" ref="H563:H630" si="73">G563-D563</f>
        <v>-0.23545499999999997</v>
      </c>
      <c r="K563" s="15">
        <f t="shared" si="63"/>
        <v>6.1964285714285712</v>
      </c>
      <c r="L563" s="15"/>
      <c r="M563" s="13">
        <f t="shared" si="64"/>
        <v>42856</v>
      </c>
      <c r="N563" s="5">
        <f>_xlfn.MAXIFS(Sheet1!$B$2:$B$6350,Sheet1!$E$2:$E$6350,Prices!$U563,Sheet1!$F$2:$F$6350,Prices!$V563)</f>
        <v>174.5</v>
      </c>
      <c r="O563" s="5">
        <f>_xlfn.MINIFS(Sheet1!$B$2:$B$6350,Sheet1!$E$2:$E$6350,Prices!$U563,Sheet1!$F$2:$F$6350,Prices!$V563)</f>
        <v>162</v>
      </c>
      <c r="P563" s="5">
        <f>AVERAGEIFS(Sheet1!$B$2:$B$6350,Sheet1!$E$2:$E$6350,Prices!$U563,Sheet1!$F$2:$F$6350,Prices!$V563)</f>
        <v>169.60227272727272</v>
      </c>
      <c r="Q563" s="5">
        <f t="shared" si="70"/>
        <v>4.8977272727272805</v>
      </c>
      <c r="R563" s="5">
        <f t="shared" si="71"/>
        <v>-7.6022727272727195</v>
      </c>
      <c r="S563" s="5">
        <f t="shared" si="69"/>
        <v>3.8987176246112605</v>
      </c>
      <c r="T563" s="5">
        <f t="shared" si="72"/>
        <v>0.19326262461126031</v>
      </c>
      <c r="U563" s="1">
        <f t="shared" si="65"/>
        <v>5</v>
      </c>
      <c r="V563" s="1">
        <f t="shared" si="66"/>
        <v>2017</v>
      </c>
      <c r="W563" s="5">
        <v>1.1050136363636367</v>
      </c>
    </row>
    <row r="564" spans="1:23" x14ac:dyDescent="0.25">
      <c r="A564" s="13">
        <v>42887</v>
      </c>
      <c r="B564" s="16">
        <v>3.9175</v>
      </c>
      <c r="C564" s="16">
        <v>3.5625</v>
      </c>
      <c r="D564" s="16">
        <v>3.7228409999999998</v>
      </c>
      <c r="E564" s="5">
        <f t="shared" si="67"/>
        <v>0.19465900000000014</v>
      </c>
      <c r="F564" s="5">
        <f t="shared" si="68"/>
        <v>-0.16034099999999984</v>
      </c>
      <c r="G564" s="33">
        <v>3.49</v>
      </c>
      <c r="H564" s="5">
        <f t="shared" si="73"/>
        <v>-0.23284099999999963</v>
      </c>
      <c r="K564" s="15">
        <f t="shared" si="63"/>
        <v>6.2321428571428577</v>
      </c>
      <c r="L564" s="15"/>
      <c r="M564" s="13">
        <f t="shared" si="64"/>
        <v>42887</v>
      </c>
      <c r="N564" s="5">
        <f>_xlfn.MAXIFS(Sheet1!$B$2:$B$6350,Sheet1!$E$2:$E$6350,Prices!$U564,Sheet1!$F$2:$F$6350,Prices!$V564)</f>
        <v>176.5</v>
      </c>
      <c r="O564" s="5">
        <f>_xlfn.MINIFS(Sheet1!$B$2:$B$6350,Sheet1!$E$2:$E$6350,Prices!$U564,Sheet1!$F$2:$F$6350,Prices!$V564)</f>
        <v>162.25</v>
      </c>
      <c r="P564" s="5">
        <f>AVERAGEIFS(Sheet1!$B$2:$B$6350,Sheet1!$E$2:$E$6350,Prices!$U564,Sheet1!$F$2:$F$6350,Prices!$V564)</f>
        <v>173</v>
      </c>
      <c r="Q564" s="5">
        <f t="shared" si="70"/>
        <v>3.5</v>
      </c>
      <c r="R564" s="5">
        <f t="shared" si="71"/>
        <v>-10.75</v>
      </c>
      <c r="S564" s="5">
        <f t="shared" si="69"/>
        <v>3.9110229717950395</v>
      </c>
      <c r="T564" s="5">
        <f t="shared" si="72"/>
        <v>0.1881819717950397</v>
      </c>
      <c r="U564" s="1">
        <f t="shared" si="65"/>
        <v>6</v>
      </c>
      <c r="V564" s="1">
        <f t="shared" si="66"/>
        <v>2017</v>
      </c>
      <c r="W564" s="5">
        <v>1.1236045454545454</v>
      </c>
    </row>
    <row r="565" spans="1:23" x14ac:dyDescent="0.25">
      <c r="A565" s="13">
        <v>42917</v>
      </c>
      <c r="B565" s="16">
        <v>4.0475000000000003</v>
      </c>
      <c r="C565" s="16">
        <v>3.66</v>
      </c>
      <c r="D565" s="16">
        <v>3.8210000000000002</v>
      </c>
      <c r="E565" s="5">
        <f t="shared" si="67"/>
        <v>0.22650000000000015</v>
      </c>
      <c r="F565" s="5">
        <f t="shared" si="68"/>
        <v>-0.16100000000000003</v>
      </c>
      <c r="G565" s="33">
        <v>3.51</v>
      </c>
      <c r="H565" s="5">
        <f t="shared" si="73"/>
        <v>-0.31100000000000039</v>
      </c>
      <c r="K565" s="15">
        <f t="shared" si="63"/>
        <v>6.2678571428571432</v>
      </c>
      <c r="L565" s="15"/>
      <c r="M565" s="13">
        <f t="shared" si="64"/>
        <v>42917</v>
      </c>
      <c r="N565" s="5">
        <f>_xlfn.MAXIFS(Sheet1!$B$2:$B$6350,Sheet1!$E$2:$E$6350,Prices!$U565,Sheet1!$F$2:$F$6350,Prices!$V565)</f>
        <v>175.75</v>
      </c>
      <c r="O565" s="5">
        <f>_xlfn.MINIFS(Sheet1!$B$2:$B$6350,Sheet1!$E$2:$E$6350,Prices!$U565,Sheet1!$F$2:$F$6350,Prices!$V565)</f>
        <v>155</v>
      </c>
      <c r="P565" s="5">
        <f>AVERAGEIFS(Sheet1!$B$2:$B$6350,Sheet1!$E$2:$E$6350,Prices!$U565,Sheet1!$F$2:$F$6350,Prices!$V565)</f>
        <v>167.27380952380952</v>
      </c>
      <c r="Q565" s="5">
        <f t="shared" si="70"/>
        <v>8.4761904761904816</v>
      </c>
      <c r="R565" s="5">
        <f t="shared" si="71"/>
        <v>-12.273809523809518</v>
      </c>
      <c r="S565" s="5">
        <f t="shared" si="69"/>
        <v>3.6821105684414754</v>
      </c>
      <c r="T565" s="5">
        <f t="shared" si="72"/>
        <v>-0.13888943155852473</v>
      </c>
      <c r="U565" s="1">
        <f t="shared" si="65"/>
        <v>7</v>
      </c>
      <c r="V565" s="1">
        <f t="shared" si="66"/>
        <v>2017</v>
      </c>
      <c r="W565" s="5">
        <v>1.1539550000000001</v>
      </c>
    </row>
    <row r="566" spans="1:23" x14ac:dyDescent="0.25">
      <c r="A566" s="13">
        <v>42948</v>
      </c>
      <c r="B566" s="16">
        <v>3.7549999999999999</v>
      </c>
      <c r="C566" s="16">
        <v>3.2850000000000001</v>
      </c>
      <c r="D566" s="16">
        <v>3.531196</v>
      </c>
      <c r="E566" s="5">
        <f t="shared" si="67"/>
        <v>0.22380399999999989</v>
      </c>
      <c r="F566" s="5">
        <f t="shared" si="68"/>
        <v>-0.24619599999999986</v>
      </c>
      <c r="G566" s="33">
        <v>3.27</v>
      </c>
      <c r="H566" s="5">
        <f t="shared" si="73"/>
        <v>-0.26119599999999998</v>
      </c>
      <c r="K566" s="15">
        <f t="shared" si="63"/>
        <v>5.8392857142857144</v>
      </c>
      <c r="L566" s="15"/>
      <c r="M566" s="13">
        <f t="shared" si="64"/>
        <v>42948</v>
      </c>
      <c r="N566" s="5">
        <f>_xlfn.MAXIFS(Sheet1!$B$2:$B$6350,Sheet1!$E$2:$E$6350,Prices!$U566,Sheet1!$F$2:$F$6350,Prices!$V566)</f>
        <v>166</v>
      </c>
      <c r="O566" s="5">
        <f>_xlfn.MINIFS(Sheet1!$B$2:$B$6350,Sheet1!$E$2:$E$6350,Prices!$U566,Sheet1!$F$2:$F$6350,Prices!$V566)</f>
        <v>142.5</v>
      </c>
      <c r="P566" s="5">
        <f>AVERAGEIFS(Sheet1!$B$2:$B$6350,Sheet1!$E$2:$E$6350,Prices!$U566,Sheet1!$F$2:$F$6350,Prices!$V566)</f>
        <v>157.83695652173913</v>
      </c>
      <c r="Q566" s="5">
        <f t="shared" si="70"/>
        <v>8.1630434782608745</v>
      </c>
      <c r="R566" s="5">
        <f t="shared" si="71"/>
        <v>-15.336956521739125</v>
      </c>
      <c r="S566" s="5">
        <f t="shared" si="69"/>
        <v>3.3929447749096391</v>
      </c>
      <c r="T566" s="5">
        <f t="shared" si="72"/>
        <v>-0.13825122509036092</v>
      </c>
      <c r="U566" s="1">
        <f t="shared" si="65"/>
        <v>8</v>
      </c>
      <c r="V566" s="1">
        <f t="shared" si="66"/>
        <v>2017</v>
      </c>
      <c r="W566" s="5">
        <v>1.1816521739130432</v>
      </c>
    </row>
    <row r="567" spans="1:23" x14ac:dyDescent="0.25">
      <c r="A567" s="13">
        <v>42979</v>
      </c>
      <c r="B567" s="16">
        <v>3.61</v>
      </c>
      <c r="C567" s="16">
        <v>3.4824999999999999</v>
      </c>
      <c r="D567" s="16">
        <v>3.5387499999999998</v>
      </c>
      <c r="E567" s="5">
        <f t="shared" si="67"/>
        <v>7.1250000000000036E-2</v>
      </c>
      <c r="F567" s="5">
        <f t="shared" si="68"/>
        <v>-5.6249999999999911E-2</v>
      </c>
      <c r="G567" s="33">
        <v>3.15</v>
      </c>
      <c r="H567" s="5">
        <f t="shared" si="73"/>
        <v>-0.38874999999999993</v>
      </c>
      <c r="K567" s="15">
        <f t="shared" si="63"/>
        <v>5.625</v>
      </c>
      <c r="L567" s="15"/>
      <c r="M567" s="13">
        <f t="shared" si="64"/>
        <v>42979</v>
      </c>
      <c r="N567" s="5">
        <f>_xlfn.MAXIFS(Sheet1!$B$2:$B$6350,Sheet1!$E$2:$E$6350,Prices!$U567,Sheet1!$F$2:$F$6350,Prices!$V567)</f>
        <v>160</v>
      </c>
      <c r="O567" s="5">
        <f>_xlfn.MINIFS(Sheet1!$B$2:$B$6350,Sheet1!$E$2:$E$6350,Prices!$U567,Sheet1!$F$2:$F$6350,Prices!$V567)</f>
        <v>155</v>
      </c>
      <c r="P567" s="5">
        <f>AVERAGEIFS(Sheet1!$B$2:$B$6350,Sheet1!$E$2:$E$6350,Prices!$U567,Sheet1!$F$2:$F$6350,Prices!$V567)</f>
        <v>157.11904761904762</v>
      </c>
      <c r="Q567" s="5">
        <f t="shared" si="70"/>
        <v>2.8809523809523796</v>
      </c>
      <c r="R567" s="5">
        <f t="shared" si="71"/>
        <v>-2.1190476190476204</v>
      </c>
      <c r="S567" s="5">
        <f t="shared" si="69"/>
        <v>3.3524104778967372</v>
      </c>
      <c r="T567" s="5">
        <f t="shared" si="72"/>
        <v>-0.18633952210326266</v>
      </c>
      <c r="U567" s="1">
        <f t="shared" si="65"/>
        <v>9</v>
      </c>
      <c r="V567" s="1">
        <f t="shared" si="66"/>
        <v>2017</v>
      </c>
      <c r="W567" s="5">
        <v>1.1904999999999999</v>
      </c>
    </row>
    <row r="568" spans="1:23" x14ac:dyDescent="0.25">
      <c r="A568" s="13">
        <v>43009</v>
      </c>
      <c r="B568" s="16">
        <v>3.5274999999999999</v>
      </c>
      <c r="C568" s="16">
        <v>3.4449999999999998</v>
      </c>
      <c r="D568" s="16">
        <v>3.4938636363636362</v>
      </c>
      <c r="E568" s="5">
        <f t="shared" si="67"/>
        <v>3.3636363636363686E-2</v>
      </c>
      <c r="F568" s="5">
        <f t="shared" si="68"/>
        <v>-4.8863636363636331E-2</v>
      </c>
      <c r="G568" s="33">
        <v>3.15</v>
      </c>
      <c r="H568" s="5">
        <f t="shared" si="73"/>
        <v>-0.34386363636363626</v>
      </c>
      <c r="K568" s="15">
        <f t="shared" si="63"/>
        <v>5.625</v>
      </c>
      <c r="L568" s="15"/>
      <c r="M568" s="13">
        <f t="shared" si="64"/>
        <v>43009</v>
      </c>
      <c r="N568" s="5">
        <f>_xlfn.MAXIFS(Sheet1!$B$2:$B$6350,Sheet1!$E$2:$E$6350,Prices!$U568,Sheet1!$F$2:$F$6350,Prices!$V568)</f>
        <v>155.5</v>
      </c>
      <c r="O568" s="5">
        <f>_xlfn.MINIFS(Sheet1!$B$2:$B$6350,Sheet1!$E$2:$E$6350,Prices!$U568,Sheet1!$F$2:$F$6350,Prices!$V568)</f>
        <v>145.25</v>
      </c>
      <c r="P568" s="5">
        <f>AVERAGEIFS(Sheet1!$B$2:$B$6350,Sheet1!$E$2:$E$6350,Prices!$U568,Sheet1!$F$2:$F$6350,Prices!$V568)</f>
        <v>150.69318181818181</v>
      </c>
      <c r="Q568" s="5">
        <f t="shared" si="70"/>
        <v>4.806818181818187</v>
      </c>
      <c r="R568" s="5">
        <f t="shared" si="71"/>
        <v>-5.443181818181813</v>
      </c>
      <c r="S568" s="5">
        <f t="shared" si="69"/>
        <v>3.2567479045951342</v>
      </c>
      <c r="T568" s="5">
        <f t="shared" si="72"/>
        <v>-0.23711573176850198</v>
      </c>
      <c r="U568" s="1">
        <f t="shared" si="65"/>
        <v>10</v>
      </c>
      <c r="V568" s="1">
        <f t="shared" si="66"/>
        <v>2017</v>
      </c>
      <c r="W568" s="5">
        <v>1.1753499999999999</v>
      </c>
    </row>
    <row r="569" spans="1:23" x14ac:dyDescent="0.25">
      <c r="A569" s="13">
        <v>43040</v>
      </c>
      <c r="B569" s="16">
        <v>3.5049999999999999</v>
      </c>
      <c r="C569" s="16">
        <v>3.3624999999999998</v>
      </c>
      <c r="D569" s="16">
        <v>3.4317857142857147</v>
      </c>
      <c r="E569" s="5">
        <f t="shared" si="67"/>
        <v>7.3214285714285232E-2</v>
      </c>
      <c r="F569" s="5">
        <f t="shared" si="68"/>
        <v>-6.9285714285714839E-2</v>
      </c>
      <c r="G569" s="33">
        <v>3.14</v>
      </c>
      <c r="H569" s="5">
        <f t="shared" si="73"/>
        <v>-0.29178571428571454</v>
      </c>
      <c r="K569" s="15">
        <f t="shared" si="63"/>
        <v>5.6071428571428568</v>
      </c>
      <c r="L569" s="15"/>
      <c r="M569" s="13">
        <f t="shared" si="64"/>
        <v>43040</v>
      </c>
      <c r="N569" s="5">
        <f>_xlfn.MAXIFS(Sheet1!$B$2:$B$6350,Sheet1!$E$2:$E$6350,Prices!$U569,Sheet1!$F$2:$F$6350,Prices!$V569)</f>
        <v>163.25</v>
      </c>
      <c r="O569" s="5">
        <f>_xlfn.MINIFS(Sheet1!$B$2:$B$6350,Sheet1!$E$2:$E$6350,Prices!$U569,Sheet1!$F$2:$F$6350,Prices!$V569)</f>
        <v>149.5</v>
      </c>
      <c r="P569" s="5">
        <f>AVERAGEIFS(Sheet1!$B$2:$B$6350,Sheet1!$E$2:$E$6350,Prices!$U569,Sheet1!$F$2:$F$6350,Prices!$V569)</f>
        <v>159.18181818181819</v>
      </c>
      <c r="Q569" s="5">
        <f t="shared" si="70"/>
        <v>4.068181818181813</v>
      </c>
      <c r="R569" s="5">
        <f t="shared" si="71"/>
        <v>-9.681818181818187</v>
      </c>
      <c r="S569" s="5">
        <f t="shared" si="69"/>
        <v>3.4448989546631195</v>
      </c>
      <c r="T569" s="5">
        <f t="shared" si="72"/>
        <v>1.31132403774048E-2</v>
      </c>
      <c r="U569" s="1">
        <f t="shared" si="65"/>
        <v>11</v>
      </c>
      <c r="V569" s="1">
        <f t="shared" si="66"/>
        <v>2017</v>
      </c>
      <c r="W569" s="5">
        <v>1.173747619047619</v>
      </c>
    </row>
    <row r="570" spans="1:23" x14ac:dyDescent="0.25">
      <c r="A570" s="13">
        <v>43070</v>
      </c>
      <c r="B570" s="5">
        <v>3.5874999999999999</v>
      </c>
      <c r="C570" s="5">
        <v>3.47</v>
      </c>
      <c r="D570" s="5">
        <v>3.5105</v>
      </c>
      <c r="E570" s="5">
        <f t="shared" si="67"/>
        <v>7.6999999999999957E-2</v>
      </c>
      <c r="F570" s="5">
        <f t="shared" si="68"/>
        <v>-4.0499999999999758E-2</v>
      </c>
      <c r="G570" s="33">
        <v>3.21</v>
      </c>
      <c r="H570" s="5">
        <f t="shared" si="73"/>
        <v>-0.30049999999999999</v>
      </c>
      <c r="K570" s="15">
        <f t="shared" si="63"/>
        <v>5.7321428571428568</v>
      </c>
      <c r="L570" s="15"/>
      <c r="M570" s="13">
        <f t="shared" si="64"/>
        <v>43070</v>
      </c>
      <c r="N570" s="5">
        <f>_xlfn.MAXIFS(Sheet1!$B$2:$B$6350,Sheet1!$E$2:$E$6350,Prices!$U570,Sheet1!$F$2:$F$6350,Prices!$V570)</f>
        <v>159.5</v>
      </c>
      <c r="O570" s="5">
        <f>_xlfn.MINIFS(Sheet1!$B$2:$B$6350,Sheet1!$E$2:$E$6350,Prices!$U570,Sheet1!$F$2:$F$6350,Prices!$V570)</f>
        <v>157.25</v>
      </c>
      <c r="P570" s="5">
        <f>AVERAGEIFS(Sheet1!$B$2:$B$6350,Sheet1!$E$2:$E$6350,Prices!$U570,Sheet1!$F$2:$F$6350,Prices!$V570)</f>
        <v>158.42105263157896</v>
      </c>
      <c r="Q570" s="5">
        <f t="shared" si="70"/>
        <v>1.0789473684210407</v>
      </c>
      <c r="R570" s="5">
        <f t="shared" si="71"/>
        <v>-1.1710526315789593</v>
      </c>
      <c r="S570" s="5">
        <f t="shared" si="69"/>
        <v>3.4006434596149586</v>
      </c>
      <c r="T570" s="5">
        <f t="shared" si="72"/>
        <v>-0.10985654038504133</v>
      </c>
      <c r="U570" s="1">
        <f t="shared" si="65"/>
        <v>12</v>
      </c>
      <c r="V570" s="1">
        <f t="shared" si="66"/>
        <v>2017</v>
      </c>
      <c r="W570" s="5">
        <v>1.1833400000000001</v>
      </c>
    </row>
    <row r="571" spans="1:23" x14ac:dyDescent="0.25">
      <c r="A571" s="13">
        <v>43101</v>
      </c>
      <c r="B571" s="5">
        <v>3.6150000000000002</v>
      </c>
      <c r="C571" s="5">
        <v>3.4624999999999999</v>
      </c>
      <c r="D571" s="5">
        <v>3.5272619047619047</v>
      </c>
      <c r="E571" s="5">
        <f t="shared" si="67"/>
        <v>8.7738095238095504E-2</v>
      </c>
      <c r="F571" s="5">
        <f t="shared" si="68"/>
        <v>-6.4761904761904798E-2</v>
      </c>
      <c r="G571" s="33">
        <v>3.29</v>
      </c>
      <c r="H571" s="5">
        <f t="shared" si="73"/>
        <v>-0.23726190476190467</v>
      </c>
      <c r="K571" s="15">
        <f>G571/56*100</f>
        <v>5.875</v>
      </c>
      <c r="L571" s="15"/>
      <c r="M571" s="13">
        <f t="shared" si="64"/>
        <v>43101</v>
      </c>
      <c r="N571" s="5">
        <f>_xlfn.MAXIFS(Sheet1!$B$2:$B$6350,Sheet1!$E$2:$E$6350,Prices!$U571,Sheet1!$F$2:$F$6350,Prices!$V571)</f>
        <v>159.25</v>
      </c>
      <c r="O571" s="5">
        <f>_xlfn.MINIFS(Sheet1!$B$2:$B$6350,Sheet1!$E$2:$E$6350,Prices!$U571,Sheet1!$F$2:$F$6350,Prices!$V571)</f>
        <v>151</v>
      </c>
      <c r="P571" s="5">
        <f>AVERAGEIFS(Sheet1!$B$2:$B$6350,Sheet1!$E$2:$E$6350,Prices!$U571,Sheet1!$F$2:$F$6350,Prices!$V571)</f>
        <v>154.43181818181819</v>
      </c>
      <c r="Q571" s="5">
        <f t="shared" si="70"/>
        <v>4.818181818181813</v>
      </c>
      <c r="R571" s="5">
        <f t="shared" si="71"/>
        <v>-3.431818181818187</v>
      </c>
      <c r="S571" s="5">
        <f t="shared" si="69"/>
        <v>3.2166156055904866</v>
      </c>
      <c r="T571" s="5">
        <f t="shared" si="72"/>
        <v>-0.31064629917141806</v>
      </c>
      <c r="U571" s="1">
        <f t="shared" si="65"/>
        <v>1</v>
      </c>
      <c r="V571" s="1">
        <f t="shared" si="66"/>
        <v>2018</v>
      </c>
      <c r="W571" s="5">
        <v>1.2195380952380954</v>
      </c>
    </row>
    <row r="572" spans="1:23" x14ac:dyDescent="0.25">
      <c r="A572" s="13">
        <v>43132</v>
      </c>
      <c r="B572" s="17">
        <v>3.7050000000000001</v>
      </c>
      <c r="C572" s="17">
        <v>3.3624999999999998</v>
      </c>
      <c r="D572" s="17">
        <v>3.6062500000000002</v>
      </c>
      <c r="E572" s="5">
        <f t="shared" si="67"/>
        <v>9.8749999999999893E-2</v>
      </c>
      <c r="F572" s="5">
        <f t="shared" si="68"/>
        <v>-0.24375000000000036</v>
      </c>
      <c r="G572" s="33">
        <v>3.38</v>
      </c>
      <c r="H572" s="5">
        <f t="shared" si="73"/>
        <v>-0.22625000000000028</v>
      </c>
      <c r="K572" s="15">
        <f t="shared" si="63"/>
        <v>6.0357142857142856</v>
      </c>
      <c r="L572" s="15"/>
      <c r="M572" s="13">
        <f t="shared" si="64"/>
        <v>43132</v>
      </c>
      <c r="N572" s="5">
        <f>_xlfn.MAXIFS(Sheet1!$B$2:$B$6350,Sheet1!$E$2:$E$6350,Prices!$U572,Sheet1!$F$2:$F$6350,Prices!$V572)</f>
        <v>156</v>
      </c>
      <c r="O572" s="5">
        <f>_xlfn.MINIFS(Sheet1!$B$2:$B$6350,Sheet1!$E$2:$E$6350,Prices!$U572,Sheet1!$F$2:$F$6350,Prices!$V572)</f>
        <v>152.25</v>
      </c>
      <c r="P572" s="5">
        <f>AVERAGEIFS(Sheet1!$B$2:$B$6350,Sheet1!$E$2:$E$6350,Prices!$U572,Sheet1!$F$2:$F$6350,Prices!$V572)</f>
        <v>153.66249999999999</v>
      </c>
      <c r="Q572" s="5">
        <f t="shared" si="70"/>
        <v>2.3375000000000057</v>
      </c>
      <c r="R572" s="5">
        <f t="shared" si="71"/>
        <v>-1.4124999999999943</v>
      </c>
      <c r="S572" s="5">
        <f t="shared" si="69"/>
        <v>3.1635005312660249</v>
      </c>
      <c r="T572" s="5">
        <f t="shared" si="72"/>
        <v>-0.44274946873397525</v>
      </c>
      <c r="U572" s="1">
        <f t="shared" si="65"/>
        <v>2</v>
      </c>
      <c r="V572" s="1">
        <f t="shared" si="66"/>
        <v>2018</v>
      </c>
      <c r="W572" s="5">
        <v>1.233836842105263</v>
      </c>
    </row>
    <row r="573" spans="1:23" x14ac:dyDescent="0.25">
      <c r="A573" s="13">
        <v>43160</v>
      </c>
      <c r="B573" s="17">
        <v>3.9350000000000001</v>
      </c>
      <c r="C573" s="17">
        <v>3.7349999999999999</v>
      </c>
      <c r="D573" s="17">
        <v>3.8314285714285718</v>
      </c>
      <c r="E573" s="5">
        <f t="shared" si="67"/>
        <v>0.1035714285714282</v>
      </c>
      <c r="F573" s="5">
        <f t="shared" si="68"/>
        <v>-9.6428571428571974E-2</v>
      </c>
      <c r="G573" s="33">
        <v>3.51</v>
      </c>
      <c r="H573" s="5">
        <f t="shared" si="73"/>
        <v>-0.32142857142857206</v>
      </c>
      <c r="K573" s="15">
        <f t="shared" si="63"/>
        <v>6.2678571428571432</v>
      </c>
      <c r="L573" s="15"/>
      <c r="M573" s="13">
        <f t="shared" si="64"/>
        <v>43160</v>
      </c>
      <c r="N573" s="5">
        <f>_xlfn.MAXIFS(Sheet1!$B$2:$B$6350,Sheet1!$E$2:$E$6350,Prices!$U573,Sheet1!$F$2:$F$6350,Prices!$V573)</f>
        <v>165.5</v>
      </c>
      <c r="O573" s="5">
        <f>_xlfn.MINIFS(Sheet1!$B$2:$B$6350,Sheet1!$E$2:$E$6350,Prices!$U573,Sheet1!$F$2:$F$6350,Prices!$V573)</f>
        <v>155</v>
      </c>
      <c r="P573" s="5">
        <f>AVERAGEIFS(Sheet1!$B$2:$B$6350,Sheet1!$E$2:$E$6350,Prices!$U573,Sheet1!$F$2:$F$6350,Prices!$V573)</f>
        <v>162.42857142857142</v>
      </c>
      <c r="Q573" s="5">
        <f t="shared" si="70"/>
        <v>3.0714285714285836</v>
      </c>
      <c r="R573" s="5">
        <f t="shared" si="71"/>
        <v>-7.4285714285714164</v>
      </c>
      <c r="S573" s="5">
        <f t="shared" si="69"/>
        <v>3.34487078590409</v>
      </c>
      <c r="T573" s="5">
        <f t="shared" si="72"/>
        <v>-0.48655778552448181</v>
      </c>
      <c r="U573" s="1">
        <f t="shared" si="65"/>
        <v>3</v>
      </c>
      <c r="V573" s="1">
        <f t="shared" si="66"/>
        <v>2018</v>
      </c>
      <c r="W573" s="5">
        <v>1.2335047619047619</v>
      </c>
    </row>
    <row r="574" spans="1:23" x14ac:dyDescent="0.25">
      <c r="A574" s="13">
        <v>43191</v>
      </c>
      <c r="B574" s="17">
        <v>3.9075000000000002</v>
      </c>
      <c r="C574" s="17">
        <v>3.7650000000000001</v>
      </c>
      <c r="D574" s="17">
        <v>3.851375</v>
      </c>
      <c r="E574" s="5">
        <f t="shared" si="67"/>
        <v>5.6125000000000203E-2</v>
      </c>
      <c r="F574" s="5">
        <f t="shared" si="68"/>
        <v>-8.6374999999999869E-2</v>
      </c>
      <c r="G574" s="33">
        <v>3.58</v>
      </c>
      <c r="H574" s="5">
        <f t="shared" si="73"/>
        <v>-0.27137499999999992</v>
      </c>
      <c r="K574" s="15">
        <f t="shared" si="63"/>
        <v>6.3928571428571432</v>
      </c>
      <c r="L574" s="15"/>
      <c r="M574" s="13">
        <f t="shared" si="64"/>
        <v>43191</v>
      </c>
      <c r="N574" s="5">
        <f>_xlfn.MAXIFS(Sheet1!$B$2:$B$6350,Sheet1!$E$2:$E$6350,Prices!$U574,Sheet1!$F$2:$F$6350,Prices!$V574)</f>
        <v>168</v>
      </c>
      <c r="O574" s="5">
        <f>_xlfn.MINIFS(Sheet1!$B$2:$B$6350,Sheet1!$E$2:$E$6350,Prices!$U574,Sheet1!$F$2:$F$6350,Prices!$V574)</f>
        <v>162</v>
      </c>
      <c r="P574" s="5">
        <f>AVERAGEIFS(Sheet1!$B$2:$B$6350,Sheet1!$E$2:$E$6350,Prices!$U574,Sheet1!$F$2:$F$6350,Prices!$V574)</f>
        <v>164.91249999999999</v>
      </c>
      <c r="Q574" s="5">
        <f t="shared" si="70"/>
        <v>3.0875000000000057</v>
      </c>
      <c r="R574" s="5">
        <f t="shared" si="71"/>
        <v>-2.9124999999999943</v>
      </c>
      <c r="S574" s="5">
        <f t="shared" si="69"/>
        <v>3.4135088691233473</v>
      </c>
      <c r="T574" s="5">
        <f t="shared" si="72"/>
        <v>-0.43786613087665271</v>
      </c>
      <c r="U574" s="1">
        <f t="shared" si="65"/>
        <v>4</v>
      </c>
      <c r="V574" s="1">
        <f t="shared" si="66"/>
        <v>2018</v>
      </c>
      <c r="W574" s="5">
        <v>1.2271857142857145</v>
      </c>
    </row>
    <row r="575" spans="1:23" x14ac:dyDescent="0.25">
      <c r="A575" s="13">
        <v>43221</v>
      </c>
      <c r="B575" s="17">
        <v>4.085</v>
      </c>
      <c r="C575" s="17">
        <v>3.9350000000000001</v>
      </c>
      <c r="D575" s="17">
        <v>4.0180681818181823</v>
      </c>
      <c r="E575" s="5">
        <f t="shared" si="67"/>
        <v>6.6931818181817704E-2</v>
      </c>
      <c r="F575" s="5">
        <f t="shared" si="68"/>
        <v>-8.3068181818182207E-2</v>
      </c>
      <c r="G575" s="33">
        <v>3.68</v>
      </c>
      <c r="H575" s="5">
        <f t="shared" si="73"/>
        <v>-0.3380681818181821</v>
      </c>
      <c r="K575" s="15">
        <f t="shared" si="63"/>
        <v>6.5714285714285712</v>
      </c>
      <c r="L575" s="15"/>
      <c r="M575" s="13">
        <f t="shared" si="64"/>
        <v>43221</v>
      </c>
      <c r="N575" s="5">
        <f>_xlfn.MAXIFS(Sheet1!$B$2:$B$6350,Sheet1!$E$2:$E$6350,Prices!$U575,Sheet1!$F$2:$F$6350,Prices!$V575)</f>
        <v>173.5</v>
      </c>
      <c r="O575" s="5">
        <f>_xlfn.MINIFS(Sheet1!$B$2:$B$6350,Sheet1!$E$2:$E$6350,Prices!$U575,Sheet1!$F$2:$F$6350,Prices!$V575)</f>
        <v>165.5</v>
      </c>
      <c r="P575" s="5">
        <f>AVERAGEIFS(Sheet1!$B$2:$B$6350,Sheet1!$E$2:$E$6350,Prices!$U575,Sheet1!$F$2:$F$6350,Prices!$V575)</f>
        <v>168.11363636363637</v>
      </c>
      <c r="Q575" s="5">
        <f t="shared" si="70"/>
        <v>5.386363636363626</v>
      </c>
      <c r="R575" s="5">
        <f t="shared" si="71"/>
        <v>-2.613636363636374</v>
      </c>
      <c r="S575" s="5">
        <f t="shared" si="69"/>
        <v>3.6128775095741505</v>
      </c>
      <c r="T575" s="5">
        <f t="shared" si="72"/>
        <v>-0.40519067224403171</v>
      </c>
      <c r="U575" s="1">
        <f t="shared" si="65"/>
        <v>5</v>
      </c>
      <c r="V575" s="1">
        <f t="shared" si="66"/>
        <v>2018</v>
      </c>
      <c r="W575" s="5">
        <v>1.1819727272727272</v>
      </c>
    </row>
    <row r="576" spans="1:23" x14ac:dyDescent="0.25">
      <c r="A576" s="13">
        <v>43252</v>
      </c>
      <c r="B576" s="17">
        <v>3.915</v>
      </c>
      <c r="C576" s="17">
        <v>3.45</v>
      </c>
      <c r="D576" s="17">
        <v>3.6486904761904757</v>
      </c>
      <c r="E576" s="5">
        <f t="shared" si="67"/>
        <v>0.26630952380952433</v>
      </c>
      <c r="F576" s="5">
        <f t="shared" si="68"/>
        <v>-0.19869047619047553</v>
      </c>
      <c r="G576" s="33">
        <v>3.58</v>
      </c>
      <c r="H576" s="5">
        <f t="shared" si="73"/>
        <v>-6.8690476190475636E-2</v>
      </c>
      <c r="K576" s="15">
        <f t="shared" ref="K576:K639" si="74">G576/56*100</f>
        <v>6.3928571428571432</v>
      </c>
      <c r="L576" s="15"/>
      <c r="M576" s="13">
        <f t="shared" si="64"/>
        <v>43252</v>
      </c>
      <c r="N576" s="5">
        <f>_xlfn.MAXIFS(Sheet1!$B$2:$B$6350,Sheet1!$E$2:$E$6350,Prices!$U576,Sheet1!$F$2:$F$6350,Prices!$V576)</f>
        <v>168.5</v>
      </c>
      <c r="O576" s="5">
        <f>_xlfn.MINIFS(Sheet1!$B$2:$B$6350,Sheet1!$E$2:$E$6350,Prices!$U576,Sheet1!$F$2:$F$6350,Prices!$V576)</f>
        <v>159.5</v>
      </c>
      <c r="P576" s="5">
        <f>AVERAGEIFS(Sheet1!$B$2:$B$6350,Sheet1!$E$2:$E$6350,Prices!$U576,Sheet1!$F$2:$F$6350,Prices!$V576)</f>
        <v>164.91666666666666</v>
      </c>
      <c r="Q576" s="5">
        <f t="shared" si="70"/>
        <v>3.5833333333333428</v>
      </c>
      <c r="R576" s="5">
        <f t="shared" si="71"/>
        <v>-5.4166666666666572</v>
      </c>
      <c r="S576" s="5">
        <f t="shared" si="69"/>
        <v>3.5894394712951811</v>
      </c>
      <c r="T576" s="5">
        <f t="shared" si="72"/>
        <v>-5.9251004895294557E-2</v>
      </c>
      <c r="U576" s="1">
        <f t="shared" si="65"/>
        <v>6</v>
      </c>
      <c r="V576" s="1">
        <f t="shared" si="66"/>
        <v>2018</v>
      </c>
      <c r="W576" s="5">
        <v>1.1670666666666669</v>
      </c>
    </row>
    <row r="577" spans="1:23" x14ac:dyDescent="0.25">
      <c r="A577" s="13">
        <v>43282</v>
      </c>
      <c r="B577" s="5">
        <v>3.7225000000000001</v>
      </c>
      <c r="C577" s="5">
        <v>3.4</v>
      </c>
      <c r="D577" s="5">
        <v>3.5302380952380954</v>
      </c>
      <c r="E577" s="5">
        <f t="shared" si="67"/>
        <v>0.19226190476190474</v>
      </c>
      <c r="F577" s="5">
        <f t="shared" si="68"/>
        <v>-0.13023809523809549</v>
      </c>
      <c r="G577" s="33">
        <v>3.47</v>
      </c>
      <c r="H577" s="5">
        <f t="shared" si="73"/>
        <v>-6.0238095238095202E-2</v>
      </c>
      <c r="K577" s="15">
        <f t="shared" si="74"/>
        <v>6.1964285714285712</v>
      </c>
      <c r="L577" s="15"/>
      <c r="M577" s="13">
        <f t="shared" si="64"/>
        <v>43282</v>
      </c>
      <c r="N577" s="5">
        <f>_xlfn.MAXIFS(Sheet1!$B$2:$B$6350,Sheet1!$E$2:$E$6350,Prices!$U577,Sheet1!$F$2:$F$6350,Prices!$V577)</f>
        <v>184.75</v>
      </c>
      <c r="O577" s="5">
        <f>_xlfn.MINIFS(Sheet1!$B$2:$B$6350,Sheet1!$E$2:$E$6350,Prices!$U577,Sheet1!$F$2:$F$6350,Prices!$V577)</f>
        <v>166.75</v>
      </c>
      <c r="P577" s="5">
        <f>AVERAGEIFS(Sheet1!$B$2:$B$6350,Sheet1!$E$2:$E$6350,Prices!$U577,Sheet1!$F$2:$F$6350,Prices!$V577)</f>
        <v>173.39772727272728</v>
      </c>
      <c r="Q577" s="5">
        <f t="shared" si="70"/>
        <v>11.35227272727272</v>
      </c>
      <c r="R577" s="5">
        <f t="shared" si="71"/>
        <v>-6.6477272727272805</v>
      </c>
      <c r="S577" s="5">
        <f t="shared" si="69"/>
        <v>3.7690792574910459</v>
      </c>
      <c r="T577" s="5">
        <f t="shared" si="72"/>
        <v>0.23884116225295049</v>
      </c>
      <c r="U577" s="1">
        <f t="shared" si="65"/>
        <v>7</v>
      </c>
      <c r="V577" s="1">
        <f t="shared" si="66"/>
        <v>2018</v>
      </c>
      <c r="W577" s="5">
        <v>1.1686000000000001</v>
      </c>
    </row>
    <row r="578" spans="1:23" x14ac:dyDescent="0.25">
      <c r="A578" s="13">
        <v>43313</v>
      </c>
      <c r="B578" s="17">
        <v>3.7124999999999999</v>
      </c>
      <c r="C578" s="17">
        <v>3.41</v>
      </c>
      <c r="D578" s="17">
        <v>3.5833695652173914</v>
      </c>
      <c r="E578" s="5">
        <f t="shared" si="67"/>
        <v>0.12913043478260855</v>
      </c>
      <c r="F578" s="5">
        <f t="shared" si="68"/>
        <v>-0.17336956521739122</v>
      </c>
      <c r="G578" s="33">
        <v>3.36</v>
      </c>
      <c r="H578" s="5">
        <f t="shared" si="73"/>
        <v>-0.22336956521739149</v>
      </c>
      <c r="K578" s="15">
        <f t="shared" si="74"/>
        <v>6</v>
      </c>
      <c r="L578" s="15"/>
      <c r="M578" s="13">
        <f t="shared" si="64"/>
        <v>43313</v>
      </c>
      <c r="N578" s="5">
        <f>_xlfn.MAXIFS(Sheet1!$B$2:$B$6350,Sheet1!$E$2:$E$6350,Prices!$U578,Sheet1!$F$2:$F$6350,Prices!$V578)</f>
        <v>200</v>
      </c>
      <c r="O578" s="5">
        <f>_xlfn.MINIFS(Sheet1!$B$2:$B$6350,Sheet1!$E$2:$E$6350,Prices!$U578,Sheet1!$F$2:$F$6350,Prices!$V578)</f>
        <v>179.75</v>
      </c>
      <c r="P578" s="5">
        <f>AVERAGEIFS(Sheet1!$B$2:$B$6350,Sheet1!$E$2:$E$6350,Prices!$U578,Sheet1!$F$2:$F$6350,Prices!$V578)</f>
        <v>188.45652173913044</v>
      </c>
      <c r="Q578" s="5">
        <f t="shared" si="70"/>
        <v>11.543478260869563</v>
      </c>
      <c r="R578" s="5">
        <f t="shared" si="71"/>
        <v>-8.7065217391304373</v>
      </c>
      <c r="S578" s="5">
        <f t="shared" si="69"/>
        <v>4.1461238939742158</v>
      </c>
      <c r="T578" s="5">
        <f t="shared" si="72"/>
        <v>0.56275432875682441</v>
      </c>
      <c r="U578" s="1">
        <f t="shared" si="65"/>
        <v>8</v>
      </c>
      <c r="V578" s="1">
        <f t="shared" si="66"/>
        <v>2018</v>
      </c>
      <c r="W578" s="5">
        <v>1.1545869565217393</v>
      </c>
    </row>
    <row r="579" spans="1:23" x14ac:dyDescent="0.25">
      <c r="A579" s="13">
        <v>43344</v>
      </c>
      <c r="B579" s="5">
        <v>3.6825000000000001</v>
      </c>
      <c r="C579" s="5">
        <v>3.4325000000000001</v>
      </c>
      <c r="D579" s="5">
        <v>3.5844736842105265</v>
      </c>
      <c r="E579" s="5">
        <f t="shared" si="67"/>
        <v>9.8026315789473628E-2</v>
      </c>
      <c r="F579" s="5">
        <f t="shared" si="68"/>
        <v>-0.15197368421052637</v>
      </c>
      <c r="G579" s="33">
        <v>3.4</v>
      </c>
      <c r="H579" s="5">
        <f t="shared" si="73"/>
        <v>-0.18447368421052657</v>
      </c>
      <c r="I579" s="14">
        <v>3.12</v>
      </c>
      <c r="J579" s="5">
        <f>G579-I579</f>
        <v>0.2799999999999998</v>
      </c>
      <c r="K579" s="15">
        <f t="shared" si="74"/>
        <v>6.0714285714285712</v>
      </c>
      <c r="L579" s="15"/>
      <c r="M579" s="13">
        <f t="shared" ref="M579:M642" si="75">A579</f>
        <v>43344</v>
      </c>
      <c r="N579" s="5">
        <f>_xlfn.MAXIFS(Sheet1!$B$2:$B$6350,Sheet1!$E$2:$E$6350,Prices!$U579,Sheet1!$F$2:$F$6350,Prices!$V579)</f>
        <v>181.5</v>
      </c>
      <c r="O579" s="5">
        <f>_xlfn.MINIFS(Sheet1!$B$2:$B$6350,Sheet1!$E$2:$E$6350,Prices!$U579,Sheet1!$F$2:$F$6350,Prices!$V579)</f>
        <v>174.5</v>
      </c>
      <c r="P579" s="5">
        <f>AVERAGEIFS(Sheet1!$B$2:$B$6350,Sheet1!$E$2:$E$6350,Prices!$U579,Sheet1!$F$2:$F$6350,Prices!$V579)</f>
        <v>177.51249999999999</v>
      </c>
      <c r="Q579" s="5">
        <f t="shared" si="70"/>
        <v>3.9875000000000114</v>
      </c>
      <c r="R579" s="5">
        <f t="shared" si="71"/>
        <v>-3.0124999999999886</v>
      </c>
      <c r="S579" s="5">
        <f t="shared" si="69"/>
        <v>3.8666880420473082</v>
      </c>
      <c r="T579" s="5">
        <f t="shared" si="72"/>
        <v>0.28221435783678173</v>
      </c>
      <c r="U579" s="1">
        <f t="shared" ref="U579:U642" si="76">MONTH(M579)</f>
        <v>9</v>
      </c>
      <c r="V579" s="1">
        <f t="shared" ref="V579:V642" si="77">YEAR(M579)</f>
        <v>2018</v>
      </c>
      <c r="W579" s="5">
        <v>1.166131578947369</v>
      </c>
    </row>
    <row r="580" spans="1:23" x14ac:dyDescent="0.25">
      <c r="A580" s="13">
        <v>43374</v>
      </c>
      <c r="B580" s="5">
        <v>3.7825000000000002</v>
      </c>
      <c r="C580" s="5">
        <v>3.61</v>
      </c>
      <c r="D580" s="5">
        <v>3.6815217391304351</v>
      </c>
      <c r="E580" s="5">
        <f t="shared" ref="E580:E643" si="78">B580-D580</f>
        <v>0.10097826086956507</v>
      </c>
      <c r="F580" s="5">
        <f t="shared" ref="F580:F643" si="79">C580-D580</f>
        <v>-7.1521739130435247E-2</v>
      </c>
      <c r="G580" s="33">
        <v>3.42</v>
      </c>
      <c r="H580" s="5">
        <f t="shared" si="73"/>
        <v>-0.26152173913043519</v>
      </c>
      <c r="I580" s="14">
        <v>3.28</v>
      </c>
      <c r="J580" s="5">
        <f t="shared" ref="J580:J643" si="80">G580-I580</f>
        <v>0.14000000000000012</v>
      </c>
      <c r="K580" s="15">
        <f t="shared" si="74"/>
        <v>6.1071428571428568</v>
      </c>
      <c r="L580" s="15"/>
      <c r="M580" s="13">
        <f t="shared" si="75"/>
        <v>43374</v>
      </c>
      <c r="N580" s="5">
        <f>_xlfn.MAXIFS(Sheet1!$B$2:$B$6350,Sheet1!$E$2:$E$6350,Prices!$U580,Sheet1!$F$2:$F$6350,Prices!$V580)</f>
        <v>174.75</v>
      </c>
      <c r="O580" s="5">
        <f>_xlfn.MINIFS(Sheet1!$B$2:$B$6350,Sheet1!$E$2:$E$6350,Prices!$U580,Sheet1!$F$2:$F$6350,Prices!$V580)</f>
        <v>166</v>
      </c>
      <c r="P580" s="5">
        <f>AVERAGEIFS(Sheet1!$B$2:$B$6350,Sheet1!$E$2:$E$6350,Prices!$U580,Sheet1!$F$2:$F$6350,Prices!$V580)</f>
        <v>170.86956521739131</v>
      </c>
      <c r="Q580" s="5">
        <f t="shared" si="70"/>
        <v>3.8804347826086882</v>
      </c>
      <c r="R580" s="5">
        <f t="shared" si="71"/>
        <v>-4.8695652173913118</v>
      </c>
      <c r="S580" s="5">
        <f t="shared" si="69"/>
        <v>3.7810162165873189</v>
      </c>
      <c r="T580" s="5">
        <f t="shared" si="72"/>
        <v>9.9494477456883779E-2</v>
      </c>
      <c r="U580" s="1">
        <f t="shared" si="76"/>
        <v>10</v>
      </c>
      <c r="V580" s="1">
        <f t="shared" si="77"/>
        <v>2018</v>
      </c>
      <c r="W580" s="5">
        <v>1.1479260869565215</v>
      </c>
    </row>
    <row r="581" spans="1:23" x14ac:dyDescent="0.25">
      <c r="A581" s="13">
        <v>43405</v>
      </c>
      <c r="B581" s="17">
        <v>3.74</v>
      </c>
      <c r="C581" s="17">
        <v>3.3624999999999998</v>
      </c>
      <c r="D581" s="17">
        <v>3.6160714285714284</v>
      </c>
      <c r="E581" s="5">
        <f t="shared" si="78"/>
        <v>0.12392857142857183</v>
      </c>
      <c r="F581" s="5">
        <f t="shared" si="79"/>
        <v>-0.25357142857142856</v>
      </c>
      <c r="G581" s="33">
        <v>3.41</v>
      </c>
      <c r="H581" s="5">
        <f t="shared" si="73"/>
        <v>-0.20607142857142824</v>
      </c>
      <c r="I581" s="14">
        <v>3.36</v>
      </c>
      <c r="J581" s="5">
        <f t="shared" si="80"/>
        <v>5.0000000000000266E-2</v>
      </c>
      <c r="K581" s="15">
        <f t="shared" si="74"/>
        <v>6.0892857142857144</v>
      </c>
      <c r="L581" s="15"/>
      <c r="M581" s="13">
        <f t="shared" si="75"/>
        <v>43405</v>
      </c>
      <c r="N581" s="5">
        <f>_xlfn.MAXIFS(Sheet1!$B$2:$B$6350,Sheet1!$E$2:$E$6350,Prices!$U581,Sheet1!$F$2:$F$6350,Prices!$V581)</f>
        <v>177.25</v>
      </c>
      <c r="O581" s="5">
        <f>_xlfn.MINIFS(Sheet1!$B$2:$B$6350,Sheet1!$E$2:$E$6350,Prices!$U581,Sheet1!$F$2:$F$6350,Prices!$V581)</f>
        <v>167.25</v>
      </c>
      <c r="P581" s="5">
        <f>AVERAGEIFS(Sheet1!$B$2:$B$6350,Sheet1!$E$2:$E$6350,Prices!$U581,Sheet1!$F$2:$F$6350,Prices!$V581)</f>
        <v>174.69318181818181</v>
      </c>
      <c r="Q581" s="5">
        <f t="shared" si="70"/>
        <v>2.556818181818187</v>
      </c>
      <c r="R581" s="5">
        <f t="shared" si="71"/>
        <v>-7.443181818181813</v>
      </c>
      <c r="S581" s="5">
        <f t="shared" si="69"/>
        <v>3.9066666159146344</v>
      </c>
      <c r="T581" s="5">
        <f t="shared" si="72"/>
        <v>0.290595187343206</v>
      </c>
      <c r="U581" s="1">
        <f t="shared" si="76"/>
        <v>11</v>
      </c>
      <c r="V581" s="1">
        <f t="shared" si="77"/>
        <v>2018</v>
      </c>
      <c r="W581" s="5">
        <v>1.1358666666666668</v>
      </c>
    </row>
    <row r="582" spans="1:23" x14ac:dyDescent="0.25">
      <c r="A582" s="13">
        <v>43435</v>
      </c>
      <c r="B582" s="5">
        <v>3.855</v>
      </c>
      <c r="C582" s="5">
        <v>3.7324999999999999</v>
      </c>
      <c r="D582" s="5">
        <v>3.8116250000000003</v>
      </c>
      <c r="E582" s="5">
        <f t="shared" si="78"/>
        <v>4.3374999999999719E-2</v>
      </c>
      <c r="F582" s="5">
        <f t="shared" si="79"/>
        <v>-7.9125000000000334E-2</v>
      </c>
      <c r="G582" s="33">
        <v>3.54</v>
      </c>
      <c r="H582" s="5">
        <f t="shared" si="73"/>
        <v>-0.27162500000000023</v>
      </c>
      <c r="I582" s="14">
        <v>3.53</v>
      </c>
      <c r="J582" s="5">
        <f t="shared" si="80"/>
        <v>1.0000000000000231E-2</v>
      </c>
      <c r="K582" s="15">
        <f t="shared" si="74"/>
        <v>6.3214285714285712</v>
      </c>
      <c r="L582" s="15"/>
      <c r="M582" s="13">
        <f t="shared" si="75"/>
        <v>43435</v>
      </c>
      <c r="N582" s="5">
        <f>_xlfn.MAXIFS(Sheet1!$B$2:$B$6350,Sheet1!$E$2:$E$6350,Prices!$U582,Sheet1!$F$2:$F$6350,Prices!$V582)</f>
        <v>180.25</v>
      </c>
      <c r="O582" s="5">
        <f>_xlfn.MINIFS(Sheet1!$B$2:$B$6350,Sheet1!$E$2:$E$6350,Prices!$U582,Sheet1!$F$2:$F$6350,Prices!$V582)</f>
        <v>175.5</v>
      </c>
      <c r="P582" s="5">
        <f>AVERAGEIFS(Sheet1!$B$2:$B$6350,Sheet1!$E$2:$E$6350,Prices!$U582,Sheet1!$F$2:$F$6350,Prices!$V582)</f>
        <v>178.02631578947367</v>
      </c>
      <c r="Q582" s="5">
        <f t="shared" si="70"/>
        <v>2.2236842105263293</v>
      </c>
      <c r="R582" s="5">
        <f t="shared" si="71"/>
        <v>-2.5263157894736707</v>
      </c>
      <c r="S582" s="5">
        <f t="shared" si="69"/>
        <v>3.9759782963178862</v>
      </c>
      <c r="T582" s="5">
        <f t="shared" si="72"/>
        <v>0.16435329631788598</v>
      </c>
      <c r="U582" s="1">
        <f t="shared" si="76"/>
        <v>12</v>
      </c>
      <c r="V582" s="1">
        <f t="shared" si="77"/>
        <v>2018</v>
      </c>
      <c r="W582" s="5">
        <v>1.1373600000000001</v>
      </c>
    </row>
    <row r="583" spans="1:23" x14ac:dyDescent="0.25">
      <c r="A583" s="13">
        <v>43466</v>
      </c>
      <c r="B583" s="5">
        <v>3.83</v>
      </c>
      <c r="C583" s="5">
        <v>3.7124999999999999</v>
      </c>
      <c r="D583" s="5">
        <v>3.7869047619047622</v>
      </c>
      <c r="E583" s="5">
        <f t="shared" si="78"/>
        <v>4.3095238095237853E-2</v>
      </c>
      <c r="F583" s="5">
        <f t="shared" si="79"/>
        <v>-7.4404761904762307E-2</v>
      </c>
      <c r="G583" s="33">
        <v>3.56</v>
      </c>
      <c r="H583" s="5">
        <f t="shared" si="73"/>
        <v>-0.22690476190476216</v>
      </c>
      <c r="I583" s="14">
        <v>3.53</v>
      </c>
      <c r="J583" s="5">
        <f t="shared" si="80"/>
        <v>3.0000000000000249E-2</v>
      </c>
      <c r="K583" s="15">
        <f t="shared" si="74"/>
        <v>6.3571428571428568</v>
      </c>
      <c r="L583" s="15"/>
      <c r="M583" s="13">
        <f t="shared" si="75"/>
        <v>43466</v>
      </c>
      <c r="N583" s="5">
        <f>_xlfn.MAXIFS(Sheet1!$B$2:$B$6350,Sheet1!$E$2:$E$6350,Prices!$U583,Sheet1!$F$2:$F$6350,Prices!$V583)</f>
        <v>182.75</v>
      </c>
      <c r="O583" s="5">
        <f>_xlfn.MINIFS(Sheet1!$B$2:$B$6350,Sheet1!$E$2:$E$6350,Prices!$U583,Sheet1!$F$2:$F$6350,Prices!$V583)</f>
        <v>177.75</v>
      </c>
      <c r="P583" s="5">
        <f>AVERAGEIFS(Sheet1!$B$2:$B$6350,Sheet1!$E$2:$E$6350,Prices!$U583,Sheet1!$F$2:$F$6350,Prices!$V583)</f>
        <v>180.65909090909091</v>
      </c>
      <c r="Q583" s="5">
        <f t="shared" si="70"/>
        <v>2.0909090909090935</v>
      </c>
      <c r="R583" s="5">
        <f t="shared" si="71"/>
        <v>-2.9090909090909065</v>
      </c>
      <c r="S583" s="5">
        <f t="shared" si="69"/>
        <v>4.0182670068591273</v>
      </c>
      <c r="T583" s="5">
        <f t="shared" si="72"/>
        <v>0.23136224495436508</v>
      </c>
      <c r="U583" s="1">
        <f t="shared" si="76"/>
        <v>1</v>
      </c>
      <c r="V583" s="1">
        <f t="shared" si="77"/>
        <v>2019</v>
      </c>
      <c r="W583" s="5">
        <v>1.1420333333333335</v>
      </c>
    </row>
    <row r="584" spans="1:23" x14ac:dyDescent="0.25">
      <c r="A584" s="13">
        <v>43497</v>
      </c>
      <c r="B584" s="5">
        <v>3.8075000000000001</v>
      </c>
      <c r="C584" s="5">
        <v>3.6375000000000002</v>
      </c>
      <c r="D584" s="5">
        <v>3.7444444444444445</v>
      </c>
      <c r="E584" s="5">
        <f t="shared" si="78"/>
        <v>6.3055555555555642E-2</v>
      </c>
      <c r="F584" s="5">
        <f t="shared" si="79"/>
        <v>-0.10694444444444429</v>
      </c>
      <c r="G584" s="33">
        <v>3.6</v>
      </c>
      <c r="H584" s="5">
        <f t="shared" si="73"/>
        <v>-0.14444444444444438</v>
      </c>
      <c r="I584" s="14">
        <v>3.5</v>
      </c>
      <c r="J584" s="5">
        <f t="shared" si="80"/>
        <v>0.10000000000000009</v>
      </c>
      <c r="K584" s="15">
        <f t="shared" si="74"/>
        <v>6.4285714285714297</v>
      </c>
      <c r="L584" s="15"/>
      <c r="M584" s="13">
        <f t="shared" si="75"/>
        <v>43497</v>
      </c>
      <c r="N584" s="5">
        <f>_xlfn.MAXIFS(Sheet1!$B$2:$B$6350,Sheet1!$E$2:$E$6350,Prices!$U584,Sheet1!$F$2:$F$6350,Prices!$V584)</f>
        <v>177</v>
      </c>
      <c r="O584" s="5">
        <f>_xlfn.MINIFS(Sheet1!$B$2:$B$6350,Sheet1!$E$2:$E$6350,Prices!$U584,Sheet1!$F$2:$F$6350,Prices!$V584)</f>
        <v>164.25</v>
      </c>
      <c r="P584" s="5">
        <f>AVERAGEIFS(Sheet1!$B$2:$B$6350,Sheet1!$E$2:$E$6350,Prices!$U584,Sheet1!$F$2:$F$6350,Prices!$V584)</f>
        <v>173.85</v>
      </c>
      <c r="Q584" s="5">
        <f t="shared" si="70"/>
        <v>3.1500000000000057</v>
      </c>
      <c r="R584" s="5">
        <f t="shared" si="71"/>
        <v>-9.5999999999999943</v>
      </c>
      <c r="S584" s="5">
        <f t="shared" si="69"/>
        <v>3.8920746455095157</v>
      </c>
      <c r="T584" s="5">
        <f t="shared" si="72"/>
        <v>0.14763020106507119</v>
      </c>
      <c r="U584" s="1">
        <f t="shared" si="76"/>
        <v>2</v>
      </c>
      <c r="V584" s="1">
        <f t="shared" si="77"/>
        <v>2019</v>
      </c>
      <c r="W584" s="5">
        <v>1.1346222222222222</v>
      </c>
    </row>
    <row r="585" spans="1:23" x14ac:dyDescent="0.25">
      <c r="A585" s="13">
        <v>43525</v>
      </c>
      <c r="B585" s="5">
        <v>3.7974999999999999</v>
      </c>
      <c r="C585" s="5">
        <v>3.5649999999999999</v>
      </c>
      <c r="D585" s="5">
        <v>3.7110714285714281</v>
      </c>
      <c r="E585" s="5">
        <f t="shared" si="78"/>
        <v>8.6428571428571743E-2</v>
      </c>
      <c r="F585" s="5">
        <f t="shared" si="79"/>
        <v>-0.14607142857142819</v>
      </c>
      <c r="G585" s="33">
        <v>3.61</v>
      </c>
      <c r="H585" s="5">
        <f t="shared" si="73"/>
        <v>-0.10107142857142826</v>
      </c>
      <c r="I585" s="14">
        <v>3.43</v>
      </c>
      <c r="J585" s="5">
        <f t="shared" si="80"/>
        <v>0.17999999999999972</v>
      </c>
      <c r="K585" s="15">
        <f t="shared" si="74"/>
        <v>6.4464285714285712</v>
      </c>
      <c r="L585" s="15"/>
      <c r="M585" s="13">
        <f t="shared" si="75"/>
        <v>43525</v>
      </c>
      <c r="N585" s="5">
        <f>_xlfn.MAXIFS(Sheet1!$B$2:$B$6350,Sheet1!$E$2:$E$6350,Prices!$U585,Sheet1!$F$2:$F$6350,Prices!$V585)</f>
        <v>171</v>
      </c>
      <c r="O585" s="5">
        <f>_xlfn.MINIFS(Sheet1!$B$2:$B$6350,Sheet1!$E$2:$E$6350,Prices!$U585,Sheet1!$F$2:$F$6350,Prices!$V585)</f>
        <v>157.75</v>
      </c>
      <c r="P585" s="5">
        <f>AVERAGEIFS(Sheet1!$B$2:$B$6350,Sheet1!$E$2:$E$6350,Prices!$U585,Sheet1!$F$2:$F$6350,Prices!$V585)</f>
        <v>168.26190476190476</v>
      </c>
      <c r="Q585" s="5">
        <f t="shared" si="70"/>
        <v>2.7380952380952408</v>
      </c>
      <c r="R585" s="5">
        <f t="shared" si="71"/>
        <v>-10.511904761904759</v>
      </c>
      <c r="S585" s="5">
        <f t="shared" si="69"/>
        <v>3.78273026111501</v>
      </c>
      <c r="T585" s="5">
        <f t="shared" si="72"/>
        <v>7.1658832543581852E-2</v>
      </c>
      <c r="U585" s="1">
        <f t="shared" si="76"/>
        <v>3</v>
      </c>
      <c r="V585" s="1">
        <f t="shared" si="77"/>
        <v>2019</v>
      </c>
      <c r="W585" s="5">
        <v>1.1298952380952383</v>
      </c>
    </row>
    <row r="586" spans="1:23" x14ac:dyDescent="0.25">
      <c r="A586" s="13">
        <v>43556</v>
      </c>
      <c r="B586" s="5">
        <v>3.6524999999999999</v>
      </c>
      <c r="C586" s="5">
        <v>3.4674999999999998</v>
      </c>
      <c r="D586" s="5">
        <v>3.5770238095238098</v>
      </c>
      <c r="E586" s="5">
        <f t="shared" si="78"/>
        <v>7.547619047619003E-2</v>
      </c>
      <c r="F586" s="5">
        <f t="shared" si="79"/>
        <v>-0.10952380952381002</v>
      </c>
      <c r="G586" s="33">
        <v>3.53</v>
      </c>
      <c r="H586" s="5">
        <f t="shared" si="73"/>
        <v>-4.7023809523810023E-2</v>
      </c>
      <c r="I586" s="14">
        <v>3.37</v>
      </c>
      <c r="J586" s="5">
        <f t="shared" si="80"/>
        <v>0.1599999999999997</v>
      </c>
      <c r="K586" s="15">
        <f t="shared" si="74"/>
        <v>6.3035714285714279</v>
      </c>
      <c r="L586" s="15"/>
      <c r="M586" s="13">
        <f t="shared" si="75"/>
        <v>43556</v>
      </c>
      <c r="N586" s="5">
        <f>_xlfn.MAXIFS(Sheet1!$B$2:$B$6350,Sheet1!$E$2:$E$6350,Prices!$U586,Sheet1!$F$2:$F$6350,Prices!$V586)</f>
        <v>170.5</v>
      </c>
      <c r="O586" s="5">
        <f>_xlfn.MINIFS(Sheet1!$B$2:$B$6350,Sheet1!$E$2:$E$6350,Prices!$U586,Sheet1!$F$2:$F$6350,Prices!$V586)</f>
        <v>164</v>
      </c>
      <c r="P586" s="5">
        <f>AVERAGEIFS(Sheet1!$B$2:$B$6350,Sheet1!$E$2:$E$6350,Prices!$U586,Sheet1!$F$2:$F$6350,Prices!$V586)</f>
        <v>167.28749999999999</v>
      </c>
      <c r="Q586" s="5">
        <f t="shared" si="70"/>
        <v>3.2125000000000057</v>
      </c>
      <c r="R586" s="5">
        <f t="shared" si="71"/>
        <v>-3.2874999999999943</v>
      </c>
      <c r="S586" s="5">
        <f t="shared" si="69"/>
        <v>3.783675330206969</v>
      </c>
      <c r="T586" s="5">
        <f t="shared" si="72"/>
        <v>0.20665152068315917</v>
      </c>
      <c r="U586" s="1">
        <f t="shared" si="76"/>
        <v>4</v>
      </c>
      <c r="V586" s="1">
        <f t="shared" si="77"/>
        <v>2019</v>
      </c>
      <c r="W586" s="5">
        <v>1.1230714285714287</v>
      </c>
    </row>
    <row r="587" spans="1:23" x14ac:dyDescent="0.25">
      <c r="A587" s="13">
        <v>43586</v>
      </c>
      <c r="B587" s="5">
        <v>4.3624999999999998</v>
      </c>
      <c r="C587" s="5">
        <v>3.5175000000000001</v>
      </c>
      <c r="D587" s="5">
        <v>3.8367045454545456</v>
      </c>
      <c r="E587" s="5">
        <f t="shared" si="78"/>
        <v>0.52579545454545418</v>
      </c>
      <c r="F587" s="5">
        <f t="shared" si="79"/>
        <v>-0.31920454545454557</v>
      </c>
      <c r="G587" s="33">
        <v>3.63</v>
      </c>
      <c r="H587" s="5">
        <f t="shared" si="73"/>
        <v>-0.20670454545454575</v>
      </c>
      <c r="I587" s="14">
        <v>3.59</v>
      </c>
      <c r="J587" s="5">
        <f t="shared" si="80"/>
        <v>4.0000000000000036E-2</v>
      </c>
      <c r="K587" s="15">
        <f t="shared" si="74"/>
        <v>6.4821428571428568</v>
      </c>
      <c r="L587" s="15"/>
      <c r="M587" s="13">
        <f t="shared" si="75"/>
        <v>43586</v>
      </c>
      <c r="N587" s="5">
        <f>_xlfn.MAXIFS(Sheet1!$B$2:$B$6350,Sheet1!$E$2:$E$6350,Prices!$U587,Sheet1!$F$2:$F$6350,Prices!$V587)</f>
        <v>166.75</v>
      </c>
      <c r="O587" s="5">
        <f>_xlfn.MINIFS(Sheet1!$B$2:$B$6350,Sheet1!$E$2:$E$6350,Prices!$U587,Sheet1!$F$2:$F$6350,Prices!$V587)</f>
        <v>161.75</v>
      </c>
      <c r="P587" s="5">
        <f>AVERAGEIFS(Sheet1!$B$2:$B$6350,Sheet1!$E$2:$E$6350,Prices!$U587,Sheet1!$F$2:$F$6350,Prices!$V587)</f>
        <v>164.09090909090909</v>
      </c>
      <c r="Q587" s="5">
        <f t="shared" si="70"/>
        <v>2.6590909090909065</v>
      </c>
      <c r="R587" s="5">
        <f t="shared" si="71"/>
        <v>-2.3409090909090935</v>
      </c>
      <c r="S587" s="5">
        <f t="shared" si="69"/>
        <v>3.7275592015865593</v>
      </c>
      <c r="T587" s="5">
        <f t="shared" si="72"/>
        <v>-0.10914534386798636</v>
      </c>
      <c r="U587" s="1">
        <f t="shared" si="76"/>
        <v>5</v>
      </c>
      <c r="V587" s="1">
        <f t="shared" si="77"/>
        <v>2019</v>
      </c>
      <c r="W587" s="5">
        <v>1.1181954545454547</v>
      </c>
    </row>
    <row r="588" spans="1:23" x14ac:dyDescent="0.25">
      <c r="A588" s="13">
        <v>43617</v>
      </c>
      <c r="B588" s="5">
        <v>4.5475000000000003</v>
      </c>
      <c r="C588" s="5">
        <v>4.1475</v>
      </c>
      <c r="D588" s="5">
        <v>4.3522500000000006</v>
      </c>
      <c r="E588" s="5">
        <f t="shared" si="78"/>
        <v>0.1952499999999997</v>
      </c>
      <c r="F588" s="5">
        <f t="shared" si="79"/>
        <v>-0.20475000000000065</v>
      </c>
      <c r="G588" s="33">
        <v>3.98</v>
      </c>
      <c r="H588" s="5">
        <f t="shared" si="73"/>
        <v>-0.37225000000000064</v>
      </c>
      <c r="I588" s="14">
        <v>4.21</v>
      </c>
      <c r="J588" s="5">
        <f t="shared" si="80"/>
        <v>-0.22999999999999998</v>
      </c>
      <c r="K588" s="15">
        <f t="shared" si="74"/>
        <v>7.1071428571428577</v>
      </c>
      <c r="L588" s="15"/>
      <c r="M588" s="13">
        <f t="shared" si="75"/>
        <v>43617</v>
      </c>
      <c r="N588" s="5">
        <f>_xlfn.MAXIFS(Sheet1!$B$2:$B$6350,Sheet1!$E$2:$E$6350,Prices!$U588,Sheet1!$F$2:$F$6350,Prices!$V588)</f>
        <v>178.5</v>
      </c>
      <c r="O588" s="5">
        <f>_xlfn.MINIFS(Sheet1!$B$2:$B$6350,Sheet1!$E$2:$E$6350,Prices!$U588,Sheet1!$F$2:$F$6350,Prices!$V588)</f>
        <v>165</v>
      </c>
      <c r="P588" s="5">
        <f>AVERAGEIFS(Sheet1!$B$2:$B$6350,Sheet1!$E$2:$E$6350,Prices!$U588,Sheet1!$F$2:$F$6350,Prices!$V588)</f>
        <v>175.01249999999999</v>
      </c>
      <c r="Q588" s="5">
        <f t="shared" si="70"/>
        <v>3.4875000000000114</v>
      </c>
      <c r="R588" s="5">
        <f t="shared" si="71"/>
        <v>-10.012499999999989</v>
      </c>
      <c r="S588" s="5">
        <f t="shared" si="69"/>
        <v>3.9362344595868204</v>
      </c>
      <c r="T588" s="5">
        <f t="shared" si="72"/>
        <v>-0.41601554041318023</v>
      </c>
      <c r="U588" s="1">
        <f t="shared" si="76"/>
        <v>6</v>
      </c>
      <c r="V588" s="1">
        <f t="shared" si="77"/>
        <v>2019</v>
      </c>
      <c r="W588" s="5">
        <v>1.1293950000000001</v>
      </c>
    </row>
    <row r="589" spans="1:23" x14ac:dyDescent="0.25">
      <c r="A589" s="13">
        <v>43647</v>
      </c>
      <c r="B589" s="5">
        <v>4.5425000000000004</v>
      </c>
      <c r="C589" s="5">
        <v>4.0025000000000004</v>
      </c>
      <c r="D589" s="5">
        <v>4.2801136363636365</v>
      </c>
      <c r="E589" s="5">
        <f t="shared" si="78"/>
        <v>0.26238636363636392</v>
      </c>
      <c r="F589" s="5">
        <f t="shared" si="79"/>
        <v>-0.27761363636363612</v>
      </c>
      <c r="G589" s="33">
        <v>4.16</v>
      </c>
      <c r="H589" s="5">
        <f t="shared" si="73"/>
        <v>-0.12011363636363637</v>
      </c>
      <c r="I589" s="14">
        <v>4.29</v>
      </c>
      <c r="J589" s="5">
        <f t="shared" si="80"/>
        <v>-0.12999999999999989</v>
      </c>
      <c r="K589" s="15">
        <f t="shared" si="74"/>
        <v>7.4285714285714288</v>
      </c>
      <c r="L589" s="15"/>
      <c r="M589" s="13">
        <f t="shared" si="75"/>
        <v>43647</v>
      </c>
      <c r="N589" s="5">
        <f>_xlfn.MAXIFS(Sheet1!$B$2:$B$6350,Sheet1!$E$2:$E$6350,Prices!$U589,Sheet1!$F$2:$F$6350,Prices!$V589)</f>
        <v>180.75</v>
      </c>
      <c r="O589" s="5">
        <f>_xlfn.MINIFS(Sheet1!$B$2:$B$6350,Sheet1!$E$2:$E$6350,Prices!$U589,Sheet1!$F$2:$F$6350,Prices!$V589)</f>
        <v>170</v>
      </c>
      <c r="P589" s="5">
        <f>AVERAGEIFS(Sheet1!$B$2:$B$6350,Sheet1!$E$2:$E$6350,Prices!$U589,Sheet1!$F$2:$F$6350,Prices!$V589)</f>
        <v>177.56521739130434</v>
      </c>
      <c r="Q589" s="5">
        <f t="shared" si="70"/>
        <v>3.1847826086956559</v>
      </c>
      <c r="R589" s="5">
        <f t="shared" si="71"/>
        <v>-7.5652173913043441</v>
      </c>
      <c r="S589" s="5">
        <f t="shared" si="69"/>
        <v>4.0241759255547089</v>
      </c>
      <c r="T589" s="5">
        <f t="shared" si="72"/>
        <v>-0.25593771080892758</v>
      </c>
      <c r="U589" s="1">
        <f t="shared" si="76"/>
        <v>7</v>
      </c>
      <c r="V589" s="1">
        <f t="shared" si="77"/>
        <v>2019</v>
      </c>
      <c r="W589" s="5">
        <v>1.1208272727272726</v>
      </c>
    </row>
    <row r="590" spans="1:23" x14ac:dyDescent="0.25">
      <c r="A590" s="13">
        <v>43678</v>
      </c>
      <c r="B590" s="5">
        <v>4.2424999999999997</v>
      </c>
      <c r="C590" s="5">
        <v>3.6425000000000001</v>
      </c>
      <c r="D590" s="5">
        <v>3.7710714285714282</v>
      </c>
      <c r="E590" s="5">
        <f t="shared" si="78"/>
        <v>0.47142857142857153</v>
      </c>
      <c r="F590" s="5">
        <f t="shared" si="79"/>
        <v>-0.12857142857142811</v>
      </c>
      <c r="G590" s="33">
        <v>3.93</v>
      </c>
      <c r="H590" s="5">
        <f t="shared" si="73"/>
        <v>0.15892857142857197</v>
      </c>
      <c r="I590" s="14">
        <v>3.9449999999999998</v>
      </c>
      <c r="J590" s="5">
        <f t="shared" si="80"/>
        <v>-1.499999999999968E-2</v>
      </c>
      <c r="K590" s="15">
        <f t="shared" si="74"/>
        <v>7.0178571428571441</v>
      </c>
      <c r="L590" s="15"/>
      <c r="M590" s="13">
        <f t="shared" si="75"/>
        <v>43678</v>
      </c>
      <c r="N590" s="5">
        <f>_xlfn.MAXIFS(Sheet1!$B$2:$B$6350,Sheet1!$E$2:$E$6350,Prices!$U590,Sheet1!$F$2:$F$6350,Prices!$V590)</f>
        <v>172.75</v>
      </c>
      <c r="O590" s="5">
        <f>_xlfn.MINIFS(Sheet1!$B$2:$B$6350,Sheet1!$E$2:$E$6350,Prices!$U590,Sheet1!$F$2:$F$6350,Prices!$V590)</f>
        <v>158</v>
      </c>
      <c r="P590" s="5">
        <f>AVERAGEIFS(Sheet1!$B$2:$B$6350,Sheet1!$E$2:$E$6350,Prices!$U590,Sheet1!$F$2:$F$6350,Prices!$V590)</f>
        <v>166.31818181818181</v>
      </c>
      <c r="Q590" s="5">
        <f t="shared" si="70"/>
        <v>6.431818181818187</v>
      </c>
      <c r="R590" s="5">
        <f t="shared" si="71"/>
        <v>-8.318181818181813</v>
      </c>
      <c r="S590" s="5">
        <f t="shared" si="69"/>
        <v>3.7987699048002055</v>
      </c>
      <c r="T590" s="5">
        <f t="shared" si="72"/>
        <v>2.7698476228777302E-2</v>
      </c>
      <c r="U590" s="1">
        <f t="shared" si="76"/>
        <v>8</v>
      </c>
      <c r="V590" s="1">
        <f t="shared" si="77"/>
        <v>2019</v>
      </c>
      <c r="W590" s="5">
        <v>1.1121272727272726</v>
      </c>
    </row>
    <row r="591" spans="1:23" x14ac:dyDescent="0.25">
      <c r="A591" s="13">
        <v>43709</v>
      </c>
      <c r="B591" s="5">
        <v>3.8824999999999998</v>
      </c>
      <c r="C591" s="5">
        <v>3.5225</v>
      </c>
      <c r="D591" s="5">
        <v>3.6782499999999998</v>
      </c>
      <c r="E591" s="5">
        <f t="shared" si="78"/>
        <v>0.20425000000000004</v>
      </c>
      <c r="F591" s="5">
        <f t="shared" si="79"/>
        <v>-0.15574999999999983</v>
      </c>
      <c r="G591" s="33">
        <v>3.8</v>
      </c>
      <c r="H591" s="5">
        <f t="shared" si="73"/>
        <v>0.12175000000000002</v>
      </c>
      <c r="I591" s="14">
        <v>3.55</v>
      </c>
      <c r="J591" s="5">
        <f t="shared" si="80"/>
        <v>0.25</v>
      </c>
      <c r="K591" s="15">
        <f t="shared" si="74"/>
        <v>6.7857142857142856</v>
      </c>
      <c r="L591" s="15"/>
      <c r="M591" s="13">
        <f t="shared" si="75"/>
        <v>43709</v>
      </c>
      <c r="N591" s="5">
        <f>_xlfn.MAXIFS(Sheet1!$B$2:$B$6350,Sheet1!$E$2:$E$6350,Prices!$U591,Sheet1!$F$2:$F$6350,Prices!$V591)</f>
        <v>164.5</v>
      </c>
      <c r="O591" s="5">
        <f>_xlfn.MINIFS(Sheet1!$B$2:$B$6350,Sheet1!$E$2:$E$6350,Prices!$U591,Sheet1!$F$2:$F$6350,Prices!$V591)</f>
        <v>161</v>
      </c>
      <c r="P591" s="5">
        <f>AVERAGEIFS(Sheet1!$B$2:$B$6350,Sheet1!$E$2:$E$6350,Prices!$U591,Sheet1!$F$2:$F$6350,Prices!$V591)</f>
        <v>162.83333333333334</v>
      </c>
      <c r="Q591" s="5">
        <f t="shared" si="70"/>
        <v>1.6666666666666572</v>
      </c>
      <c r="R591" s="5">
        <f t="shared" si="71"/>
        <v>-1.8333333333333428</v>
      </c>
      <c r="S591" s="5">
        <f t="shared" si="69"/>
        <v>3.7574280310583288</v>
      </c>
      <c r="T591" s="5">
        <f t="shared" si="72"/>
        <v>7.917803105832899E-2</v>
      </c>
      <c r="U591" s="1">
        <f t="shared" si="76"/>
        <v>9</v>
      </c>
      <c r="V591" s="1">
        <f t="shared" si="77"/>
        <v>2019</v>
      </c>
      <c r="W591" s="5">
        <v>1.100805</v>
      </c>
    </row>
    <row r="592" spans="1:23" x14ac:dyDescent="0.25">
      <c r="A592" s="13">
        <v>43739</v>
      </c>
      <c r="B592" s="5">
        <v>4.0250000000000004</v>
      </c>
      <c r="C592" s="5">
        <v>3.7825000000000002</v>
      </c>
      <c r="D592" s="5">
        <v>3.8977173913043486</v>
      </c>
      <c r="E592" s="5">
        <f t="shared" si="78"/>
        <v>0.12728260869565178</v>
      </c>
      <c r="F592" s="5">
        <f t="shared" si="79"/>
        <v>-0.11521739130434838</v>
      </c>
      <c r="G592" s="33">
        <v>3.85</v>
      </c>
      <c r="H592" s="5">
        <f t="shared" si="73"/>
        <v>-4.7717391304348489E-2</v>
      </c>
      <c r="I592" s="14">
        <v>3.79</v>
      </c>
      <c r="J592" s="5">
        <f t="shared" si="80"/>
        <v>6.0000000000000053E-2</v>
      </c>
      <c r="K592" s="15">
        <f t="shared" si="74"/>
        <v>6.8750000000000009</v>
      </c>
      <c r="L592" s="15"/>
      <c r="M592" s="13">
        <f t="shared" si="75"/>
        <v>43739</v>
      </c>
      <c r="N592" s="5">
        <f>_xlfn.MAXIFS(Sheet1!$B$2:$B$6350,Sheet1!$E$2:$E$6350,Prices!$U592,Sheet1!$F$2:$F$6350,Prices!$V592)</f>
        <v>165.75</v>
      </c>
      <c r="O592" s="5">
        <f>_xlfn.MINIFS(Sheet1!$B$2:$B$6350,Sheet1!$E$2:$E$6350,Prices!$U592,Sheet1!$F$2:$F$6350,Prices!$V592)</f>
        <v>163.25</v>
      </c>
      <c r="P592" s="5">
        <f>AVERAGEIFS(Sheet1!$B$2:$B$6350,Sheet1!$E$2:$E$6350,Prices!$U592,Sheet1!$F$2:$F$6350,Prices!$V592)</f>
        <v>164.39130434782609</v>
      </c>
      <c r="Q592" s="5">
        <f t="shared" si="70"/>
        <v>1.3586956521739069</v>
      </c>
      <c r="R592" s="5">
        <f t="shared" si="71"/>
        <v>-1.1413043478260931</v>
      </c>
      <c r="S592" s="5">
        <f t="shared" si="69"/>
        <v>3.7771347052332658</v>
      </c>
      <c r="T592" s="5">
        <f t="shared" si="72"/>
        <v>-0.1205826860710828</v>
      </c>
      <c r="U592" s="1">
        <f t="shared" si="76"/>
        <v>10</v>
      </c>
      <c r="V592" s="1">
        <f t="shared" si="77"/>
        <v>2019</v>
      </c>
      <c r="W592" s="5">
        <v>1.1055391304347824</v>
      </c>
    </row>
    <row r="593" spans="1:23" x14ac:dyDescent="0.25">
      <c r="A593" s="13">
        <v>43770</v>
      </c>
      <c r="B593" s="5">
        <v>3.9175</v>
      </c>
      <c r="C593" s="5">
        <v>3.6575000000000002</v>
      </c>
      <c r="D593" s="5">
        <v>3.7518750000000001</v>
      </c>
      <c r="E593" s="5">
        <f t="shared" si="78"/>
        <v>0.16562499999999991</v>
      </c>
      <c r="F593" s="5">
        <f t="shared" si="79"/>
        <v>-9.4374999999999876E-2</v>
      </c>
      <c r="G593" s="33">
        <v>3.68</v>
      </c>
      <c r="H593" s="5">
        <f t="shared" si="73"/>
        <v>-7.1874999999999911E-2</v>
      </c>
      <c r="I593" s="14">
        <v>3.66</v>
      </c>
      <c r="J593" s="5">
        <f t="shared" si="80"/>
        <v>2.0000000000000018E-2</v>
      </c>
      <c r="K593" s="15">
        <f t="shared" si="74"/>
        <v>6.5714285714285712</v>
      </c>
      <c r="L593" s="15"/>
      <c r="M593" s="13">
        <f t="shared" si="75"/>
        <v>43770</v>
      </c>
      <c r="N593" s="5">
        <f>_xlfn.MAXIFS(Sheet1!$B$2:$B$6350,Sheet1!$E$2:$E$6350,Prices!$U593,Sheet1!$F$2:$F$6350,Prices!$V593)</f>
        <v>169</v>
      </c>
      <c r="O593" s="5">
        <f>_xlfn.MINIFS(Sheet1!$B$2:$B$6350,Sheet1!$E$2:$E$6350,Prices!$U593,Sheet1!$F$2:$F$6350,Prices!$V593)</f>
        <v>155</v>
      </c>
      <c r="P593" s="5">
        <f>AVERAGEIFS(Sheet1!$B$2:$B$6350,Sheet1!$E$2:$E$6350,Prices!$U593,Sheet1!$F$2:$F$6350,Prices!$V593)</f>
        <v>166.45238095238096</v>
      </c>
      <c r="Q593" s="5">
        <f t="shared" si="70"/>
        <v>2.5476190476190368</v>
      </c>
      <c r="R593" s="5">
        <f t="shared" si="71"/>
        <v>-11.452380952380963</v>
      </c>
      <c r="S593" s="5">
        <f t="shared" si="69"/>
        <v>3.8271535800194854</v>
      </c>
      <c r="T593" s="5">
        <f t="shared" si="72"/>
        <v>7.5278580019485286E-2</v>
      </c>
      <c r="U593" s="1">
        <f t="shared" si="76"/>
        <v>11</v>
      </c>
      <c r="V593" s="1">
        <f t="shared" si="77"/>
        <v>2019</v>
      </c>
      <c r="W593" s="5">
        <v>1.1047699999999998</v>
      </c>
    </row>
    <row r="594" spans="1:23" x14ac:dyDescent="0.25">
      <c r="A594" s="13">
        <v>43800</v>
      </c>
      <c r="B594" s="5">
        <v>3.92</v>
      </c>
      <c r="C594" s="5">
        <v>3.7084245523809525</v>
      </c>
      <c r="D594" s="5">
        <v>3.8323809523809524</v>
      </c>
      <c r="E594" s="5">
        <f t="shared" si="78"/>
        <v>8.7619047619047485E-2</v>
      </c>
      <c r="F594" s="5">
        <f t="shared" si="79"/>
        <v>-0.12395639999999997</v>
      </c>
      <c r="G594" s="33">
        <v>3.71</v>
      </c>
      <c r="H594" s="5">
        <f t="shared" si="73"/>
        <v>-0.12238095238095248</v>
      </c>
      <c r="I594" s="14">
        <v>3.73</v>
      </c>
      <c r="J594" s="5">
        <f t="shared" si="80"/>
        <v>-2.0000000000000018E-2</v>
      </c>
      <c r="K594" s="15">
        <f t="shared" si="74"/>
        <v>6.625</v>
      </c>
      <c r="L594" s="15"/>
      <c r="M594" s="13">
        <f t="shared" si="75"/>
        <v>43800</v>
      </c>
      <c r="N594" s="5">
        <f>_xlfn.MAXIFS(Sheet1!$B$2:$B$6350,Sheet1!$E$2:$E$6350,Prices!$U594,Sheet1!$F$2:$F$6350,Prices!$V594)</f>
        <v>172</v>
      </c>
      <c r="O594" s="5">
        <f>_xlfn.MINIFS(Sheet1!$B$2:$B$6350,Sheet1!$E$2:$E$6350,Prices!$U594,Sheet1!$F$2:$F$6350,Prices!$V594)</f>
        <v>166.5</v>
      </c>
      <c r="P594" s="5">
        <f>AVERAGEIFS(Sheet1!$B$2:$B$6350,Sheet1!$E$2:$E$6350,Prices!$U594,Sheet1!$F$2:$F$6350,Prices!$V594)</f>
        <v>168.97499999999999</v>
      </c>
      <c r="Q594" s="5">
        <f t="shared" si="70"/>
        <v>3.0250000000000057</v>
      </c>
      <c r="R594" s="5">
        <f t="shared" si="71"/>
        <v>-2.4749999999999943</v>
      </c>
      <c r="S594" s="5">
        <f t="shared" si="69"/>
        <v>3.8623256820732821</v>
      </c>
      <c r="T594" s="5">
        <f t="shared" si="72"/>
        <v>2.9944729692329641E-2</v>
      </c>
      <c r="U594" s="1">
        <f t="shared" si="76"/>
        <v>12</v>
      </c>
      <c r="V594" s="1">
        <f t="shared" si="77"/>
        <v>2019</v>
      </c>
      <c r="W594" s="5">
        <v>1.1112999999999997</v>
      </c>
    </row>
    <row r="595" spans="1:23" x14ac:dyDescent="0.25">
      <c r="A595" s="13">
        <v>43831</v>
      </c>
      <c r="B595" s="5">
        <v>3.94</v>
      </c>
      <c r="C595" s="5">
        <v>3.7524999999999999</v>
      </c>
      <c r="D595" s="5">
        <v>3.8573809523809524</v>
      </c>
      <c r="E595" s="5">
        <f t="shared" si="78"/>
        <v>8.2619047619047592E-2</v>
      </c>
      <c r="F595" s="5">
        <f>C595-D595</f>
        <v>-0.10488095238095241</v>
      </c>
      <c r="G595" s="33">
        <v>3.79</v>
      </c>
      <c r="H595" s="5">
        <f t="shared" si="73"/>
        <v>-6.7380952380952319E-2</v>
      </c>
      <c r="I595" s="14">
        <v>3.82</v>
      </c>
      <c r="J595" s="5">
        <f t="shared" si="80"/>
        <v>-2.9999999999999805E-2</v>
      </c>
      <c r="K595" s="15">
        <f t="shared" si="74"/>
        <v>6.7678571428571432</v>
      </c>
      <c r="L595" s="15"/>
      <c r="M595" s="13">
        <f t="shared" si="75"/>
        <v>43831</v>
      </c>
      <c r="N595" s="5">
        <f>_xlfn.MAXIFS(Sheet1!$B$2:$B$6350,Sheet1!$E$2:$E$6350,Prices!$U595,Sheet1!$F$2:$F$6350,Prices!$V595)</f>
        <v>173.5</v>
      </c>
      <c r="O595" s="5">
        <f>_xlfn.MINIFS(Sheet1!$B$2:$B$6350,Sheet1!$E$2:$E$6350,Prices!$U595,Sheet1!$F$2:$F$6350,Prices!$V595)</f>
        <v>168.5</v>
      </c>
      <c r="P595" s="5">
        <f>AVERAGEIFS(Sheet1!$B$2:$B$6350,Sheet1!$E$2:$E$6350,Prices!$U595,Sheet1!$F$2:$F$6350,Prices!$V595)</f>
        <v>171.79545454545453</v>
      </c>
      <c r="Q595" s="5">
        <f t="shared" si="70"/>
        <v>1.7045454545454675</v>
      </c>
      <c r="R595" s="5">
        <f t="shared" si="71"/>
        <v>-3.2954545454545325</v>
      </c>
      <c r="S595" s="5">
        <f t="shared" si="69"/>
        <v>3.9322700411324347</v>
      </c>
      <c r="T595" s="5">
        <f t="shared" si="72"/>
        <v>7.4889088751482369E-2</v>
      </c>
      <c r="U595" s="1">
        <f t="shared" si="76"/>
        <v>1</v>
      </c>
      <c r="V595" s="1">
        <f t="shared" si="77"/>
        <v>2020</v>
      </c>
      <c r="W595" s="5">
        <v>1.1097523809523813</v>
      </c>
    </row>
    <row r="596" spans="1:23" x14ac:dyDescent="0.25">
      <c r="A596" s="13">
        <v>43862</v>
      </c>
      <c r="B596" s="5">
        <v>3.85</v>
      </c>
      <c r="C596" s="5">
        <v>3.6575000000000002</v>
      </c>
      <c r="D596" s="5">
        <v>3.7814473684210528</v>
      </c>
      <c r="E596" s="5">
        <f t="shared" si="78"/>
        <v>6.855263157894731E-2</v>
      </c>
      <c r="F596" s="5">
        <f t="shared" si="79"/>
        <v>-0.12394736842105258</v>
      </c>
      <c r="G596" s="33">
        <v>3.78</v>
      </c>
      <c r="H596" s="5">
        <f t="shared" si="73"/>
        <v>-1.4473684210529747E-3</v>
      </c>
      <c r="I596" s="14">
        <v>3.75</v>
      </c>
      <c r="J596" s="5">
        <f t="shared" si="80"/>
        <v>2.9999999999999805E-2</v>
      </c>
      <c r="K596" s="15">
        <f t="shared" si="74"/>
        <v>6.7499999999999991</v>
      </c>
      <c r="L596" s="15"/>
      <c r="M596" s="13">
        <f t="shared" si="75"/>
        <v>43862</v>
      </c>
      <c r="N596" s="5">
        <f>_xlfn.MAXIFS(Sheet1!$B$2:$B$6350,Sheet1!$E$2:$E$6350,Prices!$U596,Sheet1!$F$2:$F$6350,Prices!$V596)</f>
        <v>169.75</v>
      </c>
      <c r="O596" s="5">
        <f>_xlfn.MINIFS(Sheet1!$B$2:$B$6350,Sheet1!$E$2:$E$6350,Prices!$U596,Sheet1!$F$2:$F$6350,Prices!$V596)</f>
        <v>165.5</v>
      </c>
      <c r="P596" s="5">
        <f>AVERAGEIFS(Sheet1!$B$2:$B$6350,Sheet1!$E$2:$E$6350,Prices!$U596,Sheet1!$F$2:$F$6350,Prices!$V596)</f>
        <v>168.21250000000001</v>
      </c>
      <c r="Q596" s="5">
        <f t="shared" si="70"/>
        <v>1.5374999999999943</v>
      </c>
      <c r="R596" s="5">
        <f t="shared" si="71"/>
        <v>-2.7125000000000057</v>
      </c>
      <c r="S596" s="5">
        <f t="shared" si="69"/>
        <v>3.9174208018796803</v>
      </c>
      <c r="T596" s="5">
        <f t="shared" si="72"/>
        <v>0.13597343345862756</v>
      </c>
      <c r="U596" s="1">
        <f t="shared" si="76"/>
        <v>2</v>
      </c>
      <c r="V596" s="1">
        <f t="shared" si="77"/>
        <v>2020</v>
      </c>
      <c r="W596" s="5">
        <v>1.090726315789474</v>
      </c>
    </row>
    <row r="597" spans="1:23" x14ac:dyDescent="0.25">
      <c r="A597" s="13">
        <v>43891</v>
      </c>
      <c r="B597" s="5">
        <v>3.85</v>
      </c>
      <c r="C597" s="5">
        <v>3.3525</v>
      </c>
      <c r="D597" s="5">
        <v>3.5886363636363638</v>
      </c>
      <c r="E597" s="5">
        <f t="shared" si="78"/>
        <v>0.26136363636363624</v>
      </c>
      <c r="F597" s="5">
        <f t="shared" si="79"/>
        <v>-0.23613636363636381</v>
      </c>
      <c r="G597" s="33">
        <v>3.68</v>
      </c>
      <c r="H597" s="5">
        <f t="shared" si="73"/>
        <v>9.1363636363636314E-2</v>
      </c>
      <c r="I597" s="14">
        <v>3.51</v>
      </c>
      <c r="J597" s="5">
        <f t="shared" si="80"/>
        <v>0.17000000000000037</v>
      </c>
      <c r="K597" s="15">
        <f t="shared" si="74"/>
        <v>6.5714285714285712</v>
      </c>
      <c r="L597" s="15"/>
      <c r="M597" s="13">
        <f t="shared" si="75"/>
        <v>43891</v>
      </c>
      <c r="N597" s="5">
        <f>_xlfn.MAXIFS(Sheet1!$B$2:$B$6350,Sheet1!$E$2:$E$6350,Prices!$U597,Sheet1!$F$2:$F$6350,Prices!$V597)</f>
        <v>170</v>
      </c>
      <c r="O597" s="5">
        <f>_xlfn.MINIFS(Sheet1!$B$2:$B$6350,Sheet1!$E$2:$E$6350,Prices!$U597,Sheet1!$F$2:$F$6350,Prices!$V597)</f>
        <v>159</v>
      </c>
      <c r="P597" s="5">
        <f>AVERAGEIFS(Sheet1!$B$2:$B$6350,Sheet1!$E$2:$E$6350,Prices!$U597,Sheet1!$F$2:$F$6350,Prices!$V597)</f>
        <v>166.17045454545453</v>
      </c>
      <c r="Q597" s="5">
        <f t="shared" si="70"/>
        <v>3.8295454545454675</v>
      </c>
      <c r="R597" s="5">
        <f t="shared" si="71"/>
        <v>-7.1704545454545325</v>
      </c>
      <c r="S597" s="5">
        <f t="shared" si="69"/>
        <v>3.8159989208083864</v>
      </c>
      <c r="T597" s="5">
        <f t="shared" si="72"/>
        <v>0.22736255717202258</v>
      </c>
      <c r="U597" s="1">
        <f t="shared" si="76"/>
        <v>3</v>
      </c>
      <c r="V597" s="1">
        <f t="shared" si="77"/>
        <v>2020</v>
      </c>
      <c r="W597" s="5">
        <v>1.1061227272727272</v>
      </c>
    </row>
    <row r="598" spans="1:23" x14ac:dyDescent="0.25">
      <c r="A598" s="13">
        <v>43922</v>
      </c>
      <c r="B598" s="5">
        <v>3.3475000000000001</v>
      </c>
      <c r="C598" s="5">
        <v>3.12</v>
      </c>
      <c r="D598" s="5">
        <v>3.2398809523809522</v>
      </c>
      <c r="E598" s="5">
        <f t="shared" si="78"/>
        <v>0.10761904761904795</v>
      </c>
      <c r="F598" s="5">
        <f t="shared" si="79"/>
        <v>-0.11988095238095209</v>
      </c>
      <c r="G598" s="33">
        <v>3.29</v>
      </c>
      <c r="H598" s="5">
        <f t="shared" si="73"/>
        <v>5.0119047619047841E-2</v>
      </c>
      <c r="I598" s="14">
        <v>3.06</v>
      </c>
      <c r="J598" s="5">
        <f t="shared" si="80"/>
        <v>0.22999999999999998</v>
      </c>
      <c r="K598" s="15">
        <f t="shared" si="74"/>
        <v>5.875</v>
      </c>
      <c r="L598" s="15"/>
      <c r="M598" s="13">
        <f t="shared" si="75"/>
        <v>43922</v>
      </c>
      <c r="N598" s="5">
        <f>_xlfn.MAXIFS(Sheet1!$B$2:$B$6350,Sheet1!$E$2:$E$6350,Prices!$U598,Sheet1!$F$2:$F$6350,Prices!$V598)</f>
        <v>166.5</v>
      </c>
      <c r="O598" s="5">
        <f>_xlfn.MINIFS(Sheet1!$B$2:$B$6350,Sheet1!$E$2:$E$6350,Prices!$U598,Sheet1!$F$2:$F$6350,Prices!$V598)</f>
        <v>163</v>
      </c>
      <c r="P598" s="5">
        <f>AVERAGEIFS(Sheet1!$B$2:$B$6350,Sheet1!$E$2:$E$6350,Prices!$U598,Sheet1!$F$2:$F$6350,Prices!$V598)</f>
        <v>165.02500000000001</v>
      </c>
      <c r="Q598" s="5">
        <f t="shared" si="70"/>
        <v>1.4749999999999943</v>
      </c>
      <c r="R598" s="5">
        <f t="shared" si="71"/>
        <v>-2.0250000000000057</v>
      </c>
      <c r="S598" s="5">
        <f t="shared" si="69"/>
        <v>3.8573941665880724</v>
      </c>
      <c r="T598" s="5">
        <f t="shared" si="72"/>
        <v>0.61751321420712024</v>
      </c>
      <c r="U598" s="1">
        <f t="shared" si="76"/>
        <v>4</v>
      </c>
      <c r="V598" s="1">
        <f t="shared" si="77"/>
        <v>2020</v>
      </c>
      <c r="W598" s="5">
        <v>1.0867095238095237</v>
      </c>
    </row>
    <row r="599" spans="1:23" x14ac:dyDescent="0.25">
      <c r="A599" s="13">
        <v>43952</v>
      </c>
      <c r="B599" s="5">
        <v>3.2749999999999999</v>
      </c>
      <c r="C599" s="5">
        <v>3.1425000000000001</v>
      </c>
      <c r="D599" s="5">
        <v>3.1941250000000001</v>
      </c>
      <c r="E599" s="5">
        <f t="shared" si="78"/>
        <v>8.0874999999999808E-2</v>
      </c>
      <c r="F599" s="5">
        <f t="shared" si="79"/>
        <v>-5.1625000000000032E-2</v>
      </c>
      <c r="G599" s="33">
        <v>3.2</v>
      </c>
      <c r="H599" s="5">
        <f t="shared" si="73"/>
        <v>5.8750000000000746E-3</v>
      </c>
      <c r="I599" s="14">
        <v>2.99</v>
      </c>
      <c r="J599" s="5">
        <f t="shared" si="80"/>
        <v>0.20999999999999996</v>
      </c>
      <c r="K599" s="15">
        <f t="shared" si="74"/>
        <v>5.7142857142857144</v>
      </c>
      <c r="L599" s="15"/>
      <c r="M599" s="13">
        <f t="shared" si="75"/>
        <v>43952</v>
      </c>
      <c r="N599" s="5">
        <f>_xlfn.MAXIFS(Sheet1!$B$2:$B$6350,Sheet1!$E$2:$E$6350,Prices!$U599,Sheet1!$F$2:$F$6350,Prices!$V599)</f>
        <v>169.25</v>
      </c>
      <c r="O599" s="5">
        <f>_xlfn.MINIFS(Sheet1!$B$2:$B$6350,Sheet1!$E$2:$E$6350,Prices!$U599,Sheet1!$F$2:$F$6350,Prices!$V599)</f>
        <v>163.25</v>
      </c>
      <c r="P599" s="5">
        <f>AVERAGEIFS(Sheet1!$B$2:$B$6350,Sheet1!$E$2:$E$6350,Prices!$U599,Sheet1!$F$2:$F$6350,Prices!$V599)</f>
        <v>165.67500000000001</v>
      </c>
      <c r="Q599" s="5">
        <f t="shared" si="70"/>
        <v>3.5749999999999886</v>
      </c>
      <c r="R599" s="5">
        <f t="shared" si="71"/>
        <v>-2.4250000000000114</v>
      </c>
      <c r="S599" s="5">
        <f t="shared" si="69"/>
        <v>3.8591976850859471</v>
      </c>
      <c r="T599" s="5">
        <f t="shared" si="72"/>
        <v>0.66507268508594697</v>
      </c>
      <c r="U599" s="1">
        <f t="shared" si="76"/>
        <v>5</v>
      </c>
      <c r="V599" s="1">
        <f t="shared" si="77"/>
        <v>2020</v>
      </c>
      <c r="W599" s="5">
        <v>1.0904799999999999</v>
      </c>
    </row>
    <row r="600" spans="1:23" x14ac:dyDescent="0.25">
      <c r="A600" s="13">
        <v>43983</v>
      </c>
      <c r="B600" s="5">
        <v>3.415</v>
      </c>
      <c r="C600" s="5">
        <v>3.1724999999999999</v>
      </c>
      <c r="D600" s="5">
        <v>3.28125</v>
      </c>
      <c r="E600" s="5">
        <f t="shared" si="78"/>
        <v>0.13375000000000004</v>
      </c>
      <c r="F600" s="5">
        <f t="shared" si="79"/>
        <v>-0.10875000000000012</v>
      </c>
      <c r="G600" s="33">
        <v>3.16</v>
      </c>
      <c r="H600" s="5">
        <f t="shared" si="73"/>
        <v>-0.12124999999999986</v>
      </c>
      <c r="I600" s="14">
        <v>3.13</v>
      </c>
      <c r="J600" s="5">
        <f t="shared" si="80"/>
        <v>3.0000000000000249E-2</v>
      </c>
      <c r="K600" s="15">
        <f t="shared" si="74"/>
        <v>5.6428571428571432</v>
      </c>
      <c r="L600" s="15"/>
      <c r="M600" s="13">
        <f t="shared" si="75"/>
        <v>43983</v>
      </c>
      <c r="N600" s="5">
        <f>_xlfn.MAXIFS(Sheet1!$B$2:$B$6350,Sheet1!$E$2:$E$6350,Prices!$U600,Sheet1!$F$2:$F$6350,Prices!$V600)</f>
        <v>171</v>
      </c>
      <c r="O600" s="5">
        <f>_xlfn.MINIFS(Sheet1!$B$2:$B$6350,Sheet1!$E$2:$E$6350,Prices!$U600,Sheet1!$F$2:$F$6350,Prices!$V600)</f>
        <v>165.25</v>
      </c>
      <c r="P600" s="5">
        <f>AVERAGEIFS(Sheet1!$B$2:$B$6350,Sheet1!$E$2:$E$6350,Prices!$U600,Sheet1!$F$2:$F$6350,Prices!$V600)</f>
        <v>167.27272727272728</v>
      </c>
      <c r="Q600" s="5">
        <f t="shared" si="70"/>
        <v>3.7272727272727195</v>
      </c>
      <c r="R600" s="5">
        <f t="shared" si="71"/>
        <v>-2.0227272727272805</v>
      </c>
      <c r="S600" s="5">
        <f t="shared" si="69"/>
        <v>3.7748574704602933</v>
      </c>
      <c r="T600" s="5">
        <f t="shared" si="72"/>
        <v>0.4936074704602933</v>
      </c>
      <c r="U600" s="1">
        <f t="shared" si="76"/>
        <v>6</v>
      </c>
      <c r="V600" s="1">
        <f t="shared" si="77"/>
        <v>2020</v>
      </c>
      <c r="W600" s="5">
        <v>1.1255954545454547</v>
      </c>
    </row>
    <row r="601" spans="1:23" x14ac:dyDescent="0.25">
      <c r="A601" s="13">
        <v>44013</v>
      </c>
      <c r="B601" s="5">
        <v>3.605</v>
      </c>
      <c r="C601" s="5">
        <v>3.2625000000000002</v>
      </c>
      <c r="D601" s="5">
        <v>3.3951136363636363</v>
      </c>
      <c r="E601" s="5">
        <f t="shared" si="78"/>
        <v>0.2098863636363637</v>
      </c>
      <c r="F601" s="5">
        <f t="shared" si="79"/>
        <v>-0.1326136363636361</v>
      </c>
      <c r="G601" s="33">
        <v>3.21</v>
      </c>
      <c r="H601" s="5">
        <f t="shared" si="73"/>
        <v>-0.18511363636363631</v>
      </c>
      <c r="I601" s="14">
        <v>3.2</v>
      </c>
      <c r="J601" s="5">
        <f t="shared" si="80"/>
        <v>9.9999999999997868E-3</v>
      </c>
      <c r="K601" s="15">
        <f t="shared" si="74"/>
        <v>5.7321428571428568</v>
      </c>
      <c r="L601" s="15"/>
      <c r="M601" s="13">
        <f t="shared" si="75"/>
        <v>44013</v>
      </c>
      <c r="N601" s="5">
        <f>_xlfn.MAXIFS(Sheet1!$B$2:$B$6350,Sheet1!$E$2:$E$6350,Prices!$U601,Sheet1!$F$2:$F$6350,Prices!$V601)</f>
        <v>181</v>
      </c>
      <c r="O601" s="5">
        <f>_xlfn.MINIFS(Sheet1!$B$2:$B$6350,Sheet1!$E$2:$E$6350,Prices!$U601,Sheet1!$F$2:$F$6350,Prices!$V601)</f>
        <v>167.75</v>
      </c>
      <c r="P601" s="5">
        <f>AVERAGEIFS(Sheet1!$B$2:$B$6350,Sheet1!$E$2:$E$6350,Prices!$U601,Sheet1!$F$2:$F$6350,Prices!$V601)</f>
        <v>173.52173913043478</v>
      </c>
      <c r="Q601" s="5">
        <f t="shared" si="70"/>
        <v>7.4782608695652186</v>
      </c>
      <c r="R601" s="5">
        <f t="shared" si="71"/>
        <v>-5.7717391304347814</v>
      </c>
      <c r="S601" s="5">
        <f t="shared" si="69"/>
        <v>3.8390005189409604</v>
      </c>
      <c r="T601" s="5">
        <f t="shared" si="72"/>
        <v>0.44388688257732412</v>
      </c>
      <c r="U601" s="1">
        <f t="shared" si="76"/>
        <v>7</v>
      </c>
      <c r="V601" s="1">
        <f t="shared" si="77"/>
        <v>2020</v>
      </c>
      <c r="W601" s="5">
        <v>1.1481363636363633</v>
      </c>
    </row>
    <row r="602" spans="1:23" x14ac:dyDescent="0.25">
      <c r="A602" s="13">
        <v>44044</v>
      </c>
      <c r="B602" s="5">
        <v>3.5924999999999998</v>
      </c>
      <c r="C602" s="5">
        <v>3.2025000000000001</v>
      </c>
      <c r="D602" s="5">
        <v>3.2515476190476198</v>
      </c>
      <c r="E602" s="5">
        <f t="shared" si="78"/>
        <v>0.34095238095238001</v>
      </c>
      <c r="F602" s="5">
        <f t="shared" si="79"/>
        <v>-4.9047619047619673E-2</v>
      </c>
      <c r="G602" s="33">
        <v>3.12</v>
      </c>
      <c r="H602" s="5">
        <f t="shared" si="73"/>
        <v>-0.13154761904761969</v>
      </c>
      <c r="I602" s="14">
        <v>3.29</v>
      </c>
      <c r="J602" s="5">
        <f t="shared" si="80"/>
        <v>-0.16999999999999993</v>
      </c>
      <c r="K602" s="15">
        <f t="shared" si="74"/>
        <v>5.5714285714285712</v>
      </c>
      <c r="L602" s="15"/>
      <c r="M602" s="13">
        <f t="shared" si="75"/>
        <v>44044</v>
      </c>
      <c r="N602" s="5">
        <f>_xlfn.MAXIFS(Sheet1!$B$2:$B$6350,Sheet1!$E$2:$E$6350,Prices!$U602,Sheet1!$F$2:$F$6350,Prices!$V602)</f>
        <v>182</v>
      </c>
      <c r="O602" s="5">
        <f>_xlfn.MINIFS(Sheet1!$B$2:$B$6350,Sheet1!$E$2:$E$6350,Prices!$U602,Sheet1!$F$2:$F$6350,Prices!$V602)</f>
        <v>163.5</v>
      </c>
      <c r="P602" s="5">
        <f>AVERAGEIFS(Sheet1!$B$2:$B$6350,Sheet1!$E$2:$E$6350,Prices!$U602,Sheet1!$F$2:$F$6350,Prices!$V602)</f>
        <v>167.28749999999999</v>
      </c>
      <c r="Q602" s="5">
        <f t="shared" si="70"/>
        <v>14.712500000000006</v>
      </c>
      <c r="R602" s="5">
        <f t="shared" si="71"/>
        <v>-3.7874999999999943</v>
      </c>
      <c r="S602" s="5">
        <f t="shared" si="69"/>
        <v>3.5925798472267925</v>
      </c>
      <c r="T602" s="5">
        <f t="shared" si="72"/>
        <v>0.34103222817917267</v>
      </c>
      <c r="U602" s="1">
        <f t="shared" si="76"/>
        <v>8</v>
      </c>
      <c r="V602" s="1">
        <f t="shared" si="77"/>
        <v>2020</v>
      </c>
      <c r="W602" s="5">
        <v>1.1828095238095235</v>
      </c>
    </row>
    <row r="603" spans="1:23" x14ac:dyDescent="0.25">
      <c r="A603" s="13">
        <v>44075</v>
      </c>
      <c r="B603" s="5">
        <v>3.79</v>
      </c>
      <c r="C603" s="5">
        <v>3.5375000000000001</v>
      </c>
      <c r="D603" s="5">
        <v>3.6627380952380952</v>
      </c>
      <c r="E603" s="5">
        <f t="shared" si="78"/>
        <v>0.1272619047619048</v>
      </c>
      <c r="F603" s="5">
        <f t="shared" si="79"/>
        <v>-0.12523809523809515</v>
      </c>
      <c r="G603" s="33">
        <v>3.41</v>
      </c>
      <c r="H603" s="5">
        <f t="shared" si="73"/>
        <v>-0.2527380952380951</v>
      </c>
      <c r="I603" s="14">
        <v>3.62</v>
      </c>
      <c r="J603" s="5">
        <f t="shared" si="80"/>
        <v>-0.20999999999999996</v>
      </c>
      <c r="K603" s="15">
        <f t="shared" si="74"/>
        <v>6.0892857142857144</v>
      </c>
      <c r="L603" s="15"/>
      <c r="M603" s="13">
        <f t="shared" si="75"/>
        <v>44075</v>
      </c>
      <c r="N603" s="5">
        <f>_xlfn.MAXIFS(Sheet1!$B$2:$B$6350,Sheet1!$E$2:$E$6350,Prices!$U603,Sheet1!$F$2:$F$6350,Prices!$V603)</f>
        <v>172.5</v>
      </c>
      <c r="O603" s="5">
        <f>_xlfn.MINIFS(Sheet1!$B$2:$B$6350,Sheet1!$E$2:$E$6350,Prices!$U603,Sheet1!$F$2:$F$6350,Prices!$V603)</f>
        <v>166.5</v>
      </c>
      <c r="P603" s="5">
        <f>AVERAGEIFS(Sheet1!$B$2:$B$6350,Sheet1!$E$2:$E$6350,Prices!$U603,Sheet1!$F$2:$F$6350,Prices!$V603)</f>
        <v>169.10227272727272</v>
      </c>
      <c r="Q603" s="5">
        <f t="shared" si="70"/>
        <v>3.3977272727272805</v>
      </c>
      <c r="R603" s="5">
        <f t="shared" si="71"/>
        <v>-2.6022727272727195</v>
      </c>
      <c r="S603" s="5">
        <f t="shared" si="69"/>
        <v>3.6447343808643042</v>
      </c>
      <c r="T603" s="5">
        <f t="shared" si="72"/>
        <v>-1.8003714373791002E-2</v>
      </c>
      <c r="U603" s="1">
        <f t="shared" si="76"/>
        <v>9</v>
      </c>
      <c r="V603" s="1">
        <f t="shared" si="77"/>
        <v>2020</v>
      </c>
      <c r="W603" s="5">
        <v>1.1785318181818183</v>
      </c>
    </row>
    <row r="604" spans="1:23" x14ac:dyDescent="0.25">
      <c r="A604" s="13">
        <v>44105</v>
      </c>
      <c r="B604" s="5">
        <v>4.1924999999999999</v>
      </c>
      <c r="C604" s="5">
        <v>3.7949999999999999</v>
      </c>
      <c r="D604" s="5">
        <v>3.9889772727272725</v>
      </c>
      <c r="E604" s="5">
        <f t="shared" si="78"/>
        <v>0.20352272727272736</v>
      </c>
      <c r="F604" s="5">
        <f t="shared" si="79"/>
        <v>-0.19397727272727261</v>
      </c>
      <c r="G604" s="33">
        <v>3.61</v>
      </c>
      <c r="H604" s="5">
        <f t="shared" si="73"/>
        <v>-0.37897727272727266</v>
      </c>
      <c r="I604" s="14">
        <v>3.97</v>
      </c>
      <c r="J604" s="5">
        <f t="shared" si="80"/>
        <v>-0.36000000000000032</v>
      </c>
      <c r="K604" s="15">
        <f t="shared" si="74"/>
        <v>6.4464285714285712</v>
      </c>
      <c r="L604" s="15"/>
      <c r="M604" s="13">
        <f t="shared" si="75"/>
        <v>44105</v>
      </c>
      <c r="N604" s="5">
        <f>_xlfn.MAXIFS(Sheet1!$B$2:$B$6350,Sheet1!$E$2:$E$6350,Prices!$U604,Sheet1!$F$2:$F$6350,Prices!$V604)</f>
        <v>197.5</v>
      </c>
      <c r="O604" s="5">
        <f>_xlfn.MINIFS(Sheet1!$B$2:$B$6350,Sheet1!$E$2:$E$6350,Prices!$U604,Sheet1!$F$2:$F$6350,Prices!$V604)</f>
        <v>170.75</v>
      </c>
      <c r="P604" s="5">
        <f>AVERAGEIFS(Sheet1!$B$2:$B$6350,Sheet1!$E$2:$E$6350,Prices!$U604,Sheet1!$F$2:$F$6350,Prices!$V604)</f>
        <v>184.11363636363637</v>
      </c>
      <c r="Q604" s="5">
        <f t="shared" si="70"/>
        <v>13.386363636363626</v>
      </c>
      <c r="R604" s="5">
        <f t="shared" si="71"/>
        <v>-13.363636363636374</v>
      </c>
      <c r="S604" s="5">
        <f t="shared" si="69"/>
        <v>3.9750572311980727</v>
      </c>
      <c r="T604" s="5">
        <f t="shared" si="72"/>
        <v>-1.3920041529199789E-2</v>
      </c>
      <c r="U604" s="1">
        <f t="shared" si="76"/>
        <v>10</v>
      </c>
      <c r="V604" s="1">
        <f t="shared" si="77"/>
        <v>2020</v>
      </c>
      <c r="W604" s="5">
        <v>1.1765227272727274</v>
      </c>
    </row>
    <row r="605" spans="1:23" x14ac:dyDescent="0.25">
      <c r="A605" s="13">
        <v>44136</v>
      </c>
      <c r="B605" s="5">
        <v>4.3375000000000004</v>
      </c>
      <c r="C605" s="5">
        <v>3.9750000000000001</v>
      </c>
      <c r="D605" s="5">
        <v>4.1785000000000005</v>
      </c>
      <c r="E605" s="5">
        <f t="shared" si="78"/>
        <v>0.15899999999999981</v>
      </c>
      <c r="F605" s="5">
        <f t="shared" si="79"/>
        <v>-0.20350000000000046</v>
      </c>
      <c r="G605" s="33">
        <v>3.79</v>
      </c>
      <c r="H605" s="5">
        <f t="shared" si="73"/>
        <v>-0.38850000000000051</v>
      </c>
      <c r="I605" s="14">
        <v>4.22</v>
      </c>
      <c r="J605" s="5">
        <f t="shared" si="80"/>
        <v>-0.42999999999999972</v>
      </c>
      <c r="K605" s="15">
        <f t="shared" si="74"/>
        <v>6.7678571428571432</v>
      </c>
      <c r="L605" s="15"/>
      <c r="M605" s="13">
        <f t="shared" si="75"/>
        <v>44136</v>
      </c>
      <c r="N605" s="5">
        <f>_xlfn.MAXIFS(Sheet1!$B$2:$B$6350,Sheet1!$E$2:$E$6350,Prices!$U605,Sheet1!$F$2:$F$6350,Prices!$V605)</f>
        <v>195.5</v>
      </c>
      <c r="O605" s="5">
        <f>_xlfn.MINIFS(Sheet1!$B$2:$B$6350,Sheet1!$E$2:$E$6350,Prices!$U605,Sheet1!$F$2:$F$6350,Prices!$V605)</f>
        <v>187.5</v>
      </c>
      <c r="P605" s="5">
        <f>AVERAGEIFS(Sheet1!$B$2:$B$6350,Sheet1!$E$2:$E$6350,Prices!$U605,Sheet1!$F$2:$F$6350,Prices!$V605)</f>
        <v>192.04761904761904</v>
      </c>
      <c r="Q605" s="5">
        <f t="shared" si="70"/>
        <v>3.4523809523809632</v>
      </c>
      <c r="R605" s="5">
        <f t="shared" si="71"/>
        <v>-4.5476190476190368</v>
      </c>
      <c r="S605" s="5">
        <f t="shared" si="69"/>
        <v>4.121793066915207</v>
      </c>
      <c r="T605" s="5">
        <f t="shared" si="72"/>
        <v>-5.6706933084793576E-2</v>
      </c>
      <c r="U605" s="1">
        <f t="shared" si="76"/>
        <v>11</v>
      </c>
      <c r="V605" s="1">
        <f t="shared" si="77"/>
        <v>2020</v>
      </c>
      <c r="W605" s="5">
        <v>1.1835333333333335</v>
      </c>
    </row>
    <row r="606" spans="1:23" x14ac:dyDescent="0.25">
      <c r="A606" s="13">
        <v>44166</v>
      </c>
      <c r="B606" s="5">
        <v>4.84</v>
      </c>
      <c r="C606" s="5">
        <v>4.1974999999999998</v>
      </c>
      <c r="D606" s="5">
        <v>4.3902631578947373</v>
      </c>
      <c r="E606" s="5">
        <f t="shared" si="78"/>
        <v>0.44973684210526255</v>
      </c>
      <c r="F606" s="5">
        <f t="shared" si="79"/>
        <v>-0.19276315789473752</v>
      </c>
      <c r="G606" s="33">
        <v>3.97</v>
      </c>
      <c r="H606" s="5">
        <f t="shared" si="73"/>
        <v>-0.42026315789473712</v>
      </c>
      <c r="I606" s="14">
        <v>4.45</v>
      </c>
      <c r="J606" s="5">
        <f t="shared" si="80"/>
        <v>-0.48</v>
      </c>
      <c r="K606" s="15">
        <f t="shared" si="74"/>
        <v>7.0892857142857144</v>
      </c>
      <c r="L606" s="15"/>
      <c r="M606" s="13">
        <f t="shared" si="75"/>
        <v>44166</v>
      </c>
      <c r="N606" s="5">
        <f>_xlfn.MAXIFS(Sheet1!$B$2:$B$6350,Sheet1!$E$2:$E$6350,Prices!$U606,Sheet1!$F$2:$F$6350,Prices!$V606)</f>
        <v>198.5</v>
      </c>
      <c r="O606" s="5">
        <f>_xlfn.MINIFS(Sheet1!$B$2:$B$6350,Sheet1!$E$2:$E$6350,Prices!$U606,Sheet1!$F$2:$F$6350,Prices!$V606)</f>
        <v>186.75</v>
      </c>
      <c r="P606" s="5">
        <f>AVERAGEIFS(Sheet1!$B$2:$B$6350,Sheet1!$E$2:$E$6350,Prices!$U606,Sheet1!$F$2:$F$6350,Prices!$V606)</f>
        <v>191.47727272727272</v>
      </c>
      <c r="Q606" s="5">
        <f t="shared" si="70"/>
        <v>7.0227272727272805</v>
      </c>
      <c r="R606" s="5">
        <f t="shared" si="71"/>
        <v>-4.7272727272727195</v>
      </c>
      <c r="S606" s="5">
        <f t="shared" si="69"/>
        <v>3.996099658816163</v>
      </c>
      <c r="T606" s="5">
        <f t="shared" si="72"/>
        <v>-0.39416349907857429</v>
      </c>
      <c r="U606" s="1">
        <f t="shared" si="76"/>
        <v>12</v>
      </c>
      <c r="V606" s="1">
        <f t="shared" si="77"/>
        <v>2020</v>
      </c>
      <c r="W606" s="5">
        <v>1.2171347826086956</v>
      </c>
    </row>
    <row r="607" spans="1:23" x14ac:dyDescent="0.25">
      <c r="A607" s="13">
        <v>44197</v>
      </c>
      <c r="B607" s="5">
        <v>5.47</v>
      </c>
      <c r="C607" s="5">
        <v>4.8375000000000004</v>
      </c>
      <c r="D607" s="5">
        <v>5.1539473684210533</v>
      </c>
      <c r="E607" s="5">
        <f t="shared" si="78"/>
        <v>0.31605263157894647</v>
      </c>
      <c r="F607" s="5">
        <f>C607-D607</f>
        <v>-0.31644736842105292</v>
      </c>
      <c r="G607" s="33">
        <v>4.24</v>
      </c>
      <c r="H607" s="5">
        <f t="shared" si="73"/>
        <v>-0.91394736842105306</v>
      </c>
      <c r="I607" s="14">
        <v>5.23</v>
      </c>
      <c r="J607" s="5">
        <f t="shared" si="80"/>
        <v>-0.99000000000000021</v>
      </c>
      <c r="K607" s="15">
        <f t="shared" si="74"/>
        <v>7.5714285714285721</v>
      </c>
      <c r="L607" s="15"/>
      <c r="M607" s="13">
        <f t="shared" si="75"/>
        <v>44197</v>
      </c>
      <c r="N607" s="5">
        <f>_xlfn.MAXIFS(Sheet1!$B$2:$B$6350,Sheet1!$E$2:$E$6350,Prices!$U607,Sheet1!$F$2:$F$6350,Prices!$V607)</f>
        <v>217</v>
      </c>
      <c r="O607" s="5">
        <f>_xlfn.MINIFS(Sheet1!$B$2:$B$6350,Sheet1!$E$2:$E$6350,Prices!$U607,Sheet1!$F$2:$F$6350,Prices!$V607)</f>
        <v>198.5</v>
      </c>
      <c r="P607" s="5">
        <f>AVERAGEIFS(Sheet1!$B$2:$B$6350,Sheet1!$E$2:$E$6350,Prices!$U607,Sheet1!$F$2:$F$6350,Prices!$V607)</f>
        <v>209.65</v>
      </c>
      <c r="Q607" s="5">
        <f t="shared" si="70"/>
        <v>7.3499999999999943</v>
      </c>
      <c r="R607" s="5">
        <f t="shared" si="71"/>
        <v>-11.150000000000006</v>
      </c>
      <c r="S607" s="5">
        <f t="shared" si="69"/>
        <v>4.3781750206629031</v>
      </c>
      <c r="T607" s="5">
        <f t="shared" si="72"/>
        <v>-0.77577234775815018</v>
      </c>
      <c r="U607" s="1">
        <f t="shared" si="76"/>
        <v>1</v>
      </c>
      <c r="V607" s="1">
        <f t="shared" si="77"/>
        <v>2021</v>
      </c>
      <c r="W607" s="5">
        <v>1.2163526315789475</v>
      </c>
    </row>
    <row r="608" spans="1:23" x14ac:dyDescent="0.25">
      <c r="A608" s="13">
        <v>44228</v>
      </c>
      <c r="B608" s="5">
        <v>5.6375000000000002</v>
      </c>
      <c r="C608" s="5">
        <v>5.3449999999999998</v>
      </c>
      <c r="D608" s="5">
        <v>5.4997368421052633</v>
      </c>
      <c r="E608" s="5">
        <f t="shared" si="78"/>
        <v>0.13776315789473692</v>
      </c>
      <c r="F608" s="5">
        <f t="shared" si="79"/>
        <v>-0.15473684210526351</v>
      </c>
      <c r="G608" s="33">
        <v>4.75</v>
      </c>
      <c r="H608" s="5">
        <f t="shared" si="73"/>
        <v>-0.74973684210526326</v>
      </c>
      <c r="I608" s="14">
        <v>5.56</v>
      </c>
      <c r="J608" s="5">
        <f t="shared" si="80"/>
        <v>-0.80999999999999961</v>
      </c>
      <c r="K608" s="15">
        <f t="shared" si="74"/>
        <v>8.4821428571428577</v>
      </c>
      <c r="L608" s="15"/>
      <c r="M608" s="13">
        <f t="shared" si="75"/>
        <v>44228</v>
      </c>
      <c r="N608" s="5">
        <f>_xlfn.MAXIFS(Sheet1!$B$2:$B$6350,Sheet1!$E$2:$E$6350,Prices!$U608,Sheet1!$F$2:$F$6350,Prices!$V608)</f>
        <v>229.75</v>
      </c>
      <c r="O608" s="5">
        <f>_xlfn.MINIFS(Sheet1!$B$2:$B$6350,Sheet1!$E$2:$E$6350,Prices!$U608,Sheet1!$F$2:$F$6350,Prices!$V608)</f>
        <v>216.25</v>
      </c>
      <c r="P608" s="5">
        <f>AVERAGEIFS(Sheet1!$B$2:$B$6350,Sheet1!$E$2:$E$6350,Prices!$U608,Sheet1!$F$2:$F$6350,Prices!$V608)</f>
        <v>221.73750000000001</v>
      </c>
      <c r="Q608" s="5">
        <f t="shared" si="70"/>
        <v>8.0124999999999886</v>
      </c>
      <c r="R608" s="5">
        <f t="shared" si="71"/>
        <v>-5.4875000000000114</v>
      </c>
      <c r="S608" s="5">
        <f t="shared" si="69"/>
        <v>4.6577033341977616</v>
      </c>
      <c r="T608" s="5">
        <f t="shared" si="72"/>
        <v>-0.84203350790750164</v>
      </c>
      <c r="U608" s="1">
        <f t="shared" si="76"/>
        <v>2</v>
      </c>
      <c r="V608" s="1">
        <f t="shared" si="77"/>
        <v>2021</v>
      </c>
      <c r="W608" s="5">
        <v>1.2092750000000001</v>
      </c>
    </row>
    <row r="609" spans="1:23" x14ac:dyDescent="0.25">
      <c r="A609" s="13">
        <v>44256</v>
      </c>
      <c r="B609" s="5">
        <v>5.6425000000000001</v>
      </c>
      <c r="C609" s="5">
        <v>5.3250000000000002</v>
      </c>
      <c r="D609" s="5">
        <v>5.4754999999999994</v>
      </c>
      <c r="E609" s="5">
        <f t="shared" si="78"/>
        <v>0.1670000000000007</v>
      </c>
      <c r="F609" s="5">
        <f t="shared" si="79"/>
        <v>-0.15049999999999919</v>
      </c>
      <c r="G609" s="33">
        <v>4.8899999999999997</v>
      </c>
      <c r="H609" s="5">
        <f t="shared" si="73"/>
        <v>-0.58549999999999969</v>
      </c>
      <c r="I609" s="14">
        <v>5.56</v>
      </c>
      <c r="J609" s="5">
        <f t="shared" si="80"/>
        <v>-0.66999999999999993</v>
      </c>
      <c r="K609" s="15">
        <f t="shared" si="74"/>
        <v>8.7321428571428559</v>
      </c>
      <c r="L609" s="15"/>
      <c r="M609" s="13">
        <f t="shared" si="75"/>
        <v>44256</v>
      </c>
      <c r="N609" s="5">
        <f>_xlfn.MAXIFS(Sheet1!$B$2:$B$6350,Sheet1!$E$2:$E$6350,Prices!$U609,Sheet1!$F$2:$F$6350,Prices!$V609)</f>
        <v>228</v>
      </c>
      <c r="O609" s="5">
        <f>_xlfn.MINIFS(Sheet1!$B$2:$B$6350,Sheet1!$E$2:$E$6350,Prices!$U609,Sheet1!$F$2:$F$6350,Prices!$V609)</f>
        <v>211</v>
      </c>
      <c r="P609" s="5">
        <f>AVERAGEIFS(Sheet1!$B$2:$B$6350,Sheet1!$E$2:$E$6350,Prices!$U609,Sheet1!$F$2:$F$6350,Prices!$V609)</f>
        <v>217.42391304347825</v>
      </c>
      <c r="Q609" s="5">
        <f t="shared" si="70"/>
        <v>10.576086956521749</v>
      </c>
      <c r="R609" s="5">
        <f t="shared" si="71"/>
        <v>-6.423913043478251</v>
      </c>
      <c r="S609" s="5">
        <f t="shared" si="69"/>
        <v>4.6416972562328978</v>
      </c>
      <c r="T609" s="5">
        <f t="shared" si="72"/>
        <v>-0.83380274376710162</v>
      </c>
      <c r="U609" s="1">
        <f t="shared" si="76"/>
        <v>3</v>
      </c>
      <c r="V609" s="1">
        <f t="shared" si="77"/>
        <v>2021</v>
      </c>
      <c r="W609" s="5">
        <v>1.1898391304347826</v>
      </c>
    </row>
    <row r="610" spans="1:23" x14ac:dyDescent="0.25">
      <c r="A610" s="13">
        <v>44287</v>
      </c>
      <c r="B610" s="5">
        <v>7.4</v>
      </c>
      <c r="C610" s="5">
        <v>5.5324999999999998</v>
      </c>
      <c r="D610" s="5">
        <v>6.1607142857142856</v>
      </c>
      <c r="E610" s="5">
        <f t="shared" si="78"/>
        <v>1.2392857142857148</v>
      </c>
      <c r="F610" s="5">
        <f t="shared" si="79"/>
        <v>-0.62821428571428584</v>
      </c>
      <c r="G610" s="33">
        <v>5.31</v>
      </c>
      <c r="H610" s="5">
        <f t="shared" si="73"/>
        <v>-0.85071428571428598</v>
      </c>
      <c r="I610" s="14">
        <v>6.27</v>
      </c>
      <c r="J610" s="5">
        <f t="shared" si="80"/>
        <v>-0.96</v>
      </c>
      <c r="K610" s="15">
        <f t="shared" si="74"/>
        <v>9.4821428571428577</v>
      </c>
      <c r="L610" s="15"/>
      <c r="M610" s="13">
        <f t="shared" si="75"/>
        <v>44287</v>
      </c>
      <c r="N610" s="5">
        <f>_xlfn.MAXIFS(Sheet1!$B$2:$B$6350,Sheet1!$E$2:$E$6350,Prices!$U610,Sheet1!$F$2:$F$6350,Prices!$V610)</f>
        <v>241.25</v>
      </c>
      <c r="O610" s="5">
        <f>_xlfn.MINIFS(Sheet1!$B$2:$B$6350,Sheet1!$E$2:$E$6350,Prices!$U610,Sheet1!$F$2:$F$6350,Prices!$V610)</f>
        <v>212.25</v>
      </c>
      <c r="P610" s="5">
        <f>AVERAGEIFS(Sheet1!$B$2:$B$6350,Sheet1!$E$2:$E$6350,Prices!$U610,Sheet1!$F$2:$F$6350,Prices!$V610)</f>
        <v>224.71250000000001</v>
      </c>
      <c r="Q610" s="5">
        <f t="shared" si="70"/>
        <v>16.537499999999994</v>
      </c>
      <c r="R610" s="5">
        <f t="shared" si="71"/>
        <v>-12.462500000000006</v>
      </c>
      <c r="S610" s="5">
        <f t="shared" si="69"/>
        <v>4.7688347337011265</v>
      </c>
      <c r="T610" s="5">
        <f t="shared" si="72"/>
        <v>-1.391879552013159</v>
      </c>
      <c r="U610" s="1">
        <f t="shared" si="76"/>
        <v>4</v>
      </c>
      <c r="V610" s="1">
        <f t="shared" si="77"/>
        <v>2021</v>
      </c>
      <c r="W610" s="5">
        <v>1.1969409090909091</v>
      </c>
    </row>
    <row r="611" spans="1:23" x14ac:dyDescent="0.25">
      <c r="A611" s="13">
        <v>44317</v>
      </c>
      <c r="B611" s="5">
        <v>7.3224999999999998</v>
      </c>
      <c r="C611" s="5">
        <v>6.2024999999999997</v>
      </c>
      <c r="D611" s="5">
        <v>6.7596249999999998</v>
      </c>
      <c r="E611" s="5">
        <f t="shared" si="78"/>
        <v>0.56287500000000001</v>
      </c>
      <c r="F611" s="5">
        <f t="shared" si="79"/>
        <v>-0.55712500000000009</v>
      </c>
      <c r="G611" s="33">
        <v>5.91</v>
      </c>
      <c r="H611" s="5">
        <f t="shared" si="73"/>
        <v>-0.84962499999999963</v>
      </c>
      <c r="I611" s="14">
        <v>7.08</v>
      </c>
      <c r="J611" s="5">
        <f t="shared" si="80"/>
        <v>-1.17</v>
      </c>
      <c r="K611" s="15">
        <f>G611/56*100</f>
        <v>10.553571428571429</v>
      </c>
      <c r="L611" s="15"/>
      <c r="M611" s="13">
        <f t="shared" si="75"/>
        <v>44317</v>
      </c>
      <c r="N611" s="5">
        <f>_xlfn.MAXIFS(Sheet1!$B$2:$B$6350,Sheet1!$E$2:$E$6350,Prices!$U611,Sheet1!$F$2:$F$6350,Prices!$V611)</f>
        <v>269.25</v>
      </c>
      <c r="O611" s="5">
        <f>_xlfn.MINIFS(Sheet1!$B$2:$B$6350,Sheet1!$E$2:$E$6350,Prices!$U611,Sheet1!$F$2:$F$6350,Prices!$V611)</f>
        <v>243.25</v>
      </c>
      <c r="P611" s="5">
        <f>AVERAGEIFS(Sheet1!$B$2:$B$6350,Sheet1!$E$2:$E$6350,Prices!$U611,Sheet1!$F$2:$F$6350,Prices!$V611)</f>
        <v>255.03571428571428</v>
      </c>
      <c r="Q611" s="5">
        <f t="shared" si="70"/>
        <v>14.214285714285722</v>
      </c>
      <c r="R611" s="5">
        <f t="shared" si="71"/>
        <v>-11.785714285714278</v>
      </c>
      <c r="S611" s="5">
        <f t="shared" ref="S611:S678" si="81">P611/39.3679/W611</f>
        <v>5.3334318128111349</v>
      </c>
      <c r="T611" s="5">
        <f t="shared" si="72"/>
        <v>-1.4261931871888649</v>
      </c>
      <c r="U611" s="1">
        <f t="shared" si="76"/>
        <v>5</v>
      </c>
      <c r="V611" s="1">
        <f t="shared" si="77"/>
        <v>2021</v>
      </c>
      <c r="W611" s="5">
        <v>1.214652380952381</v>
      </c>
    </row>
    <row r="612" spans="1:23" x14ac:dyDescent="0.25">
      <c r="A612" s="13">
        <v>44348</v>
      </c>
      <c r="B612" s="5">
        <v>7.2</v>
      </c>
      <c r="C612" s="5">
        <v>6.33</v>
      </c>
      <c r="D612" s="5">
        <v>6.7240909090909087</v>
      </c>
      <c r="E612" s="5">
        <f t="shared" si="78"/>
        <v>0.4759090909090915</v>
      </c>
      <c r="F612" s="5">
        <f t="shared" si="79"/>
        <v>-0.3940909090909086</v>
      </c>
      <c r="G612" s="33">
        <v>6</v>
      </c>
      <c r="H612" s="5">
        <f t="shared" si="73"/>
        <v>-0.72409090909090867</v>
      </c>
      <c r="I612" s="14">
        <v>6.81</v>
      </c>
      <c r="J612" s="5">
        <f t="shared" si="80"/>
        <v>-0.80999999999999961</v>
      </c>
      <c r="K612" s="15">
        <f t="shared" si="74"/>
        <v>10.714285714285714</v>
      </c>
      <c r="L612" s="15"/>
      <c r="M612" s="13">
        <f t="shared" si="75"/>
        <v>44348</v>
      </c>
      <c r="N612" s="5">
        <f>_xlfn.MAXIFS(Sheet1!$B$2:$B$6350,Sheet1!$E$2:$E$6350,Prices!$U612,Sheet1!$F$2:$F$6350,Prices!$V612)</f>
        <v>269.75</v>
      </c>
      <c r="O612" s="5">
        <f>_xlfn.MINIFS(Sheet1!$B$2:$B$6350,Sheet1!$E$2:$E$6350,Prices!$U612,Sheet1!$F$2:$F$6350,Prices!$V612)</f>
        <v>237.25</v>
      </c>
      <c r="P612" s="5">
        <f>AVERAGEIFS(Sheet1!$B$2:$B$6350,Sheet1!$E$2:$E$6350,Prices!$U612,Sheet1!$F$2:$F$6350,Prices!$V612)</f>
        <v>252.48863636363637</v>
      </c>
      <c r="Q612" s="5">
        <f t="shared" ref="Q612:Q649" si="82">N612-P612</f>
        <v>17.261363636363626</v>
      </c>
      <c r="R612" s="5">
        <f t="shared" ref="R612:R651" si="83">O612-P612</f>
        <v>-15.238636363636374</v>
      </c>
      <c r="S612" s="5">
        <f t="shared" si="81"/>
        <v>5.3277069611608265</v>
      </c>
      <c r="T612" s="5">
        <f t="shared" ref="T612:T655" si="84">S612-D612</f>
        <v>-1.3963839479300821</v>
      </c>
      <c r="U612" s="1">
        <f t="shared" si="76"/>
        <v>6</v>
      </c>
      <c r="V612" s="1">
        <f t="shared" si="77"/>
        <v>2021</v>
      </c>
      <c r="W612" s="5">
        <v>1.2038136363636367</v>
      </c>
    </row>
    <row r="613" spans="1:23" x14ac:dyDescent="0.25">
      <c r="A613" s="13">
        <v>44378</v>
      </c>
      <c r="B613" s="5">
        <v>6.0175000000000001</v>
      </c>
      <c r="C613" s="5">
        <v>5.2949999999999999</v>
      </c>
      <c r="D613" s="5">
        <v>5.5732142857142852</v>
      </c>
      <c r="E613" s="5">
        <f t="shared" si="78"/>
        <v>0.44428571428571484</v>
      </c>
      <c r="F613" s="5">
        <f t="shared" si="79"/>
        <v>-0.2782142857142853</v>
      </c>
      <c r="G613" s="33">
        <v>6.12</v>
      </c>
      <c r="H613" s="5">
        <f t="shared" si="73"/>
        <v>0.54678571428571487</v>
      </c>
      <c r="I613" s="14">
        <v>6.49</v>
      </c>
      <c r="J613" s="5">
        <f t="shared" si="80"/>
        <v>-0.37000000000000011</v>
      </c>
      <c r="K613" s="15">
        <f t="shared" si="74"/>
        <v>10.928571428571429</v>
      </c>
      <c r="L613" s="15"/>
      <c r="M613" s="13">
        <f t="shared" si="75"/>
        <v>44378</v>
      </c>
      <c r="N613" s="5">
        <f>_xlfn.MAXIFS(Sheet1!$B$2:$B$6350,Sheet1!$E$2:$E$6350,Prices!$U613,Sheet1!$F$2:$F$6350,Prices!$V613)</f>
        <v>284</v>
      </c>
      <c r="O613" s="5">
        <f>_xlfn.MINIFS(Sheet1!$B$2:$B$6350,Sheet1!$E$2:$E$6350,Prices!$U613,Sheet1!$F$2:$F$6350,Prices!$V613)</f>
        <v>233.5</v>
      </c>
      <c r="P613" s="5">
        <f>AVERAGEIFS(Sheet1!$B$2:$B$6350,Sheet1!$E$2:$E$6350,Prices!$U613,Sheet1!$F$2:$F$6350,Prices!$V613)</f>
        <v>248.60227272727272</v>
      </c>
      <c r="Q613" s="5">
        <f t="shared" si="82"/>
        <v>35.39772727272728</v>
      </c>
      <c r="R613" s="5">
        <f t="shared" si="83"/>
        <v>-15.10227272727272</v>
      </c>
      <c r="S613" s="5">
        <f t="shared" si="81"/>
        <v>5.34117522539582</v>
      </c>
      <c r="T613" s="5">
        <f t="shared" si="84"/>
        <v>-0.23203906031846522</v>
      </c>
      <c r="U613" s="1">
        <f t="shared" si="76"/>
        <v>7</v>
      </c>
      <c r="V613" s="1">
        <f t="shared" si="77"/>
        <v>2021</v>
      </c>
      <c r="W613" s="5">
        <v>1.1822954545454547</v>
      </c>
    </row>
    <row r="614" spans="1:23" x14ac:dyDescent="0.25">
      <c r="A614" s="13">
        <v>44409</v>
      </c>
      <c r="B614" s="5">
        <v>5.6825000000000001</v>
      </c>
      <c r="C614" s="5">
        <v>5.34</v>
      </c>
      <c r="D614" s="5">
        <v>5.5222727272727274</v>
      </c>
      <c r="E614" s="5">
        <f t="shared" si="78"/>
        <v>0.16022727272727266</v>
      </c>
      <c r="F614" s="5">
        <f t="shared" si="79"/>
        <v>-0.18227272727272759</v>
      </c>
      <c r="G614" s="33">
        <v>6.32</v>
      </c>
      <c r="H614" s="5">
        <f t="shared" si="73"/>
        <v>0.79772727272727284</v>
      </c>
      <c r="I614" s="14">
        <v>6.43</v>
      </c>
      <c r="J614" s="5">
        <f t="shared" si="80"/>
        <v>-0.10999999999999943</v>
      </c>
      <c r="K614" s="15">
        <f t="shared" si="74"/>
        <v>11.285714285714286</v>
      </c>
      <c r="L614" s="15"/>
      <c r="M614" s="13">
        <f t="shared" si="75"/>
        <v>44409</v>
      </c>
      <c r="N614" s="5">
        <f>_xlfn.MAXIFS(Sheet1!$B$2:$B$6350,Sheet1!$E$2:$E$6350,Prices!$U614,Sheet1!$F$2:$F$6350,Prices!$V614)</f>
        <v>320</v>
      </c>
      <c r="O614" s="5">
        <f>_xlfn.MINIFS(Sheet1!$B$2:$B$6350,Sheet1!$E$2:$E$6350,Prices!$U614,Sheet1!$F$2:$F$6350,Prices!$V614)</f>
        <v>213.5</v>
      </c>
      <c r="P614" s="5">
        <f>AVERAGEIFS(Sheet1!$B$2:$B$6350,Sheet1!$E$2:$E$6350,Prices!$U614,Sheet1!$F$2:$F$6350,Prices!$V614)</f>
        <v>233.18181818181819</v>
      </c>
      <c r="Q614" s="5">
        <f t="shared" si="82"/>
        <v>86.818181818181813</v>
      </c>
      <c r="R614" s="5">
        <f t="shared" si="83"/>
        <v>-19.681818181818187</v>
      </c>
      <c r="S614" s="5">
        <f t="shared" si="81"/>
        <v>5.0343537054456036</v>
      </c>
      <c r="T614" s="5">
        <f t="shared" si="84"/>
        <v>-0.48791902182712388</v>
      </c>
      <c r="U614" s="1">
        <f t="shared" si="76"/>
        <v>8</v>
      </c>
      <c r="V614" s="1">
        <f t="shared" si="77"/>
        <v>2021</v>
      </c>
      <c r="W614" s="5">
        <v>1.1765454545454546</v>
      </c>
    </row>
    <row r="615" spans="1:23" x14ac:dyDescent="0.25">
      <c r="A615" s="13">
        <v>44440</v>
      </c>
      <c r="B615" s="5">
        <v>5.3949999999999996</v>
      </c>
      <c r="C615" s="5">
        <v>5.0999999999999996</v>
      </c>
      <c r="D615" s="5">
        <v>5.2445833333333338</v>
      </c>
      <c r="E615" s="5">
        <f t="shared" si="78"/>
        <v>0.15041666666666575</v>
      </c>
      <c r="F615" s="5">
        <f t="shared" si="79"/>
        <v>-0.14458333333333417</v>
      </c>
      <c r="G615" s="33">
        <v>5.47</v>
      </c>
      <c r="H615" s="5">
        <f t="shared" si="73"/>
        <v>0.22541666666666593</v>
      </c>
      <c r="I615" s="14">
        <v>5.35</v>
      </c>
      <c r="J615" s="5">
        <f t="shared" si="80"/>
        <v>0.12000000000000011</v>
      </c>
      <c r="K615" s="15">
        <f t="shared" si="74"/>
        <v>9.7678571428571423</v>
      </c>
      <c r="L615" s="15"/>
      <c r="M615" s="13">
        <f t="shared" si="75"/>
        <v>44440</v>
      </c>
      <c r="N615" s="5">
        <f>_xlfn.MAXIFS(Sheet1!$B$2:$B$6350,Sheet1!$E$2:$E$6350,Prices!$U615,Sheet1!$F$2:$F$6350,Prices!$V615)</f>
        <v>230.75</v>
      </c>
      <c r="O615" s="5">
        <f>_xlfn.MINIFS(Sheet1!$B$2:$B$6350,Sheet1!$E$2:$E$6350,Prices!$U615,Sheet1!$F$2:$F$6350,Prices!$V615)</f>
        <v>211.5</v>
      </c>
      <c r="P615" s="5">
        <f>AVERAGEIFS(Sheet1!$B$2:$B$6350,Sheet1!$E$2:$E$6350,Prices!$U615,Sheet1!$F$2:$F$6350,Prices!$V615)</f>
        <v>218.77272727272728</v>
      </c>
      <c r="Q615" s="5">
        <f t="shared" si="82"/>
        <v>11.97727272727272</v>
      </c>
      <c r="R615" s="5">
        <f t="shared" si="83"/>
        <v>-7.2727272727272805</v>
      </c>
      <c r="S615" s="5">
        <f t="shared" si="81"/>
        <v>4.7239940378856993</v>
      </c>
      <c r="T615" s="5">
        <f t="shared" si="84"/>
        <v>-0.52058929544763455</v>
      </c>
      <c r="U615" s="1">
        <f t="shared" si="76"/>
        <v>9</v>
      </c>
      <c r="V615" s="1">
        <f t="shared" si="77"/>
        <v>2021</v>
      </c>
      <c r="W615" s="5">
        <v>1.1763636363636363</v>
      </c>
    </row>
    <row r="616" spans="1:23" x14ac:dyDescent="0.25">
      <c r="A616" s="13">
        <v>44470</v>
      </c>
      <c r="B616" s="5">
        <v>5.6825000000000001</v>
      </c>
      <c r="C616" s="5">
        <v>5.1224999999999996</v>
      </c>
      <c r="D616" s="5">
        <v>5.366190476190476</v>
      </c>
      <c r="E616" s="5">
        <f t="shared" si="78"/>
        <v>0.31630952380952415</v>
      </c>
      <c r="F616" s="5">
        <f t="shared" si="79"/>
        <v>-0.24369047619047635</v>
      </c>
      <c r="G616" s="33">
        <v>5.0199999999999996</v>
      </c>
      <c r="H616" s="5">
        <f t="shared" si="73"/>
        <v>-0.34619047619047638</v>
      </c>
      <c r="I616" s="14">
        <v>5.37</v>
      </c>
      <c r="J616" s="5">
        <f t="shared" si="80"/>
        <v>-0.35000000000000053</v>
      </c>
      <c r="K616" s="15">
        <f t="shared" si="74"/>
        <v>8.9642857142857135</v>
      </c>
      <c r="L616" s="15"/>
      <c r="M616" s="13">
        <f t="shared" si="75"/>
        <v>44470</v>
      </c>
      <c r="N616" s="5">
        <f>_xlfn.MAXIFS(Sheet1!$B$2:$B$6350,Sheet1!$E$2:$E$6350,Prices!$U616,Sheet1!$F$2:$F$6350,Prices!$V616)</f>
        <v>251.5</v>
      </c>
      <c r="O616" s="5">
        <f>_xlfn.MINIFS(Sheet1!$B$2:$B$6350,Sheet1!$E$2:$E$6350,Prices!$U616,Sheet1!$F$2:$F$6350,Prices!$V616)</f>
        <v>236.5</v>
      </c>
      <c r="P616" s="5">
        <f>AVERAGEIFS(Sheet1!$B$2:$B$6350,Sheet1!$E$2:$E$6350,Prices!$U616,Sheet1!$F$2:$F$6350,Prices!$V616)</f>
        <v>244.14285714285714</v>
      </c>
      <c r="Q616" s="5">
        <f t="shared" si="82"/>
        <v>7.3571428571428612</v>
      </c>
      <c r="R616" s="5">
        <f t="shared" si="83"/>
        <v>-7.6428571428571388</v>
      </c>
      <c r="S616" s="5">
        <f t="shared" si="81"/>
        <v>5.347258155154881</v>
      </c>
      <c r="T616" s="5">
        <f t="shared" si="84"/>
        <v>-1.8932321035594946E-2</v>
      </c>
      <c r="U616" s="1">
        <f t="shared" si="76"/>
        <v>10</v>
      </c>
      <c r="V616" s="1">
        <f t="shared" si="77"/>
        <v>2021</v>
      </c>
      <c r="W616" s="5">
        <v>1.1597666666666666</v>
      </c>
    </row>
    <row r="617" spans="1:23" x14ac:dyDescent="0.25">
      <c r="A617" s="13">
        <v>44501</v>
      </c>
      <c r="B617" s="5">
        <v>5.8674999999999997</v>
      </c>
      <c r="C617" s="5">
        <v>5.5149999999999997</v>
      </c>
      <c r="D617" s="5">
        <v>5.7089285714285714</v>
      </c>
      <c r="E617" s="5">
        <f t="shared" si="78"/>
        <v>0.15857142857142836</v>
      </c>
      <c r="F617" s="5">
        <f t="shared" si="79"/>
        <v>-0.19392857142857167</v>
      </c>
      <c r="G617" s="33">
        <v>5.27</v>
      </c>
      <c r="H617" s="5">
        <f t="shared" si="73"/>
        <v>-0.43892857142857178</v>
      </c>
      <c r="I617" s="14">
        <v>5.8</v>
      </c>
      <c r="J617" s="5">
        <f t="shared" si="80"/>
        <v>-0.53000000000000025</v>
      </c>
      <c r="K617" s="15">
        <f t="shared" si="74"/>
        <v>9.4107142857142847</v>
      </c>
      <c r="L617" s="15"/>
      <c r="M617" s="13">
        <f t="shared" si="75"/>
        <v>44501</v>
      </c>
      <c r="N617" s="5">
        <f>_xlfn.MAXIFS(Sheet1!$B$2:$B$6350,Sheet1!$E$2:$E$6350,Prices!$U617,Sheet1!$F$2:$F$6350,Prices!$V617)</f>
        <v>259.75</v>
      </c>
      <c r="O617" s="5">
        <f>_xlfn.MINIFS(Sheet1!$B$2:$B$6350,Sheet1!$E$2:$E$6350,Prices!$U617,Sheet1!$F$2:$F$6350,Prices!$V617)</f>
        <v>219.5</v>
      </c>
      <c r="P617" s="5">
        <f>AVERAGEIFS(Sheet1!$B$2:$B$6350,Sheet1!$E$2:$E$6350,Prices!$U617,Sheet1!$F$2:$F$6350,Prices!$V617)</f>
        <v>243.125</v>
      </c>
      <c r="Q617" s="5">
        <f t="shared" si="82"/>
        <v>16.625</v>
      </c>
      <c r="R617" s="5">
        <f t="shared" si="83"/>
        <v>-23.625</v>
      </c>
      <c r="S617" s="5">
        <f t="shared" si="81"/>
        <v>5.4139494655076028</v>
      </c>
      <c r="T617" s="5">
        <f t="shared" si="84"/>
        <v>-0.29497910592096854</v>
      </c>
      <c r="U617" s="1">
        <f t="shared" si="76"/>
        <v>11</v>
      </c>
      <c r="V617" s="1">
        <f t="shared" si="77"/>
        <v>2021</v>
      </c>
      <c r="W617" s="5">
        <v>1.1407045454545455</v>
      </c>
    </row>
    <row r="618" spans="1:23" x14ac:dyDescent="0.25">
      <c r="A618" s="13">
        <v>44531</v>
      </c>
      <c r="B618" s="5">
        <v>6.1475</v>
      </c>
      <c r="C618" s="5">
        <v>5.7149999999999999</v>
      </c>
      <c r="D618" s="5">
        <v>5.921818181818181</v>
      </c>
      <c r="E618" s="5">
        <f t="shared" si="78"/>
        <v>0.22568181818181898</v>
      </c>
      <c r="F618" s="5">
        <f t="shared" si="79"/>
        <v>-0.20681818181818112</v>
      </c>
      <c r="G618" s="33">
        <v>5.47</v>
      </c>
      <c r="H618" s="5">
        <f t="shared" si="73"/>
        <v>-0.45181818181818123</v>
      </c>
      <c r="I618" s="14">
        <v>6.03</v>
      </c>
      <c r="J618" s="5">
        <f t="shared" si="80"/>
        <v>-0.5600000000000005</v>
      </c>
      <c r="K618" s="15">
        <f t="shared" si="74"/>
        <v>9.7678571428571423</v>
      </c>
      <c r="L618" s="15"/>
      <c r="M618" s="13">
        <f t="shared" si="75"/>
        <v>44531</v>
      </c>
      <c r="N618" s="5">
        <f>_xlfn.MAXIFS(Sheet1!$B$2:$B$6350,Sheet1!$E$2:$E$6350,Prices!$U618,Sheet1!$F$2:$F$6350,Prices!$V618)</f>
        <v>245.5</v>
      </c>
      <c r="O618" s="5">
        <f>_xlfn.MINIFS(Sheet1!$B$2:$B$6350,Sheet1!$E$2:$E$6350,Prices!$U618,Sheet1!$F$2:$F$6350,Prices!$V618)</f>
        <v>239.75</v>
      </c>
      <c r="P618" s="5">
        <f>AVERAGEIFS(Sheet1!$B$2:$B$6350,Sheet1!$E$2:$E$6350,Prices!$U618,Sheet1!$F$2:$F$6350,Prices!$V618)</f>
        <v>243.28260869565219</v>
      </c>
      <c r="Q618" s="5">
        <f t="shared" si="82"/>
        <v>2.2173913043478137</v>
      </c>
      <c r="R618" s="5">
        <f t="shared" si="83"/>
        <v>-3.5326086956521863</v>
      </c>
      <c r="S618" s="5">
        <f t="shared" si="81"/>
        <v>5.4663392126455399</v>
      </c>
      <c r="T618" s="5">
        <f t="shared" si="84"/>
        <v>-0.45547896917264108</v>
      </c>
      <c r="U618" s="1">
        <f t="shared" si="76"/>
        <v>12</v>
      </c>
      <c r="V618" s="1">
        <f t="shared" si="77"/>
        <v>2021</v>
      </c>
      <c r="W618" s="5">
        <v>1.130504347826087</v>
      </c>
    </row>
    <row r="619" spans="1:23" x14ac:dyDescent="0.25">
      <c r="A619" s="13">
        <v>44562</v>
      </c>
      <c r="B619" s="5">
        <v>6.36</v>
      </c>
      <c r="C619" s="5">
        <v>5.875</v>
      </c>
      <c r="D619" s="5">
        <v>6.09375</v>
      </c>
      <c r="E619" s="5">
        <f t="shared" si="78"/>
        <v>0.26625000000000032</v>
      </c>
      <c r="F619" s="5">
        <f t="shared" si="79"/>
        <v>-0.21875</v>
      </c>
      <c r="G619" s="33">
        <v>5.57</v>
      </c>
      <c r="H619" s="5">
        <f t="shared" si="73"/>
        <v>-0.52374999999999972</v>
      </c>
      <c r="I619" s="14">
        <v>6.16</v>
      </c>
      <c r="J619" s="5">
        <f t="shared" si="80"/>
        <v>-0.58999999999999986</v>
      </c>
      <c r="K619" s="15">
        <f t="shared" si="74"/>
        <v>9.9464285714285712</v>
      </c>
      <c r="L619" s="15"/>
      <c r="M619" s="13">
        <f t="shared" si="75"/>
        <v>44562</v>
      </c>
      <c r="N619" s="5">
        <f>_xlfn.MAXIFS(Sheet1!$B$2:$B$6350,Sheet1!$E$2:$E$6350,Prices!$U619,Sheet1!$F$2:$F$6350,Prices!$V619)</f>
        <v>257.75</v>
      </c>
      <c r="O619" s="5">
        <f>_xlfn.MINIFS(Sheet1!$B$2:$B$6350,Sheet1!$E$2:$E$6350,Prices!$U619,Sheet1!$F$2:$F$6350,Prices!$V619)</f>
        <v>239</v>
      </c>
      <c r="P619" s="5">
        <f>AVERAGEIFS(Sheet1!$B$2:$B$6350,Sheet1!$E$2:$E$6350,Prices!$U619,Sheet1!$F$2:$F$6350,Prices!$V619)</f>
        <v>246.39285714285714</v>
      </c>
      <c r="Q619" s="5">
        <f t="shared" si="82"/>
        <v>11.357142857142861</v>
      </c>
      <c r="R619" s="5">
        <f t="shared" si="83"/>
        <v>-7.3928571428571388</v>
      </c>
      <c r="S619" s="5">
        <f t="shared" si="81"/>
        <v>5.5307702202739151</v>
      </c>
      <c r="T619" s="5">
        <f t="shared" si="84"/>
        <v>-0.56297977972608493</v>
      </c>
      <c r="U619" s="1">
        <f t="shared" si="76"/>
        <v>1</v>
      </c>
      <c r="V619" s="1">
        <f t="shared" si="77"/>
        <v>2022</v>
      </c>
      <c r="W619" s="5">
        <v>1.1316190476190475</v>
      </c>
    </row>
    <row r="620" spans="1:23" x14ac:dyDescent="0.25">
      <c r="A620" s="13">
        <v>44593</v>
      </c>
      <c r="B620" s="5">
        <v>6.9749999999999996</v>
      </c>
      <c r="C620" s="5">
        <v>6.1675000000000004</v>
      </c>
      <c r="D620" s="5">
        <v>6.5036842105263153</v>
      </c>
      <c r="E620" s="5">
        <f t="shared" si="78"/>
        <v>0.47131578947368435</v>
      </c>
      <c r="F620" s="5">
        <f t="shared" si="79"/>
        <v>-0.33618421052631486</v>
      </c>
      <c r="G620" s="33">
        <v>6.1</v>
      </c>
      <c r="H620" s="5">
        <f t="shared" si="73"/>
        <v>-0.40368421052631565</v>
      </c>
      <c r="I620" s="14">
        <v>6.54</v>
      </c>
      <c r="J620" s="5">
        <f t="shared" si="80"/>
        <v>-0.44000000000000039</v>
      </c>
      <c r="K620" s="15">
        <f t="shared" si="74"/>
        <v>10.892857142857142</v>
      </c>
      <c r="L620" s="15"/>
      <c r="M620" s="13">
        <f t="shared" si="75"/>
        <v>44593</v>
      </c>
      <c r="N620" s="5">
        <f>_xlfn.MAXIFS(Sheet1!$B$2:$B$6350,Sheet1!$E$2:$E$6350,Prices!$U620,Sheet1!$F$2:$F$6350,Prices!$V620)</f>
        <v>311</v>
      </c>
      <c r="O620" s="5">
        <f>_xlfn.MINIFS(Sheet1!$B$2:$B$6350,Sheet1!$E$2:$E$6350,Prices!$U620,Sheet1!$F$2:$F$6350,Prices!$V620)</f>
        <v>248</v>
      </c>
      <c r="P620" s="5">
        <f>AVERAGEIFS(Sheet1!$B$2:$B$6350,Sheet1!$E$2:$E$6350,Prices!$U620,Sheet1!$F$2:$F$6350,Prices!$V620)</f>
        <v>259.45</v>
      </c>
      <c r="Q620" s="5">
        <f t="shared" si="82"/>
        <v>51.550000000000011</v>
      </c>
      <c r="R620" s="5">
        <f t="shared" si="83"/>
        <v>-11.449999999999989</v>
      </c>
      <c r="S620" s="5">
        <f t="shared" si="81"/>
        <v>5.8104570611281554</v>
      </c>
      <c r="T620" s="5">
        <f t="shared" si="84"/>
        <v>-0.69322714939815988</v>
      </c>
      <c r="U620" s="1">
        <f t="shared" si="76"/>
        <v>2</v>
      </c>
      <c r="V620" s="1">
        <f t="shared" si="77"/>
        <v>2022</v>
      </c>
      <c r="W620" s="5">
        <v>1.1342299999999998</v>
      </c>
    </row>
    <row r="621" spans="1:23" x14ac:dyDescent="0.25">
      <c r="A621" s="13">
        <v>44621</v>
      </c>
      <c r="B621" s="5">
        <v>7.625</v>
      </c>
      <c r="C621" s="5">
        <v>7.25</v>
      </c>
      <c r="D621" s="5">
        <v>7.4656521739130435</v>
      </c>
      <c r="E621" s="5">
        <f t="shared" si="78"/>
        <v>0.15934782608695652</v>
      </c>
      <c r="F621" s="5">
        <f t="shared" si="79"/>
        <v>-0.21565217391304348</v>
      </c>
      <c r="G621" s="33">
        <v>6.56</v>
      </c>
      <c r="H621" s="5">
        <f t="shared" si="73"/>
        <v>-0.90565217391304387</v>
      </c>
      <c r="I621" s="14">
        <v>7.46</v>
      </c>
      <c r="J621" s="5">
        <f t="shared" si="80"/>
        <v>-0.90000000000000036</v>
      </c>
      <c r="K621" s="15">
        <f t="shared" si="74"/>
        <v>11.714285714285714</v>
      </c>
      <c r="L621" s="15"/>
      <c r="M621" s="13">
        <f t="shared" si="75"/>
        <v>44621</v>
      </c>
      <c r="N621" s="5">
        <f>_xlfn.MAXIFS(Sheet1!$B$2:$B$6350,Sheet1!$E$2:$E$6350,Prices!$U621,Sheet1!$F$2:$F$6350,Prices!$V621)</f>
        <v>379</v>
      </c>
      <c r="O621" s="5">
        <f>_xlfn.MINIFS(Sheet1!$B$2:$B$6350,Sheet1!$E$2:$E$6350,Prices!$U621,Sheet1!$F$2:$F$6350,Prices!$V621)</f>
        <v>313.75</v>
      </c>
      <c r="P621" s="5">
        <f>AVERAGEIFS(Sheet1!$B$2:$B$6350,Sheet1!$E$2:$E$6350,Prices!$U621,Sheet1!$F$2:$F$6350,Prices!$V621)</f>
        <v>340.5</v>
      </c>
      <c r="Q621" s="5">
        <f t="shared" si="82"/>
        <v>38.5</v>
      </c>
      <c r="R621" s="5">
        <f t="shared" si="83"/>
        <v>-26.75</v>
      </c>
      <c r="S621" s="5">
        <f t="shared" si="81"/>
        <v>7.8527400888007861</v>
      </c>
      <c r="T621" s="5">
        <f t="shared" si="84"/>
        <v>0.38708791488774263</v>
      </c>
      <c r="U621" s="1">
        <f t="shared" si="76"/>
        <v>3</v>
      </c>
      <c r="V621" s="1">
        <f t="shared" si="77"/>
        <v>2022</v>
      </c>
      <c r="W621" s="5">
        <v>1.1014217391304346</v>
      </c>
    </row>
    <row r="622" spans="1:23" x14ac:dyDescent="0.25">
      <c r="A622" s="13">
        <v>44652</v>
      </c>
      <c r="B622" s="5">
        <v>8.1824999999999992</v>
      </c>
      <c r="C622" s="5">
        <v>7.35</v>
      </c>
      <c r="D622" s="5">
        <v>7.8606249999999998</v>
      </c>
      <c r="E622" s="5">
        <f t="shared" si="78"/>
        <v>0.32187499999999947</v>
      </c>
      <c r="F622" s="5">
        <f t="shared" si="79"/>
        <v>-0.51062500000000011</v>
      </c>
      <c r="G622" s="33">
        <v>7.08</v>
      </c>
      <c r="H622" s="5">
        <f t="shared" si="73"/>
        <v>-0.78062499999999968</v>
      </c>
      <c r="I622" s="14">
        <v>7.93</v>
      </c>
      <c r="J622" s="5">
        <f t="shared" si="80"/>
        <v>-0.84999999999999964</v>
      </c>
      <c r="K622" s="15">
        <f t="shared" si="74"/>
        <v>12.642857142857142</v>
      </c>
      <c r="L622" s="15"/>
      <c r="M622" s="13">
        <f t="shared" si="75"/>
        <v>44652</v>
      </c>
      <c r="N622" s="5">
        <f>_xlfn.MAXIFS(Sheet1!$B$2:$B$6350,Sheet1!$E$2:$E$6350,Prices!$U622,Sheet1!$F$2:$F$6350,Prices!$V622)</f>
        <v>349.25</v>
      </c>
      <c r="O622" s="5">
        <f>_xlfn.MINIFS(Sheet1!$B$2:$B$6350,Sheet1!$E$2:$E$6350,Prices!$U622,Sheet1!$F$2:$F$6350,Prices!$V622)</f>
        <v>315.5</v>
      </c>
      <c r="P622" s="5">
        <f>AVERAGEIFS(Sheet1!$B$2:$B$6350,Sheet1!$E$2:$E$6350,Prices!$U622,Sheet1!$F$2:$F$6350,Prices!$V622)</f>
        <v>330.61842105263156</v>
      </c>
      <c r="Q622" s="5">
        <f t="shared" si="82"/>
        <v>18.631578947368439</v>
      </c>
      <c r="R622" s="5">
        <f t="shared" si="83"/>
        <v>-15.118421052631561</v>
      </c>
      <c r="S622" s="5">
        <f t="shared" si="81"/>
        <v>7.776668693942522</v>
      </c>
      <c r="T622" s="5">
        <f t="shared" si="84"/>
        <v>-8.3956306057477725E-2</v>
      </c>
      <c r="U622" s="1">
        <f t="shared" si="76"/>
        <v>4</v>
      </c>
      <c r="V622" s="1">
        <f t="shared" si="77"/>
        <v>2022</v>
      </c>
      <c r="W622" s="5">
        <v>1.0799190476190477</v>
      </c>
    </row>
    <row r="623" spans="1:23" x14ac:dyDescent="0.25">
      <c r="A623" s="13">
        <v>44682</v>
      </c>
      <c r="B623" s="5">
        <v>8.0950000000000006</v>
      </c>
      <c r="C623" s="5">
        <v>7.5350000000000001</v>
      </c>
      <c r="D623" s="5">
        <v>7.8386904761904761</v>
      </c>
      <c r="E623" s="5">
        <f t="shared" si="78"/>
        <v>0.25630952380952454</v>
      </c>
      <c r="F623" s="5">
        <f t="shared" si="79"/>
        <v>-0.30369047619047596</v>
      </c>
      <c r="G623" s="33">
        <v>7.26</v>
      </c>
      <c r="H623" s="5">
        <f t="shared" si="73"/>
        <v>-0.57869047619047631</v>
      </c>
      <c r="I623" s="14">
        <v>8.0399999999999991</v>
      </c>
      <c r="J623" s="5">
        <f t="shared" si="80"/>
        <v>-0.77999999999999936</v>
      </c>
      <c r="K623" s="15">
        <f t="shared" si="74"/>
        <v>12.964285714285714</v>
      </c>
      <c r="L623" s="15"/>
      <c r="M623" s="13">
        <f t="shared" si="75"/>
        <v>44682</v>
      </c>
      <c r="N623" s="5">
        <f>_xlfn.MAXIFS(Sheet1!$B$2:$B$6350,Sheet1!$E$2:$E$6350,Prices!$U623,Sheet1!$F$2:$F$6350,Prices!$V623)</f>
        <v>373.5</v>
      </c>
      <c r="O623" s="5">
        <f>_xlfn.MINIFS(Sheet1!$B$2:$B$6350,Sheet1!$E$2:$E$6350,Prices!$U623,Sheet1!$F$2:$F$6350,Prices!$V623)</f>
        <v>340.25</v>
      </c>
      <c r="P623" s="5">
        <f>AVERAGEIFS(Sheet1!$B$2:$B$6350,Sheet1!$E$2:$E$6350,Prices!$U623,Sheet1!$F$2:$F$6350,Prices!$V623)</f>
        <v>358.375</v>
      </c>
      <c r="Q623" s="5">
        <f t="shared" si="82"/>
        <v>15.125</v>
      </c>
      <c r="R623" s="5">
        <f t="shared" si="83"/>
        <v>-18.125</v>
      </c>
      <c r="S623" s="5">
        <f t="shared" si="81"/>
        <v>8.6037054554852208</v>
      </c>
      <c r="T623" s="5">
        <f t="shared" si="84"/>
        <v>0.76501497929474471</v>
      </c>
      <c r="U623" s="1">
        <f t="shared" si="76"/>
        <v>5</v>
      </c>
      <c r="V623" s="1">
        <f t="shared" si="77"/>
        <v>2022</v>
      </c>
      <c r="W623" s="5">
        <v>1.058059090909091</v>
      </c>
    </row>
    <row r="624" spans="1:23" x14ac:dyDescent="0.25">
      <c r="A624" s="13">
        <v>44713</v>
      </c>
      <c r="B624" s="5">
        <v>7.8825000000000003</v>
      </c>
      <c r="C624" s="5">
        <v>7.27</v>
      </c>
      <c r="D624" s="5">
        <v>7.5840476190476194</v>
      </c>
      <c r="E624" s="5">
        <f t="shared" si="78"/>
        <v>0.29845238095238091</v>
      </c>
      <c r="F624" s="5">
        <f t="shared" si="79"/>
        <v>-0.3140476190476198</v>
      </c>
      <c r="G624" s="33">
        <v>7.37</v>
      </c>
      <c r="H624" s="5">
        <f t="shared" si="73"/>
        <v>-0.21404761904761926</v>
      </c>
      <c r="I624" s="14">
        <v>7.95</v>
      </c>
      <c r="J624" s="5">
        <f t="shared" si="80"/>
        <v>-0.58000000000000007</v>
      </c>
      <c r="K624" s="15">
        <f t="shared" si="74"/>
        <v>13.160714285714286</v>
      </c>
      <c r="L624" s="15"/>
      <c r="M624" s="13">
        <f t="shared" si="75"/>
        <v>44713</v>
      </c>
      <c r="N624" s="5">
        <f>_xlfn.MAXIFS(Sheet1!$B$2:$B$6350,Sheet1!$E$2:$E$6350,Prices!$U624,Sheet1!$F$2:$F$6350,Prices!$V624)</f>
        <v>339.5</v>
      </c>
      <c r="O624" s="5">
        <f>_xlfn.MINIFS(Sheet1!$B$2:$B$6350,Sheet1!$E$2:$E$6350,Prices!$U624,Sheet1!$F$2:$F$6350,Prices!$V624)</f>
        <v>298</v>
      </c>
      <c r="P624" s="5">
        <f>AVERAGEIFS(Sheet1!$B$2:$B$6350,Sheet1!$E$2:$E$6350,Prices!$U624,Sheet1!$F$2:$F$6350,Prices!$V624)</f>
        <v>324.18181818181819</v>
      </c>
      <c r="Q624" s="5">
        <f t="shared" si="82"/>
        <v>15.318181818181813</v>
      </c>
      <c r="R624" s="5">
        <f t="shared" si="83"/>
        <v>-26.181818181818187</v>
      </c>
      <c r="S624" s="5">
        <f t="shared" si="81"/>
        <v>7.7968791257597694</v>
      </c>
      <c r="T624" s="5">
        <f t="shared" si="84"/>
        <v>0.21283150671215001</v>
      </c>
      <c r="U624" s="1">
        <f t="shared" si="76"/>
        <v>6</v>
      </c>
      <c r="V624" s="1">
        <f t="shared" si="77"/>
        <v>2022</v>
      </c>
      <c r="W624" s="5">
        <v>1.0561500000000001</v>
      </c>
    </row>
    <row r="625" spans="1:23" x14ac:dyDescent="0.25">
      <c r="A625" s="13">
        <v>44743</v>
      </c>
      <c r="B625" s="5">
        <v>6.37</v>
      </c>
      <c r="C625" s="5">
        <v>5.6425000000000001</v>
      </c>
      <c r="D625" s="5">
        <v>6.0220000000000002</v>
      </c>
      <c r="E625" s="5">
        <f t="shared" si="78"/>
        <v>0.34799999999999986</v>
      </c>
      <c r="F625" s="5">
        <f t="shared" si="79"/>
        <v>-0.37950000000000017</v>
      </c>
      <c r="G625" s="33">
        <v>7.25</v>
      </c>
      <c r="H625" s="5">
        <f t="shared" si="73"/>
        <v>1.2279999999999998</v>
      </c>
      <c r="I625" s="14">
        <v>7.09</v>
      </c>
      <c r="J625" s="5">
        <f t="shared" si="80"/>
        <v>0.16000000000000014</v>
      </c>
      <c r="K625" s="15">
        <f t="shared" si="74"/>
        <v>12.946428571428573</v>
      </c>
      <c r="L625" s="15"/>
      <c r="M625" s="13">
        <f t="shared" si="75"/>
        <v>44743</v>
      </c>
      <c r="N625" s="5">
        <f>_xlfn.MAXIFS(Sheet1!$B$2:$B$6350,Sheet1!$E$2:$E$6350,Prices!$U625,Sheet1!$F$2:$F$6350,Prices!$V625)</f>
        <v>352.5</v>
      </c>
      <c r="O625" s="5">
        <f>_xlfn.MINIFS(Sheet1!$B$2:$B$6350,Sheet1!$E$2:$E$6350,Prices!$U625,Sheet1!$F$2:$F$6350,Prices!$V625)</f>
        <v>287.75</v>
      </c>
      <c r="P625" s="5">
        <f>AVERAGEIFS(Sheet1!$B$2:$B$6350,Sheet1!$E$2:$E$6350,Prices!$U625,Sheet1!$F$2:$F$6350,Prices!$V625)</f>
        <v>322.09523809523807</v>
      </c>
      <c r="Q625" s="5">
        <f t="shared" si="82"/>
        <v>30.404761904761926</v>
      </c>
      <c r="R625" s="5">
        <f t="shared" si="83"/>
        <v>-34.345238095238074</v>
      </c>
      <c r="S625" s="5">
        <f t="shared" si="81"/>
        <v>8.0360283737636209</v>
      </c>
      <c r="T625" s="5">
        <f t="shared" si="84"/>
        <v>2.0140283737636206</v>
      </c>
      <c r="U625" s="1">
        <f t="shared" si="76"/>
        <v>7</v>
      </c>
      <c r="V625" s="1">
        <f t="shared" si="77"/>
        <v>2022</v>
      </c>
      <c r="W625" s="5">
        <v>1.0181238095238092</v>
      </c>
    </row>
    <row r="626" spans="1:23" x14ac:dyDescent="0.25">
      <c r="A626" s="13">
        <v>44774</v>
      </c>
      <c r="B626" s="5">
        <v>6.8375000000000004</v>
      </c>
      <c r="C626" s="5">
        <v>5.9124999999999996</v>
      </c>
      <c r="D626" s="5">
        <v>6.3207608695652171</v>
      </c>
      <c r="E626" s="5">
        <f t="shared" si="78"/>
        <v>0.51673913043478326</v>
      </c>
      <c r="F626" s="5">
        <f t="shared" si="79"/>
        <v>-0.40826086956521745</v>
      </c>
      <c r="G626" s="33">
        <v>7.24</v>
      </c>
      <c r="H626" s="5">
        <f t="shared" si="73"/>
        <v>0.91923913043478311</v>
      </c>
      <c r="I626" s="14">
        <v>6.87</v>
      </c>
      <c r="J626" s="5">
        <f t="shared" si="80"/>
        <v>0.37000000000000011</v>
      </c>
      <c r="K626" s="15">
        <f t="shared" si="74"/>
        <v>12.928571428571429</v>
      </c>
      <c r="L626" s="15"/>
      <c r="M626" s="13">
        <f t="shared" si="75"/>
        <v>44774</v>
      </c>
      <c r="N626" s="5">
        <f>_xlfn.MAXIFS(Sheet1!$B$2:$B$6350,Sheet1!$E$2:$E$6350,Prices!$U626,Sheet1!$F$2:$F$6350,Prices!$V626)</f>
        <v>342</v>
      </c>
      <c r="O626" s="5">
        <f>_xlfn.MINIFS(Sheet1!$B$2:$B$6350,Sheet1!$E$2:$E$6350,Prices!$U626,Sheet1!$F$2:$F$6350,Prices!$V626)</f>
        <v>307.75</v>
      </c>
      <c r="P626" s="5">
        <f>AVERAGEIFS(Sheet1!$B$2:$B$6350,Sheet1!$E$2:$E$6350,Prices!$U626,Sheet1!$F$2:$F$6350,Prices!$V626)</f>
        <v>326.5</v>
      </c>
      <c r="Q626" s="5">
        <f t="shared" si="82"/>
        <v>15.5</v>
      </c>
      <c r="R626" s="5">
        <f t="shared" si="83"/>
        <v>-18.75</v>
      </c>
      <c r="S626" s="5">
        <f t="shared" si="81"/>
        <v>8.1939842439795747</v>
      </c>
      <c r="T626" s="5">
        <f t="shared" si="84"/>
        <v>1.8732233744143576</v>
      </c>
      <c r="U626" s="1">
        <f t="shared" si="76"/>
        <v>8</v>
      </c>
      <c r="V626" s="1">
        <f t="shared" si="77"/>
        <v>2022</v>
      </c>
      <c r="W626" s="5">
        <v>1.0121521739130437</v>
      </c>
    </row>
    <row r="627" spans="1:23" x14ac:dyDescent="0.25">
      <c r="A627" s="13">
        <v>44805</v>
      </c>
      <c r="B627" s="5">
        <v>6.96</v>
      </c>
      <c r="C627" s="5">
        <v>6.58</v>
      </c>
      <c r="D627" s="5">
        <v>6.7723809523809519</v>
      </c>
      <c r="E627" s="5">
        <f t="shared" si="78"/>
        <v>0.18761904761904802</v>
      </c>
      <c r="F627" s="5">
        <f t="shared" si="79"/>
        <v>-0.19238095238095188</v>
      </c>
      <c r="G627" s="33">
        <v>7.09</v>
      </c>
      <c r="H627" s="5">
        <f t="shared" si="73"/>
        <v>0.31761904761904791</v>
      </c>
      <c r="I627" s="14">
        <v>6.9794999999999998</v>
      </c>
      <c r="J627" s="5">
        <f t="shared" si="80"/>
        <v>0.11050000000000004</v>
      </c>
      <c r="K627" s="15">
        <f t="shared" si="74"/>
        <v>12.660714285714286</v>
      </c>
      <c r="L627" s="15"/>
      <c r="M627" s="13">
        <f t="shared" si="75"/>
        <v>44805</v>
      </c>
      <c r="N627" s="5">
        <f>_xlfn.MAXIFS(Sheet1!$B$2:$B$6350,Sheet1!$E$2:$E$6350,Prices!$U627,Sheet1!$F$2:$F$6350,Prices!$V627)</f>
        <v>341</v>
      </c>
      <c r="O627" s="5">
        <f>_xlfn.MINIFS(Sheet1!$B$2:$B$6350,Sheet1!$E$2:$E$6350,Prices!$U627,Sheet1!$F$2:$F$6350,Prices!$V627)</f>
        <v>315</v>
      </c>
      <c r="P627" s="5">
        <f>AVERAGEIFS(Sheet1!$B$2:$B$6350,Sheet1!$E$2:$E$6350,Prices!$U627,Sheet1!$F$2:$F$6350,Prices!$V627)</f>
        <v>329.04545454545456</v>
      </c>
      <c r="Q627" s="5">
        <f t="shared" si="82"/>
        <v>11.954545454545439</v>
      </c>
      <c r="R627" s="5">
        <f t="shared" si="83"/>
        <v>-14.045454545454561</v>
      </c>
      <c r="S627" s="5">
        <f t="shared" si="81"/>
        <v>8.445163890148196</v>
      </c>
      <c r="T627" s="5">
        <f t="shared" si="84"/>
        <v>1.6727829377672441</v>
      </c>
      <c r="U627" s="1">
        <f t="shared" si="76"/>
        <v>9</v>
      </c>
      <c r="V627" s="1">
        <f t="shared" si="77"/>
        <v>2022</v>
      </c>
      <c r="W627" s="5">
        <v>0.98970454545454556</v>
      </c>
    </row>
    <row r="628" spans="1:23" x14ac:dyDescent="0.25">
      <c r="A628" s="13">
        <v>44835</v>
      </c>
      <c r="B628" s="5">
        <v>6.9824999999999999</v>
      </c>
      <c r="C628" s="5">
        <v>6.7549999999999999</v>
      </c>
      <c r="D628" s="5">
        <v>6.8554761904761907</v>
      </c>
      <c r="E628" s="5">
        <f t="shared" si="78"/>
        <v>0.12702380952380921</v>
      </c>
      <c r="F628" s="5">
        <f t="shared" si="79"/>
        <v>-0.10047619047619083</v>
      </c>
      <c r="G628" s="33">
        <v>6.5</v>
      </c>
      <c r="H628" s="5">
        <f t="shared" si="73"/>
        <v>-0.35547619047619072</v>
      </c>
      <c r="I628" s="14">
        <v>6.7878999999999996</v>
      </c>
      <c r="J628" s="5">
        <f t="shared" si="80"/>
        <v>-0.2878999999999996</v>
      </c>
      <c r="K628" s="15">
        <f t="shared" si="74"/>
        <v>11.607142857142858</v>
      </c>
      <c r="L628" s="15"/>
      <c r="M628" s="13">
        <f t="shared" si="75"/>
        <v>44835</v>
      </c>
      <c r="N628" s="5">
        <f>_xlfn.MAXIFS(Sheet1!$B$2:$B$6350,Sheet1!$E$2:$E$6350,Prices!$U628,Sheet1!$F$2:$F$6350,Prices!$V628)</f>
        <v>347.25</v>
      </c>
      <c r="O628" s="5">
        <f>_xlfn.MINIFS(Sheet1!$B$2:$B$6350,Sheet1!$E$2:$E$6350,Prices!$U628,Sheet1!$F$2:$F$6350,Prices!$V628)</f>
        <v>326</v>
      </c>
      <c r="P628" s="5">
        <f>AVERAGEIFS(Sheet1!$B$2:$B$6350,Sheet1!$E$2:$E$6350,Prices!$U628,Sheet1!$F$2:$F$6350,Prices!$V628)</f>
        <v>336.77380952380952</v>
      </c>
      <c r="Q628" s="5">
        <f t="shared" si="82"/>
        <v>10.476190476190482</v>
      </c>
      <c r="R628" s="5">
        <f t="shared" si="83"/>
        <v>-10.773809523809518</v>
      </c>
      <c r="S628" s="5">
        <f t="shared" si="81"/>
        <v>8.693457906320381</v>
      </c>
      <c r="T628" s="5">
        <f t="shared" si="84"/>
        <v>1.8379817158441902</v>
      </c>
      <c r="U628" s="1">
        <f t="shared" si="76"/>
        <v>10</v>
      </c>
      <c r="V628" s="1">
        <f t="shared" si="77"/>
        <v>2022</v>
      </c>
      <c r="W628" s="5">
        <v>0.98401904761904768</v>
      </c>
    </row>
    <row r="629" spans="1:23" x14ac:dyDescent="0.25">
      <c r="A629" s="13">
        <v>44866</v>
      </c>
      <c r="B629" s="5">
        <v>6.9775</v>
      </c>
      <c r="C629" s="5">
        <v>6.5324999999999998</v>
      </c>
      <c r="D629" s="5">
        <v>6.6823809523809521</v>
      </c>
      <c r="E629" s="5">
        <f t="shared" si="78"/>
        <v>0.29511904761904795</v>
      </c>
      <c r="F629" s="5">
        <f t="shared" si="79"/>
        <v>-0.14988095238095234</v>
      </c>
      <c r="G629" s="33">
        <v>6.49</v>
      </c>
      <c r="H629" s="5">
        <f t="shared" si="73"/>
        <v>-0.19238095238095188</v>
      </c>
      <c r="I629" s="14">
        <v>6.7053000000000003</v>
      </c>
      <c r="J629" s="5">
        <f t="shared" si="80"/>
        <v>-0.21530000000000005</v>
      </c>
      <c r="K629" s="15">
        <f t="shared" si="74"/>
        <v>11.589285714285715</v>
      </c>
      <c r="L629" s="15"/>
      <c r="M629" s="13">
        <f t="shared" si="75"/>
        <v>44866</v>
      </c>
      <c r="N629" s="5">
        <f>_xlfn.MAXIFS(Sheet1!$B$2:$B$6350,Sheet1!$E$2:$E$6350,Prices!$U629,Sheet1!$F$2:$F$6350,Prices!$V629)</f>
        <v>346.75</v>
      </c>
      <c r="O629" s="5">
        <f>_xlfn.MINIFS(Sheet1!$B$2:$B$6350,Sheet1!$E$2:$E$6350,Prices!$U629,Sheet1!$F$2:$F$6350,Prices!$V629)</f>
        <v>299.5</v>
      </c>
      <c r="P629" s="5">
        <f>AVERAGEIFS(Sheet1!$B$2:$B$6350,Sheet1!$E$2:$E$6350,Prices!$U629,Sheet1!$F$2:$F$6350,Prices!$V629)</f>
        <v>315.63636363636363</v>
      </c>
      <c r="Q629" s="5">
        <f t="shared" si="82"/>
        <v>31.113636363636374</v>
      </c>
      <c r="R629" s="5">
        <f t="shared" si="83"/>
        <v>-16.136363636363626</v>
      </c>
      <c r="S629" s="5">
        <f t="shared" si="81"/>
        <v>7.8525957393754435</v>
      </c>
      <c r="T629" s="5">
        <f t="shared" si="84"/>
        <v>1.1702147869944914</v>
      </c>
      <c r="U629" s="1">
        <f t="shared" si="76"/>
        <v>11</v>
      </c>
      <c r="V629" s="1">
        <f t="shared" si="77"/>
        <v>2022</v>
      </c>
      <c r="W629" s="5">
        <v>1.0210136363636364</v>
      </c>
    </row>
    <row r="630" spans="1:23" x14ac:dyDescent="0.25">
      <c r="A630" s="13">
        <v>44896</v>
      </c>
      <c r="B630" s="5">
        <v>6.8274999999999997</v>
      </c>
      <c r="C630" s="5">
        <v>6.3724999999999996</v>
      </c>
      <c r="D630" s="5">
        <v>6.5621428571428559</v>
      </c>
      <c r="E630" s="5">
        <f t="shared" si="78"/>
        <v>0.26535714285714374</v>
      </c>
      <c r="F630" s="5">
        <f t="shared" si="79"/>
        <v>-0.18964285714285634</v>
      </c>
      <c r="G630" s="33">
        <v>6.58</v>
      </c>
      <c r="H630" s="5">
        <f t="shared" si="73"/>
        <v>1.7857142857144126E-2</v>
      </c>
      <c r="I630" s="14">
        <v>6.6425999999999998</v>
      </c>
      <c r="J630" s="5">
        <f t="shared" si="80"/>
        <v>-6.2599999999999767E-2</v>
      </c>
      <c r="K630" s="15">
        <f t="shared" si="74"/>
        <v>11.75</v>
      </c>
      <c r="L630" s="15"/>
      <c r="M630" s="13">
        <f t="shared" si="75"/>
        <v>44896</v>
      </c>
      <c r="N630" s="5">
        <f>_xlfn.MAXIFS(Sheet1!$B$2:$B$6350,Sheet1!$E$2:$E$6350,Prices!$U630,Sheet1!$F$2:$F$6350,Prices!$V630)</f>
        <v>299.25</v>
      </c>
      <c r="O630" s="5">
        <f>_xlfn.MINIFS(Sheet1!$B$2:$B$6350,Sheet1!$E$2:$E$6350,Prices!$U630,Sheet1!$F$2:$F$6350,Prices!$V630)</f>
        <v>283.25</v>
      </c>
      <c r="P630" s="5">
        <f>AVERAGEIFS(Sheet1!$B$2:$B$6350,Sheet1!$E$2:$E$6350,Prices!$U630,Sheet1!$F$2:$F$6350,Prices!$V630)</f>
        <v>290.66666666666669</v>
      </c>
      <c r="Q630" s="5">
        <f t="shared" si="82"/>
        <v>8.5833333333333144</v>
      </c>
      <c r="R630" s="5">
        <f t="shared" si="83"/>
        <v>-7.4166666666666856</v>
      </c>
      <c r="S630" s="5">
        <f t="shared" si="81"/>
        <v>6.9735307692682689</v>
      </c>
      <c r="T630" s="5">
        <f t="shared" si="84"/>
        <v>0.41138791212541292</v>
      </c>
      <c r="U630" s="1">
        <f t="shared" si="76"/>
        <v>12</v>
      </c>
      <c r="V630" s="1">
        <f t="shared" si="77"/>
        <v>2022</v>
      </c>
      <c r="W630" s="5">
        <v>1.0587666666666666</v>
      </c>
    </row>
    <row r="631" spans="1:23" x14ac:dyDescent="0.25">
      <c r="A631" s="13">
        <v>44927</v>
      </c>
      <c r="B631" s="5">
        <v>6.8525</v>
      </c>
      <c r="C631" s="5">
        <v>6.5274999999999999</v>
      </c>
      <c r="D631" s="5">
        <v>6.703875</v>
      </c>
      <c r="E631" s="5">
        <f t="shared" si="78"/>
        <v>0.14862500000000001</v>
      </c>
      <c r="F631" s="5">
        <f t="shared" si="79"/>
        <v>-0.17637500000000017</v>
      </c>
      <c r="G631" s="33">
        <v>6.64</v>
      </c>
      <c r="H631" s="5">
        <f t="shared" ref="H631:H661" si="85">G631-D631</f>
        <v>-6.3875000000000348E-2</v>
      </c>
      <c r="I631" s="14">
        <v>6.7797999999999998</v>
      </c>
      <c r="J631" s="5">
        <f t="shared" si="80"/>
        <v>-0.13980000000000015</v>
      </c>
      <c r="K631" s="15">
        <f t="shared" si="74"/>
        <v>11.857142857142856</v>
      </c>
      <c r="L631" s="15"/>
      <c r="M631" s="13">
        <f t="shared" si="75"/>
        <v>44927</v>
      </c>
      <c r="N631" s="5">
        <f>_xlfn.MAXIFS(Sheet1!$B$2:$B$6350,Sheet1!$E$2:$E$6350,Prices!$U631,Sheet1!$F$2:$F$6350,Prices!$V631)</f>
        <v>296</v>
      </c>
      <c r="O631" s="5">
        <f>_xlfn.MINIFS(Sheet1!$B$2:$B$6350,Sheet1!$E$2:$E$6350,Prices!$U631,Sheet1!$F$2:$F$6350,Prices!$V631)</f>
        <v>272.25</v>
      </c>
      <c r="P631" s="5">
        <f>AVERAGEIFS(Sheet1!$B$2:$B$6350,Sheet1!$E$2:$E$6350,Prices!$U631,Sheet1!$F$2:$F$6350,Prices!$V631)</f>
        <v>282.18181818181819</v>
      </c>
      <c r="Q631" s="5">
        <f t="shared" si="82"/>
        <v>13.818181818181813</v>
      </c>
      <c r="R631" s="5">
        <f t="shared" si="83"/>
        <v>-9.931818181818187</v>
      </c>
      <c r="S631" s="5">
        <f t="shared" si="81"/>
        <v>6.6517031539723286</v>
      </c>
      <c r="T631" s="5">
        <f t="shared" si="84"/>
        <v>-5.2171846027671442E-2</v>
      </c>
      <c r="U631" s="1">
        <f t="shared" si="76"/>
        <v>1</v>
      </c>
      <c r="V631" s="1">
        <f t="shared" si="77"/>
        <v>2023</v>
      </c>
      <c r="W631" s="5">
        <v>1.077590909090909</v>
      </c>
    </row>
    <row r="632" spans="1:23" x14ac:dyDescent="0.25">
      <c r="A632" s="13">
        <v>44958</v>
      </c>
      <c r="B632" s="5">
        <v>6.85</v>
      </c>
      <c r="C632" s="5">
        <v>6.2949999999999999</v>
      </c>
      <c r="D632" s="5">
        <v>6.710921052631579</v>
      </c>
      <c r="E632" s="5">
        <f t="shared" si="78"/>
        <v>0.13907894736842064</v>
      </c>
      <c r="F632" s="5">
        <f t="shared" si="79"/>
        <v>-0.41592105263157908</v>
      </c>
      <c r="G632" s="33">
        <v>6.8</v>
      </c>
      <c r="H632" s="5">
        <f t="shared" si="85"/>
        <v>8.9078947368420813E-2</v>
      </c>
      <c r="I632" s="14">
        <v>6.8193999999999999</v>
      </c>
      <c r="J632" s="5">
        <f t="shared" si="80"/>
        <v>-1.9400000000000084E-2</v>
      </c>
      <c r="K632" s="15">
        <f t="shared" si="74"/>
        <v>12.142857142857142</v>
      </c>
      <c r="L632" s="15"/>
      <c r="M632" s="13">
        <f t="shared" si="75"/>
        <v>44958</v>
      </c>
      <c r="N632" s="5">
        <f>_xlfn.MAXIFS(Sheet1!$B$2:$B$6350,Sheet1!$E$2:$E$6350,Prices!$U632,Sheet1!$F$2:$F$6350,Prices!$V632)</f>
        <v>298</v>
      </c>
      <c r="O632" s="5">
        <f>_xlfn.MINIFS(Sheet1!$B$2:$B$6350,Sheet1!$E$2:$E$6350,Prices!$U632,Sheet1!$F$2:$F$6350,Prices!$V632)</f>
        <v>275.75</v>
      </c>
      <c r="P632" s="5">
        <f>AVERAGEIFS(Sheet1!$B$2:$B$6350,Sheet1!$E$2:$E$6350,Prices!$U632,Sheet1!$F$2:$F$6350,Prices!$V632)</f>
        <v>288.41250000000002</v>
      </c>
      <c r="Q632" s="5">
        <f t="shared" si="82"/>
        <v>9.5874999999999773</v>
      </c>
      <c r="R632" s="5">
        <f t="shared" si="83"/>
        <v>-12.662500000000023</v>
      </c>
      <c r="S632" s="5">
        <f t="shared" si="81"/>
        <v>6.84603869232338</v>
      </c>
      <c r="T632" s="5">
        <f t="shared" si="84"/>
        <v>0.13511763969180102</v>
      </c>
      <c r="U632" s="1">
        <f t="shared" si="76"/>
        <v>2</v>
      </c>
      <c r="V632" s="1">
        <f t="shared" si="77"/>
        <v>2023</v>
      </c>
      <c r="W632" s="5">
        <v>1.0701199999999997</v>
      </c>
    </row>
    <row r="633" spans="1:23" x14ac:dyDescent="0.25">
      <c r="A633" s="13">
        <v>44986</v>
      </c>
      <c r="B633" s="5">
        <v>6.6050000000000004</v>
      </c>
      <c r="C633" s="5">
        <v>6.1150000000000002</v>
      </c>
      <c r="D633" s="5">
        <v>6.3433695652173911</v>
      </c>
      <c r="E633" s="5">
        <f t="shared" si="78"/>
        <v>0.26163043478260928</v>
      </c>
      <c r="F633" s="5">
        <f t="shared" si="79"/>
        <v>-0.22836956521739094</v>
      </c>
      <c r="G633" s="33">
        <v>6.67</v>
      </c>
      <c r="H633" s="5">
        <f t="shared" si="85"/>
        <v>0.32663043478260878</v>
      </c>
      <c r="I633" s="14">
        <v>6.4881000000000002</v>
      </c>
      <c r="J633" s="5">
        <f t="shared" si="80"/>
        <v>0.18189999999999973</v>
      </c>
      <c r="K633" s="15">
        <f t="shared" si="74"/>
        <v>11.910714285714285</v>
      </c>
      <c r="L633" s="15"/>
      <c r="M633" s="13">
        <f t="shared" si="75"/>
        <v>44986</v>
      </c>
      <c r="N633" s="5">
        <f>_xlfn.MAXIFS(Sheet1!$B$2:$B$6350,Sheet1!$E$2:$E$6350,Prices!$U633,Sheet1!$F$2:$F$6350,Prices!$V633)</f>
        <v>289.75</v>
      </c>
      <c r="O633" s="5">
        <f>_xlfn.MINIFS(Sheet1!$B$2:$B$6350,Sheet1!$E$2:$E$6350,Prices!$U633,Sheet1!$F$2:$F$6350,Prices!$V633)</f>
        <v>242.75</v>
      </c>
      <c r="P633" s="5">
        <f>AVERAGEIFS(Sheet1!$B$2:$B$6350,Sheet1!$E$2:$E$6350,Prices!$U633,Sheet1!$F$2:$F$6350,Prices!$V633)</f>
        <v>262.80434782608694</v>
      </c>
      <c r="Q633" s="5">
        <f t="shared" si="82"/>
        <v>26.945652173913061</v>
      </c>
      <c r="R633" s="5">
        <f t="shared" si="83"/>
        <v>-20.054347826086939</v>
      </c>
      <c r="S633" s="5">
        <f t="shared" si="81"/>
        <v>6.2328759722257301</v>
      </c>
      <c r="T633" s="5">
        <f t="shared" si="84"/>
        <v>-0.11049359299166106</v>
      </c>
      <c r="U633" s="1">
        <f t="shared" si="76"/>
        <v>3</v>
      </c>
      <c r="V633" s="1">
        <f t="shared" si="77"/>
        <v>2023</v>
      </c>
      <c r="W633" s="5">
        <v>1.0710304347826085</v>
      </c>
    </row>
    <row r="634" spans="1:23" x14ac:dyDescent="0.25">
      <c r="A634" s="13">
        <v>45017</v>
      </c>
      <c r="B634" s="5">
        <v>6.7750000000000004</v>
      </c>
      <c r="C634" s="5">
        <v>6.27</v>
      </c>
      <c r="D634" s="5">
        <v>6.548815789473684</v>
      </c>
      <c r="E634" s="5">
        <f t="shared" si="78"/>
        <v>0.22618421052631632</v>
      </c>
      <c r="F634" s="5">
        <f t="shared" si="79"/>
        <v>-0.27881578947368446</v>
      </c>
      <c r="G634" s="33">
        <v>6.7</v>
      </c>
      <c r="H634" s="5">
        <f t="shared" si="85"/>
        <v>0.15118421052631614</v>
      </c>
      <c r="I634" s="14">
        <v>6.6618000000000004</v>
      </c>
      <c r="J634" s="5">
        <f t="shared" si="80"/>
        <v>3.819999999999979E-2</v>
      </c>
      <c r="K634" s="15">
        <f t="shared" si="74"/>
        <v>11.964285714285715</v>
      </c>
      <c r="L634" s="15"/>
      <c r="M634" s="13">
        <f t="shared" si="75"/>
        <v>45017</v>
      </c>
      <c r="N634" s="5">
        <f>_xlfn.MAXIFS(Sheet1!$B$2:$B$6350,Sheet1!$E$2:$E$6350,Prices!$U634,Sheet1!$F$2:$F$6350,Prices!$V634)</f>
        <v>255.5</v>
      </c>
      <c r="O634" s="5">
        <f>_xlfn.MINIFS(Sheet1!$B$2:$B$6350,Sheet1!$E$2:$E$6350,Prices!$U634,Sheet1!$F$2:$F$6350,Prices!$V634)</f>
        <v>233.5</v>
      </c>
      <c r="P634" s="5">
        <f>AVERAGEIFS(Sheet1!$B$2:$B$6350,Sheet1!$E$2:$E$6350,Prices!$U634,Sheet1!$F$2:$F$6350,Prices!$V634)</f>
        <v>244</v>
      </c>
      <c r="Q634" s="5">
        <f t="shared" si="82"/>
        <v>11.5</v>
      </c>
      <c r="R634" s="5">
        <f t="shared" si="83"/>
        <v>-10.5</v>
      </c>
      <c r="S634" s="5">
        <f t="shared" si="81"/>
        <v>5.6531490228347163</v>
      </c>
      <c r="T634" s="5">
        <f t="shared" si="84"/>
        <v>-0.89566676663896772</v>
      </c>
      <c r="U634" s="1">
        <f t="shared" si="76"/>
        <v>4</v>
      </c>
      <c r="V634" s="1">
        <f t="shared" si="77"/>
        <v>2023</v>
      </c>
      <c r="W634" s="5">
        <v>1.0963699999999998</v>
      </c>
    </row>
    <row r="635" spans="1:23" x14ac:dyDescent="0.25">
      <c r="A635" s="13">
        <v>45047</v>
      </c>
      <c r="B635" s="5">
        <v>6.04</v>
      </c>
      <c r="C635" s="5">
        <v>5.5449999999999999</v>
      </c>
      <c r="D635" s="5">
        <v>5.8382894736842106</v>
      </c>
      <c r="E635" s="5">
        <f t="shared" si="78"/>
        <v>0.20171052631578945</v>
      </c>
      <c r="F635" s="5">
        <f t="shared" si="79"/>
        <v>-0.29328947368421066</v>
      </c>
      <c r="G635" s="33">
        <v>6.54</v>
      </c>
      <c r="H635" s="5">
        <f t="shared" si="85"/>
        <v>0.70171052631578945</v>
      </c>
      <c r="I635" s="14">
        <v>6.2519</v>
      </c>
      <c r="J635" s="5">
        <f t="shared" si="80"/>
        <v>0.28810000000000002</v>
      </c>
      <c r="K635" s="15">
        <f t="shared" si="74"/>
        <v>11.678571428571429</v>
      </c>
      <c r="L635" s="15"/>
      <c r="M635" s="13">
        <f t="shared" si="75"/>
        <v>45047</v>
      </c>
      <c r="N635" s="5">
        <f>_xlfn.MAXIFS(Sheet1!$B$2:$B$6350,Sheet1!$E$2:$E$6350,Prices!$U635,Sheet1!$F$2:$F$6350,Prices!$V635)</f>
        <v>230.75</v>
      </c>
      <c r="O635" s="5">
        <f>_xlfn.MINIFS(Sheet1!$B$2:$B$6350,Sheet1!$E$2:$E$6350,Prices!$U635,Sheet1!$F$2:$F$6350,Prices!$V635)</f>
        <v>217</v>
      </c>
      <c r="P635" s="5">
        <f>AVERAGEIFS(Sheet1!$B$2:$B$6350,Sheet1!$E$2:$E$6350,Prices!$U635,Sheet1!$F$2:$F$6350,Prices!$V635)</f>
        <v>223.88636363636363</v>
      </c>
      <c r="Q635" s="5">
        <f t="shared" si="82"/>
        <v>6.863636363636374</v>
      </c>
      <c r="R635" s="5">
        <f t="shared" si="83"/>
        <v>-6.886363636363626</v>
      </c>
      <c r="S635" s="5">
        <f t="shared" si="81"/>
        <v>5.2327101870457868</v>
      </c>
      <c r="T635" s="5">
        <f t="shared" si="84"/>
        <v>-0.60557928663842375</v>
      </c>
      <c r="U635" s="1">
        <f t="shared" si="76"/>
        <v>5</v>
      </c>
      <c r="V635" s="1">
        <f t="shared" si="77"/>
        <v>2023</v>
      </c>
      <c r="W635" s="5">
        <v>1.0868227272727273</v>
      </c>
    </row>
    <row r="636" spans="1:23" x14ac:dyDescent="0.25">
      <c r="A636" s="13">
        <v>45078</v>
      </c>
      <c r="B636" s="5">
        <v>6.71</v>
      </c>
      <c r="C636" s="5">
        <v>5.5449999999999999</v>
      </c>
      <c r="D636" s="5">
        <v>6.1516666666666664</v>
      </c>
      <c r="E636" s="5">
        <f t="shared" si="78"/>
        <v>0.55833333333333357</v>
      </c>
      <c r="F636" s="5">
        <f t="shared" si="79"/>
        <v>-0.60666666666666647</v>
      </c>
      <c r="G636" s="33">
        <v>6.49</v>
      </c>
      <c r="H636" s="5">
        <f t="shared" si="85"/>
        <v>0.33833333333333382</v>
      </c>
      <c r="I636" s="14">
        <v>6.4143999999999997</v>
      </c>
      <c r="J636" s="5">
        <f t="shared" si="80"/>
        <v>7.5600000000000556E-2</v>
      </c>
      <c r="K636" s="15">
        <f t="shared" si="74"/>
        <v>11.589285714285715</v>
      </c>
      <c r="L636" s="15"/>
      <c r="M636" s="13">
        <f t="shared" si="75"/>
        <v>45078</v>
      </c>
      <c r="N636" s="5">
        <f>_xlfn.MAXIFS(Sheet1!$B$2:$B$6350,Sheet1!$E$2:$E$6350,Prices!$U636,Sheet1!$F$2:$F$6350,Prices!$V636)</f>
        <v>247.75</v>
      </c>
      <c r="O636" s="5">
        <f>_xlfn.MINIFS(Sheet1!$B$2:$B$6350,Sheet1!$E$2:$E$6350,Prices!$U636,Sheet1!$F$2:$F$6350,Prices!$V636)</f>
        <v>190</v>
      </c>
      <c r="P636" s="5">
        <f>AVERAGEIFS(Sheet1!$B$2:$B$6350,Sheet1!$E$2:$E$6350,Prices!$U636,Sheet1!$F$2:$F$6350,Prices!$V636)</f>
        <v>231.80681818181819</v>
      </c>
      <c r="Q636" s="5">
        <f t="shared" si="82"/>
        <v>15.943181818181813</v>
      </c>
      <c r="R636" s="5">
        <f t="shared" si="83"/>
        <v>-41.806818181818187</v>
      </c>
      <c r="S636" s="5">
        <f t="shared" si="81"/>
        <v>5.4299554753554258</v>
      </c>
      <c r="T636" s="5">
        <f t="shared" si="84"/>
        <v>-0.72171119131124062</v>
      </c>
      <c r="U636" s="1">
        <f t="shared" si="76"/>
        <v>6</v>
      </c>
      <c r="V636" s="1">
        <f t="shared" si="77"/>
        <v>2023</v>
      </c>
      <c r="W636" s="5">
        <v>1.0843954545454546</v>
      </c>
    </row>
    <row r="637" spans="1:23" x14ac:dyDescent="0.25">
      <c r="A637" s="13">
        <v>45108</v>
      </c>
      <c r="B637" s="5">
        <v>5.6050000000000004</v>
      </c>
      <c r="C637" s="5">
        <v>4.7625000000000002</v>
      </c>
      <c r="D637" s="5">
        <v>5.1791176470588232</v>
      </c>
      <c r="E637" s="5">
        <f t="shared" si="78"/>
        <v>0.42588235294117727</v>
      </c>
      <c r="F637" s="5">
        <f t="shared" si="79"/>
        <v>-0.41661764705882298</v>
      </c>
      <c r="G637" s="33">
        <v>6.22</v>
      </c>
      <c r="H637" s="5">
        <f t="shared" si="85"/>
        <v>1.0408823529411766</v>
      </c>
      <c r="I637" s="14">
        <v>5.7808999999999999</v>
      </c>
      <c r="J637" s="5">
        <f t="shared" si="80"/>
        <v>0.43909999999999982</v>
      </c>
      <c r="K637" s="15">
        <f t="shared" si="74"/>
        <v>11.107142857142858</v>
      </c>
      <c r="L637" s="15"/>
      <c r="M637" s="13">
        <f t="shared" si="75"/>
        <v>45108</v>
      </c>
      <c r="N637" s="5">
        <f>_xlfn.MAXIFS(Sheet1!$B$2:$B$6350,Sheet1!$E$2:$E$6350,Prices!$U637,Sheet1!$F$2:$F$6350,Prices!$V637)</f>
        <v>256.25</v>
      </c>
      <c r="O637" s="5">
        <f>_xlfn.MINIFS(Sheet1!$B$2:$B$6350,Sheet1!$E$2:$E$6350,Prices!$U637,Sheet1!$F$2:$F$6350,Prices!$V637)</f>
        <v>224.5</v>
      </c>
      <c r="P637" s="5">
        <f>AVERAGEIFS(Sheet1!$B$2:$B$6350,Sheet1!$E$2:$E$6350,Prices!$U637,Sheet1!$F$2:$F$6350,Prices!$V637)</f>
        <v>237.5</v>
      </c>
      <c r="Q637" s="5">
        <f t="shared" si="82"/>
        <v>18.75</v>
      </c>
      <c r="R637" s="5">
        <f t="shared" si="83"/>
        <v>-13</v>
      </c>
      <c r="S637" s="5">
        <f t="shared" si="81"/>
        <v>5.4524726664126817</v>
      </c>
      <c r="T637" s="5">
        <f t="shared" si="84"/>
        <v>0.27335501935385853</v>
      </c>
      <c r="U637" s="1">
        <f t="shared" si="76"/>
        <v>7</v>
      </c>
      <c r="V637" s="1">
        <f t="shared" si="77"/>
        <v>2023</v>
      </c>
      <c r="W637" s="5">
        <v>1.1064400000000001</v>
      </c>
    </row>
    <row r="638" spans="1:23" x14ac:dyDescent="0.25">
      <c r="A638" s="13">
        <v>45139</v>
      </c>
      <c r="B638" s="5">
        <v>4.97</v>
      </c>
      <c r="C638" s="5">
        <v>4.6100000000000003</v>
      </c>
      <c r="D638" s="5">
        <v>4.7584782608695653</v>
      </c>
      <c r="E638" s="5">
        <f t="shared" si="78"/>
        <v>0.21152173913043448</v>
      </c>
      <c r="F638" s="5">
        <f t="shared" si="79"/>
        <v>-0.14847826086956495</v>
      </c>
      <c r="G638" s="33">
        <v>5.73</v>
      </c>
      <c r="H638" s="5">
        <f t="shared" si="85"/>
        <v>0.97152173913043516</v>
      </c>
      <c r="I638" s="14">
        <v>5.2523999999999997</v>
      </c>
      <c r="J638" s="5">
        <f t="shared" si="80"/>
        <v>0.47760000000000069</v>
      </c>
      <c r="K638" s="15">
        <f t="shared" si="74"/>
        <v>10.232142857142858</v>
      </c>
      <c r="L638" s="15"/>
      <c r="M638" s="13">
        <f t="shared" si="75"/>
        <v>45139</v>
      </c>
      <c r="N638" s="5">
        <f>_xlfn.MAXIFS(Sheet1!$B$2:$B$6350,Sheet1!$E$2:$E$6350,Prices!$U638,Sheet1!$F$2:$F$6350,Prices!$V638)</f>
        <v>237.25</v>
      </c>
      <c r="O638" s="5">
        <f>_xlfn.MINIFS(Sheet1!$B$2:$B$6350,Sheet1!$E$2:$E$6350,Prices!$U638,Sheet1!$F$2:$F$6350,Prices!$V638)</f>
        <v>210.75</v>
      </c>
      <c r="P638" s="5">
        <f>AVERAGEIFS(Sheet1!$B$2:$B$6350,Sheet1!$E$2:$E$6350,Prices!$U638,Sheet1!$F$2:$F$6350,Prices!$V638)</f>
        <v>219.92391304347825</v>
      </c>
      <c r="Q638" s="5">
        <f t="shared" si="82"/>
        <v>17.326086956521749</v>
      </c>
      <c r="R638" s="5">
        <f t="shared" si="83"/>
        <v>-9.173913043478251</v>
      </c>
      <c r="S638" s="5">
        <f t="shared" si="81"/>
        <v>5.1229908794034147</v>
      </c>
      <c r="T638" s="5">
        <f t="shared" si="84"/>
        <v>0.36451261853384942</v>
      </c>
      <c r="U638" s="1">
        <f t="shared" si="76"/>
        <v>8</v>
      </c>
      <c r="V638" s="1">
        <f t="shared" si="77"/>
        <v>2023</v>
      </c>
      <c r="W638" s="5">
        <v>1.0904521739130435</v>
      </c>
    </row>
    <row r="639" spans="1:23" x14ac:dyDescent="0.25">
      <c r="A639" s="13">
        <v>45170</v>
      </c>
      <c r="B639" s="5">
        <v>4.8849999999999998</v>
      </c>
      <c r="C639" s="5">
        <v>4.7149999999999999</v>
      </c>
      <c r="D639" s="5">
        <v>4.8082500000000001</v>
      </c>
      <c r="E639" s="5">
        <f t="shared" si="78"/>
        <v>7.6749999999999652E-2</v>
      </c>
      <c r="F639" s="5">
        <f t="shared" si="79"/>
        <v>-9.3250000000000277E-2</v>
      </c>
      <c r="G639" s="33">
        <v>5.21</v>
      </c>
      <c r="H639" s="5">
        <f t="shared" si="85"/>
        <v>0.40174999999999983</v>
      </c>
      <c r="I639" s="14">
        <v>4.7534999999999998</v>
      </c>
      <c r="J639" s="5">
        <f t="shared" si="80"/>
        <v>0.45650000000000013</v>
      </c>
      <c r="K639" s="15">
        <f t="shared" si="74"/>
        <v>9.3035714285714288</v>
      </c>
      <c r="L639" s="15"/>
      <c r="M639" s="13">
        <f t="shared" si="75"/>
        <v>45170</v>
      </c>
      <c r="N639" s="5">
        <f>_xlfn.MAXIFS(Sheet1!$B$2:$B$6350,Sheet1!$E$2:$E$6350,Prices!$U639,Sheet1!$F$2:$F$6350,Prices!$V639)</f>
        <v>214</v>
      </c>
      <c r="O639" s="5">
        <f>_xlfn.MINIFS(Sheet1!$B$2:$B$6350,Sheet1!$E$2:$E$6350,Prices!$U639,Sheet1!$F$2:$F$6350,Prices!$V639)</f>
        <v>208.25</v>
      </c>
      <c r="P639" s="5">
        <f>AVERAGEIFS(Sheet1!$B$2:$B$6350,Sheet1!$E$2:$E$6350,Prices!$U639,Sheet1!$F$2:$F$6350,Prices!$V639)</f>
        <v>211.10714285714286</v>
      </c>
      <c r="Q639" s="5">
        <f t="shared" si="82"/>
        <v>2.8928571428571388</v>
      </c>
      <c r="R639" s="5">
        <f t="shared" si="83"/>
        <v>-2.8571428571428612</v>
      </c>
      <c r="S639" s="5">
        <f t="shared" si="81"/>
        <v>5.0288307002900359</v>
      </c>
      <c r="T639" s="5">
        <f t="shared" si="84"/>
        <v>0.22058070029003574</v>
      </c>
      <c r="U639" s="1">
        <f t="shared" si="76"/>
        <v>9</v>
      </c>
      <c r="V639" s="1">
        <f t="shared" si="77"/>
        <v>2023</v>
      </c>
      <c r="W639" s="5">
        <v>1.066335</v>
      </c>
    </row>
    <row r="640" spans="1:23" x14ac:dyDescent="0.25">
      <c r="A640" s="13">
        <v>45200</v>
      </c>
      <c r="B640" s="5">
        <v>5.05</v>
      </c>
      <c r="C640" s="5">
        <v>4.7824999999999998</v>
      </c>
      <c r="D640" s="5">
        <v>4.8843181818181822</v>
      </c>
      <c r="E640" s="5">
        <f t="shared" si="78"/>
        <v>0.1656818181818176</v>
      </c>
      <c r="F640" s="5">
        <f t="shared" si="79"/>
        <v>-0.10181818181818247</v>
      </c>
      <c r="G640" s="33">
        <v>4.93</v>
      </c>
      <c r="H640" s="5">
        <f t="shared" si="85"/>
        <v>4.5681818181817491E-2</v>
      </c>
      <c r="I640" s="14">
        <v>4.7544000000000004</v>
      </c>
      <c r="J640" s="5">
        <f t="shared" si="80"/>
        <v>0.17559999999999931</v>
      </c>
      <c r="K640" s="15">
        <f t="shared" ref="K640:K678" si="86">G640/56*100</f>
        <v>8.8035714285714288</v>
      </c>
      <c r="L640" s="15"/>
      <c r="M640" s="13">
        <f t="shared" si="75"/>
        <v>45200</v>
      </c>
      <c r="N640" s="5">
        <f>_xlfn.MAXIFS(Sheet1!$B$2:$B$6350,Sheet1!$E$2:$E$6350,Prices!$U640,Sheet1!$F$2:$F$6350,Prices!$V640)</f>
        <v>207</v>
      </c>
      <c r="O640" s="5">
        <f>_xlfn.MINIFS(Sheet1!$B$2:$B$6350,Sheet1!$E$2:$E$6350,Prices!$U640,Sheet1!$F$2:$F$6350,Prices!$V640)</f>
        <v>197</v>
      </c>
      <c r="P640" s="5">
        <f>AVERAGEIFS(Sheet1!$B$2:$B$6350,Sheet1!$E$2:$E$6350,Prices!$U640,Sheet1!$F$2:$F$6350,Prices!$V640)</f>
        <v>203.02272727272728</v>
      </c>
      <c r="Q640" s="5">
        <f t="shared" si="82"/>
        <v>3.9772727272727195</v>
      </c>
      <c r="R640" s="5">
        <f t="shared" si="83"/>
        <v>-6.0227272727272805</v>
      </c>
      <c r="S640" s="5">
        <f t="shared" si="81"/>
        <v>4.8825312484680836</v>
      </c>
      <c r="T640" s="5">
        <f t="shared" si="84"/>
        <v>-1.7869333500986073E-3</v>
      </c>
      <c r="U640" s="1">
        <f t="shared" si="76"/>
        <v>10</v>
      </c>
      <c r="V640" s="1">
        <f t="shared" si="77"/>
        <v>2023</v>
      </c>
      <c r="W640" s="5">
        <v>1.0562272727272728</v>
      </c>
    </row>
    <row r="641" spans="1:32" x14ac:dyDescent="0.25">
      <c r="A641" s="13">
        <v>45231</v>
      </c>
      <c r="B641" s="5">
        <v>4.9424999999999999</v>
      </c>
      <c r="C641" s="5">
        <v>4.7350000000000003</v>
      </c>
      <c r="D641" s="5">
        <v>4.8584523809523805</v>
      </c>
      <c r="E641" s="5">
        <f t="shared" si="78"/>
        <v>8.4047619047619371E-2</v>
      </c>
      <c r="F641" s="5">
        <f t="shared" si="79"/>
        <v>-0.1234523809523802</v>
      </c>
      <c r="G641" s="33">
        <v>4.66</v>
      </c>
      <c r="H641" s="5">
        <f t="shared" si="85"/>
        <v>-0.19845238095238038</v>
      </c>
      <c r="I641" s="14">
        <v>4.6241000000000003</v>
      </c>
      <c r="J641" s="5">
        <f t="shared" si="80"/>
        <v>3.5899999999999821E-2</v>
      </c>
      <c r="K641" s="15">
        <f t="shared" si="86"/>
        <v>8.3214285714285712</v>
      </c>
      <c r="L641" s="15"/>
      <c r="M641" s="13">
        <f t="shared" si="75"/>
        <v>45231</v>
      </c>
      <c r="N641" s="5">
        <f>_xlfn.MAXIFS(Sheet1!$B$2:$B$6350,Sheet1!$E$2:$E$6350,Prices!$U641,Sheet1!$F$2:$F$6350,Prices!$V641)</f>
        <v>208.5</v>
      </c>
      <c r="O641" s="5">
        <f>_xlfn.MINIFS(Sheet1!$B$2:$B$6350,Sheet1!$E$2:$E$6350,Prices!$U641,Sheet1!$F$2:$F$6350,Prices!$V641)</f>
        <v>196.5</v>
      </c>
      <c r="P641" s="5">
        <f>AVERAGEIFS(Sheet1!$B$2:$B$6350,Sheet1!$E$2:$E$6350,Prices!$U641,Sheet1!$F$2:$F$6350,Prices!$V641)</f>
        <v>203.88636363636363</v>
      </c>
      <c r="Q641" s="5">
        <f t="shared" si="82"/>
        <v>4.613636363636374</v>
      </c>
      <c r="R641" s="5">
        <f t="shared" si="83"/>
        <v>-7.386363636363626</v>
      </c>
      <c r="S641" s="5">
        <f t="shared" si="81"/>
        <v>4.7904280894922282</v>
      </c>
      <c r="T641" s="5">
        <f t="shared" si="84"/>
        <v>-6.802429146015232E-2</v>
      </c>
      <c r="U641" s="1">
        <f t="shared" si="76"/>
        <v>11</v>
      </c>
      <c r="V641" s="1">
        <f t="shared" si="77"/>
        <v>2023</v>
      </c>
      <c r="W641" s="5">
        <v>1.0811142857142859</v>
      </c>
    </row>
    <row r="642" spans="1:32" x14ac:dyDescent="0.25">
      <c r="A642" s="13">
        <v>45261</v>
      </c>
      <c r="B642" s="5">
        <v>4.9050000000000002</v>
      </c>
      <c r="C642" s="5">
        <v>4.6974999999999998</v>
      </c>
      <c r="D642" s="5">
        <v>4.7971249999999994</v>
      </c>
      <c r="E642" s="5">
        <f t="shared" si="78"/>
        <v>0.10787500000000083</v>
      </c>
      <c r="F642" s="5">
        <f t="shared" si="79"/>
        <v>-9.9624999999999631E-2</v>
      </c>
      <c r="G642" s="33">
        <v>4.8</v>
      </c>
      <c r="H642" s="5">
        <f t="shared" si="85"/>
        <v>2.875000000000405E-3</v>
      </c>
      <c r="I642" s="14">
        <v>4.6177000000000001</v>
      </c>
      <c r="J642" s="5">
        <f t="shared" si="80"/>
        <v>0.18229999999999968</v>
      </c>
      <c r="K642" s="15">
        <f t="shared" si="86"/>
        <v>8.5714285714285712</v>
      </c>
      <c r="L642" s="15"/>
      <c r="M642" s="13">
        <f t="shared" si="75"/>
        <v>45261</v>
      </c>
      <c r="N642" s="5">
        <f>_xlfn.MAXIFS(Sheet1!$B$2:$B$6350,Sheet1!$E$2:$E$6350,Prices!$U642,Sheet1!$F$2:$F$6350,Prices!$V642)</f>
        <v>202.5</v>
      </c>
      <c r="O642" s="5">
        <f>_xlfn.MINIFS(Sheet1!$B$2:$B$6350,Sheet1!$E$2:$E$6350,Prices!$U642,Sheet1!$F$2:$F$6350,Prices!$V642)</f>
        <v>197.75</v>
      </c>
      <c r="P642" s="5">
        <f>AVERAGEIFS(Sheet1!$B$2:$B$6350,Sheet1!$E$2:$E$6350,Prices!$U642,Sheet1!$F$2:$F$6350,Prices!$V642)</f>
        <v>200.09210526315789</v>
      </c>
      <c r="Q642" s="5">
        <f t="shared" si="82"/>
        <v>2.4078947368421098</v>
      </c>
      <c r="R642" s="5">
        <f t="shared" si="83"/>
        <v>-2.3421052631578902</v>
      </c>
      <c r="S642" s="5">
        <f t="shared" si="81"/>
        <v>4.6559779650520241</v>
      </c>
      <c r="T642" s="5">
        <f t="shared" si="84"/>
        <v>-0.14114703494797531</v>
      </c>
      <c r="U642" s="1">
        <f t="shared" si="76"/>
        <v>12</v>
      </c>
      <c r="V642" s="1">
        <f t="shared" si="77"/>
        <v>2023</v>
      </c>
      <c r="W642" s="5">
        <v>1.091633333333333</v>
      </c>
    </row>
    <row r="643" spans="1:32" x14ac:dyDescent="0.25">
      <c r="A643" s="13">
        <v>45292</v>
      </c>
      <c r="B643" s="5">
        <v>4.665</v>
      </c>
      <c r="C643" s="5">
        <v>4.4024999999999999</v>
      </c>
      <c r="D643" s="5">
        <v>4.5184523809523807</v>
      </c>
      <c r="E643" s="5">
        <f t="shared" si="78"/>
        <v>0.14654761904761937</v>
      </c>
      <c r="F643" s="5">
        <f t="shared" si="79"/>
        <v>-0.11595238095238081</v>
      </c>
      <c r="G643" s="33">
        <v>4.74</v>
      </c>
      <c r="H643" s="5">
        <f t="shared" si="85"/>
        <v>0.22154761904761955</v>
      </c>
      <c r="I643" s="14">
        <v>4.4569000000000001</v>
      </c>
      <c r="J643" s="5">
        <f t="shared" si="80"/>
        <v>0.28310000000000013</v>
      </c>
      <c r="K643" s="15">
        <f t="shared" si="86"/>
        <v>8.4642857142857153</v>
      </c>
      <c r="L643" s="15"/>
      <c r="M643" s="13">
        <f t="shared" ref="M643:M678" si="87">A643</f>
        <v>45292</v>
      </c>
      <c r="N643" s="5">
        <f>_xlfn.MAXIFS(Sheet1!$B$2:$B$6350,Sheet1!$E$2:$E$6350,Prices!$U643,Sheet1!$F$2:$F$6350,Prices!$V643)</f>
        <v>197.5</v>
      </c>
      <c r="O643" s="5">
        <f>_xlfn.MINIFS(Sheet1!$B$2:$B$6350,Sheet1!$E$2:$E$6350,Prices!$U643,Sheet1!$F$2:$F$6350,Prices!$V643)</f>
        <v>182.5</v>
      </c>
      <c r="P643" s="5">
        <f>AVERAGEIFS(Sheet1!$B$2:$B$6350,Sheet1!$E$2:$E$6350,Prices!$U643,Sheet1!$F$2:$F$6350,Prices!$V643)</f>
        <v>189.73863636363637</v>
      </c>
      <c r="Q643" s="5">
        <f t="shared" si="82"/>
        <v>7.761363636363626</v>
      </c>
      <c r="R643" s="5">
        <f t="shared" si="83"/>
        <v>-7.238636363636374</v>
      </c>
      <c r="S643" s="5">
        <f t="shared" si="81"/>
        <v>4.4217140176647467</v>
      </c>
      <c r="T643" s="5">
        <f t="shared" si="84"/>
        <v>-9.6738363287633966E-2</v>
      </c>
      <c r="U643" s="1">
        <f t="shared" ref="U643:U677" si="88">MONTH(M643)</f>
        <v>1</v>
      </c>
      <c r="V643" s="1">
        <f t="shared" ref="V643:V678" si="89">YEAR(M643)</f>
        <v>2024</v>
      </c>
      <c r="W643" s="5">
        <v>1.0899909090909092</v>
      </c>
    </row>
    <row r="644" spans="1:32" x14ac:dyDescent="0.25">
      <c r="A644" s="13">
        <v>45323</v>
      </c>
      <c r="B644" s="5">
        <v>4.4725000000000001</v>
      </c>
      <c r="C644" s="5">
        <v>3.9975000000000001</v>
      </c>
      <c r="D644" s="5">
        <v>4.2337499999999997</v>
      </c>
      <c r="E644" s="5">
        <f t="shared" ref="E644:E648" si="90">B644-D644</f>
        <v>0.23875000000000046</v>
      </c>
      <c r="F644" s="5">
        <f t="shared" ref="F644:F678" si="91">C644-D644</f>
        <v>-0.23624999999999963</v>
      </c>
      <c r="G644" s="33">
        <v>4.3600000000000003</v>
      </c>
      <c r="H644" s="5">
        <f t="shared" si="85"/>
        <v>0.12625000000000064</v>
      </c>
      <c r="I644" s="14">
        <v>4.2180999999999997</v>
      </c>
      <c r="J644" s="5">
        <f t="shared" ref="J644:J665" si="92">G644-I644</f>
        <v>0.14190000000000058</v>
      </c>
      <c r="K644" s="15">
        <f t="shared" si="86"/>
        <v>7.7857142857142865</v>
      </c>
      <c r="L644" s="15"/>
      <c r="M644" s="13">
        <f t="shared" si="87"/>
        <v>45323</v>
      </c>
      <c r="N644" s="5">
        <f>_xlfn.MAXIFS(Sheet1!$B$2:$B$6350,Sheet1!$E$2:$E$6350,Prices!$U644,Sheet1!$F$2:$F$6350,Prices!$V644)</f>
        <v>182</v>
      </c>
      <c r="O644" s="5">
        <f>_xlfn.MINIFS(Sheet1!$B$2:$B$6350,Sheet1!$E$2:$E$6350,Prices!$U644,Sheet1!$F$2:$F$6350,Prices!$V644)</f>
        <v>168.5</v>
      </c>
      <c r="P644" s="5">
        <f>AVERAGEIFS(Sheet1!$B$2:$B$6350,Sheet1!$E$2:$E$6350,Prices!$U644,Sheet1!$F$2:$F$6350,Prices!$V644)</f>
        <v>176.08333333333334</v>
      </c>
      <c r="Q644" s="5">
        <f t="shared" si="82"/>
        <v>5.9166666666666572</v>
      </c>
      <c r="R644" s="5">
        <f t="shared" si="83"/>
        <v>-7.5833333333333428</v>
      </c>
      <c r="S644" s="5">
        <f t="shared" si="81"/>
        <v>4.1451402032751883</v>
      </c>
      <c r="T644" s="5">
        <f t="shared" si="84"/>
        <v>-8.8609796724811396E-2</v>
      </c>
      <c r="U644" s="1">
        <f t="shared" si="88"/>
        <v>2</v>
      </c>
      <c r="V644" s="1">
        <f t="shared" si="89"/>
        <v>2024</v>
      </c>
      <c r="W644" s="5">
        <v>1.0790380952380954</v>
      </c>
    </row>
    <row r="645" spans="1:32" x14ac:dyDescent="0.25">
      <c r="A645" s="13">
        <v>45352</v>
      </c>
      <c r="B645" s="5">
        <v>4.42</v>
      </c>
      <c r="C645" s="5">
        <v>4.2474999999999996</v>
      </c>
      <c r="D645" s="5">
        <v>4.3581250000000002</v>
      </c>
      <c r="E645" s="5">
        <f t="shared" si="90"/>
        <v>6.187499999999968E-2</v>
      </c>
      <c r="F645" s="5">
        <f t="shared" si="91"/>
        <v>-0.11062500000000064</v>
      </c>
      <c r="G645" s="33">
        <v>4.3600000000000003</v>
      </c>
      <c r="H645" s="5">
        <f t="shared" si="85"/>
        <v>1.8750000000000711E-3</v>
      </c>
      <c r="I645" s="14">
        <v>4.2538999999999998</v>
      </c>
      <c r="J645" s="5">
        <f t="shared" si="92"/>
        <v>0.10610000000000053</v>
      </c>
      <c r="K645" s="15">
        <f t="shared" si="86"/>
        <v>7.7857142857142865</v>
      </c>
      <c r="L645" s="15"/>
      <c r="M645" s="13">
        <f t="shared" si="87"/>
        <v>45352</v>
      </c>
      <c r="N645" s="5">
        <f>_xlfn.MAXIFS(Sheet1!$B$2:$B$6350,Sheet1!$E$2:$E$6350,Prices!$U645,Sheet1!$F$2:$F$6350,Prices!$V645)</f>
        <v>193.5</v>
      </c>
      <c r="O645" s="5">
        <f>_xlfn.MINIFS(Sheet1!$B$2:$B$6350,Sheet1!$E$2:$E$6350,Prices!$U645,Sheet1!$F$2:$F$6350,Prices!$V645)</f>
        <v>172.25</v>
      </c>
      <c r="P645" s="5">
        <f>AVERAGEIFS(Sheet1!$B$2:$B$6350,Sheet1!$E$2:$E$6350,Prices!$U645,Sheet1!$F$2:$F$6350,Prices!$V645)</f>
        <v>182.2</v>
      </c>
      <c r="Q645" s="5">
        <f t="shared" si="82"/>
        <v>11.300000000000011</v>
      </c>
      <c r="R645" s="5">
        <f t="shared" si="83"/>
        <v>-9.9499999999999886</v>
      </c>
      <c r="S645" s="5">
        <f t="shared" si="81"/>
        <v>4.2575097595556244</v>
      </c>
      <c r="T645" s="5">
        <f t="shared" si="84"/>
        <v>-0.10061524044437586</v>
      </c>
      <c r="U645" s="1">
        <f t="shared" si="88"/>
        <v>3</v>
      </c>
      <c r="V645" s="1">
        <f t="shared" si="89"/>
        <v>2024</v>
      </c>
      <c r="W645" s="5">
        <v>1.0870523809523807</v>
      </c>
    </row>
    <row r="646" spans="1:32" x14ac:dyDescent="0.25">
      <c r="A646" s="13">
        <v>45383</v>
      </c>
      <c r="B646" s="5">
        <v>4.43</v>
      </c>
      <c r="C646" s="5">
        <v>4.2649999999999997</v>
      </c>
      <c r="D646" s="5">
        <v>4.3462500000000004</v>
      </c>
      <c r="E646" s="5">
        <f t="shared" si="90"/>
        <v>8.3749999999999325E-2</v>
      </c>
      <c r="F646" s="5">
        <f t="shared" si="91"/>
        <v>-8.1250000000000711E-2</v>
      </c>
      <c r="G646" s="33">
        <v>4.3899999999999997</v>
      </c>
      <c r="H646" s="5">
        <f t="shared" si="85"/>
        <v>4.3749999999999289E-2</v>
      </c>
      <c r="I646" s="14">
        <v>4.3045999999999998</v>
      </c>
      <c r="J646" s="5">
        <f t="shared" si="92"/>
        <v>8.539999999999992E-2</v>
      </c>
      <c r="K646" s="15">
        <f t="shared" si="86"/>
        <v>7.8392857142857135</v>
      </c>
      <c r="L646" s="15"/>
      <c r="M646" s="13">
        <f t="shared" si="87"/>
        <v>45383</v>
      </c>
      <c r="N646" s="5">
        <f>_xlfn.MAXIFS(Sheet1!$B$2:$B$6350,Sheet1!$E$2:$E$6350,Prices!$U646,Sheet1!$F$2:$F$6350,Prices!$V646)</f>
        <v>210.5</v>
      </c>
      <c r="O646" s="5">
        <f>_xlfn.MINIFS(Sheet1!$B$2:$B$6350,Sheet1!$E$2:$E$6350,Prices!$U646,Sheet1!$F$2:$F$6350,Prices!$V646)</f>
        <v>190.25</v>
      </c>
      <c r="P646" s="5">
        <f>AVERAGEIFS(Sheet1!$B$2:$B$6350,Sheet1!$E$2:$E$6350,Prices!$U646,Sheet1!$F$2:$F$6350,Prices!$V646)</f>
        <v>197.86904761904762</v>
      </c>
      <c r="Q646" s="5">
        <f t="shared" si="82"/>
        <v>12.63095238095238</v>
      </c>
      <c r="R646" s="5">
        <f t="shared" si="83"/>
        <v>-7.6190476190476204</v>
      </c>
      <c r="S646" s="5">
        <f t="shared" si="81"/>
        <v>4.6874019410429097</v>
      </c>
      <c r="T646" s="5">
        <f t="shared" si="84"/>
        <v>0.34115194104290936</v>
      </c>
      <c r="U646" s="1">
        <f t="shared" si="88"/>
        <v>4</v>
      </c>
      <c r="V646" s="1">
        <f t="shared" si="89"/>
        <v>2024</v>
      </c>
      <c r="W646" s="5">
        <v>1.0722681818181818</v>
      </c>
    </row>
    <row r="647" spans="1:32" x14ac:dyDescent="0.25">
      <c r="A647" s="13">
        <v>45413</v>
      </c>
      <c r="B647" s="5">
        <v>4.7249999999999996</v>
      </c>
      <c r="C647" s="5">
        <v>4.4625000000000004</v>
      </c>
      <c r="D647" s="5">
        <v>4.6021590909090904</v>
      </c>
      <c r="E647" s="5">
        <f t="shared" si="90"/>
        <v>0.12284090909090928</v>
      </c>
      <c r="F647" s="5">
        <f t="shared" si="91"/>
        <v>-0.13965909090909001</v>
      </c>
      <c r="G647" s="33">
        <v>4.51</v>
      </c>
      <c r="H647" s="5">
        <f t="shared" si="85"/>
        <v>-9.215909090909058E-2</v>
      </c>
      <c r="I647" s="14">
        <v>4.5198999999999998</v>
      </c>
      <c r="J647" s="5">
        <f t="shared" si="92"/>
        <v>-9.9000000000000199E-3</v>
      </c>
      <c r="K647" s="15">
        <f t="shared" si="86"/>
        <v>8.0535714285714288</v>
      </c>
      <c r="L647" s="15"/>
      <c r="M647" s="13">
        <f t="shared" si="87"/>
        <v>45413</v>
      </c>
      <c r="N647" s="5">
        <f>_xlfn.MAXIFS(Sheet1!$B$2:$B$6350,Sheet1!$E$2:$E$6350,Prices!$U647,Sheet1!$F$2:$F$6350,Prices!$V647)</f>
        <v>224.25</v>
      </c>
      <c r="O647" s="5">
        <f>_xlfn.MINIFS(Sheet1!$B$2:$B$6350,Sheet1!$E$2:$E$6350,Prices!$U647,Sheet1!$F$2:$F$6350,Prices!$V647)</f>
        <v>199</v>
      </c>
      <c r="P647" s="5">
        <f>AVERAGEIFS(Sheet1!$B$2:$B$6350,Sheet1!$E$2:$E$6350,Prices!$U647,Sheet1!$F$2:$F$6350,Prices!$V647)</f>
        <v>212.77272727272728</v>
      </c>
      <c r="Q647" s="5">
        <f t="shared" si="82"/>
        <v>11.47727272727272</v>
      </c>
      <c r="R647" s="5">
        <f t="shared" si="83"/>
        <v>-13.77272727272728</v>
      </c>
      <c r="S647" s="5">
        <f t="shared" si="81"/>
        <v>5.0002697670409946</v>
      </c>
      <c r="T647" s="5">
        <f t="shared" si="84"/>
        <v>0.39811067613190421</v>
      </c>
      <c r="U647" s="1">
        <f t="shared" si="88"/>
        <v>5</v>
      </c>
      <c r="V647" s="1">
        <f t="shared" si="89"/>
        <v>2024</v>
      </c>
      <c r="W647" s="5">
        <v>1.0808869565217389</v>
      </c>
    </row>
    <row r="648" spans="1:32" x14ac:dyDescent="0.25">
      <c r="A648" s="13">
        <v>45444</v>
      </c>
      <c r="B648" s="5">
        <v>4.585</v>
      </c>
      <c r="C648" s="5">
        <v>3.9725000000000001</v>
      </c>
      <c r="D648" s="5">
        <v>4.3939473684210526</v>
      </c>
      <c r="E648" s="5">
        <f t="shared" si="90"/>
        <v>0.19105263157894736</v>
      </c>
      <c r="F648" s="5">
        <f t="shared" si="91"/>
        <v>-0.42144736842105246</v>
      </c>
      <c r="G648" s="33">
        <v>4.4800000000000004</v>
      </c>
      <c r="H648" s="5">
        <f t="shared" si="85"/>
        <v>8.6052631578947825E-2</v>
      </c>
      <c r="I648" s="14">
        <v>4.3983999999999996</v>
      </c>
      <c r="J648" s="5">
        <f t="shared" si="92"/>
        <v>8.1600000000000783E-2</v>
      </c>
      <c r="K648" s="15">
        <f t="shared" si="86"/>
        <v>8</v>
      </c>
      <c r="L648" s="15"/>
      <c r="M648" s="13">
        <f t="shared" si="87"/>
        <v>45444</v>
      </c>
      <c r="N648" s="5">
        <f>_xlfn.MAXIFS(Sheet1!$B$2:$B$6350,Sheet1!$E$2:$E$6350,Prices!$U648,Sheet1!$F$2:$F$6350,Prices!$V648)</f>
        <v>227.5</v>
      </c>
      <c r="O648" s="5">
        <f>_xlfn.MINIFS(Sheet1!$B$2:$B$6350,Sheet1!$E$2:$E$6350,Prices!$U648,Sheet1!$F$2:$F$6350,Prices!$V648)</f>
        <v>200</v>
      </c>
      <c r="P648" s="5">
        <f>AVERAGEIFS(Sheet1!$B$2:$B$6350,Sheet1!$E$2:$E$6350,Prices!$U648,Sheet1!$F$2:$F$6350,Prices!$V648)</f>
        <v>212.75</v>
      </c>
      <c r="Q648" s="5">
        <f t="shared" si="82"/>
        <v>14.75</v>
      </c>
      <c r="R648" s="5">
        <f t="shared" si="83"/>
        <v>-12.75</v>
      </c>
      <c r="S648" s="5">
        <f t="shared" si="81"/>
        <v>5.021883308189877</v>
      </c>
      <c r="T648" s="5">
        <f t="shared" si="84"/>
        <v>0.62793593976882445</v>
      </c>
      <c r="U648" s="1">
        <f t="shared" si="88"/>
        <v>6</v>
      </c>
      <c r="V648" s="1">
        <f t="shared" si="89"/>
        <v>2024</v>
      </c>
      <c r="W648" s="5">
        <v>1.07612</v>
      </c>
    </row>
    <row r="649" spans="1:32" x14ac:dyDescent="0.25">
      <c r="A649" s="13">
        <v>45474</v>
      </c>
      <c r="B649" s="5">
        <v>4.1050000000000004</v>
      </c>
      <c r="C649" s="5">
        <v>3.9049999999999998</v>
      </c>
      <c r="D649" s="5">
        <v>3.9970833333333333</v>
      </c>
      <c r="E649" s="5">
        <f>B649-D649</f>
        <v>0.1079166666666671</v>
      </c>
      <c r="F649" s="5">
        <f t="shared" si="91"/>
        <v>-9.2083333333333517E-2</v>
      </c>
      <c r="G649" s="33">
        <v>4.24</v>
      </c>
      <c r="H649" s="5">
        <f t="shared" si="85"/>
        <v>0.24291666666666689</v>
      </c>
      <c r="I649" s="14">
        <v>4.0247000000000002</v>
      </c>
      <c r="J649" s="5">
        <f t="shared" si="92"/>
        <v>0.21530000000000005</v>
      </c>
      <c r="K649" s="15">
        <f t="shared" si="86"/>
        <v>7.5714285714285721</v>
      </c>
      <c r="L649" s="15"/>
      <c r="M649" s="13">
        <f t="shared" si="87"/>
        <v>45474</v>
      </c>
      <c r="N649" s="5">
        <f>_xlfn.MAXIFS(Sheet1!$B$2:$B$6350,Sheet1!$E$2:$E$6350,Prices!$U649,Sheet1!$F$2:$F$6350,Prices!$V649)</f>
        <v>219.25</v>
      </c>
      <c r="O649" s="5">
        <f>_xlfn.MINIFS(Sheet1!$B$2:$B$6350,Sheet1!$E$2:$E$6350,Prices!$U649,Sheet1!$F$2:$F$6350,Prices!$V649)</f>
        <v>204.25</v>
      </c>
      <c r="P649" s="5">
        <f>AVERAGEIFS(Sheet1!$B$2:$B$6350,Sheet1!$E$2:$E$6350,Prices!$U649,Sheet1!$F$2:$F$6350,Prices!$V649)</f>
        <v>210.36666666666667</v>
      </c>
      <c r="Q649" s="5">
        <f t="shared" si="82"/>
        <v>8.8833333333333258</v>
      </c>
      <c r="R649" s="5">
        <f t="shared" si="83"/>
        <v>-6.1166666666666742</v>
      </c>
      <c r="S649" s="5">
        <f t="shared" si="81"/>
        <v>4.9278920733502583</v>
      </c>
      <c r="T649" s="5">
        <f t="shared" si="84"/>
        <v>0.93080874001692493</v>
      </c>
      <c r="U649" s="1">
        <f t="shared" si="88"/>
        <v>7</v>
      </c>
      <c r="V649" s="1">
        <f t="shared" si="89"/>
        <v>2024</v>
      </c>
      <c r="W649" s="5">
        <v>1.08436</v>
      </c>
    </row>
    <row r="650" spans="1:32" x14ac:dyDescent="0.25">
      <c r="A650" s="13">
        <v>45505</v>
      </c>
      <c r="B650" s="5">
        <v>3.9075000000000002</v>
      </c>
      <c r="C650" s="5">
        <v>3.62</v>
      </c>
      <c r="D650" s="5">
        <v>3.7802777777777776</v>
      </c>
      <c r="E650" s="5">
        <f t="shared" ref="E650:E678" si="93">B650-D650</f>
        <v>0.12722222222222257</v>
      </c>
      <c r="F650" s="5">
        <f t="shared" si="91"/>
        <v>-0.16027777777777752</v>
      </c>
      <c r="G650" s="33">
        <v>3.84</v>
      </c>
      <c r="H650" s="5">
        <f t="shared" si="85"/>
        <v>5.9722222222222232E-2</v>
      </c>
      <c r="I650" s="14">
        <v>3.7667999999999999</v>
      </c>
      <c r="J650" s="5">
        <f t="shared" si="92"/>
        <v>7.3199999999999932E-2</v>
      </c>
      <c r="K650" s="15">
        <f t="shared" si="86"/>
        <v>6.8571428571428577</v>
      </c>
      <c r="L650" s="15"/>
      <c r="M650" s="13">
        <f t="shared" si="87"/>
        <v>45505</v>
      </c>
      <c r="N650" s="5">
        <f>_xlfn.MAXIFS(Sheet1!$B$2:$B$6350,Sheet1!$E$2:$E$6350,Prices!$U650,Sheet1!$F$2:$F$6350,Prices!$V650)</f>
        <v>206</v>
      </c>
      <c r="O650" s="5">
        <f>_xlfn.MINIFS(Sheet1!$B$2:$B$6350,Sheet1!$E$2:$E$6350,Prices!$U650,Sheet1!$F$2:$F$6350,Prices!$V650)</f>
        <v>189</v>
      </c>
      <c r="P650" s="5">
        <f>AVERAGEIFS(Sheet1!$B$2:$B$6350,Sheet1!$E$2:$E$6350,Prices!$U650,Sheet1!$F$2:$F$6350,Prices!$V650)</f>
        <v>200.08333333333334</v>
      </c>
      <c r="Q650" s="5">
        <f>N650-P650</f>
        <v>5.9166666666666572</v>
      </c>
      <c r="R650" s="5">
        <f t="shared" si="83"/>
        <v>-11.083333333333343</v>
      </c>
      <c r="S650" s="5">
        <f t="shared" si="81"/>
        <v>4.6870024037846498</v>
      </c>
      <c r="T650" s="5">
        <f t="shared" si="84"/>
        <v>0.9067246260068722</v>
      </c>
      <c r="U650" s="1">
        <f t="shared" si="88"/>
        <v>8</v>
      </c>
      <c r="V650" s="1">
        <f t="shared" si="89"/>
        <v>2024</v>
      </c>
      <c r="W650" s="5">
        <v>1.08436</v>
      </c>
    </row>
    <row r="651" spans="1:32" x14ac:dyDescent="0.25">
      <c r="A651" s="13">
        <v>45536</v>
      </c>
      <c r="B651" s="5">
        <v>4.2474999999999996</v>
      </c>
      <c r="C651" s="5">
        <v>4.0175000000000001</v>
      </c>
      <c r="D651" s="5">
        <v>4.1072500000000005</v>
      </c>
      <c r="E651" s="5">
        <f t="shared" si="93"/>
        <v>0.1402499999999991</v>
      </c>
      <c r="F651" s="5">
        <f t="shared" si="91"/>
        <v>-8.9750000000000441E-2</v>
      </c>
      <c r="G651" s="33">
        <v>3.97</v>
      </c>
      <c r="H651" s="5">
        <f t="shared" si="85"/>
        <v>-0.13725000000000032</v>
      </c>
      <c r="I651" s="14">
        <v>3.8633999999999999</v>
      </c>
      <c r="J651" s="5">
        <f t="shared" si="92"/>
        <v>0.10660000000000025</v>
      </c>
      <c r="K651" s="15">
        <f>G651/56*100</f>
        <v>7.0892857142857144</v>
      </c>
      <c r="L651" s="15"/>
      <c r="M651" s="13">
        <f t="shared" si="87"/>
        <v>45536</v>
      </c>
      <c r="N651" s="5">
        <f>_xlfn.MAXIFS(Sheet1!$B$2:$B$6350,Sheet1!$E$2:$E$6350,Prices!$U651,Sheet1!$F$2:$F$6350,Prices!$V651)</f>
        <v>202.25</v>
      </c>
      <c r="O651" s="5">
        <f>_xlfn.MINIFS(Sheet1!$B$2:$B$6350,Sheet1!$E$2:$E$6350,Prices!$U651,Sheet1!$F$2:$F$6350,Prices!$V651)</f>
        <v>200.75</v>
      </c>
      <c r="P651" s="5">
        <f>AVERAGEIFS(Sheet1!$B$2:$B$6350,Sheet1!$E$2:$E$6350,Prices!$U651,Sheet1!$F$2:$F$6350,Prices!$V651)</f>
        <v>201.5</v>
      </c>
      <c r="Q651" s="5">
        <f>N651-P651</f>
        <v>0.75</v>
      </c>
      <c r="R651" s="5">
        <f t="shared" si="83"/>
        <v>-0.75</v>
      </c>
      <c r="S651" s="5">
        <f t="shared" si="81"/>
        <v>4.7392437512306742</v>
      </c>
      <c r="T651" s="5">
        <f t="shared" si="84"/>
        <v>0.63199375123067369</v>
      </c>
      <c r="U651" s="1">
        <f t="shared" si="88"/>
        <v>9</v>
      </c>
      <c r="V651" s="1">
        <f t="shared" si="89"/>
        <v>2024</v>
      </c>
      <c r="W651" s="1">
        <v>1.08</v>
      </c>
    </row>
    <row r="652" spans="1:32" x14ac:dyDescent="0.25">
      <c r="A652" s="13">
        <v>45566</v>
      </c>
      <c r="B652" s="5">
        <v>4.3250000000000002</v>
      </c>
      <c r="C652" s="5">
        <v>4.0125000000000002</v>
      </c>
      <c r="D652" s="5">
        <v>4.1611956521739133</v>
      </c>
      <c r="E652" s="5">
        <f t="shared" si="93"/>
        <v>0.16380434782608688</v>
      </c>
      <c r="F652" s="5">
        <f t="shared" si="91"/>
        <v>-0.14869565217391312</v>
      </c>
      <c r="G652" s="33">
        <v>3.99</v>
      </c>
      <c r="H652" s="5">
        <f t="shared" si="85"/>
        <v>-0.17119565217391308</v>
      </c>
      <c r="I652" s="14">
        <v>3.9015</v>
      </c>
      <c r="J652" s="5">
        <f t="shared" si="92"/>
        <v>8.8500000000000245E-2</v>
      </c>
      <c r="K652" s="15">
        <f t="shared" si="86"/>
        <v>7.1250000000000009</v>
      </c>
      <c r="L652" s="15"/>
      <c r="M652" s="13">
        <f t="shared" si="87"/>
        <v>45566</v>
      </c>
      <c r="N652" s="5">
        <v>216.25</v>
      </c>
      <c r="O652" s="5">
        <v>198.25</v>
      </c>
      <c r="P652" s="5">
        <v>211.58695652173913</v>
      </c>
      <c r="Q652" s="5">
        <f>N652-P652</f>
        <v>4.6630434782608745</v>
      </c>
      <c r="R652" s="5">
        <f>O652-P652</f>
        <v>-13.336956521739125</v>
      </c>
      <c r="S652" s="5">
        <f t="shared" si="81"/>
        <v>4.9764871540325979</v>
      </c>
      <c r="T652" s="5">
        <f t="shared" si="84"/>
        <v>0.8152915018586846</v>
      </c>
      <c r="U652" s="1">
        <f t="shared" si="88"/>
        <v>10</v>
      </c>
      <c r="V652" s="1">
        <f t="shared" si="89"/>
        <v>2024</v>
      </c>
      <c r="W652" s="1">
        <v>1.08</v>
      </c>
    </row>
    <row r="653" spans="1:32" x14ac:dyDescent="0.25">
      <c r="A653" s="13">
        <v>45597</v>
      </c>
      <c r="B653" s="5">
        <v>4.3099999999999996</v>
      </c>
      <c r="C653" s="5">
        <v>4.1449999999999996</v>
      </c>
      <c r="D653" s="5">
        <v>4.242375</v>
      </c>
      <c r="E653" s="5">
        <f t="shared" si="93"/>
        <v>6.7624999999999602E-2</v>
      </c>
      <c r="F653" s="5">
        <f t="shared" si="91"/>
        <v>-9.7375000000000433E-2</v>
      </c>
      <c r="G653" s="33">
        <v>4.07</v>
      </c>
      <c r="H653" s="5">
        <f t="shared" si="85"/>
        <v>-0.17237499999999972</v>
      </c>
      <c r="I653" s="14">
        <v>4.1894999999999998</v>
      </c>
      <c r="J653" s="5">
        <f t="shared" si="92"/>
        <v>-0.1194999999999995</v>
      </c>
      <c r="K653" s="15">
        <f t="shared" si="86"/>
        <v>7.2678571428571441</v>
      </c>
      <c r="L653" s="15"/>
      <c r="M653" s="13">
        <f t="shared" si="87"/>
        <v>45597</v>
      </c>
      <c r="N653" s="5">
        <v>212.25</v>
      </c>
      <c r="O653" s="5">
        <v>195</v>
      </c>
      <c r="P653" s="5">
        <v>207.99</v>
      </c>
      <c r="Q653" s="5">
        <f t="shared" ref="Q653:Q655" si="94">N653-P653</f>
        <v>4.2599999999999909</v>
      </c>
      <c r="R653" s="5">
        <f t="shared" ref="R653:R655" si="95">O653-P653</f>
        <v>-12.990000000000009</v>
      </c>
      <c r="S653" s="5">
        <f t="shared" si="81"/>
        <v>4.8918873837144812</v>
      </c>
      <c r="T653" s="5">
        <f t="shared" si="84"/>
        <v>0.64951238371448117</v>
      </c>
      <c r="U653" s="1">
        <f t="shared" si="88"/>
        <v>11</v>
      </c>
      <c r="V653" s="1">
        <f t="shared" si="89"/>
        <v>2024</v>
      </c>
      <c r="W653" s="1">
        <v>1.08</v>
      </c>
    </row>
    <row r="654" spans="1:32" x14ac:dyDescent="0.25">
      <c r="A654" s="13">
        <v>45627</v>
      </c>
      <c r="B654" s="5">
        <v>4.585</v>
      </c>
      <c r="C654" s="5">
        <v>4.22</v>
      </c>
      <c r="D654" s="5">
        <v>4.3899999999999997</v>
      </c>
      <c r="E654" s="5">
        <f t="shared" si="93"/>
        <v>0.19500000000000028</v>
      </c>
      <c r="F654" s="5">
        <f t="shared" si="91"/>
        <v>-0.16999999999999993</v>
      </c>
      <c r="G654" s="33">
        <v>4.2300000000000004</v>
      </c>
      <c r="H654" s="5">
        <f t="shared" si="85"/>
        <v>-0.15999999999999925</v>
      </c>
      <c r="I654" s="14">
        <v>4.3974000000000002</v>
      </c>
      <c r="J654" s="5">
        <f t="shared" si="92"/>
        <v>-0.16739999999999977</v>
      </c>
      <c r="K654" s="15">
        <f t="shared" si="86"/>
        <v>7.5535714285714288</v>
      </c>
      <c r="L654" s="15"/>
      <c r="M654" s="13">
        <f t="shared" si="87"/>
        <v>45627</v>
      </c>
      <c r="N654" s="5">
        <v>209.75</v>
      </c>
      <c r="O654" s="5">
        <v>203</v>
      </c>
      <c r="P654" s="5">
        <v>206.65</v>
      </c>
      <c r="Q654" s="5">
        <f t="shared" si="94"/>
        <v>3.0999999999999943</v>
      </c>
      <c r="R654" s="5">
        <f t="shared" si="95"/>
        <v>-3.6500000000000057</v>
      </c>
      <c r="S654" s="5">
        <f t="shared" si="81"/>
        <v>4.8603708247732946</v>
      </c>
      <c r="T654" s="5">
        <f t="shared" si="84"/>
        <v>0.47037082477329495</v>
      </c>
      <c r="U654" s="1">
        <f t="shared" si="88"/>
        <v>12</v>
      </c>
      <c r="V654" s="1">
        <f t="shared" si="89"/>
        <v>2024</v>
      </c>
      <c r="W654" s="1">
        <v>1.08</v>
      </c>
    </row>
    <row r="655" spans="1:32" x14ac:dyDescent="0.25">
      <c r="A655" s="13">
        <v>45658</v>
      </c>
      <c r="B655" s="5">
        <v>4.97</v>
      </c>
      <c r="C655" s="5">
        <v>4.5075000000000003</v>
      </c>
      <c r="D655" s="5">
        <v>4.753333333333333</v>
      </c>
      <c r="E655" s="5">
        <f t="shared" si="93"/>
        <v>0.21666666666666679</v>
      </c>
      <c r="F655" s="5">
        <f t="shared" si="91"/>
        <v>-0.24583333333333268</v>
      </c>
      <c r="G655" s="33">
        <v>4.29</v>
      </c>
      <c r="H655" s="5">
        <f t="shared" si="85"/>
        <v>-0.46333333333333293</v>
      </c>
      <c r="I655" s="14">
        <v>4.6787999999999998</v>
      </c>
      <c r="J655" s="5">
        <f t="shared" si="92"/>
        <v>-0.38879999999999981</v>
      </c>
      <c r="K655" s="15">
        <f t="shared" si="86"/>
        <v>7.6607142857142856</v>
      </c>
      <c r="L655" s="15"/>
      <c r="M655" s="13">
        <f t="shared" si="87"/>
        <v>45658</v>
      </c>
      <c r="N655" s="5">
        <v>217</v>
      </c>
      <c r="O655" s="5">
        <v>209.75</v>
      </c>
      <c r="P655" s="5">
        <v>213.75</v>
      </c>
      <c r="Q655" s="5">
        <f t="shared" si="94"/>
        <v>3.25</v>
      </c>
      <c r="R655" s="5">
        <f t="shared" si="95"/>
        <v>-4</v>
      </c>
      <c r="S655" s="5">
        <f t="shared" si="81"/>
        <v>5.0273615475213731</v>
      </c>
      <c r="T655" s="5">
        <f t="shared" si="84"/>
        <v>0.27402821418804013</v>
      </c>
      <c r="U655" s="1">
        <f t="shared" si="88"/>
        <v>1</v>
      </c>
      <c r="V655" s="1">
        <f t="shared" si="89"/>
        <v>2025</v>
      </c>
      <c r="W655" s="1">
        <v>1.08</v>
      </c>
    </row>
    <row r="656" spans="1:32" x14ac:dyDescent="0.25">
      <c r="A656" s="13">
        <v>45689</v>
      </c>
      <c r="B656" s="5">
        <v>5.0199999999999996</v>
      </c>
      <c r="C656" s="5">
        <v>4.5350000000000001</v>
      </c>
      <c r="D656" s="5">
        <v>4.8748684210526321</v>
      </c>
      <c r="E656" s="5">
        <f t="shared" si="93"/>
        <v>0.1451315789473675</v>
      </c>
      <c r="F656" s="5">
        <f t="shared" si="91"/>
        <v>-0.33986842105263193</v>
      </c>
      <c r="G656" s="33">
        <v>4.58</v>
      </c>
      <c r="H656" s="5">
        <f t="shared" si="85"/>
        <v>-0.294868421052632</v>
      </c>
      <c r="I656" s="14">
        <v>4.7888000000000002</v>
      </c>
      <c r="J656" s="5">
        <f t="shared" si="92"/>
        <v>-0.2088000000000001</v>
      </c>
      <c r="K656" s="15">
        <f t="shared" si="86"/>
        <v>8.1785714285714288</v>
      </c>
      <c r="L656" s="15"/>
      <c r="M656" s="13">
        <f t="shared" si="87"/>
        <v>45689</v>
      </c>
      <c r="N656" s="5">
        <v>230.98</v>
      </c>
      <c r="O656" s="5">
        <v>221.66</v>
      </c>
      <c r="P656" s="5">
        <v>225.15549999999999</v>
      </c>
      <c r="Q656" s="5">
        <f>AVERAGE(Q644,Q632,Q620,Q608,Q596,Q584,Q572,Q560,Q548,Q536)+5</f>
        <v>14.205416666666665</v>
      </c>
      <c r="R656" s="5">
        <f>AVERAGE(R644,R632,R620,R608,R596,R584,R572,R560,R548,R536)</f>
        <v>-6.1945833333333358</v>
      </c>
      <c r="S656" s="5">
        <f t="shared" si="81"/>
        <v>5.2956168557330923</v>
      </c>
      <c r="T656" s="5">
        <f>S656-D656</f>
        <v>0.42074843468046019</v>
      </c>
      <c r="U656" s="1">
        <f t="shared" si="88"/>
        <v>2</v>
      </c>
      <c r="V656" s="1">
        <f t="shared" si="89"/>
        <v>2025</v>
      </c>
      <c r="W656" s="1">
        <v>1.08</v>
      </c>
      <c r="Z656" s="1" t="s">
        <v>20</v>
      </c>
      <c r="AA656" s="1" t="s">
        <v>42</v>
      </c>
      <c r="AD656" s="1" t="s">
        <v>24</v>
      </c>
      <c r="AE656" s="1" t="s">
        <v>20</v>
      </c>
      <c r="AF656" s="1" t="s">
        <v>42</v>
      </c>
    </row>
    <row r="657" spans="1:32" x14ac:dyDescent="0.25">
      <c r="A657" s="13">
        <v>45717</v>
      </c>
      <c r="B657" s="5">
        <v>4.6900000000000004</v>
      </c>
      <c r="C657" s="5">
        <v>4.3600000000000003</v>
      </c>
      <c r="D657" s="5">
        <v>4.5458333333333334</v>
      </c>
      <c r="E657" s="5">
        <f t="shared" si="93"/>
        <v>0.144166666666667</v>
      </c>
      <c r="F657" s="5">
        <f t="shared" si="91"/>
        <v>-0.18583333333333307</v>
      </c>
      <c r="G657" s="33">
        <v>4.57</v>
      </c>
      <c r="H657" s="5">
        <f t="shared" si="85"/>
        <v>2.4166666666666892E-2</v>
      </c>
      <c r="I657" s="14">
        <v>4.4503000000000004</v>
      </c>
      <c r="J657" s="5">
        <f t="shared" si="92"/>
        <v>0.11969999999999992</v>
      </c>
      <c r="K657" s="15">
        <f t="shared" si="86"/>
        <v>8.1607142857142865</v>
      </c>
      <c r="L657" s="15"/>
      <c r="M657" s="13">
        <f t="shared" si="87"/>
        <v>45717</v>
      </c>
      <c r="N657" s="5">
        <v>216.75</v>
      </c>
      <c r="O657" s="5">
        <v>181.75</v>
      </c>
      <c r="P657" s="5">
        <v>211.04761904761904</v>
      </c>
      <c r="Q657" s="5">
        <f>AVERAGE(Q645,Q633,Q621,Q609,Q597,Q585,Q573,Q561,Q549,Q537)+5</f>
        <v>16.062072275550541</v>
      </c>
      <c r="R657" s="5">
        <f>AVERAGE(R645,R633,R621,R609,R597,R585,R573,R561,R549,R537)</f>
        <v>-12.362927724449458</v>
      </c>
      <c r="S657" s="5">
        <f t="shared" si="81"/>
        <v>4.9638020336652122</v>
      </c>
      <c r="T657" s="5">
        <f>S657-D657</f>
        <v>0.41796870033187883</v>
      </c>
      <c r="U657" s="1">
        <f t="shared" si="88"/>
        <v>3</v>
      </c>
      <c r="V657" s="1">
        <f t="shared" si="89"/>
        <v>2025</v>
      </c>
      <c r="W657" s="1">
        <v>1.08</v>
      </c>
      <c r="X657" s="4" t="e" vm="1">
        <f t="array" ref="X657:Y737">[3]!'@ch5[INTERVAL:DAILY,COMPRESSION:1,SORT:ASC,NDATE:1/10/2024,FDATE:1/11/2025,VERSION:1]?DATE,CLOSE'</f>
        <v>#REF!</v>
      </c>
      <c r="Y657" s="1" t="e" vm="1">
        <v>#REF!</v>
      </c>
      <c r="Z657" s="1" t="e" vm="2">
        <f>MONTH(X657)</f>
        <v>#VALUE!</v>
      </c>
      <c r="AA657" s="1" t="e" vm="2">
        <f>YEAR(X657)</f>
        <v>#VALUE!</v>
      </c>
      <c r="AC657" s="4">
        <v>45536</v>
      </c>
      <c r="AD657" s="1" t="e">
        <f>AVERAGEIFS(Y657:Y737,Z657:Z737,AE657,AA657:AA737,AF657)/100</f>
        <v>#DIV/0!</v>
      </c>
      <c r="AE657" s="1">
        <v>10</v>
      </c>
      <c r="AF657" s="1">
        <f>YEAR(AC657)</f>
        <v>2024</v>
      </c>
    </row>
    <row r="658" spans="1:32" x14ac:dyDescent="0.25">
      <c r="A658" s="13">
        <v>45748</v>
      </c>
      <c r="B658" s="5">
        <v>4.9024999999999999</v>
      </c>
      <c r="C658" s="5">
        <v>4.5750000000000002</v>
      </c>
      <c r="D658" s="5">
        <v>4.7288749999999995</v>
      </c>
      <c r="E658" s="5">
        <f t="shared" si="93"/>
        <v>0.17362500000000036</v>
      </c>
      <c r="F658" s="5">
        <f t="shared" si="91"/>
        <v>-0.15387499999999932</v>
      </c>
      <c r="G658" s="33">
        <v>4.62</v>
      </c>
      <c r="H658" s="5">
        <f t="shared" si="85"/>
        <v>-0.10887499999999939</v>
      </c>
      <c r="I658" s="14">
        <v>4.6839000000000004</v>
      </c>
      <c r="J658" s="5">
        <f t="shared" si="92"/>
        <v>-6.390000000000029E-2</v>
      </c>
      <c r="K658" s="15">
        <f t="shared" si="86"/>
        <v>8.25</v>
      </c>
      <c r="L658" s="15"/>
      <c r="M658" s="13">
        <f t="shared" si="87"/>
        <v>45748</v>
      </c>
      <c r="N658" s="5">
        <v>213</v>
      </c>
      <c r="O658" s="5">
        <v>199.5</v>
      </c>
      <c r="P658" s="5">
        <v>206.45</v>
      </c>
      <c r="Q658" s="5">
        <f>AVERAGE(Q646,Q634,Q622,Q610,Q598,Q586,Q574,Q562,Q550,Q538)+5</f>
        <v>12.95357456140351</v>
      </c>
      <c r="R658" s="5">
        <f>AVERAGE(R646,R634,R622,R610,R598,R586,R574,R562,R550,R538)</f>
        <v>-6.7964254385964891</v>
      </c>
      <c r="S658" s="5">
        <f t="shared" si="81"/>
        <v>4.8556668607522218</v>
      </c>
      <c r="T658" s="5">
        <f>S658-D658</f>
        <v>0.12679186075222226</v>
      </c>
      <c r="U658" s="1">
        <f t="shared" si="88"/>
        <v>4</v>
      </c>
      <c r="V658" s="1">
        <f t="shared" si="89"/>
        <v>2025</v>
      </c>
      <c r="W658" s="1">
        <v>1.08</v>
      </c>
      <c r="X658" s="4" t="e" vm="1">
        <v>#REF!</v>
      </c>
      <c r="Y658" s="1" t="e" vm="1">
        <v>#REF!</v>
      </c>
      <c r="Z658" s="1" t="e" vm="2">
        <f t="shared" ref="Z658:Z721" si="96">MONTH(X658)</f>
        <v>#VALUE!</v>
      </c>
      <c r="AA658" s="1" t="e" vm="2">
        <f t="shared" ref="AA658:AA721" si="97">YEAR(X658)</f>
        <v>#VALUE!</v>
      </c>
      <c r="AC658" s="4">
        <v>45444</v>
      </c>
      <c r="AD658" s="1" t="e">
        <f>AVERAGEIFS(Y657:Y737,Z657:Z737,AE658,AA657:AA737,AF658)/100</f>
        <v>#DIV/0!</v>
      </c>
      <c r="AE658" s="1">
        <f>MONTH(AC658)</f>
        <v>6</v>
      </c>
      <c r="AF658" s="1">
        <f>YEAR(AC658)</f>
        <v>2024</v>
      </c>
    </row>
    <row r="659" spans="1:32" x14ac:dyDescent="0.25">
      <c r="A659" s="13">
        <v>45778</v>
      </c>
      <c r="B659" s="63">
        <v>5</v>
      </c>
      <c r="C659" s="63">
        <v>5</v>
      </c>
      <c r="D659" s="63">
        <v>4.5999999999999996</v>
      </c>
      <c r="E659" s="33">
        <f>B659-D659</f>
        <v>0.40000000000000036</v>
      </c>
      <c r="F659" s="33">
        <f t="shared" si="91"/>
        <v>0.40000000000000036</v>
      </c>
      <c r="G659" s="33">
        <v>4.6399999999999997</v>
      </c>
      <c r="H659" s="5">
        <f t="shared" si="85"/>
        <v>4.0000000000000036E-2</v>
      </c>
      <c r="I659" s="14">
        <v>4.5018000000000002</v>
      </c>
      <c r="J659" s="5">
        <f t="shared" si="92"/>
        <v>0.13819999999999943</v>
      </c>
      <c r="K659" s="15">
        <f t="shared" si="86"/>
        <v>8.2857142857142847</v>
      </c>
      <c r="L659" s="15"/>
      <c r="M659" s="13">
        <f t="shared" si="87"/>
        <v>45778</v>
      </c>
      <c r="N659" s="18">
        <f>P659+Q659</f>
        <v>201.80357456140351</v>
      </c>
      <c r="O659" s="18">
        <f>P659+R659</f>
        <v>205.20357456140351</v>
      </c>
      <c r="P659" s="18">
        <f>P658+AVERAGE(P647-P646,P635-P634,P623-P622,P611-P610,P599-P598,P587-P586,P575-P574,P563-P562,P551-P550,P539-P538)-9</f>
        <v>202.56521417179312</v>
      </c>
      <c r="Q659" s="17">
        <f>AVERAGE(Q647,Q635,Q623,Q611,Q599,Q587,Q575,Q563,Q551,Q539)-8</f>
        <v>-0.76163961038961059</v>
      </c>
      <c r="R659" s="17">
        <f>AVERAGE(R647,R635,R623,R611,R599,R587,R575,R563,R551,R539)+10</f>
        <v>2.6383603896103889</v>
      </c>
      <c r="S659" s="5">
        <f t="shared" si="81"/>
        <v>4.764297396924932</v>
      </c>
      <c r="T659" s="5">
        <f t="shared" ref="T659:T678" si="98">S659-D659</f>
        <v>0.16429739692493239</v>
      </c>
      <c r="U659" s="1">
        <f t="shared" si="88"/>
        <v>5</v>
      </c>
      <c r="V659" s="1">
        <f t="shared" si="89"/>
        <v>2025</v>
      </c>
      <c r="W659" s="1">
        <v>1.08</v>
      </c>
      <c r="X659" s="4" t="e" vm="1">
        <v>#REF!</v>
      </c>
      <c r="Y659" s="1" t="e" vm="1">
        <v>#REF!</v>
      </c>
      <c r="Z659" s="1" t="e" vm="2">
        <f t="shared" si="96"/>
        <v>#VALUE!</v>
      </c>
      <c r="AA659" s="1" t="e" vm="2">
        <f t="shared" si="97"/>
        <v>#VALUE!</v>
      </c>
      <c r="AC659" s="4">
        <v>45474</v>
      </c>
      <c r="AD659" s="1" t="e">
        <f>AVERAGEIFS(Y657:Y737,Z657:Z737,AE659,AA657:AA737,AF659)/100</f>
        <v>#DIV/0!</v>
      </c>
      <c r="AE659" s="1">
        <f>MONTH(AC659)</f>
        <v>7</v>
      </c>
      <c r="AF659" s="1">
        <f>YEAR(AC659)</f>
        <v>2024</v>
      </c>
    </row>
    <row r="660" spans="1:32" x14ac:dyDescent="0.25">
      <c r="A660" s="13">
        <v>45809</v>
      </c>
      <c r="B660" s="33">
        <f>MAX(Forecasts!C70:C90)</f>
        <v>4.4450000000000003</v>
      </c>
      <c r="C660" s="33">
        <f>MIN(Forecasts!C70:C90)</f>
        <v>4.04</v>
      </c>
      <c r="D660" s="33">
        <f>AVERAGE(Forecasts!C70:C90)</f>
        <v>4.2986904761904761</v>
      </c>
      <c r="E660" s="33">
        <f t="shared" si="93"/>
        <v>0.14630952380952422</v>
      </c>
      <c r="F660" s="33">
        <f t="shared" si="91"/>
        <v>-0.25869047619047603</v>
      </c>
      <c r="G660" s="33">
        <v>4.47</v>
      </c>
      <c r="H660" s="5">
        <f t="shared" si="85"/>
        <v>0.17130952380952369</v>
      </c>
      <c r="I660" s="14">
        <v>4.3349000000000002</v>
      </c>
      <c r="J660" s="5">
        <f t="shared" si="92"/>
        <v>0.13509999999999955</v>
      </c>
      <c r="K660" s="15">
        <f t="shared" si="86"/>
        <v>7.9821428571428568</v>
      </c>
      <c r="L660" s="15"/>
      <c r="M660" s="13">
        <f t="shared" si="87"/>
        <v>45809</v>
      </c>
      <c r="N660" s="18">
        <f>P660+Q660</f>
        <v>208.1535745614035</v>
      </c>
      <c r="O660" s="18">
        <f t="shared" ref="O660:O678" si="99">P660+R660</f>
        <v>189.2535745614035</v>
      </c>
      <c r="P660" s="18">
        <f t="shared" ref="P660:P678" si="100">P659+AVERAGE(P648-P647,P636-P635,P624-P623,P612-P611,P600-P599,P588-P587,P576-P575,P564-P563,P552-P551,P540-P539)</f>
        <v>203.37035486443381</v>
      </c>
      <c r="Q660" s="17">
        <f>AVERAGE(Q648,Q636,Q624,Q612,Q600,Q588,Q576,Q564,Q552,Q540)-6</f>
        <v>4.7832196969696952</v>
      </c>
      <c r="R660" s="17">
        <f t="shared" ref="Q660:R675" si="101">AVERAGE(R648,R636,R624,R612,R600,R588,R576,R564,R552,R540)</f>
        <v>-14.116780303030305</v>
      </c>
      <c r="S660" s="5">
        <f t="shared" si="81"/>
        <v>4.7832341611753479</v>
      </c>
      <c r="T660" s="5">
        <f t="shared" si="98"/>
        <v>0.48454368498487188</v>
      </c>
      <c r="U660" s="1">
        <f t="shared" si="88"/>
        <v>6</v>
      </c>
      <c r="V660" s="1">
        <f t="shared" si="89"/>
        <v>2025</v>
      </c>
      <c r="W660" s="1">
        <v>1.08</v>
      </c>
      <c r="X660" s="4" t="e" vm="1">
        <v>#REF!</v>
      </c>
      <c r="Y660" s="1" t="e" vm="1">
        <v>#REF!</v>
      </c>
      <c r="Z660" s="1" t="e" vm="2">
        <f t="shared" si="96"/>
        <v>#VALUE!</v>
      </c>
      <c r="AA660" s="1" t="e" vm="2">
        <f t="shared" si="97"/>
        <v>#VALUE!</v>
      </c>
    </row>
    <row r="661" spans="1:32" x14ac:dyDescent="0.25">
      <c r="A661" s="13">
        <v>45839</v>
      </c>
      <c r="B661" s="33">
        <f>MAX(Forecasts!C91:C112)</f>
        <v>4.37</v>
      </c>
      <c r="C661" s="33">
        <f>MIN(Forecasts!C91:C112)</f>
        <v>4</v>
      </c>
      <c r="D661" s="33">
        <f>AVERAGE(Forecasts!C91:C112)</f>
        <v>4.1876136363636363</v>
      </c>
      <c r="E661" s="33">
        <f>B661-D661</f>
        <v>0.18238636363636385</v>
      </c>
      <c r="F661" s="17">
        <f t="shared" si="91"/>
        <v>-0.18761363636363626</v>
      </c>
      <c r="G661" s="33">
        <v>4.29</v>
      </c>
      <c r="H661" s="5">
        <f t="shared" si="85"/>
        <v>0.10238636363636378</v>
      </c>
      <c r="I661" s="14">
        <v>4.1433</v>
      </c>
      <c r="J661" s="5">
        <f t="shared" si="92"/>
        <v>0.14670000000000005</v>
      </c>
      <c r="K661" s="15">
        <f t="shared" si="86"/>
        <v>7.6607142857142856</v>
      </c>
      <c r="L661" s="15"/>
      <c r="M661" s="13">
        <f t="shared" si="87"/>
        <v>45839</v>
      </c>
      <c r="N661" s="18">
        <f t="shared" ref="N661:N678" si="102">P661+Q661</f>
        <v>214.97857456140349</v>
      </c>
      <c r="O661" s="18">
        <f t="shared" si="99"/>
        <v>193.8785745614035</v>
      </c>
      <c r="P661" s="18">
        <f t="shared" si="100"/>
        <v>205.08589340198321</v>
      </c>
      <c r="Q661" s="17">
        <f>AVERAGE(Q649,Q637,Q625,Q613,Q601,Q589,Q577,Q565,Q553,Q541)-4</f>
        <v>9.8926811594202917</v>
      </c>
      <c r="R661" s="17">
        <f t="shared" si="101"/>
        <v>-11.207318840579708</v>
      </c>
      <c r="S661" s="5">
        <f>P661/39.3679/W661</f>
        <v>4.8235833189623287</v>
      </c>
      <c r="T661" s="5">
        <f t="shared" si="98"/>
        <v>0.63596968259869247</v>
      </c>
      <c r="U661" s="1">
        <f t="shared" si="88"/>
        <v>7</v>
      </c>
      <c r="V661" s="1">
        <f t="shared" si="89"/>
        <v>2025</v>
      </c>
      <c r="W661" s="1">
        <v>1.08</v>
      </c>
      <c r="X661" s="4" t="e" vm="1">
        <v>#REF!</v>
      </c>
      <c r="Y661" s="1" t="e" vm="1">
        <v>#REF!</v>
      </c>
      <c r="Z661" s="1" t="e" vm="2">
        <f t="shared" si="96"/>
        <v>#VALUE!</v>
      </c>
      <c r="AA661" s="1" t="e" vm="2">
        <f t="shared" si="97"/>
        <v>#VALUE!</v>
      </c>
      <c r="AD661" s="1" t="s">
        <v>44</v>
      </c>
    </row>
    <row r="662" spans="1:32" x14ac:dyDescent="0.25">
      <c r="A662" s="13">
        <v>45870</v>
      </c>
      <c r="B662" s="17">
        <f t="shared" ref="B662:B678" si="103">D662+AVERAGE(E650,E638,E626,E614,E602)</f>
        <v>4.3213325490934187</v>
      </c>
      <c r="C662" s="17">
        <f t="shared" ref="C662:C678" si="104">D662+AVERAGE(F650,F638,F626,F614,F602)</f>
        <v>3.8603325490934184</v>
      </c>
      <c r="D662" s="64">
        <v>4.05</v>
      </c>
      <c r="E662" s="17">
        <f t="shared" ref="E662:E668" si="105">B662-D662</f>
        <v>0.27133254909341886</v>
      </c>
      <c r="F662" s="17">
        <f t="shared" ref="F662:F668" si="106">C662-D662</f>
        <v>-0.18966745090658144</v>
      </c>
      <c r="G662" s="5">
        <v>3.96</v>
      </c>
      <c r="H662" s="17">
        <f>AVERAGE(H650,H638,H626,H614,H602,H590,H578,H566,H554,H542)-0.15</f>
        <v>4.8344775167827425E-2</v>
      </c>
      <c r="I662" s="14">
        <v>3.9546999999999999</v>
      </c>
      <c r="J662" s="5">
        <f t="shared" si="92"/>
        <v>5.3000000000000824E-3</v>
      </c>
      <c r="K662" s="15">
        <f t="shared" si="86"/>
        <v>7.0714285714285712</v>
      </c>
      <c r="L662" s="15"/>
      <c r="M662" s="13">
        <f t="shared" si="87"/>
        <v>45870</v>
      </c>
      <c r="N662" s="18">
        <f t="shared" si="102"/>
        <v>215.20357456140351</v>
      </c>
      <c r="O662" s="18">
        <f>P662+R662</f>
        <v>188.10357456140352</v>
      </c>
      <c r="P662" s="18">
        <f t="shared" si="100"/>
        <v>198.97699329846355</v>
      </c>
      <c r="Q662" s="17">
        <f>AVERAGE(Q650,Q638,Q626,Q614,Q602,Q590,Q578,Q566,Q554,Q542)-2</f>
        <v>16.226581262939963</v>
      </c>
      <c r="R662" s="17">
        <f t="shared" si="101"/>
        <v>-10.873418737060039</v>
      </c>
      <c r="S662" s="5">
        <f t="shared" si="81"/>
        <v>4.6799030874859113</v>
      </c>
      <c r="T662" s="5">
        <f>S662-D662</f>
        <v>0.62990308748591151</v>
      </c>
      <c r="U662" s="1">
        <f t="shared" si="88"/>
        <v>8</v>
      </c>
      <c r="V662" s="1">
        <f t="shared" si="89"/>
        <v>2025</v>
      </c>
      <c r="W662" s="1">
        <v>1.08</v>
      </c>
      <c r="X662" s="4" t="e" vm="1">
        <v>#REF!</v>
      </c>
      <c r="Y662" s="1" t="e" vm="1">
        <v>#REF!</v>
      </c>
      <c r="Z662" s="1" t="e" vm="2">
        <f t="shared" si="96"/>
        <v>#VALUE!</v>
      </c>
      <c r="AA662" s="1" t="e" vm="2">
        <f t="shared" si="97"/>
        <v>#VALUE!</v>
      </c>
      <c r="AC662" s="4">
        <f>AC657</f>
        <v>45536</v>
      </c>
      <c r="AD662" s="1">
        <f>_xlfn.MAXIFS(Y657:Y737,Z657:Z737,AE662,AA657:AA737,AF662)/100</f>
        <v>0</v>
      </c>
      <c r="AE662" s="1">
        <v>10</v>
      </c>
      <c r="AF662" s="1">
        <f>YEAR(AC662)</f>
        <v>2024</v>
      </c>
    </row>
    <row r="663" spans="1:32" x14ac:dyDescent="0.25">
      <c r="A663" s="13">
        <v>45901</v>
      </c>
      <c r="B663" s="17">
        <f t="shared" si="103"/>
        <v>4.3564595238095229</v>
      </c>
      <c r="C663" s="17">
        <f t="shared" si="104"/>
        <v>4.0909595238095235</v>
      </c>
      <c r="D663" s="64">
        <v>4.22</v>
      </c>
      <c r="E663" s="17">
        <f t="shared" si="105"/>
        <v>0.1364595238095232</v>
      </c>
      <c r="F663" s="17">
        <f t="shared" si="106"/>
        <v>-0.12904047619047621</v>
      </c>
      <c r="G663" s="5">
        <v>4</v>
      </c>
      <c r="H663" s="17">
        <f t="shared" ref="H663:H678" si="107">AVERAGE(H651,H639,H627,H615,H603,H591,H579,H567,H555,H543)</f>
        <v>-3.8881906516290823E-2</v>
      </c>
      <c r="I663" s="14">
        <v>4.0548999999999999</v>
      </c>
      <c r="J663" s="5">
        <f t="shared" si="92"/>
        <v>-5.4899999999999949E-2</v>
      </c>
      <c r="K663" s="15">
        <f t="shared" si="86"/>
        <v>7.1428571428571423</v>
      </c>
      <c r="L663" s="15"/>
      <c r="M663" s="13">
        <f t="shared" si="87"/>
        <v>45901</v>
      </c>
      <c r="N663" s="18">
        <f t="shared" si="102"/>
        <v>197.50357456140352</v>
      </c>
      <c r="O663" s="18">
        <f t="shared" si="99"/>
        <v>190.17857456140354</v>
      </c>
      <c r="P663" s="18">
        <f t="shared" si="100"/>
        <v>193.97441330599227</v>
      </c>
      <c r="Q663" s="17">
        <f>AVERAGE(Q651,Q639,Q627,Q615,Q603,Q591,Q579,Q567,Q555,Q543)-1</f>
        <v>3.5291612554112533</v>
      </c>
      <c r="R663" s="17">
        <f t="shared" si="101"/>
        <v>-3.7958387445887469</v>
      </c>
      <c r="S663" s="5">
        <f t="shared" si="81"/>
        <v>4.5622433060002985</v>
      </c>
      <c r="T663" s="5">
        <f t="shared" si="98"/>
        <v>0.34224330600029873</v>
      </c>
      <c r="U663" s="1">
        <f t="shared" si="88"/>
        <v>9</v>
      </c>
      <c r="V663" s="1">
        <f t="shared" si="89"/>
        <v>2025</v>
      </c>
      <c r="W663" s="1">
        <v>1.08</v>
      </c>
      <c r="X663" s="4" t="e" vm="1">
        <v>#REF!</v>
      </c>
      <c r="Y663" s="1" t="e" vm="1">
        <v>#REF!</v>
      </c>
      <c r="Z663" s="1" t="e" vm="2">
        <f t="shared" si="96"/>
        <v>#VALUE!</v>
      </c>
      <c r="AA663" s="1" t="e" vm="2">
        <f t="shared" si="97"/>
        <v>#VALUE!</v>
      </c>
      <c r="AC663" s="4">
        <f t="shared" ref="AC663:AC664" si="108">AC658</f>
        <v>45444</v>
      </c>
      <c r="AD663" s="1">
        <f>_xlfn.MAXIFS(Y656:Y737,Z656:Z737,AE663,AA656:AA737,AF663)/100</f>
        <v>0</v>
      </c>
      <c r="AE663" s="1">
        <f>MONTH(AC663)</f>
        <v>6</v>
      </c>
      <c r="AF663" s="1">
        <f>YEAR(AC663)</f>
        <v>2024</v>
      </c>
    </row>
    <row r="664" spans="1:32" x14ac:dyDescent="0.25">
      <c r="A664" s="13">
        <v>45931</v>
      </c>
      <c r="B664" s="17">
        <f t="shared" si="103"/>
        <v>4.5805638716356105</v>
      </c>
      <c r="C664" s="17">
        <f t="shared" si="104"/>
        <v>4.2275638716356099</v>
      </c>
      <c r="D664" s="64">
        <f t="shared" ref="D664:D678" si="109">D663+AVERAGE(D640-D639,D628-D627,D616-D615,D604-D603,D592-D591)</f>
        <v>4.3852954263128172</v>
      </c>
      <c r="E664" s="17">
        <f t="shared" si="105"/>
        <v>0.1952684453227933</v>
      </c>
      <c r="F664" s="17">
        <f t="shared" si="106"/>
        <v>-0.15773155467720734</v>
      </c>
      <c r="G664" s="5">
        <v>3.93</v>
      </c>
      <c r="H664" s="17">
        <f t="shared" si="107"/>
        <v>-0.22447095401844552</v>
      </c>
      <c r="I664" s="14">
        <v>4.0987</v>
      </c>
      <c r="J664" s="5">
        <f t="shared" si="92"/>
        <v>-0.16869999999999985</v>
      </c>
      <c r="K664" s="15">
        <f t="shared" si="86"/>
        <v>7.0178571428571441</v>
      </c>
      <c r="L664" s="15"/>
      <c r="M664" s="13">
        <f t="shared" si="87"/>
        <v>45931</v>
      </c>
      <c r="N664" s="18">
        <f t="shared" si="102"/>
        <v>200.72857456140352</v>
      </c>
      <c r="O664" s="18">
        <f t="shared" si="99"/>
        <v>190.70357456140351</v>
      </c>
      <c r="P664" s="18">
        <f t="shared" si="100"/>
        <v>197.81562989737191</v>
      </c>
      <c r="Q664" s="17">
        <f>AVERAGE(Q652,Q640,Q628,Q616,Q604,Q592,Q580,Q568,Q556,Q544)-3</f>
        <v>2.9129446640316186</v>
      </c>
      <c r="R664" s="17">
        <f t="shared" si="101"/>
        <v>-7.1120553359683809</v>
      </c>
      <c r="S664" s="5">
        <f t="shared" si="81"/>
        <v>4.6525880292152832</v>
      </c>
      <c r="T664" s="5">
        <f t="shared" si="98"/>
        <v>0.26729260290246604</v>
      </c>
      <c r="U664" s="1">
        <f t="shared" si="88"/>
        <v>10</v>
      </c>
      <c r="V664" s="1">
        <f t="shared" si="89"/>
        <v>2025</v>
      </c>
      <c r="W664" s="1">
        <v>1.08</v>
      </c>
      <c r="X664" s="4" t="e" vm="1">
        <v>#REF!</v>
      </c>
      <c r="Y664" s="1" t="e" vm="1">
        <v>#REF!</v>
      </c>
      <c r="Z664" s="1" t="e" vm="2">
        <f t="shared" si="96"/>
        <v>#VALUE!</v>
      </c>
      <c r="AA664" s="1" t="e" vm="2">
        <f t="shared" si="97"/>
        <v>#VALUE!</v>
      </c>
      <c r="AC664" s="4">
        <f t="shared" si="108"/>
        <v>45474</v>
      </c>
      <c r="AD664" s="1">
        <f>_xlfn.MAXIFS(Y656:Y737,Z656:Z737,AE664,AA656:AA737,AF664)/100</f>
        <v>0</v>
      </c>
      <c r="AE664" s="1">
        <f>MONTH(AC664)</f>
        <v>7</v>
      </c>
      <c r="AF664" s="1">
        <f>YEAR(AC664)</f>
        <v>2024</v>
      </c>
    </row>
    <row r="665" spans="1:32" x14ac:dyDescent="0.25">
      <c r="A665" s="13">
        <v>45962</v>
      </c>
      <c r="B665" s="17">
        <f t="shared" si="103"/>
        <v>4.5528726190476192</v>
      </c>
      <c r="C665" s="17">
        <f t="shared" si="104"/>
        <v>4.2463726190476194</v>
      </c>
      <c r="D665" s="64">
        <v>4.4000000000000004</v>
      </c>
      <c r="E665" s="17">
        <f t="shared" si="105"/>
        <v>0.15287261904761884</v>
      </c>
      <c r="F665" s="17">
        <f t="shared" si="106"/>
        <v>-0.15362738095238093</v>
      </c>
      <c r="G665" s="5">
        <v>3.98</v>
      </c>
      <c r="H665" s="17">
        <f t="shared" si="107"/>
        <v>-0.21732560476190471</v>
      </c>
      <c r="I665" s="14">
        <v>4.2882999999999996</v>
      </c>
      <c r="J665" s="5">
        <f t="shared" si="92"/>
        <v>-0.30829999999999957</v>
      </c>
      <c r="K665" s="15">
        <f t="shared" si="86"/>
        <v>7.1071428571428577</v>
      </c>
      <c r="L665" s="15"/>
      <c r="M665" s="13">
        <f t="shared" si="87"/>
        <v>45962</v>
      </c>
      <c r="N665" s="18">
        <f t="shared" si="102"/>
        <v>203.40357456140353</v>
      </c>
      <c r="O665" s="18">
        <f t="shared" si="99"/>
        <v>187.80357456140354</v>
      </c>
      <c r="P665" s="18">
        <f>P664+AVERAGE(P653-P652,P641-P640,P629-P628,P617-P616,P605-P604,P593-P592,P581-P580,P569-P568,P557-P556,P545-P544)</f>
        <v>198.72037759170655</v>
      </c>
      <c r="Q665" s="17">
        <f>AVERAGE(Q653,Q641,Q629,Q617,Q605,Q593,Q581,Q569,Q557,Q545)-3</f>
        <v>4.6831969696969704</v>
      </c>
      <c r="R665" s="17">
        <f t="shared" si="101"/>
        <v>-10.916803030303029</v>
      </c>
      <c r="S665" s="5">
        <f t="shared" si="81"/>
        <v>4.673867532226776</v>
      </c>
      <c r="T665" s="5">
        <f t="shared" si="98"/>
        <v>0.27386753222677562</v>
      </c>
      <c r="U665" s="1">
        <f t="shared" si="88"/>
        <v>11</v>
      </c>
      <c r="V665" s="1">
        <f t="shared" si="89"/>
        <v>2025</v>
      </c>
      <c r="W665" s="1">
        <v>1.08</v>
      </c>
      <c r="X665" s="4" t="e" vm="1">
        <v>#REF!</v>
      </c>
      <c r="Y665" s="1" t="e" vm="1">
        <v>#REF!</v>
      </c>
      <c r="Z665" s="1" t="e" vm="2">
        <f t="shared" si="96"/>
        <v>#VALUE!</v>
      </c>
      <c r="AA665" s="1" t="e" vm="2">
        <f t="shared" si="97"/>
        <v>#VALUE!</v>
      </c>
    </row>
    <row r="666" spans="1:32" x14ac:dyDescent="0.25">
      <c r="A666" s="13">
        <v>45992</v>
      </c>
      <c r="B666" s="17">
        <f t="shared" si="103"/>
        <v>4.6887301606288458</v>
      </c>
      <c r="C666" s="17">
        <f t="shared" si="104"/>
        <v>4.2682301606288453</v>
      </c>
      <c r="D666" s="64">
        <v>4.4400000000000004</v>
      </c>
      <c r="E666" s="17">
        <f t="shared" si="105"/>
        <v>0.24873016062884545</v>
      </c>
      <c r="F666" s="17">
        <f t="shared" si="106"/>
        <v>-0.17176983937115509</v>
      </c>
      <c r="G666" s="17">
        <f t="shared" ref="G662:G678" si="110">D666+H666</f>
        <v>4.2408419850763277</v>
      </c>
      <c r="H666" s="17">
        <f t="shared" si="107"/>
        <v>-0.1991580149236726</v>
      </c>
      <c r="I666" s="14">
        <v>4.3769</v>
      </c>
      <c r="K666" s="15">
        <f t="shared" si="86"/>
        <v>7.5729321162077285</v>
      </c>
      <c r="L666" s="15"/>
      <c r="M666" s="13">
        <f t="shared" si="87"/>
        <v>45992</v>
      </c>
      <c r="N666" s="18">
        <f t="shared" si="102"/>
        <v>194.47857456140352</v>
      </c>
      <c r="O666" s="18">
        <f t="shared" si="99"/>
        <v>192.50357456140352</v>
      </c>
      <c r="P666" s="18">
        <f>P665+AVERAGE(P654-P653,P642-P641,P630-P629,P618-P617,P606-P605,P594-P593,P582-P581,P570-P569,P558-P557,P546-P545)</f>
        <v>195.95396461757161</v>
      </c>
      <c r="Q666" s="17">
        <f>AVERAGE(Q654,Q642,Q630,Q618,Q606,Q594,Q582,Q570,Q558,Q546)-5</f>
        <v>-1.4753900561680924</v>
      </c>
      <c r="R666" s="17">
        <f t="shared" si="101"/>
        <v>-3.450390056168092</v>
      </c>
      <c r="S666" s="5">
        <f t="shared" si="81"/>
        <v>4.6088019967379799</v>
      </c>
      <c r="T666" s="5">
        <f t="shared" si="98"/>
        <v>0.16880199673797947</v>
      </c>
      <c r="U666" s="1">
        <f t="shared" si="88"/>
        <v>12</v>
      </c>
      <c r="V666" s="1">
        <f t="shared" si="89"/>
        <v>2025</v>
      </c>
      <c r="W666" s="1">
        <v>1.08</v>
      </c>
      <c r="X666" s="4" t="e" vm="1">
        <v>#REF!</v>
      </c>
      <c r="Y666" s="1" t="e" vm="1">
        <v>#REF!</v>
      </c>
      <c r="Z666" s="1" t="e" vm="2">
        <f t="shared" si="96"/>
        <v>#VALUE!</v>
      </c>
      <c r="AA666" s="1" t="e" vm="2">
        <f t="shared" si="97"/>
        <v>#VALUE!</v>
      </c>
    </row>
    <row r="667" spans="1:32" x14ac:dyDescent="0.25">
      <c r="A667" s="13">
        <v>46023</v>
      </c>
      <c r="B667" s="17">
        <f t="shared" si="103"/>
        <v>4.4235634939621784</v>
      </c>
      <c r="C667" s="17">
        <f t="shared" si="104"/>
        <v>3.9900634939621789</v>
      </c>
      <c r="D667" s="17">
        <f>D666+AVERAGE(D643-D642,D631-D630,D619-D618,D607-D606,D595-D594)-0.4</f>
        <v>4.204735110503532</v>
      </c>
      <c r="E667" s="17">
        <f t="shared" si="105"/>
        <v>0.21882838345864641</v>
      </c>
      <c r="F667" s="17">
        <f t="shared" si="106"/>
        <v>-0.21467161654135314</v>
      </c>
      <c r="G667" s="17">
        <f t="shared" si="110"/>
        <v>3.9535899403280936</v>
      </c>
      <c r="H667" s="17">
        <f t="shared" si="107"/>
        <v>-0.25114517017543858</v>
      </c>
      <c r="K667" s="15">
        <f t="shared" si="86"/>
        <v>7.059982036300168</v>
      </c>
      <c r="L667" s="15"/>
      <c r="M667" s="13">
        <f t="shared" si="87"/>
        <v>46023</v>
      </c>
      <c r="N667" s="17">
        <f t="shared" si="102"/>
        <v>197.22857456140352</v>
      </c>
      <c r="O667" s="17">
        <f t="shared" si="99"/>
        <v>190.90357456140353</v>
      </c>
      <c r="P667" s="18">
        <f t="shared" si="100"/>
        <v>196.32308754841651</v>
      </c>
      <c r="Q667" s="17">
        <f>AVERAGE(Q655,Q643,Q631,Q619,Q607,Q595,Q583,Q571,Q559,Q547)-5</f>
        <v>0.90548701298701229</v>
      </c>
      <c r="R667" s="17">
        <f t="shared" si="101"/>
        <v>-5.4195129870129879</v>
      </c>
      <c r="S667" s="5">
        <f t="shared" si="81"/>
        <v>4.617483701668216</v>
      </c>
      <c r="T667" s="5">
        <f t="shared" si="98"/>
        <v>0.41274859116468399</v>
      </c>
      <c r="U667" s="1">
        <f t="shared" si="88"/>
        <v>1</v>
      </c>
      <c r="V667" s="1">
        <f t="shared" si="89"/>
        <v>2026</v>
      </c>
      <c r="W667" s="1">
        <v>1.08</v>
      </c>
      <c r="X667" s="4" t="e" vm="1">
        <v>#REF!</v>
      </c>
      <c r="Y667" s="1" t="e" vm="1">
        <v>#REF!</v>
      </c>
      <c r="Z667" s="1" t="e" vm="2">
        <f t="shared" si="96"/>
        <v>#VALUE!</v>
      </c>
      <c r="AA667" s="1" t="e" vm="2">
        <f t="shared" si="97"/>
        <v>#VALUE!</v>
      </c>
      <c r="AD667" s="1" t="s">
        <v>45</v>
      </c>
    </row>
    <row r="668" spans="1:32" x14ac:dyDescent="0.25">
      <c r="A668" s="13">
        <v>46054</v>
      </c>
      <c r="B668" s="17">
        <f t="shared" si="103"/>
        <v>4.5115697596263384</v>
      </c>
      <c r="C668" s="17">
        <f t="shared" si="104"/>
        <v>3.9885697596263388</v>
      </c>
      <c r="D668" s="17">
        <f t="shared" si="109"/>
        <v>4.2851618648894965</v>
      </c>
      <c r="E668" s="17">
        <f t="shared" si="105"/>
        <v>0.22640789473684197</v>
      </c>
      <c r="F668" s="17">
        <f t="shared" si="106"/>
        <v>-0.29659210526315771</v>
      </c>
      <c r="G668" s="17">
        <f t="shared" si="110"/>
        <v>4.0991661309713674</v>
      </c>
      <c r="H668" s="17">
        <f t="shared" si="107"/>
        <v>-0.18599573391812871</v>
      </c>
      <c r="K668" s="15">
        <f t="shared" si="86"/>
        <v>7.3199395195917267</v>
      </c>
      <c r="L668" s="15"/>
      <c r="M668" s="13">
        <f t="shared" si="87"/>
        <v>46054</v>
      </c>
      <c r="N668" s="17">
        <f t="shared" si="102"/>
        <v>202.76466622807018</v>
      </c>
      <c r="O668" s="17">
        <f t="shared" si="99"/>
        <v>191.04966622807018</v>
      </c>
      <c r="P668" s="18">
        <f>P667+AVERAGE(P656-P655,P644-P643,P632-P631,P620-P619,P608-P607,P596-P595,P584-P583,P572-P571,P560-P559,P548-P547)</f>
        <v>197.47245789473686</v>
      </c>
      <c r="Q668" s="17">
        <f>AVERAGE(Q656,Q644,Q632,Q620,Q608,Q596,Q584,Q572,Q560,Q548)-5</f>
        <v>5.2922083333333312</v>
      </c>
      <c r="R668" s="17">
        <f t="shared" si="101"/>
        <v>-6.4227916666666687</v>
      </c>
      <c r="S668" s="5">
        <f t="shared" si="81"/>
        <v>4.6445166854481092</v>
      </c>
      <c r="T668" s="5">
        <f t="shared" si="98"/>
        <v>0.35935482055861279</v>
      </c>
      <c r="U668" s="1">
        <f t="shared" si="88"/>
        <v>2</v>
      </c>
      <c r="V668" s="1">
        <f t="shared" si="89"/>
        <v>2026</v>
      </c>
      <c r="W668" s="1">
        <v>1.08</v>
      </c>
      <c r="X668" s="4" t="e" vm="1">
        <v>#REF!</v>
      </c>
      <c r="Y668" s="1" t="e" vm="1">
        <v>#REF!</v>
      </c>
      <c r="Z668" s="1" t="e" vm="2">
        <f t="shared" si="96"/>
        <v>#VALUE!</v>
      </c>
      <c r="AA668" s="1" t="e" vm="2">
        <f t="shared" si="97"/>
        <v>#VALUE!</v>
      </c>
      <c r="AC668" s="4">
        <f>AC657</f>
        <v>45536</v>
      </c>
      <c r="AD668" s="1">
        <f>_xlfn.MINIFS(Y657:Y737,Z657:Z737,AE668,AA657:AA737,AF668)/100</f>
        <v>0</v>
      </c>
      <c r="AE668" s="1">
        <v>10</v>
      </c>
      <c r="AF668" s="1">
        <f>YEAR(AC668)</f>
        <v>2024</v>
      </c>
    </row>
    <row r="669" spans="1:32" x14ac:dyDescent="0.25">
      <c r="A669" s="13">
        <v>46082</v>
      </c>
      <c r="B669" s="17">
        <f t="shared" si="103"/>
        <v>4.5443145762132602</v>
      </c>
      <c r="C669" s="17">
        <f t="shared" si="104"/>
        <v>4.2073145762132604</v>
      </c>
      <c r="D669" s="17">
        <f t="shared" si="109"/>
        <v>4.3855105907060139</v>
      </c>
      <c r="E669" s="17">
        <f t="shared" si="93"/>
        <v>0.15880398550724628</v>
      </c>
      <c r="F669" s="17">
        <f t="shared" si="91"/>
        <v>-0.17819601449275346</v>
      </c>
      <c r="G669" s="17">
        <f t="shared" si="110"/>
        <v>4.2025686470960011</v>
      </c>
      <c r="H669" s="17">
        <f t="shared" si="107"/>
        <v>-0.1829419436100132</v>
      </c>
      <c r="K669" s="15">
        <f t="shared" si="86"/>
        <v>7.5045868698142879</v>
      </c>
      <c r="L669" s="15"/>
      <c r="M669" s="13">
        <f t="shared" si="87"/>
        <v>46082</v>
      </c>
      <c r="N669" s="17">
        <f t="shared" si="102"/>
        <v>204.41454369372047</v>
      </c>
      <c r="O669" s="17">
        <f t="shared" si="99"/>
        <v>190.04704369372047</v>
      </c>
      <c r="P669" s="18">
        <f t="shared" si="100"/>
        <v>202.22240055425124</v>
      </c>
      <c r="Q669" s="17">
        <f>AVERAGE(Q657,Q645,Q633,Q621,Q609,Q597,Q585,Q573,Q561,Q549)-10</f>
        <v>2.1921431394692341</v>
      </c>
      <c r="R669" s="17">
        <f t="shared" si="101"/>
        <v>-12.175356860530766</v>
      </c>
      <c r="S669" s="5">
        <f t="shared" si="81"/>
        <v>4.7562344823106777</v>
      </c>
      <c r="T669" s="5">
        <f t="shared" si="98"/>
        <v>0.37072389160466379</v>
      </c>
      <c r="U669" s="1">
        <f t="shared" si="88"/>
        <v>3</v>
      </c>
      <c r="V669" s="1">
        <f t="shared" si="89"/>
        <v>2026</v>
      </c>
      <c r="W669" s="1">
        <v>1.08</v>
      </c>
      <c r="X669" s="4" t="e" vm="1">
        <v>#REF!</v>
      </c>
      <c r="Y669" s="1" t="e" vm="1">
        <v>#REF!</v>
      </c>
      <c r="Z669" s="1" t="e" vm="2">
        <f t="shared" si="96"/>
        <v>#VALUE!</v>
      </c>
      <c r="AA669" s="1" t="e" vm="2">
        <f t="shared" si="97"/>
        <v>#VALUE!</v>
      </c>
      <c r="AC669" s="4">
        <f t="shared" ref="AC669:AC670" si="111">AC658</f>
        <v>45444</v>
      </c>
      <c r="AD669" s="1">
        <f>_xlfn.MINIFS(Y656:Y737,Z656:Z737,AE669,AA656:AA737,AF669)/100</f>
        <v>0</v>
      </c>
      <c r="AE669" s="1">
        <f>MONTH(AC669)</f>
        <v>6</v>
      </c>
      <c r="AF669" s="1">
        <f>YEAR(AC669)</f>
        <v>2024</v>
      </c>
    </row>
    <row r="670" spans="1:32" x14ac:dyDescent="0.25">
      <c r="A670" s="13">
        <v>46113</v>
      </c>
      <c r="B670" s="17">
        <f t="shared" si="103"/>
        <v>4.9794551606288442</v>
      </c>
      <c r="C670" s="17">
        <f t="shared" si="104"/>
        <v>4.2399551606288446</v>
      </c>
      <c r="D670" s="17">
        <f t="shared" si="109"/>
        <v>4.5705111756664385</v>
      </c>
      <c r="E670" s="17">
        <f t="shared" si="93"/>
        <v>0.40894398496240569</v>
      </c>
      <c r="F670" s="17">
        <f t="shared" si="91"/>
        <v>-0.33055601503759391</v>
      </c>
      <c r="G670" s="17">
        <f t="shared" si="110"/>
        <v>4.3554633919571657</v>
      </c>
      <c r="H670" s="17">
        <f t="shared" si="107"/>
        <v>-0.21504778370927316</v>
      </c>
      <c r="K670" s="15">
        <f t="shared" si="86"/>
        <v>7.7776131999235094</v>
      </c>
      <c r="L670" s="15"/>
      <c r="M670" s="13">
        <f t="shared" si="87"/>
        <v>46113</v>
      </c>
      <c r="N670" s="17">
        <f t="shared" si="102"/>
        <v>210.79393201754385</v>
      </c>
      <c r="O670" s="17">
        <f t="shared" si="99"/>
        <v>194.91893201754385</v>
      </c>
      <c r="P670" s="18">
        <f t="shared" si="100"/>
        <v>201.85</v>
      </c>
      <c r="Q670" s="17">
        <f t="shared" si="101"/>
        <v>8.9439320175438617</v>
      </c>
      <c r="R670" s="17">
        <f t="shared" si="101"/>
        <v>-6.9310679824561392</v>
      </c>
      <c r="S670" s="5">
        <f t="shared" si="81"/>
        <v>4.7474756882675511</v>
      </c>
      <c r="T670" s="5">
        <f t="shared" si="98"/>
        <v>0.17696451260111257</v>
      </c>
      <c r="U670" s="1">
        <f t="shared" si="88"/>
        <v>4</v>
      </c>
      <c r="V670" s="1">
        <f t="shared" si="89"/>
        <v>2026</v>
      </c>
      <c r="W670" s="1">
        <v>1.08</v>
      </c>
      <c r="X670" s="4" t="e" vm="1">
        <v>#REF!</v>
      </c>
      <c r="Y670" s="1" t="e" vm="1">
        <v>#REF!</v>
      </c>
      <c r="Z670" s="1" t="e" vm="2">
        <f t="shared" si="96"/>
        <v>#VALUE!</v>
      </c>
      <c r="AA670" s="1" t="e" vm="2">
        <f t="shared" si="97"/>
        <v>#VALUE!</v>
      </c>
      <c r="AC670" s="4">
        <f t="shared" si="111"/>
        <v>45474</v>
      </c>
      <c r="AD670" s="1">
        <f>_xlfn.MINIFS(Y656:Y737,Z656:Z737,AE670,AA656:AA737,AF670)/100</f>
        <v>0</v>
      </c>
      <c r="AE670" s="1">
        <f>MONTH(AC670)</f>
        <v>7</v>
      </c>
      <c r="AF670" s="1">
        <f>YEAR(AC670)</f>
        <v>2024</v>
      </c>
    </row>
    <row r="671" spans="1:32" x14ac:dyDescent="0.25">
      <c r="A671" s="13">
        <v>46143</v>
      </c>
      <c r="B671" s="17">
        <f t="shared" si="103"/>
        <v>4.8945789701526543</v>
      </c>
      <c r="C671" s="17">
        <f t="shared" si="104"/>
        <v>4.4070789701526545</v>
      </c>
      <c r="D671" s="17">
        <f t="shared" si="109"/>
        <v>4.5858317783094096</v>
      </c>
      <c r="E671" s="17">
        <f t="shared" si="93"/>
        <v>0.30874719184324473</v>
      </c>
      <c r="F671" s="17">
        <f t="shared" si="91"/>
        <v>-0.17875280815675509</v>
      </c>
      <c r="G671" s="17">
        <f t="shared" si="110"/>
        <v>4.4136868015037587</v>
      </c>
      <c r="H671" s="17">
        <f t="shared" si="107"/>
        <v>-0.1721449768056505</v>
      </c>
      <c r="K671" s="15">
        <f t="shared" si="86"/>
        <v>7.8815835741138551</v>
      </c>
      <c r="L671" s="15"/>
      <c r="M671" s="13">
        <f t="shared" si="87"/>
        <v>46143</v>
      </c>
      <c r="N671" s="17">
        <f t="shared" si="102"/>
        <v>214.35893201754385</v>
      </c>
      <c r="O671" s="17">
        <f t="shared" si="99"/>
        <v>200.57393201754385</v>
      </c>
      <c r="P671" s="18">
        <f t="shared" si="100"/>
        <v>207.38798558897241</v>
      </c>
      <c r="Q671" s="17">
        <f t="shared" si="101"/>
        <v>6.9709464285714287</v>
      </c>
      <c r="R671" s="17">
        <f t="shared" si="101"/>
        <v>-6.8140535714285706</v>
      </c>
      <c r="S671" s="5">
        <f t="shared" si="81"/>
        <v>4.8777281130662757</v>
      </c>
      <c r="T671" s="5">
        <f t="shared" si="98"/>
        <v>0.29189633475686616</v>
      </c>
      <c r="U671" s="1">
        <f t="shared" si="88"/>
        <v>5</v>
      </c>
      <c r="V671" s="1">
        <f t="shared" si="89"/>
        <v>2026</v>
      </c>
      <c r="W671" s="1">
        <v>1.08</v>
      </c>
      <c r="X671" s="4" t="e" vm="1">
        <v>#REF!</v>
      </c>
      <c r="Y671" s="1" t="e" vm="1">
        <v>#REF!</v>
      </c>
      <c r="Z671" s="1" t="e" vm="2">
        <f t="shared" si="96"/>
        <v>#VALUE!</v>
      </c>
      <c r="AA671" s="1" t="e" vm="2">
        <f t="shared" si="97"/>
        <v>#VALUE!</v>
      </c>
    </row>
    <row r="672" spans="1:32" x14ac:dyDescent="0.25">
      <c r="A672" s="13">
        <v>46174</v>
      </c>
      <c r="B672" s="17">
        <f t="shared" si="103"/>
        <v>4.9002658749145596</v>
      </c>
      <c r="C672" s="17">
        <f t="shared" si="104"/>
        <v>4.167265874914559</v>
      </c>
      <c r="D672" s="17">
        <f t="shared" si="109"/>
        <v>4.5662544827979037</v>
      </c>
      <c r="E672" s="17">
        <f t="shared" si="93"/>
        <v>0.33401139211665587</v>
      </c>
      <c r="F672" s="17">
        <f t="shared" si="91"/>
        <v>-0.39898860788334467</v>
      </c>
      <c r="G672" s="17">
        <f t="shared" si="110"/>
        <v>4.4332456312371837</v>
      </c>
      <c r="H672" s="17">
        <f t="shared" si="107"/>
        <v>-0.13300885156071982</v>
      </c>
      <c r="K672" s="15">
        <f t="shared" si="86"/>
        <v>7.9165100557806856</v>
      </c>
      <c r="L672" s="15"/>
      <c r="M672" s="13">
        <f t="shared" si="87"/>
        <v>46174</v>
      </c>
      <c r="N672" s="17">
        <f t="shared" si="102"/>
        <v>216.29393201754385</v>
      </c>
      <c r="O672" s="17">
        <f t="shared" si="99"/>
        <v>192.77893201754384</v>
      </c>
      <c r="P672" s="18">
        <f t="shared" si="100"/>
        <v>207.26420853269536</v>
      </c>
      <c r="Q672" s="17">
        <f t="shared" si="101"/>
        <v>9.0297234848484837</v>
      </c>
      <c r="R672" s="17">
        <f t="shared" si="101"/>
        <v>-14.485276515151517</v>
      </c>
      <c r="S672" s="5">
        <f t="shared" si="81"/>
        <v>4.8748168989694687</v>
      </c>
      <c r="T672" s="5">
        <f t="shared" si="98"/>
        <v>0.30856241617156499</v>
      </c>
      <c r="U672" s="1">
        <f t="shared" si="88"/>
        <v>6</v>
      </c>
      <c r="V672" s="1">
        <f t="shared" si="89"/>
        <v>2026</v>
      </c>
      <c r="W672" s="1">
        <v>1.08</v>
      </c>
      <c r="X672" s="4" t="e" vm="1">
        <v>#REF!</v>
      </c>
      <c r="Y672" s="1" t="e" vm="1">
        <v>#REF!</v>
      </c>
      <c r="Z672" s="1" t="e" vm="2">
        <f t="shared" si="96"/>
        <v>#VALUE!</v>
      </c>
      <c r="AA672" s="1" t="e" vm="2">
        <f t="shared" si="97"/>
        <v>#VALUE!</v>
      </c>
    </row>
    <row r="673" spans="1:34" x14ac:dyDescent="0.25">
      <c r="A673" s="13">
        <v>46204</v>
      </c>
      <c r="B673" s="17">
        <f t="shared" si="103"/>
        <v>4.0742539701526548</v>
      </c>
      <c r="C673" s="17">
        <f t="shared" si="104"/>
        <v>3.5017539701526541</v>
      </c>
      <c r="D673" s="17">
        <f t="shared" si="109"/>
        <v>3.7725597506466699</v>
      </c>
      <c r="E673" s="17">
        <f t="shared" si="93"/>
        <v>0.30169421950598485</v>
      </c>
      <c r="F673" s="17">
        <f t="shared" si="91"/>
        <v>-0.27080578049401582</v>
      </c>
      <c r="G673" s="17">
        <f t="shared" si="110"/>
        <v>4.0042228236031256</v>
      </c>
      <c r="H673" s="17">
        <f t="shared" si="107"/>
        <v>0.23166307295645533</v>
      </c>
      <c r="K673" s="15">
        <f t="shared" si="86"/>
        <v>7.1503978992912955</v>
      </c>
      <c r="L673" s="15"/>
      <c r="M673" s="13">
        <f t="shared" si="87"/>
        <v>46204</v>
      </c>
      <c r="N673" s="17">
        <f t="shared" si="102"/>
        <v>221.10143201754386</v>
      </c>
      <c r="O673" s="17">
        <f t="shared" si="99"/>
        <v>195.89143201754385</v>
      </c>
      <c r="P673" s="18">
        <f t="shared" si="100"/>
        <v>207.3825262204424</v>
      </c>
      <c r="Q673" s="17">
        <f t="shared" si="101"/>
        <v>13.718905797101453</v>
      </c>
      <c r="R673" s="17">
        <f t="shared" si="101"/>
        <v>-11.491094202898548</v>
      </c>
      <c r="S673" s="5">
        <f t="shared" si="81"/>
        <v>4.8775997097005614</v>
      </c>
      <c r="T673" s="5">
        <f t="shared" si="98"/>
        <v>1.1050399590538915</v>
      </c>
      <c r="U673" s="1">
        <f t="shared" si="88"/>
        <v>7</v>
      </c>
      <c r="V673" s="1">
        <f t="shared" si="89"/>
        <v>2026</v>
      </c>
      <c r="W673" s="1">
        <v>1.08</v>
      </c>
      <c r="X673" s="4" t="e" vm="1">
        <v>#REF!</v>
      </c>
      <c r="Y673" s="1" t="e" vm="1">
        <v>#REF!</v>
      </c>
      <c r="Z673" s="1" t="e" vm="2">
        <f t="shared" si="96"/>
        <v>#VALUE!</v>
      </c>
      <c r="AA673" s="1" t="e" vm="2">
        <f t="shared" si="97"/>
        <v>#VALUE!</v>
      </c>
    </row>
    <row r="674" spans="1:34" x14ac:dyDescent="0.25">
      <c r="A674" s="13">
        <v>46235</v>
      </c>
      <c r="B674" s="17">
        <f t="shared" si="103"/>
        <v>3.9233300037808623</v>
      </c>
      <c r="C674" s="17">
        <f t="shared" si="104"/>
        <v>3.4481300037808622</v>
      </c>
      <c r="D674" s="17">
        <f t="shared" si="109"/>
        <v>3.6659214210592359</v>
      </c>
      <c r="E674" s="17">
        <f t="shared" si="93"/>
        <v>0.25740858272162637</v>
      </c>
      <c r="F674" s="17">
        <f t="shared" si="91"/>
        <v>-0.2177914172783737</v>
      </c>
      <c r="G674" s="17">
        <f t="shared" si="110"/>
        <v>3.8858149737438459</v>
      </c>
      <c r="H674" s="17">
        <f t="shared" si="107"/>
        <v>0.21989355268461014</v>
      </c>
      <c r="K674" s="15">
        <f t="shared" si="86"/>
        <v>6.9389553102568682</v>
      </c>
      <c r="L674" s="15"/>
      <c r="M674" s="13">
        <f t="shared" si="87"/>
        <v>46235</v>
      </c>
      <c r="N674" s="17">
        <f t="shared" si="102"/>
        <v>219.89893201754387</v>
      </c>
      <c r="O674" s="17">
        <f t="shared" si="99"/>
        <v>190.06393201754386</v>
      </c>
      <c r="P674" s="18">
        <f t="shared" si="100"/>
        <v>201.23183548545276</v>
      </c>
      <c r="Q674" s="17">
        <f t="shared" si="101"/>
        <v>18.667096532091101</v>
      </c>
      <c r="R674" s="17">
        <f t="shared" si="101"/>
        <v>-11.1679034679089</v>
      </c>
      <c r="S674" s="5">
        <f t="shared" si="81"/>
        <v>4.7329365700898816</v>
      </c>
      <c r="T674" s="5">
        <f t="shared" si="98"/>
        <v>1.0670151490306456</v>
      </c>
      <c r="U674" s="1">
        <f t="shared" si="88"/>
        <v>8</v>
      </c>
      <c r="V674" s="1">
        <f t="shared" si="89"/>
        <v>2026</v>
      </c>
      <c r="W674" s="1">
        <v>1.08</v>
      </c>
      <c r="X674" s="4" t="e" vm="1">
        <v>#REF!</v>
      </c>
      <c r="Y674" s="1" t="e" vm="1">
        <v>#REF!</v>
      </c>
      <c r="Z674" s="1" t="e" vm="2">
        <f t="shared" si="96"/>
        <v>#VALUE!</v>
      </c>
      <c r="AA674" s="1" t="e" vm="2">
        <f t="shared" si="97"/>
        <v>#VALUE!</v>
      </c>
    </row>
    <row r="675" spans="1:34" x14ac:dyDescent="0.25">
      <c r="A675" s="13">
        <v>46266</v>
      </c>
      <c r="B675" s="17">
        <f t="shared" si="103"/>
        <v>3.9965934939621781</v>
      </c>
      <c r="C675" s="17">
        <f t="shared" si="104"/>
        <v>3.7284934939621781</v>
      </c>
      <c r="D675" s="17">
        <f t="shared" si="109"/>
        <v>3.8582944463431308</v>
      </c>
      <c r="E675" s="17">
        <f t="shared" si="93"/>
        <v>0.13829904761904732</v>
      </c>
      <c r="F675" s="17">
        <f t="shared" si="91"/>
        <v>-0.12980095238095268</v>
      </c>
      <c r="G675" s="17">
        <f t="shared" si="110"/>
        <v>3.8399886491752109</v>
      </c>
      <c r="H675" s="17">
        <f t="shared" si="107"/>
        <v>-1.8305797167919913E-2</v>
      </c>
      <c r="K675" s="15">
        <f t="shared" si="86"/>
        <v>6.8571225878128761</v>
      </c>
      <c r="L675" s="15"/>
      <c r="M675" s="13">
        <f t="shared" si="87"/>
        <v>46266</v>
      </c>
      <c r="N675" s="17">
        <f t="shared" si="102"/>
        <v>201.47893201754385</v>
      </c>
      <c r="O675" s="17">
        <f t="shared" si="99"/>
        <v>193.07143201754386</v>
      </c>
      <c r="P675" s="18">
        <f t="shared" si="100"/>
        <v>197.00253645477329</v>
      </c>
      <c r="Q675" s="17">
        <f t="shared" si="101"/>
        <v>4.4763955627705601</v>
      </c>
      <c r="R675" s="17">
        <f t="shared" si="101"/>
        <v>-3.9311044372294406</v>
      </c>
      <c r="S675" s="5">
        <f t="shared" si="81"/>
        <v>4.6334642177165133</v>
      </c>
      <c r="T675" s="5">
        <f t="shared" si="98"/>
        <v>0.7751697713733825</v>
      </c>
      <c r="U675" s="1">
        <f t="shared" si="88"/>
        <v>9</v>
      </c>
      <c r="V675" s="1">
        <f t="shared" si="89"/>
        <v>2026</v>
      </c>
      <c r="W675" s="1">
        <v>1.08</v>
      </c>
      <c r="X675" s="4" t="e" vm="1">
        <v>#REF!</v>
      </c>
      <c r="Y675" s="1" t="e" vm="1">
        <v>#REF!</v>
      </c>
      <c r="Z675" s="1" t="e" vm="2">
        <f t="shared" si="96"/>
        <v>#VALUE!</v>
      </c>
      <c r="AA675" s="1" t="e" vm="2">
        <f t="shared" si="97"/>
        <v>#VALUE!</v>
      </c>
      <c r="AC675" s="3"/>
      <c r="AH675" s="1" t="s">
        <v>46</v>
      </c>
    </row>
    <row r="676" spans="1:34" x14ac:dyDescent="0.25">
      <c r="A676" s="13">
        <v>46296</v>
      </c>
      <c r="B676" s="17">
        <f t="shared" si="103"/>
        <v>4.1841031137626672</v>
      </c>
      <c r="C676" s="17">
        <f t="shared" si="104"/>
        <v>3.8400031137626676</v>
      </c>
      <c r="D676" s="17">
        <f t="shared" si="109"/>
        <v>3.9904855248298614</v>
      </c>
      <c r="E676" s="17">
        <f t="shared" si="93"/>
        <v>0.19361758893280578</v>
      </c>
      <c r="F676" s="17">
        <f t="shared" si="91"/>
        <v>-0.15048241106719384</v>
      </c>
      <c r="G676" s="17">
        <f t="shared" si="110"/>
        <v>3.7596242754095712</v>
      </c>
      <c r="H676" s="17">
        <f t="shared" si="107"/>
        <v>-0.2308612494202901</v>
      </c>
      <c r="K676" s="15">
        <f t="shared" si="86"/>
        <v>6.7136147775170922</v>
      </c>
      <c r="L676" s="15"/>
      <c r="M676" s="13">
        <f t="shared" si="87"/>
        <v>46296</v>
      </c>
      <c r="N676" s="17">
        <f t="shared" si="102"/>
        <v>207.12643201754386</v>
      </c>
      <c r="O676" s="17">
        <f t="shared" si="99"/>
        <v>193.92393201754385</v>
      </c>
      <c r="P676" s="18">
        <f t="shared" si="100"/>
        <v>201.2028747052909</v>
      </c>
      <c r="Q676" s="17">
        <f t="shared" ref="Q676:R678" si="112">AVERAGE(Q664,Q652,Q640,Q628,Q616,Q604,Q592,Q580,Q568,Q556)</f>
        <v>5.9235573122529619</v>
      </c>
      <c r="R676" s="17">
        <f t="shared" si="112"/>
        <v>-7.2789426877470378</v>
      </c>
      <c r="S676" s="5">
        <f t="shared" si="81"/>
        <v>4.7322554177503635</v>
      </c>
      <c r="T676" s="5">
        <f t="shared" si="98"/>
        <v>0.74176989292050211</v>
      </c>
      <c r="U676" s="1">
        <f t="shared" si="88"/>
        <v>10</v>
      </c>
      <c r="V676" s="1">
        <f t="shared" si="89"/>
        <v>2026</v>
      </c>
      <c r="W676" s="1">
        <v>1.08</v>
      </c>
      <c r="X676" s="4" t="e" vm="1">
        <v>#REF!</v>
      </c>
      <c r="Y676" s="1" t="e" vm="1">
        <v>#REF!</v>
      </c>
      <c r="Z676" s="1" t="e" vm="2">
        <f t="shared" si="96"/>
        <v>#VALUE!</v>
      </c>
      <c r="AA676" s="1" t="e" vm="2">
        <f t="shared" si="97"/>
        <v>#VALUE!</v>
      </c>
    </row>
    <row r="677" spans="1:34" x14ac:dyDescent="0.25">
      <c r="A677" s="13">
        <v>46327</v>
      </c>
      <c r="B677" s="17">
        <f t="shared" si="103"/>
        <v>4.2250284939621778</v>
      </c>
      <c r="C677" s="17">
        <f t="shared" si="104"/>
        <v>3.9297284939621782</v>
      </c>
      <c r="D677" s="17">
        <f t="shared" si="109"/>
        <v>4.0733813511050352</v>
      </c>
      <c r="E677" s="17">
        <f t="shared" si="93"/>
        <v>0.15164714285714265</v>
      </c>
      <c r="F677" s="17">
        <f t="shared" si="91"/>
        <v>-0.14365285714285703</v>
      </c>
      <c r="G677" s="17">
        <f t="shared" si="110"/>
        <v>3.8386356858669402</v>
      </c>
      <c r="H677" s="17">
        <f t="shared" si="107"/>
        <v>-0.2347456652380952</v>
      </c>
      <c r="K677" s="15">
        <f t="shared" si="86"/>
        <v>6.8547065819052495</v>
      </c>
      <c r="L677" s="15"/>
      <c r="M677" s="13">
        <f t="shared" si="87"/>
        <v>46327</v>
      </c>
      <c r="N677" s="17">
        <f t="shared" si="102"/>
        <v>209.16893201754385</v>
      </c>
      <c r="O677" s="17">
        <f t="shared" si="99"/>
        <v>190.50893201754386</v>
      </c>
      <c r="P677" s="18">
        <f t="shared" si="100"/>
        <v>201.55074868421053</v>
      </c>
      <c r="Q677" s="17">
        <f t="shared" si="112"/>
        <v>7.6181833333333344</v>
      </c>
      <c r="R677" s="17">
        <f t="shared" si="112"/>
        <v>-11.041816666666666</v>
      </c>
      <c r="S677" s="5">
        <f t="shared" si="81"/>
        <v>4.74043735115389</v>
      </c>
      <c r="T677" s="5">
        <f t="shared" si="98"/>
        <v>0.66705600004885479</v>
      </c>
      <c r="U677" s="1">
        <f t="shared" si="88"/>
        <v>11</v>
      </c>
      <c r="V677" s="1">
        <f t="shared" si="89"/>
        <v>2026</v>
      </c>
      <c r="W677" s="1">
        <v>1.08</v>
      </c>
      <c r="X677" s="4" t="e" vm="1">
        <v>#REF!</v>
      </c>
      <c r="Y677" s="1" t="e" vm="1">
        <v>#REF!</v>
      </c>
      <c r="Z677" s="1" t="e" vm="2">
        <f t="shared" si="96"/>
        <v>#VALUE!</v>
      </c>
      <c r="AA677" s="1" t="e" vm="2">
        <f t="shared" si="97"/>
        <v>#VALUE!</v>
      </c>
    </row>
    <row r="678" spans="1:34" x14ac:dyDescent="0.25">
      <c r="A678" s="13">
        <v>46357</v>
      </c>
      <c r="B678" s="17">
        <f t="shared" si="103"/>
        <v>4.3600526338573706</v>
      </c>
      <c r="C678" s="17">
        <f t="shared" si="104"/>
        <v>3.9839526338573705</v>
      </c>
      <c r="D678" s="17">
        <f t="shared" si="109"/>
        <v>4.1515238095238089</v>
      </c>
      <c r="E678" s="17">
        <f t="shared" si="93"/>
        <v>0.20852882433356168</v>
      </c>
      <c r="F678" s="17">
        <f t="shared" si="91"/>
        <v>-0.16757117566643842</v>
      </c>
      <c r="G678" s="17">
        <f t="shared" si="110"/>
        <v>3.9414272931077692</v>
      </c>
      <c r="H678" s="17">
        <f t="shared" si="107"/>
        <v>-0.21009651641603985</v>
      </c>
      <c r="K678" s="15">
        <f t="shared" si="86"/>
        <v>7.0382630234067305</v>
      </c>
      <c r="L678" s="15"/>
      <c r="M678" s="13">
        <f t="shared" si="87"/>
        <v>46357</v>
      </c>
      <c r="N678" s="17">
        <f t="shared" si="102"/>
        <v>201.90143201754387</v>
      </c>
      <c r="O678" s="17">
        <f t="shared" si="99"/>
        <v>195.40393201754387</v>
      </c>
      <c r="P678" s="18">
        <f t="shared" si="100"/>
        <v>198.81640653387421</v>
      </c>
      <c r="Q678" s="17">
        <f t="shared" si="112"/>
        <v>3.0850254836696456</v>
      </c>
      <c r="R678" s="17">
        <f t="shared" si="112"/>
        <v>-3.4124745163303545</v>
      </c>
      <c r="S678" s="5">
        <f t="shared" si="81"/>
        <v>4.676126115671468</v>
      </c>
      <c r="T678" s="5">
        <f t="shared" si="98"/>
        <v>0.52460230614765901</v>
      </c>
      <c r="U678" s="1">
        <f>MONTH(M678)</f>
        <v>12</v>
      </c>
      <c r="V678" s="1">
        <f t="shared" si="89"/>
        <v>2026</v>
      </c>
      <c r="W678" s="1">
        <v>1.08</v>
      </c>
      <c r="X678" s="4" t="e" vm="1">
        <v>#REF!</v>
      </c>
      <c r="Y678" s="1" t="e" vm="1">
        <v>#REF!</v>
      </c>
      <c r="Z678" s="1" t="e" vm="2">
        <f t="shared" si="96"/>
        <v>#VALUE!</v>
      </c>
      <c r="AA678" s="1" t="e" vm="2">
        <f t="shared" si="97"/>
        <v>#VALUE!</v>
      </c>
      <c r="AC678" s="19" t="s">
        <v>47</v>
      </c>
    </row>
    <row r="679" spans="1:34" x14ac:dyDescent="0.25">
      <c r="X679" s="4" t="e" vm="1">
        <v>#REF!</v>
      </c>
      <c r="Y679" s="1" t="e" vm="1">
        <v>#REF!</v>
      </c>
      <c r="Z679" s="1" t="e" vm="2">
        <f t="shared" si="96"/>
        <v>#VALUE!</v>
      </c>
      <c r="AA679" s="1" t="e" vm="2">
        <f t="shared" si="97"/>
        <v>#VALUE!</v>
      </c>
    </row>
    <row r="680" spans="1:34" x14ac:dyDescent="0.25">
      <c r="X680" s="4" t="e" vm="1">
        <v>#REF!</v>
      </c>
      <c r="Y680" s="1" t="e" vm="1">
        <v>#REF!</v>
      </c>
      <c r="Z680" s="1" t="e" vm="2">
        <f t="shared" si="96"/>
        <v>#VALUE!</v>
      </c>
      <c r="AA680" s="1" t="e" vm="2">
        <f t="shared" si="97"/>
        <v>#VALUE!</v>
      </c>
    </row>
    <row r="681" spans="1:34" x14ac:dyDescent="0.25">
      <c r="X681" s="4" t="e" vm="1">
        <v>#REF!</v>
      </c>
      <c r="Y681" s="1" t="e" vm="1">
        <v>#REF!</v>
      </c>
      <c r="Z681" s="1" t="e" vm="2">
        <f t="shared" si="96"/>
        <v>#VALUE!</v>
      </c>
      <c r="AA681" s="1" t="e" vm="2">
        <f t="shared" si="97"/>
        <v>#VALUE!</v>
      </c>
      <c r="AC681" s="19" t="s">
        <v>48</v>
      </c>
    </row>
    <row r="682" spans="1:34" x14ac:dyDescent="0.25">
      <c r="X682" s="4" t="e" vm="1">
        <v>#REF!</v>
      </c>
      <c r="Y682" s="1" t="e" vm="1">
        <v>#REF!</v>
      </c>
      <c r="Z682" s="1" t="e" vm="2">
        <f t="shared" si="96"/>
        <v>#VALUE!</v>
      </c>
      <c r="AA682" s="1" t="e" vm="2">
        <f t="shared" si="97"/>
        <v>#VALUE!</v>
      </c>
    </row>
    <row r="683" spans="1:34" x14ac:dyDescent="0.25">
      <c r="X683" s="4" t="e" vm="1">
        <v>#REF!</v>
      </c>
      <c r="Y683" s="1" t="e" vm="1">
        <v>#REF!</v>
      </c>
      <c r="Z683" s="1" t="e" vm="2">
        <f t="shared" si="96"/>
        <v>#VALUE!</v>
      </c>
      <c r="AA683" s="1" t="e" vm="2">
        <f t="shared" si="97"/>
        <v>#VALUE!</v>
      </c>
    </row>
    <row r="684" spans="1:34" x14ac:dyDescent="0.25">
      <c r="X684" s="4" t="e" vm="1">
        <v>#REF!</v>
      </c>
      <c r="Y684" s="1" t="e" vm="1">
        <v>#REF!</v>
      </c>
      <c r="Z684" s="1" t="e" vm="2">
        <f t="shared" si="96"/>
        <v>#VALUE!</v>
      </c>
      <c r="AA684" s="1" t="e" vm="2">
        <f t="shared" si="97"/>
        <v>#VALUE!</v>
      </c>
    </row>
    <row r="685" spans="1:34" x14ac:dyDescent="0.25">
      <c r="X685" s="4" t="e" vm="1">
        <v>#REF!</v>
      </c>
      <c r="Y685" s="1" t="e" vm="1">
        <v>#REF!</v>
      </c>
      <c r="Z685" s="1" t="e" vm="2">
        <f t="shared" si="96"/>
        <v>#VALUE!</v>
      </c>
      <c r="AA685" s="1" t="e" vm="2">
        <f t="shared" si="97"/>
        <v>#VALUE!</v>
      </c>
    </row>
    <row r="686" spans="1:34" x14ac:dyDescent="0.25">
      <c r="X686" s="4" t="e" vm="1">
        <v>#REF!</v>
      </c>
      <c r="Y686" s="1" t="e" vm="1">
        <v>#REF!</v>
      </c>
      <c r="Z686" s="1" t="e" vm="2">
        <f t="shared" si="96"/>
        <v>#VALUE!</v>
      </c>
      <c r="AA686" s="1" t="e" vm="2">
        <f t="shared" si="97"/>
        <v>#VALUE!</v>
      </c>
    </row>
    <row r="687" spans="1:34" x14ac:dyDescent="0.25">
      <c r="X687" s="4" t="e" vm="1">
        <v>#REF!</v>
      </c>
      <c r="Y687" s="1" t="e" vm="1">
        <v>#REF!</v>
      </c>
      <c r="Z687" s="1" t="e" vm="2">
        <f t="shared" si="96"/>
        <v>#VALUE!</v>
      </c>
      <c r="AA687" s="1" t="e" vm="2">
        <f t="shared" si="97"/>
        <v>#VALUE!</v>
      </c>
    </row>
    <row r="688" spans="1:34" x14ac:dyDescent="0.25">
      <c r="X688" s="4" t="e" vm="1">
        <v>#REF!</v>
      </c>
      <c r="Y688" s="1" t="e" vm="1">
        <v>#REF!</v>
      </c>
      <c r="Z688" s="1" t="e" vm="2">
        <f t="shared" si="96"/>
        <v>#VALUE!</v>
      </c>
      <c r="AA688" s="1" t="e" vm="2">
        <f t="shared" si="97"/>
        <v>#VALUE!</v>
      </c>
    </row>
    <row r="689" spans="24:34" x14ac:dyDescent="0.25">
      <c r="X689" s="4" t="e" vm="1">
        <v>#REF!</v>
      </c>
      <c r="Y689" s="1" t="e" vm="1">
        <v>#REF!</v>
      </c>
      <c r="Z689" s="1" t="e" vm="2">
        <f t="shared" si="96"/>
        <v>#VALUE!</v>
      </c>
      <c r="AA689" s="1" t="e" vm="2">
        <f t="shared" si="97"/>
        <v>#VALUE!</v>
      </c>
    </row>
    <row r="690" spans="24:34" x14ac:dyDescent="0.25">
      <c r="X690" s="4" t="e" vm="1">
        <v>#REF!</v>
      </c>
      <c r="Y690" s="1" t="e" vm="1">
        <v>#REF!</v>
      </c>
      <c r="Z690" s="1" t="e" vm="2">
        <f t="shared" si="96"/>
        <v>#VALUE!</v>
      </c>
      <c r="AA690" s="1" t="e" vm="2">
        <f t="shared" si="97"/>
        <v>#VALUE!</v>
      </c>
    </row>
    <row r="691" spans="24:34" x14ac:dyDescent="0.25">
      <c r="X691" s="4" t="e" vm="1">
        <v>#REF!</v>
      </c>
      <c r="Y691" s="1" t="e" vm="1">
        <v>#REF!</v>
      </c>
      <c r="Z691" s="1" t="e" vm="2">
        <f t="shared" si="96"/>
        <v>#VALUE!</v>
      </c>
      <c r="AA691" s="1" t="e" vm="2">
        <f t="shared" si="97"/>
        <v>#VALUE!</v>
      </c>
      <c r="AC691" s="1">
        <f>D609*100</f>
        <v>547.54999999999995</v>
      </c>
    </row>
    <row r="692" spans="24:34" x14ac:dyDescent="0.25">
      <c r="X692" s="4" t="e" vm="1">
        <v>#REF!</v>
      </c>
      <c r="Y692" s="1" t="e" vm="1">
        <v>#REF!</v>
      </c>
      <c r="Z692" s="1" t="e" vm="2">
        <f t="shared" si="96"/>
        <v>#VALUE!</v>
      </c>
      <c r="AA692" s="1" t="e" vm="2">
        <f t="shared" si="97"/>
        <v>#VALUE!</v>
      </c>
    </row>
    <row r="693" spans="24:34" x14ac:dyDescent="0.25">
      <c r="X693" s="4" t="e" vm="1">
        <v>#REF!</v>
      </c>
      <c r="Y693" s="1" t="e" vm="1">
        <v>#REF!</v>
      </c>
      <c r="Z693" s="1" t="e" vm="2">
        <f t="shared" si="96"/>
        <v>#VALUE!</v>
      </c>
      <c r="AA693" s="1" t="e" vm="2">
        <f t="shared" si="97"/>
        <v>#VALUE!</v>
      </c>
    </row>
    <row r="694" spans="24:34" x14ac:dyDescent="0.25">
      <c r="X694" s="4" t="e" vm="1">
        <v>#REF!</v>
      </c>
      <c r="Y694" s="1" t="e" vm="1">
        <v>#REF!</v>
      </c>
      <c r="Z694" s="1" t="e" vm="2">
        <f t="shared" si="96"/>
        <v>#VALUE!</v>
      </c>
      <c r="AA694" s="1" t="e" vm="2">
        <f t="shared" si="97"/>
        <v>#VALUE!</v>
      </c>
    </row>
    <row r="695" spans="24:34" x14ac:dyDescent="0.25">
      <c r="X695" s="4" t="e" vm="1">
        <v>#REF!</v>
      </c>
      <c r="Y695" s="1" t="e" vm="1">
        <v>#REF!</v>
      </c>
      <c r="Z695" s="1" t="e" vm="2">
        <f t="shared" si="96"/>
        <v>#VALUE!</v>
      </c>
      <c r="AA695" s="1" t="e" vm="2">
        <f t="shared" si="97"/>
        <v>#VALUE!</v>
      </c>
    </row>
    <row r="696" spans="24:34" x14ac:dyDescent="0.25">
      <c r="X696" s="4" t="e" vm="1">
        <v>#REF!</v>
      </c>
      <c r="Y696" s="1" t="e" vm="1">
        <v>#REF!</v>
      </c>
      <c r="Z696" s="1" t="e" vm="2">
        <f t="shared" si="96"/>
        <v>#VALUE!</v>
      </c>
      <c r="AA696" s="1" t="e" vm="2">
        <f t="shared" si="97"/>
        <v>#VALUE!</v>
      </c>
    </row>
    <row r="697" spans="24:34" x14ac:dyDescent="0.25">
      <c r="X697" s="4" t="e" vm="1">
        <v>#REF!</v>
      </c>
      <c r="Y697" s="1" t="e" vm="1">
        <v>#REF!</v>
      </c>
      <c r="Z697" s="1" t="e" vm="2">
        <f t="shared" si="96"/>
        <v>#VALUE!</v>
      </c>
      <c r="AA697" s="1" t="e" vm="2">
        <f t="shared" si="97"/>
        <v>#VALUE!</v>
      </c>
      <c r="AD697" s="1" t="str">
        <f>Forecasts!B2</f>
        <v>Forecast</v>
      </c>
      <c r="AE697" s="1" t="str">
        <f>Forecasts!C2</f>
        <v>Low</v>
      </c>
      <c r="AF697" s="1" t="str">
        <f>Forecasts!D2</f>
        <v>High</v>
      </c>
      <c r="AG697" s="1" t="str">
        <f>Forecasts!E2</f>
        <v>Midpoint</v>
      </c>
      <c r="AH697" s="1" t="str">
        <f>Forecasts!F2</f>
        <v>Current</v>
      </c>
    </row>
    <row r="698" spans="24:34" x14ac:dyDescent="0.25">
      <c r="X698" s="4" t="e" vm="1">
        <v>#REF!</v>
      </c>
      <c r="Y698" s="1" t="e" vm="1">
        <v>#REF!</v>
      </c>
      <c r="Z698" s="1" t="e" vm="2">
        <f t="shared" si="96"/>
        <v>#VALUE!</v>
      </c>
      <c r="AA698" s="1" t="e" vm="2">
        <f t="shared" si="97"/>
        <v>#VALUE!</v>
      </c>
      <c r="AC698" s="2" t="e">
        <f>Forecasts!#REF!</f>
        <v>#REF!</v>
      </c>
      <c r="AD698" s="15" t="e">
        <f>Forecasts!#REF!</f>
        <v>#REF!</v>
      </c>
      <c r="AE698" s="15" t="e">
        <f>Forecasts!#REF!</f>
        <v>#REF!</v>
      </c>
      <c r="AF698" s="15" t="e">
        <f>Forecasts!#REF!</f>
        <v>#REF!</v>
      </c>
      <c r="AG698" s="15" t="e">
        <f>Forecasts!#REF!</f>
        <v>#REF!</v>
      </c>
      <c r="AH698" s="15" t="e">
        <f>Forecasts!#REF!</f>
        <v>#REF!</v>
      </c>
    </row>
    <row r="699" spans="24:34" x14ac:dyDescent="0.25">
      <c r="X699" s="4" t="e" vm="1">
        <v>#REF!</v>
      </c>
      <c r="Y699" s="1" t="e" vm="1">
        <v>#REF!</v>
      </c>
      <c r="Z699" s="1" t="e" vm="2">
        <f t="shared" si="96"/>
        <v>#VALUE!</v>
      </c>
      <c r="AA699" s="1" t="e" vm="2">
        <f t="shared" si="97"/>
        <v>#VALUE!</v>
      </c>
      <c r="AC699" s="2" t="e">
        <f>Forecasts!#REF!</f>
        <v>#REF!</v>
      </c>
      <c r="AD699" s="15" t="e">
        <f>Forecasts!#REF!</f>
        <v>#REF!</v>
      </c>
      <c r="AE699" s="15" t="e">
        <f>Forecasts!#REF!</f>
        <v>#REF!</v>
      </c>
      <c r="AF699" s="15" t="e">
        <f>Forecasts!#REF!</f>
        <v>#REF!</v>
      </c>
      <c r="AG699" s="15" t="e">
        <f>Forecasts!#REF!</f>
        <v>#REF!</v>
      </c>
      <c r="AH699" s="15" t="e">
        <f>Forecasts!#REF!</f>
        <v>#REF!</v>
      </c>
    </row>
    <row r="700" spans="24:34" x14ac:dyDescent="0.25">
      <c r="X700" s="4" t="e" vm="1">
        <v>#REF!</v>
      </c>
      <c r="Y700" s="1" t="e" vm="1">
        <v>#REF!</v>
      </c>
      <c r="Z700" s="1" t="e" vm="2">
        <f t="shared" si="96"/>
        <v>#VALUE!</v>
      </c>
      <c r="AA700" s="1" t="e" vm="2">
        <f t="shared" si="97"/>
        <v>#VALUE!</v>
      </c>
      <c r="AC700" s="2" t="e">
        <f>Forecasts!#REF!</f>
        <v>#REF!</v>
      </c>
      <c r="AD700" s="15" t="e">
        <f>Forecasts!#REF!</f>
        <v>#REF!</v>
      </c>
      <c r="AE700" s="15" t="e">
        <f>Forecasts!#REF!</f>
        <v>#REF!</v>
      </c>
      <c r="AF700" s="15" t="e">
        <f>Forecasts!#REF!</f>
        <v>#REF!</v>
      </c>
      <c r="AG700" s="15" t="e">
        <f>Forecasts!#REF!</f>
        <v>#REF!</v>
      </c>
      <c r="AH700" s="15" t="e">
        <f>Forecasts!#REF!</f>
        <v>#REF!</v>
      </c>
    </row>
    <row r="701" spans="24:34" x14ac:dyDescent="0.25">
      <c r="X701" s="4" t="e" vm="1">
        <v>#REF!</v>
      </c>
      <c r="Y701" s="1" t="e" vm="1">
        <v>#REF!</v>
      </c>
      <c r="Z701" s="1" t="e" vm="2">
        <f t="shared" si="96"/>
        <v>#VALUE!</v>
      </c>
      <c r="AA701" s="1" t="e" vm="2">
        <f t="shared" si="97"/>
        <v>#VALUE!</v>
      </c>
      <c r="AC701" s="2" t="e">
        <f>Forecasts!#REF!</f>
        <v>#REF!</v>
      </c>
      <c r="AD701" s="15" t="e">
        <f>Forecasts!#REF!</f>
        <v>#REF!</v>
      </c>
      <c r="AE701" s="15" t="e">
        <f>Forecasts!#REF!</f>
        <v>#REF!</v>
      </c>
      <c r="AF701" s="15" t="e">
        <f>Forecasts!#REF!</f>
        <v>#REF!</v>
      </c>
      <c r="AG701" s="15" t="e">
        <f>Forecasts!#REF!</f>
        <v>#REF!</v>
      </c>
      <c r="AH701" s="15" t="e">
        <f>Forecasts!#REF!</f>
        <v>#REF!</v>
      </c>
    </row>
    <row r="702" spans="24:34" x14ac:dyDescent="0.25">
      <c r="X702" s="4" t="e" vm="1">
        <v>#REF!</v>
      </c>
      <c r="Y702" s="1" t="e" vm="1">
        <v>#REF!</v>
      </c>
      <c r="Z702" s="1" t="e" vm="2">
        <f t="shared" si="96"/>
        <v>#VALUE!</v>
      </c>
      <c r="AA702" s="1" t="e" vm="2">
        <f t="shared" si="97"/>
        <v>#VALUE!</v>
      </c>
    </row>
    <row r="703" spans="24:34" x14ac:dyDescent="0.25">
      <c r="X703" s="4" t="e" vm="1">
        <v>#REF!</v>
      </c>
      <c r="Y703" s="1" t="e" vm="1">
        <v>#REF!</v>
      </c>
      <c r="Z703" s="1" t="e" vm="2">
        <f t="shared" si="96"/>
        <v>#VALUE!</v>
      </c>
      <c r="AA703" s="1" t="e" vm="2">
        <f t="shared" si="97"/>
        <v>#VALUE!</v>
      </c>
    </row>
    <row r="704" spans="24:34" x14ac:dyDescent="0.25">
      <c r="X704" s="4" t="e" vm="1">
        <v>#REF!</v>
      </c>
      <c r="Y704" s="1" t="e" vm="1">
        <v>#REF!</v>
      </c>
      <c r="Z704" s="1" t="e" vm="2">
        <f t="shared" si="96"/>
        <v>#VALUE!</v>
      </c>
      <c r="AA704" s="1" t="e" vm="2">
        <f t="shared" si="97"/>
        <v>#VALUE!</v>
      </c>
    </row>
    <row r="705" spans="24:35" x14ac:dyDescent="0.25">
      <c r="X705" s="4" t="e" vm="1">
        <v>#REF!</v>
      </c>
      <c r="Y705" s="1" t="e" vm="1">
        <v>#REF!</v>
      </c>
      <c r="Z705" s="1" t="e" vm="2">
        <f t="shared" si="96"/>
        <v>#VALUE!</v>
      </c>
      <c r="AA705" s="1" t="e" vm="2">
        <f t="shared" si="97"/>
        <v>#VALUE!</v>
      </c>
      <c r="AE705" s="1">
        <f>Forecasts!N1</f>
        <v>0</v>
      </c>
    </row>
    <row r="706" spans="24:35" x14ac:dyDescent="0.25">
      <c r="X706" s="4" t="e" vm="1">
        <v>#REF!</v>
      </c>
      <c r="Y706" s="1" t="e" vm="1">
        <v>#REF!</v>
      </c>
      <c r="Z706" s="1" t="e" vm="2">
        <f t="shared" si="96"/>
        <v>#VALUE!</v>
      </c>
      <c r="AA706" s="1" t="e" vm="2">
        <f t="shared" si="97"/>
        <v>#VALUE!</v>
      </c>
      <c r="AE706" s="1" t="str">
        <f>Forecasts!V2</f>
        <v>Forecast</v>
      </c>
      <c r="AF706" s="1" t="str">
        <f>Forecasts!W2</f>
        <v>Low</v>
      </c>
      <c r="AG706" s="1" t="str">
        <f>Forecasts!X2</f>
        <v>High</v>
      </c>
      <c r="AH706" s="1" t="str">
        <f>Forecasts!Y2</f>
        <v>Midpoint</v>
      </c>
      <c r="AI706" s="1" t="str">
        <f>Forecasts!Z2</f>
        <v>Current</v>
      </c>
    </row>
    <row r="707" spans="24:35" x14ac:dyDescent="0.25">
      <c r="X707" s="4" t="e" vm="1">
        <v>#REF!</v>
      </c>
      <c r="Y707" s="1" t="e" vm="1">
        <v>#REF!</v>
      </c>
      <c r="Z707" s="1" t="e" vm="2">
        <f t="shared" si="96"/>
        <v>#VALUE!</v>
      </c>
      <c r="AA707" s="1" t="e" vm="2">
        <f t="shared" si="97"/>
        <v>#VALUE!</v>
      </c>
      <c r="AD707" s="2" t="e">
        <f>Forecasts!#REF!</f>
        <v>#REF!</v>
      </c>
      <c r="AE707" s="15" t="e">
        <f>Forecasts!#REF!</f>
        <v>#REF!</v>
      </c>
      <c r="AF707" s="15" t="e">
        <f>Forecasts!#REF!</f>
        <v>#REF!</v>
      </c>
      <c r="AG707" s="15" t="e">
        <f>Forecasts!#REF!</f>
        <v>#REF!</v>
      </c>
      <c r="AH707" s="15" t="e">
        <f>Forecasts!#REF!</f>
        <v>#REF!</v>
      </c>
      <c r="AI707" s="15" t="e">
        <f>Forecasts!#REF!</f>
        <v>#REF!</v>
      </c>
    </row>
    <row r="708" spans="24:35" x14ac:dyDescent="0.25">
      <c r="X708" s="4" t="e" vm="1">
        <v>#REF!</v>
      </c>
      <c r="Y708" s="1" t="e" vm="1">
        <v>#REF!</v>
      </c>
      <c r="Z708" s="1" t="e" vm="2">
        <f t="shared" si="96"/>
        <v>#VALUE!</v>
      </c>
      <c r="AA708" s="1" t="e" vm="2">
        <f t="shared" si="97"/>
        <v>#VALUE!</v>
      </c>
      <c r="AD708" s="2" t="e">
        <f>Forecasts!#REF!</f>
        <v>#REF!</v>
      </c>
      <c r="AE708" s="15" t="e">
        <f>Forecasts!#REF!</f>
        <v>#REF!</v>
      </c>
      <c r="AF708" s="15" t="e">
        <f>Forecasts!#REF!</f>
        <v>#REF!</v>
      </c>
      <c r="AG708" s="15" t="e">
        <f>Forecasts!#REF!</f>
        <v>#REF!</v>
      </c>
      <c r="AH708" s="15" t="e">
        <f>Forecasts!#REF!</f>
        <v>#REF!</v>
      </c>
      <c r="AI708" s="15" t="e">
        <f>Forecasts!#REF!</f>
        <v>#REF!</v>
      </c>
    </row>
    <row r="709" spans="24:35" x14ac:dyDescent="0.25">
      <c r="X709" s="4" t="e" vm="1">
        <v>#REF!</v>
      </c>
      <c r="Y709" s="1" t="e" vm="1">
        <v>#REF!</v>
      </c>
      <c r="Z709" s="1" t="e" vm="2">
        <f t="shared" si="96"/>
        <v>#VALUE!</v>
      </c>
      <c r="AA709" s="1" t="e" vm="2">
        <f t="shared" si="97"/>
        <v>#VALUE!</v>
      </c>
      <c r="AD709" s="2" t="e">
        <f>Forecasts!#REF!</f>
        <v>#REF!</v>
      </c>
      <c r="AE709" s="15" t="e">
        <f>Forecasts!#REF!</f>
        <v>#REF!</v>
      </c>
      <c r="AF709" s="15" t="e">
        <f>Forecasts!#REF!</f>
        <v>#REF!</v>
      </c>
      <c r="AG709" s="15" t="e">
        <f>Forecasts!#REF!</f>
        <v>#REF!</v>
      </c>
      <c r="AH709" s="15" t="e">
        <f>Forecasts!#REF!</f>
        <v>#REF!</v>
      </c>
      <c r="AI709" s="15" t="e">
        <f>Forecasts!#REF!</f>
        <v>#REF!</v>
      </c>
    </row>
    <row r="710" spans="24:35" x14ac:dyDescent="0.25">
      <c r="X710" s="4" t="e" vm="1">
        <v>#REF!</v>
      </c>
      <c r="Y710" s="1" t="e" vm="1">
        <v>#REF!</v>
      </c>
      <c r="Z710" s="1" t="e" vm="2">
        <f t="shared" si="96"/>
        <v>#VALUE!</v>
      </c>
      <c r="AA710" s="1" t="e" vm="2">
        <f t="shared" si="97"/>
        <v>#VALUE!</v>
      </c>
      <c r="AD710" s="2" t="e">
        <f>Forecasts!#REF!</f>
        <v>#REF!</v>
      </c>
      <c r="AE710" s="15" t="e">
        <f>Forecasts!#REF!</f>
        <v>#REF!</v>
      </c>
      <c r="AF710" s="15" t="e">
        <f>Forecasts!#REF!</f>
        <v>#REF!</v>
      </c>
      <c r="AG710" s="15" t="e">
        <f>Forecasts!#REF!</f>
        <v>#REF!</v>
      </c>
      <c r="AH710" s="15" t="e">
        <f>Forecasts!#REF!</f>
        <v>#REF!</v>
      </c>
      <c r="AI710" s="15" t="e">
        <f>Forecasts!#REF!</f>
        <v>#REF!</v>
      </c>
    </row>
    <row r="711" spans="24:35" x14ac:dyDescent="0.25">
      <c r="X711" s="4" t="e" vm="1">
        <v>#REF!</v>
      </c>
      <c r="Y711" s="1" t="e" vm="1">
        <v>#REF!</v>
      </c>
      <c r="Z711" s="1" t="e" vm="2">
        <f t="shared" si="96"/>
        <v>#VALUE!</v>
      </c>
      <c r="AA711" s="1" t="e" vm="2">
        <f t="shared" si="97"/>
        <v>#VALUE!</v>
      </c>
      <c r="AD711" s="2" t="e">
        <f>Forecasts!#REF!</f>
        <v>#REF!</v>
      </c>
      <c r="AE711" s="15" t="e">
        <f>Forecasts!#REF!</f>
        <v>#REF!</v>
      </c>
      <c r="AF711" s="15" t="e">
        <f>Forecasts!#REF!</f>
        <v>#REF!</v>
      </c>
      <c r="AG711" s="15" t="e">
        <f>Forecasts!#REF!</f>
        <v>#REF!</v>
      </c>
      <c r="AH711" s="15" t="e">
        <f>Forecasts!#REF!</f>
        <v>#REF!</v>
      </c>
      <c r="AI711" s="15" t="e">
        <f>Forecasts!#REF!</f>
        <v>#REF!</v>
      </c>
    </row>
    <row r="712" spans="24:35" x14ac:dyDescent="0.25">
      <c r="X712" s="4" t="e" vm="1">
        <v>#REF!</v>
      </c>
      <c r="Y712" s="1" t="e" vm="1">
        <v>#REF!</v>
      </c>
      <c r="Z712" s="1" t="e" vm="2">
        <f t="shared" si="96"/>
        <v>#VALUE!</v>
      </c>
      <c r="AA712" s="1" t="e" vm="2">
        <f t="shared" si="97"/>
        <v>#VALUE!</v>
      </c>
    </row>
    <row r="713" spans="24:35" x14ac:dyDescent="0.25">
      <c r="X713" s="4" t="e" vm="1">
        <v>#REF!</v>
      </c>
      <c r="Y713" s="1" t="e" vm="1">
        <v>#REF!</v>
      </c>
      <c r="Z713" s="1" t="e" vm="2">
        <f t="shared" si="96"/>
        <v>#VALUE!</v>
      </c>
      <c r="AA713" s="1" t="e" vm="2">
        <f t="shared" si="97"/>
        <v>#VALUE!</v>
      </c>
    </row>
    <row r="714" spans="24:35" x14ac:dyDescent="0.25">
      <c r="X714" s="4" t="e" vm="1">
        <v>#REF!</v>
      </c>
      <c r="Y714" s="1" t="e" vm="1">
        <v>#REF!</v>
      </c>
      <c r="Z714" s="1" t="e" vm="2">
        <f t="shared" si="96"/>
        <v>#VALUE!</v>
      </c>
      <c r="AA714" s="1" t="e" vm="2">
        <f t="shared" si="97"/>
        <v>#VALUE!</v>
      </c>
    </row>
    <row r="715" spans="24:35" x14ac:dyDescent="0.25">
      <c r="X715" s="4" t="e" vm="1">
        <v>#REF!</v>
      </c>
      <c r="Y715" s="1" t="e" vm="1">
        <v>#REF!</v>
      </c>
      <c r="Z715" s="1" t="e" vm="2">
        <f t="shared" si="96"/>
        <v>#VALUE!</v>
      </c>
      <c r="AA715" s="1" t="e" vm="2">
        <f t="shared" si="97"/>
        <v>#VALUE!</v>
      </c>
    </row>
    <row r="716" spans="24:35" x14ac:dyDescent="0.25">
      <c r="X716" s="4" t="e" vm="1">
        <v>#REF!</v>
      </c>
      <c r="Y716" s="1" t="e" vm="1">
        <v>#REF!</v>
      </c>
      <c r="Z716" s="1" t="e" vm="2">
        <f t="shared" si="96"/>
        <v>#VALUE!</v>
      </c>
      <c r="AA716" s="1" t="e" vm="2">
        <f t="shared" si="97"/>
        <v>#VALUE!</v>
      </c>
    </row>
    <row r="717" spans="24:35" x14ac:dyDescent="0.25">
      <c r="X717" s="4" t="e" vm="1">
        <v>#REF!</v>
      </c>
      <c r="Y717" s="1" t="e" vm="1">
        <v>#REF!</v>
      </c>
      <c r="Z717" s="1" t="e" vm="2">
        <f t="shared" si="96"/>
        <v>#VALUE!</v>
      </c>
      <c r="AA717" s="1" t="e" vm="2">
        <f t="shared" si="97"/>
        <v>#VALUE!</v>
      </c>
    </row>
    <row r="718" spans="24:35" x14ac:dyDescent="0.25">
      <c r="X718" s="4" t="e" vm="1">
        <v>#REF!</v>
      </c>
      <c r="Y718" s="1" t="e" vm="1">
        <v>#REF!</v>
      </c>
      <c r="Z718" s="1" t="e" vm="2">
        <f t="shared" si="96"/>
        <v>#VALUE!</v>
      </c>
      <c r="AA718" s="1" t="e" vm="2">
        <f t="shared" si="97"/>
        <v>#VALUE!</v>
      </c>
    </row>
    <row r="719" spans="24:35" x14ac:dyDescent="0.25">
      <c r="X719" s="4" t="e" vm="1">
        <v>#REF!</v>
      </c>
      <c r="Y719" s="1" t="e" vm="1">
        <v>#REF!</v>
      </c>
      <c r="Z719" s="1" t="e" vm="2">
        <f t="shared" si="96"/>
        <v>#VALUE!</v>
      </c>
      <c r="AA719" s="1" t="e" vm="2">
        <f t="shared" si="97"/>
        <v>#VALUE!</v>
      </c>
    </row>
    <row r="720" spans="24:35" x14ac:dyDescent="0.25">
      <c r="X720" s="4" t="e" vm="1">
        <v>#REF!</v>
      </c>
      <c r="Y720" s="1" t="e" vm="1">
        <v>#REF!</v>
      </c>
      <c r="Z720" s="1" t="e" vm="2">
        <f t="shared" si="96"/>
        <v>#VALUE!</v>
      </c>
      <c r="AA720" s="1" t="e" vm="2">
        <f t="shared" si="97"/>
        <v>#VALUE!</v>
      </c>
    </row>
    <row r="721" spans="24:27" x14ac:dyDescent="0.25">
      <c r="X721" s="4" t="e" vm="1">
        <v>#REF!</v>
      </c>
      <c r="Y721" s="1" t="e" vm="1">
        <v>#REF!</v>
      </c>
      <c r="Z721" s="1" t="e" vm="2">
        <f t="shared" si="96"/>
        <v>#VALUE!</v>
      </c>
      <c r="AA721" s="1" t="e" vm="2">
        <f t="shared" si="97"/>
        <v>#VALUE!</v>
      </c>
    </row>
    <row r="722" spans="24:27" x14ac:dyDescent="0.25">
      <c r="X722" s="4" t="e" vm="1">
        <v>#REF!</v>
      </c>
      <c r="Y722" s="1" t="e" vm="1">
        <v>#REF!</v>
      </c>
      <c r="Z722" s="1" t="e" vm="2">
        <f t="shared" ref="Z722:Z737" si="113">MONTH(X722)</f>
        <v>#VALUE!</v>
      </c>
      <c r="AA722" s="1" t="e" vm="2">
        <f t="shared" ref="AA722:AA737" si="114">YEAR(X722)</f>
        <v>#VALUE!</v>
      </c>
    </row>
    <row r="723" spans="24:27" x14ac:dyDescent="0.25">
      <c r="X723" s="4" t="e" vm="1">
        <v>#REF!</v>
      </c>
      <c r="Y723" s="1" t="e" vm="1">
        <v>#REF!</v>
      </c>
      <c r="Z723" s="1" t="e" vm="2">
        <f t="shared" si="113"/>
        <v>#VALUE!</v>
      </c>
      <c r="AA723" s="1" t="e" vm="2">
        <f t="shared" si="114"/>
        <v>#VALUE!</v>
      </c>
    </row>
    <row r="724" spans="24:27" x14ac:dyDescent="0.25">
      <c r="X724" s="4" t="e" vm="1">
        <v>#REF!</v>
      </c>
      <c r="Y724" s="1" t="e" vm="1">
        <v>#REF!</v>
      </c>
      <c r="Z724" s="1" t="e" vm="2">
        <f t="shared" si="113"/>
        <v>#VALUE!</v>
      </c>
      <c r="AA724" s="1" t="e" vm="2">
        <f t="shared" si="114"/>
        <v>#VALUE!</v>
      </c>
    </row>
    <row r="725" spans="24:27" x14ac:dyDescent="0.25">
      <c r="X725" s="4" t="e" vm="1">
        <v>#REF!</v>
      </c>
      <c r="Y725" s="1" t="e" vm="1">
        <v>#REF!</v>
      </c>
      <c r="Z725" s="1" t="e" vm="2">
        <f t="shared" si="113"/>
        <v>#VALUE!</v>
      </c>
      <c r="AA725" s="1" t="e" vm="2">
        <f t="shared" si="114"/>
        <v>#VALUE!</v>
      </c>
    </row>
    <row r="726" spans="24:27" x14ac:dyDescent="0.25">
      <c r="X726" s="4" t="e" vm="1">
        <v>#REF!</v>
      </c>
      <c r="Y726" s="1" t="e" vm="1">
        <v>#REF!</v>
      </c>
      <c r="Z726" s="1" t="e" vm="2">
        <f t="shared" si="113"/>
        <v>#VALUE!</v>
      </c>
      <c r="AA726" s="1" t="e" vm="2">
        <f t="shared" si="114"/>
        <v>#VALUE!</v>
      </c>
    </row>
    <row r="727" spans="24:27" x14ac:dyDescent="0.25">
      <c r="X727" s="4" t="e" vm="1">
        <v>#REF!</v>
      </c>
      <c r="Y727" s="1" t="e" vm="1">
        <v>#REF!</v>
      </c>
      <c r="Z727" s="1" t="e" vm="2">
        <f t="shared" si="113"/>
        <v>#VALUE!</v>
      </c>
      <c r="AA727" s="1" t="e" vm="2">
        <f t="shared" si="114"/>
        <v>#VALUE!</v>
      </c>
    </row>
    <row r="728" spans="24:27" x14ac:dyDescent="0.25">
      <c r="X728" s="4" t="e" vm="1">
        <v>#REF!</v>
      </c>
      <c r="Y728" s="1" t="e" vm="1">
        <v>#REF!</v>
      </c>
      <c r="Z728" s="1" t="e" vm="2">
        <f t="shared" si="113"/>
        <v>#VALUE!</v>
      </c>
      <c r="AA728" s="1" t="e" vm="2">
        <f t="shared" si="114"/>
        <v>#VALUE!</v>
      </c>
    </row>
    <row r="729" spans="24:27" x14ac:dyDescent="0.25">
      <c r="X729" s="4" t="e" vm="1">
        <v>#REF!</v>
      </c>
      <c r="Y729" s="1" t="e" vm="1">
        <v>#REF!</v>
      </c>
      <c r="Z729" s="1" t="e" vm="2">
        <f t="shared" si="113"/>
        <v>#VALUE!</v>
      </c>
      <c r="AA729" s="1" t="e" vm="2">
        <f t="shared" si="114"/>
        <v>#VALUE!</v>
      </c>
    </row>
    <row r="730" spans="24:27" x14ac:dyDescent="0.25">
      <c r="X730" s="4" t="e" vm="1">
        <v>#REF!</v>
      </c>
      <c r="Y730" s="1" t="e" vm="1">
        <v>#REF!</v>
      </c>
      <c r="Z730" s="1" t="e" vm="2">
        <f t="shared" si="113"/>
        <v>#VALUE!</v>
      </c>
      <c r="AA730" s="1" t="e" vm="2">
        <f t="shared" si="114"/>
        <v>#VALUE!</v>
      </c>
    </row>
    <row r="731" spans="24:27" x14ac:dyDescent="0.25">
      <c r="X731" s="4" t="e" vm="1">
        <v>#REF!</v>
      </c>
      <c r="Y731" s="1" t="e" vm="1">
        <v>#REF!</v>
      </c>
      <c r="Z731" s="1" t="e" vm="2">
        <f t="shared" si="113"/>
        <v>#VALUE!</v>
      </c>
      <c r="AA731" s="1" t="e" vm="2">
        <f t="shared" si="114"/>
        <v>#VALUE!</v>
      </c>
    </row>
    <row r="732" spans="24:27" x14ac:dyDescent="0.25">
      <c r="X732" s="4" t="e" vm="1">
        <v>#REF!</v>
      </c>
      <c r="Y732" s="1" t="e" vm="1">
        <v>#REF!</v>
      </c>
      <c r="Z732" s="1" t="e" vm="2">
        <f t="shared" si="113"/>
        <v>#VALUE!</v>
      </c>
      <c r="AA732" s="1" t="e" vm="2">
        <f t="shared" si="114"/>
        <v>#VALUE!</v>
      </c>
    </row>
    <row r="733" spans="24:27" x14ac:dyDescent="0.25">
      <c r="X733" s="4" t="e" vm="1">
        <v>#REF!</v>
      </c>
      <c r="Y733" s="1" t="e" vm="1">
        <v>#REF!</v>
      </c>
      <c r="Z733" s="1" t="e" vm="2">
        <f t="shared" si="113"/>
        <v>#VALUE!</v>
      </c>
      <c r="AA733" s="1" t="e" vm="2">
        <f t="shared" si="114"/>
        <v>#VALUE!</v>
      </c>
    </row>
    <row r="734" spans="24:27" x14ac:dyDescent="0.25">
      <c r="X734" s="4" t="e" vm="1">
        <v>#REF!</v>
      </c>
      <c r="Y734" s="1" t="e" vm="1">
        <v>#REF!</v>
      </c>
      <c r="Z734" s="1" t="e" vm="2">
        <f t="shared" si="113"/>
        <v>#VALUE!</v>
      </c>
      <c r="AA734" s="1" t="e" vm="2">
        <f t="shared" si="114"/>
        <v>#VALUE!</v>
      </c>
    </row>
    <row r="735" spans="24:27" x14ac:dyDescent="0.25">
      <c r="X735" s="4" t="e" vm="1">
        <v>#REF!</v>
      </c>
      <c r="Y735" s="1" t="e" vm="1">
        <v>#REF!</v>
      </c>
      <c r="Z735" s="1" t="e" vm="2">
        <f t="shared" si="113"/>
        <v>#VALUE!</v>
      </c>
      <c r="AA735" s="1" t="e" vm="2">
        <f t="shared" si="114"/>
        <v>#VALUE!</v>
      </c>
    </row>
    <row r="736" spans="24:27" x14ac:dyDescent="0.25">
      <c r="X736" s="4" t="e" vm="1">
        <v>#REF!</v>
      </c>
      <c r="Y736" s="1" t="e" vm="1">
        <v>#REF!</v>
      </c>
      <c r="Z736" s="1" t="e" vm="2">
        <f t="shared" si="113"/>
        <v>#VALUE!</v>
      </c>
      <c r="AA736" s="1" t="e" vm="2">
        <f t="shared" si="114"/>
        <v>#VALUE!</v>
      </c>
    </row>
    <row r="737" spans="24:27" x14ac:dyDescent="0.25">
      <c r="X737" s="4" t="e" vm="1">
        <v>#REF!</v>
      </c>
      <c r="Y737" s="1" t="e" vm="1">
        <v>#REF!</v>
      </c>
      <c r="Z737" s="1" t="e" vm="2">
        <f t="shared" si="113"/>
        <v>#VALUE!</v>
      </c>
      <c r="AA737" s="1" t="e" vm="2">
        <f t="shared" si="114"/>
        <v>#VALUE!</v>
      </c>
    </row>
  </sheetData>
  <mergeCells count="6">
    <mergeCell ref="T1:T2"/>
    <mergeCell ref="G1:G2"/>
    <mergeCell ref="H1:H2"/>
    <mergeCell ref="I1:I2"/>
    <mergeCell ref="J1:J2"/>
    <mergeCell ref="K1:K2"/>
  </mergeCells>
  <hyperlinks>
    <hyperlink ref="AC678" r:id="rId1" xr:uid="{BBA7C758-5ABA-4BB9-A64F-849197DD288F}"/>
    <hyperlink ref="AC681" r:id="rId2" xr:uid="{89017BE1-BF70-4502-A1EE-67E1F1F2CA38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DF95-A6BE-4349-9AA0-4779BBC311F0}">
  <dimension ref="A2:F6383"/>
  <sheetViews>
    <sheetView topLeftCell="A6284" workbookViewId="0">
      <selection activeCell="U16" sqref="U16"/>
    </sheetView>
  </sheetViews>
  <sheetFormatPr defaultColWidth="9" defaultRowHeight="12.75" x14ac:dyDescent="0.2"/>
  <cols>
    <col min="1" max="1" width="10" style="20" bestFit="1" customWidth="1"/>
  </cols>
  <sheetData>
    <row r="2" spans="1:6" x14ac:dyDescent="0.2">
      <c r="A2" s="20">
        <v>36529</v>
      </c>
      <c r="B2">
        <v>132</v>
      </c>
      <c r="E2">
        <f>MONTH(A2)</f>
        <v>1</v>
      </c>
      <c r="F2">
        <f>YEAR(A2)</f>
        <v>2000</v>
      </c>
    </row>
    <row r="3" spans="1:6" x14ac:dyDescent="0.2">
      <c r="A3" s="20">
        <v>36530</v>
      </c>
      <c r="B3">
        <v>132</v>
      </c>
      <c r="E3">
        <f t="shared" ref="E3:E66" si="0">MONTH(A3)</f>
        <v>1</v>
      </c>
      <c r="F3">
        <f t="shared" ref="F3:F66" si="1">YEAR(A3)</f>
        <v>2000</v>
      </c>
    </row>
    <row r="4" spans="1:6" x14ac:dyDescent="0.2">
      <c r="A4" s="20">
        <v>36531</v>
      </c>
      <c r="B4">
        <v>132</v>
      </c>
      <c r="E4">
        <f t="shared" si="0"/>
        <v>1</v>
      </c>
      <c r="F4">
        <f t="shared" si="1"/>
        <v>2000</v>
      </c>
    </row>
    <row r="5" spans="1:6" x14ac:dyDescent="0.2">
      <c r="A5" s="20">
        <v>36532</v>
      </c>
      <c r="B5">
        <v>132</v>
      </c>
      <c r="E5">
        <f t="shared" si="0"/>
        <v>1</v>
      </c>
      <c r="F5">
        <f t="shared" si="1"/>
        <v>2000</v>
      </c>
    </row>
    <row r="6" spans="1:6" x14ac:dyDescent="0.2">
      <c r="A6" s="20">
        <v>36535</v>
      </c>
      <c r="B6">
        <v>132</v>
      </c>
      <c r="E6">
        <f t="shared" si="0"/>
        <v>1</v>
      </c>
      <c r="F6">
        <f t="shared" si="1"/>
        <v>2000</v>
      </c>
    </row>
    <row r="7" spans="1:6" x14ac:dyDescent="0.2">
      <c r="A7" s="20">
        <v>36536</v>
      </c>
      <c r="B7">
        <v>132</v>
      </c>
      <c r="E7">
        <f t="shared" si="0"/>
        <v>1</v>
      </c>
      <c r="F7">
        <f t="shared" si="1"/>
        <v>2000</v>
      </c>
    </row>
    <row r="8" spans="1:6" x14ac:dyDescent="0.2">
      <c r="A8" s="20">
        <v>36537</v>
      </c>
      <c r="B8">
        <v>132</v>
      </c>
      <c r="E8">
        <f t="shared" si="0"/>
        <v>1</v>
      </c>
      <c r="F8">
        <f t="shared" si="1"/>
        <v>2000</v>
      </c>
    </row>
    <row r="9" spans="1:6" x14ac:dyDescent="0.2">
      <c r="A9" s="20">
        <v>36538</v>
      </c>
      <c r="B9">
        <v>132</v>
      </c>
      <c r="E9">
        <f t="shared" si="0"/>
        <v>1</v>
      </c>
      <c r="F9">
        <f t="shared" si="1"/>
        <v>2000</v>
      </c>
    </row>
    <row r="10" spans="1:6" x14ac:dyDescent="0.2">
      <c r="A10" s="20">
        <v>36539</v>
      </c>
      <c r="B10">
        <v>132</v>
      </c>
      <c r="E10">
        <f t="shared" si="0"/>
        <v>1</v>
      </c>
      <c r="F10">
        <f t="shared" si="1"/>
        <v>2000</v>
      </c>
    </row>
    <row r="11" spans="1:6" x14ac:dyDescent="0.2">
      <c r="A11" s="20">
        <v>36542</v>
      </c>
      <c r="B11">
        <v>132.25</v>
      </c>
      <c r="E11">
        <f t="shared" si="0"/>
        <v>1</v>
      </c>
      <c r="F11">
        <f t="shared" si="1"/>
        <v>2000</v>
      </c>
    </row>
    <row r="12" spans="1:6" x14ac:dyDescent="0.2">
      <c r="A12" s="20">
        <v>36543</v>
      </c>
      <c r="B12">
        <v>132.75</v>
      </c>
      <c r="E12">
        <f t="shared" si="0"/>
        <v>1</v>
      </c>
      <c r="F12">
        <f t="shared" si="1"/>
        <v>2000</v>
      </c>
    </row>
    <row r="13" spans="1:6" x14ac:dyDescent="0.2">
      <c r="A13" s="20">
        <v>36544</v>
      </c>
      <c r="B13">
        <v>132.75</v>
      </c>
      <c r="E13">
        <f t="shared" si="0"/>
        <v>1</v>
      </c>
      <c r="F13">
        <f t="shared" si="1"/>
        <v>2000</v>
      </c>
    </row>
    <row r="14" spans="1:6" x14ac:dyDescent="0.2">
      <c r="A14" s="20">
        <v>36545</v>
      </c>
      <c r="B14">
        <v>132.75</v>
      </c>
      <c r="E14">
        <f t="shared" si="0"/>
        <v>1</v>
      </c>
      <c r="F14">
        <f t="shared" si="1"/>
        <v>2000</v>
      </c>
    </row>
    <row r="15" spans="1:6" x14ac:dyDescent="0.2">
      <c r="A15" s="20">
        <v>36546</v>
      </c>
      <c r="B15">
        <v>133</v>
      </c>
      <c r="E15">
        <f t="shared" si="0"/>
        <v>1</v>
      </c>
      <c r="F15">
        <f t="shared" si="1"/>
        <v>2000</v>
      </c>
    </row>
    <row r="16" spans="1:6" x14ac:dyDescent="0.2">
      <c r="A16" s="20">
        <v>36549</v>
      </c>
      <c r="B16">
        <v>133</v>
      </c>
      <c r="E16">
        <f t="shared" si="0"/>
        <v>1</v>
      </c>
      <c r="F16">
        <f t="shared" si="1"/>
        <v>2000</v>
      </c>
    </row>
    <row r="17" spans="1:6" x14ac:dyDescent="0.2">
      <c r="A17" s="20">
        <v>36550</v>
      </c>
      <c r="B17">
        <v>132.5</v>
      </c>
      <c r="E17">
        <f t="shared" si="0"/>
        <v>1</v>
      </c>
      <c r="F17">
        <f t="shared" si="1"/>
        <v>2000</v>
      </c>
    </row>
    <row r="18" spans="1:6" x14ac:dyDescent="0.2">
      <c r="A18" s="20">
        <v>36551</v>
      </c>
      <c r="B18">
        <v>132.5</v>
      </c>
      <c r="E18">
        <f t="shared" si="0"/>
        <v>1</v>
      </c>
      <c r="F18">
        <f t="shared" si="1"/>
        <v>2000</v>
      </c>
    </row>
    <row r="19" spans="1:6" x14ac:dyDescent="0.2">
      <c r="A19" s="20">
        <v>36552</v>
      </c>
      <c r="B19">
        <v>133</v>
      </c>
      <c r="E19">
        <f t="shared" si="0"/>
        <v>1</v>
      </c>
      <c r="F19">
        <f t="shared" si="1"/>
        <v>2000</v>
      </c>
    </row>
    <row r="20" spans="1:6" x14ac:dyDescent="0.2">
      <c r="A20" s="20">
        <v>36553</v>
      </c>
      <c r="B20">
        <v>133</v>
      </c>
      <c r="E20">
        <f t="shared" si="0"/>
        <v>1</v>
      </c>
      <c r="F20">
        <f t="shared" si="1"/>
        <v>2000</v>
      </c>
    </row>
    <row r="21" spans="1:6" x14ac:dyDescent="0.2">
      <c r="A21" s="20">
        <v>36556</v>
      </c>
      <c r="B21">
        <v>133</v>
      </c>
      <c r="E21">
        <f t="shared" si="0"/>
        <v>1</v>
      </c>
      <c r="F21">
        <f t="shared" si="1"/>
        <v>2000</v>
      </c>
    </row>
    <row r="22" spans="1:6" x14ac:dyDescent="0.2">
      <c r="A22" s="20">
        <v>36557</v>
      </c>
      <c r="B22">
        <v>135</v>
      </c>
      <c r="E22">
        <f t="shared" si="0"/>
        <v>2</v>
      </c>
      <c r="F22">
        <f t="shared" si="1"/>
        <v>2000</v>
      </c>
    </row>
    <row r="23" spans="1:6" x14ac:dyDescent="0.2">
      <c r="A23" s="20">
        <v>36558</v>
      </c>
      <c r="B23">
        <v>135</v>
      </c>
      <c r="E23">
        <f t="shared" si="0"/>
        <v>2</v>
      </c>
      <c r="F23">
        <f t="shared" si="1"/>
        <v>2000</v>
      </c>
    </row>
    <row r="24" spans="1:6" x14ac:dyDescent="0.2">
      <c r="A24" s="20">
        <v>36559</v>
      </c>
      <c r="B24">
        <v>135</v>
      </c>
      <c r="E24">
        <f t="shared" si="0"/>
        <v>2</v>
      </c>
      <c r="F24">
        <f t="shared" si="1"/>
        <v>2000</v>
      </c>
    </row>
    <row r="25" spans="1:6" x14ac:dyDescent="0.2">
      <c r="A25" s="20">
        <v>36560</v>
      </c>
      <c r="B25">
        <v>135</v>
      </c>
      <c r="E25">
        <f t="shared" si="0"/>
        <v>2</v>
      </c>
      <c r="F25">
        <f t="shared" si="1"/>
        <v>2000</v>
      </c>
    </row>
    <row r="26" spans="1:6" x14ac:dyDescent="0.2">
      <c r="A26" s="20">
        <v>36563</v>
      </c>
      <c r="B26">
        <v>135</v>
      </c>
      <c r="E26">
        <f t="shared" si="0"/>
        <v>2</v>
      </c>
      <c r="F26">
        <f t="shared" si="1"/>
        <v>2000</v>
      </c>
    </row>
    <row r="27" spans="1:6" x14ac:dyDescent="0.2">
      <c r="A27" s="20">
        <v>36564</v>
      </c>
      <c r="B27">
        <v>135.75</v>
      </c>
      <c r="E27">
        <f t="shared" si="0"/>
        <v>2</v>
      </c>
      <c r="F27">
        <f t="shared" si="1"/>
        <v>2000</v>
      </c>
    </row>
    <row r="28" spans="1:6" x14ac:dyDescent="0.2">
      <c r="A28" s="20">
        <v>36565</v>
      </c>
      <c r="B28">
        <v>135.75</v>
      </c>
      <c r="E28">
        <f t="shared" si="0"/>
        <v>2</v>
      </c>
      <c r="F28">
        <f t="shared" si="1"/>
        <v>2000</v>
      </c>
    </row>
    <row r="29" spans="1:6" x14ac:dyDescent="0.2">
      <c r="A29" s="20">
        <v>36566</v>
      </c>
      <c r="B29">
        <v>135.75</v>
      </c>
      <c r="E29">
        <f t="shared" si="0"/>
        <v>2</v>
      </c>
      <c r="F29">
        <f t="shared" si="1"/>
        <v>2000</v>
      </c>
    </row>
    <row r="30" spans="1:6" x14ac:dyDescent="0.2">
      <c r="A30" s="20">
        <v>36567</v>
      </c>
      <c r="B30">
        <v>135.75</v>
      </c>
      <c r="E30">
        <f t="shared" si="0"/>
        <v>2</v>
      </c>
      <c r="F30">
        <f t="shared" si="1"/>
        <v>2000</v>
      </c>
    </row>
    <row r="31" spans="1:6" x14ac:dyDescent="0.2">
      <c r="A31" s="20">
        <v>36570</v>
      </c>
      <c r="B31">
        <v>135.75</v>
      </c>
      <c r="E31">
        <f t="shared" si="0"/>
        <v>2</v>
      </c>
      <c r="F31">
        <f t="shared" si="1"/>
        <v>2000</v>
      </c>
    </row>
    <row r="32" spans="1:6" x14ac:dyDescent="0.2">
      <c r="A32" s="20">
        <v>36571</v>
      </c>
      <c r="B32">
        <v>135.75</v>
      </c>
      <c r="E32">
        <f t="shared" si="0"/>
        <v>2</v>
      </c>
      <c r="F32">
        <f t="shared" si="1"/>
        <v>2000</v>
      </c>
    </row>
    <row r="33" spans="1:6" x14ac:dyDescent="0.2">
      <c r="A33" s="20">
        <v>36572</v>
      </c>
      <c r="B33">
        <v>135.75</v>
      </c>
      <c r="E33">
        <f t="shared" si="0"/>
        <v>2</v>
      </c>
      <c r="F33">
        <f t="shared" si="1"/>
        <v>2000</v>
      </c>
    </row>
    <row r="34" spans="1:6" x14ac:dyDescent="0.2">
      <c r="A34" s="20">
        <v>36573</v>
      </c>
      <c r="B34">
        <v>135.75</v>
      </c>
      <c r="E34">
        <f t="shared" si="0"/>
        <v>2</v>
      </c>
      <c r="F34">
        <f t="shared" si="1"/>
        <v>2000</v>
      </c>
    </row>
    <row r="35" spans="1:6" x14ac:dyDescent="0.2">
      <c r="A35" s="20">
        <v>36574</v>
      </c>
      <c r="B35">
        <v>135.75</v>
      </c>
      <c r="E35">
        <f t="shared" si="0"/>
        <v>2</v>
      </c>
      <c r="F35">
        <f t="shared" si="1"/>
        <v>2000</v>
      </c>
    </row>
    <row r="36" spans="1:6" x14ac:dyDescent="0.2">
      <c r="A36" s="20">
        <v>36577</v>
      </c>
      <c r="B36">
        <v>135.75</v>
      </c>
      <c r="E36">
        <f t="shared" si="0"/>
        <v>2</v>
      </c>
      <c r="F36">
        <f t="shared" si="1"/>
        <v>2000</v>
      </c>
    </row>
    <row r="37" spans="1:6" x14ac:dyDescent="0.2">
      <c r="A37" s="20">
        <v>36578</v>
      </c>
      <c r="B37">
        <v>135.75</v>
      </c>
      <c r="E37">
        <f t="shared" si="0"/>
        <v>2</v>
      </c>
      <c r="F37">
        <f t="shared" si="1"/>
        <v>2000</v>
      </c>
    </row>
    <row r="38" spans="1:6" x14ac:dyDescent="0.2">
      <c r="A38" s="20">
        <v>36579</v>
      </c>
      <c r="B38">
        <v>135.75</v>
      </c>
      <c r="E38">
        <f t="shared" si="0"/>
        <v>2</v>
      </c>
      <c r="F38">
        <f t="shared" si="1"/>
        <v>2000</v>
      </c>
    </row>
    <row r="39" spans="1:6" x14ac:dyDescent="0.2">
      <c r="A39" s="20">
        <v>36580</v>
      </c>
      <c r="B39">
        <v>135.75</v>
      </c>
      <c r="E39">
        <f t="shared" si="0"/>
        <v>2</v>
      </c>
      <c r="F39">
        <f t="shared" si="1"/>
        <v>2000</v>
      </c>
    </row>
    <row r="40" spans="1:6" x14ac:dyDescent="0.2">
      <c r="A40" s="20">
        <v>36581</v>
      </c>
      <c r="B40">
        <v>135.75</v>
      </c>
      <c r="E40">
        <f t="shared" si="0"/>
        <v>2</v>
      </c>
      <c r="F40">
        <f t="shared" si="1"/>
        <v>2000</v>
      </c>
    </row>
    <row r="41" spans="1:6" x14ac:dyDescent="0.2">
      <c r="A41" s="20">
        <v>36584</v>
      </c>
      <c r="B41">
        <v>135.75</v>
      </c>
      <c r="E41">
        <f t="shared" si="0"/>
        <v>2</v>
      </c>
      <c r="F41">
        <f t="shared" si="1"/>
        <v>2000</v>
      </c>
    </row>
    <row r="42" spans="1:6" x14ac:dyDescent="0.2">
      <c r="A42" s="20">
        <v>36585</v>
      </c>
      <c r="B42" t="s">
        <v>49</v>
      </c>
      <c r="E42">
        <f t="shared" si="0"/>
        <v>2</v>
      </c>
      <c r="F42">
        <f t="shared" si="1"/>
        <v>2000</v>
      </c>
    </row>
    <row r="43" spans="1:6" x14ac:dyDescent="0.2">
      <c r="A43" s="20">
        <v>36586</v>
      </c>
      <c r="B43">
        <v>136.25</v>
      </c>
      <c r="E43">
        <f t="shared" si="0"/>
        <v>3</v>
      </c>
      <c r="F43">
        <f t="shared" si="1"/>
        <v>2000</v>
      </c>
    </row>
    <row r="44" spans="1:6" x14ac:dyDescent="0.2">
      <c r="A44" s="20">
        <v>36587</v>
      </c>
      <c r="B44">
        <v>136.25</v>
      </c>
      <c r="E44">
        <f t="shared" si="0"/>
        <v>3</v>
      </c>
      <c r="F44">
        <f t="shared" si="1"/>
        <v>2000</v>
      </c>
    </row>
    <row r="45" spans="1:6" x14ac:dyDescent="0.2">
      <c r="A45" s="20">
        <v>36588</v>
      </c>
      <c r="B45">
        <v>136.5</v>
      </c>
      <c r="E45">
        <f t="shared" si="0"/>
        <v>3</v>
      </c>
      <c r="F45">
        <f t="shared" si="1"/>
        <v>2000</v>
      </c>
    </row>
    <row r="46" spans="1:6" x14ac:dyDescent="0.2">
      <c r="A46" s="20">
        <v>36591</v>
      </c>
      <c r="B46">
        <v>136.5</v>
      </c>
      <c r="E46">
        <f t="shared" si="0"/>
        <v>3</v>
      </c>
      <c r="F46">
        <f t="shared" si="1"/>
        <v>2000</v>
      </c>
    </row>
    <row r="47" spans="1:6" x14ac:dyDescent="0.2">
      <c r="A47" s="20">
        <v>36592</v>
      </c>
      <c r="B47">
        <v>136.5</v>
      </c>
      <c r="E47">
        <f t="shared" si="0"/>
        <v>3</v>
      </c>
      <c r="F47">
        <f t="shared" si="1"/>
        <v>2000</v>
      </c>
    </row>
    <row r="48" spans="1:6" x14ac:dyDescent="0.2">
      <c r="A48" s="20">
        <v>36593</v>
      </c>
      <c r="B48">
        <v>136.5</v>
      </c>
      <c r="E48">
        <f t="shared" si="0"/>
        <v>3</v>
      </c>
      <c r="F48">
        <f t="shared" si="1"/>
        <v>2000</v>
      </c>
    </row>
    <row r="49" spans="1:6" x14ac:dyDescent="0.2">
      <c r="A49" s="20">
        <v>36594</v>
      </c>
      <c r="B49">
        <v>136.5</v>
      </c>
      <c r="E49">
        <f t="shared" si="0"/>
        <v>3</v>
      </c>
      <c r="F49">
        <f t="shared" si="1"/>
        <v>2000</v>
      </c>
    </row>
    <row r="50" spans="1:6" x14ac:dyDescent="0.2">
      <c r="A50" s="20">
        <v>36595</v>
      </c>
      <c r="B50">
        <v>137</v>
      </c>
      <c r="E50">
        <f t="shared" si="0"/>
        <v>3</v>
      </c>
      <c r="F50">
        <f t="shared" si="1"/>
        <v>2000</v>
      </c>
    </row>
    <row r="51" spans="1:6" x14ac:dyDescent="0.2">
      <c r="A51" s="20">
        <v>36598</v>
      </c>
      <c r="B51">
        <v>137</v>
      </c>
      <c r="E51">
        <f t="shared" si="0"/>
        <v>3</v>
      </c>
      <c r="F51">
        <f t="shared" si="1"/>
        <v>2000</v>
      </c>
    </row>
    <row r="52" spans="1:6" x14ac:dyDescent="0.2">
      <c r="A52" s="20">
        <v>36599</v>
      </c>
      <c r="B52">
        <v>137</v>
      </c>
      <c r="E52">
        <f t="shared" si="0"/>
        <v>3</v>
      </c>
      <c r="F52">
        <f t="shared" si="1"/>
        <v>2000</v>
      </c>
    </row>
    <row r="53" spans="1:6" x14ac:dyDescent="0.2">
      <c r="A53" s="20">
        <v>36600</v>
      </c>
      <c r="B53">
        <v>137</v>
      </c>
      <c r="E53">
        <f t="shared" si="0"/>
        <v>3</v>
      </c>
      <c r="F53">
        <f t="shared" si="1"/>
        <v>2000</v>
      </c>
    </row>
    <row r="54" spans="1:6" x14ac:dyDescent="0.2">
      <c r="A54" s="20">
        <v>36601</v>
      </c>
      <c r="B54">
        <v>136.75</v>
      </c>
      <c r="E54">
        <f t="shared" si="0"/>
        <v>3</v>
      </c>
      <c r="F54">
        <f t="shared" si="1"/>
        <v>2000</v>
      </c>
    </row>
    <row r="55" spans="1:6" x14ac:dyDescent="0.2">
      <c r="A55" s="20">
        <v>36602</v>
      </c>
      <c r="B55">
        <v>136.75</v>
      </c>
      <c r="E55">
        <f t="shared" si="0"/>
        <v>3</v>
      </c>
      <c r="F55">
        <f t="shared" si="1"/>
        <v>2000</v>
      </c>
    </row>
    <row r="56" spans="1:6" x14ac:dyDescent="0.2">
      <c r="A56" s="20">
        <v>36605</v>
      </c>
      <c r="B56">
        <v>136.75</v>
      </c>
      <c r="E56">
        <f t="shared" si="0"/>
        <v>3</v>
      </c>
      <c r="F56">
        <f t="shared" si="1"/>
        <v>2000</v>
      </c>
    </row>
    <row r="57" spans="1:6" x14ac:dyDescent="0.2">
      <c r="A57" s="20">
        <v>36606</v>
      </c>
      <c r="B57">
        <v>137</v>
      </c>
      <c r="E57">
        <f t="shared" si="0"/>
        <v>3</v>
      </c>
      <c r="F57">
        <f t="shared" si="1"/>
        <v>2000</v>
      </c>
    </row>
    <row r="58" spans="1:6" x14ac:dyDescent="0.2">
      <c r="A58" s="20">
        <v>36607</v>
      </c>
      <c r="B58">
        <v>137.25</v>
      </c>
      <c r="E58">
        <f t="shared" si="0"/>
        <v>3</v>
      </c>
      <c r="F58">
        <f t="shared" si="1"/>
        <v>2000</v>
      </c>
    </row>
    <row r="59" spans="1:6" x14ac:dyDescent="0.2">
      <c r="A59" s="20">
        <v>36608</v>
      </c>
      <c r="B59">
        <v>137.25</v>
      </c>
      <c r="E59">
        <f t="shared" si="0"/>
        <v>3</v>
      </c>
      <c r="F59">
        <f t="shared" si="1"/>
        <v>2000</v>
      </c>
    </row>
    <row r="60" spans="1:6" x14ac:dyDescent="0.2">
      <c r="A60" s="20">
        <v>36609</v>
      </c>
      <c r="B60">
        <v>137.25</v>
      </c>
      <c r="E60">
        <f t="shared" si="0"/>
        <v>3</v>
      </c>
      <c r="F60">
        <f t="shared" si="1"/>
        <v>2000</v>
      </c>
    </row>
    <row r="61" spans="1:6" x14ac:dyDescent="0.2">
      <c r="A61" s="20">
        <v>36612</v>
      </c>
      <c r="B61">
        <v>137.25</v>
      </c>
      <c r="E61">
        <f t="shared" si="0"/>
        <v>3</v>
      </c>
      <c r="F61">
        <f t="shared" si="1"/>
        <v>2000</v>
      </c>
    </row>
    <row r="62" spans="1:6" x14ac:dyDescent="0.2">
      <c r="A62" s="20">
        <v>36613</v>
      </c>
      <c r="B62">
        <v>136.75</v>
      </c>
      <c r="E62">
        <f t="shared" si="0"/>
        <v>3</v>
      </c>
      <c r="F62">
        <f t="shared" si="1"/>
        <v>2000</v>
      </c>
    </row>
    <row r="63" spans="1:6" x14ac:dyDescent="0.2">
      <c r="A63" s="20">
        <v>36614</v>
      </c>
      <c r="B63">
        <v>137.25</v>
      </c>
      <c r="E63">
        <f t="shared" si="0"/>
        <v>3</v>
      </c>
      <c r="F63">
        <f t="shared" si="1"/>
        <v>2000</v>
      </c>
    </row>
    <row r="64" spans="1:6" x14ac:dyDescent="0.2">
      <c r="A64" s="20">
        <v>36615</v>
      </c>
      <c r="B64">
        <v>137.5</v>
      </c>
      <c r="E64">
        <f t="shared" si="0"/>
        <v>3</v>
      </c>
      <c r="F64">
        <f t="shared" si="1"/>
        <v>2000</v>
      </c>
    </row>
    <row r="65" spans="1:6" x14ac:dyDescent="0.2">
      <c r="A65" s="20">
        <v>36616</v>
      </c>
      <c r="B65">
        <v>138</v>
      </c>
      <c r="E65">
        <f t="shared" si="0"/>
        <v>3</v>
      </c>
      <c r="F65">
        <f t="shared" si="1"/>
        <v>2000</v>
      </c>
    </row>
    <row r="66" spans="1:6" x14ac:dyDescent="0.2">
      <c r="A66" s="20">
        <v>36619</v>
      </c>
      <c r="B66">
        <v>138</v>
      </c>
      <c r="E66">
        <f t="shared" si="0"/>
        <v>4</v>
      </c>
      <c r="F66">
        <f t="shared" si="1"/>
        <v>2000</v>
      </c>
    </row>
    <row r="67" spans="1:6" x14ac:dyDescent="0.2">
      <c r="A67" s="20">
        <v>36620</v>
      </c>
      <c r="B67">
        <v>138</v>
      </c>
      <c r="E67">
        <f t="shared" ref="E67:E130" si="2">MONTH(A67)</f>
        <v>4</v>
      </c>
      <c r="F67">
        <f t="shared" ref="F67:F130" si="3">YEAR(A67)</f>
        <v>2000</v>
      </c>
    </row>
    <row r="68" spans="1:6" x14ac:dyDescent="0.2">
      <c r="A68" s="20">
        <v>36621</v>
      </c>
      <c r="B68">
        <v>138</v>
      </c>
      <c r="E68">
        <f t="shared" si="2"/>
        <v>4</v>
      </c>
      <c r="F68">
        <f t="shared" si="3"/>
        <v>2000</v>
      </c>
    </row>
    <row r="69" spans="1:6" x14ac:dyDescent="0.2">
      <c r="A69" s="20">
        <v>36622</v>
      </c>
      <c r="B69">
        <v>137.75</v>
      </c>
      <c r="E69">
        <f t="shared" si="2"/>
        <v>4</v>
      </c>
      <c r="F69">
        <f t="shared" si="3"/>
        <v>2000</v>
      </c>
    </row>
    <row r="70" spans="1:6" x14ac:dyDescent="0.2">
      <c r="A70" s="20">
        <v>36623</v>
      </c>
      <c r="B70">
        <v>137.75</v>
      </c>
      <c r="E70">
        <f t="shared" si="2"/>
        <v>4</v>
      </c>
      <c r="F70">
        <f t="shared" si="3"/>
        <v>2000</v>
      </c>
    </row>
    <row r="71" spans="1:6" x14ac:dyDescent="0.2">
      <c r="A71" s="20">
        <v>36626</v>
      </c>
      <c r="B71">
        <v>137.75</v>
      </c>
      <c r="E71">
        <f t="shared" si="2"/>
        <v>4</v>
      </c>
      <c r="F71">
        <f t="shared" si="3"/>
        <v>2000</v>
      </c>
    </row>
    <row r="72" spans="1:6" x14ac:dyDescent="0.2">
      <c r="A72" s="20">
        <v>36627</v>
      </c>
      <c r="B72">
        <v>137.75</v>
      </c>
      <c r="E72">
        <f t="shared" si="2"/>
        <v>4</v>
      </c>
      <c r="F72">
        <f t="shared" si="3"/>
        <v>2000</v>
      </c>
    </row>
    <row r="73" spans="1:6" x14ac:dyDescent="0.2">
      <c r="A73" s="20">
        <v>36628</v>
      </c>
      <c r="B73">
        <v>137.75</v>
      </c>
      <c r="E73">
        <f t="shared" si="2"/>
        <v>4</v>
      </c>
      <c r="F73">
        <f t="shared" si="3"/>
        <v>2000</v>
      </c>
    </row>
    <row r="74" spans="1:6" x14ac:dyDescent="0.2">
      <c r="A74" s="20">
        <v>36629</v>
      </c>
      <c r="B74">
        <v>138</v>
      </c>
      <c r="E74">
        <f t="shared" si="2"/>
        <v>4</v>
      </c>
      <c r="F74">
        <f t="shared" si="3"/>
        <v>2000</v>
      </c>
    </row>
    <row r="75" spans="1:6" x14ac:dyDescent="0.2">
      <c r="A75" s="20">
        <v>36630</v>
      </c>
      <c r="B75">
        <v>138</v>
      </c>
      <c r="E75">
        <f t="shared" si="2"/>
        <v>4</v>
      </c>
      <c r="F75">
        <f t="shared" si="3"/>
        <v>2000</v>
      </c>
    </row>
    <row r="76" spans="1:6" x14ac:dyDescent="0.2">
      <c r="A76" s="20">
        <v>36633</v>
      </c>
      <c r="B76">
        <v>138</v>
      </c>
      <c r="E76">
        <f t="shared" si="2"/>
        <v>4</v>
      </c>
      <c r="F76">
        <f t="shared" si="3"/>
        <v>2000</v>
      </c>
    </row>
    <row r="77" spans="1:6" x14ac:dyDescent="0.2">
      <c r="A77" s="20">
        <v>36634</v>
      </c>
      <c r="B77">
        <v>138</v>
      </c>
      <c r="E77">
        <f t="shared" si="2"/>
        <v>4</v>
      </c>
      <c r="F77">
        <f t="shared" si="3"/>
        <v>2000</v>
      </c>
    </row>
    <row r="78" spans="1:6" x14ac:dyDescent="0.2">
      <c r="A78" s="20">
        <v>36635</v>
      </c>
      <c r="B78">
        <v>138</v>
      </c>
      <c r="E78">
        <f t="shared" si="2"/>
        <v>4</v>
      </c>
      <c r="F78">
        <f t="shared" si="3"/>
        <v>2000</v>
      </c>
    </row>
    <row r="79" spans="1:6" x14ac:dyDescent="0.2">
      <c r="A79" s="20">
        <v>36636</v>
      </c>
      <c r="B79">
        <v>138</v>
      </c>
      <c r="E79">
        <f t="shared" si="2"/>
        <v>4</v>
      </c>
      <c r="F79">
        <f t="shared" si="3"/>
        <v>2000</v>
      </c>
    </row>
    <row r="80" spans="1:6" x14ac:dyDescent="0.2">
      <c r="A80" s="20">
        <v>36637</v>
      </c>
      <c r="B80" t="s">
        <v>49</v>
      </c>
      <c r="E80">
        <f t="shared" si="2"/>
        <v>4</v>
      </c>
      <c r="F80">
        <f t="shared" si="3"/>
        <v>2000</v>
      </c>
    </row>
    <row r="81" spans="1:6" x14ac:dyDescent="0.2">
      <c r="A81" s="20">
        <v>36640</v>
      </c>
      <c r="B81" t="s">
        <v>49</v>
      </c>
      <c r="E81">
        <f t="shared" si="2"/>
        <v>4</v>
      </c>
      <c r="F81">
        <f t="shared" si="3"/>
        <v>2000</v>
      </c>
    </row>
    <row r="82" spans="1:6" x14ac:dyDescent="0.2">
      <c r="A82" s="20">
        <v>36641</v>
      </c>
      <c r="B82">
        <v>138.75</v>
      </c>
      <c r="E82">
        <f t="shared" si="2"/>
        <v>4</v>
      </c>
      <c r="F82">
        <f t="shared" si="3"/>
        <v>2000</v>
      </c>
    </row>
    <row r="83" spans="1:6" x14ac:dyDescent="0.2">
      <c r="A83" s="20">
        <v>36642</v>
      </c>
      <c r="B83">
        <v>139</v>
      </c>
      <c r="E83">
        <f t="shared" si="2"/>
        <v>4</v>
      </c>
      <c r="F83">
        <f t="shared" si="3"/>
        <v>2000</v>
      </c>
    </row>
    <row r="84" spans="1:6" x14ac:dyDescent="0.2">
      <c r="A84" s="20">
        <v>36643</v>
      </c>
      <c r="B84">
        <v>139</v>
      </c>
      <c r="E84">
        <f t="shared" si="2"/>
        <v>4</v>
      </c>
      <c r="F84">
        <f t="shared" si="3"/>
        <v>2000</v>
      </c>
    </row>
    <row r="85" spans="1:6" x14ac:dyDescent="0.2">
      <c r="A85" s="20">
        <v>36644</v>
      </c>
      <c r="B85">
        <v>139</v>
      </c>
      <c r="E85">
        <f t="shared" si="2"/>
        <v>4</v>
      </c>
      <c r="F85">
        <f t="shared" si="3"/>
        <v>2000</v>
      </c>
    </row>
    <row r="86" spans="1:6" x14ac:dyDescent="0.2">
      <c r="A86" s="20">
        <v>36647</v>
      </c>
      <c r="B86" t="s">
        <v>49</v>
      </c>
      <c r="E86">
        <f t="shared" si="2"/>
        <v>5</v>
      </c>
      <c r="F86">
        <f t="shared" si="3"/>
        <v>2000</v>
      </c>
    </row>
    <row r="87" spans="1:6" x14ac:dyDescent="0.2">
      <c r="A87" s="20">
        <v>36648</v>
      </c>
      <c r="B87">
        <v>139.25</v>
      </c>
      <c r="E87">
        <f t="shared" si="2"/>
        <v>5</v>
      </c>
      <c r="F87">
        <f t="shared" si="3"/>
        <v>2000</v>
      </c>
    </row>
    <row r="88" spans="1:6" x14ac:dyDescent="0.2">
      <c r="A88" s="20">
        <v>36649</v>
      </c>
      <c r="B88">
        <v>140</v>
      </c>
      <c r="E88">
        <f t="shared" si="2"/>
        <v>5</v>
      </c>
      <c r="F88">
        <f t="shared" si="3"/>
        <v>2000</v>
      </c>
    </row>
    <row r="89" spans="1:6" x14ac:dyDescent="0.2">
      <c r="A89" s="20">
        <v>36650</v>
      </c>
      <c r="B89">
        <v>140.75</v>
      </c>
      <c r="E89">
        <f t="shared" si="2"/>
        <v>5</v>
      </c>
      <c r="F89">
        <f t="shared" si="3"/>
        <v>2000</v>
      </c>
    </row>
    <row r="90" spans="1:6" x14ac:dyDescent="0.2">
      <c r="A90" s="20">
        <v>36651</v>
      </c>
      <c r="B90">
        <v>141</v>
      </c>
      <c r="E90">
        <f t="shared" si="2"/>
        <v>5</v>
      </c>
      <c r="F90">
        <f t="shared" si="3"/>
        <v>2000</v>
      </c>
    </row>
    <row r="91" spans="1:6" x14ac:dyDescent="0.2">
      <c r="A91" s="20">
        <v>36654</v>
      </c>
      <c r="B91" t="s">
        <v>49</v>
      </c>
      <c r="E91">
        <f t="shared" si="2"/>
        <v>5</v>
      </c>
      <c r="F91">
        <f t="shared" si="3"/>
        <v>2000</v>
      </c>
    </row>
    <row r="92" spans="1:6" x14ac:dyDescent="0.2">
      <c r="A92" s="20">
        <v>36655</v>
      </c>
      <c r="B92">
        <v>141.5</v>
      </c>
      <c r="E92">
        <f t="shared" si="2"/>
        <v>5</v>
      </c>
      <c r="F92">
        <f t="shared" si="3"/>
        <v>2000</v>
      </c>
    </row>
    <row r="93" spans="1:6" x14ac:dyDescent="0.2">
      <c r="A93" s="20">
        <v>36656</v>
      </c>
      <c r="B93">
        <v>141.5</v>
      </c>
      <c r="E93">
        <f t="shared" si="2"/>
        <v>5</v>
      </c>
      <c r="F93">
        <f t="shared" si="3"/>
        <v>2000</v>
      </c>
    </row>
    <row r="94" spans="1:6" x14ac:dyDescent="0.2">
      <c r="A94" s="20">
        <v>36657</v>
      </c>
      <c r="B94">
        <v>141.75</v>
      </c>
      <c r="E94">
        <f t="shared" si="2"/>
        <v>5</v>
      </c>
      <c r="F94">
        <f t="shared" si="3"/>
        <v>2000</v>
      </c>
    </row>
    <row r="95" spans="1:6" x14ac:dyDescent="0.2">
      <c r="A95" s="20">
        <v>36658</v>
      </c>
      <c r="B95">
        <v>141.75</v>
      </c>
      <c r="E95">
        <f t="shared" si="2"/>
        <v>5</v>
      </c>
      <c r="F95">
        <f t="shared" si="3"/>
        <v>2000</v>
      </c>
    </row>
    <row r="96" spans="1:6" x14ac:dyDescent="0.2">
      <c r="A96" s="20">
        <v>36661</v>
      </c>
      <c r="B96">
        <v>141.75</v>
      </c>
      <c r="E96">
        <f t="shared" si="2"/>
        <v>5</v>
      </c>
      <c r="F96">
        <f t="shared" si="3"/>
        <v>2000</v>
      </c>
    </row>
    <row r="97" spans="1:6" x14ac:dyDescent="0.2">
      <c r="A97" s="20">
        <v>36662</v>
      </c>
      <c r="B97">
        <v>141.5</v>
      </c>
      <c r="E97">
        <f t="shared" si="2"/>
        <v>5</v>
      </c>
      <c r="F97">
        <f t="shared" si="3"/>
        <v>2000</v>
      </c>
    </row>
    <row r="98" spans="1:6" x14ac:dyDescent="0.2">
      <c r="A98" s="20">
        <v>36663</v>
      </c>
      <c r="B98">
        <v>141</v>
      </c>
      <c r="E98">
        <f t="shared" si="2"/>
        <v>5</v>
      </c>
      <c r="F98">
        <f t="shared" si="3"/>
        <v>2000</v>
      </c>
    </row>
    <row r="99" spans="1:6" x14ac:dyDescent="0.2">
      <c r="A99" s="20">
        <v>36664</v>
      </c>
      <c r="B99">
        <v>141.25</v>
      </c>
      <c r="E99">
        <f t="shared" si="2"/>
        <v>5</v>
      </c>
      <c r="F99">
        <f t="shared" si="3"/>
        <v>2000</v>
      </c>
    </row>
    <row r="100" spans="1:6" x14ac:dyDescent="0.2">
      <c r="A100" s="20">
        <v>36665</v>
      </c>
      <c r="B100">
        <v>141.25</v>
      </c>
      <c r="E100">
        <f t="shared" si="2"/>
        <v>5</v>
      </c>
      <c r="F100">
        <f t="shared" si="3"/>
        <v>2000</v>
      </c>
    </row>
    <row r="101" spans="1:6" x14ac:dyDescent="0.2">
      <c r="A101" s="20">
        <v>36668</v>
      </c>
      <c r="B101">
        <v>141.25</v>
      </c>
      <c r="E101">
        <f t="shared" si="2"/>
        <v>5</v>
      </c>
      <c r="F101">
        <f t="shared" si="3"/>
        <v>2000</v>
      </c>
    </row>
    <row r="102" spans="1:6" x14ac:dyDescent="0.2">
      <c r="A102" s="20">
        <v>36669</v>
      </c>
      <c r="B102">
        <v>140.25</v>
      </c>
      <c r="E102">
        <f t="shared" si="2"/>
        <v>5</v>
      </c>
      <c r="F102">
        <f t="shared" si="3"/>
        <v>2000</v>
      </c>
    </row>
    <row r="103" spans="1:6" x14ac:dyDescent="0.2">
      <c r="A103" s="20">
        <v>36670</v>
      </c>
      <c r="B103">
        <v>138</v>
      </c>
      <c r="E103">
        <f t="shared" si="2"/>
        <v>5</v>
      </c>
      <c r="F103">
        <f t="shared" si="3"/>
        <v>2000</v>
      </c>
    </row>
    <row r="104" spans="1:6" x14ac:dyDescent="0.2">
      <c r="A104" s="20">
        <v>36671</v>
      </c>
      <c r="B104">
        <v>138</v>
      </c>
      <c r="E104">
        <f t="shared" si="2"/>
        <v>5</v>
      </c>
      <c r="F104">
        <f t="shared" si="3"/>
        <v>2000</v>
      </c>
    </row>
    <row r="105" spans="1:6" x14ac:dyDescent="0.2">
      <c r="A105" s="20">
        <v>36672</v>
      </c>
      <c r="B105">
        <v>139.5</v>
      </c>
      <c r="E105">
        <f t="shared" si="2"/>
        <v>5</v>
      </c>
      <c r="F105">
        <f t="shared" si="3"/>
        <v>2000</v>
      </c>
    </row>
    <row r="106" spans="1:6" x14ac:dyDescent="0.2">
      <c r="A106" s="20">
        <v>36675</v>
      </c>
      <c r="B106">
        <v>138.5</v>
      </c>
      <c r="E106">
        <f t="shared" si="2"/>
        <v>5</v>
      </c>
      <c r="F106">
        <f t="shared" si="3"/>
        <v>2000</v>
      </c>
    </row>
    <row r="107" spans="1:6" x14ac:dyDescent="0.2">
      <c r="A107" s="20">
        <v>36676</v>
      </c>
      <c r="B107">
        <v>138.5</v>
      </c>
      <c r="E107">
        <f t="shared" si="2"/>
        <v>5</v>
      </c>
      <c r="F107">
        <f t="shared" si="3"/>
        <v>2000</v>
      </c>
    </row>
    <row r="108" spans="1:6" x14ac:dyDescent="0.2">
      <c r="A108" s="20">
        <v>36677</v>
      </c>
      <c r="B108">
        <v>139</v>
      </c>
      <c r="E108">
        <f t="shared" si="2"/>
        <v>5</v>
      </c>
      <c r="F108">
        <f t="shared" si="3"/>
        <v>2000</v>
      </c>
    </row>
    <row r="109" spans="1:6" x14ac:dyDescent="0.2">
      <c r="A109" s="20">
        <v>36678</v>
      </c>
      <c r="B109">
        <v>139</v>
      </c>
      <c r="E109">
        <f t="shared" si="2"/>
        <v>6</v>
      </c>
      <c r="F109">
        <f t="shared" si="3"/>
        <v>2000</v>
      </c>
    </row>
    <row r="110" spans="1:6" x14ac:dyDescent="0.2">
      <c r="A110" s="20">
        <v>36679</v>
      </c>
      <c r="B110">
        <v>138.75</v>
      </c>
      <c r="E110">
        <f t="shared" si="2"/>
        <v>6</v>
      </c>
      <c r="F110">
        <f t="shared" si="3"/>
        <v>2000</v>
      </c>
    </row>
    <row r="111" spans="1:6" x14ac:dyDescent="0.2">
      <c r="A111" s="20">
        <v>36682</v>
      </c>
      <c r="B111">
        <v>139</v>
      </c>
      <c r="E111">
        <f t="shared" si="2"/>
        <v>6</v>
      </c>
      <c r="F111">
        <f t="shared" si="3"/>
        <v>2000</v>
      </c>
    </row>
    <row r="112" spans="1:6" x14ac:dyDescent="0.2">
      <c r="A112" s="20">
        <v>36683</v>
      </c>
      <c r="B112">
        <v>139</v>
      </c>
      <c r="E112">
        <f t="shared" si="2"/>
        <v>6</v>
      </c>
      <c r="F112">
        <f t="shared" si="3"/>
        <v>2000</v>
      </c>
    </row>
    <row r="113" spans="1:6" x14ac:dyDescent="0.2">
      <c r="A113" s="20">
        <v>36684</v>
      </c>
      <c r="B113">
        <v>139</v>
      </c>
      <c r="E113">
        <f t="shared" si="2"/>
        <v>6</v>
      </c>
      <c r="F113">
        <f t="shared" si="3"/>
        <v>2000</v>
      </c>
    </row>
    <row r="114" spans="1:6" x14ac:dyDescent="0.2">
      <c r="A114" s="20">
        <v>36685</v>
      </c>
      <c r="B114">
        <v>139</v>
      </c>
      <c r="E114">
        <f t="shared" si="2"/>
        <v>6</v>
      </c>
      <c r="F114">
        <f t="shared" si="3"/>
        <v>2000</v>
      </c>
    </row>
    <row r="115" spans="1:6" x14ac:dyDescent="0.2">
      <c r="A115" s="20">
        <v>36686</v>
      </c>
      <c r="B115">
        <v>139</v>
      </c>
      <c r="E115">
        <f t="shared" si="2"/>
        <v>6</v>
      </c>
      <c r="F115">
        <f t="shared" si="3"/>
        <v>2000</v>
      </c>
    </row>
    <row r="116" spans="1:6" x14ac:dyDescent="0.2">
      <c r="A116" s="20">
        <v>36689</v>
      </c>
      <c r="B116" t="s">
        <v>49</v>
      </c>
      <c r="E116">
        <f t="shared" si="2"/>
        <v>6</v>
      </c>
      <c r="F116">
        <f t="shared" si="3"/>
        <v>2000</v>
      </c>
    </row>
    <row r="117" spans="1:6" x14ac:dyDescent="0.2">
      <c r="A117" s="20">
        <v>36690</v>
      </c>
      <c r="B117">
        <v>138</v>
      </c>
      <c r="E117">
        <f t="shared" si="2"/>
        <v>6</v>
      </c>
      <c r="F117">
        <f t="shared" si="3"/>
        <v>2000</v>
      </c>
    </row>
    <row r="118" spans="1:6" x14ac:dyDescent="0.2">
      <c r="A118" s="20">
        <v>36691</v>
      </c>
      <c r="B118">
        <v>138</v>
      </c>
      <c r="E118">
        <f t="shared" si="2"/>
        <v>6</v>
      </c>
      <c r="F118">
        <f t="shared" si="3"/>
        <v>2000</v>
      </c>
    </row>
    <row r="119" spans="1:6" x14ac:dyDescent="0.2">
      <c r="A119" s="20">
        <v>36692</v>
      </c>
      <c r="B119">
        <v>139.25</v>
      </c>
      <c r="E119">
        <f t="shared" si="2"/>
        <v>6</v>
      </c>
      <c r="F119">
        <f t="shared" si="3"/>
        <v>2000</v>
      </c>
    </row>
    <row r="120" spans="1:6" x14ac:dyDescent="0.2">
      <c r="A120" s="20">
        <v>36693</v>
      </c>
      <c r="B120">
        <v>139.5</v>
      </c>
      <c r="E120">
        <f t="shared" si="2"/>
        <v>6</v>
      </c>
      <c r="F120">
        <f t="shared" si="3"/>
        <v>2000</v>
      </c>
    </row>
    <row r="121" spans="1:6" x14ac:dyDescent="0.2">
      <c r="A121" s="20">
        <v>36696</v>
      </c>
      <c r="B121">
        <v>139.5</v>
      </c>
      <c r="E121">
        <f t="shared" si="2"/>
        <v>6</v>
      </c>
      <c r="F121">
        <f t="shared" si="3"/>
        <v>2000</v>
      </c>
    </row>
    <row r="122" spans="1:6" x14ac:dyDescent="0.2">
      <c r="A122" s="20">
        <v>36697</v>
      </c>
      <c r="B122">
        <v>139.75</v>
      </c>
      <c r="E122">
        <f t="shared" si="2"/>
        <v>6</v>
      </c>
      <c r="F122">
        <f t="shared" si="3"/>
        <v>2000</v>
      </c>
    </row>
    <row r="123" spans="1:6" x14ac:dyDescent="0.2">
      <c r="A123" s="20">
        <v>36698</v>
      </c>
      <c r="B123">
        <v>141.5</v>
      </c>
      <c r="E123">
        <f t="shared" si="2"/>
        <v>6</v>
      </c>
      <c r="F123">
        <f t="shared" si="3"/>
        <v>2000</v>
      </c>
    </row>
    <row r="124" spans="1:6" x14ac:dyDescent="0.2">
      <c r="A124" s="20">
        <v>36699</v>
      </c>
      <c r="B124">
        <v>140</v>
      </c>
      <c r="E124">
        <f t="shared" si="2"/>
        <v>6</v>
      </c>
      <c r="F124">
        <f t="shared" si="3"/>
        <v>2000</v>
      </c>
    </row>
    <row r="125" spans="1:6" x14ac:dyDescent="0.2">
      <c r="A125" s="20">
        <v>36700</v>
      </c>
      <c r="B125">
        <v>141</v>
      </c>
      <c r="E125">
        <f t="shared" si="2"/>
        <v>6</v>
      </c>
      <c r="F125">
        <f t="shared" si="3"/>
        <v>2000</v>
      </c>
    </row>
    <row r="126" spans="1:6" x14ac:dyDescent="0.2">
      <c r="A126" s="20">
        <v>36703</v>
      </c>
      <c r="B126">
        <v>141</v>
      </c>
      <c r="E126">
        <f t="shared" si="2"/>
        <v>6</v>
      </c>
      <c r="F126">
        <f t="shared" si="3"/>
        <v>2000</v>
      </c>
    </row>
    <row r="127" spans="1:6" x14ac:dyDescent="0.2">
      <c r="A127" s="20">
        <v>36704</v>
      </c>
      <c r="B127">
        <v>139</v>
      </c>
      <c r="E127">
        <f t="shared" si="2"/>
        <v>6</v>
      </c>
      <c r="F127">
        <f t="shared" si="3"/>
        <v>2000</v>
      </c>
    </row>
    <row r="128" spans="1:6" x14ac:dyDescent="0.2">
      <c r="A128" s="20">
        <v>36705</v>
      </c>
      <c r="B128">
        <v>139</v>
      </c>
      <c r="E128">
        <f t="shared" si="2"/>
        <v>6</v>
      </c>
      <c r="F128">
        <f t="shared" si="3"/>
        <v>2000</v>
      </c>
    </row>
    <row r="129" spans="1:6" x14ac:dyDescent="0.2">
      <c r="A129" s="20">
        <v>36706</v>
      </c>
      <c r="B129">
        <v>141.75</v>
      </c>
      <c r="E129">
        <f t="shared" si="2"/>
        <v>6</v>
      </c>
      <c r="F129">
        <f t="shared" si="3"/>
        <v>2000</v>
      </c>
    </row>
    <row r="130" spans="1:6" x14ac:dyDescent="0.2">
      <c r="A130" s="20">
        <v>36707</v>
      </c>
      <c r="B130">
        <v>141.75</v>
      </c>
      <c r="E130">
        <f t="shared" si="2"/>
        <v>6</v>
      </c>
      <c r="F130">
        <f t="shared" si="3"/>
        <v>2000</v>
      </c>
    </row>
    <row r="131" spans="1:6" x14ac:dyDescent="0.2">
      <c r="A131" s="20">
        <v>36710</v>
      </c>
      <c r="B131">
        <v>143</v>
      </c>
      <c r="E131">
        <f t="shared" ref="E131:E194" si="4">MONTH(A131)</f>
        <v>7</v>
      </c>
      <c r="F131">
        <f t="shared" ref="F131:F194" si="5">YEAR(A131)</f>
        <v>2000</v>
      </c>
    </row>
    <row r="132" spans="1:6" x14ac:dyDescent="0.2">
      <c r="A132" s="20">
        <v>36711</v>
      </c>
      <c r="B132">
        <v>144</v>
      </c>
      <c r="E132">
        <f t="shared" si="4"/>
        <v>7</v>
      </c>
      <c r="F132">
        <f t="shared" si="5"/>
        <v>2000</v>
      </c>
    </row>
    <row r="133" spans="1:6" x14ac:dyDescent="0.2">
      <c r="A133" s="20">
        <v>36712</v>
      </c>
      <c r="B133">
        <v>145.5</v>
      </c>
      <c r="E133">
        <f t="shared" si="4"/>
        <v>7</v>
      </c>
      <c r="F133">
        <f t="shared" si="5"/>
        <v>2000</v>
      </c>
    </row>
    <row r="134" spans="1:6" x14ac:dyDescent="0.2">
      <c r="A134" s="20">
        <v>36713</v>
      </c>
      <c r="B134">
        <v>147</v>
      </c>
      <c r="E134">
        <f t="shared" si="4"/>
        <v>7</v>
      </c>
      <c r="F134">
        <f t="shared" si="5"/>
        <v>2000</v>
      </c>
    </row>
    <row r="135" spans="1:6" x14ac:dyDescent="0.2">
      <c r="A135" s="20">
        <v>36714</v>
      </c>
      <c r="B135">
        <v>147.25</v>
      </c>
      <c r="E135">
        <f t="shared" si="4"/>
        <v>7</v>
      </c>
      <c r="F135">
        <f t="shared" si="5"/>
        <v>2000</v>
      </c>
    </row>
    <row r="136" spans="1:6" x14ac:dyDescent="0.2">
      <c r="A136" s="20">
        <v>36717</v>
      </c>
      <c r="B136">
        <v>147.25</v>
      </c>
      <c r="E136">
        <f t="shared" si="4"/>
        <v>7</v>
      </c>
      <c r="F136">
        <f t="shared" si="5"/>
        <v>2000</v>
      </c>
    </row>
    <row r="137" spans="1:6" x14ac:dyDescent="0.2">
      <c r="A137" s="20">
        <v>36718</v>
      </c>
      <c r="B137">
        <v>147.25</v>
      </c>
      <c r="E137">
        <f t="shared" si="4"/>
        <v>7</v>
      </c>
      <c r="F137">
        <f t="shared" si="5"/>
        <v>2000</v>
      </c>
    </row>
    <row r="138" spans="1:6" x14ac:dyDescent="0.2">
      <c r="A138" s="20">
        <v>36719</v>
      </c>
      <c r="B138">
        <v>150</v>
      </c>
      <c r="E138">
        <f t="shared" si="4"/>
        <v>7</v>
      </c>
      <c r="F138">
        <f t="shared" si="5"/>
        <v>2000</v>
      </c>
    </row>
    <row r="139" spans="1:6" x14ac:dyDescent="0.2">
      <c r="A139" s="20">
        <v>36720</v>
      </c>
      <c r="B139">
        <v>148.25</v>
      </c>
      <c r="E139">
        <f t="shared" si="4"/>
        <v>7</v>
      </c>
      <c r="F139">
        <f t="shared" si="5"/>
        <v>2000</v>
      </c>
    </row>
    <row r="140" spans="1:6" x14ac:dyDescent="0.2">
      <c r="A140" s="20">
        <v>36721</v>
      </c>
      <c r="B140" t="s">
        <v>49</v>
      </c>
      <c r="E140">
        <f t="shared" si="4"/>
        <v>7</v>
      </c>
      <c r="F140">
        <f t="shared" si="5"/>
        <v>2000</v>
      </c>
    </row>
    <row r="141" spans="1:6" x14ac:dyDescent="0.2">
      <c r="A141" s="20">
        <v>36724</v>
      </c>
      <c r="B141">
        <v>148.25</v>
      </c>
      <c r="E141">
        <f t="shared" si="4"/>
        <v>7</v>
      </c>
      <c r="F141">
        <f t="shared" si="5"/>
        <v>2000</v>
      </c>
    </row>
    <row r="142" spans="1:6" x14ac:dyDescent="0.2">
      <c r="A142" s="20">
        <v>36725</v>
      </c>
      <c r="B142">
        <v>152</v>
      </c>
      <c r="E142">
        <f t="shared" si="4"/>
        <v>7</v>
      </c>
      <c r="F142">
        <f t="shared" si="5"/>
        <v>2000</v>
      </c>
    </row>
    <row r="143" spans="1:6" x14ac:dyDescent="0.2">
      <c r="A143" s="20">
        <v>36726</v>
      </c>
      <c r="B143">
        <v>152</v>
      </c>
      <c r="E143">
        <f t="shared" si="4"/>
        <v>7</v>
      </c>
      <c r="F143">
        <f t="shared" si="5"/>
        <v>2000</v>
      </c>
    </row>
    <row r="144" spans="1:6" x14ac:dyDescent="0.2">
      <c r="A144" s="20">
        <v>36727</v>
      </c>
      <c r="B144">
        <v>152.5</v>
      </c>
      <c r="E144">
        <f t="shared" si="4"/>
        <v>7</v>
      </c>
      <c r="F144">
        <f t="shared" si="5"/>
        <v>2000</v>
      </c>
    </row>
    <row r="145" spans="1:6" x14ac:dyDescent="0.2">
      <c r="A145" s="20">
        <v>36728</v>
      </c>
      <c r="B145">
        <v>153</v>
      </c>
      <c r="E145">
        <f t="shared" si="4"/>
        <v>7</v>
      </c>
      <c r="F145">
        <f t="shared" si="5"/>
        <v>2000</v>
      </c>
    </row>
    <row r="146" spans="1:6" x14ac:dyDescent="0.2">
      <c r="A146" s="20">
        <v>36731</v>
      </c>
      <c r="B146">
        <v>153</v>
      </c>
      <c r="E146">
        <f t="shared" si="4"/>
        <v>7</v>
      </c>
      <c r="F146">
        <f t="shared" si="5"/>
        <v>2000</v>
      </c>
    </row>
    <row r="147" spans="1:6" x14ac:dyDescent="0.2">
      <c r="A147" s="20">
        <v>36732</v>
      </c>
      <c r="B147">
        <v>153</v>
      </c>
      <c r="E147">
        <f t="shared" si="4"/>
        <v>7</v>
      </c>
      <c r="F147">
        <f t="shared" si="5"/>
        <v>2000</v>
      </c>
    </row>
    <row r="148" spans="1:6" x14ac:dyDescent="0.2">
      <c r="A148" s="20">
        <v>36733</v>
      </c>
      <c r="B148">
        <v>153</v>
      </c>
      <c r="E148">
        <f t="shared" si="4"/>
        <v>7</v>
      </c>
      <c r="F148">
        <f t="shared" si="5"/>
        <v>2000</v>
      </c>
    </row>
    <row r="149" spans="1:6" x14ac:dyDescent="0.2">
      <c r="A149" s="20">
        <v>36734</v>
      </c>
      <c r="B149">
        <v>153</v>
      </c>
      <c r="E149">
        <f t="shared" si="4"/>
        <v>7</v>
      </c>
      <c r="F149">
        <f t="shared" si="5"/>
        <v>2000</v>
      </c>
    </row>
    <row r="150" spans="1:6" x14ac:dyDescent="0.2">
      <c r="A150" s="20">
        <v>36735</v>
      </c>
      <c r="B150">
        <v>162.5</v>
      </c>
      <c r="E150">
        <f t="shared" si="4"/>
        <v>7</v>
      </c>
      <c r="F150">
        <f t="shared" si="5"/>
        <v>2000</v>
      </c>
    </row>
    <row r="151" spans="1:6" x14ac:dyDescent="0.2">
      <c r="A151" s="20">
        <v>36738</v>
      </c>
      <c r="B151">
        <v>164.5</v>
      </c>
      <c r="E151">
        <f t="shared" si="4"/>
        <v>7</v>
      </c>
      <c r="F151">
        <f t="shared" si="5"/>
        <v>2000</v>
      </c>
    </row>
    <row r="152" spans="1:6" x14ac:dyDescent="0.2">
      <c r="A152" s="20">
        <v>36739</v>
      </c>
      <c r="B152">
        <v>166</v>
      </c>
      <c r="E152">
        <f t="shared" si="4"/>
        <v>8</v>
      </c>
      <c r="F152">
        <f t="shared" si="5"/>
        <v>2000</v>
      </c>
    </row>
    <row r="153" spans="1:6" x14ac:dyDescent="0.2">
      <c r="A153" s="20">
        <v>36740</v>
      </c>
      <c r="B153">
        <v>165.5</v>
      </c>
      <c r="E153">
        <f t="shared" si="4"/>
        <v>8</v>
      </c>
      <c r="F153">
        <f t="shared" si="5"/>
        <v>2000</v>
      </c>
    </row>
    <row r="154" spans="1:6" x14ac:dyDescent="0.2">
      <c r="A154" s="20">
        <v>36741</v>
      </c>
      <c r="B154">
        <v>165.5</v>
      </c>
      <c r="E154">
        <f t="shared" si="4"/>
        <v>8</v>
      </c>
      <c r="F154">
        <f t="shared" si="5"/>
        <v>2000</v>
      </c>
    </row>
    <row r="155" spans="1:6" x14ac:dyDescent="0.2">
      <c r="A155" s="20">
        <v>36742</v>
      </c>
      <c r="B155">
        <v>165.5</v>
      </c>
      <c r="E155">
        <f t="shared" si="4"/>
        <v>8</v>
      </c>
      <c r="F155">
        <f t="shared" si="5"/>
        <v>2000</v>
      </c>
    </row>
    <row r="156" spans="1:6" x14ac:dyDescent="0.2">
      <c r="A156" s="20">
        <v>36745</v>
      </c>
      <c r="B156" t="s">
        <v>49</v>
      </c>
      <c r="E156">
        <f t="shared" si="4"/>
        <v>8</v>
      </c>
      <c r="F156">
        <f t="shared" si="5"/>
        <v>2000</v>
      </c>
    </row>
    <row r="157" spans="1:6" x14ac:dyDescent="0.2">
      <c r="A157" s="20">
        <v>36746</v>
      </c>
      <c r="B157" t="s">
        <v>49</v>
      </c>
      <c r="E157">
        <f t="shared" si="4"/>
        <v>8</v>
      </c>
      <c r="F157">
        <f t="shared" si="5"/>
        <v>2000</v>
      </c>
    </row>
    <row r="158" spans="1:6" x14ac:dyDescent="0.2">
      <c r="A158" s="20">
        <v>36747</v>
      </c>
      <c r="B158" t="s">
        <v>49</v>
      </c>
      <c r="E158">
        <f t="shared" si="4"/>
        <v>8</v>
      </c>
      <c r="F158">
        <f t="shared" si="5"/>
        <v>2000</v>
      </c>
    </row>
    <row r="159" spans="1:6" x14ac:dyDescent="0.2">
      <c r="A159" s="20">
        <v>36748</v>
      </c>
      <c r="B159">
        <v>123.75</v>
      </c>
      <c r="E159">
        <f t="shared" si="4"/>
        <v>8</v>
      </c>
      <c r="F159">
        <f t="shared" si="5"/>
        <v>2000</v>
      </c>
    </row>
    <row r="160" spans="1:6" x14ac:dyDescent="0.2">
      <c r="A160" s="20">
        <v>36749</v>
      </c>
      <c r="B160">
        <v>123.75</v>
      </c>
      <c r="E160">
        <f t="shared" si="4"/>
        <v>8</v>
      </c>
      <c r="F160">
        <f t="shared" si="5"/>
        <v>2000</v>
      </c>
    </row>
    <row r="161" spans="1:6" x14ac:dyDescent="0.2">
      <c r="A161" s="20">
        <v>36752</v>
      </c>
      <c r="B161">
        <v>123.75</v>
      </c>
      <c r="E161">
        <f t="shared" si="4"/>
        <v>8</v>
      </c>
      <c r="F161">
        <f t="shared" si="5"/>
        <v>2000</v>
      </c>
    </row>
    <row r="162" spans="1:6" x14ac:dyDescent="0.2">
      <c r="A162" s="20">
        <v>36753</v>
      </c>
      <c r="B162">
        <v>123.75</v>
      </c>
      <c r="E162">
        <f t="shared" si="4"/>
        <v>8</v>
      </c>
      <c r="F162">
        <f t="shared" si="5"/>
        <v>2000</v>
      </c>
    </row>
    <row r="163" spans="1:6" x14ac:dyDescent="0.2">
      <c r="A163" s="20">
        <v>36754</v>
      </c>
      <c r="B163">
        <v>123.75</v>
      </c>
      <c r="E163">
        <f t="shared" si="4"/>
        <v>8</v>
      </c>
      <c r="F163">
        <f t="shared" si="5"/>
        <v>2000</v>
      </c>
    </row>
    <row r="164" spans="1:6" x14ac:dyDescent="0.2">
      <c r="A164" s="20">
        <v>36755</v>
      </c>
      <c r="B164">
        <v>123.75</v>
      </c>
      <c r="E164">
        <f t="shared" si="4"/>
        <v>8</v>
      </c>
      <c r="F164">
        <f t="shared" si="5"/>
        <v>2000</v>
      </c>
    </row>
    <row r="165" spans="1:6" x14ac:dyDescent="0.2">
      <c r="A165" s="20">
        <v>36756</v>
      </c>
      <c r="B165">
        <v>124.25</v>
      </c>
      <c r="E165">
        <f t="shared" si="4"/>
        <v>8</v>
      </c>
      <c r="F165">
        <f t="shared" si="5"/>
        <v>2000</v>
      </c>
    </row>
    <row r="166" spans="1:6" x14ac:dyDescent="0.2">
      <c r="A166" s="20">
        <v>36759</v>
      </c>
      <c r="B166">
        <v>124.25</v>
      </c>
      <c r="E166">
        <f t="shared" si="4"/>
        <v>8</v>
      </c>
      <c r="F166">
        <f t="shared" si="5"/>
        <v>2000</v>
      </c>
    </row>
    <row r="167" spans="1:6" x14ac:dyDescent="0.2">
      <c r="A167" s="20">
        <v>36760</v>
      </c>
      <c r="B167">
        <v>124.25</v>
      </c>
      <c r="E167">
        <f t="shared" si="4"/>
        <v>8</v>
      </c>
      <c r="F167">
        <f t="shared" si="5"/>
        <v>2000</v>
      </c>
    </row>
    <row r="168" spans="1:6" x14ac:dyDescent="0.2">
      <c r="A168" s="20">
        <v>36761</v>
      </c>
      <c r="B168">
        <v>124.25</v>
      </c>
      <c r="E168">
        <f t="shared" si="4"/>
        <v>8</v>
      </c>
      <c r="F168">
        <f t="shared" si="5"/>
        <v>2000</v>
      </c>
    </row>
    <row r="169" spans="1:6" x14ac:dyDescent="0.2">
      <c r="A169" s="20">
        <v>36762</v>
      </c>
      <c r="B169">
        <v>123.5</v>
      </c>
      <c r="E169">
        <f t="shared" si="4"/>
        <v>8</v>
      </c>
      <c r="F169">
        <f t="shared" si="5"/>
        <v>2000</v>
      </c>
    </row>
    <row r="170" spans="1:6" x14ac:dyDescent="0.2">
      <c r="A170" s="20">
        <v>36763</v>
      </c>
      <c r="B170">
        <v>123.5</v>
      </c>
      <c r="E170">
        <f t="shared" si="4"/>
        <v>8</v>
      </c>
      <c r="F170">
        <f t="shared" si="5"/>
        <v>2000</v>
      </c>
    </row>
    <row r="171" spans="1:6" x14ac:dyDescent="0.2">
      <c r="A171" s="20">
        <v>36766</v>
      </c>
      <c r="B171">
        <v>123.5</v>
      </c>
      <c r="E171">
        <f t="shared" si="4"/>
        <v>8</v>
      </c>
      <c r="F171">
        <f t="shared" si="5"/>
        <v>2000</v>
      </c>
    </row>
    <row r="172" spans="1:6" x14ac:dyDescent="0.2">
      <c r="A172" s="20">
        <v>36767</v>
      </c>
      <c r="B172">
        <v>122</v>
      </c>
      <c r="E172">
        <f t="shared" si="4"/>
        <v>8</v>
      </c>
      <c r="F172">
        <f t="shared" si="5"/>
        <v>2000</v>
      </c>
    </row>
    <row r="173" spans="1:6" x14ac:dyDescent="0.2">
      <c r="A173" s="20">
        <v>36768</v>
      </c>
      <c r="B173">
        <v>121.75</v>
      </c>
      <c r="E173">
        <f t="shared" si="4"/>
        <v>8</v>
      </c>
      <c r="F173">
        <f t="shared" si="5"/>
        <v>2000</v>
      </c>
    </row>
    <row r="174" spans="1:6" x14ac:dyDescent="0.2">
      <c r="A174" s="20">
        <v>36769</v>
      </c>
      <c r="B174">
        <v>121.75</v>
      </c>
      <c r="E174">
        <f t="shared" si="4"/>
        <v>8</v>
      </c>
      <c r="F174">
        <f t="shared" si="5"/>
        <v>2000</v>
      </c>
    </row>
    <row r="175" spans="1:6" x14ac:dyDescent="0.2">
      <c r="A175" s="20">
        <v>36770</v>
      </c>
      <c r="B175">
        <v>121.75</v>
      </c>
      <c r="E175">
        <f t="shared" si="4"/>
        <v>9</v>
      </c>
      <c r="F175">
        <f t="shared" si="5"/>
        <v>2000</v>
      </c>
    </row>
    <row r="176" spans="1:6" x14ac:dyDescent="0.2">
      <c r="A176" s="20">
        <v>36773</v>
      </c>
      <c r="B176">
        <v>122.25</v>
      </c>
      <c r="E176">
        <f t="shared" si="4"/>
        <v>9</v>
      </c>
      <c r="F176">
        <f t="shared" si="5"/>
        <v>2000</v>
      </c>
    </row>
    <row r="177" spans="1:6" x14ac:dyDescent="0.2">
      <c r="A177" s="20">
        <v>36774</v>
      </c>
      <c r="B177">
        <v>122.25</v>
      </c>
      <c r="E177">
        <f t="shared" si="4"/>
        <v>9</v>
      </c>
      <c r="F177">
        <f t="shared" si="5"/>
        <v>2000</v>
      </c>
    </row>
    <row r="178" spans="1:6" x14ac:dyDescent="0.2">
      <c r="A178" s="20">
        <v>36775</v>
      </c>
      <c r="B178">
        <v>122.25</v>
      </c>
      <c r="E178">
        <f t="shared" si="4"/>
        <v>9</v>
      </c>
      <c r="F178">
        <f t="shared" si="5"/>
        <v>2000</v>
      </c>
    </row>
    <row r="179" spans="1:6" x14ac:dyDescent="0.2">
      <c r="A179" s="20">
        <v>36776</v>
      </c>
      <c r="B179">
        <v>122.25</v>
      </c>
      <c r="E179">
        <f t="shared" si="4"/>
        <v>9</v>
      </c>
      <c r="F179">
        <f t="shared" si="5"/>
        <v>2000</v>
      </c>
    </row>
    <row r="180" spans="1:6" x14ac:dyDescent="0.2">
      <c r="A180" s="20">
        <v>36777</v>
      </c>
      <c r="B180">
        <v>123</v>
      </c>
      <c r="E180">
        <f t="shared" si="4"/>
        <v>9</v>
      </c>
      <c r="F180">
        <f t="shared" si="5"/>
        <v>2000</v>
      </c>
    </row>
    <row r="181" spans="1:6" x14ac:dyDescent="0.2">
      <c r="A181" s="20">
        <v>36780</v>
      </c>
      <c r="B181">
        <v>122</v>
      </c>
      <c r="E181">
        <f t="shared" si="4"/>
        <v>9</v>
      </c>
      <c r="F181">
        <f t="shared" si="5"/>
        <v>2000</v>
      </c>
    </row>
    <row r="182" spans="1:6" x14ac:dyDescent="0.2">
      <c r="A182" s="20">
        <v>36781</v>
      </c>
      <c r="B182">
        <v>122</v>
      </c>
      <c r="E182">
        <f t="shared" si="4"/>
        <v>9</v>
      </c>
      <c r="F182">
        <f t="shared" si="5"/>
        <v>2000</v>
      </c>
    </row>
    <row r="183" spans="1:6" x14ac:dyDescent="0.2">
      <c r="A183" s="20">
        <v>36782</v>
      </c>
      <c r="B183">
        <v>122</v>
      </c>
      <c r="E183">
        <f t="shared" si="4"/>
        <v>9</v>
      </c>
      <c r="F183">
        <f t="shared" si="5"/>
        <v>2000</v>
      </c>
    </row>
    <row r="184" spans="1:6" x14ac:dyDescent="0.2">
      <c r="A184" s="20">
        <v>36783</v>
      </c>
      <c r="B184">
        <v>122.75</v>
      </c>
      <c r="E184">
        <f t="shared" si="4"/>
        <v>9</v>
      </c>
      <c r="F184">
        <f t="shared" si="5"/>
        <v>2000</v>
      </c>
    </row>
    <row r="185" spans="1:6" x14ac:dyDescent="0.2">
      <c r="A185" s="20">
        <v>36784</v>
      </c>
      <c r="B185">
        <v>122.75</v>
      </c>
      <c r="E185">
        <f t="shared" si="4"/>
        <v>9</v>
      </c>
      <c r="F185">
        <f t="shared" si="5"/>
        <v>2000</v>
      </c>
    </row>
    <row r="186" spans="1:6" x14ac:dyDescent="0.2">
      <c r="A186" s="20">
        <v>36787</v>
      </c>
      <c r="B186">
        <v>122.75</v>
      </c>
      <c r="E186">
        <f t="shared" si="4"/>
        <v>9</v>
      </c>
      <c r="F186">
        <f t="shared" si="5"/>
        <v>2000</v>
      </c>
    </row>
    <row r="187" spans="1:6" x14ac:dyDescent="0.2">
      <c r="A187" s="20">
        <v>36788</v>
      </c>
      <c r="B187">
        <v>122.75</v>
      </c>
      <c r="E187">
        <f t="shared" si="4"/>
        <v>9</v>
      </c>
      <c r="F187">
        <f t="shared" si="5"/>
        <v>2000</v>
      </c>
    </row>
    <row r="188" spans="1:6" x14ac:dyDescent="0.2">
      <c r="A188" s="20">
        <v>36789</v>
      </c>
      <c r="B188">
        <v>122.75</v>
      </c>
      <c r="E188">
        <f t="shared" si="4"/>
        <v>9</v>
      </c>
      <c r="F188">
        <f t="shared" si="5"/>
        <v>2000</v>
      </c>
    </row>
    <row r="189" spans="1:6" x14ac:dyDescent="0.2">
      <c r="A189" s="20">
        <v>36790</v>
      </c>
      <c r="B189">
        <v>122.75</v>
      </c>
      <c r="E189">
        <f t="shared" si="4"/>
        <v>9</v>
      </c>
      <c r="F189">
        <f t="shared" si="5"/>
        <v>2000</v>
      </c>
    </row>
    <row r="190" spans="1:6" x14ac:dyDescent="0.2">
      <c r="A190" s="20">
        <v>36791</v>
      </c>
      <c r="B190">
        <v>123.25</v>
      </c>
      <c r="E190">
        <f t="shared" si="4"/>
        <v>9</v>
      </c>
      <c r="F190">
        <f t="shared" si="5"/>
        <v>2000</v>
      </c>
    </row>
    <row r="191" spans="1:6" x14ac:dyDescent="0.2">
      <c r="A191" s="20">
        <v>36794</v>
      </c>
      <c r="B191" t="s">
        <v>49</v>
      </c>
      <c r="E191">
        <f t="shared" si="4"/>
        <v>9</v>
      </c>
      <c r="F191">
        <f t="shared" si="5"/>
        <v>2000</v>
      </c>
    </row>
    <row r="192" spans="1:6" x14ac:dyDescent="0.2">
      <c r="A192" s="20">
        <v>36795</v>
      </c>
      <c r="B192">
        <v>123.25</v>
      </c>
      <c r="E192">
        <f t="shared" si="4"/>
        <v>9</v>
      </c>
      <c r="F192">
        <f t="shared" si="5"/>
        <v>2000</v>
      </c>
    </row>
    <row r="193" spans="1:6" x14ac:dyDescent="0.2">
      <c r="A193" s="20">
        <v>36796</v>
      </c>
      <c r="B193">
        <v>123.25</v>
      </c>
      <c r="E193">
        <f t="shared" si="4"/>
        <v>9</v>
      </c>
      <c r="F193">
        <f t="shared" si="5"/>
        <v>2000</v>
      </c>
    </row>
    <row r="194" spans="1:6" x14ac:dyDescent="0.2">
      <c r="A194" s="20">
        <v>36797</v>
      </c>
      <c r="B194">
        <v>123.25</v>
      </c>
      <c r="E194">
        <f t="shared" si="4"/>
        <v>9</v>
      </c>
      <c r="F194">
        <f t="shared" si="5"/>
        <v>2000</v>
      </c>
    </row>
    <row r="195" spans="1:6" x14ac:dyDescent="0.2">
      <c r="A195" s="20">
        <v>36798</v>
      </c>
      <c r="B195">
        <v>123.25</v>
      </c>
      <c r="E195">
        <f t="shared" ref="E195:E258" si="6">MONTH(A195)</f>
        <v>9</v>
      </c>
      <c r="F195">
        <f t="shared" ref="F195:F258" si="7">YEAR(A195)</f>
        <v>2000</v>
      </c>
    </row>
    <row r="196" spans="1:6" x14ac:dyDescent="0.2">
      <c r="A196" s="20">
        <v>36801</v>
      </c>
      <c r="B196">
        <v>123.25</v>
      </c>
      <c r="E196">
        <f t="shared" si="6"/>
        <v>10</v>
      </c>
      <c r="F196">
        <f t="shared" si="7"/>
        <v>2000</v>
      </c>
    </row>
    <row r="197" spans="1:6" x14ac:dyDescent="0.2">
      <c r="A197" s="20">
        <v>36802</v>
      </c>
      <c r="B197">
        <v>123.75</v>
      </c>
      <c r="E197">
        <f t="shared" si="6"/>
        <v>10</v>
      </c>
      <c r="F197">
        <f t="shared" si="7"/>
        <v>2000</v>
      </c>
    </row>
    <row r="198" spans="1:6" x14ac:dyDescent="0.2">
      <c r="A198" s="20">
        <v>36803</v>
      </c>
      <c r="B198">
        <v>123.75</v>
      </c>
      <c r="E198">
        <f t="shared" si="6"/>
        <v>10</v>
      </c>
      <c r="F198">
        <f t="shared" si="7"/>
        <v>2000</v>
      </c>
    </row>
    <row r="199" spans="1:6" x14ac:dyDescent="0.2">
      <c r="A199" s="20">
        <v>36804</v>
      </c>
      <c r="B199">
        <v>123.75</v>
      </c>
      <c r="E199">
        <f t="shared" si="6"/>
        <v>10</v>
      </c>
      <c r="F199">
        <f t="shared" si="7"/>
        <v>2000</v>
      </c>
    </row>
    <row r="200" spans="1:6" x14ac:dyDescent="0.2">
      <c r="A200" s="20">
        <v>36805</v>
      </c>
      <c r="B200">
        <v>123.5</v>
      </c>
      <c r="E200">
        <f t="shared" si="6"/>
        <v>10</v>
      </c>
      <c r="F200">
        <f t="shared" si="7"/>
        <v>2000</v>
      </c>
    </row>
    <row r="201" spans="1:6" x14ac:dyDescent="0.2">
      <c r="A201" s="20">
        <v>36808</v>
      </c>
      <c r="B201">
        <v>123.5</v>
      </c>
      <c r="E201">
        <f t="shared" si="6"/>
        <v>10</v>
      </c>
      <c r="F201">
        <f t="shared" si="7"/>
        <v>2000</v>
      </c>
    </row>
    <row r="202" spans="1:6" x14ac:dyDescent="0.2">
      <c r="A202" s="20">
        <v>36809</v>
      </c>
      <c r="B202">
        <v>123.5</v>
      </c>
      <c r="E202">
        <f t="shared" si="6"/>
        <v>10</v>
      </c>
      <c r="F202">
        <f t="shared" si="7"/>
        <v>2000</v>
      </c>
    </row>
    <row r="203" spans="1:6" x14ac:dyDescent="0.2">
      <c r="A203" s="20">
        <v>36810</v>
      </c>
      <c r="B203">
        <v>123.75</v>
      </c>
      <c r="E203">
        <f t="shared" si="6"/>
        <v>10</v>
      </c>
      <c r="F203">
        <f t="shared" si="7"/>
        <v>2000</v>
      </c>
    </row>
    <row r="204" spans="1:6" x14ac:dyDescent="0.2">
      <c r="A204" s="20">
        <v>36811</v>
      </c>
      <c r="B204">
        <v>123.75</v>
      </c>
      <c r="E204">
        <f t="shared" si="6"/>
        <v>10</v>
      </c>
      <c r="F204">
        <f t="shared" si="7"/>
        <v>2000</v>
      </c>
    </row>
    <row r="205" spans="1:6" x14ac:dyDescent="0.2">
      <c r="A205" s="20">
        <v>36812</v>
      </c>
      <c r="B205">
        <v>123.5</v>
      </c>
      <c r="E205">
        <f t="shared" si="6"/>
        <v>10</v>
      </c>
      <c r="F205">
        <f t="shared" si="7"/>
        <v>2000</v>
      </c>
    </row>
    <row r="206" spans="1:6" x14ac:dyDescent="0.2">
      <c r="A206" s="20">
        <v>36815</v>
      </c>
      <c r="B206">
        <v>124</v>
      </c>
      <c r="E206">
        <f t="shared" si="6"/>
        <v>10</v>
      </c>
      <c r="F206">
        <f t="shared" si="7"/>
        <v>2000</v>
      </c>
    </row>
    <row r="207" spans="1:6" x14ac:dyDescent="0.2">
      <c r="A207" s="20">
        <v>36816</v>
      </c>
      <c r="B207">
        <v>124.5</v>
      </c>
      <c r="E207">
        <f t="shared" si="6"/>
        <v>10</v>
      </c>
      <c r="F207">
        <f t="shared" si="7"/>
        <v>2000</v>
      </c>
    </row>
    <row r="208" spans="1:6" x14ac:dyDescent="0.2">
      <c r="A208" s="20">
        <v>36817</v>
      </c>
      <c r="B208">
        <v>124.5</v>
      </c>
      <c r="E208">
        <f t="shared" si="6"/>
        <v>10</v>
      </c>
      <c r="F208">
        <f t="shared" si="7"/>
        <v>2000</v>
      </c>
    </row>
    <row r="209" spans="1:6" x14ac:dyDescent="0.2">
      <c r="A209" s="20">
        <v>36818</v>
      </c>
      <c r="B209">
        <v>124.75</v>
      </c>
      <c r="E209">
        <f t="shared" si="6"/>
        <v>10</v>
      </c>
      <c r="F209">
        <f t="shared" si="7"/>
        <v>2000</v>
      </c>
    </row>
    <row r="210" spans="1:6" x14ac:dyDescent="0.2">
      <c r="A210" s="20">
        <v>36819</v>
      </c>
      <c r="B210">
        <v>125</v>
      </c>
      <c r="E210">
        <f t="shared" si="6"/>
        <v>10</v>
      </c>
      <c r="F210">
        <f t="shared" si="7"/>
        <v>2000</v>
      </c>
    </row>
    <row r="211" spans="1:6" x14ac:dyDescent="0.2">
      <c r="A211" s="20">
        <v>36822</v>
      </c>
      <c r="B211">
        <v>125.25</v>
      </c>
      <c r="E211">
        <f t="shared" si="6"/>
        <v>10</v>
      </c>
      <c r="F211">
        <f t="shared" si="7"/>
        <v>2000</v>
      </c>
    </row>
    <row r="212" spans="1:6" x14ac:dyDescent="0.2">
      <c r="A212" s="20">
        <v>36823</v>
      </c>
      <c r="B212">
        <v>125</v>
      </c>
      <c r="E212">
        <f t="shared" si="6"/>
        <v>10</v>
      </c>
      <c r="F212">
        <f t="shared" si="7"/>
        <v>2000</v>
      </c>
    </row>
    <row r="213" spans="1:6" x14ac:dyDescent="0.2">
      <c r="A213" s="20">
        <v>36824</v>
      </c>
      <c r="B213">
        <v>124.5</v>
      </c>
      <c r="E213">
        <f t="shared" si="6"/>
        <v>10</v>
      </c>
      <c r="F213">
        <f t="shared" si="7"/>
        <v>2000</v>
      </c>
    </row>
    <row r="214" spans="1:6" x14ac:dyDescent="0.2">
      <c r="A214" s="20">
        <v>36825</v>
      </c>
      <c r="B214">
        <v>124.25</v>
      </c>
      <c r="E214">
        <f t="shared" si="6"/>
        <v>10</v>
      </c>
      <c r="F214">
        <f t="shared" si="7"/>
        <v>2000</v>
      </c>
    </row>
    <row r="215" spans="1:6" x14ac:dyDescent="0.2">
      <c r="A215" s="20">
        <v>36826</v>
      </c>
      <c r="B215">
        <v>124</v>
      </c>
      <c r="E215">
        <f t="shared" si="6"/>
        <v>10</v>
      </c>
      <c r="F215">
        <f t="shared" si="7"/>
        <v>2000</v>
      </c>
    </row>
    <row r="216" spans="1:6" x14ac:dyDescent="0.2">
      <c r="A216" s="20">
        <v>36829</v>
      </c>
      <c r="B216">
        <v>124</v>
      </c>
      <c r="E216">
        <f t="shared" si="6"/>
        <v>10</v>
      </c>
      <c r="F216">
        <f t="shared" si="7"/>
        <v>2000</v>
      </c>
    </row>
    <row r="217" spans="1:6" x14ac:dyDescent="0.2">
      <c r="A217" s="20">
        <v>36830</v>
      </c>
      <c r="B217">
        <v>124</v>
      </c>
      <c r="E217">
        <f t="shared" si="6"/>
        <v>10</v>
      </c>
      <c r="F217">
        <f t="shared" si="7"/>
        <v>2000</v>
      </c>
    </row>
    <row r="218" spans="1:6" x14ac:dyDescent="0.2">
      <c r="A218" s="20">
        <v>36831</v>
      </c>
      <c r="B218">
        <v>124</v>
      </c>
      <c r="E218">
        <f t="shared" si="6"/>
        <v>11</v>
      </c>
      <c r="F218">
        <f t="shared" si="7"/>
        <v>2000</v>
      </c>
    </row>
    <row r="219" spans="1:6" x14ac:dyDescent="0.2">
      <c r="A219" s="20">
        <v>36832</v>
      </c>
      <c r="B219">
        <v>124.5</v>
      </c>
      <c r="E219">
        <f t="shared" si="6"/>
        <v>11</v>
      </c>
      <c r="F219">
        <f t="shared" si="7"/>
        <v>2000</v>
      </c>
    </row>
    <row r="220" spans="1:6" x14ac:dyDescent="0.2">
      <c r="A220" s="20">
        <v>36833</v>
      </c>
      <c r="B220">
        <v>124</v>
      </c>
      <c r="E220">
        <f t="shared" si="6"/>
        <v>11</v>
      </c>
      <c r="F220">
        <f t="shared" si="7"/>
        <v>2000</v>
      </c>
    </row>
    <row r="221" spans="1:6" x14ac:dyDescent="0.2">
      <c r="A221" s="20">
        <v>36836</v>
      </c>
      <c r="B221">
        <v>128.25</v>
      </c>
      <c r="E221">
        <f t="shared" si="6"/>
        <v>11</v>
      </c>
      <c r="F221">
        <f t="shared" si="7"/>
        <v>2000</v>
      </c>
    </row>
    <row r="222" spans="1:6" x14ac:dyDescent="0.2">
      <c r="A222" s="20">
        <v>36837</v>
      </c>
      <c r="B222">
        <v>128</v>
      </c>
      <c r="E222">
        <f t="shared" si="6"/>
        <v>11</v>
      </c>
      <c r="F222">
        <f t="shared" si="7"/>
        <v>2000</v>
      </c>
    </row>
    <row r="223" spans="1:6" x14ac:dyDescent="0.2">
      <c r="A223" s="20">
        <v>36838</v>
      </c>
      <c r="B223">
        <v>128.5</v>
      </c>
      <c r="E223">
        <f t="shared" si="6"/>
        <v>11</v>
      </c>
      <c r="F223">
        <f t="shared" si="7"/>
        <v>2000</v>
      </c>
    </row>
    <row r="224" spans="1:6" x14ac:dyDescent="0.2">
      <c r="A224" s="20">
        <v>36839</v>
      </c>
      <c r="B224">
        <v>130</v>
      </c>
      <c r="E224">
        <f t="shared" si="6"/>
        <v>11</v>
      </c>
      <c r="F224">
        <f t="shared" si="7"/>
        <v>2000</v>
      </c>
    </row>
    <row r="225" spans="1:6" x14ac:dyDescent="0.2">
      <c r="A225" s="20">
        <v>36840</v>
      </c>
      <c r="B225">
        <v>131</v>
      </c>
      <c r="E225">
        <f t="shared" si="6"/>
        <v>11</v>
      </c>
      <c r="F225">
        <f t="shared" si="7"/>
        <v>2000</v>
      </c>
    </row>
    <row r="226" spans="1:6" x14ac:dyDescent="0.2">
      <c r="A226" s="20">
        <v>36843</v>
      </c>
      <c r="B226">
        <v>131.5</v>
      </c>
      <c r="E226">
        <f t="shared" si="6"/>
        <v>11</v>
      </c>
      <c r="F226">
        <f t="shared" si="7"/>
        <v>2000</v>
      </c>
    </row>
    <row r="227" spans="1:6" x14ac:dyDescent="0.2">
      <c r="A227" s="20">
        <v>36844</v>
      </c>
      <c r="B227">
        <v>130.75</v>
      </c>
      <c r="E227">
        <f t="shared" si="6"/>
        <v>11</v>
      </c>
      <c r="F227">
        <f t="shared" si="7"/>
        <v>2000</v>
      </c>
    </row>
    <row r="228" spans="1:6" x14ac:dyDescent="0.2">
      <c r="A228" s="20">
        <v>36845</v>
      </c>
      <c r="B228">
        <v>130.25</v>
      </c>
      <c r="E228">
        <f t="shared" si="6"/>
        <v>11</v>
      </c>
      <c r="F228">
        <f t="shared" si="7"/>
        <v>2000</v>
      </c>
    </row>
    <row r="229" spans="1:6" x14ac:dyDescent="0.2">
      <c r="A229" s="20">
        <v>36846</v>
      </c>
      <c r="B229">
        <v>130</v>
      </c>
      <c r="E229">
        <f t="shared" si="6"/>
        <v>11</v>
      </c>
      <c r="F229">
        <f t="shared" si="7"/>
        <v>2000</v>
      </c>
    </row>
    <row r="230" spans="1:6" x14ac:dyDescent="0.2">
      <c r="A230" s="20">
        <v>36847</v>
      </c>
      <c r="B230">
        <v>130</v>
      </c>
      <c r="E230">
        <f t="shared" si="6"/>
        <v>11</v>
      </c>
      <c r="F230">
        <f t="shared" si="7"/>
        <v>2000</v>
      </c>
    </row>
    <row r="231" spans="1:6" x14ac:dyDescent="0.2">
      <c r="A231" s="20">
        <v>36850</v>
      </c>
      <c r="B231">
        <v>130.5</v>
      </c>
      <c r="E231">
        <f t="shared" si="6"/>
        <v>11</v>
      </c>
      <c r="F231">
        <f t="shared" si="7"/>
        <v>2000</v>
      </c>
    </row>
    <row r="232" spans="1:6" x14ac:dyDescent="0.2">
      <c r="A232" s="20">
        <v>36851</v>
      </c>
      <c r="B232">
        <v>131.75</v>
      </c>
      <c r="E232">
        <f t="shared" si="6"/>
        <v>11</v>
      </c>
      <c r="F232">
        <f t="shared" si="7"/>
        <v>2000</v>
      </c>
    </row>
    <row r="233" spans="1:6" x14ac:dyDescent="0.2">
      <c r="A233" s="20">
        <v>36852</v>
      </c>
      <c r="B233">
        <v>132</v>
      </c>
      <c r="E233">
        <f t="shared" si="6"/>
        <v>11</v>
      </c>
      <c r="F233">
        <f t="shared" si="7"/>
        <v>2000</v>
      </c>
    </row>
    <row r="234" spans="1:6" x14ac:dyDescent="0.2">
      <c r="A234" s="20">
        <v>36853</v>
      </c>
      <c r="B234">
        <v>133.5</v>
      </c>
      <c r="E234">
        <f t="shared" si="6"/>
        <v>11</v>
      </c>
      <c r="F234">
        <f t="shared" si="7"/>
        <v>2000</v>
      </c>
    </row>
    <row r="235" spans="1:6" x14ac:dyDescent="0.2">
      <c r="A235" s="20">
        <v>36854</v>
      </c>
      <c r="B235">
        <v>133.25</v>
      </c>
      <c r="E235">
        <f t="shared" si="6"/>
        <v>11</v>
      </c>
      <c r="F235">
        <f t="shared" si="7"/>
        <v>2000</v>
      </c>
    </row>
    <row r="236" spans="1:6" x14ac:dyDescent="0.2">
      <c r="A236" s="20">
        <v>36857</v>
      </c>
      <c r="B236">
        <v>133.75</v>
      </c>
      <c r="E236">
        <f t="shared" si="6"/>
        <v>11</v>
      </c>
      <c r="F236">
        <f t="shared" si="7"/>
        <v>2000</v>
      </c>
    </row>
    <row r="237" spans="1:6" x14ac:dyDescent="0.2">
      <c r="A237" s="20">
        <v>36858</v>
      </c>
      <c r="B237">
        <v>133</v>
      </c>
      <c r="E237">
        <f t="shared" si="6"/>
        <v>11</v>
      </c>
      <c r="F237">
        <f t="shared" si="7"/>
        <v>2000</v>
      </c>
    </row>
    <row r="238" spans="1:6" x14ac:dyDescent="0.2">
      <c r="A238" s="20">
        <v>36859</v>
      </c>
      <c r="B238">
        <v>134.5</v>
      </c>
      <c r="E238">
        <f t="shared" si="6"/>
        <v>11</v>
      </c>
      <c r="F238">
        <f t="shared" si="7"/>
        <v>2000</v>
      </c>
    </row>
    <row r="239" spans="1:6" x14ac:dyDescent="0.2">
      <c r="A239" s="20">
        <v>36860</v>
      </c>
      <c r="B239">
        <v>134.5</v>
      </c>
      <c r="E239">
        <f t="shared" si="6"/>
        <v>11</v>
      </c>
      <c r="F239">
        <f t="shared" si="7"/>
        <v>2000</v>
      </c>
    </row>
    <row r="240" spans="1:6" x14ac:dyDescent="0.2">
      <c r="A240" s="20">
        <v>36861</v>
      </c>
      <c r="B240">
        <v>134.75</v>
      </c>
      <c r="E240">
        <f t="shared" si="6"/>
        <v>12</v>
      </c>
      <c r="F240">
        <f t="shared" si="7"/>
        <v>2000</v>
      </c>
    </row>
    <row r="241" spans="1:6" x14ac:dyDescent="0.2">
      <c r="A241" s="20">
        <v>36864</v>
      </c>
      <c r="B241">
        <v>134.75</v>
      </c>
      <c r="E241">
        <f t="shared" si="6"/>
        <v>12</v>
      </c>
      <c r="F241">
        <f t="shared" si="7"/>
        <v>2000</v>
      </c>
    </row>
    <row r="242" spans="1:6" x14ac:dyDescent="0.2">
      <c r="A242" s="20">
        <v>36865</v>
      </c>
      <c r="B242">
        <v>134.5</v>
      </c>
      <c r="E242">
        <f t="shared" si="6"/>
        <v>12</v>
      </c>
      <c r="F242">
        <f t="shared" si="7"/>
        <v>2000</v>
      </c>
    </row>
    <row r="243" spans="1:6" x14ac:dyDescent="0.2">
      <c r="A243" s="20">
        <v>36866</v>
      </c>
      <c r="B243">
        <v>134.25</v>
      </c>
      <c r="E243">
        <f t="shared" si="6"/>
        <v>12</v>
      </c>
      <c r="F243">
        <f t="shared" si="7"/>
        <v>2000</v>
      </c>
    </row>
    <row r="244" spans="1:6" x14ac:dyDescent="0.2">
      <c r="A244" s="20">
        <v>36867</v>
      </c>
      <c r="B244">
        <v>132</v>
      </c>
      <c r="E244">
        <f t="shared" si="6"/>
        <v>12</v>
      </c>
      <c r="F244">
        <f t="shared" si="7"/>
        <v>2000</v>
      </c>
    </row>
    <row r="245" spans="1:6" x14ac:dyDescent="0.2">
      <c r="A245" s="20">
        <v>36868</v>
      </c>
      <c r="B245">
        <v>132</v>
      </c>
      <c r="E245">
        <f t="shared" si="6"/>
        <v>12</v>
      </c>
      <c r="F245">
        <f t="shared" si="7"/>
        <v>2000</v>
      </c>
    </row>
    <row r="246" spans="1:6" x14ac:dyDescent="0.2">
      <c r="A246" s="20">
        <v>36871</v>
      </c>
      <c r="B246">
        <v>133.5</v>
      </c>
      <c r="E246">
        <f t="shared" si="6"/>
        <v>12</v>
      </c>
      <c r="F246">
        <f t="shared" si="7"/>
        <v>2000</v>
      </c>
    </row>
    <row r="247" spans="1:6" x14ac:dyDescent="0.2">
      <c r="A247" s="20">
        <v>36872</v>
      </c>
      <c r="B247">
        <v>134</v>
      </c>
      <c r="E247">
        <f t="shared" si="6"/>
        <v>12</v>
      </c>
      <c r="F247">
        <f t="shared" si="7"/>
        <v>2000</v>
      </c>
    </row>
    <row r="248" spans="1:6" x14ac:dyDescent="0.2">
      <c r="A248" s="20">
        <v>36873</v>
      </c>
      <c r="B248">
        <v>133</v>
      </c>
      <c r="E248">
        <f t="shared" si="6"/>
        <v>12</v>
      </c>
      <c r="F248">
        <f t="shared" si="7"/>
        <v>2000</v>
      </c>
    </row>
    <row r="249" spans="1:6" x14ac:dyDescent="0.2">
      <c r="A249" s="20">
        <v>36874</v>
      </c>
      <c r="B249">
        <v>133</v>
      </c>
      <c r="E249">
        <f t="shared" si="6"/>
        <v>12</v>
      </c>
      <c r="F249">
        <f t="shared" si="7"/>
        <v>2000</v>
      </c>
    </row>
    <row r="250" spans="1:6" x14ac:dyDescent="0.2">
      <c r="A250" s="20">
        <v>36875</v>
      </c>
      <c r="B250">
        <v>134</v>
      </c>
      <c r="E250">
        <f t="shared" si="6"/>
        <v>12</v>
      </c>
      <c r="F250">
        <f t="shared" si="7"/>
        <v>2000</v>
      </c>
    </row>
    <row r="251" spans="1:6" x14ac:dyDescent="0.2">
      <c r="A251" s="20">
        <v>36878</v>
      </c>
      <c r="B251">
        <v>134</v>
      </c>
      <c r="E251">
        <f t="shared" si="6"/>
        <v>12</v>
      </c>
      <c r="F251">
        <f t="shared" si="7"/>
        <v>2000</v>
      </c>
    </row>
    <row r="252" spans="1:6" x14ac:dyDescent="0.2">
      <c r="A252" s="20">
        <v>36879</v>
      </c>
      <c r="B252">
        <v>133.5</v>
      </c>
      <c r="E252">
        <f t="shared" si="6"/>
        <v>12</v>
      </c>
      <c r="F252">
        <f t="shared" si="7"/>
        <v>2000</v>
      </c>
    </row>
    <row r="253" spans="1:6" x14ac:dyDescent="0.2">
      <c r="A253" s="20">
        <v>36880</v>
      </c>
      <c r="B253">
        <v>133.5</v>
      </c>
      <c r="E253">
        <f t="shared" si="6"/>
        <v>12</v>
      </c>
      <c r="F253">
        <f t="shared" si="7"/>
        <v>2000</v>
      </c>
    </row>
    <row r="254" spans="1:6" x14ac:dyDescent="0.2">
      <c r="A254" s="20">
        <v>36881</v>
      </c>
      <c r="B254">
        <v>133.5</v>
      </c>
      <c r="E254">
        <f t="shared" si="6"/>
        <v>12</v>
      </c>
      <c r="F254">
        <f t="shared" si="7"/>
        <v>2000</v>
      </c>
    </row>
    <row r="255" spans="1:6" x14ac:dyDescent="0.2">
      <c r="A255" s="20">
        <v>36882</v>
      </c>
      <c r="B255">
        <v>133.5</v>
      </c>
      <c r="E255">
        <f t="shared" si="6"/>
        <v>12</v>
      </c>
      <c r="F255">
        <f t="shared" si="7"/>
        <v>2000</v>
      </c>
    </row>
    <row r="256" spans="1:6" x14ac:dyDescent="0.2">
      <c r="A256" s="20">
        <v>36885</v>
      </c>
      <c r="B256" t="s">
        <v>49</v>
      </c>
      <c r="E256">
        <f t="shared" si="6"/>
        <v>12</v>
      </c>
      <c r="F256">
        <f t="shared" si="7"/>
        <v>2000</v>
      </c>
    </row>
    <row r="257" spans="1:6" x14ac:dyDescent="0.2">
      <c r="A257" s="20">
        <v>36886</v>
      </c>
      <c r="B257" t="s">
        <v>49</v>
      </c>
      <c r="E257">
        <f t="shared" si="6"/>
        <v>12</v>
      </c>
      <c r="F257">
        <f t="shared" si="7"/>
        <v>2000</v>
      </c>
    </row>
    <row r="258" spans="1:6" x14ac:dyDescent="0.2">
      <c r="A258" s="20">
        <v>36887</v>
      </c>
      <c r="B258">
        <v>133.75</v>
      </c>
      <c r="E258">
        <f t="shared" si="6"/>
        <v>12</v>
      </c>
      <c r="F258">
        <f t="shared" si="7"/>
        <v>2000</v>
      </c>
    </row>
    <row r="259" spans="1:6" x14ac:dyDescent="0.2">
      <c r="A259" s="20">
        <v>36888</v>
      </c>
      <c r="B259">
        <v>133</v>
      </c>
      <c r="E259">
        <f t="shared" ref="E259:E322" si="8">MONTH(A259)</f>
        <v>12</v>
      </c>
      <c r="F259">
        <f t="shared" ref="F259:F322" si="9">YEAR(A259)</f>
        <v>2000</v>
      </c>
    </row>
    <row r="260" spans="1:6" x14ac:dyDescent="0.2">
      <c r="A260" s="20">
        <v>36889</v>
      </c>
      <c r="B260">
        <v>132.5</v>
      </c>
      <c r="E260">
        <f t="shared" si="8"/>
        <v>12</v>
      </c>
      <c r="F260">
        <f t="shared" si="9"/>
        <v>2000</v>
      </c>
    </row>
    <row r="261" spans="1:6" x14ac:dyDescent="0.2">
      <c r="A261" s="20">
        <v>36892</v>
      </c>
      <c r="B261" t="s">
        <v>49</v>
      </c>
      <c r="E261">
        <f t="shared" si="8"/>
        <v>1</v>
      </c>
      <c r="F261">
        <f t="shared" si="9"/>
        <v>2001</v>
      </c>
    </row>
    <row r="262" spans="1:6" x14ac:dyDescent="0.2">
      <c r="A262" s="20">
        <v>36893</v>
      </c>
      <c r="B262">
        <v>132.5</v>
      </c>
      <c r="E262">
        <f t="shared" si="8"/>
        <v>1</v>
      </c>
      <c r="F262">
        <f t="shared" si="9"/>
        <v>2001</v>
      </c>
    </row>
    <row r="263" spans="1:6" x14ac:dyDescent="0.2">
      <c r="A263" s="20">
        <v>36894</v>
      </c>
      <c r="B263">
        <v>133</v>
      </c>
      <c r="E263">
        <f t="shared" si="8"/>
        <v>1</v>
      </c>
      <c r="F263">
        <f t="shared" si="9"/>
        <v>2001</v>
      </c>
    </row>
    <row r="264" spans="1:6" x14ac:dyDescent="0.2">
      <c r="A264" s="20">
        <v>36895</v>
      </c>
      <c r="B264">
        <v>132.25</v>
      </c>
      <c r="E264">
        <f t="shared" si="8"/>
        <v>1</v>
      </c>
      <c r="F264">
        <f t="shared" si="9"/>
        <v>2001</v>
      </c>
    </row>
    <row r="265" spans="1:6" x14ac:dyDescent="0.2">
      <c r="A265" s="20">
        <v>36896</v>
      </c>
      <c r="B265">
        <v>132.25</v>
      </c>
      <c r="E265">
        <f t="shared" si="8"/>
        <v>1</v>
      </c>
      <c r="F265">
        <f t="shared" si="9"/>
        <v>2001</v>
      </c>
    </row>
    <row r="266" spans="1:6" x14ac:dyDescent="0.2">
      <c r="A266" s="20">
        <v>36899</v>
      </c>
      <c r="B266">
        <v>132.25</v>
      </c>
      <c r="E266">
        <f t="shared" si="8"/>
        <v>1</v>
      </c>
      <c r="F266">
        <f t="shared" si="9"/>
        <v>2001</v>
      </c>
    </row>
    <row r="267" spans="1:6" x14ac:dyDescent="0.2">
      <c r="A267" s="20">
        <v>36900</v>
      </c>
      <c r="B267">
        <v>132.5</v>
      </c>
      <c r="E267">
        <f t="shared" si="8"/>
        <v>1</v>
      </c>
      <c r="F267">
        <f t="shared" si="9"/>
        <v>2001</v>
      </c>
    </row>
    <row r="268" spans="1:6" x14ac:dyDescent="0.2">
      <c r="A268" s="20">
        <v>36901</v>
      </c>
      <c r="B268">
        <v>132.5</v>
      </c>
      <c r="E268">
        <f t="shared" si="8"/>
        <v>1</v>
      </c>
      <c r="F268">
        <f t="shared" si="9"/>
        <v>2001</v>
      </c>
    </row>
    <row r="269" spans="1:6" x14ac:dyDescent="0.2">
      <c r="A269" s="20">
        <v>36902</v>
      </c>
      <c r="B269">
        <v>131.75</v>
      </c>
      <c r="E269">
        <f t="shared" si="8"/>
        <v>1</v>
      </c>
      <c r="F269">
        <f t="shared" si="9"/>
        <v>2001</v>
      </c>
    </row>
    <row r="270" spans="1:6" x14ac:dyDescent="0.2">
      <c r="A270" s="20">
        <v>36903</v>
      </c>
      <c r="B270">
        <v>131.75</v>
      </c>
      <c r="E270">
        <f t="shared" si="8"/>
        <v>1</v>
      </c>
      <c r="F270">
        <f t="shared" si="9"/>
        <v>2001</v>
      </c>
    </row>
    <row r="271" spans="1:6" x14ac:dyDescent="0.2">
      <c r="A271" s="20">
        <v>36906</v>
      </c>
      <c r="B271">
        <v>131.5</v>
      </c>
      <c r="E271">
        <f t="shared" si="8"/>
        <v>1</v>
      </c>
      <c r="F271">
        <f t="shared" si="9"/>
        <v>2001</v>
      </c>
    </row>
    <row r="272" spans="1:6" x14ac:dyDescent="0.2">
      <c r="A272" s="20">
        <v>36907</v>
      </c>
      <c r="B272">
        <v>132</v>
      </c>
      <c r="E272">
        <f t="shared" si="8"/>
        <v>1</v>
      </c>
      <c r="F272">
        <f t="shared" si="9"/>
        <v>2001</v>
      </c>
    </row>
    <row r="273" spans="1:6" x14ac:dyDescent="0.2">
      <c r="A273" s="20">
        <v>36908</v>
      </c>
      <c r="B273">
        <v>131.75</v>
      </c>
      <c r="E273">
        <f t="shared" si="8"/>
        <v>1</v>
      </c>
      <c r="F273">
        <f t="shared" si="9"/>
        <v>2001</v>
      </c>
    </row>
    <row r="274" spans="1:6" x14ac:dyDescent="0.2">
      <c r="A274" s="20">
        <v>36909</v>
      </c>
      <c r="B274">
        <v>131.5</v>
      </c>
      <c r="E274">
        <f t="shared" si="8"/>
        <v>1</v>
      </c>
      <c r="F274">
        <f t="shared" si="9"/>
        <v>2001</v>
      </c>
    </row>
    <row r="275" spans="1:6" x14ac:dyDescent="0.2">
      <c r="A275" s="20">
        <v>36910</v>
      </c>
      <c r="B275">
        <v>131.5</v>
      </c>
      <c r="E275">
        <f t="shared" si="8"/>
        <v>1</v>
      </c>
      <c r="F275">
        <f t="shared" si="9"/>
        <v>2001</v>
      </c>
    </row>
    <row r="276" spans="1:6" x14ac:dyDescent="0.2">
      <c r="A276" s="20">
        <v>36913</v>
      </c>
      <c r="B276">
        <v>131.25</v>
      </c>
      <c r="E276">
        <f t="shared" si="8"/>
        <v>1</v>
      </c>
      <c r="F276">
        <f t="shared" si="9"/>
        <v>2001</v>
      </c>
    </row>
    <row r="277" spans="1:6" x14ac:dyDescent="0.2">
      <c r="A277" s="20">
        <v>36914</v>
      </c>
      <c r="B277">
        <v>131.25</v>
      </c>
      <c r="E277">
        <f t="shared" si="8"/>
        <v>1</v>
      </c>
      <c r="F277">
        <f t="shared" si="9"/>
        <v>2001</v>
      </c>
    </row>
    <row r="278" spans="1:6" x14ac:dyDescent="0.2">
      <c r="A278" s="20">
        <v>36915</v>
      </c>
      <c r="B278">
        <v>132</v>
      </c>
      <c r="E278">
        <f t="shared" si="8"/>
        <v>1</v>
      </c>
      <c r="F278">
        <f t="shared" si="9"/>
        <v>2001</v>
      </c>
    </row>
    <row r="279" spans="1:6" x14ac:dyDescent="0.2">
      <c r="A279" s="20">
        <v>36916</v>
      </c>
      <c r="B279">
        <v>132.25</v>
      </c>
      <c r="E279">
        <f t="shared" si="8"/>
        <v>1</v>
      </c>
      <c r="F279">
        <f t="shared" si="9"/>
        <v>2001</v>
      </c>
    </row>
    <row r="280" spans="1:6" x14ac:dyDescent="0.2">
      <c r="A280" s="20">
        <v>36917</v>
      </c>
      <c r="B280">
        <v>132.5</v>
      </c>
      <c r="E280">
        <f t="shared" si="8"/>
        <v>1</v>
      </c>
      <c r="F280">
        <f t="shared" si="9"/>
        <v>2001</v>
      </c>
    </row>
    <row r="281" spans="1:6" x14ac:dyDescent="0.2">
      <c r="A281" s="20">
        <v>36920</v>
      </c>
      <c r="B281">
        <v>133.25</v>
      </c>
      <c r="E281">
        <f t="shared" si="8"/>
        <v>1</v>
      </c>
      <c r="F281">
        <f t="shared" si="9"/>
        <v>2001</v>
      </c>
    </row>
    <row r="282" spans="1:6" x14ac:dyDescent="0.2">
      <c r="A282" s="20">
        <v>36921</v>
      </c>
      <c r="B282">
        <v>133.5</v>
      </c>
      <c r="E282">
        <f t="shared" si="8"/>
        <v>1</v>
      </c>
      <c r="F282">
        <f t="shared" si="9"/>
        <v>2001</v>
      </c>
    </row>
    <row r="283" spans="1:6" x14ac:dyDescent="0.2">
      <c r="A283" s="20">
        <v>36922</v>
      </c>
      <c r="B283">
        <v>133.5</v>
      </c>
      <c r="E283">
        <f t="shared" si="8"/>
        <v>1</v>
      </c>
      <c r="F283">
        <f t="shared" si="9"/>
        <v>2001</v>
      </c>
    </row>
    <row r="284" spans="1:6" x14ac:dyDescent="0.2">
      <c r="A284" s="20">
        <v>36923</v>
      </c>
      <c r="B284">
        <v>133</v>
      </c>
      <c r="E284">
        <f t="shared" si="8"/>
        <v>2</v>
      </c>
      <c r="F284">
        <f t="shared" si="9"/>
        <v>2001</v>
      </c>
    </row>
    <row r="285" spans="1:6" x14ac:dyDescent="0.2">
      <c r="A285" s="20">
        <v>36924</v>
      </c>
      <c r="B285">
        <v>132.25</v>
      </c>
      <c r="E285">
        <f t="shared" si="8"/>
        <v>2</v>
      </c>
      <c r="F285">
        <f t="shared" si="9"/>
        <v>2001</v>
      </c>
    </row>
    <row r="286" spans="1:6" x14ac:dyDescent="0.2">
      <c r="A286" s="20">
        <v>36927</v>
      </c>
      <c r="B286">
        <v>132</v>
      </c>
      <c r="E286">
        <f t="shared" si="8"/>
        <v>2</v>
      </c>
      <c r="F286">
        <f t="shared" si="9"/>
        <v>2001</v>
      </c>
    </row>
    <row r="287" spans="1:6" x14ac:dyDescent="0.2">
      <c r="A287" s="20">
        <v>36928</v>
      </c>
      <c r="B287">
        <v>132</v>
      </c>
      <c r="E287">
        <f t="shared" si="8"/>
        <v>2</v>
      </c>
      <c r="F287">
        <f t="shared" si="9"/>
        <v>2001</v>
      </c>
    </row>
    <row r="288" spans="1:6" x14ac:dyDescent="0.2">
      <c r="A288" s="20">
        <v>36929</v>
      </c>
      <c r="B288">
        <v>132.25</v>
      </c>
      <c r="E288">
        <f t="shared" si="8"/>
        <v>2</v>
      </c>
      <c r="F288">
        <f t="shared" si="9"/>
        <v>2001</v>
      </c>
    </row>
    <row r="289" spans="1:6" x14ac:dyDescent="0.2">
      <c r="A289" s="20">
        <v>36930</v>
      </c>
      <c r="B289">
        <v>132.5</v>
      </c>
      <c r="E289">
        <f t="shared" si="8"/>
        <v>2</v>
      </c>
      <c r="F289">
        <f t="shared" si="9"/>
        <v>2001</v>
      </c>
    </row>
    <row r="290" spans="1:6" x14ac:dyDescent="0.2">
      <c r="A290" s="20">
        <v>36931</v>
      </c>
      <c r="B290">
        <v>132.5</v>
      </c>
      <c r="E290">
        <f t="shared" si="8"/>
        <v>2</v>
      </c>
      <c r="F290">
        <f t="shared" si="9"/>
        <v>2001</v>
      </c>
    </row>
    <row r="291" spans="1:6" x14ac:dyDescent="0.2">
      <c r="A291" s="20">
        <v>36934</v>
      </c>
      <c r="B291">
        <v>132.25</v>
      </c>
      <c r="E291">
        <f t="shared" si="8"/>
        <v>2</v>
      </c>
      <c r="F291">
        <f t="shared" si="9"/>
        <v>2001</v>
      </c>
    </row>
    <row r="292" spans="1:6" x14ac:dyDescent="0.2">
      <c r="A292" s="20">
        <v>36935</v>
      </c>
      <c r="B292">
        <v>132.25</v>
      </c>
      <c r="E292">
        <f t="shared" si="8"/>
        <v>2</v>
      </c>
      <c r="F292">
        <f t="shared" si="9"/>
        <v>2001</v>
      </c>
    </row>
    <row r="293" spans="1:6" x14ac:dyDescent="0.2">
      <c r="A293" s="20">
        <v>36936</v>
      </c>
      <c r="B293">
        <v>131.75</v>
      </c>
      <c r="E293">
        <f t="shared" si="8"/>
        <v>2</v>
      </c>
      <c r="F293">
        <f t="shared" si="9"/>
        <v>2001</v>
      </c>
    </row>
    <row r="294" spans="1:6" x14ac:dyDescent="0.2">
      <c r="A294" s="20">
        <v>36937</v>
      </c>
      <c r="B294">
        <v>131.25</v>
      </c>
      <c r="E294">
        <f t="shared" si="8"/>
        <v>2</v>
      </c>
      <c r="F294">
        <f t="shared" si="9"/>
        <v>2001</v>
      </c>
    </row>
    <row r="295" spans="1:6" x14ac:dyDescent="0.2">
      <c r="A295" s="20">
        <v>36938</v>
      </c>
      <c r="B295">
        <v>131</v>
      </c>
      <c r="E295">
        <f t="shared" si="8"/>
        <v>2</v>
      </c>
      <c r="F295">
        <f t="shared" si="9"/>
        <v>2001</v>
      </c>
    </row>
    <row r="296" spans="1:6" x14ac:dyDescent="0.2">
      <c r="A296" s="20">
        <v>36941</v>
      </c>
      <c r="B296">
        <v>131</v>
      </c>
      <c r="E296">
        <f t="shared" si="8"/>
        <v>2</v>
      </c>
      <c r="F296">
        <f t="shared" si="9"/>
        <v>2001</v>
      </c>
    </row>
    <row r="297" spans="1:6" x14ac:dyDescent="0.2">
      <c r="A297" s="20">
        <v>36942</v>
      </c>
      <c r="B297">
        <v>131</v>
      </c>
      <c r="E297">
        <f t="shared" si="8"/>
        <v>2</v>
      </c>
      <c r="F297">
        <f t="shared" si="9"/>
        <v>2001</v>
      </c>
    </row>
    <row r="298" spans="1:6" x14ac:dyDescent="0.2">
      <c r="A298" s="20">
        <v>36943</v>
      </c>
      <c r="B298">
        <v>131</v>
      </c>
      <c r="E298">
        <f t="shared" si="8"/>
        <v>2</v>
      </c>
      <c r="F298">
        <f t="shared" si="9"/>
        <v>2001</v>
      </c>
    </row>
    <row r="299" spans="1:6" x14ac:dyDescent="0.2">
      <c r="A299" s="20">
        <v>36944</v>
      </c>
      <c r="B299">
        <v>131</v>
      </c>
      <c r="E299">
        <f t="shared" si="8"/>
        <v>2</v>
      </c>
      <c r="F299">
        <f t="shared" si="9"/>
        <v>2001</v>
      </c>
    </row>
    <row r="300" spans="1:6" x14ac:dyDescent="0.2">
      <c r="A300" s="20">
        <v>36945</v>
      </c>
      <c r="B300">
        <v>131</v>
      </c>
      <c r="E300">
        <f t="shared" si="8"/>
        <v>2</v>
      </c>
      <c r="F300">
        <f t="shared" si="9"/>
        <v>2001</v>
      </c>
    </row>
    <row r="301" spans="1:6" x14ac:dyDescent="0.2">
      <c r="A301" s="20">
        <v>36948</v>
      </c>
      <c r="B301">
        <v>131.25</v>
      </c>
      <c r="E301">
        <f t="shared" si="8"/>
        <v>2</v>
      </c>
      <c r="F301">
        <f t="shared" si="9"/>
        <v>2001</v>
      </c>
    </row>
    <row r="302" spans="1:6" x14ac:dyDescent="0.2">
      <c r="A302" s="20">
        <v>36949</v>
      </c>
      <c r="B302">
        <v>131</v>
      </c>
      <c r="E302">
        <f t="shared" si="8"/>
        <v>2</v>
      </c>
      <c r="F302">
        <f t="shared" si="9"/>
        <v>2001</v>
      </c>
    </row>
    <row r="303" spans="1:6" x14ac:dyDescent="0.2">
      <c r="A303" s="20">
        <v>36950</v>
      </c>
      <c r="B303">
        <v>131.25</v>
      </c>
      <c r="E303">
        <f t="shared" si="8"/>
        <v>2</v>
      </c>
      <c r="F303">
        <f t="shared" si="9"/>
        <v>2001</v>
      </c>
    </row>
    <row r="304" spans="1:6" x14ac:dyDescent="0.2">
      <c r="A304" s="20">
        <v>36951</v>
      </c>
      <c r="B304">
        <v>131.75</v>
      </c>
      <c r="E304">
        <f t="shared" si="8"/>
        <v>3</v>
      </c>
      <c r="F304">
        <f t="shared" si="9"/>
        <v>2001</v>
      </c>
    </row>
    <row r="305" spans="1:6" x14ac:dyDescent="0.2">
      <c r="A305" s="20">
        <v>36952</v>
      </c>
      <c r="B305">
        <v>131.75</v>
      </c>
      <c r="E305">
        <f t="shared" si="8"/>
        <v>3</v>
      </c>
      <c r="F305">
        <f t="shared" si="9"/>
        <v>2001</v>
      </c>
    </row>
    <row r="306" spans="1:6" x14ac:dyDescent="0.2">
      <c r="A306" s="20">
        <v>36955</v>
      </c>
      <c r="B306">
        <v>131</v>
      </c>
      <c r="E306">
        <f t="shared" si="8"/>
        <v>3</v>
      </c>
      <c r="F306">
        <f t="shared" si="9"/>
        <v>2001</v>
      </c>
    </row>
    <row r="307" spans="1:6" x14ac:dyDescent="0.2">
      <c r="A307" s="20">
        <v>36956</v>
      </c>
      <c r="B307">
        <v>134.25</v>
      </c>
      <c r="E307">
        <f t="shared" si="8"/>
        <v>3</v>
      </c>
      <c r="F307">
        <f t="shared" si="9"/>
        <v>2001</v>
      </c>
    </row>
    <row r="308" spans="1:6" x14ac:dyDescent="0.2">
      <c r="A308" s="20">
        <v>36957</v>
      </c>
      <c r="B308">
        <v>134</v>
      </c>
      <c r="E308">
        <f t="shared" si="8"/>
        <v>3</v>
      </c>
      <c r="F308">
        <f t="shared" si="9"/>
        <v>2001</v>
      </c>
    </row>
    <row r="309" spans="1:6" x14ac:dyDescent="0.2">
      <c r="A309" s="20">
        <v>36958</v>
      </c>
      <c r="B309">
        <v>134</v>
      </c>
      <c r="E309">
        <f t="shared" si="8"/>
        <v>3</v>
      </c>
      <c r="F309">
        <f t="shared" si="9"/>
        <v>2001</v>
      </c>
    </row>
    <row r="310" spans="1:6" x14ac:dyDescent="0.2">
      <c r="A310" s="20">
        <v>36959</v>
      </c>
      <c r="B310">
        <v>133.75</v>
      </c>
      <c r="E310">
        <f t="shared" si="8"/>
        <v>3</v>
      </c>
      <c r="F310">
        <f t="shared" si="9"/>
        <v>2001</v>
      </c>
    </row>
    <row r="311" spans="1:6" x14ac:dyDescent="0.2">
      <c r="A311" s="20">
        <v>36962</v>
      </c>
      <c r="B311">
        <v>134</v>
      </c>
      <c r="E311">
        <f t="shared" si="8"/>
        <v>3</v>
      </c>
      <c r="F311">
        <f t="shared" si="9"/>
        <v>2001</v>
      </c>
    </row>
    <row r="312" spans="1:6" x14ac:dyDescent="0.2">
      <c r="A312" s="20">
        <v>36963</v>
      </c>
      <c r="B312">
        <v>133</v>
      </c>
      <c r="E312">
        <f t="shared" si="8"/>
        <v>3</v>
      </c>
      <c r="F312">
        <f t="shared" si="9"/>
        <v>2001</v>
      </c>
    </row>
    <row r="313" spans="1:6" x14ac:dyDescent="0.2">
      <c r="A313" s="20">
        <v>36964</v>
      </c>
      <c r="B313">
        <v>132.25</v>
      </c>
      <c r="E313">
        <f t="shared" si="8"/>
        <v>3</v>
      </c>
      <c r="F313">
        <f t="shared" si="9"/>
        <v>2001</v>
      </c>
    </row>
    <row r="314" spans="1:6" x14ac:dyDescent="0.2">
      <c r="A314" s="20">
        <v>36965</v>
      </c>
      <c r="B314">
        <v>132.5</v>
      </c>
      <c r="E314">
        <f t="shared" si="8"/>
        <v>3</v>
      </c>
      <c r="F314">
        <f t="shared" si="9"/>
        <v>2001</v>
      </c>
    </row>
    <row r="315" spans="1:6" x14ac:dyDescent="0.2">
      <c r="A315" s="20">
        <v>36966</v>
      </c>
      <c r="B315">
        <v>133</v>
      </c>
      <c r="E315">
        <f t="shared" si="8"/>
        <v>3</v>
      </c>
      <c r="F315">
        <f t="shared" si="9"/>
        <v>2001</v>
      </c>
    </row>
    <row r="316" spans="1:6" x14ac:dyDescent="0.2">
      <c r="A316" s="20">
        <v>36969</v>
      </c>
      <c r="B316">
        <v>132.75</v>
      </c>
      <c r="E316">
        <f t="shared" si="8"/>
        <v>3</v>
      </c>
      <c r="F316">
        <f t="shared" si="9"/>
        <v>2001</v>
      </c>
    </row>
    <row r="317" spans="1:6" x14ac:dyDescent="0.2">
      <c r="A317" s="20">
        <v>36970</v>
      </c>
      <c r="B317">
        <v>132.5</v>
      </c>
      <c r="E317">
        <f t="shared" si="8"/>
        <v>3</v>
      </c>
      <c r="F317">
        <f t="shared" si="9"/>
        <v>2001</v>
      </c>
    </row>
    <row r="318" spans="1:6" x14ac:dyDescent="0.2">
      <c r="A318" s="20">
        <v>36971</v>
      </c>
      <c r="B318">
        <v>132.5</v>
      </c>
      <c r="E318">
        <f t="shared" si="8"/>
        <v>3</v>
      </c>
      <c r="F318">
        <f t="shared" si="9"/>
        <v>2001</v>
      </c>
    </row>
    <row r="319" spans="1:6" x14ac:dyDescent="0.2">
      <c r="A319" s="20">
        <v>36972</v>
      </c>
      <c r="B319">
        <v>132.5</v>
      </c>
      <c r="E319">
        <f t="shared" si="8"/>
        <v>3</v>
      </c>
      <c r="F319">
        <f t="shared" si="9"/>
        <v>2001</v>
      </c>
    </row>
    <row r="320" spans="1:6" x14ac:dyDescent="0.2">
      <c r="A320" s="20">
        <v>36973</v>
      </c>
      <c r="B320">
        <v>132.75</v>
      </c>
      <c r="E320">
        <f t="shared" si="8"/>
        <v>3</v>
      </c>
      <c r="F320">
        <f t="shared" si="9"/>
        <v>2001</v>
      </c>
    </row>
    <row r="321" spans="1:6" x14ac:dyDescent="0.2">
      <c r="A321" s="20">
        <v>36976</v>
      </c>
      <c r="B321">
        <v>132.75</v>
      </c>
      <c r="E321">
        <f t="shared" si="8"/>
        <v>3</v>
      </c>
      <c r="F321">
        <f t="shared" si="9"/>
        <v>2001</v>
      </c>
    </row>
    <row r="322" spans="1:6" x14ac:dyDescent="0.2">
      <c r="A322" s="20">
        <v>36977</v>
      </c>
      <c r="B322">
        <v>132.5</v>
      </c>
      <c r="E322">
        <f t="shared" si="8"/>
        <v>3</v>
      </c>
      <c r="F322">
        <f t="shared" si="9"/>
        <v>2001</v>
      </c>
    </row>
    <row r="323" spans="1:6" x14ac:dyDescent="0.2">
      <c r="A323" s="20">
        <v>36978</v>
      </c>
      <c r="B323">
        <v>132.5</v>
      </c>
      <c r="E323">
        <f t="shared" ref="E323:E386" si="10">MONTH(A323)</f>
        <v>3</v>
      </c>
      <c r="F323">
        <f t="shared" ref="F323:F386" si="11">YEAR(A323)</f>
        <v>2001</v>
      </c>
    </row>
    <row r="324" spans="1:6" x14ac:dyDescent="0.2">
      <c r="A324" s="20">
        <v>36979</v>
      </c>
      <c r="B324">
        <v>131.5</v>
      </c>
      <c r="E324">
        <f t="shared" si="10"/>
        <v>3</v>
      </c>
      <c r="F324">
        <f t="shared" si="11"/>
        <v>2001</v>
      </c>
    </row>
    <row r="325" spans="1:6" x14ac:dyDescent="0.2">
      <c r="A325" s="20">
        <v>36980</v>
      </c>
      <c r="B325">
        <v>131.5</v>
      </c>
      <c r="E325">
        <f t="shared" si="10"/>
        <v>3</v>
      </c>
      <c r="F325">
        <f t="shared" si="11"/>
        <v>2001</v>
      </c>
    </row>
    <row r="326" spans="1:6" x14ac:dyDescent="0.2">
      <c r="A326" s="20">
        <v>36983</v>
      </c>
      <c r="B326">
        <v>131.25</v>
      </c>
      <c r="E326">
        <f t="shared" si="10"/>
        <v>4</v>
      </c>
      <c r="F326">
        <f t="shared" si="11"/>
        <v>2001</v>
      </c>
    </row>
    <row r="327" spans="1:6" x14ac:dyDescent="0.2">
      <c r="A327" s="20">
        <v>36984</v>
      </c>
      <c r="B327">
        <v>131</v>
      </c>
      <c r="E327">
        <f t="shared" si="10"/>
        <v>4</v>
      </c>
      <c r="F327">
        <f t="shared" si="11"/>
        <v>2001</v>
      </c>
    </row>
    <row r="328" spans="1:6" x14ac:dyDescent="0.2">
      <c r="A328" s="20">
        <v>36985</v>
      </c>
      <c r="B328">
        <v>131</v>
      </c>
      <c r="E328">
        <f t="shared" si="10"/>
        <v>4</v>
      </c>
      <c r="F328">
        <f t="shared" si="11"/>
        <v>2001</v>
      </c>
    </row>
    <row r="329" spans="1:6" x14ac:dyDescent="0.2">
      <c r="A329" s="20">
        <v>36986</v>
      </c>
      <c r="B329">
        <v>131</v>
      </c>
      <c r="E329">
        <f t="shared" si="10"/>
        <v>4</v>
      </c>
      <c r="F329">
        <f t="shared" si="11"/>
        <v>2001</v>
      </c>
    </row>
    <row r="330" spans="1:6" x14ac:dyDescent="0.2">
      <c r="A330" s="20">
        <v>36987</v>
      </c>
      <c r="B330">
        <v>131</v>
      </c>
      <c r="E330">
        <f t="shared" si="10"/>
        <v>4</v>
      </c>
      <c r="F330">
        <f t="shared" si="11"/>
        <v>2001</v>
      </c>
    </row>
    <row r="331" spans="1:6" x14ac:dyDescent="0.2">
      <c r="A331" s="20">
        <v>36990</v>
      </c>
      <c r="B331">
        <v>131</v>
      </c>
      <c r="E331">
        <f t="shared" si="10"/>
        <v>4</v>
      </c>
      <c r="F331">
        <f t="shared" si="11"/>
        <v>2001</v>
      </c>
    </row>
    <row r="332" spans="1:6" x14ac:dyDescent="0.2">
      <c r="A332" s="20">
        <v>36991</v>
      </c>
      <c r="B332">
        <v>131</v>
      </c>
      <c r="E332">
        <f t="shared" si="10"/>
        <v>4</v>
      </c>
      <c r="F332">
        <f t="shared" si="11"/>
        <v>2001</v>
      </c>
    </row>
    <row r="333" spans="1:6" x14ac:dyDescent="0.2">
      <c r="A333" s="20">
        <v>36992</v>
      </c>
      <c r="B333">
        <v>131</v>
      </c>
      <c r="E333">
        <f t="shared" si="10"/>
        <v>4</v>
      </c>
      <c r="F333">
        <f t="shared" si="11"/>
        <v>2001</v>
      </c>
    </row>
    <row r="334" spans="1:6" x14ac:dyDescent="0.2">
      <c r="A334" s="20">
        <v>36993</v>
      </c>
      <c r="B334">
        <v>131.25</v>
      </c>
      <c r="E334">
        <f t="shared" si="10"/>
        <v>4</v>
      </c>
      <c r="F334">
        <f t="shared" si="11"/>
        <v>2001</v>
      </c>
    </row>
    <row r="335" spans="1:6" x14ac:dyDescent="0.2">
      <c r="A335" s="20">
        <v>36994</v>
      </c>
      <c r="B335" t="s">
        <v>49</v>
      </c>
      <c r="E335">
        <f t="shared" si="10"/>
        <v>4</v>
      </c>
      <c r="F335">
        <f t="shared" si="11"/>
        <v>2001</v>
      </c>
    </row>
    <row r="336" spans="1:6" x14ac:dyDescent="0.2">
      <c r="A336" s="20">
        <v>36997</v>
      </c>
      <c r="B336" t="s">
        <v>49</v>
      </c>
      <c r="E336">
        <f t="shared" si="10"/>
        <v>4</v>
      </c>
      <c r="F336">
        <f t="shared" si="11"/>
        <v>2001</v>
      </c>
    </row>
    <row r="337" spans="1:6" x14ac:dyDescent="0.2">
      <c r="A337" s="20">
        <v>36998</v>
      </c>
      <c r="B337">
        <v>131.25</v>
      </c>
      <c r="E337">
        <f t="shared" si="10"/>
        <v>4</v>
      </c>
      <c r="F337">
        <f t="shared" si="11"/>
        <v>2001</v>
      </c>
    </row>
    <row r="338" spans="1:6" x14ac:dyDescent="0.2">
      <c r="A338" s="20">
        <v>36999</v>
      </c>
      <c r="B338">
        <v>131.25</v>
      </c>
      <c r="E338">
        <f t="shared" si="10"/>
        <v>4</v>
      </c>
      <c r="F338">
        <f t="shared" si="11"/>
        <v>2001</v>
      </c>
    </row>
    <row r="339" spans="1:6" x14ac:dyDescent="0.2">
      <c r="A339" s="20">
        <v>37000</v>
      </c>
      <c r="B339">
        <v>131.5</v>
      </c>
      <c r="E339">
        <f t="shared" si="10"/>
        <v>4</v>
      </c>
      <c r="F339">
        <f t="shared" si="11"/>
        <v>2001</v>
      </c>
    </row>
    <row r="340" spans="1:6" x14ac:dyDescent="0.2">
      <c r="A340" s="20">
        <v>37001</v>
      </c>
      <c r="B340">
        <v>131.5</v>
      </c>
      <c r="E340">
        <f t="shared" si="10"/>
        <v>4</v>
      </c>
      <c r="F340">
        <f t="shared" si="11"/>
        <v>2001</v>
      </c>
    </row>
    <row r="341" spans="1:6" x14ac:dyDescent="0.2">
      <c r="A341" s="20">
        <v>37004</v>
      </c>
      <c r="B341">
        <v>131.5</v>
      </c>
      <c r="E341">
        <f t="shared" si="10"/>
        <v>4</v>
      </c>
      <c r="F341">
        <f t="shared" si="11"/>
        <v>2001</v>
      </c>
    </row>
    <row r="342" spans="1:6" x14ac:dyDescent="0.2">
      <c r="A342" s="20">
        <v>37005</v>
      </c>
      <c r="B342">
        <v>131.5</v>
      </c>
      <c r="E342">
        <f t="shared" si="10"/>
        <v>4</v>
      </c>
      <c r="F342">
        <f t="shared" si="11"/>
        <v>2001</v>
      </c>
    </row>
    <row r="343" spans="1:6" x14ac:dyDescent="0.2">
      <c r="A343" s="20">
        <v>37006</v>
      </c>
      <c r="B343">
        <v>131.5</v>
      </c>
      <c r="E343">
        <f t="shared" si="10"/>
        <v>4</v>
      </c>
      <c r="F343">
        <f t="shared" si="11"/>
        <v>2001</v>
      </c>
    </row>
    <row r="344" spans="1:6" x14ac:dyDescent="0.2">
      <c r="A344" s="20">
        <v>37007</v>
      </c>
      <c r="B344">
        <v>131.5</v>
      </c>
      <c r="E344">
        <f t="shared" si="10"/>
        <v>4</v>
      </c>
      <c r="F344">
        <f t="shared" si="11"/>
        <v>2001</v>
      </c>
    </row>
    <row r="345" spans="1:6" x14ac:dyDescent="0.2">
      <c r="A345" s="20">
        <v>37008</v>
      </c>
      <c r="B345">
        <v>131.5</v>
      </c>
      <c r="E345">
        <f t="shared" si="10"/>
        <v>4</v>
      </c>
      <c r="F345">
        <f t="shared" si="11"/>
        <v>2001</v>
      </c>
    </row>
    <row r="346" spans="1:6" x14ac:dyDescent="0.2">
      <c r="A346" s="20">
        <v>37011</v>
      </c>
      <c r="B346">
        <v>131.5</v>
      </c>
      <c r="E346">
        <f t="shared" si="10"/>
        <v>4</v>
      </c>
      <c r="F346">
        <f t="shared" si="11"/>
        <v>2001</v>
      </c>
    </row>
    <row r="347" spans="1:6" x14ac:dyDescent="0.2">
      <c r="A347" s="20">
        <v>37012</v>
      </c>
      <c r="B347" t="s">
        <v>49</v>
      </c>
      <c r="E347">
        <f t="shared" si="10"/>
        <v>5</v>
      </c>
      <c r="F347">
        <f t="shared" si="11"/>
        <v>2001</v>
      </c>
    </row>
    <row r="348" spans="1:6" x14ac:dyDescent="0.2">
      <c r="A348" s="20">
        <v>37013</v>
      </c>
      <c r="B348">
        <v>131.75</v>
      </c>
      <c r="E348">
        <f t="shared" si="10"/>
        <v>5</v>
      </c>
      <c r="F348">
        <f t="shared" si="11"/>
        <v>2001</v>
      </c>
    </row>
    <row r="349" spans="1:6" x14ac:dyDescent="0.2">
      <c r="A349" s="20">
        <v>37014</v>
      </c>
      <c r="B349">
        <v>132</v>
      </c>
      <c r="E349">
        <f t="shared" si="10"/>
        <v>5</v>
      </c>
      <c r="F349">
        <f t="shared" si="11"/>
        <v>2001</v>
      </c>
    </row>
    <row r="350" spans="1:6" x14ac:dyDescent="0.2">
      <c r="A350" s="20">
        <v>37015</v>
      </c>
      <c r="B350">
        <v>132.25</v>
      </c>
      <c r="E350">
        <f t="shared" si="10"/>
        <v>5</v>
      </c>
      <c r="F350">
        <f t="shared" si="11"/>
        <v>2001</v>
      </c>
    </row>
    <row r="351" spans="1:6" x14ac:dyDescent="0.2">
      <c r="A351" s="20">
        <v>37018</v>
      </c>
      <c r="B351">
        <v>132.5</v>
      </c>
      <c r="E351">
        <f t="shared" si="10"/>
        <v>5</v>
      </c>
      <c r="F351">
        <f t="shared" si="11"/>
        <v>2001</v>
      </c>
    </row>
    <row r="352" spans="1:6" x14ac:dyDescent="0.2">
      <c r="A352" s="20">
        <v>37019</v>
      </c>
      <c r="B352">
        <v>132.5</v>
      </c>
      <c r="E352">
        <f t="shared" si="10"/>
        <v>5</v>
      </c>
      <c r="F352">
        <f t="shared" si="11"/>
        <v>2001</v>
      </c>
    </row>
    <row r="353" spans="1:6" x14ac:dyDescent="0.2">
      <c r="A353" s="20">
        <v>37020</v>
      </c>
      <c r="B353">
        <v>133</v>
      </c>
      <c r="E353">
        <f t="shared" si="10"/>
        <v>5</v>
      </c>
      <c r="F353">
        <f t="shared" si="11"/>
        <v>2001</v>
      </c>
    </row>
    <row r="354" spans="1:6" x14ac:dyDescent="0.2">
      <c r="A354" s="20">
        <v>37021</v>
      </c>
      <c r="B354">
        <v>133.5</v>
      </c>
      <c r="E354">
        <f t="shared" si="10"/>
        <v>5</v>
      </c>
      <c r="F354">
        <f t="shared" si="11"/>
        <v>2001</v>
      </c>
    </row>
    <row r="355" spans="1:6" x14ac:dyDescent="0.2">
      <c r="A355" s="20">
        <v>37022</v>
      </c>
      <c r="B355">
        <v>133.25</v>
      </c>
      <c r="E355">
        <f t="shared" si="10"/>
        <v>5</v>
      </c>
      <c r="F355">
        <f t="shared" si="11"/>
        <v>2001</v>
      </c>
    </row>
    <row r="356" spans="1:6" x14ac:dyDescent="0.2">
      <c r="A356" s="20">
        <v>37025</v>
      </c>
      <c r="B356">
        <v>133.25</v>
      </c>
      <c r="E356">
        <f t="shared" si="10"/>
        <v>5</v>
      </c>
      <c r="F356">
        <f t="shared" si="11"/>
        <v>2001</v>
      </c>
    </row>
    <row r="357" spans="1:6" x14ac:dyDescent="0.2">
      <c r="A357" s="20">
        <v>37026</v>
      </c>
      <c r="B357">
        <v>133.75</v>
      </c>
      <c r="E357">
        <f t="shared" si="10"/>
        <v>5</v>
      </c>
      <c r="F357">
        <f t="shared" si="11"/>
        <v>2001</v>
      </c>
    </row>
    <row r="358" spans="1:6" x14ac:dyDescent="0.2">
      <c r="A358" s="20">
        <v>37027</v>
      </c>
      <c r="B358">
        <v>134</v>
      </c>
      <c r="E358">
        <f t="shared" si="10"/>
        <v>5</v>
      </c>
      <c r="F358">
        <f t="shared" si="11"/>
        <v>2001</v>
      </c>
    </row>
    <row r="359" spans="1:6" x14ac:dyDescent="0.2">
      <c r="A359" s="20">
        <v>37028</v>
      </c>
      <c r="B359">
        <v>134.25</v>
      </c>
      <c r="E359">
        <f t="shared" si="10"/>
        <v>5</v>
      </c>
      <c r="F359">
        <f t="shared" si="11"/>
        <v>2001</v>
      </c>
    </row>
    <row r="360" spans="1:6" x14ac:dyDescent="0.2">
      <c r="A360" s="20">
        <v>37029</v>
      </c>
      <c r="B360">
        <v>134.5</v>
      </c>
      <c r="E360">
        <f t="shared" si="10"/>
        <v>5</v>
      </c>
      <c r="F360">
        <f t="shared" si="11"/>
        <v>2001</v>
      </c>
    </row>
    <row r="361" spans="1:6" x14ac:dyDescent="0.2">
      <c r="A361" s="20">
        <v>37032</v>
      </c>
      <c r="B361">
        <v>134.5</v>
      </c>
      <c r="E361">
        <f t="shared" si="10"/>
        <v>5</v>
      </c>
      <c r="F361">
        <f t="shared" si="11"/>
        <v>2001</v>
      </c>
    </row>
    <row r="362" spans="1:6" x14ac:dyDescent="0.2">
      <c r="A362" s="20">
        <v>37033</v>
      </c>
      <c r="B362">
        <v>134.25</v>
      </c>
      <c r="E362">
        <f t="shared" si="10"/>
        <v>5</v>
      </c>
      <c r="F362">
        <f t="shared" si="11"/>
        <v>2001</v>
      </c>
    </row>
    <row r="363" spans="1:6" x14ac:dyDescent="0.2">
      <c r="A363" s="20">
        <v>37034</v>
      </c>
      <c r="B363">
        <v>134</v>
      </c>
      <c r="E363">
        <f t="shared" si="10"/>
        <v>5</v>
      </c>
      <c r="F363">
        <f t="shared" si="11"/>
        <v>2001</v>
      </c>
    </row>
    <row r="364" spans="1:6" x14ac:dyDescent="0.2">
      <c r="A364" s="20">
        <v>37035</v>
      </c>
      <c r="B364">
        <v>134</v>
      </c>
      <c r="E364">
        <f t="shared" si="10"/>
        <v>5</v>
      </c>
      <c r="F364">
        <f t="shared" si="11"/>
        <v>2001</v>
      </c>
    </row>
    <row r="365" spans="1:6" x14ac:dyDescent="0.2">
      <c r="A365" s="20">
        <v>37036</v>
      </c>
      <c r="B365">
        <v>133.75</v>
      </c>
      <c r="E365">
        <f t="shared" si="10"/>
        <v>5</v>
      </c>
      <c r="F365">
        <f t="shared" si="11"/>
        <v>2001</v>
      </c>
    </row>
    <row r="366" spans="1:6" x14ac:dyDescent="0.2">
      <c r="A366" s="20">
        <v>37039</v>
      </c>
      <c r="B366">
        <v>133</v>
      </c>
      <c r="E366">
        <f t="shared" si="10"/>
        <v>5</v>
      </c>
      <c r="F366">
        <f t="shared" si="11"/>
        <v>2001</v>
      </c>
    </row>
    <row r="367" spans="1:6" x14ac:dyDescent="0.2">
      <c r="A367" s="20">
        <v>37040</v>
      </c>
      <c r="B367">
        <v>133</v>
      </c>
      <c r="E367">
        <f t="shared" si="10"/>
        <v>5</v>
      </c>
      <c r="F367">
        <f t="shared" si="11"/>
        <v>2001</v>
      </c>
    </row>
    <row r="368" spans="1:6" x14ac:dyDescent="0.2">
      <c r="A368" s="20">
        <v>37041</v>
      </c>
      <c r="B368">
        <v>133.25</v>
      </c>
      <c r="E368">
        <f t="shared" si="10"/>
        <v>5</v>
      </c>
      <c r="F368">
        <f t="shared" si="11"/>
        <v>2001</v>
      </c>
    </row>
    <row r="369" spans="1:6" x14ac:dyDescent="0.2">
      <c r="A369" s="20">
        <v>37042</v>
      </c>
      <c r="B369">
        <v>133.5</v>
      </c>
      <c r="E369">
        <f t="shared" si="10"/>
        <v>5</v>
      </c>
      <c r="F369">
        <f t="shared" si="11"/>
        <v>2001</v>
      </c>
    </row>
    <row r="370" spans="1:6" x14ac:dyDescent="0.2">
      <c r="A370" s="20">
        <v>37043</v>
      </c>
      <c r="B370">
        <v>134.25</v>
      </c>
      <c r="E370">
        <f t="shared" si="10"/>
        <v>6</v>
      </c>
      <c r="F370">
        <f t="shared" si="11"/>
        <v>2001</v>
      </c>
    </row>
    <row r="371" spans="1:6" x14ac:dyDescent="0.2">
      <c r="A371" s="20">
        <v>37046</v>
      </c>
      <c r="B371" t="s">
        <v>49</v>
      </c>
      <c r="E371">
        <f t="shared" si="10"/>
        <v>6</v>
      </c>
      <c r="F371">
        <f t="shared" si="11"/>
        <v>2001</v>
      </c>
    </row>
    <row r="372" spans="1:6" x14ac:dyDescent="0.2">
      <c r="A372" s="20">
        <v>37047</v>
      </c>
      <c r="B372">
        <v>135</v>
      </c>
      <c r="E372">
        <f t="shared" si="10"/>
        <v>6</v>
      </c>
      <c r="F372">
        <f t="shared" si="11"/>
        <v>2001</v>
      </c>
    </row>
    <row r="373" spans="1:6" x14ac:dyDescent="0.2">
      <c r="A373" s="20">
        <v>37048</v>
      </c>
      <c r="B373">
        <v>135</v>
      </c>
      <c r="E373">
        <f t="shared" si="10"/>
        <v>6</v>
      </c>
      <c r="F373">
        <f t="shared" si="11"/>
        <v>2001</v>
      </c>
    </row>
    <row r="374" spans="1:6" x14ac:dyDescent="0.2">
      <c r="A374" s="20">
        <v>37049</v>
      </c>
      <c r="B374">
        <v>135.5</v>
      </c>
      <c r="E374">
        <f t="shared" si="10"/>
        <v>6</v>
      </c>
      <c r="F374">
        <f t="shared" si="11"/>
        <v>2001</v>
      </c>
    </row>
    <row r="375" spans="1:6" x14ac:dyDescent="0.2">
      <c r="A375" s="20">
        <v>37050</v>
      </c>
      <c r="B375">
        <v>135.75</v>
      </c>
      <c r="E375">
        <f t="shared" si="10"/>
        <v>6</v>
      </c>
      <c r="F375">
        <f t="shared" si="11"/>
        <v>2001</v>
      </c>
    </row>
    <row r="376" spans="1:6" x14ac:dyDescent="0.2">
      <c r="A376" s="20">
        <v>37053</v>
      </c>
      <c r="B376">
        <v>136</v>
      </c>
      <c r="E376">
        <f t="shared" si="10"/>
        <v>6</v>
      </c>
      <c r="F376">
        <f t="shared" si="11"/>
        <v>2001</v>
      </c>
    </row>
    <row r="377" spans="1:6" x14ac:dyDescent="0.2">
      <c r="A377" s="20">
        <v>37054</v>
      </c>
      <c r="B377">
        <v>136</v>
      </c>
      <c r="E377">
        <f t="shared" si="10"/>
        <v>6</v>
      </c>
      <c r="F377">
        <f t="shared" si="11"/>
        <v>2001</v>
      </c>
    </row>
    <row r="378" spans="1:6" x14ac:dyDescent="0.2">
      <c r="A378" s="20">
        <v>37055</v>
      </c>
      <c r="B378">
        <v>136</v>
      </c>
      <c r="E378">
        <f t="shared" si="10"/>
        <v>6</v>
      </c>
      <c r="F378">
        <f t="shared" si="11"/>
        <v>2001</v>
      </c>
    </row>
    <row r="379" spans="1:6" x14ac:dyDescent="0.2">
      <c r="A379" s="20">
        <v>37056</v>
      </c>
      <c r="B379">
        <v>136.25</v>
      </c>
      <c r="E379">
        <f t="shared" si="10"/>
        <v>6</v>
      </c>
      <c r="F379">
        <f t="shared" si="11"/>
        <v>2001</v>
      </c>
    </row>
    <row r="380" spans="1:6" x14ac:dyDescent="0.2">
      <c r="A380" s="20">
        <v>37057</v>
      </c>
      <c r="B380">
        <v>136.25</v>
      </c>
      <c r="E380">
        <f t="shared" si="10"/>
        <v>6</v>
      </c>
      <c r="F380">
        <f t="shared" si="11"/>
        <v>2001</v>
      </c>
    </row>
    <row r="381" spans="1:6" x14ac:dyDescent="0.2">
      <c r="A381" s="20">
        <v>37060</v>
      </c>
      <c r="B381">
        <v>138</v>
      </c>
      <c r="E381">
        <f t="shared" si="10"/>
        <v>6</v>
      </c>
      <c r="F381">
        <f t="shared" si="11"/>
        <v>2001</v>
      </c>
    </row>
    <row r="382" spans="1:6" x14ac:dyDescent="0.2">
      <c r="A382" s="20">
        <v>37061</v>
      </c>
      <c r="B382">
        <v>139.5</v>
      </c>
      <c r="E382">
        <f t="shared" si="10"/>
        <v>6</v>
      </c>
      <c r="F382">
        <f t="shared" si="11"/>
        <v>2001</v>
      </c>
    </row>
    <row r="383" spans="1:6" x14ac:dyDescent="0.2">
      <c r="A383" s="20">
        <v>37062</v>
      </c>
      <c r="B383">
        <v>139.5</v>
      </c>
      <c r="E383">
        <f t="shared" si="10"/>
        <v>6</v>
      </c>
      <c r="F383">
        <f t="shared" si="11"/>
        <v>2001</v>
      </c>
    </row>
    <row r="384" spans="1:6" x14ac:dyDescent="0.2">
      <c r="A384" s="20">
        <v>37063</v>
      </c>
      <c r="B384">
        <v>139</v>
      </c>
      <c r="E384">
        <f t="shared" si="10"/>
        <v>6</v>
      </c>
      <c r="F384">
        <f t="shared" si="11"/>
        <v>2001</v>
      </c>
    </row>
    <row r="385" spans="1:6" x14ac:dyDescent="0.2">
      <c r="A385" s="20">
        <v>37064</v>
      </c>
      <c r="B385">
        <v>138.75</v>
      </c>
      <c r="E385">
        <f t="shared" si="10"/>
        <v>6</v>
      </c>
      <c r="F385">
        <f t="shared" si="11"/>
        <v>2001</v>
      </c>
    </row>
    <row r="386" spans="1:6" x14ac:dyDescent="0.2">
      <c r="A386" s="20">
        <v>37067</v>
      </c>
      <c r="B386">
        <v>139.5</v>
      </c>
      <c r="E386">
        <f t="shared" si="10"/>
        <v>6</v>
      </c>
      <c r="F386">
        <f t="shared" si="11"/>
        <v>2001</v>
      </c>
    </row>
    <row r="387" spans="1:6" x14ac:dyDescent="0.2">
      <c r="A387" s="20">
        <v>37068</v>
      </c>
      <c r="B387">
        <v>139.25</v>
      </c>
      <c r="E387">
        <f t="shared" ref="E387:E450" si="12">MONTH(A387)</f>
        <v>6</v>
      </c>
      <c r="F387">
        <f t="shared" ref="F387:F450" si="13">YEAR(A387)</f>
        <v>2001</v>
      </c>
    </row>
    <row r="388" spans="1:6" x14ac:dyDescent="0.2">
      <c r="A388" s="20">
        <v>37069</v>
      </c>
      <c r="B388">
        <v>139.25</v>
      </c>
      <c r="E388">
        <f t="shared" si="12"/>
        <v>6</v>
      </c>
      <c r="F388">
        <f t="shared" si="13"/>
        <v>2001</v>
      </c>
    </row>
    <row r="389" spans="1:6" x14ac:dyDescent="0.2">
      <c r="A389" s="20">
        <v>37070</v>
      </c>
      <c r="B389">
        <v>138.25</v>
      </c>
      <c r="E389">
        <f t="shared" si="12"/>
        <v>6</v>
      </c>
      <c r="F389">
        <f t="shared" si="13"/>
        <v>2001</v>
      </c>
    </row>
    <row r="390" spans="1:6" x14ac:dyDescent="0.2">
      <c r="A390" s="20">
        <v>37071</v>
      </c>
      <c r="B390">
        <v>139</v>
      </c>
      <c r="E390">
        <f t="shared" si="12"/>
        <v>6</v>
      </c>
      <c r="F390">
        <f t="shared" si="13"/>
        <v>2001</v>
      </c>
    </row>
    <row r="391" spans="1:6" x14ac:dyDescent="0.2">
      <c r="A391" s="20">
        <v>37074</v>
      </c>
      <c r="B391">
        <v>139</v>
      </c>
      <c r="E391">
        <f t="shared" si="12"/>
        <v>7</v>
      </c>
      <c r="F391">
        <f t="shared" si="13"/>
        <v>2001</v>
      </c>
    </row>
    <row r="392" spans="1:6" x14ac:dyDescent="0.2">
      <c r="A392" s="20">
        <v>37075</v>
      </c>
      <c r="B392">
        <v>139.25</v>
      </c>
      <c r="E392">
        <f t="shared" si="12"/>
        <v>7</v>
      </c>
      <c r="F392">
        <f t="shared" si="13"/>
        <v>2001</v>
      </c>
    </row>
    <row r="393" spans="1:6" x14ac:dyDescent="0.2">
      <c r="A393" s="20">
        <v>37076</v>
      </c>
      <c r="B393">
        <v>139.25</v>
      </c>
      <c r="E393">
        <f t="shared" si="12"/>
        <v>7</v>
      </c>
      <c r="F393">
        <f t="shared" si="13"/>
        <v>2001</v>
      </c>
    </row>
    <row r="394" spans="1:6" x14ac:dyDescent="0.2">
      <c r="A394" s="20">
        <v>37077</v>
      </c>
      <c r="B394">
        <v>140</v>
      </c>
      <c r="E394">
        <f t="shared" si="12"/>
        <v>7</v>
      </c>
      <c r="F394">
        <f t="shared" si="13"/>
        <v>2001</v>
      </c>
    </row>
    <row r="395" spans="1:6" x14ac:dyDescent="0.2">
      <c r="A395" s="20">
        <v>37078</v>
      </c>
      <c r="B395">
        <v>141.75</v>
      </c>
      <c r="E395">
        <f t="shared" si="12"/>
        <v>7</v>
      </c>
      <c r="F395">
        <f t="shared" si="13"/>
        <v>2001</v>
      </c>
    </row>
    <row r="396" spans="1:6" x14ac:dyDescent="0.2">
      <c r="A396" s="20">
        <v>37081</v>
      </c>
      <c r="B396">
        <v>142</v>
      </c>
      <c r="E396">
        <f t="shared" si="12"/>
        <v>7</v>
      </c>
      <c r="F396">
        <f t="shared" si="13"/>
        <v>2001</v>
      </c>
    </row>
    <row r="397" spans="1:6" x14ac:dyDescent="0.2">
      <c r="A397" s="20">
        <v>37082</v>
      </c>
      <c r="B397">
        <v>141</v>
      </c>
      <c r="E397">
        <f t="shared" si="12"/>
        <v>7</v>
      </c>
      <c r="F397">
        <f t="shared" si="13"/>
        <v>2001</v>
      </c>
    </row>
    <row r="398" spans="1:6" x14ac:dyDescent="0.2">
      <c r="A398" s="20">
        <v>37083</v>
      </c>
      <c r="B398">
        <v>141.25</v>
      </c>
      <c r="E398">
        <f t="shared" si="12"/>
        <v>7</v>
      </c>
      <c r="F398">
        <f t="shared" si="13"/>
        <v>2001</v>
      </c>
    </row>
    <row r="399" spans="1:6" x14ac:dyDescent="0.2">
      <c r="A399" s="20">
        <v>37084</v>
      </c>
      <c r="B399">
        <v>141.5</v>
      </c>
      <c r="E399">
        <f t="shared" si="12"/>
        <v>7</v>
      </c>
      <c r="F399">
        <f t="shared" si="13"/>
        <v>2001</v>
      </c>
    </row>
    <row r="400" spans="1:6" x14ac:dyDescent="0.2">
      <c r="A400" s="20">
        <v>37085</v>
      </c>
      <c r="B400">
        <v>142.75</v>
      </c>
      <c r="E400">
        <f t="shared" si="12"/>
        <v>7</v>
      </c>
      <c r="F400">
        <f t="shared" si="13"/>
        <v>2001</v>
      </c>
    </row>
    <row r="401" spans="1:6" x14ac:dyDescent="0.2">
      <c r="A401" s="20">
        <v>37088</v>
      </c>
      <c r="B401">
        <v>142.25</v>
      </c>
      <c r="E401">
        <f t="shared" si="12"/>
        <v>7</v>
      </c>
      <c r="F401">
        <f t="shared" si="13"/>
        <v>2001</v>
      </c>
    </row>
    <row r="402" spans="1:6" x14ac:dyDescent="0.2">
      <c r="A402" s="20">
        <v>37089</v>
      </c>
      <c r="B402">
        <v>142.75</v>
      </c>
      <c r="E402">
        <f t="shared" si="12"/>
        <v>7</v>
      </c>
      <c r="F402">
        <f t="shared" si="13"/>
        <v>2001</v>
      </c>
    </row>
    <row r="403" spans="1:6" x14ac:dyDescent="0.2">
      <c r="A403" s="20">
        <v>37090</v>
      </c>
      <c r="B403">
        <v>140.5</v>
      </c>
      <c r="E403">
        <f t="shared" si="12"/>
        <v>7</v>
      </c>
      <c r="F403">
        <f t="shared" si="13"/>
        <v>2001</v>
      </c>
    </row>
    <row r="404" spans="1:6" x14ac:dyDescent="0.2">
      <c r="A404" s="20">
        <v>37091</v>
      </c>
      <c r="B404">
        <v>139.75</v>
      </c>
      <c r="E404">
        <f t="shared" si="12"/>
        <v>7</v>
      </c>
      <c r="F404">
        <f t="shared" si="13"/>
        <v>2001</v>
      </c>
    </row>
    <row r="405" spans="1:6" x14ac:dyDescent="0.2">
      <c r="A405" s="20">
        <v>37092</v>
      </c>
      <c r="B405">
        <v>139.25</v>
      </c>
      <c r="E405">
        <f t="shared" si="12"/>
        <v>7</v>
      </c>
      <c r="F405">
        <f t="shared" si="13"/>
        <v>2001</v>
      </c>
    </row>
    <row r="406" spans="1:6" x14ac:dyDescent="0.2">
      <c r="A406" s="20">
        <v>37095</v>
      </c>
      <c r="B406">
        <v>137.5</v>
      </c>
      <c r="E406">
        <f t="shared" si="12"/>
        <v>7</v>
      </c>
      <c r="F406">
        <f t="shared" si="13"/>
        <v>2001</v>
      </c>
    </row>
    <row r="407" spans="1:6" x14ac:dyDescent="0.2">
      <c r="A407" s="20">
        <v>37096</v>
      </c>
      <c r="B407">
        <v>138.75</v>
      </c>
      <c r="E407">
        <f t="shared" si="12"/>
        <v>7</v>
      </c>
      <c r="F407">
        <f t="shared" si="13"/>
        <v>2001</v>
      </c>
    </row>
    <row r="408" spans="1:6" x14ac:dyDescent="0.2">
      <c r="A408" s="20">
        <v>37097</v>
      </c>
      <c r="B408">
        <v>139</v>
      </c>
      <c r="E408">
        <f t="shared" si="12"/>
        <v>7</v>
      </c>
      <c r="F408">
        <f t="shared" si="13"/>
        <v>2001</v>
      </c>
    </row>
    <row r="409" spans="1:6" x14ac:dyDescent="0.2">
      <c r="A409" s="20">
        <v>37098</v>
      </c>
      <c r="B409">
        <v>139.25</v>
      </c>
      <c r="E409">
        <f t="shared" si="12"/>
        <v>7</v>
      </c>
      <c r="F409">
        <f t="shared" si="13"/>
        <v>2001</v>
      </c>
    </row>
    <row r="410" spans="1:6" x14ac:dyDescent="0.2">
      <c r="A410" s="20">
        <v>37099</v>
      </c>
      <c r="B410">
        <v>139</v>
      </c>
      <c r="E410">
        <f t="shared" si="12"/>
        <v>7</v>
      </c>
      <c r="F410">
        <f t="shared" si="13"/>
        <v>2001</v>
      </c>
    </row>
    <row r="411" spans="1:6" x14ac:dyDescent="0.2">
      <c r="A411" s="20">
        <v>37102</v>
      </c>
      <c r="B411">
        <v>139.5</v>
      </c>
      <c r="E411">
        <f t="shared" si="12"/>
        <v>7</v>
      </c>
      <c r="F411">
        <f t="shared" si="13"/>
        <v>2001</v>
      </c>
    </row>
    <row r="412" spans="1:6" x14ac:dyDescent="0.2">
      <c r="A412" s="20">
        <v>37103</v>
      </c>
      <c r="B412">
        <v>139.5</v>
      </c>
      <c r="E412">
        <f t="shared" si="12"/>
        <v>7</v>
      </c>
      <c r="F412">
        <f t="shared" si="13"/>
        <v>2001</v>
      </c>
    </row>
    <row r="413" spans="1:6" x14ac:dyDescent="0.2">
      <c r="A413" s="20">
        <v>37104</v>
      </c>
      <c r="B413">
        <v>139.25</v>
      </c>
      <c r="E413">
        <f t="shared" si="12"/>
        <v>8</v>
      </c>
      <c r="F413">
        <f t="shared" si="13"/>
        <v>2001</v>
      </c>
    </row>
    <row r="414" spans="1:6" x14ac:dyDescent="0.2">
      <c r="A414" s="20">
        <v>37105</v>
      </c>
      <c r="B414">
        <v>137.75</v>
      </c>
      <c r="E414">
        <f t="shared" si="12"/>
        <v>8</v>
      </c>
      <c r="F414">
        <f t="shared" si="13"/>
        <v>2001</v>
      </c>
    </row>
    <row r="415" spans="1:6" x14ac:dyDescent="0.2">
      <c r="A415" s="20">
        <v>37106</v>
      </c>
      <c r="B415">
        <v>135.75</v>
      </c>
      <c r="E415">
        <f t="shared" si="12"/>
        <v>8</v>
      </c>
      <c r="F415">
        <f t="shared" si="13"/>
        <v>2001</v>
      </c>
    </row>
    <row r="416" spans="1:6" x14ac:dyDescent="0.2">
      <c r="A416" s="20">
        <v>37109</v>
      </c>
      <c r="B416">
        <v>132</v>
      </c>
      <c r="E416">
        <f t="shared" si="12"/>
        <v>8</v>
      </c>
      <c r="F416">
        <f t="shared" si="13"/>
        <v>2001</v>
      </c>
    </row>
    <row r="417" spans="1:6" x14ac:dyDescent="0.2">
      <c r="A417" s="20">
        <v>37110</v>
      </c>
      <c r="B417">
        <v>132</v>
      </c>
      <c r="E417">
        <f t="shared" si="12"/>
        <v>8</v>
      </c>
      <c r="F417">
        <f t="shared" si="13"/>
        <v>2001</v>
      </c>
    </row>
    <row r="418" spans="1:6" x14ac:dyDescent="0.2">
      <c r="A418" s="20">
        <v>37111</v>
      </c>
      <c r="B418">
        <v>132</v>
      </c>
      <c r="E418">
        <f t="shared" si="12"/>
        <v>8</v>
      </c>
      <c r="F418">
        <f t="shared" si="13"/>
        <v>2001</v>
      </c>
    </row>
    <row r="419" spans="1:6" x14ac:dyDescent="0.2">
      <c r="A419" s="20">
        <v>37112</v>
      </c>
      <c r="B419">
        <v>131</v>
      </c>
      <c r="E419">
        <f t="shared" si="12"/>
        <v>8</v>
      </c>
      <c r="F419">
        <f t="shared" si="13"/>
        <v>2001</v>
      </c>
    </row>
    <row r="420" spans="1:6" x14ac:dyDescent="0.2">
      <c r="A420" s="20">
        <v>37113</v>
      </c>
      <c r="B420">
        <v>131</v>
      </c>
      <c r="E420">
        <f t="shared" si="12"/>
        <v>8</v>
      </c>
      <c r="F420">
        <f t="shared" si="13"/>
        <v>2001</v>
      </c>
    </row>
    <row r="421" spans="1:6" x14ac:dyDescent="0.2">
      <c r="A421" s="20">
        <v>37116</v>
      </c>
      <c r="B421">
        <v>131</v>
      </c>
      <c r="E421">
        <f t="shared" si="12"/>
        <v>8</v>
      </c>
      <c r="F421">
        <f t="shared" si="13"/>
        <v>2001</v>
      </c>
    </row>
    <row r="422" spans="1:6" x14ac:dyDescent="0.2">
      <c r="A422" s="20">
        <v>37117</v>
      </c>
      <c r="B422">
        <v>130.5</v>
      </c>
      <c r="E422">
        <f t="shared" si="12"/>
        <v>8</v>
      </c>
      <c r="F422">
        <f t="shared" si="13"/>
        <v>2001</v>
      </c>
    </row>
    <row r="423" spans="1:6" x14ac:dyDescent="0.2">
      <c r="A423" s="20">
        <v>37118</v>
      </c>
      <c r="B423">
        <v>130.5</v>
      </c>
      <c r="E423">
        <f t="shared" si="12"/>
        <v>8</v>
      </c>
      <c r="F423">
        <f t="shared" si="13"/>
        <v>2001</v>
      </c>
    </row>
    <row r="424" spans="1:6" x14ac:dyDescent="0.2">
      <c r="A424" s="20">
        <v>37119</v>
      </c>
      <c r="B424">
        <v>130.5</v>
      </c>
      <c r="E424">
        <f t="shared" si="12"/>
        <v>8</v>
      </c>
      <c r="F424">
        <f t="shared" si="13"/>
        <v>2001</v>
      </c>
    </row>
    <row r="425" spans="1:6" x14ac:dyDescent="0.2">
      <c r="A425" s="20">
        <v>37120</v>
      </c>
      <c r="B425">
        <v>130.5</v>
      </c>
      <c r="E425">
        <f t="shared" si="12"/>
        <v>8</v>
      </c>
      <c r="F425">
        <f t="shared" si="13"/>
        <v>2001</v>
      </c>
    </row>
    <row r="426" spans="1:6" x14ac:dyDescent="0.2">
      <c r="A426" s="20">
        <v>37123</v>
      </c>
      <c r="B426">
        <v>130</v>
      </c>
      <c r="E426">
        <f t="shared" si="12"/>
        <v>8</v>
      </c>
      <c r="F426">
        <f t="shared" si="13"/>
        <v>2001</v>
      </c>
    </row>
    <row r="427" spans="1:6" x14ac:dyDescent="0.2">
      <c r="A427" s="20">
        <v>37124</v>
      </c>
      <c r="B427">
        <v>129.5</v>
      </c>
      <c r="E427">
        <f t="shared" si="12"/>
        <v>8</v>
      </c>
      <c r="F427">
        <f t="shared" si="13"/>
        <v>2001</v>
      </c>
    </row>
    <row r="428" spans="1:6" x14ac:dyDescent="0.2">
      <c r="A428" s="20">
        <v>37125</v>
      </c>
      <c r="B428">
        <v>129.5</v>
      </c>
      <c r="E428">
        <f t="shared" si="12"/>
        <v>8</v>
      </c>
      <c r="F428">
        <f t="shared" si="13"/>
        <v>2001</v>
      </c>
    </row>
    <row r="429" spans="1:6" x14ac:dyDescent="0.2">
      <c r="A429" s="20">
        <v>37126</v>
      </c>
      <c r="B429">
        <v>128.5</v>
      </c>
      <c r="E429">
        <f t="shared" si="12"/>
        <v>8</v>
      </c>
      <c r="F429">
        <f t="shared" si="13"/>
        <v>2001</v>
      </c>
    </row>
    <row r="430" spans="1:6" x14ac:dyDescent="0.2">
      <c r="A430" s="20">
        <v>37127</v>
      </c>
      <c r="B430">
        <v>128.5</v>
      </c>
      <c r="E430">
        <f t="shared" si="12"/>
        <v>8</v>
      </c>
      <c r="F430">
        <f t="shared" si="13"/>
        <v>2001</v>
      </c>
    </row>
    <row r="431" spans="1:6" x14ac:dyDescent="0.2">
      <c r="A431" s="20">
        <v>37130</v>
      </c>
      <c r="B431">
        <v>129</v>
      </c>
      <c r="E431">
        <f t="shared" si="12"/>
        <v>8</v>
      </c>
      <c r="F431">
        <f t="shared" si="13"/>
        <v>2001</v>
      </c>
    </row>
    <row r="432" spans="1:6" x14ac:dyDescent="0.2">
      <c r="A432" s="20">
        <v>37131</v>
      </c>
      <c r="B432">
        <v>129</v>
      </c>
      <c r="E432">
        <f t="shared" si="12"/>
        <v>8</v>
      </c>
      <c r="F432">
        <f t="shared" si="13"/>
        <v>2001</v>
      </c>
    </row>
    <row r="433" spans="1:6" x14ac:dyDescent="0.2">
      <c r="A433" s="20">
        <v>37132</v>
      </c>
      <c r="B433">
        <v>129</v>
      </c>
      <c r="E433">
        <f t="shared" si="12"/>
        <v>8</v>
      </c>
      <c r="F433">
        <f t="shared" si="13"/>
        <v>2001</v>
      </c>
    </row>
    <row r="434" spans="1:6" x14ac:dyDescent="0.2">
      <c r="A434" s="20">
        <v>37133</v>
      </c>
      <c r="B434">
        <v>128.5</v>
      </c>
      <c r="E434">
        <f t="shared" si="12"/>
        <v>8</v>
      </c>
      <c r="F434">
        <f t="shared" si="13"/>
        <v>2001</v>
      </c>
    </row>
    <row r="435" spans="1:6" x14ac:dyDescent="0.2">
      <c r="A435" s="20">
        <v>37134</v>
      </c>
      <c r="B435">
        <v>128.5</v>
      </c>
      <c r="E435">
        <f t="shared" si="12"/>
        <v>8</v>
      </c>
      <c r="F435">
        <f t="shared" si="13"/>
        <v>2001</v>
      </c>
    </row>
    <row r="436" spans="1:6" x14ac:dyDescent="0.2">
      <c r="A436" s="20">
        <v>37137</v>
      </c>
      <c r="B436">
        <v>129</v>
      </c>
      <c r="E436">
        <f t="shared" si="12"/>
        <v>9</v>
      </c>
      <c r="F436">
        <f t="shared" si="13"/>
        <v>2001</v>
      </c>
    </row>
    <row r="437" spans="1:6" x14ac:dyDescent="0.2">
      <c r="A437" s="20">
        <v>37138</v>
      </c>
      <c r="B437">
        <v>127.5</v>
      </c>
      <c r="E437">
        <f t="shared" si="12"/>
        <v>9</v>
      </c>
      <c r="F437">
        <f t="shared" si="13"/>
        <v>2001</v>
      </c>
    </row>
    <row r="438" spans="1:6" x14ac:dyDescent="0.2">
      <c r="A438" s="20">
        <v>37139</v>
      </c>
      <c r="B438">
        <v>127.5</v>
      </c>
      <c r="E438">
        <f t="shared" si="12"/>
        <v>9</v>
      </c>
      <c r="F438">
        <f t="shared" si="13"/>
        <v>2001</v>
      </c>
    </row>
    <row r="439" spans="1:6" x14ac:dyDescent="0.2">
      <c r="A439" s="20">
        <v>37140</v>
      </c>
      <c r="B439">
        <v>127</v>
      </c>
      <c r="E439">
        <f t="shared" si="12"/>
        <v>9</v>
      </c>
      <c r="F439">
        <f t="shared" si="13"/>
        <v>2001</v>
      </c>
    </row>
    <row r="440" spans="1:6" x14ac:dyDescent="0.2">
      <c r="A440" s="20">
        <v>37141</v>
      </c>
      <c r="B440">
        <v>126.75</v>
      </c>
      <c r="E440">
        <f t="shared" si="12"/>
        <v>9</v>
      </c>
      <c r="F440">
        <f t="shared" si="13"/>
        <v>2001</v>
      </c>
    </row>
    <row r="441" spans="1:6" x14ac:dyDescent="0.2">
      <c r="A441" s="20">
        <v>37144</v>
      </c>
      <c r="B441">
        <v>127.5</v>
      </c>
      <c r="E441">
        <f t="shared" si="12"/>
        <v>9</v>
      </c>
      <c r="F441">
        <f t="shared" si="13"/>
        <v>2001</v>
      </c>
    </row>
    <row r="442" spans="1:6" x14ac:dyDescent="0.2">
      <c r="A442" s="20">
        <v>37145</v>
      </c>
      <c r="B442">
        <v>127.25</v>
      </c>
      <c r="E442">
        <f t="shared" si="12"/>
        <v>9</v>
      </c>
      <c r="F442">
        <f t="shared" si="13"/>
        <v>2001</v>
      </c>
    </row>
    <row r="443" spans="1:6" x14ac:dyDescent="0.2">
      <c r="A443" s="20">
        <v>37146</v>
      </c>
      <c r="B443">
        <v>127.25</v>
      </c>
      <c r="E443">
        <f t="shared" si="12"/>
        <v>9</v>
      </c>
      <c r="F443">
        <f t="shared" si="13"/>
        <v>2001</v>
      </c>
    </row>
    <row r="444" spans="1:6" x14ac:dyDescent="0.2">
      <c r="A444" s="20">
        <v>37147</v>
      </c>
      <c r="B444">
        <v>127.5</v>
      </c>
      <c r="E444">
        <f t="shared" si="12"/>
        <v>9</v>
      </c>
      <c r="F444">
        <f t="shared" si="13"/>
        <v>2001</v>
      </c>
    </row>
    <row r="445" spans="1:6" x14ac:dyDescent="0.2">
      <c r="A445" s="20">
        <v>37148</v>
      </c>
      <c r="B445">
        <v>127.5</v>
      </c>
      <c r="E445">
        <f t="shared" si="12"/>
        <v>9</v>
      </c>
      <c r="F445">
        <f t="shared" si="13"/>
        <v>2001</v>
      </c>
    </row>
    <row r="446" spans="1:6" x14ac:dyDescent="0.2">
      <c r="A446" s="20">
        <v>37151</v>
      </c>
      <c r="B446">
        <v>127</v>
      </c>
      <c r="E446">
        <f t="shared" si="12"/>
        <v>9</v>
      </c>
      <c r="F446">
        <f t="shared" si="13"/>
        <v>2001</v>
      </c>
    </row>
    <row r="447" spans="1:6" x14ac:dyDescent="0.2">
      <c r="A447" s="20">
        <v>37152</v>
      </c>
      <c r="B447">
        <v>127.5</v>
      </c>
      <c r="E447">
        <f t="shared" si="12"/>
        <v>9</v>
      </c>
      <c r="F447">
        <f t="shared" si="13"/>
        <v>2001</v>
      </c>
    </row>
    <row r="448" spans="1:6" x14ac:dyDescent="0.2">
      <c r="A448" s="20">
        <v>37153</v>
      </c>
      <c r="B448">
        <v>128</v>
      </c>
      <c r="E448">
        <f t="shared" si="12"/>
        <v>9</v>
      </c>
      <c r="F448">
        <f t="shared" si="13"/>
        <v>2001</v>
      </c>
    </row>
    <row r="449" spans="1:6" x14ac:dyDescent="0.2">
      <c r="A449" s="20">
        <v>37154</v>
      </c>
      <c r="B449">
        <v>127.5</v>
      </c>
      <c r="E449">
        <f t="shared" si="12"/>
        <v>9</v>
      </c>
      <c r="F449">
        <f t="shared" si="13"/>
        <v>2001</v>
      </c>
    </row>
    <row r="450" spans="1:6" x14ac:dyDescent="0.2">
      <c r="A450" s="20">
        <v>37155</v>
      </c>
      <c r="B450">
        <v>127</v>
      </c>
      <c r="E450">
        <f t="shared" si="12"/>
        <v>9</v>
      </c>
      <c r="F450">
        <f t="shared" si="13"/>
        <v>2001</v>
      </c>
    </row>
    <row r="451" spans="1:6" x14ac:dyDescent="0.2">
      <c r="A451" s="20">
        <v>37158</v>
      </c>
      <c r="B451">
        <v>127.5</v>
      </c>
      <c r="E451">
        <f t="shared" ref="E451:E514" si="14">MONTH(A451)</f>
        <v>9</v>
      </c>
      <c r="F451">
        <f t="shared" ref="F451:F514" si="15">YEAR(A451)</f>
        <v>2001</v>
      </c>
    </row>
    <row r="452" spans="1:6" x14ac:dyDescent="0.2">
      <c r="A452" s="20">
        <v>37159</v>
      </c>
      <c r="B452">
        <v>127.5</v>
      </c>
      <c r="E452">
        <f t="shared" si="14"/>
        <v>9</v>
      </c>
      <c r="F452">
        <f t="shared" si="15"/>
        <v>2001</v>
      </c>
    </row>
    <row r="453" spans="1:6" x14ac:dyDescent="0.2">
      <c r="A453" s="20">
        <v>37160</v>
      </c>
      <c r="B453">
        <v>127</v>
      </c>
      <c r="E453">
        <f t="shared" si="14"/>
        <v>9</v>
      </c>
      <c r="F453">
        <f t="shared" si="15"/>
        <v>2001</v>
      </c>
    </row>
    <row r="454" spans="1:6" x14ac:dyDescent="0.2">
      <c r="A454" s="20">
        <v>37161</v>
      </c>
      <c r="B454">
        <v>126.5</v>
      </c>
      <c r="E454">
        <f t="shared" si="14"/>
        <v>9</v>
      </c>
      <c r="F454">
        <f t="shared" si="15"/>
        <v>2001</v>
      </c>
    </row>
    <row r="455" spans="1:6" x14ac:dyDescent="0.2">
      <c r="A455" s="20">
        <v>37162</v>
      </c>
      <c r="B455">
        <v>126.5</v>
      </c>
      <c r="E455">
        <f t="shared" si="14"/>
        <v>9</v>
      </c>
      <c r="F455">
        <f t="shared" si="15"/>
        <v>2001</v>
      </c>
    </row>
    <row r="456" spans="1:6" x14ac:dyDescent="0.2">
      <c r="A456" s="20">
        <v>37165</v>
      </c>
      <c r="B456">
        <v>126.25</v>
      </c>
      <c r="E456">
        <f t="shared" si="14"/>
        <v>10</v>
      </c>
      <c r="F456">
        <f t="shared" si="15"/>
        <v>2001</v>
      </c>
    </row>
    <row r="457" spans="1:6" x14ac:dyDescent="0.2">
      <c r="A457" s="20">
        <v>37166</v>
      </c>
      <c r="B457">
        <v>126</v>
      </c>
      <c r="E457">
        <f t="shared" si="14"/>
        <v>10</v>
      </c>
      <c r="F457">
        <f t="shared" si="15"/>
        <v>2001</v>
      </c>
    </row>
    <row r="458" spans="1:6" x14ac:dyDescent="0.2">
      <c r="A458" s="20">
        <v>37167</v>
      </c>
      <c r="B458">
        <v>126</v>
      </c>
      <c r="E458">
        <f t="shared" si="14"/>
        <v>10</v>
      </c>
      <c r="F458">
        <f t="shared" si="15"/>
        <v>2001</v>
      </c>
    </row>
    <row r="459" spans="1:6" x14ac:dyDescent="0.2">
      <c r="A459" s="20">
        <v>37168</v>
      </c>
      <c r="B459">
        <v>125.75</v>
      </c>
      <c r="E459">
        <f t="shared" si="14"/>
        <v>10</v>
      </c>
      <c r="F459">
        <f t="shared" si="15"/>
        <v>2001</v>
      </c>
    </row>
    <row r="460" spans="1:6" x14ac:dyDescent="0.2">
      <c r="A460" s="20">
        <v>37169</v>
      </c>
      <c r="B460">
        <v>125.75</v>
      </c>
      <c r="E460">
        <f t="shared" si="14"/>
        <v>10</v>
      </c>
      <c r="F460">
        <f t="shared" si="15"/>
        <v>2001</v>
      </c>
    </row>
    <row r="461" spans="1:6" x14ac:dyDescent="0.2">
      <c r="A461" s="20">
        <v>37172</v>
      </c>
      <c r="B461">
        <v>125.5</v>
      </c>
      <c r="E461">
        <f t="shared" si="14"/>
        <v>10</v>
      </c>
      <c r="F461">
        <f t="shared" si="15"/>
        <v>2001</v>
      </c>
    </row>
    <row r="462" spans="1:6" x14ac:dyDescent="0.2">
      <c r="A462" s="20">
        <v>37173</v>
      </c>
      <c r="B462">
        <v>124.75</v>
      </c>
      <c r="E462">
        <f t="shared" si="14"/>
        <v>10</v>
      </c>
      <c r="F462">
        <f t="shared" si="15"/>
        <v>2001</v>
      </c>
    </row>
    <row r="463" spans="1:6" x14ac:dyDescent="0.2">
      <c r="A463" s="20">
        <v>37174</v>
      </c>
      <c r="B463">
        <v>124.25</v>
      </c>
      <c r="E463">
        <f t="shared" si="14"/>
        <v>10</v>
      </c>
      <c r="F463">
        <f t="shared" si="15"/>
        <v>2001</v>
      </c>
    </row>
    <row r="464" spans="1:6" x14ac:dyDescent="0.2">
      <c r="A464" s="20">
        <v>37175</v>
      </c>
      <c r="B464">
        <v>124</v>
      </c>
      <c r="E464">
        <f t="shared" si="14"/>
        <v>10</v>
      </c>
      <c r="F464">
        <f t="shared" si="15"/>
        <v>2001</v>
      </c>
    </row>
    <row r="465" spans="1:6" x14ac:dyDescent="0.2">
      <c r="A465" s="20">
        <v>37176</v>
      </c>
      <c r="B465">
        <v>123.5</v>
      </c>
      <c r="E465">
        <f t="shared" si="14"/>
        <v>10</v>
      </c>
      <c r="F465">
        <f t="shared" si="15"/>
        <v>2001</v>
      </c>
    </row>
    <row r="466" spans="1:6" x14ac:dyDescent="0.2">
      <c r="A466" s="20">
        <v>37179</v>
      </c>
      <c r="B466">
        <v>123.75</v>
      </c>
      <c r="E466">
        <f t="shared" si="14"/>
        <v>10</v>
      </c>
      <c r="F466">
        <f t="shared" si="15"/>
        <v>2001</v>
      </c>
    </row>
    <row r="467" spans="1:6" x14ac:dyDescent="0.2">
      <c r="A467" s="20">
        <v>37180</v>
      </c>
      <c r="B467">
        <v>123.75</v>
      </c>
      <c r="E467">
        <f t="shared" si="14"/>
        <v>10</v>
      </c>
      <c r="F467">
        <f t="shared" si="15"/>
        <v>2001</v>
      </c>
    </row>
    <row r="468" spans="1:6" x14ac:dyDescent="0.2">
      <c r="A468" s="20">
        <v>37181</v>
      </c>
      <c r="B468">
        <v>124</v>
      </c>
      <c r="E468">
        <f t="shared" si="14"/>
        <v>10</v>
      </c>
      <c r="F468">
        <f t="shared" si="15"/>
        <v>2001</v>
      </c>
    </row>
    <row r="469" spans="1:6" x14ac:dyDescent="0.2">
      <c r="A469" s="20">
        <v>37182</v>
      </c>
      <c r="B469">
        <v>125.5</v>
      </c>
      <c r="E469">
        <f t="shared" si="14"/>
        <v>10</v>
      </c>
      <c r="F469">
        <f t="shared" si="15"/>
        <v>2001</v>
      </c>
    </row>
    <row r="470" spans="1:6" x14ac:dyDescent="0.2">
      <c r="A470" s="20">
        <v>37183</v>
      </c>
      <c r="B470">
        <v>125.5</v>
      </c>
      <c r="E470">
        <f t="shared" si="14"/>
        <v>10</v>
      </c>
      <c r="F470">
        <f t="shared" si="15"/>
        <v>2001</v>
      </c>
    </row>
    <row r="471" spans="1:6" x14ac:dyDescent="0.2">
      <c r="A471" s="20">
        <v>37186</v>
      </c>
      <c r="B471">
        <v>125.75</v>
      </c>
      <c r="E471">
        <f t="shared" si="14"/>
        <v>10</v>
      </c>
      <c r="F471">
        <f t="shared" si="15"/>
        <v>2001</v>
      </c>
    </row>
    <row r="472" spans="1:6" x14ac:dyDescent="0.2">
      <c r="A472" s="20">
        <v>37187</v>
      </c>
      <c r="B472">
        <v>125.5</v>
      </c>
      <c r="E472">
        <f t="shared" si="14"/>
        <v>10</v>
      </c>
      <c r="F472">
        <f t="shared" si="15"/>
        <v>2001</v>
      </c>
    </row>
    <row r="473" spans="1:6" x14ac:dyDescent="0.2">
      <c r="A473" s="20">
        <v>37188</v>
      </c>
      <c r="B473">
        <v>125.25</v>
      </c>
      <c r="E473">
        <f t="shared" si="14"/>
        <v>10</v>
      </c>
      <c r="F473">
        <f t="shared" si="15"/>
        <v>2001</v>
      </c>
    </row>
    <row r="474" spans="1:6" x14ac:dyDescent="0.2">
      <c r="A474" s="20">
        <v>37189</v>
      </c>
      <c r="B474">
        <v>125.25</v>
      </c>
      <c r="E474">
        <f t="shared" si="14"/>
        <v>10</v>
      </c>
      <c r="F474">
        <f t="shared" si="15"/>
        <v>2001</v>
      </c>
    </row>
    <row r="475" spans="1:6" x14ac:dyDescent="0.2">
      <c r="A475" s="20">
        <v>37190</v>
      </c>
      <c r="B475">
        <v>125.5</v>
      </c>
      <c r="E475">
        <f t="shared" si="14"/>
        <v>10</v>
      </c>
      <c r="F475">
        <f t="shared" si="15"/>
        <v>2001</v>
      </c>
    </row>
    <row r="476" spans="1:6" x14ac:dyDescent="0.2">
      <c r="A476" s="20">
        <v>37193</v>
      </c>
      <c r="B476">
        <v>124.75</v>
      </c>
      <c r="E476">
        <f t="shared" si="14"/>
        <v>10</v>
      </c>
      <c r="F476">
        <f t="shared" si="15"/>
        <v>2001</v>
      </c>
    </row>
    <row r="477" spans="1:6" x14ac:dyDescent="0.2">
      <c r="A477" s="20">
        <v>37194</v>
      </c>
      <c r="B477">
        <v>124.5</v>
      </c>
      <c r="E477">
        <f t="shared" si="14"/>
        <v>10</v>
      </c>
      <c r="F477">
        <f t="shared" si="15"/>
        <v>2001</v>
      </c>
    </row>
    <row r="478" spans="1:6" x14ac:dyDescent="0.2">
      <c r="A478" s="20">
        <v>37195</v>
      </c>
      <c r="B478">
        <v>124.25</v>
      </c>
      <c r="E478">
        <f t="shared" si="14"/>
        <v>10</v>
      </c>
      <c r="F478">
        <f t="shared" si="15"/>
        <v>2001</v>
      </c>
    </row>
    <row r="479" spans="1:6" x14ac:dyDescent="0.2">
      <c r="A479" s="20">
        <v>37196</v>
      </c>
      <c r="B479">
        <v>124.5</v>
      </c>
      <c r="E479">
        <f t="shared" si="14"/>
        <v>11</v>
      </c>
      <c r="F479">
        <f t="shared" si="15"/>
        <v>2001</v>
      </c>
    </row>
    <row r="480" spans="1:6" x14ac:dyDescent="0.2">
      <c r="A480" s="20">
        <v>37197</v>
      </c>
      <c r="B480">
        <v>124.5</v>
      </c>
      <c r="E480">
        <f t="shared" si="14"/>
        <v>11</v>
      </c>
      <c r="F480">
        <f t="shared" si="15"/>
        <v>2001</v>
      </c>
    </row>
    <row r="481" spans="1:6" x14ac:dyDescent="0.2">
      <c r="A481" s="20">
        <v>37200</v>
      </c>
      <c r="B481">
        <v>124.25</v>
      </c>
      <c r="E481">
        <f t="shared" si="14"/>
        <v>11</v>
      </c>
      <c r="F481">
        <f t="shared" si="15"/>
        <v>2001</v>
      </c>
    </row>
    <row r="482" spans="1:6" x14ac:dyDescent="0.2">
      <c r="A482" s="20">
        <v>37201</v>
      </c>
      <c r="B482" t="s">
        <v>49</v>
      </c>
      <c r="E482">
        <f t="shared" si="14"/>
        <v>11</v>
      </c>
      <c r="F482">
        <f t="shared" si="15"/>
        <v>2001</v>
      </c>
    </row>
    <row r="483" spans="1:6" x14ac:dyDescent="0.2">
      <c r="A483" s="20">
        <v>37202</v>
      </c>
      <c r="B483" t="s">
        <v>49</v>
      </c>
      <c r="E483">
        <f t="shared" si="14"/>
        <v>11</v>
      </c>
      <c r="F483">
        <f t="shared" si="15"/>
        <v>2001</v>
      </c>
    </row>
    <row r="484" spans="1:6" x14ac:dyDescent="0.2">
      <c r="A484" s="20">
        <v>37203</v>
      </c>
      <c r="B484" t="s">
        <v>49</v>
      </c>
      <c r="E484">
        <f t="shared" si="14"/>
        <v>11</v>
      </c>
      <c r="F484">
        <f t="shared" si="15"/>
        <v>2001</v>
      </c>
    </row>
    <row r="485" spans="1:6" x14ac:dyDescent="0.2">
      <c r="A485" s="20">
        <v>37204</v>
      </c>
      <c r="B485" t="s">
        <v>49</v>
      </c>
      <c r="E485">
        <f t="shared" si="14"/>
        <v>11</v>
      </c>
      <c r="F485">
        <f t="shared" si="15"/>
        <v>2001</v>
      </c>
    </row>
    <row r="486" spans="1:6" x14ac:dyDescent="0.2">
      <c r="A486" s="20">
        <v>37207</v>
      </c>
      <c r="B486" t="s">
        <v>49</v>
      </c>
      <c r="E486">
        <f t="shared" si="14"/>
        <v>11</v>
      </c>
      <c r="F486">
        <f t="shared" si="15"/>
        <v>2001</v>
      </c>
    </row>
    <row r="487" spans="1:6" x14ac:dyDescent="0.2">
      <c r="A487" s="20">
        <v>37208</v>
      </c>
      <c r="B487" t="s">
        <v>49</v>
      </c>
      <c r="E487">
        <f t="shared" si="14"/>
        <v>11</v>
      </c>
      <c r="F487">
        <f t="shared" si="15"/>
        <v>2001</v>
      </c>
    </row>
    <row r="488" spans="1:6" x14ac:dyDescent="0.2">
      <c r="A488" s="20">
        <v>37209</v>
      </c>
      <c r="B488" t="s">
        <v>49</v>
      </c>
      <c r="E488">
        <f t="shared" si="14"/>
        <v>11</v>
      </c>
      <c r="F488">
        <f t="shared" si="15"/>
        <v>2001</v>
      </c>
    </row>
    <row r="489" spans="1:6" x14ac:dyDescent="0.2">
      <c r="A489" s="20">
        <v>37210</v>
      </c>
      <c r="B489" t="s">
        <v>49</v>
      </c>
      <c r="E489">
        <f t="shared" si="14"/>
        <v>11</v>
      </c>
      <c r="F489">
        <f t="shared" si="15"/>
        <v>2001</v>
      </c>
    </row>
    <row r="490" spans="1:6" x14ac:dyDescent="0.2">
      <c r="A490" s="20">
        <v>37211</v>
      </c>
      <c r="B490" t="s">
        <v>49</v>
      </c>
      <c r="E490">
        <f t="shared" si="14"/>
        <v>11</v>
      </c>
      <c r="F490">
        <f t="shared" si="15"/>
        <v>2001</v>
      </c>
    </row>
    <row r="491" spans="1:6" x14ac:dyDescent="0.2">
      <c r="A491" s="20">
        <v>37214</v>
      </c>
      <c r="B491" t="s">
        <v>49</v>
      </c>
      <c r="E491">
        <f t="shared" si="14"/>
        <v>11</v>
      </c>
      <c r="F491">
        <f t="shared" si="15"/>
        <v>2001</v>
      </c>
    </row>
    <row r="492" spans="1:6" x14ac:dyDescent="0.2">
      <c r="A492" s="20">
        <v>37215</v>
      </c>
      <c r="B492" t="s">
        <v>49</v>
      </c>
      <c r="E492">
        <f t="shared" si="14"/>
        <v>11</v>
      </c>
      <c r="F492">
        <f t="shared" si="15"/>
        <v>2001</v>
      </c>
    </row>
    <row r="493" spans="1:6" x14ac:dyDescent="0.2">
      <c r="A493" s="20">
        <v>37216</v>
      </c>
      <c r="B493" t="s">
        <v>49</v>
      </c>
      <c r="E493">
        <f t="shared" si="14"/>
        <v>11</v>
      </c>
      <c r="F493">
        <f t="shared" si="15"/>
        <v>2001</v>
      </c>
    </row>
    <row r="494" spans="1:6" x14ac:dyDescent="0.2">
      <c r="A494" s="20">
        <v>37217</v>
      </c>
      <c r="B494" t="s">
        <v>49</v>
      </c>
      <c r="E494">
        <f t="shared" si="14"/>
        <v>11</v>
      </c>
      <c r="F494">
        <f t="shared" si="15"/>
        <v>2001</v>
      </c>
    </row>
    <row r="495" spans="1:6" x14ac:dyDescent="0.2">
      <c r="A495" s="20">
        <v>37218</v>
      </c>
      <c r="B495" t="s">
        <v>49</v>
      </c>
      <c r="E495">
        <f t="shared" si="14"/>
        <v>11</v>
      </c>
      <c r="F495">
        <f t="shared" si="15"/>
        <v>2001</v>
      </c>
    </row>
    <row r="496" spans="1:6" x14ac:dyDescent="0.2">
      <c r="A496" s="20">
        <v>37221</v>
      </c>
      <c r="B496" t="s">
        <v>49</v>
      </c>
      <c r="E496">
        <f t="shared" si="14"/>
        <v>11</v>
      </c>
      <c r="F496">
        <f t="shared" si="15"/>
        <v>2001</v>
      </c>
    </row>
    <row r="497" spans="1:6" x14ac:dyDescent="0.2">
      <c r="A497" s="20">
        <v>37222</v>
      </c>
      <c r="B497" t="s">
        <v>49</v>
      </c>
      <c r="E497">
        <f t="shared" si="14"/>
        <v>11</v>
      </c>
      <c r="F497">
        <f t="shared" si="15"/>
        <v>2001</v>
      </c>
    </row>
    <row r="498" spans="1:6" x14ac:dyDescent="0.2">
      <c r="A498" s="20">
        <v>37223</v>
      </c>
      <c r="B498" t="s">
        <v>49</v>
      </c>
      <c r="E498">
        <f t="shared" si="14"/>
        <v>11</v>
      </c>
      <c r="F498">
        <f t="shared" si="15"/>
        <v>2001</v>
      </c>
    </row>
    <row r="499" spans="1:6" x14ac:dyDescent="0.2">
      <c r="A499" s="20">
        <v>37224</v>
      </c>
      <c r="B499" t="s">
        <v>49</v>
      </c>
      <c r="E499">
        <f t="shared" si="14"/>
        <v>11</v>
      </c>
      <c r="F499">
        <f t="shared" si="15"/>
        <v>2001</v>
      </c>
    </row>
    <row r="500" spans="1:6" x14ac:dyDescent="0.2">
      <c r="A500" s="20">
        <v>37225</v>
      </c>
      <c r="B500" t="s">
        <v>49</v>
      </c>
      <c r="E500">
        <f t="shared" si="14"/>
        <v>11</v>
      </c>
      <c r="F500">
        <f t="shared" si="15"/>
        <v>2001</v>
      </c>
    </row>
    <row r="501" spans="1:6" x14ac:dyDescent="0.2">
      <c r="A501" s="20">
        <v>37228</v>
      </c>
      <c r="B501" t="s">
        <v>49</v>
      </c>
      <c r="E501">
        <f t="shared" si="14"/>
        <v>12</v>
      </c>
      <c r="F501">
        <f t="shared" si="15"/>
        <v>2001</v>
      </c>
    </row>
    <row r="502" spans="1:6" x14ac:dyDescent="0.2">
      <c r="A502" s="20">
        <v>37229</v>
      </c>
      <c r="B502" t="s">
        <v>49</v>
      </c>
      <c r="E502">
        <f t="shared" si="14"/>
        <v>12</v>
      </c>
      <c r="F502">
        <f t="shared" si="15"/>
        <v>2001</v>
      </c>
    </row>
    <row r="503" spans="1:6" x14ac:dyDescent="0.2">
      <c r="A503" s="20">
        <v>37230</v>
      </c>
      <c r="B503" t="s">
        <v>49</v>
      </c>
      <c r="E503">
        <f t="shared" si="14"/>
        <v>12</v>
      </c>
      <c r="F503">
        <f t="shared" si="15"/>
        <v>2001</v>
      </c>
    </row>
    <row r="504" spans="1:6" x14ac:dyDescent="0.2">
      <c r="A504" s="20">
        <v>37231</v>
      </c>
      <c r="B504" t="s">
        <v>49</v>
      </c>
      <c r="E504">
        <f t="shared" si="14"/>
        <v>12</v>
      </c>
      <c r="F504">
        <f t="shared" si="15"/>
        <v>2001</v>
      </c>
    </row>
    <row r="505" spans="1:6" x14ac:dyDescent="0.2">
      <c r="A505" s="20">
        <v>37232</v>
      </c>
      <c r="B505" t="s">
        <v>49</v>
      </c>
      <c r="E505">
        <f t="shared" si="14"/>
        <v>12</v>
      </c>
      <c r="F505">
        <f t="shared" si="15"/>
        <v>2001</v>
      </c>
    </row>
    <row r="506" spans="1:6" x14ac:dyDescent="0.2">
      <c r="A506" s="20">
        <v>37235</v>
      </c>
      <c r="B506" t="s">
        <v>49</v>
      </c>
      <c r="E506">
        <f t="shared" si="14"/>
        <v>12</v>
      </c>
      <c r="F506">
        <f t="shared" si="15"/>
        <v>2001</v>
      </c>
    </row>
    <row r="507" spans="1:6" x14ac:dyDescent="0.2">
      <c r="A507" s="20">
        <v>37236</v>
      </c>
      <c r="B507" t="s">
        <v>49</v>
      </c>
      <c r="E507">
        <f t="shared" si="14"/>
        <v>12</v>
      </c>
      <c r="F507">
        <f t="shared" si="15"/>
        <v>2001</v>
      </c>
    </row>
    <row r="508" spans="1:6" x14ac:dyDescent="0.2">
      <c r="A508" s="20">
        <v>37237</v>
      </c>
      <c r="B508" t="s">
        <v>49</v>
      </c>
      <c r="E508">
        <f t="shared" si="14"/>
        <v>12</v>
      </c>
      <c r="F508">
        <f t="shared" si="15"/>
        <v>2001</v>
      </c>
    </row>
    <row r="509" spans="1:6" x14ac:dyDescent="0.2">
      <c r="A509" s="20">
        <v>37238</v>
      </c>
      <c r="B509" t="s">
        <v>49</v>
      </c>
      <c r="E509">
        <f t="shared" si="14"/>
        <v>12</v>
      </c>
      <c r="F509">
        <f t="shared" si="15"/>
        <v>2001</v>
      </c>
    </row>
    <row r="510" spans="1:6" x14ac:dyDescent="0.2">
      <c r="A510" s="20">
        <v>37239</v>
      </c>
      <c r="B510" t="s">
        <v>49</v>
      </c>
      <c r="E510">
        <f t="shared" si="14"/>
        <v>12</v>
      </c>
      <c r="F510">
        <f t="shared" si="15"/>
        <v>2001</v>
      </c>
    </row>
    <row r="511" spans="1:6" x14ac:dyDescent="0.2">
      <c r="A511" s="20">
        <v>37242</v>
      </c>
      <c r="B511" t="s">
        <v>49</v>
      </c>
      <c r="E511">
        <f t="shared" si="14"/>
        <v>12</v>
      </c>
      <c r="F511">
        <f t="shared" si="15"/>
        <v>2001</v>
      </c>
    </row>
    <row r="512" spans="1:6" x14ac:dyDescent="0.2">
      <c r="A512" s="20">
        <v>37243</v>
      </c>
      <c r="B512" t="s">
        <v>49</v>
      </c>
      <c r="E512">
        <f t="shared" si="14"/>
        <v>12</v>
      </c>
      <c r="F512">
        <f t="shared" si="15"/>
        <v>2001</v>
      </c>
    </row>
    <row r="513" spans="1:6" x14ac:dyDescent="0.2">
      <c r="A513" s="20">
        <v>37244</v>
      </c>
      <c r="B513" t="s">
        <v>49</v>
      </c>
      <c r="E513">
        <f t="shared" si="14"/>
        <v>12</v>
      </c>
      <c r="F513">
        <f t="shared" si="15"/>
        <v>2001</v>
      </c>
    </row>
    <row r="514" spans="1:6" x14ac:dyDescent="0.2">
      <c r="A514" s="20">
        <v>37245</v>
      </c>
      <c r="B514" t="s">
        <v>49</v>
      </c>
      <c r="E514">
        <f t="shared" si="14"/>
        <v>12</v>
      </c>
      <c r="F514">
        <f t="shared" si="15"/>
        <v>2001</v>
      </c>
    </row>
    <row r="515" spans="1:6" x14ac:dyDescent="0.2">
      <c r="A515" s="20">
        <v>37246</v>
      </c>
      <c r="B515" t="s">
        <v>49</v>
      </c>
      <c r="E515">
        <f t="shared" ref="E515:E578" si="16">MONTH(A515)</f>
        <v>12</v>
      </c>
      <c r="F515">
        <f t="shared" ref="F515:F578" si="17">YEAR(A515)</f>
        <v>2001</v>
      </c>
    </row>
    <row r="516" spans="1:6" x14ac:dyDescent="0.2">
      <c r="A516" s="20">
        <v>37249</v>
      </c>
      <c r="B516" t="s">
        <v>49</v>
      </c>
      <c r="E516">
        <f t="shared" si="16"/>
        <v>12</v>
      </c>
      <c r="F516">
        <f t="shared" si="17"/>
        <v>2001</v>
      </c>
    </row>
    <row r="517" spans="1:6" x14ac:dyDescent="0.2">
      <c r="A517" s="20">
        <v>37250</v>
      </c>
      <c r="B517" t="s">
        <v>49</v>
      </c>
      <c r="E517">
        <f t="shared" si="16"/>
        <v>12</v>
      </c>
      <c r="F517">
        <f t="shared" si="17"/>
        <v>2001</v>
      </c>
    </row>
    <row r="518" spans="1:6" x14ac:dyDescent="0.2">
      <c r="A518" s="20">
        <v>37251</v>
      </c>
      <c r="B518" t="s">
        <v>49</v>
      </c>
      <c r="E518">
        <f t="shared" si="16"/>
        <v>12</v>
      </c>
      <c r="F518">
        <f t="shared" si="17"/>
        <v>2001</v>
      </c>
    </row>
    <row r="519" spans="1:6" x14ac:dyDescent="0.2">
      <c r="A519" s="20">
        <v>37252</v>
      </c>
      <c r="B519" t="s">
        <v>49</v>
      </c>
      <c r="E519">
        <f t="shared" si="16"/>
        <v>12</v>
      </c>
      <c r="F519">
        <f t="shared" si="17"/>
        <v>2001</v>
      </c>
    </row>
    <row r="520" spans="1:6" x14ac:dyDescent="0.2">
      <c r="A520" s="20">
        <v>37253</v>
      </c>
      <c r="B520" t="s">
        <v>49</v>
      </c>
      <c r="E520">
        <f t="shared" si="16"/>
        <v>12</v>
      </c>
      <c r="F520">
        <f t="shared" si="17"/>
        <v>2001</v>
      </c>
    </row>
    <row r="521" spans="1:6" x14ac:dyDescent="0.2">
      <c r="A521" s="20">
        <v>37256</v>
      </c>
      <c r="B521" t="s">
        <v>49</v>
      </c>
      <c r="E521">
        <f t="shared" si="16"/>
        <v>12</v>
      </c>
      <c r="F521">
        <f t="shared" si="17"/>
        <v>2001</v>
      </c>
    </row>
    <row r="522" spans="1:6" x14ac:dyDescent="0.2">
      <c r="A522" s="20">
        <v>37257</v>
      </c>
      <c r="B522" t="s">
        <v>49</v>
      </c>
      <c r="E522">
        <f t="shared" si="16"/>
        <v>1</v>
      </c>
      <c r="F522">
        <f t="shared" si="17"/>
        <v>2002</v>
      </c>
    </row>
    <row r="523" spans="1:6" x14ac:dyDescent="0.2">
      <c r="A523" s="20">
        <v>37258</v>
      </c>
      <c r="B523" t="s">
        <v>49</v>
      </c>
      <c r="E523">
        <f t="shared" si="16"/>
        <v>1</v>
      </c>
      <c r="F523">
        <f t="shared" si="17"/>
        <v>2002</v>
      </c>
    </row>
    <row r="524" spans="1:6" x14ac:dyDescent="0.2">
      <c r="A524" s="20">
        <v>37259</v>
      </c>
      <c r="B524">
        <v>131.5</v>
      </c>
      <c r="E524">
        <f t="shared" si="16"/>
        <v>1</v>
      </c>
      <c r="F524">
        <f t="shared" si="17"/>
        <v>2002</v>
      </c>
    </row>
    <row r="525" spans="1:6" x14ac:dyDescent="0.2">
      <c r="A525" s="20">
        <v>37260</v>
      </c>
      <c r="B525">
        <v>131.5</v>
      </c>
      <c r="E525">
        <f t="shared" si="16"/>
        <v>1</v>
      </c>
      <c r="F525">
        <f t="shared" si="17"/>
        <v>2002</v>
      </c>
    </row>
    <row r="526" spans="1:6" x14ac:dyDescent="0.2">
      <c r="A526" s="20">
        <v>37263</v>
      </c>
      <c r="B526" t="s">
        <v>49</v>
      </c>
      <c r="E526">
        <f t="shared" si="16"/>
        <v>1</v>
      </c>
      <c r="F526">
        <f t="shared" si="17"/>
        <v>2002</v>
      </c>
    </row>
    <row r="527" spans="1:6" x14ac:dyDescent="0.2">
      <c r="A527" s="20">
        <v>37264</v>
      </c>
      <c r="B527">
        <v>131.75</v>
      </c>
      <c r="E527">
        <f t="shared" si="16"/>
        <v>1</v>
      </c>
      <c r="F527">
        <f t="shared" si="17"/>
        <v>2002</v>
      </c>
    </row>
    <row r="528" spans="1:6" x14ac:dyDescent="0.2">
      <c r="A528" s="20">
        <v>37265</v>
      </c>
      <c r="B528">
        <v>132</v>
      </c>
      <c r="E528">
        <f t="shared" si="16"/>
        <v>1</v>
      </c>
      <c r="F528">
        <f t="shared" si="17"/>
        <v>2002</v>
      </c>
    </row>
    <row r="529" spans="1:6" x14ac:dyDescent="0.2">
      <c r="A529" s="20">
        <v>37266</v>
      </c>
      <c r="B529">
        <v>132</v>
      </c>
      <c r="E529">
        <f t="shared" si="16"/>
        <v>1</v>
      </c>
      <c r="F529">
        <f t="shared" si="17"/>
        <v>2002</v>
      </c>
    </row>
    <row r="530" spans="1:6" x14ac:dyDescent="0.2">
      <c r="A530" s="20">
        <v>37267</v>
      </c>
      <c r="B530">
        <v>131.75</v>
      </c>
      <c r="E530">
        <f t="shared" si="16"/>
        <v>1</v>
      </c>
      <c r="F530">
        <f t="shared" si="17"/>
        <v>2002</v>
      </c>
    </row>
    <row r="531" spans="1:6" x14ac:dyDescent="0.2">
      <c r="A531" s="20">
        <v>37270</v>
      </c>
      <c r="B531">
        <v>132</v>
      </c>
      <c r="E531">
        <f t="shared" si="16"/>
        <v>1</v>
      </c>
      <c r="F531">
        <f t="shared" si="17"/>
        <v>2002</v>
      </c>
    </row>
    <row r="532" spans="1:6" x14ac:dyDescent="0.2">
      <c r="A532" s="20">
        <v>37271</v>
      </c>
      <c r="B532">
        <v>131.5</v>
      </c>
      <c r="E532">
        <f t="shared" si="16"/>
        <v>1</v>
      </c>
      <c r="F532">
        <f t="shared" si="17"/>
        <v>2002</v>
      </c>
    </row>
    <row r="533" spans="1:6" x14ac:dyDescent="0.2">
      <c r="A533" s="20">
        <v>37272</v>
      </c>
      <c r="B533">
        <v>131.5</v>
      </c>
      <c r="E533">
        <f t="shared" si="16"/>
        <v>1</v>
      </c>
      <c r="F533">
        <f t="shared" si="17"/>
        <v>2002</v>
      </c>
    </row>
    <row r="534" spans="1:6" x14ac:dyDescent="0.2">
      <c r="A534" s="20">
        <v>37273</v>
      </c>
      <c r="B534">
        <v>131.5</v>
      </c>
      <c r="E534">
        <f t="shared" si="16"/>
        <v>1</v>
      </c>
      <c r="F534">
        <f t="shared" si="17"/>
        <v>2002</v>
      </c>
    </row>
    <row r="535" spans="1:6" x14ac:dyDescent="0.2">
      <c r="A535" s="20">
        <v>37274</v>
      </c>
      <c r="B535">
        <v>131.5</v>
      </c>
      <c r="E535">
        <f t="shared" si="16"/>
        <v>1</v>
      </c>
      <c r="F535">
        <f t="shared" si="17"/>
        <v>2002</v>
      </c>
    </row>
    <row r="536" spans="1:6" x14ac:dyDescent="0.2">
      <c r="A536" s="20">
        <v>37277</v>
      </c>
      <c r="B536">
        <v>131.5</v>
      </c>
      <c r="E536">
        <f t="shared" si="16"/>
        <v>1</v>
      </c>
      <c r="F536">
        <f t="shared" si="17"/>
        <v>2002</v>
      </c>
    </row>
    <row r="537" spans="1:6" x14ac:dyDescent="0.2">
      <c r="A537" s="20">
        <v>37278</v>
      </c>
      <c r="B537">
        <v>131.5</v>
      </c>
      <c r="E537">
        <f t="shared" si="16"/>
        <v>1</v>
      </c>
      <c r="F537">
        <f t="shared" si="17"/>
        <v>2002</v>
      </c>
    </row>
    <row r="538" spans="1:6" x14ac:dyDescent="0.2">
      <c r="A538" s="20">
        <v>37279</v>
      </c>
      <c r="B538">
        <v>131.5</v>
      </c>
      <c r="E538">
        <f t="shared" si="16"/>
        <v>1</v>
      </c>
      <c r="F538">
        <f t="shared" si="17"/>
        <v>2002</v>
      </c>
    </row>
    <row r="539" spans="1:6" x14ac:dyDescent="0.2">
      <c r="A539" s="20">
        <v>37280</v>
      </c>
      <c r="B539">
        <v>131</v>
      </c>
      <c r="E539">
        <f t="shared" si="16"/>
        <v>1</v>
      </c>
      <c r="F539">
        <f t="shared" si="17"/>
        <v>2002</v>
      </c>
    </row>
    <row r="540" spans="1:6" x14ac:dyDescent="0.2">
      <c r="A540" s="20">
        <v>37281</v>
      </c>
      <c r="B540">
        <v>131</v>
      </c>
      <c r="E540">
        <f t="shared" si="16"/>
        <v>1</v>
      </c>
      <c r="F540">
        <f t="shared" si="17"/>
        <v>2002</v>
      </c>
    </row>
    <row r="541" spans="1:6" x14ac:dyDescent="0.2">
      <c r="A541" s="20">
        <v>37284</v>
      </c>
      <c r="B541">
        <v>131</v>
      </c>
      <c r="E541">
        <f t="shared" si="16"/>
        <v>1</v>
      </c>
      <c r="F541">
        <f t="shared" si="17"/>
        <v>2002</v>
      </c>
    </row>
    <row r="542" spans="1:6" x14ac:dyDescent="0.2">
      <c r="A542" s="20">
        <v>37285</v>
      </c>
      <c r="B542">
        <v>130.5</v>
      </c>
      <c r="E542">
        <f t="shared" si="16"/>
        <v>1</v>
      </c>
      <c r="F542">
        <f t="shared" si="17"/>
        <v>2002</v>
      </c>
    </row>
    <row r="543" spans="1:6" x14ac:dyDescent="0.2">
      <c r="A543" s="20">
        <v>37286</v>
      </c>
      <c r="B543">
        <v>129.75</v>
      </c>
      <c r="E543">
        <f t="shared" si="16"/>
        <v>1</v>
      </c>
      <c r="F543">
        <f t="shared" si="17"/>
        <v>2002</v>
      </c>
    </row>
    <row r="544" spans="1:6" x14ac:dyDescent="0.2">
      <c r="A544" s="20">
        <v>37287</v>
      </c>
      <c r="B544">
        <v>129.25</v>
      </c>
      <c r="E544">
        <f t="shared" si="16"/>
        <v>1</v>
      </c>
      <c r="F544">
        <f t="shared" si="17"/>
        <v>2002</v>
      </c>
    </row>
    <row r="545" spans="1:6" x14ac:dyDescent="0.2">
      <c r="A545" s="20">
        <v>37288</v>
      </c>
      <c r="B545">
        <v>129.25</v>
      </c>
      <c r="E545">
        <f t="shared" si="16"/>
        <v>2</v>
      </c>
      <c r="F545">
        <f t="shared" si="17"/>
        <v>2002</v>
      </c>
    </row>
    <row r="546" spans="1:6" x14ac:dyDescent="0.2">
      <c r="A546" s="20">
        <v>37291</v>
      </c>
      <c r="B546">
        <v>129.25</v>
      </c>
      <c r="E546">
        <f t="shared" si="16"/>
        <v>2</v>
      </c>
      <c r="F546">
        <f t="shared" si="17"/>
        <v>2002</v>
      </c>
    </row>
    <row r="547" spans="1:6" x14ac:dyDescent="0.2">
      <c r="A547" s="20">
        <v>37292</v>
      </c>
      <c r="B547">
        <v>129</v>
      </c>
      <c r="E547">
        <f t="shared" si="16"/>
        <v>2</v>
      </c>
      <c r="F547">
        <f t="shared" si="17"/>
        <v>2002</v>
      </c>
    </row>
    <row r="548" spans="1:6" x14ac:dyDescent="0.2">
      <c r="A548" s="20">
        <v>37293</v>
      </c>
      <c r="B548">
        <v>128.25</v>
      </c>
      <c r="E548">
        <f t="shared" si="16"/>
        <v>2</v>
      </c>
      <c r="F548">
        <f t="shared" si="17"/>
        <v>2002</v>
      </c>
    </row>
    <row r="549" spans="1:6" x14ac:dyDescent="0.2">
      <c r="A549" s="20">
        <v>37294</v>
      </c>
      <c r="B549">
        <v>129</v>
      </c>
      <c r="E549">
        <f t="shared" si="16"/>
        <v>2</v>
      </c>
      <c r="F549">
        <f t="shared" si="17"/>
        <v>2002</v>
      </c>
    </row>
    <row r="550" spans="1:6" x14ac:dyDescent="0.2">
      <c r="A550" s="20">
        <v>37295</v>
      </c>
      <c r="B550">
        <v>129.5</v>
      </c>
      <c r="E550">
        <f t="shared" si="16"/>
        <v>2</v>
      </c>
      <c r="F550">
        <f t="shared" si="17"/>
        <v>2002</v>
      </c>
    </row>
    <row r="551" spans="1:6" x14ac:dyDescent="0.2">
      <c r="A551" s="20">
        <v>37298</v>
      </c>
      <c r="B551">
        <v>129.25</v>
      </c>
      <c r="E551">
        <f t="shared" si="16"/>
        <v>2</v>
      </c>
      <c r="F551">
        <f t="shared" si="17"/>
        <v>2002</v>
      </c>
    </row>
    <row r="552" spans="1:6" x14ac:dyDescent="0.2">
      <c r="A552" s="20">
        <v>37299</v>
      </c>
      <c r="B552">
        <v>129.25</v>
      </c>
      <c r="E552">
        <f t="shared" si="16"/>
        <v>2</v>
      </c>
      <c r="F552">
        <f t="shared" si="17"/>
        <v>2002</v>
      </c>
    </row>
    <row r="553" spans="1:6" x14ac:dyDescent="0.2">
      <c r="A553" s="20">
        <v>37300</v>
      </c>
      <c r="B553">
        <v>129.5</v>
      </c>
      <c r="E553">
        <f t="shared" si="16"/>
        <v>2</v>
      </c>
      <c r="F553">
        <f t="shared" si="17"/>
        <v>2002</v>
      </c>
    </row>
    <row r="554" spans="1:6" x14ac:dyDescent="0.2">
      <c r="A554" s="20">
        <v>37301</v>
      </c>
      <c r="B554">
        <v>128.75</v>
      </c>
      <c r="E554">
        <f t="shared" si="16"/>
        <v>2</v>
      </c>
      <c r="F554">
        <f t="shared" si="17"/>
        <v>2002</v>
      </c>
    </row>
    <row r="555" spans="1:6" x14ac:dyDescent="0.2">
      <c r="A555" s="20">
        <v>37302</v>
      </c>
      <c r="B555">
        <v>128.5</v>
      </c>
      <c r="E555">
        <f t="shared" si="16"/>
        <v>2</v>
      </c>
      <c r="F555">
        <f t="shared" si="17"/>
        <v>2002</v>
      </c>
    </row>
    <row r="556" spans="1:6" x14ac:dyDescent="0.2">
      <c r="A556" s="20">
        <v>37305</v>
      </c>
      <c r="B556">
        <v>127</v>
      </c>
      <c r="E556">
        <f t="shared" si="16"/>
        <v>2</v>
      </c>
      <c r="F556">
        <f t="shared" si="17"/>
        <v>2002</v>
      </c>
    </row>
    <row r="557" spans="1:6" x14ac:dyDescent="0.2">
      <c r="A557" s="20">
        <v>37306</v>
      </c>
      <c r="B557">
        <v>127.25</v>
      </c>
      <c r="E557">
        <f t="shared" si="16"/>
        <v>2</v>
      </c>
      <c r="F557">
        <f t="shared" si="17"/>
        <v>2002</v>
      </c>
    </row>
    <row r="558" spans="1:6" x14ac:dyDescent="0.2">
      <c r="A558" s="20">
        <v>37307</v>
      </c>
      <c r="B558">
        <v>126.25</v>
      </c>
      <c r="E558">
        <f t="shared" si="16"/>
        <v>2</v>
      </c>
      <c r="F558">
        <f t="shared" si="17"/>
        <v>2002</v>
      </c>
    </row>
    <row r="559" spans="1:6" x14ac:dyDescent="0.2">
      <c r="A559" s="20">
        <v>37308</v>
      </c>
      <c r="B559">
        <v>126</v>
      </c>
      <c r="E559">
        <f t="shared" si="16"/>
        <v>2</v>
      </c>
      <c r="F559">
        <f t="shared" si="17"/>
        <v>2002</v>
      </c>
    </row>
    <row r="560" spans="1:6" x14ac:dyDescent="0.2">
      <c r="A560" s="20">
        <v>37309</v>
      </c>
      <c r="B560">
        <v>124</v>
      </c>
      <c r="E560">
        <f t="shared" si="16"/>
        <v>2</v>
      </c>
      <c r="F560">
        <f t="shared" si="17"/>
        <v>2002</v>
      </c>
    </row>
    <row r="561" spans="1:6" x14ac:dyDescent="0.2">
      <c r="A561" s="20">
        <v>37312</v>
      </c>
      <c r="B561">
        <v>123.75</v>
      </c>
      <c r="E561">
        <f t="shared" si="16"/>
        <v>2</v>
      </c>
      <c r="F561">
        <f t="shared" si="17"/>
        <v>2002</v>
      </c>
    </row>
    <row r="562" spans="1:6" x14ac:dyDescent="0.2">
      <c r="A562" s="20">
        <v>37313</v>
      </c>
      <c r="B562">
        <v>123.75</v>
      </c>
      <c r="E562">
        <f t="shared" si="16"/>
        <v>2</v>
      </c>
      <c r="F562">
        <f t="shared" si="17"/>
        <v>2002</v>
      </c>
    </row>
    <row r="563" spans="1:6" x14ac:dyDescent="0.2">
      <c r="A563" s="20">
        <v>37314</v>
      </c>
      <c r="B563">
        <v>123.5</v>
      </c>
      <c r="E563">
        <f t="shared" si="16"/>
        <v>2</v>
      </c>
      <c r="F563">
        <f t="shared" si="17"/>
        <v>2002</v>
      </c>
    </row>
    <row r="564" spans="1:6" x14ac:dyDescent="0.2">
      <c r="A564" s="20">
        <v>37315</v>
      </c>
      <c r="B564">
        <v>123</v>
      </c>
      <c r="E564">
        <f t="shared" si="16"/>
        <v>2</v>
      </c>
      <c r="F564">
        <f t="shared" si="17"/>
        <v>2002</v>
      </c>
    </row>
    <row r="565" spans="1:6" x14ac:dyDescent="0.2">
      <c r="A565" s="20">
        <v>37316</v>
      </c>
      <c r="B565">
        <v>123</v>
      </c>
      <c r="E565">
        <f t="shared" si="16"/>
        <v>3</v>
      </c>
      <c r="F565">
        <f t="shared" si="17"/>
        <v>2002</v>
      </c>
    </row>
    <row r="566" spans="1:6" x14ac:dyDescent="0.2">
      <c r="A566" s="20">
        <v>37319</v>
      </c>
      <c r="B566">
        <v>123</v>
      </c>
      <c r="E566">
        <f t="shared" si="16"/>
        <v>3</v>
      </c>
      <c r="F566">
        <f t="shared" si="17"/>
        <v>2002</v>
      </c>
    </row>
    <row r="567" spans="1:6" x14ac:dyDescent="0.2">
      <c r="A567" s="20">
        <v>37320</v>
      </c>
      <c r="B567">
        <v>124.5</v>
      </c>
      <c r="E567">
        <f t="shared" si="16"/>
        <v>3</v>
      </c>
      <c r="F567">
        <f t="shared" si="17"/>
        <v>2002</v>
      </c>
    </row>
    <row r="568" spans="1:6" x14ac:dyDescent="0.2">
      <c r="A568" s="20">
        <v>37321</v>
      </c>
      <c r="B568" t="s">
        <v>49</v>
      </c>
      <c r="E568">
        <f t="shared" si="16"/>
        <v>3</v>
      </c>
      <c r="F568">
        <f t="shared" si="17"/>
        <v>2002</v>
      </c>
    </row>
    <row r="569" spans="1:6" x14ac:dyDescent="0.2">
      <c r="A569" s="20">
        <v>37322</v>
      </c>
      <c r="B569" t="s">
        <v>49</v>
      </c>
      <c r="E569">
        <f t="shared" si="16"/>
        <v>3</v>
      </c>
      <c r="F569">
        <f t="shared" si="17"/>
        <v>2002</v>
      </c>
    </row>
    <row r="570" spans="1:6" x14ac:dyDescent="0.2">
      <c r="A570" s="20">
        <v>37323</v>
      </c>
      <c r="B570" t="s">
        <v>49</v>
      </c>
      <c r="E570">
        <f t="shared" si="16"/>
        <v>3</v>
      </c>
      <c r="F570">
        <f t="shared" si="17"/>
        <v>2002</v>
      </c>
    </row>
    <row r="571" spans="1:6" x14ac:dyDescent="0.2">
      <c r="A571" s="20">
        <v>37326</v>
      </c>
      <c r="B571" t="s">
        <v>49</v>
      </c>
      <c r="E571">
        <f t="shared" si="16"/>
        <v>3</v>
      </c>
      <c r="F571">
        <f t="shared" si="17"/>
        <v>2002</v>
      </c>
    </row>
    <row r="572" spans="1:6" x14ac:dyDescent="0.2">
      <c r="A572" s="20">
        <v>37327</v>
      </c>
      <c r="B572" t="s">
        <v>49</v>
      </c>
      <c r="E572">
        <f t="shared" si="16"/>
        <v>3</v>
      </c>
      <c r="F572">
        <f t="shared" si="17"/>
        <v>2002</v>
      </c>
    </row>
    <row r="573" spans="1:6" x14ac:dyDescent="0.2">
      <c r="A573" s="20">
        <v>37328</v>
      </c>
      <c r="B573" t="s">
        <v>49</v>
      </c>
      <c r="E573">
        <f t="shared" si="16"/>
        <v>3</v>
      </c>
      <c r="F573">
        <f t="shared" si="17"/>
        <v>2002</v>
      </c>
    </row>
    <row r="574" spans="1:6" x14ac:dyDescent="0.2">
      <c r="A574" s="20">
        <v>37329</v>
      </c>
      <c r="B574" t="s">
        <v>49</v>
      </c>
      <c r="E574">
        <f t="shared" si="16"/>
        <v>3</v>
      </c>
      <c r="F574">
        <f t="shared" si="17"/>
        <v>2002</v>
      </c>
    </row>
    <row r="575" spans="1:6" x14ac:dyDescent="0.2">
      <c r="A575" s="20">
        <v>37330</v>
      </c>
      <c r="B575" t="s">
        <v>49</v>
      </c>
      <c r="E575">
        <f t="shared" si="16"/>
        <v>3</v>
      </c>
      <c r="F575">
        <f t="shared" si="17"/>
        <v>2002</v>
      </c>
    </row>
    <row r="576" spans="1:6" x14ac:dyDescent="0.2">
      <c r="A576" s="20">
        <v>37333</v>
      </c>
      <c r="B576" t="s">
        <v>49</v>
      </c>
      <c r="E576">
        <f t="shared" si="16"/>
        <v>3</v>
      </c>
      <c r="F576">
        <f t="shared" si="17"/>
        <v>2002</v>
      </c>
    </row>
    <row r="577" spans="1:6" x14ac:dyDescent="0.2">
      <c r="A577" s="20">
        <v>37334</v>
      </c>
      <c r="B577" t="s">
        <v>49</v>
      </c>
      <c r="E577">
        <f t="shared" si="16"/>
        <v>3</v>
      </c>
      <c r="F577">
        <f t="shared" si="17"/>
        <v>2002</v>
      </c>
    </row>
    <row r="578" spans="1:6" x14ac:dyDescent="0.2">
      <c r="A578" s="20">
        <v>37335</v>
      </c>
      <c r="B578" t="s">
        <v>49</v>
      </c>
      <c r="E578">
        <f t="shared" si="16"/>
        <v>3</v>
      </c>
      <c r="F578">
        <f t="shared" si="17"/>
        <v>2002</v>
      </c>
    </row>
    <row r="579" spans="1:6" x14ac:dyDescent="0.2">
      <c r="A579" s="20">
        <v>37336</v>
      </c>
      <c r="B579" t="s">
        <v>49</v>
      </c>
      <c r="E579">
        <f t="shared" ref="E579:E642" si="18">MONTH(A579)</f>
        <v>3</v>
      </c>
      <c r="F579">
        <f t="shared" ref="F579:F642" si="19">YEAR(A579)</f>
        <v>2002</v>
      </c>
    </row>
    <row r="580" spans="1:6" x14ac:dyDescent="0.2">
      <c r="A580" s="20">
        <v>37337</v>
      </c>
      <c r="B580" t="s">
        <v>49</v>
      </c>
      <c r="E580">
        <f t="shared" si="18"/>
        <v>3</v>
      </c>
      <c r="F580">
        <f t="shared" si="19"/>
        <v>2002</v>
      </c>
    </row>
    <row r="581" spans="1:6" x14ac:dyDescent="0.2">
      <c r="A581" s="20">
        <v>37340</v>
      </c>
      <c r="B581" t="s">
        <v>49</v>
      </c>
      <c r="E581">
        <f t="shared" si="18"/>
        <v>3</v>
      </c>
      <c r="F581">
        <f t="shared" si="19"/>
        <v>2002</v>
      </c>
    </row>
    <row r="582" spans="1:6" x14ac:dyDescent="0.2">
      <c r="A582" s="20">
        <v>37341</v>
      </c>
      <c r="B582" t="s">
        <v>49</v>
      </c>
      <c r="E582">
        <f t="shared" si="18"/>
        <v>3</v>
      </c>
      <c r="F582">
        <f t="shared" si="19"/>
        <v>2002</v>
      </c>
    </row>
    <row r="583" spans="1:6" x14ac:dyDescent="0.2">
      <c r="A583" s="20">
        <v>37342</v>
      </c>
      <c r="B583" t="s">
        <v>49</v>
      </c>
      <c r="E583">
        <f t="shared" si="18"/>
        <v>3</v>
      </c>
      <c r="F583">
        <f t="shared" si="19"/>
        <v>2002</v>
      </c>
    </row>
    <row r="584" spans="1:6" x14ac:dyDescent="0.2">
      <c r="A584" s="20">
        <v>37343</v>
      </c>
      <c r="B584" t="s">
        <v>49</v>
      </c>
      <c r="E584">
        <f t="shared" si="18"/>
        <v>3</v>
      </c>
      <c r="F584">
        <f t="shared" si="19"/>
        <v>2002</v>
      </c>
    </row>
    <row r="585" spans="1:6" x14ac:dyDescent="0.2">
      <c r="A585" s="20">
        <v>37344</v>
      </c>
      <c r="B585" t="s">
        <v>49</v>
      </c>
      <c r="E585">
        <f t="shared" si="18"/>
        <v>3</v>
      </c>
      <c r="F585">
        <f t="shared" si="19"/>
        <v>2002</v>
      </c>
    </row>
    <row r="586" spans="1:6" x14ac:dyDescent="0.2">
      <c r="A586" s="20">
        <v>37347</v>
      </c>
      <c r="B586" t="s">
        <v>49</v>
      </c>
      <c r="E586">
        <f t="shared" si="18"/>
        <v>4</v>
      </c>
      <c r="F586">
        <f t="shared" si="19"/>
        <v>2002</v>
      </c>
    </row>
    <row r="587" spans="1:6" x14ac:dyDescent="0.2">
      <c r="A587" s="20">
        <v>37348</v>
      </c>
      <c r="B587" t="s">
        <v>49</v>
      </c>
      <c r="E587">
        <f t="shared" si="18"/>
        <v>4</v>
      </c>
      <c r="F587">
        <f t="shared" si="19"/>
        <v>2002</v>
      </c>
    </row>
    <row r="588" spans="1:6" x14ac:dyDescent="0.2">
      <c r="A588" s="20">
        <v>37349</v>
      </c>
      <c r="B588" t="s">
        <v>49</v>
      </c>
      <c r="E588">
        <f t="shared" si="18"/>
        <v>4</v>
      </c>
      <c r="F588">
        <f t="shared" si="19"/>
        <v>2002</v>
      </c>
    </row>
    <row r="589" spans="1:6" x14ac:dyDescent="0.2">
      <c r="A589" s="20">
        <v>37350</v>
      </c>
      <c r="B589" t="s">
        <v>49</v>
      </c>
      <c r="E589">
        <f t="shared" si="18"/>
        <v>4</v>
      </c>
      <c r="F589">
        <f t="shared" si="19"/>
        <v>2002</v>
      </c>
    </row>
    <row r="590" spans="1:6" x14ac:dyDescent="0.2">
      <c r="A590" s="20">
        <v>37351</v>
      </c>
      <c r="B590" t="s">
        <v>49</v>
      </c>
      <c r="E590">
        <f t="shared" si="18"/>
        <v>4</v>
      </c>
      <c r="F590">
        <f t="shared" si="19"/>
        <v>2002</v>
      </c>
    </row>
    <row r="591" spans="1:6" x14ac:dyDescent="0.2">
      <c r="A591" s="20">
        <v>37354</v>
      </c>
      <c r="B591" t="s">
        <v>49</v>
      </c>
      <c r="E591">
        <f t="shared" si="18"/>
        <v>4</v>
      </c>
      <c r="F591">
        <f t="shared" si="19"/>
        <v>2002</v>
      </c>
    </row>
    <row r="592" spans="1:6" x14ac:dyDescent="0.2">
      <c r="A592" s="20">
        <v>37355</v>
      </c>
      <c r="B592" t="s">
        <v>49</v>
      </c>
      <c r="E592">
        <f t="shared" si="18"/>
        <v>4</v>
      </c>
      <c r="F592">
        <f t="shared" si="19"/>
        <v>2002</v>
      </c>
    </row>
    <row r="593" spans="1:6" x14ac:dyDescent="0.2">
      <c r="A593" s="20">
        <v>37356</v>
      </c>
      <c r="B593" t="s">
        <v>49</v>
      </c>
      <c r="E593">
        <f t="shared" si="18"/>
        <v>4</v>
      </c>
      <c r="F593">
        <f t="shared" si="19"/>
        <v>2002</v>
      </c>
    </row>
    <row r="594" spans="1:6" x14ac:dyDescent="0.2">
      <c r="A594" s="20">
        <v>37357</v>
      </c>
      <c r="B594" t="s">
        <v>49</v>
      </c>
      <c r="E594">
        <f t="shared" si="18"/>
        <v>4</v>
      </c>
      <c r="F594">
        <f t="shared" si="19"/>
        <v>2002</v>
      </c>
    </row>
    <row r="595" spans="1:6" x14ac:dyDescent="0.2">
      <c r="A595" s="20">
        <v>37358</v>
      </c>
      <c r="B595" t="s">
        <v>49</v>
      </c>
      <c r="E595">
        <f t="shared" si="18"/>
        <v>4</v>
      </c>
      <c r="F595">
        <f t="shared" si="19"/>
        <v>2002</v>
      </c>
    </row>
    <row r="596" spans="1:6" x14ac:dyDescent="0.2">
      <c r="A596" s="20">
        <v>37361</v>
      </c>
      <c r="B596" t="s">
        <v>49</v>
      </c>
      <c r="E596">
        <f t="shared" si="18"/>
        <v>4</v>
      </c>
      <c r="F596">
        <f t="shared" si="19"/>
        <v>2002</v>
      </c>
    </row>
    <row r="597" spans="1:6" x14ac:dyDescent="0.2">
      <c r="A597" s="20">
        <v>37362</v>
      </c>
      <c r="B597" t="s">
        <v>49</v>
      </c>
      <c r="E597">
        <f t="shared" si="18"/>
        <v>4</v>
      </c>
      <c r="F597">
        <f t="shared" si="19"/>
        <v>2002</v>
      </c>
    </row>
    <row r="598" spans="1:6" x14ac:dyDescent="0.2">
      <c r="A598" s="20">
        <v>37363</v>
      </c>
      <c r="B598" t="s">
        <v>49</v>
      </c>
      <c r="E598">
        <f t="shared" si="18"/>
        <v>4</v>
      </c>
      <c r="F598">
        <f t="shared" si="19"/>
        <v>2002</v>
      </c>
    </row>
    <row r="599" spans="1:6" x14ac:dyDescent="0.2">
      <c r="A599" s="20">
        <v>37364</v>
      </c>
      <c r="B599" t="s">
        <v>49</v>
      </c>
      <c r="E599">
        <f t="shared" si="18"/>
        <v>4</v>
      </c>
      <c r="F599">
        <f t="shared" si="19"/>
        <v>2002</v>
      </c>
    </row>
    <row r="600" spans="1:6" x14ac:dyDescent="0.2">
      <c r="A600" s="20">
        <v>37365</v>
      </c>
      <c r="B600" t="s">
        <v>49</v>
      </c>
      <c r="E600">
        <f t="shared" si="18"/>
        <v>4</v>
      </c>
      <c r="F600">
        <f t="shared" si="19"/>
        <v>2002</v>
      </c>
    </row>
    <row r="601" spans="1:6" x14ac:dyDescent="0.2">
      <c r="A601" s="20">
        <v>37368</v>
      </c>
      <c r="B601" t="s">
        <v>49</v>
      </c>
      <c r="E601">
        <f t="shared" si="18"/>
        <v>4</v>
      </c>
      <c r="F601">
        <f t="shared" si="19"/>
        <v>2002</v>
      </c>
    </row>
    <row r="602" spans="1:6" x14ac:dyDescent="0.2">
      <c r="A602" s="20">
        <v>37369</v>
      </c>
      <c r="B602" t="s">
        <v>49</v>
      </c>
      <c r="E602">
        <f t="shared" si="18"/>
        <v>4</v>
      </c>
      <c r="F602">
        <f t="shared" si="19"/>
        <v>2002</v>
      </c>
    </row>
    <row r="603" spans="1:6" x14ac:dyDescent="0.2">
      <c r="A603" s="20">
        <v>37370</v>
      </c>
      <c r="B603" t="s">
        <v>49</v>
      </c>
      <c r="E603">
        <f t="shared" si="18"/>
        <v>4</v>
      </c>
      <c r="F603">
        <f t="shared" si="19"/>
        <v>2002</v>
      </c>
    </row>
    <row r="604" spans="1:6" x14ac:dyDescent="0.2">
      <c r="A604" s="20">
        <v>37371</v>
      </c>
      <c r="B604" t="s">
        <v>49</v>
      </c>
      <c r="E604">
        <f t="shared" si="18"/>
        <v>4</v>
      </c>
      <c r="F604">
        <f t="shared" si="19"/>
        <v>2002</v>
      </c>
    </row>
    <row r="605" spans="1:6" x14ac:dyDescent="0.2">
      <c r="A605" s="20">
        <v>37372</v>
      </c>
      <c r="B605" t="s">
        <v>49</v>
      </c>
      <c r="E605">
        <f t="shared" si="18"/>
        <v>4</v>
      </c>
      <c r="F605">
        <f t="shared" si="19"/>
        <v>2002</v>
      </c>
    </row>
    <row r="606" spans="1:6" x14ac:dyDescent="0.2">
      <c r="A606" s="20">
        <v>37375</v>
      </c>
      <c r="B606" t="s">
        <v>49</v>
      </c>
      <c r="E606">
        <f t="shared" si="18"/>
        <v>4</v>
      </c>
      <c r="F606">
        <f t="shared" si="19"/>
        <v>2002</v>
      </c>
    </row>
    <row r="607" spans="1:6" x14ac:dyDescent="0.2">
      <c r="A607" s="20">
        <v>37376</v>
      </c>
      <c r="B607" t="s">
        <v>49</v>
      </c>
      <c r="E607">
        <f t="shared" si="18"/>
        <v>4</v>
      </c>
      <c r="F607">
        <f t="shared" si="19"/>
        <v>2002</v>
      </c>
    </row>
    <row r="608" spans="1:6" x14ac:dyDescent="0.2">
      <c r="A608" s="20">
        <v>37377</v>
      </c>
      <c r="B608" t="s">
        <v>49</v>
      </c>
      <c r="E608">
        <f t="shared" si="18"/>
        <v>5</v>
      </c>
      <c r="F608">
        <f t="shared" si="19"/>
        <v>2002</v>
      </c>
    </row>
    <row r="609" spans="1:6" x14ac:dyDescent="0.2">
      <c r="A609" s="20">
        <v>37378</v>
      </c>
      <c r="B609" t="s">
        <v>49</v>
      </c>
      <c r="E609">
        <f t="shared" si="18"/>
        <v>5</v>
      </c>
      <c r="F609">
        <f t="shared" si="19"/>
        <v>2002</v>
      </c>
    </row>
    <row r="610" spans="1:6" x14ac:dyDescent="0.2">
      <c r="A610" s="20">
        <v>37379</v>
      </c>
      <c r="B610" t="s">
        <v>49</v>
      </c>
      <c r="E610">
        <f t="shared" si="18"/>
        <v>5</v>
      </c>
      <c r="F610">
        <f t="shared" si="19"/>
        <v>2002</v>
      </c>
    </row>
    <row r="611" spans="1:6" x14ac:dyDescent="0.2">
      <c r="A611" s="20">
        <v>37382</v>
      </c>
      <c r="B611" t="s">
        <v>49</v>
      </c>
      <c r="E611">
        <f t="shared" si="18"/>
        <v>5</v>
      </c>
      <c r="F611">
        <f t="shared" si="19"/>
        <v>2002</v>
      </c>
    </row>
    <row r="612" spans="1:6" x14ac:dyDescent="0.2">
      <c r="A612" s="20">
        <v>37383</v>
      </c>
      <c r="B612" t="s">
        <v>49</v>
      </c>
      <c r="E612">
        <f t="shared" si="18"/>
        <v>5</v>
      </c>
      <c r="F612">
        <f t="shared" si="19"/>
        <v>2002</v>
      </c>
    </row>
    <row r="613" spans="1:6" x14ac:dyDescent="0.2">
      <c r="A613" s="20">
        <v>37384</v>
      </c>
      <c r="B613" t="s">
        <v>49</v>
      </c>
      <c r="E613">
        <f t="shared" si="18"/>
        <v>5</v>
      </c>
      <c r="F613">
        <f t="shared" si="19"/>
        <v>2002</v>
      </c>
    </row>
    <row r="614" spans="1:6" x14ac:dyDescent="0.2">
      <c r="A614" s="20">
        <v>37385</v>
      </c>
      <c r="B614" t="s">
        <v>49</v>
      </c>
      <c r="E614">
        <f t="shared" si="18"/>
        <v>5</v>
      </c>
      <c r="F614">
        <f t="shared" si="19"/>
        <v>2002</v>
      </c>
    </row>
    <row r="615" spans="1:6" x14ac:dyDescent="0.2">
      <c r="A615" s="20">
        <v>37386</v>
      </c>
      <c r="B615" t="s">
        <v>49</v>
      </c>
      <c r="E615">
        <f t="shared" si="18"/>
        <v>5</v>
      </c>
      <c r="F615">
        <f t="shared" si="19"/>
        <v>2002</v>
      </c>
    </row>
    <row r="616" spans="1:6" x14ac:dyDescent="0.2">
      <c r="A616" s="20">
        <v>37389</v>
      </c>
      <c r="B616" t="s">
        <v>49</v>
      </c>
      <c r="E616">
        <f t="shared" si="18"/>
        <v>5</v>
      </c>
      <c r="F616">
        <f t="shared" si="19"/>
        <v>2002</v>
      </c>
    </row>
    <row r="617" spans="1:6" x14ac:dyDescent="0.2">
      <c r="A617" s="20">
        <v>37390</v>
      </c>
      <c r="B617" t="s">
        <v>49</v>
      </c>
      <c r="E617">
        <f t="shared" si="18"/>
        <v>5</v>
      </c>
      <c r="F617">
        <f t="shared" si="19"/>
        <v>2002</v>
      </c>
    </row>
    <row r="618" spans="1:6" x14ac:dyDescent="0.2">
      <c r="A618" s="20">
        <v>37391</v>
      </c>
      <c r="B618" t="s">
        <v>49</v>
      </c>
      <c r="E618">
        <f t="shared" si="18"/>
        <v>5</v>
      </c>
      <c r="F618">
        <f t="shared" si="19"/>
        <v>2002</v>
      </c>
    </row>
    <row r="619" spans="1:6" x14ac:dyDescent="0.2">
      <c r="A619" s="20">
        <v>37392</v>
      </c>
      <c r="B619" t="s">
        <v>49</v>
      </c>
      <c r="E619">
        <f t="shared" si="18"/>
        <v>5</v>
      </c>
      <c r="F619">
        <f t="shared" si="19"/>
        <v>2002</v>
      </c>
    </row>
    <row r="620" spans="1:6" x14ac:dyDescent="0.2">
      <c r="A620" s="20">
        <v>37393</v>
      </c>
      <c r="B620" t="s">
        <v>49</v>
      </c>
      <c r="E620">
        <f t="shared" si="18"/>
        <v>5</v>
      </c>
      <c r="F620">
        <f t="shared" si="19"/>
        <v>2002</v>
      </c>
    </row>
    <row r="621" spans="1:6" x14ac:dyDescent="0.2">
      <c r="A621" s="20">
        <v>37396</v>
      </c>
      <c r="B621" t="s">
        <v>49</v>
      </c>
      <c r="E621">
        <f t="shared" si="18"/>
        <v>5</v>
      </c>
      <c r="F621">
        <f t="shared" si="19"/>
        <v>2002</v>
      </c>
    </row>
    <row r="622" spans="1:6" x14ac:dyDescent="0.2">
      <c r="A622" s="20">
        <v>37397</v>
      </c>
      <c r="B622" t="s">
        <v>49</v>
      </c>
      <c r="E622">
        <f t="shared" si="18"/>
        <v>5</v>
      </c>
      <c r="F622">
        <f t="shared" si="19"/>
        <v>2002</v>
      </c>
    </row>
    <row r="623" spans="1:6" x14ac:dyDescent="0.2">
      <c r="A623" s="20">
        <v>37398</v>
      </c>
      <c r="B623" t="s">
        <v>49</v>
      </c>
      <c r="E623">
        <f t="shared" si="18"/>
        <v>5</v>
      </c>
      <c r="F623">
        <f t="shared" si="19"/>
        <v>2002</v>
      </c>
    </row>
    <row r="624" spans="1:6" x14ac:dyDescent="0.2">
      <c r="A624" s="20">
        <v>37399</v>
      </c>
      <c r="B624" t="s">
        <v>49</v>
      </c>
      <c r="E624">
        <f t="shared" si="18"/>
        <v>5</v>
      </c>
      <c r="F624">
        <f t="shared" si="19"/>
        <v>2002</v>
      </c>
    </row>
    <row r="625" spans="1:6" x14ac:dyDescent="0.2">
      <c r="A625" s="20">
        <v>37400</v>
      </c>
      <c r="B625" t="s">
        <v>49</v>
      </c>
      <c r="E625">
        <f t="shared" si="18"/>
        <v>5</v>
      </c>
      <c r="F625">
        <f t="shared" si="19"/>
        <v>2002</v>
      </c>
    </row>
    <row r="626" spans="1:6" x14ac:dyDescent="0.2">
      <c r="A626" s="20">
        <v>37403</v>
      </c>
      <c r="B626" t="s">
        <v>49</v>
      </c>
      <c r="E626">
        <f t="shared" si="18"/>
        <v>5</v>
      </c>
      <c r="F626">
        <f t="shared" si="19"/>
        <v>2002</v>
      </c>
    </row>
    <row r="627" spans="1:6" x14ac:dyDescent="0.2">
      <c r="A627" s="20">
        <v>37404</v>
      </c>
      <c r="B627" t="s">
        <v>49</v>
      </c>
      <c r="E627">
        <f t="shared" si="18"/>
        <v>5</v>
      </c>
      <c r="F627">
        <f t="shared" si="19"/>
        <v>2002</v>
      </c>
    </row>
    <row r="628" spans="1:6" x14ac:dyDescent="0.2">
      <c r="A628" s="20">
        <v>37405</v>
      </c>
      <c r="B628" t="s">
        <v>49</v>
      </c>
      <c r="E628">
        <f t="shared" si="18"/>
        <v>5</v>
      </c>
      <c r="F628">
        <f t="shared" si="19"/>
        <v>2002</v>
      </c>
    </row>
    <row r="629" spans="1:6" x14ac:dyDescent="0.2">
      <c r="A629" s="20">
        <v>37406</v>
      </c>
      <c r="B629">
        <v>122.25</v>
      </c>
      <c r="E629">
        <f t="shared" si="18"/>
        <v>5</v>
      </c>
      <c r="F629">
        <f t="shared" si="19"/>
        <v>2002</v>
      </c>
    </row>
    <row r="630" spans="1:6" x14ac:dyDescent="0.2">
      <c r="A630" s="20">
        <v>37407</v>
      </c>
      <c r="B630">
        <v>122.25</v>
      </c>
      <c r="E630">
        <f t="shared" si="18"/>
        <v>5</v>
      </c>
      <c r="F630">
        <f t="shared" si="19"/>
        <v>2002</v>
      </c>
    </row>
    <row r="631" spans="1:6" x14ac:dyDescent="0.2">
      <c r="A631" s="20">
        <v>37410</v>
      </c>
      <c r="B631">
        <v>122</v>
      </c>
      <c r="E631">
        <f t="shared" si="18"/>
        <v>6</v>
      </c>
      <c r="F631">
        <f t="shared" si="19"/>
        <v>2002</v>
      </c>
    </row>
    <row r="632" spans="1:6" x14ac:dyDescent="0.2">
      <c r="A632" s="20">
        <v>37411</v>
      </c>
      <c r="B632">
        <v>122</v>
      </c>
      <c r="E632">
        <f t="shared" si="18"/>
        <v>6</v>
      </c>
      <c r="F632">
        <f t="shared" si="19"/>
        <v>2002</v>
      </c>
    </row>
    <row r="633" spans="1:6" x14ac:dyDescent="0.2">
      <c r="A633" s="20">
        <v>37412</v>
      </c>
      <c r="B633">
        <v>122.25</v>
      </c>
      <c r="E633">
        <f t="shared" si="18"/>
        <v>6</v>
      </c>
      <c r="F633">
        <f t="shared" si="19"/>
        <v>2002</v>
      </c>
    </row>
    <row r="634" spans="1:6" x14ac:dyDescent="0.2">
      <c r="A634" s="20">
        <v>37413</v>
      </c>
      <c r="B634">
        <v>125</v>
      </c>
      <c r="E634">
        <f t="shared" si="18"/>
        <v>6</v>
      </c>
      <c r="F634">
        <f t="shared" si="19"/>
        <v>2002</v>
      </c>
    </row>
    <row r="635" spans="1:6" x14ac:dyDescent="0.2">
      <c r="A635" s="20">
        <v>37414</v>
      </c>
      <c r="B635">
        <v>125</v>
      </c>
      <c r="E635">
        <f t="shared" si="18"/>
        <v>6</v>
      </c>
      <c r="F635">
        <f t="shared" si="19"/>
        <v>2002</v>
      </c>
    </row>
    <row r="636" spans="1:6" x14ac:dyDescent="0.2">
      <c r="A636" s="20">
        <v>37417</v>
      </c>
      <c r="B636">
        <v>124.75</v>
      </c>
      <c r="E636">
        <f t="shared" si="18"/>
        <v>6</v>
      </c>
      <c r="F636">
        <f t="shared" si="19"/>
        <v>2002</v>
      </c>
    </row>
    <row r="637" spans="1:6" x14ac:dyDescent="0.2">
      <c r="A637" s="20">
        <v>37418</v>
      </c>
      <c r="B637">
        <v>124.5</v>
      </c>
      <c r="E637">
        <f t="shared" si="18"/>
        <v>6</v>
      </c>
      <c r="F637">
        <f t="shared" si="19"/>
        <v>2002</v>
      </c>
    </row>
    <row r="638" spans="1:6" x14ac:dyDescent="0.2">
      <c r="A638" s="20">
        <v>37419</v>
      </c>
      <c r="B638">
        <v>124.5</v>
      </c>
      <c r="E638">
        <f t="shared" si="18"/>
        <v>6</v>
      </c>
      <c r="F638">
        <f t="shared" si="19"/>
        <v>2002</v>
      </c>
    </row>
    <row r="639" spans="1:6" x14ac:dyDescent="0.2">
      <c r="A639" s="20">
        <v>37420</v>
      </c>
      <c r="B639">
        <v>125</v>
      </c>
      <c r="E639">
        <f t="shared" si="18"/>
        <v>6</v>
      </c>
      <c r="F639">
        <f t="shared" si="19"/>
        <v>2002</v>
      </c>
    </row>
    <row r="640" spans="1:6" x14ac:dyDescent="0.2">
      <c r="A640" s="20">
        <v>37421</v>
      </c>
      <c r="B640">
        <v>125</v>
      </c>
      <c r="E640">
        <f t="shared" si="18"/>
        <v>6</v>
      </c>
      <c r="F640">
        <f t="shared" si="19"/>
        <v>2002</v>
      </c>
    </row>
    <row r="641" spans="1:6" x14ac:dyDescent="0.2">
      <c r="A641" s="20">
        <v>37424</v>
      </c>
      <c r="B641">
        <v>125</v>
      </c>
      <c r="E641">
        <f t="shared" si="18"/>
        <v>6</v>
      </c>
      <c r="F641">
        <f t="shared" si="19"/>
        <v>2002</v>
      </c>
    </row>
    <row r="642" spans="1:6" x14ac:dyDescent="0.2">
      <c r="A642" s="20">
        <v>37425</v>
      </c>
      <c r="B642">
        <v>125</v>
      </c>
      <c r="E642">
        <f t="shared" si="18"/>
        <v>6</v>
      </c>
      <c r="F642">
        <f t="shared" si="19"/>
        <v>2002</v>
      </c>
    </row>
    <row r="643" spans="1:6" x14ac:dyDescent="0.2">
      <c r="A643" s="20">
        <v>37426</v>
      </c>
      <c r="B643">
        <v>125.25</v>
      </c>
      <c r="E643">
        <f t="shared" ref="E643:E706" si="20">MONTH(A643)</f>
        <v>6</v>
      </c>
      <c r="F643">
        <f t="shared" ref="F643:F706" si="21">YEAR(A643)</f>
        <v>2002</v>
      </c>
    </row>
    <row r="644" spans="1:6" x14ac:dyDescent="0.2">
      <c r="A644" s="20">
        <v>37427</v>
      </c>
      <c r="B644">
        <v>125</v>
      </c>
      <c r="E644">
        <f t="shared" si="20"/>
        <v>6</v>
      </c>
      <c r="F644">
        <f t="shared" si="21"/>
        <v>2002</v>
      </c>
    </row>
    <row r="645" spans="1:6" x14ac:dyDescent="0.2">
      <c r="A645" s="20">
        <v>37428</v>
      </c>
      <c r="B645">
        <v>125</v>
      </c>
      <c r="E645">
        <f t="shared" si="20"/>
        <v>6</v>
      </c>
      <c r="F645">
        <f t="shared" si="21"/>
        <v>2002</v>
      </c>
    </row>
    <row r="646" spans="1:6" x14ac:dyDescent="0.2">
      <c r="A646" s="20">
        <v>37431</v>
      </c>
      <c r="B646">
        <v>125</v>
      </c>
      <c r="E646">
        <f t="shared" si="20"/>
        <v>6</v>
      </c>
      <c r="F646">
        <f t="shared" si="21"/>
        <v>2002</v>
      </c>
    </row>
    <row r="647" spans="1:6" x14ac:dyDescent="0.2">
      <c r="A647" s="20">
        <v>37432</v>
      </c>
      <c r="B647">
        <v>125</v>
      </c>
      <c r="E647">
        <f t="shared" si="20"/>
        <v>6</v>
      </c>
      <c r="F647">
        <f t="shared" si="21"/>
        <v>2002</v>
      </c>
    </row>
    <row r="648" spans="1:6" x14ac:dyDescent="0.2">
      <c r="A648" s="20">
        <v>37433</v>
      </c>
      <c r="B648">
        <v>125.25</v>
      </c>
      <c r="E648">
        <f t="shared" si="20"/>
        <v>6</v>
      </c>
      <c r="F648">
        <f t="shared" si="21"/>
        <v>2002</v>
      </c>
    </row>
    <row r="649" spans="1:6" x14ac:dyDescent="0.2">
      <c r="A649" s="20">
        <v>37434</v>
      </c>
      <c r="B649">
        <v>125.25</v>
      </c>
      <c r="E649">
        <f t="shared" si="20"/>
        <v>6</v>
      </c>
      <c r="F649">
        <f t="shared" si="21"/>
        <v>2002</v>
      </c>
    </row>
    <row r="650" spans="1:6" x14ac:dyDescent="0.2">
      <c r="A650" s="20">
        <v>37435</v>
      </c>
      <c r="B650">
        <v>125.5</v>
      </c>
      <c r="E650">
        <f t="shared" si="20"/>
        <v>6</v>
      </c>
      <c r="F650">
        <f t="shared" si="21"/>
        <v>2002</v>
      </c>
    </row>
    <row r="651" spans="1:6" x14ac:dyDescent="0.2">
      <c r="A651" s="20">
        <v>37438</v>
      </c>
      <c r="B651">
        <v>125.75</v>
      </c>
      <c r="E651">
        <f t="shared" si="20"/>
        <v>7</v>
      </c>
      <c r="F651">
        <f t="shared" si="21"/>
        <v>2002</v>
      </c>
    </row>
    <row r="652" spans="1:6" x14ac:dyDescent="0.2">
      <c r="A652" s="20">
        <v>37439</v>
      </c>
      <c r="B652">
        <v>126</v>
      </c>
      <c r="E652">
        <f t="shared" si="20"/>
        <v>7</v>
      </c>
      <c r="F652">
        <f t="shared" si="21"/>
        <v>2002</v>
      </c>
    </row>
    <row r="653" spans="1:6" x14ac:dyDescent="0.2">
      <c r="A653" s="20">
        <v>37440</v>
      </c>
      <c r="B653">
        <v>126.25</v>
      </c>
      <c r="E653">
        <f t="shared" si="20"/>
        <v>7</v>
      </c>
      <c r="F653">
        <f t="shared" si="21"/>
        <v>2002</v>
      </c>
    </row>
    <row r="654" spans="1:6" x14ac:dyDescent="0.2">
      <c r="A654" s="20">
        <v>37441</v>
      </c>
      <c r="B654">
        <v>126.5</v>
      </c>
      <c r="E654">
        <f t="shared" si="20"/>
        <v>7</v>
      </c>
      <c r="F654">
        <f t="shared" si="21"/>
        <v>2002</v>
      </c>
    </row>
    <row r="655" spans="1:6" x14ac:dyDescent="0.2">
      <c r="A655" s="20">
        <v>37442</v>
      </c>
      <c r="B655">
        <v>126</v>
      </c>
      <c r="E655">
        <f t="shared" si="20"/>
        <v>7</v>
      </c>
      <c r="F655">
        <f t="shared" si="21"/>
        <v>2002</v>
      </c>
    </row>
    <row r="656" spans="1:6" x14ac:dyDescent="0.2">
      <c r="A656" s="20">
        <v>37445</v>
      </c>
      <c r="B656">
        <v>125.75</v>
      </c>
      <c r="E656">
        <f t="shared" si="20"/>
        <v>7</v>
      </c>
      <c r="F656">
        <f t="shared" si="21"/>
        <v>2002</v>
      </c>
    </row>
    <row r="657" spans="1:6" x14ac:dyDescent="0.2">
      <c r="A657" s="20">
        <v>37446</v>
      </c>
      <c r="B657">
        <v>126</v>
      </c>
      <c r="E657">
        <f t="shared" si="20"/>
        <v>7</v>
      </c>
      <c r="F657">
        <f t="shared" si="21"/>
        <v>2002</v>
      </c>
    </row>
    <row r="658" spans="1:6" x14ac:dyDescent="0.2">
      <c r="A658" s="20">
        <v>37447</v>
      </c>
      <c r="B658">
        <v>126.5</v>
      </c>
      <c r="E658">
        <f t="shared" si="20"/>
        <v>7</v>
      </c>
      <c r="F658">
        <f t="shared" si="21"/>
        <v>2002</v>
      </c>
    </row>
    <row r="659" spans="1:6" x14ac:dyDescent="0.2">
      <c r="A659" s="20">
        <v>37448</v>
      </c>
      <c r="B659">
        <v>127</v>
      </c>
      <c r="E659">
        <f t="shared" si="20"/>
        <v>7</v>
      </c>
      <c r="F659">
        <f t="shared" si="21"/>
        <v>2002</v>
      </c>
    </row>
    <row r="660" spans="1:6" x14ac:dyDescent="0.2">
      <c r="A660" s="20">
        <v>37449</v>
      </c>
      <c r="B660">
        <v>129</v>
      </c>
      <c r="E660">
        <f t="shared" si="20"/>
        <v>7</v>
      </c>
      <c r="F660">
        <f t="shared" si="21"/>
        <v>2002</v>
      </c>
    </row>
    <row r="661" spans="1:6" x14ac:dyDescent="0.2">
      <c r="A661" s="20">
        <v>37452</v>
      </c>
      <c r="B661">
        <v>129.5</v>
      </c>
      <c r="E661">
        <f t="shared" si="20"/>
        <v>7</v>
      </c>
      <c r="F661">
        <f t="shared" si="21"/>
        <v>2002</v>
      </c>
    </row>
    <row r="662" spans="1:6" x14ac:dyDescent="0.2">
      <c r="A662" s="20">
        <v>37453</v>
      </c>
      <c r="B662">
        <v>129</v>
      </c>
      <c r="E662">
        <f t="shared" si="20"/>
        <v>7</v>
      </c>
      <c r="F662">
        <f t="shared" si="21"/>
        <v>2002</v>
      </c>
    </row>
    <row r="663" spans="1:6" x14ac:dyDescent="0.2">
      <c r="A663" s="20">
        <v>37454</v>
      </c>
      <c r="B663">
        <v>129</v>
      </c>
      <c r="E663">
        <f t="shared" si="20"/>
        <v>7</v>
      </c>
      <c r="F663">
        <f t="shared" si="21"/>
        <v>2002</v>
      </c>
    </row>
    <row r="664" spans="1:6" x14ac:dyDescent="0.2">
      <c r="A664" s="20">
        <v>37455</v>
      </c>
      <c r="B664">
        <v>131</v>
      </c>
      <c r="E664">
        <f t="shared" si="20"/>
        <v>7</v>
      </c>
      <c r="F664">
        <f t="shared" si="21"/>
        <v>2002</v>
      </c>
    </row>
    <row r="665" spans="1:6" x14ac:dyDescent="0.2">
      <c r="A665" s="20">
        <v>37456</v>
      </c>
      <c r="B665">
        <v>132.5</v>
      </c>
      <c r="E665">
        <f t="shared" si="20"/>
        <v>7</v>
      </c>
      <c r="F665">
        <f t="shared" si="21"/>
        <v>2002</v>
      </c>
    </row>
    <row r="666" spans="1:6" x14ac:dyDescent="0.2">
      <c r="A666" s="20">
        <v>37459</v>
      </c>
      <c r="B666">
        <v>132.5</v>
      </c>
      <c r="E666">
        <f t="shared" si="20"/>
        <v>7</v>
      </c>
      <c r="F666">
        <f t="shared" si="21"/>
        <v>2002</v>
      </c>
    </row>
    <row r="667" spans="1:6" x14ac:dyDescent="0.2">
      <c r="A667" s="20">
        <v>37460</v>
      </c>
      <c r="B667">
        <v>132</v>
      </c>
      <c r="E667">
        <f t="shared" si="20"/>
        <v>7</v>
      </c>
      <c r="F667">
        <f t="shared" si="21"/>
        <v>2002</v>
      </c>
    </row>
    <row r="668" spans="1:6" x14ac:dyDescent="0.2">
      <c r="A668" s="20">
        <v>37461</v>
      </c>
      <c r="B668">
        <v>133.5</v>
      </c>
      <c r="E668">
        <f t="shared" si="20"/>
        <v>7</v>
      </c>
      <c r="F668">
        <f t="shared" si="21"/>
        <v>2002</v>
      </c>
    </row>
    <row r="669" spans="1:6" x14ac:dyDescent="0.2">
      <c r="A669" s="20">
        <v>37462</v>
      </c>
      <c r="B669">
        <v>133</v>
      </c>
      <c r="E669">
        <f t="shared" si="20"/>
        <v>7</v>
      </c>
      <c r="F669">
        <f t="shared" si="21"/>
        <v>2002</v>
      </c>
    </row>
    <row r="670" spans="1:6" x14ac:dyDescent="0.2">
      <c r="A670" s="20">
        <v>37463</v>
      </c>
      <c r="B670">
        <v>133</v>
      </c>
      <c r="E670">
        <f t="shared" si="20"/>
        <v>7</v>
      </c>
      <c r="F670">
        <f t="shared" si="21"/>
        <v>2002</v>
      </c>
    </row>
    <row r="671" spans="1:6" x14ac:dyDescent="0.2">
      <c r="A671" s="20">
        <v>37466</v>
      </c>
      <c r="B671">
        <v>132</v>
      </c>
      <c r="E671">
        <f t="shared" si="20"/>
        <v>7</v>
      </c>
      <c r="F671">
        <f t="shared" si="21"/>
        <v>2002</v>
      </c>
    </row>
    <row r="672" spans="1:6" x14ac:dyDescent="0.2">
      <c r="A672" s="20">
        <v>37467</v>
      </c>
      <c r="B672">
        <v>131.25</v>
      </c>
      <c r="E672">
        <f t="shared" si="20"/>
        <v>7</v>
      </c>
      <c r="F672">
        <f t="shared" si="21"/>
        <v>2002</v>
      </c>
    </row>
    <row r="673" spans="1:6" x14ac:dyDescent="0.2">
      <c r="A673" s="20">
        <v>37468</v>
      </c>
      <c r="B673">
        <v>131.5</v>
      </c>
      <c r="E673">
        <f t="shared" si="20"/>
        <v>7</v>
      </c>
      <c r="F673">
        <f t="shared" si="21"/>
        <v>2002</v>
      </c>
    </row>
    <row r="674" spans="1:6" x14ac:dyDescent="0.2">
      <c r="A674" s="20">
        <v>37469</v>
      </c>
      <c r="B674">
        <v>132</v>
      </c>
      <c r="E674">
        <f t="shared" si="20"/>
        <v>8</v>
      </c>
      <c r="F674">
        <f t="shared" si="21"/>
        <v>2002</v>
      </c>
    </row>
    <row r="675" spans="1:6" x14ac:dyDescent="0.2">
      <c r="A675" s="20">
        <v>37470</v>
      </c>
      <c r="B675">
        <v>134.5</v>
      </c>
      <c r="E675">
        <f t="shared" si="20"/>
        <v>8</v>
      </c>
      <c r="F675">
        <f t="shared" si="21"/>
        <v>2002</v>
      </c>
    </row>
    <row r="676" spans="1:6" x14ac:dyDescent="0.2">
      <c r="A676" s="20">
        <v>37473</v>
      </c>
      <c r="B676">
        <v>136</v>
      </c>
      <c r="E676">
        <f t="shared" si="20"/>
        <v>8</v>
      </c>
      <c r="F676">
        <f t="shared" si="21"/>
        <v>2002</v>
      </c>
    </row>
    <row r="677" spans="1:6" x14ac:dyDescent="0.2">
      <c r="A677" s="20">
        <v>37474</v>
      </c>
      <c r="B677" t="s">
        <v>49</v>
      </c>
      <c r="E677">
        <f t="shared" si="20"/>
        <v>8</v>
      </c>
      <c r="F677">
        <f t="shared" si="21"/>
        <v>2002</v>
      </c>
    </row>
    <row r="678" spans="1:6" x14ac:dyDescent="0.2">
      <c r="A678" s="20">
        <v>37475</v>
      </c>
      <c r="B678" t="s">
        <v>49</v>
      </c>
      <c r="E678">
        <f t="shared" si="20"/>
        <v>8</v>
      </c>
      <c r="F678">
        <f t="shared" si="21"/>
        <v>2002</v>
      </c>
    </row>
    <row r="679" spans="1:6" x14ac:dyDescent="0.2">
      <c r="A679" s="20">
        <v>37476</v>
      </c>
      <c r="B679" t="s">
        <v>49</v>
      </c>
      <c r="E679">
        <f t="shared" si="20"/>
        <v>8</v>
      </c>
      <c r="F679">
        <f t="shared" si="21"/>
        <v>2002</v>
      </c>
    </row>
    <row r="680" spans="1:6" x14ac:dyDescent="0.2">
      <c r="A680" s="20">
        <v>37477</v>
      </c>
      <c r="B680" t="s">
        <v>49</v>
      </c>
      <c r="E680">
        <f t="shared" si="20"/>
        <v>8</v>
      </c>
      <c r="F680">
        <f t="shared" si="21"/>
        <v>2002</v>
      </c>
    </row>
    <row r="681" spans="1:6" x14ac:dyDescent="0.2">
      <c r="A681" s="20">
        <v>37480</v>
      </c>
      <c r="B681" t="s">
        <v>49</v>
      </c>
      <c r="E681">
        <f t="shared" si="20"/>
        <v>8</v>
      </c>
      <c r="F681">
        <f t="shared" si="21"/>
        <v>2002</v>
      </c>
    </row>
    <row r="682" spans="1:6" x14ac:dyDescent="0.2">
      <c r="A682" s="20">
        <v>37481</v>
      </c>
      <c r="B682" t="s">
        <v>49</v>
      </c>
      <c r="E682">
        <f t="shared" si="20"/>
        <v>8</v>
      </c>
      <c r="F682">
        <f t="shared" si="21"/>
        <v>2002</v>
      </c>
    </row>
    <row r="683" spans="1:6" x14ac:dyDescent="0.2">
      <c r="A683" s="20">
        <v>37482</v>
      </c>
      <c r="B683" t="s">
        <v>49</v>
      </c>
      <c r="E683">
        <f t="shared" si="20"/>
        <v>8</v>
      </c>
      <c r="F683">
        <f t="shared" si="21"/>
        <v>2002</v>
      </c>
    </row>
    <row r="684" spans="1:6" x14ac:dyDescent="0.2">
      <c r="A684" s="20">
        <v>37483</v>
      </c>
      <c r="B684" t="s">
        <v>49</v>
      </c>
      <c r="E684">
        <f t="shared" si="20"/>
        <v>8</v>
      </c>
      <c r="F684">
        <f t="shared" si="21"/>
        <v>2002</v>
      </c>
    </row>
    <row r="685" spans="1:6" x14ac:dyDescent="0.2">
      <c r="A685" s="20">
        <v>37484</v>
      </c>
      <c r="B685" t="s">
        <v>49</v>
      </c>
      <c r="E685">
        <f t="shared" si="20"/>
        <v>8</v>
      </c>
      <c r="F685">
        <f t="shared" si="21"/>
        <v>2002</v>
      </c>
    </row>
    <row r="686" spans="1:6" x14ac:dyDescent="0.2">
      <c r="A686" s="20">
        <v>37487</v>
      </c>
      <c r="B686" t="s">
        <v>49</v>
      </c>
      <c r="E686">
        <f t="shared" si="20"/>
        <v>8</v>
      </c>
      <c r="F686">
        <f t="shared" si="21"/>
        <v>2002</v>
      </c>
    </row>
    <row r="687" spans="1:6" x14ac:dyDescent="0.2">
      <c r="A687" s="20">
        <v>37488</v>
      </c>
      <c r="B687" t="s">
        <v>49</v>
      </c>
      <c r="E687">
        <f t="shared" si="20"/>
        <v>8</v>
      </c>
      <c r="F687">
        <f t="shared" si="21"/>
        <v>2002</v>
      </c>
    </row>
    <row r="688" spans="1:6" x14ac:dyDescent="0.2">
      <c r="A688" s="20">
        <v>37489</v>
      </c>
      <c r="B688" t="s">
        <v>49</v>
      </c>
      <c r="E688">
        <f t="shared" si="20"/>
        <v>8</v>
      </c>
      <c r="F688">
        <f t="shared" si="21"/>
        <v>2002</v>
      </c>
    </row>
    <row r="689" spans="1:6" x14ac:dyDescent="0.2">
      <c r="A689" s="20">
        <v>37490</v>
      </c>
      <c r="B689" t="s">
        <v>49</v>
      </c>
      <c r="E689">
        <f t="shared" si="20"/>
        <v>8</v>
      </c>
      <c r="F689">
        <f t="shared" si="21"/>
        <v>2002</v>
      </c>
    </row>
    <row r="690" spans="1:6" x14ac:dyDescent="0.2">
      <c r="A690" s="20">
        <v>37491</v>
      </c>
      <c r="B690" t="s">
        <v>49</v>
      </c>
      <c r="E690">
        <f t="shared" si="20"/>
        <v>8</v>
      </c>
      <c r="F690">
        <f t="shared" si="21"/>
        <v>2002</v>
      </c>
    </row>
    <row r="691" spans="1:6" x14ac:dyDescent="0.2">
      <c r="A691" s="20">
        <v>37494</v>
      </c>
      <c r="B691" t="s">
        <v>49</v>
      </c>
      <c r="E691">
        <f t="shared" si="20"/>
        <v>8</v>
      </c>
      <c r="F691">
        <f t="shared" si="21"/>
        <v>2002</v>
      </c>
    </row>
    <row r="692" spans="1:6" x14ac:dyDescent="0.2">
      <c r="A692" s="20">
        <v>37495</v>
      </c>
      <c r="B692" t="s">
        <v>49</v>
      </c>
      <c r="E692">
        <f t="shared" si="20"/>
        <v>8</v>
      </c>
      <c r="F692">
        <f t="shared" si="21"/>
        <v>2002</v>
      </c>
    </row>
    <row r="693" spans="1:6" x14ac:dyDescent="0.2">
      <c r="A693" s="20">
        <v>37496</v>
      </c>
      <c r="B693" t="s">
        <v>49</v>
      </c>
      <c r="E693">
        <f t="shared" si="20"/>
        <v>8</v>
      </c>
      <c r="F693">
        <f t="shared" si="21"/>
        <v>2002</v>
      </c>
    </row>
    <row r="694" spans="1:6" x14ac:dyDescent="0.2">
      <c r="A694" s="20">
        <v>37497</v>
      </c>
      <c r="B694" t="s">
        <v>49</v>
      </c>
      <c r="E694">
        <f t="shared" si="20"/>
        <v>8</v>
      </c>
      <c r="F694">
        <f t="shared" si="21"/>
        <v>2002</v>
      </c>
    </row>
    <row r="695" spans="1:6" x14ac:dyDescent="0.2">
      <c r="A695" s="20">
        <v>37498</v>
      </c>
      <c r="B695" t="s">
        <v>49</v>
      </c>
      <c r="E695">
        <f t="shared" si="20"/>
        <v>8</v>
      </c>
      <c r="F695">
        <f t="shared" si="21"/>
        <v>2002</v>
      </c>
    </row>
    <row r="696" spans="1:6" x14ac:dyDescent="0.2">
      <c r="A696" s="20">
        <v>37501</v>
      </c>
      <c r="B696" t="s">
        <v>49</v>
      </c>
      <c r="E696">
        <f t="shared" si="20"/>
        <v>9</v>
      </c>
      <c r="F696">
        <f t="shared" si="21"/>
        <v>2002</v>
      </c>
    </row>
    <row r="697" spans="1:6" x14ac:dyDescent="0.2">
      <c r="A697" s="20">
        <v>37502</v>
      </c>
      <c r="B697" t="s">
        <v>49</v>
      </c>
      <c r="E697">
        <f t="shared" si="20"/>
        <v>9</v>
      </c>
      <c r="F697">
        <f t="shared" si="21"/>
        <v>2002</v>
      </c>
    </row>
    <row r="698" spans="1:6" x14ac:dyDescent="0.2">
      <c r="A698" s="20">
        <v>37503</v>
      </c>
      <c r="B698" t="s">
        <v>49</v>
      </c>
      <c r="E698">
        <f t="shared" si="20"/>
        <v>9</v>
      </c>
      <c r="F698">
        <f t="shared" si="21"/>
        <v>2002</v>
      </c>
    </row>
    <row r="699" spans="1:6" x14ac:dyDescent="0.2">
      <c r="A699" s="20">
        <v>37504</v>
      </c>
      <c r="B699" t="s">
        <v>49</v>
      </c>
      <c r="E699">
        <f t="shared" si="20"/>
        <v>9</v>
      </c>
      <c r="F699">
        <f t="shared" si="21"/>
        <v>2002</v>
      </c>
    </row>
    <row r="700" spans="1:6" x14ac:dyDescent="0.2">
      <c r="A700" s="20">
        <v>37505</v>
      </c>
      <c r="B700" t="s">
        <v>49</v>
      </c>
      <c r="E700">
        <f t="shared" si="20"/>
        <v>9</v>
      </c>
      <c r="F700">
        <f t="shared" si="21"/>
        <v>2002</v>
      </c>
    </row>
    <row r="701" spans="1:6" x14ac:dyDescent="0.2">
      <c r="A701" s="20">
        <v>37508</v>
      </c>
      <c r="B701" t="s">
        <v>49</v>
      </c>
      <c r="E701">
        <f t="shared" si="20"/>
        <v>9</v>
      </c>
      <c r="F701">
        <f t="shared" si="21"/>
        <v>2002</v>
      </c>
    </row>
    <row r="702" spans="1:6" x14ac:dyDescent="0.2">
      <c r="A702" s="20">
        <v>37509</v>
      </c>
      <c r="B702" t="s">
        <v>49</v>
      </c>
      <c r="E702">
        <f t="shared" si="20"/>
        <v>9</v>
      </c>
      <c r="F702">
        <f t="shared" si="21"/>
        <v>2002</v>
      </c>
    </row>
    <row r="703" spans="1:6" x14ac:dyDescent="0.2">
      <c r="A703" s="20">
        <v>37510</v>
      </c>
      <c r="B703" t="s">
        <v>49</v>
      </c>
      <c r="E703">
        <f t="shared" si="20"/>
        <v>9</v>
      </c>
      <c r="F703">
        <f t="shared" si="21"/>
        <v>2002</v>
      </c>
    </row>
    <row r="704" spans="1:6" x14ac:dyDescent="0.2">
      <c r="A704" s="20">
        <v>37511</v>
      </c>
      <c r="B704" t="s">
        <v>49</v>
      </c>
      <c r="E704">
        <f t="shared" si="20"/>
        <v>9</v>
      </c>
      <c r="F704">
        <f t="shared" si="21"/>
        <v>2002</v>
      </c>
    </row>
    <row r="705" spans="1:6" x14ac:dyDescent="0.2">
      <c r="A705" s="20">
        <v>37512</v>
      </c>
      <c r="B705" t="s">
        <v>49</v>
      </c>
      <c r="E705">
        <f t="shared" si="20"/>
        <v>9</v>
      </c>
      <c r="F705">
        <f t="shared" si="21"/>
        <v>2002</v>
      </c>
    </row>
    <row r="706" spans="1:6" x14ac:dyDescent="0.2">
      <c r="A706" s="20">
        <v>37515</v>
      </c>
      <c r="B706" t="s">
        <v>49</v>
      </c>
      <c r="E706">
        <f t="shared" si="20"/>
        <v>9</v>
      </c>
      <c r="F706">
        <f t="shared" si="21"/>
        <v>2002</v>
      </c>
    </row>
    <row r="707" spans="1:6" x14ac:dyDescent="0.2">
      <c r="A707" s="20">
        <v>37516</v>
      </c>
      <c r="B707" t="s">
        <v>49</v>
      </c>
      <c r="E707">
        <f t="shared" ref="E707:E770" si="22">MONTH(A707)</f>
        <v>9</v>
      </c>
      <c r="F707">
        <f t="shared" ref="F707:F770" si="23">YEAR(A707)</f>
        <v>2002</v>
      </c>
    </row>
    <row r="708" spans="1:6" x14ac:dyDescent="0.2">
      <c r="A708" s="20">
        <v>37517</v>
      </c>
      <c r="B708" t="s">
        <v>49</v>
      </c>
      <c r="E708">
        <f t="shared" si="22"/>
        <v>9</v>
      </c>
      <c r="F708">
        <f t="shared" si="23"/>
        <v>2002</v>
      </c>
    </row>
    <row r="709" spans="1:6" x14ac:dyDescent="0.2">
      <c r="A709" s="20">
        <v>37518</v>
      </c>
      <c r="B709" t="s">
        <v>49</v>
      </c>
      <c r="E709">
        <f t="shared" si="22"/>
        <v>9</v>
      </c>
      <c r="F709">
        <f t="shared" si="23"/>
        <v>2002</v>
      </c>
    </row>
    <row r="710" spans="1:6" x14ac:dyDescent="0.2">
      <c r="A710" s="20">
        <v>37519</v>
      </c>
      <c r="B710" t="s">
        <v>49</v>
      </c>
      <c r="E710">
        <f t="shared" si="22"/>
        <v>9</v>
      </c>
      <c r="F710">
        <f t="shared" si="23"/>
        <v>2002</v>
      </c>
    </row>
    <row r="711" spans="1:6" x14ac:dyDescent="0.2">
      <c r="A711" s="20">
        <v>37522</v>
      </c>
      <c r="B711" t="s">
        <v>49</v>
      </c>
      <c r="E711">
        <f t="shared" si="22"/>
        <v>9</v>
      </c>
      <c r="F711">
        <f t="shared" si="23"/>
        <v>2002</v>
      </c>
    </row>
    <row r="712" spans="1:6" x14ac:dyDescent="0.2">
      <c r="A712" s="20">
        <v>37523</v>
      </c>
      <c r="B712" t="s">
        <v>49</v>
      </c>
      <c r="E712">
        <f t="shared" si="22"/>
        <v>9</v>
      </c>
      <c r="F712">
        <f t="shared" si="23"/>
        <v>2002</v>
      </c>
    </row>
    <row r="713" spans="1:6" x14ac:dyDescent="0.2">
      <c r="A713" s="20">
        <v>37524</v>
      </c>
      <c r="B713" t="s">
        <v>49</v>
      </c>
      <c r="E713">
        <f t="shared" si="22"/>
        <v>9</v>
      </c>
      <c r="F713">
        <f t="shared" si="23"/>
        <v>2002</v>
      </c>
    </row>
    <row r="714" spans="1:6" x14ac:dyDescent="0.2">
      <c r="A714" s="20">
        <v>37525</v>
      </c>
      <c r="B714" t="s">
        <v>49</v>
      </c>
      <c r="E714">
        <f t="shared" si="22"/>
        <v>9</v>
      </c>
      <c r="F714">
        <f t="shared" si="23"/>
        <v>2002</v>
      </c>
    </row>
    <row r="715" spans="1:6" x14ac:dyDescent="0.2">
      <c r="A715" s="20">
        <v>37526</v>
      </c>
      <c r="B715" t="s">
        <v>49</v>
      </c>
      <c r="E715">
        <f t="shared" si="22"/>
        <v>9</v>
      </c>
      <c r="F715">
        <f t="shared" si="23"/>
        <v>2002</v>
      </c>
    </row>
    <row r="716" spans="1:6" x14ac:dyDescent="0.2">
      <c r="A716" s="20">
        <v>37529</v>
      </c>
      <c r="B716" t="s">
        <v>49</v>
      </c>
      <c r="E716">
        <f t="shared" si="22"/>
        <v>9</v>
      </c>
      <c r="F716">
        <f t="shared" si="23"/>
        <v>2002</v>
      </c>
    </row>
    <row r="717" spans="1:6" x14ac:dyDescent="0.2">
      <c r="A717" s="20">
        <v>37530</v>
      </c>
      <c r="B717" t="s">
        <v>49</v>
      </c>
      <c r="E717">
        <f t="shared" si="22"/>
        <v>10</v>
      </c>
      <c r="F717">
        <f t="shared" si="23"/>
        <v>2002</v>
      </c>
    </row>
    <row r="718" spans="1:6" x14ac:dyDescent="0.2">
      <c r="A718" s="20">
        <v>37531</v>
      </c>
      <c r="B718" t="s">
        <v>49</v>
      </c>
      <c r="E718">
        <f t="shared" si="22"/>
        <v>10</v>
      </c>
      <c r="F718">
        <f t="shared" si="23"/>
        <v>2002</v>
      </c>
    </row>
    <row r="719" spans="1:6" x14ac:dyDescent="0.2">
      <c r="A719" s="20">
        <v>37532</v>
      </c>
      <c r="B719">
        <v>117</v>
      </c>
      <c r="E719">
        <f t="shared" si="22"/>
        <v>10</v>
      </c>
      <c r="F719">
        <f t="shared" si="23"/>
        <v>2002</v>
      </c>
    </row>
    <row r="720" spans="1:6" x14ac:dyDescent="0.2">
      <c r="A720" s="20">
        <v>37533</v>
      </c>
      <c r="B720">
        <v>117</v>
      </c>
      <c r="E720">
        <f t="shared" si="22"/>
        <v>10</v>
      </c>
      <c r="F720">
        <f t="shared" si="23"/>
        <v>2002</v>
      </c>
    </row>
    <row r="721" spans="1:6" x14ac:dyDescent="0.2">
      <c r="A721" s="20">
        <v>37536</v>
      </c>
      <c r="B721">
        <v>117.5</v>
      </c>
      <c r="E721">
        <f t="shared" si="22"/>
        <v>10</v>
      </c>
      <c r="F721">
        <f t="shared" si="23"/>
        <v>2002</v>
      </c>
    </row>
    <row r="722" spans="1:6" x14ac:dyDescent="0.2">
      <c r="A722" s="20">
        <v>37537</v>
      </c>
      <c r="B722">
        <v>118.25</v>
      </c>
      <c r="E722">
        <f t="shared" si="22"/>
        <v>10</v>
      </c>
      <c r="F722">
        <f t="shared" si="23"/>
        <v>2002</v>
      </c>
    </row>
    <row r="723" spans="1:6" x14ac:dyDescent="0.2">
      <c r="A723" s="20">
        <v>37538</v>
      </c>
      <c r="B723">
        <v>120</v>
      </c>
      <c r="E723">
        <f t="shared" si="22"/>
        <v>10</v>
      </c>
      <c r="F723">
        <f t="shared" si="23"/>
        <v>2002</v>
      </c>
    </row>
    <row r="724" spans="1:6" x14ac:dyDescent="0.2">
      <c r="A724" s="20">
        <v>37539</v>
      </c>
      <c r="B724">
        <v>120</v>
      </c>
      <c r="E724">
        <f t="shared" si="22"/>
        <v>10</v>
      </c>
      <c r="F724">
        <f t="shared" si="23"/>
        <v>2002</v>
      </c>
    </row>
    <row r="725" spans="1:6" x14ac:dyDescent="0.2">
      <c r="A725" s="20">
        <v>37540</v>
      </c>
      <c r="B725">
        <v>119.25</v>
      </c>
      <c r="E725">
        <f t="shared" si="22"/>
        <v>10</v>
      </c>
      <c r="F725">
        <f t="shared" si="23"/>
        <v>2002</v>
      </c>
    </row>
    <row r="726" spans="1:6" x14ac:dyDescent="0.2">
      <c r="A726" s="20">
        <v>37543</v>
      </c>
      <c r="B726">
        <v>119</v>
      </c>
      <c r="E726">
        <f t="shared" si="22"/>
        <v>10</v>
      </c>
      <c r="F726">
        <f t="shared" si="23"/>
        <v>2002</v>
      </c>
    </row>
    <row r="727" spans="1:6" x14ac:dyDescent="0.2">
      <c r="A727" s="20">
        <v>37544</v>
      </c>
      <c r="B727">
        <v>117.75</v>
      </c>
      <c r="E727">
        <f t="shared" si="22"/>
        <v>10</v>
      </c>
      <c r="F727">
        <f t="shared" si="23"/>
        <v>2002</v>
      </c>
    </row>
    <row r="728" spans="1:6" x14ac:dyDescent="0.2">
      <c r="A728" s="20">
        <v>37545</v>
      </c>
      <c r="B728">
        <v>118</v>
      </c>
      <c r="E728">
        <f t="shared" si="22"/>
        <v>10</v>
      </c>
      <c r="F728">
        <f t="shared" si="23"/>
        <v>2002</v>
      </c>
    </row>
    <row r="729" spans="1:6" x14ac:dyDescent="0.2">
      <c r="A729" s="20">
        <v>37546</v>
      </c>
      <c r="B729">
        <v>117.5</v>
      </c>
      <c r="E729">
        <f t="shared" si="22"/>
        <v>10</v>
      </c>
      <c r="F729">
        <f t="shared" si="23"/>
        <v>2002</v>
      </c>
    </row>
    <row r="730" spans="1:6" x14ac:dyDescent="0.2">
      <c r="A730" s="20">
        <v>37547</v>
      </c>
      <c r="B730">
        <v>117.5</v>
      </c>
      <c r="E730">
        <f t="shared" si="22"/>
        <v>10</v>
      </c>
      <c r="F730">
        <f t="shared" si="23"/>
        <v>2002</v>
      </c>
    </row>
    <row r="731" spans="1:6" x14ac:dyDescent="0.2">
      <c r="A731" s="20">
        <v>37550</v>
      </c>
      <c r="B731">
        <v>117.5</v>
      </c>
      <c r="E731">
        <f t="shared" si="22"/>
        <v>10</v>
      </c>
      <c r="F731">
        <f t="shared" si="23"/>
        <v>2002</v>
      </c>
    </row>
    <row r="732" spans="1:6" x14ac:dyDescent="0.2">
      <c r="A732" s="20">
        <v>37551</v>
      </c>
      <c r="B732">
        <v>117.75</v>
      </c>
      <c r="E732">
        <f t="shared" si="22"/>
        <v>10</v>
      </c>
      <c r="F732">
        <f t="shared" si="23"/>
        <v>2002</v>
      </c>
    </row>
    <row r="733" spans="1:6" x14ac:dyDescent="0.2">
      <c r="A733" s="20">
        <v>37552</v>
      </c>
      <c r="B733">
        <v>118.25</v>
      </c>
      <c r="E733">
        <f t="shared" si="22"/>
        <v>10</v>
      </c>
      <c r="F733">
        <f t="shared" si="23"/>
        <v>2002</v>
      </c>
    </row>
    <row r="734" spans="1:6" x14ac:dyDescent="0.2">
      <c r="A734" s="20">
        <v>37553</v>
      </c>
      <c r="B734">
        <v>119</v>
      </c>
      <c r="E734">
        <f t="shared" si="22"/>
        <v>10</v>
      </c>
      <c r="F734">
        <f t="shared" si="23"/>
        <v>2002</v>
      </c>
    </row>
    <row r="735" spans="1:6" x14ac:dyDescent="0.2">
      <c r="A735" s="20">
        <v>37554</v>
      </c>
      <c r="B735">
        <v>119</v>
      </c>
      <c r="E735">
        <f t="shared" si="22"/>
        <v>10</v>
      </c>
      <c r="F735">
        <f t="shared" si="23"/>
        <v>2002</v>
      </c>
    </row>
    <row r="736" spans="1:6" x14ac:dyDescent="0.2">
      <c r="A736" s="20">
        <v>37557</v>
      </c>
      <c r="B736" t="s">
        <v>49</v>
      </c>
      <c r="E736">
        <f t="shared" si="22"/>
        <v>10</v>
      </c>
      <c r="F736">
        <f t="shared" si="23"/>
        <v>2002</v>
      </c>
    </row>
    <row r="737" spans="1:6" x14ac:dyDescent="0.2">
      <c r="A737" s="20">
        <v>37558</v>
      </c>
      <c r="B737">
        <v>117.75</v>
      </c>
      <c r="E737">
        <f t="shared" si="22"/>
        <v>10</v>
      </c>
      <c r="F737">
        <f t="shared" si="23"/>
        <v>2002</v>
      </c>
    </row>
    <row r="738" spans="1:6" x14ac:dyDescent="0.2">
      <c r="A738" s="20">
        <v>37559</v>
      </c>
      <c r="B738">
        <v>117.75</v>
      </c>
      <c r="E738">
        <f t="shared" si="22"/>
        <v>10</v>
      </c>
      <c r="F738">
        <f t="shared" si="23"/>
        <v>2002</v>
      </c>
    </row>
    <row r="739" spans="1:6" x14ac:dyDescent="0.2">
      <c r="A739" s="20">
        <v>37560</v>
      </c>
      <c r="B739">
        <v>117.25</v>
      </c>
      <c r="E739">
        <f t="shared" si="22"/>
        <v>10</v>
      </c>
      <c r="F739">
        <f t="shared" si="23"/>
        <v>2002</v>
      </c>
    </row>
    <row r="740" spans="1:6" x14ac:dyDescent="0.2">
      <c r="A740" s="20">
        <v>37561</v>
      </c>
      <c r="B740">
        <v>117</v>
      </c>
      <c r="E740">
        <f t="shared" si="22"/>
        <v>11</v>
      </c>
      <c r="F740">
        <f t="shared" si="23"/>
        <v>2002</v>
      </c>
    </row>
    <row r="741" spans="1:6" x14ac:dyDescent="0.2">
      <c r="A741" s="20">
        <v>37564</v>
      </c>
      <c r="B741">
        <v>117</v>
      </c>
      <c r="E741">
        <f t="shared" si="22"/>
        <v>11</v>
      </c>
      <c r="F741">
        <f t="shared" si="23"/>
        <v>2002</v>
      </c>
    </row>
    <row r="742" spans="1:6" x14ac:dyDescent="0.2">
      <c r="A742" s="20">
        <v>37565</v>
      </c>
      <c r="B742">
        <v>117</v>
      </c>
      <c r="E742">
        <f t="shared" si="22"/>
        <v>11</v>
      </c>
      <c r="F742">
        <f t="shared" si="23"/>
        <v>2002</v>
      </c>
    </row>
    <row r="743" spans="1:6" x14ac:dyDescent="0.2">
      <c r="A743" s="20">
        <v>37566</v>
      </c>
      <c r="B743">
        <v>127</v>
      </c>
      <c r="E743">
        <f t="shared" si="22"/>
        <v>11</v>
      </c>
      <c r="F743">
        <f t="shared" si="23"/>
        <v>2002</v>
      </c>
    </row>
    <row r="744" spans="1:6" x14ac:dyDescent="0.2">
      <c r="A744" s="20">
        <v>37567</v>
      </c>
      <c r="B744">
        <v>126.25</v>
      </c>
      <c r="E744">
        <f t="shared" si="22"/>
        <v>11</v>
      </c>
      <c r="F744">
        <f t="shared" si="23"/>
        <v>2002</v>
      </c>
    </row>
    <row r="745" spans="1:6" x14ac:dyDescent="0.2">
      <c r="A745" s="20">
        <v>37568</v>
      </c>
      <c r="B745">
        <v>125.5</v>
      </c>
      <c r="E745">
        <f t="shared" si="22"/>
        <v>11</v>
      </c>
      <c r="F745">
        <f t="shared" si="23"/>
        <v>2002</v>
      </c>
    </row>
    <row r="746" spans="1:6" x14ac:dyDescent="0.2">
      <c r="A746" s="20">
        <v>37571</v>
      </c>
      <c r="B746">
        <v>125.5</v>
      </c>
      <c r="E746">
        <f t="shared" si="22"/>
        <v>11</v>
      </c>
      <c r="F746">
        <f t="shared" si="23"/>
        <v>2002</v>
      </c>
    </row>
    <row r="747" spans="1:6" x14ac:dyDescent="0.2">
      <c r="A747" s="20">
        <v>37572</v>
      </c>
      <c r="B747">
        <v>126</v>
      </c>
      <c r="E747">
        <f t="shared" si="22"/>
        <v>11</v>
      </c>
      <c r="F747">
        <f t="shared" si="23"/>
        <v>2002</v>
      </c>
    </row>
    <row r="748" spans="1:6" x14ac:dyDescent="0.2">
      <c r="A748" s="20">
        <v>37573</v>
      </c>
      <c r="B748">
        <v>126</v>
      </c>
      <c r="E748">
        <f t="shared" si="22"/>
        <v>11</v>
      </c>
      <c r="F748">
        <f t="shared" si="23"/>
        <v>2002</v>
      </c>
    </row>
    <row r="749" spans="1:6" x14ac:dyDescent="0.2">
      <c r="A749" s="20">
        <v>37574</v>
      </c>
      <c r="B749">
        <v>124</v>
      </c>
      <c r="E749">
        <f t="shared" si="22"/>
        <v>11</v>
      </c>
      <c r="F749">
        <f t="shared" si="23"/>
        <v>2002</v>
      </c>
    </row>
    <row r="750" spans="1:6" x14ac:dyDescent="0.2">
      <c r="A750" s="20">
        <v>37575</v>
      </c>
      <c r="B750">
        <v>124</v>
      </c>
      <c r="E750">
        <f t="shared" si="22"/>
        <v>11</v>
      </c>
      <c r="F750">
        <f t="shared" si="23"/>
        <v>2002</v>
      </c>
    </row>
    <row r="751" spans="1:6" x14ac:dyDescent="0.2">
      <c r="A751" s="20">
        <v>37578</v>
      </c>
      <c r="B751">
        <v>125</v>
      </c>
      <c r="E751">
        <f t="shared" si="22"/>
        <v>11</v>
      </c>
      <c r="F751">
        <f t="shared" si="23"/>
        <v>2002</v>
      </c>
    </row>
    <row r="752" spans="1:6" x14ac:dyDescent="0.2">
      <c r="A752" s="20">
        <v>37579</v>
      </c>
      <c r="B752">
        <v>126.5</v>
      </c>
      <c r="E752">
        <f t="shared" si="22"/>
        <v>11</v>
      </c>
      <c r="F752">
        <f t="shared" si="23"/>
        <v>2002</v>
      </c>
    </row>
    <row r="753" spans="1:6" x14ac:dyDescent="0.2">
      <c r="A753" s="20">
        <v>37580</v>
      </c>
      <c r="B753">
        <v>126.5</v>
      </c>
      <c r="E753">
        <f t="shared" si="22"/>
        <v>11</v>
      </c>
      <c r="F753">
        <f t="shared" si="23"/>
        <v>2002</v>
      </c>
    </row>
    <row r="754" spans="1:6" x14ac:dyDescent="0.2">
      <c r="A754" s="20">
        <v>37581</v>
      </c>
      <c r="B754">
        <v>126.25</v>
      </c>
      <c r="E754">
        <f t="shared" si="22"/>
        <v>11</v>
      </c>
      <c r="F754">
        <f t="shared" si="23"/>
        <v>2002</v>
      </c>
    </row>
    <row r="755" spans="1:6" x14ac:dyDescent="0.2">
      <c r="A755" s="20">
        <v>37582</v>
      </c>
      <c r="B755">
        <v>126.25</v>
      </c>
      <c r="E755">
        <f t="shared" si="22"/>
        <v>11</v>
      </c>
      <c r="F755">
        <f t="shared" si="23"/>
        <v>2002</v>
      </c>
    </row>
    <row r="756" spans="1:6" x14ac:dyDescent="0.2">
      <c r="A756" s="20">
        <v>37585</v>
      </c>
      <c r="B756">
        <v>126.5</v>
      </c>
      <c r="E756">
        <f t="shared" si="22"/>
        <v>11</v>
      </c>
      <c r="F756">
        <f t="shared" si="23"/>
        <v>2002</v>
      </c>
    </row>
    <row r="757" spans="1:6" x14ac:dyDescent="0.2">
      <c r="A757" s="20">
        <v>37586</v>
      </c>
      <c r="B757">
        <v>126.75</v>
      </c>
      <c r="E757">
        <f t="shared" si="22"/>
        <v>11</v>
      </c>
      <c r="F757">
        <f t="shared" si="23"/>
        <v>2002</v>
      </c>
    </row>
    <row r="758" spans="1:6" x14ac:dyDescent="0.2">
      <c r="A758" s="20">
        <v>37587</v>
      </c>
      <c r="B758">
        <v>127</v>
      </c>
      <c r="E758">
        <f t="shared" si="22"/>
        <v>11</v>
      </c>
      <c r="F758">
        <f t="shared" si="23"/>
        <v>2002</v>
      </c>
    </row>
    <row r="759" spans="1:6" x14ac:dyDescent="0.2">
      <c r="A759" s="20">
        <v>37588</v>
      </c>
      <c r="B759">
        <v>127.25</v>
      </c>
      <c r="E759">
        <f t="shared" si="22"/>
        <v>11</v>
      </c>
      <c r="F759">
        <f t="shared" si="23"/>
        <v>2002</v>
      </c>
    </row>
    <row r="760" spans="1:6" x14ac:dyDescent="0.2">
      <c r="A760" s="20">
        <v>37589</v>
      </c>
      <c r="B760">
        <v>127</v>
      </c>
      <c r="E760">
        <f t="shared" si="22"/>
        <v>11</v>
      </c>
      <c r="F760">
        <f t="shared" si="23"/>
        <v>2002</v>
      </c>
    </row>
    <row r="761" spans="1:6" x14ac:dyDescent="0.2">
      <c r="A761" s="20">
        <v>37592</v>
      </c>
      <c r="B761">
        <v>126.75</v>
      </c>
      <c r="E761">
        <f t="shared" si="22"/>
        <v>12</v>
      </c>
      <c r="F761">
        <f t="shared" si="23"/>
        <v>2002</v>
      </c>
    </row>
    <row r="762" spans="1:6" x14ac:dyDescent="0.2">
      <c r="A762" s="20">
        <v>37593</v>
      </c>
      <c r="B762">
        <v>126.25</v>
      </c>
      <c r="E762">
        <f t="shared" si="22"/>
        <v>12</v>
      </c>
      <c r="F762">
        <f t="shared" si="23"/>
        <v>2002</v>
      </c>
    </row>
    <row r="763" spans="1:6" x14ac:dyDescent="0.2">
      <c r="A763" s="20">
        <v>37594</v>
      </c>
      <c r="B763">
        <v>124.5</v>
      </c>
      <c r="E763">
        <f t="shared" si="22"/>
        <v>12</v>
      </c>
      <c r="F763">
        <f t="shared" si="23"/>
        <v>2002</v>
      </c>
    </row>
    <row r="764" spans="1:6" x14ac:dyDescent="0.2">
      <c r="A764" s="20">
        <v>37595</v>
      </c>
      <c r="B764">
        <v>124.75</v>
      </c>
      <c r="E764">
        <f t="shared" si="22"/>
        <v>12</v>
      </c>
      <c r="F764">
        <f t="shared" si="23"/>
        <v>2002</v>
      </c>
    </row>
    <row r="765" spans="1:6" x14ac:dyDescent="0.2">
      <c r="A765" s="20">
        <v>37596</v>
      </c>
      <c r="B765">
        <v>124.25</v>
      </c>
      <c r="E765">
        <f t="shared" si="22"/>
        <v>12</v>
      </c>
      <c r="F765">
        <f t="shared" si="23"/>
        <v>2002</v>
      </c>
    </row>
    <row r="766" spans="1:6" x14ac:dyDescent="0.2">
      <c r="A766" s="20">
        <v>37599</v>
      </c>
      <c r="B766">
        <v>125</v>
      </c>
      <c r="E766">
        <f t="shared" si="22"/>
        <v>12</v>
      </c>
      <c r="F766">
        <f t="shared" si="23"/>
        <v>2002</v>
      </c>
    </row>
    <row r="767" spans="1:6" x14ac:dyDescent="0.2">
      <c r="A767" s="20">
        <v>37600</v>
      </c>
      <c r="B767">
        <v>124.75</v>
      </c>
      <c r="E767">
        <f t="shared" si="22"/>
        <v>12</v>
      </c>
      <c r="F767">
        <f t="shared" si="23"/>
        <v>2002</v>
      </c>
    </row>
    <row r="768" spans="1:6" x14ac:dyDescent="0.2">
      <c r="A768" s="20">
        <v>37601</v>
      </c>
      <c r="B768">
        <v>124.75</v>
      </c>
      <c r="E768">
        <f t="shared" si="22"/>
        <v>12</v>
      </c>
      <c r="F768">
        <f t="shared" si="23"/>
        <v>2002</v>
      </c>
    </row>
    <row r="769" spans="1:6" x14ac:dyDescent="0.2">
      <c r="A769" s="20">
        <v>37602</v>
      </c>
      <c r="B769">
        <v>124.5</v>
      </c>
      <c r="E769">
        <f t="shared" si="22"/>
        <v>12</v>
      </c>
      <c r="F769">
        <f t="shared" si="23"/>
        <v>2002</v>
      </c>
    </row>
    <row r="770" spans="1:6" x14ac:dyDescent="0.2">
      <c r="A770" s="20">
        <v>37603</v>
      </c>
      <c r="B770">
        <v>125.25</v>
      </c>
      <c r="E770">
        <f t="shared" si="22"/>
        <v>12</v>
      </c>
      <c r="F770">
        <f t="shared" si="23"/>
        <v>2002</v>
      </c>
    </row>
    <row r="771" spans="1:6" x14ac:dyDescent="0.2">
      <c r="A771" s="20">
        <v>37606</v>
      </c>
      <c r="B771">
        <v>125</v>
      </c>
      <c r="E771">
        <f t="shared" ref="E771:E834" si="24">MONTH(A771)</f>
        <v>12</v>
      </c>
      <c r="F771">
        <f t="shared" ref="F771:F834" si="25">YEAR(A771)</f>
        <v>2002</v>
      </c>
    </row>
    <row r="772" spans="1:6" x14ac:dyDescent="0.2">
      <c r="A772" s="20">
        <v>37607</v>
      </c>
      <c r="B772">
        <v>124</v>
      </c>
      <c r="E772">
        <f t="shared" si="24"/>
        <v>12</v>
      </c>
      <c r="F772">
        <f t="shared" si="25"/>
        <v>2002</v>
      </c>
    </row>
    <row r="773" spans="1:6" x14ac:dyDescent="0.2">
      <c r="A773" s="20">
        <v>37608</v>
      </c>
      <c r="B773">
        <v>124</v>
      </c>
      <c r="E773">
        <f t="shared" si="24"/>
        <v>12</v>
      </c>
      <c r="F773">
        <f t="shared" si="25"/>
        <v>2002</v>
      </c>
    </row>
    <row r="774" spans="1:6" x14ac:dyDescent="0.2">
      <c r="A774" s="20">
        <v>37609</v>
      </c>
      <c r="B774">
        <v>123.75</v>
      </c>
      <c r="E774">
        <f t="shared" si="24"/>
        <v>12</v>
      </c>
      <c r="F774">
        <f t="shared" si="25"/>
        <v>2002</v>
      </c>
    </row>
    <row r="775" spans="1:6" x14ac:dyDescent="0.2">
      <c r="A775" s="20">
        <v>37610</v>
      </c>
      <c r="B775">
        <v>123.25</v>
      </c>
      <c r="E775">
        <f t="shared" si="24"/>
        <v>12</v>
      </c>
      <c r="F775">
        <f t="shared" si="25"/>
        <v>2002</v>
      </c>
    </row>
    <row r="776" spans="1:6" x14ac:dyDescent="0.2">
      <c r="A776" s="20">
        <v>37613</v>
      </c>
      <c r="B776">
        <v>123.75</v>
      </c>
      <c r="E776">
        <f t="shared" si="24"/>
        <v>12</v>
      </c>
      <c r="F776">
        <f t="shared" si="25"/>
        <v>2002</v>
      </c>
    </row>
    <row r="777" spans="1:6" x14ac:dyDescent="0.2">
      <c r="A777" s="20">
        <v>37614</v>
      </c>
      <c r="B777">
        <v>122.5</v>
      </c>
      <c r="E777">
        <f t="shared" si="24"/>
        <v>12</v>
      </c>
      <c r="F777">
        <f t="shared" si="25"/>
        <v>2002</v>
      </c>
    </row>
    <row r="778" spans="1:6" x14ac:dyDescent="0.2">
      <c r="A778" s="20">
        <v>37615</v>
      </c>
      <c r="B778" t="s">
        <v>49</v>
      </c>
      <c r="E778">
        <f t="shared" si="24"/>
        <v>12</v>
      </c>
      <c r="F778">
        <f t="shared" si="25"/>
        <v>2002</v>
      </c>
    </row>
    <row r="779" spans="1:6" x14ac:dyDescent="0.2">
      <c r="A779" s="20">
        <v>37616</v>
      </c>
      <c r="B779">
        <v>122.5</v>
      </c>
      <c r="E779">
        <f t="shared" si="24"/>
        <v>12</v>
      </c>
      <c r="F779">
        <f t="shared" si="25"/>
        <v>2002</v>
      </c>
    </row>
    <row r="780" spans="1:6" x14ac:dyDescent="0.2">
      <c r="A780" s="20">
        <v>37617</v>
      </c>
      <c r="B780">
        <v>122.75</v>
      </c>
      <c r="E780">
        <f t="shared" si="24"/>
        <v>12</v>
      </c>
      <c r="F780">
        <f t="shared" si="25"/>
        <v>2002</v>
      </c>
    </row>
    <row r="781" spans="1:6" x14ac:dyDescent="0.2">
      <c r="A781" s="20">
        <v>37620</v>
      </c>
      <c r="B781">
        <v>123.5</v>
      </c>
      <c r="E781">
        <f t="shared" si="24"/>
        <v>12</v>
      </c>
      <c r="F781">
        <f t="shared" si="25"/>
        <v>2002</v>
      </c>
    </row>
    <row r="782" spans="1:6" x14ac:dyDescent="0.2">
      <c r="A782" s="20">
        <v>37621</v>
      </c>
      <c r="B782">
        <v>124</v>
      </c>
      <c r="E782">
        <f t="shared" si="24"/>
        <v>12</v>
      </c>
      <c r="F782">
        <f t="shared" si="25"/>
        <v>2002</v>
      </c>
    </row>
    <row r="783" spans="1:6" x14ac:dyDescent="0.2">
      <c r="A783" s="20">
        <v>37623</v>
      </c>
      <c r="B783">
        <v>124.25</v>
      </c>
      <c r="E783">
        <f t="shared" si="24"/>
        <v>1</v>
      </c>
      <c r="F783">
        <f t="shared" si="25"/>
        <v>2003</v>
      </c>
    </row>
    <row r="784" spans="1:6" x14ac:dyDescent="0.2">
      <c r="A784" s="20">
        <v>37624</v>
      </c>
      <c r="B784">
        <v>124</v>
      </c>
      <c r="E784">
        <f t="shared" si="24"/>
        <v>1</v>
      </c>
      <c r="F784">
        <f t="shared" si="25"/>
        <v>2003</v>
      </c>
    </row>
    <row r="785" spans="1:6" x14ac:dyDescent="0.2">
      <c r="A785" s="20">
        <v>37627</v>
      </c>
      <c r="B785">
        <v>124</v>
      </c>
      <c r="E785">
        <f t="shared" si="24"/>
        <v>1</v>
      </c>
      <c r="F785">
        <f t="shared" si="25"/>
        <v>2003</v>
      </c>
    </row>
    <row r="786" spans="1:6" x14ac:dyDescent="0.2">
      <c r="A786" s="20">
        <v>37628</v>
      </c>
      <c r="B786">
        <v>124</v>
      </c>
      <c r="E786">
        <f t="shared" si="24"/>
        <v>1</v>
      </c>
      <c r="F786">
        <f t="shared" si="25"/>
        <v>2003</v>
      </c>
    </row>
    <row r="787" spans="1:6" x14ac:dyDescent="0.2">
      <c r="A787" s="20">
        <v>37629</v>
      </c>
      <c r="B787">
        <v>124</v>
      </c>
      <c r="E787">
        <f t="shared" si="24"/>
        <v>1</v>
      </c>
      <c r="F787">
        <f t="shared" si="25"/>
        <v>2003</v>
      </c>
    </row>
    <row r="788" spans="1:6" x14ac:dyDescent="0.2">
      <c r="A788" s="20">
        <v>37630</v>
      </c>
      <c r="B788">
        <v>123.75</v>
      </c>
      <c r="E788">
        <f t="shared" si="24"/>
        <v>1</v>
      </c>
      <c r="F788">
        <f t="shared" si="25"/>
        <v>2003</v>
      </c>
    </row>
    <row r="789" spans="1:6" x14ac:dyDescent="0.2">
      <c r="A789" s="20">
        <v>37631</v>
      </c>
      <c r="B789">
        <v>123</v>
      </c>
      <c r="E789">
        <f t="shared" si="24"/>
        <v>1</v>
      </c>
      <c r="F789">
        <f t="shared" si="25"/>
        <v>2003</v>
      </c>
    </row>
    <row r="790" spans="1:6" x14ac:dyDescent="0.2">
      <c r="A790" s="20">
        <v>37634</v>
      </c>
      <c r="B790">
        <v>122.25</v>
      </c>
      <c r="E790">
        <f t="shared" si="24"/>
        <v>1</v>
      </c>
      <c r="F790">
        <f t="shared" si="25"/>
        <v>2003</v>
      </c>
    </row>
    <row r="791" spans="1:6" x14ac:dyDescent="0.2">
      <c r="A791" s="20">
        <v>37635</v>
      </c>
      <c r="B791">
        <v>121.75</v>
      </c>
      <c r="E791">
        <f t="shared" si="24"/>
        <v>1</v>
      </c>
      <c r="F791">
        <f t="shared" si="25"/>
        <v>2003</v>
      </c>
    </row>
    <row r="792" spans="1:6" x14ac:dyDescent="0.2">
      <c r="A792" s="20">
        <v>37636</v>
      </c>
      <c r="B792">
        <v>121</v>
      </c>
      <c r="E792">
        <f t="shared" si="24"/>
        <v>1</v>
      </c>
      <c r="F792">
        <f t="shared" si="25"/>
        <v>2003</v>
      </c>
    </row>
    <row r="793" spans="1:6" x14ac:dyDescent="0.2">
      <c r="A793" s="20">
        <v>37637</v>
      </c>
      <c r="B793">
        <v>120.25</v>
      </c>
      <c r="E793">
        <f t="shared" si="24"/>
        <v>1</v>
      </c>
      <c r="F793">
        <f t="shared" si="25"/>
        <v>2003</v>
      </c>
    </row>
    <row r="794" spans="1:6" x14ac:dyDescent="0.2">
      <c r="A794" s="20">
        <v>37638</v>
      </c>
      <c r="B794">
        <v>121.25</v>
      </c>
      <c r="E794">
        <f t="shared" si="24"/>
        <v>1</v>
      </c>
      <c r="F794">
        <f t="shared" si="25"/>
        <v>2003</v>
      </c>
    </row>
    <row r="795" spans="1:6" x14ac:dyDescent="0.2">
      <c r="A795" s="20">
        <v>37641</v>
      </c>
      <c r="B795">
        <v>121.25</v>
      </c>
      <c r="E795">
        <f t="shared" si="24"/>
        <v>1</v>
      </c>
      <c r="F795">
        <f t="shared" si="25"/>
        <v>2003</v>
      </c>
    </row>
    <row r="796" spans="1:6" x14ac:dyDescent="0.2">
      <c r="A796" s="20">
        <v>37642</v>
      </c>
      <c r="B796">
        <v>120.5</v>
      </c>
      <c r="E796">
        <f t="shared" si="24"/>
        <v>1</v>
      </c>
      <c r="F796">
        <f t="shared" si="25"/>
        <v>2003</v>
      </c>
    </row>
    <row r="797" spans="1:6" x14ac:dyDescent="0.2">
      <c r="A797" s="20">
        <v>37643</v>
      </c>
      <c r="B797">
        <v>120</v>
      </c>
      <c r="E797">
        <f t="shared" si="24"/>
        <v>1</v>
      </c>
      <c r="F797">
        <f t="shared" si="25"/>
        <v>2003</v>
      </c>
    </row>
    <row r="798" spans="1:6" x14ac:dyDescent="0.2">
      <c r="A798" s="20">
        <v>37644</v>
      </c>
      <c r="B798">
        <v>120.25</v>
      </c>
      <c r="E798">
        <f t="shared" si="24"/>
        <v>1</v>
      </c>
      <c r="F798">
        <f t="shared" si="25"/>
        <v>2003</v>
      </c>
    </row>
    <row r="799" spans="1:6" x14ac:dyDescent="0.2">
      <c r="A799" s="20">
        <v>37645</v>
      </c>
      <c r="B799">
        <v>120.75</v>
      </c>
      <c r="E799">
        <f t="shared" si="24"/>
        <v>1</v>
      </c>
      <c r="F799">
        <f t="shared" si="25"/>
        <v>2003</v>
      </c>
    </row>
    <row r="800" spans="1:6" x14ac:dyDescent="0.2">
      <c r="A800" s="20">
        <v>37648</v>
      </c>
      <c r="B800">
        <v>120.5</v>
      </c>
      <c r="E800">
        <f t="shared" si="24"/>
        <v>1</v>
      </c>
      <c r="F800">
        <f t="shared" si="25"/>
        <v>2003</v>
      </c>
    </row>
    <row r="801" spans="1:6" x14ac:dyDescent="0.2">
      <c r="A801" s="20">
        <v>37649</v>
      </c>
      <c r="B801">
        <v>120.75</v>
      </c>
      <c r="E801">
        <f t="shared" si="24"/>
        <v>1</v>
      </c>
      <c r="F801">
        <f t="shared" si="25"/>
        <v>2003</v>
      </c>
    </row>
    <row r="802" spans="1:6" x14ac:dyDescent="0.2">
      <c r="A802" s="20">
        <v>37650</v>
      </c>
      <c r="B802">
        <v>121.5</v>
      </c>
      <c r="E802">
        <f t="shared" si="24"/>
        <v>1</v>
      </c>
      <c r="F802">
        <f t="shared" si="25"/>
        <v>2003</v>
      </c>
    </row>
    <row r="803" spans="1:6" x14ac:dyDescent="0.2">
      <c r="A803" s="20">
        <v>37651</v>
      </c>
      <c r="B803">
        <v>121</v>
      </c>
      <c r="E803">
        <f t="shared" si="24"/>
        <v>1</v>
      </c>
      <c r="F803">
        <f t="shared" si="25"/>
        <v>2003</v>
      </c>
    </row>
    <row r="804" spans="1:6" x14ac:dyDescent="0.2">
      <c r="A804" s="20">
        <v>37652</v>
      </c>
      <c r="B804">
        <v>121</v>
      </c>
      <c r="E804">
        <f t="shared" si="24"/>
        <v>1</v>
      </c>
      <c r="F804">
        <f t="shared" si="25"/>
        <v>2003</v>
      </c>
    </row>
    <row r="805" spans="1:6" x14ac:dyDescent="0.2">
      <c r="A805" s="20">
        <v>37655</v>
      </c>
      <c r="B805">
        <v>121</v>
      </c>
      <c r="E805">
        <f t="shared" si="24"/>
        <v>2</v>
      </c>
      <c r="F805">
        <f t="shared" si="25"/>
        <v>2003</v>
      </c>
    </row>
    <row r="806" spans="1:6" x14ac:dyDescent="0.2">
      <c r="A806" s="20">
        <v>37656</v>
      </c>
      <c r="B806">
        <v>121</v>
      </c>
      <c r="E806">
        <f t="shared" si="24"/>
        <v>2</v>
      </c>
      <c r="F806">
        <f t="shared" si="25"/>
        <v>2003</v>
      </c>
    </row>
    <row r="807" spans="1:6" x14ac:dyDescent="0.2">
      <c r="A807" s="20">
        <v>37657</v>
      </c>
      <c r="B807">
        <v>121</v>
      </c>
      <c r="E807">
        <f t="shared" si="24"/>
        <v>2</v>
      </c>
      <c r="F807">
        <f t="shared" si="25"/>
        <v>2003</v>
      </c>
    </row>
    <row r="808" spans="1:6" x14ac:dyDescent="0.2">
      <c r="A808" s="20">
        <v>37658</v>
      </c>
      <c r="B808">
        <v>121</v>
      </c>
      <c r="E808">
        <f t="shared" si="24"/>
        <v>2</v>
      </c>
      <c r="F808">
        <f t="shared" si="25"/>
        <v>2003</v>
      </c>
    </row>
    <row r="809" spans="1:6" x14ac:dyDescent="0.2">
      <c r="A809" s="20">
        <v>37659</v>
      </c>
      <c r="B809">
        <v>121</v>
      </c>
      <c r="E809">
        <f t="shared" si="24"/>
        <v>2</v>
      </c>
      <c r="F809">
        <f t="shared" si="25"/>
        <v>2003</v>
      </c>
    </row>
    <row r="810" spans="1:6" x14ac:dyDescent="0.2">
      <c r="A810" s="20">
        <v>37662</v>
      </c>
      <c r="B810">
        <v>121</v>
      </c>
      <c r="E810">
        <f t="shared" si="24"/>
        <v>2</v>
      </c>
      <c r="F810">
        <f t="shared" si="25"/>
        <v>2003</v>
      </c>
    </row>
    <row r="811" spans="1:6" x14ac:dyDescent="0.2">
      <c r="A811" s="20">
        <v>37663</v>
      </c>
      <c r="B811">
        <v>120.75</v>
      </c>
      <c r="E811">
        <f t="shared" si="24"/>
        <v>2</v>
      </c>
      <c r="F811">
        <f t="shared" si="25"/>
        <v>2003</v>
      </c>
    </row>
    <row r="812" spans="1:6" x14ac:dyDescent="0.2">
      <c r="A812" s="20">
        <v>37664</v>
      </c>
      <c r="B812">
        <v>120.75</v>
      </c>
      <c r="E812">
        <f t="shared" si="24"/>
        <v>2</v>
      </c>
      <c r="F812">
        <f t="shared" si="25"/>
        <v>2003</v>
      </c>
    </row>
    <row r="813" spans="1:6" x14ac:dyDescent="0.2">
      <c r="A813" s="20">
        <v>37665</v>
      </c>
      <c r="B813">
        <v>121.25</v>
      </c>
      <c r="E813">
        <f t="shared" si="24"/>
        <v>2</v>
      </c>
      <c r="F813">
        <f t="shared" si="25"/>
        <v>2003</v>
      </c>
    </row>
    <row r="814" spans="1:6" x14ac:dyDescent="0.2">
      <c r="A814" s="20">
        <v>37666</v>
      </c>
      <c r="B814">
        <v>120.5</v>
      </c>
      <c r="E814">
        <f t="shared" si="24"/>
        <v>2</v>
      </c>
      <c r="F814">
        <f t="shared" si="25"/>
        <v>2003</v>
      </c>
    </row>
    <row r="815" spans="1:6" x14ac:dyDescent="0.2">
      <c r="A815" s="20">
        <v>37669</v>
      </c>
      <c r="B815">
        <v>120.5</v>
      </c>
      <c r="E815">
        <f t="shared" si="24"/>
        <v>2</v>
      </c>
      <c r="F815">
        <f t="shared" si="25"/>
        <v>2003</v>
      </c>
    </row>
    <row r="816" spans="1:6" x14ac:dyDescent="0.2">
      <c r="A816" s="20">
        <v>37670</v>
      </c>
      <c r="B816">
        <v>119.5</v>
      </c>
      <c r="E816">
        <f t="shared" si="24"/>
        <v>2</v>
      </c>
      <c r="F816">
        <f t="shared" si="25"/>
        <v>2003</v>
      </c>
    </row>
    <row r="817" spans="1:6" x14ac:dyDescent="0.2">
      <c r="A817" s="20">
        <v>37671</v>
      </c>
      <c r="B817">
        <v>119.5</v>
      </c>
      <c r="E817">
        <f t="shared" si="24"/>
        <v>2</v>
      </c>
      <c r="F817">
        <f t="shared" si="25"/>
        <v>2003</v>
      </c>
    </row>
    <row r="818" spans="1:6" x14ac:dyDescent="0.2">
      <c r="A818" s="20">
        <v>37672</v>
      </c>
      <c r="B818">
        <v>119.5</v>
      </c>
      <c r="E818">
        <f t="shared" si="24"/>
        <v>2</v>
      </c>
      <c r="F818">
        <f t="shared" si="25"/>
        <v>2003</v>
      </c>
    </row>
    <row r="819" spans="1:6" x14ac:dyDescent="0.2">
      <c r="A819" s="20">
        <v>37673</v>
      </c>
      <c r="B819">
        <v>119.5</v>
      </c>
      <c r="E819">
        <f t="shared" si="24"/>
        <v>2</v>
      </c>
      <c r="F819">
        <f t="shared" si="25"/>
        <v>2003</v>
      </c>
    </row>
    <row r="820" spans="1:6" x14ac:dyDescent="0.2">
      <c r="A820" s="20">
        <v>37676</v>
      </c>
      <c r="B820">
        <v>119.25</v>
      </c>
      <c r="E820">
        <f t="shared" si="24"/>
        <v>2</v>
      </c>
      <c r="F820">
        <f t="shared" si="25"/>
        <v>2003</v>
      </c>
    </row>
    <row r="821" spans="1:6" x14ac:dyDescent="0.2">
      <c r="A821" s="20">
        <v>37677</v>
      </c>
      <c r="B821">
        <v>119.5</v>
      </c>
      <c r="E821">
        <f t="shared" si="24"/>
        <v>2</v>
      </c>
      <c r="F821">
        <f t="shared" si="25"/>
        <v>2003</v>
      </c>
    </row>
    <row r="822" spans="1:6" x14ac:dyDescent="0.2">
      <c r="A822" s="20">
        <v>37678</v>
      </c>
      <c r="B822">
        <v>119.75</v>
      </c>
      <c r="E822">
        <f t="shared" si="24"/>
        <v>2</v>
      </c>
      <c r="F822">
        <f t="shared" si="25"/>
        <v>2003</v>
      </c>
    </row>
    <row r="823" spans="1:6" x14ac:dyDescent="0.2">
      <c r="A823" s="20">
        <v>37679</v>
      </c>
      <c r="B823">
        <v>119</v>
      </c>
      <c r="E823">
        <f t="shared" si="24"/>
        <v>2</v>
      </c>
      <c r="F823">
        <f t="shared" si="25"/>
        <v>2003</v>
      </c>
    </row>
    <row r="824" spans="1:6" x14ac:dyDescent="0.2">
      <c r="A824" s="20">
        <v>37680</v>
      </c>
      <c r="B824">
        <v>118.5</v>
      </c>
      <c r="E824">
        <f t="shared" si="24"/>
        <v>2</v>
      </c>
      <c r="F824">
        <f t="shared" si="25"/>
        <v>2003</v>
      </c>
    </row>
    <row r="825" spans="1:6" x14ac:dyDescent="0.2">
      <c r="A825" s="20">
        <v>37683</v>
      </c>
      <c r="B825">
        <v>117.25</v>
      </c>
      <c r="E825">
        <f t="shared" si="24"/>
        <v>3</v>
      </c>
      <c r="F825">
        <f t="shared" si="25"/>
        <v>2003</v>
      </c>
    </row>
    <row r="826" spans="1:6" x14ac:dyDescent="0.2">
      <c r="A826" s="20">
        <v>37684</v>
      </c>
      <c r="B826">
        <v>117.25</v>
      </c>
      <c r="E826">
        <f t="shared" si="24"/>
        <v>3</v>
      </c>
      <c r="F826">
        <f t="shared" si="25"/>
        <v>2003</v>
      </c>
    </row>
    <row r="827" spans="1:6" x14ac:dyDescent="0.2">
      <c r="A827" s="20">
        <v>37685</v>
      </c>
      <c r="B827">
        <v>116</v>
      </c>
      <c r="E827">
        <f t="shared" si="24"/>
        <v>3</v>
      </c>
      <c r="F827">
        <f t="shared" si="25"/>
        <v>2003</v>
      </c>
    </row>
    <row r="828" spans="1:6" x14ac:dyDescent="0.2">
      <c r="A828" s="20">
        <v>37686</v>
      </c>
      <c r="B828">
        <v>118.75</v>
      </c>
      <c r="E828">
        <f t="shared" si="24"/>
        <v>3</v>
      </c>
      <c r="F828">
        <f t="shared" si="25"/>
        <v>2003</v>
      </c>
    </row>
    <row r="829" spans="1:6" x14ac:dyDescent="0.2">
      <c r="A829" s="20">
        <v>37687</v>
      </c>
      <c r="B829">
        <v>119</v>
      </c>
      <c r="E829">
        <f t="shared" si="24"/>
        <v>3</v>
      </c>
      <c r="F829">
        <f t="shared" si="25"/>
        <v>2003</v>
      </c>
    </row>
    <row r="830" spans="1:6" x14ac:dyDescent="0.2">
      <c r="A830" s="20">
        <v>37690</v>
      </c>
      <c r="B830">
        <v>119.5</v>
      </c>
      <c r="E830">
        <f t="shared" si="24"/>
        <v>3</v>
      </c>
      <c r="F830">
        <f t="shared" si="25"/>
        <v>2003</v>
      </c>
    </row>
    <row r="831" spans="1:6" x14ac:dyDescent="0.2">
      <c r="A831" s="20">
        <v>37691</v>
      </c>
      <c r="B831">
        <v>118.5</v>
      </c>
      <c r="E831">
        <f t="shared" si="24"/>
        <v>3</v>
      </c>
      <c r="F831">
        <f t="shared" si="25"/>
        <v>2003</v>
      </c>
    </row>
    <row r="832" spans="1:6" x14ac:dyDescent="0.2">
      <c r="A832" s="20">
        <v>37692</v>
      </c>
      <c r="B832">
        <v>117.5</v>
      </c>
      <c r="E832">
        <f t="shared" si="24"/>
        <v>3</v>
      </c>
      <c r="F832">
        <f t="shared" si="25"/>
        <v>2003</v>
      </c>
    </row>
    <row r="833" spans="1:6" x14ac:dyDescent="0.2">
      <c r="A833" s="20">
        <v>37693</v>
      </c>
      <c r="B833">
        <v>117.5</v>
      </c>
      <c r="E833">
        <f t="shared" si="24"/>
        <v>3</v>
      </c>
      <c r="F833">
        <f t="shared" si="25"/>
        <v>2003</v>
      </c>
    </row>
    <row r="834" spans="1:6" x14ac:dyDescent="0.2">
      <c r="A834" s="20">
        <v>37694</v>
      </c>
      <c r="B834">
        <v>117.75</v>
      </c>
      <c r="E834">
        <f t="shared" si="24"/>
        <v>3</v>
      </c>
      <c r="F834">
        <f t="shared" si="25"/>
        <v>2003</v>
      </c>
    </row>
    <row r="835" spans="1:6" x14ac:dyDescent="0.2">
      <c r="A835" s="20">
        <v>37697</v>
      </c>
      <c r="B835">
        <v>117</v>
      </c>
      <c r="E835">
        <f t="shared" ref="E835:E898" si="26">MONTH(A835)</f>
        <v>3</v>
      </c>
      <c r="F835">
        <f t="shared" ref="F835:F898" si="27">YEAR(A835)</f>
        <v>2003</v>
      </c>
    </row>
    <row r="836" spans="1:6" x14ac:dyDescent="0.2">
      <c r="A836" s="20">
        <v>37698</v>
      </c>
      <c r="B836">
        <v>118.25</v>
      </c>
      <c r="E836">
        <f t="shared" si="26"/>
        <v>3</v>
      </c>
      <c r="F836">
        <f t="shared" si="27"/>
        <v>2003</v>
      </c>
    </row>
    <row r="837" spans="1:6" x14ac:dyDescent="0.2">
      <c r="A837" s="20">
        <v>37699</v>
      </c>
      <c r="B837">
        <v>118.25</v>
      </c>
      <c r="E837">
        <f t="shared" si="26"/>
        <v>3</v>
      </c>
      <c r="F837">
        <f t="shared" si="27"/>
        <v>2003</v>
      </c>
    </row>
    <row r="838" spans="1:6" x14ac:dyDescent="0.2">
      <c r="A838" s="20">
        <v>37700</v>
      </c>
      <c r="B838">
        <v>119.25</v>
      </c>
      <c r="E838">
        <f t="shared" si="26"/>
        <v>3</v>
      </c>
      <c r="F838">
        <f t="shared" si="27"/>
        <v>2003</v>
      </c>
    </row>
    <row r="839" spans="1:6" x14ac:dyDescent="0.2">
      <c r="A839" s="20">
        <v>37701</v>
      </c>
      <c r="B839">
        <v>119.25</v>
      </c>
      <c r="E839">
        <f t="shared" si="26"/>
        <v>3</v>
      </c>
      <c r="F839">
        <f t="shared" si="27"/>
        <v>2003</v>
      </c>
    </row>
    <row r="840" spans="1:6" x14ac:dyDescent="0.2">
      <c r="A840" s="20">
        <v>37704</v>
      </c>
      <c r="B840">
        <v>119.25</v>
      </c>
      <c r="E840">
        <f t="shared" si="26"/>
        <v>3</v>
      </c>
      <c r="F840">
        <f t="shared" si="27"/>
        <v>2003</v>
      </c>
    </row>
    <row r="841" spans="1:6" x14ac:dyDescent="0.2">
      <c r="A841" s="20">
        <v>37705</v>
      </c>
      <c r="B841">
        <v>119</v>
      </c>
      <c r="E841">
        <f t="shared" si="26"/>
        <v>3</v>
      </c>
      <c r="F841">
        <f t="shared" si="27"/>
        <v>2003</v>
      </c>
    </row>
    <row r="842" spans="1:6" x14ac:dyDescent="0.2">
      <c r="A842" s="20">
        <v>37706</v>
      </c>
      <c r="B842">
        <v>119.5</v>
      </c>
      <c r="E842">
        <f t="shared" si="26"/>
        <v>3</v>
      </c>
      <c r="F842">
        <f t="shared" si="27"/>
        <v>2003</v>
      </c>
    </row>
    <row r="843" spans="1:6" x14ac:dyDescent="0.2">
      <c r="A843" s="20">
        <v>37707</v>
      </c>
      <c r="B843">
        <v>119.5</v>
      </c>
      <c r="E843">
        <f t="shared" si="26"/>
        <v>3</v>
      </c>
      <c r="F843">
        <f t="shared" si="27"/>
        <v>2003</v>
      </c>
    </row>
    <row r="844" spans="1:6" x14ac:dyDescent="0.2">
      <c r="A844" s="20">
        <v>37708</v>
      </c>
      <c r="B844">
        <v>119.75</v>
      </c>
      <c r="E844">
        <f t="shared" si="26"/>
        <v>3</v>
      </c>
      <c r="F844">
        <f t="shared" si="27"/>
        <v>2003</v>
      </c>
    </row>
    <row r="845" spans="1:6" x14ac:dyDescent="0.2">
      <c r="A845" s="20">
        <v>37711</v>
      </c>
      <c r="B845">
        <v>119.5</v>
      </c>
      <c r="E845">
        <f t="shared" si="26"/>
        <v>3</v>
      </c>
      <c r="F845">
        <f t="shared" si="27"/>
        <v>2003</v>
      </c>
    </row>
    <row r="846" spans="1:6" x14ac:dyDescent="0.2">
      <c r="A846" s="20">
        <v>37712</v>
      </c>
      <c r="B846">
        <v>119</v>
      </c>
      <c r="E846">
        <f t="shared" si="26"/>
        <v>4</v>
      </c>
      <c r="F846">
        <f t="shared" si="27"/>
        <v>2003</v>
      </c>
    </row>
    <row r="847" spans="1:6" x14ac:dyDescent="0.2">
      <c r="A847" s="20">
        <v>37713</v>
      </c>
      <c r="B847">
        <v>119</v>
      </c>
      <c r="E847">
        <f t="shared" si="26"/>
        <v>4</v>
      </c>
      <c r="F847">
        <f t="shared" si="27"/>
        <v>2003</v>
      </c>
    </row>
    <row r="848" spans="1:6" x14ac:dyDescent="0.2">
      <c r="A848" s="20">
        <v>37714</v>
      </c>
      <c r="B848">
        <v>119.5</v>
      </c>
      <c r="E848">
        <f t="shared" si="26"/>
        <v>4</v>
      </c>
      <c r="F848">
        <f t="shared" si="27"/>
        <v>2003</v>
      </c>
    </row>
    <row r="849" spans="1:6" x14ac:dyDescent="0.2">
      <c r="A849" s="20">
        <v>37715</v>
      </c>
      <c r="B849">
        <v>119.25</v>
      </c>
      <c r="E849">
        <f t="shared" si="26"/>
        <v>4</v>
      </c>
      <c r="F849">
        <f t="shared" si="27"/>
        <v>2003</v>
      </c>
    </row>
    <row r="850" spans="1:6" x14ac:dyDescent="0.2">
      <c r="A850" s="20">
        <v>37718</v>
      </c>
      <c r="B850">
        <v>119.5</v>
      </c>
      <c r="E850">
        <f t="shared" si="26"/>
        <v>4</v>
      </c>
      <c r="F850">
        <f t="shared" si="27"/>
        <v>2003</v>
      </c>
    </row>
    <row r="851" spans="1:6" x14ac:dyDescent="0.2">
      <c r="A851" s="20">
        <v>37719</v>
      </c>
      <c r="B851">
        <v>119.75</v>
      </c>
      <c r="E851">
        <f t="shared" si="26"/>
        <v>4</v>
      </c>
      <c r="F851">
        <f t="shared" si="27"/>
        <v>2003</v>
      </c>
    </row>
    <row r="852" spans="1:6" x14ac:dyDescent="0.2">
      <c r="A852" s="20">
        <v>37720</v>
      </c>
      <c r="B852">
        <v>119.75</v>
      </c>
      <c r="E852">
        <f t="shared" si="26"/>
        <v>4</v>
      </c>
      <c r="F852">
        <f t="shared" si="27"/>
        <v>2003</v>
      </c>
    </row>
    <row r="853" spans="1:6" x14ac:dyDescent="0.2">
      <c r="A853" s="20">
        <v>37721</v>
      </c>
      <c r="B853">
        <v>119.75</v>
      </c>
      <c r="E853">
        <f t="shared" si="26"/>
        <v>4</v>
      </c>
      <c r="F853">
        <f t="shared" si="27"/>
        <v>2003</v>
      </c>
    </row>
    <row r="854" spans="1:6" x14ac:dyDescent="0.2">
      <c r="A854" s="20">
        <v>37722</v>
      </c>
      <c r="B854">
        <v>119.75</v>
      </c>
      <c r="E854">
        <f t="shared" si="26"/>
        <v>4</v>
      </c>
      <c r="F854">
        <f t="shared" si="27"/>
        <v>2003</v>
      </c>
    </row>
    <row r="855" spans="1:6" x14ac:dyDescent="0.2">
      <c r="A855" s="20">
        <v>37725</v>
      </c>
      <c r="B855">
        <v>120</v>
      </c>
      <c r="E855">
        <f t="shared" si="26"/>
        <v>4</v>
      </c>
      <c r="F855">
        <f t="shared" si="27"/>
        <v>2003</v>
      </c>
    </row>
    <row r="856" spans="1:6" x14ac:dyDescent="0.2">
      <c r="A856" s="20">
        <v>37726</v>
      </c>
      <c r="B856">
        <v>120</v>
      </c>
      <c r="E856">
        <f t="shared" si="26"/>
        <v>4</v>
      </c>
      <c r="F856">
        <f t="shared" si="27"/>
        <v>2003</v>
      </c>
    </row>
    <row r="857" spans="1:6" x14ac:dyDescent="0.2">
      <c r="A857" s="20">
        <v>37727</v>
      </c>
      <c r="B857">
        <v>120.5</v>
      </c>
      <c r="E857">
        <f t="shared" si="26"/>
        <v>4</v>
      </c>
      <c r="F857">
        <f t="shared" si="27"/>
        <v>2003</v>
      </c>
    </row>
    <row r="858" spans="1:6" x14ac:dyDescent="0.2">
      <c r="A858" s="20">
        <v>37728</v>
      </c>
      <c r="B858">
        <v>120.5</v>
      </c>
      <c r="E858">
        <f t="shared" si="26"/>
        <v>4</v>
      </c>
      <c r="F858">
        <f t="shared" si="27"/>
        <v>2003</v>
      </c>
    </row>
    <row r="859" spans="1:6" x14ac:dyDescent="0.2">
      <c r="A859" s="20">
        <v>37733</v>
      </c>
      <c r="B859">
        <v>121</v>
      </c>
      <c r="E859">
        <f t="shared" si="26"/>
        <v>4</v>
      </c>
      <c r="F859">
        <f t="shared" si="27"/>
        <v>2003</v>
      </c>
    </row>
    <row r="860" spans="1:6" x14ac:dyDescent="0.2">
      <c r="A860" s="20">
        <v>37734</v>
      </c>
      <c r="B860">
        <v>121</v>
      </c>
      <c r="E860">
        <f t="shared" si="26"/>
        <v>4</v>
      </c>
      <c r="F860">
        <f t="shared" si="27"/>
        <v>2003</v>
      </c>
    </row>
    <row r="861" spans="1:6" x14ac:dyDescent="0.2">
      <c r="A861" s="20">
        <v>37735</v>
      </c>
      <c r="B861">
        <v>120.75</v>
      </c>
      <c r="E861">
        <f t="shared" si="26"/>
        <v>4</v>
      </c>
      <c r="F861">
        <f t="shared" si="27"/>
        <v>2003</v>
      </c>
    </row>
    <row r="862" spans="1:6" x14ac:dyDescent="0.2">
      <c r="A862" s="20">
        <v>37736</v>
      </c>
      <c r="B862">
        <v>121</v>
      </c>
      <c r="E862">
        <f t="shared" si="26"/>
        <v>4</v>
      </c>
      <c r="F862">
        <f t="shared" si="27"/>
        <v>2003</v>
      </c>
    </row>
    <row r="863" spans="1:6" x14ac:dyDescent="0.2">
      <c r="A863" s="20">
        <v>37739</v>
      </c>
      <c r="B863">
        <v>121</v>
      </c>
      <c r="E863">
        <f t="shared" si="26"/>
        <v>4</v>
      </c>
      <c r="F863">
        <f t="shared" si="27"/>
        <v>2003</v>
      </c>
    </row>
    <row r="864" spans="1:6" x14ac:dyDescent="0.2">
      <c r="A864" s="20">
        <v>37740</v>
      </c>
      <c r="B864">
        <v>121</v>
      </c>
      <c r="E864">
        <f t="shared" si="26"/>
        <v>4</v>
      </c>
      <c r="F864">
        <f t="shared" si="27"/>
        <v>2003</v>
      </c>
    </row>
    <row r="865" spans="1:6" x14ac:dyDescent="0.2">
      <c r="A865" s="20">
        <v>37741</v>
      </c>
      <c r="B865">
        <v>121</v>
      </c>
      <c r="E865">
        <f t="shared" si="26"/>
        <v>4</v>
      </c>
      <c r="F865">
        <f t="shared" si="27"/>
        <v>2003</v>
      </c>
    </row>
    <row r="866" spans="1:6" x14ac:dyDescent="0.2">
      <c r="A866" s="20">
        <v>37743</v>
      </c>
      <c r="B866">
        <v>121</v>
      </c>
      <c r="E866">
        <f t="shared" si="26"/>
        <v>5</v>
      </c>
      <c r="F866">
        <f t="shared" si="27"/>
        <v>2003</v>
      </c>
    </row>
    <row r="867" spans="1:6" x14ac:dyDescent="0.2">
      <c r="A867" s="20">
        <v>37746</v>
      </c>
      <c r="B867">
        <v>121</v>
      </c>
      <c r="E867">
        <f t="shared" si="26"/>
        <v>5</v>
      </c>
      <c r="F867">
        <f t="shared" si="27"/>
        <v>2003</v>
      </c>
    </row>
    <row r="868" spans="1:6" x14ac:dyDescent="0.2">
      <c r="A868" s="20">
        <v>37747</v>
      </c>
      <c r="B868">
        <v>120</v>
      </c>
      <c r="E868">
        <f t="shared" si="26"/>
        <v>5</v>
      </c>
      <c r="F868">
        <f t="shared" si="27"/>
        <v>2003</v>
      </c>
    </row>
    <row r="869" spans="1:6" x14ac:dyDescent="0.2">
      <c r="A869" s="20">
        <v>37748</v>
      </c>
      <c r="B869">
        <v>119.25</v>
      </c>
      <c r="E869">
        <f t="shared" si="26"/>
        <v>5</v>
      </c>
      <c r="F869">
        <f t="shared" si="27"/>
        <v>2003</v>
      </c>
    </row>
    <row r="870" spans="1:6" x14ac:dyDescent="0.2">
      <c r="A870" s="20">
        <v>37749</v>
      </c>
      <c r="B870">
        <v>119.5</v>
      </c>
      <c r="E870">
        <f t="shared" si="26"/>
        <v>5</v>
      </c>
      <c r="F870">
        <f t="shared" si="27"/>
        <v>2003</v>
      </c>
    </row>
    <row r="871" spans="1:6" x14ac:dyDescent="0.2">
      <c r="A871" s="20">
        <v>37750</v>
      </c>
      <c r="B871">
        <v>119.5</v>
      </c>
      <c r="E871">
        <f t="shared" si="26"/>
        <v>5</v>
      </c>
      <c r="F871">
        <f t="shared" si="27"/>
        <v>2003</v>
      </c>
    </row>
    <row r="872" spans="1:6" x14ac:dyDescent="0.2">
      <c r="A872" s="20">
        <v>37753</v>
      </c>
      <c r="B872">
        <v>119.5</v>
      </c>
      <c r="E872">
        <f t="shared" si="26"/>
        <v>5</v>
      </c>
      <c r="F872">
        <f t="shared" si="27"/>
        <v>2003</v>
      </c>
    </row>
    <row r="873" spans="1:6" x14ac:dyDescent="0.2">
      <c r="A873" s="20">
        <v>37754</v>
      </c>
      <c r="B873">
        <v>121</v>
      </c>
      <c r="E873">
        <f t="shared" si="26"/>
        <v>5</v>
      </c>
      <c r="F873">
        <f t="shared" si="27"/>
        <v>2003</v>
      </c>
    </row>
    <row r="874" spans="1:6" x14ac:dyDescent="0.2">
      <c r="A874" s="20">
        <v>37755</v>
      </c>
      <c r="B874">
        <v>120.75</v>
      </c>
      <c r="E874">
        <f t="shared" si="26"/>
        <v>5</v>
      </c>
      <c r="F874">
        <f t="shared" si="27"/>
        <v>2003</v>
      </c>
    </row>
    <row r="875" spans="1:6" x14ac:dyDescent="0.2">
      <c r="A875" s="20">
        <v>37756</v>
      </c>
      <c r="B875">
        <v>121</v>
      </c>
      <c r="E875">
        <f t="shared" si="26"/>
        <v>5</v>
      </c>
      <c r="F875">
        <f t="shared" si="27"/>
        <v>2003</v>
      </c>
    </row>
    <row r="876" spans="1:6" x14ac:dyDescent="0.2">
      <c r="A876" s="20">
        <v>37757</v>
      </c>
      <c r="B876">
        <v>120.75</v>
      </c>
      <c r="E876">
        <f t="shared" si="26"/>
        <v>5</v>
      </c>
      <c r="F876">
        <f t="shared" si="27"/>
        <v>2003</v>
      </c>
    </row>
    <row r="877" spans="1:6" x14ac:dyDescent="0.2">
      <c r="A877" s="20">
        <v>37760</v>
      </c>
      <c r="B877">
        <v>120</v>
      </c>
      <c r="E877">
        <f t="shared" si="26"/>
        <v>5</v>
      </c>
      <c r="F877">
        <f t="shared" si="27"/>
        <v>2003</v>
      </c>
    </row>
    <row r="878" spans="1:6" x14ac:dyDescent="0.2">
      <c r="A878" s="20">
        <v>37761</v>
      </c>
      <c r="B878">
        <v>119.5</v>
      </c>
      <c r="E878">
        <f t="shared" si="26"/>
        <v>5</v>
      </c>
      <c r="F878">
        <f t="shared" si="27"/>
        <v>2003</v>
      </c>
    </row>
    <row r="879" spans="1:6" x14ac:dyDescent="0.2">
      <c r="A879" s="20">
        <v>37762</v>
      </c>
      <c r="B879">
        <v>119.5</v>
      </c>
      <c r="E879">
        <f t="shared" si="26"/>
        <v>5</v>
      </c>
      <c r="F879">
        <f t="shared" si="27"/>
        <v>2003</v>
      </c>
    </row>
    <row r="880" spans="1:6" x14ac:dyDescent="0.2">
      <c r="A880" s="20">
        <v>37763</v>
      </c>
      <c r="B880">
        <v>118.5</v>
      </c>
      <c r="E880">
        <f t="shared" si="26"/>
        <v>5</v>
      </c>
      <c r="F880">
        <f t="shared" si="27"/>
        <v>2003</v>
      </c>
    </row>
    <row r="881" spans="1:6" x14ac:dyDescent="0.2">
      <c r="A881" s="20">
        <v>37764</v>
      </c>
      <c r="B881">
        <v>118</v>
      </c>
      <c r="E881">
        <f t="shared" si="26"/>
        <v>5</v>
      </c>
      <c r="F881">
        <f t="shared" si="27"/>
        <v>2003</v>
      </c>
    </row>
    <row r="882" spans="1:6" x14ac:dyDescent="0.2">
      <c r="A882" s="20">
        <v>37767</v>
      </c>
      <c r="B882">
        <v>118</v>
      </c>
      <c r="E882">
        <f t="shared" si="26"/>
        <v>5</v>
      </c>
      <c r="F882">
        <f t="shared" si="27"/>
        <v>2003</v>
      </c>
    </row>
    <row r="883" spans="1:6" x14ac:dyDescent="0.2">
      <c r="A883" s="20">
        <v>37768</v>
      </c>
      <c r="B883">
        <v>117.25</v>
      </c>
      <c r="E883">
        <f t="shared" si="26"/>
        <v>5</v>
      </c>
      <c r="F883">
        <f t="shared" si="27"/>
        <v>2003</v>
      </c>
    </row>
    <row r="884" spans="1:6" x14ac:dyDescent="0.2">
      <c r="A884" s="20">
        <v>37769</v>
      </c>
      <c r="B884">
        <v>117</v>
      </c>
      <c r="E884">
        <f t="shared" si="26"/>
        <v>5</v>
      </c>
      <c r="F884">
        <f t="shared" si="27"/>
        <v>2003</v>
      </c>
    </row>
    <row r="885" spans="1:6" x14ac:dyDescent="0.2">
      <c r="A885" s="20">
        <v>37770</v>
      </c>
      <c r="B885">
        <v>117</v>
      </c>
      <c r="E885">
        <f t="shared" si="26"/>
        <v>5</v>
      </c>
      <c r="F885">
        <f t="shared" si="27"/>
        <v>2003</v>
      </c>
    </row>
    <row r="886" spans="1:6" x14ac:dyDescent="0.2">
      <c r="A886" s="20">
        <v>37771</v>
      </c>
      <c r="B886">
        <v>117</v>
      </c>
      <c r="E886">
        <f t="shared" si="26"/>
        <v>5</v>
      </c>
      <c r="F886">
        <f t="shared" si="27"/>
        <v>2003</v>
      </c>
    </row>
    <row r="887" spans="1:6" x14ac:dyDescent="0.2">
      <c r="A887" s="20">
        <v>37774</v>
      </c>
      <c r="B887">
        <v>117.25</v>
      </c>
      <c r="E887">
        <f t="shared" si="26"/>
        <v>6</v>
      </c>
      <c r="F887">
        <f t="shared" si="27"/>
        <v>2003</v>
      </c>
    </row>
    <row r="888" spans="1:6" x14ac:dyDescent="0.2">
      <c r="A888" s="20">
        <v>37775</v>
      </c>
      <c r="B888">
        <v>117</v>
      </c>
      <c r="E888">
        <f t="shared" si="26"/>
        <v>6</v>
      </c>
      <c r="F888">
        <f t="shared" si="27"/>
        <v>2003</v>
      </c>
    </row>
    <row r="889" spans="1:6" x14ac:dyDescent="0.2">
      <c r="A889" s="20">
        <v>37776</v>
      </c>
      <c r="B889">
        <v>116.25</v>
      </c>
      <c r="E889">
        <f t="shared" si="26"/>
        <v>6</v>
      </c>
      <c r="F889">
        <f t="shared" si="27"/>
        <v>2003</v>
      </c>
    </row>
    <row r="890" spans="1:6" x14ac:dyDescent="0.2">
      <c r="A890" s="20">
        <v>37777</v>
      </c>
      <c r="B890">
        <v>117</v>
      </c>
      <c r="E890">
        <f t="shared" si="26"/>
        <v>6</v>
      </c>
      <c r="F890">
        <f t="shared" si="27"/>
        <v>2003</v>
      </c>
    </row>
    <row r="891" spans="1:6" x14ac:dyDescent="0.2">
      <c r="A891" s="20">
        <v>37778</v>
      </c>
      <c r="B891">
        <v>120.25</v>
      </c>
      <c r="E891">
        <f t="shared" si="26"/>
        <v>6</v>
      </c>
      <c r="F891">
        <f t="shared" si="27"/>
        <v>2003</v>
      </c>
    </row>
    <row r="892" spans="1:6" x14ac:dyDescent="0.2">
      <c r="A892" s="20">
        <v>37781</v>
      </c>
      <c r="B892">
        <v>120.25</v>
      </c>
      <c r="E892">
        <f t="shared" si="26"/>
        <v>6</v>
      </c>
      <c r="F892">
        <f t="shared" si="27"/>
        <v>2003</v>
      </c>
    </row>
    <row r="893" spans="1:6" x14ac:dyDescent="0.2">
      <c r="A893" s="20">
        <v>37782</v>
      </c>
      <c r="B893">
        <v>120.5</v>
      </c>
      <c r="E893">
        <f t="shared" si="26"/>
        <v>6</v>
      </c>
      <c r="F893">
        <f t="shared" si="27"/>
        <v>2003</v>
      </c>
    </row>
    <row r="894" spans="1:6" x14ac:dyDescent="0.2">
      <c r="A894" s="20">
        <v>37783</v>
      </c>
      <c r="B894">
        <v>121</v>
      </c>
      <c r="E894">
        <f t="shared" si="26"/>
        <v>6</v>
      </c>
      <c r="F894">
        <f t="shared" si="27"/>
        <v>2003</v>
      </c>
    </row>
    <row r="895" spans="1:6" x14ac:dyDescent="0.2">
      <c r="A895" s="20">
        <v>37784</v>
      </c>
      <c r="B895">
        <v>121.25</v>
      </c>
      <c r="E895">
        <f t="shared" si="26"/>
        <v>6</v>
      </c>
      <c r="F895">
        <f t="shared" si="27"/>
        <v>2003</v>
      </c>
    </row>
    <row r="896" spans="1:6" x14ac:dyDescent="0.2">
      <c r="A896" s="20">
        <v>37785</v>
      </c>
      <c r="B896">
        <v>122</v>
      </c>
      <c r="E896">
        <f t="shared" si="26"/>
        <v>6</v>
      </c>
      <c r="F896">
        <f t="shared" si="27"/>
        <v>2003</v>
      </c>
    </row>
    <row r="897" spans="1:6" x14ac:dyDescent="0.2">
      <c r="A897" s="20">
        <v>37788</v>
      </c>
      <c r="B897">
        <v>122</v>
      </c>
      <c r="E897">
        <f t="shared" si="26"/>
        <v>6</v>
      </c>
      <c r="F897">
        <f t="shared" si="27"/>
        <v>2003</v>
      </c>
    </row>
    <row r="898" spans="1:6" x14ac:dyDescent="0.2">
      <c r="A898" s="20">
        <v>37789</v>
      </c>
      <c r="B898">
        <v>122</v>
      </c>
      <c r="E898">
        <f t="shared" si="26"/>
        <v>6</v>
      </c>
      <c r="F898">
        <f t="shared" si="27"/>
        <v>2003</v>
      </c>
    </row>
    <row r="899" spans="1:6" x14ac:dyDescent="0.2">
      <c r="A899" s="20">
        <v>37790</v>
      </c>
      <c r="B899">
        <v>121.75</v>
      </c>
      <c r="E899">
        <f t="shared" ref="E899:E962" si="28">MONTH(A899)</f>
        <v>6</v>
      </c>
      <c r="F899">
        <f t="shared" ref="F899:F962" si="29">YEAR(A899)</f>
        <v>2003</v>
      </c>
    </row>
    <row r="900" spans="1:6" x14ac:dyDescent="0.2">
      <c r="A900" s="20">
        <v>37791</v>
      </c>
      <c r="B900">
        <v>121.75</v>
      </c>
      <c r="E900">
        <f t="shared" si="28"/>
        <v>6</v>
      </c>
      <c r="F900">
        <f t="shared" si="29"/>
        <v>2003</v>
      </c>
    </row>
    <row r="901" spans="1:6" x14ac:dyDescent="0.2">
      <c r="A901" s="20">
        <v>37792</v>
      </c>
      <c r="B901">
        <v>122.25</v>
      </c>
      <c r="E901">
        <f t="shared" si="28"/>
        <v>6</v>
      </c>
      <c r="F901">
        <f t="shared" si="29"/>
        <v>2003</v>
      </c>
    </row>
    <row r="902" spans="1:6" x14ac:dyDescent="0.2">
      <c r="A902" s="20">
        <v>37795</v>
      </c>
      <c r="B902">
        <v>122</v>
      </c>
      <c r="E902">
        <f t="shared" si="28"/>
        <v>6</v>
      </c>
      <c r="F902">
        <f t="shared" si="29"/>
        <v>2003</v>
      </c>
    </row>
    <row r="903" spans="1:6" x14ac:dyDescent="0.2">
      <c r="A903" s="20">
        <v>37796</v>
      </c>
      <c r="B903">
        <v>122.25</v>
      </c>
      <c r="E903">
        <f t="shared" si="28"/>
        <v>6</v>
      </c>
      <c r="F903">
        <f t="shared" si="29"/>
        <v>2003</v>
      </c>
    </row>
    <row r="904" spans="1:6" x14ac:dyDescent="0.2">
      <c r="A904" s="20">
        <v>37797</v>
      </c>
      <c r="B904">
        <v>122</v>
      </c>
      <c r="E904">
        <f t="shared" si="28"/>
        <v>6</v>
      </c>
      <c r="F904">
        <f t="shared" si="29"/>
        <v>2003</v>
      </c>
    </row>
    <row r="905" spans="1:6" x14ac:dyDescent="0.2">
      <c r="A905" s="20">
        <v>37798</v>
      </c>
      <c r="B905">
        <v>122</v>
      </c>
      <c r="E905">
        <f t="shared" si="28"/>
        <v>6</v>
      </c>
      <c r="F905">
        <f t="shared" si="29"/>
        <v>2003</v>
      </c>
    </row>
    <row r="906" spans="1:6" x14ac:dyDescent="0.2">
      <c r="A906" s="20">
        <v>37799</v>
      </c>
      <c r="B906">
        <v>121.5</v>
      </c>
      <c r="E906">
        <f t="shared" si="28"/>
        <v>6</v>
      </c>
      <c r="F906">
        <f t="shared" si="29"/>
        <v>2003</v>
      </c>
    </row>
    <row r="907" spans="1:6" x14ac:dyDescent="0.2">
      <c r="A907" s="20">
        <v>37802</v>
      </c>
      <c r="B907">
        <v>121.5</v>
      </c>
      <c r="E907">
        <f t="shared" si="28"/>
        <v>6</v>
      </c>
      <c r="F907">
        <f t="shared" si="29"/>
        <v>2003</v>
      </c>
    </row>
    <row r="908" spans="1:6" x14ac:dyDescent="0.2">
      <c r="A908" s="20">
        <v>37803</v>
      </c>
      <c r="B908">
        <v>121.5</v>
      </c>
      <c r="E908">
        <f t="shared" si="28"/>
        <v>7</v>
      </c>
      <c r="F908">
        <f t="shared" si="29"/>
        <v>2003</v>
      </c>
    </row>
    <row r="909" spans="1:6" x14ac:dyDescent="0.2">
      <c r="A909" s="20">
        <v>37804</v>
      </c>
      <c r="B909">
        <v>121.75</v>
      </c>
      <c r="E909">
        <f t="shared" si="28"/>
        <v>7</v>
      </c>
      <c r="F909">
        <f t="shared" si="29"/>
        <v>2003</v>
      </c>
    </row>
    <row r="910" spans="1:6" x14ac:dyDescent="0.2">
      <c r="A910" s="20">
        <v>37805</v>
      </c>
      <c r="B910">
        <v>121.75</v>
      </c>
      <c r="E910">
        <f t="shared" si="28"/>
        <v>7</v>
      </c>
      <c r="F910">
        <f t="shared" si="29"/>
        <v>2003</v>
      </c>
    </row>
    <row r="911" spans="1:6" x14ac:dyDescent="0.2">
      <c r="A911" s="20">
        <v>37806</v>
      </c>
      <c r="B911">
        <v>122</v>
      </c>
      <c r="E911">
        <f t="shared" si="28"/>
        <v>7</v>
      </c>
      <c r="F911">
        <f t="shared" si="29"/>
        <v>2003</v>
      </c>
    </row>
    <row r="912" spans="1:6" x14ac:dyDescent="0.2">
      <c r="A912" s="20">
        <v>37809</v>
      </c>
      <c r="B912">
        <v>121.75</v>
      </c>
      <c r="E912">
        <f t="shared" si="28"/>
        <v>7</v>
      </c>
      <c r="F912">
        <f t="shared" si="29"/>
        <v>2003</v>
      </c>
    </row>
    <row r="913" spans="1:6" x14ac:dyDescent="0.2">
      <c r="A913" s="20">
        <v>37810</v>
      </c>
      <c r="B913">
        <v>121.75</v>
      </c>
      <c r="E913">
        <f t="shared" si="28"/>
        <v>7</v>
      </c>
      <c r="F913">
        <f t="shared" si="29"/>
        <v>2003</v>
      </c>
    </row>
    <row r="914" spans="1:6" x14ac:dyDescent="0.2">
      <c r="A914" s="20">
        <v>37811</v>
      </c>
      <c r="B914">
        <v>121.25</v>
      </c>
      <c r="E914">
        <f t="shared" si="28"/>
        <v>7</v>
      </c>
      <c r="F914">
        <f t="shared" si="29"/>
        <v>2003</v>
      </c>
    </row>
    <row r="915" spans="1:6" x14ac:dyDescent="0.2">
      <c r="A915" s="20">
        <v>37812</v>
      </c>
      <c r="B915">
        <v>121.25</v>
      </c>
      <c r="E915">
        <f t="shared" si="28"/>
        <v>7</v>
      </c>
      <c r="F915">
        <f t="shared" si="29"/>
        <v>2003</v>
      </c>
    </row>
    <row r="916" spans="1:6" x14ac:dyDescent="0.2">
      <c r="A916" s="20">
        <v>37813</v>
      </c>
      <c r="B916">
        <v>121.75</v>
      </c>
      <c r="E916">
        <f t="shared" si="28"/>
        <v>7</v>
      </c>
      <c r="F916">
        <f t="shared" si="29"/>
        <v>2003</v>
      </c>
    </row>
    <row r="917" spans="1:6" x14ac:dyDescent="0.2">
      <c r="A917" s="20">
        <v>37816</v>
      </c>
      <c r="B917">
        <v>122</v>
      </c>
      <c r="E917">
        <f t="shared" si="28"/>
        <v>7</v>
      </c>
      <c r="F917">
        <f t="shared" si="29"/>
        <v>2003</v>
      </c>
    </row>
    <row r="918" spans="1:6" x14ac:dyDescent="0.2">
      <c r="A918" s="20">
        <v>37817</v>
      </c>
      <c r="B918">
        <v>123.5</v>
      </c>
      <c r="E918">
        <f t="shared" si="28"/>
        <v>7</v>
      </c>
      <c r="F918">
        <f t="shared" si="29"/>
        <v>2003</v>
      </c>
    </row>
    <row r="919" spans="1:6" x14ac:dyDescent="0.2">
      <c r="A919" s="20">
        <v>37818</v>
      </c>
      <c r="B919">
        <v>125</v>
      </c>
      <c r="E919">
        <f t="shared" si="28"/>
        <v>7</v>
      </c>
      <c r="F919">
        <f t="shared" si="29"/>
        <v>2003</v>
      </c>
    </row>
    <row r="920" spans="1:6" x14ac:dyDescent="0.2">
      <c r="A920" s="20">
        <v>37819</v>
      </c>
      <c r="B920">
        <v>128</v>
      </c>
      <c r="E920">
        <f t="shared" si="28"/>
        <v>7</v>
      </c>
      <c r="F920">
        <f t="shared" si="29"/>
        <v>2003</v>
      </c>
    </row>
    <row r="921" spans="1:6" x14ac:dyDescent="0.2">
      <c r="A921" s="20">
        <v>37820</v>
      </c>
      <c r="B921">
        <v>128.25</v>
      </c>
      <c r="E921">
        <f t="shared" si="28"/>
        <v>7</v>
      </c>
      <c r="F921">
        <f t="shared" si="29"/>
        <v>2003</v>
      </c>
    </row>
    <row r="922" spans="1:6" x14ac:dyDescent="0.2">
      <c r="A922" s="20">
        <v>37823</v>
      </c>
      <c r="B922">
        <v>128.5</v>
      </c>
      <c r="E922">
        <f t="shared" si="28"/>
        <v>7</v>
      </c>
      <c r="F922">
        <f t="shared" si="29"/>
        <v>2003</v>
      </c>
    </row>
    <row r="923" spans="1:6" x14ac:dyDescent="0.2">
      <c r="A923" s="20">
        <v>37824</v>
      </c>
      <c r="B923">
        <v>128.25</v>
      </c>
      <c r="E923">
        <f t="shared" si="28"/>
        <v>7</v>
      </c>
      <c r="F923">
        <f t="shared" si="29"/>
        <v>2003</v>
      </c>
    </row>
    <row r="924" spans="1:6" x14ac:dyDescent="0.2">
      <c r="A924" s="20">
        <v>37825</v>
      </c>
      <c r="B924">
        <v>128</v>
      </c>
      <c r="E924">
        <f t="shared" si="28"/>
        <v>7</v>
      </c>
      <c r="F924">
        <f t="shared" si="29"/>
        <v>2003</v>
      </c>
    </row>
    <row r="925" spans="1:6" x14ac:dyDescent="0.2">
      <c r="A925" s="20">
        <v>37826</v>
      </c>
      <c r="B925">
        <v>130</v>
      </c>
      <c r="E925">
        <f t="shared" si="28"/>
        <v>7</v>
      </c>
      <c r="F925">
        <f t="shared" si="29"/>
        <v>2003</v>
      </c>
    </row>
    <row r="926" spans="1:6" x14ac:dyDescent="0.2">
      <c r="A926" s="20">
        <v>37827</v>
      </c>
      <c r="B926">
        <v>129</v>
      </c>
      <c r="E926">
        <f t="shared" si="28"/>
        <v>7</v>
      </c>
      <c r="F926">
        <f t="shared" si="29"/>
        <v>2003</v>
      </c>
    </row>
    <row r="927" spans="1:6" x14ac:dyDescent="0.2">
      <c r="A927" s="20">
        <v>37830</v>
      </c>
      <c r="B927">
        <v>128</v>
      </c>
      <c r="E927">
        <f t="shared" si="28"/>
        <v>7</v>
      </c>
      <c r="F927">
        <f t="shared" si="29"/>
        <v>2003</v>
      </c>
    </row>
    <row r="928" spans="1:6" x14ac:dyDescent="0.2">
      <c r="A928" s="20">
        <v>37831</v>
      </c>
      <c r="B928">
        <v>128</v>
      </c>
      <c r="E928">
        <f t="shared" si="28"/>
        <v>7</v>
      </c>
      <c r="F928">
        <f t="shared" si="29"/>
        <v>2003</v>
      </c>
    </row>
    <row r="929" spans="1:6" x14ac:dyDescent="0.2">
      <c r="A929" s="20">
        <v>37832</v>
      </c>
      <c r="B929">
        <v>127.5</v>
      </c>
      <c r="E929">
        <f t="shared" si="28"/>
        <v>7</v>
      </c>
      <c r="F929">
        <f t="shared" si="29"/>
        <v>2003</v>
      </c>
    </row>
    <row r="930" spans="1:6" x14ac:dyDescent="0.2">
      <c r="A930" s="20">
        <v>37833</v>
      </c>
      <c r="B930">
        <v>127</v>
      </c>
      <c r="E930">
        <f t="shared" si="28"/>
        <v>7</v>
      </c>
      <c r="F930">
        <f t="shared" si="29"/>
        <v>2003</v>
      </c>
    </row>
    <row r="931" spans="1:6" x14ac:dyDescent="0.2">
      <c r="A931" s="20">
        <v>37834</v>
      </c>
      <c r="B931">
        <v>127</v>
      </c>
      <c r="E931">
        <f t="shared" si="28"/>
        <v>8</v>
      </c>
      <c r="F931">
        <f t="shared" si="29"/>
        <v>2003</v>
      </c>
    </row>
    <row r="932" spans="1:6" x14ac:dyDescent="0.2">
      <c r="A932" s="20">
        <v>37837</v>
      </c>
      <c r="B932">
        <v>130</v>
      </c>
      <c r="E932">
        <f t="shared" si="28"/>
        <v>8</v>
      </c>
      <c r="F932">
        <f t="shared" si="29"/>
        <v>2003</v>
      </c>
    </row>
    <row r="933" spans="1:6" x14ac:dyDescent="0.2">
      <c r="A933" s="20">
        <v>37838</v>
      </c>
      <c r="B933">
        <v>128.5</v>
      </c>
      <c r="E933">
        <f t="shared" si="28"/>
        <v>8</v>
      </c>
      <c r="F933">
        <f t="shared" si="29"/>
        <v>2003</v>
      </c>
    </row>
    <row r="934" spans="1:6" x14ac:dyDescent="0.2">
      <c r="A934" s="20">
        <v>37839</v>
      </c>
      <c r="B934">
        <v>137.5</v>
      </c>
      <c r="E934">
        <f t="shared" si="28"/>
        <v>8</v>
      </c>
      <c r="F934">
        <f t="shared" si="29"/>
        <v>2003</v>
      </c>
    </row>
    <row r="935" spans="1:6" x14ac:dyDescent="0.2">
      <c r="A935" s="20">
        <v>37840</v>
      </c>
      <c r="B935">
        <v>138</v>
      </c>
      <c r="E935">
        <f t="shared" si="28"/>
        <v>8</v>
      </c>
      <c r="F935">
        <f t="shared" si="29"/>
        <v>2003</v>
      </c>
    </row>
    <row r="936" spans="1:6" x14ac:dyDescent="0.2">
      <c r="A936" s="20">
        <v>37841</v>
      </c>
      <c r="B936">
        <v>137.75</v>
      </c>
      <c r="E936">
        <f t="shared" si="28"/>
        <v>8</v>
      </c>
      <c r="F936">
        <f t="shared" si="29"/>
        <v>2003</v>
      </c>
    </row>
    <row r="937" spans="1:6" x14ac:dyDescent="0.2">
      <c r="A937" s="20">
        <v>37844</v>
      </c>
      <c r="B937">
        <v>137.5</v>
      </c>
      <c r="E937">
        <f t="shared" si="28"/>
        <v>8</v>
      </c>
      <c r="F937">
        <f t="shared" si="29"/>
        <v>2003</v>
      </c>
    </row>
    <row r="938" spans="1:6" x14ac:dyDescent="0.2">
      <c r="A938" s="20">
        <v>37845</v>
      </c>
      <c r="B938">
        <v>138</v>
      </c>
      <c r="E938">
        <f t="shared" si="28"/>
        <v>8</v>
      </c>
      <c r="F938">
        <f t="shared" si="29"/>
        <v>2003</v>
      </c>
    </row>
    <row r="939" spans="1:6" x14ac:dyDescent="0.2">
      <c r="A939" s="20">
        <v>37846</v>
      </c>
      <c r="B939">
        <v>138.5</v>
      </c>
      <c r="E939">
        <f t="shared" si="28"/>
        <v>8</v>
      </c>
      <c r="F939">
        <f t="shared" si="29"/>
        <v>2003</v>
      </c>
    </row>
    <row r="940" spans="1:6" x14ac:dyDescent="0.2">
      <c r="A940" s="20">
        <v>37847</v>
      </c>
      <c r="B940">
        <v>139</v>
      </c>
      <c r="E940">
        <f t="shared" si="28"/>
        <v>8</v>
      </c>
      <c r="F940">
        <f t="shared" si="29"/>
        <v>2003</v>
      </c>
    </row>
    <row r="941" spans="1:6" x14ac:dyDescent="0.2">
      <c r="A941" s="20">
        <v>37848</v>
      </c>
      <c r="B941">
        <v>139</v>
      </c>
      <c r="E941">
        <f t="shared" si="28"/>
        <v>8</v>
      </c>
      <c r="F941">
        <f t="shared" si="29"/>
        <v>2003</v>
      </c>
    </row>
    <row r="942" spans="1:6" x14ac:dyDescent="0.2">
      <c r="A942" s="20">
        <v>37851</v>
      </c>
      <c r="B942">
        <v>139.25</v>
      </c>
      <c r="E942">
        <f t="shared" si="28"/>
        <v>8</v>
      </c>
      <c r="F942">
        <f t="shared" si="29"/>
        <v>2003</v>
      </c>
    </row>
    <row r="943" spans="1:6" x14ac:dyDescent="0.2">
      <c r="A943" s="20">
        <v>37852</v>
      </c>
      <c r="B943">
        <v>140.5</v>
      </c>
      <c r="E943">
        <f t="shared" si="28"/>
        <v>8</v>
      </c>
      <c r="F943">
        <f t="shared" si="29"/>
        <v>2003</v>
      </c>
    </row>
    <row r="944" spans="1:6" x14ac:dyDescent="0.2">
      <c r="A944" s="20">
        <v>37853</v>
      </c>
      <c r="B944">
        <v>143.75</v>
      </c>
      <c r="E944">
        <f t="shared" si="28"/>
        <v>8</v>
      </c>
      <c r="F944">
        <f t="shared" si="29"/>
        <v>2003</v>
      </c>
    </row>
    <row r="945" spans="1:6" x14ac:dyDescent="0.2">
      <c r="A945" s="20">
        <v>37854</v>
      </c>
      <c r="B945">
        <v>145</v>
      </c>
      <c r="E945">
        <f t="shared" si="28"/>
        <v>8</v>
      </c>
      <c r="F945">
        <f t="shared" si="29"/>
        <v>2003</v>
      </c>
    </row>
    <row r="946" spans="1:6" x14ac:dyDescent="0.2">
      <c r="A946" s="20">
        <v>37855</v>
      </c>
      <c r="B946">
        <v>144.5</v>
      </c>
      <c r="E946">
        <f t="shared" si="28"/>
        <v>8</v>
      </c>
      <c r="F946">
        <f t="shared" si="29"/>
        <v>2003</v>
      </c>
    </row>
    <row r="947" spans="1:6" x14ac:dyDescent="0.2">
      <c r="A947" s="20">
        <v>37858</v>
      </c>
      <c r="B947">
        <v>144.5</v>
      </c>
      <c r="E947">
        <f t="shared" si="28"/>
        <v>8</v>
      </c>
      <c r="F947">
        <f t="shared" si="29"/>
        <v>2003</v>
      </c>
    </row>
    <row r="948" spans="1:6" x14ac:dyDescent="0.2">
      <c r="A948" s="20">
        <v>37859</v>
      </c>
      <c r="B948">
        <v>144</v>
      </c>
      <c r="E948">
        <f t="shared" si="28"/>
        <v>8</v>
      </c>
      <c r="F948">
        <f t="shared" si="29"/>
        <v>2003</v>
      </c>
    </row>
    <row r="949" spans="1:6" x14ac:dyDescent="0.2">
      <c r="A949" s="20">
        <v>37860</v>
      </c>
      <c r="B949">
        <v>143.5</v>
      </c>
      <c r="E949">
        <f t="shared" si="28"/>
        <v>8</v>
      </c>
      <c r="F949">
        <f t="shared" si="29"/>
        <v>2003</v>
      </c>
    </row>
    <row r="950" spans="1:6" x14ac:dyDescent="0.2">
      <c r="A950" s="20">
        <v>37861</v>
      </c>
      <c r="B950">
        <v>144.5</v>
      </c>
      <c r="E950">
        <f t="shared" si="28"/>
        <v>8</v>
      </c>
      <c r="F950">
        <f t="shared" si="29"/>
        <v>2003</v>
      </c>
    </row>
    <row r="951" spans="1:6" x14ac:dyDescent="0.2">
      <c r="A951" s="20">
        <v>37862</v>
      </c>
      <c r="B951">
        <v>145</v>
      </c>
      <c r="E951">
        <f t="shared" si="28"/>
        <v>8</v>
      </c>
      <c r="F951">
        <f t="shared" si="29"/>
        <v>2003</v>
      </c>
    </row>
    <row r="952" spans="1:6" x14ac:dyDescent="0.2">
      <c r="A952" s="20">
        <v>37865</v>
      </c>
      <c r="B952">
        <v>145.5</v>
      </c>
      <c r="E952">
        <f t="shared" si="28"/>
        <v>9</v>
      </c>
      <c r="F952">
        <f t="shared" si="29"/>
        <v>2003</v>
      </c>
    </row>
    <row r="953" spans="1:6" x14ac:dyDescent="0.2">
      <c r="A953" s="20">
        <v>37866</v>
      </c>
      <c r="B953">
        <v>145</v>
      </c>
      <c r="E953">
        <f t="shared" si="28"/>
        <v>9</v>
      </c>
      <c r="F953">
        <f t="shared" si="29"/>
        <v>2003</v>
      </c>
    </row>
    <row r="954" spans="1:6" x14ac:dyDescent="0.2">
      <c r="A954" s="20">
        <v>37867</v>
      </c>
      <c r="B954">
        <v>146</v>
      </c>
      <c r="E954">
        <f t="shared" si="28"/>
        <v>9</v>
      </c>
      <c r="F954">
        <f t="shared" si="29"/>
        <v>2003</v>
      </c>
    </row>
    <row r="955" spans="1:6" x14ac:dyDescent="0.2">
      <c r="A955" s="20">
        <v>37868</v>
      </c>
      <c r="B955">
        <v>146</v>
      </c>
      <c r="E955">
        <f t="shared" si="28"/>
        <v>9</v>
      </c>
      <c r="F955">
        <f t="shared" si="29"/>
        <v>2003</v>
      </c>
    </row>
    <row r="956" spans="1:6" x14ac:dyDescent="0.2">
      <c r="A956" s="20">
        <v>37869</v>
      </c>
      <c r="B956">
        <v>146</v>
      </c>
      <c r="E956">
        <f t="shared" si="28"/>
        <v>9</v>
      </c>
      <c r="F956">
        <f t="shared" si="29"/>
        <v>2003</v>
      </c>
    </row>
    <row r="957" spans="1:6" x14ac:dyDescent="0.2">
      <c r="A957" s="20">
        <v>37872</v>
      </c>
      <c r="B957">
        <v>146</v>
      </c>
      <c r="E957">
        <f t="shared" si="28"/>
        <v>9</v>
      </c>
      <c r="F957">
        <f t="shared" si="29"/>
        <v>2003</v>
      </c>
    </row>
    <row r="958" spans="1:6" x14ac:dyDescent="0.2">
      <c r="A958" s="20">
        <v>37873</v>
      </c>
      <c r="B958">
        <v>146.5</v>
      </c>
      <c r="E958">
        <f t="shared" si="28"/>
        <v>9</v>
      </c>
      <c r="F958">
        <f t="shared" si="29"/>
        <v>2003</v>
      </c>
    </row>
    <row r="959" spans="1:6" x14ac:dyDescent="0.2">
      <c r="A959" s="20">
        <v>37874</v>
      </c>
      <c r="B959">
        <v>146.75</v>
      </c>
      <c r="E959">
        <f t="shared" si="28"/>
        <v>9</v>
      </c>
      <c r="F959">
        <f t="shared" si="29"/>
        <v>2003</v>
      </c>
    </row>
    <row r="960" spans="1:6" x14ac:dyDescent="0.2">
      <c r="A960" s="20">
        <v>37875</v>
      </c>
      <c r="B960">
        <v>147.25</v>
      </c>
      <c r="E960">
        <f t="shared" si="28"/>
        <v>9</v>
      </c>
      <c r="F960">
        <f t="shared" si="29"/>
        <v>2003</v>
      </c>
    </row>
    <row r="961" spans="1:6" x14ac:dyDescent="0.2">
      <c r="A961" s="20">
        <v>37876</v>
      </c>
      <c r="B961">
        <v>147.5</v>
      </c>
      <c r="E961">
        <f t="shared" si="28"/>
        <v>9</v>
      </c>
      <c r="F961">
        <f t="shared" si="29"/>
        <v>2003</v>
      </c>
    </row>
    <row r="962" spans="1:6" x14ac:dyDescent="0.2">
      <c r="A962" s="20">
        <v>37879</v>
      </c>
      <c r="B962">
        <v>147.5</v>
      </c>
      <c r="E962">
        <f t="shared" si="28"/>
        <v>9</v>
      </c>
      <c r="F962">
        <f t="shared" si="29"/>
        <v>2003</v>
      </c>
    </row>
    <row r="963" spans="1:6" x14ac:dyDescent="0.2">
      <c r="A963" s="20">
        <v>37880</v>
      </c>
      <c r="B963">
        <v>147.5</v>
      </c>
      <c r="E963">
        <f t="shared" ref="E963:E1026" si="30">MONTH(A963)</f>
        <v>9</v>
      </c>
      <c r="F963">
        <f t="shared" ref="F963:F1026" si="31">YEAR(A963)</f>
        <v>2003</v>
      </c>
    </row>
    <row r="964" spans="1:6" x14ac:dyDescent="0.2">
      <c r="A964" s="20">
        <v>37881</v>
      </c>
      <c r="B964">
        <v>148</v>
      </c>
      <c r="E964">
        <f t="shared" si="30"/>
        <v>9</v>
      </c>
      <c r="F964">
        <f t="shared" si="31"/>
        <v>2003</v>
      </c>
    </row>
    <row r="965" spans="1:6" x14ac:dyDescent="0.2">
      <c r="A965" s="20">
        <v>37882</v>
      </c>
      <c r="B965">
        <v>149.5</v>
      </c>
      <c r="E965">
        <f t="shared" si="30"/>
        <v>9</v>
      </c>
      <c r="F965">
        <f t="shared" si="31"/>
        <v>2003</v>
      </c>
    </row>
    <row r="966" spans="1:6" x14ac:dyDescent="0.2">
      <c r="A966" s="20">
        <v>37883</v>
      </c>
      <c r="B966">
        <v>150.75</v>
      </c>
      <c r="E966">
        <f t="shared" si="30"/>
        <v>9</v>
      </c>
      <c r="F966">
        <f t="shared" si="31"/>
        <v>2003</v>
      </c>
    </row>
    <row r="967" spans="1:6" x14ac:dyDescent="0.2">
      <c r="A967" s="20">
        <v>37886</v>
      </c>
      <c r="B967" t="s">
        <v>49</v>
      </c>
      <c r="E967">
        <f t="shared" si="30"/>
        <v>9</v>
      </c>
      <c r="F967">
        <f t="shared" si="31"/>
        <v>2003</v>
      </c>
    </row>
    <row r="968" spans="1:6" x14ac:dyDescent="0.2">
      <c r="A968" s="20">
        <v>37887</v>
      </c>
      <c r="B968" t="s">
        <v>49</v>
      </c>
      <c r="E968">
        <f t="shared" si="30"/>
        <v>9</v>
      </c>
      <c r="F968">
        <f t="shared" si="31"/>
        <v>2003</v>
      </c>
    </row>
    <row r="969" spans="1:6" x14ac:dyDescent="0.2">
      <c r="A969" s="20">
        <v>37888</v>
      </c>
      <c r="B969" t="s">
        <v>49</v>
      </c>
      <c r="E969">
        <f t="shared" si="30"/>
        <v>9</v>
      </c>
      <c r="F969">
        <f t="shared" si="31"/>
        <v>2003</v>
      </c>
    </row>
    <row r="970" spans="1:6" x14ac:dyDescent="0.2">
      <c r="A970" s="20">
        <v>37889</v>
      </c>
      <c r="B970" t="s">
        <v>49</v>
      </c>
      <c r="E970">
        <f t="shared" si="30"/>
        <v>9</v>
      </c>
      <c r="F970">
        <f t="shared" si="31"/>
        <v>2003</v>
      </c>
    </row>
    <row r="971" spans="1:6" x14ac:dyDescent="0.2">
      <c r="A971" s="20">
        <v>37890</v>
      </c>
      <c r="B971" t="s">
        <v>49</v>
      </c>
      <c r="E971">
        <f t="shared" si="30"/>
        <v>9</v>
      </c>
      <c r="F971">
        <f t="shared" si="31"/>
        <v>2003</v>
      </c>
    </row>
    <row r="972" spans="1:6" x14ac:dyDescent="0.2">
      <c r="A972" s="20">
        <v>37893</v>
      </c>
      <c r="B972" t="s">
        <v>49</v>
      </c>
      <c r="E972">
        <f t="shared" si="30"/>
        <v>9</v>
      </c>
      <c r="F972">
        <f t="shared" si="31"/>
        <v>2003</v>
      </c>
    </row>
    <row r="973" spans="1:6" x14ac:dyDescent="0.2">
      <c r="A973" s="20">
        <v>37894</v>
      </c>
      <c r="B973">
        <v>161</v>
      </c>
      <c r="E973">
        <f t="shared" si="30"/>
        <v>9</v>
      </c>
      <c r="F973">
        <f t="shared" si="31"/>
        <v>2003</v>
      </c>
    </row>
    <row r="974" spans="1:6" x14ac:dyDescent="0.2">
      <c r="A974" s="20">
        <v>37895</v>
      </c>
      <c r="B974">
        <v>160.25</v>
      </c>
      <c r="E974">
        <f t="shared" si="30"/>
        <v>10</v>
      </c>
      <c r="F974">
        <f t="shared" si="31"/>
        <v>2003</v>
      </c>
    </row>
    <row r="975" spans="1:6" x14ac:dyDescent="0.2">
      <c r="A975" s="20">
        <v>37896</v>
      </c>
      <c r="B975">
        <v>158</v>
      </c>
      <c r="E975">
        <f t="shared" si="30"/>
        <v>10</v>
      </c>
      <c r="F975">
        <f t="shared" si="31"/>
        <v>2003</v>
      </c>
    </row>
    <row r="976" spans="1:6" x14ac:dyDescent="0.2">
      <c r="A976" s="20">
        <v>37897</v>
      </c>
      <c r="B976">
        <v>157</v>
      </c>
      <c r="E976">
        <f t="shared" si="30"/>
        <v>10</v>
      </c>
      <c r="F976">
        <f t="shared" si="31"/>
        <v>2003</v>
      </c>
    </row>
    <row r="977" spans="1:6" x14ac:dyDescent="0.2">
      <c r="A977" s="20">
        <v>37900</v>
      </c>
      <c r="B977">
        <v>157</v>
      </c>
      <c r="E977">
        <f t="shared" si="30"/>
        <v>10</v>
      </c>
      <c r="F977">
        <f t="shared" si="31"/>
        <v>2003</v>
      </c>
    </row>
    <row r="978" spans="1:6" x14ac:dyDescent="0.2">
      <c r="A978" s="20">
        <v>37901</v>
      </c>
      <c r="B978">
        <v>154.75</v>
      </c>
      <c r="E978">
        <f t="shared" si="30"/>
        <v>10</v>
      </c>
      <c r="F978">
        <f t="shared" si="31"/>
        <v>2003</v>
      </c>
    </row>
    <row r="979" spans="1:6" x14ac:dyDescent="0.2">
      <c r="A979" s="20">
        <v>37902</v>
      </c>
      <c r="B979">
        <v>157.25</v>
      </c>
      <c r="E979">
        <f t="shared" si="30"/>
        <v>10</v>
      </c>
      <c r="F979">
        <f t="shared" si="31"/>
        <v>2003</v>
      </c>
    </row>
    <row r="980" spans="1:6" x14ac:dyDescent="0.2">
      <c r="A980" s="20">
        <v>37903</v>
      </c>
      <c r="B980">
        <v>156</v>
      </c>
      <c r="E980">
        <f t="shared" si="30"/>
        <v>10</v>
      </c>
      <c r="F980">
        <f t="shared" si="31"/>
        <v>2003</v>
      </c>
    </row>
    <row r="981" spans="1:6" x14ac:dyDescent="0.2">
      <c r="A981" s="20">
        <v>37904</v>
      </c>
      <c r="B981">
        <v>156.25</v>
      </c>
      <c r="E981">
        <f t="shared" si="30"/>
        <v>10</v>
      </c>
      <c r="F981">
        <f t="shared" si="31"/>
        <v>2003</v>
      </c>
    </row>
    <row r="982" spans="1:6" x14ac:dyDescent="0.2">
      <c r="A982" s="20">
        <v>37907</v>
      </c>
      <c r="B982">
        <v>156.75</v>
      </c>
      <c r="E982">
        <f t="shared" si="30"/>
        <v>10</v>
      </c>
      <c r="F982">
        <f t="shared" si="31"/>
        <v>2003</v>
      </c>
    </row>
    <row r="983" spans="1:6" x14ac:dyDescent="0.2">
      <c r="A983" s="20">
        <v>37908</v>
      </c>
      <c r="B983">
        <v>157</v>
      </c>
      <c r="E983">
        <f t="shared" si="30"/>
        <v>10</v>
      </c>
      <c r="F983">
        <f t="shared" si="31"/>
        <v>2003</v>
      </c>
    </row>
    <row r="984" spans="1:6" x14ac:dyDescent="0.2">
      <c r="A984" s="20">
        <v>37909</v>
      </c>
      <c r="B984">
        <v>157.5</v>
      </c>
      <c r="E984">
        <f t="shared" si="30"/>
        <v>10</v>
      </c>
      <c r="F984">
        <f t="shared" si="31"/>
        <v>2003</v>
      </c>
    </row>
    <row r="985" spans="1:6" x14ac:dyDescent="0.2">
      <c r="A985" s="20">
        <v>37910</v>
      </c>
      <c r="B985">
        <v>157</v>
      </c>
      <c r="E985">
        <f t="shared" si="30"/>
        <v>10</v>
      </c>
      <c r="F985">
        <f t="shared" si="31"/>
        <v>2003</v>
      </c>
    </row>
    <row r="986" spans="1:6" x14ac:dyDescent="0.2">
      <c r="A986" s="20">
        <v>37911</v>
      </c>
      <c r="B986">
        <v>158</v>
      </c>
      <c r="E986">
        <f t="shared" si="30"/>
        <v>10</v>
      </c>
      <c r="F986">
        <f t="shared" si="31"/>
        <v>2003</v>
      </c>
    </row>
    <row r="987" spans="1:6" x14ac:dyDescent="0.2">
      <c r="A987" s="20">
        <v>37914</v>
      </c>
      <c r="B987">
        <v>157.5</v>
      </c>
      <c r="E987">
        <f t="shared" si="30"/>
        <v>10</v>
      </c>
      <c r="F987">
        <f t="shared" si="31"/>
        <v>2003</v>
      </c>
    </row>
    <row r="988" spans="1:6" x14ac:dyDescent="0.2">
      <c r="A988" s="20">
        <v>37915</v>
      </c>
      <c r="B988">
        <v>157.5</v>
      </c>
      <c r="E988">
        <f t="shared" si="30"/>
        <v>10</v>
      </c>
      <c r="F988">
        <f t="shared" si="31"/>
        <v>2003</v>
      </c>
    </row>
    <row r="989" spans="1:6" x14ac:dyDescent="0.2">
      <c r="A989" s="20">
        <v>37916</v>
      </c>
      <c r="B989">
        <v>157.5</v>
      </c>
      <c r="E989">
        <f t="shared" si="30"/>
        <v>10</v>
      </c>
      <c r="F989">
        <f t="shared" si="31"/>
        <v>2003</v>
      </c>
    </row>
    <row r="990" spans="1:6" x14ac:dyDescent="0.2">
      <c r="A990" s="20">
        <v>37917</v>
      </c>
      <c r="B990">
        <v>158.75</v>
      </c>
      <c r="E990">
        <f t="shared" si="30"/>
        <v>10</v>
      </c>
      <c r="F990">
        <f t="shared" si="31"/>
        <v>2003</v>
      </c>
    </row>
    <row r="991" spans="1:6" x14ac:dyDescent="0.2">
      <c r="A991" s="20">
        <v>37918</v>
      </c>
      <c r="B991">
        <v>160</v>
      </c>
      <c r="E991">
        <f t="shared" si="30"/>
        <v>10</v>
      </c>
      <c r="F991">
        <f t="shared" si="31"/>
        <v>2003</v>
      </c>
    </row>
    <row r="992" spans="1:6" x14ac:dyDescent="0.2">
      <c r="A992" s="20">
        <v>37921</v>
      </c>
      <c r="B992">
        <v>161.25</v>
      </c>
      <c r="E992">
        <f t="shared" si="30"/>
        <v>10</v>
      </c>
      <c r="F992">
        <f t="shared" si="31"/>
        <v>2003</v>
      </c>
    </row>
    <row r="993" spans="1:6" x14ac:dyDescent="0.2">
      <c r="A993" s="20">
        <v>37922</v>
      </c>
      <c r="B993">
        <v>161.25</v>
      </c>
      <c r="E993">
        <f t="shared" si="30"/>
        <v>10</v>
      </c>
      <c r="F993">
        <f t="shared" si="31"/>
        <v>2003</v>
      </c>
    </row>
    <row r="994" spans="1:6" x14ac:dyDescent="0.2">
      <c r="A994" s="20">
        <v>37923</v>
      </c>
      <c r="B994">
        <v>162.5</v>
      </c>
      <c r="E994">
        <f t="shared" si="30"/>
        <v>10</v>
      </c>
      <c r="F994">
        <f t="shared" si="31"/>
        <v>2003</v>
      </c>
    </row>
    <row r="995" spans="1:6" x14ac:dyDescent="0.2">
      <c r="A995" s="20">
        <v>37924</v>
      </c>
      <c r="B995">
        <v>164.5</v>
      </c>
      <c r="E995">
        <f t="shared" si="30"/>
        <v>10</v>
      </c>
      <c r="F995">
        <f t="shared" si="31"/>
        <v>2003</v>
      </c>
    </row>
    <row r="996" spans="1:6" x14ac:dyDescent="0.2">
      <c r="A996" s="20">
        <v>37925</v>
      </c>
      <c r="B996">
        <v>164.5</v>
      </c>
      <c r="E996">
        <f t="shared" si="30"/>
        <v>10</v>
      </c>
      <c r="F996">
        <f t="shared" si="31"/>
        <v>2003</v>
      </c>
    </row>
    <row r="997" spans="1:6" x14ac:dyDescent="0.2">
      <c r="A997" s="20">
        <v>37928</v>
      </c>
      <c r="B997">
        <v>164</v>
      </c>
      <c r="E997">
        <f t="shared" si="30"/>
        <v>11</v>
      </c>
      <c r="F997">
        <f t="shared" si="31"/>
        <v>2003</v>
      </c>
    </row>
    <row r="998" spans="1:6" x14ac:dyDescent="0.2">
      <c r="A998" s="20">
        <v>37929</v>
      </c>
      <c r="B998">
        <v>163</v>
      </c>
      <c r="E998">
        <f t="shared" si="30"/>
        <v>11</v>
      </c>
      <c r="F998">
        <f t="shared" si="31"/>
        <v>2003</v>
      </c>
    </row>
    <row r="999" spans="1:6" x14ac:dyDescent="0.2">
      <c r="A999" s="20">
        <v>37930</v>
      </c>
      <c r="B999">
        <v>163</v>
      </c>
      <c r="E999">
        <f t="shared" si="30"/>
        <v>11</v>
      </c>
      <c r="F999">
        <f t="shared" si="31"/>
        <v>2003</v>
      </c>
    </row>
    <row r="1000" spans="1:6" x14ac:dyDescent="0.2">
      <c r="A1000" s="20">
        <v>37931</v>
      </c>
      <c r="B1000">
        <v>171</v>
      </c>
      <c r="E1000">
        <f t="shared" si="30"/>
        <v>11</v>
      </c>
      <c r="F1000">
        <f t="shared" si="31"/>
        <v>2003</v>
      </c>
    </row>
    <row r="1001" spans="1:6" x14ac:dyDescent="0.2">
      <c r="A1001" s="20">
        <v>37932</v>
      </c>
      <c r="B1001">
        <v>172.5</v>
      </c>
      <c r="E1001">
        <f t="shared" si="30"/>
        <v>11</v>
      </c>
      <c r="F1001">
        <f t="shared" si="31"/>
        <v>2003</v>
      </c>
    </row>
    <row r="1002" spans="1:6" x14ac:dyDescent="0.2">
      <c r="A1002" s="20">
        <v>37935</v>
      </c>
      <c r="B1002">
        <v>172.5</v>
      </c>
      <c r="E1002">
        <f t="shared" si="30"/>
        <v>11</v>
      </c>
      <c r="F1002">
        <f t="shared" si="31"/>
        <v>2003</v>
      </c>
    </row>
    <row r="1003" spans="1:6" x14ac:dyDescent="0.2">
      <c r="A1003" s="20">
        <v>37936</v>
      </c>
      <c r="B1003">
        <v>173</v>
      </c>
      <c r="E1003">
        <f t="shared" si="30"/>
        <v>11</v>
      </c>
      <c r="F1003">
        <f t="shared" si="31"/>
        <v>2003</v>
      </c>
    </row>
    <row r="1004" spans="1:6" x14ac:dyDescent="0.2">
      <c r="A1004" s="20">
        <v>37937</v>
      </c>
      <c r="B1004">
        <v>177</v>
      </c>
      <c r="E1004">
        <f t="shared" si="30"/>
        <v>11</v>
      </c>
      <c r="F1004">
        <f t="shared" si="31"/>
        <v>2003</v>
      </c>
    </row>
    <row r="1005" spans="1:6" x14ac:dyDescent="0.2">
      <c r="A1005" s="20">
        <v>37938</v>
      </c>
      <c r="B1005">
        <v>175.5</v>
      </c>
      <c r="E1005">
        <f t="shared" si="30"/>
        <v>11</v>
      </c>
      <c r="F1005">
        <f t="shared" si="31"/>
        <v>2003</v>
      </c>
    </row>
    <row r="1006" spans="1:6" x14ac:dyDescent="0.2">
      <c r="A1006" s="20">
        <v>37939</v>
      </c>
      <c r="B1006">
        <v>175.5</v>
      </c>
      <c r="E1006">
        <f t="shared" si="30"/>
        <v>11</v>
      </c>
      <c r="F1006">
        <f t="shared" si="31"/>
        <v>2003</v>
      </c>
    </row>
    <row r="1007" spans="1:6" x14ac:dyDescent="0.2">
      <c r="A1007" s="20">
        <v>37942</v>
      </c>
      <c r="B1007">
        <v>176</v>
      </c>
      <c r="E1007">
        <f t="shared" si="30"/>
        <v>11</v>
      </c>
      <c r="F1007">
        <f t="shared" si="31"/>
        <v>2003</v>
      </c>
    </row>
    <row r="1008" spans="1:6" x14ac:dyDescent="0.2">
      <c r="A1008" s="20">
        <v>37943</v>
      </c>
      <c r="B1008">
        <v>172.5</v>
      </c>
      <c r="E1008">
        <f t="shared" si="30"/>
        <v>11</v>
      </c>
      <c r="F1008">
        <f t="shared" si="31"/>
        <v>2003</v>
      </c>
    </row>
    <row r="1009" spans="1:6" x14ac:dyDescent="0.2">
      <c r="A1009" s="20">
        <v>37944</v>
      </c>
      <c r="B1009" t="s">
        <v>49</v>
      </c>
      <c r="E1009">
        <f t="shared" si="30"/>
        <v>11</v>
      </c>
      <c r="F1009">
        <f t="shared" si="31"/>
        <v>2003</v>
      </c>
    </row>
    <row r="1010" spans="1:6" x14ac:dyDescent="0.2">
      <c r="A1010" s="20">
        <v>37945</v>
      </c>
      <c r="B1010">
        <v>172</v>
      </c>
      <c r="E1010">
        <f t="shared" si="30"/>
        <v>11</v>
      </c>
      <c r="F1010">
        <f t="shared" si="31"/>
        <v>2003</v>
      </c>
    </row>
    <row r="1011" spans="1:6" x14ac:dyDescent="0.2">
      <c r="A1011" s="20">
        <v>37946</v>
      </c>
      <c r="B1011">
        <v>173</v>
      </c>
      <c r="E1011">
        <f t="shared" si="30"/>
        <v>11</v>
      </c>
      <c r="F1011">
        <f t="shared" si="31"/>
        <v>2003</v>
      </c>
    </row>
    <row r="1012" spans="1:6" x14ac:dyDescent="0.2">
      <c r="A1012" s="20">
        <v>37949</v>
      </c>
      <c r="B1012">
        <v>174.5</v>
      </c>
      <c r="E1012">
        <f t="shared" si="30"/>
        <v>11</v>
      </c>
      <c r="F1012">
        <f t="shared" si="31"/>
        <v>2003</v>
      </c>
    </row>
    <row r="1013" spans="1:6" x14ac:dyDescent="0.2">
      <c r="A1013" s="20">
        <v>37950</v>
      </c>
      <c r="B1013">
        <v>173</v>
      </c>
      <c r="E1013">
        <f t="shared" si="30"/>
        <v>11</v>
      </c>
      <c r="F1013">
        <f t="shared" si="31"/>
        <v>2003</v>
      </c>
    </row>
    <row r="1014" spans="1:6" x14ac:dyDescent="0.2">
      <c r="A1014" s="20">
        <v>37951</v>
      </c>
      <c r="B1014">
        <v>173</v>
      </c>
      <c r="E1014">
        <f t="shared" si="30"/>
        <v>11</v>
      </c>
      <c r="F1014">
        <f t="shared" si="31"/>
        <v>2003</v>
      </c>
    </row>
    <row r="1015" spans="1:6" x14ac:dyDescent="0.2">
      <c r="A1015" s="20">
        <v>37952</v>
      </c>
      <c r="B1015">
        <v>173</v>
      </c>
      <c r="E1015">
        <f t="shared" si="30"/>
        <v>11</v>
      </c>
      <c r="F1015">
        <f t="shared" si="31"/>
        <v>2003</v>
      </c>
    </row>
    <row r="1016" spans="1:6" x14ac:dyDescent="0.2">
      <c r="A1016" s="20">
        <v>37953</v>
      </c>
      <c r="B1016">
        <v>173.25</v>
      </c>
      <c r="E1016">
        <f t="shared" si="30"/>
        <v>11</v>
      </c>
      <c r="F1016">
        <f t="shared" si="31"/>
        <v>2003</v>
      </c>
    </row>
    <row r="1017" spans="1:6" x14ac:dyDescent="0.2">
      <c r="A1017" s="20">
        <v>37956</v>
      </c>
      <c r="B1017">
        <v>174.25</v>
      </c>
      <c r="E1017">
        <f t="shared" si="30"/>
        <v>12</v>
      </c>
      <c r="F1017">
        <f t="shared" si="31"/>
        <v>2003</v>
      </c>
    </row>
    <row r="1018" spans="1:6" x14ac:dyDescent="0.2">
      <c r="A1018" s="20">
        <v>37957</v>
      </c>
      <c r="B1018">
        <v>173.5</v>
      </c>
      <c r="E1018">
        <f t="shared" si="30"/>
        <v>12</v>
      </c>
      <c r="F1018">
        <f t="shared" si="31"/>
        <v>2003</v>
      </c>
    </row>
    <row r="1019" spans="1:6" x14ac:dyDescent="0.2">
      <c r="A1019" s="20">
        <v>37958</v>
      </c>
      <c r="B1019">
        <v>173.25</v>
      </c>
      <c r="E1019">
        <f t="shared" si="30"/>
        <v>12</v>
      </c>
      <c r="F1019">
        <f t="shared" si="31"/>
        <v>2003</v>
      </c>
    </row>
    <row r="1020" spans="1:6" x14ac:dyDescent="0.2">
      <c r="A1020" s="20">
        <v>37959</v>
      </c>
      <c r="B1020">
        <v>173</v>
      </c>
      <c r="E1020">
        <f t="shared" si="30"/>
        <v>12</v>
      </c>
      <c r="F1020">
        <f t="shared" si="31"/>
        <v>2003</v>
      </c>
    </row>
    <row r="1021" spans="1:6" x14ac:dyDescent="0.2">
      <c r="A1021" s="20">
        <v>37960</v>
      </c>
      <c r="B1021">
        <v>172.25</v>
      </c>
      <c r="E1021">
        <f t="shared" si="30"/>
        <v>12</v>
      </c>
      <c r="F1021">
        <f t="shared" si="31"/>
        <v>2003</v>
      </c>
    </row>
    <row r="1022" spans="1:6" x14ac:dyDescent="0.2">
      <c r="A1022" s="20">
        <v>37963</v>
      </c>
      <c r="B1022">
        <v>172</v>
      </c>
      <c r="E1022">
        <f t="shared" si="30"/>
        <v>12</v>
      </c>
      <c r="F1022">
        <f t="shared" si="31"/>
        <v>2003</v>
      </c>
    </row>
    <row r="1023" spans="1:6" x14ac:dyDescent="0.2">
      <c r="A1023" s="20">
        <v>37964</v>
      </c>
      <c r="B1023">
        <v>170.5</v>
      </c>
      <c r="E1023">
        <f t="shared" si="30"/>
        <v>12</v>
      </c>
      <c r="F1023">
        <f t="shared" si="31"/>
        <v>2003</v>
      </c>
    </row>
    <row r="1024" spans="1:6" x14ac:dyDescent="0.2">
      <c r="A1024" s="20">
        <v>37965</v>
      </c>
      <c r="B1024">
        <v>169</v>
      </c>
      <c r="E1024">
        <f t="shared" si="30"/>
        <v>12</v>
      </c>
      <c r="F1024">
        <f t="shared" si="31"/>
        <v>2003</v>
      </c>
    </row>
    <row r="1025" spans="1:6" x14ac:dyDescent="0.2">
      <c r="A1025" s="20">
        <v>37966</v>
      </c>
      <c r="B1025">
        <v>168.5</v>
      </c>
      <c r="E1025">
        <f t="shared" si="30"/>
        <v>12</v>
      </c>
      <c r="F1025">
        <f t="shared" si="31"/>
        <v>2003</v>
      </c>
    </row>
    <row r="1026" spans="1:6" x14ac:dyDescent="0.2">
      <c r="A1026" s="20">
        <v>37967</v>
      </c>
      <c r="B1026">
        <v>168.5</v>
      </c>
      <c r="E1026">
        <f t="shared" si="30"/>
        <v>12</v>
      </c>
      <c r="F1026">
        <f t="shared" si="31"/>
        <v>2003</v>
      </c>
    </row>
    <row r="1027" spans="1:6" x14ac:dyDescent="0.2">
      <c r="A1027" s="20">
        <v>37970</v>
      </c>
      <c r="B1027">
        <v>170.25</v>
      </c>
      <c r="E1027">
        <f t="shared" ref="E1027:E1090" si="32">MONTH(A1027)</f>
        <v>12</v>
      </c>
      <c r="F1027">
        <f t="shared" ref="F1027:F1090" si="33">YEAR(A1027)</f>
        <v>2003</v>
      </c>
    </row>
    <row r="1028" spans="1:6" x14ac:dyDescent="0.2">
      <c r="A1028" s="20">
        <v>37971</v>
      </c>
      <c r="B1028">
        <v>170</v>
      </c>
      <c r="E1028">
        <f t="shared" si="32"/>
        <v>12</v>
      </c>
      <c r="F1028">
        <f t="shared" si="33"/>
        <v>2003</v>
      </c>
    </row>
    <row r="1029" spans="1:6" x14ac:dyDescent="0.2">
      <c r="A1029" s="20">
        <v>37972</v>
      </c>
      <c r="B1029">
        <v>170</v>
      </c>
      <c r="E1029">
        <f t="shared" si="32"/>
        <v>12</v>
      </c>
      <c r="F1029">
        <f t="shared" si="33"/>
        <v>2003</v>
      </c>
    </row>
    <row r="1030" spans="1:6" x14ac:dyDescent="0.2">
      <c r="A1030" s="20">
        <v>37973</v>
      </c>
      <c r="B1030">
        <v>170.75</v>
      </c>
      <c r="E1030">
        <f t="shared" si="32"/>
        <v>12</v>
      </c>
      <c r="F1030">
        <f t="shared" si="33"/>
        <v>2003</v>
      </c>
    </row>
    <row r="1031" spans="1:6" x14ac:dyDescent="0.2">
      <c r="A1031" s="20">
        <v>37974</v>
      </c>
      <c r="B1031">
        <v>170.25</v>
      </c>
      <c r="E1031">
        <f t="shared" si="32"/>
        <v>12</v>
      </c>
      <c r="F1031">
        <f t="shared" si="33"/>
        <v>2003</v>
      </c>
    </row>
    <row r="1032" spans="1:6" x14ac:dyDescent="0.2">
      <c r="A1032" s="20">
        <v>37977</v>
      </c>
      <c r="B1032">
        <v>169.5</v>
      </c>
      <c r="E1032">
        <f t="shared" si="32"/>
        <v>12</v>
      </c>
      <c r="F1032">
        <f t="shared" si="33"/>
        <v>2003</v>
      </c>
    </row>
    <row r="1033" spans="1:6" x14ac:dyDescent="0.2">
      <c r="A1033" s="20">
        <v>37978</v>
      </c>
      <c r="B1033">
        <v>169.5</v>
      </c>
      <c r="E1033">
        <f t="shared" si="32"/>
        <v>12</v>
      </c>
      <c r="F1033">
        <f t="shared" si="33"/>
        <v>2003</v>
      </c>
    </row>
    <row r="1034" spans="1:6" x14ac:dyDescent="0.2">
      <c r="A1034" s="20">
        <v>37979</v>
      </c>
      <c r="B1034">
        <v>169.5</v>
      </c>
      <c r="E1034">
        <f t="shared" si="32"/>
        <v>12</v>
      </c>
      <c r="F1034">
        <f t="shared" si="33"/>
        <v>2003</v>
      </c>
    </row>
    <row r="1035" spans="1:6" x14ac:dyDescent="0.2">
      <c r="A1035" s="20">
        <v>37984</v>
      </c>
      <c r="B1035">
        <v>169.5</v>
      </c>
      <c r="E1035">
        <f t="shared" si="32"/>
        <v>12</v>
      </c>
      <c r="F1035">
        <f t="shared" si="33"/>
        <v>2003</v>
      </c>
    </row>
    <row r="1036" spans="1:6" x14ac:dyDescent="0.2">
      <c r="A1036" s="20">
        <v>37985</v>
      </c>
      <c r="B1036">
        <v>170</v>
      </c>
      <c r="E1036">
        <f t="shared" si="32"/>
        <v>12</v>
      </c>
      <c r="F1036">
        <f t="shared" si="33"/>
        <v>2003</v>
      </c>
    </row>
    <row r="1037" spans="1:6" x14ac:dyDescent="0.2">
      <c r="A1037" s="20">
        <v>37986</v>
      </c>
      <c r="B1037">
        <v>169.5</v>
      </c>
      <c r="E1037">
        <f t="shared" si="32"/>
        <v>12</v>
      </c>
      <c r="F1037">
        <f t="shared" si="33"/>
        <v>2003</v>
      </c>
    </row>
    <row r="1038" spans="1:6" x14ac:dyDescent="0.2">
      <c r="A1038" s="20">
        <v>37988</v>
      </c>
      <c r="B1038">
        <v>169.5</v>
      </c>
      <c r="E1038">
        <f t="shared" si="32"/>
        <v>1</v>
      </c>
      <c r="F1038">
        <f t="shared" si="33"/>
        <v>2004</v>
      </c>
    </row>
    <row r="1039" spans="1:6" x14ac:dyDescent="0.2">
      <c r="A1039" s="20">
        <v>37991</v>
      </c>
      <c r="B1039">
        <v>170</v>
      </c>
      <c r="E1039">
        <f t="shared" si="32"/>
        <v>1</v>
      </c>
      <c r="F1039">
        <f t="shared" si="33"/>
        <v>2004</v>
      </c>
    </row>
    <row r="1040" spans="1:6" x14ac:dyDescent="0.2">
      <c r="A1040" s="20">
        <v>37992</v>
      </c>
      <c r="B1040">
        <v>170.5</v>
      </c>
      <c r="E1040">
        <f t="shared" si="32"/>
        <v>1</v>
      </c>
      <c r="F1040">
        <f t="shared" si="33"/>
        <v>2004</v>
      </c>
    </row>
    <row r="1041" spans="1:6" x14ac:dyDescent="0.2">
      <c r="A1041" s="20">
        <v>37993</v>
      </c>
      <c r="B1041">
        <v>170</v>
      </c>
      <c r="E1041">
        <f t="shared" si="32"/>
        <v>1</v>
      </c>
      <c r="F1041">
        <f t="shared" si="33"/>
        <v>2004</v>
      </c>
    </row>
    <row r="1042" spans="1:6" x14ac:dyDescent="0.2">
      <c r="A1042" s="20">
        <v>37994</v>
      </c>
      <c r="B1042">
        <v>169.5</v>
      </c>
      <c r="E1042">
        <f t="shared" si="32"/>
        <v>1</v>
      </c>
      <c r="F1042">
        <f t="shared" si="33"/>
        <v>2004</v>
      </c>
    </row>
    <row r="1043" spans="1:6" x14ac:dyDescent="0.2">
      <c r="A1043" s="20">
        <v>37995</v>
      </c>
      <c r="B1043">
        <v>168</v>
      </c>
      <c r="E1043">
        <f t="shared" si="32"/>
        <v>1</v>
      </c>
      <c r="F1043">
        <f t="shared" si="33"/>
        <v>2004</v>
      </c>
    </row>
    <row r="1044" spans="1:6" x14ac:dyDescent="0.2">
      <c r="A1044" s="20">
        <v>37998</v>
      </c>
      <c r="B1044">
        <v>170</v>
      </c>
      <c r="E1044">
        <f t="shared" si="32"/>
        <v>1</v>
      </c>
      <c r="F1044">
        <f t="shared" si="33"/>
        <v>2004</v>
      </c>
    </row>
    <row r="1045" spans="1:6" x14ac:dyDescent="0.2">
      <c r="A1045" s="20">
        <v>37999</v>
      </c>
      <c r="B1045">
        <v>171</v>
      </c>
      <c r="E1045">
        <f t="shared" si="32"/>
        <v>1</v>
      </c>
      <c r="F1045">
        <f t="shared" si="33"/>
        <v>2004</v>
      </c>
    </row>
    <row r="1046" spans="1:6" x14ac:dyDescent="0.2">
      <c r="A1046" s="20">
        <v>38000</v>
      </c>
      <c r="B1046">
        <v>170</v>
      </c>
      <c r="E1046">
        <f t="shared" si="32"/>
        <v>1</v>
      </c>
      <c r="F1046">
        <f t="shared" si="33"/>
        <v>2004</v>
      </c>
    </row>
    <row r="1047" spans="1:6" x14ac:dyDescent="0.2">
      <c r="A1047" s="20">
        <v>38001</v>
      </c>
      <c r="B1047">
        <v>169.75</v>
      </c>
      <c r="E1047">
        <f t="shared" si="32"/>
        <v>1</v>
      </c>
      <c r="F1047">
        <f t="shared" si="33"/>
        <v>2004</v>
      </c>
    </row>
    <row r="1048" spans="1:6" x14ac:dyDescent="0.2">
      <c r="A1048" s="20">
        <v>38002</v>
      </c>
      <c r="B1048">
        <v>170.5</v>
      </c>
      <c r="E1048">
        <f t="shared" si="32"/>
        <v>1</v>
      </c>
      <c r="F1048">
        <f t="shared" si="33"/>
        <v>2004</v>
      </c>
    </row>
    <row r="1049" spans="1:6" x14ac:dyDescent="0.2">
      <c r="A1049" s="20">
        <v>38005</v>
      </c>
      <c r="B1049">
        <v>171.5</v>
      </c>
      <c r="E1049">
        <f t="shared" si="32"/>
        <v>1</v>
      </c>
      <c r="F1049">
        <f t="shared" si="33"/>
        <v>2004</v>
      </c>
    </row>
    <row r="1050" spans="1:6" x14ac:dyDescent="0.2">
      <c r="A1050" s="20">
        <v>38006</v>
      </c>
      <c r="B1050">
        <v>171.75</v>
      </c>
      <c r="E1050">
        <f t="shared" si="32"/>
        <v>1</v>
      </c>
      <c r="F1050">
        <f t="shared" si="33"/>
        <v>2004</v>
      </c>
    </row>
    <row r="1051" spans="1:6" x14ac:dyDescent="0.2">
      <c r="A1051" s="20">
        <v>38007</v>
      </c>
      <c r="B1051">
        <v>172.5</v>
      </c>
      <c r="E1051">
        <f t="shared" si="32"/>
        <v>1</v>
      </c>
      <c r="F1051">
        <f t="shared" si="33"/>
        <v>2004</v>
      </c>
    </row>
    <row r="1052" spans="1:6" x14ac:dyDescent="0.2">
      <c r="A1052" s="20">
        <v>38008</v>
      </c>
      <c r="B1052">
        <v>172.5</v>
      </c>
      <c r="E1052">
        <f t="shared" si="32"/>
        <v>1</v>
      </c>
      <c r="F1052">
        <f t="shared" si="33"/>
        <v>2004</v>
      </c>
    </row>
    <row r="1053" spans="1:6" x14ac:dyDescent="0.2">
      <c r="A1053" s="20">
        <v>38009</v>
      </c>
      <c r="B1053">
        <v>172.5</v>
      </c>
      <c r="E1053">
        <f t="shared" si="32"/>
        <v>1</v>
      </c>
      <c r="F1053">
        <f t="shared" si="33"/>
        <v>2004</v>
      </c>
    </row>
    <row r="1054" spans="1:6" x14ac:dyDescent="0.2">
      <c r="A1054" s="20">
        <v>38012</v>
      </c>
      <c r="B1054">
        <v>172.5</v>
      </c>
      <c r="E1054">
        <f t="shared" si="32"/>
        <v>1</v>
      </c>
      <c r="F1054">
        <f t="shared" si="33"/>
        <v>2004</v>
      </c>
    </row>
    <row r="1055" spans="1:6" x14ac:dyDescent="0.2">
      <c r="A1055" s="20">
        <v>38013</v>
      </c>
      <c r="B1055">
        <v>173.25</v>
      </c>
      <c r="E1055">
        <f t="shared" si="32"/>
        <v>1</v>
      </c>
      <c r="F1055">
        <f t="shared" si="33"/>
        <v>2004</v>
      </c>
    </row>
    <row r="1056" spans="1:6" x14ac:dyDescent="0.2">
      <c r="A1056" s="20">
        <v>38014</v>
      </c>
      <c r="B1056">
        <v>174</v>
      </c>
      <c r="E1056">
        <f t="shared" si="32"/>
        <v>1</v>
      </c>
      <c r="F1056">
        <f t="shared" si="33"/>
        <v>2004</v>
      </c>
    </row>
    <row r="1057" spans="1:6" x14ac:dyDescent="0.2">
      <c r="A1057" s="20">
        <v>38015</v>
      </c>
      <c r="B1057">
        <v>173.75</v>
      </c>
      <c r="E1057">
        <f t="shared" si="32"/>
        <v>1</v>
      </c>
      <c r="F1057">
        <f t="shared" si="33"/>
        <v>2004</v>
      </c>
    </row>
    <row r="1058" spans="1:6" x14ac:dyDescent="0.2">
      <c r="A1058" s="20">
        <v>38016</v>
      </c>
      <c r="B1058">
        <v>173.25</v>
      </c>
      <c r="E1058">
        <f t="shared" si="32"/>
        <v>1</v>
      </c>
      <c r="F1058">
        <f t="shared" si="33"/>
        <v>2004</v>
      </c>
    </row>
    <row r="1059" spans="1:6" x14ac:dyDescent="0.2">
      <c r="A1059" s="20">
        <v>38019</v>
      </c>
      <c r="B1059">
        <v>173.5</v>
      </c>
      <c r="E1059">
        <f t="shared" si="32"/>
        <v>2</v>
      </c>
      <c r="F1059">
        <f t="shared" si="33"/>
        <v>2004</v>
      </c>
    </row>
    <row r="1060" spans="1:6" x14ac:dyDescent="0.2">
      <c r="A1060" s="20">
        <v>38020</v>
      </c>
      <c r="B1060">
        <v>172.5</v>
      </c>
      <c r="E1060">
        <f t="shared" si="32"/>
        <v>2</v>
      </c>
      <c r="F1060">
        <f t="shared" si="33"/>
        <v>2004</v>
      </c>
    </row>
    <row r="1061" spans="1:6" x14ac:dyDescent="0.2">
      <c r="A1061" s="20">
        <v>38021</v>
      </c>
      <c r="B1061">
        <v>171</v>
      </c>
      <c r="E1061">
        <f t="shared" si="32"/>
        <v>2</v>
      </c>
      <c r="F1061">
        <f t="shared" si="33"/>
        <v>2004</v>
      </c>
    </row>
    <row r="1062" spans="1:6" x14ac:dyDescent="0.2">
      <c r="A1062" s="20">
        <v>38022</v>
      </c>
      <c r="B1062">
        <v>169.25</v>
      </c>
      <c r="E1062">
        <f t="shared" si="32"/>
        <v>2</v>
      </c>
      <c r="F1062">
        <f t="shared" si="33"/>
        <v>2004</v>
      </c>
    </row>
    <row r="1063" spans="1:6" x14ac:dyDescent="0.2">
      <c r="A1063" s="20">
        <v>38023</v>
      </c>
      <c r="B1063">
        <v>169.75</v>
      </c>
      <c r="E1063">
        <f t="shared" si="32"/>
        <v>2</v>
      </c>
      <c r="F1063">
        <f t="shared" si="33"/>
        <v>2004</v>
      </c>
    </row>
    <row r="1064" spans="1:6" x14ac:dyDescent="0.2">
      <c r="A1064" s="20">
        <v>38026</v>
      </c>
      <c r="B1064">
        <v>168.5</v>
      </c>
      <c r="E1064">
        <f t="shared" si="32"/>
        <v>2</v>
      </c>
      <c r="F1064">
        <f t="shared" si="33"/>
        <v>2004</v>
      </c>
    </row>
    <row r="1065" spans="1:6" x14ac:dyDescent="0.2">
      <c r="A1065" s="20">
        <v>38027</v>
      </c>
      <c r="B1065">
        <v>168.25</v>
      </c>
      <c r="E1065">
        <f t="shared" si="32"/>
        <v>2</v>
      </c>
      <c r="F1065">
        <f t="shared" si="33"/>
        <v>2004</v>
      </c>
    </row>
    <row r="1066" spans="1:6" x14ac:dyDescent="0.2">
      <c r="A1066" s="20">
        <v>38028</v>
      </c>
      <c r="B1066">
        <v>168.25</v>
      </c>
      <c r="E1066">
        <f t="shared" si="32"/>
        <v>2</v>
      </c>
      <c r="F1066">
        <f t="shared" si="33"/>
        <v>2004</v>
      </c>
    </row>
    <row r="1067" spans="1:6" x14ac:dyDescent="0.2">
      <c r="A1067" s="20">
        <v>38029</v>
      </c>
      <c r="B1067">
        <v>167</v>
      </c>
      <c r="E1067">
        <f t="shared" si="32"/>
        <v>2</v>
      </c>
      <c r="F1067">
        <f t="shared" si="33"/>
        <v>2004</v>
      </c>
    </row>
    <row r="1068" spans="1:6" x14ac:dyDescent="0.2">
      <c r="A1068" s="20">
        <v>38030</v>
      </c>
      <c r="B1068">
        <v>164.25</v>
      </c>
      <c r="E1068">
        <f t="shared" si="32"/>
        <v>2</v>
      </c>
      <c r="F1068">
        <f t="shared" si="33"/>
        <v>2004</v>
      </c>
    </row>
    <row r="1069" spans="1:6" x14ac:dyDescent="0.2">
      <c r="A1069" s="20">
        <v>38033</v>
      </c>
      <c r="B1069">
        <v>166</v>
      </c>
      <c r="E1069">
        <f t="shared" si="32"/>
        <v>2</v>
      </c>
      <c r="F1069">
        <f t="shared" si="33"/>
        <v>2004</v>
      </c>
    </row>
    <row r="1070" spans="1:6" x14ac:dyDescent="0.2">
      <c r="A1070" s="20">
        <v>38034</v>
      </c>
      <c r="B1070">
        <v>166</v>
      </c>
      <c r="E1070">
        <f t="shared" si="32"/>
        <v>2</v>
      </c>
      <c r="F1070">
        <f t="shared" si="33"/>
        <v>2004</v>
      </c>
    </row>
    <row r="1071" spans="1:6" x14ac:dyDescent="0.2">
      <c r="A1071" s="20">
        <v>38035</v>
      </c>
      <c r="B1071">
        <v>166</v>
      </c>
      <c r="E1071">
        <f t="shared" si="32"/>
        <v>2</v>
      </c>
      <c r="F1071">
        <f t="shared" si="33"/>
        <v>2004</v>
      </c>
    </row>
    <row r="1072" spans="1:6" x14ac:dyDescent="0.2">
      <c r="A1072" s="20">
        <v>38036</v>
      </c>
      <c r="B1072">
        <v>164.75</v>
      </c>
      <c r="E1072">
        <f t="shared" si="32"/>
        <v>2</v>
      </c>
      <c r="F1072">
        <f t="shared" si="33"/>
        <v>2004</v>
      </c>
    </row>
    <row r="1073" spans="1:6" x14ac:dyDescent="0.2">
      <c r="A1073" s="20">
        <v>38037</v>
      </c>
      <c r="B1073">
        <v>164.5</v>
      </c>
      <c r="E1073">
        <f t="shared" si="32"/>
        <v>2</v>
      </c>
      <c r="F1073">
        <f t="shared" si="33"/>
        <v>2004</v>
      </c>
    </row>
    <row r="1074" spans="1:6" x14ac:dyDescent="0.2">
      <c r="A1074" s="20">
        <v>38040</v>
      </c>
      <c r="B1074">
        <v>166</v>
      </c>
      <c r="E1074">
        <f t="shared" si="32"/>
        <v>2</v>
      </c>
      <c r="F1074">
        <f t="shared" si="33"/>
        <v>2004</v>
      </c>
    </row>
    <row r="1075" spans="1:6" x14ac:dyDescent="0.2">
      <c r="A1075" s="20">
        <v>38041</v>
      </c>
      <c r="B1075">
        <v>167</v>
      </c>
      <c r="E1075">
        <f t="shared" si="32"/>
        <v>2</v>
      </c>
      <c r="F1075">
        <f t="shared" si="33"/>
        <v>2004</v>
      </c>
    </row>
    <row r="1076" spans="1:6" x14ac:dyDescent="0.2">
      <c r="A1076" s="20">
        <v>38042</v>
      </c>
      <c r="B1076">
        <v>166</v>
      </c>
      <c r="E1076">
        <f t="shared" si="32"/>
        <v>2</v>
      </c>
      <c r="F1076">
        <f t="shared" si="33"/>
        <v>2004</v>
      </c>
    </row>
    <row r="1077" spans="1:6" x14ac:dyDescent="0.2">
      <c r="A1077" s="20">
        <v>38043</v>
      </c>
      <c r="B1077">
        <v>165.5</v>
      </c>
      <c r="E1077">
        <f t="shared" si="32"/>
        <v>2</v>
      </c>
      <c r="F1077">
        <f t="shared" si="33"/>
        <v>2004</v>
      </c>
    </row>
    <row r="1078" spans="1:6" x14ac:dyDescent="0.2">
      <c r="A1078" s="20">
        <v>38044</v>
      </c>
      <c r="B1078">
        <v>165.5</v>
      </c>
      <c r="E1078">
        <f t="shared" si="32"/>
        <v>2</v>
      </c>
      <c r="F1078">
        <f t="shared" si="33"/>
        <v>2004</v>
      </c>
    </row>
    <row r="1079" spans="1:6" x14ac:dyDescent="0.2">
      <c r="A1079" s="20">
        <v>38047</v>
      </c>
      <c r="B1079">
        <v>164</v>
      </c>
      <c r="E1079">
        <f t="shared" si="32"/>
        <v>3</v>
      </c>
      <c r="F1079">
        <f t="shared" si="33"/>
        <v>2004</v>
      </c>
    </row>
    <row r="1080" spans="1:6" x14ac:dyDescent="0.2">
      <c r="A1080" s="20">
        <v>38048</v>
      </c>
      <c r="B1080">
        <v>162</v>
      </c>
      <c r="E1080">
        <f t="shared" si="32"/>
        <v>3</v>
      </c>
      <c r="F1080">
        <f t="shared" si="33"/>
        <v>2004</v>
      </c>
    </row>
    <row r="1081" spans="1:6" x14ac:dyDescent="0.2">
      <c r="A1081" s="20">
        <v>38049</v>
      </c>
      <c r="B1081">
        <v>161</v>
      </c>
      <c r="E1081">
        <f t="shared" si="32"/>
        <v>3</v>
      </c>
      <c r="F1081">
        <f t="shared" si="33"/>
        <v>2004</v>
      </c>
    </row>
    <row r="1082" spans="1:6" x14ac:dyDescent="0.2">
      <c r="A1082" s="20">
        <v>38050</v>
      </c>
      <c r="B1082">
        <v>160</v>
      </c>
      <c r="E1082">
        <f t="shared" si="32"/>
        <v>3</v>
      </c>
      <c r="F1082">
        <f t="shared" si="33"/>
        <v>2004</v>
      </c>
    </row>
    <row r="1083" spans="1:6" x14ac:dyDescent="0.2">
      <c r="A1083" s="20">
        <v>38051</v>
      </c>
      <c r="B1083">
        <v>159</v>
      </c>
      <c r="E1083">
        <f t="shared" si="32"/>
        <v>3</v>
      </c>
      <c r="F1083">
        <f t="shared" si="33"/>
        <v>2004</v>
      </c>
    </row>
    <row r="1084" spans="1:6" x14ac:dyDescent="0.2">
      <c r="A1084" s="20">
        <v>38054</v>
      </c>
      <c r="B1084">
        <v>171</v>
      </c>
      <c r="E1084">
        <f t="shared" si="32"/>
        <v>3</v>
      </c>
      <c r="F1084">
        <f t="shared" si="33"/>
        <v>2004</v>
      </c>
    </row>
    <row r="1085" spans="1:6" x14ac:dyDescent="0.2">
      <c r="A1085" s="20">
        <v>38055</v>
      </c>
      <c r="B1085">
        <v>170.5</v>
      </c>
      <c r="E1085">
        <f t="shared" si="32"/>
        <v>3</v>
      </c>
      <c r="F1085">
        <f t="shared" si="33"/>
        <v>2004</v>
      </c>
    </row>
    <row r="1086" spans="1:6" x14ac:dyDescent="0.2">
      <c r="A1086" s="20">
        <v>38056</v>
      </c>
      <c r="B1086">
        <v>171.25</v>
      </c>
      <c r="E1086">
        <f t="shared" si="32"/>
        <v>3</v>
      </c>
      <c r="F1086">
        <f t="shared" si="33"/>
        <v>2004</v>
      </c>
    </row>
    <row r="1087" spans="1:6" x14ac:dyDescent="0.2">
      <c r="A1087" s="20">
        <v>38057</v>
      </c>
      <c r="B1087">
        <v>171</v>
      </c>
      <c r="E1087">
        <f t="shared" si="32"/>
        <v>3</v>
      </c>
      <c r="F1087">
        <f t="shared" si="33"/>
        <v>2004</v>
      </c>
    </row>
    <row r="1088" spans="1:6" x14ac:dyDescent="0.2">
      <c r="A1088" s="20">
        <v>38058</v>
      </c>
      <c r="B1088">
        <v>170.25</v>
      </c>
      <c r="E1088">
        <f t="shared" si="32"/>
        <v>3</v>
      </c>
      <c r="F1088">
        <f t="shared" si="33"/>
        <v>2004</v>
      </c>
    </row>
    <row r="1089" spans="1:6" x14ac:dyDescent="0.2">
      <c r="A1089" s="20">
        <v>38061</v>
      </c>
      <c r="B1089">
        <v>170.25</v>
      </c>
      <c r="E1089">
        <f t="shared" si="32"/>
        <v>3</v>
      </c>
      <c r="F1089">
        <f t="shared" si="33"/>
        <v>2004</v>
      </c>
    </row>
    <row r="1090" spans="1:6" x14ac:dyDescent="0.2">
      <c r="A1090" s="20">
        <v>38062</v>
      </c>
      <c r="B1090">
        <v>169.5</v>
      </c>
      <c r="E1090">
        <f t="shared" si="32"/>
        <v>3</v>
      </c>
      <c r="F1090">
        <f t="shared" si="33"/>
        <v>2004</v>
      </c>
    </row>
    <row r="1091" spans="1:6" x14ac:dyDescent="0.2">
      <c r="A1091" s="20">
        <v>38063</v>
      </c>
      <c r="B1091">
        <v>167.75</v>
      </c>
      <c r="E1091">
        <f t="shared" ref="E1091:E1154" si="34">MONTH(A1091)</f>
        <v>3</v>
      </c>
      <c r="F1091">
        <f t="shared" ref="F1091:F1154" si="35">YEAR(A1091)</f>
        <v>2004</v>
      </c>
    </row>
    <row r="1092" spans="1:6" x14ac:dyDescent="0.2">
      <c r="A1092" s="20">
        <v>38064</v>
      </c>
      <c r="B1092">
        <v>167.25</v>
      </c>
      <c r="E1092">
        <f t="shared" si="34"/>
        <v>3</v>
      </c>
      <c r="F1092">
        <f t="shared" si="35"/>
        <v>2004</v>
      </c>
    </row>
    <row r="1093" spans="1:6" x14ac:dyDescent="0.2">
      <c r="A1093" s="20">
        <v>38065</v>
      </c>
      <c r="B1093">
        <v>167.25</v>
      </c>
      <c r="E1093">
        <f t="shared" si="34"/>
        <v>3</v>
      </c>
      <c r="F1093">
        <f t="shared" si="35"/>
        <v>2004</v>
      </c>
    </row>
    <row r="1094" spans="1:6" x14ac:dyDescent="0.2">
      <c r="A1094" s="20">
        <v>38068</v>
      </c>
      <c r="B1094">
        <v>168.25</v>
      </c>
      <c r="E1094">
        <f t="shared" si="34"/>
        <v>3</v>
      </c>
      <c r="F1094">
        <f t="shared" si="35"/>
        <v>2004</v>
      </c>
    </row>
    <row r="1095" spans="1:6" x14ac:dyDescent="0.2">
      <c r="A1095" s="20">
        <v>38069</v>
      </c>
      <c r="B1095">
        <v>168.25</v>
      </c>
      <c r="E1095">
        <f t="shared" si="34"/>
        <v>3</v>
      </c>
      <c r="F1095">
        <f t="shared" si="35"/>
        <v>2004</v>
      </c>
    </row>
    <row r="1096" spans="1:6" x14ac:dyDescent="0.2">
      <c r="A1096" s="20">
        <v>38070</v>
      </c>
      <c r="B1096">
        <v>168.75</v>
      </c>
      <c r="E1096">
        <f t="shared" si="34"/>
        <v>3</v>
      </c>
      <c r="F1096">
        <f t="shared" si="35"/>
        <v>2004</v>
      </c>
    </row>
    <row r="1097" spans="1:6" x14ac:dyDescent="0.2">
      <c r="A1097" s="20">
        <v>38071</v>
      </c>
      <c r="B1097">
        <v>168.5</v>
      </c>
      <c r="E1097">
        <f t="shared" si="34"/>
        <v>3</v>
      </c>
      <c r="F1097">
        <f t="shared" si="35"/>
        <v>2004</v>
      </c>
    </row>
    <row r="1098" spans="1:6" x14ac:dyDescent="0.2">
      <c r="A1098" s="20">
        <v>38072</v>
      </c>
      <c r="B1098">
        <v>168.5</v>
      </c>
      <c r="E1098">
        <f t="shared" si="34"/>
        <v>3</v>
      </c>
      <c r="F1098">
        <f t="shared" si="35"/>
        <v>2004</v>
      </c>
    </row>
    <row r="1099" spans="1:6" x14ac:dyDescent="0.2">
      <c r="A1099" s="20">
        <v>38075</v>
      </c>
      <c r="B1099">
        <v>168</v>
      </c>
      <c r="E1099">
        <f t="shared" si="34"/>
        <v>3</v>
      </c>
      <c r="F1099">
        <f t="shared" si="35"/>
        <v>2004</v>
      </c>
    </row>
    <row r="1100" spans="1:6" x14ac:dyDescent="0.2">
      <c r="A1100" s="20">
        <v>38076</v>
      </c>
      <c r="B1100">
        <v>167</v>
      </c>
      <c r="E1100">
        <f t="shared" si="34"/>
        <v>3</v>
      </c>
      <c r="F1100">
        <f t="shared" si="35"/>
        <v>2004</v>
      </c>
    </row>
    <row r="1101" spans="1:6" x14ac:dyDescent="0.2">
      <c r="A1101" s="20">
        <v>38077</v>
      </c>
      <c r="B1101">
        <v>169</v>
      </c>
      <c r="E1101">
        <f t="shared" si="34"/>
        <v>3</v>
      </c>
      <c r="F1101">
        <f t="shared" si="35"/>
        <v>2004</v>
      </c>
    </row>
    <row r="1102" spans="1:6" x14ac:dyDescent="0.2">
      <c r="A1102" s="20">
        <v>38078</v>
      </c>
      <c r="B1102">
        <v>168</v>
      </c>
      <c r="E1102">
        <f t="shared" si="34"/>
        <v>4</v>
      </c>
      <c r="F1102">
        <f t="shared" si="35"/>
        <v>2004</v>
      </c>
    </row>
    <row r="1103" spans="1:6" x14ac:dyDescent="0.2">
      <c r="A1103" s="20">
        <v>38079</v>
      </c>
      <c r="B1103">
        <v>167.75</v>
      </c>
      <c r="E1103">
        <f t="shared" si="34"/>
        <v>4</v>
      </c>
      <c r="F1103">
        <f t="shared" si="35"/>
        <v>2004</v>
      </c>
    </row>
    <row r="1104" spans="1:6" x14ac:dyDescent="0.2">
      <c r="A1104" s="20">
        <v>38082</v>
      </c>
      <c r="B1104">
        <v>167.5</v>
      </c>
      <c r="E1104">
        <f t="shared" si="34"/>
        <v>4</v>
      </c>
      <c r="F1104">
        <f t="shared" si="35"/>
        <v>2004</v>
      </c>
    </row>
    <row r="1105" spans="1:6" x14ac:dyDescent="0.2">
      <c r="A1105" s="20">
        <v>38083</v>
      </c>
      <c r="B1105">
        <v>166</v>
      </c>
      <c r="E1105">
        <f t="shared" si="34"/>
        <v>4</v>
      </c>
      <c r="F1105">
        <f t="shared" si="35"/>
        <v>2004</v>
      </c>
    </row>
    <row r="1106" spans="1:6" x14ac:dyDescent="0.2">
      <c r="A1106" s="20">
        <v>38084</v>
      </c>
      <c r="B1106">
        <v>164.5</v>
      </c>
      <c r="E1106">
        <f t="shared" si="34"/>
        <v>4</v>
      </c>
      <c r="F1106">
        <f t="shared" si="35"/>
        <v>2004</v>
      </c>
    </row>
    <row r="1107" spans="1:6" x14ac:dyDescent="0.2">
      <c r="A1107" s="20">
        <v>38085</v>
      </c>
      <c r="B1107">
        <v>164</v>
      </c>
      <c r="E1107">
        <f t="shared" si="34"/>
        <v>4</v>
      </c>
      <c r="F1107">
        <f t="shared" si="35"/>
        <v>2004</v>
      </c>
    </row>
    <row r="1108" spans="1:6" x14ac:dyDescent="0.2">
      <c r="A1108" s="20">
        <v>38090</v>
      </c>
      <c r="B1108">
        <v>161.5</v>
      </c>
      <c r="E1108">
        <f t="shared" si="34"/>
        <v>4</v>
      </c>
      <c r="F1108">
        <f t="shared" si="35"/>
        <v>2004</v>
      </c>
    </row>
    <row r="1109" spans="1:6" x14ac:dyDescent="0.2">
      <c r="A1109" s="20">
        <v>38091</v>
      </c>
      <c r="B1109">
        <v>160</v>
      </c>
      <c r="E1109">
        <f t="shared" si="34"/>
        <v>4</v>
      </c>
      <c r="F1109">
        <f t="shared" si="35"/>
        <v>2004</v>
      </c>
    </row>
    <row r="1110" spans="1:6" x14ac:dyDescent="0.2">
      <c r="A1110" s="20">
        <v>38092</v>
      </c>
      <c r="B1110">
        <v>157</v>
      </c>
      <c r="E1110">
        <f t="shared" si="34"/>
        <v>4</v>
      </c>
      <c r="F1110">
        <f t="shared" si="35"/>
        <v>2004</v>
      </c>
    </row>
    <row r="1111" spans="1:6" x14ac:dyDescent="0.2">
      <c r="A1111" s="20">
        <v>38093</v>
      </c>
      <c r="B1111">
        <v>157</v>
      </c>
      <c r="E1111">
        <f t="shared" si="34"/>
        <v>4</v>
      </c>
      <c r="F1111">
        <f t="shared" si="35"/>
        <v>2004</v>
      </c>
    </row>
    <row r="1112" spans="1:6" x14ac:dyDescent="0.2">
      <c r="A1112" s="20">
        <v>38096</v>
      </c>
      <c r="B1112">
        <v>158.25</v>
      </c>
      <c r="E1112">
        <f t="shared" si="34"/>
        <v>4</v>
      </c>
      <c r="F1112">
        <f t="shared" si="35"/>
        <v>2004</v>
      </c>
    </row>
    <row r="1113" spans="1:6" x14ac:dyDescent="0.2">
      <c r="A1113" s="20">
        <v>38097</v>
      </c>
      <c r="B1113">
        <v>161</v>
      </c>
      <c r="E1113">
        <f t="shared" si="34"/>
        <v>4</v>
      </c>
      <c r="F1113">
        <f t="shared" si="35"/>
        <v>2004</v>
      </c>
    </row>
    <row r="1114" spans="1:6" x14ac:dyDescent="0.2">
      <c r="A1114" s="20">
        <v>38098</v>
      </c>
      <c r="B1114">
        <v>162</v>
      </c>
      <c r="E1114">
        <f t="shared" si="34"/>
        <v>4</v>
      </c>
      <c r="F1114">
        <f t="shared" si="35"/>
        <v>2004</v>
      </c>
    </row>
    <row r="1115" spans="1:6" x14ac:dyDescent="0.2">
      <c r="A1115" s="20">
        <v>38099</v>
      </c>
      <c r="B1115">
        <v>162</v>
      </c>
      <c r="E1115">
        <f t="shared" si="34"/>
        <v>4</v>
      </c>
      <c r="F1115">
        <f t="shared" si="35"/>
        <v>2004</v>
      </c>
    </row>
    <row r="1116" spans="1:6" x14ac:dyDescent="0.2">
      <c r="A1116" s="20">
        <v>38100</v>
      </c>
      <c r="B1116">
        <v>163</v>
      </c>
      <c r="E1116">
        <f t="shared" si="34"/>
        <v>4</v>
      </c>
      <c r="F1116">
        <f t="shared" si="35"/>
        <v>2004</v>
      </c>
    </row>
    <row r="1117" spans="1:6" x14ac:dyDescent="0.2">
      <c r="A1117" s="20">
        <v>38103</v>
      </c>
      <c r="B1117">
        <v>164.75</v>
      </c>
      <c r="E1117">
        <f t="shared" si="34"/>
        <v>4</v>
      </c>
      <c r="F1117">
        <f t="shared" si="35"/>
        <v>2004</v>
      </c>
    </row>
    <row r="1118" spans="1:6" x14ac:dyDescent="0.2">
      <c r="A1118" s="20">
        <v>38104</v>
      </c>
      <c r="B1118">
        <v>164</v>
      </c>
      <c r="E1118">
        <f t="shared" si="34"/>
        <v>4</v>
      </c>
      <c r="F1118">
        <f t="shared" si="35"/>
        <v>2004</v>
      </c>
    </row>
    <row r="1119" spans="1:6" x14ac:dyDescent="0.2">
      <c r="A1119" s="20">
        <v>38105</v>
      </c>
      <c r="B1119">
        <v>164</v>
      </c>
      <c r="E1119">
        <f t="shared" si="34"/>
        <v>4</v>
      </c>
      <c r="F1119">
        <f t="shared" si="35"/>
        <v>2004</v>
      </c>
    </row>
    <row r="1120" spans="1:6" x14ac:dyDescent="0.2">
      <c r="A1120" s="20">
        <v>38106</v>
      </c>
      <c r="B1120">
        <v>164</v>
      </c>
      <c r="E1120">
        <f t="shared" si="34"/>
        <v>4</v>
      </c>
      <c r="F1120">
        <f t="shared" si="35"/>
        <v>2004</v>
      </c>
    </row>
    <row r="1121" spans="1:6" x14ac:dyDescent="0.2">
      <c r="A1121" s="20">
        <v>38107</v>
      </c>
      <c r="B1121">
        <v>164.5</v>
      </c>
      <c r="E1121">
        <f t="shared" si="34"/>
        <v>4</v>
      </c>
      <c r="F1121">
        <f t="shared" si="35"/>
        <v>2004</v>
      </c>
    </row>
    <row r="1122" spans="1:6" x14ac:dyDescent="0.2">
      <c r="A1122" s="20">
        <v>38110</v>
      </c>
      <c r="B1122">
        <v>164.75</v>
      </c>
      <c r="E1122">
        <f t="shared" si="34"/>
        <v>5</v>
      </c>
      <c r="F1122">
        <f t="shared" si="35"/>
        <v>2004</v>
      </c>
    </row>
    <row r="1123" spans="1:6" x14ac:dyDescent="0.2">
      <c r="A1123" s="20">
        <v>38111</v>
      </c>
      <c r="B1123">
        <v>164.5</v>
      </c>
      <c r="E1123">
        <f t="shared" si="34"/>
        <v>5</v>
      </c>
      <c r="F1123">
        <f t="shared" si="35"/>
        <v>2004</v>
      </c>
    </row>
    <row r="1124" spans="1:6" x14ac:dyDescent="0.2">
      <c r="A1124" s="20">
        <v>38112</v>
      </c>
      <c r="B1124">
        <v>164</v>
      </c>
      <c r="E1124">
        <f t="shared" si="34"/>
        <v>5</v>
      </c>
      <c r="F1124">
        <f t="shared" si="35"/>
        <v>2004</v>
      </c>
    </row>
    <row r="1125" spans="1:6" x14ac:dyDescent="0.2">
      <c r="A1125" s="20">
        <v>38113</v>
      </c>
      <c r="B1125">
        <v>163.5</v>
      </c>
      <c r="E1125">
        <f t="shared" si="34"/>
        <v>5</v>
      </c>
      <c r="F1125">
        <f t="shared" si="35"/>
        <v>2004</v>
      </c>
    </row>
    <row r="1126" spans="1:6" x14ac:dyDescent="0.2">
      <c r="A1126" s="20">
        <v>38114</v>
      </c>
      <c r="B1126">
        <v>163</v>
      </c>
      <c r="E1126">
        <f t="shared" si="34"/>
        <v>5</v>
      </c>
      <c r="F1126">
        <f t="shared" si="35"/>
        <v>2004</v>
      </c>
    </row>
    <row r="1127" spans="1:6" x14ac:dyDescent="0.2">
      <c r="A1127" s="20">
        <v>38117</v>
      </c>
      <c r="B1127">
        <v>163</v>
      </c>
      <c r="E1127">
        <f t="shared" si="34"/>
        <v>5</v>
      </c>
      <c r="F1127">
        <f t="shared" si="35"/>
        <v>2004</v>
      </c>
    </row>
    <row r="1128" spans="1:6" x14ac:dyDescent="0.2">
      <c r="A1128" s="20">
        <v>38118</v>
      </c>
      <c r="B1128">
        <v>160</v>
      </c>
      <c r="E1128">
        <f t="shared" si="34"/>
        <v>5</v>
      </c>
      <c r="F1128">
        <f t="shared" si="35"/>
        <v>2004</v>
      </c>
    </row>
    <row r="1129" spans="1:6" x14ac:dyDescent="0.2">
      <c r="A1129" s="20">
        <v>38119</v>
      </c>
      <c r="B1129">
        <v>159</v>
      </c>
      <c r="E1129">
        <f t="shared" si="34"/>
        <v>5</v>
      </c>
      <c r="F1129">
        <f t="shared" si="35"/>
        <v>2004</v>
      </c>
    </row>
    <row r="1130" spans="1:6" x14ac:dyDescent="0.2">
      <c r="A1130" s="20">
        <v>38120</v>
      </c>
      <c r="B1130">
        <v>156.25</v>
      </c>
      <c r="E1130">
        <f t="shared" si="34"/>
        <v>5</v>
      </c>
      <c r="F1130">
        <f t="shared" si="35"/>
        <v>2004</v>
      </c>
    </row>
    <row r="1131" spans="1:6" x14ac:dyDescent="0.2">
      <c r="A1131" s="20">
        <v>38121</v>
      </c>
      <c r="B1131">
        <v>156</v>
      </c>
      <c r="E1131">
        <f t="shared" si="34"/>
        <v>5</v>
      </c>
      <c r="F1131">
        <f t="shared" si="35"/>
        <v>2004</v>
      </c>
    </row>
    <row r="1132" spans="1:6" x14ac:dyDescent="0.2">
      <c r="A1132" s="20">
        <v>38124</v>
      </c>
      <c r="B1132">
        <v>156</v>
      </c>
      <c r="E1132">
        <f t="shared" si="34"/>
        <v>5</v>
      </c>
      <c r="F1132">
        <f t="shared" si="35"/>
        <v>2004</v>
      </c>
    </row>
    <row r="1133" spans="1:6" x14ac:dyDescent="0.2">
      <c r="A1133" s="20">
        <v>38125</v>
      </c>
      <c r="B1133">
        <v>156</v>
      </c>
      <c r="E1133">
        <f t="shared" si="34"/>
        <v>5</v>
      </c>
      <c r="F1133">
        <f t="shared" si="35"/>
        <v>2004</v>
      </c>
    </row>
    <row r="1134" spans="1:6" x14ac:dyDescent="0.2">
      <c r="A1134" s="20">
        <v>38126</v>
      </c>
      <c r="B1134">
        <v>155</v>
      </c>
      <c r="E1134">
        <f t="shared" si="34"/>
        <v>5</v>
      </c>
      <c r="F1134">
        <f t="shared" si="35"/>
        <v>2004</v>
      </c>
    </row>
    <row r="1135" spans="1:6" x14ac:dyDescent="0.2">
      <c r="A1135" s="20">
        <v>38127</v>
      </c>
      <c r="B1135">
        <v>156</v>
      </c>
      <c r="E1135">
        <f t="shared" si="34"/>
        <v>5</v>
      </c>
      <c r="F1135">
        <f t="shared" si="35"/>
        <v>2004</v>
      </c>
    </row>
    <row r="1136" spans="1:6" x14ac:dyDescent="0.2">
      <c r="A1136" s="20">
        <v>38128</v>
      </c>
      <c r="B1136">
        <v>155</v>
      </c>
      <c r="E1136">
        <f t="shared" si="34"/>
        <v>5</v>
      </c>
      <c r="F1136">
        <f t="shared" si="35"/>
        <v>2004</v>
      </c>
    </row>
    <row r="1137" spans="1:6" x14ac:dyDescent="0.2">
      <c r="A1137" s="20">
        <v>38131</v>
      </c>
      <c r="B1137">
        <v>153</v>
      </c>
      <c r="E1137">
        <f t="shared" si="34"/>
        <v>5</v>
      </c>
      <c r="F1137">
        <f t="shared" si="35"/>
        <v>2004</v>
      </c>
    </row>
    <row r="1138" spans="1:6" x14ac:dyDescent="0.2">
      <c r="A1138" s="20">
        <v>38132</v>
      </c>
      <c r="B1138">
        <v>148.5</v>
      </c>
      <c r="E1138">
        <f t="shared" si="34"/>
        <v>5</v>
      </c>
      <c r="F1138">
        <f t="shared" si="35"/>
        <v>2004</v>
      </c>
    </row>
    <row r="1139" spans="1:6" x14ac:dyDescent="0.2">
      <c r="A1139" s="20">
        <v>38133</v>
      </c>
      <c r="B1139">
        <v>148.25</v>
      </c>
      <c r="E1139">
        <f t="shared" si="34"/>
        <v>5</v>
      </c>
      <c r="F1139">
        <f t="shared" si="35"/>
        <v>2004</v>
      </c>
    </row>
    <row r="1140" spans="1:6" x14ac:dyDescent="0.2">
      <c r="A1140" s="20">
        <v>38134</v>
      </c>
      <c r="B1140">
        <v>147.25</v>
      </c>
      <c r="E1140">
        <f t="shared" si="34"/>
        <v>5</v>
      </c>
      <c r="F1140">
        <f t="shared" si="35"/>
        <v>2004</v>
      </c>
    </row>
    <row r="1141" spans="1:6" x14ac:dyDescent="0.2">
      <c r="A1141" s="20">
        <v>38135</v>
      </c>
      <c r="B1141">
        <v>145.5</v>
      </c>
      <c r="E1141">
        <f t="shared" si="34"/>
        <v>5</v>
      </c>
      <c r="F1141">
        <f t="shared" si="35"/>
        <v>2004</v>
      </c>
    </row>
    <row r="1142" spans="1:6" x14ac:dyDescent="0.2">
      <c r="A1142" s="20">
        <v>38138</v>
      </c>
      <c r="B1142">
        <v>146.5</v>
      </c>
      <c r="E1142">
        <f t="shared" si="34"/>
        <v>5</v>
      </c>
      <c r="F1142">
        <f t="shared" si="35"/>
        <v>2004</v>
      </c>
    </row>
    <row r="1143" spans="1:6" x14ac:dyDescent="0.2">
      <c r="A1143" s="20">
        <v>38139</v>
      </c>
      <c r="B1143">
        <v>144</v>
      </c>
      <c r="E1143">
        <f t="shared" si="34"/>
        <v>6</v>
      </c>
      <c r="F1143">
        <f t="shared" si="35"/>
        <v>2004</v>
      </c>
    </row>
    <row r="1144" spans="1:6" x14ac:dyDescent="0.2">
      <c r="A1144" s="20">
        <v>38140</v>
      </c>
      <c r="B1144">
        <v>143.5</v>
      </c>
      <c r="E1144">
        <f t="shared" si="34"/>
        <v>6</v>
      </c>
      <c r="F1144">
        <f t="shared" si="35"/>
        <v>2004</v>
      </c>
    </row>
    <row r="1145" spans="1:6" x14ac:dyDescent="0.2">
      <c r="A1145" s="20">
        <v>38141</v>
      </c>
      <c r="B1145">
        <v>145</v>
      </c>
      <c r="E1145">
        <f t="shared" si="34"/>
        <v>6</v>
      </c>
      <c r="F1145">
        <f t="shared" si="35"/>
        <v>2004</v>
      </c>
    </row>
    <row r="1146" spans="1:6" x14ac:dyDescent="0.2">
      <c r="A1146" s="20">
        <v>38142</v>
      </c>
      <c r="B1146">
        <v>146.25</v>
      </c>
      <c r="E1146">
        <f t="shared" si="34"/>
        <v>6</v>
      </c>
      <c r="F1146">
        <f t="shared" si="35"/>
        <v>2004</v>
      </c>
    </row>
    <row r="1147" spans="1:6" x14ac:dyDescent="0.2">
      <c r="A1147" s="20">
        <v>38145</v>
      </c>
      <c r="B1147">
        <v>149.5</v>
      </c>
      <c r="E1147">
        <f t="shared" si="34"/>
        <v>6</v>
      </c>
      <c r="F1147">
        <f t="shared" si="35"/>
        <v>2004</v>
      </c>
    </row>
    <row r="1148" spans="1:6" x14ac:dyDescent="0.2">
      <c r="A1148" s="20">
        <v>38146</v>
      </c>
      <c r="B1148">
        <v>153</v>
      </c>
      <c r="E1148">
        <f t="shared" si="34"/>
        <v>6</v>
      </c>
      <c r="F1148">
        <f t="shared" si="35"/>
        <v>2004</v>
      </c>
    </row>
    <row r="1149" spans="1:6" x14ac:dyDescent="0.2">
      <c r="A1149" s="20">
        <v>38147</v>
      </c>
      <c r="B1149">
        <v>156.5</v>
      </c>
      <c r="E1149">
        <f t="shared" si="34"/>
        <v>6</v>
      </c>
      <c r="F1149">
        <f t="shared" si="35"/>
        <v>2004</v>
      </c>
    </row>
    <row r="1150" spans="1:6" x14ac:dyDescent="0.2">
      <c r="A1150" s="20">
        <v>38148</v>
      </c>
      <c r="B1150">
        <v>156.5</v>
      </c>
      <c r="E1150">
        <f t="shared" si="34"/>
        <v>6</v>
      </c>
      <c r="F1150">
        <f t="shared" si="35"/>
        <v>2004</v>
      </c>
    </row>
    <row r="1151" spans="1:6" x14ac:dyDescent="0.2">
      <c r="A1151" s="20">
        <v>38149</v>
      </c>
      <c r="B1151">
        <v>156</v>
      </c>
      <c r="E1151">
        <f t="shared" si="34"/>
        <v>6</v>
      </c>
      <c r="F1151">
        <f t="shared" si="35"/>
        <v>2004</v>
      </c>
    </row>
    <row r="1152" spans="1:6" x14ac:dyDescent="0.2">
      <c r="A1152" s="20">
        <v>38152</v>
      </c>
      <c r="B1152">
        <v>155.5</v>
      </c>
      <c r="E1152">
        <f t="shared" si="34"/>
        <v>6</v>
      </c>
      <c r="F1152">
        <f t="shared" si="35"/>
        <v>2004</v>
      </c>
    </row>
    <row r="1153" spans="1:6" x14ac:dyDescent="0.2">
      <c r="A1153" s="20">
        <v>38153</v>
      </c>
      <c r="B1153">
        <v>155</v>
      </c>
      <c r="E1153">
        <f t="shared" si="34"/>
        <v>6</v>
      </c>
      <c r="F1153">
        <f t="shared" si="35"/>
        <v>2004</v>
      </c>
    </row>
    <row r="1154" spans="1:6" x14ac:dyDescent="0.2">
      <c r="A1154" s="20">
        <v>38154</v>
      </c>
      <c r="B1154">
        <v>155</v>
      </c>
      <c r="E1154">
        <f t="shared" si="34"/>
        <v>6</v>
      </c>
      <c r="F1154">
        <f t="shared" si="35"/>
        <v>2004</v>
      </c>
    </row>
    <row r="1155" spans="1:6" x14ac:dyDescent="0.2">
      <c r="A1155" s="20">
        <v>38155</v>
      </c>
      <c r="B1155">
        <v>154.5</v>
      </c>
      <c r="E1155">
        <f t="shared" ref="E1155:E1218" si="36">MONTH(A1155)</f>
        <v>6</v>
      </c>
      <c r="F1155">
        <f t="shared" ref="F1155:F1218" si="37">YEAR(A1155)</f>
        <v>2004</v>
      </c>
    </row>
    <row r="1156" spans="1:6" x14ac:dyDescent="0.2">
      <c r="A1156" s="20">
        <v>38156</v>
      </c>
      <c r="B1156">
        <v>152</v>
      </c>
      <c r="E1156">
        <f t="shared" si="36"/>
        <v>6</v>
      </c>
      <c r="F1156">
        <f t="shared" si="37"/>
        <v>2004</v>
      </c>
    </row>
    <row r="1157" spans="1:6" x14ac:dyDescent="0.2">
      <c r="A1157" s="20">
        <v>38159</v>
      </c>
      <c r="B1157">
        <v>151</v>
      </c>
      <c r="E1157">
        <f t="shared" si="36"/>
        <v>6</v>
      </c>
      <c r="F1157">
        <f t="shared" si="37"/>
        <v>2004</v>
      </c>
    </row>
    <row r="1158" spans="1:6" x14ac:dyDescent="0.2">
      <c r="A1158" s="20">
        <v>38160</v>
      </c>
      <c r="B1158">
        <v>151</v>
      </c>
      <c r="E1158">
        <f t="shared" si="36"/>
        <v>6</v>
      </c>
      <c r="F1158">
        <f t="shared" si="37"/>
        <v>2004</v>
      </c>
    </row>
    <row r="1159" spans="1:6" x14ac:dyDescent="0.2">
      <c r="A1159" s="20">
        <v>38161</v>
      </c>
      <c r="B1159">
        <v>150.25</v>
      </c>
      <c r="E1159">
        <f t="shared" si="36"/>
        <v>6</v>
      </c>
      <c r="F1159">
        <f t="shared" si="37"/>
        <v>2004</v>
      </c>
    </row>
    <row r="1160" spans="1:6" x14ac:dyDescent="0.2">
      <c r="A1160" s="20">
        <v>38162</v>
      </c>
      <c r="B1160">
        <v>150</v>
      </c>
      <c r="E1160">
        <f t="shared" si="36"/>
        <v>6</v>
      </c>
      <c r="F1160">
        <f t="shared" si="37"/>
        <v>2004</v>
      </c>
    </row>
    <row r="1161" spans="1:6" x14ac:dyDescent="0.2">
      <c r="A1161" s="20">
        <v>38163</v>
      </c>
      <c r="B1161">
        <v>149.5</v>
      </c>
      <c r="E1161">
        <f t="shared" si="36"/>
        <v>6</v>
      </c>
      <c r="F1161">
        <f t="shared" si="37"/>
        <v>2004</v>
      </c>
    </row>
    <row r="1162" spans="1:6" x14ac:dyDescent="0.2">
      <c r="A1162" s="20">
        <v>38166</v>
      </c>
      <c r="B1162">
        <v>149.5</v>
      </c>
      <c r="E1162">
        <f t="shared" si="36"/>
        <v>6</v>
      </c>
      <c r="F1162">
        <f t="shared" si="37"/>
        <v>2004</v>
      </c>
    </row>
    <row r="1163" spans="1:6" x14ac:dyDescent="0.2">
      <c r="A1163" s="20">
        <v>38167</v>
      </c>
      <c r="B1163">
        <v>150</v>
      </c>
      <c r="E1163">
        <f t="shared" si="36"/>
        <v>6</v>
      </c>
      <c r="F1163">
        <f t="shared" si="37"/>
        <v>2004</v>
      </c>
    </row>
    <row r="1164" spans="1:6" x14ac:dyDescent="0.2">
      <c r="A1164" s="20">
        <v>38168</v>
      </c>
      <c r="B1164">
        <v>147</v>
      </c>
      <c r="E1164">
        <f t="shared" si="36"/>
        <v>6</v>
      </c>
      <c r="F1164">
        <f t="shared" si="37"/>
        <v>2004</v>
      </c>
    </row>
    <row r="1165" spans="1:6" x14ac:dyDescent="0.2">
      <c r="A1165" s="20">
        <v>38169</v>
      </c>
      <c r="B1165">
        <v>145</v>
      </c>
      <c r="E1165">
        <f t="shared" si="36"/>
        <v>7</v>
      </c>
      <c r="F1165">
        <f t="shared" si="37"/>
        <v>2004</v>
      </c>
    </row>
    <row r="1166" spans="1:6" x14ac:dyDescent="0.2">
      <c r="A1166" s="20">
        <v>38170</v>
      </c>
      <c r="B1166">
        <v>145.5</v>
      </c>
      <c r="E1166">
        <f t="shared" si="36"/>
        <v>7</v>
      </c>
      <c r="F1166">
        <f t="shared" si="37"/>
        <v>2004</v>
      </c>
    </row>
    <row r="1167" spans="1:6" x14ac:dyDescent="0.2">
      <c r="A1167" s="20">
        <v>38173</v>
      </c>
      <c r="B1167">
        <v>145</v>
      </c>
      <c r="E1167">
        <f t="shared" si="36"/>
        <v>7</v>
      </c>
      <c r="F1167">
        <f t="shared" si="37"/>
        <v>2004</v>
      </c>
    </row>
    <row r="1168" spans="1:6" x14ac:dyDescent="0.2">
      <c r="A1168" s="20">
        <v>38174</v>
      </c>
      <c r="B1168">
        <v>143.5</v>
      </c>
      <c r="E1168">
        <f t="shared" si="36"/>
        <v>7</v>
      </c>
      <c r="F1168">
        <f t="shared" si="37"/>
        <v>2004</v>
      </c>
    </row>
    <row r="1169" spans="1:6" x14ac:dyDescent="0.2">
      <c r="A1169" s="20">
        <v>38175</v>
      </c>
      <c r="B1169">
        <v>138</v>
      </c>
      <c r="E1169">
        <f t="shared" si="36"/>
        <v>7</v>
      </c>
      <c r="F1169">
        <f t="shared" si="37"/>
        <v>2004</v>
      </c>
    </row>
    <row r="1170" spans="1:6" x14ac:dyDescent="0.2">
      <c r="A1170" s="20">
        <v>38176</v>
      </c>
      <c r="B1170">
        <v>135</v>
      </c>
      <c r="E1170">
        <f t="shared" si="36"/>
        <v>7</v>
      </c>
      <c r="F1170">
        <f t="shared" si="37"/>
        <v>2004</v>
      </c>
    </row>
    <row r="1171" spans="1:6" x14ac:dyDescent="0.2">
      <c r="A1171" s="20">
        <v>38177</v>
      </c>
      <c r="B1171">
        <v>132.5</v>
      </c>
      <c r="E1171">
        <f t="shared" si="36"/>
        <v>7</v>
      </c>
      <c r="F1171">
        <f t="shared" si="37"/>
        <v>2004</v>
      </c>
    </row>
    <row r="1172" spans="1:6" x14ac:dyDescent="0.2">
      <c r="A1172" s="20">
        <v>38180</v>
      </c>
      <c r="B1172">
        <v>131</v>
      </c>
      <c r="E1172">
        <f t="shared" si="36"/>
        <v>7</v>
      </c>
      <c r="F1172">
        <f t="shared" si="37"/>
        <v>2004</v>
      </c>
    </row>
    <row r="1173" spans="1:6" x14ac:dyDescent="0.2">
      <c r="A1173" s="20">
        <v>38181</v>
      </c>
      <c r="B1173">
        <v>132.5</v>
      </c>
      <c r="E1173">
        <f t="shared" si="36"/>
        <v>7</v>
      </c>
      <c r="F1173">
        <f t="shared" si="37"/>
        <v>2004</v>
      </c>
    </row>
    <row r="1174" spans="1:6" x14ac:dyDescent="0.2">
      <c r="A1174" s="20">
        <v>38182</v>
      </c>
      <c r="B1174">
        <v>132</v>
      </c>
      <c r="E1174">
        <f t="shared" si="36"/>
        <v>7</v>
      </c>
      <c r="F1174">
        <f t="shared" si="37"/>
        <v>2004</v>
      </c>
    </row>
    <row r="1175" spans="1:6" x14ac:dyDescent="0.2">
      <c r="A1175" s="20">
        <v>38183</v>
      </c>
      <c r="B1175">
        <v>137</v>
      </c>
      <c r="E1175">
        <f t="shared" si="36"/>
        <v>7</v>
      </c>
      <c r="F1175">
        <f t="shared" si="37"/>
        <v>2004</v>
      </c>
    </row>
    <row r="1176" spans="1:6" x14ac:dyDescent="0.2">
      <c r="A1176" s="20">
        <v>38184</v>
      </c>
      <c r="B1176">
        <v>137</v>
      </c>
      <c r="E1176">
        <f t="shared" si="36"/>
        <v>7</v>
      </c>
      <c r="F1176">
        <f t="shared" si="37"/>
        <v>2004</v>
      </c>
    </row>
    <row r="1177" spans="1:6" x14ac:dyDescent="0.2">
      <c r="A1177" s="20">
        <v>38187</v>
      </c>
      <c r="B1177">
        <v>137</v>
      </c>
      <c r="E1177">
        <f t="shared" si="36"/>
        <v>7</v>
      </c>
      <c r="F1177">
        <f t="shared" si="37"/>
        <v>2004</v>
      </c>
    </row>
    <row r="1178" spans="1:6" x14ac:dyDescent="0.2">
      <c r="A1178" s="20">
        <v>38188</v>
      </c>
      <c r="B1178">
        <v>137.25</v>
      </c>
      <c r="E1178">
        <f t="shared" si="36"/>
        <v>7</v>
      </c>
      <c r="F1178">
        <f t="shared" si="37"/>
        <v>2004</v>
      </c>
    </row>
    <row r="1179" spans="1:6" x14ac:dyDescent="0.2">
      <c r="A1179" s="20">
        <v>38189</v>
      </c>
      <c r="B1179">
        <v>136.75</v>
      </c>
      <c r="E1179">
        <f t="shared" si="36"/>
        <v>7</v>
      </c>
      <c r="F1179">
        <f t="shared" si="37"/>
        <v>2004</v>
      </c>
    </row>
    <row r="1180" spans="1:6" x14ac:dyDescent="0.2">
      <c r="A1180" s="20">
        <v>38190</v>
      </c>
      <c r="B1180">
        <v>137</v>
      </c>
      <c r="E1180">
        <f t="shared" si="36"/>
        <v>7</v>
      </c>
      <c r="F1180">
        <f t="shared" si="37"/>
        <v>2004</v>
      </c>
    </row>
    <row r="1181" spans="1:6" x14ac:dyDescent="0.2">
      <c r="A1181" s="20">
        <v>38191</v>
      </c>
      <c r="B1181">
        <v>137</v>
      </c>
      <c r="E1181">
        <f t="shared" si="36"/>
        <v>7</v>
      </c>
      <c r="F1181">
        <f t="shared" si="37"/>
        <v>2004</v>
      </c>
    </row>
    <row r="1182" spans="1:6" x14ac:dyDescent="0.2">
      <c r="A1182" s="20">
        <v>38194</v>
      </c>
      <c r="B1182">
        <v>136.5</v>
      </c>
      <c r="E1182">
        <f t="shared" si="36"/>
        <v>7</v>
      </c>
      <c r="F1182">
        <f t="shared" si="37"/>
        <v>2004</v>
      </c>
    </row>
    <row r="1183" spans="1:6" x14ac:dyDescent="0.2">
      <c r="A1183" s="20">
        <v>38195</v>
      </c>
      <c r="B1183">
        <v>137</v>
      </c>
      <c r="E1183">
        <f t="shared" si="36"/>
        <v>7</v>
      </c>
      <c r="F1183">
        <f t="shared" si="37"/>
        <v>2004</v>
      </c>
    </row>
    <row r="1184" spans="1:6" x14ac:dyDescent="0.2">
      <c r="A1184" s="20">
        <v>38196</v>
      </c>
      <c r="B1184">
        <v>137.25</v>
      </c>
      <c r="E1184">
        <f t="shared" si="36"/>
        <v>7</v>
      </c>
      <c r="F1184">
        <f t="shared" si="37"/>
        <v>2004</v>
      </c>
    </row>
    <row r="1185" spans="1:6" x14ac:dyDescent="0.2">
      <c r="A1185" s="20">
        <v>38197</v>
      </c>
      <c r="B1185">
        <v>137.5</v>
      </c>
      <c r="E1185">
        <f t="shared" si="36"/>
        <v>7</v>
      </c>
      <c r="F1185">
        <f t="shared" si="37"/>
        <v>2004</v>
      </c>
    </row>
    <row r="1186" spans="1:6" x14ac:dyDescent="0.2">
      <c r="A1186" s="20">
        <v>38198</v>
      </c>
      <c r="B1186">
        <v>138</v>
      </c>
      <c r="E1186">
        <f t="shared" si="36"/>
        <v>7</v>
      </c>
      <c r="F1186">
        <f t="shared" si="37"/>
        <v>2004</v>
      </c>
    </row>
    <row r="1187" spans="1:6" x14ac:dyDescent="0.2">
      <c r="A1187" s="20">
        <v>38201</v>
      </c>
      <c r="B1187">
        <v>138.5</v>
      </c>
      <c r="E1187">
        <f t="shared" si="36"/>
        <v>8</v>
      </c>
      <c r="F1187">
        <f t="shared" si="37"/>
        <v>2004</v>
      </c>
    </row>
    <row r="1188" spans="1:6" x14ac:dyDescent="0.2">
      <c r="A1188" s="20">
        <v>38202</v>
      </c>
      <c r="B1188">
        <v>138</v>
      </c>
      <c r="E1188">
        <f t="shared" si="36"/>
        <v>8</v>
      </c>
      <c r="F1188">
        <f t="shared" si="37"/>
        <v>2004</v>
      </c>
    </row>
    <row r="1189" spans="1:6" x14ac:dyDescent="0.2">
      <c r="A1189" s="20">
        <v>38203</v>
      </c>
      <c r="B1189">
        <v>137.5</v>
      </c>
      <c r="E1189">
        <f t="shared" si="36"/>
        <v>8</v>
      </c>
      <c r="F1189">
        <f t="shared" si="37"/>
        <v>2004</v>
      </c>
    </row>
    <row r="1190" spans="1:6" x14ac:dyDescent="0.2">
      <c r="A1190" s="20">
        <v>38204</v>
      </c>
      <c r="B1190">
        <v>137</v>
      </c>
      <c r="E1190">
        <f t="shared" si="36"/>
        <v>8</v>
      </c>
      <c r="F1190">
        <f t="shared" si="37"/>
        <v>2004</v>
      </c>
    </row>
    <row r="1191" spans="1:6" x14ac:dyDescent="0.2">
      <c r="A1191" s="20">
        <v>38205</v>
      </c>
      <c r="B1191">
        <v>118.5</v>
      </c>
      <c r="E1191">
        <f t="shared" si="36"/>
        <v>8</v>
      </c>
      <c r="F1191">
        <f t="shared" si="37"/>
        <v>2004</v>
      </c>
    </row>
    <row r="1192" spans="1:6" x14ac:dyDescent="0.2">
      <c r="A1192" s="20">
        <v>38208</v>
      </c>
      <c r="B1192">
        <v>117.75</v>
      </c>
      <c r="E1192">
        <f t="shared" si="36"/>
        <v>8</v>
      </c>
      <c r="F1192">
        <f t="shared" si="37"/>
        <v>2004</v>
      </c>
    </row>
    <row r="1193" spans="1:6" x14ac:dyDescent="0.2">
      <c r="A1193" s="20">
        <v>38209</v>
      </c>
      <c r="B1193">
        <v>116</v>
      </c>
      <c r="E1193">
        <f t="shared" si="36"/>
        <v>8</v>
      </c>
      <c r="F1193">
        <f t="shared" si="37"/>
        <v>2004</v>
      </c>
    </row>
    <row r="1194" spans="1:6" x14ac:dyDescent="0.2">
      <c r="A1194" s="20">
        <v>38210</v>
      </c>
      <c r="B1194">
        <v>116</v>
      </c>
      <c r="E1194">
        <f t="shared" si="36"/>
        <v>8</v>
      </c>
      <c r="F1194">
        <f t="shared" si="37"/>
        <v>2004</v>
      </c>
    </row>
    <row r="1195" spans="1:6" x14ac:dyDescent="0.2">
      <c r="A1195" s="20">
        <v>38211</v>
      </c>
      <c r="B1195">
        <v>114.5</v>
      </c>
      <c r="E1195">
        <f t="shared" si="36"/>
        <v>8</v>
      </c>
      <c r="F1195">
        <f t="shared" si="37"/>
        <v>2004</v>
      </c>
    </row>
    <row r="1196" spans="1:6" x14ac:dyDescent="0.2">
      <c r="A1196" s="20">
        <v>38212</v>
      </c>
      <c r="B1196">
        <v>114.5</v>
      </c>
      <c r="E1196">
        <f t="shared" si="36"/>
        <v>8</v>
      </c>
      <c r="F1196">
        <f t="shared" si="37"/>
        <v>2004</v>
      </c>
    </row>
    <row r="1197" spans="1:6" x14ac:dyDescent="0.2">
      <c r="A1197" s="20">
        <v>38215</v>
      </c>
      <c r="B1197">
        <v>114</v>
      </c>
      <c r="E1197">
        <f t="shared" si="36"/>
        <v>8</v>
      </c>
      <c r="F1197">
        <f t="shared" si="37"/>
        <v>2004</v>
      </c>
    </row>
    <row r="1198" spans="1:6" x14ac:dyDescent="0.2">
      <c r="A1198" s="20">
        <v>38216</v>
      </c>
      <c r="B1198">
        <v>113.5</v>
      </c>
      <c r="E1198">
        <f t="shared" si="36"/>
        <v>8</v>
      </c>
      <c r="F1198">
        <f t="shared" si="37"/>
        <v>2004</v>
      </c>
    </row>
    <row r="1199" spans="1:6" x14ac:dyDescent="0.2">
      <c r="A1199" s="20">
        <v>38217</v>
      </c>
      <c r="B1199">
        <v>113.5</v>
      </c>
      <c r="E1199">
        <f t="shared" si="36"/>
        <v>8</v>
      </c>
      <c r="F1199">
        <f t="shared" si="37"/>
        <v>2004</v>
      </c>
    </row>
    <row r="1200" spans="1:6" x14ac:dyDescent="0.2">
      <c r="A1200" s="20">
        <v>38218</v>
      </c>
      <c r="B1200">
        <v>113.75</v>
      </c>
      <c r="E1200">
        <f t="shared" si="36"/>
        <v>8</v>
      </c>
      <c r="F1200">
        <f t="shared" si="37"/>
        <v>2004</v>
      </c>
    </row>
    <row r="1201" spans="1:6" x14ac:dyDescent="0.2">
      <c r="A1201" s="20">
        <v>38219</v>
      </c>
      <c r="B1201">
        <v>113.75</v>
      </c>
      <c r="E1201">
        <f t="shared" si="36"/>
        <v>8</v>
      </c>
      <c r="F1201">
        <f t="shared" si="37"/>
        <v>2004</v>
      </c>
    </row>
    <row r="1202" spans="1:6" x14ac:dyDescent="0.2">
      <c r="A1202" s="20">
        <v>38222</v>
      </c>
      <c r="B1202">
        <v>113.5</v>
      </c>
      <c r="E1202">
        <f t="shared" si="36"/>
        <v>8</v>
      </c>
      <c r="F1202">
        <f t="shared" si="37"/>
        <v>2004</v>
      </c>
    </row>
    <row r="1203" spans="1:6" x14ac:dyDescent="0.2">
      <c r="A1203" s="20">
        <v>38223</v>
      </c>
      <c r="B1203">
        <v>114</v>
      </c>
      <c r="E1203">
        <f t="shared" si="36"/>
        <v>8</v>
      </c>
      <c r="F1203">
        <f t="shared" si="37"/>
        <v>2004</v>
      </c>
    </row>
    <row r="1204" spans="1:6" x14ac:dyDescent="0.2">
      <c r="A1204" s="20">
        <v>38224</v>
      </c>
      <c r="B1204">
        <v>114</v>
      </c>
      <c r="E1204">
        <f t="shared" si="36"/>
        <v>8</v>
      </c>
      <c r="F1204">
        <f t="shared" si="37"/>
        <v>2004</v>
      </c>
    </row>
    <row r="1205" spans="1:6" x14ac:dyDescent="0.2">
      <c r="A1205" s="20">
        <v>38225</v>
      </c>
      <c r="B1205">
        <v>114.5</v>
      </c>
      <c r="E1205">
        <f t="shared" si="36"/>
        <v>8</v>
      </c>
      <c r="F1205">
        <f t="shared" si="37"/>
        <v>2004</v>
      </c>
    </row>
    <row r="1206" spans="1:6" x14ac:dyDescent="0.2">
      <c r="A1206" s="20">
        <v>38226</v>
      </c>
      <c r="B1206">
        <v>114.5</v>
      </c>
      <c r="E1206">
        <f t="shared" si="36"/>
        <v>8</v>
      </c>
      <c r="F1206">
        <f t="shared" si="37"/>
        <v>2004</v>
      </c>
    </row>
    <row r="1207" spans="1:6" x14ac:dyDescent="0.2">
      <c r="A1207" s="20">
        <v>38229</v>
      </c>
      <c r="B1207">
        <v>115</v>
      </c>
      <c r="E1207">
        <f t="shared" si="36"/>
        <v>8</v>
      </c>
      <c r="F1207">
        <f t="shared" si="37"/>
        <v>2004</v>
      </c>
    </row>
    <row r="1208" spans="1:6" x14ac:dyDescent="0.2">
      <c r="A1208" s="20">
        <v>38230</v>
      </c>
      <c r="B1208">
        <v>114.5</v>
      </c>
      <c r="E1208">
        <f t="shared" si="36"/>
        <v>8</v>
      </c>
      <c r="F1208">
        <f t="shared" si="37"/>
        <v>2004</v>
      </c>
    </row>
    <row r="1209" spans="1:6" x14ac:dyDescent="0.2">
      <c r="A1209" s="20">
        <v>38231</v>
      </c>
      <c r="B1209">
        <v>113.5</v>
      </c>
      <c r="E1209">
        <f t="shared" si="36"/>
        <v>9</v>
      </c>
      <c r="F1209">
        <f t="shared" si="37"/>
        <v>2004</v>
      </c>
    </row>
    <row r="1210" spans="1:6" x14ac:dyDescent="0.2">
      <c r="A1210" s="20">
        <v>38232</v>
      </c>
      <c r="B1210">
        <v>112.75</v>
      </c>
      <c r="E1210">
        <f t="shared" si="36"/>
        <v>9</v>
      </c>
      <c r="F1210">
        <f t="shared" si="37"/>
        <v>2004</v>
      </c>
    </row>
    <row r="1211" spans="1:6" x14ac:dyDescent="0.2">
      <c r="A1211" s="20">
        <v>38233</v>
      </c>
      <c r="B1211">
        <v>112</v>
      </c>
      <c r="E1211">
        <f t="shared" si="36"/>
        <v>9</v>
      </c>
      <c r="F1211">
        <f t="shared" si="37"/>
        <v>2004</v>
      </c>
    </row>
    <row r="1212" spans="1:6" x14ac:dyDescent="0.2">
      <c r="A1212" s="20">
        <v>38236</v>
      </c>
      <c r="B1212">
        <v>110</v>
      </c>
      <c r="E1212">
        <f t="shared" si="36"/>
        <v>9</v>
      </c>
      <c r="F1212">
        <f t="shared" si="37"/>
        <v>2004</v>
      </c>
    </row>
    <row r="1213" spans="1:6" x14ac:dyDescent="0.2">
      <c r="A1213" s="20">
        <v>38237</v>
      </c>
      <c r="B1213">
        <v>108</v>
      </c>
      <c r="E1213">
        <f t="shared" si="36"/>
        <v>9</v>
      </c>
      <c r="F1213">
        <f t="shared" si="37"/>
        <v>2004</v>
      </c>
    </row>
    <row r="1214" spans="1:6" x14ac:dyDescent="0.2">
      <c r="A1214" s="20">
        <v>38238</v>
      </c>
      <c r="B1214">
        <v>107.75</v>
      </c>
      <c r="E1214">
        <f t="shared" si="36"/>
        <v>9</v>
      </c>
      <c r="F1214">
        <f t="shared" si="37"/>
        <v>2004</v>
      </c>
    </row>
    <row r="1215" spans="1:6" x14ac:dyDescent="0.2">
      <c r="A1215" s="20">
        <v>38239</v>
      </c>
      <c r="B1215">
        <v>107.5</v>
      </c>
      <c r="E1215">
        <f t="shared" si="36"/>
        <v>9</v>
      </c>
      <c r="F1215">
        <f t="shared" si="37"/>
        <v>2004</v>
      </c>
    </row>
    <row r="1216" spans="1:6" x14ac:dyDescent="0.2">
      <c r="A1216" s="20">
        <v>38240</v>
      </c>
      <c r="B1216">
        <v>107.25</v>
      </c>
      <c r="E1216">
        <f t="shared" si="36"/>
        <v>9</v>
      </c>
      <c r="F1216">
        <f t="shared" si="37"/>
        <v>2004</v>
      </c>
    </row>
    <row r="1217" spans="1:6" x14ac:dyDescent="0.2">
      <c r="A1217" s="20">
        <v>38243</v>
      </c>
      <c r="B1217">
        <v>107</v>
      </c>
      <c r="E1217">
        <f t="shared" si="36"/>
        <v>9</v>
      </c>
      <c r="F1217">
        <f t="shared" si="37"/>
        <v>2004</v>
      </c>
    </row>
    <row r="1218" spans="1:6" x14ac:dyDescent="0.2">
      <c r="A1218" s="20">
        <v>38244</v>
      </c>
      <c r="B1218">
        <v>106</v>
      </c>
      <c r="E1218">
        <f t="shared" si="36"/>
        <v>9</v>
      </c>
      <c r="F1218">
        <f t="shared" si="37"/>
        <v>2004</v>
      </c>
    </row>
    <row r="1219" spans="1:6" x14ac:dyDescent="0.2">
      <c r="A1219" s="20">
        <v>38245</v>
      </c>
      <c r="B1219">
        <v>105.75</v>
      </c>
      <c r="E1219">
        <f t="shared" ref="E1219:E1282" si="38">MONTH(A1219)</f>
        <v>9</v>
      </c>
      <c r="F1219">
        <f t="shared" ref="F1219:F1282" si="39">YEAR(A1219)</f>
        <v>2004</v>
      </c>
    </row>
    <row r="1220" spans="1:6" x14ac:dyDescent="0.2">
      <c r="A1220" s="20">
        <v>38246</v>
      </c>
      <c r="B1220">
        <v>105.75</v>
      </c>
      <c r="E1220">
        <f t="shared" si="38"/>
        <v>9</v>
      </c>
      <c r="F1220">
        <f t="shared" si="39"/>
        <v>2004</v>
      </c>
    </row>
    <row r="1221" spans="1:6" x14ac:dyDescent="0.2">
      <c r="A1221" s="20">
        <v>38247</v>
      </c>
      <c r="B1221">
        <v>106.5</v>
      </c>
      <c r="E1221">
        <f t="shared" si="38"/>
        <v>9</v>
      </c>
      <c r="F1221">
        <f t="shared" si="39"/>
        <v>2004</v>
      </c>
    </row>
    <row r="1222" spans="1:6" x14ac:dyDescent="0.2">
      <c r="A1222" s="20">
        <v>38250</v>
      </c>
      <c r="B1222">
        <v>106</v>
      </c>
      <c r="E1222">
        <f t="shared" si="38"/>
        <v>9</v>
      </c>
      <c r="F1222">
        <f t="shared" si="39"/>
        <v>2004</v>
      </c>
    </row>
    <row r="1223" spans="1:6" x14ac:dyDescent="0.2">
      <c r="A1223" s="20">
        <v>38251</v>
      </c>
      <c r="B1223">
        <v>107.25</v>
      </c>
      <c r="E1223">
        <f t="shared" si="38"/>
        <v>9</v>
      </c>
      <c r="F1223">
        <f t="shared" si="39"/>
        <v>2004</v>
      </c>
    </row>
    <row r="1224" spans="1:6" x14ac:dyDescent="0.2">
      <c r="A1224" s="20">
        <v>38252</v>
      </c>
      <c r="B1224">
        <v>107</v>
      </c>
      <c r="E1224">
        <f t="shared" si="38"/>
        <v>9</v>
      </c>
      <c r="F1224">
        <f t="shared" si="39"/>
        <v>2004</v>
      </c>
    </row>
    <row r="1225" spans="1:6" x14ac:dyDescent="0.2">
      <c r="A1225" s="20">
        <v>38253</v>
      </c>
      <c r="B1225">
        <v>107.25</v>
      </c>
      <c r="E1225">
        <f t="shared" si="38"/>
        <v>9</v>
      </c>
      <c r="F1225">
        <f t="shared" si="39"/>
        <v>2004</v>
      </c>
    </row>
    <row r="1226" spans="1:6" x14ac:dyDescent="0.2">
      <c r="A1226" s="20">
        <v>38254</v>
      </c>
      <c r="B1226">
        <v>107</v>
      </c>
      <c r="E1226">
        <f t="shared" si="38"/>
        <v>9</v>
      </c>
      <c r="F1226">
        <f t="shared" si="39"/>
        <v>2004</v>
      </c>
    </row>
    <row r="1227" spans="1:6" x14ac:dyDescent="0.2">
      <c r="A1227" s="20">
        <v>38257</v>
      </c>
      <c r="B1227">
        <v>107</v>
      </c>
      <c r="E1227">
        <f t="shared" si="38"/>
        <v>9</v>
      </c>
      <c r="F1227">
        <f t="shared" si="39"/>
        <v>2004</v>
      </c>
    </row>
    <row r="1228" spans="1:6" x14ac:dyDescent="0.2">
      <c r="A1228" s="20">
        <v>38258</v>
      </c>
      <c r="B1228">
        <v>108</v>
      </c>
      <c r="E1228">
        <f t="shared" si="38"/>
        <v>9</v>
      </c>
      <c r="F1228">
        <f t="shared" si="39"/>
        <v>2004</v>
      </c>
    </row>
    <row r="1229" spans="1:6" x14ac:dyDescent="0.2">
      <c r="A1229" s="20">
        <v>38259</v>
      </c>
      <c r="B1229">
        <v>107.75</v>
      </c>
      <c r="E1229">
        <f t="shared" si="38"/>
        <v>9</v>
      </c>
      <c r="F1229">
        <f t="shared" si="39"/>
        <v>2004</v>
      </c>
    </row>
    <row r="1230" spans="1:6" x14ac:dyDescent="0.2">
      <c r="A1230" s="20">
        <v>38260</v>
      </c>
      <c r="B1230">
        <v>108</v>
      </c>
      <c r="E1230">
        <f t="shared" si="38"/>
        <v>9</v>
      </c>
      <c r="F1230">
        <f t="shared" si="39"/>
        <v>2004</v>
      </c>
    </row>
    <row r="1231" spans="1:6" x14ac:dyDescent="0.2">
      <c r="A1231" s="20">
        <v>38261</v>
      </c>
      <c r="B1231">
        <v>108</v>
      </c>
      <c r="E1231">
        <f t="shared" si="38"/>
        <v>10</v>
      </c>
      <c r="F1231">
        <f t="shared" si="39"/>
        <v>2004</v>
      </c>
    </row>
    <row r="1232" spans="1:6" x14ac:dyDescent="0.2">
      <c r="A1232" s="20">
        <v>38264</v>
      </c>
      <c r="B1232">
        <v>107.75</v>
      </c>
      <c r="E1232">
        <f t="shared" si="38"/>
        <v>10</v>
      </c>
      <c r="F1232">
        <f t="shared" si="39"/>
        <v>2004</v>
      </c>
    </row>
    <row r="1233" spans="1:6" x14ac:dyDescent="0.2">
      <c r="A1233" s="20">
        <v>38265</v>
      </c>
      <c r="B1233">
        <v>107.75</v>
      </c>
      <c r="E1233">
        <f t="shared" si="38"/>
        <v>10</v>
      </c>
      <c r="F1233">
        <f t="shared" si="39"/>
        <v>2004</v>
      </c>
    </row>
    <row r="1234" spans="1:6" x14ac:dyDescent="0.2">
      <c r="A1234" s="20">
        <v>38266</v>
      </c>
      <c r="B1234">
        <v>107</v>
      </c>
      <c r="E1234">
        <f t="shared" si="38"/>
        <v>10</v>
      </c>
      <c r="F1234">
        <f t="shared" si="39"/>
        <v>2004</v>
      </c>
    </row>
    <row r="1235" spans="1:6" x14ac:dyDescent="0.2">
      <c r="A1235" s="20">
        <v>38267</v>
      </c>
      <c r="B1235">
        <v>106</v>
      </c>
      <c r="E1235">
        <f t="shared" si="38"/>
        <v>10</v>
      </c>
      <c r="F1235">
        <f t="shared" si="39"/>
        <v>2004</v>
      </c>
    </row>
    <row r="1236" spans="1:6" x14ac:dyDescent="0.2">
      <c r="A1236" s="20">
        <v>38268</v>
      </c>
      <c r="B1236">
        <v>105.5</v>
      </c>
      <c r="E1236">
        <f t="shared" si="38"/>
        <v>10</v>
      </c>
      <c r="F1236">
        <f t="shared" si="39"/>
        <v>2004</v>
      </c>
    </row>
    <row r="1237" spans="1:6" x14ac:dyDescent="0.2">
      <c r="A1237" s="20">
        <v>38271</v>
      </c>
      <c r="B1237">
        <v>105</v>
      </c>
      <c r="E1237">
        <f t="shared" si="38"/>
        <v>10</v>
      </c>
      <c r="F1237">
        <f t="shared" si="39"/>
        <v>2004</v>
      </c>
    </row>
    <row r="1238" spans="1:6" x14ac:dyDescent="0.2">
      <c r="A1238" s="20">
        <v>38272</v>
      </c>
      <c r="B1238">
        <v>104.75</v>
      </c>
      <c r="E1238">
        <f t="shared" si="38"/>
        <v>10</v>
      </c>
      <c r="F1238">
        <f t="shared" si="39"/>
        <v>2004</v>
      </c>
    </row>
    <row r="1239" spans="1:6" x14ac:dyDescent="0.2">
      <c r="A1239" s="20">
        <v>38273</v>
      </c>
      <c r="B1239">
        <v>105</v>
      </c>
      <c r="E1239">
        <f t="shared" si="38"/>
        <v>10</v>
      </c>
      <c r="F1239">
        <f t="shared" si="39"/>
        <v>2004</v>
      </c>
    </row>
    <row r="1240" spans="1:6" x14ac:dyDescent="0.2">
      <c r="A1240" s="20">
        <v>38274</v>
      </c>
      <c r="B1240">
        <v>106</v>
      </c>
      <c r="E1240">
        <f t="shared" si="38"/>
        <v>10</v>
      </c>
      <c r="F1240">
        <f t="shared" si="39"/>
        <v>2004</v>
      </c>
    </row>
    <row r="1241" spans="1:6" x14ac:dyDescent="0.2">
      <c r="A1241" s="20">
        <v>38275</v>
      </c>
      <c r="B1241">
        <v>107.25</v>
      </c>
      <c r="E1241">
        <f t="shared" si="38"/>
        <v>10</v>
      </c>
      <c r="F1241">
        <f t="shared" si="39"/>
        <v>2004</v>
      </c>
    </row>
    <row r="1242" spans="1:6" x14ac:dyDescent="0.2">
      <c r="A1242" s="20">
        <v>38278</v>
      </c>
      <c r="B1242">
        <v>107.25</v>
      </c>
      <c r="E1242">
        <f t="shared" si="38"/>
        <v>10</v>
      </c>
      <c r="F1242">
        <f t="shared" si="39"/>
        <v>2004</v>
      </c>
    </row>
    <row r="1243" spans="1:6" x14ac:dyDescent="0.2">
      <c r="A1243" s="20">
        <v>38279</v>
      </c>
      <c r="B1243">
        <v>107</v>
      </c>
      <c r="E1243">
        <f t="shared" si="38"/>
        <v>10</v>
      </c>
      <c r="F1243">
        <f t="shared" si="39"/>
        <v>2004</v>
      </c>
    </row>
    <row r="1244" spans="1:6" x14ac:dyDescent="0.2">
      <c r="A1244" s="20">
        <v>38280</v>
      </c>
      <c r="B1244">
        <v>106.75</v>
      </c>
      <c r="E1244">
        <f t="shared" si="38"/>
        <v>10</v>
      </c>
      <c r="F1244">
        <f t="shared" si="39"/>
        <v>2004</v>
      </c>
    </row>
    <row r="1245" spans="1:6" x14ac:dyDescent="0.2">
      <c r="A1245" s="20">
        <v>38281</v>
      </c>
      <c r="B1245">
        <v>106.75</v>
      </c>
      <c r="E1245">
        <f t="shared" si="38"/>
        <v>10</v>
      </c>
      <c r="F1245">
        <f t="shared" si="39"/>
        <v>2004</v>
      </c>
    </row>
    <row r="1246" spans="1:6" x14ac:dyDescent="0.2">
      <c r="A1246" s="20">
        <v>38282</v>
      </c>
      <c r="B1246">
        <v>106.25</v>
      </c>
      <c r="E1246">
        <f t="shared" si="38"/>
        <v>10</v>
      </c>
      <c r="F1246">
        <f t="shared" si="39"/>
        <v>2004</v>
      </c>
    </row>
    <row r="1247" spans="1:6" x14ac:dyDescent="0.2">
      <c r="A1247" s="20">
        <v>38285</v>
      </c>
      <c r="B1247">
        <v>106.5</v>
      </c>
      <c r="E1247">
        <f t="shared" si="38"/>
        <v>10</v>
      </c>
      <c r="F1247">
        <f t="shared" si="39"/>
        <v>2004</v>
      </c>
    </row>
    <row r="1248" spans="1:6" x14ac:dyDescent="0.2">
      <c r="A1248" s="20">
        <v>38286</v>
      </c>
      <c r="B1248">
        <v>106.75</v>
      </c>
      <c r="E1248">
        <f t="shared" si="38"/>
        <v>10</v>
      </c>
      <c r="F1248">
        <f t="shared" si="39"/>
        <v>2004</v>
      </c>
    </row>
    <row r="1249" spans="1:6" x14ac:dyDescent="0.2">
      <c r="A1249" s="20">
        <v>38287</v>
      </c>
      <c r="B1249">
        <v>106.5</v>
      </c>
      <c r="E1249">
        <f t="shared" si="38"/>
        <v>10</v>
      </c>
      <c r="F1249">
        <f t="shared" si="39"/>
        <v>2004</v>
      </c>
    </row>
    <row r="1250" spans="1:6" x14ac:dyDescent="0.2">
      <c r="A1250" s="20">
        <v>38288</v>
      </c>
      <c r="B1250">
        <v>107</v>
      </c>
      <c r="E1250">
        <f t="shared" si="38"/>
        <v>10</v>
      </c>
      <c r="F1250">
        <f t="shared" si="39"/>
        <v>2004</v>
      </c>
    </row>
    <row r="1251" spans="1:6" x14ac:dyDescent="0.2">
      <c r="A1251" s="20">
        <v>38289</v>
      </c>
      <c r="B1251">
        <v>108</v>
      </c>
      <c r="E1251">
        <f t="shared" si="38"/>
        <v>10</v>
      </c>
      <c r="F1251">
        <f t="shared" si="39"/>
        <v>2004</v>
      </c>
    </row>
    <row r="1252" spans="1:6" x14ac:dyDescent="0.2">
      <c r="A1252" s="20">
        <v>38292</v>
      </c>
      <c r="B1252">
        <v>108</v>
      </c>
      <c r="E1252">
        <f t="shared" si="38"/>
        <v>11</v>
      </c>
      <c r="F1252">
        <f t="shared" si="39"/>
        <v>2004</v>
      </c>
    </row>
    <row r="1253" spans="1:6" x14ac:dyDescent="0.2">
      <c r="A1253" s="20">
        <v>38293</v>
      </c>
      <c r="B1253">
        <v>109</v>
      </c>
      <c r="E1253">
        <f t="shared" si="38"/>
        <v>11</v>
      </c>
      <c r="F1253">
        <f t="shared" si="39"/>
        <v>2004</v>
      </c>
    </row>
    <row r="1254" spans="1:6" x14ac:dyDescent="0.2">
      <c r="A1254" s="20">
        <v>38294</v>
      </c>
      <c r="B1254">
        <v>108.75</v>
      </c>
      <c r="E1254">
        <f t="shared" si="38"/>
        <v>11</v>
      </c>
      <c r="F1254">
        <f t="shared" si="39"/>
        <v>2004</v>
      </c>
    </row>
    <row r="1255" spans="1:6" x14ac:dyDescent="0.2">
      <c r="A1255" s="20">
        <v>38295</v>
      </c>
      <c r="B1255">
        <v>108.5</v>
      </c>
      <c r="E1255">
        <f t="shared" si="38"/>
        <v>11</v>
      </c>
      <c r="F1255">
        <f t="shared" si="39"/>
        <v>2004</v>
      </c>
    </row>
    <row r="1256" spans="1:6" x14ac:dyDescent="0.2">
      <c r="A1256" s="20">
        <v>38296</v>
      </c>
      <c r="B1256">
        <v>109</v>
      </c>
      <c r="E1256">
        <f t="shared" si="38"/>
        <v>11</v>
      </c>
      <c r="F1256">
        <f t="shared" si="39"/>
        <v>2004</v>
      </c>
    </row>
    <row r="1257" spans="1:6" x14ac:dyDescent="0.2">
      <c r="A1257" s="20">
        <v>38299</v>
      </c>
      <c r="B1257">
        <v>114</v>
      </c>
      <c r="E1257">
        <f t="shared" si="38"/>
        <v>11</v>
      </c>
      <c r="F1257">
        <f t="shared" si="39"/>
        <v>2004</v>
      </c>
    </row>
    <row r="1258" spans="1:6" x14ac:dyDescent="0.2">
      <c r="A1258" s="20">
        <v>38300</v>
      </c>
      <c r="B1258">
        <v>114</v>
      </c>
      <c r="E1258">
        <f t="shared" si="38"/>
        <v>11</v>
      </c>
      <c r="F1258">
        <f t="shared" si="39"/>
        <v>2004</v>
      </c>
    </row>
    <row r="1259" spans="1:6" x14ac:dyDescent="0.2">
      <c r="A1259" s="20">
        <v>38301</v>
      </c>
      <c r="B1259">
        <v>114.25</v>
      </c>
      <c r="E1259">
        <f t="shared" si="38"/>
        <v>11</v>
      </c>
      <c r="F1259">
        <f t="shared" si="39"/>
        <v>2004</v>
      </c>
    </row>
    <row r="1260" spans="1:6" x14ac:dyDescent="0.2">
      <c r="A1260" s="20">
        <v>38302</v>
      </c>
      <c r="B1260">
        <v>114.75</v>
      </c>
      <c r="E1260">
        <f t="shared" si="38"/>
        <v>11</v>
      </c>
      <c r="F1260">
        <f t="shared" si="39"/>
        <v>2004</v>
      </c>
    </row>
    <row r="1261" spans="1:6" x14ac:dyDescent="0.2">
      <c r="A1261" s="20">
        <v>38303</v>
      </c>
      <c r="B1261">
        <v>115.25</v>
      </c>
      <c r="E1261">
        <f t="shared" si="38"/>
        <v>11</v>
      </c>
      <c r="F1261">
        <f t="shared" si="39"/>
        <v>2004</v>
      </c>
    </row>
    <row r="1262" spans="1:6" x14ac:dyDescent="0.2">
      <c r="A1262" s="20">
        <v>38306</v>
      </c>
      <c r="B1262">
        <v>115.25</v>
      </c>
      <c r="E1262">
        <f t="shared" si="38"/>
        <v>11</v>
      </c>
      <c r="F1262">
        <f t="shared" si="39"/>
        <v>2004</v>
      </c>
    </row>
    <row r="1263" spans="1:6" x14ac:dyDescent="0.2">
      <c r="A1263" s="20">
        <v>38307</v>
      </c>
      <c r="B1263">
        <v>116</v>
      </c>
      <c r="E1263">
        <f t="shared" si="38"/>
        <v>11</v>
      </c>
      <c r="F1263">
        <f t="shared" si="39"/>
        <v>2004</v>
      </c>
    </row>
    <row r="1264" spans="1:6" x14ac:dyDescent="0.2">
      <c r="A1264" s="20">
        <v>38308</v>
      </c>
      <c r="B1264">
        <v>116</v>
      </c>
      <c r="E1264">
        <f t="shared" si="38"/>
        <v>11</v>
      </c>
      <c r="F1264">
        <f t="shared" si="39"/>
        <v>2004</v>
      </c>
    </row>
    <row r="1265" spans="1:6" x14ac:dyDescent="0.2">
      <c r="A1265" s="20">
        <v>38309</v>
      </c>
      <c r="B1265">
        <v>116</v>
      </c>
      <c r="E1265">
        <f t="shared" si="38"/>
        <v>11</v>
      </c>
      <c r="F1265">
        <f t="shared" si="39"/>
        <v>2004</v>
      </c>
    </row>
    <row r="1266" spans="1:6" x14ac:dyDescent="0.2">
      <c r="A1266" s="20">
        <v>38310</v>
      </c>
      <c r="B1266">
        <v>115.75</v>
      </c>
      <c r="E1266">
        <f t="shared" si="38"/>
        <v>11</v>
      </c>
      <c r="F1266">
        <f t="shared" si="39"/>
        <v>2004</v>
      </c>
    </row>
    <row r="1267" spans="1:6" x14ac:dyDescent="0.2">
      <c r="A1267" s="20">
        <v>38313</v>
      </c>
      <c r="B1267">
        <v>116</v>
      </c>
      <c r="E1267">
        <f t="shared" si="38"/>
        <v>11</v>
      </c>
      <c r="F1267">
        <f t="shared" si="39"/>
        <v>2004</v>
      </c>
    </row>
    <row r="1268" spans="1:6" x14ac:dyDescent="0.2">
      <c r="A1268" s="20">
        <v>38314</v>
      </c>
      <c r="B1268">
        <v>115</v>
      </c>
      <c r="E1268">
        <f t="shared" si="38"/>
        <v>11</v>
      </c>
      <c r="F1268">
        <f t="shared" si="39"/>
        <v>2004</v>
      </c>
    </row>
    <row r="1269" spans="1:6" x14ac:dyDescent="0.2">
      <c r="A1269" s="20">
        <v>38315</v>
      </c>
      <c r="B1269">
        <v>114.5</v>
      </c>
      <c r="E1269">
        <f t="shared" si="38"/>
        <v>11</v>
      </c>
      <c r="F1269">
        <f t="shared" si="39"/>
        <v>2004</v>
      </c>
    </row>
    <row r="1270" spans="1:6" x14ac:dyDescent="0.2">
      <c r="A1270" s="20">
        <v>38316</v>
      </c>
      <c r="B1270">
        <v>114.25</v>
      </c>
      <c r="E1270">
        <f t="shared" si="38"/>
        <v>11</v>
      </c>
      <c r="F1270">
        <f t="shared" si="39"/>
        <v>2004</v>
      </c>
    </row>
    <row r="1271" spans="1:6" x14ac:dyDescent="0.2">
      <c r="A1271" s="20">
        <v>38317</v>
      </c>
      <c r="B1271">
        <v>114.25</v>
      </c>
      <c r="E1271">
        <f t="shared" si="38"/>
        <v>11</v>
      </c>
      <c r="F1271">
        <f t="shared" si="39"/>
        <v>2004</v>
      </c>
    </row>
    <row r="1272" spans="1:6" x14ac:dyDescent="0.2">
      <c r="A1272" s="20">
        <v>38320</v>
      </c>
      <c r="B1272">
        <v>114.25</v>
      </c>
      <c r="E1272">
        <f t="shared" si="38"/>
        <v>11</v>
      </c>
      <c r="F1272">
        <f t="shared" si="39"/>
        <v>2004</v>
      </c>
    </row>
    <row r="1273" spans="1:6" x14ac:dyDescent="0.2">
      <c r="A1273" s="20">
        <v>38321</v>
      </c>
      <c r="B1273">
        <v>114</v>
      </c>
      <c r="E1273">
        <f t="shared" si="38"/>
        <v>11</v>
      </c>
      <c r="F1273">
        <f t="shared" si="39"/>
        <v>2004</v>
      </c>
    </row>
    <row r="1274" spans="1:6" x14ac:dyDescent="0.2">
      <c r="A1274" s="20">
        <v>38322</v>
      </c>
      <c r="B1274">
        <v>114</v>
      </c>
      <c r="E1274">
        <f t="shared" si="38"/>
        <v>12</v>
      </c>
      <c r="F1274">
        <f t="shared" si="39"/>
        <v>2004</v>
      </c>
    </row>
    <row r="1275" spans="1:6" x14ac:dyDescent="0.2">
      <c r="A1275" s="20">
        <v>38323</v>
      </c>
      <c r="B1275">
        <v>113.25</v>
      </c>
      <c r="E1275">
        <f t="shared" si="38"/>
        <v>12</v>
      </c>
      <c r="F1275">
        <f t="shared" si="39"/>
        <v>2004</v>
      </c>
    </row>
    <row r="1276" spans="1:6" x14ac:dyDescent="0.2">
      <c r="A1276" s="20">
        <v>38324</v>
      </c>
      <c r="B1276">
        <v>113.5</v>
      </c>
      <c r="E1276">
        <f t="shared" si="38"/>
        <v>12</v>
      </c>
      <c r="F1276">
        <f t="shared" si="39"/>
        <v>2004</v>
      </c>
    </row>
    <row r="1277" spans="1:6" x14ac:dyDescent="0.2">
      <c r="A1277" s="20">
        <v>38327</v>
      </c>
      <c r="B1277">
        <v>113.5</v>
      </c>
      <c r="E1277">
        <f t="shared" si="38"/>
        <v>12</v>
      </c>
      <c r="F1277">
        <f t="shared" si="39"/>
        <v>2004</v>
      </c>
    </row>
    <row r="1278" spans="1:6" x14ac:dyDescent="0.2">
      <c r="A1278" s="20">
        <v>38328</v>
      </c>
      <c r="B1278">
        <v>113.5</v>
      </c>
      <c r="E1278">
        <f t="shared" si="38"/>
        <v>12</v>
      </c>
      <c r="F1278">
        <f t="shared" si="39"/>
        <v>2004</v>
      </c>
    </row>
    <row r="1279" spans="1:6" x14ac:dyDescent="0.2">
      <c r="A1279" s="20">
        <v>38329</v>
      </c>
      <c r="B1279">
        <v>113.25</v>
      </c>
      <c r="E1279">
        <f t="shared" si="38"/>
        <v>12</v>
      </c>
      <c r="F1279">
        <f t="shared" si="39"/>
        <v>2004</v>
      </c>
    </row>
    <row r="1280" spans="1:6" x14ac:dyDescent="0.2">
      <c r="A1280" s="20">
        <v>38330</v>
      </c>
      <c r="B1280">
        <v>113.5</v>
      </c>
      <c r="E1280">
        <f t="shared" si="38"/>
        <v>12</v>
      </c>
      <c r="F1280">
        <f t="shared" si="39"/>
        <v>2004</v>
      </c>
    </row>
    <row r="1281" spans="1:6" x14ac:dyDescent="0.2">
      <c r="A1281" s="20">
        <v>38331</v>
      </c>
      <c r="B1281">
        <v>113.5</v>
      </c>
      <c r="E1281">
        <f t="shared" si="38"/>
        <v>12</v>
      </c>
      <c r="F1281">
        <f t="shared" si="39"/>
        <v>2004</v>
      </c>
    </row>
    <row r="1282" spans="1:6" x14ac:dyDescent="0.2">
      <c r="A1282" s="20">
        <v>38334</v>
      </c>
      <c r="B1282">
        <v>113.5</v>
      </c>
      <c r="E1282">
        <f t="shared" si="38"/>
        <v>12</v>
      </c>
      <c r="F1282">
        <f t="shared" si="39"/>
        <v>2004</v>
      </c>
    </row>
    <row r="1283" spans="1:6" x14ac:dyDescent="0.2">
      <c r="A1283" s="20">
        <v>38335</v>
      </c>
      <c r="B1283">
        <v>113.5</v>
      </c>
      <c r="E1283">
        <f t="shared" ref="E1283:E1346" si="40">MONTH(A1283)</f>
        <v>12</v>
      </c>
      <c r="F1283">
        <f t="shared" ref="F1283:F1346" si="41">YEAR(A1283)</f>
        <v>2004</v>
      </c>
    </row>
    <row r="1284" spans="1:6" x14ac:dyDescent="0.2">
      <c r="A1284" s="20">
        <v>38336</v>
      </c>
      <c r="B1284">
        <v>113.5</v>
      </c>
      <c r="E1284">
        <f t="shared" si="40"/>
        <v>12</v>
      </c>
      <c r="F1284">
        <f t="shared" si="41"/>
        <v>2004</v>
      </c>
    </row>
    <row r="1285" spans="1:6" x14ac:dyDescent="0.2">
      <c r="A1285" s="20">
        <v>38337</v>
      </c>
      <c r="B1285">
        <v>113.5</v>
      </c>
      <c r="E1285">
        <f t="shared" si="40"/>
        <v>12</v>
      </c>
      <c r="F1285">
        <f t="shared" si="41"/>
        <v>2004</v>
      </c>
    </row>
    <row r="1286" spans="1:6" x14ac:dyDescent="0.2">
      <c r="A1286" s="20">
        <v>38338</v>
      </c>
      <c r="B1286">
        <v>113.25</v>
      </c>
      <c r="E1286">
        <f t="shared" si="40"/>
        <v>12</v>
      </c>
      <c r="F1286">
        <f t="shared" si="41"/>
        <v>2004</v>
      </c>
    </row>
    <row r="1287" spans="1:6" x14ac:dyDescent="0.2">
      <c r="A1287" s="20">
        <v>38341</v>
      </c>
      <c r="B1287">
        <v>113.5</v>
      </c>
      <c r="E1287">
        <f t="shared" si="40"/>
        <v>12</v>
      </c>
      <c r="F1287">
        <f t="shared" si="41"/>
        <v>2004</v>
      </c>
    </row>
    <row r="1288" spans="1:6" x14ac:dyDescent="0.2">
      <c r="A1288" s="20">
        <v>38342</v>
      </c>
      <c r="B1288">
        <v>113.25</v>
      </c>
      <c r="E1288">
        <f t="shared" si="40"/>
        <v>12</v>
      </c>
      <c r="F1288">
        <f t="shared" si="41"/>
        <v>2004</v>
      </c>
    </row>
    <row r="1289" spans="1:6" x14ac:dyDescent="0.2">
      <c r="A1289" s="20">
        <v>38343</v>
      </c>
      <c r="B1289">
        <v>113.5</v>
      </c>
      <c r="E1289">
        <f t="shared" si="40"/>
        <v>12</v>
      </c>
      <c r="F1289">
        <f t="shared" si="41"/>
        <v>2004</v>
      </c>
    </row>
    <row r="1290" spans="1:6" x14ac:dyDescent="0.2">
      <c r="A1290" s="20">
        <v>38344</v>
      </c>
      <c r="B1290">
        <v>113.75</v>
      </c>
      <c r="E1290">
        <f t="shared" si="40"/>
        <v>12</v>
      </c>
      <c r="F1290">
        <f t="shared" si="41"/>
        <v>2004</v>
      </c>
    </row>
    <row r="1291" spans="1:6" x14ac:dyDescent="0.2">
      <c r="A1291" s="20">
        <v>38345</v>
      </c>
      <c r="B1291">
        <v>113.5</v>
      </c>
      <c r="E1291">
        <f t="shared" si="40"/>
        <v>12</v>
      </c>
      <c r="F1291">
        <f t="shared" si="41"/>
        <v>2004</v>
      </c>
    </row>
    <row r="1292" spans="1:6" x14ac:dyDescent="0.2">
      <c r="A1292" s="20">
        <v>38348</v>
      </c>
      <c r="B1292">
        <v>113.5</v>
      </c>
      <c r="E1292">
        <f t="shared" si="40"/>
        <v>12</v>
      </c>
      <c r="F1292">
        <f t="shared" si="41"/>
        <v>2004</v>
      </c>
    </row>
    <row r="1293" spans="1:6" x14ac:dyDescent="0.2">
      <c r="A1293" s="20">
        <v>38349</v>
      </c>
      <c r="B1293">
        <v>113.25</v>
      </c>
      <c r="E1293">
        <f t="shared" si="40"/>
        <v>12</v>
      </c>
      <c r="F1293">
        <f t="shared" si="41"/>
        <v>2004</v>
      </c>
    </row>
    <row r="1294" spans="1:6" x14ac:dyDescent="0.2">
      <c r="A1294" s="20">
        <v>38350</v>
      </c>
      <c r="B1294">
        <v>113.5</v>
      </c>
      <c r="E1294">
        <f t="shared" si="40"/>
        <v>12</v>
      </c>
      <c r="F1294">
        <f t="shared" si="41"/>
        <v>2004</v>
      </c>
    </row>
    <row r="1295" spans="1:6" x14ac:dyDescent="0.2">
      <c r="A1295" s="20">
        <v>38351</v>
      </c>
      <c r="B1295">
        <v>113.5</v>
      </c>
      <c r="E1295">
        <f t="shared" si="40"/>
        <v>12</v>
      </c>
      <c r="F1295">
        <f t="shared" si="41"/>
        <v>2004</v>
      </c>
    </row>
    <row r="1296" spans="1:6" x14ac:dyDescent="0.2">
      <c r="A1296" s="20">
        <v>38352</v>
      </c>
      <c r="B1296">
        <v>113.5</v>
      </c>
      <c r="E1296">
        <f t="shared" si="40"/>
        <v>12</v>
      </c>
      <c r="F1296">
        <f t="shared" si="41"/>
        <v>2004</v>
      </c>
    </row>
    <row r="1297" spans="1:6" x14ac:dyDescent="0.2">
      <c r="A1297" s="20">
        <v>38355</v>
      </c>
      <c r="B1297">
        <v>114</v>
      </c>
      <c r="E1297">
        <f t="shared" si="40"/>
        <v>1</v>
      </c>
      <c r="F1297">
        <f t="shared" si="41"/>
        <v>2005</v>
      </c>
    </row>
    <row r="1298" spans="1:6" x14ac:dyDescent="0.2">
      <c r="A1298" s="20">
        <v>38356</v>
      </c>
      <c r="B1298">
        <v>114</v>
      </c>
      <c r="E1298">
        <f t="shared" si="40"/>
        <v>1</v>
      </c>
      <c r="F1298">
        <f t="shared" si="41"/>
        <v>2005</v>
      </c>
    </row>
    <row r="1299" spans="1:6" x14ac:dyDescent="0.2">
      <c r="A1299" s="20">
        <v>38357</v>
      </c>
      <c r="B1299">
        <v>113.5</v>
      </c>
      <c r="E1299">
        <f t="shared" si="40"/>
        <v>1</v>
      </c>
      <c r="F1299">
        <f t="shared" si="41"/>
        <v>2005</v>
      </c>
    </row>
    <row r="1300" spans="1:6" x14ac:dyDescent="0.2">
      <c r="A1300" s="20">
        <v>38358</v>
      </c>
      <c r="B1300">
        <v>113</v>
      </c>
      <c r="E1300">
        <f t="shared" si="40"/>
        <v>1</v>
      </c>
      <c r="F1300">
        <f t="shared" si="41"/>
        <v>2005</v>
      </c>
    </row>
    <row r="1301" spans="1:6" x14ac:dyDescent="0.2">
      <c r="A1301" s="20">
        <v>38359</v>
      </c>
      <c r="B1301">
        <v>113.5</v>
      </c>
      <c r="E1301">
        <f t="shared" si="40"/>
        <v>1</v>
      </c>
      <c r="F1301">
        <f t="shared" si="41"/>
        <v>2005</v>
      </c>
    </row>
    <row r="1302" spans="1:6" x14ac:dyDescent="0.2">
      <c r="A1302" s="20">
        <v>38362</v>
      </c>
      <c r="B1302">
        <v>113.5</v>
      </c>
      <c r="E1302">
        <f t="shared" si="40"/>
        <v>1</v>
      </c>
      <c r="F1302">
        <f t="shared" si="41"/>
        <v>2005</v>
      </c>
    </row>
    <row r="1303" spans="1:6" x14ac:dyDescent="0.2">
      <c r="A1303" s="20">
        <v>38363</v>
      </c>
      <c r="B1303">
        <v>112.75</v>
      </c>
      <c r="E1303">
        <f t="shared" si="40"/>
        <v>1</v>
      </c>
      <c r="F1303">
        <f t="shared" si="41"/>
        <v>2005</v>
      </c>
    </row>
    <row r="1304" spans="1:6" x14ac:dyDescent="0.2">
      <c r="A1304" s="20">
        <v>38364</v>
      </c>
      <c r="B1304">
        <v>112.25</v>
      </c>
      <c r="E1304">
        <f t="shared" si="40"/>
        <v>1</v>
      </c>
      <c r="F1304">
        <f t="shared" si="41"/>
        <v>2005</v>
      </c>
    </row>
    <row r="1305" spans="1:6" x14ac:dyDescent="0.2">
      <c r="A1305" s="20">
        <v>38365</v>
      </c>
      <c r="B1305">
        <v>112</v>
      </c>
      <c r="E1305">
        <f t="shared" si="40"/>
        <v>1</v>
      </c>
      <c r="F1305">
        <f t="shared" si="41"/>
        <v>2005</v>
      </c>
    </row>
    <row r="1306" spans="1:6" x14ac:dyDescent="0.2">
      <c r="A1306" s="20">
        <v>38366</v>
      </c>
      <c r="B1306">
        <v>111.75</v>
      </c>
      <c r="E1306">
        <f t="shared" si="40"/>
        <v>1</v>
      </c>
      <c r="F1306">
        <f t="shared" si="41"/>
        <v>2005</v>
      </c>
    </row>
    <row r="1307" spans="1:6" x14ac:dyDescent="0.2">
      <c r="A1307" s="20">
        <v>38369</v>
      </c>
      <c r="B1307">
        <v>111.5</v>
      </c>
      <c r="E1307">
        <f t="shared" si="40"/>
        <v>1</v>
      </c>
      <c r="F1307">
        <f t="shared" si="41"/>
        <v>2005</v>
      </c>
    </row>
    <row r="1308" spans="1:6" x14ac:dyDescent="0.2">
      <c r="A1308" s="20">
        <v>38370</v>
      </c>
      <c r="B1308">
        <v>111.25</v>
      </c>
      <c r="E1308">
        <f t="shared" si="40"/>
        <v>1</v>
      </c>
      <c r="F1308">
        <f t="shared" si="41"/>
        <v>2005</v>
      </c>
    </row>
    <row r="1309" spans="1:6" x14ac:dyDescent="0.2">
      <c r="A1309" s="20">
        <v>38371</v>
      </c>
      <c r="B1309">
        <v>110.5</v>
      </c>
      <c r="E1309">
        <f t="shared" si="40"/>
        <v>1</v>
      </c>
      <c r="F1309">
        <f t="shared" si="41"/>
        <v>2005</v>
      </c>
    </row>
    <row r="1310" spans="1:6" x14ac:dyDescent="0.2">
      <c r="A1310" s="20">
        <v>38372</v>
      </c>
      <c r="B1310">
        <v>110.75</v>
      </c>
      <c r="E1310">
        <f t="shared" si="40"/>
        <v>1</v>
      </c>
      <c r="F1310">
        <f t="shared" si="41"/>
        <v>2005</v>
      </c>
    </row>
    <row r="1311" spans="1:6" x14ac:dyDescent="0.2">
      <c r="A1311" s="20">
        <v>38373</v>
      </c>
      <c r="B1311">
        <v>111</v>
      </c>
      <c r="E1311">
        <f t="shared" si="40"/>
        <v>1</v>
      </c>
      <c r="F1311">
        <f t="shared" si="41"/>
        <v>2005</v>
      </c>
    </row>
    <row r="1312" spans="1:6" x14ac:dyDescent="0.2">
      <c r="A1312" s="20">
        <v>38376</v>
      </c>
      <c r="B1312">
        <v>111</v>
      </c>
      <c r="E1312">
        <f t="shared" si="40"/>
        <v>1</v>
      </c>
      <c r="F1312">
        <f t="shared" si="41"/>
        <v>2005</v>
      </c>
    </row>
    <row r="1313" spans="1:6" x14ac:dyDescent="0.2">
      <c r="A1313" s="20">
        <v>38377</v>
      </c>
      <c r="B1313">
        <v>112</v>
      </c>
      <c r="E1313">
        <f t="shared" si="40"/>
        <v>1</v>
      </c>
      <c r="F1313">
        <f t="shared" si="41"/>
        <v>2005</v>
      </c>
    </row>
    <row r="1314" spans="1:6" x14ac:dyDescent="0.2">
      <c r="A1314" s="20">
        <v>38378</v>
      </c>
      <c r="B1314">
        <v>112.25</v>
      </c>
      <c r="E1314">
        <f t="shared" si="40"/>
        <v>1</v>
      </c>
      <c r="F1314">
        <f t="shared" si="41"/>
        <v>2005</v>
      </c>
    </row>
    <row r="1315" spans="1:6" x14ac:dyDescent="0.2">
      <c r="A1315" s="20">
        <v>38379</v>
      </c>
      <c r="B1315">
        <v>112.75</v>
      </c>
      <c r="E1315">
        <f t="shared" si="40"/>
        <v>1</v>
      </c>
      <c r="F1315">
        <f t="shared" si="41"/>
        <v>2005</v>
      </c>
    </row>
    <row r="1316" spans="1:6" x14ac:dyDescent="0.2">
      <c r="A1316" s="20">
        <v>38380</v>
      </c>
      <c r="B1316">
        <v>112.5</v>
      </c>
      <c r="E1316">
        <f t="shared" si="40"/>
        <v>1</v>
      </c>
      <c r="F1316">
        <f t="shared" si="41"/>
        <v>2005</v>
      </c>
    </row>
    <row r="1317" spans="1:6" x14ac:dyDescent="0.2">
      <c r="A1317" s="20">
        <v>38383</v>
      </c>
      <c r="B1317">
        <v>112.25</v>
      </c>
      <c r="E1317">
        <f t="shared" si="40"/>
        <v>1</v>
      </c>
      <c r="F1317">
        <f t="shared" si="41"/>
        <v>2005</v>
      </c>
    </row>
    <row r="1318" spans="1:6" x14ac:dyDescent="0.2">
      <c r="A1318" s="20">
        <v>38384</v>
      </c>
      <c r="B1318">
        <v>112.5</v>
      </c>
      <c r="E1318">
        <f t="shared" si="40"/>
        <v>2</v>
      </c>
      <c r="F1318">
        <f t="shared" si="41"/>
        <v>2005</v>
      </c>
    </row>
    <row r="1319" spans="1:6" x14ac:dyDescent="0.2">
      <c r="A1319" s="20">
        <v>38385</v>
      </c>
      <c r="B1319">
        <v>112.5</v>
      </c>
      <c r="E1319">
        <f t="shared" si="40"/>
        <v>2</v>
      </c>
      <c r="F1319">
        <f t="shared" si="41"/>
        <v>2005</v>
      </c>
    </row>
    <row r="1320" spans="1:6" x14ac:dyDescent="0.2">
      <c r="A1320" s="20">
        <v>38386</v>
      </c>
      <c r="B1320">
        <v>112.5</v>
      </c>
      <c r="E1320">
        <f t="shared" si="40"/>
        <v>2</v>
      </c>
      <c r="F1320">
        <f t="shared" si="41"/>
        <v>2005</v>
      </c>
    </row>
    <row r="1321" spans="1:6" x14ac:dyDescent="0.2">
      <c r="A1321" s="20">
        <v>38387</v>
      </c>
      <c r="B1321">
        <v>112.5</v>
      </c>
      <c r="E1321">
        <f t="shared" si="40"/>
        <v>2</v>
      </c>
      <c r="F1321">
        <f t="shared" si="41"/>
        <v>2005</v>
      </c>
    </row>
    <row r="1322" spans="1:6" x14ac:dyDescent="0.2">
      <c r="A1322" s="20">
        <v>38390</v>
      </c>
      <c r="B1322">
        <v>112.5</v>
      </c>
      <c r="E1322">
        <f t="shared" si="40"/>
        <v>2</v>
      </c>
      <c r="F1322">
        <f t="shared" si="41"/>
        <v>2005</v>
      </c>
    </row>
    <row r="1323" spans="1:6" x14ac:dyDescent="0.2">
      <c r="A1323" s="20">
        <v>38391</v>
      </c>
      <c r="B1323">
        <v>112.5</v>
      </c>
      <c r="E1323">
        <f t="shared" si="40"/>
        <v>2</v>
      </c>
      <c r="F1323">
        <f t="shared" si="41"/>
        <v>2005</v>
      </c>
    </row>
    <row r="1324" spans="1:6" x14ac:dyDescent="0.2">
      <c r="A1324" s="20">
        <v>38392</v>
      </c>
      <c r="B1324">
        <v>112.75</v>
      </c>
      <c r="E1324">
        <f t="shared" si="40"/>
        <v>2</v>
      </c>
      <c r="F1324">
        <f t="shared" si="41"/>
        <v>2005</v>
      </c>
    </row>
    <row r="1325" spans="1:6" x14ac:dyDescent="0.2">
      <c r="A1325" s="20">
        <v>38393</v>
      </c>
      <c r="B1325">
        <v>112.75</v>
      </c>
      <c r="E1325">
        <f t="shared" si="40"/>
        <v>2</v>
      </c>
      <c r="F1325">
        <f t="shared" si="41"/>
        <v>2005</v>
      </c>
    </row>
    <row r="1326" spans="1:6" x14ac:dyDescent="0.2">
      <c r="A1326" s="20">
        <v>38394</v>
      </c>
      <c r="B1326">
        <v>113</v>
      </c>
      <c r="E1326">
        <f t="shared" si="40"/>
        <v>2</v>
      </c>
      <c r="F1326">
        <f t="shared" si="41"/>
        <v>2005</v>
      </c>
    </row>
    <row r="1327" spans="1:6" x14ac:dyDescent="0.2">
      <c r="A1327" s="20">
        <v>38397</v>
      </c>
      <c r="B1327">
        <v>112.75</v>
      </c>
      <c r="E1327">
        <f t="shared" si="40"/>
        <v>2</v>
      </c>
      <c r="F1327">
        <f t="shared" si="41"/>
        <v>2005</v>
      </c>
    </row>
    <row r="1328" spans="1:6" x14ac:dyDescent="0.2">
      <c r="A1328" s="20">
        <v>38398</v>
      </c>
      <c r="B1328">
        <v>113</v>
      </c>
      <c r="E1328">
        <f t="shared" si="40"/>
        <v>2</v>
      </c>
      <c r="F1328">
        <f t="shared" si="41"/>
        <v>2005</v>
      </c>
    </row>
    <row r="1329" spans="1:6" x14ac:dyDescent="0.2">
      <c r="A1329" s="20">
        <v>38399</v>
      </c>
      <c r="B1329">
        <v>113</v>
      </c>
      <c r="E1329">
        <f t="shared" si="40"/>
        <v>2</v>
      </c>
      <c r="F1329">
        <f t="shared" si="41"/>
        <v>2005</v>
      </c>
    </row>
    <row r="1330" spans="1:6" x14ac:dyDescent="0.2">
      <c r="A1330" s="20">
        <v>38400</v>
      </c>
      <c r="B1330">
        <v>113.75</v>
      </c>
      <c r="E1330">
        <f t="shared" si="40"/>
        <v>2</v>
      </c>
      <c r="F1330">
        <f t="shared" si="41"/>
        <v>2005</v>
      </c>
    </row>
    <row r="1331" spans="1:6" x14ac:dyDescent="0.2">
      <c r="A1331" s="20">
        <v>38401</v>
      </c>
      <c r="B1331">
        <v>113.5</v>
      </c>
      <c r="E1331">
        <f t="shared" si="40"/>
        <v>2</v>
      </c>
      <c r="F1331">
        <f t="shared" si="41"/>
        <v>2005</v>
      </c>
    </row>
    <row r="1332" spans="1:6" x14ac:dyDescent="0.2">
      <c r="A1332" s="20">
        <v>38404</v>
      </c>
      <c r="B1332">
        <v>114</v>
      </c>
      <c r="E1332">
        <f t="shared" si="40"/>
        <v>2</v>
      </c>
      <c r="F1332">
        <f t="shared" si="41"/>
        <v>2005</v>
      </c>
    </row>
    <row r="1333" spans="1:6" x14ac:dyDescent="0.2">
      <c r="A1333" s="20">
        <v>38405</v>
      </c>
      <c r="B1333">
        <v>114</v>
      </c>
      <c r="E1333">
        <f t="shared" si="40"/>
        <v>2</v>
      </c>
      <c r="F1333">
        <f t="shared" si="41"/>
        <v>2005</v>
      </c>
    </row>
    <row r="1334" spans="1:6" x14ac:dyDescent="0.2">
      <c r="A1334" s="20">
        <v>38406</v>
      </c>
      <c r="B1334">
        <v>114.25</v>
      </c>
      <c r="E1334">
        <f t="shared" si="40"/>
        <v>2</v>
      </c>
      <c r="F1334">
        <f t="shared" si="41"/>
        <v>2005</v>
      </c>
    </row>
    <row r="1335" spans="1:6" x14ac:dyDescent="0.2">
      <c r="A1335" s="20">
        <v>38407</v>
      </c>
      <c r="B1335">
        <v>115.25</v>
      </c>
      <c r="E1335">
        <f t="shared" si="40"/>
        <v>2</v>
      </c>
      <c r="F1335">
        <f t="shared" si="41"/>
        <v>2005</v>
      </c>
    </row>
    <row r="1336" spans="1:6" x14ac:dyDescent="0.2">
      <c r="A1336" s="20">
        <v>38408</v>
      </c>
      <c r="B1336">
        <v>115.75</v>
      </c>
      <c r="E1336">
        <f t="shared" si="40"/>
        <v>2</v>
      </c>
      <c r="F1336">
        <f t="shared" si="41"/>
        <v>2005</v>
      </c>
    </row>
    <row r="1337" spans="1:6" x14ac:dyDescent="0.2">
      <c r="A1337" s="20">
        <v>38411</v>
      </c>
      <c r="B1337">
        <v>115.5</v>
      </c>
      <c r="E1337">
        <f t="shared" si="40"/>
        <v>2</v>
      </c>
      <c r="F1337">
        <f t="shared" si="41"/>
        <v>2005</v>
      </c>
    </row>
    <row r="1338" spans="1:6" x14ac:dyDescent="0.2">
      <c r="A1338" s="20">
        <v>38412</v>
      </c>
      <c r="B1338">
        <v>115</v>
      </c>
      <c r="E1338">
        <f t="shared" si="40"/>
        <v>3</v>
      </c>
      <c r="F1338">
        <f t="shared" si="41"/>
        <v>2005</v>
      </c>
    </row>
    <row r="1339" spans="1:6" x14ac:dyDescent="0.2">
      <c r="A1339" s="20">
        <v>38413</v>
      </c>
      <c r="B1339">
        <v>115</v>
      </c>
      <c r="E1339">
        <f t="shared" si="40"/>
        <v>3</v>
      </c>
      <c r="F1339">
        <f t="shared" si="41"/>
        <v>2005</v>
      </c>
    </row>
    <row r="1340" spans="1:6" x14ac:dyDescent="0.2">
      <c r="A1340" s="20">
        <v>38414</v>
      </c>
      <c r="B1340">
        <v>114.25</v>
      </c>
      <c r="E1340">
        <f t="shared" si="40"/>
        <v>3</v>
      </c>
      <c r="F1340">
        <f t="shared" si="41"/>
        <v>2005</v>
      </c>
    </row>
    <row r="1341" spans="1:6" x14ac:dyDescent="0.2">
      <c r="A1341" s="20">
        <v>38415</v>
      </c>
      <c r="B1341">
        <v>114.5</v>
      </c>
      <c r="E1341">
        <f t="shared" si="40"/>
        <v>3</v>
      </c>
      <c r="F1341">
        <f t="shared" si="41"/>
        <v>2005</v>
      </c>
    </row>
    <row r="1342" spans="1:6" x14ac:dyDescent="0.2">
      <c r="A1342" s="20">
        <v>38418</v>
      </c>
      <c r="B1342">
        <v>116.75</v>
      </c>
      <c r="E1342">
        <f t="shared" si="40"/>
        <v>3</v>
      </c>
      <c r="F1342">
        <f t="shared" si="41"/>
        <v>2005</v>
      </c>
    </row>
    <row r="1343" spans="1:6" x14ac:dyDescent="0.2">
      <c r="A1343" s="20">
        <v>38419</v>
      </c>
      <c r="B1343">
        <v>115.25</v>
      </c>
      <c r="E1343">
        <f t="shared" si="40"/>
        <v>3</v>
      </c>
      <c r="F1343">
        <f t="shared" si="41"/>
        <v>2005</v>
      </c>
    </row>
    <row r="1344" spans="1:6" x14ac:dyDescent="0.2">
      <c r="A1344" s="20">
        <v>38420</v>
      </c>
      <c r="B1344">
        <v>115.25</v>
      </c>
      <c r="E1344">
        <f t="shared" si="40"/>
        <v>3</v>
      </c>
      <c r="F1344">
        <f t="shared" si="41"/>
        <v>2005</v>
      </c>
    </row>
    <row r="1345" spans="1:6" x14ac:dyDescent="0.2">
      <c r="A1345" s="20">
        <v>38421</v>
      </c>
      <c r="B1345">
        <v>115.25</v>
      </c>
      <c r="E1345">
        <f t="shared" si="40"/>
        <v>3</v>
      </c>
      <c r="F1345">
        <f t="shared" si="41"/>
        <v>2005</v>
      </c>
    </row>
    <row r="1346" spans="1:6" x14ac:dyDescent="0.2">
      <c r="A1346" s="20">
        <v>38422</v>
      </c>
      <c r="B1346">
        <v>114.75</v>
      </c>
      <c r="E1346">
        <f t="shared" si="40"/>
        <v>3</v>
      </c>
      <c r="F1346">
        <f t="shared" si="41"/>
        <v>2005</v>
      </c>
    </row>
    <row r="1347" spans="1:6" x14ac:dyDescent="0.2">
      <c r="A1347" s="20">
        <v>38425</v>
      </c>
      <c r="B1347">
        <v>114.75</v>
      </c>
      <c r="E1347">
        <f t="shared" ref="E1347:E1410" si="42">MONTH(A1347)</f>
        <v>3</v>
      </c>
      <c r="F1347">
        <f t="shared" ref="F1347:F1410" si="43">YEAR(A1347)</f>
        <v>2005</v>
      </c>
    </row>
    <row r="1348" spans="1:6" x14ac:dyDescent="0.2">
      <c r="A1348" s="20">
        <v>38426</v>
      </c>
      <c r="B1348">
        <v>116.25</v>
      </c>
      <c r="E1348">
        <f t="shared" si="42"/>
        <v>3</v>
      </c>
      <c r="F1348">
        <f t="shared" si="43"/>
        <v>2005</v>
      </c>
    </row>
    <row r="1349" spans="1:6" x14ac:dyDescent="0.2">
      <c r="A1349" s="20">
        <v>38427</v>
      </c>
      <c r="B1349">
        <v>118</v>
      </c>
      <c r="E1349">
        <f t="shared" si="42"/>
        <v>3</v>
      </c>
      <c r="F1349">
        <f t="shared" si="43"/>
        <v>2005</v>
      </c>
    </row>
    <row r="1350" spans="1:6" x14ac:dyDescent="0.2">
      <c r="A1350" s="20">
        <v>38428</v>
      </c>
      <c r="B1350">
        <v>118.5</v>
      </c>
      <c r="E1350">
        <f t="shared" si="42"/>
        <v>3</v>
      </c>
      <c r="F1350">
        <f t="shared" si="43"/>
        <v>2005</v>
      </c>
    </row>
    <row r="1351" spans="1:6" x14ac:dyDescent="0.2">
      <c r="A1351" s="20">
        <v>38429</v>
      </c>
      <c r="B1351">
        <v>117.75</v>
      </c>
      <c r="E1351">
        <f t="shared" si="42"/>
        <v>3</v>
      </c>
      <c r="F1351">
        <f t="shared" si="43"/>
        <v>2005</v>
      </c>
    </row>
    <row r="1352" spans="1:6" x14ac:dyDescent="0.2">
      <c r="A1352" s="20">
        <v>38432</v>
      </c>
      <c r="B1352">
        <v>117.75</v>
      </c>
      <c r="E1352">
        <f t="shared" si="42"/>
        <v>3</v>
      </c>
      <c r="F1352">
        <f t="shared" si="43"/>
        <v>2005</v>
      </c>
    </row>
    <row r="1353" spans="1:6" x14ac:dyDescent="0.2">
      <c r="A1353" s="20">
        <v>38433</v>
      </c>
      <c r="B1353">
        <v>117.75</v>
      </c>
      <c r="E1353">
        <f t="shared" si="42"/>
        <v>3</v>
      </c>
      <c r="F1353">
        <f t="shared" si="43"/>
        <v>2005</v>
      </c>
    </row>
    <row r="1354" spans="1:6" x14ac:dyDescent="0.2">
      <c r="A1354" s="20">
        <v>38434</v>
      </c>
      <c r="B1354">
        <v>118</v>
      </c>
      <c r="E1354">
        <f t="shared" si="42"/>
        <v>3</v>
      </c>
      <c r="F1354">
        <f t="shared" si="43"/>
        <v>2005</v>
      </c>
    </row>
    <row r="1355" spans="1:6" x14ac:dyDescent="0.2">
      <c r="A1355" s="20">
        <v>38435</v>
      </c>
      <c r="B1355">
        <v>118</v>
      </c>
      <c r="E1355">
        <f t="shared" si="42"/>
        <v>3</v>
      </c>
      <c r="F1355">
        <f t="shared" si="43"/>
        <v>2005</v>
      </c>
    </row>
    <row r="1356" spans="1:6" x14ac:dyDescent="0.2">
      <c r="A1356" s="20">
        <v>38439</v>
      </c>
      <c r="B1356">
        <v>118</v>
      </c>
      <c r="E1356">
        <f t="shared" si="42"/>
        <v>3</v>
      </c>
      <c r="F1356">
        <f t="shared" si="43"/>
        <v>2005</v>
      </c>
    </row>
    <row r="1357" spans="1:6" x14ac:dyDescent="0.2">
      <c r="A1357" s="20">
        <v>38440</v>
      </c>
      <c r="B1357">
        <v>117.75</v>
      </c>
      <c r="E1357">
        <f t="shared" si="42"/>
        <v>3</v>
      </c>
      <c r="F1357">
        <f t="shared" si="43"/>
        <v>2005</v>
      </c>
    </row>
    <row r="1358" spans="1:6" x14ac:dyDescent="0.2">
      <c r="A1358" s="20">
        <v>38441</v>
      </c>
      <c r="B1358">
        <v>116.75</v>
      </c>
      <c r="E1358">
        <f t="shared" si="42"/>
        <v>3</v>
      </c>
      <c r="F1358">
        <f t="shared" si="43"/>
        <v>2005</v>
      </c>
    </row>
    <row r="1359" spans="1:6" x14ac:dyDescent="0.2">
      <c r="A1359" s="20">
        <v>38442</v>
      </c>
      <c r="B1359">
        <v>116.75</v>
      </c>
      <c r="E1359">
        <f t="shared" si="42"/>
        <v>3</v>
      </c>
      <c r="F1359">
        <f t="shared" si="43"/>
        <v>2005</v>
      </c>
    </row>
    <row r="1360" spans="1:6" x14ac:dyDescent="0.2">
      <c r="A1360" s="20">
        <v>38443</v>
      </c>
      <c r="B1360">
        <v>116.5</v>
      </c>
      <c r="E1360">
        <f t="shared" si="42"/>
        <v>4</v>
      </c>
      <c r="F1360">
        <f t="shared" si="43"/>
        <v>2005</v>
      </c>
    </row>
    <row r="1361" spans="1:6" x14ac:dyDescent="0.2">
      <c r="A1361" s="20">
        <v>38446</v>
      </c>
      <c r="B1361">
        <v>116.5</v>
      </c>
      <c r="E1361">
        <f t="shared" si="42"/>
        <v>4</v>
      </c>
      <c r="F1361">
        <f t="shared" si="43"/>
        <v>2005</v>
      </c>
    </row>
    <row r="1362" spans="1:6" x14ac:dyDescent="0.2">
      <c r="A1362" s="20">
        <v>38447</v>
      </c>
      <c r="B1362">
        <v>116.5</v>
      </c>
      <c r="E1362">
        <f t="shared" si="42"/>
        <v>4</v>
      </c>
      <c r="F1362">
        <f t="shared" si="43"/>
        <v>2005</v>
      </c>
    </row>
    <row r="1363" spans="1:6" x14ac:dyDescent="0.2">
      <c r="A1363" s="20">
        <v>38448</v>
      </c>
      <c r="B1363">
        <v>116.5</v>
      </c>
      <c r="E1363">
        <f t="shared" si="42"/>
        <v>4</v>
      </c>
      <c r="F1363">
        <f t="shared" si="43"/>
        <v>2005</v>
      </c>
    </row>
    <row r="1364" spans="1:6" x14ac:dyDescent="0.2">
      <c r="A1364" s="20">
        <v>38449</v>
      </c>
      <c r="B1364">
        <v>115.75</v>
      </c>
      <c r="E1364">
        <f t="shared" si="42"/>
        <v>4</v>
      </c>
      <c r="F1364">
        <f t="shared" si="43"/>
        <v>2005</v>
      </c>
    </row>
    <row r="1365" spans="1:6" x14ac:dyDescent="0.2">
      <c r="A1365" s="20">
        <v>38450</v>
      </c>
      <c r="B1365">
        <v>115.5</v>
      </c>
      <c r="E1365">
        <f t="shared" si="42"/>
        <v>4</v>
      </c>
      <c r="F1365">
        <f t="shared" si="43"/>
        <v>2005</v>
      </c>
    </row>
    <row r="1366" spans="1:6" x14ac:dyDescent="0.2">
      <c r="A1366" s="20">
        <v>38453</v>
      </c>
      <c r="B1366">
        <v>115</v>
      </c>
      <c r="E1366">
        <f t="shared" si="42"/>
        <v>4</v>
      </c>
      <c r="F1366">
        <f t="shared" si="43"/>
        <v>2005</v>
      </c>
    </row>
    <row r="1367" spans="1:6" x14ac:dyDescent="0.2">
      <c r="A1367" s="20">
        <v>38454</v>
      </c>
      <c r="B1367">
        <v>115</v>
      </c>
      <c r="E1367">
        <f t="shared" si="42"/>
        <v>4</v>
      </c>
      <c r="F1367">
        <f t="shared" si="43"/>
        <v>2005</v>
      </c>
    </row>
    <row r="1368" spans="1:6" x14ac:dyDescent="0.2">
      <c r="A1368" s="20">
        <v>38455</v>
      </c>
      <c r="B1368">
        <v>115.5</v>
      </c>
      <c r="E1368">
        <f t="shared" si="42"/>
        <v>4</v>
      </c>
      <c r="F1368">
        <f t="shared" si="43"/>
        <v>2005</v>
      </c>
    </row>
    <row r="1369" spans="1:6" x14ac:dyDescent="0.2">
      <c r="A1369" s="20">
        <v>38456</v>
      </c>
      <c r="B1369">
        <v>115.5</v>
      </c>
      <c r="E1369">
        <f t="shared" si="42"/>
        <v>4</v>
      </c>
      <c r="F1369">
        <f t="shared" si="43"/>
        <v>2005</v>
      </c>
    </row>
    <row r="1370" spans="1:6" x14ac:dyDescent="0.2">
      <c r="A1370" s="20">
        <v>38457</v>
      </c>
      <c r="B1370">
        <v>116</v>
      </c>
      <c r="E1370">
        <f t="shared" si="42"/>
        <v>4</v>
      </c>
      <c r="F1370">
        <f t="shared" si="43"/>
        <v>2005</v>
      </c>
    </row>
    <row r="1371" spans="1:6" x14ac:dyDescent="0.2">
      <c r="A1371" s="20">
        <v>38460</v>
      </c>
      <c r="B1371">
        <v>116</v>
      </c>
      <c r="E1371">
        <f t="shared" si="42"/>
        <v>4</v>
      </c>
      <c r="F1371">
        <f t="shared" si="43"/>
        <v>2005</v>
      </c>
    </row>
    <row r="1372" spans="1:6" x14ac:dyDescent="0.2">
      <c r="A1372" s="20">
        <v>38461</v>
      </c>
      <c r="B1372">
        <v>116.25</v>
      </c>
      <c r="E1372">
        <f t="shared" si="42"/>
        <v>4</v>
      </c>
      <c r="F1372">
        <f t="shared" si="43"/>
        <v>2005</v>
      </c>
    </row>
    <row r="1373" spans="1:6" x14ac:dyDescent="0.2">
      <c r="A1373" s="20">
        <v>38462</v>
      </c>
      <c r="B1373">
        <v>116.5</v>
      </c>
      <c r="E1373">
        <f t="shared" si="42"/>
        <v>4</v>
      </c>
      <c r="F1373">
        <f t="shared" si="43"/>
        <v>2005</v>
      </c>
    </row>
    <row r="1374" spans="1:6" x14ac:dyDescent="0.2">
      <c r="A1374" s="20">
        <v>38463</v>
      </c>
      <c r="B1374">
        <v>116.75</v>
      </c>
      <c r="E1374">
        <f t="shared" si="42"/>
        <v>4</v>
      </c>
      <c r="F1374">
        <f t="shared" si="43"/>
        <v>2005</v>
      </c>
    </row>
    <row r="1375" spans="1:6" x14ac:dyDescent="0.2">
      <c r="A1375" s="20">
        <v>38464</v>
      </c>
      <c r="B1375">
        <v>116.5</v>
      </c>
      <c r="E1375">
        <f t="shared" si="42"/>
        <v>4</v>
      </c>
      <c r="F1375">
        <f t="shared" si="43"/>
        <v>2005</v>
      </c>
    </row>
    <row r="1376" spans="1:6" x14ac:dyDescent="0.2">
      <c r="A1376" s="20">
        <v>38467</v>
      </c>
      <c r="B1376">
        <v>116.5</v>
      </c>
      <c r="E1376">
        <f t="shared" si="42"/>
        <v>4</v>
      </c>
      <c r="F1376">
        <f t="shared" si="43"/>
        <v>2005</v>
      </c>
    </row>
    <row r="1377" spans="1:6" x14ac:dyDescent="0.2">
      <c r="A1377" s="20">
        <v>38468</v>
      </c>
      <c r="B1377">
        <v>116.5</v>
      </c>
      <c r="E1377">
        <f t="shared" si="42"/>
        <v>4</v>
      </c>
      <c r="F1377">
        <f t="shared" si="43"/>
        <v>2005</v>
      </c>
    </row>
    <row r="1378" spans="1:6" x14ac:dyDescent="0.2">
      <c r="A1378" s="20">
        <v>38469</v>
      </c>
      <c r="B1378">
        <v>116.75</v>
      </c>
      <c r="E1378">
        <f t="shared" si="42"/>
        <v>4</v>
      </c>
      <c r="F1378">
        <f t="shared" si="43"/>
        <v>2005</v>
      </c>
    </row>
    <row r="1379" spans="1:6" x14ac:dyDescent="0.2">
      <c r="A1379" s="20">
        <v>38470</v>
      </c>
      <c r="B1379">
        <v>116.5</v>
      </c>
      <c r="E1379">
        <f t="shared" si="42"/>
        <v>4</v>
      </c>
      <c r="F1379">
        <f t="shared" si="43"/>
        <v>2005</v>
      </c>
    </row>
    <row r="1380" spans="1:6" x14ac:dyDescent="0.2">
      <c r="A1380" s="20">
        <v>38471</v>
      </c>
      <c r="B1380">
        <v>116.75</v>
      </c>
      <c r="E1380">
        <f t="shared" si="42"/>
        <v>4</v>
      </c>
      <c r="F1380">
        <f t="shared" si="43"/>
        <v>2005</v>
      </c>
    </row>
    <row r="1381" spans="1:6" x14ac:dyDescent="0.2">
      <c r="A1381" s="20">
        <v>38474</v>
      </c>
      <c r="B1381">
        <v>116.75</v>
      </c>
      <c r="E1381">
        <f t="shared" si="42"/>
        <v>5</v>
      </c>
      <c r="F1381">
        <f t="shared" si="43"/>
        <v>2005</v>
      </c>
    </row>
    <row r="1382" spans="1:6" x14ac:dyDescent="0.2">
      <c r="A1382" s="20">
        <v>38475</v>
      </c>
      <c r="B1382">
        <v>117</v>
      </c>
      <c r="E1382">
        <f t="shared" si="42"/>
        <v>5</v>
      </c>
      <c r="F1382">
        <f t="shared" si="43"/>
        <v>2005</v>
      </c>
    </row>
    <row r="1383" spans="1:6" x14ac:dyDescent="0.2">
      <c r="A1383" s="20">
        <v>38476</v>
      </c>
      <c r="B1383">
        <v>117</v>
      </c>
      <c r="E1383">
        <f t="shared" si="42"/>
        <v>5</v>
      </c>
      <c r="F1383">
        <f t="shared" si="43"/>
        <v>2005</v>
      </c>
    </row>
    <row r="1384" spans="1:6" x14ac:dyDescent="0.2">
      <c r="A1384" s="20">
        <v>38477</v>
      </c>
      <c r="B1384">
        <v>116.75</v>
      </c>
      <c r="E1384">
        <f t="shared" si="42"/>
        <v>5</v>
      </c>
      <c r="F1384">
        <f t="shared" si="43"/>
        <v>2005</v>
      </c>
    </row>
    <row r="1385" spans="1:6" x14ac:dyDescent="0.2">
      <c r="A1385" s="20">
        <v>38478</v>
      </c>
      <c r="B1385">
        <v>117.5</v>
      </c>
      <c r="E1385">
        <f t="shared" si="42"/>
        <v>5</v>
      </c>
      <c r="F1385">
        <f t="shared" si="43"/>
        <v>2005</v>
      </c>
    </row>
    <row r="1386" spans="1:6" x14ac:dyDescent="0.2">
      <c r="A1386" s="20">
        <v>38481</v>
      </c>
      <c r="B1386">
        <v>117.5</v>
      </c>
      <c r="E1386">
        <f t="shared" si="42"/>
        <v>5</v>
      </c>
      <c r="F1386">
        <f t="shared" si="43"/>
        <v>2005</v>
      </c>
    </row>
    <row r="1387" spans="1:6" x14ac:dyDescent="0.2">
      <c r="A1387" s="20">
        <v>38482</v>
      </c>
      <c r="B1387">
        <v>117.75</v>
      </c>
      <c r="E1387">
        <f t="shared" si="42"/>
        <v>5</v>
      </c>
      <c r="F1387">
        <f t="shared" si="43"/>
        <v>2005</v>
      </c>
    </row>
    <row r="1388" spans="1:6" x14ac:dyDescent="0.2">
      <c r="A1388" s="20">
        <v>38483</v>
      </c>
      <c r="B1388">
        <v>118.25</v>
      </c>
      <c r="E1388">
        <f t="shared" si="42"/>
        <v>5</v>
      </c>
      <c r="F1388">
        <f t="shared" si="43"/>
        <v>2005</v>
      </c>
    </row>
    <row r="1389" spans="1:6" x14ac:dyDescent="0.2">
      <c r="A1389" s="20">
        <v>38484</v>
      </c>
      <c r="B1389">
        <v>118.5</v>
      </c>
      <c r="E1389">
        <f t="shared" si="42"/>
        <v>5</v>
      </c>
      <c r="F1389">
        <f t="shared" si="43"/>
        <v>2005</v>
      </c>
    </row>
    <row r="1390" spans="1:6" x14ac:dyDescent="0.2">
      <c r="A1390" s="20">
        <v>38485</v>
      </c>
      <c r="B1390">
        <v>118.75</v>
      </c>
      <c r="E1390">
        <f t="shared" si="42"/>
        <v>5</v>
      </c>
      <c r="F1390">
        <f t="shared" si="43"/>
        <v>2005</v>
      </c>
    </row>
    <row r="1391" spans="1:6" x14ac:dyDescent="0.2">
      <c r="A1391" s="20">
        <v>38488</v>
      </c>
      <c r="B1391">
        <v>118.5</v>
      </c>
      <c r="E1391">
        <f t="shared" si="42"/>
        <v>5</v>
      </c>
      <c r="F1391">
        <f t="shared" si="43"/>
        <v>2005</v>
      </c>
    </row>
    <row r="1392" spans="1:6" x14ac:dyDescent="0.2">
      <c r="A1392" s="20">
        <v>38489</v>
      </c>
      <c r="B1392">
        <v>118.75</v>
      </c>
      <c r="E1392">
        <f t="shared" si="42"/>
        <v>5</v>
      </c>
      <c r="F1392">
        <f t="shared" si="43"/>
        <v>2005</v>
      </c>
    </row>
    <row r="1393" spans="1:6" x14ac:dyDescent="0.2">
      <c r="A1393" s="20">
        <v>38490</v>
      </c>
      <c r="B1393">
        <v>120.5</v>
      </c>
      <c r="E1393">
        <f t="shared" si="42"/>
        <v>5</v>
      </c>
      <c r="F1393">
        <f t="shared" si="43"/>
        <v>2005</v>
      </c>
    </row>
    <row r="1394" spans="1:6" x14ac:dyDescent="0.2">
      <c r="A1394" s="20">
        <v>38491</v>
      </c>
      <c r="B1394">
        <v>121.75</v>
      </c>
      <c r="E1394">
        <f t="shared" si="42"/>
        <v>5</v>
      </c>
      <c r="F1394">
        <f t="shared" si="43"/>
        <v>2005</v>
      </c>
    </row>
    <row r="1395" spans="1:6" x14ac:dyDescent="0.2">
      <c r="A1395" s="20">
        <v>38492</v>
      </c>
      <c r="B1395">
        <v>121.75</v>
      </c>
      <c r="E1395">
        <f t="shared" si="42"/>
        <v>5</v>
      </c>
      <c r="F1395">
        <f t="shared" si="43"/>
        <v>2005</v>
      </c>
    </row>
    <row r="1396" spans="1:6" x14ac:dyDescent="0.2">
      <c r="A1396" s="20">
        <v>38495</v>
      </c>
      <c r="B1396">
        <v>122</v>
      </c>
      <c r="E1396">
        <f t="shared" si="42"/>
        <v>5</v>
      </c>
      <c r="F1396">
        <f t="shared" si="43"/>
        <v>2005</v>
      </c>
    </row>
    <row r="1397" spans="1:6" x14ac:dyDescent="0.2">
      <c r="A1397" s="20">
        <v>38496</v>
      </c>
      <c r="B1397">
        <v>121.75</v>
      </c>
      <c r="E1397">
        <f t="shared" si="42"/>
        <v>5</v>
      </c>
      <c r="F1397">
        <f t="shared" si="43"/>
        <v>2005</v>
      </c>
    </row>
    <row r="1398" spans="1:6" x14ac:dyDescent="0.2">
      <c r="A1398" s="20">
        <v>38497</v>
      </c>
      <c r="B1398">
        <v>121</v>
      </c>
      <c r="E1398">
        <f t="shared" si="42"/>
        <v>5</v>
      </c>
      <c r="F1398">
        <f t="shared" si="43"/>
        <v>2005</v>
      </c>
    </row>
    <row r="1399" spans="1:6" x14ac:dyDescent="0.2">
      <c r="A1399" s="20">
        <v>38498</v>
      </c>
      <c r="B1399">
        <v>119.5</v>
      </c>
      <c r="E1399">
        <f t="shared" si="42"/>
        <v>5</v>
      </c>
      <c r="F1399">
        <f t="shared" si="43"/>
        <v>2005</v>
      </c>
    </row>
    <row r="1400" spans="1:6" x14ac:dyDescent="0.2">
      <c r="A1400" s="20">
        <v>38499</v>
      </c>
      <c r="B1400">
        <v>119</v>
      </c>
      <c r="E1400">
        <f t="shared" si="42"/>
        <v>5</v>
      </c>
      <c r="F1400">
        <f t="shared" si="43"/>
        <v>2005</v>
      </c>
    </row>
    <row r="1401" spans="1:6" x14ac:dyDescent="0.2">
      <c r="A1401" s="20">
        <v>38502</v>
      </c>
      <c r="B1401">
        <v>119</v>
      </c>
      <c r="E1401">
        <f t="shared" si="42"/>
        <v>5</v>
      </c>
      <c r="F1401">
        <f t="shared" si="43"/>
        <v>2005</v>
      </c>
    </row>
    <row r="1402" spans="1:6" x14ac:dyDescent="0.2">
      <c r="A1402" s="20">
        <v>38503</v>
      </c>
      <c r="B1402">
        <v>119</v>
      </c>
      <c r="E1402">
        <f t="shared" si="42"/>
        <v>5</v>
      </c>
      <c r="F1402">
        <f t="shared" si="43"/>
        <v>2005</v>
      </c>
    </row>
    <row r="1403" spans="1:6" x14ac:dyDescent="0.2">
      <c r="A1403" s="20">
        <v>38504</v>
      </c>
      <c r="B1403">
        <v>121</v>
      </c>
      <c r="E1403">
        <f t="shared" si="42"/>
        <v>6</v>
      </c>
      <c r="F1403">
        <f t="shared" si="43"/>
        <v>2005</v>
      </c>
    </row>
    <row r="1404" spans="1:6" x14ac:dyDescent="0.2">
      <c r="A1404" s="20">
        <v>38505</v>
      </c>
      <c r="B1404">
        <v>123</v>
      </c>
      <c r="E1404">
        <f t="shared" si="42"/>
        <v>6</v>
      </c>
      <c r="F1404">
        <f t="shared" si="43"/>
        <v>2005</v>
      </c>
    </row>
    <row r="1405" spans="1:6" x14ac:dyDescent="0.2">
      <c r="A1405" s="20">
        <v>38506</v>
      </c>
      <c r="B1405">
        <v>125</v>
      </c>
      <c r="E1405">
        <f t="shared" si="42"/>
        <v>6</v>
      </c>
      <c r="F1405">
        <f t="shared" si="43"/>
        <v>2005</v>
      </c>
    </row>
    <row r="1406" spans="1:6" x14ac:dyDescent="0.2">
      <c r="A1406" s="20">
        <v>38509</v>
      </c>
      <c r="B1406">
        <v>124.5</v>
      </c>
      <c r="E1406">
        <f t="shared" si="42"/>
        <v>6</v>
      </c>
      <c r="F1406">
        <f t="shared" si="43"/>
        <v>2005</v>
      </c>
    </row>
    <row r="1407" spans="1:6" x14ac:dyDescent="0.2">
      <c r="A1407" s="20">
        <v>38510</v>
      </c>
      <c r="B1407">
        <v>127</v>
      </c>
      <c r="E1407">
        <f t="shared" si="42"/>
        <v>6</v>
      </c>
      <c r="F1407">
        <f t="shared" si="43"/>
        <v>2005</v>
      </c>
    </row>
    <row r="1408" spans="1:6" x14ac:dyDescent="0.2">
      <c r="A1408" s="20">
        <v>38511</v>
      </c>
      <c r="B1408">
        <v>129</v>
      </c>
      <c r="E1408">
        <f t="shared" si="42"/>
        <v>6</v>
      </c>
      <c r="F1408">
        <f t="shared" si="43"/>
        <v>2005</v>
      </c>
    </row>
    <row r="1409" spans="1:6" x14ac:dyDescent="0.2">
      <c r="A1409" s="20">
        <v>38512</v>
      </c>
      <c r="B1409">
        <v>130.5</v>
      </c>
      <c r="E1409">
        <f t="shared" si="42"/>
        <v>6</v>
      </c>
      <c r="F1409">
        <f t="shared" si="43"/>
        <v>2005</v>
      </c>
    </row>
    <row r="1410" spans="1:6" x14ac:dyDescent="0.2">
      <c r="A1410" s="20">
        <v>38513</v>
      </c>
      <c r="B1410">
        <v>130.5</v>
      </c>
      <c r="E1410">
        <f t="shared" si="42"/>
        <v>6</v>
      </c>
      <c r="F1410">
        <f t="shared" si="43"/>
        <v>2005</v>
      </c>
    </row>
    <row r="1411" spans="1:6" x14ac:dyDescent="0.2">
      <c r="A1411" s="20">
        <v>38516</v>
      </c>
      <c r="B1411">
        <v>132</v>
      </c>
      <c r="E1411">
        <f t="shared" ref="E1411:E1474" si="44">MONTH(A1411)</f>
        <v>6</v>
      </c>
      <c r="F1411">
        <f t="shared" ref="F1411:F1474" si="45">YEAR(A1411)</f>
        <v>2005</v>
      </c>
    </row>
    <row r="1412" spans="1:6" x14ac:dyDescent="0.2">
      <c r="A1412" s="20">
        <v>38517</v>
      </c>
      <c r="B1412">
        <v>130</v>
      </c>
      <c r="E1412">
        <f t="shared" si="44"/>
        <v>6</v>
      </c>
      <c r="F1412">
        <f t="shared" si="45"/>
        <v>2005</v>
      </c>
    </row>
    <row r="1413" spans="1:6" x14ac:dyDescent="0.2">
      <c r="A1413" s="20">
        <v>38518</v>
      </c>
      <c r="B1413">
        <v>129.5</v>
      </c>
      <c r="E1413">
        <f t="shared" si="44"/>
        <v>6</v>
      </c>
      <c r="F1413">
        <f t="shared" si="45"/>
        <v>2005</v>
      </c>
    </row>
    <row r="1414" spans="1:6" x14ac:dyDescent="0.2">
      <c r="A1414" s="20">
        <v>38519</v>
      </c>
      <c r="B1414">
        <v>127.25</v>
      </c>
      <c r="E1414">
        <f t="shared" si="44"/>
        <v>6</v>
      </c>
      <c r="F1414">
        <f t="shared" si="45"/>
        <v>2005</v>
      </c>
    </row>
    <row r="1415" spans="1:6" x14ac:dyDescent="0.2">
      <c r="A1415" s="20">
        <v>38520</v>
      </c>
      <c r="B1415">
        <v>129.5</v>
      </c>
      <c r="E1415">
        <f t="shared" si="44"/>
        <v>6</v>
      </c>
      <c r="F1415">
        <f t="shared" si="45"/>
        <v>2005</v>
      </c>
    </row>
    <row r="1416" spans="1:6" x14ac:dyDescent="0.2">
      <c r="A1416" s="20">
        <v>38523</v>
      </c>
      <c r="B1416">
        <v>131.25</v>
      </c>
      <c r="E1416">
        <f t="shared" si="44"/>
        <v>6</v>
      </c>
      <c r="F1416">
        <f t="shared" si="45"/>
        <v>2005</v>
      </c>
    </row>
    <row r="1417" spans="1:6" x14ac:dyDescent="0.2">
      <c r="A1417" s="20">
        <v>38524</v>
      </c>
      <c r="B1417">
        <v>131</v>
      </c>
      <c r="E1417">
        <f t="shared" si="44"/>
        <v>6</v>
      </c>
      <c r="F1417">
        <f t="shared" si="45"/>
        <v>2005</v>
      </c>
    </row>
    <row r="1418" spans="1:6" x14ac:dyDescent="0.2">
      <c r="A1418" s="20">
        <v>38525</v>
      </c>
      <c r="B1418">
        <v>131.5</v>
      </c>
      <c r="E1418">
        <f t="shared" si="44"/>
        <v>6</v>
      </c>
      <c r="F1418">
        <f t="shared" si="45"/>
        <v>2005</v>
      </c>
    </row>
    <row r="1419" spans="1:6" x14ac:dyDescent="0.2">
      <c r="A1419" s="20">
        <v>38526</v>
      </c>
      <c r="B1419">
        <v>131</v>
      </c>
      <c r="E1419">
        <f t="shared" si="44"/>
        <v>6</v>
      </c>
      <c r="F1419">
        <f t="shared" si="45"/>
        <v>2005</v>
      </c>
    </row>
    <row r="1420" spans="1:6" x14ac:dyDescent="0.2">
      <c r="A1420" s="20">
        <v>38527</v>
      </c>
      <c r="B1420">
        <v>129</v>
      </c>
      <c r="E1420">
        <f t="shared" si="44"/>
        <v>6</v>
      </c>
      <c r="F1420">
        <f t="shared" si="45"/>
        <v>2005</v>
      </c>
    </row>
    <row r="1421" spans="1:6" x14ac:dyDescent="0.2">
      <c r="A1421" s="20">
        <v>38530</v>
      </c>
      <c r="B1421">
        <v>131</v>
      </c>
      <c r="E1421">
        <f t="shared" si="44"/>
        <v>6</v>
      </c>
      <c r="F1421">
        <f t="shared" si="45"/>
        <v>2005</v>
      </c>
    </row>
    <row r="1422" spans="1:6" x14ac:dyDescent="0.2">
      <c r="A1422" s="20">
        <v>38531</v>
      </c>
      <c r="B1422">
        <v>131</v>
      </c>
      <c r="E1422">
        <f t="shared" si="44"/>
        <v>6</v>
      </c>
      <c r="F1422">
        <f t="shared" si="45"/>
        <v>2005</v>
      </c>
    </row>
    <row r="1423" spans="1:6" x14ac:dyDescent="0.2">
      <c r="A1423" s="20">
        <v>38532</v>
      </c>
      <c r="B1423">
        <v>130.5</v>
      </c>
      <c r="E1423">
        <f t="shared" si="44"/>
        <v>6</v>
      </c>
      <c r="F1423">
        <f t="shared" si="45"/>
        <v>2005</v>
      </c>
    </row>
    <row r="1424" spans="1:6" x14ac:dyDescent="0.2">
      <c r="A1424" s="20">
        <v>38533</v>
      </c>
      <c r="B1424">
        <v>129</v>
      </c>
      <c r="E1424">
        <f t="shared" si="44"/>
        <v>6</v>
      </c>
      <c r="F1424">
        <f t="shared" si="45"/>
        <v>2005</v>
      </c>
    </row>
    <row r="1425" spans="1:6" x14ac:dyDescent="0.2">
      <c r="A1425" s="20">
        <v>38534</v>
      </c>
      <c r="B1425">
        <v>130</v>
      </c>
      <c r="E1425">
        <f t="shared" si="44"/>
        <v>7</v>
      </c>
      <c r="F1425">
        <f t="shared" si="45"/>
        <v>2005</v>
      </c>
    </row>
    <row r="1426" spans="1:6" x14ac:dyDescent="0.2">
      <c r="A1426" s="20">
        <v>38537</v>
      </c>
      <c r="B1426">
        <v>130</v>
      </c>
      <c r="E1426">
        <f t="shared" si="44"/>
        <v>7</v>
      </c>
      <c r="F1426">
        <f t="shared" si="45"/>
        <v>2005</v>
      </c>
    </row>
    <row r="1427" spans="1:6" x14ac:dyDescent="0.2">
      <c r="A1427" s="20">
        <v>38538</v>
      </c>
      <c r="B1427">
        <v>130.5</v>
      </c>
      <c r="E1427">
        <f t="shared" si="44"/>
        <v>7</v>
      </c>
      <c r="F1427">
        <f t="shared" si="45"/>
        <v>2005</v>
      </c>
    </row>
    <row r="1428" spans="1:6" x14ac:dyDescent="0.2">
      <c r="A1428" s="20">
        <v>38539</v>
      </c>
      <c r="B1428">
        <v>129</v>
      </c>
      <c r="E1428">
        <f t="shared" si="44"/>
        <v>7</v>
      </c>
      <c r="F1428">
        <f t="shared" si="45"/>
        <v>2005</v>
      </c>
    </row>
    <row r="1429" spans="1:6" x14ac:dyDescent="0.2">
      <c r="A1429" s="20">
        <v>38540</v>
      </c>
      <c r="B1429">
        <v>129</v>
      </c>
      <c r="E1429">
        <f t="shared" si="44"/>
        <v>7</v>
      </c>
      <c r="F1429">
        <f t="shared" si="45"/>
        <v>2005</v>
      </c>
    </row>
    <row r="1430" spans="1:6" x14ac:dyDescent="0.2">
      <c r="A1430" s="20">
        <v>38541</v>
      </c>
      <c r="B1430">
        <v>130</v>
      </c>
      <c r="E1430">
        <f t="shared" si="44"/>
        <v>7</v>
      </c>
      <c r="F1430">
        <f t="shared" si="45"/>
        <v>2005</v>
      </c>
    </row>
    <row r="1431" spans="1:6" x14ac:dyDescent="0.2">
      <c r="A1431" s="20">
        <v>38544</v>
      </c>
      <c r="B1431">
        <v>130</v>
      </c>
      <c r="E1431">
        <f t="shared" si="44"/>
        <v>7</v>
      </c>
      <c r="F1431">
        <f t="shared" si="45"/>
        <v>2005</v>
      </c>
    </row>
    <row r="1432" spans="1:6" x14ac:dyDescent="0.2">
      <c r="A1432" s="20">
        <v>38545</v>
      </c>
      <c r="B1432">
        <v>130</v>
      </c>
      <c r="E1432">
        <f t="shared" si="44"/>
        <v>7</v>
      </c>
      <c r="F1432">
        <f t="shared" si="45"/>
        <v>2005</v>
      </c>
    </row>
    <row r="1433" spans="1:6" x14ac:dyDescent="0.2">
      <c r="A1433" s="20">
        <v>38546</v>
      </c>
      <c r="B1433">
        <v>130.25</v>
      </c>
      <c r="E1433">
        <f t="shared" si="44"/>
        <v>7</v>
      </c>
      <c r="F1433">
        <f t="shared" si="45"/>
        <v>2005</v>
      </c>
    </row>
    <row r="1434" spans="1:6" x14ac:dyDescent="0.2">
      <c r="A1434" s="20">
        <v>38547</v>
      </c>
      <c r="B1434">
        <v>130.5</v>
      </c>
      <c r="E1434">
        <f t="shared" si="44"/>
        <v>7</v>
      </c>
      <c r="F1434">
        <f t="shared" si="45"/>
        <v>2005</v>
      </c>
    </row>
    <row r="1435" spans="1:6" x14ac:dyDescent="0.2">
      <c r="A1435" s="20">
        <v>38548</v>
      </c>
      <c r="B1435">
        <v>131</v>
      </c>
      <c r="E1435">
        <f t="shared" si="44"/>
        <v>7</v>
      </c>
      <c r="F1435">
        <f t="shared" si="45"/>
        <v>2005</v>
      </c>
    </row>
    <row r="1436" spans="1:6" x14ac:dyDescent="0.2">
      <c r="A1436" s="20">
        <v>38551</v>
      </c>
      <c r="B1436">
        <v>131.5</v>
      </c>
      <c r="E1436">
        <f t="shared" si="44"/>
        <v>7</v>
      </c>
      <c r="F1436">
        <f t="shared" si="45"/>
        <v>2005</v>
      </c>
    </row>
    <row r="1437" spans="1:6" x14ac:dyDescent="0.2">
      <c r="A1437" s="20">
        <v>38552</v>
      </c>
      <c r="B1437">
        <v>133</v>
      </c>
      <c r="E1437">
        <f t="shared" si="44"/>
        <v>7</v>
      </c>
      <c r="F1437">
        <f t="shared" si="45"/>
        <v>2005</v>
      </c>
    </row>
    <row r="1438" spans="1:6" x14ac:dyDescent="0.2">
      <c r="A1438" s="20">
        <v>38553</v>
      </c>
      <c r="B1438">
        <v>134</v>
      </c>
      <c r="E1438">
        <f t="shared" si="44"/>
        <v>7</v>
      </c>
      <c r="F1438">
        <f t="shared" si="45"/>
        <v>2005</v>
      </c>
    </row>
    <row r="1439" spans="1:6" x14ac:dyDescent="0.2">
      <c r="A1439" s="20">
        <v>38554</v>
      </c>
      <c r="B1439">
        <v>135</v>
      </c>
      <c r="E1439">
        <f t="shared" si="44"/>
        <v>7</v>
      </c>
      <c r="F1439">
        <f t="shared" si="45"/>
        <v>2005</v>
      </c>
    </row>
    <row r="1440" spans="1:6" x14ac:dyDescent="0.2">
      <c r="A1440" s="20">
        <v>38555</v>
      </c>
      <c r="B1440">
        <v>136</v>
      </c>
      <c r="E1440">
        <f t="shared" si="44"/>
        <v>7</v>
      </c>
      <c r="F1440">
        <f t="shared" si="45"/>
        <v>2005</v>
      </c>
    </row>
    <row r="1441" spans="1:6" x14ac:dyDescent="0.2">
      <c r="A1441" s="20">
        <v>38558</v>
      </c>
      <c r="B1441">
        <v>137</v>
      </c>
      <c r="E1441">
        <f t="shared" si="44"/>
        <v>7</v>
      </c>
      <c r="F1441">
        <f t="shared" si="45"/>
        <v>2005</v>
      </c>
    </row>
    <row r="1442" spans="1:6" x14ac:dyDescent="0.2">
      <c r="A1442" s="20">
        <v>38559</v>
      </c>
      <c r="B1442">
        <v>136.25</v>
      </c>
      <c r="E1442">
        <f t="shared" si="44"/>
        <v>7</v>
      </c>
      <c r="F1442">
        <f t="shared" si="45"/>
        <v>2005</v>
      </c>
    </row>
    <row r="1443" spans="1:6" x14ac:dyDescent="0.2">
      <c r="A1443" s="20">
        <v>38560</v>
      </c>
      <c r="B1443">
        <v>133</v>
      </c>
      <c r="E1443">
        <f t="shared" si="44"/>
        <v>7</v>
      </c>
      <c r="F1443">
        <f t="shared" si="45"/>
        <v>2005</v>
      </c>
    </row>
    <row r="1444" spans="1:6" x14ac:dyDescent="0.2">
      <c r="A1444" s="20">
        <v>38561</v>
      </c>
      <c r="B1444">
        <v>132.5</v>
      </c>
      <c r="E1444">
        <f t="shared" si="44"/>
        <v>7</v>
      </c>
      <c r="F1444">
        <f t="shared" si="45"/>
        <v>2005</v>
      </c>
    </row>
    <row r="1445" spans="1:6" x14ac:dyDescent="0.2">
      <c r="A1445" s="20">
        <v>38562</v>
      </c>
      <c r="B1445">
        <v>132.5</v>
      </c>
      <c r="E1445">
        <f t="shared" si="44"/>
        <v>7</v>
      </c>
      <c r="F1445">
        <f t="shared" si="45"/>
        <v>2005</v>
      </c>
    </row>
    <row r="1446" spans="1:6" x14ac:dyDescent="0.2">
      <c r="A1446" s="20">
        <v>38565</v>
      </c>
      <c r="B1446">
        <v>134</v>
      </c>
      <c r="E1446">
        <f t="shared" si="44"/>
        <v>8</v>
      </c>
      <c r="F1446">
        <f t="shared" si="45"/>
        <v>2005</v>
      </c>
    </row>
    <row r="1447" spans="1:6" x14ac:dyDescent="0.2">
      <c r="A1447" s="20">
        <v>38566</v>
      </c>
      <c r="B1447">
        <v>135</v>
      </c>
      <c r="E1447">
        <f t="shared" si="44"/>
        <v>8</v>
      </c>
      <c r="F1447">
        <f t="shared" si="45"/>
        <v>2005</v>
      </c>
    </row>
    <row r="1448" spans="1:6" x14ac:dyDescent="0.2">
      <c r="A1448" s="20">
        <v>38567</v>
      </c>
      <c r="B1448">
        <v>132</v>
      </c>
      <c r="E1448">
        <f t="shared" si="44"/>
        <v>8</v>
      </c>
      <c r="F1448">
        <f t="shared" si="45"/>
        <v>2005</v>
      </c>
    </row>
    <row r="1449" spans="1:6" x14ac:dyDescent="0.2">
      <c r="A1449" s="20">
        <v>38568</v>
      </c>
      <c r="B1449">
        <v>131</v>
      </c>
      <c r="E1449">
        <f t="shared" si="44"/>
        <v>8</v>
      </c>
      <c r="F1449">
        <f t="shared" si="45"/>
        <v>2005</v>
      </c>
    </row>
    <row r="1450" spans="1:6" x14ac:dyDescent="0.2">
      <c r="A1450" s="20">
        <v>38569</v>
      </c>
      <c r="B1450">
        <v>129</v>
      </c>
      <c r="E1450">
        <f t="shared" si="44"/>
        <v>8</v>
      </c>
      <c r="F1450">
        <f t="shared" si="45"/>
        <v>2005</v>
      </c>
    </row>
    <row r="1451" spans="1:6" x14ac:dyDescent="0.2">
      <c r="A1451" s="20">
        <v>38572</v>
      </c>
      <c r="B1451">
        <v>126</v>
      </c>
      <c r="E1451">
        <f t="shared" si="44"/>
        <v>8</v>
      </c>
      <c r="F1451">
        <f t="shared" si="45"/>
        <v>2005</v>
      </c>
    </row>
    <row r="1452" spans="1:6" x14ac:dyDescent="0.2">
      <c r="A1452" s="20">
        <v>38573</v>
      </c>
      <c r="B1452">
        <v>126</v>
      </c>
      <c r="E1452">
        <f t="shared" si="44"/>
        <v>8</v>
      </c>
      <c r="F1452">
        <f t="shared" si="45"/>
        <v>2005</v>
      </c>
    </row>
    <row r="1453" spans="1:6" x14ac:dyDescent="0.2">
      <c r="A1453" s="20">
        <v>38574</v>
      </c>
      <c r="B1453">
        <v>125.25</v>
      </c>
      <c r="E1453">
        <f t="shared" si="44"/>
        <v>8</v>
      </c>
      <c r="F1453">
        <f t="shared" si="45"/>
        <v>2005</v>
      </c>
    </row>
    <row r="1454" spans="1:6" x14ac:dyDescent="0.2">
      <c r="A1454" s="20">
        <v>38575</v>
      </c>
      <c r="B1454">
        <v>125.25</v>
      </c>
      <c r="E1454">
        <f t="shared" si="44"/>
        <v>8</v>
      </c>
      <c r="F1454">
        <f t="shared" si="45"/>
        <v>2005</v>
      </c>
    </row>
    <row r="1455" spans="1:6" x14ac:dyDescent="0.2">
      <c r="A1455" s="20">
        <v>38576</v>
      </c>
      <c r="B1455">
        <v>124</v>
      </c>
      <c r="E1455">
        <f t="shared" si="44"/>
        <v>8</v>
      </c>
      <c r="F1455">
        <f t="shared" si="45"/>
        <v>2005</v>
      </c>
    </row>
    <row r="1456" spans="1:6" x14ac:dyDescent="0.2">
      <c r="A1456" s="20">
        <v>38579</v>
      </c>
      <c r="B1456">
        <v>124</v>
      </c>
      <c r="E1456">
        <f t="shared" si="44"/>
        <v>8</v>
      </c>
      <c r="F1456">
        <f t="shared" si="45"/>
        <v>2005</v>
      </c>
    </row>
    <row r="1457" spans="1:6" x14ac:dyDescent="0.2">
      <c r="A1457" s="20">
        <v>38580</v>
      </c>
      <c r="B1457">
        <v>123.5</v>
      </c>
      <c r="E1457">
        <f t="shared" si="44"/>
        <v>8</v>
      </c>
      <c r="F1457">
        <f t="shared" si="45"/>
        <v>2005</v>
      </c>
    </row>
    <row r="1458" spans="1:6" x14ac:dyDescent="0.2">
      <c r="A1458" s="20">
        <v>38581</v>
      </c>
      <c r="B1458">
        <v>123.5</v>
      </c>
      <c r="E1458">
        <f t="shared" si="44"/>
        <v>8</v>
      </c>
      <c r="F1458">
        <f t="shared" si="45"/>
        <v>2005</v>
      </c>
    </row>
    <row r="1459" spans="1:6" x14ac:dyDescent="0.2">
      <c r="A1459" s="20">
        <v>38582</v>
      </c>
      <c r="B1459">
        <v>123.25</v>
      </c>
      <c r="E1459">
        <f t="shared" si="44"/>
        <v>8</v>
      </c>
      <c r="F1459">
        <f t="shared" si="45"/>
        <v>2005</v>
      </c>
    </row>
    <row r="1460" spans="1:6" x14ac:dyDescent="0.2">
      <c r="A1460" s="20">
        <v>38583</v>
      </c>
      <c r="B1460">
        <v>123.5</v>
      </c>
      <c r="E1460">
        <f t="shared" si="44"/>
        <v>8</v>
      </c>
      <c r="F1460">
        <f t="shared" si="45"/>
        <v>2005</v>
      </c>
    </row>
    <row r="1461" spans="1:6" x14ac:dyDescent="0.2">
      <c r="A1461" s="20">
        <v>38586</v>
      </c>
      <c r="B1461">
        <v>123.25</v>
      </c>
      <c r="E1461">
        <f t="shared" si="44"/>
        <v>8</v>
      </c>
      <c r="F1461">
        <f t="shared" si="45"/>
        <v>2005</v>
      </c>
    </row>
    <row r="1462" spans="1:6" x14ac:dyDescent="0.2">
      <c r="A1462" s="20">
        <v>38587</v>
      </c>
      <c r="B1462">
        <v>123.25</v>
      </c>
      <c r="E1462">
        <f t="shared" si="44"/>
        <v>8</v>
      </c>
      <c r="F1462">
        <f t="shared" si="45"/>
        <v>2005</v>
      </c>
    </row>
    <row r="1463" spans="1:6" x14ac:dyDescent="0.2">
      <c r="A1463" s="20">
        <v>38588</v>
      </c>
      <c r="B1463">
        <v>124</v>
      </c>
      <c r="E1463">
        <f t="shared" si="44"/>
        <v>8</v>
      </c>
      <c r="F1463">
        <f t="shared" si="45"/>
        <v>2005</v>
      </c>
    </row>
    <row r="1464" spans="1:6" x14ac:dyDescent="0.2">
      <c r="A1464" s="20">
        <v>38589</v>
      </c>
      <c r="B1464">
        <v>125</v>
      </c>
      <c r="E1464">
        <f t="shared" si="44"/>
        <v>8</v>
      </c>
      <c r="F1464">
        <f t="shared" si="45"/>
        <v>2005</v>
      </c>
    </row>
    <row r="1465" spans="1:6" x14ac:dyDescent="0.2">
      <c r="A1465" s="20">
        <v>38590</v>
      </c>
      <c r="B1465">
        <v>125.5</v>
      </c>
      <c r="E1465">
        <f t="shared" si="44"/>
        <v>8</v>
      </c>
      <c r="F1465">
        <f t="shared" si="45"/>
        <v>2005</v>
      </c>
    </row>
    <row r="1466" spans="1:6" x14ac:dyDescent="0.2">
      <c r="A1466" s="20">
        <v>38593</v>
      </c>
      <c r="B1466">
        <v>125.5</v>
      </c>
      <c r="E1466">
        <f t="shared" si="44"/>
        <v>8</v>
      </c>
      <c r="F1466">
        <f t="shared" si="45"/>
        <v>2005</v>
      </c>
    </row>
    <row r="1467" spans="1:6" x14ac:dyDescent="0.2">
      <c r="A1467" s="20">
        <v>38594</v>
      </c>
      <c r="B1467">
        <v>124.25</v>
      </c>
      <c r="E1467">
        <f t="shared" si="44"/>
        <v>8</v>
      </c>
      <c r="F1467">
        <f t="shared" si="45"/>
        <v>2005</v>
      </c>
    </row>
    <row r="1468" spans="1:6" x14ac:dyDescent="0.2">
      <c r="A1468" s="20">
        <v>38595</v>
      </c>
      <c r="B1468">
        <v>124.5</v>
      </c>
      <c r="E1468">
        <f t="shared" si="44"/>
        <v>8</v>
      </c>
      <c r="F1468">
        <f t="shared" si="45"/>
        <v>2005</v>
      </c>
    </row>
    <row r="1469" spans="1:6" x14ac:dyDescent="0.2">
      <c r="A1469" s="20">
        <v>38596</v>
      </c>
      <c r="B1469">
        <v>123.5</v>
      </c>
      <c r="E1469">
        <f t="shared" si="44"/>
        <v>9</v>
      </c>
      <c r="F1469">
        <f t="shared" si="45"/>
        <v>2005</v>
      </c>
    </row>
    <row r="1470" spans="1:6" x14ac:dyDescent="0.2">
      <c r="A1470" s="20">
        <v>38597</v>
      </c>
      <c r="B1470">
        <v>122.5</v>
      </c>
      <c r="E1470">
        <f t="shared" si="44"/>
        <v>9</v>
      </c>
      <c r="F1470">
        <f t="shared" si="45"/>
        <v>2005</v>
      </c>
    </row>
    <row r="1471" spans="1:6" x14ac:dyDescent="0.2">
      <c r="A1471" s="20">
        <v>38600</v>
      </c>
      <c r="B1471">
        <v>122.5</v>
      </c>
      <c r="E1471">
        <f t="shared" si="44"/>
        <v>9</v>
      </c>
      <c r="F1471">
        <f t="shared" si="45"/>
        <v>2005</v>
      </c>
    </row>
    <row r="1472" spans="1:6" x14ac:dyDescent="0.2">
      <c r="A1472" s="20">
        <v>38601</v>
      </c>
      <c r="B1472">
        <v>123.5</v>
      </c>
      <c r="E1472">
        <f t="shared" si="44"/>
        <v>9</v>
      </c>
      <c r="F1472">
        <f t="shared" si="45"/>
        <v>2005</v>
      </c>
    </row>
    <row r="1473" spans="1:6" x14ac:dyDescent="0.2">
      <c r="A1473" s="20">
        <v>38602</v>
      </c>
      <c r="B1473">
        <v>124.5</v>
      </c>
      <c r="E1473">
        <f t="shared" si="44"/>
        <v>9</v>
      </c>
      <c r="F1473">
        <f t="shared" si="45"/>
        <v>2005</v>
      </c>
    </row>
    <row r="1474" spans="1:6" x14ac:dyDescent="0.2">
      <c r="A1474" s="20">
        <v>38603</v>
      </c>
      <c r="B1474">
        <v>124.5</v>
      </c>
      <c r="E1474">
        <f t="shared" si="44"/>
        <v>9</v>
      </c>
      <c r="F1474">
        <f t="shared" si="45"/>
        <v>2005</v>
      </c>
    </row>
    <row r="1475" spans="1:6" x14ac:dyDescent="0.2">
      <c r="A1475" s="20">
        <v>38604</v>
      </c>
      <c r="B1475">
        <v>123</v>
      </c>
      <c r="E1475">
        <f t="shared" ref="E1475:E1538" si="46">MONTH(A1475)</f>
        <v>9</v>
      </c>
      <c r="F1475">
        <f t="shared" ref="F1475:F1538" si="47">YEAR(A1475)</f>
        <v>2005</v>
      </c>
    </row>
    <row r="1476" spans="1:6" x14ac:dyDescent="0.2">
      <c r="A1476" s="20">
        <v>38607</v>
      </c>
      <c r="B1476">
        <v>123</v>
      </c>
      <c r="E1476">
        <f t="shared" si="46"/>
        <v>9</v>
      </c>
      <c r="F1476">
        <f t="shared" si="47"/>
        <v>2005</v>
      </c>
    </row>
    <row r="1477" spans="1:6" x14ac:dyDescent="0.2">
      <c r="A1477" s="20">
        <v>38608</v>
      </c>
      <c r="B1477">
        <v>123</v>
      </c>
      <c r="E1477">
        <f t="shared" si="46"/>
        <v>9</v>
      </c>
      <c r="F1477">
        <f t="shared" si="47"/>
        <v>2005</v>
      </c>
    </row>
    <row r="1478" spans="1:6" x14ac:dyDescent="0.2">
      <c r="A1478" s="20">
        <v>38609</v>
      </c>
      <c r="B1478">
        <v>123.5</v>
      </c>
      <c r="E1478">
        <f t="shared" si="46"/>
        <v>9</v>
      </c>
      <c r="F1478">
        <f t="shared" si="47"/>
        <v>2005</v>
      </c>
    </row>
    <row r="1479" spans="1:6" x14ac:dyDescent="0.2">
      <c r="A1479" s="20">
        <v>38610</v>
      </c>
      <c r="B1479">
        <v>123.5</v>
      </c>
      <c r="E1479">
        <f t="shared" si="46"/>
        <v>9</v>
      </c>
      <c r="F1479">
        <f t="shared" si="47"/>
        <v>2005</v>
      </c>
    </row>
    <row r="1480" spans="1:6" x14ac:dyDescent="0.2">
      <c r="A1480" s="20">
        <v>38611</v>
      </c>
      <c r="B1480">
        <v>123.75</v>
      </c>
      <c r="E1480">
        <f t="shared" si="46"/>
        <v>9</v>
      </c>
      <c r="F1480">
        <f t="shared" si="47"/>
        <v>2005</v>
      </c>
    </row>
    <row r="1481" spans="1:6" x14ac:dyDescent="0.2">
      <c r="A1481" s="20">
        <v>38614</v>
      </c>
      <c r="B1481">
        <v>123.75</v>
      </c>
      <c r="E1481">
        <f t="shared" si="46"/>
        <v>9</v>
      </c>
      <c r="F1481">
        <f t="shared" si="47"/>
        <v>2005</v>
      </c>
    </row>
    <row r="1482" spans="1:6" x14ac:dyDescent="0.2">
      <c r="A1482" s="20">
        <v>38615</v>
      </c>
      <c r="B1482">
        <v>124</v>
      </c>
      <c r="E1482">
        <f t="shared" si="46"/>
        <v>9</v>
      </c>
      <c r="F1482">
        <f t="shared" si="47"/>
        <v>2005</v>
      </c>
    </row>
    <row r="1483" spans="1:6" x14ac:dyDescent="0.2">
      <c r="A1483" s="20">
        <v>38616</v>
      </c>
      <c r="B1483">
        <v>124.5</v>
      </c>
      <c r="E1483">
        <f t="shared" si="46"/>
        <v>9</v>
      </c>
      <c r="F1483">
        <f t="shared" si="47"/>
        <v>2005</v>
      </c>
    </row>
    <row r="1484" spans="1:6" x14ac:dyDescent="0.2">
      <c r="A1484" s="20">
        <v>38617</v>
      </c>
      <c r="B1484">
        <v>124</v>
      </c>
      <c r="E1484">
        <f t="shared" si="46"/>
        <v>9</v>
      </c>
      <c r="F1484">
        <f t="shared" si="47"/>
        <v>2005</v>
      </c>
    </row>
    <row r="1485" spans="1:6" x14ac:dyDescent="0.2">
      <c r="A1485" s="20">
        <v>38618</v>
      </c>
      <c r="B1485">
        <v>123.5</v>
      </c>
      <c r="E1485">
        <f t="shared" si="46"/>
        <v>9</v>
      </c>
      <c r="F1485">
        <f t="shared" si="47"/>
        <v>2005</v>
      </c>
    </row>
    <row r="1486" spans="1:6" x14ac:dyDescent="0.2">
      <c r="A1486" s="20">
        <v>38621</v>
      </c>
      <c r="B1486">
        <v>124</v>
      </c>
      <c r="E1486">
        <f t="shared" si="46"/>
        <v>9</v>
      </c>
      <c r="F1486">
        <f t="shared" si="47"/>
        <v>2005</v>
      </c>
    </row>
    <row r="1487" spans="1:6" x14ac:dyDescent="0.2">
      <c r="A1487" s="20">
        <v>38622</v>
      </c>
      <c r="B1487">
        <v>124</v>
      </c>
      <c r="E1487">
        <f t="shared" si="46"/>
        <v>9</v>
      </c>
      <c r="F1487">
        <f t="shared" si="47"/>
        <v>2005</v>
      </c>
    </row>
    <row r="1488" spans="1:6" x14ac:dyDescent="0.2">
      <c r="A1488" s="20">
        <v>38623</v>
      </c>
      <c r="B1488">
        <v>124</v>
      </c>
      <c r="E1488">
        <f t="shared" si="46"/>
        <v>9</v>
      </c>
      <c r="F1488">
        <f t="shared" si="47"/>
        <v>2005</v>
      </c>
    </row>
    <row r="1489" spans="1:6" x14ac:dyDescent="0.2">
      <c r="A1489" s="20">
        <v>38624</v>
      </c>
      <c r="B1489">
        <v>124</v>
      </c>
      <c r="E1489">
        <f t="shared" si="46"/>
        <v>9</v>
      </c>
      <c r="F1489">
        <f t="shared" si="47"/>
        <v>2005</v>
      </c>
    </row>
    <row r="1490" spans="1:6" x14ac:dyDescent="0.2">
      <c r="A1490" s="20">
        <v>38625</v>
      </c>
      <c r="B1490">
        <v>124.25</v>
      </c>
      <c r="E1490">
        <f t="shared" si="46"/>
        <v>9</v>
      </c>
      <c r="F1490">
        <f t="shared" si="47"/>
        <v>2005</v>
      </c>
    </row>
    <row r="1491" spans="1:6" x14ac:dyDescent="0.2">
      <c r="A1491" s="20">
        <v>38628</v>
      </c>
      <c r="B1491">
        <v>124</v>
      </c>
      <c r="E1491">
        <f t="shared" si="46"/>
        <v>10</v>
      </c>
      <c r="F1491">
        <f t="shared" si="47"/>
        <v>2005</v>
      </c>
    </row>
    <row r="1492" spans="1:6" x14ac:dyDescent="0.2">
      <c r="A1492" s="20">
        <v>38629</v>
      </c>
      <c r="B1492">
        <v>124.5</v>
      </c>
      <c r="E1492">
        <f t="shared" si="46"/>
        <v>10</v>
      </c>
      <c r="F1492">
        <f t="shared" si="47"/>
        <v>2005</v>
      </c>
    </row>
    <row r="1493" spans="1:6" x14ac:dyDescent="0.2">
      <c r="A1493" s="20">
        <v>38630</v>
      </c>
      <c r="B1493">
        <v>124.5</v>
      </c>
      <c r="E1493">
        <f t="shared" si="46"/>
        <v>10</v>
      </c>
      <c r="F1493">
        <f t="shared" si="47"/>
        <v>2005</v>
      </c>
    </row>
    <row r="1494" spans="1:6" x14ac:dyDescent="0.2">
      <c r="A1494" s="20">
        <v>38631</v>
      </c>
      <c r="B1494">
        <v>124.75</v>
      </c>
      <c r="E1494">
        <f t="shared" si="46"/>
        <v>10</v>
      </c>
      <c r="F1494">
        <f t="shared" si="47"/>
        <v>2005</v>
      </c>
    </row>
    <row r="1495" spans="1:6" x14ac:dyDescent="0.2">
      <c r="A1495" s="20">
        <v>38632</v>
      </c>
      <c r="B1495">
        <v>125</v>
      </c>
      <c r="E1495">
        <f t="shared" si="46"/>
        <v>10</v>
      </c>
      <c r="F1495">
        <f t="shared" si="47"/>
        <v>2005</v>
      </c>
    </row>
    <row r="1496" spans="1:6" x14ac:dyDescent="0.2">
      <c r="A1496" s="20">
        <v>38635</v>
      </c>
      <c r="B1496">
        <v>124.5</v>
      </c>
      <c r="E1496">
        <f t="shared" si="46"/>
        <v>10</v>
      </c>
      <c r="F1496">
        <f t="shared" si="47"/>
        <v>2005</v>
      </c>
    </row>
    <row r="1497" spans="1:6" x14ac:dyDescent="0.2">
      <c r="A1497" s="20">
        <v>38636</v>
      </c>
      <c r="B1497">
        <v>125.75</v>
      </c>
      <c r="E1497">
        <f t="shared" si="46"/>
        <v>10</v>
      </c>
      <c r="F1497">
        <f t="shared" si="47"/>
        <v>2005</v>
      </c>
    </row>
    <row r="1498" spans="1:6" x14ac:dyDescent="0.2">
      <c r="A1498" s="20">
        <v>38637</v>
      </c>
      <c r="B1498">
        <v>125.75</v>
      </c>
      <c r="E1498">
        <f t="shared" si="46"/>
        <v>10</v>
      </c>
      <c r="F1498">
        <f t="shared" si="47"/>
        <v>2005</v>
      </c>
    </row>
    <row r="1499" spans="1:6" x14ac:dyDescent="0.2">
      <c r="A1499" s="20">
        <v>38638</v>
      </c>
      <c r="B1499">
        <v>126</v>
      </c>
      <c r="E1499">
        <f t="shared" si="46"/>
        <v>10</v>
      </c>
      <c r="F1499">
        <f t="shared" si="47"/>
        <v>2005</v>
      </c>
    </row>
    <row r="1500" spans="1:6" x14ac:dyDescent="0.2">
      <c r="A1500" s="20">
        <v>38639</v>
      </c>
      <c r="B1500">
        <v>126.75</v>
      </c>
      <c r="E1500">
        <f t="shared" si="46"/>
        <v>10</v>
      </c>
      <c r="F1500">
        <f t="shared" si="47"/>
        <v>2005</v>
      </c>
    </row>
    <row r="1501" spans="1:6" x14ac:dyDescent="0.2">
      <c r="A1501" s="20">
        <v>38642</v>
      </c>
      <c r="B1501">
        <v>127</v>
      </c>
      <c r="E1501">
        <f t="shared" si="46"/>
        <v>10</v>
      </c>
      <c r="F1501">
        <f t="shared" si="47"/>
        <v>2005</v>
      </c>
    </row>
    <row r="1502" spans="1:6" x14ac:dyDescent="0.2">
      <c r="A1502" s="20">
        <v>38643</v>
      </c>
      <c r="B1502">
        <v>128</v>
      </c>
      <c r="E1502">
        <f t="shared" si="46"/>
        <v>10</v>
      </c>
      <c r="F1502">
        <f t="shared" si="47"/>
        <v>2005</v>
      </c>
    </row>
    <row r="1503" spans="1:6" x14ac:dyDescent="0.2">
      <c r="A1503" s="20">
        <v>38644</v>
      </c>
      <c r="B1503">
        <v>128.25</v>
      </c>
      <c r="E1503">
        <f t="shared" si="46"/>
        <v>10</v>
      </c>
      <c r="F1503">
        <f t="shared" si="47"/>
        <v>2005</v>
      </c>
    </row>
    <row r="1504" spans="1:6" x14ac:dyDescent="0.2">
      <c r="A1504" s="20">
        <v>38645</v>
      </c>
      <c r="B1504">
        <v>128.5</v>
      </c>
      <c r="E1504">
        <f t="shared" si="46"/>
        <v>10</v>
      </c>
      <c r="F1504">
        <f t="shared" si="47"/>
        <v>2005</v>
      </c>
    </row>
    <row r="1505" spans="1:6" x14ac:dyDescent="0.2">
      <c r="A1505" s="20">
        <v>38646</v>
      </c>
      <c r="B1505">
        <v>128.5</v>
      </c>
      <c r="E1505">
        <f t="shared" si="46"/>
        <v>10</v>
      </c>
      <c r="F1505">
        <f t="shared" si="47"/>
        <v>2005</v>
      </c>
    </row>
    <row r="1506" spans="1:6" x14ac:dyDescent="0.2">
      <c r="A1506" s="20">
        <v>38649</v>
      </c>
      <c r="B1506">
        <v>128.5</v>
      </c>
      <c r="E1506">
        <f t="shared" si="46"/>
        <v>10</v>
      </c>
      <c r="F1506">
        <f t="shared" si="47"/>
        <v>2005</v>
      </c>
    </row>
    <row r="1507" spans="1:6" x14ac:dyDescent="0.2">
      <c r="A1507" s="20">
        <v>38650</v>
      </c>
      <c r="B1507">
        <v>127</v>
      </c>
      <c r="E1507">
        <f t="shared" si="46"/>
        <v>10</v>
      </c>
      <c r="F1507">
        <f t="shared" si="47"/>
        <v>2005</v>
      </c>
    </row>
    <row r="1508" spans="1:6" x14ac:dyDescent="0.2">
      <c r="A1508" s="20">
        <v>38651</v>
      </c>
      <c r="B1508">
        <v>125</v>
      </c>
      <c r="E1508">
        <f t="shared" si="46"/>
        <v>10</v>
      </c>
      <c r="F1508">
        <f t="shared" si="47"/>
        <v>2005</v>
      </c>
    </row>
    <row r="1509" spans="1:6" x14ac:dyDescent="0.2">
      <c r="A1509" s="20">
        <v>38652</v>
      </c>
      <c r="B1509">
        <v>123.5</v>
      </c>
      <c r="E1509">
        <f t="shared" si="46"/>
        <v>10</v>
      </c>
      <c r="F1509">
        <f t="shared" si="47"/>
        <v>2005</v>
      </c>
    </row>
    <row r="1510" spans="1:6" x14ac:dyDescent="0.2">
      <c r="A1510" s="20">
        <v>38653</v>
      </c>
      <c r="B1510">
        <v>123</v>
      </c>
      <c r="E1510">
        <f t="shared" si="46"/>
        <v>10</v>
      </c>
      <c r="F1510">
        <f t="shared" si="47"/>
        <v>2005</v>
      </c>
    </row>
    <row r="1511" spans="1:6" x14ac:dyDescent="0.2">
      <c r="A1511" s="20">
        <v>38656</v>
      </c>
      <c r="B1511">
        <v>124.75</v>
      </c>
      <c r="E1511">
        <f t="shared" si="46"/>
        <v>10</v>
      </c>
      <c r="F1511">
        <f t="shared" si="47"/>
        <v>2005</v>
      </c>
    </row>
    <row r="1512" spans="1:6" x14ac:dyDescent="0.2">
      <c r="A1512" s="20">
        <v>38657</v>
      </c>
      <c r="B1512">
        <v>124.75</v>
      </c>
      <c r="E1512">
        <f t="shared" si="46"/>
        <v>11</v>
      </c>
      <c r="F1512">
        <f t="shared" si="47"/>
        <v>2005</v>
      </c>
    </row>
    <row r="1513" spans="1:6" x14ac:dyDescent="0.2">
      <c r="A1513" s="20">
        <v>38658</v>
      </c>
      <c r="B1513">
        <v>125.5</v>
      </c>
      <c r="E1513">
        <f t="shared" si="46"/>
        <v>11</v>
      </c>
      <c r="F1513">
        <f t="shared" si="47"/>
        <v>2005</v>
      </c>
    </row>
    <row r="1514" spans="1:6" x14ac:dyDescent="0.2">
      <c r="A1514" s="20">
        <v>38659</v>
      </c>
      <c r="B1514">
        <v>126</v>
      </c>
      <c r="E1514">
        <f t="shared" si="46"/>
        <v>11</v>
      </c>
      <c r="F1514">
        <f t="shared" si="47"/>
        <v>2005</v>
      </c>
    </row>
    <row r="1515" spans="1:6" x14ac:dyDescent="0.2">
      <c r="A1515" s="20">
        <v>38660</v>
      </c>
      <c r="B1515">
        <v>127.25</v>
      </c>
      <c r="E1515">
        <f t="shared" si="46"/>
        <v>11</v>
      </c>
      <c r="F1515">
        <f t="shared" si="47"/>
        <v>2005</v>
      </c>
    </row>
    <row r="1516" spans="1:6" x14ac:dyDescent="0.2">
      <c r="A1516" s="20">
        <v>38663</v>
      </c>
      <c r="B1516">
        <v>128</v>
      </c>
      <c r="E1516">
        <f t="shared" si="46"/>
        <v>11</v>
      </c>
      <c r="F1516">
        <f t="shared" si="47"/>
        <v>2005</v>
      </c>
    </row>
    <row r="1517" spans="1:6" x14ac:dyDescent="0.2">
      <c r="A1517" s="20">
        <v>38664</v>
      </c>
      <c r="B1517">
        <v>128</v>
      </c>
      <c r="E1517">
        <f t="shared" si="46"/>
        <v>11</v>
      </c>
      <c r="F1517">
        <f t="shared" si="47"/>
        <v>2005</v>
      </c>
    </row>
    <row r="1518" spans="1:6" x14ac:dyDescent="0.2">
      <c r="A1518" s="20">
        <v>38665</v>
      </c>
      <c r="B1518">
        <v>128</v>
      </c>
      <c r="E1518">
        <f t="shared" si="46"/>
        <v>11</v>
      </c>
      <c r="F1518">
        <f t="shared" si="47"/>
        <v>2005</v>
      </c>
    </row>
    <row r="1519" spans="1:6" x14ac:dyDescent="0.2">
      <c r="A1519" s="20">
        <v>38666</v>
      </c>
      <c r="B1519">
        <v>128.25</v>
      </c>
      <c r="E1519">
        <f t="shared" si="46"/>
        <v>11</v>
      </c>
      <c r="F1519">
        <f t="shared" si="47"/>
        <v>2005</v>
      </c>
    </row>
    <row r="1520" spans="1:6" x14ac:dyDescent="0.2">
      <c r="A1520" s="20">
        <v>38667</v>
      </c>
      <c r="B1520">
        <v>128.25</v>
      </c>
      <c r="E1520">
        <f t="shared" si="46"/>
        <v>11</v>
      </c>
      <c r="F1520">
        <f t="shared" si="47"/>
        <v>2005</v>
      </c>
    </row>
    <row r="1521" spans="1:6" x14ac:dyDescent="0.2">
      <c r="A1521" s="20">
        <v>38670</v>
      </c>
      <c r="B1521">
        <v>128.25</v>
      </c>
      <c r="E1521">
        <f t="shared" si="46"/>
        <v>11</v>
      </c>
      <c r="F1521">
        <f t="shared" si="47"/>
        <v>2005</v>
      </c>
    </row>
    <row r="1522" spans="1:6" x14ac:dyDescent="0.2">
      <c r="A1522" s="20">
        <v>38671</v>
      </c>
      <c r="B1522">
        <v>128.5</v>
      </c>
      <c r="E1522">
        <f t="shared" si="46"/>
        <v>11</v>
      </c>
      <c r="F1522">
        <f t="shared" si="47"/>
        <v>2005</v>
      </c>
    </row>
    <row r="1523" spans="1:6" x14ac:dyDescent="0.2">
      <c r="A1523" s="20">
        <v>38672</v>
      </c>
      <c r="B1523">
        <v>128.5</v>
      </c>
      <c r="E1523">
        <f t="shared" si="46"/>
        <v>11</v>
      </c>
      <c r="F1523">
        <f t="shared" si="47"/>
        <v>2005</v>
      </c>
    </row>
    <row r="1524" spans="1:6" x14ac:dyDescent="0.2">
      <c r="A1524" s="20">
        <v>38673</v>
      </c>
      <c r="B1524">
        <v>129.5</v>
      </c>
      <c r="E1524">
        <f t="shared" si="46"/>
        <v>11</v>
      </c>
      <c r="F1524">
        <f t="shared" si="47"/>
        <v>2005</v>
      </c>
    </row>
    <row r="1525" spans="1:6" x14ac:dyDescent="0.2">
      <c r="A1525" s="20">
        <v>38674</v>
      </c>
      <c r="B1525">
        <v>129.5</v>
      </c>
      <c r="E1525">
        <f t="shared" si="46"/>
        <v>11</v>
      </c>
      <c r="F1525">
        <f t="shared" si="47"/>
        <v>2005</v>
      </c>
    </row>
    <row r="1526" spans="1:6" x14ac:dyDescent="0.2">
      <c r="A1526" s="20">
        <v>38677</v>
      </c>
      <c r="B1526">
        <v>128.75</v>
      </c>
      <c r="E1526">
        <f t="shared" si="46"/>
        <v>11</v>
      </c>
      <c r="F1526">
        <f t="shared" si="47"/>
        <v>2005</v>
      </c>
    </row>
    <row r="1527" spans="1:6" x14ac:dyDescent="0.2">
      <c r="A1527" s="20">
        <v>38678</v>
      </c>
      <c r="B1527">
        <v>129</v>
      </c>
      <c r="E1527">
        <f t="shared" si="46"/>
        <v>11</v>
      </c>
      <c r="F1527">
        <f t="shared" si="47"/>
        <v>2005</v>
      </c>
    </row>
    <row r="1528" spans="1:6" x14ac:dyDescent="0.2">
      <c r="A1528" s="20">
        <v>38679</v>
      </c>
      <c r="B1528">
        <v>128.25</v>
      </c>
      <c r="E1528">
        <f t="shared" si="46"/>
        <v>11</v>
      </c>
      <c r="F1528">
        <f t="shared" si="47"/>
        <v>2005</v>
      </c>
    </row>
    <row r="1529" spans="1:6" x14ac:dyDescent="0.2">
      <c r="A1529" s="20">
        <v>38680</v>
      </c>
      <c r="B1529">
        <v>128</v>
      </c>
      <c r="E1529">
        <f t="shared" si="46"/>
        <v>11</v>
      </c>
      <c r="F1529">
        <f t="shared" si="47"/>
        <v>2005</v>
      </c>
    </row>
    <row r="1530" spans="1:6" x14ac:dyDescent="0.2">
      <c r="A1530" s="20">
        <v>38681</v>
      </c>
      <c r="B1530">
        <v>127.75</v>
      </c>
      <c r="E1530">
        <f t="shared" si="46"/>
        <v>11</v>
      </c>
      <c r="F1530">
        <f t="shared" si="47"/>
        <v>2005</v>
      </c>
    </row>
    <row r="1531" spans="1:6" x14ac:dyDescent="0.2">
      <c r="A1531" s="20">
        <v>38684</v>
      </c>
      <c r="B1531">
        <v>127.5</v>
      </c>
      <c r="E1531">
        <f t="shared" si="46"/>
        <v>11</v>
      </c>
      <c r="F1531">
        <f t="shared" si="47"/>
        <v>2005</v>
      </c>
    </row>
    <row r="1532" spans="1:6" x14ac:dyDescent="0.2">
      <c r="A1532" s="20">
        <v>38685</v>
      </c>
      <c r="B1532">
        <v>127</v>
      </c>
      <c r="E1532">
        <f t="shared" si="46"/>
        <v>11</v>
      </c>
      <c r="F1532">
        <f t="shared" si="47"/>
        <v>2005</v>
      </c>
    </row>
    <row r="1533" spans="1:6" x14ac:dyDescent="0.2">
      <c r="A1533" s="20">
        <v>38686</v>
      </c>
      <c r="B1533">
        <v>125.75</v>
      </c>
      <c r="E1533">
        <f t="shared" si="46"/>
        <v>11</v>
      </c>
      <c r="F1533">
        <f t="shared" si="47"/>
        <v>2005</v>
      </c>
    </row>
    <row r="1534" spans="1:6" x14ac:dyDescent="0.2">
      <c r="A1534" s="20">
        <v>38687</v>
      </c>
      <c r="B1534">
        <v>125.5</v>
      </c>
      <c r="E1534">
        <f t="shared" si="46"/>
        <v>12</v>
      </c>
      <c r="F1534">
        <f t="shared" si="47"/>
        <v>2005</v>
      </c>
    </row>
    <row r="1535" spans="1:6" x14ac:dyDescent="0.2">
      <c r="A1535" s="20">
        <v>38688</v>
      </c>
      <c r="B1535">
        <v>125.75</v>
      </c>
      <c r="E1535">
        <f t="shared" si="46"/>
        <v>12</v>
      </c>
      <c r="F1535">
        <f t="shared" si="47"/>
        <v>2005</v>
      </c>
    </row>
    <row r="1536" spans="1:6" x14ac:dyDescent="0.2">
      <c r="A1536" s="20">
        <v>38691</v>
      </c>
      <c r="B1536">
        <v>125.75</v>
      </c>
      <c r="E1536">
        <f t="shared" si="46"/>
        <v>12</v>
      </c>
      <c r="F1536">
        <f t="shared" si="47"/>
        <v>2005</v>
      </c>
    </row>
    <row r="1537" spans="1:6" x14ac:dyDescent="0.2">
      <c r="A1537" s="20">
        <v>38692</v>
      </c>
      <c r="B1537">
        <v>126.25</v>
      </c>
      <c r="E1537">
        <f t="shared" si="46"/>
        <v>12</v>
      </c>
      <c r="F1537">
        <f t="shared" si="47"/>
        <v>2005</v>
      </c>
    </row>
    <row r="1538" spans="1:6" x14ac:dyDescent="0.2">
      <c r="A1538" s="20">
        <v>38693</v>
      </c>
      <c r="B1538">
        <v>126.75</v>
      </c>
      <c r="E1538">
        <f t="shared" si="46"/>
        <v>12</v>
      </c>
      <c r="F1538">
        <f t="shared" si="47"/>
        <v>2005</v>
      </c>
    </row>
    <row r="1539" spans="1:6" x14ac:dyDescent="0.2">
      <c r="A1539" s="20">
        <v>38694</v>
      </c>
      <c r="B1539">
        <v>127</v>
      </c>
      <c r="E1539">
        <f t="shared" ref="E1539:E1602" si="48">MONTH(A1539)</f>
        <v>12</v>
      </c>
      <c r="F1539">
        <f t="shared" ref="F1539:F1602" si="49">YEAR(A1539)</f>
        <v>2005</v>
      </c>
    </row>
    <row r="1540" spans="1:6" x14ac:dyDescent="0.2">
      <c r="A1540" s="20">
        <v>38695</v>
      </c>
      <c r="B1540">
        <v>127</v>
      </c>
      <c r="E1540">
        <f t="shared" si="48"/>
        <v>12</v>
      </c>
      <c r="F1540">
        <f t="shared" si="49"/>
        <v>2005</v>
      </c>
    </row>
    <row r="1541" spans="1:6" x14ac:dyDescent="0.2">
      <c r="A1541" s="20">
        <v>38698</v>
      </c>
      <c r="B1541">
        <v>127.25</v>
      </c>
      <c r="E1541">
        <f t="shared" si="48"/>
        <v>12</v>
      </c>
      <c r="F1541">
        <f t="shared" si="49"/>
        <v>2005</v>
      </c>
    </row>
    <row r="1542" spans="1:6" x14ac:dyDescent="0.2">
      <c r="A1542" s="20">
        <v>38699</v>
      </c>
      <c r="B1542">
        <v>126.5</v>
      </c>
      <c r="E1542">
        <f t="shared" si="48"/>
        <v>12</v>
      </c>
      <c r="F1542">
        <f t="shared" si="49"/>
        <v>2005</v>
      </c>
    </row>
    <row r="1543" spans="1:6" x14ac:dyDescent="0.2">
      <c r="A1543" s="20">
        <v>38700</v>
      </c>
      <c r="B1543">
        <v>126.5</v>
      </c>
      <c r="E1543">
        <f t="shared" si="48"/>
        <v>12</v>
      </c>
      <c r="F1543">
        <f t="shared" si="49"/>
        <v>2005</v>
      </c>
    </row>
    <row r="1544" spans="1:6" x14ac:dyDescent="0.2">
      <c r="A1544" s="20">
        <v>38701</v>
      </c>
      <c r="B1544">
        <v>126</v>
      </c>
      <c r="E1544">
        <f t="shared" si="48"/>
        <v>12</v>
      </c>
      <c r="F1544">
        <f t="shared" si="49"/>
        <v>2005</v>
      </c>
    </row>
    <row r="1545" spans="1:6" x14ac:dyDescent="0.2">
      <c r="A1545" s="20">
        <v>38702</v>
      </c>
      <c r="B1545">
        <v>126</v>
      </c>
      <c r="E1545">
        <f t="shared" si="48"/>
        <v>12</v>
      </c>
      <c r="F1545">
        <f t="shared" si="49"/>
        <v>2005</v>
      </c>
    </row>
    <row r="1546" spans="1:6" x14ac:dyDescent="0.2">
      <c r="A1546" s="20">
        <v>38705</v>
      </c>
      <c r="B1546">
        <v>126.5</v>
      </c>
      <c r="E1546">
        <f t="shared" si="48"/>
        <v>12</v>
      </c>
      <c r="F1546">
        <f t="shared" si="49"/>
        <v>2005</v>
      </c>
    </row>
    <row r="1547" spans="1:6" x14ac:dyDescent="0.2">
      <c r="A1547" s="20">
        <v>38706</v>
      </c>
      <c r="B1547">
        <v>126.75</v>
      </c>
      <c r="E1547">
        <f t="shared" si="48"/>
        <v>12</v>
      </c>
      <c r="F1547">
        <f t="shared" si="49"/>
        <v>2005</v>
      </c>
    </row>
    <row r="1548" spans="1:6" x14ac:dyDescent="0.2">
      <c r="A1548" s="20">
        <v>38707</v>
      </c>
      <c r="B1548">
        <v>127</v>
      </c>
      <c r="E1548">
        <f t="shared" si="48"/>
        <v>12</v>
      </c>
      <c r="F1548">
        <f t="shared" si="49"/>
        <v>2005</v>
      </c>
    </row>
    <row r="1549" spans="1:6" x14ac:dyDescent="0.2">
      <c r="A1549" s="20">
        <v>38708</v>
      </c>
      <c r="B1549">
        <v>126.5</v>
      </c>
      <c r="E1549">
        <f t="shared" si="48"/>
        <v>12</v>
      </c>
      <c r="F1549">
        <f t="shared" si="49"/>
        <v>2005</v>
      </c>
    </row>
    <row r="1550" spans="1:6" x14ac:dyDescent="0.2">
      <c r="A1550" s="20">
        <v>38709</v>
      </c>
      <c r="B1550">
        <v>126.5</v>
      </c>
      <c r="E1550">
        <f t="shared" si="48"/>
        <v>12</v>
      </c>
      <c r="F1550">
        <f t="shared" si="49"/>
        <v>2005</v>
      </c>
    </row>
    <row r="1551" spans="1:6" x14ac:dyDescent="0.2">
      <c r="A1551" s="20">
        <v>38713</v>
      </c>
      <c r="B1551">
        <v>126.5</v>
      </c>
      <c r="E1551">
        <f t="shared" si="48"/>
        <v>12</v>
      </c>
      <c r="F1551">
        <f t="shared" si="49"/>
        <v>2005</v>
      </c>
    </row>
    <row r="1552" spans="1:6" x14ac:dyDescent="0.2">
      <c r="A1552" s="20">
        <v>38714</v>
      </c>
      <c r="B1552">
        <v>127</v>
      </c>
      <c r="E1552">
        <f t="shared" si="48"/>
        <v>12</v>
      </c>
      <c r="F1552">
        <f t="shared" si="49"/>
        <v>2005</v>
      </c>
    </row>
    <row r="1553" spans="1:6" x14ac:dyDescent="0.2">
      <c r="A1553" s="20">
        <v>38715</v>
      </c>
      <c r="B1553">
        <v>127.25</v>
      </c>
      <c r="E1553">
        <f t="shared" si="48"/>
        <v>12</v>
      </c>
      <c r="F1553">
        <f t="shared" si="49"/>
        <v>2005</v>
      </c>
    </row>
    <row r="1554" spans="1:6" x14ac:dyDescent="0.2">
      <c r="A1554" s="20">
        <v>38716</v>
      </c>
      <c r="B1554">
        <v>126.5</v>
      </c>
      <c r="E1554">
        <f t="shared" si="48"/>
        <v>12</v>
      </c>
      <c r="F1554">
        <f t="shared" si="49"/>
        <v>2005</v>
      </c>
    </row>
    <row r="1555" spans="1:6" x14ac:dyDescent="0.2">
      <c r="A1555" s="20">
        <v>38720</v>
      </c>
      <c r="B1555">
        <v>126.5</v>
      </c>
      <c r="E1555">
        <f t="shared" si="48"/>
        <v>1</v>
      </c>
      <c r="F1555">
        <f t="shared" si="49"/>
        <v>2006</v>
      </c>
    </row>
    <row r="1556" spans="1:6" x14ac:dyDescent="0.2">
      <c r="A1556" s="20">
        <v>38721</v>
      </c>
      <c r="B1556">
        <v>127</v>
      </c>
      <c r="E1556">
        <f t="shared" si="48"/>
        <v>1</v>
      </c>
      <c r="F1556">
        <f t="shared" si="49"/>
        <v>2006</v>
      </c>
    </row>
    <row r="1557" spans="1:6" x14ac:dyDescent="0.2">
      <c r="A1557" s="20">
        <v>38722</v>
      </c>
      <c r="B1557">
        <v>127.25</v>
      </c>
      <c r="E1557">
        <f t="shared" si="48"/>
        <v>1</v>
      </c>
      <c r="F1557">
        <f t="shared" si="49"/>
        <v>2006</v>
      </c>
    </row>
    <row r="1558" spans="1:6" x14ac:dyDescent="0.2">
      <c r="A1558" s="20">
        <v>38723</v>
      </c>
      <c r="B1558">
        <v>126.75</v>
      </c>
      <c r="E1558">
        <f t="shared" si="48"/>
        <v>1</v>
      </c>
      <c r="F1558">
        <f t="shared" si="49"/>
        <v>2006</v>
      </c>
    </row>
    <row r="1559" spans="1:6" x14ac:dyDescent="0.2">
      <c r="A1559" s="20">
        <v>38726</v>
      </c>
      <c r="B1559">
        <v>126.5</v>
      </c>
      <c r="E1559">
        <f t="shared" si="48"/>
        <v>1</v>
      </c>
      <c r="F1559">
        <f t="shared" si="49"/>
        <v>2006</v>
      </c>
    </row>
    <row r="1560" spans="1:6" x14ac:dyDescent="0.2">
      <c r="A1560" s="20">
        <v>38727</v>
      </c>
      <c r="B1560">
        <v>126.25</v>
      </c>
      <c r="E1560">
        <f t="shared" si="48"/>
        <v>1</v>
      </c>
      <c r="F1560">
        <f t="shared" si="49"/>
        <v>2006</v>
      </c>
    </row>
    <row r="1561" spans="1:6" x14ac:dyDescent="0.2">
      <c r="A1561" s="20">
        <v>38728</v>
      </c>
      <c r="B1561">
        <v>126.25</v>
      </c>
      <c r="E1561">
        <f t="shared" si="48"/>
        <v>1</v>
      </c>
      <c r="F1561">
        <f t="shared" si="49"/>
        <v>2006</v>
      </c>
    </row>
    <row r="1562" spans="1:6" x14ac:dyDescent="0.2">
      <c r="A1562" s="20">
        <v>38729</v>
      </c>
      <c r="B1562">
        <v>125.5</v>
      </c>
      <c r="E1562">
        <f t="shared" si="48"/>
        <v>1</v>
      </c>
      <c r="F1562">
        <f t="shared" si="49"/>
        <v>2006</v>
      </c>
    </row>
    <row r="1563" spans="1:6" x14ac:dyDescent="0.2">
      <c r="A1563" s="20">
        <v>38730</v>
      </c>
      <c r="B1563">
        <v>125.25</v>
      </c>
      <c r="E1563">
        <f t="shared" si="48"/>
        <v>1</v>
      </c>
      <c r="F1563">
        <f t="shared" si="49"/>
        <v>2006</v>
      </c>
    </row>
    <row r="1564" spans="1:6" x14ac:dyDescent="0.2">
      <c r="A1564" s="20">
        <v>38733</v>
      </c>
      <c r="B1564">
        <v>125</v>
      </c>
      <c r="E1564">
        <f t="shared" si="48"/>
        <v>1</v>
      </c>
      <c r="F1564">
        <f t="shared" si="49"/>
        <v>2006</v>
      </c>
    </row>
    <row r="1565" spans="1:6" x14ac:dyDescent="0.2">
      <c r="A1565" s="20">
        <v>38734</v>
      </c>
      <c r="B1565">
        <v>125.25</v>
      </c>
      <c r="E1565">
        <f t="shared" si="48"/>
        <v>1</v>
      </c>
      <c r="F1565">
        <f t="shared" si="49"/>
        <v>2006</v>
      </c>
    </row>
    <row r="1566" spans="1:6" x14ac:dyDescent="0.2">
      <c r="A1566" s="20">
        <v>38735</v>
      </c>
      <c r="B1566">
        <v>125.5</v>
      </c>
      <c r="E1566">
        <f t="shared" si="48"/>
        <v>1</v>
      </c>
      <c r="F1566">
        <f t="shared" si="49"/>
        <v>2006</v>
      </c>
    </row>
    <row r="1567" spans="1:6" x14ac:dyDescent="0.2">
      <c r="A1567" s="20">
        <v>38736</v>
      </c>
      <c r="B1567">
        <v>126</v>
      </c>
      <c r="E1567">
        <f t="shared" si="48"/>
        <v>1</v>
      </c>
      <c r="F1567">
        <f t="shared" si="49"/>
        <v>2006</v>
      </c>
    </row>
    <row r="1568" spans="1:6" x14ac:dyDescent="0.2">
      <c r="A1568" s="20">
        <v>38737</v>
      </c>
      <c r="B1568">
        <v>126</v>
      </c>
      <c r="E1568">
        <f t="shared" si="48"/>
        <v>1</v>
      </c>
      <c r="F1568">
        <f t="shared" si="49"/>
        <v>2006</v>
      </c>
    </row>
    <row r="1569" spans="1:6" x14ac:dyDescent="0.2">
      <c r="A1569" s="20">
        <v>38740</v>
      </c>
      <c r="B1569">
        <v>126.5</v>
      </c>
      <c r="E1569">
        <f t="shared" si="48"/>
        <v>1</v>
      </c>
      <c r="F1569">
        <f t="shared" si="49"/>
        <v>2006</v>
      </c>
    </row>
    <row r="1570" spans="1:6" x14ac:dyDescent="0.2">
      <c r="A1570" s="20">
        <v>38741</v>
      </c>
      <c r="B1570">
        <v>126.75</v>
      </c>
      <c r="E1570">
        <f t="shared" si="48"/>
        <v>1</v>
      </c>
      <c r="F1570">
        <f t="shared" si="49"/>
        <v>2006</v>
      </c>
    </row>
    <row r="1571" spans="1:6" x14ac:dyDescent="0.2">
      <c r="A1571" s="20">
        <v>38742</v>
      </c>
      <c r="B1571">
        <v>127.5</v>
      </c>
      <c r="E1571">
        <f t="shared" si="48"/>
        <v>1</v>
      </c>
      <c r="F1571">
        <f t="shared" si="49"/>
        <v>2006</v>
      </c>
    </row>
    <row r="1572" spans="1:6" x14ac:dyDescent="0.2">
      <c r="A1572" s="20">
        <v>38743</v>
      </c>
      <c r="B1572">
        <v>127.75</v>
      </c>
      <c r="E1572">
        <f t="shared" si="48"/>
        <v>1</v>
      </c>
      <c r="F1572">
        <f t="shared" si="49"/>
        <v>2006</v>
      </c>
    </row>
    <row r="1573" spans="1:6" x14ac:dyDescent="0.2">
      <c r="A1573" s="20">
        <v>38744</v>
      </c>
      <c r="B1573">
        <v>127.5</v>
      </c>
      <c r="E1573">
        <f t="shared" si="48"/>
        <v>1</v>
      </c>
      <c r="F1573">
        <f t="shared" si="49"/>
        <v>2006</v>
      </c>
    </row>
    <row r="1574" spans="1:6" x14ac:dyDescent="0.2">
      <c r="A1574" s="20">
        <v>38747</v>
      </c>
      <c r="B1574">
        <v>127.5</v>
      </c>
      <c r="E1574">
        <f t="shared" si="48"/>
        <v>1</v>
      </c>
      <c r="F1574">
        <f t="shared" si="49"/>
        <v>2006</v>
      </c>
    </row>
    <row r="1575" spans="1:6" x14ac:dyDescent="0.2">
      <c r="A1575" s="20">
        <v>38748</v>
      </c>
      <c r="B1575">
        <v>127.25</v>
      </c>
      <c r="E1575">
        <f t="shared" si="48"/>
        <v>1</v>
      </c>
      <c r="F1575">
        <f t="shared" si="49"/>
        <v>2006</v>
      </c>
    </row>
    <row r="1576" spans="1:6" x14ac:dyDescent="0.2">
      <c r="A1576" s="20">
        <v>38749</v>
      </c>
      <c r="B1576">
        <v>127.25</v>
      </c>
      <c r="E1576">
        <f t="shared" si="48"/>
        <v>2</v>
      </c>
      <c r="F1576">
        <f t="shared" si="49"/>
        <v>2006</v>
      </c>
    </row>
    <row r="1577" spans="1:6" x14ac:dyDescent="0.2">
      <c r="A1577" s="20">
        <v>38750</v>
      </c>
      <c r="B1577">
        <v>127.25</v>
      </c>
      <c r="E1577">
        <f t="shared" si="48"/>
        <v>2</v>
      </c>
      <c r="F1577">
        <f t="shared" si="49"/>
        <v>2006</v>
      </c>
    </row>
    <row r="1578" spans="1:6" x14ac:dyDescent="0.2">
      <c r="A1578" s="20">
        <v>38751</v>
      </c>
      <c r="B1578">
        <v>128</v>
      </c>
      <c r="E1578">
        <f t="shared" si="48"/>
        <v>2</v>
      </c>
      <c r="F1578">
        <f t="shared" si="49"/>
        <v>2006</v>
      </c>
    </row>
    <row r="1579" spans="1:6" x14ac:dyDescent="0.2">
      <c r="A1579" s="20">
        <v>38754</v>
      </c>
      <c r="B1579">
        <v>128</v>
      </c>
      <c r="E1579">
        <f t="shared" si="48"/>
        <v>2</v>
      </c>
      <c r="F1579">
        <f t="shared" si="49"/>
        <v>2006</v>
      </c>
    </row>
    <row r="1580" spans="1:6" x14ac:dyDescent="0.2">
      <c r="A1580" s="20">
        <v>38755</v>
      </c>
      <c r="B1580">
        <v>128.25</v>
      </c>
      <c r="E1580">
        <f t="shared" si="48"/>
        <v>2</v>
      </c>
      <c r="F1580">
        <f t="shared" si="49"/>
        <v>2006</v>
      </c>
    </row>
    <row r="1581" spans="1:6" x14ac:dyDescent="0.2">
      <c r="A1581" s="20">
        <v>38756</v>
      </c>
      <c r="B1581">
        <v>129</v>
      </c>
      <c r="E1581">
        <f t="shared" si="48"/>
        <v>2</v>
      </c>
      <c r="F1581">
        <f t="shared" si="49"/>
        <v>2006</v>
      </c>
    </row>
    <row r="1582" spans="1:6" x14ac:dyDescent="0.2">
      <c r="A1582" s="20">
        <v>38757</v>
      </c>
      <c r="B1582">
        <v>129.5</v>
      </c>
      <c r="E1582">
        <f t="shared" si="48"/>
        <v>2</v>
      </c>
      <c r="F1582">
        <f t="shared" si="49"/>
        <v>2006</v>
      </c>
    </row>
    <row r="1583" spans="1:6" x14ac:dyDescent="0.2">
      <c r="A1583" s="20">
        <v>38758</v>
      </c>
      <c r="B1583">
        <v>129.5</v>
      </c>
      <c r="E1583">
        <f t="shared" si="48"/>
        <v>2</v>
      </c>
      <c r="F1583">
        <f t="shared" si="49"/>
        <v>2006</v>
      </c>
    </row>
    <row r="1584" spans="1:6" x14ac:dyDescent="0.2">
      <c r="A1584" s="20">
        <v>38761</v>
      </c>
      <c r="B1584">
        <v>129</v>
      </c>
      <c r="E1584">
        <f t="shared" si="48"/>
        <v>2</v>
      </c>
      <c r="F1584">
        <f t="shared" si="49"/>
        <v>2006</v>
      </c>
    </row>
    <row r="1585" spans="1:6" x14ac:dyDescent="0.2">
      <c r="A1585" s="20">
        <v>38762</v>
      </c>
      <c r="B1585">
        <v>128</v>
      </c>
      <c r="E1585">
        <f t="shared" si="48"/>
        <v>2</v>
      </c>
      <c r="F1585">
        <f t="shared" si="49"/>
        <v>2006</v>
      </c>
    </row>
    <row r="1586" spans="1:6" x14ac:dyDescent="0.2">
      <c r="A1586" s="20">
        <v>38763</v>
      </c>
      <c r="B1586">
        <v>126.5</v>
      </c>
      <c r="E1586">
        <f t="shared" si="48"/>
        <v>2</v>
      </c>
      <c r="F1586">
        <f t="shared" si="49"/>
        <v>2006</v>
      </c>
    </row>
    <row r="1587" spans="1:6" x14ac:dyDescent="0.2">
      <c r="A1587" s="20">
        <v>38764</v>
      </c>
      <c r="B1587">
        <v>127</v>
      </c>
      <c r="E1587">
        <f t="shared" si="48"/>
        <v>2</v>
      </c>
      <c r="F1587">
        <f t="shared" si="49"/>
        <v>2006</v>
      </c>
    </row>
    <row r="1588" spans="1:6" x14ac:dyDescent="0.2">
      <c r="A1588" s="20">
        <v>38765</v>
      </c>
      <c r="B1588">
        <v>126.5</v>
      </c>
      <c r="E1588">
        <f t="shared" si="48"/>
        <v>2</v>
      </c>
      <c r="F1588">
        <f t="shared" si="49"/>
        <v>2006</v>
      </c>
    </row>
    <row r="1589" spans="1:6" x14ac:dyDescent="0.2">
      <c r="A1589" s="20">
        <v>38768</v>
      </c>
      <c r="B1589">
        <v>126.25</v>
      </c>
      <c r="E1589">
        <f t="shared" si="48"/>
        <v>2</v>
      </c>
      <c r="F1589">
        <f t="shared" si="49"/>
        <v>2006</v>
      </c>
    </row>
    <row r="1590" spans="1:6" x14ac:dyDescent="0.2">
      <c r="A1590" s="20">
        <v>38769</v>
      </c>
      <c r="B1590">
        <v>126.5</v>
      </c>
      <c r="E1590">
        <f t="shared" si="48"/>
        <v>2</v>
      </c>
      <c r="F1590">
        <f t="shared" si="49"/>
        <v>2006</v>
      </c>
    </row>
    <row r="1591" spans="1:6" x14ac:dyDescent="0.2">
      <c r="A1591" s="20">
        <v>38770</v>
      </c>
      <c r="B1591">
        <v>126.25</v>
      </c>
      <c r="E1591">
        <f t="shared" si="48"/>
        <v>2</v>
      </c>
      <c r="F1591">
        <f t="shared" si="49"/>
        <v>2006</v>
      </c>
    </row>
    <row r="1592" spans="1:6" x14ac:dyDescent="0.2">
      <c r="A1592" s="20">
        <v>38771</v>
      </c>
      <c r="B1592">
        <v>125.25</v>
      </c>
      <c r="E1592">
        <f t="shared" si="48"/>
        <v>2</v>
      </c>
      <c r="F1592">
        <f t="shared" si="49"/>
        <v>2006</v>
      </c>
    </row>
    <row r="1593" spans="1:6" x14ac:dyDescent="0.2">
      <c r="A1593" s="20">
        <v>38772</v>
      </c>
      <c r="B1593">
        <v>125</v>
      </c>
      <c r="E1593">
        <f t="shared" si="48"/>
        <v>2</v>
      </c>
      <c r="F1593">
        <f t="shared" si="49"/>
        <v>2006</v>
      </c>
    </row>
    <row r="1594" spans="1:6" x14ac:dyDescent="0.2">
      <c r="A1594" s="20">
        <v>38775</v>
      </c>
      <c r="B1594">
        <v>124.5</v>
      </c>
      <c r="E1594">
        <f t="shared" si="48"/>
        <v>2</v>
      </c>
      <c r="F1594">
        <f t="shared" si="49"/>
        <v>2006</v>
      </c>
    </row>
    <row r="1595" spans="1:6" x14ac:dyDescent="0.2">
      <c r="A1595" s="20">
        <v>38776</v>
      </c>
      <c r="B1595">
        <v>124.5</v>
      </c>
      <c r="E1595">
        <f t="shared" si="48"/>
        <v>2</v>
      </c>
      <c r="F1595">
        <f t="shared" si="49"/>
        <v>2006</v>
      </c>
    </row>
    <row r="1596" spans="1:6" x14ac:dyDescent="0.2">
      <c r="A1596" s="20">
        <v>38777</v>
      </c>
      <c r="B1596">
        <v>124.5</v>
      </c>
      <c r="E1596">
        <f t="shared" si="48"/>
        <v>3</v>
      </c>
      <c r="F1596">
        <f t="shared" si="49"/>
        <v>2006</v>
      </c>
    </row>
    <row r="1597" spans="1:6" x14ac:dyDescent="0.2">
      <c r="A1597" s="20">
        <v>38778</v>
      </c>
      <c r="B1597">
        <v>124.25</v>
      </c>
      <c r="E1597">
        <f t="shared" si="48"/>
        <v>3</v>
      </c>
      <c r="F1597">
        <f t="shared" si="49"/>
        <v>2006</v>
      </c>
    </row>
    <row r="1598" spans="1:6" x14ac:dyDescent="0.2">
      <c r="A1598" s="20">
        <v>38779</v>
      </c>
      <c r="B1598">
        <v>124</v>
      </c>
      <c r="E1598">
        <f t="shared" si="48"/>
        <v>3</v>
      </c>
      <c r="F1598">
        <f t="shared" si="49"/>
        <v>2006</v>
      </c>
    </row>
    <row r="1599" spans="1:6" x14ac:dyDescent="0.2">
      <c r="A1599" s="20">
        <v>38782</v>
      </c>
      <c r="B1599">
        <v>126.5</v>
      </c>
      <c r="E1599">
        <f t="shared" si="48"/>
        <v>3</v>
      </c>
      <c r="F1599">
        <f t="shared" si="49"/>
        <v>2006</v>
      </c>
    </row>
    <row r="1600" spans="1:6" x14ac:dyDescent="0.2">
      <c r="A1600" s="20">
        <v>38783</v>
      </c>
      <c r="B1600">
        <v>126.5</v>
      </c>
      <c r="E1600">
        <f t="shared" si="48"/>
        <v>3</v>
      </c>
      <c r="F1600">
        <f t="shared" si="49"/>
        <v>2006</v>
      </c>
    </row>
    <row r="1601" spans="1:6" x14ac:dyDescent="0.2">
      <c r="A1601" s="20">
        <v>38784</v>
      </c>
      <c r="B1601">
        <v>127</v>
      </c>
      <c r="E1601">
        <f t="shared" si="48"/>
        <v>3</v>
      </c>
      <c r="F1601">
        <f t="shared" si="49"/>
        <v>2006</v>
      </c>
    </row>
    <row r="1602" spans="1:6" x14ac:dyDescent="0.2">
      <c r="A1602" s="20">
        <v>38785</v>
      </c>
      <c r="B1602">
        <v>127</v>
      </c>
      <c r="E1602">
        <f t="shared" si="48"/>
        <v>3</v>
      </c>
      <c r="F1602">
        <f t="shared" si="49"/>
        <v>2006</v>
      </c>
    </row>
    <row r="1603" spans="1:6" x14ac:dyDescent="0.2">
      <c r="A1603" s="20">
        <v>38786</v>
      </c>
      <c r="B1603">
        <v>127.5</v>
      </c>
      <c r="E1603">
        <f t="shared" ref="E1603:E1666" si="50">MONTH(A1603)</f>
        <v>3</v>
      </c>
      <c r="F1603">
        <f t="shared" ref="F1603:F1666" si="51">YEAR(A1603)</f>
        <v>2006</v>
      </c>
    </row>
    <row r="1604" spans="1:6" x14ac:dyDescent="0.2">
      <c r="A1604" s="20">
        <v>38789</v>
      </c>
      <c r="B1604">
        <v>127.75</v>
      </c>
      <c r="E1604">
        <f t="shared" si="50"/>
        <v>3</v>
      </c>
      <c r="F1604">
        <f t="shared" si="51"/>
        <v>2006</v>
      </c>
    </row>
    <row r="1605" spans="1:6" x14ac:dyDescent="0.2">
      <c r="A1605" s="20">
        <v>38790</v>
      </c>
      <c r="B1605">
        <v>127.5</v>
      </c>
      <c r="E1605">
        <f t="shared" si="50"/>
        <v>3</v>
      </c>
      <c r="F1605">
        <f t="shared" si="51"/>
        <v>2006</v>
      </c>
    </row>
    <row r="1606" spans="1:6" x14ac:dyDescent="0.2">
      <c r="A1606" s="20">
        <v>38791</v>
      </c>
      <c r="B1606">
        <v>127.5</v>
      </c>
      <c r="E1606">
        <f t="shared" si="50"/>
        <v>3</v>
      </c>
      <c r="F1606">
        <f t="shared" si="51"/>
        <v>2006</v>
      </c>
    </row>
    <row r="1607" spans="1:6" x14ac:dyDescent="0.2">
      <c r="A1607" s="20">
        <v>38792</v>
      </c>
      <c r="B1607">
        <v>127.75</v>
      </c>
      <c r="E1607">
        <f t="shared" si="50"/>
        <v>3</v>
      </c>
      <c r="F1607">
        <f t="shared" si="51"/>
        <v>2006</v>
      </c>
    </row>
    <row r="1608" spans="1:6" x14ac:dyDescent="0.2">
      <c r="A1608" s="20">
        <v>38793</v>
      </c>
      <c r="B1608">
        <v>128</v>
      </c>
      <c r="E1608">
        <f t="shared" si="50"/>
        <v>3</v>
      </c>
      <c r="F1608">
        <f t="shared" si="51"/>
        <v>2006</v>
      </c>
    </row>
    <row r="1609" spans="1:6" x14ac:dyDescent="0.2">
      <c r="A1609" s="20">
        <v>38796</v>
      </c>
      <c r="B1609">
        <v>127.75</v>
      </c>
      <c r="E1609">
        <f t="shared" si="50"/>
        <v>3</v>
      </c>
      <c r="F1609">
        <f t="shared" si="51"/>
        <v>2006</v>
      </c>
    </row>
    <row r="1610" spans="1:6" x14ac:dyDescent="0.2">
      <c r="A1610" s="20">
        <v>38797</v>
      </c>
      <c r="B1610">
        <v>127.5</v>
      </c>
      <c r="E1610">
        <f t="shared" si="50"/>
        <v>3</v>
      </c>
      <c r="F1610">
        <f t="shared" si="51"/>
        <v>2006</v>
      </c>
    </row>
    <row r="1611" spans="1:6" x14ac:dyDescent="0.2">
      <c r="A1611" s="20">
        <v>38798</v>
      </c>
      <c r="B1611">
        <v>127.5</v>
      </c>
      <c r="E1611">
        <f t="shared" si="50"/>
        <v>3</v>
      </c>
      <c r="F1611">
        <f t="shared" si="51"/>
        <v>2006</v>
      </c>
    </row>
    <row r="1612" spans="1:6" x14ac:dyDescent="0.2">
      <c r="A1612" s="20">
        <v>38799</v>
      </c>
      <c r="B1612">
        <v>127.5</v>
      </c>
      <c r="E1612">
        <f t="shared" si="50"/>
        <v>3</v>
      </c>
      <c r="F1612">
        <f t="shared" si="51"/>
        <v>2006</v>
      </c>
    </row>
    <row r="1613" spans="1:6" x14ac:dyDescent="0.2">
      <c r="A1613" s="20">
        <v>38800</v>
      </c>
      <c r="B1613">
        <v>128</v>
      </c>
      <c r="E1613">
        <f t="shared" si="50"/>
        <v>3</v>
      </c>
      <c r="F1613">
        <f t="shared" si="51"/>
        <v>2006</v>
      </c>
    </row>
    <row r="1614" spans="1:6" x14ac:dyDescent="0.2">
      <c r="A1614" s="20">
        <v>38803</v>
      </c>
      <c r="B1614">
        <v>128</v>
      </c>
      <c r="E1614">
        <f t="shared" si="50"/>
        <v>3</v>
      </c>
      <c r="F1614">
        <f t="shared" si="51"/>
        <v>2006</v>
      </c>
    </row>
    <row r="1615" spans="1:6" x14ac:dyDescent="0.2">
      <c r="A1615" s="20">
        <v>38804</v>
      </c>
      <c r="B1615">
        <v>127.75</v>
      </c>
      <c r="E1615">
        <f t="shared" si="50"/>
        <v>3</v>
      </c>
      <c r="F1615">
        <f t="shared" si="51"/>
        <v>2006</v>
      </c>
    </row>
    <row r="1616" spans="1:6" x14ac:dyDescent="0.2">
      <c r="A1616" s="20">
        <v>38805</v>
      </c>
      <c r="B1616">
        <v>127.5</v>
      </c>
      <c r="E1616">
        <f t="shared" si="50"/>
        <v>3</v>
      </c>
      <c r="F1616">
        <f t="shared" si="51"/>
        <v>2006</v>
      </c>
    </row>
    <row r="1617" spans="1:6" x14ac:dyDescent="0.2">
      <c r="A1617" s="20">
        <v>38806</v>
      </c>
      <c r="B1617">
        <v>127</v>
      </c>
      <c r="E1617">
        <f t="shared" si="50"/>
        <v>3</v>
      </c>
      <c r="F1617">
        <f t="shared" si="51"/>
        <v>2006</v>
      </c>
    </row>
    <row r="1618" spans="1:6" x14ac:dyDescent="0.2">
      <c r="A1618" s="20">
        <v>38807</v>
      </c>
      <c r="B1618">
        <v>127</v>
      </c>
      <c r="E1618">
        <f t="shared" si="50"/>
        <v>3</v>
      </c>
      <c r="F1618">
        <f t="shared" si="51"/>
        <v>2006</v>
      </c>
    </row>
    <row r="1619" spans="1:6" x14ac:dyDescent="0.2">
      <c r="A1619" s="20">
        <v>38810</v>
      </c>
      <c r="B1619">
        <v>127.75</v>
      </c>
      <c r="E1619">
        <f t="shared" si="50"/>
        <v>4</v>
      </c>
      <c r="F1619">
        <f t="shared" si="51"/>
        <v>2006</v>
      </c>
    </row>
    <row r="1620" spans="1:6" x14ac:dyDescent="0.2">
      <c r="A1620" s="20">
        <v>38811</v>
      </c>
      <c r="B1620">
        <v>127.75</v>
      </c>
      <c r="E1620">
        <f t="shared" si="50"/>
        <v>4</v>
      </c>
      <c r="F1620">
        <f t="shared" si="51"/>
        <v>2006</v>
      </c>
    </row>
    <row r="1621" spans="1:6" x14ac:dyDescent="0.2">
      <c r="A1621" s="20">
        <v>38812</v>
      </c>
      <c r="B1621">
        <v>127.75</v>
      </c>
      <c r="E1621">
        <f t="shared" si="50"/>
        <v>4</v>
      </c>
      <c r="F1621">
        <f t="shared" si="51"/>
        <v>2006</v>
      </c>
    </row>
    <row r="1622" spans="1:6" x14ac:dyDescent="0.2">
      <c r="A1622" s="20">
        <v>38813</v>
      </c>
      <c r="B1622">
        <v>127.75</v>
      </c>
      <c r="E1622">
        <f t="shared" si="50"/>
        <v>4</v>
      </c>
      <c r="F1622">
        <f t="shared" si="51"/>
        <v>2006</v>
      </c>
    </row>
    <row r="1623" spans="1:6" x14ac:dyDescent="0.2">
      <c r="A1623" s="20">
        <v>38814</v>
      </c>
      <c r="B1623">
        <v>128.25</v>
      </c>
      <c r="E1623">
        <f t="shared" si="50"/>
        <v>4</v>
      </c>
      <c r="F1623">
        <f t="shared" si="51"/>
        <v>2006</v>
      </c>
    </row>
    <row r="1624" spans="1:6" x14ac:dyDescent="0.2">
      <c r="A1624" s="20">
        <v>38817</v>
      </c>
      <c r="B1624">
        <v>128.5</v>
      </c>
      <c r="E1624">
        <f t="shared" si="50"/>
        <v>4</v>
      </c>
      <c r="F1624">
        <f t="shared" si="51"/>
        <v>2006</v>
      </c>
    </row>
    <row r="1625" spans="1:6" x14ac:dyDescent="0.2">
      <c r="A1625" s="20">
        <v>38818</v>
      </c>
      <c r="B1625">
        <v>128.5</v>
      </c>
      <c r="E1625">
        <f t="shared" si="50"/>
        <v>4</v>
      </c>
      <c r="F1625">
        <f t="shared" si="51"/>
        <v>2006</v>
      </c>
    </row>
    <row r="1626" spans="1:6" x14ac:dyDescent="0.2">
      <c r="A1626" s="20">
        <v>38819</v>
      </c>
      <c r="B1626">
        <v>129</v>
      </c>
      <c r="E1626">
        <f t="shared" si="50"/>
        <v>4</v>
      </c>
      <c r="F1626">
        <f t="shared" si="51"/>
        <v>2006</v>
      </c>
    </row>
    <row r="1627" spans="1:6" x14ac:dyDescent="0.2">
      <c r="A1627" s="20">
        <v>38820</v>
      </c>
      <c r="B1627">
        <v>129.25</v>
      </c>
      <c r="E1627">
        <f t="shared" si="50"/>
        <v>4</v>
      </c>
      <c r="F1627">
        <f t="shared" si="51"/>
        <v>2006</v>
      </c>
    </row>
    <row r="1628" spans="1:6" x14ac:dyDescent="0.2">
      <c r="A1628" s="20">
        <v>38825</v>
      </c>
      <c r="B1628">
        <v>129.25</v>
      </c>
      <c r="E1628">
        <f t="shared" si="50"/>
        <v>4</v>
      </c>
      <c r="F1628">
        <f t="shared" si="51"/>
        <v>2006</v>
      </c>
    </row>
    <row r="1629" spans="1:6" x14ac:dyDescent="0.2">
      <c r="A1629" s="20">
        <v>38826</v>
      </c>
      <c r="B1629">
        <v>129.5</v>
      </c>
      <c r="E1629">
        <f t="shared" si="50"/>
        <v>4</v>
      </c>
      <c r="F1629">
        <f t="shared" si="51"/>
        <v>2006</v>
      </c>
    </row>
    <row r="1630" spans="1:6" x14ac:dyDescent="0.2">
      <c r="A1630" s="20">
        <v>38827</v>
      </c>
      <c r="B1630">
        <v>130.5</v>
      </c>
      <c r="E1630">
        <f t="shared" si="50"/>
        <v>4</v>
      </c>
      <c r="F1630">
        <f t="shared" si="51"/>
        <v>2006</v>
      </c>
    </row>
    <row r="1631" spans="1:6" x14ac:dyDescent="0.2">
      <c r="A1631" s="20">
        <v>38828</v>
      </c>
      <c r="B1631">
        <v>132.25</v>
      </c>
      <c r="E1631">
        <f t="shared" si="50"/>
        <v>4</v>
      </c>
      <c r="F1631">
        <f t="shared" si="51"/>
        <v>2006</v>
      </c>
    </row>
    <row r="1632" spans="1:6" x14ac:dyDescent="0.2">
      <c r="A1632" s="20">
        <v>38831</v>
      </c>
      <c r="B1632">
        <v>132.25</v>
      </c>
      <c r="E1632">
        <f t="shared" si="50"/>
        <v>4</v>
      </c>
      <c r="F1632">
        <f t="shared" si="51"/>
        <v>2006</v>
      </c>
    </row>
    <row r="1633" spans="1:6" x14ac:dyDescent="0.2">
      <c r="A1633" s="20">
        <v>38832</v>
      </c>
      <c r="B1633">
        <v>131.5</v>
      </c>
      <c r="E1633">
        <f t="shared" si="50"/>
        <v>4</v>
      </c>
      <c r="F1633">
        <f t="shared" si="51"/>
        <v>2006</v>
      </c>
    </row>
    <row r="1634" spans="1:6" x14ac:dyDescent="0.2">
      <c r="A1634" s="20">
        <v>38833</v>
      </c>
      <c r="B1634">
        <v>130.75</v>
      </c>
      <c r="E1634">
        <f t="shared" si="50"/>
        <v>4</v>
      </c>
      <c r="F1634">
        <f t="shared" si="51"/>
        <v>2006</v>
      </c>
    </row>
    <row r="1635" spans="1:6" x14ac:dyDescent="0.2">
      <c r="A1635" s="20">
        <v>38834</v>
      </c>
      <c r="B1635">
        <v>129.5</v>
      </c>
      <c r="E1635">
        <f t="shared" si="50"/>
        <v>4</v>
      </c>
      <c r="F1635">
        <f t="shared" si="51"/>
        <v>2006</v>
      </c>
    </row>
    <row r="1636" spans="1:6" x14ac:dyDescent="0.2">
      <c r="A1636" s="20">
        <v>38835</v>
      </c>
      <c r="B1636">
        <v>129.75</v>
      </c>
      <c r="E1636">
        <f t="shared" si="50"/>
        <v>4</v>
      </c>
      <c r="F1636">
        <f t="shared" si="51"/>
        <v>2006</v>
      </c>
    </row>
    <row r="1637" spans="1:6" x14ac:dyDescent="0.2">
      <c r="A1637" s="20">
        <v>38839</v>
      </c>
      <c r="B1637">
        <v>129.5</v>
      </c>
      <c r="E1637">
        <f t="shared" si="50"/>
        <v>5</v>
      </c>
      <c r="F1637">
        <f t="shared" si="51"/>
        <v>2006</v>
      </c>
    </row>
    <row r="1638" spans="1:6" x14ac:dyDescent="0.2">
      <c r="A1638" s="20">
        <v>38840</v>
      </c>
      <c r="B1638">
        <v>129.5</v>
      </c>
      <c r="E1638">
        <f t="shared" si="50"/>
        <v>5</v>
      </c>
      <c r="F1638">
        <f t="shared" si="51"/>
        <v>2006</v>
      </c>
    </row>
    <row r="1639" spans="1:6" x14ac:dyDescent="0.2">
      <c r="A1639" s="20">
        <v>38841</v>
      </c>
      <c r="B1639">
        <v>130</v>
      </c>
      <c r="E1639">
        <f t="shared" si="50"/>
        <v>5</v>
      </c>
      <c r="F1639">
        <f t="shared" si="51"/>
        <v>2006</v>
      </c>
    </row>
    <row r="1640" spans="1:6" x14ac:dyDescent="0.2">
      <c r="A1640" s="20">
        <v>38842</v>
      </c>
      <c r="B1640">
        <v>130.5</v>
      </c>
      <c r="E1640">
        <f t="shared" si="50"/>
        <v>5</v>
      </c>
      <c r="F1640">
        <f t="shared" si="51"/>
        <v>2006</v>
      </c>
    </row>
    <row r="1641" spans="1:6" x14ac:dyDescent="0.2">
      <c r="A1641" s="20">
        <v>38845</v>
      </c>
      <c r="B1641">
        <v>130.5</v>
      </c>
      <c r="E1641">
        <f t="shared" si="50"/>
        <v>5</v>
      </c>
      <c r="F1641">
        <f t="shared" si="51"/>
        <v>2006</v>
      </c>
    </row>
    <row r="1642" spans="1:6" x14ac:dyDescent="0.2">
      <c r="A1642" s="20">
        <v>38846</v>
      </c>
      <c r="B1642">
        <v>131.25</v>
      </c>
      <c r="E1642">
        <f t="shared" si="50"/>
        <v>5</v>
      </c>
      <c r="F1642">
        <f t="shared" si="51"/>
        <v>2006</v>
      </c>
    </row>
    <row r="1643" spans="1:6" x14ac:dyDescent="0.2">
      <c r="A1643" s="20">
        <v>38847</v>
      </c>
      <c r="B1643">
        <v>131.5</v>
      </c>
      <c r="E1643">
        <f t="shared" si="50"/>
        <v>5</v>
      </c>
      <c r="F1643">
        <f t="shared" si="51"/>
        <v>2006</v>
      </c>
    </row>
    <row r="1644" spans="1:6" x14ac:dyDescent="0.2">
      <c r="A1644" s="20">
        <v>38848</v>
      </c>
      <c r="B1644">
        <v>132.25</v>
      </c>
      <c r="E1644">
        <f t="shared" si="50"/>
        <v>5</v>
      </c>
      <c r="F1644">
        <f t="shared" si="51"/>
        <v>2006</v>
      </c>
    </row>
    <row r="1645" spans="1:6" x14ac:dyDescent="0.2">
      <c r="A1645" s="20">
        <v>38849</v>
      </c>
      <c r="B1645">
        <v>132.5</v>
      </c>
      <c r="E1645">
        <f t="shared" si="50"/>
        <v>5</v>
      </c>
      <c r="F1645">
        <f t="shared" si="51"/>
        <v>2006</v>
      </c>
    </row>
    <row r="1646" spans="1:6" x14ac:dyDescent="0.2">
      <c r="A1646" s="20">
        <v>38852</v>
      </c>
      <c r="B1646">
        <v>133.25</v>
      </c>
      <c r="E1646">
        <f t="shared" si="50"/>
        <v>5</v>
      </c>
      <c r="F1646">
        <f t="shared" si="51"/>
        <v>2006</v>
      </c>
    </row>
    <row r="1647" spans="1:6" x14ac:dyDescent="0.2">
      <c r="A1647" s="20">
        <v>38853</v>
      </c>
      <c r="B1647">
        <v>133</v>
      </c>
      <c r="E1647">
        <f t="shared" si="50"/>
        <v>5</v>
      </c>
      <c r="F1647">
        <f t="shared" si="51"/>
        <v>2006</v>
      </c>
    </row>
    <row r="1648" spans="1:6" x14ac:dyDescent="0.2">
      <c r="A1648" s="20">
        <v>38854</v>
      </c>
      <c r="B1648">
        <v>134.75</v>
      </c>
      <c r="E1648">
        <f t="shared" si="50"/>
        <v>5</v>
      </c>
      <c r="F1648">
        <f t="shared" si="51"/>
        <v>2006</v>
      </c>
    </row>
    <row r="1649" spans="1:6" x14ac:dyDescent="0.2">
      <c r="A1649" s="20">
        <v>38855</v>
      </c>
      <c r="B1649">
        <v>136</v>
      </c>
      <c r="E1649">
        <f t="shared" si="50"/>
        <v>5</v>
      </c>
      <c r="F1649">
        <f t="shared" si="51"/>
        <v>2006</v>
      </c>
    </row>
    <row r="1650" spans="1:6" x14ac:dyDescent="0.2">
      <c r="A1650" s="20">
        <v>38856</v>
      </c>
      <c r="B1650">
        <v>136</v>
      </c>
      <c r="E1650">
        <f t="shared" si="50"/>
        <v>5</v>
      </c>
      <c r="F1650">
        <f t="shared" si="51"/>
        <v>2006</v>
      </c>
    </row>
    <row r="1651" spans="1:6" x14ac:dyDescent="0.2">
      <c r="A1651" s="20">
        <v>38859</v>
      </c>
      <c r="B1651">
        <v>135.75</v>
      </c>
      <c r="E1651">
        <f t="shared" si="50"/>
        <v>5</v>
      </c>
      <c r="F1651">
        <f t="shared" si="51"/>
        <v>2006</v>
      </c>
    </row>
    <row r="1652" spans="1:6" x14ac:dyDescent="0.2">
      <c r="A1652" s="20">
        <v>38860</v>
      </c>
      <c r="B1652">
        <v>139</v>
      </c>
      <c r="E1652">
        <f t="shared" si="50"/>
        <v>5</v>
      </c>
      <c r="F1652">
        <f t="shared" si="51"/>
        <v>2006</v>
      </c>
    </row>
    <row r="1653" spans="1:6" x14ac:dyDescent="0.2">
      <c r="A1653" s="20">
        <v>38861</v>
      </c>
      <c r="B1653">
        <v>138</v>
      </c>
      <c r="E1653">
        <f t="shared" si="50"/>
        <v>5</v>
      </c>
      <c r="F1653">
        <f t="shared" si="51"/>
        <v>2006</v>
      </c>
    </row>
    <row r="1654" spans="1:6" x14ac:dyDescent="0.2">
      <c r="A1654" s="20">
        <v>38862</v>
      </c>
      <c r="B1654">
        <v>137.5</v>
      </c>
      <c r="E1654">
        <f t="shared" si="50"/>
        <v>5</v>
      </c>
      <c r="F1654">
        <f t="shared" si="51"/>
        <v>2006</v>
      </c>
    </row>
    <row r="1655" spans="1:6" x14ac:dyDescent="0.2">
      <c r="A1655" s="20">
        <v>38863</v>
      </c>
      <c r="B1655">
        <v>138.25</v>
      </c>
      <c r="E1655">
        <f t="shared" si="50"/>
        <v>5</v>
      </c>
      <c r="F1655">
        <f t="shared" si="51"/>
        <v>2006</v>
      </c>
    </row>
    <row r="1656" spans="1:6" x14ac:dyDescent="0.2">
      <c r="A1656" s="20">
        <v>38866</v>
      </c>
      <c r="B1656">
        <v>138</v>
      </c>
      <c r="E1656">
        <f t="shared" si="50"/>
        <v>5</v>
      </c>
      <c r="F1656">
        <f t="shared" si="51"/>
        <v>2006</v>
      </c>
    </row>
    <row r="1657" spans="1:6" x14ac:dyDescent="0.2">
      <c r="A1657" s="20">
        <v>38867</v>
      </c>
      <c r="B1657">
        <v>136.75</v>
      </c>
      <c r="E1657">
        <f t="shared" si="50"/>
        <v>5</v>
      </c>
      <c r="F1657">
        <f t="shared" si="51"/>
        <v>2006</v>
      </c>
    </row>
    <row r="1658" spans="1:6" x14ac:dyDescent="0.2">
      <c r="A1658" s="20">
        <v>38868</v>
      </c>
      <c r="B1658">
        <v>133</v>
      </c>
      <c r="E1658">
        <f t="shared" si="50"/>
        <v>5</v>
      </c>
      <c r="F1658">
        <f t="shared" si="51"/>
        <v>2006</v>
      </c>
    </row>
    <row r="1659" spans="1:6" x14ac:dyDescent="0.2">
      <c r="A1659" s="20">
        <v>38869</v>
      </c>
      <c r="B1659">
        <v>132.5</v>
      </c>
      <c r="E1659">
        <f t="shared" si="50"/>
        <v>6</v>
      </c>
      <c r="F1659">
        <f t="shared" si="51"/>
        <v>2006</v>
      </c>
    </row>
    <row r="1660" spans="1:6" x14ac:dyDescent="0.2">
      <c r="A1660" s="20">
        <v>38870</v>
      </c>
      <c r="B1660">
        <v>134.5</v>
      </c>
      <c r="E1660">
        <f t="shared" si="50"/>
        <v>6</v>
      </c>
      <c r="F1660">
        <f t="shared" si="51"/>
        <v>2006</v>
      </c>
    </row>
    <row r="1661" spans="1:6" x14ac:dyDescent="0.2">
      <c r="A1661" s="20">
        <v>38873</v>
      </c>
      <c r="B1661">
        <v>136</v>
      </c>
      <c r="E1661">
        <f t="shared" si="50"/>
        <v>6</v>
      </c>
      <c r="F1661">
        <f t="shared" si="51"/>
        <v>2006</v>
      </c>
    </row>
    <row r="1662" spans="1:6" x14ac:dyDescent="0.2">
      <c r="A1662" s="20">
        <v>38874</v>
      </c>
      <c r="B1662" t="s">
        <v>49</v>
      </c>
      <c r="E1662">
        <f t="shared" si="50"/>
        <v>6</v>
      </c>
      <c r="F1662">
        <f t="shared" si="51"/>
        <v>2006</v>
      </c>
    </row>
    <row r="1663" spans="1:6" x14ac:dyDescent="0.2">
      <c r="A1663" s="20">
        <v>38875</v>
      </c>
      <c r="B1663">
        <v>139.5</v>
      </c>
      <c r="E1663">
        <f t="shared" si="50"/>
        <v>6</v>
      </c>
      <c r="F1663">
        <f t="shared" si="51"/>
        <v>2006</v>
      </c>
    </row>
    <row r="1664" spans="1:6" x14ac:dyDescent="0.2">
      <c r="A1664" s="20">
        <v>38876</v>
      </c>
      <c r="B1664">
        <v>139.5</v>
      </c>
      <c r="E1664">
        <f t="shared" si="50"/>
        <v>6</v>
      </c>
      <c r="F1664">
        <f t="shared" si="51"/>
        <v>2006</v>
      </c>
    </row>
    <row r="1665" spans="1:6" x14ac:dyDescent="0.2">
      <c r="A1665" s="20">
        <v>38877</v>
      </c>
      <c r="B1665">
        <v>140</v>
      </c>
      <c r="E1665">
        <f t="shared" si="50"/>
        <v>6</v>
      </c>
      <c r="F1665">
        <f t="shared" si="51"/>
        <v>2006</v>
      </c>
    </row>
    <row r="1666" spans="1:6" x14ac:dyDescent="0.2">
      <c r="A1666" s="20">
        <v>38880</v>
      </c>
      <c r="B1666">
        <v>140.5</v>
      </c>
      <c r="E1666">
        <f t="shared" si="50"/>
        <v>6</v>
      </c>
      <c r="F1666">
        <f t="shared" si="51"/>
        <v>2006</v>
      </c>
    </row>
    <row r="1667" spans="1:6" x14ac:dyDescent="0.2">
      <c r="A1667" s="20">
        <v>38881</v>
      </c>
      <c r="B1667">
        <v>139.25</v>
      </c>
      <c r="E1667">
        <f t="shared" ref="E1667:E1730" si="52">MONTH(A1667)</f>
        <v>6</v>
      </c>
      <c r="F1667">
        <f t="shared" ref="F1667:F1730" si="53">YEAR(A1667)</f>
        <v>2006</v>
      </c>
    </row>
    <row r="1668" spans="1:6" x14ac:dyDescent="0.2">
      <c r="A1668" s="20">
        <v>38882</v>
      </c>
      <c r="B1668">
        <v>138.5</v>
      </c>
      <c r="E1668">
        <f t="shared" si="52"/>
        <v>6</v>
      </c>
      <c r="F1668">
        <f t="shared" si="53"/>
        <v>2006</v>
      </c>
    </row>
    <row r="1669" spans="1:6" x14ac:dyDescent="0.2">
      <c r="A1669" s="20">
        <v>38883</v>
      </c>
      <c r="B1669">
        <v>139</v>
      </c>
      <c r="E1669">
        <f t="shared" si="52"/>
        <v>6</v>
      </c>
      <c r="F1669">
        <f t="shared" si="53"/>
        <v>2006</v>
      </c>
    </row>
    <row r="1670" spans="1:6" x14ac:dyDescent="0.2">
      <c r="A1670" s="20">
        <v>38884</v>
      </c>
      <c r="B1670">
        <v>137.75</v>
      </c>
      <c r="E1670">
        <f t="shared" si="52"/>
        <v>6</v>
      </c>
      <c r="F1670">
        <f t="shared" si="53"/>
        <v>2006</v>
      </c>
    </row>
    <row r="1671" spans="1:6" x14ac:dyDescent="0.2">
      <c r="A1671" s="20">
        <v>38887</v>
      </c>
      <c r="B1671">
        <v>138.25</v>
      </c>
      <c r="E1671">
        <f t="shared" si="52"/>
        <v>6</v>
      </c>
      <c r="F1671">
        <f t="shared" si="53"/>
        <v>2006</v>
      </c>
    </row>
    <row r="1672" spans="1:6" x14ac:dyDescent="0.2">
      <c r="A1672" s="20">
        <v>38888</v>
      </c>
      <c r="B1672">
        <v>137.25</v>
      </c>
      <c r="E1672">
        <f t="shared" si="52"/>
        <v>6</v>
      </c>
      <c r="F1672">
        <f t="shared" si="53"/>
        <v>2006</v>
      </c>
    </row>
    <row r="1673" spans="1:6" x14ac:dyDescent="0.2">
      <c r="A1673" s="20">
        <v>38889</v>
      </c>
      <c r="B1673">
        <v>137.25</v>
      </c>
      <c r="E1673">
        <f t="shared" si="52"/>
        <v>6</v>
      </c>
      <c r="F1673">
        <f t="shared" si="53"/>
        <v>2006</v>
      </c>
    </row>
    <row r="1674" spans="1:6" x14ac:dyDescent="0.2">
      <c r="A1674" s="20">
        <v>38890</v>
      </c>
      <c r="B1674">
        <v>136.25</v>
      </c>
      <c r="E1674">
        <f t="shared" si="52"/>
        <v>6</v>
      </c>
      <c r="F1674">
        <f t="shared" si="53"/>
        <v>2006</v>
      </c>
    </row>
    <row r="1675" spans="1:6" x14ac:dyDescent="0.2">
      <c r="A1675" s="20">
        <v>38891</v>
      </c>
      <c r="B1675">
        <v>135.75</v>
      </c>
      <c r="E1675">
        <f t="shared" si="52"/>
        <v>6</v>
      </c>
      <c r="F1675">
        <f t="shared" si="53"/>
        <v>2006</v>
      </c>
    </row>
    <row r="1676" spans="1:6" x14ac:dyDescent="0.2">
      <c r="A1676" s="20">
        <v>38894</v>
      </c>
      <c r="B1676">
        <v>134</v>
      </c>
      <c r="E1676">
        <f t="shared" si="52"/>
        <v>6</v>
      </c>
      <c r="F1676">
        <f t="shared" si="53"/>
        <v>2006</v>
      </c>
    </row>
    <row r="1677" spans="1:6" x14ac:dyDescent="0.2">
      <c r="A1677" s="20">
        <v>38895</v>
      </c>
      <c r="B1677">
        <v>132.75</v>
      </c>
      <c r="E1677">
        <f t="shared" si="52"/>
        <v>6</v>
      </c>
      <c r="F1677">
        <f t="shared" si="53"/>
        <v>2006</v>
      </c>
    </row>
    <row r="1678" spans="1:6" x14ac:dyDescent="0.2">
      <c r="A1678" s="20">
        <v>38896</v>
      </c>
      <c r="B1678">
        <v>133</v>
      </c>
      <c r="E1678">
        <f t="shared" si="52"/>
        <v>6</v>
      </c>
      <c r="F1678">
        <f t="shared" si="53"/>
        <v>2006</v>
      </c>
    </row>
    <row r="1679" spans="1:6" x14ac:dyDescent="0.2">
      <c r="A1679" s="20">
        <v>38897</v>
      </c>
      <c r="B1679">
        <v>133.25</v>
      </c>
      <c r="E1679">
        <f t="shared" si="52"/>
        <v>6</v>
      </c>
      <c r="F1679">
        <f t="shared" si="53"/>
        <v>2006</v>
      </c>
    </row>
    <row r="1680" spans="1:6" x14ac:dyDescent="0.2">
      <c r="A1680" s="20">
        <v>38898</v>
      </c>
      <c r="B1680">
        <v>134</v>
      </c>
      <c r="E1680">
        <f t="shared" si="52"/>
        <v>6</v>
      </c>
      <c r="F1680">
        <f t="shared" si="53"/>
        <v>2006</v>
      </c>
    </row>
    <row r="1681" spans="1:6" x14ac:dyDescent="0.2">
      <c r="A1681" s="20">
        <v>38901</v>
      </c>
      <c r="B1681">
        <v>134.25</v>
      </c>
      <c r="E1681">
        <f t="shared" si="52"/>
        <v>7</v>
      </c>
      <c r="F1681">
        <f t="shared" si="53"/>
        <v>2006</v>
      </c>
    </row>
    <row r="1682" spans="1:6" x14ac:dyDescent="0.2">
      <c r="A1682" s="20">
        <v>38902</v>
      </c>
      <c r="B1682">
        <v>133.75</v>
      </c>
      <c r="E1682">
        <f t="shared" si="52"/>
        <v>7</v>
      </c>
      <c r="F1682">
        <f t="shared" si="53"/>
        <v>2006</v>
      </c>
    </row>
    <row r="1683" spans="1:6" x14ac:dyDescent="0.2">
      <c r="A1683" s="20">
        <v>38903</v>
      </c>
      <c r="B1683">
        <v>134</v>
      </c>
      <c r="E1683">
        <f t="shared" si="52"/>
        <v>7</v>
      </c>
      <c r="F1683">
        <f t="shared" si="53"/>
        <v>2006</v>
      </c>
    </row>
    <row r="1684" spans="1:6" x14ac:dyDescent="0.2">
      <c r="A1684" s="20">
        <v>38904</v>
      </c>
      <c r="B1684">
        <v>130</v>
      </c>
      <c r="E1684">
        <f t="shared" si="52"/>
        <v>7</v>
      </c>
      <c r="F1684">
        <f t="shared" si="53"/>
        <v>2006</v>
      </c>
    </row>
    <row r="1685" spans="1:6" x14ac:dyDescent="0.2">
      <c r="A1685" s="20">
        <v>38905</v>
      </c>
      <c r="B1685">
        <v>128.5</v>
      </c>
      <c r="E1685">
        <f t="shared" si="52"/>
        <v>7</v>
      </c>
      <c r="F1685">
        <f t="shared" si="53"/>
        <v>2006</v>
      </c>
    </row>
    <row r="1686" spans="1:6" x14ac:dyDescent="0.2">
      <c r="A1686" s="20">
        <v>38908</v>
      </c>
      <c r="B1686">
        <v>128.5</v>
      </c>
      <c r="E1686">
        <f t="shared" si="52"/>
        <v>7</v>
      </c>
      <c r="F1686">
        <f t="shared" si="53"/>
        <v>2006</v>
      </c>
    </row>
    <row r="1687" spans="1:6" x14ac:dyDescent="0.2">
      <c r="A1687" s="20">
        <v>38909</v>
      </c>
      <c r="B1687">
        <v>131.25</v>
      </c>
      <c r="E1687">
        <f t="shared" si="52"/>
        <v>7</v>
      </c>
      <c r="F1687">
        <f t="shared" si="53"/>
        <v>2006</v>
      </c>
    </row>
    <row r="1688" spans="1:6" x14ac:dyDescent="0.2">
      <c r="A1688" s="20">
        <v>38910</v>
      </c>
      <c r="B1688">
        <v>131</v>
      </c>
      <c r="E1688">
        <f t="shared" si="52"/>
        <v>7</v>
      </c>
      <c r="F1688">
        <f t="shared" si="53"/>
        <v>2006</v>
      </c>
    </row>
    <row r="1689" spans="1:6" x14ac:dyDescent="0.2">
      <c r="A1689" s="20">
        <v>38911</v>
      </c>
      <c r="B1689">
        <v>132</v>
      </c>
      <c r="E1689">
        <f t="shared" si="52"/>
        <v>7</v>
      </c>
      <c r="F1689">
        <f t="shared" si="53"/>
        <v>2006</v>
      </c>
    </row>
    <row r="1690" spans="1:6" x14ac:dyDescent="0.2">
      <c r="A1690" s="20">
        <v>38912</v>
      </c>
      <c r="B1690">
        <v>130</v>
      </c>
      <c r="E1690">
        <f t="shared" si="52"/>
        <v>7</v>
      </c>
      <c r="F1690">
        <f t="shared" si="53"/>
        <v>2006</v>
      </c>
    </row>
    <row r="1691" spans="1:6" x14ac:dyDescent="0.2">
      <c r="A1691" s="20">
        <v>38915</v>
      </c>
      <c r="B1691">
        <v>135</v>
      </c>
      <c r="E1691">
        <f t="shared" si="52"/>
        <v>7</v>
      </c>
      <c r="F1691">
        <f t="shared" si="53"/>
        <v>2006</v>
      </c>
    </row>
    <row r="1692" spans="1:6" x14ac:dyDescent="0.2">
      <c r="A1692" s="20">
        <v>38916</v>
      </c>
      <c r="B1692">
        <v>136.75</v>
      </c>
      <c r="E1692">
        <f t="shared" si="52"/>
        <v>7</v>
      </c>
      <c r="F1692">
        <f t="shared" si="53"/>
        <v>2006</v>
      </c>
    </row>
    <row r="1693" spans="1:6" x14ac:dyDescent="0.2">
      <c r="A1693" s="20">
        <v>38917</v>
      </c>
      <c r="B1693">
        <v>135</v>
      </c>
      <c r="E1693">
        <f t="shared" si="52"/>
        <v>7</v>
      </c>
      <c r="F1693">
        <f t="shared" si="53"/>
        <v>2006</v>
      </c>
    </row>
    <row r="1694" spans="1:6" x14ac:dyDescent="0.2">
      <c r="A1694" s="20">
        <v>38918</v>
      </c>
      <c r="B1694">
        <v>136.5</v>
      </c>
      <c r="E1694">
        <f t="shared" si="52"/>
        <v>7</v>
      </c>
      <c r="F1694">
        <f t="shared" si="53"/>
        <v>2006</v>
      </c>
    </row>
    <row r="1695" spans="1:6" x14ac:dyDescent="0.2">
      <c r="A1695" s="20">
        <v>38919</v>
      </c>
      <c r="B1695">
        <v>140</v>
      </c>
      <c r="E1695">
        <f t="shared" si="52"/>
        <v>7</v>
      </c>
      <c r="F1695">
        <f t="shared" si="53"/>
        <v>2006</v>
      </c>
    </row>
    <row r="1696" spans="1:6" x14ac:dyDescent="0.2">
      <c r="A1696" s="20">
        <v>38922</v>
      </c>
      <c r="B1696">
        <v>142</v>
      </c>
      <c r="E1696">
        <f t="shared" si="52"/>
        <v>7</v>
      </c>
      <c r="F1696">
        <f t="shared" si="53"/>
        <v>2006</v>
      </c>
    </row>
    <row r="1697" spans="1:6" x14ac:dyDescent="0.2">
      <c r="A1697" s="20">
        <v>38923</v>
      </c>
      <c r="B1697">
        <v>136.5</v>
      </c>
      <c r="E1697">
        <f t="shared" si="52"/>
        <v>7</v>
      </c>
      <c r="F1697">
        <f t="shared" si="53"/>
        <v>2006</v>
      </c>
    </row>
    <row r="1698" spans="1:6" x14ac:dyDescent="0.2">
      <c r="A1698" s="20">
        <v>38924</v>
      </c>
      <c r="B1698">
        <v>137.25</v>
      </c>
      <c r="E1698">
        <f t="shared" si="52"/>
        <v>7</v>
      </c>
      <c r="F1698">
        <f t="shared" si="53"/>
        <v>2006</v>
      </c>
    </row>
    <row r="1699" spans="1:6" x14ac:dyDescent="0.2">
      <c r="A1699" s="20">
        <v>38925</v>
      </c>
      <c r="B1699">
        <v>136.5</v>
      </c>
      <c r="E1699">
        <f t="shared" si="52"/>
        <v>7</v>
      </c>
      <c r="F1699">
        <f t="shared" si="53"/>
        <v>2006</v>
      </c>
    </row>
    <row r="1700" spans="1:6" x14ac:dyDescent="0.2">
      <c r="A1700" s="20">
        <v>38926</v>
      </c>
      <c r="B1700">
        <v>135</v>
      </c>
      <c r="E1700">
        <f t="shared" si="52"/>
        <v>7</v>
      </c>
      <c r="F1700">
        <f t="shared" si="53"/>
        <v>2006</v>
      </c>
    </row>
    <row r="1701" spans="1:6" x14ac:dyDescent="0.2">
      <c r="A1701" s="20">
        <v>38929</v>
      </c>
      <c r="B1701">
        <v>133</v>
      </c>
      <c r="E1701">
        <f t="shared" si="52"/>
        <v>7</v>
      </c>
      <c r="F1701">
        <f t="shared" si="53"/>
        <v>2006</v>
      </c>
    </row>
    <row r="1702" spans="1:6" x14ac:dyDescent="0.2">
      <c r="A1702" s="20">
        <v>38930</v>
      </c>
      <c r="B1702">
        <v>132.75</v>
      </c>
      <c r="E1702">
        <f t="shared" si="52"/>
        <v>8</v>
      </c>
      <c r="F1702">
        <f t="shared" si="53"/>
        <v>2006</v>
      </c>
    </row>
    <row r="1703" spans="1:6" x14ac:dyDescent="0.2">
      <c r="A1703" s="20">
        <v>38931</v>
      </c>
      <c r="B1703">
        <v>132.75</v>
      </c>
      <c r="E1703">
        <f t="shared" si="52"/>
        <v>8</v>
      </c>
      <c r="F1703">
        <f t="shared" si="53"/>
        <v>2006</v>
      </c>
    </row>
    <row r="1704" spans="1:6" x14ac:dyDescent="0.2">
      <c r="A1704" s="20">
        <v>38932</v>
      </c>
      <c r="B1704">
        <v>132.75</v>
      </c>
      <c r="E1704">
        <f t="shared" si="52"/>
        <v>8</v>
      </c>
      <c r="F1704">
        <f t="shared" si="53"/>
        <v>2006</v>
      </c>
    </row>
    <row r="1705" spans="1:6" x14ac:dyDescent="0.2">
      <c r="A1705" s="20">
        <v>38933</v>
      </c>
      <c r="B1705">
        <v>137.25</v>
      </c>
      <c r="E1705">
        <f t="shared" si="52"/>
        <v>8</v>
      </c>
      <c r="F1705">
        <f t="shared" si="53"/>
        <v>2006</v>
      </c>
    </row>
    <row r="1706" spans="1:6" x14ac:dyDescent="0.2">
      <c r="A1706" s="20">
        <v>38936</v>
      </c>
      <c r="B1706">
        <v>138</v>
      </c>
      <c r="E1706">
        <f t="shared" si="52"/>
        <v>8</v>
      </c>
      <c r="F1706">
        <f t="shared" si="53"/>
        <v>2006</v>
      </c>
    </row>
    <row r="1707" spans="1:6" x14ac:dyDescent="0.2">
      <c r="A1707" s="20">
        <v>38937</v>
      </c>
      <c r="B1707">
        <v>138.75</v>
      </c>
      <c r="E1707">
        <f t="shared" si="52"/>
        <v>8</v>
      </c>
      <c r="F1707">
        <f t="shared" si="53"/>
        <v>2006</v>
      </c>
    </row>
    <row r="1708" spans="1:6" x14ac:dyDescent="0.2">
      <c r="A1708" s="20">
        <v>38938</v>
      </c>
      <c r="B1708">
        <v>139.5</v>
      </c>
      <c r="E1708">
        <f t="shared" si="52"/>
        <v>8</v>
      </c>
      <c r="F1708">
        <f t="shared" si="53"/>
        <v>2006</v>
      </c>
    </row>
    <row r="1709" spans="1:6" x14ac:dyDescent="0.2">
      <c r="A1709" s="20">
        <v>38939</v>
      </c>
      <c r="B1709">
        <v>139</v>
      </c>
      <c r="E1709">
        <f t="shared" si="52"/>
        <v>8</v>
      </c>
      <c r="F1709">
        <f t="shared" si="53"/>
        <v>2006</v>
      </c>
    </row>
    <row r="1710" spans="1:6" x14ac:dyDescent="0.2">
      <c r="A1710" s="20">
        <v>38940</v>
      </c>
      <c r="B1710">
        <v>138.25</v>
      </c>
      <c r="E1710">
        <f t="shared" si="52"/>
        <v>8</v>
      </c>
      <c r="F1710">
        <f t="shared" si="53"/>
        <v>2006</v>
      </c>
    </row>
    <row r="1711" spans="1:6" x14ac:dyDescent="0.2">
      <c r="A1711" s="20">
        <v>38943</v>
      </c>
      <c r="B1711">
        <v>137.5</v>
      </c>
      <c r="E1711">
        <f t="shared" si="52"/>
        <v>8</v>
      </c>
      <c r="F1711">
        <f t="shared" si="53"/>
        <v>2006</v>
      </c>
    </row>
    <row r="1712" spans="1:6" x14ac:dyDescent="0.2">
      <c r="A1712" s="20">
        <v>38944</v>
      </c>
      <c r="B1712">
        <v>137.5</v>
      </c>
      <c r="E1712">
        <f t="shared" si="52"/>
        <v>8</v>
      </c>
      <c r="F1712">
        <f t="shared" si="53"/>
        <v>2006</v>
      </c>
    </row>
    <row r="1713" spans="1:6" x14ac:dyDescent="0.2">
      <c r="A1713" s="20">
        <v>38945</v>
      </c>
      <c r="B1713">
        <v>139.5</v>
      </c>
      <c r="E1713">
        <f t="shared" si="52"/>
        <v>8</v>
      </c>
      <c r="F1713">
        <f t="shared" si="53"/>
        <v>2006</v>
      </c>
    </row>
    <row r="1714" spans="1:6" x14ac:dyDescent="0.2">
      <c r="A1714" s="20">
        <v>38946</v>
      </c>
      <c r="B1714">
        <v>139.5</v>
      </c>
      <c r="E1714">
        <f t="shared" si="52"/>
        <v>8</v>
      </c>
      <c r="F1714">
        <f t="shared" si="53"/>
        <v>2006</v>
      </c>
    </row>
    <row r="1715" spans="1:6" x14ac:dyDescent="0.2">
      <c r="A1715" s="20">
        <v>38947</v>
      </c>
      <c r="B1715">
        <v>139.5</v>
      </c>
      <c r="E1715">
        <f t="shared" si="52"/>
        <v>8</v>
      </c>
      <c r="F1715">
        <f t="shared" si="53"/>
        <v>2006</v>
      </c>
    </row>
    <row r="1716" spans="1:6" x14ac:dyDescent="0.2">
      <c r="A1716" s="20">
        <v>38950</v>
      </c>
      <c r="B1716">
        <v>139.5</v>
      </c>
      <c r="E1716">
        <f t="shared" si="52"/>
        <v>8</v>
      </c>
      <c r="F1716">
        <f t="shared" si="53"/>
        <v>2006</v>
      </c>
    </row>
    <row r="1717" spans="1:6" x14ac:dyDescent="0.2">
      <c r="A1717" s="20">
        <v>38951</v>
      </c>
      <c r="B1717">
        <v>140</v>
      </c>
      <c r="E1717">
        <f t="shared" si="52"/>
        <v>8</v>
      </c>
      <c r="F1717">
        <f t="shared" si="53"/>
        <v>2006</v>
      </c>
    </row>
    <row r="1718" spans="1:6" x14ac:dyDescent="0.2">
      <c r="A1718" s="20">
        <v>38952</v>
      </c>
      <c r="B1718">
        <v>140.5</v>
      </c>
      <c r="E1718">
        <f t="shared" si="52"/>
        <v>8</v>
      </c>
      <c r="F1718">
        <f t="shared" si="53"/>
        <v>2006</v>
      </c>
    </row>
    <row r="1719" spans="1:6" x14ac:dyDescent="0.2">
      <c r="A1719" s="20">
        <v>38953</v>
      </c>
      <c r="B1719">
        <v>142.5</v>
      </c>
      <c r="E1719">
        <f t="shared" si="52"/>
        <v>8</v>
      </c>
      <c r="F1719">
        <f t="shared" si="53"/>
        <v>2006</v>
      </c>
    </row>
    <row r="1720" spans="1:6" x14ac:dyDescent="0.2">
      <c r="A1720" s="20">
        <v>38954</v>
      </c>
      <c r="B1720">
        <v>143</v>
      </c>
      <c r="E1720">
        <f t="shared" si="52"/>
        <v>8</v>
      </c>
      <c r="F1720">
        <f t="shared" si="53"/>
        <v>2006</v>
      </c>
    </row>
    <row r="1721" spans="1:6" x14ac:dyDescent="0.2">
      <c r="A1721" s="20">
        <v>38957</v>
      </c>
      <c r="B1721">
        <v>144.5</v>
      </c>
      <c r="E1721">
        <f t="shared" si="52"/>
        <v>8</v>
      </c>
      <c r="F1721">
        <f t="shared" si="53"/>
        <v>2006</v>
      </c>
    </row>
    <row r="1722" spans="1:6" x14ac:dyDescent="0.2">
      <c r="A1722" s="20">
        <v>38958</v>
      </c>
      <c r="B1722">
        <v>144.75</v>
      </c>
      <c r="E1722">
        <f t="shared" si="52"/>
        <v>8</v>
      </c>
      <c r="F1722">
        <f t="shared" si="53"/>
        <v>2006</v>
      </c>
    </row>
    <row r="1723" spans="1:6" x14ac:dyDescent="0.2">
      <c r="A1723" s="20">
        <v>38959</v>
      </c>
      <c r="B1723">
        <v>145.25</v>
      </c>
      <c r="E1723">
        <f t="shared" si="52"/>
        <v>8</v>
      </c>
      <c r="F1723">
        <f t="shared" si="53"/>
        <v>2006</v>
      </c>
    </row>
    <row r="1724" spans="1:6" x14ac:dyDescent="0.2">
      <c r="A1724" s="20">
        <v>38960</v>
      </c>
      <c r="B1724">
        <v>148</v>
      </c>
      <c r="E1724">
        <f t="shared" si="52"/>
        <v>8</v>
      </c>
      <c r="F1724">
        <f t="shared" si="53"/>
        <v>2006</v>
      </c>
    </row>
    <row r="1725" spans="1:6" x14ac:dyDescent="0.2">
      <c r="A1725" s="20">
        <v>38961</v>
      </c>
      <c r="B1725">
        <v>148.5</v>
      </c>
      <c r="E1725">
        <f t="shared" si="52"/>
        <v>9</v>
      </c>
      <c r="F1725">
        <f t="shared" si="53"/>
        <v>2006</v>
      </c>
    </row>
    <row r="1726" spans="1:6" x14ac:dyDescent="0.2">
      <c r="A1726" s="20">
        <v>38964</v>
      </c>
      <c r="B1726">
        <v>147</v>
      </c>
      <c r="E1726">
        <f t="shared" si="52"/>
        <v>9</v>
      </c>
      <c r="F1726">
        <f t="shared" si="53"/>
        <v>2006</v>
      </c>
    </row>
    <row r="1727" spans="1:6" x14ac:dyDescent="0.2">
      <c r="A1727" s="20">
        <v>38965</v>
      </c>
      <c r="B1727">
        <v>148.5</v>
      </c>
      <c r="E1727">
        <f t="shared" si="52"/>
        <v>9</v>
      </c>
      <c r="F1727">
        <f t="shared" si="53"/>
        <v>2006</v>
      </c>
    </row>
    <row r="1728" spans="1:6" x14ac:dyDescent="0.2">
      <c r="A1728" s="20">
        <v>38966</v>
      </c>
      <c r="B1728">
        <v>147</v>
      </c>
      <c r="E1728">
        <f t="shared" si="52"/>
        <v>9</v>
      </c>
      <c r="F1728">
        <f t="shared" si="53"/>
        <v>2006</v>
      </c>
    </row>
    <row r="1729" spans="1:6" x14ac:dyDescent="0.2">
      <c r="A1729" s="20">
        <v>38967</v>
      </c>
      <c r="B1729">
        <v>146.75</v>
      </c>
      <c r="E1729">
        <f t="shared" si="52"/>
        <v>9</v>
      </c>
      <c r="F1729">
        <f t="shared" si="53"/>
        <v>2006</v>
      </c>
    </row>
    <row r="1730" spans="1:6" x14ac:dyDescent="0.2">
      <c r="A1730" s="20">
        <v>38968</v>
      </c>
      <c r="B1730">
        <v>147</v>
      </c>
      <c r="E1730">
        <f t="shared" si="52"/>
        <v>9</v>
      </c>
      <c r="F1730">
        <f t="shared" si="53"/>
        <v>2006</v>
      </c>
    </row>
    <row r="1731" spans="1:6" x14ac:dyDescent="0.2">
      <c r="A1731" s="20">
        <v>38971</v>
      </c>
      <c r="B1731">
        <v>144.75</v>
      </c>
      <c r="E1731">
        <f t="shared" ref="E1731:E1794" si="54">MONTH(A1731)</f>
        <v>9</v>
      </c>
      <c r="F1731">
        <f t="shared" ref="F1731:F1794" si="55">YEAR(A1731)</f>
        <v>2006</v>
      </c>
    </row>
    <row r="1732" spans="1:6" x14ac:dyDescent="0.2">
      <c r="A1732" s="20">
        <v>38972</v>
      </c>
      <c r="B1732">
        <v>145</v>
      </c>
      <c r="E1732">
        <f t="shared" si="54"/>
        <v>9</v>
      </c>
      <c r="F1732">
        <f t="shared" si="55"/>
        <v>2006</v>
      </c>
    </row>
    <row r="1733" spans="1:6" x14ac:dyDescent="0.2">
      <c r="A1733" s="20">
        <v>38973</v>
      </c>
      <c r="B1733">
        <v>142</v>
      </c>
      <c r="E1733">
        <f t="shared" si="54"/>
        <v>9</v>
      </c>
      <c r="F1733">
        <f t="shared" si="55"/>
        <v>2006</v>
      </c>
    </row>
    <row r="1734" spans="1:6" x14ac:dyDescent="0.2">
      <c r="A1734" s="20">
        <v>38974</v>
      </c>
      <c r="B1734">
        <v>138.75</v>
      </c>
      <c r="E1734">
        <f t="shared" si="54"/>
        <v>9</v>
      </c>
      <c r="F1734">
        <f t="shared" si="55"/>
        <v>2006</v>
      </c>
    </row>
    <row r="1735" spans="1:6" x14ac:dyDescent="0.2">
      <c r="A1735" s="20">
        <v>38975</v>
      </c>
      <c r="B1735">
        <v>143</v>
      </c>
      <c r="E1735">
        <f t="shared" si="54"/>
        <v>9</v>
      </c>
      <c r="F1735">
        <f t="shared" si="55"/>
        <v>2006</v>
      </c>
    </row>
    <row r="1736" spans="1:6" x14ac:dyDescent="0.2">
      <c r="A1736" s="20">
        <v>38978</v>
      </c>
      <c r="B1736">
        <v>143</v>
      </c>
      <c r="E1736">
        <f t="shared" si="54"/>
        <v>9</v>
      </c>
      <c r="F1736">
        <f t="shared" si="55"/>
        <v>2006</v>
      </c>
    </row>
    <row r="1737" spans="1:6" x14ac:dyDescent="0.2">
      <c r="A1737" s="20">
        <v>38979</v>
      </c>
      <c r="B1737">
        <v>145</v>
      </c>
      <c r="E1737">
        <f t="shared" si="54"/>
        <v>9</v>
      </c>
      <c r="F1737">
        <f t="shared" si="55"/>
        <v>2006</v>
      </c>
    </row>
    <row r="1738" spans="1:6" x14ac:dyDescent="0.2">
      <c r="A1738" s="20">
        <v>38980</v>
      </c>
      <c r="B1738">
        <v>145.75</v>
      </c>
      <c r="E1738">
        <f t="shared" si="54"/>
        <v>9</v>
      </c>
      <c r="F1738">
        <f t="shared" si="55"/>
        <v>2006</v>
      </c>
    </row>
    <row r="1739" spans="1:6" x14ac:dyDescent="0.2">
      <c r="A1739" s="20">
        <v>38981</v>
      </c>
      <c r="B1739">
        <v>147.25</v>
      </c>
      <c r="E1739">
        <f t="shared" si="54"/>
        <v>9</v>
      </c>
      <c r="F1739">
        <f t="shared" si="55"/>
        <v>2006</v>
      </c>
    </row>
    <row r="1740" spans="1:6" x14ac:dyDescent="0.2">
      <c r="A1740" s="20">
        <v>38982</v>
      </c>
      <c r="B1740">
        <v>147.5</v>
      </c>
      <c r="E1740">
        <f t="shared" si="54"/>
        <v>9</v>
      </c>
      <c r="F1740">
        <f t="shared" si="55"/>
        <v>2006</v>
      </c>
    </row>
    <row r="1741" spans="1:6" x14ac:dyDescent="0.2">
      <c r="A1741" s="20">
        <v>38985</v>
      </c>
      <c r="B1741">
        <v>147</v>
      </c>
      <c r="E1741">
        <f t="shared" si="54"/>
        <v>9</v>
      </c>
      <c r="F1741">
        <f t="shared" si="55"/>
        <v>2006</v>
      </c>
    </row>
    <row r="1742" spans="1:6" x14ac:dyDescent="0.2">
      <c r="A1742" s="20">
        <v>38986</v>
      </c>
      <c r="B1742">
        <v>147</v>
      </c>
      <c r="E1742">
        <f t="shared" si="54"/>
        <v>9</v>
      </c>
      <c r="F1742">
        <f t="shared" si="55"/>
        <v>2006</v>
      </c>
    </row>
    <row r="1743" spans="1:6" x14ac:dyDescent="0.2">
      <c r="A1743" s="20">
        <v>38987</v>
      </c>
      <c r="B1743">
        <v>147</v>
      </c>
      <c r="E1743">
        <f t="shared" si="54"/>
        <v>9</v>
      </c>
      <c r="F1743">
        <f t="shared" si="55"/>
        <v>2006</v>
      </c>
    </row>
    <row r="1744" spans="1:6" x14ac:dyDescent="0.2">
      <c r="A1744" s="20">
        <v>38988</v>
      </c>
      <c r="B1744">
        <v>147.75</v>
      </c>
      <c r="E1744">
        <f t="shared" si="54"/>
        <v>9</v>
      </c>
      <c r="F1744">
        <f t="shared" si="55"/>
        <v>2006</v>
      </c>
    </row>
    <row r="1745" spans="1:6" x14ac:dyDescent="0.2">
      <c r="A1745" s="20">
        <v>38989</v>
      </c>
      <c r="B1745">
        <v>149</v>
      </c>
      <c r="E1745">
        <f t="shared" si="54"/>
        <v>9</v>
      </c>
      <c r="F1745">
        <f t="shared" si="55"/>
        <v>2006</v>
      </c>
    </row>
    <row r="1746" spans="1:6" x14ac:dyDescent="0.2">
      <c r="A1746" s="20">
        <v>38992</v>
      </c>
      <c r="B1746">
        <v>151</v>
      </c>
      <c r="E1746">
        <f t="shared" si="54"/>
        <v>10</v>
      </c>
      <c r="F1746">
        <f t="shared" si="55"/>
        <v>2006</v>
      </c>
    </row>
    <row r="1747" spans="1:6" x14ac:dyDescent="0.2">
      <c r="A1747" s="20">
        <v>38993</v>
      </c>
      <c r="B1747">
        <v>149</v>
      </c>
      <c r="E1747">
        <f t="shared" si="54"/>
        <v>10</v>
      </c>
      <c r="F1747">
        <f t="shared" si="55"/>
        <v>2006</v>
      </c>
    </row>
    <row r="1748" spans="1:6" x14ac:dyDescent="0.2">
      <c r="A1748" s="20">
        <v>38994</v>
      </c>
      <c r="B1748">
        <v>150.25</v>
      </c>
      <c r="E1748">
        <f t="shared" si="54"/>
        <v>10</v>
      </c>
      <c r="F1748">
        <f t="shared" si="55"/>
        <v>2006</v>
      </c>
    </row>
    <row r="1749" spans="1:6" x14ac:dyDescent="0.2">
      <c r="A1749" s="20">
        <v>38995</v>
      </c>
      <c r="B1749">
        <v>152.5</v>
      </c>
      <c r="E1749">
        <f t="shared" si="54"/>
        <v>10</v>
      </c>
      <c r="F1749">
        <f t="shared" si="55"/>
        <v>2006</v>
      </c>
    </row>
    <row r="1750" spans="1:6" x14ac:dyDescent="0.2">
      <c r="A1750" s="20">
        <v>38996</v>
      </c>
      <c r="B1750">
        <v>152.5</v>
      </c>
      <c r="E1750">
        <f t="shared" si="54"/>
        <v>10</v>
      </c>
      <c r="F1750">
        <f t="shared" si="55"/>
        <v>2006</v>
      </c>
    </row>
    <row r="1751" spans="1:6" x14ac:dyDescent="0.2">
      <c r="A1751" s="20">
        <v>38999</v>
      </c>
      <c r="B1751">
        <v>157</v>
      </c>
      <c r="E1751">
        <f t="shared" si="54"/>
        <v>10</v>
      </c>
      <c r="F1751">
        <f t="shared" si="55"/>
        <v>2006</v>
      </c>
    </row>
    <row r="1752" spans="1:6" x14ac:dyDescent="0.2">
      <c r="A1752" s="20">
        <v>39000</v>
      </c>
      <c r="B1752">
        <v>156</v>
      </c>
      <c r="E1752">
        <f t="shared" si="54"/>
        <v>10</v>
      </c>
      <c r="F1752">
        <f t="shared" si="55"/>
        <v>2006</v>
      </c>
    </row>
    <row r="1753" spans="1:6" x14ac:dyDescent="0.2">
      <c r="A1753" s="20">
        <v>39001</v>
      </c>
      <c r="B1753">
        <v>158.5</v>
      </c>
      <c r="E1753">
        <f t="shared" si="54"/>
        <v>10</v>
      </c>
      <c r="F1753">
        <f t="shared" si="55"/>
        <v>2006</v>
      </c>
    </row>
    <row r="1754" spans="1:6" x14ac:dyDescent="0.2">
      <c r="A1754" s="20">
        <v>39002</v>
      </c>
      <c r="B1754">
        <v>161</v>
      </c>
      <c r="E1754">
        <f t="shared" si="54"/>
        <v>10</v>
      </c>
      <c r="F1754">
        <f t="shared" si="55"/>
        <v>2006</v>
      </c>
    </row>
    <row r="1755" spans="1:6" x14ac:dyDescent="0.2">
      <c r="A1755" s="20">
        <v>39003</v>
      </c>
      <c r="B1755">
        <v>160.5</v>
      </c>
      <c r="E1755">
        <f t="shared" si="54"/>
        <v>10</v>
      </c>
      <c r="F1755">
        <f t="shared" si="55"/>
        <v>2006</v>
      </c>
    </row>
    <row r="1756" spans="1:6" x14ac:dyDescent="0.2">
      <c r="A1756" s="20">
        <v>39006</v>
      </c>
      <c r="B1756">
        <v>160.25</v>
      </c>
      <c r="E1756">
        <f t="shared" si="54"/>
        <v>10</v>
      </c>
      <c r="F1756">
        <f t="shared" si="55"/>
        <v>2006</v>
      </c>
    </row>
    <row r="1757" spans="1:6" x14ac:dyDescent="0.2">
      <c r="A1757" s="20">
        <v>39007</v>
      </c>
      <c r="B1757">
        <v>158</v>
      </c>
      <c r="E1757">
        <f t="shared" si="54"/>
        <v>10</v>
      </c>
      <c r="F1757">
        <f t="shared" si="55"/>
        <v>2006</v>
      </c>
    </row>
    <row r="1758" spans="1:6" x14ac:dyDescent="0.2">
      <c r="A1758" s="20">
        <v>39008</v>
      </c>
      <c r="B1758">
        <v>154</v>
      </c>
      <c r="E1758">
        <f t="shared" si="54"/>
        <v>10</v>
      </c>
      <c r="F1758">
        <f t="shared" si="55"/>
        <v>2006</v>
      </c>
    </row>
    <row r="1759" spans="1:6" x14ac:dyDescent="0.2">
      <c r="A1759" s="20">
        <v>39009</v>
      </c>
      <c r="B1759">
        <v>155.75</v>
      </c>
      <c r="E1759">
        <f t="shared" si="54"/>
        <v>10</v>
      </c>
      <c r="F1759">
        <f t="shared" si="55"/>
        <v>2006</v>
      </c>
    </row>
    <row r="1760" spans="1:6" x14ac:dyDescent="0.2">
      <c r="A1760" s="20">
        <v>39010</v>
      </c>
      <c r="B1760">
        <v>154.5</v>
      </c>
      <c r="E1760">
        <f t="shared" si="54"/>
        <v>10</v>
      </c>
      <c r="F1760">
        <f t="shared" si="55"/>
        <v>2006</v>
      </c>
    </row>
    <row r="1761" spans="1:6" x14ac:dyDescent="0.2">
      <c r="A1761" s="20">
        <v>39013</v>
      </c>
      <c r="B1761">
        <v>153</v>
      </c>
      <c r="E1761">
        <f t="shared" si="54"/>
        <v>10</v>
      </c>
      <c r="F1761">
        <f t="shared" si="55"/>
        <v>2006</v>
      </c>
    </row>
    <row r="1762" spans="1:6" x14ac:dyDescent="0.2">
      <c r="A1762" s="20">
        <v>39014</v>
      </c>
      <c r="B1762">
        <v>154.5</v>
      </c>
      <c r="E1762">
        <f t="shared" si="54"/>
        <v>10</v>
      </c>
      <c r="F1762">
        <f t="shared" si="55"/>
        <v>2006</v>
      </c>
    </row>
    <row r="1763" spans="1:6" x14ac:dyDescent="0.2">
      <c r="A1763" s="20">
        <v>39015</v>
      </c>
      <c r="B1763">
        <v>157</v>
      </c>
      <c r="E1763">
        <f t="shared" si="54"/>
        <v>10</v>
      </c>
      <c r="F1763">
        <f t="shared" si="55"/>
        <v>2006</v>
      </c>
    </row>
    <row r="1764" spans="1:6" x14ac:dyDescent="0.2">
      <c r="A1764" s="20">
        <v>39016</v>
      </c>
      <c r="B1764">
        <v>155</v>
      </c>
      <c r="E1764">
        <f t="shared" si="54"/>
        <v>10</v>
      </c>
      <c r="F1764">
        <f t="shared" si="55"/>
        <v>2006</v>
      </c>
    </row>
    <row r="1765" spans="1:6" x14ac:dyDescent="0.2">
      <c r="A1765" s="20">
        <v>39017</v>
      </c>
      <c r="B1765">
        <v>156</v>
      </c>
      <c r="E1765">
        <f t="shared" si="54"/>
        <v>10</v>
      </c>
      <c r="F1765">
        <f t="shared" si="55"/>
        <v>2006</v>
      </c>
    </row>
    <row r="1766" spans="1:6" x14ac:dyDescent="0.2">
      <c r="A1766" s="20">
        <v>39020</v>
      </c>
      <c r="B1766">
        <v>156</v>
      </c>
      <c r="E1766">
        <f t="shared" si="54"/>
        <v>10</v>
      </c>
      <c r="F1766">
        <f t="shared" si="55"/>
        <v>2006</v>
      </c>
    </row>
    <row r="1767" spans="1:6" x14ac:dyDescent="0.2">
      <c r="A1767" s="20">
        <v>39021</v>
      </c>
      <c r="B1767">
        <v>153.75</v>
      </c>
      <c r="E1767">
        <f t="shared" si="54"/>
        <v>10</v>
      </c>
      <c r="F1767">
        <f t="shared" si="55"/>
        <v>2006</v>
      </c>
    </row>
    <row r="1768" spans="1:6" x14ac:dyDescent="0.2">
      <c r="A1768" s="20">
        <v>39022</v>
      </c>
      <c r="B1768">
        <v>154</v>
      </c>
      <c r="E1768">
        <f t="shared" si="54"/>
        <v>11</v>
      </c>
      <c r="F1768">
        <f t="shared" si="55"/>
        <v>2006</v>
      </c>
    </row>
    <row r="1769" spans="1:6" x14ac:dyDescent="0.2">
      <c r="A1769" s="20">
        <v>39023</v>
      </c>
      <c r="B1769">
        <v>153</v>
      </c>
      <c r="E1769">
        <f t="shared" si="54"/>
        <v>11</v>
      </c>
      <c r="F1769">
        <f t="shared" si="55"/>
        <v>2006</v>
      </c>
    </row>
    <row r="1770" spans="1:6" x14ac:dyDescent="0.2">
      <c r="A1770" s="20">
        <v>39024</v>
      </c>
      <c r="B1770">
        <v>154</v>
      </c>
      <c r="E1770">
        <f t="shared" si="54"/>
        <v>11</v>
      </c>
      <c r="F1770">
        <f t="shared" si="55"/>
        <v>2006</v>
      </c>
    </row>
    <row r="1771" spans="1:6" x14ac:dyDescent="0.2">
      <c r="A1771" s="20">
        <v>39027</v>
      </c>
      <c r="B1771">
        <v>157.5</v>
      </c>
      <c r="E1771">
        <f t="shared" si="54"/>
        <v>11</v>
      </c>
      <c r="F1771">
        <f t="shared" si="55"/>
        <v>2006</v>
      </c>
    </row>
    <row r="1772" spans="1:6" x14ac:dyDescent="0.2">
      <c r="A1772" s="20">
        <v>39028</v>
      </c>
      <c r="B1772">
        <v>157.75</v>
      </c>
      <c r="E1772">
        <f t="shared" si="54"/>
        <v>11</v>
      </c>
      <c r="F1772">
        <f t="shared" si="55"/>
        <v>2006</v>
      </c>
    </row>
    <row r="1773" spans="1:6" x14ac:dyDescent="0.2">
      <c r="A1773" s="20">
        <v>39029</v>
      </c>
      <c r="B1773">
        <v>160</v>
      </c>
      <c r="E1773">
        <f t="shared" si="54"/>
        <v>11</v>
      </c>
      <c r="F1773">
        <f t="shared" si="55"/>
        <v>2006</v>
      </c>
    </row>
    <row r="1774" spans="1:6" x14ac:dyDescent="0.2">
      <c r="A1774" s="20">
        <v>39030</v>
      </c>
      <c r="B1774">
        <v>161</v>
      </c>
      <c r="E1774">
        <f t="shared" si="54"/>
        <v>11</v>
      </c>
      <c r="F1774">
        <f t="shared" si="55"/>
        <v>2006</v>
      </c>
    </row>
    <row r="1775" spans="1:6" x14ac:dyDescent="0.2">
      <c r="A1775" s="20">
        <v>39031</v>
      </c>
      <c r="B1775">
        <v>160</v>
      </c>
      <c r="E1775">
        <f t="shared" si="54"/>
        <v>11</v>
      </c>
      <c r="F1775">
        <f t="shared" si="55"/>
        <v>2006</v>
      </c>
    </row>
    <row r="1776" spans="1:6" x14ac:dyDescent="0.2">
      <c r="A1776" s="20">
        <v>39034</v>
      </c>
      <c r="B1776">
        <v>159.5</v>
      </c>
      <c r="E1776">
        <f t="shared" si="54"/>
        <v>11</v>
      </c>
      <c r="F1776">
        <f t="shared" si="55"/>
        <v>2006</v>
      </c>
    </row>
    <row r="1777" spans="1:6" x14ac:dyDescent="0.2">
      <c r="A1777" s="20">
        <v>39035</v>
      </c>
      <c r="B1777">
        <v>158.5</v>
      </c>
      <c r="E1777">
        <f t="shared" si="54"/>
        <v>11</v>
      </c>
      <c r="F1777">
        <f t="shared" si="55"/>
        <v>2006</v>
      </c>
    </row>
    <row r="1778" spans="1:6" x14ac:dyDescent="0.2">
      <c r="A1778" s="20">
        <v>39036</v>
      </c>
      <c r="B1778">
        <v>160</v>
      </c>
      <c r="E1778">
        <f t="shared" si="54"/>
        <v>11</v>
      </c>
      <c r="F1778">
        <f t="shared" si="55"/>
        <v>2006</v>
      </c>
    </row>
    <row r="1779" spans="1:6" x14ac:dyDescent="0.2">
      <c r="A1779" s="20">
        <v>39037</v>
      </c>
      <c r="B1779">
        <v>160.25</v>
      </c>
      <c r="E1779">
        <f t="shared" si="54"/>
        <v>11</v>
      </c>
      <c r="F1779">
        <f t="shared" si="55"/>
        <v>2006</v>
      </c>
    </row>
    <row r="1780" spans="1:6" x14ac:dyDescent="0.2">
      <c r="A1780" s="20">
        <v>39038</v>
      </c>
      <c r="B1780">
        <v>159.5</v>
      </c>
      <c r="E1780">
        <f t="shared" si="54"/>
        <v>11</v>
      </c>
      <c r="F1780">
        <f t="shared" si="55"/>
        <v>2006</v>
      </c>
    </row>
    <row r="1781" spans="1:6" x14ac:dyDescent="0.2">
      <c r="A1781" s="20">
        <v>39041</v>
      </c>
      <c r="B1781">
        <v>160.5</v>
      </c>
      <c r="E1781">
        <f t="shared" si="54"/>
        <v>11</v>
      </c>
      <c r="F1781">
        <f t="shared" si="55"/>
        <v>2006</v>
      </c>
    </row>
    <row r="1782" spans="1:6" x14ac:dyDescent="0.2">
      <c r="A1782" s="20">
        <v>39042</v>
      </c>
      <c r="B1782">
        <v>160.5</v>
      </c>
      <c r="E1782">
        <f t="shared" si="54"/>
        <v>11</v>
      </c>
      <c r="F1782">
        <f t="shared" si="55"/>
        <v>2006</v>
      </c>
    </row>
    <row r="1783" spans="1:6" x14ac:dyDescent="0.2">
      <c r="A1783" s="20">
        <v>39043</v>
      </c>
      <c r="B1783">
        <v>160.25</v>
      </c>
      <c r="E1783">
        <f t="shared" si="54"/>
        <v>11</v>
      </c>
      <c r="F1783">
        <f t="shared" si="55"/>
        <v>2006</v>
      </c>
    </row>
    <row r="1784" spans="1:6" x14ac:dyDescent="0.2">
      <c r="A1784" s="20">
        <v>39044</v>
      </c>
      <c r="B1784">
        <v>160.25</v>
      </c>
      <c r="E1784">
        <f t="shared" si="54"/>
        <v>11</v>
      </c>
      <c r="F1784">
        <f t="shared" si="55"/>
        <v>2006</v>
      </c>
    </row>
    <row r="1785" spans="1:6" x14ac:dyDescent="0.2">
      <c r="A1785" s="20">
        <v>39045</v>
      </c>
      <c r="B1785">
        <v>159.75</v>
      </c>
      <c r="E1785">
        <f t="shared" si="54"/>
        <v>11</v>
      </c>
      <c r="F1785">
        <f t="shared" si="55"/>
        <v>2006</v>
      </c>
    </row>
    <row r="1786" spans="1:6" x14ac:dyDescent="0.2">
      <c r="A1786" s="20">
        <v>39048</v>
      </c>
      <c r="B1786">
        <v>160</v>
      </c>
      <c r="E1786">
        <f t="shared" si="54"/>
        <v>11</v>
      </c>
      <c r="F1786">
        <f t="shared" si="55"/>
        <v>2006</v>
      </c>
    </row>
    <row r="1787" spans="1:6" x14ac:dyDescent="0.2">
      <c r="A1787" s="20">
        <v>39049</v>
      </c>
      <c r="B1787">
        <v>159.75</v>
      </c>
      <c r="E1787">
        <f t="shared" si="54"/>
        <v>11</v>
      </c>
      <c r="F1787">
        <f t="shared" si="55"/>
        <v>2006</v>
      </c>
    </row>
    <row r="1788" spans="1:6" x14ac:dyDescent="0.2">
      <c r="A1788" s="20">
        <v>39050</v>
      </c>
      <c r="B1788">
        <v>158</v>
      </c>
      <c r="E1788">
        <f t="shared" si="54"/>
        <v>11</v>
      </c>
      <c r="F1788">
        <f t="shared" si="55"/>
        <v>2006</v>
      </c>
    </row>
    <row r="1789" spans="1:6" x14ac:dyDescent="0.2">
      <c r="A1789" s="20">
        <v>39051</v>
      </c>
      <c r="B1789">
        <v>159</v>
      </c>
      <c r="E1789">
        <f t="shared" si="54"/>
        <v>11</v>
      </c>
      <c r="F1789">
        <f t="shared" si="55"/>
        <v>2006</v>
      </c>
    </row>
    <row r="1790" spans="1:6" x14ac:dyDescent="0.2">
      <c r="A1790" s="20">
        <v>39052</v>
      </c>
      <c r="B1790">
        <v>158.75</v>
      </c>
      <c r="E1790">
        <f t="shared" si="54"/>
        <v>12</v>
      </c>
      <c r="F1790">
        <f t="shared" si="55"/>
        <v>2006</v>
      </c>
    </row>
    <row r="1791" spans="1:6" x14ac:dyDescent="0.2">
      <c r="A1791" s="20">
        <v>39055</v>
      </c>
      <c r="B1791">
        <v>157.25</v>
      </c>
      <c r="E1791">
        <f t="shared" si="54"/>
        <v>12</v>
      </c>
      <c r="F1791">
        <f t="shared" si="55"/>
        <v>2006</v>
      </c>
    </row>
    <row r="1792" spans="1:6" x14ac:dyDescent="0.2">
      <c r="A1792" s="20">
        <v>39056</v>
      </c>
      <c r="B1792">
        <v>157</v>
      </c>
      <c r="E1792">
        <f t="shared" si="54"/>
        <v>12</v>
      </c>
      <c r="F1792">
        <f t="shared" si="55"/>
        <v>2006</v>
      </c>
    </row>
    <row r="1793" spans="1:6" x14ac:dyDescent="0.2">
      <c r="A1793" s="20">
        <v>39057</v>
      </c>
      <c r="B1793">
        <v>157.25</v>
      </c>
      <c r="E1793">
        <f t="shared" si="54"/>
        <v>12</v>
      </c>
      <c r="F1793">
        <f t="shared" si="55"/>
        <v>2006</v>
      </c>
    </row>
    <row r="1794" spans="1:6" x14ac:dyDescent="0.2">
      <c r="A1794" s="20">
        <v>39058</v>
      </c>
      <c r="B1794">
        <v>156.75</v>
      </c>
      <c r="E1794">
        <f t="shared" si="54"/>
        <v>12</v>
      </c>
      <c r="F1794">
        <f t="shared" si="55"/>
        <v>2006</v>
      </c>
    </row>
    <row r="1795" spans="1:6" x14ac:dyDescent="0.2">
      <c r="A1795" s="20">
        <v>39059</v>
      </c>
      <c r="B1795">
        <v>156.75</v>
      </c>
      <c r="E1795">
        <f t="shared" ref="E1795:E1858" si="56">MONTH(A1795)</f>
        <v>12</v>
      </c>
      <c r="F1795">
        <f t="shared" ref="F1795:F1858" si="57">YEAR(A1795)</f>
        <v>2006</v>
      </c>
    </row>
    <row r="1796" spans="1:6" x14ac:dyDescent="0.2">
      <c r="A1796" s="20">
        <v>39062</v>
      </c>
      <c r="B1796">
        <v>156.75</v>
      </c>
      <c r="E1796">
        <f t="shared" si="56"/>
        <v>12</v>
      </c>
      <c r="F1796">
        <f t="shared" si="57"/>
        <v>2006</v>
      </c>
    </row>
    <row r="1797" spans="1:6" x14ac:dyDescent="0.2">
      <c r="A1797" s="20">
        <v>39063</v>
      </c>
      <c r="B1797">
        <v>157</v>
      </c>
      <c r="E1797">
        <f t="shared" si="56"/>
        <v>12</v>
      </c>
      <c r="F1797">
        <f t="shared" si="57"/>
        <v>2006</v>
      </c>
    </row>
    <row r="1798" spans="1:6" x14ac:dyDescent="0.2">
      <c r="A1798" s="20">
        <v>39064</v>
      </c>
      <c r="B1798">
        <v>156</v>
      </c>
      <c r="E1798">
        <f t="shared" si="56"/>
        <v>12</v>
      </c>
      <c r="F1798">
        <f t="shared" si="57"/>
        <v>2006</v>
      </c>
    </row>
    <row r="1799" spans="1:6" x14ac:dyDescent="0.2">
      <c r="A1799" s="20">
        <v>39065</v>
      </c>
      <c r="B1799">
        <v>156.75</v>
      </c>
      <c r="E1799">
        <f t="shared" si="56"/>
        <v>12</v>
      </c>
      <c r="F1799">
        <f t="shared" si="57"/>
        <v>2006</v>
      </c>
    </row>
    <row r="1800" spans="1:6" x14ac:dyDescent="0.2">
      <c r="A1800" s="20">
        <v>39066</v>
      </c>
      <c r="B1800">
        <v>157</v>
      </c>
      <c r="E1800">
        <f t="shared" si="56"/>
        <v>12</v>
      </c>
      <c r="F1800">
        <f t="shared" si="57"/>
        <v>2006</v>
      </c>
    </row>
    <row r="1801" spans="1:6" x14ac:dyDescent="0.2">
      <c r="A1801" s="20">
        <v>39069</v>
      </c>
      <c r="B1801">
        <v>157</v>
      </c>
      <c r="E1801">
        <f t="shared" si="56"/>
        <v>12</v>
      </c>
      <c r="F1801">
        <f t="shared" si="57"/>
        <v>2006</v>
      </c>
    </row>
    <row r="1802" spans="1:6" x14ac:dyDescent="0.2">
      <c r="A1802" s="20">
        <v>39070</v>
      </c>
      <c r="B1802">
        <v>156.5</v>
      </c>
      <c r="E1802">
        <f t="shared" si="56"/>
        <v>12</v>
      </c>
      <c r="F1802">
        <f t="shared" si="57"/>
        <v>2006</v>
      </c>
    </row>
    <row r="1803" spans="1:6" x14ac:dyDescent="0.2">
      <c r="A1803" s="20">
        <v>39071</v>
      </c>
      <c r="B1803">
        <v>157</v>
      </c>
      <c r="E1803">
        <f t="shared" si="56"/>
        <v>12</v>
      </c>
      <c r="F1803">
        <f t="shared" si="57"/>
        <v>2006</v>
      </c>
    </row>
    <row r="1804" spans="1:6" x14ac:dyDescent="0.2">
      <c r="A1804" s="20">
        <v>39072</v>
      </c>
      <c r="B1804">
        <v>157.75</v>
      </c>
      <c r="E1804">
        <f t="shared" si="56"/>
        <v>12</v>
      </c>
      <c r="F1804">
        <f t="shared" si="57"/>
        <v>2006</v>
      </c>
    </row>
    <row r="1805" spans="1:6" x14ac:dyDescent="0.2">
      <c r="A1805" s="20">
        <v>39073</v>
      </c>
      <c r="B1805">
        <v>158.5</v>
      </c>
      <c r="E1805">
        <f t="shared" si="56"/>
        <v>12</v>
      </c>
      <c r="F1805">
        <f t="shared" si="57"/>
        <v>2006</v>
      </c>
    </row>
    <row r="1806" spans="1:6" x14ac:dyDescent="0.2">
      <c r="A1806" s="20">
        <v>39077</v>
      </c>
      <c r="B1806" t="s">
        <v>49</v>
      </c>
      <c r="E1806">
        <f t="shared" si="56"/>
        <v>12</v>
      </c>
      <c r="F1806">
        <f t="shared" si="57"/>
        <v>2006</v>
      </c>
    </row>
    <row r="1807" spans="1:6" x14ac:dyDescent="0.2">
      <c r="A1807" s="20">
        <v>39078</v>
      </c>
      <c r="B1807">
        <v>159</v>
      </c>
      <c r="E1807">
        <f t="shared" si="56"/>
        <v>12</v>
      </c>
      <c r="F1807">
        <f t="shared" si="57"/>
        <v>2006</v>
      </c>
    </row>
    <row r="1808" spans="1:6" x14ac:dyDescent="0.2">
      <c r="A1808" s="20">
        <v>39079</v>
      </c>
      <c r="B1808">
        <v>159.5</v>
      </c>
      <c r="E1808">
        <f t="shared" si="56"/>
        <v>12</v>
      </c>
      <c r="F1808">
        <f t="shared" si="57"/>
        <v>2006</v>
      </c>
    </row>
    <row r="1809" spans="1:6" x14ac:dyDescent="0.2">
      <c r="A1809" s="20">
        <v>39080</v>
      </c>
      <c r="B1809">
        <v>158.5</v>
      </c>
      <c r="E1809">
        <f t="shared" si="56"/>
        <v>12</v>
      </c>
      <c r="F1809">
        <f t="shared" si="57"/>
        <v>2006</v>
      </c>
    </row>
    <row r="1810" spans="1:6" x14ac:dyDescent="0.2">
      <c r="A1810" s="20">
        <v>39084</v>
      </c>
      <c r="B1810">
        <v>158</v>
      </c>
      <c r="E1810">
        <f t="shared" si="56"/>
        <v>1</v>
      </c>
      <c r="F1810">
        <f t="shared" si="57"/>
        <v>2007</v>
      </c>
    </row>
    <row r="1811" spans="1:6" x14ac:dyDescent="0.2">
      <c r="A1811" s="20">
        <v>39085</v>
      </c>
      <c r="B1811">
        <v>158</v>
      </c>
      <c r="E1811">
        <f t="shared" si="56"/>
        <v>1</v>
      </c>
      <c r="F1811">
        <f t="shared" si="57"/>
        <v>2007</v>
      </c>
    </row>
    <row r="1812" spans="1:6" x14ac:dyDescent="0.2">
      <c r="A1812" s="20">
        <v>39086</v>
      </c>
      <c r="B1812">
        <v>157</v>
      </c>
      <c r="E1812">
        <f t="shared" si="56"/>
        <v>1</v>
      </c>
      <c r="F1812">
        <f t="shared" si="57"/>
        <v>2007</v>
      </c>
    </row>
    <row r="1813" spans="1:6" x14ac:dyDescent="0.2">
      <c r="A1813" s="20">
        <v>39087</v>
      </c>
      <c r="B1813">
        <v>156</v>
      </c>
      <c r="E1813">
        <f t="shared" si="56"/>
        <v>1</v>
      </c>
      <c r="F1813">
        <f t="shared" si="57"/>
        <v>2007</v>
      </c>
    </row>
    <row r="1814" spans="1:6" x14ac:dyDescent="0.2">
      <c r="A1814" s="20">
        <v>39090</v>
      </c>
      <c r="B1814">
        <v>156</v>
      </c>
      <c r="E1814">
        <f t="shared" si="56"/>
        <v>1</v>
      </c>
      <c r="F1814">
        <f t="shared" si="57"/>
        <v>2007</v>
      </c>
    </row>
    <row r="1815" spans="1:6" x14ac:dyDescent="0.2">
      <c r="A1815" s="20">
        <v>39091</v>
      </c>
      <c r="B1815">
        <v>155.75</v>
      </c>
      <c r="E1815">
        <f t="shared" si="56"/>
        <v>1</v>
      </c>
      <c r="F1815">
        <f t="shared" si="57"/>
        <v>2007</v>
      </c>
    </row>
    <row r="1816" spans="1:6" x14ac:dyDescent="0.2">
      <c r="A1816" s="20">
        <v>39092</v>
      </c>
      <c r="B1816">
        <v>155.25</v>
      </c>
      <c r="E1816">
        <f t="shared" si="56"/>
        <v>1</v>
      </c>
      <c r="F1816">
        <f t="shared" si="57"/>
        <v>2007</v>
      </c>
    </row>
    <row r="1817" spans="1:6" x14ac:dyDescent="0.2">
      <c r="A1817" s="20">
        <v>39093</v>
      </c>
      <c r="B1817">
        <v>157</v>
      </c>
      <c r="E1817">
        <f t="shared" si="56"/>
        <v>1</v>
      </c>
      <c r="F1817">
        <f t="shared" si="57"/>
        <v>2007</v>
      </c>
    </row>
    <row r="1818" spans="1:6" x14ac:dyDescent="0.2">
      <c r="A1818" s="20">
        <v>39094</v>
      </c>
      <c r="B1818">
        <v>160.5</v>
      </c>
      <c r="E1818">
        <f t="shared" si="56"/>
        <v>1</v>
      </c>
      <c r="F1818">
        <f t="shared" si="57"/>
        <v>2007</v>
      </c>
    </row>
    <row r="1819" spans="1:6" x14ac:dyDescent="0.2">
      <c r="A1819" s="20">
        <v>39097</v>
      </c>
      <c r="B1819">
        <v>164</v>
      </c>
      <c r="E1819">
        <f t="shared" si="56"/>
        <v>1</v>
      </c>
      <c r="F1819">
        <f t="shared" si="57"/>
        <v>2007</v>
      </c>
    </row>
    <row r="1820" spans="1:6" x14ac:dyDescent="0.2">
      <c r="A1820" s="20">
        <v>39098</v>
      </c>
      <c r="B1820">
        <v>163</v>
      </c>
      <c r="E1820">
        <f t="shared" si="56"/>
        <v>1</v>
      </c>
      <c r="F1820">
        <f t="shared" si="57"/>
        <v>2007</v>
      </c>
    </row>
    <row r="1821" spans="1:6" x14ac:dyDescent="0.2">
      <c r="A1821" s="20">
        <v>39099</v>
      </c>
      <c r="B1821">
        <v>162.5</v>
      </c>
      <c r="E1821">
        <f t="shared" si="56"/>
        <v>1</v>
      </c>
      <c r="F1821">
        <f t="shared" si="57"/>
        <v>2007</v>
      </c>
    </row>
    <row r="1822" spans="1:6" x14ac:dyDescent="0.2">
      <c r="A1822" s="20">
        <v>39100</v>
      </c>
      <c r="B1822">
        <v>162.5</v>
      </c>
      <c r="E1822">
        <f t="shared" si="56"/>
        <v>1</v>
      </c>
      <c r="F1822">
        <f t="shared" si="57"/>
        <v>2007</v>
      </c>
    </row>
    <row r="1823" spans="1:6" x14ac:dyDescent="0.2">
      <c r="A1823" s="20">
        <v>39101</v>
      </c>
      <c r="B1823">
        <v>162</v>
      </c>
      <c r="E1823">
        <f t="shared" si="56"/>
        <v>1</v>
      </c>
      <c r="F1823">
        <f t="shared" si="57"/>
        <v>2007</v>
      </c>
    </row>
    <row r="1824" spans="1:6" x14ac:dyDescent="0.2">
      <c r="A1824" s="20">
        <v>39104</v>
      </c>
      <c r="B1824">
        <v>161.5</v>
      </c>
      <c r="E1824">
        <f t="shared" si="56"/>
        <v>1</v>
      </c>
      <c r="F1824">
        <f t="shared" si="57"/>
        <v>2007</v>
      </c>
    </row>
    <row r="1825" spans="1:6" x14ac:dyDescent="0.2">
      <c r="A1825" s="20">
        <v>39105</v>
      </c>
      <c r="B1825">
        <v>162.75</v>
      </c>
      <c r="E1825">
        <f t="shared" si="56"/>
        <v>1</v>
      </c>
      <c r="F1825">
        <f t="shared" si="57"/>
        <v>2007</v>
      </c>
    </row>
    <row r="1826" spans="1:6" x14ac:dyDescent="0.2">
      <c r="A1826" s="20">
        <v>39106</v>
      </c>
      <c r="B1826">
        <v>161.75</v>
      </c>
      <c r="E1826">
        <f t="shared" si="56"/>
        <v>1</v>
      </c>
      <c r="F1826">
        <f t="shared" si="57"/>
        <v>2007</v>
      </c>
    </row>
    <row r="1827" spans="1:6" x14ac:dyDescent="0.2">
      <c r="A1827" s="20">
        <v>39107</v>
      </c>
      <c r="B1827">
        <v>161</v>
      </c>
      <c r="E1827">
        <f t="shared" si="56"/>
        <v>1</v>
      </c>
      <c r="F1827">
        <f t="shared" si="57"/>
        <v>2007</v>
      </c>
    </row>
    <row r="1828" spans="1:6" x14ac:dyDescent="0.2">
      <c r="A1828" s="20">
        <v>39108</v>
      </c>
      <c r="B1828">
        <v>161.75</v>
      </c>
      <c r="E1828">
        <f t="shared" si="56"/>
        <v>1</v>
      </c>
      <c r="F1828">
        <f t="shared" si="57"/>
        <v>2007</v>
      </c>
    </row>
    <row r="1829" spans="1:6" x14ac:dyDescent="0.2">
      <c r="A1829" s="20">
        <v>39111</v>
      </c>
      <c r="B1829">
        <v>160</v>
      </c>
      <c r="E1829">
        <f t="shared" si="56"/>
        <v>1</v>
      </c>
      <c r="F1829">
        <f t="shared" si="57"/>
        <v>2007</v>
      </c>
    </row>
    <row r="1830" spans="1:6" x14ac:dyDescent="0.2">
      <c r="A1830" s="20">
        <v>39112</v>
      </c>
      <c r="B1830">
        <v>158.5</v>
      </c>
      <c r="E1830">
        <f t="shared" si="56"/>
        <v>1</v>
      </c>
      <c r="F1830">
        <f t="shared" si="57"/>
        <v>2007</v>
      </c>
    </row>
    <row r="1831" spans="1:6" x14ac:dyDescent="0.2">
      <c r="A1831" s="20">
        <v>39113</v>
      </c>
      <c r="B1831">
        <v>158.5</v>
      </c>
      <c r="E1831">
        <f t="shared" si="56"/>
        <v>1</v>
      </c>
      <c r="F1831">
        <f t="shared" si="57"/>
        <v>2007</v>
      </c>
    </row>
    <row r="1832" spans="1:6" x14ac:dyDescent="0.2">
      <c r="A1832" s="20">
        <v>39114</v>
      </c>
      <c r="B1832">
        <v>159</v>
      </c>
      <c r="E1832">
        <f t="shared" si="56"/>
        <v>2</v>
      </c>
      <c r="F1832">
        <f t="shared" si="57"/>
        <v>2007</v>
      </c>
    </row>
    <row r="1833" spans="1:6" x14ac:dyDescent="0.2">
      <c r="A1833" s="20">
        <v>39115</v>
      </c>
      <c r="B1833">
        <v>158</v>
      </c>
      <c r="E1833">
        <f t="shared" si="56"/>
        <v>2</v>
      </c>
      <c r="F1833">
        <f t="shared" si="57"/>
        <v>2007</v>
      </c>
    </row>
    <row r="1834" spans="1:6" x14ac:dyDescent="0.2">
      <c r="A1834" s="20">
        <v>39118</v>
      </c>
      <c r="B1834">
        <v>158</v>
      </c>
      <c r="E1834">
        <f t="shared" si="56"/>
        <v>2</v>
      </c>
      <c r="F1834">
        <f t="shared" si="57"/>
        <v>2007</v>
      </c>
    </row>
    <row r="1835" spans="1:6" x14ac:dyDescent="0.2">
      <c r="A1835" s="20">
        <v>39119</v>
      </c>
      <c r="B1835">
        <v>156.25</v>
      </c>
      <c r="E1835">
        <f t="shared" si="56"/>
        <v>2</v>
      </c>
      <c r="F1835">
        <f t="shared" si="57"/>
        <v>2007</v>
      </c>
    </row>
    <row r="1836" spans="1:6" x14ac:dyDescent="0.2">
      <c r="A1836" s="20">
        <v>39120</v>
      </c>
      <c r="B1836">
        <v>155.5</v>
      </c>
      <c r="E1836">
        <f t="shared" si="56"/>
        <v>2</v>
      </c>
      <c r="F1836">
        <f t="shared" si="57"/>
        <v>2007</v>
      </c>
    </row>
    <row r="1837" spans="1:6" x14ac:dyDescent="0.2">
      <c r="A1837" s="20">
        <v>39121</v>
      </c>
      <c r="B1837">
        <v>155.5</v>
      </c>
      <c r="E1837">
        <f t="shared" si="56"/>
        <v>2</v>
      </c>
      <c r="F1837">
        <f t="shared" si="57"/>
        <v>2007</v>
      </c>
    </row>
    <row r="1838" spans="1:6" x14ac:dyDescent="0.2">
      <c r="A1838" s="20">
        <v>39122</v>
      </c>
      <c r="B1838">
        <v>155.25</v>
      </c>
      <c r="E1838">
        <f t="shared" si="56"/>
        <v>2</v>
      </c>
      <c r="F1838">
        <f t="shared" si="57"/>
        <v>2007</v>
      </c>
    </row>
    <row r="1839" spans="1:6" x14ac:dyDescent="0.2">
      <c r="A1839" s="20">
        <v>39125</v>
      </c>
      <c r="B1839">
        <v>155.5</v>
      </c>
      <c r="E1839">
        <f t="shared" si="56"/>
        <v>2</v>
      </c>
      <c r="F1839">
        <f t="shared" si="57"/>
        <v>2007</v>
      </c>
    </row>
    <row r="1840" spans="1:6" x14ac:dyDescent="0.2">
      <c r="A1840" s="20">
        <v>39126</v>
      </c>
      <c r="B1840">
        <v>155.25</v>
      </c>
      <c r="E1840">
        <f t="shared" si="56"/>
        <v>2</v>
      </c>
      <c r="F1840">
        <f t="shared" si="57"/>
        <v>2007</v>
      </c>
    </row>
    <row r="1841" spans="1:6" x14ac:dyDescent="0.2">
      <c r="A1841" s="20">
        <v>39127</v>
      </c>
      <c r="B1841">
        <v>155</v>
      </c>
      <c r="E1841">
        <f t="shared" si="56"/>
        <v>2</v>
      </c>
      <c r="F1841">
        <f t="shared" si="57"/>
        <v>2007</v>
      </c>
    </row>
    <row r="1842" spans="1:6" x14ac:dyDescent="0.2">
      <c r="A1842" s="20">
        <v>39128</v>
      </c>
      <c r="B1842">
        <v>154.25</v>
      </c>
      <c r="E1842">
        <f t="shared" si="56"/>
        <v>2</v>
      </c>
      <c r="F1842">
        <f t="shared" si="57"/>
        <v>2007</v>
      </c>
    </row>
    <row r="1843" spans="1:6" x14ac:dyDescent="0.2">
      <c r="A1843" s="20">
        <v>39129</v>
      </c>
      <c r="B1843">
        <v>154.75</v>
      </c>
      <c r="E1843">
        <f t="shared" si="56"/>
        <v>2</v>
      </c>
      <c r="F1843">
        <f t="shared" si="57"/>
        <v>2007</v>
      </c>
    </row>
    <row r="1844" spans="1:6" x14ac:dyDescent="0.2">
      <c r="A1844" s="20">
        <v>39132</v>
      </c>
      <c r="B1844">
        <v>157</v>
      </c>
      <c r="E1844">
        <f t="shared" si="56"/>
        <v>2</v>
      </c>
      <c r="F1844">
        <f t="shared" si="57"/>
        <v>2007</v>
      </c>
    </row>
    <row r="1845" spans="1:6" x14ac:dyDescent="0.2">
      <c r="A1845" s="20">
        <v>39133</v>
      </c>
      <c r="B1845">
        <v>156.5</v>
      </c>
      <c r="E1845">
        <f t="shared" si="56"/>
        <v>2</v>
      </c>
      <c r="F1845">
        <f t="shared" si="57"/>
        <v>2007</v>
      </c>
    </row>
    <row r="1846" spans="1:6" x14ac:dyDescent="0.2">
      <c r="A1846" s="20">
        <v>39134</v>
      </c>
      <c r="B1846">
        <v>157</v>
      </c>
      <c r="E1846">
        <f t="shared" si="56"/>
        <v>2</v>
      </c>
      <c r="F1846">
        <f t="shared" si="57"/>
        <v>2007</v>
      </c>
    </row>
    <row r="1847" spans="1:6" x14ac:dyDescent="0.2">
      <c r="A1847" s="20">
        <v>39135</v>
      </c>
      <c r="B1847">
        <v>157.25</v>
      </c>
      <c r="E1847">
        <f t="shared" si="56"/>
        <v>2</v>
      </c>
      <c r="F1847">
        <f t="shared" si="57"/>
        <v>2007</v>
      </c>
    </row>
    <row r="1848" spans="1:6" x14ac:dyDescent="0.2">
      <c r="A1848" s="20">
        <v>39136</v>
      </c>
      <c r="B1848">
        <v>157.5</v>
      </c>
      <c r="E1848">
        <f t="shared" si="56"/>
        <v>2</v>
      </c>
      <c r="F1848">
        <f t="shared" si="57"/>
        <v>2007</v>
      </c>
    </row>
    <row r="1849" spans="1:6" x14ac:dyDescent="0.2">
      <c r="A1849" s="20">
        <v>39139</v>
      </c>
      <c r="B1849">
        <v>157.25</v>
      </c>
      <c r="E1849">
        <f t="shared" si="56"/>
        <v>2</v>
      </c>
      <c r="F1849">
        <f t="shared" si="57"/>
        <v>2007</v>
      </c>
    </row>
    <row r="1850" spans="1:6" x14ac:dyDescent="0.2">
      <c r="A1850" s="20">
        <v>39140</v>
      </c>
      <c r="B1850">
        <v>156</v>
      </c>
      <c r="E1850">
        <f t="shared" si="56"/>
        <v>2</v>
      </c>
      <c r="F1850">
        <f t="shared" si="57"/>
        <v>2007</v>
      </c>
    </row>
    <row r="1851" spans="1:6" x14ac:dyDescent="0.2">
      <c r="A1851" s="20">
        <v>39141</v>
      </c>
      <c r="B1851">
        <v>155.25</v>
      </c>
      <c r="E1851">
        <f t="shared" si="56"/>
        <v>2</v>
      </c>
      <c r="F1851">
        <f t="shared" si="57"/>
        <v>2007</v>
      </c>
    </row>
    <row r="1852" spans="1:6" x14ac:dyDescent="0.2">
      <c r="A1852" s="20">
        <v>39142</v>
      </c>
      <c r="B1852">
        <v>154</v>
      </c>
      <c r="E1852">
        <f t="shared" si="56"/>
        <v>3</v>
      </c>
      <c r="F1852">
        <f t="shared" si="57"/>
        <v>2007</v>
      </c>
    </row>
    <row r="1853" spans="1:6" x14ac:dyDescent="0.2">
      <c r="A1853" s="20">
        <v>39143</v>
      </c>
      <c r="B1853">
        <v>155</v>
      </c>
      <c r="E1853">
        <f t="shared" si="56"/>
        <v>3</v>
      </c>
      <c r="F1853">
        <f t="shared" si="57"/>
        <v>2007</v>
      </c>
    </row>
    <row r="1854" spans="1:6" x14ac:dyDescent="0.2">
      <c r="A1854" s="20">
        <v>39146</v>
      </c>
      <c r="B1854">
        <v>155.5</v>
      </c>
      <c r="E1854">
        <f t="shared" si="56"/>
        <v>3</v>
      </c>
      <c r="F1854">
        <f t="shared" si="57"/>
        <v>2007</v>
      </c>
    </row>
    <row r="1855" spans="1:6" x14ac:dyDescent="0.2">
      <c r="A1855" s="20">
        <v>39147</v>
      </c>
      <c r="B1855">
        <v>156.5</v>
      </c>
      <c r="E1855">
        <f t="shared" si="56"/>
        <v>3</v>
      </c>
      <c r="F1855">
        <f t="shared" si="57"/>
        <v>2007</v>
      </c>
    </row>
    <row r="1856" spans="1:6" x14ac:dyDescent="0.2">
      <c r="A1856" s="20">
        <v>39148</v>
      </c>
      <c r="B1856">
        <v>156.75</v>
      </c>
      <c r="E1856">
        <f t="shared" si="56"/>
        <v>3</v>
      </c>
      <c r="F1856">
        <f t="shared" si="57"/>
        <v>2007</v>
      </c>
    </row>
    <row r="1857" spans="1:6" x14ac:dyDescent="0.2">
      <c r="A1857" s="20">
        <v>39149</v>
      </c>
      <c r="B1857">
        <v>157.25</v>
      </c>
      <c r="E1857">
        <f t="shared" si="56"/>
        <v>3</v>
      </c>
      <c r="F1857">
        <f t="shared" si="57"/>
        <v>2007</v>
      </c>
    </row>
    <row r="1858" spans="1:6" x14ac:dyDescent="0.2">
      <c r="A1858" s="20">
        <v>39150</v>
      </c>
      <c r="B1858">
        <v>158.25</v>
      </c>
      <c r="E1858">
        <f t="shared" si="56"/>
        <v>3</v>
      </c>
      <c r="F1858">
        <f t="shared" si="57"/>
        <v>2007</v>
      </c>
    </row>
    <row r="1859" spans="1:6" x14ac:dyDescent="0.2">
      <c r="A1859" s="20">
        <v>39153</v>
      </c>
      <c r="B1859">
        <v>159.75</v>
      </c>
      <c r="E1859">
        <f t="shared" ref="E1859:E1922" si="58">MONTH(A1859)</f>
        <v>3</v>
      </c>
      <c r="F1859">
        <f t="shared" ref="F1859:F1922" si="59">YEAR(A1859)</f>
        <v>2007</v>
      </c>
    </row>
    <row r="1860" spans="1:6" x14ac:dyDescent="0.2">
      <c r="A1860" s="20">
        <v>39154</v>
      </c>
      <c r="B1860">
        <v>160</v>
      </c>
      <c r="E1860">
        <f t="shared" si="58"/>
        <v>3</v>
      </c>
      <c r="F1860">
        <f t="shared" si="59"/>
        <v>2007</v>
      </c>
    </row>
    <row r="1861" spans="1:6" x14ac:dyDescent="0.2">
      <c r="A1861" s="20">
        <v>39155</v>
      </c>
      <c r="B1861">
        <v>159.75</v>
      </c>
      <c r="E1861">
        <f t="shared" si="58"/>
        <v>3</v>
      </c>
      <c r="F1861">
        <f t="shared" si="59"/>
        <v>2007</v>
      </c>
    </row>
    <row r="1862" spans="1:6" x14ac:dyDescent="0.2">
      <c r="A1862" s="20">
        <v>39156</v>
      </c>
      <c r="B1862">
        <v>160</v>
      </c>
      <c r="E1862">
        <f t="shared" si="58"/>
        <v>3</v>
      </c>
      <c r="F1862">
        <f t="shared" si="59"/>
        <v>2007</v>
      </c>
    </row>
    <row r="1863" spans="1:6" x14ac:dyDescent="0.2">
      <c r="A1863" s="20">
        <v>39157</v>
      </c>
      <c r="B1863">
        <v>160</v>
      </c>
      <c r="E1863">
        <f t="shared" si="58"/>
        <v>3</v>
      </c>
      <c r="F1863">
        <f t="shared" si="59"/>
        <v>2007</v>
      </c>
    </row>
    <row r="1864" spans="1:6" x14ac:dyDescent="0.2">
      <c r="A1864" s="20">
        <v>39160</v>
      </c>
      <c r="B1864">
        <v>161</v>
      </c>
      <c r="E1864">
        <f t="shared" si="58"/>
        <v>3</v>
      </c>
      <c r="F1864">
        <f t="shared" si="59"/>
        <v>2007</v>
      </c>
    </row>
    <row r="1865" spans="1:6" x14ac:dyDescent="0.2">
      <c r="A1865" s="20">
        <v>39161</v>
      </c>
      <c r="B1865">
        <v>161.75</v>
      </c>
      <c r="E1865">
        <f t="shared" si="58"/>
        <v>3</v>
      </c>
      <c r="F1865">
        <f t="shared" si="59"/>
        <v>2007</v>
      </c>
    </row>
    <row r="1866" spans="1:6" x14ac:dyDescent="0.2">
      <c r="A1866" s="20">
        <v>39162</v>
      </c>
      <c r="B1866">
        <v>161.75</v>
      </c>
      <c r="E1866">
        <f t="shared" si="58"/>
        <v>3</v>
      </c>
      <c r="F1866">
        <f t="shared" si="59"/>
        <v>2007</v>
      </c>
    </row>
    <row r="1867" spans="1:6" x14ac:dyDescent="0.2">
      <c r="A1867" s="20">
        <v>39163</v>
      </c>
      <c r="B1867">
        <v>161.25</v>
      </c>
      <c r="E1867">
        <f t="shared" si="58"/>
        <v>3</v>
      </c>
      <c r="F1867">
        <f t="shared" si="59"/>
        <v>2007</v>
      </c>
    </row>
    <row r="1868" spans="1:6" x14ac:dyDescent="0.2">
      <c r="A1868" s="20">
        <v>39164</v>
      </c>
      <c r="B1868">
        <v>160.75</v>
      </c>
      <c r="E1868">
        <f t="shared" si="58"/>
        <v>3</v>
      </c>
      <c r="F1868">
        <f t="shared" si="59"/>
        <v>2007</v>
      </c>
    </row>
    <row r="1869" spans="1:6" x14ac:dyDescent="0.2">
      <c r="A1869" s="20">
        <v>39167</v>
      </c>
      <c r="B1869">
        <v>159.5</v>
      </c>
      <c r="E1869">
        <f t="shared" si="58"/>
        <v>3</v>
      </c>
      <c r="F1869">
        <f t="shared" si="59"/>
        <v>2007</v>
      </c>
    </row>
    <row r="1870" spans="1:6" x14ac:dyDescent="0.2">
      <c r="A1870" s="20">
        <v>39168</v>
      </c>
      <c r="B1870">
        <v>158.5</v>
      </c>
      <c r="E1870">
        <f t="shared" si="58"/>
        <v>3</v>
      </c>
      <c r="F1870">
        <f t="shared" si="59"/>
        <v>2007</v>
      </c>
    </row>
    <row r="1871" spans="1:6" x14ac:dyDescent="0.2">
      <c r="A1871" s="20">
        <v>39169</v>
      </c>
      <c r="B1871">
        <v>158.5</v>
      </c>
      <c r="E1871">
        <f t="shared" si="58"/>
        <v>3</v>
      </c>
      <c r="F1871">
        <f t="shared" si="59"/>
        <v>2007</v>
      </c>
    </row>
    <row r="1872" spans="1:6" x14ac:dyDescent="0.2">
      <c r="A1872" s="20">
        <v>39170</v>
      </c>
      <c r="B1872">
        <v>159</v>
      </c>
      <c r="E1872">
        <f t="shared" si="58"/>
        <v>3</v>
      </c>
      <c r="F1872">
        <f t="shared" si="59"/>
        <v>2007</v>
      </c>
    </row>
    <row r="1873" spans="1:6" x14ac:dyDescent="0.2">
      <c r="A1873" s="20">
        <v>39171</v>
      </c>
      <c r="B1873">
        <v>156.25</v>
      </c>
      <c r="E1873">
        <f t="shared" si="58"/>
        <v>3</v>
      </c>
      <c r="F1873">
        <f t="shared" si="59"/>
        <v>2007</v>
      </c>
    </row>
    <row r="1874" spans="1:6" x14ac:dyDescent="0.2">
      <c r="A1874" s="20">
        <v>39174</v>
      </c>
      <c r="B1874">
        <v>155</v>
      </c>
      <c r="E1874">
        <f t="shared" si="58"/>
        <v>4</v>
      </c>
      <c r="F1874">
        <f t="shared" si="59"/>
        <v>2007</v>
      </c>
    </row>
    <row r="1875" spans="1:6" x14ac:dyDescent="0.2">
      <c r="A1875" s="20">
        <v>39175</v>
      </c>
      <c r="B1875">
        <v>157.25</v>
      </c>
      <c r="E1875">
        <f t="shared" si="58"/>
        <v>4</v>
      </c>
      <c r="F1875">
        <f t="shared" si="59"/>
        <v>2007</v>
      </c>
    </row>
    <row r="1876" spans="1:6" x14ac:dyDescent="0.2">
      <c r="A1876" s="20">
        <v>39176</v>
      </c>
      <c r="B1876">
        <v>158</v>
      </c>
      <c r="E1876">
        <f t="shared" si="58"/>
        <v>4</v>
      </c>
      <c r="F1876">
        <f t="shared" si="59"/>
        <v>2007</v>
      </c>
    </row>
    <row r="1877" spans="1:6" x14ac:dyDescent="0.2">
      <c r="A1877" s="20">
        <v>39177</v>
      </c>
      <c r="B1877">
        <v>160</v>
      </c>
      <c r="E1877">
        <f t="shared" si="58"/>
        <v>4</v>
      </c>
      <c r="F1877">
        <f t="shared" si="59"/>
        <v>2007</v>
      </c>
    </row>
    <row r="1878" spans="1:6" x14ac:dyDescent="0.2">
      <c r="A1878" s="20">
        <v>39182</v>
      </c>
      <c r="B1878">
        <v>160</v>
      </c>
      <c r="E1878">
        <f t="shared" si="58"/>
        <v>4</v>
      </c>
      <c r="F1878">
        <f t="shared" si="59"/>
        <v>2007</v>
      </c>
    </row>
    <row r="1879" spans="1:6" x14ac:dyDescent="0.2">
      <c r="A1879" s="20">
        <v>39183</v>
      </c>
      <c r="B1879">
        <v>161</v>
      </c>
      <c r="E1879">
        <f t="shared" si="58"/>
        <v>4</v>
      </c>
      <c r="F1879">
        <f t="shared" si="59"/>
        <v>2007</v>
      </c>
    </row>
    <row r="1880" spans="1:6" x14ac:dyDescent="0.2">
      <c r="A1880" s="20">
        <v>39184</v>
      </c>
      <c r="B1880">
        <v>161.5</v>
      </c>
      <c r="E1880">
        <f t="shared" si="58"/>
        <v>4</v>
      </c>
      <c r="F1880">
        <f t="shared" si="59"/>
        <v>2007</v>
      </c>
    </row>
    <row r="1881" spans="1:6" x14ac:dyDescent="0.2">
      <c r="A1881" s="20">
        <v>39185</v>
      </c>
      <c r="B1881">
        <v>162.25</v>
      </c>
      <c r="E1881">
        <f t="shared" si="58"/>
        <v>4</v>
      </c>
      <c r="F1881">
        <f t="shared" si="59"/>
        <v>2007</v>
      </c>
    </row>
    <row r="1882" spans="1:6" x14ac:dyDescent="0.2">
      <c r="A1882" s="20">
        <v>39188</v>
      </c>
      <c r="B1882">
        <v>162.5</v>
      </c>
      <c r="E1882">
        <f t="shared" si="58"/>
        <v>4</v>
      </c>
      <c r="F1882">
        <f t="shared" si="59"/>
        <v>2007</v>
      </c>
    </row>
    <row r="1883" spans="1:6" x14ac:dyDescent="0.2">
      <c r="A1883" s="20">
        <v>39189</v>
      </c>
      <c r="B1883">
        <v>162.5</v>
      </c>
      <c r="E1883">
        <f t="shared" si="58"/>
        <v>4</v>
      </c>
      <c r="F1883">
        <f t="shared" si="59"/>
        <v>2007</v>
      </c>
    </row>
    <row r="1884" spans="1:6" x14ac:dyDescent="0.2">
      <c r="A1884" s="20">
        <v>39190</v>
      </c>
      <c r="B1884">
        <v>162</v>
      </c>
      <c r="E1884">
        <f t="shared" si="58"/>
        <v>4</v>
      </c>
      <c r="F1884">
        <f t="shared" si="59"/>
        <v>2007</v>
      </c>
    </row>
    <row r="1885" spans="1:6" x14ac:dyDescent="0.2">
      <c r="A1885" s="20">
        <v>39191</v>
      </c>
      <c r="B1885">
        <v>162.5</v>
      </c>
      <c r="E1885">
        <f t="shared" si="58"/>
        <v>4</v>
      </c>
      <c r="F1885">
        <f t="shared" si="59"/>
        <v>2007</v>
      </c>
    </row>
    <row r="1886" spans="1:6" x14ac:dyDescent="0.2">
      <c r="A1886" s="20">
        <v>39192</v>
      </c>
      <c r="B1886">
        <v>161.5</v>
      </c>
      <c r="E1886">
        <f t="shared" si="58"/>
        <v>4</v>
      </c>
      <c r="F1886">
        <f t="shared" si="59"/>
        <v>2007</v>
      </c>
    </row>
    <row r="1887" spans="1:6" x14ac:dyDescent="0.2">
      <c r="A1887" s="20">
        <v>39195</v>
      </c>
      <c r="B1887">
        <v>162</v>
      </c>
      <c r="E1887">
        <f t="shared" si="58"/>
        <v>4</v>
      </c>
      <c r="F1887">
        <f t="shared" si="59"/>
        <v>2007</v>
      </c>
    </row>
    <row r="1888" spans="1:6" x14ac:dyDescent="0.2">
      <c r="A1888" s="20">
        <v>39196</v>
      </c>
      <c r="B1888">
        <v>162</v>
      </c>
      <c r="E1888">
        <f t="shared" si="58"/>
        <v>4</v>
      </c>
      <c r="F1888">
        <f t="shared" si="59"/>
        <v>2007</v>
      </c>
    </row>
    <row r="1889" spans="1:6" x14ac:dyDescent="0.2">
      <c r="A1889" s="20">
        <v>39197</v>
      </c>
      <c r="B1889">
        <v>164.5</v>
      </c>
      <c r="E1889">
        <f t="shared" si="58"/>
        <v>4</v>
      </c>
      <c r="F1889">
        <f t="shared" si="59"/>
        <v>2007</v>
      </c>
    </row>
    <row r="1890" spans="1:6" x14ac:dyDescent="0.2">
      <c r="A1890" s="20">
        <v>39198</v>
      </c>
      <c r="B1890">
        <v>166</v>
      </c>
      <c r="E1890">
        <f t="shared" si="58"/>
        <v>4</v>
      </c>
      <c r="F1890">
        <f t="shared" si="59"/>
        <v>2007</v>
      </c>
    </row>
    <row r="1891" spans="1:6" x14ac:dyDescent="0.2">
      <c r="A1891" s="20">
        <v>39199</v>
      </c>
      <c r="B1891">
        <v>164.5</v>
      </c>
      <c r="E1891">
        <f t="shared" si="58"/>
        <v>4</v>
      </c>
      <c r="F1891">
        <f t="shared" si="59"/>
        <v>2007</v>
      </c>
    </row>
    <row r="1892" spans="1:6" x14ac:dyDescent="0.2">
      <c r="A1892" s="20">
        <v>39202</v>
      </c>
      <c r="B1892">
        <v>164.5</v>
      </c>
      <c r="E1892">
        <f t="shared" si="58"/>
        <v>4</v>
      </c>
      <c r="F1892">
        <f t="shared" si="59"/>
        <v>2007</v>
      </c>
    </row>
    <row r="1893" spans="1:6" x14ac:dyDescent="0.2">
      <c r="A1893" s="20">
        <v>39204</v>
      </c>
      <c r="B1893">
        <v>163.75</v>
      </c>
      <c r="E1893">
        <f t="shared" si="58"/>
        <v>5</v>
      </c>
      <c r="F1893">
        <f t="shared" si="59"/>
        <v>2007</v>
      </c>
    </row>
    <row r="1894" spans="1:6" x14ac:dyDescent="0.2">
      <c r="A1894" s="20">
        <v>39205</v>
      </c>
      <c r="B1894">
        <v>163.5</v>
      </c>
      <c r="E1894">
        <f t="shared" si="58"/>
        <v>5</v>
      </c>
      <c r="F1894">
        <f t="shared" si="59"/>
        <v>2007</v>
      </c>
    </row>
    <row r="1895" spans="1:6" x14ac:dyDescent="0.2">
      <c r="A1895" s="20">
        <v>39206</v>
      </c>
      <c r="B1895">
        <v>163</v>
      </c>
      <c r="E1895">
        <f t="shared" si="58"/>
        <v>5</v>
      </c>
      <c r="F1895">
        <f t="shared" si="59"/>
        <v>2007</v>
      </c>
    </row>
    <row r="1896" spans="1:6" x14ac:dyDescent="0.2">
      <c r="A1896" s="20">
        <v>39210</v>
      </c>
      <c r="B1896">
        <v>164</v>
      </c>
      <c r="E1896">
        <f t="shared" si="58"/>
        <v>5</v>
      </c>
      <c r="F1896">
        <f t="shared" si="59"/>
        <v>2007</v>
      </c>
    </row>
    <row r="1897" spans="1:6" x14ac:dyDescent="0.2">
      <c r="A1897" s="20">
        <v>39211</v>
      </c>
      <c r="B1897">
        <v>163.5</v>
      </c>
      <c r="E1897">
        <f t="shared" si="58"/>
        <v>5</v>
      </c>
      <c r="F1897">
        <f t="shared" si="59"/>
        <v>2007</v>
      </c>
    </row>
    <row r="1898" spans="1:6" x14ac:dyDescent="0.2">
      <c r="A1898" s="20">
        <v>39212</v>
      </c>
      <c r="B1898">
        <v>164</v>
      </c>
      <c r="E1898">
        <f t="shared" si="58"/>
        <v>5</v>
      </c>
      <c r="F1898">
        <f t="shared" si="59"/>
        <v>2007</v>
      </c>
    </row>
    <row r="1899" spans="1:6" x14ac:dyDescent="0.2">
      <c r="A1899" s="20">
        <v>39213</v>
      </c>
      <c r="B1899">
        <v>165.25</v>
      </c>
      <c r="E1899">
        <f t="shared" si="58"/>
        <v>5</v>
      </c>
      <c r="F1899">
        <f t="shared" si="59"/>
        <v>2007</v>
      </c>
    </row>
    <row r="1900" spans="1:6" x14ac:dyDescent="0.2">
      <c r="A1900" s="20">
        <v>39216</v>
      </c>
      <c r="B1900">
        <v>167</v>
      </c>
      <c r="E1900">
        <f t="shared" si="58"/>
        <v>5</v>
      </c>
      <c r="F1900">
        <f t="shared" si="59"/>
        <v>2007</v>
      </c>
    </row>
    <row r="1901" spans="1:6" x14ac:dyDescent="0.2">
      <c r="A1901" s="20">
        <v>39217</v>
      </c>
      <c r="B1901">
        <v>165.75</v>
      </c>
      <c r="E1901">
        <f t="shared" si="58"/>
        <v>5</v>
      </c>
      <c r="F1901">
        <f t="shared" si="59"/>
        <v>2007</v>
      </c>
    </row>
    <row r="1902" spans="1:6" x14ac:dyDescent="0.2">
      <c r="A1902" s="20">
        <v>39218</v>
      </c>
      <c r="B1902">
        <v>166.5</v>
      </c>
      <c r="E1902">
        <f t="shared" si="58"/>
        <v>5</v>
      </c>
      <c r="F1902">
        <f t="shared" si="59"/>
        <v>2007</v>
      </c>
    </row>
    <row r="1903" spans="1:6" x14ac:dyDescent="0.2">
      <c r="A1903" s="20">
        <v>39219</v>
      </c>
      <c r="B1903">
        <v>166.25</v>
      </c>
      <c r="E1903">
        <f t="shared" si="58"/>
        <v>5</v>
      </c>
      <c r="F1903">
        <f t="shared" si="59"/>
        <v>2007</v>
      </c>
    </row>
    <row r="1904" spans="1:6" x14ac:dyDescent="0.2">
      <c r="A1904" s="20">
        <v>39220</v>
      </c>
      <c r="B1904">
        <v>166</v>
      </c>
      <c r="E1904">
        <f t="shared" si="58"/>
        <v>5</v>
      </c>
      <c r="F1904">
        <f t="shared" si="59"/>
        <v>2007</v>
      </c>
    </row>
    <row r="1905" spans="1:6" x14ac:dyDescent="0.2">
      <c r="A1905" s="20">
        <v>39223</v>
      </c>
      <c r="B1905">
        <v>166.5</v>
      </c>
      <c r="E1905">
        <f t="shared" si="58"/>
        <v>5</v>
      </c>
      <c r="F1905">
        <f t="shared" si="59"/>
        <v>2007</v>
      </c>
    </row>
    <row r="1906" spans="1:6" x14ac:dyDescent="0.2">
      <c r="A1906" s="20">
        <v>39224</v>
      </c>
      <c r="B1906">
        <v>168</v>
      </c>
      <c r="E1906">
        <f t="shared" si="58"/>
        <v>5</v>
      </c>
      <c r="F1906">
        <f t="shared" si="59"/>
        <v>2007</v>
      </c>
    </row>
    <row r="1907" spans="1:6" x14ac:dyDescent="0.2">
      <c r="A1907" s="20">
        <v>39225</v>
      </c>
      <c r="B1907">
        <v>169.75</v>
      </c>
      <c r="E1907">
        <f t="shared" si="58"/>
        <v>5</v>
      </c>
      <c r="F1907">
        <f t="shared" si="59"/>
        <v>2007</v>
      </c>
    </row>
    <row r="1908" spans="1:6" x14ac:dyDescent="0.2">
      <c r="A1908" s="20">
        <v>39226</v>
      </c>
      <c r="B1908">
        <v>173</v>
      </c>
      <c r="E1908">
        <f t="shared" si="58"/>
        <v>5</v>
      </c>
      <c r="F1908">
        <f t="shared" si="59"/>
        <v>2007</v>
      </c>
    </row>
    <row r="1909" spans="1:6" x14ac:dyDescent="0.2">
      <c r="A1909" s="20">
        <v>39227</v>
      </c>
      <c r="B1909">
        <v>172</v>
      </c>
      <c r="E1909">
        <f t="shared" si="58"/>
        <v>5</v>
      </c>
      <c r="F1909">
        <f t="shared" si="59"/>
        <v>2007</v>
      </c>
    </row>
    <row r="1910" spans="1:6" x14ac:dyDescent="0.2">
      <c r="A1910" s="20">
        <v>39231</v>
      </c>
      <c r="B1910">
        <v>171.25</v>
      </c>
      <c r="E1910">
        <f t="shared" si="58"/>
        <v>5</v>
      </c>
      <c r="F1910">
        <f t="shared" si="59"/>
        <v>2007</v>
      </c>
    </row>
    <row r="1911" spans="1:6" x14ac:dyDescent="0.2">
      <c r="A1911" s="20">
        <v>39232</v>
      </c>
      <c r="B1911">
        <v>172</v>
      </c>
      <c r="E1911">
        <f t="shared" si="58"/>
        <v>5</v>
      </c>
      <c r="F1911">
        <f t="shared" si="59"/>
        <v>2007</v>
      </c>
    </row>
    <row r="1912" spans="1:6" x14ac:dyDescent="0.2">
      <c r="A1912" s="20">
        <v>39233</v>
      </c>
      <c r="B1912">
        <v>172.75</v>
      </c>
      <c r="E1912">
        <f t="shared" si="58"/>
        <v>5</v>
      </c>
      <c r="F1912">
        <f t="shared" si="59"/>
        <v>2007</v>
      </c>
    </row>
    <row r="1913" spans="1:6" x14ac:dyDescent="0.2">
      <c r="A1913" s="20">
        <v>39234</v>
      </c>
      <c r="B1913">
        <v>172</v>
      </c>
      <c r="E1913">
        <f t="shared" si="58"/>
        <v>6</v>
      </c>
      <c r="F1913">
        <f t="shared" si="59"/>
        <v>2007</v>
      </c>
    </row>
    <row r="1914" spans="1:6" x14ac:dyDescent="0.2">
      <c r="A1914" s="20">
        <v>39237</v>
      </c>
      <c r="B1914">
        <v>172</v>
      </c>
      <c r="E1914">
        <f t="shared" si="58"/>
        <v>6</v>
      </c>
      <c r="F1914">
        <f t="shared" si="59"/>
        <v>2007</v>
      </c>
    </row>
    <row r="1915" spans="1:6" x14ac:dyDescent="0.2">
      <c r="A1915" s="20">
        <v>39238</v>
      </c>
      <c r="B1915">
        <v>172</v>
      </c>
      <c r="E1915">
        <f t="shared" si="58"/>
        <v>6</v>
      </c>
      <c r="F1915">
        <f t="shared" si="59"/>
        <v>2007</v>
      </c>
    </row>
    <row r="1916" spans="1:6" x14ac:dyDescent="0.2">
      <c r="A1916" s="20">
        <v>39239</v>
      </c>
      <c r="B1916">
        <v>178</v>
      </c>
      <c r="E1916">
        <f t="shared" si="58"/>
        <v>6</v>
      </c>
      <c r="F1916">
        <f t="shared" si="59"/>
        <v>2007</v>
      </c>
    </row>
    <row r="1917" spans="1:6" x14ac:dyDescent="0.2">
      <c r="A1917" s="20">
        <v>39240</v>
      </c>
      <c r="B1917">
        <v>178.5</v>
      </c>
      <c r="E1917">
        <f t="shared" si="58"/>
        <v>6</v>
      </c>
      <c r="F1917">
        <f t="shared" si="59"/>
        <v>2007</v>
      </c>
    </row>
    <row r="1918" spans="1:6" x14ac:dyDescent="0.2">
      <c r="A1918" s="20">
        <v>39241</v>
      </c>
      <c r="B1918">
        <v>178</v>
      </c>
      <c r="E1918">
        <f t="shared" si="58"/>
        <v>6</v>
      </c>
      <c r="F1918">
        <f t="shared" si="59"/>
        <v>2007</v>
      </c>
    </row>
    <row r="1919" spans="1:6" x14ac:dyDescent="0.2">
      <c r="A1919" s="20">
        <v>39244</v>
      </c>
      <c r="B1919">
        <v>181</v>
      </c>
      <c r="E1919">
        <f t="shared" si="58"/>
        <v>6</v>
      </c>
      <c r="F1919">
        <f t="shared" si="59"/>
        <v>2007</v>
      </c>
    </row>
    <row r="1920" spans="1:6" x14ac:dyDescent="0.2">
      <c r="A1920" s="20">
        <v>39245</v>
      </c>
      <c r="B1920">
        <v>187</v>
      </c>
      <c r="E1920">
        <f t="shared" si="58"/>
        <v>6</v>
      </c>
      <c r="F1920">
        <f t="shared" si="59"/>
        <v>2007</v>
      </c>
    </row>
    <row r="1921" spans="1:6" x14ac:dyDescent="0.2">
      <c r="A1921" s="20">
        <v>39246</v>
      </c>
      <c r="B1921">
        <v>191.5</v>
      </c>
      <c r="E1921">
        <f t="shared" si="58"/>
        <v>6</v>
      </c>
      <c r="F1921">
        <f t="shared" si="59"/>
        <v>2007</v>
      </c>
    </row>
    <row r="1922" spans="1:6" x14ac:dyDescent="0.2">
      <c r="A1922" s="20">
        <v>39247</v>
      </c>
      <c r="B1922">
        <v>196.25</v>
      </c>
      <c r="E1922">
        <f t="shared" si="58"/>
        <v>6</v>
      </c>
      <c r="F1922">
        <f t="shared" si="59"/>
        <v>2007</v>
      </c>
    </row>
    <row r="1923" spans="1:6" x14ac:dyDescent="0.2">
      <c r="A1923" s="20">
        <v>39248</v>
      </c>
      <c r="B1923">
        <v>196</v>
      </c>
      <c r="E1923">
        <f t="shared" ref="E1923:E1986" si="60">MONTH(A1923)</f>
        <v>6</v>
      </c>
      <c r="F1923">
        <f t="shared" ref="F1923:F1986" si="61">YEAR(A1923)</f>
        <v>2007</v>
      </c>
    </row>
    <row r="1924" spans="1:6" x14ac:dyDescent="0.2">
      <c r="A1924" s="20">
        <v>39251</v>
      </c>
      <c r="B1924">
        <v>195.75</v>
      </c>
      <c r="E1924">
        <f t="shared" si="60"/>
        <v>6</v>
      </c>
      <c r="F1924">
        <f t="shared" si="61"/>
        <v>2007</v>
      </c>
    </row>
    <row r="1925" spans="1:6" x14ac:dyDescent="0.2">
      <c r="A1925" s="20">
        <v>39252</v>
      </c>
      <c r="B1925">
        <v>191</v>
      </c>
      <c r="E1925">
        <f t="shared" si="60"/>
        <v>6</v>
      </c>
      <c r="F1925">
        <f t="shared" si="61"/>
        <v>2007</v>
      </c>
    </row>
    <row r="1926" spans="1:6" x14ac:dyDescent="0.2">
      <c r="A1926" s="20">
        <v>39253</v>
      </c>
      <c r="B1926">
        <v>187</v>
      </c>
      <c r="E1926">
        <f t="shared" si="60"/>
        <v>6</v>
      </c>
      <c r="F1926">
        <f t="shared" si="61"/>
        <v>2007</v>
      </c>
    </row>
    <row r="1927" spans="1:6" x14ac:dyDescent="0.2">
      <c r="A1927" s="20">
        <v>39254</v>
      </c>
      <c r="B1927">
        <v>188.25</v>
      </c>
      <c r="E1927">
        <f t="shared" si="60"/>
        <v>6</v>
      </c>
      <c r="F1927">
        <f t="shared" si="61"/>
        <v>2007</v>
      </c>
    </row>
    <row r="1928" spans="1:6" x14ac:dyDescent="0.2">
      <c r="A1928" s="20">
        <v>39255</v>
      </c>
      <c r="B1928">
        <v>186.25</v>
      </c>
      <c r="E1928">
        <f t="shared" si="60"/>
        <v>6</v>
      </c>
      <c r="F1928">
        <f t="shared" si="61"/>
        <v>2007</v>
      </c>
    </row>
    <row r="1929" spans="1:6" x14ac:dyDescent="0.2">
      <c r="A1929" s="20">
        <v>39258</v>
      </c>
      <c r="B1929">
        <v>186.25</v>
      </c>
      <c r="E1929">
        <f t="shared" si="60"/>
        <v>6</v>
      </c>
      <c r="F1929">
        <f t="shared" si="61"/>
        <v>2007</v>
      </c>
    </row>
    <row r="1930" spans="1:6" x14ac:dyDescent="0.2">
      <c r="A1930" s="20">
        <v>39259</v>
      </c>
      <c r="B1930">
        <v>186</v>
      </c>
      <c r="E1930">
        <f t="shared" si="60"/>
        <v>6</v>
      </c>
      <c r="F1930">
        <f t="shared" si="61"/>
        <v>2007</v>
      </c>
    </row>
    <row r="1931" spans="1:6" x14ac:dyDescent="0.2">
      <c r="A1931" s="20">
        <v>39260</v>
      </c>
      <c r="B1931">
        <v>185</v>
      </c>
      <c r="E1931">
        <f t="shared" si="60"/>
        <v>6</v>
      </c>
      <c r="F1931">
        <f t="shared" si="61"/>
        <v>2007</v>
      </c>
    </row>
    <row r="1932" spans="1:6" x14ac:dyDescent="0.2">
      <c r="A1932" s="20">
        <v>39261</v>
      </c>
      <c r="B1932">
        <v>180</v>
      </c>
      <c r="E1932">
        <f t="shared" si="60"/>
        <v>6</v>
      </c>
      <c r="F1932">
        <f t="shared" si="61"/>
        <v>2007</v>
      </c>
    </row>
    <row r="1933" spans="1:6" x14ac:dyDescent="0.2">
      <c r="A1933" s="20">
        <v>39262</v>
      </c>
      <c r="B1933">
        <v>185.5</v>
      </c>
      <c r="E1933">
        <f t="shared" si="60"/>
        <v>6</v>
      </c>
      <c r="F1933">
        <f t="shared" si="61"/>
        <v>2007</v>
      </c>
    </row>
    <row r="1934" spans="1:6" x14ac:dyDescent="0.2">
      <c r="A1934" s="20">
        <v>39265</v>
      </c>
      <c r="B1934">
        <v>182.5</v>
      </c>
      <c r="E1934">
        <f t="shared" si="60"/>
        <v>7</v>
      </c>
      <c r="F1934">
        <f t="shared" si="61"/>
        <v>2007</v>
      </c>
    </row>
    <row r="1935" spans="1:6" x14ac:dyDescent="0.2">
      <c r="A1935" s="20">
        <v>39266</v>
      </c>
      <c r="B1935">
        <v>183</v>
      </c>
      <c r="E1935">
        <f t="shared" si="60"/>
        <v>7</v>
      </c>
      <c r="F1935">
        <f t="shared" si="61"/>
        <v>2007</v>
      </c>
    </row>
    <row r="1936" spans="1:6" x14ac:dyDescent="0.2">
      <c r="A1936" s="20">
        <v>39267</v>
      </c>
      <c r="B1936">
        <v>184</v>
      </c>
      <c r="E1936">
        <f t="shared" si="60"/>
        <v>7</v>
      </c>
      <c r="F1936">
        <f t="shared" si="61"/>
        <v>2007</v>
      </c>
    </row>
    <row r="1937" spans="1:6" x14ac:dyDescent="0.2">
      <c r="A1937" s="20">
        <v>39268</v>
      </c>
      <c r="B1937">
        <v>185.25</v>
      </c>
      <c r="E1937">
        <f t="shared" si="60"/>
        <v>7</v>
      </c>
      <c r="F1937">
        <f t="shared" si="61"/>
        <v>2007</v>
      </c>
    </row>
    <row r="1938" spans="1:6" x14ac:dyDescent="0.2">
      <c r="A1938" s="20">
        <v>39269</v>
      </c>
      <c r="B1938">
        <v>188</v>
      </c>
      <c r="E1938">
        <f t="shared" si="60"/>
        <v>7</v>
      </c>
      <c r="F1938">
        <f t="shared" si="61"/>
        <v>2007</v>
      </c>
    </row>
    <row r="1939" spans="1:6" x14ac:dyDescent="0.2">
      <c r="A1939" s="20">
        <v>39272</v>
      </c>
      <c r="B1939">
        <v>188</v>
      </c>
      <c r="E1939">
        <f t="shared" si="60"/>
        <v>7</v>
      </c>
      <c r="F1939">
        <f t="shared" si="61"/>
        <v>2007</v>
      </c>
    </row>
    <row r="1940" spans="1:6" x14ac:dyDescent="0.2">
      <c r="A1940" s="20">
        <v>39273</v>
      </c>
      <c r="B1940">
        <v>190</v>
      </c>
      <c r="E1940">
        <f t="shared" si="60"/>
        <v>7</v>
      </c>
      <c r="F1940">
        <f t="shared" si="61"/>
        <v>2007</v>
      </c>
    </row>
    <row r="1941" spans="1:6" x14ac:dyDescent="0.2">
      <c r="A1941" s="20">
        <v>39274</v>
      </c>
      <c r="B1941">
        <v>195</v>
      </c>
      <c r="E1941">
        <f t="shared" si="60"/>
        <v>7</v>
      </c>
      <c r="F1941">
        <f t="shared" si="61"/>
        <v>2007</v>
      </c>
    </row>
    <row r="1942" spans="1:6" x14ac:dyDescent="0.2">
      <c r="A1942" s="20">
        <v>39275</v>
      </c>
      <c r="B1942">
        <v>194.5</v>
      </c>
      <c r="E1942">
        <f t="shared" si="60"/>
        <v>7</v>
      </c>
      <c r="F1942">
        <f t="shared" si="61"/>
        <v>2007</v>
      </c>
    </row>
    <row r="1943" spans="1:6" x14ac:dyDescent="0.2">
      <c r="A1943" s="20">
        <v>39276</v>
      </c>
      <c r="B1943">
        <v>194</v>
      </c>
      <c r="E1943">
        <f t="shared" si="60"/>
        <v>7</v>
      </c>
      <c r="F1943">
        <f t="shared" si="61"/>
        <v>2007</v>
      </c>
    </row>
    <row r="1944" spans="1:6" x14ac:dyDescent="0.2">
      <c r="A1944" s="20">
        <v>39279</v>
      </c>
      <c r="B1944">
        <v>194</v>
      </c>
      <c r="E1944">
        <f t="shared" si="60"/>
        <v>7</v>
      </c>
      <c r="F1944">
        <f t="shared" si="61"/>
        <v>2007</v>
      </c>
    </row>
    <row r="1945" spans="1:6" x14ac:dyDescent="0.2">
      <c r="A1945" s="20">
        <v>39280</v>
      </c>
      <c r="B1945">
        <v>195</v>
      </c>
      <c r="E1945">
        <f t="shared" si="60"/>
        <v>7</v>
      </c>
      <c r="F1945">
        <f t="shared" si="61"/>
        <v>2007</v>
      </c>
    </row>
    <row r="1946" spans="1:6" x14ac:dyDescent="0.2">
      <c r="A1946" s="20">
        <v>39281</v>
      </c>
      <c r="B1946">
        <v>196</v>
      </c>
      <c r="E1946">
        <f t="shared" si="60"/>
        <v>7</v>
      </c>
      <c r="F1946">
        <f t="shared" si="61"/>
        <v>2007</v>
      </c>
    </row>
    <row r="1947" spans="1:6" x14ac:dyDescent="0.2">
      <c r="A1947" s="20">
        <v>39282</v>
      </c>
      <c r="B1947">
        <v>200</v>
      </c>
      <c r="E1947">
        <f t="shared" si="60"/>
        <v>7</v>
      </c>
      <c r="F1947">
        <f t="shared" si="61"/>
        <v>2007</v>
      </c>
    </row>
    <row r="1948" spans="1:6" x14ac:dyDescent="0.2">
      <c r="A1948" s="20">
        <v>39283</v>
      </c>
      <c r="B1948">
        <v>201.5</v>
      </c>
      <c r="E1948">
        <f t="shared" si="60"/>
        <v>7</v>
      </c>
      <c r="F1948">
        <f t="shared" si="61"/>
        <v>2007</v>
      </c>
    </row>
    <row r="1949" spans="1:6" x14ac:dyDescent="0.2">
      <c r="A1949" s="20">
        <v>39286</v>
      </c>
      <c r="B1949">
        <v>205</v>
      </c>
      <c r="E1949">
        <f t="shared" si="60"/>
        <v>7</v>
      </c>
      <c r="F1949">
        <f t="shared" si="61"/>
        <v>2007</v>
      </c>
    </row>
    <row r="1950" spans="1:6" x14ac:dyDescent="0.2">
      <c r="A1950" s="20">
        <v>39287</v>
      </c>
      <c r="B1950">
        <v>219</v>
      </c>
      <c r="E1950">
        <f t="shared" si="60"/>
        <v>7</v>
      </c>
      <c r="F1950">
        <f t="shared" si="61"/>
        <v>2007</v>
      </c>
    </row>
    <row r="1951" spans="1:6" x14ac:dyDescent="0.2">
      <c r="A1951" s="20">
        <v>39288</v>
      </c>
      <c r="B1951">
        <v>219.75</v>
      </c>
      <c r="E1951">
        <f t="shared" si="60"/>
        <v>7</v>
      </c>
      <c r="F1951">
        <f t="shared" si="61"/>
        <v>2007</v>
      </c>
    </row>
    <row r="1952" spans="1:6" x14ac:dyDescent="0.2">
      <c r="A1952" s="20">
        <v>39289</v>
      </c>
      <c r="B1952">
        <v>223.5</v>
      </c>
      <c r="E1952">
        <f t="shared" si="60"/>
        <v>7</v>
      </c>
      <c r="F1952">
        <f t="shared" si="61"/>
        <v>2007</v>
      </c>
    </row>
    <row r="1953" spans="1:6" x14ac:dyDescent="0.2">
      <c r="A1953" s="20">
        <v>39290</v>
      </c>
      <c r="B1953">
        <v>224.5</v>
      </c>
      <c r="E1953">
        <f t="shared" si="60"/>
        <v>7</v>
      </c>
      <c r="F1953">
        <f t="shared" si="61"/>
        <v>2007</v>
      </c>
    </row>
    <row r="1954" spans="1:6" x14ac:dyDescent="0.2">
      <c r="A1954" s="20">
        <v>39293</v>
      </c>
      <c r="B1954">
        <v>222.5</v>
      </c>
      <c r="E1954">
        <f t="shared" si="60"/>
        <v>7</v>
      </c>
      <c r="F1954">
        <f t="shared" si="61"/>
        <v>2007</v>
      </c>
    </row>
    <row r="1955" spans="1:6" x14ac:dyDescent="0.2">
      <c r="A1955" s="20">
        <v>39294</v>
      </c>
      <c r="B1955">
        <v>215</v>
      </c>
      <c r="E1955">
        <f t="shared" si="60"/>
        <v>7</v>
      </c>
      <c r="F1955">
        <f t="shared" si="61"/>
        <v>2007</v>
      </c>
    </row>
    <row r="1956" spans="1:6" x14ac:dyDescent="0.2">
      <c r="A1956" s="20">
        <v>39295</v>
      </c>
      <c r="B1956">
        <v>219</v>
      </c>
      <c r="E1956">
        <f t="shared" si="60"/>
        <v>8</v>
      </c>
      <c r="F1956">
        <f t="shared" si="61"/>
        <v>2007</v>
      </c>
    </row>
    <row r="1957" spans="1:6" x14ac:dyDescent="0.2">
      <c r="A1957" s="20">
        <v>39296</v>
      </c>
      <c r="B1957">
        <v>218.5</v>
      </c>
      <c r="E1957">
        <f t="shared" si="60"/>
        <v>8</v>
      </c>
      <c r="F1957">
        <f t="shared" si="61"/>
        <v>2007</v>
      </c>
    </row>
    <row r="1958" spans="1:6" x14ac:dyDescent="0.2">
      <c r="A1958" s="20">
        <v>39297</v>
      </c>
      <c r="B1958">
        <v>227</v>
      </c>
      <c r="E1958">
        <f t="shared" si="60"/>
        <v>8</v>
      </c>
      <c r="F1958">
        <f t="shared" si="61"/>
        <v>2007</v>
      </c>
    </row>
    <row r="1959" spans="1:6" x14ac:dyDescent="0.2">
      <c r="A1959" s="20">
        <v>39300</v>
      </c>
      <c r="B1959">
        <v>223.75</v>
      </c>
      <c r="E1959">
        <f t="shared" si="60"/>
        <v>8</v>
      </c>
      <c r="F1959">
        <f t="shared" si="61"/>
        <v>2007</v>
      </c>
    </row>
    <row r="1960" spans="1:6" x14ac:dyDescent="0.2">
      <c r="A1960" s="20">
        <v>39301</v>
      </c>
      <c r="B1960">
        <v>227</v>
      </c>
      <c r="E1960">
        <f t="shared" si="60"/>
        <v>8</v>
      </c>
      <c r="F1960">
        <f t="shared" si="61"/>
        <v>2007</v>
      </c>
    </row>
    <row r="1961" spans="1:6" x14ac:dyDescent="0.2">
      <c r="A1961" s="20">
        <v>39302</v>
      </c>
      <c r="B1961">
        <v>229.5</v>
      </c>
      <c r="E1961">
        <f t="shared" si="60"/>
        <v>8</v>
      </c>
      <c r="F1961">
        <f t="shared" si="61"/>
        <v>2007</v>
      </c>
    </row>
    <row r="1962" spans="1:6" x14ac:dyDescent="0.2">
      <c r="A1962" s="20">
        <v>39303</v>
      </c>
      <c r="B1962">
        <v>235</v>
      </c>
      <c r="E1962">
        <f t="shared" si="60"/>
        <v>8</v>
      </c>
      <c r="F1962">
        <f t="shared" si="61"/>
        <v>2007</v>
      </c>
    </row>
    <row r="1963" spans="1:6" x14ac:dyDescent="0.2">
      <c r="A1963" s="20">
        <v>39304</v>
      </c>
      <c r="B1963">
        <v>229.5</v>
      </c>
      <c r="E1963">
        <f t="shared" si="60"/>
        <v>8</v>
      </c>
      <c r="F1963">
        <f t="shared" si="61"/>
        <v>2007</v>
      </c>
    </row>
    <row r="1964" spans="1:6" x14ac:dyDescent="0.2">
      <c r="A1964" s="20">
        <v>39307</v>
      </c>
      <c r="B1964">
        <v>231.5</v>
      </c>
      <c r="E1964">
        <f t="shared" si="60"/>
        <v>8</v>
      </c>
      <c r="F1964">
        <f t="shared" si="61"/>
        <v>2007</v>
      </c>
    </row>
    <row r="1965" spans="1:6" x14ac:dyDescent="0.2">
      <c r="A1965" s="20">
        <v>39308</v>
      </c>
      <c r="B1965">
        <v>233</v>
      </c>
      <c r="E1965">
        <f t="shared" si="60"/>
        <v>8</v>
      </c>
      <c r="F1965">
        <f t="shared" si="61"/>
        <v>2007</v>
      </c>
    </row>
    <row r="1966" spans="1:6" x14ac:dyDescent="0.2">
      <c r="A1966" s="20">
        <v>39309</v>
      </c>
      <c r="B1966">
        <v>235</v>
      </c>
      <c r="E1966">
        <f t="shared" si="60"/>
        <v>8</v>
      </c>
      <c r="F1966">
        <f t="shared" si="61"/>
        <v>2007</v>
      </c>
    </row>
    <row r="1967" spans="1:6" x14ac:dyDescent="0.2">
      <c r="A1967" s="20">
        <v>39310</v>
      </c>
      <c r="B1967">
        <v>232.5</v>
      </c>
      <c r="E1967">
        <f t="shared" si="60"/>
        <v>8</v>
      </c>
      <c r="F1967">
        <f t="shared" si="61"/>
        <v>2007</v>
      </c>
    </row>
    <row r="1968" spans="1:6" x14ac:dyDescent="0.2">
      <c r="A1968" s="20">
        <v>39311</v>
      </c>
      <c r="B1968">
        <v>230</v>
      </c>
      <c r="E1968">
        <f t="shared" si="60"/>
        <v>8</v>
      </c>
      <c r="F1968">
        <f t="shared" si="61"/>
        <v>2007</v>
      </c>
    </row>
    <row r="1969" spans="1:6" x14ac:dyDescent="0.2">
      <c r="A1969" s="20">
        <v>39314</v>
      </c>
      <c r="B1969">
        <v>229</v>
      </c>
      <c r="E1969">
        <f t="shared" si="60"/>
        <v>8</v>
      </c>
      <c r="F1969">
        <f t="shared" si="61"/>
        <v>2007</v>
      </c>
    </row>
    <row r="1970" spans="1:6" x14ac:dyDescent="0.2">
      <c r="A1970" s="20">
        <v>39315</v>
      </c>
      <c r="B1970">
        <v>230</v>
      </c>
      <c r="E1970">
        <f t="shared" si="60"/>
        <v>8</v>
      </c>
      <c r="F1970">
        <f t="shared" si="61"/>
        <v>2007</v>
      </c>
    </row>
    <row r="1971" spans="1:6" x14ac:dyDescent="0.2">
      <c r="A1971" s="20">
        <v>39316</v>
      </c>
      <c r="B1971">
        <v>231.5</v>
      </c>
      <c r="E1971">
        <f t="shared" si="60"/>
        <v>8</v>
      </c>
      <c r="F1971">
        <f t="shared" si="61"/>
        <v>2007</v>
      </c>
    </row>
    <row r="1972" spans="1:6" x14ac:dyDescent="0.2">
      <c r="A1972" s="20">
        <v>39317</v>
      </c>
      <c r="B1972">
        <v>234</v>
      </c>
      <c r="E1972">
        <f t="shared" si="60"/>
        <v>8</v>
      </c>
      <c r="F1972">
        <f t="shared" si="61"/>
        <v>2007</v>
      </c>
    </row>
    <row r="1973" spans="1:6" x14ac:dyDescent="0.2">
      <c r="A1973" s="20">
        <v>39318</v>
      </c>
      <c r="B1973">
        <v>230</v>
      </c>
      <c r="E1973">
        <f t="shared" si="60"/>
        <v>8</v>
      </c>
      <c r="F1973">
        <f t="shared" si="61"/>
        <v>2007</v>
      </c>
    </row>
    <row r="1974" spans="1:6" x14ac:dyDescent="0.2">
      <c r="A1974" s="20">
        <v>39321</v>
      </c>
      <c r="B1974">
        <v>228</v>
      </c>
      <c r="E1974">
        <f t="shared" si="60"/>
        <v>8</v>
      </c>
      <c r="F1974">
        <f t="shared" si="61"/>
        <v>2007</v>
      </c>
    </row>
    <row r="1975" spans="1:6" x14ac:dyDescent="0.2">
      <c r="A1975" s="20">
        <v>39322</v>
      </c>
      <c r="B1975">
        <v>230</v>
      </c>
      <c r="E1975">
        <f t="shared" si="60"/>
        <v>8</v>
      </c>
      <c r="F1975">
        <f t="shared" si="61"/>
        <v>2007</v>
      </c>
    </row>
    <row r="1976" spans="1:6" x14ac:dyDescent="0.2">
      <c r="A1976" s="20">
        <v>39323</v>
      </c>
      <c r="B1976">
        <v>232</v>
      </c>
      <c r="E1976">
        <f t="shared" si="60"/>
        <v>8</v>
      </c>
      <c r="F1976">
        <f t="shared" si="61"/>
        <v>2007</v>
      </c>
    </row>
    <row r="1977" spans="1:6" x14ac:dyDescent="0.2">
      <c r="A1977" s="20">
        <v>39324</v>
      </c>
      <c r="B1977">
        <v>237.75</v>
      </c>
      <c r="E1977">
        <f t="shared" si="60"/>
        <v>8</v>
      </c>
      <c r="F1977">
        <f t="shared" si="61"/>
        <v>2007</v>
      </c>
    </row>
    <row r="1978" spans="1:6" x14ac:dyDescent="0.2">
      <c r="A1978" s="20">
        <v>39325</v>
      </c>
      <c r="B1978">
        <v>244</v>
      </c>
      <c r="E1978">
        <f t="shared" si="60"/>
        <v>8</v>
      </c>
      <c r="F1978">
        <f t="shared" si="61"/>
        <v>2007</v>
      </c>
    </row>
    <row r="1979" spans="1:6" x14ac:dyDescent="0.2">
      <c r="A1979" s="20">
        <v>39328</v>
      </c>
      <c r="B1979">
        <v>250</v>
      </c>
      <c r="E1979">
        <f t="shared" si="60"/>
        <v>9</v>
      </c>
      <c r="F1979">
        <f t="shared" si="61"/>
        <v>2007</v>
      </c>
    </row>
    <row r="1980" spans="1:6" x14ac:dyDescent="0.2">
      <c r="A1980" s="20">
        <v>39329</v>
      </c>
      <c r="B1980">
        <v>265</v>
      </c>
      <c r="E1980">
        <f t="shared" si="60"/>
        <v>9</v>
      </c>
      <c r="F1980">
        <f t="shared" si="61"/>
        <v>2007</v>
      </c>
    </row>
    <row r="1981" spans="1:6" x14ac:dyDescent="0.2">
      <c r="A1981" s="20">
        <v>39330</v>
      </c>
      <c r="B1981">
        <v>265</v>
      </c>
      <c r="E1981">
        <f t="shared" si="60"/>
        <v>9</v>
      </c>
      <c r="F1981">
        <f t="shared" si="61"/>
        <v>2007</v>
      </c>
    </row>
    <row r="1982" spans="1:6" x14ac:dyDescent="0.2">
      <c r="A1982" s="20">
        <v>39331</v>
      </c>
      <c r="B1982">
        <v>256.5</v>
      </c>
      <c r="E1982">
        <f t="shared" si="60"/>
        <v>9</v>
      </c>
      <c r="F1982">
        <f t="shared" si="61"/>
        <v>2007</v>
      </c>
    </row>
    <row r="1983" spans="1:6" x14ac:dyDescent="0.2">
      <c r="A1983" s="20">
        <v>39332</v>
      </c>
      <c r="B1983">
        <v>250</v>
      </c>
      <c r="E1983">
        <f t="shared" si="60"/>
        <v>9</v>
      </c>
      <c r="F1983">
        <f t="shared" si="61"/>
        <v>2007</v>
      </c>
    </row>
    <row r="1984" spans="1:6" x14ac:dyDescent="0.2">
      <c r="A1984" s="20">
        <v>39335</v>
      </c>
      <c r="B1984">
        <v>259</v>
      </c>
      <c r="E1984">
        <f t="shared" si="60"/>
        <v>9</v>
      </c>
      <c r="F1984">
        <f t="shared" si="61"/>
        <v>2007</v>
      </c>
    </row>
    <row r="1985" spans="1:6" x14ac:dyDescent="0.2">
      <c r="A1985" s="20">
        <v>39336</v>
      </c>
      <c r="B1985">
        <v>256</v>
      </c>
      <c r="E1985">
        <f t="shared" si="60"/>
        <v>9</v>
      </c>
      <c r="F1985">
        <f t="shared" si="61"/>
        <v>2007</v>
      </c>
    </row>
    <row r="1986" spans="1:6" x14ac:dyDescent="0.2">
      <c r="A1986" s="20">
        <v>39337</v>
      </c>
      <c r="B1986">
        <v>258.5</v>
      </c>
      <c r="E1986">
        <f t="shared" si="60"/>
        <v>9</v>
      </c>
      <c r="F1986">
        <f t="shared" si="61"/>
        <v>2007</v>
      </c>
    </row>
    <row r="1987" spans="1:6" x14ac:dyDescent="0.2">
      <c r="A1987" s="20">
        <v>39338</v>
      </c>
      <c r="B1987">
        <v>252.5</v>
      </c>
      <c r="E1987">
        <f t="shared" ref="E1987:E2050" si="62">MONTH(A1987)</f>
        <v>9</v>
      </c>
      <c r="F1987">
        <f t="shared" ref="F1987:F2050" si="63">YEAR(A1987)</f>
        <v>2007</v>
      </c>
    </row>
    <row r="1988" spans="1:6" x14ac:dyDescent="0.2">
      <c r="A1988" s="20">
        <v>39339</v>
      </c>
      <c r="B1988">
        <v>246</v>
      </c>
      <c r="E1988">
        <f t="shared" si="62"/>
        <v>9</v>
      </c>
      <c r="F1988">
        <f t="shared" si="63"/>
        <v>2007</v>
      </c>
    </row>
    <row r="1989" spans="1:6" x14ac:dyDescent="0.2">
      <c r="A1989" s="20">
        <v>39342</v>
      </c>
      <c r="B1989">
        <v>243</v>
      </c>
      <c r="E1989">
        <f t="shared" si="62"/>
        <v>9</v>
      </c>
      <c r="F1989">
        <f t="shared" si="63"/>
        <v>2007</v>
      </c>
    </row>
    <row r="1990" spans="1:6" x14ac:dyDescent="0.2">
      <c r="A1990" s="20">
        <v>39343</v>
      </c>
      <c r="B1990">
        <v>243</v>
      </c>
      <c r="E1990">
        <f t="shared" si="62"/>
        <v>9</v>
      </c>
      <c r="F1990">
        <f t="shared" si="63"/>
        <v>2007</v>
      </c>
    </row>
    <row r="1991" spans="1:6" x14ac:dyDescent="0.2">
      <c r="A1991" s="20">
        <v>39344</v>
      </c>
      <c r="B1991">
        <v>229</v>
      </c>
      <c r="E1991">
        <f t="shared" si="62"/>
        <v>9</v>
      </c>
      <c r="F1991">
        <f t="shared" si="63"/>
        <v>2007</v>
      </c>
    </row>
    <row r="1992" spans="1:6" x14ac:dyDescent="0.2">
      <c r="A1992" s="20">
        <v>39345</v>
      </c>
      <c r="B1992">
        <v>230</v>
      </c>
      <c r="E1992">
        <f t="shared" si="62"/>
        <v>9</v>
      </c>
      <c r="F1992">
        <f t="shared" si="63"/>
        <v>2007</v>
      </c>
    </row>
    <row r="1993" spans="1:6" x14ac:dyDescent="0.2">
      <c r="A1993" s="20">
        <v>39346</v>
      </c>
      <c r="B1993">
        <v>232.25</v>
      </c>
      <c r="E1993">
        <f t="shared" si="62"/>
        <v>9</v>
      </c>
      <c r="F1993">
        <f t="shared" si="63"/>
        <v>2007</v>
      </c>
    </row>
    <row r="1994" spans="1:6" x14ac:dyDescent="0.2">
      <c r="A1994" s="20">
        <v>39349</v>
      </c>
      <c r="B1994">
        <v>232</v>
      </c>
      <c r="E1994">
        <f t="shared" si="62"/>
        <v>9</v>
      </c>
      <c r="F1994">
        <f t="shared" si="63"/>
        <v>2007</v>
      </c>
    </row>
    <row r="1995" spans="1:6" x14ac:dyDescent="0.2">
      <c r="A1995" s="20">
        <v>39350</v>
      </c>
      <c r="B1995">
        <v>227</v>
      </c>
      <c r="E1995">
        <f t="shared" si="62"/>
        <v>9</v>
      </c>
      <c r="F1995">
        <f t="shared" si="63"/>
        <v>2007</v>
      </c>
    </row>
    <row r="1996" spans="1:6" x14ac:dyDescent="0.2">
      <c r="A1996" s="20">
        <v>39351</v>
      </c>
      <c r="B1996">
        <v>229</v>
      </c>
      <c r="E1996">
        <f t="shared" si="62"/>
        <v>9</v>
      </c>
      <c r="F1996">
        <f t="shared" si="63"/>
        <v>2007</v>
      </c>
    </row>
    <row r="1997" spans="1:6" x14ac:dyDescent="0.2">
      <c r="A1997" s="20">
        <v>39352</v>
      </c>
      <c r="B1997">
        <v>235</v>
      </c>
      <c r="E1997">
        <f t="shared" si="62"/>
        <v>9</v>
      </c>
      <c r="F1997">
        <f t="shared" si="63"/>
        <v>2007</v>
      </c>
    </row>
    <row r="1998" spans="1:6" x14ac:dyDescent="0.2">
      <c r="A1998" s="20">
        <v>39353</v>
      </c>
      <c r="B1998">
        <v>234.5</v>
      </c>
      <c r="E1998">
        <f t="shared" si="62"/>
        <v>9</v>
      </c>
      <c r="F1998">
        <f t="shared" si="63"/>
        <v>2007</v>
      </c>
    </row>
    <row r="1999" spans="1:6" x14ac:dyDescent="0.2">
      <c r="A1999" s="20">
        <v>39356</v>
      </c>
      <c r="B1999">
        <v>238.5</v>
      </c>
      <c r="E1999">
        <f t="shared" si="62"/>
        <v>10</v>
      </c>
      <c r="F1999">
        <f t="shared" si="63"/>
        <v>2007</v>
      </c>
    </row>
    <row r="2000" spans="1:6" x14ac:dyDescent="0.2">
      <c r="A2000" s="20">
        <v>39357</v>
      </c>
      <c r="B2000">
        <v>232</v>
      </c>
      <c r="E2000">
        <f t="shared" si="62"/>
        <v>10</v>
      </c>
      <c r="F2000">
        <f t="shared" si="63"/>
        <v>2007</v>
      </c>
    </row>
    <row r="2001" spans="1:6" x14ac:dyDescent="0.2">
      <c r="A2001" s="20">
        <v>39358</v>
      </c>
      <c r="B2001">
        <v>232</v>
      </c>
      <c r="E2001">
        <f t="shared" si="62"/>
        <v>10</v>
      </c>
      <c r="F2001">
        <f t="shared" si="63"/>
        <v>2007</v>
      </c>
    </row>
    <row r="2002" spans="1:6" x14ac:dyDescent="0.2">
      <c r="A2002" s="20">
        <v>39359</v>
      </c>
      <c r="B2002">
        <v>231</v>
      </c>
      <c r="E2002">
        <f t="shared" si="62"/>
        <v>10</v>
      </c>
      <c r="F2002">
        <f t="shared" si="63"/>
        <v>2007</v>
      </c>
    </row>
    <row r="2003" spans="1:6" x14ac:dyDescent="0.2">
      <c r="A2003" s="20">
        <v>39360</v>
      </c>
      <c r="B2003">
        <v>230</v>
      </c>
      <c r="E2003">
        <f t="shared" si="62"/>
        <v>10</v>
      </c>
      <c r="F2003">
        <f t="shared" si="63"/>
        <v>2007</v>
      </c>
    </row>
    <row r="2004" spans="1:6" x14ac:dyDescent="0.2">
      <c r="A2004" s="20">
        <v>39363</v>
      </c>
      <c r="B2004">
        <v>216</v>
      </c>
      <c r="E2004">
        <f t="shared" si="62"/>
        <v>10</v>
      </c>
      <c r="F2004">
        <f t="shared" si="63"/>
        <v>2007</v>
      </c>
    </row>
    <row r="2005" spans="1:6" x14ac:dyDescent="0.2">
      <c r="A2005" s="20">
        <v>39364</v>
      </c>
      <c r="B2005">
        <v>220.75</v>
      </c>
      <c r="E2005">
        <f t="shared" si="62"/>
        <v>10</v>
      </c>
      <c r="F2005">
        <f t="shared" si="63"/>
        <v>2007</v>
      </c>
    </row>
    <row r="2006" spans="1:6" x14ac:dyDescent="0.2">
      <c r="A2006" s="20">
        <v>39365</v>
      </c>
      <c r="B2006">
        <v>220.5</v>
      </c>
      <c r="E2006">
        <f t="shared" si="62"/>
        <v>10</v>
      </c>
      <c r="F2006">
        <f t="shared" si="63"/>
        <v>2007</v>
      </c>
    </row>
    <row r="2007" spans="1:6" x14ac:dyDescent="0.2">
      <c r="A2007" s="20">
        <v>39366</v>
      </c>
      <c r="B2007">
        <v>223</v>
      </c>
      <c r="E2007">
        <f t="shared" si="62"/>
        <v>10</v>
      </c>
      <c r="F2007">
        <f t="shared" si="63"/>
        <v>2007</v>
      </c>
    </row>
    <row r="2008" spans="1:6" x14ac:dyDescent="0.2">
      <c r="A2008" s="20">
        <v>39367</v>
      </c>
      <c r="B2008">
        <v>220</v>
      </c>
      <c r="E2008">
        <f t="shared" si="62"/>
        <v>10</v>
      </c>
      <c r="F2008">
        <f t="shared" si="63"/>
        <v>2007</v>
      </c>
    </row>
    <row r="2009" spans="1:6" x14ac:dyDescent="0.2">
      <c r="A2009" s="20">
        <v>39370</v>
      </c>
      <c r="B2009">
        <v>219.75</v>
      </c>
      <c r="E2009">
        <f t="shared" si="62"/>
        <v>10</v>
      </c>
      <c r="F2009">
        <f t="shared" si="63"/>
        <v>2007</v>
      </c>
    </row>
    <row r="2010" spans="1:6" x14ac:dyDescent="0.2">
      <c r="A2010" s="20">
        <v>39371</v>
      </c>
      <c r="B2010">
        <v>213.25</v>
      </c>
      <c r="E2010">
        <f t="shared" si="62"/>
        <v>10</v>
      </c>
      <c r="F2010">
        <f t="shared" si="63"/>
        <v>2007</v>
      </c>
    </row>
    <row r="2011" spans="1:6" x14ac:dyDescent="0.2">
      <c r="A2011" s="20">
        <v>39372</v>
      </c>
      <c r="B2011">
        <v>210</v>
      </c>
      <c r="E2011">
        <f t="shared" si="62"/>
        <v>10</v>
      </c>
      <c r="F2011">
        <f t="shared" si="63"/>
        <v>2007</v>
      </c>
    </row>
    <row r="2012" spans="1:6" x14ac:dyDescent="0.2">
      <c r="A2012" s="20">
        <v>39373</v>
      </c>
      <c r="B2012">
        <v>209.5</v>
      </c>
      <c r="E2012">
        <f t="shared" si="62"/>
        <v>10</v>
      </c>
      <c r="F2012">
        <f t="shared" si="63"/>
        <v>2007</v>
      </c>
    </row>
    <row r="2013" spans="1:6" x14ac:dyDescent="0.2">
      <c r="A2013" s="20">
        <v>39374</v>
      </c>
      <c r="B2013">
        <v>213.5</v>
      </c>
      <c r="E2013">
        <f t="shared" si="62"/>
        <v>10</v>
      </c>
      <c r="F2013">
        <f t="shared" si="63"/>
        <v>2007</v>
      </c>
    </row>
    <row r="2014" spans="1:6" x14ac:dyDescent="0.2">
      <c r="A2014" s="20">
        <v>39377</v>
      </c>
      <c r="B2014">
        <v>213</v>
      </c>
      <c r="E2014">
        <f t="shared" si="62"/>
        <v>10</v>
      </c>
      <c r="F2014">
        <f t="shared" si="63"/>
        <v>2007</v>
      </c>
    </row>
    <row r="2015" spans="1:6" x14ac:dyDescent="0.2">
      <c r="A2015" s="20">
        <v>39378</v>
      </c>
      <c r="B2015">
        <v>213.25</v>
      </c>
      <c r="E2015">
        <f t="shared" si="62"/>
        <v>10</v>
      </c>
      <c r="F2015">
        <f t="shared" si="63"/>
        <v>2007</v>
      </c>
    </row>
    <row r="2016" spans="1:6" x14ac:dyDescent="0.2">
      <c r="A2016" s="20">
        <v>39379</v>
      </c>
      <c r="B2016">
        <v>204.5</v>
      </c>
      <c r="E2016">
        <f t="shared" si="62"/>
        <v>10</v>
      </c>
      <c r="F2016">
        <f t="shared" si="63"/>
        <v>2007</v>
      </c>
    </row>
    <row r="2017" spans="1:6" x14ac:dyDescent="0.2">
      <c r="A2017" s="20">
        <v>39380</v>
      </c>
      <c r="B2017">
        <v>202.75</v>
      </c>
      <c r="E2017">
        <f t="shared" si="62"/>
        <v>10</v>
      </c>
      <c r="F2017">
        <f t="shared" si="63"/>
        <v>2007</v>
      </c>
    </row>
    <row r="2018" spans="1:6" x14ac:dyDescent="0.2">
      <c r="A2018" s="20">
        <v>39381</v>
      </c>
      <c r="B2018">
        <v>204</v>
      </c>
      <c r="E2018">
        <f t="shared" si="62"/>
        <v>10</v>
      </c>
      <c r="F2018">
        <f t="shared" si="63"/>
        <v>2007</v>
      </c>
    </row>
    <row r="2019" spans="1:6" x14ac:dyDescent="0.2">
      <c r="A2019" s="20">
        <v>39384</v>
      </c>
      <c r="B2019">
        <v>206</v>
      </c>
      <c r="E2019">
        <f t="shared" si="62"/>
        <v>10</v>
      </c>
      <c r="F2019">
        <f t="shared" si="63"/>
        <v>2007</v>
      </c>
    </row>
    <row r="2020" spans="1:6" x14ac:dyDescent="0.2">
      <c r="A2020" s="20">
        <v>39385</v>
      </c>
      <c r="B2020">
        <v>201.5</v>
      </c>
      <c r="E2020">
        <f t="shared" si="62"/>
        <v>10</v>
      </c>
      <c r="F2020">
        <f t="shared" si="63"/>
        <v>2007</v>
      </c>
    </row>
    <row r="2021" spans="1:6" x14ac:dyDescent="0.2">
      <c r="A2021" s="20">
        <v>39386</v>
      </c>
      <c r="B2021">
        <v>202</v>
      </c>
      <c r="E2021">
        <f t="shared" si="62"/>
        <v>10</v>
      </c>
      <c r="F2021">
        <f t="shared" si="63"/>
        <v>2007</v>
      </c>
    </row>
    <row r="2022" spans="1:6" x14ac:dyDescent="0.2">
      <c r="A2022" s="20">
        <v>39387</v>
      </c>
      <c r="B2022">
        <v>202</v>
      </c>
      <c r="E2022">
        <f t="shared" si="62"/>
        <v>11</v>
      </c>
      <c r="F2022">
        <f t="shared" si="63"/>
        <v>2007</v>
      </c>
    </row>
    <row r="2023" spans="1:6" x14ac:dyDescent="0.2">
      <c r="A2023" s="20">
        <v>39388</v>
      </c>
      <c r="B2023">
        <v>201.5</v>
      </c>
      <c r="E2023">
        <f t="shared" si="62"/>
        <v>11</v>
      </c>
      <c r="F2023">
        <f t="shared" si="63"/>
        <v>2007</v>
      </c>
    </row>
    <row r="2024" spans="1:6" x14ac:dyDescent="0.2">
      <c r="A2024" s="20">
        <v>39391</v>
      </c>
      <c r="B2024">
        <v>199.5</v>
      </c>
      <c r="E2024">
        <f t="shared" si="62"/>
        <v>11</v>
      </c>
      <c r="F2024">
        <f t="shared" si="63"/>
        <v>2007</v>
      </c>
    </row>
    <row r="2025" spans="1:6" x14ac:dyDescent="0.2">
      <c r="A2025" s="20">
        <v>39392</v>
      </c>
      <c r="B2025">
        <v>209</v>
      </c>
      <c r="E2025">
        <f t="shared" si="62"/>
        <v>11</v>
      </c>
      <c r="F2025">
        <f t="shared" si="63"/>
        <v>2007</v>
      </c>
    </row>
    <row r="2026" spans="1:6" x14ac:dyDescent="0.2">
      <c r="A2026" s="20">
        <v>39393</v>
      </c>
      <c r="B2026">
        <v>210</v>
      </c>
      <c r="E2026">
        <f t="shared" si="62"/>
        <v>11</v>
      </c>
      <c r="F2026">
        <f t="shared" si="63"/>
        <v>2007</v>
      </c>
    </row>
    <row r="2027" spans="1:6" x14ac:dyDescent="0.2">
      <c r="A2027" s="20">
        <v>39394</v>
      </c>
      <c r="B2027">
        <v>209.25</v>
      </c>
      <c r="E2027">
        <f t="shared" si="62"/>
        <v>11</v>
      </c>
      <c r="F2027">
        <f t="shared" si="63"/>
        <v>2007</v>
      </c>
    </row>
    <row r="2028" spans="1:6" x14ac:dyDescent="0.2">
      <c r="A2028" s="20">
        <v>39395</v>
      </c>
      <c r="B2028">
        <v>208</v>
      </c>
      <c r="E2028">
        <f t="shared" si="62"/>
        <v>11</v>
      </c>
      <c r="F2028">
        <f t="shared" si="63"/>
        <v>2007</v>
      </c>
    </row>
    <row r="2029" spans="1:6" x14ac:dyDescent="0.2">
      <c r="A2029" s="20">
        <v>39398</v>
      </c>
      <c r="B2029">
        <v>206</v>
      </c>
      <c r="E2029">
        <f t="shared" si="62"/>
        <v>11</v>
      </c>
      <c r="F2029">
        <f t="shared" si="63"/>
        <v>2007</v>
      </c>
    </row>
    <row r="2030" spans="1:6" x14ac:dyDescent="0.2">
      <c r="A2030" s="20">
        <v>39399</v>
      </c>
      <c r="B2030">
        <v>203</v>
      </c>
      <c r="E2030">
        <f t="shared" si="62"/>
        <v>11</v>
      </c>
      <c r="F2030">
        <f t="shared" si="63"/>
        <v>2007</v>
      </c>
    </row>
    <row r="2031" spans="1:6" x14ac:dyDescent="0.2">
      <c r="A2031" s="20">
        <v>39400</v>
      </c>
      <c r="B2031">
        <v>200.5</v>
      </c>
      <c r="E2031">
        <f t="shared" si="62"/>
        <v>11</v>
      </c>
      <c r="F2031">
        <f t="shared" si="63"/>
        <v>2007</v>
      </c>
    </row>
    <row r="2032" spans="1:6" x14ac:dyDescent="0.2">
      <c r="A2032" s="20">
        <v>39401</v>
      </c>
      <c r="B2032">
        <v>203</v>
      </c>
      <c r="E2032">
        <f t="shared" si="62"/>
        <v>11</v>
      </c>
      <c r="F2032">
        <f t="shared" si="63"/>
        <v>2007</v>
      </c>
    </row>
    <row r="2033" spans="1:6" x14ac:dyDescent="0.2">
      <c r="A2033" s="20">
        <v>39402</v>
      </c>
      <c r="B2033">
        <v>202</v>
      </c>
      <c r="E2033">
        <f t="shared" si="62"/>
        <v>11</v>
      </c>
      <c r="F2033">
        <f t="shared" si="63"/>
        <v>2007</v>
      </c>
    </row>
    <row r="2034" spans="1:6" x14ac:dyDescent="0.2">
      <c r="A2034" s="20">
        <v>39405</v>
      </c>
      <c r="B2034">
        <v>203.5</v>
      </c>
      <c r="E2034">
        <f t="shared" si="62"/>
        <v>11</v>
      </c>
      <c r="F2034">
        <f t="shared" si="63"/>
        <v>2007</v>
      </c>
    </row>
    <row r="2035" spans="1:6" x14ac:dyDescent="0.2">
      <c r="A2035" s="20">
        <v>39406</v>
      </c>
      <c r="B2035">
        <v>201</v>
      </c>
      <c r="E2035">
        <f t="shared" si="62"/>
        <v>11</v>
      </c>
      <c r="F2035">
        <f t="shared" si="63"/>
        <v>2007</v>
      </c>
    </row>
    <row r="2036" spans="1:6" x14ac:dyDescent="0.2">
      <c r="A2036" s="20">
        <v>39407</v>
      </c>
      <c r="B2036">
        <v>203.5</v>
      </c>
      <c r="E2036">
        <f t="shared" si="62"/>
        <v>11</v>
      </c>
      <c r="F2036">
        <f t="shared" si="63"/>
        <v>2007</v>
      </c>
    </row>
    <row r="2037" spans="1:6" x14ac:dyDescent="0.2">
      <c r="A2037" s="20">
        <v>39408</v>
      </c>
      <c r="B2037">
        <v>205</v>
      </c>
      <c r="E2037">
        <f t="shared" si="62"/>
        <v>11</v>
      </c>
      <c r="F2037">
        <f t="shared" si="63"/>
        <v>2007</v>
      </c>
    </row>
    <row r="2038" spans="1:6" x14ac:dyDescent="0.2">
      <c r="A2038" s="20">
        <v>39409</v>
      </c>
      <c r="B2038">
        <v>208</v>
      </c>
      <c r="E2038">
        <f t="shared" si="62"/>
        <v>11</v>
      </c>
      <c r="F2038">
        <f t="shared" si="63"/>
        <v>2007</v>
      </c>
    </row>
    <row r="2039" spans="1:6" x14ac:dyDescent="0.2">
      <c r="A2039" s="20">
        <v>39412</v>
      </c>
      <c r="B2039">
        <v>209.5</v>
      </c>
      <c r="E2039">
        <f t="shared" si="62"/>
        <v>11</v>
      </c>
      <c r="F2039">
        <f t="shared" si="63"/>
        <v>2007</v>
      </c>
    </row>
    <row r="2040" spans="1:6" x14ac:dyDescent="0.2">
      <c r="A2040" s="20">
        <v>39413</v>
      </c>
      <c r="B2040">
        <v>211</v>
      </c>
      <c r="E2040">
        <f t="shared" si="62"/>
        <v>11</v>
      </c>
      <c r="F2040">
        <f t="shared" si="63"/>
        <v>2007</v>
      </c>
    </row>
    <row r="2041" spans="1:6" x14ac:dyDescent="0.2">
      <c r="A2041" s="20">
        <v>39414</v>
      </c>
      <c r="B2041">
        <v>214</v>
      </c>
      <c r="E2041">
        <f t="shared" si="62"/>
        <v>11</v>
      </c>
      <c r="F2041">
        <f t="shared" si="63"/>
        <v>2007</v>
      </c>
    </row>
    <row r="2042" spans="1:6" x14ac:dyDescent="0.2">
      <c r="A2042" s="20">
        <v>39415</v>
      </c>
      <c r="B2042">
        <v>218</v>
      </c>
      <c r="E2042">
        <f t="shared" si="62"/>
        <v>11</v>
      </c>
      <c r="F2042">
        <f t="shared" si="63"/>
        <v>2007</v>
      </c>
    </row>
    <row r="2043" spans="1:6" x14ac:dyDescent="0.2">
      <c r="A2043" s="20">
        <v>39416</v>
      </c>
      <c r="B2043">
        <v>217.5</v>
      </c>
      <c r="E2043">
        <f t="shared" si="62"/>
        <v>11</v>
      </c>
      <c r="F2043">
        <f t="shared" si="63"/>
        <v>2007</v>
      </c>
    </row>
    <row r="2044" spans="1:6" x14ac:dyDescent="0.2">
      <c r="A2044" s="20">
        <v>39419</v>
      </c>
      <c r="B2044">
        <v>216.25</v>
      </c>
      <c r="E2044">
        <f t="shared" si="62"/>
        <v>12</v>
      </c>
      <c r="F2044">
        <f t="shared" si="63"/>
        <v>2007</v>
      </c>
    </row>
    <row r="2045" spans="1:6" x14ac:dyDescent="0.2">
      <c r="A2045" s="20">
        <v>39420</v>
      </c>
      <c r="B2045">
        <v>216</v>
      </c>
      <c r="E2045">
        <f t="shared" si="62"/>
        <v>12</v>
      </c>
      <c r="F2045">
        <f t="shared" si="63"/>
        <v>2007</v>
      </c>
    </row>
    <row r="2046" spans="1:6" x14ac:dyDescent="0.2">
      <c r="A2046" s="20">
        <v>39421</v>
      </c>
      <c r="B2046">
        <v>214.5</v>
      </c>
      <c r="E2046">
        <f t="shared" si="62"/>
        <v>12</v>
      </c>
      <c r="F2046">
        <f t="shared" si="63"/>
        <v>2007</v>
      </c>
    </row>
    <row r="2047" spans="1:6" x14ac:dyDescent="0.2">
      <c r="A2047" s="20">
        <v>39422</v>
      </c>
      <c r="B2047">
        <v>212.5</v>
      </c>
      <c r="E2047">
        <f t="shared" si="62"/>
        <v>12</v>
      </c>
      <c r="F2047">
        <f t="shared" si="63"/>
        <v>2007</v>
      </c>
    </row>
    <row r="2048" spans="1:6" x14ac:dyDescent="0.2">
      <c r="A2048" s="20">
        <v>39423</v>
      </c>
      <c r="B2048">
        <v>217</v>
      </c>
      <c r="E2048">
        <f t="shared" si="62"/>
        <v>12</v>
      </c>
      <c r="F2048">
        <f t="shared" si="63"/>
        <v>2007</v>
      </c>
    </row>
    <row r="2049" spans="1:6" x14ac:dyDescent="0.2">
      <c r="A2049" s="20">
        <v>39426</v>
      </c>
      <c r="B2049">
        <v>222</v>
      </c>
      <c r="E2049">
        <f t="shared" si="62"/>
        <v>12</v>
      </c>
      <c r="F2049">
        <f t="shared" si="63"/>
        <v>2007</v>
      </c>
    </row>
    <row r="2050" spans="1:6" x14ac:dyDescent="0.2">
      <c r="A2050" s="20">
        <v>39427</v>
      </c>
      <c r="B2050">
        <v>220.75</v>
      </c>
      <c r="E2050">
        <f t="shared" si="62"/>
        <v>12</v>
      </c>
      <c r="F2050">
        <f t="shared" si="63"/>
        <v>2007</v>
      </c>
    </row>
    <row r="2051" spans="1:6" x14ac:dyDescent="0.2">
      <c r="A2051" s="20">
        <v>39428</v>
      </c>
      <c r="B2051">
        <v>221</v>
      </c>
      <c r="E2051">
        <f t="shared" ref="E2051:E2114" si="64">MONTH(A2051)</f>
        <v>12</v>
      </c>
      <c r="F2051">
        <f t="shared" ref="F2051:F2114" si="65">YEAR(A2051)</f>
        <v>2007</v>
      </c>
    </row>
    <row r="2052" spans="1:6" x14ac:dyDescent="0.2">
      <c r="A2052" s="20">
        <v>39429</v>
      </c>
      <c r="B2052">
        <v>219.75</v>
      </c>
      <c r="E2052">
        <f t="shared" si="64"/>
        <v>12</v>
      </c>
      <c r="F2052">
        <f t="shared" si="65"/>
        <v>2007</v>
      </c>
    </row>
    <row r="2053" spans="1:6" x14ac:dyDescent="0.2">
      <c r="A2053" s="20">
        <v>39430</v>
      </c>
      <c r="B2053">
        <v>223.5</v>
      </c>
      <c r="E2053">
        <f t="shared" si="64"/>
        <v>12</v>
      </c>
      <c r="F2053">
        <f t="shared" si="65"/>
        <v>2007</v>
      </c>
    </row>
    <row r="2054" spans="1:6" x14ac:dyDescent="0.2">
      <c r="A2054" s="20">
        <v>39433</v>
      </c>
      <c r="B2054">
        <v>227</v>
      </c>
      <c r="E2054">
        <f t="shared" si="64"/>
        <v>12</v>
      </c>
      <c r="F2054">
        <f t="shared" si="65"/>
        <v>2007</v>
      </c>
    </row>
    <row r="2055" spans="1:6" x14ac:dyDescent="0.2">
      <c r="A2055" s="20">
        <v>39434</v>
      </c>
      <c r="B2055">
        <v>225.5</v>
      </c>
      <c r="E2055">
        <f t="shared" si="64"/>
        <v>12</v>
      </c>
      <c r="F2055">
        <f t="shared" si="65"/>
        <v>2007</v>
      </c>
    </row>
    <row r="2056" spans="1:6" x14ac:dyDescent="0.2">
      <c r="A2056" s="20">
        <v>39435</v>
      </c>
      <c r="B2056">
        <v>226.25</v>
      </c>
      <c r="E2056">
        <f t="shared" si="64"/>
        <v>12</v>
      </c>
      <c r="F2056">
        <f t="shared" si="65"/>
        <v>2007</v>
      </c>
    </row>
    <row r="2057" spans="1:6" x14ac:dyDescent="0.2">
      <c r="A2057" s="20">
        <v>39436</v>
      </c>
      <c r="B2057">
        <v>222.25</v>
      </c>
      <c r="E2057">
        <f t="shared" si="64"/>
        <v>12</v>
      </c>
      <c r="F2057">
        <f t="shared" si="65"/>
        <v>2007</v>
      </c>
    </row>
    <row r="2058" spans="1:6" x14ac:dyDescent="0.2">
      <c r="A2058" s="20">
        <v>39437</v>
      </c>
      <c r="B2058">
        <v>221</v>
      </c>
      <c r="E2058">
        <f t="shared" si="64"/>
        <v>12</v>
      </c>
      <c r="F2058">
        <f t="shared" si="65"/>
        <v>2007</v>
      </c>
    </row>
    <row r="2059" spans="1:6" x14ac:dyDescent="0.2">
      <c r="A2059" s="20">
        <v>39440</v>
      </c>
      <c r="B2059">
        <v>220.75</v>
      </c>
      <c r="E2059">
        <f t="shared" si="64"/>
        <v>12</v>
      </c>
      <c r="F2059">
        <f t="shared" si="65"/>
        <v>2007</v>
      </c>
    </row>
    <row r="2060" spans="1:6" x14ac:dyDescent="0.2">
      <c r="A2060" s="20">
        <v>39442</v>
      </c>
      <c r="B2060" t="s">
        <v>49</v>
      </c>
      <c r="E2060">
        <f t="shared" si="64"/>
        <v>12</v>
      </c>
      <c r="F2060">
        <f t="shared" si="65"/>
        <v>2007</v>
      </c>
    </row>
    <row r="2061" spans="1:6" x14ac:dyDescent="0.2">
      <c r="A2061" s="20">
        <v>39443</v>
      </c>
      <c r="B2061">
        <v>224</v>
      </c>
      <c r="E2061">
        <f t="shared" si="64"/>
        <v>12</v>
      </c>
      <c r="F2061">
        <f t="shared" si="65"/>
        <v>2007</v>
      </c>
    </row>
    <row r="2062" spans="1:6" x14ac:dyDescent="0.2">
      <c r="A2062" s="20">
        <v>39444</v>
      </c>
      <c r="B2062">
        <v>223</v>
      </c>
      <c r="E2062">
        <f t="shared" si="64"/>
        <v>12</v>
      </c>
      <c r="F2062">
        <f t="shared" si="65"/>
        <v>2007</v>
      </c>
    </row>
    <row r="2063" spans="1:6" x14ac:dyDescent="0.2">
      <c r="A2063" s="20">
        <v>39447</v>
      </c>
      <c r="B2063">
        <v>221</v>
      </c>
      <c r="E2063">
        <f t="shared" si="64"/>
        <v>12</v>
      </c>
      <c r="F2063">
        <f t="shared" si="65"/>
        <v>2007</v>
      </c>
    </row>
    <row r="2064" spans="1:6" x14ac:dyDescent="0.2">
      <c r="A2064" s="20">
        <v>39449</v>
      </c>
      <c r="B2064">
        <v>226</v>
      </c>
      <c r="E2064">
        <f t="shared" si="64"/>
        <v>1</v>
      </c>
      <c r="F2064">
        <f t="shared" si="65"/>
        <v>2008</v>
      </c>
    </row>
    <row r="2065" spans="1:6" x14ac:dyDescent="0.2">
      <c r="A2065" s="20">
        <v>39450</v>
      </c>
      <c r="B2065">
        <v>226.5</v>
      </c>
      <c r="E2065">
        <f t="shared" si="64"/>
        <v>1</v>
      </c>
      <c r="F2065">
        <f t="shared" si="65"/>
        <v>2008</v>
      </c>
    </row>
    <row r="2066" spans="1:6" x14ac:dyDescent="0.2">
      <c r="A2066" s="20">
        <v>39451</v>
      </c>
      <c r="B2066">
        <v>226</v>
      </c>
      <c r="E2066">
        <f t="shared" si="64"/>
        <v>1</v>
      </c>
      <c r="F2066">
        <f t="shared" si="65"/>
        <v>2008</v>
      </c>
    </row>
    <row r="2067" spans="1:6" x14ac:dyDescent="0.2">
      <c r="A2067" s="20">
        <v>39454</v>
      </c>
      <c r="B2067">
        <v>223</v>
      </c>
      <c r="E2067">
        <f t="shared" si="64"/>
        <v>1</v>
      </c>
      <c r="F2067">
        <f t="shared" si="65"/>
        <v>2008</v>
      </c>
    </row>
    <row r="2068" spans="1:6" x14ac:dyDescent="0.2">
      <c r="A2068" s="20">
        <v>39455</v>
      </c>
      <c r="B2068">
        <v>223.25</v>
      </c>
      <c r="E2068">
        <f t="shared" si="64"/>
        <v>1</v>
      </c>
      <c r="F2068">
        <f t="shared" si="65"/>
        <v>2008</v>
      </c>
    </row>
    <row r="2069" spans="1:6" x14ac:dyDescent="0.2">
      <c r="A2069" s="20">
        <v>39456</v>
      </c>
      <c r="B2069">
        <v>220.5</v>
      </c>
      <c r="E2069">
        <f t="shared" si="64"/>
        <v>1</v>
      </c>
      <c r="F2069">
        <f t="shared" si="65"/>
        <v>2008</v>
      </c>
    </row>
    <row r="2070" spans="1:6" x14ac:dyDescent="0.2">
      <c r="A2070" s="20">
        <v>39457</v>
      </c>
      <c r="B2070">
        <v>216.25</v>
      </c>
      <c r="E2070">
        <f t="shared" si="64"/>
        <v>1</v>
      </c>
      <c r="F2070">
        <f t="shared" si="65"/>
        <v>2008</v>
      </c>
    </row>
    <row r="2071" spans="1:6" x14ac:dyDescent="0.2">
      <c r="A2071" s="20">
        <v>39458</v>
      </c>
      <c r="B2071">
        <v>219</v>
      </c>
      <c r="E2071">
        <f t="shared" si="64"/>
        <v>1</v>
      </c>
      <c r="F2071">
        <f t="shared" si="65"/>
        <v>2008</v>
      </c>
    </row>
    <row r="2072" spans="1:6" x14ac:dyDescent="0.2">
      <c r="A2072" s="20">
        <v>39461</v>
      </c>
      <c r="B2072">
        <v>223.5</v>
      </c>
      <c r="E2072">
        <f t="shared" si="64"/>
        <v>1</v>
      </c>
      <c r="F2072">
        <f t="shared" si="65"/>
        <v>2008</v>
      </c>
    </row>
    <row r="2073" spans="1:6" x14ac:dyDescent="0.2">
      <c r="A2073" s="20">
        <v>39462</v>
      </c>
      <c r="B2073">
        <v>220.25</v>
      </c>
      <c r="E2073">
        <f t="shared" si="64"/>
        <v>1</v>
      </c>
      <c r="F2073">
        <f t="shared" si="65"/>
        <v>2008</v>
      </c>
    </row>
    <row r="2074" spans="1:6" x14ac:dyDescent="0.2">
      <c r="A2074" s="20">
        <v>39463</v>
      </c>
      <c r="B2074">
        <v>218.25</v>
      </c>
      <c r="E2074">
        <f t="shared" si="64"/>
        <v>1</v>
      </c>
      <c r="F2074">
        <f t="shared" si="65"/>
        <v>2008</v>
      </c>
    </row>
    <row r="2075" spans="1:6" x14ac:dyDescent="0.2">
      <c r="A2075" s="20">
        <v>39464</v>
      </c>
      <c r="B2075">
        <v>219.25</v>
      </c>
      <c r="E2075">
        <f t="shared" si="64"/>
        <v>1</v>
      </c>
      <c r="F2075">
        <f t="shared" si="65"/>
        <v>2008</v>
      </c>
    </row>
    <row r="2076" spans="1:6" x14ac:dyDescent="0.2">
      <c r="A2076" s="20">
        <v>39465</v>
      </c>
      <c r="B2076">
        <v>218.25</v>
      </c>
      <c r="E2076">
        <f t="shared" si="64"/>
        <v>1</v>
      </c>
      <c r="F2076">
        <f t="shared" si="65"/>
        <v>2008</v>
      </c>
    </row>
    <row r="2077" spans="1:6" x14ac:dyDescent="0.2">
      <c r="A2077" s="20">
        <v>39468</v>
      </c>
      <c r="B2077">
        <v>215.5</v>
      </c>
      <c r="E2077">
        <f t="shared" si="64"/>
        <v>1</v>
      </c>
      <c r="F2077">
        <f t="shared" si="65"/>
        <v>2008</v>
      </c>
    </row>
    <row r="2078" spans="1:6" x14ac:dyDescent="0.2">
      <c r="A2078" s="20">
        <v>39469</v>
      </c>
      <c r="B2078">
        <v>215</v>
      </c>
      <c r="E2078">
        <f t="shared" si="64"/>
        <v>1</v>
      </c>
      <c r="F2078">
        <f t="shared" si="65"/>
        <v>2008</v>
      </c>
    </row>
    <row r="2079" spans="1:6" x14ac:dyDescent="0.2">
      <c r="A2079" s="20">
        <v>39470</v>
      </c>
      <c r="B2079">
        <v>212</v>
      </c>
      <c r="E2079">
        <f t="shared" si="64"/>
        <v>1</v>
      </c>
      <c r="F2079">
        <f t="shared" si="65"/>
        <v>2008</v>
      </c>
    </row>
    <row r="2080" spans="1:6" x14ac:dyDescent="0.2">
      <c r="A2080" s="20">
        <v>39471</v>
      </c>
      <c r="B2080">
        <v>210</v>
      </c>
      <c r="E2080">
        <f t="shared" si="64"/>
        <v>1</v>
      </c>
      <c r="F2080">
        <f t="shared" si="65"/>
        <v>2008</v>
      </c>
    </row>
    <row r="2081" spans="1:6" x14ac:dyDescent="0.2">
      <c r="A2081" s="20">
        <v>39472</v>
      </c>
      <c r="B2081">
        <v>210.5</v>
      </c>
      <c r="E2081">
        <f t="shared" si="64"/>
        <v>1</v>
      </c>
      <c r="F2081">
        <f t="shared" si="65"/>
        <v>2008</v>
      </c>
    </row>
    <row r="2082" spans="1:6" x14ac:dyDescent="0.2">
      <c r="A2082" s="20">
        <v>39475</v>
      </c>
      <c r="B2082">
        <v>208.5</v>
      </c>
      <c r="E2082">
        <f t="shared" si="64"/>
        <v>1</v>
      </c>
      <c r="F2082">
        <f t="shared" si="65"/>
        <v>2008</v>
      </c>
    </row>
    <row r="2083" spans="1:6" x14ac:dyDescent="0.2">
      <c r="A2083" s="20">
        <v>39476</v>
      </c>
      <c r="B2083">
        <v>200</v>
      </c>
      <c r="E2083">
        <f t="shared" si="64"/>
        <v>1</v>
      </c>
      <c r="F2083">
        <f t="shared" si="65"/>
        <v>2008</v>
      </c>
    </row>
    <row r="2084" spans="1:6" x14ac:dyDescent="0.2">
      <c r="A2084" s="20">
        <v>39477</v>
      </c>
      <c r="B2084">
        <v>196.5</v>
      </c>
      <c r="E2084">
        <f t="shared" si="64"/>
        <v>1</v>
      </c>
      <c r="F2084">
        <f t="shared" si="65"/>
        <v>2008</v>
      </c>
    </row>
    <row r="2085" spans="1:6" x14ac:dyDescent="0.2">
      <c r="A2085" s="20">
        <v>39478</v>
      </c>
      <c r="B2085">
        <v>195</v>
      </c>
      <c r="E2085">
        <f t="shared" si="64"/>
        <v>1</v>
      </c>
      <c r="F2085">
        <f t="shared" si="65"/>
        <v>2008</v>
      </c>
    </row>
    <row r="2086" spans="1:6" x14ac:dyDescent="0.2">
      <c r="A2086" s="20">
        <v>39479</v>
      </c>
      <c r="B2086">
        <v>198</v>
      </c>
      <c r="E2086">
        <f t="shared" si="64"/>
        <v>2</v>
      </c>
      <c r="F2086">
        <f t="shared" si="65"/>
        <v>2008</v>
      </c>
    </row>
    <row r="2087" spans="1:6" x14ac:dyDescent="0.2">
      <c r="A2087" s="20">
        <v>39482</v>
      </c>
      <c r="B2087">
        <v>200</v>
      </c>
      <c r="E2087">
        <f t="shared" si="64"/>
        <v>2</v>
      </c>
      <c r="F2087">
        <f t="shared" si="65"/>
        <v>2008</v>
      </c>
    </row>
    <row r="2088" spans="1:6" x14ac:dyDescent="0.2">
      <c r="A2088" s="20">
        <v>39483</v>
      </c>
      <c r="B2088">
        <v>200</v>
      </c>
      <c r="E2088">
        <f t="shared" si="64"/>
        <v>2</v>
      </c>
      <c r="F2088">
        <f t="shared" si="65"/>
        <v>2008</v>
      </c>
    </row>
    <row r="2089" spans="1:6" x14ac:dyDescent="0.2">
      <c r="A2089" s="20">
        <v>39484</v>
      </c>
      <c r="B2089">
        <v>207.75</v>
      </c>
      <c r="E2089">
        <f t="shared" si="64"/>
        <v>2</v>
      </c>
      <c r="F2089">
        <f t="shared" si="65"/>
        <v>2008</v>
      </c>
    </row>
    <row r="2090" spans="1:6" x14ac:dyDescent="0.2">
      <c r="A2090" s="20">
        <v>39485</v>
      </c>
      <c r="B2090">
        <v>201</v>
      </c>
      <c r="E2090">
        <f t="shared" si="64"/>
        <v>2</v>
      </c>
      <c r="F2090">
        <f t="shared" si="65"/>
        <v>2008</v>
      </c>
    </row>
    <row r="2091" spans="1:6" x14ac:dyDescent="0.2">
      <c r="A2091" s="20">
        <v>39486</v>
      </c>
      <c r="B2091">
        <v>203</v>
      </c>
      <c r="E2091">
        <f t="shared" si="64"/>
        <v>2</v>
      </c>
      <c r="F2091">
        <f t="shared" si="65"/>
        <v>2008</v>
      </c>
    </row>
    <row r="2092" spans="1:6" x14ac:dyDescent="0.2">
      <c r="A2092" s="20">
        <v>39489</v>
      </c>
      <c r="B2092">
        <v>203</v>
      </c>
      <c r="E2092">
        <f t="shared" si="64"/>
        <v>2</v>
      </c>
      <c r="F2092">
        <f t="shared" si="65"/>
        <v>2008</v>
      </c>
    </row>
    <row r="2093" spans="1:6" x14ac:dyDescent="0.2">
      <c r="A2093" s="20">
        <v>39490</v>
      </c>
      <c r="B2093">
        <v>200.5</v>
      </c>
      <c r="E2093">
        <f t="shared" si="64"/>
        <v>2</v>
      </c>
      <c r="F2093">
        <f t="shared" si="65"/>
        <v>2008</v>
      </c>
    </row>
    <row r="2094" spans="1:6" x14ac:dyDescent="0.2">
      <c r="A2094" s="20">
        <v>39491</v>
      </c>
      <c r="B2094">
        <v>200</v>
      </c>
      <c r="E2094">
        <f t="shared" si="64"/>
        <v>2</v>
      </c>
      <c r="F2094">
        <f t="shared" si="65"/>
        <v>2008</v>
      </c>
    </row>
    <row r="2095" spans="1:6" x14ac:dyDescent="0.2">
      <c r="A2095" s="20">
        <v>39492</v>
      </c>
      <c r="B2095">
        <v>200.25</v>
      </c>
      <c r="E2095">
        <f t="shared" si="64"/>
        <v>2</v>
      </c>
      <c r="F2095">
        <f t="shared" si="65"/>
        <v>2008</v>
      </c>
    </row>
    <row r="2096" spans="1:6" x14ac:dyDescent="0.2">
      <c r="A2096" s="20">
        <v>39493</v>
      </c>
      <c r="B2096">
        <v>200.5</v>
      </c>
      <c r="E2096">
        <f t="shared" si="64"/>
        <v>2</v>
      </c>
      <c r="F2096">
        <f t="shared" si="65"/>
        <v>2008</v>
      </c>
    </row>
    <row r="2097" spans="1:6" x14ac:dyDescent="0.2">
      <c r="A2097" s="20">
        <v>39496</v>
      </c>
      <c r="B2097">
        <v>200.75</v>
      </c>
      <c r="E2097">
        <f t="shared" si="64"/>
        <v>2</v>
      </c>
      <c r="F2097">
        <f t="shared" si="65"/>
        <v>2008</v>
      </c>
    </row>
    <row r="2098" spans="1:6" x14ac:dyDescent="0.2">
      <c r="A2098" s="20">
        <v>39497</v>
      </c>
      <c r="B2098">
        <v>201</v>
      </c>
      <c r="E2098">
        <f t="shared" si="64"/>
        <v>2</v>
      </c>
      <c r="F2098">
        <f t="shared" si="65"/>
        <v>2008</v>
      </c>
    </row>
    <row r="2099" spans="1:6" x14ac:dyDescent="0.2">
      <c r="A2099" s="20">
        <v>39498</v>
      </c>
      <c r="B2099">
        <v>200.75</v>
      </c>
      <c r="E2099">
        <f t="shared" si="64"/>
        <v>2</v>
      </c>
      <c r="F2099">
        <f t="shared" si="65"/>
        <v>2008</v>
      </c>
    </row>
    <row r="2100" spans="1:6" x14ac:dyDescent="0.2">
      <c r="A2100" s="20">
        <v>39499</v>
      </c>
      <c r="B2100">
        <v>200</v>
      </c>
      <c r="E2100">
        <f t="shared" si="64"/>
        <v>2</v>
      </c>
      <c r="F2100">
        <f t="shared" si="65"/>
        <v>2008</v>
      </c>
    </row>
    <row r="2101" spans="1:6" x14ac:dyDescent="0.2">
      <c r="A2101" s="20">
        <v>39500</v>
      </c>
      <c r="B2101">
        <v>200.5</v>
      </c>
      <c r="E2101">
        <f t="shared" si="64"/>
        <v>2</v>
      </c>
      <c r="F2101">
        <f t="shared" si="65"/>
        <v>2008</v>
      </c>
    </row>
    <row r="2102" spans="1:6" x14ac:dyDescent="0.2">
      <c r="A2102" s="20">
        <v>39503</v>
      </c>
      <c r="B2102">
        <v>202</v>
      </c>
      <c r="E2102">
        <f t="shared" si="64"/>
        <v>2</v>
      </c>
      <c r="F2102">
        <f t="shared" si="65"/>
        <v>2008</v>
      </c>
    </row>
    <row r="2103" spans="1:6" x14ac:dyDescent="0.2">
      <c r="A2103" s="20">
        <v>39504</v>
      </c>
      <c r="B2103">
        <v>202.75</v>
      </c>
      <c r="E2103">
        <f t="shared" si="64"/>
        <v>2</v>
      </c>
      <c r="F2103">
        <f t="shared" si="65"/>
        <v>2008</v>
      </c>
    </row>
    <row r="2104" spans="1:6" x14ac:dyDescent="0.2">
      <c r="A2104" s="20">
        <v>39505</v>
      </c>
      <c r="B2104">
        <v>202</v>
      </c>
      <c r="E2104">
        <f t="shared" si="64"/>
        <v>2</v>
      </c>
      <c r="F2104">
        <f t="shared" si="65"/>
        <v>2008</v>
      </c>
    </row>
    <row r="2105" spans="1:6" x14ac:dyDescent="0.2">
      <c r="A2105" s="20">
        <v>39506</v>
      </c>
      <c r="B2105">
        <v>201</v>
      </c>
      <c r="E2105">
        <f t="shared" si="64"/>
        <v>2</v>
      </c>
      <c r="F2105">
        <f t="shared" si="65"/>
        <v>2008</v>
      </c>
    </row>
    <row r="2106" spans="1:6" x14ac:dyDescent="0.2">
      <c r="A2106" s="20">
        <v>39507</v>
      </c>
      <c r="B2106">
        <v>201.5</v>
      </c>
      <c r="E2106">
        <f t="shared" si="64"/>
        <v>2</v>
      </c>
      <c r="F2106">
        <f t="shared" si="65"/>
        <v>2008</v>
      </c>
    </row>
    <row r="2107" spans="1:6" x14ac:dyDescent="0.2">
      <c r="A2107" s="20">
        <v>39510</v>
      </c>
      <c r="B2107">
        <v>201.25</v>
      </c>
      <c r="E2107">
        <f t="shared" si="64"/>
        <v>3</v>
      </c>
      <c r="F2107">
        <f t="shared" si="65"/>
        <v>2008</v>
      </c>
    </row>
    <row r="2108" spans="1:6" x14ac:dyDescent="0.2">
      <c r="A2108" s="20">
        <v>39511</v>
      </c>
      <c r="B2108">
        <v>202</v>
      </c>
      <c r="E2108">
        <f t="shared" si="64"/>
        <v>3</v>
      </c>
      <c r="F2108">
        <f t="shared" si="65"/>
        <v>2008</v>
      </c>
    </row>
    <row r="2109" spans="1:6" x14ac:dyDescent="0.2">
      <c r="A2109" s="20">
        <v>39512</v>
      </c>
      <c r="B2109">
        <v>207</v>
      </c>
      <c r="E2109">
        <f t="shared" si="64"/>
        <v>3</v>
      </c>
      <c r="F2109">
        <f t="shared" si="65"/>
        <v>2008</v>
      </c>
    </row>
    <row r="2110" spans="1:6" x14ac:dyDescent="0.2">
      <c r="A2110" s="20">
        <v>39513</v>
      </c>
      <c r="B2110">
        <v>210</v>
      </c>
      <c r="E2110">
        <f t="shared" si="64"/>
        <v>3</v>
      </c>
      <c r="F2110">
        <f t="shared" si="65"/>
        <v>2008</v>
      </c>
    </row>
    <row r="2111" spans="1:6" x14ac:dyDescent="0.2">
      <c r="A2111" s="20">
        <v>39514</v>
      </c>
      <c r="B2111">
        <v>209.5</v>
      </c>
      <c r="E2111">
        <f t="shared" si="64"/>
        <v>3</v>
      </c>
      <c r="F2111">
        <f t="shared" si="65"/>
        <v>2008</v>
      </c>
    </row>
    <row r="2112" spans="1:6" x14ac:dyDescent="0.2">
      <c r="A2112" s="20">
        <v>39517</v>
      </c>
      <c r="B2112">
        <v>209</v>
      </c>
      <c r="E2112">
        <f t="shared" si="64"/>
        <v>3</v>
      </c>
      <c r="F2112">
        <f t="shared" si="65"/>
        <v>2008</v>
      </c>
    </row>
    <row r="2113" spans="1:6" x14ac:dyDescent="0.2">
      <c r="A2113" s="20">
        <v>39518</v>
      </c>
      <c r="B2113">
        <v>210</v>
      </c>
      <c r="E2113">
        <f t="shared" si="64"/>
        <v>3</v>
      </c>
      <c r="F2113">
        <f t="shared" si="65"/>
        <v>2008</v>
      </c>
    </row>
    <row r="2114" spans="1:6" x14ac:dyDescent="0.2">
      <c r="A2114" s="20">
        <v>39519</v>
      </c>
      <c r="B2114">
        <v>212</v>
      </c>
      <c r="E2114">
        <f t="shared" si="64"/>
        <v>3</v>
      </c>
      <c r="F2114">
        <f t="shared" si="65"/>
        <v>2008</v>
      </c>
    </row>
    <row r="2115" spans="1:6" x14ac:dyDescent="0.2">
      <c r="A2115" s="20">
        <v>39520</v>
      </c>
      <c r="B2115">
        <v>211</v>
      </c>
      <c r="E2115">
        <f t="shared" ref="E2115:E2178" si="66">MONTH(A2115)</f>
        <v>3</v>
      </c>
      <c r="F2115">
        <f t="shared" ref="F2115:F2178" si="67">YEAR(A2115)</f>
        <v>2008</v>
      </c>
    </row>
    <row r="2116" spans="1:6" x14ac:dyDescent="0.2">
      <c r="A2116" s="20">
        <v>39521</v>
      </c>
      <c r="B2116">
        <v>210</v>
      </c>
      <c r="E2116">
        <f t="shared" si="66"/>
        <v>3</v>
      </c>
      <c r="F2116">
        <f t="shared" si="67"/>
        <v>2008</v>
      </c>
    </row>
    <row r="2117" spans="1:6" x14ac:dyDescent="0.2">
      <c r="A2117" s="20">
        <v>39524</v>
      </c>
      <c r="B2117">
        <v>204</v>
      </c>
      <c r="E2117">
        <f t="shared" si="66"/>
        <v>3</v>
      </c>
      <c r="F2117">
        <f t="shared" si="67"/>
        <v>2008</v>
      </c>
    </row>
    <row r="2118" spans="1:6" x14ac:dyDescent="0.2">
      <c r="A2118" s="20">
        <v>39525</v>
      </c>
      <c r="B2118">
        <v>203</v>
      </c>
      <c r="E2118">
        <f t="shared" si="66"/>
        <v>3</v>
      </c>
      <c r="F2118">
        <f t="shared" si="67"/>
        <v>2008</v>
      </c>
    </row>
    <row r="2119" spans="1:6" x14ac:dyDescent="0.2">
      <c r="A2119" s="20">
        <v>39526</v>
      </c>
      <c r="B2119">
        <v>200</v>
      </c>
      <c r="E2119">
        <f t="shared" si="66"/>
        <v>3</v>
      </c>
      <c r="F2119">
        <f t="shared" si="67"/>
        <v>2008</v>
      </c>
    </row>
    <row r="2120" spans="1:6" x14ac:dyDescent="0.2">
      <c r="A2120" s="20">
        <v>39527</v>
      </c>
      <c r="B2120">
        <v>196</v>
      </c>
      <c r="E2120">
        <f t="shared" si="66"/>
        <v>3</v>
      </c>
      <c r="F2120">
        <f t="shared" si="67"/>
        <v>2008</v>
      </c>
    </row>
    <row r="2121" spans="1:6" x14ac:dyDescent="0.2">
      <c r="A2121" s="20">
        <v>39532</v>
      </c>
      <c r="B2121">
        <v>198.25</v>
      </c>
      <c r="E2121">
        <f t="shared" si="66"/>
        <v>3</v>
      </c>
      <c r="F2121">
        <f t="shared" si="67"/>
        <v>2008</v>
      </c>
    </row>
    <row r="2122" spans="1:6" x14ac:dyDescent="0.2">
      <c r="A2122" s="20">
        <v>39533</v>
      </c>
      <c r="B2122">
        <v>198.5</v>
      </c>
      <c r="E2122">
        <f t="shared" si="66"/>
        <v>3</v>
      </c>
      <c r="F2122">
        <f t="shared" si="67"/>
        <v>2008</v>
      </c>
    </row>
    <row r="2123" spans="1:6" x14ac:dyDescent="0.2">
      <c r="A2123" s="20">
        <v>39534</v>
      </c>
      <c r="B2123">
        <v>196.5</v>
      </c>
      <c r="E2123">
        <f t="shared" si="66"/>
        <v>3</v>
      </c>
      <c r="F2123">
        <f t="shared" si="67"/>
        <v>2008</v>
      </c>
    </row>
    <row r="2124" spans="1:6" x14ac:dyDescent="0.2">
      <c r="A2124" s="20">
        <v>39535</v>
      </c>
      <c r="B2124">
        <v>193.5</v>
      </c>
      <c r="E2124">
        <f t="shared" si="66"/>
        <v>3</v>
      </c>
      <c r="F2124">
        <f t="shared" si="67"/>
        <v>2008</v>
      </c>
    </row>
    <row r="2125" spans="1:6" x14ac:dyDescent="0.2">
      <c r="A2125" s="20">
        <v>39538</v>
      </c>
      <c r="B2125">
        <v>193.5</v>
      </c>
      <c r="E2125">
        <f t="shared" si="66"/>
        <v>3</v>
      </c>
      <c r="F2125">
        <f t="shared" si="67"/>
        <v>2008</v>
      </c>
    </row>
    <row r="2126" spans="1:6" x14ac:dyDescent="0.2">
      <c r="A2126" s="20">
        <v>39539</v>
      </c>
      <c r="B2126">
        <v>194</v>
      </c>
      <c r="E2126">
        <f t="shared" si="66"/>
        <v>4</v>
      </c>
      <c r="F2126">
        <f t="shared" si="67"/>
        <v>2008</v>
      </c>
    </row>
    <row r="2127" spans="1:6" x14ac:dyDescent="0.2">
      <c r="A2127" s="20">
        <v>39540</v>
      </c>
      <c r="B2127">
        <v>195.75</v>
      </c>
      <c r="E2127">
        <f t="shared" si="66"/>
        <v>4</v>
      </c>
      <c r="F2127">
        <f t="shared" si="67"/>
        <v>2008</v>
      </c>
    </row>
    <row r="2128" spans="1:6" x14ac:dyDescent="0.2">
      <c r="A2128" s="20">
        <v>39541</v>
      </c>
      <c r="B2128">
        <v>199</v>
      </c>
      <c r="E2128">
        <f t="shared" si="66"/>
        <v>4</v>
      </c>
      <c r="F2128">
        <f t="shared" si="67"/>
        <v>2008</v>
      </c>
    </row>
    <row r="2129" spans="1:6" x14ac:dyDescent="0.2">
      <c r="A2129" s="20">
        <v>39542</v>
      </c>
      <c r="B2129">
        <v>198</v>
      </c>
      <c r="E2129">
        <f t="shared" si="66"/>
        <v>4</v>
      </c>
      <c r="F2129">
        <f t="shared" si="67"/>
        <v>2008</v>
      </c>
    </row>
    <row r="2130" spans="1:6" x14ac:dyDescent="0.2">
      <c r="A2130" s="20">
        <v>39545</v>
      </c>
      <c r="B2130">
        <v>198</v>
      </c>
      <c r="E2130">
        <f t="shared" si="66"/>
        <v>4</v>
      </c>
      <c r="F2130">
        <f t="shared" si="67"/>
        <v>2008</v>
      </c>
    </row>
    <row r="2131" spans="1:6" x14ac:dyDescent="0.2">
      <c r="A2131" s="20">
        <v>39546</v>
      </c>
      <c r="B2131">
        <v>199</v>
      </c>
      <c r="E2131">
        <f t="shared" si="66"/>
        <v>4</v>
      </c>
      <c r="F2131">
        <f t="shared" si="67"/>
        <v>2008</v>
      </c>
    </row>
    <row r="2132" spans="1:6" x14ac:dyDescent="0.2">
      <c r="A2132" s="20">
        <v>39547</v>
      </c>
      <c r="B2132">
        <v>199.25</v>
      </c>
      <c r="E2132">
        <f t="shared" si="66"/>
        <v>4</v>
      </c>
      <c r="F2132">
        <f t="shared" si="67"/>
        <v>2008</v>
      </c>
    </row>
    <row r="2133" spans="1:6" x14ac:dyDescent="0.2">
      <c r="A2133" s="20">
        <v>39548</v>
      </c>
      <c r="B2133">
        <v>199.5</v>
      </c>
      <c r="E2133">
        <f t="shared" si="66"/>
        <v>4</v>
      </c>
      <c r="F2133">
        <f t="shared" si="67"/>
        <v>2008</v>
      </c>
    </row>
    <row r="2134" spans="1:6" x14ac:dyDescent="0.2">
      <c r="A2134" s="20">
        <v>39549</v>
      </c>
      <c r="B2134">
        <v>200.5</v>
      </c>
      <c r="E2134">
        <f t="shared" si="66"/>
        <v>4</v>
      </c>
      <c r="F2134">
        <f t="shared" si="67"/>
        <v>2008</v>
      </c>
    </row>
    <row r="2135" spans="1:6" x14ac:dyDescent="0.2">
      <c r="A2135" s="20">
        <v>39552</v>
      </c>
      <c r="B2135">
        <v>200</v>
      </c>
      <c r="E2135">
        <f t="shared" si="66"/>
        <v>4</v>
      </c>
      <c r="F2135">
        <f t="shared" si="67"/>
        <v>2008</v>
      </c>
    </row>
    <row r="2136" spans="1:6" x14ac:dyDescent="0.2">
      <c r="A2136" s="20">
        <v>39553</v>
      </c>
      <c r="B2136">
        <v>201</v>
      </c>
      <c r="E2136">
        <f t="shared" si="66"/>
        <v>4</v>
      </c>
      <c r="F2136">
        <f t="shared" si="67"/>
        <v>2008</v>
      </c>
    </row>
    <row r="2137" spans="1:6" x14ac:dyDescent="0.2">
      <c r="A2137" s="20">
        <v>39554</v>
      </c>
      <c r="B2137">
        <v>199</v>
      </c>
      <c r="E2137">
        <f t="shared" si="66"/>
        <v>4</v>
      </c>
      <c r="F2137">
        <f t="shared" si="67"/>
        <v>2008</v>
      </c>
    </row>
    <row r="2138" spans="1:6" x14ac:dyDescent="0.2">
      <c r="A2138" s="20">
        <v>39555</v>
      </c>
      <c r="B2138">
        <v>197.25</v>
      </c>
      <c r="E2138">
        <f t="shared" si="66"/>
        <v>4</v>
      </c>
      <c r="F2138">
        <f t="shared" si="67"/>
        <v>2008</v>
      </c>
    </row>
    <row r="2139" spans="1:6" x14ac:dyDescent="0.2">
      <c r="A2139" s="20">
        <v>39556</v>
      </c>
      <c r="B2139">
        <v>195.75</v>
      </c>
      <c r="E2139">
        <f t="shared" si="66"/>
        <v>4</v>
      </c>
      <c r="F2139">
        <f t="shared" si="67"/>
        <v>2008</v>
      </c>
    </row>
    <row r="2140" spans="1:6" x14ac:dyDescent="0.2">
      <c r="A2140" s="20">
        <v>39559</v>
      </c>
      <c r="B2140">
        <v>192.25</v>
      </c>
      <c r="E2140">
        <f t="shared" si="66"/>
        <v>4</v>
      </c>
      <c r="F2140">
        <f t="shared" si="67"/>
        <v>2008</v>
      </c>
    </row>
    <row r="2141" spans="1:6" x14ac:dyDescent="0.2">
      <c r="A2141" s="20">
        <v>39560</v>
      </c>
      <c r="B2141">
        <v>193.75</v>
      </c>
      <c r="E2141">
        <f t="shared" si="66"/>
        <v>4</v>
      </c>
      <c r="F2141">
        <f t="shared" si="67"/>
        <v>2008</v>
      </c>
    </row>
    <row r="2142" spans="1:6" x14ac:dyDescent="0.2">
      <c r="A2142" s="20">
        <v>39561</v>
      </c>
      <c r="B2142">
        <v>192</v>
      </c>
      <c r="E2142">
        <f t="shared" si="66"/>
        <v>4</v>
      </c>
      <c r="F2142">
        <f t="shared" si="67"/>
        <v>2008</v>
      </c>
    </row>
    <row r="2143" spans="1:6" x14ac:dyDescent="0.2">
      <c r="A2143" s="20">
        <v>39562</v>
      </c>
      <c r="B2143">
        <v>190</v>
      </c>
      <c r="E2143">
        <f t="shared" si="66"/>
        <v>4</v>
      </c>
      <c r="F2143">
        <f t="shared" si="67"/>
        <v>2008</v>
      </c>
    </row>
    <row r="2144" spans="1:6" x14ac:dyDescent="0.2">
      <c r="A2144" s="20">
        <v>39563</v>
      </c>
      <c r="B2144">
        <v>191</v>
      </c>
      <c r="E2144">
        <f t="shared" si="66"/>
        <v>4</v>
      </c>
      <c r="F2144">
        <f t="shared" si="67"/>
        <v>2008</v>
      </c>
    </row>
    <row r="2145" spans="1:6" x14ac:dyDescent="0.2">
      <c r="A2145" s="20">
        <v>39566</v>
      </c>
      <c r="B2145">
        <v>191</v>
      </c>
      <c r="E2145">
        <f t="shared" si="66"/>
        <v>4</v>
      </c>
      <c r="F2145">
        <f t="shared" si="67"/>
        <v>2008</v>
      </c>
    </row>
    <row r="2146" spans="1:6" x14ac:dyDescent="0.2">
      <c r="A2146" s="20">
        <v>39567</v>
      </c>
      <c r="B2146">
        <v>191.5</v>
      </c>
      <c r="E2146">
        <f t="shared" si="66"/>
        <v>4</v>
      </c>
      <c r="F2146">
        <f t="shared" si="67"/>
        <v>2008</v>
      </c>
    </row>
    <row r="2147" spans="1:6" x14ac:dyDescent="0.2">
      <c r="A2147" s="20">
        <v>39568</v>
      </c>
      <c r="B2147">
        <v>191</v>
      </c>
      <c r="E2147">
        <f t="shared" si="66"/>
        <v>4</v>
      </c>
      <c r="F2147">
        <f t="shared" si="67"/>
        <v>2008</v>
      </c>
    </row>
    <row r="2148" spans="1:6" x14ac:dyDescent="0.2">
      <c r="A2148" s="20">
        <v>39570</v>
      </c>
      <c r="B2148">
        <v>192</v>
      </c>
      <c r="E2148">
        <f t="shared" si="66"/>
        <v>5</v>
      </c>
      <c r="F2148">
        <f t="shared" si="67"/>
        <v>2008</v>
      </c>
    </row>
    <row r="2149" spans="1:6" x14ac:dyDescent="0.2">
      <c r="A2149" s="20">
        <v>39574</v>
      </c>
      <c r="B2149">
        <v>191.25</v>
      </c>
      <c r="E2149">
        <f t="shared" si="66"/>
        <v>5</v>
      </c>
      <c r="F2149">
        <f t="shared" si="67"/>
        <v>2008</v>
      </c>
    </row>
    <row r="2150" spans="1:6" x14ac:dyDescent="0.2">
      <c r="A2150" s="20">
        <v>39575</v>
      </c>
      <c r="B2150">
        <v>192.5</v>
      </c>
      <c r="E2150">
        <f t="shared" si="66"/>
        <v>5</v>
      </c>
      <c r="F2150">
        <f t="shared" si="67"/>
        <v>2008</v>
      </c>
    </row>
    <row r="2151" spans="1:6" x14ac:dyDescent="0.2">
      <c r="A2151" s="20">
        <v>39576</v>
      </c>
      <c r="B2151">
        <v>193.5</v>
      </c>
      <c r="E2151">
        <f t="shared" si="66"/>
        <v>5</v>
      </c>
      <c r="F2151">
        <f t="shared" si="67"/>
        <v>2008</v>
      </c>
    </row>
    <row r="2152" spans="1:6" x14ac:dyDescent="0.2">
      <c r="A2152" s="20">
        <v>39577</v>
      </c>
      <c r="B2152">
        <v>194</v>
      </c>
      <c r="E2152">
        <f t="shared" si="66"/>
        <v>5</v>
      </c>
      <c r="F2152">
        <f t="shared" si="67"/>
        <v>2008</v>
      </c>
    </row>
    <row r="2153" spans="1:6" x14ac:dyDescent="0.2">
      <c r="A2153" s="20">
        <v>39580</v>
      </c>
      <c r="B2153">
        <v>193.5</v>
      </c>
      <c r="E2153">
        <f t="shared" si="66"/>
        <v>5</v>
      </c>
      <c r="F2153">
        <f t="shared" si="67"/>
        <v>2008</v>
      </c>
    </row>
    <row r="2154" spans="1:6" x14ac:dyDescent="0.2">
      <c r="A2154" s="20">
        <v>39581</v>
      </c>
      <c r="B2154">
        <v>194.5</v>
      </c>
      <c r="E2154">
        <f t="shared" si="66"/>
        <v>5</v>
      </c>
      <c r="F2154">
        <f t="shared" si="67"/>
        <v>2008</v>
      </c>
    </row>
    <row r="2155" spans="1:6" x14ac:dyDescent="0.2">
      <c r="A2155" s="20">
        <v>39582</v>
      </c>
      <c r="B2155">
        <v>195.5</v>
      </c>
      <c r="E2155">
        <f t="shared" si="66"/>
        <v>5</v>
      </c>
      <c r="F2155">
        <f t="shared" si="67"/>
        <v>2008</v>
      </c>
    </row>
    <row r="2156" spans="1:6" x14ac:dyDescent="0.2">
      <c r="A2156" s="20">
        <v>39583</v>
      </c>
      <c r="B2156">
        <v>194.75</v>
      </c>
      <c r="E2156">
        <f t="shared" si="66"/>
        <v>5</v>
      </c>
      <c r="F2156">
        <f t="shared" si="67"/>
        <v>2008</v>
      </c>
    </row>
    <row r="2157" spans="1:6" x14ac:dyDescent="0.2">
      <c r="A2157" s="20">
        <v>39584</v>
      </c>
      <c r="B2157">
        <v>195.5</v>
      </c>
      <c r="E2157">
        <f t="shared" si="66"/>
        <v>5</v>
      </c>
      <c r="F2157">
        <f t="shared" si="67"/>
        <v>2008</v>
      </c>
    </row>
    <row r="2158" spans="1:6" x14ac:dyDescent="0.2">
      <c r="A2158" s="20">
        <v>39587</v>
      </c>
      <c r="B2158">
        <v>197</v>
      </c>
      <c r="E2158">
        <f t="shared" si="66"/>
        <v>5</v>
      </c>
      <c r="F2158">
        <f t="shared" si="67"/>
        <v>2008</v>
      </c>
    </row>
    <row r="2159" spans="1:6" x14ac:dyDescent="0.2">
      <c r="A2159" s="20">
        <v>39588</v>
      </c>
      <c r="B2159">
        <v>198</v>
      </c>
      <c r="E2159">
        <f t="shared" si="66"/>
        <v>5</v>
      </c>
      <c r="F2159">
        <f t="shared" si="67"/>
        <v>2008</v>
      </c>
    </row>
    <row r="2160" spans="1:6" x14ac:dyDescent="0.2">
      <c r="A2160" s="20">
        <v>39589</v>
      </c>
      <c r="B2160">
        <v>196</v>
      </c>
      <c r="E2160">
        <f t="shared" si="66"/>
        <v>5</v>
      </c>
      <c r="F2160">
        <f t="shared" si="67"/>
        <v>2008</v>
      </c>
    </row>
    <row r="2161" spans="1:6" x14ac:dyDescent="0.2">
      <c r="A2161" s="20">
        <v>39590</v>
      </c>
      <c r="B2161">
        <v>197</v>
      </c>
      <c r="E2161">
        <f t="shared" si="66"/>
        <v>5</v>
      </c>
      <c r="F2161">
        <f t="shared" si="67"/>
        <v>2008</v>
      </c>
    </row>
    <row r="2162" spans="1:6" x14ac:dyDescent="0.2">
      <c r="A2162" s="20">
        <v>39591</v>
      </c>
      <c r="B2162">
        <v>194.5</v>
      </c>
      <c r="E2162">
        <f t="shared" si="66"/>
        <v>5</v>
      </c>
      <c r="F2162">
        <f t="shared" si="67"/>
        <v>2008</v>
      </c>
    </row>
    <row r="2163" spans="1:6" x14ac:dyDescent="0.2">
      <c r="A2163" s="20">
        <v>39594</v>
      </c>
      <c r="B2163">
        <v>193</v>
      </c>
      <c r="E2163">
        <f t="shared" si="66"/>
        <v>5</v>
      </c>
      <c r="F2163">
        <f t="shared" si="67"/>
        <v>2008</v>
      </c>
    </row>
    <row r="2164" spans="1:6" x14ac:dyDescent="0.2">
      <c r="A2164" s="20">
        <v>39595</v>
      </c>
      <c r="B2164">
        <v>192.5</v>
      </c>
      <c r="E2164">
        <f t="shared" si="66"/>
        <v>5</v>
      </c>
      <c r="F2164">
        <f t="shared" si="67"/>
        <v>2008</v>
      </c>
    </row>
    <row r="2165" spans="1:6" x14ac:dyDescent="0.2">
      <c r="A2165" s="20">
        <v>39596</v>
      </c>
      <c r="B2165">
        <v>190</v>
      </c>
      <c r="E2165">
        <f t="shared" si="66"/>
        <v>5</v>
      </c>
      <c r="F2165">
        <f t="shared" si="67"/>
        <v>2008</v>
      </c>
    </row>
    <row r="2166" spans="1:6" x14ac:dyDescent="0.2">
      <c r="A2166" s="20">
        <v>39597</v>
      </c>
      <c r="B2166">
        <v>186.75</v>
      </c>
      <c r="E2166">
        <f t="shared" si="66"/>
        <v>5</v>
      </c>
      <c r="F2166">
        <f t="shared" si="67"/>
        <v>2008</v>
      </c>
    </row>
    <row r="2167" spans="1:6" x14ac:dyDescent="0.2">
      <c r="A2167" s="20">
        <v>39598</v>
      </c>
      <c r="B2167">
        <v>182.5</v>
      </c>
      <c r="E2167">
        <f t="shared" si="66"/>
        <v>5</v>
      </c>
      <c r="F2167">
        <f t="shared" si="67"/>
        <v>2008</v>
      </c>
    </row>
    <row r="2168" spans="1:6" x14ac:dyDescent="0.2">
      <c r="A2168" s="20">
        <v>39601</v>
      </c>
      <c r="B2168">
        <v>183</v>
      </c>
      <c r="E2168">
        <f t="shared" si="66"/>
        <v>6</v>
      </c>
      <c r="F2168">
        <f t="shared" si="67"/>
        <v>2008</v>
      </c>
    </row>
    <row r="2169" spans="1:6" x14ac:dyDescent="0.2">
      <c r="A2169" s="20">
        <v>39602</v>
      </c>
      <c r="B2169">
        <v>183.25</v>
      </c>
      <c r="E2169">
        <f t="shared" si="66"/>
        <v>6</v>
      </c>
      <c r="F2169">
        <f t="shared" si="67"/>
        <v>2008</v>
      </c>
    </row>
    <row r="2170" spans="1:6" x14ac:dyDescent="0.2">
      <c r="A2170" s="20">
        <v>39603</v>
      </c>
      <c r="B2170">
        <v>183</v>
      </c>
      <c r="E2170">
        <f t="shared" si="66"/>
        <v>6</v>
      </c>
      <c r="F2170">
        <f t="shared" si="67"/>
        <v>2008</v>
      </c>
    </row>
    <row r="2171" spans="1:6" x14ac:dyDescent="0.2">
      <c r="A2171" s="20">
        <v>39604</v>
      </c>
      <c r="B2171">
        <v>183</v>
      </c>
      <c r="E2171">
        <f t="shared" si="66"/>
        <v>6</v>
      </c>
      <c r="F2171">
        <f t="shared" si="67"/>
        <v>2008</v>
      </c>
    </row>
    <row r="2172" spans="1:6" x14ac:dyDescent="0.2">
      <c r="A2172" s="20">
        <v>39605</v>
      </c>
      <c r="B2172">
        <v>190</v>
      </c>
      <c r="E2172">
        <f t="shared" si="66"/>
        <v>6</v>
      </c>
      <c r="F2172">
        <f t="shared" si="67"/>
        <v>2008</v>
      </c>
    </row>
    <row r="2173" spans="1:6" x14ac:dyDescent="0.2">
      <c r="A2173" s="20">
        <v>39608</v>
      </c>
      <c r="B2173">
        <v>194.25</v>
      </c>
      <c r="E2173">
        <f t="shared" si="66"/>
        <v>6</v>
      </c>
      <c r="F2173">
        <f t="shared" si="67"/>
        <v>2008</v>
      </c>
    </row>
    <row r="2174" spans="1:6" x14ac:dyDescent="0.2">
      <c r="A2174" s="20">
        <v>39609</v>
      </c>
      <c r="B2174">
        <v>194</v>
      </c>
      <c r="E2174">
        <f t="shared" si="66"/>
        <v>6</v>
      </c>
      <c r="F2174">
        <f t="shared" si="67"/>
        <v>2008</v>
      </c>
    </row>
    <row r="2175" spans="1:6" x14ac:dyDescent="0.2">
      <c r="A2175" s="20">
        <v>39610</v>
      </c>
      <c r="B2175">
        <v>210</v>
      </c>
      <c r="E2175">
        <f t="shared" si="66"/>
        <v>6</v>
      </c>
      <c r="F2175">
        <f t="shared" si="67"/>
        <v>2008</v>
      </c>
    </row>
    <row r="2176" spans="1:6" x14ac:dyDescent="0.2">
      <c r="A2176" s="20">
        <v>39611</v>
      </c>
      <c r="B2176">
        <v>210</v>
      </c>
      <c r="E2176">
        <f t="shared" si="66"/>
        <v>6</v>
      </c>
      <c r="F2176">
        <f t="shared" si="67"/>
        <v>2008</v>
      </c>
    </row>
    <row r="2177" spans="1:6" x14ac:dyDescent="0.2">
      <c r="A2177" s="20">
        <v>39612</v>
      </c>
      <c r="B2177">
        <v>210</v>
      </c>
      <c r="E2177">
        <f t="shared" si="66"/>
        <v>6</v>
      </c>
      <c r="F2177">
        <f t="shared" si="67"/>
        <v>2008</v>
      </c>
    </row>
    <row r="2178" spans="1:6" x14ac:dyDescent="0.2">
      <c r="A2178" s="20">
        <v>39615</v>
      </c>
      <c r="B2178">
        <v>214</v>
      </c>
      <c r="E2178">
        <f t="shared" si="66"/>
        <v>6</v>
      </c>
      <c r="F2178">
        <f t="shared" si="67"/>
        <v>2008</v>
      </c>
    </row>
    <row r="2179" spans="1:6" x14ac:dyDescent="0.2">
      <c r="A2179" s="20">
        <v>39616</v>
      </c>
      <c r="B2179">
        <v>213</v>
      </c>
      <c r="E2179">
        <f t="shared" ref="E2179:E2242" si="68">MONTH(A2179)</f>
        <v>6</v>
      </c>
      <c r="F2179">
        <f t="shared" ref="F2179:F2242" si="69">YEAR(A2179)</f>
        <v>2008</v>
      </c>
    </row>
    <row r="2180" spans="1:6" x14ac:dyDescent="0.2">
      <c r="A2180" s="20">
        <v>39617</v>
      </c>
      <c r="B2180">
        <v>215</v>
      </c>
      <c r="E2180">
        <f t="shared" si="68"/>
        <v>6</v>
      </c>
      <c r="F2180">
        <f t="shared" si="69"/>
        <v>2008</v>
      </c>
    </row>
    <row r="2181" spans="1:6" x14ac:dyDescent="0.2">
      <c r="A2181" s="20">
        <v>39618</v>
      </c>
      <c r="B2181">
        <v>214</v>
      </c>
      <c r="E2181">
        <f t="shared" si="68"/>
        <v>6</v>
      </c>
      <c r="F2181">
        <f t="shared" si="69"/>
        <v>2008</v>
      </c>
    </row>
    <row r="2182" spans="1:6" x14ac:dyDescent="0.2">
      <c r="A2182" s="20">
        <v>39619</v>
      </c>
      <c r="B2182">
        <v>218</v>
      </c>
      <c r="E2182">
        <f t="shared" si="68"/>
        <v>6</v>
      </c>
      <c r="F2182">
        <f t="shared" si="69"/>
        <v>2008</v>
      </c>
    </row>
    <row r="2183" spans="1:6" x14ac:dyDescent="0.2">
      <c r="A2183" s="20">
        <v>39622</v>
      </c>
      <c r="B2183">
        <v>213.5</v>
      </c>
      <c r="E2183">
        <f t="shared" si="68"/>
        <v>6</v>
      </c>
      <c r="F2183">
        <f t="shared" si="69"/>
        <v>2008</v>
      </c>
    </row>
    <row r="2184" spans="1:6" x14ac:dyDescent="0.2">
      <c r="A2184" s="20">
        <v>39623</v>
      </c>
      <c r="B2184">
        <v>209</v>
      </c>
      <c r="E2184">
        <f t="shared" si="68"/>
        <v>6</v>
      </c>
      <c r="F2184">
        <f t="shared" si="69"/>
        <v>2008</v>
      </c>
    </row>
    <row r="2185" spans="1:6" x14ac:dyDescent="0.2">
      <c r="A2185" s="20">
        <v>39624</v>
      </c>
      <c r="B2185">
        <v>211.5</v>
      </c>
      <c r="E2185">
        <f t="shared" si="68"/>
        <v>6</v>
      </c>
      <c r="F2185">
        <f t="shared" si="69"/>
        <v>2008</v>
      </c>
    </row>
    <row r="2186" spans="1:6" x14ac:dyDescent="0.2">
      <c r="A2186" s="20">
        <v>39625</v>
      </c>
      <c r="B2186">
        <v>216</v>
      </c>
      <c r="E2186">
        <f t="shared" si="68"/>
        <v>6</v>
      </c>
      <c r="F2186">
        <f t="shared" si="69"/>
        <v>2008</v>
      </c>
    </row>
    <row r="2187" spans="1:6" x14ac:dyDescent="0.2">
      <c r="A2187" s="20">
        <v>39626</v>
      </c>
      <c r="B2187">
        <v>218.5</v>
      </c>
      <c r="E2187">
        <f t="shared" si="68"/>
        <v>6</v>
      </c>
      <c r="F2187">
        <f t="shared" si="69"/>
        <v>2008</v>
      </c>
    </row>
    <row r="2188" spans="1:6" x14ac:dyDescent="0.2">
      <c r="A2188" s="20">
        <v>39629</v>
      </c>
      <c r="B2188">
        <v>216</v>
      </c>
      <c r="E2188">
        <f t="shared" si="68"/>
        <v>6</v>
      </c>
      <c r="F2188">
        <f t="shared" si="69"/>
        <v>2008</v>
      </c>
    </row>
    <row r="2189" spans="1:6" x14ac:dyDescent="0.2">
      <c r="A2189" s="20">
        <v>39630</v>
      </c>
      <c r="B2189">
        <v>214</v>
      </c>
      <c r="E2189">
        <f t="shared" si="68"/>
        <v>7</v>
      </c>
      <c r="F2189">
        <f t="shared" si="69"/>
        <v>2008</v>
      </c>
    </row>
    <row r="2190" spans="1:6" x14ac:dyDescent="0.2">
      <c r="A2190" s="20">
        <v>39631</v>
      </c>
      <c r="B2190">
        <v>218</v>
      </c>
      <c r="E2190">
        <f t="shared" si="68"/>
        <v>7</v>
      </c>
      <c r="F2190">
        <f t="shared" si="69"/>
        <v>2008</v>
      </c>
    </row>
    <row r="2191" spans="1:6" x14ac:dyDescent="0.2">
      <c r="A2191" s="20">
        <v>39632</v>
      </c>
      <c r="B2191">
        <v>220</v>
      </c>
      <c r="E2191">
        <f t="shared" si="68"/>
        <v>7</v>
      </c>
      <c r="F2191">
        <f t="shared" si="69"/>
        <v>2008</v>
      </c>
    </row>
    <row r="2192" spans="1:6" x14ac:dyDescent="0.2">
      <c r="A2192" s="20">
        <v>39633</v>
      </c>
      <c r="B2192">
        <v>218</v>
      </c>
      <c r="E2192">
        <f t="shared" si="68"/>
        <v>7</v>
      </c>
      <c r="F2192">
        <f t="shared" si="69"/>
        <v>2008</v>
      </c>
    </row>
    <row r="2193" spans="1:6" x14ac:dyDescent="0.2">
      <c r="A2193" s="20">
        <v>39636</v>
      </c>
      <c r="B2193">
        <v>210.5</v>
      </c>
      <c r="E2193">
        <f t="shared" si="68"/>
        <v>7</v>
      </c>
      <c r="F2193">
        <f t="shared" si="69"/>
        <v>2008</v>
      </c>
    </row>
    <row r="2194" spans="1:6" x14ac:dyDescent="0.2">
      <c r="A2194" s="20">
        <v>39637</v>
      </c>
      <c r="B2194">
        <v>210.5</v>
      </c>
      <c r="E2194">
        <f t="shared" si="68"/>
        <v>7</v>
      </c>
      <c r="F2194">
        <f t="shared" si="69"/>
        <v>2008</v>
      </c>
    </row>
    <row r="2195" spans="1:6" x14ac:dyDescent="0.2">
      <c r="A2195" s="20">
        <v>39638</v>
      </c>
      <c r="B2195">
        <v>210</v>
      </c>
      <c r="E2195">
        <f t="shared" si="68"/>
        <v>7</v>
      </c>
      <c r="F2195">
        <f t="shared" si="69"/>
        <v>2008</v>
      </c>
    </row>
    <row r="2196" spans="1:6" x14ac:dyDescent="0.2">
      <c r="A2196" s="20">
        <v>39639</v>
      </c>
      <c r="B2196">
        <v>209</v>
      </c>
      <c r="E2196">
        <f t="shared" si="68"/>
        <v>7</v>
      </c>
      <c r="F2196">
        <f t="shared" si="69"/>
        <v>2008</v>
      </c>
    </row>
    <row r="2197" spans="1:6" x14ac:dyDescent="0.2">
      <c r="A2197" s="20">
        <v>39640</v>
      </c>
      <c r="B2197">
        <v>208.5</v>
      </c>
      <c r="E2197">
        <f t="shared" si="68"/>
        <v>7</v>
      </c>
      <c r="F2197">
        <f t="shared" si="69"/>
        <v>2008</v>
      </c>
    </row>
    <row r="2198" spans="1:6" x14ac:dyDescent="0.2">
      <c r="A2198" s="20">
        <v>39643</v>
      </c>
      <c r="B2198">
        <v>206</v>
      </c>
      <c r="E2198">
        <f t="shared" si="68"/>
        <v>7</v>
      </c>
      <c r="F2198">
        <f t="shared" si="69"/>
        <v>2008</v>
      </c>
    </row>
    <row r="2199" spans="1:6" x14ac:dyDescent="0.2">
      <c r="A2199" s="20">
        <v>39644</v>
      </c>
      <c r="B2199">
        <v>203.5</v>
      </c>
      <c r="E2199">
        <f t="shared" si="68"/>
        <v>7</v>
      </c>
      <c r="F2199">
        <f t="shared" si="69"/>
        <v>2008</v>
      </c>
    </row>
    <row r="2200" spans="1:6" x14ac:dyDescent="0.2">
      <c r="A2200" s="20">
        <v>39645</v>
      </c>
      <c r="B2200">
        <v>201</v>
      </c>
      <c r="E2200">
        <f t="shared" si="68"/>
        <v>7</v>
      </c>
      <c r="F2200">
        <f t="shared" si="69"/>
        <v>2008</v>
      </c>
    </row>
    <row r="2201" spans="1:6" x14ac:dyDescent="0.2">
      <c r="A2201" s="20">
        <v>39646</v>
      </c>
      <c r="B2201">
        <v>199</v>
      </c>
      <c r="E2201">
        <f t="shared" si="68"/>
        <v>7</v>
      </c>
      <c r="F2201">
        <f t="shared" si="69"/>
        <v>2008</v>
      </c>
    </row>
    <row r="2202" spans="1:6" x14ac:dyDescent="0.2">
      <c r="A2202" s="20">
        <v>39647</v>
      </c>
      <c r="B2202">
        <v>198.75</v>
      </c>
      <c r="E2202">
        <f t="shared" si="68"/>
        <v>7</v>
      </c>
      <c r="F2202">
        <f t="shared" si="69"/>
        <v>2008</v>
      </c>
    </row>
    <row r="2203" spans="1:6" x14ac:dyDescent="0.2">
      <c r="A2203" s="20">
        <v>39650</v>
      </c>
      <c r="B2203">
        <v>196</v>
      </c>
      <c r="E2203">
        <f t="shared" si="68"/>
        <v>7</v>
      </c>
      <c r="F2203">
        <f t="shared" si="69"/>
        <v>2008</v>
      </c>
    </row>
    <row r="2204" spans="1:6" x14ac:dyDescent="0.2">
      <c r="A2204" s="20">
        <v>39651</v>
      </c>
      <c r="B2204">
        <v>195</v>
      </c>
      <c r="E2204">
        <f t="shared" si="68"/>
        <v>7</v>
      </c>
      <c r="F2204">
        <f t="shared" si="69"/>
        <v>2008</v>
      </c>
    </row>
    <row r="2205" spans="1:6" x14ac:dyDescent="0.2">
      <c r="A2205" s="20">
        <v>39652</v>
      </c>
      <c r="B2205">
        <v>191</v>
      </c>
      <c r="E2205">
        <f t="shared" si="68"/>
        <v>7</v>
      </c>
      <c r="F2205">
        <f t="shared" si="69"/>
        <v>2008</v>
      </c>
    </row>
    <row r="2206" spans="1:6" x14ac:dyDescent="0.2">
      <c r="A2206" s="20">
        <v>39653</v>
      </c>
      <c r="B2206">
        <v>196</v>
      </c>
      <c r="E2206">
        <f t="shared" si="68"/>
        <v>7</v>
      </c>
      <c r="F2206">
        <f t="shared" si="69"/>
        <v>2008</v>
      </c>
    </row>
    <row r="2207" spans="1:6" x14ac:dyDescent="0.2">
      <c r="A2207" s="20">
        <v>39654</v>
      </c>
      <c r="B2207">
        <v>198</v>
      </c>
      <c r="E2207">
        <f t="shared" si="68"/>
        <v>7</v>
      </c>
      <c r="F2207">
        <f t="shared" si="69"/>
        <v>2008</v>
      </c>
    </row>
    <row r="2208" spans="1:6" x14ac:dyDescent="0.2">
      <c r="A2208" s="20">
        <v>39657</v>
      </c>
      <c r="B2208">
        <v>198</v>
      </c>
      <c r="E2208">
        <f t="shared" si="68"/>
        <v>7</v>
      </c>
      <c r="F2208">
        <f t="shared" si="69"/>
        <v>2008</v>
      </c>
    </row>
    <row r="2209" spans="1:6" x14ac:dyDescent="0.2">
      <c r="A2209" s="20">
        <v>39658</v>
      </c>
      <c r="B2209">
        <v>195</v>
      </c>
      <c r="E2209">
        <f t="shared" si="68"/>
        <v>7</v>
      </c>
      <c r="F2209">
        <f t="shared" si="69"/>
        <v>2008</v>
      </c>
    </row>
    <row r="2210" spans="1:6" x14ac:dyDescent="0.2">
      <c r="A2210" s="20">
        <v>39659</v>
      </c>
      <c r="B2210">
        <v>195</v>
      </c>
      <c r="E2210">
        <f t="shared" si="68"/>
        <v>7</v>
      </c>
      <c r="F2210">
        <f t="shared" si="69"/>
        <v>2008</v>
      </c>
    </row>
    <row r="2211" spans="1:6" x14ac:dyDescent="0.2">
      <c r="A2211" s="20">
        <v>39660</v>
      </c>
      <c r="B2211">
        <v>195.75</v>
      </c>
      <c r="E2211">
        <f t="shared" si="68"/>
        <v>7</v>
      </c>
      <c r="F2211">
        <f t="shared" si="69"/>
        <v>2008</v>
      </c>
    </row>
    <row r="2212" spans="1:6" x14ac:dyDescent="0.2">
      <c r="A2212" s="20">
        <v>39661</v>
      </c>
      <c r="B2212">
        <v>189</v>
      </c>
      <c r="E2212">
        <f t="shared" si="68"/>
        <v>8</v>
      </c>
      <c r="F2212">
        <f t="shared" si="69"/>
        <v>2008</v>
      </c>
    </row>
    <row r="2213" spans="1:6" x14ac:dyDescent="0.2">
      <c r="A2213" s="20">
        <v>39664</v>
      </c>
      <c r="B2213">
        <v>175</v>
      </c>
      <c r="E2213">
        <f t="shared" si="68"/>
        <v>8</v>
      </c>
      <c r="F2213">
        <f t="shared" si="69"/>
        <v>2008</v>
      </c>
    </row>
    <row r="2214" spans="1:6" x14ac:dyDescent="0.2">
      <c r="A2214" s="20">
        <v>39665</v>
      </c>
      <c r="B2214">
        <v>169.75</v>
      </c>
      <c r="E2214">
        <f t="shared" si="68"/>
        <v>8</v>
      </c>
      <c r="F2214">
        <f t="shared" si="69"/>
        <v>2008</v>
      </c>
    </row>
    <row r="2215" spans="1:6" x14ac:dyDescent="0.2">
      <c r="A2215" s="20">
        <v>39666</v>
      </c>
      <c r="B2215">
        <v>174</v>
      </c>
      <c r="E2215">
        <f t="shared" si="68"/>
        <v>8</v>
      </c>
      <c r="F2215">
        <f t="shared" si="69"/>
        <v>2008</v>
      </c>
    </row>
    <row r="2216" spans="1:6" x14ac:dyDescent="0.2">
      <c r="A2216" s="20">
        <v>39667</v>
      </c>
      <c r="B2216">
        <v>176</v>
      </c>
      <c r="E2216">
        <f t="shared" si="68"/>
        <v>8</v>
      </c>
      <c r="F2216">
        <f t="shared" si="69"/>
        <v>2008</v>
      </c>
    </row>
    <row r="2217" spans="1:6" x14ac:dyDescent="0.2">
      <c r="A2217" s="20">
        <v>39668</v>
      </c>
      <c r="B2217">
        <v>173</v>
      </c>
      <c r="E2217">
        <f t="shared" si="68"/>
        <v>8</v>
      </c>
      <c r="F2217">
        <f t="shared" si="69"/>
        <v>2008</v>
      </c>
    </row>
    <row r="2218" spans="1:6" x14ac:dyDescent="0.2">
      <c r="A2218" s="20">
        <v>39671</v>
      </c>
      <c r="B2218">
        <v>174</v>
      </c>
      <c r="E2218">
        <f t="shared" si="68"/>
        <v>8</v>
      </c>
      <c r="F2218">
        <f t="shared" si="69"/>
        <v>2008</v>
      </c>
    </row>
    <row r="2219" spans="1:6" x14ac:dyDescent="0.2">
      <c r="A2219" s="20">
        <v>39672</v>
      </c>
      <c r="B2219">
        <v>173</v>
      </c>
      <c r="E2219">
        <f t="shared" si="68"/>
        <v>8</v>
      </c>
      <c r="F2219">
        <f t="shared" si="69"/>
        <v>2008</v>
      </c>
    </row>
    <row r="2220" spans="1:6" x14ac:dyDescent="0.2">
      <c r="A2220" s="20">
        <v>39673</v>
      </c>
      <c r="B2220">
        <v>180</v>
      </c>
      <c r="E2220">
        <f t="shared" si="68"/>
        <v>8</v>
      </c>
      <c r="F2220">
        <f t="shared" si="69"/>
        <v>2008</v>
      </c>
    </row>
    <row r="2221" spans="1:6" x14ac:dyDescent="0.2">
      <c r="A2221" s="20">
        <v>39674</v>
      </c>
      <c r="B2221">
        <v>180.75</v>
      </c>
      <c r="E2221">
        <f t="shared" si="68"/>
        <v>8</v>
      </c>
      <c r="F2221">
        <f t="shared" si="69"/>
        <v>2008</v>
      </c>
    </row>
    <row r="2222" spans="1:6" x14ac:dyDescent="0.2">
      <c r="A2222" s="20">
        <v>39675</v>
      </c>
      <c r="B2222">
        <v>175</v>
      </c>
      <c r="E2222">
        <f t="shared" si="68"/>
        <v>8</v>
      </c>
      <c r="F2222">
        <f t="shared" si="69"/>
        <v>2008</v>
      </c>
    </row>
    <row r="2223" spans="1:6" x14ac:dyDescent="0.2">
      <c r="A2223" s="20">
        <v>39678</v>
      </c>
      <c r="B2223">
        <v>177</v>
      </c>
      <c r="E2223">
        <f t="shared" si="68"/>
        <v>8</v>
      </c>
      <c r="F2223">
        <f t="shared" si="69"/>
        <v>2008</v>
      </c>
    </row>
    <row r="2224" spans="1:6" x14ac:dyDescent="0.2">
      <c r="A2224" s="20">
        <v>39679</v>
      </c>
      <c r="B2224">
        <v>180</v>
      </c>
      <c r="E2224">
        <f t="shared" si="68"/>
        <v>8</v>
      </c>
      <c r="F2224">
        <f t="shared" si="69"/>
        <v>2008</v>
      </c>
    </row>
    <row r="2225" spans="1:6" x14ac:dyDescent="0.2">
      <c r="A2225" s="20">
        <v>39680</v>
      </c>
      <c r="B2225">
        <v>179</v>
      </c>
      <c r="E2225">
        <f t="shared" si="68"/>
        <v>8</v>
      </c>
      <c r="F2225">
        <f t="shared" si="69"/>
        <v>2008</v>
      </c>
    </row>
    <row r="2226" spans="1:6" x14ac:dyDescent="0.2">
      <c r="A2226" s="20">
        <v>39681</v>
      </c>
      <c r="B2226">
        <v>181</v>
      </c>
      <c r="E2226">
        <f t="shared" si="68"/>
        <v>8</v>
      </c>
      <c r="F2226">
        <f t="shared" si="69"/>
        <v>2008</v>
      </c>
    </row>
    <row r="2227" spans="1:6" x14ac:dyDescent="0.2">
      <c r="A2227" s="20">
        <v>39682</v>
      </c>
      <c r="B2227">
        <v>179.25</v>
      </c>
      <c r="E2227">
        <f t="shared" si="68"/>
        <v>8</v>
      </c>
      <c r="F2227">
        <f t="shared" si="69"/>
        <v>2008</v>
      </c>
    </row>
    <row r="2228" spans="1:6" x14ac:dyDescent="0.2">
      <c r="A2228" s="20">
        <v>39685</v>
      </c>
      <c r="B2228">
        <v>181</v>
      </c>
      <c r="E2228">
        <f t="shared" si="68"/>
        <v>8</v>
      </c>
      <c r="F2228">
        <f t="shared" si="69"/>
        <v>2008</v>
      </c>
    </row>
    <row r="2229" spans="1:6" x14ac:dyDescent="0.2">
      <c r="A2229" s="20">
        <v>39686</v>
      </c>
      <c r="B2229">
        <v>177.75</v>
      </c>
      <c r="E2229">
        <f t="shared" si="68"/>
        <v>8</v>
      </c>
      <c r="F2229">
        <f t="shared" si="69"/>
        <v>2008</v>
      </c>
    </row>
    <row r="2230" spans="1:6" x14ac:dyDescent="0.2">
      <c r="A2230" s="20">
        <v>39687</v>
      </c>
      <c r="B2230">
        <v>177</v>
      </c>
      <c r="E2230">
        <f t="shared" si="68"/>
        <v>8</v>
      </c>
      <c r="F2230">
        <f t="shared" si="69"/>
        <v>2008</v>
      </c>
    </row>
    <row r="2231" spans="1:6" x14ac:dyDescent="0.2">
      <c r="A2231" s="20">
        <v>39688</v>
      </c>
      <c r="B2231">
        <v>176.5</v>
      </c>
      <c r="E2231">
        <f t="shared" si="68"/>
        <v>8</v>
      </c>
      <c r="F2231">
        <f t="shared" si="69"/>
        <v>2008</v>
      </c>
    </row>
    <row r="2232" spans="1:6" x14ac:dyDescent="0.2">
      <c r="A2232" s="20">
        <v>39689</v>
      </c>
      <c r="B2232">
        <v>176.25</v>
      </c>
      <c r="E2232">
        <f t="shared" si="68"/>
        <v>8</v>
      </c>
      <c r="F2232">
        <f t="shared" si="69"/>
        <v>2008</v>
      </c>
    </row>
    <row r="2233" spans="1:6" x14ac:dyDescent="0.2">
      <c r="A2233" s="20">
        <v>39692</v>
      </c>
      <c r="B2233">
        <v>171</v>
      </c>
      <c r="E2233">
        <f t="shared" si="68"/>
        <v>9</v>
      </c>
      <c r="F2233">
        <f t="shared" si="69"/>
        <v>2008</v>
      </c>
    </row>
    <row r="2234" spans="1:6" x14ac:dyDescent="0.2">
      <c r="A2234" s="20">
        <v>39693</v>
      </c>
      <c r="B2234">
        <v>167</v>
      </c>
      <c r="E2234">
        <f t="shared" si="68"/>
        <v>9</v>
      </c>
      <c r="F2234">
        <f t="shared" si="69"/>
        <v>2008</v>
      </c>
    </row>
    <row r="2235" spans="1:6" x14ac:dyDescent="0.2">
      <c r="A2235" s="20">
        <v>39694</v>
      </c>
      <c r="B2235">
        <v>164</v>
      </c>
      <c r="E2235">
        <f t="shared" si="68"/>
        <v>9</v>
      </c>
      <c r="F2235">
        <f t="shared" si="69"/>
        <v>2008</v>
      </c>
    </row>
    <row r="2236" spans="1:6" x14ac:dyDescent="0.2">
      <c r="A2236" s="20">
        <v>39695</v>
      </c>
      <c r="B2236">
        <v>161</v>
      </c>
      <c r="E2236">
        <f t="shared" si="68"/>
        <v>9</v>
      </c>
      <c r="F2236">
        <f t="shared" si="69"/>
        <v>2008</v>
      </c>
    </row>
    <row r="2237" spans="1:6" x14ac:dyDescent="0.2">
      <c r="A2237" s="20">
        <v>39696</v>
      </c>
      <c r="B2237">
        <v>156</v>
      </c>
      <c r="E2237">
        <f t="shared" si="68"/>
        <v>9</v>
      </c>
      <c r="F2237">
        <f t="shared" si="69"/>
        <v>2008</v>
      </c>
    </row>
    <row r="2238" spans="1:6" x14ac:dyDescent="0.2">
      <c r="A2238" s="20">
        <v>39699</v>
      </c>
      <c r="B2238">
        <v>157.5</v>
      </c>
      <c r="E2238">
        <f t="shared" si="68"/>
        <v>9</v>
      </c>
      <c r="F2238">
        <f t="shared" si="69"/>
        <v>2008</v>
      </c>
    </row>
    <row r="2239" spans="1:6" x14ac:dyDescent="0.2">
      <c r="A2239" s="20">
        <v>39700</v>
      </c>
      <c r="B2239">
        <v>153.25</v>
      </c>
      <c r="E2239">
        <f t="shared" si="68"/>
        <v>9</v>
      </c>
      <c r="F2239">
        <f t="shared" si="69"/>
        <v>2008</v>
      </c>
    </row>
    <row r="2240" spans="1:6" x14ac:dyDescent="0.2">
      <c r="A2240" s="20">
        <v>39701</v>
      </c>
      <c r="B2240">
        <v>155.25</v>
      </c>
      <c r="E2240">
        <f t="shared" si="68"/>
        <v>9</v>
      </c>
      <c r="F2240">
        <f t="shared" si="69"/>
        <v>2008</v>
      </c>
    </row>
    <row r="2241" spans="1:6" x14ac:dyDescent="0.2">
      <c r="A2241" s="20">
        <v>39702</v>
      </c>
      <c r="B2241">
        <v>157.5</v>
      </c>
      <c r="E2241">
        <f t="shared" si="68"/>
        <v>9</v>
      </c>
      <c r="F2241">
        <f t="shared" si="69"/>
        <v>2008</v>
      </c>
    </row>
    <row r="2242" spans="1:6" x14ac:dyDescent="0.2">
      <c r="A2242" s="20">
        <v>39703</v>
      </c>
      <c r="B2242">
        <v>160.5</v>
      </c>
      <c r="E2242">
        <f t="shared" si="68"/>
        <v>9</v>
      </c>
      <c r="F2242">
        <f t="shared" si="69"/>
        <v>2008</v>
      </c>
    </row>
    <row r="2243" spans="1:6" x14ac:dyDescent="0.2">
      <c r="A2243" s="20">
        <v>39706</v>
      </c>
      <c r="B2243">
        <v>158.5</v>
      </c>
      <c r="E2243">
        <f t="shared" ref="E2243:E2306" si="70">MONTH(A2243)</f>
        <v>9</v>
      </c>
      <c r="F2243">
        <f t="shared" ref="F2243:F2306" si="71">YEAR(A2243)</f>
        <v>2008</v>
      </c>
    </row>
    <row r="2244" spans="1:6" x14ac:dyDescent="0.2">
      <c r="A2244" s="20">
        <v>39707</v>
      </c>
      <c r="B2244">
        <v>155.5</v>
      </c>
      <c r="E2244">
        <f t="shared" si="70"/>
        <v>9</v>
      </c>
      <c r="F2244">
        <f t="shared" si="71"/>
        <v>2008</v>
      </c>
    </row>
    <row r="2245" spans="1:6" x14ac:dyDescent="0.2">
      <c r="A2245" s="20">
        <v>39708</v>
      </c>
      <c r="B2245">
        <v>155.75</v>
      </c>
      <c r="E2245">
        <f t="shared" si="70"/>
        <v>9</v>
      </c>
      <c r="F2245">
        <f t="shared" si="71"/>
        <v>2008</v>
      </c>
    </row>
    <row r="2246" spans="1:6" x14ac:dyDescent="0.2">
      <c r="A2246" s="20">
        <v>39709</v>
      </c>
      <c r="B2246">
        <v>153.5</v>
      </c>
      <c r="E2246">
        <f t="shared" si="70"/>
        <v>9</v>
      </c>
      <c r="F2246">
        <f t="shared" si="71"/>
        <v>2008</v>
      </c>
    </row>
    <row r="2247" spans="1:6" x14ac:dyDescent="0.2">
      <c r="A2247" s="20">
        <v>39710</v>
      </c>
      <c r="B2247">
        <v>152.75</v>
      </c>
      <c r="E2247">
        <f t="shared" si="70"/>
        <v>9</v>
      </c>
      <c r="F2247">
        <f t="shared" si="71"/>
        <v>2008</v>
      </c>
    </row>
    <row r="2248" spans="1:6" x14ac:dyDescent="0.2">
      <c r="A2248" s="20">
        <v>39713</v>
      </c>
      <c r="B2248">
        <v>155.75</v>
      </c>
      <c r="E2248">
        <f t="shared" si="70"/>
        <v>9</v>
      </c>
      <c r="F2248">
        <f t="shared" si="71"/>
        <v>2008</v>
      </c>
    </row>
    <row r="2249" spans="1:6" x14ac:dyDescent="0.2">
      <c r="A2249" s="20">
        <v>39714</v>
      </c>
      <c r="B2249">
        <v>155.5</v>
      </c>
      <c r="E2249">
        <f t="shared" si="70"/>
        <v>9</v>
      </c>
      <c r="F2249">
        <f t="shared" si="71"/>
        <v>2008</v>
      </c>
    </row>
    <row r="2250" spans="1:6" x14ac:dyDescent="0.2">
      <c r="A2250" s="20">
        <v>39715</v>
      </c>
      <c r="B2250">
        <v>154</v>
      </c>
      <c r="E2250">
        <f t="shared" si="70"/>
        <v>9</v>
      </c>
      <c r="F2250">
        <f t="shared" si="71"/>
        <v>2008</v>
      </c>
    </row>
    <row r="2251" spans="1:6" x14ac:dyDescent="0.2">
      <c r="A2251" s="20">
        <v>39716</v>
      </c>
      <c r="B2251">
        <v>151</v>
      </c>
      <c r="E2251">
        <f t="shared" si="70"/>
        <v>9</v>
      </c>
      <c r="F2251">
        <f t="shared" si="71"/>
        <v>2008</v>
      </c>
    </row>
    <row r="2252" spans="1:6" x14ac:dyDescent="0.2">
      <c r="A2252" s="20">
        <v>39717</v>
      </c>
      <c r="B2252">
        <v>145.25</v>
      </c>
      <c r="E2252">
        <f t="shared" si="70"/>
        <v>9</v>
      </c>
      <c r="F2252">
        <f t="shared" si="71"/>
        <v>2008</v>
      </c>
    </row>
    <row r="2253" spans="1:6" x14ac:dyDescent="0.2">
      <c r="A2253" s="20">
        <v>39720</v>
      </c>
      <c r="B2253">
        <v>138.5</v>
      </c>
      <c r="E2253">
        <f t="shared" si="70"/>
        <v>9</v>
      </c>
      <c r="F2253">
        <f t="shared" si="71"/>
        <v>2008</v>
      </c>
    </row>
    <row r="2254" spans="1:6" x14ac:dyDescent="0.2">
      <c r="A2254" s="20">
        <v>39721</v>
      </c>
      <c r="B2254">
        <v>139</v>
      </c>
      <c r="E2254">
        <f t="shared" si="70"/>
        <v>9</v>
      </c>
      <c r="F2254">
        <f t="shared" si="71"/>
        <v>2008</v>
      </c>
    </row>
    <row r="2255" spans="1:6" x14ac:dyDescent="0.2">
      <c r="A2255" s="20">
        <v>39722</v>
      </c>
      <c r="B2255">
        <v>140</v>
      </c>
      <c r="E2255">
        <f t="shared" si="70"/>
        <v>10</v>
      </c>
      <c r="F2255">
        <f t="shared" si="71"/>
        <v>2008</v>
      </c>
    </row>
    <row r="2256" spans="1:6" x14ac:dyDescent="0.2">
      <c r="A2256" s="20">
        <v>39723</v>
      </c>
      <c r="B2256">
        <v>136.25</v>
      </c>
      <c r="E2256">
        <f t="shared" si="70"/>
        <v>10</v>
      </c>
      <c r="F2256">
        <f t="shared" si="71"/>
        <v>2008</v>
      </c>
    </row>
    <row r="2257" spans="1:6" x14ac:dyDescent="0.2">
      <c r="A2257" s="20">
        <v>39724</v>
      </c>
      <c r="B2257">
        <v>134.5</v>
      </c>
      <c r="E2257">
        <f t="shared" si="70"/>
        <v>10</v>
      </c>
      <c r="F2257">
        <f t="shared" si="71"/>
        <v>2008</v>
      </c>
    </row>
    <row r="2258" spans="1:6" x14ac:dyDescent="0.2">
      <c r="A2258" s="20">
        <v>39727</v>
      </c>
      <c r="B2258">
        <v>129</v>
      </c>
      <c r="E2258">
        <f t="shared" si="70"/>
        <v>10</v>
      </c>
      <c r="F2258">
        <f t="shared" si="71"/>
        <v>2008</v>
      </c>
    </row>
    <row r="2259" spans="1:6" x14ac:dyDescent="0.2">
      <c r="A2259" s="20">
        <v>39728</v>
      </c>
      <c r="B2259">
        <v>131</v>
      </c>
      <c r="E2259">
        <f t="shared" si="70"/>
        <v>10</v>
      </c>
      <c r="F2259">
        <f t="shared" si="71"/>
        <v>2008</v>
      </c>
    </row>
    <row r="2260" spans="1:6" x14ac:dyDescent="0.2">
      <c r="A2260" s="20">
        <v>39729</v>
      </c>
      <c r="B2260">
        <v>129.75</v>
      </c>
      <c r="E2260">
        <f t="shared" si="70"/>
        <v>10</v>
      </c>
      <c r="F2260">
        <f t="shared" si="71"/>
        <v>2008</v>
      </c>
    </row>
    <row r="2261" spans="1:6" x14ac:dyDescent="0.2">
      <c r="A2261" s="20">
        <v>39730</v>
      </c>
      <c r="B2261">
        <v>131</v>
      </c>
      <c r="E2261">
        <f t="shared" si="70"/>
        <v>10</v>
      </c>
      <c r="F2261">
        <f t="shared" si="71"/>
        <v>2008</v>
      </c>
    </row>
    <row r="2262" spans="1:6" x14ac:dyDescent="0.2">
      <c r="A2262" s="20">
        <v>39731</v>
      </c>
      <c r="B2262">
        <v>126</v>
      </c>
      <c r="E2262">
        <f t="shared" si="70"/>
        <v>10</v>
      </c>
      <c r="F2262">
        <f t="shared" si="71"/>
        <v>2008</v>
      </c>
    </row>
    <row r="2263" spans="1:6" x14ac:dyDescent="0.2">
      <c r="A2263" s="20">
        <v>39734</v>
      </c>
      <c r="B2263">
        <v>129</v>
      </c>
      <c r="E2263">
        <f t="shared" si="70"/>
        <v>10</v>
      </c>
      <c r="F2263">
        <f t="shared" si="71"/>
        <v>2008</v>
      </c>
    </row>
    <row r="2264" spans="1:6" x14ac:dyDescent="0.2">
      <c r="A2264" s="20">
        <v>39735</v>
      </c>
      <c r="B2264">
        <v>130</v>
      </c>
      <c r="E2264">
        <f t="shared" si="70"/>
        <v>10</v>
      </c>
      <c r="F2264">
        <f t="shared" si="71"/>
        <v>2008</v>
      </c>
    </row>
    <row r="2265" spans="1:6" x14ac:dyDescent="0.2">
      <c r="A2265" s="20">
        <v>39736</v>
      </c>
      <c r="B2265">
        <v>127.5</v>
      </c>
      <c r="E2265">
        <f t="shared" si="70"/>
        <v>10</v>
      </c>
      <c r="F2265">
        <f t="shared" si="71"/>
        <v>2008</v>
      </c>
    </row>
    <row r="2266" spans="1:6" x14ac:dyDescent="0.2">
      <c r="A2266" s="20">
        <v>39737</v>
      </c>
      <c r="B2266">
        <v>127.5</v>
      </c>
      <c r="E2266">
        <f t="shared" si="70"/>
        <v>10</v>
      </c>
      <c r="F2266">
        <f t="shared" si="71"/>
        <v>2008</v>
      </c>
    </row>
    <row r="2267" spans="1:6" x14ac:dyDescent="0.2">
      <c r="A2267" s="20">
        <v>39738</v>
      </c>
      <c r="B2267">
        <v>132</v>
      </c>
      <c r="E2267">
        <f t="shared" si="70"/>
        <v>10</v>
      </c>
      <c r="F2267">
        <f t="shared" si="71"/>
        <v>2008</v>
      </c>
    </row>
    <row r="2268" spans="1:6" x14ac:dyDescent="0.2">
      <c r="A2268" s="20">
        <v>39741</v>
      </c>
      <c r="B2268">
        <v>133.5</v>
      </c>
      <c r="E2268">
        <f t="shared" si="70"/>
        <v>10</v>
      </c>
      <c r="F2268">
        <f t="shared" si="71"/>
        <v>2008</v>
      </c>
    </row>
    <row r="2269" spans="1:6" x14ac:dyDescent="0.2">
      <c r="A2269" s="20">
        <v>39742</v>
      </c>
      <c r="B2269">
        <v>132.75</v>
      </c>
      <c r="E2269">
        <f t="shared" si="70"/>
        <v>10</v>
      </c>
      <c r="F2269">
        <f t="shared" si="71"/>
        <v>2008</v>
      </c>
    </row>
    <row r="2270" spans="1:6" x14ac:dyDescent="0.2">
      <c r="A2270" s="20">
        <v>39743</v>
      </c>
      <c r="B2270">
        <v>133.25</v>
      </c>
      <c r="E2270">
        <f t="shared" si="70"/>
        <v>10</v>
      </c>
      <c r="F2270">
        <f t="shared" si="71"/>
        <v>2008</v>
      </c>
    </row>
    <row r="2271" spans="1:6" x14ac:dyDescent="0.2">
      <c r="A2271" s="20">
        <v>39744</v>
      </c>
      <c r="B2271">
        <v>131</v>
      </c>
      <c r="E2271">
        <f t="shared" si="70"/>
        <v>10</v>
      </c>
      <c r="F2271">
        <f t="shared" si="71"/>
        <v>2008</v>
      </c>
    </row>
    <row r="2272" spans="1:6" x14ac:dyDescent="0.2">
      <c r="A2272" s="20">
        <v>39745</v>
      </c>
      <c r="B2272">
        <v>128.5</v>
      </c>
      <c r="E2272">
        <f t="shared" si="70"/>
        <v>10</v>
      </c>
      <c r="F2272">
        <f t="shared" si="71"/>
        <v>2008</v>
      </c>
    </row>
    <row r="2273" spans="1:6" x14ac:dyDescent="0.2">
      <c r="A2273" s="20">
        <v>39748</v>
      </c>
      <c r="B2273">
        <v>127</v>
      </c>
      <c r="E2273">
        <f t="shared" si="70"/>
        <v>10</v>
      </c>
      <c r="F2273">
        <f t="shared" si="71"/>
        <v>2008</v>
      </c>
    </row>
    <row r="2274" spans="1:6" x14ac:dyDescent="0.2">
      <c r="A2274" s="20">
        <v>39749</v>
      </c>
      <c r="B2274">
        <v>128.5</v>
      </c>
      <c r="E2274">
        <f t="shared" si="70"/>
        <v>10</v>
      </c>
      <c r="F2274">
        <f t="shared" si="71"/>
        <v>2008</v>
      </c>
    </row>
    <row r="2275" spans="1:6" x14ac:dyDescent="0.2">
      <c r="A2275" s="20">
        <v>39750</v>
      </c>
      <c r="B2275">
        <v>130</v>
      </c>
      <c r="E2275">
        <f t="shared" si="70"/>
        <v>10</v>
      </c>
      <c r="F2275">
        <f t="shared" si="71"/>
        <v>2008</v>
      </c>
    </row>
    <row r="2276" spans="1:6" x14ac:dyDescent="0.2">
      <c r="A2276" s="20">
        <v>39751</v>
      </c>
      <c r="B2276">
        <v>131</v>
      </c>
      <c r="E2276">
        <f t="shared" si="70"/>
        <v>10</v>
      </c>
      <c r="F2276">
        <f t="shared" si="71"/>
        <v>2008</v>
      </c>
    </row>
    <row r="2277" spans="1:6" x14ac:dyDescent="0.2">
      <c r="A2277" s="20">
        <v>39752</v>
      </c>
      <c r="B2277">
        <v>129</v>
      </c>
      <c r="E2277">
        <f t="shared" si="70"/>
        <v>10</v>
      </c>
      <c r="F2277">
        <f t="shared" si="71"/>
        <v>2008</v>
      </c>
    </row>
    <row r="2278" spans="1:6" x14ac:dyDescent="0.2">
      <c r="A2278" s="20">
        <v>39755</v>
      </c>
      <c r="B2278">
        <v>128</v>
      </c>
      <c r="E2278">
        <f t="shared" si="70"/>
        <v>11</v>
      </c>
      <c r="F2278">
        <f t="shared" si="71"/>
        <v>2008</v>
      </c>
    </row>
    <row r="2279" spans="1:6" x14ac:dyDescent="0.2">
      <c r="A2279" s="20">
        <v>39756</v>
      </c>
      <c r="B2279">
        <v>130</v>
      </c>
      <c r="E2279">
        <f t="shared" si="70"/>
        <v>11</v>
      </c>
      <c r="F2279">
        <f t="shared" si="71"/>
        <v>2008</v>
      </c>
    </row>
    <row r="2280" spans="1:6" x14ac:dyDescent="0.2">
      <c r="A2280" s="20">
        <v>39757</v>
      </c>
      <c r="B2280">
        <v>127</v>
      </c>
      <c r="E2280">
        <f t="shared" si="70"/>
        <v>11</v>
      </c>
      <c r="F2280">
        <f t="shared" si="71"/>
        <v>2008</v>
      </c>
    </row>
    <row r="2281" spans="1:6" x14ac:dyDescent="0.2">
      <c r="A2281" s="20">
        <v>39758</v>
      </c>
      <c r="B2281">
        <v>135.5</v>
      </c>
      <c r="E2281">
        <f t="shared" si="70"/>
        <v>11</v>
      </c>
      <c r="F2281">
        <f t="shared" si="71"/>
        <v>2008</v>
      </c>
    </row>
    <row r="2282" spans="1:6" x14ac:dyDescent="0.2">
      <c r="A2282" s="20">
        <v>39759</v>
      </c>
      <c r="B2282">
        <v>133.5</v>
      </c>
      <c r="E2282">
        <f t="shared" si="70"/>
        <v>11</v>
      </c>
      <c r="F2282">
        <f t="shared" si="71"/>
        <v>2008</v>
      </c>
    </row>
    <row r="2283" spans="1:6" x14ac:dyDescent="0.2">
      <c r="A2283" s="20">
        <v>39762</v>
      </c>
      <c r="B2283">
        <v>133</v>
      </c>
      <c r="E2283">
        <f t="shared" si="70"/>
        <v>11</v>
      </c>
      <c r="F2283">
        <f t="shared" si="71"/>
        <v>2008</v>
      </c>
    </row>
    <row r="2284" spans="1:6" x14ac:dyDescent="0.2">
      <c r="A2284" s="20">
        <v>39763</v>
      </c>
      <c r="B2284">
        <v>132</v>
      </c>
      <c r="E2284">
        <f t="shared" si="70"/>
        <v>11</v>
      </c>
      <c r="F2284">
        <f t="shared" si="71"/>
        <v>2008</v>
      </c>
    </row>
    <row r="2285" spans="1:6" x14ac:dyDescent="0.2">
      <c r="A2285" s="20">
        <v>39764</v>
      </c>
      <c r="B2285">
        <v>131</v>
      </c>
      <c r="E2285">
        <f t="shared" si="70"/>
        <v>11</v>
      </c>
      <c r="F2285">
        <f t="shared" si="71"/>
        <v>2008</v>
      </c>
    </row>
    <row r="2286" spans="1:6" x14ac:dyDescent="0.2">
      <c r="A2286" s="20">
        <v>39765</v>
      </c>
      <c r="B2286">
        <v>129.75</v>
      </c>
      <c r="E2286">
        <f t="shared" si="70"/>
        <v>11</v>
      </c>
      <c r="F2286">
        <f t="shared" si="71"/>
        <v>2008</v>
      </c>
    </row>
    <row r="2287" spans="1:6" x14ac:dyDescent="0.2">
      <c r="A2287" s="20">
        <v>39766</v>
      </c>
      <c r="B2287">
        <v>129.75</v>
      </c>
      <c r="E2287">
        <f t="shared" si="70"/>
        <v>11</v>
      </c>
      <c r="F2287">
        <f t="shared" si="71"/>
        <v>2008</v>
      </c>
    </row>
    <row r="2288" spans="1:6" x14ac:dyDescent="0.2">
      <c r="A2288" s="20">
        <v>39769</v>
      </c>
      <c r="B2288">
        <v>128.5</v>
      </c>
      <c r="E2288">
        <f t="shared" si="70"/>
        <v>11</v>
      </c>
      <c r="F2288">
        <f t="shared" si="71"/>
        <v>2008</v>
      </c>
    </row>
    <row r="2289" spans="1:6" x14ac:dyDescent="0.2">
      <c r="A2289" s="20">
        <v>39770</v>
      </c>
      <c r="B2289">
        <v>125.75</v>
      </c>
      <c r="E2289">
        <f t="shared" si="70"/>
        <v>11</v>
      </c>
      <c r="F2289">
        <f t="shared" si="71"/>
        <v>2008</v>
      </c>
    </row>
    <row r="2290" spans="1:6" x14ac:dyDescent="0.2">
      <c r="A2290" s="20">
        <v>39771</v>
      </c>
      <c r="B2290">
        <v>123.5</v>
      </c>
      <c r="E2290">
        <f t="shared" si="70"/>
        <v>11</v>
      </c>
      <c r="F2290">
        <f t="shared" si="71"/>
        <v>2008</v>
      </c>
    </row>
    <row r="2291" spans="1:6" x14ac:dyDescent="0.2">
      <c r="A2291" s="20">
        <v>39772</v>
      </c>
      <c r="B2291">
        <v>120</v>
      </c>
      <c r="E2291">
        <f t="shared" si="70"/>
        <v>11</v>
      </c>
      <c r="F2291">
        <f t="shared" si="71"/>
        <v>2008</v>
      </c>
    </row>
    <row r="2292" spans="1:6" x14ac:dyDescent="0.2">
      <c r="A2292" s="20">
        <v>39773</v>
      </c>
      <c r="B2292">
        <v>120</v>
      </c>
      <c r="E2292">
        <f t="shared" si="70"/>
        <v>11</v>
      </c>
      <c r="F2292">
        <f t="shared" si="71"/>
        <v>2008</v>
      </c>
    </row>
    <row r="2293" spans="1:6" x14ac:dyDescent="0.2">
      <c r="A2293" s="20">
        <v>39776</v>
      </c>
      <c r="B2293">
        <v>121</v>
      </c>
      <c r="E2293">
        <f t="shared" si="70"/>
        <v>11</v>
      </c>
      <c r="F2293">
        <f t="shared" si="71"/>
        <v>2008</v>
      </c>
    </row>
    <row r="2294" spans="1:6" x14ac:dyDescent="0.2">
      <c r="A2294" s="20">
        <v>39777</v>
      </c>
      <c r="B2294">
        <v>121.25</v>
      </c>
      <c r="E2294">
        <f t="shared" si="70"/>
        <v>11</v>
      </c>
      <c r="F2294">
        <f t="shared" si="71"/>
        <v>2008</v>
      </c>
    </row>
    <row r="2295" spans="1:6" x14ac:dyDescent="0.2">
      <c r="A2295" s="20">
        <v>39778</v>
      </c>
      <c r="B2295">
        <v>121</v>
      </c>
      <c r="E2295">
        <f t="shared" si="70"/>
        <v>11</v>
      </c>
      <c r="F2295">
        <f t="shared" si="71"/>
        <v>2008</v>
      </c>
    </row>
    <row r="2296" spans="1:6" x14ac:dyDescent="0.2">
      <c r="A2296" s="20">
        <v>39779</v>
      </c>
      <c r="B2296">
        <v>121</v>
      </c>
      <c r="E2296">
        <f t="shared" si="70"/>
        <v>11</v>
      </c>
      <c r="F2296">
        <f t="shared" si="71"/>
        <v>2008</v>
      </c>
    </row>
    <row r="2297" spans="1:6" x14ac:dyDescent="0.2">
      <c r="A2297" s="20">
        <v>39780</v>
      </c>
      <c r="B2297">
        <v>120</v>
      </c>
      <c r="E2297">
        <f t="shared" si="70"/>
        <v>11</v>
      </c>
      <c r="F2297">
        <f t="shared" si="71"/>
        <v>2008</v>
      </c>
    </row>
    <row r="2298" spans="1:6" x14ac:dyDescent="0.2">
      <c r="A2298" s="20">
        <v>39783</v>
      </c>
      <c r="B2298">
        <v>119</v>
      </c>
      <c r="E2298">
        <f t="shared" si="70"/>
        <v>12</v>
      </c>
      <c r="F2298">
        <f t="shared" si="71"/>
        <v>2008</v>
      </c>
    </row>
    <row r="2299" spans="1:6" x14ac:dyDescent="0.2">
      <c r="A2299" s="20">
        <v>39784</v>
      </c>
      <c r="B2299">
        <v>118.25</v>
      </c>
      <c r="E2299">
        <f t="shared" si="70"/>
        <v>12</v>
      </c>
      <c r="F2299">
        <f t="shared" si="71"/>
        <v>2008</v>
      </c>
    </row>
    <row r="2300" spans="1:6" x14ac:dyDescent="0.2">
      <c r="A2300" s="20">
        <v>39785</v>
      </c>
      <c r="B2300">
        <v>118</v>
      </c>
      <c r="E2300">
        <f t="shared" si="70"/>
        <v>12</v>
      </c>
      <c r="F2300">
        <f t="shared" si="71"/>
        <v>2008</v>
      </c>
    </row>
    <row r="2301" spans="1:6" x14ac:dyDescent="0.2">
      <c r="A2301" s="20">
        <v>39786</v>
      </c>
      <c r="B2301">
        <v>114</v>
      </c>
      <c r="E2301">
        <f t="shared" si="70"/>
        <v>12</v>
      </c>
      <c r="F2301">
        <f t="shared" si="71"/>
        <v>2008</v>
      </c>
    </row>
    <row r="2302" spans="1:6" x14ac:dyDescent="0.2">
      <c r="A2302" s="20">
        <v>39787</v>
      </c>
      <c r="B2302">
        <v>112.25</v>
      </c>
      <c r="E2302">
        <f t="shared" si="70"/>
        <v>12</v>
      </c>
      <c r="F2302">
        <f t="shared" si="71"/>
        <v>2008</v>
      </c>
    </row>
    <row r="2303" spans="1:6" x14ac:dyDescent="0.2">
      <c r="A2303" s="20">
        <v>39790</v>
      </c>
      <c r="B2303">
        <v>113.75</v>
      </c>
      <c r="E2303">
        <f t="shared" si="70"/>
        <v>12</v>
      </c>
      <c r="F2303">
        <f t="shared" si="71"/>
        <v>2008</v>
      </c>
    </row>
    <row r="2304" spans="1:6" x14ac:dyDescent="0.2">
      <c r="A2304" s="20">
        <v>39791</v>
      </c>
      <c r="B2304">
        <v>113.5</v>
      </c>
      <c r="E2304">
        <f t="shared" si="70"/>
        <v>12</v>
      </c>
      <c r="F2304">
        <f t="shared" si="71"/>
        <v>2008</v>
      </c>
    </row>
    <row r="2305" spans="1:6" x14ac:dyDescent="0.2">
      <c r="A2305" s="20">
        <v>39792</v>
      </c>
      <c r="B2305">
        <v>115</v>
      </c>
      <c r="E2305">
        <f t="shared" si="70"/>
        <v>12</v>
      </c>
      <c r="F2305">
        <f t="shared" si="71"/>
        <v>2008</v>
      </c>
    </row>
    <row r="2306" spans="1:6" x14ac:dyDescent="0.2">
      <c r="A2306" s="20">
        <v>39793</v>
      </c>
      <c r="B2306">
        <v>115</v>
      </c>
      <c r="E2306">
        <f t="shared" si="70"/>
        <v>12</v>
      </c>
      <c r="F2306">
        <f t="shared" si="71"/>
        <v>2008</v>
      </c>
    </row>
    <row r="2307" spans="1:6" x14ac:dyDescent="0.2">
      <c r="A2307" s="20">
        <v>39794</v>
      </c>
      <c r="B2307">
        <v>113.5</v>
      </c>
      <c r="E2307">
        <f t="shared" ref="E2307:E2370" si="72">MONTH(A2307)</f>
        <v>12</v>
      </c>
      <c r="F2307">
        <f t="shared" ref="F2307:F2370" si="73">YEAR(A2307)</f>
        <v>2008</v>
      </c>
    </row>
    <row r="2308" spans="1:6" x14ac:dyDescent="0.2">
      <c r="A2308" s="20">
        <v>39797</v>
      </c>
      <c r="B2308">
        <v>116</v>
      </c>
      <c r="E2308">
        <f t="shared" si="72"/>
        <v>12</v>
      </c>
      <c r="F2308">
        <f t="shared" si="73"/>
        <v>2008</v>
      </c>
    </row>
    <row r="2309" spans="1:6" x14ac:dyDescent="0.2">
      <c r="A2309" s="20">
        <v>39798</v>
      </c>
      <c r="B2309">
        <v>117.5</v>
      </c>
      <c r="E2309">
        <f t="shared" si="72"/>
        <v>12</v>
      </c>
      <c r="F2309">
        <f t="shared" si="73"/>
        <v>2008</v>
      </c>
    </row>
    <row r="2310" spans="1:6" x14ac:dyDescent="0.2">
      <c r="A2310" s="20">
        <v>39799</v>
      </c>
      <c r="B2310">
        <v>118</v>
      </c>
      <c r="E2310">
        <f t="shared" si="72"/>
        <v>12</v>
      </c>
      <c r="F2310">
        <f t="shared" si="73"/>
        <v>2008</v>
      </c>
    </row>
    <row r="2311" spans="1:6" x14ac:dyDescent="0.2">
      <c r="A2311" s="20">
        <v>39800</v>
      </c>
      <c r="B2311">
        <v>118</v>
      </c>
      <c r="E2311">
        <f t="shared" si="72"/>
        <v>12</v>
      </c>
      <c r="F2311">
        <f t="shared" si="73"/>
        <v>2008</v>
      </c>
    </row>
    <row r="2312" spans="1:6" x14ac:dyDescent="0.2">
      <c r="A2312" s="20">
        <v>39801</v>
      </c>
      <c r="B2312">
        <v>118.75</v>
      </c>
      <c r="E2312">
        <f t="shared" si="72"/>
        <v>12</v>
      </c>
      <c r="F2312">
        <f t="shared" si="73"/>
        <v>2008</v>
      </c>
    </row>
    <row r="2313" spans="1:6" x14ac:dyDescent="0.2">
      <c r="A2313" s="20">
        <v>39804</v>
      </c>
      <c r="B2313">
        <v>119</v>
      </c>
      <c r="E2313">
        <f t="shared" si="72"/>
        <v>12</v>
      </c>
      <c r="F2313">
        <f t="shared" si="73"/>
        <v>2008</v>
      </c>
    </row>
    <row r="2314" spans="1:6" x14ac:dyDescent="0.2">
      <c r="A2314" s="20">
        <v>39805</v>
      </c>
      <c r="B2314">
        <v>120.5</v>
      </c>
      <c r="E2314">
        <f t="shared" si="72"/>
        <v>12</v>
      </c>
      <c r="F2314">
        <f t="shared" si="73"/>
        <v>2008</v>
      </c>
    </row>
    <row r="2315" spans="1:6" x14ac:dyDescent="0.2">
      <c r="A2315" s="20">
        <v>39806</v>
      </c>
      <c r="B2315">
        <v>121</v>
      </c>
      <c r="E2315">
        <f t="shared" si="72"/>
        <v>12</v>
      </c>
      <c r="F2315">
        <f t="shared" si="73"/>
        <v>2008</v>
      </c>
    </row>
    <row r="2316" spans="1:6" x14ac:dyDescent="0.2">
      <c r="A2316" s="20">
        <v>39811</v>
      </c>
      <c r="B2316">
        <v>123.5</v>
      </c>
      <c r="E2316">
        <f t="shared" si="72"/>
        <v>12</v>
      </c>
      <c r="F2316">
        <f t="shared" si="73"/>
        <v>2008</v>
      </c>
    </row>
    <row r="2317" spans="1:6" x14ac:dyDescent="0.2">
      <c r="A2317" s="20">
        <v>39812</v>
      </c>
      <c r="B2317">
        <v>122</v>
      </c>
      <c r="E2317">
        <f t="shared" si="72"/>
        <v>12</v>
      </c>
      <c r="F2317">
        <f t="shared" si="73"/>
        <v>2008</v>
      </c>
    </row>
    <row r="2318" spans="1:6" x14ac:dyDescent="0.2">
      <c r="A2318" s="20">
        <v>39813</v>
      </c>
      <c r="B2318">
        <v>121</v>
      </c>
      <c r="E2318">
        <f t="shared" si="72"/>
        <v>12</v>
      </c>
      <c r="F2318">
        <f t="shared" si="73"/>
        <v>2008</v>
      </c>
    </row>
    <row r="2319" spans="1:6" x14ac:dyDescent="0.2">
      <c r="A2319" s="20">
        <v>39815</v>
      </c>
      <c r="B2319">
        <v>124.5</v>
      </c>
      <c r="E2319">
        <f t="shared" si="72"/>
        <v>1</v>
      </c>
      <c r="F2319">
        <f t="shared" si="73"/>
        <v>2009</v>
      </c>
    </row>
    <row r="2320" spans="1:6" x14ac:dyDescent="0.2">
      <c r="A2320" s="20">
        <v>39818</v>
      </c>
      <c r="B2320">
        <v>126</v>
      </c>
      <c r="E2320">
        <f t="shared" si="72"/>
        <v>1</v>
      </c>
      <c r="F2320">
        <f t="shared" si="73"/>
        <v>2009</v>
      </c>
    </row>
    <row r="2321" spans="1:6" x14ac:dyDescent="0.2">
      <c r="A2321" s="20">
        <v>39819</v>
      </c>
      <c r="B2321">
        <v>130</v>
      </c>
      <c r="E2321">
        <f t="shared" si="72"/>
        <v>1</v>
      </c>
      <c r="F2321">
        <f t="shared" si="73"/>
        <v>2009</v>
      </c>
    </row>
    <row r="2322" spans="1:6" x14ac:dyDescent="0.2">
      <c r="A2322" s="20">
        <v>39820</v>
      </c>
      <c r="B2322">
        <v>128</v>
      </c>
      <c r="E2322">
        <f t="shared" si="72"/>
        <v>1</v>
      </c>
      <c r="F2322">
        <f t="shared" si="73"/>
        <v>2009</v>
      </c>
    </row>
    <row r="2323" spans="1:6" x14ac:dyDescent="0.2">
      <c r="A2323" s="20">
        <v>39821</v>
      </c>
      <c r="B2323">
        <v>126.5</v>
      </c>
      <c r="E2323">
        <f t="shared" si="72"/>
        <v>1</v>
      </c>
      <c r="F2323">
        <f t="shared" si="73"/>
        <v>2009</v>
      </c>
    </row>
    <row r="2324" spans="1:6" x14ac:dyDescent="0.2">
      <c r="A2324" s="20">
        <v>39822</v>
      </c>
      <c r="B2324">
        <v>130.5</v>
      </c>
      <c r="E2324">
        <f t="shared" si="72"/>
        <v>1</v>
      </c>
      <c r="F2324">
        <f t="shared" si="73"/>
        <v>2009</v>
      </c>
    </row>
    <row r="2325" spans="1:6" x14ac:dyDescent="0.2">
      <c r="A2325" s="20">
        <v>39825</v>
      </c>
      <c r="B2325">
        <v>125.75</v>
      </c>
      <c r="E2325">
        <f t="shared" si="72"/>
        <v>1</v>
      </c>
      <c r="F2325">
        <f t="shared" si="73"/>
        <v>2009</v>
      </c>
    </row>
    <row r="2326" spans="1:6" x14ac:dyDescent="0.2">
      <c r="A2326" s="20">
        <v>39826</v>
      </c>
      <c r="B2326">
        <v>128</v>
      </c>
      <c r="E2326">
        <f t="shared" si="72"/>
        <v>1</v>
      </c>
      <c r="F2326">
        <f t="shared" si="73"/>
        <v>2009</v>
      </c>
    </row>
    <row r="2327" spans="1:6" x14ac:dyDescent="0.2">
      <c r="A2327" s="20">
        <v>39827</v>
      </c>
      <c r="B2327">
        <v>128.5</v>
      </c>
      <c r="E2327">
        <f t="shared" si="72"/>
        <v>1</v>
      </c>
      <c r="F2327">
        <f t="shared" si="73"/>
        <v>2009</v>
      </c>
    </row>
    <row r="2328" spans="1:6" x14ac:dyDescent="0.2">
      <c r="A2328" s="20">
        <v>39828</v>
      </c>
      <c r="B2328">
        <v>131</v>
      </c>
      <c r="E2328">
        <f t="shared" si="72"/>
        <v>1</v>
      </c>
      <c r="F2328">
        <f t="shared" si="73"/>
        <v>2009</v>
      </c>
    </row>
    <row r="2329" spans="1:6" x14ac:dyDescent="0.2">
      <c r="A2329" s="20">
        <v>39829</v>
      </c>
      <c r="B2329">
        <v>135.5</v>
      </c>
      <c r="E2329">
        <f t="shared" si="72"/>
        <v>1</v>
      </c>
      <c r="F2329">
        <f t="shared" si="73"/>
        <v>2009</v>
      </c>
    </row>
    <row r="2330" spans="1:6" x14ac:dyDescent="0.2">
      <c r="A2330" s="20">
        <v>39832</v>
      </c>
      <c r="B2330">
        <v>137.25</v>
      </c>
      <c r="E2330">
        <f t="shared" si="72"/>
        <v>1</v>
      </c>
      <c r="F2330">
        <f t="shared" si="73"/>
        <v>2009</v>
      </c>
    </row>
    <row r="2331" spans="1:6" x14ac:dyDescent="0.2">
      <c r="A2331" s="20">
        <v>39833</v>
      </c>
      <c r="B2331">
        <v>136</v>
      </c>
      <c r="E2331">
        <f t="shared" si="72"/>
        <v>1</v>
      </c>
      <c r="F2331">
        <f t="shared" si="73"/>
        <v>2009</v>
      </c>
    </row>
    <row r="2332" spans="1:6" x14ac:dyDescent="0.2">
      <c r="A2332" s="20">
        <v>39834</v>
      </c>
      <c r="B2332">
        <v>134</v>
      </c>
      <c r="E2332">
        <f t="shared" si="72"/>
        <v>1</v>
      </c>
      <c r="F2332">
        <f t="shared" si="73"/>
        <v>2009</v>
      </c>
    </row>
    <row r="2333" spans="1:6" x14ac:dyDescent="0.2">
      <c r="A2333" s="20">
        <v>39835</v>
      </c>
      <c r="B2333">
        <v>135</v>
      </c>
      <c r="E2333">
        <f t="shared" si="72"/>
        <v>1</v>
      </c>
      <c r="F2333">
        <f t="shared" si="73"/>
        <v>2009</v>
      </c>
    </row>
    <row r="2334" spans="1:6" x14ac:dyDescent="0.2">
      <c r="A2334" s="20">
        <v>39836</v>
      </c>
      <c r="B2334">
        <v>138.5</v>
      </c>
      <c r="E2334">
        <f t="shared" si="72"/>
        <v>1</v>
      </c>
      <c r="F2334">
        <f t="shared" si="73"/>
        <v>2009</v>
      </c>
    </row>
    <row r="2335" spans="1:6" x14ac:dyDescent="0.2">
      <c r="A2335" s="20">
        <v>39839</v>
      </c>
      <c r="B2335">
        <v>141</v>
      </c>
      <c r="E2335">
        <f t="shared" si="72"/>
        <v>1</v>
      </c>
      <c r="F2335">
        <f t="shared" si="73"/>
        <v>2009</v>
      </c>
    </row>
    <row r="2336" spans="1:6" x14ac:dyDescent="0.2">
      <c r="A2336" s="20">
        <v>39840</v>
      </c>
      <c r="B2336">
        <v>142</v>
      </c>
      <c r="E2336">
        <f t="shared" si="72"/>
        <v>1</v>
      </c>
      <c r="F2336">
        <f t="shared" si="73"/>
        <v>2009</v>
      </c>
    </row>
    <row r="2337" spans="1:6" x14ac:dyDescent="0.2">
      <c r="A2337" s="20">
        <v>39841</v>
      </c>
      <c r="B2337">
        <v>141</v>
      </c>
      <c r="E2337">
        <f t="shared" si="72"/>
        <v>1</v>
      </c>
      <c r="F2337">
        <f t="shared" si="73"/>
        <v>2009</v>
      </c>
    </row>
    <row r="2338" spans="1:6" x14ac:dyDescent="0.2">
      <c r="A2338" s="20">
        <v>39842</v>
      </c>
      <c r="B2338">
        <v>139.5</v>
      </c>
      <c r="E2338">
        <f t="shared" si="72"/>
        <v>1</v>
      </c>
      <c r="F2338">
        <f t="shared" si="73"/>
        <v>2009</v>
      </c>
    </row>
    <row r="2339" spans="1:6" x14ac:dyDescent="0.2">
      <c r="A2339" s="20">
        <v>39843</v>
      </c>
      <c r="B2339">
        <v>140</v>
      </c>
      <c r="E2339">
        <f t="shared" si="72"/>
        <v>1</v>
      </c>
      <c r="F2339">
        <f t="shared" si="73"/>
        <v>2009</v>
      </c>
    </row>
    <row r="2340" spans="1:6" x14ac:dyDescent="0.2">
      <c r="A2340" s="20">
        <v>39846</v>
      </c>
      <c r="B2340">
        <v>138.5</v>
      </c>
      <c r="E2340">
        <f t="shared" si="72"/>
        <v>2</v>
      </c>
      <c r="F2340">
        <f t="shared" si="73"/>
        <v>2009</v>
      </c>
    </row>
    <row r="2341" spans="1:6" x14ac:dyDescent="0.2">
      <c r="A2341" s="20">
        <v>39847</v>
      </c>
      <c r="B2341">
        <v>137</v>
      </c>
      <c r="E2341">
        <f t="shared" si="72"/>
        <v>2</v>
      </c>
      <c r="F2341">
        <f t="shared" si="73"/>
        <v>2009</v>
      </c>
    </row>
    <row r="2342" spans="1:6" x14ac:dyDescent="0.2">
      <c r="A2342" s="20">
        <v>39848</v>
      </c>
      <c r="B2342">
        <v>136</v>
      </c>
      <c r="E2342">
        <f t="shared" si="72"/>
        <v>2</v>
      </c>
      <c r="F2342">
        <f t="shared" si="73"/>
        <v>2009</v>
      </c>
    </row>
    <row r="2343" spans="1:6" x14ac:dyDescent="0.2">
      <c r="A2343" s="20">
        <v>39849</v>
      </c>
      <c r="B2343">
        <v>137</v>
      </c>
      <c r="E2343">
        <f t="shared" si="72"/>
        <v>2</v>
      </c>
      <c r="F2343">
        <f t="shared" si="73"/>
        <v>2009</v>
      </c>
    </row>
    <row r="2344" spans="1:6" x14ac:dyDescent="0.2">
      <c r="A2344" s="20">
        <v>39850</v>
      </c>
      <c r="B2344">
        <v>138.5</v>
      </c>
      <c r="E2344">
        <f t="shared" si="72"/>
        <v>2</v>
      </c>
      <c r="F2344">
        <f t="shared" si="73"/>
        <v>2009</v>
      </c>
    </row>
    <row r="2345" spans="1:6" x14ac:dyDescent="0.2">
      <c r="A2345" s="20">
        <v>39853</v>
      </c>
      <c r="B2345">
        <v>139.75</v>
      </c>
      <c r="E2345">
        <f t="shared" si="72"/>
        <v>2</v>
      </c>
      <c r="F2345">
        <f t="shared" si="73"/>
        <v>2009</v>
      </c>
    </row>
    <row r="2346" spans="1:6" x14ac:dyDescent="0.2">
      <c r="A2346" s="20">
        <v>39854</v>
      </c>
      <c r="B2346">
        <v>139.5</v>
      </c>
      <c r="E2346">
        <f t="shared" si="72"/>
        <v>2</v>
      </c>
      <c r="F2346">
        <f t="shared" si="73"/>
        <v>2009</v>
      </c>
    </row>
    <row r="2347" spans="1:6" x14ac:dyDescent="0.2">
      <c r="A2347" s="20">
        <v>39855</v>
      </c>
      <c r="B2347">
        <v>139</v>
      </c>
      <c r="E2347">
        <f t="shared" si="72"/>
        <v>2</v>
      </c>
      <c r="F2347">
        <f t="shared" si="73"/>
        <v>2009</v>
      </c>
    </row>
    <row r="2348" spans="1:6" x14ac:dyDescent="0.2">
      <c r="A2348" s="20">
        <v>39856</v>
      </c>
      <c r="B2348">
        <v>138.5</v>
      </c>
      <c r="E2348">
        <f t="shared" si="72"/>
        <v>2</v>
      </c>
      <c r="F2348">
        <f t="shared" si="73"/>
        <v>2009</v>
      </c>
    </row>
    <row r="2349" spans="1:6" x14ac:dyDescent="0.2">
      <c r="A2349" s="20">
        <v>39857</v>
      </c>
      <c r="B2349">
        <v>138.5</v>
      </c>
      <c r="E2349">
        <f t="shared" si="72"/>
        <v>2</v>
      </c>
      <c r="F2349">
        <f t="shared" si="73"/>
        <v>2009</v>
      </c>
    </row>
    <row r="2350" spans="1:6" x14ac:dyDescent="0.2">
      <c r="A2350" s="20">
        <v>39860</v>
      </c>
      <c r="B2350">
        <v>138</v>
      </c>
      <c r="E2350">
        <f t="shared" si="72"/>
        <v>2</v>
      </c>
      <c r="F2350">
        <f t="shared" si="73"/>
        <v>2009</v>
      </c>
    </row>
    <row r="2351" spans="1:6" x14ac:dyDescent="0.2">
      <c r="A2351" s="20">
        <v>39861</v>
      </c>
      <c r="B2351">
        <v>135</v>
      </c>
      <c r="E2351">
        <f t="shared" si="72"/>
        <v>2</v>
      </c>
      <c r="F2351">
        <f t="shared" si="73"/>
        <v>2009</v>
      </c>
    </row>
    <row r="2352" spans="1:6" x14ac:dyDescent="0.2">
      <c r="A2352" s="20">
        <v>39862</v>
      </c>
      <c r="B2352">
        <v>132.5</v>
      </c>
      <c r="E2352">
        <f t="shared" si="72"/>
        <v>2</v>
      </c>
      <c r="F2352">
        <f t="shared" si="73"/>
        <v>2009</v>
      </c>
    </row>
    <row r="2353" spans="1:6" x14ac:dyDescent="0.2">
      <c r="A2353" s="20">
        <v>39863</v>
      </c>
      <c r="B2353">
        <v>133</v>
      </c>
      <c r="E2353">
        <f t="shared" si="72"/>
        <v>2</v>
      </c>
      <c r="F2353">
        <f t="shared" si="73"/>
        <v>2009</v>
      </c>
    </row>
    <row r="2354" spans="1:6" x14ac:dyDescent="0.2">
      <c r="A2354" s="20">
        <v>39864</v>
      </c>
      <c r="B2354">
        <v>131</v>
      </c>
      <c r="E2354">
        <f t="shared" si="72"/>
        <v>2</v>
      </c>
      <c r="F2354">
        <f t="shared" si="73"/>
        <v>2009</v>
      </c>
    </row>
    <row r="2355" spans="1:6" x14ac:dyDescent="0.2">
      <c r="A2355" s="20">
        <v>39867</v>
      </c>
      <c r="B2355">
        <v>129.75</v>
      </c>
      <c r="E2355">
        <f t="shared" si="72"/>
        <v>2</v>
      </c>
      <c r="F2355">
        <f t="shared" si="73"/>
        <v>2009</v>
      </c>
    </row>
    <row r="2356" spans="1:6" x14ac:dyDescent="0.2">
      <c r="A2356" s="20">
        <v>39868</v>
      </c>
      <c r="B2356">
        <v>127.5</v>
      </c>
      <c r="E2356">
        <f t="shared" si="72"/>
        <v>2</v>
      </c>
      <c r="F2356">
        <f t="shared" si="73"/>
        <v>2009</v>
      </c>
    </row>
    <row r="2357" spans="1:6" x14ac:dyDescent="0.2">
      <c r="A2357" s="20">
        <v>39869</v>
      </c>
      <c r="B2357">
        <v>129.5</v>
      </c>
      <c r="E2357">
        <f t="shared" si="72"/>
        <v>2</v>
      </c>
      <c r="F2357">
        <f t="shared" si="73"/>
        <v>2009</v>
      </c>
    </row>
    <row r="2358" spans="1:6" x14ac:dyDescent="0.2">
      <c r="A2358" s="20">
        <v>39870</v>
      </c>
      <c r="B2358">
        <v>129.25</v>
      </c>
      <c r="E2358">
        <f t="shared" si="72"/>
        <v>2</v>
      </c>
      <c r="F2358">
        <f t="shared" si="73"/>
        <v>2009</v>
      </c>
    </row>
    <row r="2359" spans="1:6" x14ac:dyDescent="0.2">
      <c r="A2359" s="20">
        <v>39871</v>
      </c>
      <c r="B2359">
        <v>126.5</v>
      </c>
      <c r="E2359">
        <f t="shared" si="72"/>
        <v>2</v>
      </c>
      <c r="F2359">
        <f t="shared" si="73"/>
        <v>2009</v>
      </c>
    </row>
    <row r="2360" spans="1:6" x14ac:dyDescent="0.2">
      <c r="A2360" s="20">
        <v>39874</v>
      </c>
      <c r="B2360">
        <v>124.5</v>
      </c>
      <c r="E2360">
        <f t="shared" si="72"/>
        <v>3</v>
      </c>
      <c r="F2360">
        <f t="shared" si="73"/>
        <v>2009</v>
      </c>
    </row>
    <row r="2361" spans="1:6" x14ac:dyDescent="0.2">
      <c r="A2361" s="20">
        <v>39875</v>
      </c>
      <c r="B2361">
        <v>123</v>
      </c>
      <c r="E2361">
        <f t="shared" si="72"/>
        <v>3</v>
      </c>
      <c r="F2361">
        <f t="shared" si="73"/>
        <v>2009</v>
      </c>
    </row>
    <row r="2362" spans="1:6" x14ac:dyDescent="0.2">
      <c r="A2362" s="20">
        <v>39876</v>
      </c>
      <c r="B2362">
        <v>127.5</v>
      </c>
      <c r="E2362">
        <f t="shared" si="72"/>
        <v>3</v>
      </c>
      <c r="F2362">
        <f t="shared" si="73"/>
        <v>2009</v>
      </c>
    </row>
    <row r="2363" spans="1:6" x14ac:dyDescent="0.2">
      <c r="A2363" s="20">
        <v>39877</v>
      </c>
      <c r="B2363">
        <v>125.75</v>
      </c>
      <c r="E2363">
        <f t="shared" si="72"/>
        <v>3</v>
      </c>
      <c r="F2363">
        <f t="shared" si="73"/>
        <v>2009</v>
      </c>
    </row>
    <row r="2364" spans="1:6" x14ac:dyDescent="0.2">
      <c r="A2364" s="20">
        <v>39878</v>
      </c>
      <c r="B2364">
        <v>131</v>
      </c>
      <c r="E2364">
        <f t="shared" si="72"/>
        <v>3</v>
      </c>
      <c r="F2364">
        <f t="shared" si="73"/>
        <v>2009</v>
      </c>
    </row>
    <row r="2365" spans="1:6" x14ac:dyDescent="0.2">
      <c r="A2365" s="20">
        <v>39881</v>
      </c>
      <c r="B2365">
        <v>131</v>
      </c>
      <c r="E2365">
        <f t="shared" si="72"/>
        <v>3</v>
      </c>
      <c r="F2365">
        <f t="shared" si="73"/>
        <v>2009</v>
      </c>
    </row>
    <row r="2366" spans="1:6" x14ac:dyDescent="0.2">
      <c r="A2366" s="20">
        <v>39882</v>
      </c>
      <c r="B2366">
        <v>131.75</v>
      </c>
      <c r="E2366">
        <f t="shared" si="72"/>
        <v>3</v>
      </c>
      <c r="F2366">
        <f t="shared" si="73"/>
        <v>2009</v>
      </c>
    </row>
    <row r="2367" spans="1:6" x14ac:dyDescent="0.2">
      <c r="A2367" s="20">
        <v>39883</v>
      </c>
      <c r="B2367">
        <v>131</v>
      </c>
      <c r="E2367">
        <f t="shared" si="72"/>
        <v>3</v>
      </c>
      <c r="F2367">
        <f t="shared" si="73"/>
        <v>2009</v>
      </c>
    </row>
    <row r="2368" spans="1:6" x14ac:dyDescent="0.2">
      <c r="A2368" s="20">
        <v>39884</v>
      </c>
      <c r="B2368">
        <v>131.75</v>
      </c>
      <c r="E2368">
        <f t="shared" si="72"/>
        <v>3</v>
      </c>
      <c r="F2368">
        <f t="shared" si="73"/>
        <v>2009</v>
      </c>
    </row>
    <row r="2369" spans="1:6" x14ac:dyDescent="0.2">
      <c r="A2369" s="20">
        <v>39885</v>
      </c>
      <c r="B2369">
        <v>132</v>
      </c>
      <c r="E2369">
        <f t="shared" si="72"/>
        <v>3</v>
      </c>
      <c r="F2369">
        <f t="shared" si="73"/>
        <v>2009</v>
      </c>
    </row>
    <row r="2370" spans="1:6" x14ac:dyDescent="0.2">
      <c r="A2370" s="20">
        <v>39888</v>
      </c>
      <c r="B2370">
        <v>133.75</v>
      </c>
      <c r="E2370">
        <f t="shared" si="72"/>
        <v>3</v>
      </c>
      <c r="F2370">
        <f t="shared" si="73"/>
        <v>2009</v>
      </c>
    </row>
    <row r="2371" spans="1:6" x14ac:dyDescent="0.2">
      <c r="A2371" s="20">
        <v>39889</v>
      </c>
      <c r="B2371">
        <v>135.5</v>
      </c>
      <c r="E2371">
        <f t="shared" ref="E2371:E2434" si="74">MONTH(A2371)</f>
        <v>3</v>
      </c>
      <c r="F2371">
        <f t="shared" ref="F2371:F2434" si="75">YEAR(A2371)</f>
        <v>2009</v>
      </c>
    </row>
    <row r="2372" spans="1:6" x14ac:dyDescent="0.2">
      <c r="A2372" s="20">
        <v>39890</v>
      </c>
      <c r="B2372">
        <v>133</v>
      </c>
      <c r="E2372">
        <f t="shared" si="74"/>
        <v>3</v>
      </c>
      <c r="F2372">
        <f t="shared" si="75"/>
        <v>2009</v>
      </c>
    </row>
    <row r="2373" spans="1:6" x14ac:dyDescent="0.2">
      <c r="A2373" s="20">
        <v>39891</v>
      </c>
      <c r="B2373">
        <v>133</v>
      </c>
      <c r="E2373">
        <f t="shared" si="74"/>
        <v>3</v>
      </c>
      <c r="F2373">
        <f t="shared" si="75"/>
        <v>2009</v>
      </c>
    </row>
    <row r="2374" spans="1:6" x14ac:dyDescent="0.2">
      <c r="A2374" s="20">
        <v>39892</v>
      </c>
      <c r="B2374">
        <v>132</v>
      </c>
      <c r="E2374">
        <f t="shared" si="74"/>
        <v>3</v>
      </c>
      <c r="F2374">
        <f t="shared" si="75"/>
        <v>2009</v>
      </c>
    </row>
    <row r="2375" spans="1:6" x14ac:dyDescent="0.2">
      <c r="A2375" s="20">
        <v>39895</v>
      </c>
      <c r="B2375">
        <v>133.5</v>
      </c>
      <c r="E2375">
        <f t="shared" si="74"/>
        <v>3</v>
      </c>
      <c r="F2375">
        <f t="shared" si="75"/>
        <v>2009</v>
      </c>
    </row>
    <row r="2376" spans="1:6" x14ac:dyDescent="0.2">
      <c r="A2376" s="20">
        <v>39896</v>
      </c>
      <c r="B2376">
        <v>132.75</v>
      </c>
      <c r="E2376">
        <f t="shared" si="74"/>
        <v>3</v>
      </c>
      <c r="F2376">
        <f t="shared" si="75"/>
        <v>2009</v>
      </c>
    </row>
    <row r="2377" spans="1:6" x14ac:dyDescent="0.2">
      <c r="A2377" s="20">
        <v>39897</v>
      </c>
      <c r="B2377">
        <v>132</v>
      </c>
      <c r="E2377">
        <f t="shared" si="74"/>
        <v>3</v>
      </c>
      <c r="F2377">
        <f t="shared" si="75"/>
        <v>2009</v>
      </c>
    </row>
    <row r="2378" spans="1:6" x14ac:dyDescent="0.2">
      <c r="A2378" s="20">
        <v>39898</v>
      </c>
      <c r="B2378">
        <v>132</v>
      </c>
      <c r="E2378">
        <f t="shared" si="74"/>
        <v>3</v>
      </c>
      <c r="F2378">
        <f t="shared" si="75"/>
        <v>2009</v>
      </c>
    </row>
    <row r="2379" spans="1:6" x14ac:dyDescent="0.2">
      <c r="A2379" s="20">
        <v>39899</v>
      </c>
      <c r="B2379">
        <v>131.5</v>
      </c>
      <c r="E2379">
        <f t="shared" si="74"/>
        <v>3</v>
      </c>
      <c r="F2379">
        <f t="shared" si="75"/>
        <v>2009</v>
      </c>
    </row>
    <row r="2380" spans="1:6" x14ac:dyDescent="0.2">
      <c r="A2380" s="20">
        <v>39902</v>
      </c>
      <c r="B2380">
        <v>132</v>
      </c>
      <c r="E2380">
        <f t="shared" si="74"/>
        <v>3</v>
      </c>
      <c r="F2380">
        <f t="shared" si="75"/>
        <v>2009</v>
      </c>
    </row>
    <row r="2381" spans="1:6" x14ac:dyDescent="0.2">
      <c r="A2381" s="20">
        <v>39903</v>
      </c>
      <c r="B2381">
        <v>130.75</v>
      </c>
      <c r="E2381">
        <f t="shared" si="74"/>
        <v>3</v>
      </c>
      <c r="F2381">
        <f t="shared" si="75"/>
        <v>2009</v>
      </c>
    </row>
    <row r="2382" spans="1:6" x14ac:dyDescent="0.2">
      <c r="A2382" s="20">
        <v>39904</v>
      </c>
      <c r="B2382">
        <v>132</v>
      </c>
      <c r="E2382">
        <f t="shared" si="74"/>
        <v>4</v>
      </c>
      <c r="F2382">
        <f t="shared" si="75"/>
        <v>2009</v>
      </c>
    </row>
    <row r="2383" spans="1:6" x14ac:dyDescent="0.2">
      <c r="A2383" s="20">
        <v>39905</v>
      </c>
      <c r="B2383">
        <v>135.75</v>
      </c>
      <c r="E2383">
        <f t="shared" si="74"/>
        <v>4</v>
      </c>
      <c r="F2383">
        <f t="shared" si="75"/>
        <v>2009</v>
      </c>
    </row>
    <row r="2384" spans="1:6" x14ac:dyDescent="0.2">
      <c r="A2384" s="20">
        <v>39906</v>
      </c>
      <c r="B2384">
        <v>136.75</v>
      </c>
      <c r="E2384">
        <f t="shared" si="74"/>
        <v>4</v>
      </c>
      <c r="F2384">
        <f t="shared" si="75"/>
        <v>2009</v>
      </c>
    </row>
    <row r="2385" spans="1:6" x14ac:dyDescent="0.2">
      <c r="A2385" s="20">
        <v>39909</v>
      </c>
      <c r="B2385">
        <v>136</v>
      </c>
      <c r="E2385">
        <f t="shared" si="74"/>
        <v>4</v>
      </c>
      <c r="F2385">
        <f t="shared" si="75"/>
        <v>2009</v>
      </c>
    </row>
    <row r="2386" spans="1:6" x14ac:dyDescent="0.2">
      <c r="A2386" s="20">
        <v>39910</v>
      </c>
      <c r="B2386">
        <v>134.75</v>
      </c>
      <c r="E2386">
        <f t="shared" si="74"/>
        <v>4</v>
      </c>
      <c r="F2386">
        <f t="shared" si="75"/>
        <v>2009</v>
      </c>
    </row>
    <row r="2387" spans="1:6" x14ac:dyDescent="0.2">
      <c r="A2387" s="20">
        <v>39911</v>
      </c>
      <c r="B2387">
        <v>134.25</v>
      </c>
      <c r="E2387">
        <f t="shared" si="74"/>
        <v>4</v>
      </c>
      <c r="F2387">
        <f t="shared" si="75"/>
        <v>2009</v>
      </c>
    </row>
    <row r="2388" spans="1:6" x14ac:dyDescent="0.2">
      <c r="A2388" s="20">
        <v>39912</v>
      </c>
      <c r="B2388">
        <v>135.25</v>
      </c>
      <c r="E2388">
        <f t="shared" si="74"/>
        <v>4</v>
      </c>
      <c r="F2388">
        <f t="shared" si="75"/>
        <v>2009</v>
      </c>
    </row>
    <row r="2389" spans="1:6" x14ac:dyDescent="0.2">
      <c r="A2389" s="20">
        <v>39917</v>
      </c>
      <c r="B2389">
        <v>137</v>
      </c>
      <c r="E2389">
        <f t="shared" si="74"/>
        <v>4</v>
      </c>
      <c r="F2389">
        <f t="shared" si="75"/>
        <v>2009</v>
      </c>
    </row>
    <row r="2390" spans="1:6" x14ac:dyDescent="0.2">
      <c r="A2390" s="20">
        <v>39918</v>
      </c>
      <c r="B2390">
        <v>136.75</v>
      </c>
      <c r="E2390">
        <f t="shared" si="74"/>
        <v>4</v>
      </c>
      <c r="F2390">
        <f t="shared" si="75"/>
        <v>2009</v>
      </c>
    </row>
    <row r="2391" spans="1:6" x14ac:dyDescent="0.2">
      <c r="A2391" s="20">
        <v>39919</v>
      </c>
      <c r="B2391">
        <v>137.25</v>
      </c>
      <c r="E2391">
        <f t="shared" si="74"/>
        <v>4</v>
      </c>
      <c r="F2391">
        <f t="shared" si="75"/>
        <v>2009</v>
      </c>
    </row>
    <row r="2392" spans="1:6" x14ac:dyDescent="0.2">
      <c r="A2392" s="20">
        <v>39920</v>
      </c>
      <c r="B2392">
        <v>138.5</v>
      </c>
      <c r="E2392">
        <f t="shared" si="74"/>
        <v>4</v>
      </c>
      <c r="F2392">
        <f t="shared" si="75"/>
        <v>2009</v>
      </c>
    </row>
    <row r="2393" spans="1:6" x14ac:dyDescent="0.2">
      <c r="A2393" s="20">
        <v>39923</v>
      </c>
      <c r="B2393">
        <v>137</v>
      </c>
      <c r="E2393">
        <f t="shared" si="74"/>
        <v>4</v>
      </c>
      <c r="F2393">
        <f t="shared" si="75"/>
        <v>2009</v>
      </c>
    </row>
    <row r="2394" spans="1:6" x14ac:dyDescent="0.2">
      <c r="A2394" s="20">
        <v>39924</v>
      </c>
      <c r="B2394">
        <v>138</v>
      </c>
      <c r="E2394">
        <f t="shared" si="74"/>
        <v>4</v>
      </c>
      <c r="F2394">
        <f t="shared" si="75"/>
        <v>2009</v>
      </c>
    </row>
    <row r="2395" spans="1:6" x14ac:dyDescent="0.2">
      <c r="A2395" s="20">
        <v>39925</v>
      </c>
      <c r="B2395">
        <v>140.25</v>
      </c>
      <c r="E2395">
        <f t="shared" si="74"/>
        <v>4</v>
      </c>
      <c r="F2395">
        <f t="shared" si="75"/>
        <v>2009</v>
      </c>
    </row>
    <row r="2396" spans="1:6" x14ac:dyDescent="0.2">
      <c r="A2396" s="20">
        <v>39926</v>
      </c>
      <c r="B2396">
        <v>142.5</v>
      </c>
      <c r="E2396">
        <f t="shared" si="74"/>
        <v>4</v>
      </c>
      <c r="F2396">
        <f t="shared" si="75"/>
        <v>2009</v>
      </c>
    </row>
    <row r="2397" spans="1:6" x14ac:dyDescent="0.2">
      <c r="A2397" s="20">
        <v>39927</v>
      </c>
      <c r="B2397">
        <v>140.25</v>
      </c>
      <c r="E2397">
        <f t="shared" si="74"/>
        <v>4</v>
      </c>
      <c r="F2397">
        <f t="shared" si="75"/>
        <v>2009</v>
      </c>
    </row>
    <row r="2398" spans="1:6" x14ac:dyDescent="0.2">
      <c r="A2398" s="20">
        <v>39930</v>
      </c>
      <c r="B2398">
        <v>139.25</v>
      </c>
      <c r="E2398">
        <f t="shared" si="74"/>
        <v>4</v>
      </c>
      <c r="F2398">
        <f t="shared" si="75"/>
        <v>2009</v>
      </c>
    </row>
    <row r="2399" spans="1:6" x14ac:dyDescent="0.2">
      <c r="A2399" s="20">
        <v>39931</v>
      </c>
      <c r="B2399">
        <v>140</v>
      </c>
      <c r="E2399">
        <f t="shared" si="74"/>
        <v>4</v>
      </c>
      <c r="F2399">
        <f t="shared" si="75"/>
        <v>2009</v>
      </c>
    </row>
    <row r="2400" spans="1:6" x14ac:dyDescent="0.2">
      <c r="A2400" s="20">
        <v>39932</v>
      </c>
      <c r="B2400">
        <v>140.5</v>
      </c>
      <c r="E2400">
        <f t="shared" si="74"/>
        <v>4</v>
      </c>
      <c r="F2400">
        <f t="shared" si="75"/>
        <v>2009</v>
      </c>
    </row>
    <row r="2401" spans="1:6" x14ac:dyDescent="0.2">
      <c r="A2401" s="20">
        <v>39933</v>
      </c>
      <c r="B2401">
        <v>140</v>
      </c>
      <c r="E2401">
        <f t="shared" si="74"/>
        <v>4</v>
      </c>
      <c r="F2401">
        <f t="shared" si="75"/>
        <v>2009</v>
      </c>
    </row>
    <row r="2402" spans="1:6" x14ac:dyDescent="0.2">
      <c r="A2402" s="20">
        <v>39937</v>
      </c>
      <c r="B2402">
        <v>142.25</v>
      </c>
      <c r="E2402">
        <f t="shared" si="74"/>
        <v>5</v>
      </c>
      <c r="F2402">
        <f t="shared" si="75"/>
        <v>2009</v>
      </c>
    </row>
    <row r="2403" spans="1:6" x14ac:dyDescent="0.2">
      <c r="A2403" s="20">
        <v>39938</v>
      </c>
      <c r="B2403">
        <v>142.75</v>
      </c>
      <c r="E2403">
        <f t="shared" si="74"/>
        <v>5</v>
      </c>
      <c r="F2403">
        <f t="shared" si="75"/>
        <v>2009</v>
      </c>
    </row>
    <row r="2404" spans="1:6" x14ac:dyDescent="0.2">
      <c r="A2404" s="20">
        <v>39939</v>
      </c>
      <c r="B2404">
        <v>142.5</v>
      </c>
      <c r="E2404">
        <f t="shared" si="74"/>
        <v>5</v>
      </c>
      <c r="F2404">
        <f t="shared" si="75"/>
        <v>2009</v>
      </c>
    </row>
    <row r="2405" spans="1:6" x14ac:dyDescent="0.2">
      <c r="A2405" s="20">
        <v>39940</v>
      </c>
      <c r="B2405">
        <v>145.5</v>
      </c>
      <c r="E2405">
        <f t="shared" si="74"/>
        <v>5</v>
      </c>
      <c r="F2405">
        <f t="shared" si="75"/>
        <v>2009</v>
      </c>
    </row>
    <row r="2406" spans="1:6" x14ac:dyDescent="0.2">
      <c r="A2406" s="20">
        <v>39941</v>
      </c>
      <c r="B2406">
        <v>147.5</v>
      </c>
      <c r="E2406">
        <f t="shared" si="74"/>
        <v>5</v>
      </c>
      <c r="F2406">
        <f t="shared" si="75"/>
        <v>2009</v>
      </c>
    </row>
    <row r="2407" spans="1:6" x14ac:dyDescent="0.2">
      <c r="A2407" s="20">
        <v>39944</v>
      </c>
      <c r="B2407">
        <v>147.5</v>
      </c>
      <c r="E2407">
        <f t="shared" si="74"/>
        <v>5</v>
      </c>
      <c r="F2407">
        <f t="shared" si="75"/>
        <v>2009</v>
      </c>
    </row>
    <row r="2408" spans="1:6" x14ac:dyDescent="0.2">
      <c r="A2408" s="20">
        <v>39945</v>
      </c>
      <c r="B2408">
        <v>149.5</v>
      </c>
      <c r="E2408">
        <f t="shared" si="74"/>
        <v>5</v>
      </c>
      <c r="F2408">
        <f t="shared" si="75"/>
        <v>2009</v>
      </c>
    </row>
    <row r="2409" spans="1:6" x14ac:dyDescent="0.2">
      <c r="A2409" s="20">
        <v>39946</v>
      </c>
      <c r="B2409">
        <v>152.75</v>
      </c>
      <c r="E2409">
        <f t="shared" si="74"/>
        <v>5</v>
      </c>
      <c r="F2409">
        <f t="shared" si="75"/>
        <v>2009</v>
      </c>
    </row>
    <row r="2410" spans="1:6" x14ac:dyDescent="0.2">
      <c r="A2410" s="20">
        <v>39947</v>
      </c>
      <c r="B2410">
        <v>153</v>
      </c>
      <c r="E2410">
        <f t="shared" si="74"/>
        <v>5</v>
      </c>
      <c r="F2410">
        <f t="shared" si="75"/>
        <v>2009</v>
      </c>
    </row>
    <row r="2411" spans="1:6" x14ac:dyDescent="0.2">
      <c r="A2411" s="20">
        <v>39948</v>
      </c>
      <c r="B2411">
        <v>151</v>
      </c>
      <c r="E2411">
        <f t="shared" si="74"/>
        <v>5</v>
      </c>
      <c r="F2411">
        <f t="shared" si="75"/>
        <v>2009</v>
      </c>
    </row>
    <row r="2412" spans="1:6" x14ac:dyDescent="0.2">
      <c r="A2412" s="20">
        <v>39951</v>
      </c>
      <c r="B2412">
        <v>151</v>
      </c>
      <c r="E2412">
        <f t="shared" si="74"/>
        <v>5</v>
      </c>
      <c r="F2412">
        <f t="shared" si="75"/>
        <v>2009</v>
      </c>
    </row>
    <row r="2413" spans="1:6" x14ac:dyDescent="0.2">
      <c r="A2413" s="20">
        <v>39952</v>
      </c>
      <c r="B2413">
        <v>155.25</v>
      </c>
      <c r="E2413">
        <f t="shared" si="74"/>
        <v>5</v>
      </c>
      <c r="F2413">
        <f t="shared" si="75"/>
        <v>2009</v>
      </c>
    </row>
    <row r="2414" spans="1:6" x14ac:dyDescent="0.2">
      <c r="A2414" s="20">
        <v>39953</v>
      </c>
      <c r="B2414">
        <v>158.25</v>
      </c>
      <c r="E2414">
        <f t="shared" si="74"/>
        <v>5</v>
      </c>
      <c r="F2414">
        <f t="shared" si="75"/>
        <v>2009</v>
      </c>
    </row>
    <row r="2415" spans="1:6" x14ac:dyDescent="0.2">
      <c r="A2415" s="20">
        <v>39954</v>
      </c>
      <c r="B2415">
        <v>156</v>
      </c>
      <c r="E2415">
        <f t="shared" si="74"/>
        <v>5</v>
      </c>
      <c r="F2415">
        <f t="shared" si="75"/>
        <v>2009</v>
      </c>
    </row>
    <row r="2416" spans="1:6" x14ac:dyDescent="0.2">
      <c r="A2416" s="20">
        <v>39955</v>
      </c>
      <c r="B2416">
        <v>160.5</v>
      </c>
      <c r="E2416">
        <f t="shared" si="74"/>
        <v>5</v>
      </c>
      <c r="F2416">
        <f t="shared" si="75"/>
        <v>2009</v>
      </c>
    </row>
    <row r="2417" spans="1:6" x14ac:dyDescent="0.2">
      <c r="A2417" s="20">
        <v>39958</v>
      </c>
      <c r="B2417">
        <v>161.75</v>
      </c>
      <c r="E2417">
        <f t="shared" si="74"/>
        <v>5</v>
      </c>
      <c r="F2417">
        <f t="shared" si="75"/>
        <v>2009</v>
      </c>
    </row>
    <row r="2418" spans="1:6" x14ac:dyDescent="0.2">
      <c r="A2418" s="20">
        <v>39959</v>
      </c>
      <c r="B2418">
        <v>159.75</v>
      </c>
      <c r="E2418">
        <f t="shared" si="74"/>
        <v>5</v>
      </c>
      <c r="F2418">
        <f t="shared" si="75"/>
        <v>2009</v>
      </c>
    </row>
    <row r="2419" spans="1:6" x14ac:dyDescent="0.2">
      <c r="A2419" s="20">
        <v>39960</v>
      </c>
      <c r="B2419">
        <v>160</v>
      </c>
      <c r="E2419">
        <f t="shared" si="74"/>
        <v>5</v>
      </c>
      <c r="F2419">
        <f t="shared" si="75"/>
        <v>2009</v>
      </c>
    </row>
    <row r="2420" spans="1:6" x14ac:dyDescent="0.2">
      <c r="A2420" s="20">
        <v>39961</v>
      </c>
      <c r="B2420">
        <v>159.75</v>
      </c>
      <c r="E2420">
        <f t="shared" si="74"/>
        <v>5</v>
      </c>
      <c r="F2420">
        <f t="shared" si="75"/>
        <v>2009</v>
      </c>
    </row>
    <row r="2421" spans="1:6" x14ac:dyDescent="0.2">
      <c r="A2421" s="20">
        <v>39962</v>
      </c>
      <c r="B2421">
        <v>157</v>
      </c>
      <c r="E2421">
        <f t="shared" si="74"/>
        <v>5</v>
      </c>
      <c r="F2421">
        <f t="shared" si="75"/>
        <v>2009</v>
      </c>
    </row>
    <row r="2422" spans="1:6" x14ac:dyDescent="0.2">
      <c r="A2422" s="20">
        <v>39965</v>
      </c>
      <c r="B2422">
        <v>158</v>
      </c>
      <c r="E2422">
        <f t="shared" si="74"/>
        <v>6</v>
      </c>
      <c r="F2422">
        <f t="shared" si="75"/>
        <v>2009</v>
      </c>
    </row>
    <row r="2423" spans="1:6" x14ac:dyDescent="0.2">
      <c r="A2423" s="20">
        <v>39966</v>
      </c>
      <c r="B2423">
        <v>155.5</v>
      </c>
      <c r="E2423">
        <f t="shared" si="74"/>
        <v>6</v>
      </c>
      <c r="F2423">
        <f t="shared" si="75"/>
        <v>2009</v>
      </c>
    </row>
    <row r="2424" spans="1:6" x14ac:dyDescent="0.2">
      <c r="A2424" s="20">
        <v>39967</v>
      </c>
      <c r="B2424">
        <v>150.5</v>
      </c>
      <c r="E2424">
        <f t="shared" si="74"/>
        <v>6</v>
      </c>
      <c r="F2424">
        <f t="shared" si="75"/>
        <v>2009</v>
      </c>
    </row>
    <row r="2425" spans="1:6" x14ac:dyDescent="0.2">
      <c r="A2425" s="20">
        <v>39968</v>
      </c>
      <c r="B2425">
        <v>150.5</v>
      </c>
      <c r="E2425">
        <f t="shared" si="74"/>
        <v>6</v>
      </c>
      <c r="F2425">
        <f t="shared" si="75"/>
        <v>2009</v>
      </c>
    </row>
    <row r="2426" spans="1:6" x14ac:dyDescent="0.2">
      <c r="A2426" s="20">
        <v>39969</v>
      </c>
      <c r="B2426">
        <v>146</v>
      </c>
      <c r="E2426">
        <f t="shared" si="74"/>
        <v>6</v>
      </c>
      <c r="F2426">
        <f t="shared" si="75"/>
        <v>2009</v>
      </c>
    </row>
    <row r="2427" spans="1:6" x14ac:dyDescent="0.2">
      <c r="A2427" s="20">
        <v>39972</v>
      </c>
      <c r="B2427">
        <v>154.75</v>
      </c>
      <c r="E2427">
        <f t="shared" si="74"/>
        <v>6</v>
      </c>
      <c r="F2427">
        <f t="shared" si="75"/>
        <v>2009</v>
      </c>
    </row>
    <row r="2428" spans="1:6" x14ac:dyDescent="0.2">
      <c r="A2428" s="20">
        <v>39973</v>
      </c>
      <c r="B2428">
        <v>155.5</v>
      </c>
      <c r="E2428">
        <f t="shared" si="74"/>
        <v>6</v>
      </c>
      <c r="F2428">
        <f t="shared" si="75"/>
        <v>2009</v>
      </c>
    </row>
    <row r="2429" spans="1:6" x14ac:dyDescent="0.2">
      <c r="A2429" s="20">
        <v>39974</v>
      </c>
      <c r="B2429">
        <v>154</v>
      </c>
      <c r="E2429">
        <f t="shared" si="74"/>
        <v>6</v>
      </c>
      <c r="F2429">
        <f t="shared" si="75"/>
        <v>2009</v>
      </c>
    </row>
    <row r="2430" spans="1:6" x14ac:dyDescent="0.2">
      <c r="A2430" s="20">
        <v>39975</v>
      </c>
      <c r="B2430">
        <v>153.5</v>
      </c>
      <c r="E2430">
        <f t="shared" si="74"/>
        <v>6</v>
      </c>
      <c r="F2430">
        <f t="shared" si="75"/>
        <v>2009</v>
      </c>
    </row>
    <row r="2431" spans="1:6" x14ac:dyDescent="0.2">
      <c r="A2431" s="20">
        <v>39976</v>
      </c>
      <c r="B2431">
        <v>149</v>
      </c>
      <c r="E2431">
        <f t="shared" si="74"/>
        <v>6</v>
      </c>
      <c r="F2431">
        <f t="shared" si="75"/>
        <v>2009</v>
      </c>
    </row>
    <row r="2432" spans="1:6" x14ac:dyDescent="0.2">
      <c r="A2432" s="20">
        <v>39979</v>
      </c>
      <c r="B2432">
        <v>146</v>
      </c>
      <c r="E2432">
        <f t="shared" si="74"/>
        <v>6</v>
      </c>
      <c r="F2432">
        <f t="shared" si="75"/>
        <v>2009</v>
      </c>
    </row>
    <row r="2433" spans="1:6" x14ac:dyDescent="0.2">
      <c r="A2433" s="20">
        <v>39980</v>
      </c>
      <c r="B2433">
        <v>146.5</v>
      </c>
      <c r="E2433">
        <f t="shared" si="74"/>
        <v>6</v>
      </c>
      <c r="F2433">
        <f t="shared" si="75"/>
        <v>2009</v>
      </c>
    </row>
    <row r="2434" spans="1:6" x14ac:dyDescent="0.2">
      <c r="A2434" s="20">
        <v>39981</v>
      </c>
      <c r="B2434">
        <v>146</v>
      </c>
      <c r="E2434">
        <f t="shared" si="74"/>
        <v>6</v>
      </c>
      <c r="F2434">
        <f t="shared" si="75"/>
        <v>2009</v>
      </c>
    </row>
    <row r="2435" spans="1:6" x14ac:dyDescent="0.2">
      <c r="A2435" s="20">
        <v>39982</v>
      </c>
      <c r="B2435">
        <v>146</v>
      </c>
      <c r="E2435">
        <f t="shared" ref="E2435:E2498" si="76">MONTH(A2435)</f>
        <v>6</v>
      </c>
      <c r="F2435">
        <f t="shared" ref="F2435:F2498" si="77">YEAR(A2435)</f>
        <v>2009</v>
      </c>
    </row>
    <row r="2436" spans="1:6" x14ac:dyDescent="0.2">
      <c r="A2436" s="20">
        <v>39983</v>
      </c>
      <c r="B2436">
        <v>143</v>
      </c>
      <c r="E2436">
        <f t="shared" si="76"/>
        <v>6</v>
      </c>
      <c r="F2436">
        <f t="shared" si="77"/>
        <v>2009</v>
      </c>
    </row>
    <row r="2437" spans="1:6" x14ac:dyDescent="0.2">
      <c r="A2437" s="20">
        <v>39986</v>
      </c>
      <c r="B2437">
        <v>138</v>
      </c>
      <c r="E2437">
        <f t="shared" si="76"/>
        <v>6</v>
      </c>
      <c r="F2437">
        <f t="shared" si="77"/>
        <v>2009</v>
      </c>
    </row>
    <row r="2438" spans="1:6" x14ac:dyDescent="0.2">
      <c r="A2438" s="20">
        <v>39987</v>
      </c>
      <c r="B2438">
        <v>138</v>
      </c>
      <c r="E2438">
        <f t="shared" si="76"/>
        <v>6</v>
      </c>
      <c r="F2438">
        <f t="shared" si="77"/>
        <v>2009</v>
      </c>
    </row>
    <row r="2439" spans="1:6" x14ac:dyDescent="0.2">
      <c r="A2439" s="20">
        <v>39988</v>
      </c>
      <c r="B2439">
        <v>136</v>
      </c>
      <c r="E2439">
        <f t="shared" si="76"/>
        <v>6</v>
      </c>
      <c r="F2439">
        <f t="shared" si="77"/>
        <v>2009</v>
      </c>
    </row>
    <row r="2440" spans="1:6" x14ac:dyDescent="0.2">
      <c r="A2440" s="20">
        <v>39989</v>
      </c>
      <c r="B2440">
        <v>136.5</v>
      </c>
      <c r="E2440">
        <f t="shared" si="76"/>
        <v>6</v>
      </c>
      <c r="F2440">
        <f t="shared" si="77"/>
        <v>2009</v>
      </c>
    </row>
    <row r="2441" spans="1:6" x14ac:dyDescent="0.2">
      <c r="A2441" s="20">
        <v>39990</v>
      </c>
      <c r="B2441">
        <v>138</v>
      </c>
      <c r="E2441">
        <f t="shared" si="76"/>
        <v>6</v>
      </c>
      <c r="F2441">
        <f t="shared" si="77"/>
        <v>2009</v>
      </c>
    </row>
    <row r="2442" spans="1:6" x14ac:dyDescent="0.2">
      <c r="A2442" s="20">
        <v>39993</v>
      </c>
      <c r="B2442">
        <v>139.75</v>
      </c>
      <c r="E2442">
        <f t="shared" si="76"/>
        <v>6</v>
      </c>
      <c r="F2442">
        <f t="shared" si="77"/>
        <v>2009</v>
      </c>
    </row>
    <row r="2443" spans="1:6" x14ac:dyDescent="0.2">
      <c r="A2443" s="20">
        <v>39994</v>
      </c>
      <c r="B2443">
        <v>135.5</v>
      </c>
      <c r="E2443">
        <f t="shared" si="76"/>
        <v>6</v>
      </c>
      <c r="F2443">
        <f t="shared" si="77"/>
        <v>2009</v>
      </c>
    </row>
    <row r="2444" spans="1:6" x14ac:dyDescent="0.2">
      <c r="A2444" s="20">
        <v>39995</v>
      </c>
      <c r="B2444">
        <v>136.5</v>
      </c>
      <c r="E2444">
        <f t="shared" si="76"/>
        <v>7</v>
      </c>
      <c r="F2444">
        <f t="shared" si="77"/>
        <v>2009</v>
      </c>
    </row>
    <row r="2445" spans="1:6" x14ac:dyDescent="0.2">
      <c r="A2445" s="20">
        <v>39996</v>
      </c>
      <c r="B2445">
        <v>136.5</v>
      </c>
      <c r="E2445">
        <f t="shared" si="76"/>
        <v>7</v>
      </c>
      <c r="F2445">
        <f t="shared" si="77"/>
        <v>2009</v>
      </c>
    </row>
    <row r="2446" spans="1:6" x14ac:dyDescent="0.2">
      <c r="A2446" s="20">
        <v>39997</v>
      </c>
      <c r="B2446">
        <v>137</v>
      </c>
      <c r="E2446">
        <f t="shared" si="76"/>
        <v>7</v>
      </c>
      <c r="F2446">
        <f t="shared" si="77"/>
        <v>2009</v>
      </c>
    </row>
    <row r="2447" spans="1:6" x14ac:dyDescent="0.2">
      <c r="A2447" s="20">
        <v>40000</v>
      </c>
      <c r="B2447">
        <v>136.75</v>
      </c>
      <c r="E2447">
        <f t="shared" si="76"/>
        <v>7</v>
      </c>
      <c r="F2447">
        <f t="shared" si="77"/>
        <v>2009</v>
      </c>
    </row>
    <row r="2448" spans="1:6" x14ac:dyDescent="0.2">
      <c r="A2448" s="20">
        <v>40001</v>
      </c>
      <c r="B2448">
        <v>136.5</v>
      </c>
      <c r="E2448">
        <f t="shared" si="76"/>
        <v>7</v>
      </c>
      <c r="F2448">
        <f t="shared" si="77"/>
        <v>2009</v>
      </c>
    </row>
    <row r="2449" spans="1:6" x14ac:dyDescent="0.2">
      <c r="A2449" s="20">
        <v>40002</v>
      </c>
      <c r="B2449">
        <v>136.75</v>
      </c>
      <c r="E2449">
        <f t="shared" si="76"/>
        <v>7</v>
      </c>
      <c r="F2449">
        <f t="shared" si="77"/>
        <v>2009</v>
      </c>
    </row>
    <row r="2450" spans="1:6" x14ac:dyDescent="0.2">
      <c r="A2450" s="20">
        <v>40003</v>
      </c>
      <c r="B2450">
        <v>137.5</v>
      </c>
      <c r="E2450">
        <f t="shared" si="76"/>
        <v>7</v>
      </c>
      <c r="F2450">
        <f t="shared" si="77"/>
        <v>2009</v>
      </c>
    </row>
    <row r="2451" spans="1:6" x14ac:dyDescent="0.2">
      <c r="A2451" s="20">
        <v>40004</v>
      </c>
      <c r="B2451">
        <v>136.25</v>
      </c>
      <c r="E2451">
        <f t="shared" si="76"/>
        <v>7</v>
      </c>
      <c r="F2451">
        <f t="shared" si="77"/>
        <v>2009</v>
      </c>
    </row>
    <row r="2452" spans="1:6" x14ac:dyDescent="0.2">
      <c r="A2452" s="20">
        <v>40007</v>
      </c>
      <c r="B2452">
        <v>136</v>
      </c>
      <c r="E2452">
        <f t="shared" si="76"/>
        <v>7</v>
      </c>
      <c r="F2452">
        <f t="shared" si="77"/>
        <v>2009</v>
      </c>
    </row>
    <row r="2453" spans="1:6" x14ac:dyDescent="0.2">
      <c r="A2453" s="20">
        <v>40008</v>
      </c>
      <c r="B2453">
        <v>138.5</v>
      </c>
      <c r="E2453">
        <f t="shared" si="76"/>
        <v>7</v>
      </c>
      <c r="F2453">
        <f t="shared" si="77"/>
        <v>2009</v>
      </c>
    </row>
    <row r="2454" spans="1:6" x14ac:dyDescent="0.2">
      <c r="A2454" s="20">
        <v>40009</v>
      </c>
      <c r="B2454">
        <v>138.5</v>
      </c>
      <c r="E2454">
        <f t="shared" si="76"/>
        <v>7</v>
      </c>
      <c r="F2454">
        <f t="shared" si="77"/>
        <v>2009</v>
      </c>
    </row>
    <row r="2455" spans="1:6" x14ac:dyDescent="0.2">
      <c r="A2455" s="20">
        <v>40010</v>
      </c>
      <c r="B2455">
        <v>137.25</v>
      </c>
      <c r="E2455">
        <f t="shared" si="76"/>
        <v>7</v>
      </c>
      <c r="F2455">
        <f t="shared" si="77"/>
        <v>2009</v>
      </c>
    </row>
    <row r="2456" spans="1:6" x14ac:dyDescent="0.2">
      <c r="A2456" s="20">
        <v>40011</v>
      </c>
      <c r="B2456">
        <v>136.5</v>
      </c>
      <c r="E2456">
        <f t="shared" si="76"/>
        <v>7</v>
      </c>
      <c r="F2456">
        <f t="shared" si="77"/>
        <v>2009</v>
      </c>
    </row>
    <row r="2457" spans="1:6" x14ac:dyDescent="0.2">
      <c r="A2457" s="20">
        <v>40014</v>
      </c>
      <c r="B2457">
        <v>136</v>
      </c>
      <c r="E2457">
        <f t="shared" si="76"/>
        <v>7</v>
      </c>
      <c r="F2457">
        <f t="shared" si="77"/>
        <v>2009</v>
      </c>
    </row>
    <row r="2458" spans="1:6" x14ac:dyDescent="0.2">
      <c r="A2458" s="20">
        <v>40015</v>
      </c>
      <c r="B2458">
        <v>133.75</v>
      </c>
      <c r="E2458">
        <f t="shared" si="76"/>
        <v>7</v>
      </c>
      <c r="F2458">
        <f t="shared" si="77"/>
        <v>2009</v>
      </c>
    </row>
    <row r="2459" spans="1:6" x14ac:dyDescent="0.2">
      <c r="A2459" s="20">
        <v>40016</v>
      </c>
      <c r="B2459">
        <v>129.5</v>
      </c>
      <c r="E2459">
        <f t="shared" si="76"/>
        <v>7</v>
      </c>
      <c r="F2459">
        <f t="shared" si="77"/>
        <v>2009</v>
      </c>
    </row>
    <row r="2460" spans="1:6" x14ac:dyDescent="0.2">
      <c r="A2460" s="20">
        <v>40017</v>
      </c>
      <c r="B2460">
        <v>131</v>
      </c>
      <c r="E2460">
        <f t="shared" si="76"/>
        <v>7</v>
      </c>
      <c r="F2460">
        <f t="shared" si="77"/>
        <v>2009</v>
      </c>
    </row>
    <row r="2461" spans="1:6" x14ac:dyDescent="0.2">
      <c r="A2461" s="20">
        <v>40018</v>
      </c>
      <c r="B2461">
        <v>129</v>
      </c>
      <c r="E2461">
        <f t="shared" si="76"/>
        <v>7</v>
      </c>
      <c r="F2461">
        <f t="shared" si="77"/>
        <v>2009</v>
      </c>
    </row>
    <row r="2462" spans="1:6" x14ac:dyDescent="0.2">
      <c r="A2462" s="20">
        <v>40021</v>
      </c>
      <c r="B2462">
        <v>126</v>
      </c>
      <c r="E2462">
        <f t="shared" si="76"/>
        <v>7</v>
      </c>
      <c r="F2462">
        <f t="shared" si="77"/>
        <v>2009</v>
      </c>
    </row>
    <row r="2463" spans="1:6" x14ac:dyDescent="0.2">
      <c r="A2463" s="20">
        <v>40022</v>
      </c>
      <c r="B2463">
        <v>128.75</v>
      </c>
      <c r="E2463">
        <f t="shared" si="76"/>
        <v>7</v>
      </c>
      <c r="F2463">
        <f t="shared" si="77"/>
        <v>2009</v>
      </c>
    </row>
    <row r="2464" spans="1:6" x14ac:dyDescent="0.2">
      <c r="A2464" s="20">
        <v>40023</v>
      </c>
      <c r="B2464">
        <v>125</v>
      </c>
      <c r="E2464">
        <f t="shared" si="76"/>
        <v>7</v>
      </c>
      <c r="F2464">
        <f t="shared" si="77"/>
        <v>2009</v>
      </c>
    </row>
    <row r="2465" spans="1:6" x14ac:dyDescent="0.2">
      <c r="A2465" s="20">
        <v>40024</v>
      </c>
      <c r="B2465">
        <v>127.5</v>
      </c>
      <c r="E2465">
        <f t="shared" si="76"/>
        <v>7</v>
      </c>
      <c r="F2465">
        <f t="shared" si="77"/>
        <v>2009</v>
      </c>
    </row>
    <row r="2466" spans="1:6" x14ac:dyDescent="0.2">
      <c r="A2466" s="20">
        <v>40025</v>
      </c>
      <c r="B2466">
        <v>126.25</v>
      </c>
      <c r="E2466">
        <f t="shared" si="76"/>
        <v>7</v>
      </c>
      <c r="F2466">
        <f t="shared" si="77"/>
        <v>2009</v>
      </c>
    </row>
    <row r="2467" spans="1:6" x14ac:dyDescent="0.2">
      <c r="A2467" s="20">
        <v>40028</v>
      </c>
      <c r="B2467">
        <v>128</v>
      </c>
      <c r="E2467">
        <f t="shared" si="76"/>
        <v>8</v>
      </c>
      <c r="F2467">
        <f t="shared" si="77"/>
        <v>2009</v>
      </c>
    </row>
    <row r="2468" spans="1:6" x14ac:dyDescent="0.2">
      <c r="A2468" s="20">
        <v>40029</v>
      </c>
      <c r="B2468">
        <v>128</v>
      </c>
      <c r="E2468">
        <f t="shared" si="76"/>
        <v>8</v>
      </c>
      <c r="F2468">
        <f t="shared" si="77"/>
        <v>2009</v>
      </c>
    </row>
    <row r="2469" spans="1:6" x14ac:dyDescent="0.2">
      <c r="A2469" s="20">
        <v>40030</v>
      </c>
      <c r="B2469">
        <v>125.5</v>
      </c>
      <c r="E2469">
        <f t="shared" si="76"/>
        <v>8</v>
      </c>
      <c r="F2469">
        <f t="shared" si="77"/>
        <v>2009</v>
      </c>
    </row>
    <row r="2470" spans="1:6" x14ac:dyDescent="0.2">
      <c r="A2470" s="20">
        <v>40031</v>
      </c>
      <c r="B2470">
        <v>122.5</v>
      </c>
      <c r="E2470">
        <f t="shared" si="76"/>
        <v>8</v>
      </c>
      <c r="F2470">
        <f t="shared" si="77"/>
        <v>2009</v>
      </c>
    </row>
    <row r="2471" spans="1:6" x14ac:dyDescent="0.2">
      <c r="A2471" s="20">
        <v>40032</v>
      </c>
      <c r="B2471">
        <v>123</v>
      </c>
      <c r="E2471">
        <f t="shared" si="76"/>
        <v>8</v>
      </c>
      <c r="F2471">
        <f t="shared" si="77"/>
        <v>2009</v>
      </c>
    </row>
    <row r="2472" spans="1:6" x14ac:dyDescent="0.2">
      <c r="A2472" s="20">
        <v>40035</v>
      </c>
      <c r="B2472">
        <v>122</v>
      </c>
      <c r="E2472">
        <f t="shared" si="76"/>
        <v>8</v>
      </c>
      <c r="F2472">
        <f t="shared" si="77"/>
        <v>2009</v>
      </c>
    </row>
    <row r="2473" spans="1:6" x14ac:dyDescent="0.2">
      <c r="A2473" s="20">
        <v>40036</v>
      </c>
      <c r="B2473">
        <v>121.75</v>
      </c>
      <c r="E2473">
        <f t="shared" si="76"/>
        <v>8</v>
      </c>
      <c r="F2473">
        <f t="shared" si="77"/>
        <v>2009</v>
      </c>
    </row>
    <row r="2474" spans="1:6" x14ac:dyDescent="0.2">
      <c r="A2474" s="20">
        <v>40037</v>
      </c>
      <c r="B2474">
        <v>123</v>
      </c>
      <c r="E2474">
        <f t="shared" si="76"/>
        <v>8</v>
      </c>
      <c r="F2474">
        <f t="shared" si="77"/>
        <v>2009</v>
      </c>
    </row>
    <row r="2475" spans="1:6" x14ac:dyDescent="0.2">
      <c r="A2475" s="20">
        <v>40038</v>
      </c>
      <c r="B2475">
        <v>124</v>
      </c>
      <c r="E2475">
        <f t="shared" si="76"/>
        <v>8</v>
      </c>
      <c r="F2475">
        <f t="shared" si="77"/>
        <v>2009</v>
      </c>
    </row>
    <row r="2476" spans="1:6" x14ac:dyDescent="0.2">
      <c r="A2476" s="20">
        <v>40039</v>
      </c>
      <c r="B2476">
        <v>124</v>
      </c>
      <c r="E2476">
        <f t="shared" si="76"/>
        <v>8</v>
      </c>
      <c r="F2476">
        <f t="shared" si="77"/>
        <v>2009</v>
      </c>
    </row>
    <row r="2477" spans="1:6" x14ac:dyDescent="0.2">
      <c r="A2477" s="20">
        <v>40042</v>
      </c>
      <c r="B2477">
        <v>122.75</v>
      </c>
      <c r="E2477">
        <f t="shared" si="76"/>
        <v>8</v>
      </c>
      <c r="F2477">
        <f t="shared" si="77"/>
        <v>2009</v>
      </c>
    </row>
    <row r="2478" spans="1:6" x14ac:dyDescent="0.2">
      <c r="A2478" s="20">
        <v>40043</v>
      </c>
      <c r="B2478">
        <v>123</v>
      </c>
      <c r="E2478">
        <f t="shared" si="76"/>
        <v>8</v>
      </c>
      <c r="F2478">
        <f t="shared" si="77"/>
        <v>2009</v>
      </c>
    </row>
    <row r="2479" spans="1:6" x14ac:dyDescent="0.2">
      <c r="A2479" s="20">
        <v>40044</v>
      </c>
      <c r="B2479">
        <v>124</v>
      </c>
      <c r="E2479">
        <f t="shared" si="76"/>
        <v>8</v>
      </c>
      <c r="F2479">
        <f t="shared" si="77"/>
        <v>2009</v>
      </c>
    </row>
    <row r="2480" spans="1:6" x14ac:dyDescent="0.2">
      <c r="A2480" s="20">
        <v>40045</v>
      </c>
      <c r="B2480">
        <v>123.25</v>
      </c>
      <c r="E2480">
        <f t="shared" si="76"/>
        <v>8</v>
      </c>
      <c r="F2480">
        <f t="shared" si="77"/>
        <v>2009</v>
      </c>
    </row>
    <row r="2481" spans="1:6" x14ac:dyDescent="0.2">
      <c r="A2481" s="20">
        <v>40046</v>
      </c>
      <c r="B2481">
        <v>124</v>
      </c>
      <c r="E2481">
        <f t="shared" si="76"/>
        <v>8</v>
      </c>
      <c r="F2481">
        <f t="shared" si="77"/>
        <v>2009</v>
      </c>
    </row>
    <row r="2482" spans="1:6" x14ac:dyDescent="0.2">
      <c r="A2482" s="20">
        <v>40049</v>
      </c>
      <c r="B2482">
        <v>126</v>
      </c>
      <c r="E2482">
        <f t="shared" si="76"/>
        <v>8</v>
      </c>
      <c r="F2482">
        <f t="shared" si="77"/>
        <v>2009</v>
      </c>
    </row>
    <row r="2483" spans="1:6" x14ac:dyDescent="0.2">
      <c r="A2483" s="20">
        <v>40050</v>
      </c>
      <c r="B2483">
        <v>126.5</v>
      </c>
      <c r="E2483">
        <f t="shared" si="76"/>
        <v>8</v>
      </c>
      <c r="F2483">
        <f t="shared" si="77"/>
        <v>2009</v>
      </c>
    </row>
    <row r="2484" spans="1:6" x14ac:dyDescent="0.2">
      <c r="A2484" s="20">
        <v>40051</v>
      </c>
      <c r="B2484">
        <v>125</v>
      </c>
      <c r="E2484">
        <f t="shared" si="76"/>
        <v>8</v>
      </c>
      <c r="F2484">
        <f t="shared" si="77"/>
        <v>2009</v>
      </c>
    </row>
    <row r="2485" spans="1:6" x14ac:dyDescent="0.2">
      <c r="A2485" s="20">
        <v>40052</v>
      </c>
      <c r="B2485">
        <v>126.25</v>
      </c>
      <c r="E2485">
        <f t="shared" si="76"/>
        <v>8</v>
      </c>
      <c r="F2485">
        <f t="shared" si="77"/>
        <v>2009</v>
      </c>
    </row>
    <row r="2486" spans="1:6" x14ac:dyDescent="0.2">
      <c r="A2486" s="20">
        <v>40053</v>
      </c>
      <c r="B2486">
        <v>125.5</v>
      </c>
      <c r="E2486">
        <f t="shared" si="76"/>
        <v>8</v>
      </c>
      <c r="F2486">
        <f t="shared" si="77"/>
        <v>2009</v>
      </c>
    </row>
    <row r="2487" spans="1:6" x14ac:dyDescent="0.2">
      <c r="A2487" s="20">
        <v>40056</v>
      </c>
      <c r="B2487">
        <v>122.5</v>
      </c>
      <c r="E2487">
        <f t="shared" si="76"/>
        <v>8</v>
      </c>
      <c r="F2487">
        <f t="shared" si="77"/>
        <v>2009</v>
      </c>
    </row>
    <row r="2488" spans="1:6" x14ac:dyDescent="0.2">
      <c r="A2488" s="20">
        <v>40057</v>
      </c>
      <c r="B2488">
        <v>123</v>
      </c>
      <c r="E2488">
        <f t="shared" si="76"/>
        <v>9</v>
      </c>
      <c r="F2488">
        <f t="shared" si="77"/>
        <v>2009</v>
      </c>
    </row>
    <row r="2489" spans="1:6" x14ac:dyDescent="0.2">
      <c r="A2489" s="20">
        <v>40058</v>
      </c>
      <c r="B2489">
        <v>122</v>
      </c>
      <c r="E2489">
        <f t="shared" si="76"/>
        <v>9</v>
      </c>
      <c r="F2489">
        <f t="shared" si="77"/>
        <v>2009</v>
      </c>
    </row>
    <row r="2490" spans="1:6" x14ac:dyDescent="0.2">
      <c r="A2490" s="20">
        <v>40059</v>
      </c>
      <c r="B2490">
        <v>122.5</v>
      </c>
      <c r="E2490">
        <f t="shared" si="76"/>
        <v>9</v>
      </c>
      <c r="F2490">
        <f t="shared" si="77"/>
        <v>2009</v>
      </c>
    </row>
    <row r="2491" spans="1:6" x14ac:dyDescent="0.2">
      <c r="A2491" s="20">
        <v>40060</v>
      </c>
      <c r="B2491">
        <v>122.5</v>
      </c>
      <c r="E2491">
        <f t="shared" si="76"/>
        <v>9</v>
      </c>
      <c r="F2491">
        <f t="shared" si="77"/>
        <v>2009</v>
      </c>
    </row>
    <row r="2492" spans="1:6" x14ac:dyDescent="0.2">
      <c r="A2492" s="20">
        <v>40063</v>
      </c>
      <c r="B2492">
        <v>121.75</v>
      </c>
      <c r="E2492">
        <f t="shared" si="76"/>
        <v>9</v>
      </c>
      <c r="F2492">
        <f t="shared" si="77"/>
        <v>2009</v>
      </c>
    </row>
    <row r="2493" spans="1:6" x14ac:dyDescent="0.2">
      <c r="A2493" s="20">
        <v>40064</v>
      </c>
      <c r="B2493">
        <v>121.25</v>
      </c>
      <c r="E2493">
        <f t="shared" si="76"/>
        <v>9</v>
      </c>
      <c r="F2493">
        <f t="shared" si="77"/>
        <v>2009</v>
      </c>
    </row>
    <row r="2494" spans="1:6" x14ac:dyDescent="0.2">
      <c r="A2494" s="20">
        <v>40065</v>
      </c>
      <c r="B2494">
        <v>119.25</v>
      </c>
      <c r="E2494">
        <f t="shared" si="76"/>
        <v>9</v>
      </c>
      <c r="F2494">
        <f t="shared" si="77"/>
        <v>2009</v>
      </c>
    </row>
    <row r="2495" spans="1:6" x14ac:dyDescent="0.2">
      <c r="A2495" s="20">
        <v>40066</v>
      </c>
      <c r="B2495">
        <v>119</v>
      </c>
      <c r="E2495">
        <f t="shared" si="76"/>
        <v>9</v>
      </c>
      <c r="F2495">
        <f t="shared" si="77"/>
        <v>2009</v>
      </c>
    </row>
    <row r="2496" spans="1:6" x14ac:dyDescent="0.2">
      <c r="A2496" s="20">
        <v>40067</v>
      </c>
      <c r="B2496">
        <v>117.25</v>
      </c>
      <c r="E2496">
        <f t="shared" si="76"/>
        <v>9</v>
      </c>
      <c r="F2496">
        <f t="shared" si="77"/>
        <v>2009</v>
      </c>
    </row>
    <row r="2497" spans="1:6" x14ac:dyDescent="0.2">
      <c r="A2497" s="20">
        <v>40070</v>
      </c>
      <c r="B2497">
        <v>116.25</v>
      </c>
      <c r="E2497">
        <f t="shared" si="76"/>
        <v>9</v>
      </c>
      <c r="F2497">
        <f t="shared" si="77"/>
        <v>2009</v>
      </c>
    </row>
    <row r="2498" spans="1:6" x14ac:dyDescent="0.2">
      <c r="A2498" s="20">
        <v>40071</v>
      </c>
      <c r="B2498">
        <v>117.5</v>
      </c>
      <c r="E2498">
        <f t="shared" si="76"/>
        <v>9</v>
      </c>
      <c r="F2498">
        <f t="shared" si="77"/>
        <v>2009</v>
      </c>
    </row>
    <row r="2499" spans="1:6" x14ac:dyDescent="0.2">
      <c r="A2499" s="20">
        <v>40072</v>
      </c>
      <c r="B2499">
        <v>117.25</v>
      </c>
      <c r="E2499">
        <f t="shared" ref="E2499:E2562" si="78">MONTH(A2499)</f>
        <v>9</v>
      </c>
      <c r="F2499">
        <f t="shared" ref="F2499:F2562" si="79">YEAR(A2499)</f>
        <v>2009</v>
      </c>
    </row>
    <row r="2500" spans="1:6" x14ac:dyDescent="0.2">
      <c r="A2500" s="20">
        <v>40073</v>
      </c>
      <c r="B2500">
        <v>117.5</v>
      </c>
      <c r="E2500">
        <f t="shared" si="78"/>
        <v>9</v>
      </c>
      <c r="F2500">
        <f t="shared" si="79"/>
        <v>2009</v>
      </c>
    </row>
    <row r="2501" spans="1:6" x14ac:dyDescent="0.2">
      <c r="A2501" s="20">
        <v>40074</v>
      </c>
      <c r="B2501">
        <v>118.25</v>
      </c>
      <c r="E2501">
        <f t="shared" si="78"/>
        <v>9</v>
      </c>
      <c r="F2501">
        <f t="shared" si="79"/>
        <v>2009</v>
      </c>
    </row>
    <row r="2502" spans="1:6" x14ac:dyDescent="0.2">
      <c r="A2502" s="20">
        <v>40077</v>
      </c>
      <c r="B2502">
        <v>118</v>
      </c>
      <c r="E2502">
        <f t="shared" si="78"/>
        <v>9</v>
      </c>
      <c r="F2502">
        <f t="shared" si="79"/>
        <v>2009</v>
      </c>
    </row>
    <row r="2503" spans="1:6" x14ac:dyDescent="0.2">
      <c r="A2503" s="20">
        <v>40078</v>
      </c>
      <c r="B2503">
        <v>119</v>
      </c>
      <c r="E2503">
        <f t="shared" si="78"/>
        <v>9</v>
      </c>
      <c r="F2503">
        <f t="shared" si="79"/>
        <v>2009</v>
      </c>
    </row>
    <row r="2504" spans="1:6" x14ac:dyDescent="0.2">
      <c r="A2504" s="20">
        <v>40079</v>
      </c>
      <c r="B2504">
        <v>120.25</v>
      </c>
      <c r="E2504">
        <f t="shared" si="78"/>
        <v>9</v>
      </c>
      <c r="F2504">
        <f t="shared" si="79"/>
        <v>2009</v>
      </c>
    </row>
    <row r="2505" spans="1:6" x14ac:dyDescent="0.2">
      <c r="A2505" s="20">
        <v>40080</v>
      </c>
      <c r="B2505">
        <v>120.5</v>
      </c>
      <c r="E2505">
        <f t="shared" si="78"/>
        <v>9</v>
      </c>
      <c r="F2505">
        <f t="shared" si="79"/>
        <v>2009</v>
      </c>
    </row>
    <row r="2506" spans="1:6" x14ac:dyDescent="0.2">
      <c r="A2506" s="20">
        <v>40081</v>
      </c>
      <c r="B2506">
        <v>121.5</v>
      </c>
      <c r="E2506">
        <f t="shared" si="78"/>
        <v>9</v>
      </c>
      <c r="F2506">
        <f t="shared" si="79"/>
        <v>2009</v>
      </c>
    </row>
    <row r="2507" spans="1:6" x14ac:dyDescent="0.2">
      <c r="A2507" s="20">
        <v>40084</v>
      </c>
      <c r="B2507">
        <v>121.25</v>
      </c>
      <c r="E2507">
        <f t="shared" si="78"/>
        <v>9</v>
      </c>
      <c r="F2507">
        <f t="shared" si="79"/>
        <v>2009</v>
      </c>
    </row>
    <row r="2508" spans="1:6" x14ac:dyDescent="0.2">
      <c r="A2508" s="20">
        <v>40085</v>
      </c>
      <c r="B2508">
        <v>122</v>
      </c>
      <c r="E2508">
        <f t="shared" si="78"/>
        <v>9</v>
      </c>
      <c r="F2508">
        <f t="shared" si="79"/>
        <v>2009</v>
      </c>
    </row>
    <row r="2509" spans="1:6" x14ac:dyDescent="0.2">
      <c r="A2509" s="20">
        <v>40086</v>
      </c>
      <c r="B2509">
        <v>120</v>
      </c>
      <c r="E2509">
        <f t="shared" si="78"/>
        <v>9</v>
      </c>
      <c r="F2509">
        <f t="shared" si="79"/>
        <v>2009</v>
      </c>
    </row>
    <row r="2510" spans="1:6" x14ac:dyDescent="0.2">
      <c r="A2510" s="20">
        <v>40087</v>
      </c>
      <c r="B2510">
        <v>121.75</v>
      </c>
      <c r="E2510">
        <f t="shared" si="78"/>
        <v>10</v>
      </c>
      <c r="F2510">
        <f t="shared" si="79"/>
        <v>2009</v>
      </c>
    </row>
    <row r="2511" spans="1:6" x14ac:dyDescent="0.2">
      <c r="A2511" s="20">
        <v>40088</v>
      </c>
      <c r="B2511">
        <v>121</v>
      </c>
      <c r="E2511">
        <f t="shared" si="78"/>
        <v>10</v>
      </c>
      <c r="F2511">
        <f t="shared" si="79"/>
        <v>2009</v>
      </c>
    </row>
    <row r="2512" spans="1:6" x14ac:dyDescent="0.2">
      <c r="A2512" s="20">
        <v>40091</v>
      </c>
      <c r="B2512">
        <v>122.25</v>
      </c>
      <c r="E2512">
        <f t="shared" si="78"/>
        <v>10</v>
      </c>
      <c r="F2512">
        <f t="shared" si="79"/>
        <v>2009</v>
      </c>
    </row>
    <row r="2513" spans="1:6" x14ac:dyDescent="0.2">
      <c r="A2513" s="20">
        <v>40092</v>
      </c>
      <c r="B2513">
        <v>123.25</v>
      </c>
      <c r="E2513">
        <f t="shared" si="78"/>
        <v>10</v>
      </c>
      <c r="F2513">
        <f t="shared" si="79"/>
        <v>2009</v>
      </c>
    </row>
    <row r="2514" spans="1:6" x14ac:dyDescent="0.2">
      <c r="A2514" s="20">
        <v>40093</v>
      </c>
      <c r="B2514">
        <v>123.5</v>
      </c>
      <c r="E2514">
        <f t="shared" si="78"/>
        <v>10</v>
      </c>
      <c r="F2514">
        <f t="shared" si="79"/>
        <v>2009</v>
      </c>
    </row>
    <row r="2515" spans="1:6" x14ac:dyDescent="0.2">
      <c r="A2515" s="20">
        <v>40094</v>
      </c>
      <c r="B2515">
        <v>126</v>
      </c>
      <c r="E2515">
        <f t="shared" si="78"/>
        <v>10</v>
      </c>
      <c r="F2515">
        <f t="shared" si="79"/>
        <v>2009</v>
      </c>
    </row>
    <row r="2516" spans="1:6" x14ac:dyDescent="0.2">
      <c r="A2516" s="20">
        <v>40095</v>
      </c>
      <c r="B2516">
        <v>123.5</v>
      </c>
      <c r="E2516">
        <f t="shared" si="78"/>
        <v>10</v>
      </c>
      <c r="F2516">
        <f t="shared" si="79"/>
        <v>2009</v>
      </c>
    </row>
    <row r="2517" spans="1:6" x14ac:dyDescent="0.2">
      <c r="A2517" s="20">
        <v>40098</v>
      </c>
      <c r="B2517">
        <v>125.5</v>
      </c>
      <c r="E2517">
        <f t="shared" si="78"/>
        <v>10</v>
      </c>
      <c r="F2517">
        <f t="shared" si="79"/>
        <v>2009</v>
      </c>
    </row>
    <row r="2518" spans="1:6" x14ac:dyDescent="0.2">
      <c r="A2518" s="20">
        <v>40099</v>
      </c>
      <c r="B2518">
        <v>125.5</v>
      </c>
      <c r="E2518">
        <f t="shared" si="78"/>
        <v>10</v>
      </c>
      <c r="F2518">
        <f t="shared" si="79"/>
        <v>2009</v>
      </c>
    </row>
    <row r="2519" spans="1:6" x14ac:dyDescent="0.2">
      <c r="A2519" s="20">
        <v>40100</v>
      </c>
      <c r="B2519">
        <v>126</v>
      </c>
      <c r="E2519">
        <f t="shared" si="78"/>
        <v>10</v>
      </c>
      <c r="F2519">
        <f t="shared" si="79"/>
        <v>2009</v>
      </c>
    </row>
    <row r="2520" spans="1:6" x14ac:dyDescent="0.2">
      <c r="A2520" s="20">
        <v>40101</v>
      </c>
      <c r="B2520">
        <v>125.5</v>
      </c>
      <c r="E2520">
        <f t="shared" si="78"/>
        <v>10</v>
      </c>
      <c r="F2520">
        <f t="shared" si="79"/>
        <v>2009</v>
      </c>
    </row>
    <row r="2521" spans="1:6" x14ac:dyDescent="0.2">
      <c r="A2521" s="20">
        <v>40102</v>
      </c>
      <c r="B2521">
        <v>125.75</v>
      </c>
      <c r="E2521">
        <f t="shared" si="78"/>
        <v>10</v>
      </c>
      <c r="F2521">
        <f t="shared" si="79"/>
        <v>2009</v>
      </c>
    </row>
    <row r="2522" spans="1:6" x14ac:dyDescent="0.2">
      <c r="A2522" s="20">
        <v>40105</v>
      </c>
      <c r="B2522">
        <v>126.75</v>
      </c>
      <c r="E2522">
        <f t="shared" si="78"/>
        <v>10</v>
      </c>
      <c r="F2522">
        <f t="shared" si="79"/>
        <v>2009</v>
      </c>
    </row>
    <row r="2523" spans="1:6" x14ac:dyDescent="0.2">
      <c r="A2523" s="20">
        <v>40106</v>
      </c>
      <c r="B2523">
        <v>127.25</v>
      </c>
      <c r="E2523">
        <f t="shared" si="78"/>
        <v>10</v>
      </c>
      <c r="F2523">
        <f t="shared" si="79"/>
        <v>2009</v>
      </c>
    </row>
    <row r="2524" spans="1:6" x14ac:dyDescent="0.2">
      <c r="A2524" s="20">
        <v>40107</v>
      </c>
      <c r="B2524">
        <v>130</v>
      </c>
      <c r="E2524">
        <f t="shared" si="78"/>
        <v>10</v>
      </c>
      <c r="F2524">
        <f t="shared" si="79"/>
        <v>2009</v>
      </c>
    </row>
    <row r="2525" spans="1:6" x14ac:dyDescent="0.2">
      <c r="A2525" s="20">
        <v>40108</v>
      </c>
      <c r="B2525">
        <v>130</v>
      </c>
      <c r="E2525">
        <f t="shared" si="78"/>
        <v>10</v>
      </c>
      <c r="F2525">
        <f t="shared" si="79"/>
        <v>2009</v>
      </c>
    </row>
    <row r="2526" spans="1:6" x14ac:dyDescent="0.2">
      <c r="A2526" s="20">
        <v>40109</v>
      </c>
      <c r="B2526">
        <v>131.5</v>
      </c>
      <c r="E2526">
        <f t="shared" si="78"/>
        <v>10</v>
      </c>
      <c r="F2526">
        <f t="shared" si="79"/>
        <v>2009</v>
      </c>
    </row>
    <row r="2527" spans="1:6" x14ac:dyDescent="0.2">
      <c r="A2527" s="20">
        <v>40112</v>
      </c>
      <c r="B2527">
        <v>128.75</v>
      </c>
      <c r="E2527">
        <f t="shared" si="78"/>
        <v>10</v>
      </c>
      <c r="F2527">
        <f t="shared" si="79"/>
        <v>2009</v>
      </c>
    </row>
    <row r="2528" spans="1:6" x14ac:dyDescent="0.2">
      <c r="A2528" s="20">
        <v>40113</v>
      </c>
      <c r="B2528">
        <v>128.5</v>
      </c>
      <c r="E2528">
        <f t="shared" si="78"/>
        <v>10</v>
      </c>
      <c r="F2528">
        <f t="shared" si="79"/>
        <v>2009</v>
      </c>
    </row>
    <row r="2529" spans="1:6" x14ac:dyDescent="0.2">
      <c r="A2529" s="20">
        <v>40114</v>
      </c>
      <c r="B2529">
        <v>127.75</v>
      </c>
      <c r="E2529">
        <f t="shared" si="78"/>
        <v>10</v>
      </c>
      <c r="F2529">
        <f t="shared" si="79"/>
        <v>2009</v>
      </c>
    </row>
    <row r="2530" spans="1:6" x14ac:dyDescent="0.2">
      <c r="A2530" s="20">
        <v>40115</v>
      </c>
      <c r="B2530">
        <v>130.75</v>
      </c>
      <c r="E2530">
        <f t="shared" si="78"/>
        <v>10</v>
      </c>
      <c r="F2530">
        <f t="shared" si="79"/>
        <v>2009</v>
      </c>
    </row>
    <row r="2531" spans="1:6" x14ac:dyDescent="0.2">
      <c r="A2531" s="20">
        <v>40116</v>
      </c>
      <c r="B2531">
        <v>128</v>
      </c>
      <c r="E2531">
        <f t="shared" si="78"/>
        <v>10</v>
      </c>
      <c r="F2531">
        <f t="shared" si="79"/>
        <v>2009</v>
      </c>
    </row>
    <row r="2532" spans="1:6" x14ac:dyDescent="0.2">
      <c r="A2532" s="20">
        <v>40119</v>
      </c>
      <c r="B2532">
        <v>127.5</v>
      </c>
      <c r="E2532">
        <f t="shared" si="78"/>
        <v>11</v>
      </c>
      <c r="F2532">
        <f t="shared" si="79"/>
        <v>2009</v>
      </c>
    </row>
    <row r="2533" spans="1:6" x14ac:dyDescent="0.2">
      <c r="A2533" s="20">
        <v>40120</v>
      </c>
      <c r="B2533">
        <v>127.5</v>
      </c>
      <c r="E2533">
        <f t="shared" si="78"/>
        <v>11</v>
      </c>
      <c r="F2533">
        <f t="shared" si="79"/>
        <v>2009</v>
      </c>
    </row>
    <row r="2534" spans="1:6" x14ac:dyDescent="0.2">
      <c r="A2534" s="20">
        <v>40121</v>
      </c>
      <c r="B2534">
        <v>128</v>
      </c>
      <c r="E2534">
        <f t="shared" si="78"/>
        <v>11</v>
      </c>
      <c r="F2534">
        <f t="shared" si="79"/>
        <v>2009</v>
      </c>
    </row>
    <row r="2535" spans="1:6" x14ac:dyDescent="0.2">
      <c r="A2535" s="20">
        <v>40122</v>
      </c>
      <c r="B2535">
        <v>129.5</v>
      </c>
      <c r="E2535">
        <f t="shared" si="78"/>
        <v>11</v>
      </c>
      <c r="F2535">
        <f t="shared" si="79"/>
        <v>2009</v>
      </c>
    </row>
    <row r="2536" spans="1:6" x14ac:dyDescent="0.2">
      <c r="A2536" s="20">
        <v>40123</v>
      </c>
      <c r="B2536">
        <v>137.25</v>
      </c>
      <c r="E2536">
        <f t="shared" si="78"/>
        <v>11</v>
      </c>
      <c r="F2536">
        <f t="shared" si="79"/>
        <v>2009</v>
      </c>
    </row>
    <row r="2537" spans="1:6" x14ac:dyDescent="0.2">
      <c r="A2537" s="20">
        <v>40126</v>
      </c>
      <c r="B2537">
        <v>137</v>
      </c>
      <c r="E2537">
        <f t="shared" si="78"/>
        <v>11</v>
      </c>
      <c r="F2537">
        <f t="shared" si="79"/>
        <v>2009</v>
      </c>
    </row>
    <row r="2538" spans="1:6" x14ac:dyDescent="0.2">
      <c r="A2538" s="20">
        <v>40127</v>
      </c>
      <c r="B2538">
        <v>137</v>
      </c>
      <c r="E2538">
        <f t="shared" si="78"/>
        <v>11</v>
      </c>
      <c r="F2538">
        <f t="shared" si="79"/>
        <v>2009</v>
      </c>
    </row>
    <row r="2539" spans="1:6" x14ac:dyDescent="0.2">
      <c r="A2539" s="20">
        <v>40128</v>
      </c>
      <c r="B2539">
        <v>137.25</v>
      </c>
      <c r="E2539">
        <f t="shared" si="78"/>
        <v>11</v>
      </c>
      <c r="F2539">
        <f t="shared" si="79"/>
        <v>2009</v>
      </c>
    </row>
    <row r="2540" spans="1:6" x14ac:dyDescent="0.2">
      <c r="A2540" s="20">
        <v>40129</v>
      </c>
      <c r="B2540">
        <v>137.5</v>
      </c>
      <c r="E2540">
        <f t="shared" si="78"/>
        <v>11</v>
      </c>
      <c r="F2540">
        <f t="shared" si="79"/>
        <v>2009</v>
      </c>
    </row>
    <row r="2541" spans="1:6" x14ac:dyDescent="0.2">
      <c r="A2541" s="20">
        <v>40130</v>
      </c>
      <c r="B2541">
        <v>137.75</v>
      </c>
      <c r="E2541">
        <f t="shared" si="78"/>
        <v>11</v>
      </c>
      <c r="F2541">
        <f t="shared" si="79"/>
        <v>2009</v>
      </c>
    </row>
    <row r="2542" spans="1:6" x14ac:dyDescent="0.2">
      <c r="A2542" s="20">
        <v>40133</v>
      </c>
      <c r="B2542">
        <v>139.75</v>
      </c>
      <c r="E2542">
        <f t="shared" si="78"/>
        <v>11</v>
      </c>
      <c r="F2542">
        <f t="shared" si="79"/>
        <v>2009</v>
      </c>
    </row>
    <row r="2543" spans="1:6" x14ac:dyDescent="0.2">
      <c r="A2543" s="20">
        <v>40134</v>
      </c>
      <c r="B2543">
        <v>140</v>
      </c>
      <c r="E2543">
        <f t="shared" si="78"/>
        <v>11</v>
      </c>
      <c r="F2543">
        <f t="shared" si="79"/>
        <v>2009</v>
      </c>
    </row>
    <row r="2544" spans="1:6" x14ac:dyDescent="0.2">
      <c r="A2544" s="20">
        <v>40135</v>
      </c>
      <c r="B2544">
        <v>140</v>
      </c>
      <c r="E2544">
        <f t="shared" si="78"/>
        <v>11</v>
      </c>
      <c r="F2544">
        <f t="shared" si="79"/>
        <v>2009</v>
      </c>
    </row>
    <row r="2545" spans="1:6" x14ac:dyDescent="0.2">
      <c r="A2545" s="20">
        <v>40136</v>
      </c>
      <c r="B2545">
        <v>139</v>
      </c>
      <c r="E2545">
        <f t="shared" si="78"/>
        <v>11</v>
      </c>
      <c r="F2545">
        <f t="shared" si="79"/>
        <v>2009</v>
      </c>
    </row>
    <row r="2546" spans="1:6" x14ac:dyDescent="0.2">
      <c r="A2546" s="20">
        <v>40137</v>
      </c>
      <c r="B2546">
        <v>138</v>
      </c>
      <c r="E2546">
        <f t="shared" si="78"/>
        <v>11</v>
      </c>
      <c r="F2546">
        <f t="shared" si="79"/>
        <v>2009</v>
      </c>
    </row>
    <row r="2547" spans="1:6" x14ac:dyDescent="0.2">
      <c r="A2547" s="20">
        <v>40140</v>
      </c>
      <c r="B2547">
        <v>138.5</v>
      </c>
      <c r="E2547">
        <f t="shared" si="78"/>
        <v>11</v>
      </c>
      <c r="F2547">
        <f t="shared" si="79"/>
        <v>2009</v>
      </c>
    </row>
    <row r="2548" spans="1:6" x14ac:dyDescent="0.2">
      <c r="A2548" s="20">
        <v>40141</v>
      </c>
      <c r="B2548">
        <v>137.5</v>
      </c>
      <c r="E2548">
        <f t="shared" si="78"/>
        <v>11</v>
      </c>
      <c r="F2548">
        <f t="shared" si="79"/>
        <v>2009</v>
      </c>
    </row>
    <row r="2549" spans="1:6" x14ac:dyDescent="0.2">
      <c r="A2549" s="20">
        <v>40142</v>
      </c>
      <c r="B2549">
        <v>137.75</v>
      </c>
      <c r="E2549">
        <f t="shared" si="78"/>
        <v>11</v>
      </c>
      <c r="F2549">
        <f t="shared" si="79"/>
        <v>2009</v>
      </c>
    </row>
    <row r="2550" spans="1:6" x14ac:dyDescent="0.2">
      <c r="A2550" s="20">
        <v>40143</v>
      </c>
      <c r="B2550">
        <v>137</v>
      </c>
      <c r="E2550">
        <f t="shared" si="78"/>
        <v>11</v>
      </c>
      <c r="F2550">
        <f t="shared" si="79"/>
        <v>2009</v>
      </c>
    </row>
    <row r="2551" spans="1:6" x14ac:dyDescent="0.2">
      <c r="A2551" s="20">
        <v>40144</v>
      </c>
      <c r="B2551">
        <v>137</v>
      </c>
      <c r="E2551">
        <f t="shared" si="78"/>
        <v>11</v>
      </c>
      <c r="F2551">
        <f t="shared" si="79"/>
        <v>2009</v>
      </c>
    </row>
    <row r="2552" spans="1:6" x14ac:dyDescent="0.2">
      <c r="A2552" s="20">
        <v>40147</v>
      </c>
      <c r="B2552">
        <v>137.25</v>
      </c>
      <c r="E2552">
        <f t="shared" si="78"/>
        <v>11</v>
      </c>
      <c r="F2552">
        <f t="shared" si="79"/>
        <v>2009</v>
      </c>
    </row>
    <row r="2553" spans="1:6" x14ac:dyDescent="0.2">
      <c r="A2553" s="20">
        <v>40148</v>
      </c>
      <c r="B2553">
        <v>139</v>
      </c>
      <c r="E2553">
        <f t="shared" si="78"/>
        <v>12</v>
      </c>
      <c r="F2553">
        <f t="shared" si="79"/>
        <v>2009</v>
      </c>
    </row>
    <row r="2554" spans="1:6" x14ac:dyDescent="0.2">
      <c r="A2554" s="20">
        <v>40149</v>
      </c>
      <c r="B2554">
        <v>139</v>
      </c>
      <c r="E2554">
        <f t="shared" si="78"/>
        <v>12</v>
      </c>
      <c r="F2554">
        <f t="shared" si="79"/>
        <v>2009</v>
      </c>
    </row>
    <row r="2555" spans="1:6" x14ac:dyDescent="0.2">
      <c r="A2555" s="20">
        <v>40150</v>
      </c>
      <c r="B2555">
        <v>139.25</v>
      </c>
      <c r="E2555">
        <f t="shared" si="78"/>
        <v>12</v>
      </c>
      <c r="F2555">
        <f t="shared" si="79"/>
        <v>2009</v>
      </c>
    </row>
    <row r="2556" spans="1:6" x14ac:dyDescent="0.2">
      <c r="A2556" s="20">
        <v>40151</v>
      </c>
      <c r="B2556">
        <v>138.5</v>
      </c>
      <c r="E2556">
        <f t="shared" si="78"/>
        <v>12</v>
      </c>
      <c r="F2556">
        <f t="shared" si="79"/>
        <v>2009</v>
      </c>
    </row>
    <row r="2557" spans="1:6" x14ac:dyDescent="0.2">
      <c r="A2557" s="20">
        <v>40154</v>
      </c>
      <c r="B2557">
        <v>137.25</v>
      </c>
      <c r="E2557">
        <f t="shared" si="78"/>
        <v>12</v>
      </c>
      <c r="F2557">
        <f t="shared" si="79"/>
        <v>2009</v>
      </c>
    </row>
    <row r="2558" spans="1:6" x14ac:dyDescent="0.2">
      <c r="A2558" s="20">
        <v>40155</v>
      </c>
      <c r="B2558">
        <v>135.75</v>
      </c>
      <c r="E2558">
        <f t="shared" si="78"/>
        <v>12</v>
      </c>
      <c r="F2558">
        <f t="shared" si="79"/>
        <v>2009</v>
      </c>
    </row>
    <row r="2559" spans="1:6" x14ac:dyDescent="0.2">
      <c r="A2559" s="20">
        <v>40156</v>
      </c>
      <c r="B2559">
        <v>134.5</v>
      </c>
      <c r="E2559">
        <f t="shared" si="78"/>
        <v>12</v>
      </c>
      <c r="F2559">
        <f t="shared" si="79"/>
        <v>2009</v>
      </c>
    </row>
    <row r="2560" spans="1:6" x14ac:dyDescent="0.2">
      <c r="A2560" s="20">
        <v>40157</v>
      </c>
      <c r="B2560">
        <v>134.75</v>
      </c>
      <c r="E2560">
        <f t="shared" si="78"/>
        <v>12</v>
      </c>
      <c r="F2560">
        <f t="shared" si="79"/>
        <v>2009</v>
      </c>
    </row>
    <row r="2561" spans="1:6" x14ac:dyDescent="0.2">
      <c r="A2561" s="20">
        <v>40158</v>
      </c>
      <c r="B2561">
        <v>136</v>
      </c>
      <c r="E2561">
        <f t="shared" si="78"/>
        <v>12</v>
      </c>
      <c r="F2561">
        <f t="shared" si="79"/>
        <v>2009</v>
      </c>
    </row>
    <row r="2562" spans="1:6" x14ac:dyDescent="0.2">
      <c r="A2562" s="20">
        <v>40161</v>
      </c>
      <c r="B2562">
        <v>136.25</v>
      </c>
      <c r="E2562">
        <f t="shared" si="78"/>
        <v>12</v>
      </c>
      <c r="F2562">
        <f t="shared" si="79"/>
        <v>2009</v>
      </c>
    </row>
    <row r="2563" spans="1:6" x14ac:dyDescent="0.2">
      <c r="A2563" s="20">
        <v>40162</v>
      </c>
      <c r="B2563">
        <v>137</v>
      </c>
      <c r="E2563">
        <f t="shared" ref="E2563:E2626" si="80">MONTH(A2563)</f>
        <v>12</v>
      </c>
      <c r="F2563">
        <f t="shared" ref="F2563:F2626" si="81">YEAR(A2563)</f>
        <v>2009</v>
      </c>
    </row>
    <row r="2564" spans="1:6" x14ac:dyDescent="0.2">
      <c r="A2564" s="20">
        <v>40163</v>
      </c>
      <c r="B2564">
        <v>137.25</v>
      </c>
      <c r="E2564">
        <f t="shared" si="80"/>
        <v>12</v>
      </c>
      <c r="F2564">
        <f t="shared" si="81"/>
        <v>2009</v>
      </c>
    </row>
    <row r="2565" spans="1:6" x14ac:dyDescent="0.2">
      <c r="A2565" s="20">
        <v>40164</v>
      </c>
      <c r="B2565">
        <v>137.5</v>
      </c>
      <c r="E2565">
        <f t="shared" si="80"/>
        <v>12</v>
      </c>
      <c r="F2565">
        <f t="shared" si="81"/>
        <v>2009</v>
      </c>
    </row>
    <row r="2566" spans="1:6" x14ac:dyDescent="0.2">
      <c r="A2566" s="20">
        <v>40165</v>
      </c>
      <c r="B2566">
        <v>137</v>
      </c>
      <c r="E2566">
        <f t="shared" si="80"/>
        <v>12</v>
      </c>
      <c r="F2566">
        <f t="shared" si="81"/>
        <v>2009</v>
      </c>
    </row>
    <row r="2567" spans="1:6" x14ac:dyDescent="0.2">
      <c r="A2567" s="20">
        <v>40168</v>
      </c>
      <c r="B2567">
        <v>137.75</v>
      </c>
      <c r="E2567">
        <f t="shared" si="80"/>
        <v>12</v>
      </c>
      <c r="F2567">
        <f t="shared" si="81"/>
        <v>2009</v>
      </c>
    </row>
    <row r="2568" spans="1:6" x14ac:dyDescent="0.2">
      <c r="A2568" s="20">
        <v>40169</v>
      </c>
      <c r="B2568">
        <v>137.75</v>
      </c>
      <c r="E2568">
        <f t="shared" si="80"/>
        <v>12</v>
      </c>
      <c r="F2568">
        <f t="shared" si="81"/>
        <v>2009</v>
      </c>
    </row>
    <row r="2569" spans="1:6" x14ac:dyDescent="0.2">
      <c r="A2569" s="20">
        <v>40170</v>
      </c>
      <c r="B2569">
        <v>138.75</v>
      </c>
      <c r="E2569">
        <f t="shared" si="80"/>
        <v>12</v>
      </c>
      <c r="F2569">
        <f t="shared" si="81"/>
        <v>2009</v>
      </c>
    </row>
    <row r="2570" spans="1:6" x14ac:dyDescent="0.2">
      <c r="A2570" s="20">
        <v>40171</v>
      </c>
      <c r="B2570">
        <v>138.25</v>
      </c>
      <c r="E2570">
        <f t="shared" si="80"/>
        <v>12</v>
      </c>
      <c r="F2570">
        <f t="shared" si="81"/>
        <v>2009</v>
      </c>
    </row>
    <row r="2571" spans="1:6" x14ac:dyDescent="0.2">
      <c r="A2571" s="20">
        <v>40175</v>
      </c>
      <c r="B2571">
        <v>139.75</v>
      </c>
      <c r="E2571">
        <f t="shared" si="80"/>
        <v>12</v>
      </c>
      <c r="F2571">
        <f t="shared" si="81"/>
        <v>2009</v>
      </c>
    </row>
    <row r="2572" spans="1:6" x14ac:dyDescent="0.2">
      <c r="A2572" s="20">
        <v>40176</v>
      </c>
      <c r="B2572">
        <v>138.75</v>
      </c>
      <c r="E2572">
        <f t="shared" si="80"/>
        <v>12</v>
      </c>
      <c r="F2572">
        <f t="shared" si="81"/>
        <v>2009</v>
      </c>
    </row>
    <row r="2573" spans="1:6" x14ac:dyDescent="0.2">
      <c r="A2573" s="20">
        <v>40177</v>
      </c>
      <c r="B2573">
        <v>138</v>
      </c>
      <c r="E2573">
        <f t="shared" si="80"/>
        <v>12</v>
      </c>
      <c r="F2573">
        <f t="shared" si="81"/>
        <v>2009</v>
      </c>
    </row>
    <row r="2574" spans="1:6" x14ac:dyDescent="0.2">
      <c r="A2574" s="20">
        <v>40178</v>
      </c>
      <c r="B2574">
        <v>137.25</v>
      </c>
      <c r="E2574">
        <f t="shared" si="80"/>
        <v>12</v>
      </c>
      <c r="F2574">
        <f t="shared" si="81"/>
        <v>2009</v>
      </c>
    </row>
    <row r="2575" spans="1:6" x14ac:dyDescent="0.2">
      <c r="A2575" s="20">
        <v>40182</v>
      </c>
      <c r="B2575">
        <v>139.25</v>
      </c>
      <c r="E2575">
        <f t="shared" si="80"/>
        <v>1</v>
      </c>
      <c r="F2575">
        <f t="shared" si="81"/>
        <v>2010</v>
      </c>
    </row>
    <row r="2576" spans="1:6" x14ac:dyDescent="0.2">
      <c r="A2576" s="20">
        <v>40183</v>
      </c>
      <c r="B2576">
        <v>139</v>
      </c>
      <c r="E2576">
        <f t="shared" si="80"/>
        <v>1</v>
      </c>
      <c r="F2576">
        <f t="shared" si="81"/>
        <v>2010</v>
      </c>
    </row>
    <row r="2577" spans="1:6" x14ac:dyDescent="0.2">
      <c r="A2577" s="20">
        <v>40184</v>
      </c>
      <c r="B2577">
        <v>140</v>
      </c>
      <c r="E2577">
        <f t="shared" si="80"/>
        <v>1</v>
      </c>
      <c r="F2577">
        <f t="shared" si="81"/>
        <v>2010</v>
      </c>
    </row>
    <row r="2578" spans="1:6" x14ac:dyDescent="0.2">
      <c r="A2578" s="20">
        <v>40185</v>
      </c>
      <c r="B2578">
        <v>141.25</v>
      </c>
      <c r="E2578">
        <f t="shared" si="80"/>
        <v>1</v>
      </c>
      <c r="F2578">
        <f t="shared" si="81"/>
        <v>2010</v>
      </c>
    </row>
    <row r="2579" spans="1:6" x14ac:dyDescent="0.2">
      <c r="A2579" s="20">
        <v>40186</v>
      </c>
      <c r="B2579">
        <v>141</v>
      </c>
      <c r="E2579">
        <f t="shared" si="80"/>
        <v>1</v>
      </c>
      <c r="F2579">
        <f t="shared" si="81"/>
        <v>2010</v>
      </c>
    </row>
    <row r="2580" spans="1:6" x14ac:dyDescent="0.2">
      <c r="A2580" s="20">
        <v>40189</v>
      </c>
      <c r="B2580">
        <v>140.5</v>
      </c>
      <c r="E2580">
        <f t="shared" si="80"/>
        <v>1</v>
      </c>
      <c r="F2580">
        <f t="shared" si="81"/>
        <v>2010</v>
      </c>
    </row>
    <row r="2581" spans="1:6" x14ac:dyDescent="0.2">
      <c r="A2581" s="20">
        <v>40190</v>
      </c>
      <c r="B2581">
        <v>138</v>
      </c>
      <c r="E2581">
        <f t="shared" si="80"/>
        <v>1</v>
      </c>
      <c r="F2581">
        <f t="shared" si="81"/>
        <v>2010</v>
      </c>
    </row>
    <row r="2582" spans="1:6" x14ac:dyDescent="0.2">
      <c r="A2582" s="20">
        <v>40191</v>
      </c>
      <c r="B2582">
        <v>137.75</v>
      </c>
      <c r="E2582">
        <f t="shared" si="80"/>
        <v>1</v>
      </c>
      <c r="F2582">
        <f t="shared" si="81"/>
        <v>2010</v>
      </c>
    </row>
    <row r="2583" spans="1:6" x14ac:dyDescent="0.2">
      <c r="A2583" s="20">
        <v>40192</v>
      </c>
      <c r="B2583">
        <v>137.75</v>
      </c>
      <c r="E2583">
        <f t="shared" si="80"/>
        <v>1</v>
      </c>
      <c r="F2583">
        <f t="shared" si="81"/>
        <v>2010</v>
      </c>
    </row>
    <row r="2584" spans="1:6" x14ac:dyDescent="0.2">
      <c r="A2584" s="20">
        <v>40193</v>
      </c>
      <c r="B2584">
        <v>136</v>
      </c>
      <c r="E2584">
        <f t="shared" si="80"/>
        <v>1</v>
      </c>
      <c r="F2584">
        <f t="shared" si="81"/>
        <v>2010</v>
      </c>
    </row>
    <row r="2585" spans="1:6" x14ac:dyDescent="0.2">
      <c r="A2585" s="20">
        <v>40196</v>
      </c>
      <c r="B2585">
        <v>134.25</v>
      </c>
      <c r="E2585">
        <f t="shared" si="80"/>
        <v>1</v>
      </c>
      <c r="F2585">
        <f t="shared" si="81"/>
        <v>2010</v>
      </c>
    </row>
    <row r="2586" spans="1:6" x14ac:dyDescent="0.2">
      <c r="A2586" s="20">
        <v>40197</v>
      </c>
      <c r="B2586">
        <v>134</v>
      </c>
      <c r="E2586">
        <f t="shared" si="80"/>
        <v>1</v>
      </c>
      <c r="F2586">
        <f t="shared" si="81"/>
        <v>2010</v>
      </c>
    </row>
    <row r="2587" spans="1:6" x14ac:dyDescent="0.2">
      <c r="A2587" s="20">
        <v>40198</v>
      </c>
      <c r="B2587">
        <v>134.25</v>
      </c>
      <c r="E2587">
        <f t="shared" si="80"/>
        <v>1</v>
      </c>
      <c r="F2587">
        <f t="shared" si="81"/>
        <v>2010</v>
      </c>
    </row>
    <row r="2588" spans="1:6" x14ac:dyDescent="0.2">
      <c r="A2588" s="20">
        <v>40199</v>
      </c>
      <c r="B2588">
        <v>135.25</v>
      </c>
      <c r="E2588">
        <f t="shared" si="80"/>
        <v>1</v>
      </c>
      <c r="F2588">
        <f t="shared" si="81"/>
        <v>2010</v>
      </c>
    </row>
    <row r="2589" spans="1:6" x14ac:dyDescent="0.2">
      <c r="A2589" s="20">
        <v>40200</v>
      </c>
      <c r="B2589">
        <v>135.25</v>
      </c>
      <c r="E2589">
        <f t="shared" si="80"/>
        <v>1</v>
      </c>
      <c r="F2589">
        <f t="shared" si="81"/>
        <v>2010</v>
      </c>
    </row>
    <row r="2590" spans="1:6" x14ac:dyDescent="0.2">
      <c r="A2590" s="20">
        <v>40203</v>
      </c>
      <c r="B2590">
        <v>134.75</v>
      </c>
      <c r="E2590">
        <f t="shared" si="80"/>
        <v>1</v>
      </c>
      <c r="F2590">
        <f t="shared" si="81"/>
        <v>2010</v>
      </c>
    </row>
    <row r="2591" spans="1:6" x14ac:dyDescent="0.2">
      <c r="A2591" s="20">
        <v>40204</v>
      </c>
      <c r="B2591">
        <v>132.5</v>
      </c>
      <c r="E2591">
        <f t="shared" si="80"/>
        <v>1</v>
      </c>
      <c r="F2591">
        <f t="shared" si="81"/>
        <v>2010</v>
      </c>
    </row>
    <row r="2592" spans="1:6" x14ac:dyDescent="0.2">
      <c r="A2592" s="20">
        <v>40205</v>
      </c>
      <c r="B2592">
        <v>131.5</v>
      </c>
      <c r="E2592">
        <f t="shared" si="80"/>
        <v>1</v>
      </c>
      <c r="F2592">
        <f t="shared" si="81"/>
        <v>2010</v>
      </c>
    </row>
    <row r="2593" spans="1:6" x14ac:dyDescent="0.2">
      <c r="A2593" s="20">
        <v>40206</v>
      </c>
      <c r="B2593">
        <v>132.25</v>
      </c>
      <c r="E2593">
        <f t="shared" si="80"/>
        <v>1</v>
      </c>
      <c r="F2593">
        <f t="shared" si="81"/>
        <v>2010</v>
      </c>
    </row>
    <row r="2594" spans="1:6" x14ac:dyDescent="0.2">
      <c r="A2594" s="20">
        <v>40207</v>
      </c>
      <c r="B2594">
        <v>132</v>
      </c>
      <c r="E2594">
        <f t="shared" si="80"/>
        <v>1</v>
      </c>
      <c r="F2594">
        <f t="shared" si="81"/>
        <v>2010</v>
      </c>
    </row>
    <row r="2595" spans="1:6" x14ac:dyDescent="0.2">
      <c r="A2595" s="20">
        <v>40210</v>
      </c>
      <c r="B2595">
        <v>132.5</v>
      </c>
      <c r="E2595">
        <f t="shared" si="80"/>
        <v>2</v>
      </c>
      <c r="F2595">
        <f t="shared" si="81"/>
        <v>2010</v>
      </c>
    </row>
    <row r="2596" spans="1:6" x14ac:dyDescent="0.2">
      <c r="A2596" s="20">
        <v>40211</v>
      </c>
      <c r="B2596">
        <v>133.25</v>
      </c>
      <c r="E2596">
        <f t="shared" si="80"/>
        <v>2</v>
      </c>
      <c r="F2596">
        <f t="shared" si="81"/>
        <v>2010</v>
      </c>
    </row>
    <row r="2597" spans="1:6" x14ac:dyDescent="0.2">
      <c r="A2597" s="20">
        <v>40212</v>
      </c>
      <c r="B2597">
        <v>132.5</v>
      </c>
      <c r="E2597">
        <f t="shared" si="80"/>
        <v>2</v>
      </c>
      <c r="F2597">
        <f t="shared" si="81"/>
        <v>2010</v>
      </c>
    </row>
    <row r="2598" spans="1:6" x14ac:dyDescent="0.2">
      <c r="A2598" s="20">
        <v>40213</v>
      </c>
      <c r="B2598">
        <v>132.25</v>
      </c>
      <c r="E2598">
        <f t="shared" si="80"/>
        <v>2</v>
      </c>
      <c r="F2598">
        <f t="shared" si="81"/>
        <v>2010</v>
      </c>
    </row>
    <row r="2599" spans="1:6" x14ac:dyDescent="0.2">
      <c r="A2599" s="20">
        <v>40214</v>
      </c>
      <c r="B2599">
        <v>132.5</v>
      </c>
      <c r="E2599">
        <f t="shared" si="80"/>
        <v>2</v>
      </c>
      <c r="F2599">
        <f t="shared" si="81"/>
        <v>2010</v>
      </c>
    </row>
    <row r="2600" spans="1:6" x14ac:dyDescent="0.2">
      <c r="A2600" s="20">
        <v>40217</v>
      </c>
      <c r="B2600">
        <v>133</v>
      </c>
      <c r="E2600">
        <f t="shared" si="80"/>
        <v>2</v>
      </c>
      <c r="F2600">
        <f t="shared" si="81"/>
        <v>2010</v>
      </c>
    </row>
    <row r="2601" spans="1:6" x14ac:dyDescent="0.2">
      <c r="A2601" s="20">
        <v>40218</v>
      </c>
      <c r="B2601">
        <v>133</v>
      </c>
      <c r="E2601">
        <f t="shared" si="80"/>
        <v>2</v>
      </c>
      <c r="F2601">
        <f t="shared" si="81"/>
        <v>2010</v>
      </c>
    </row>
    <row r="2602" spans="1:6" x14ac:dyDescent="0.2">
      <c r="A2602" s="20">
        <v>40219</v>
      </c>
      <c r="B2602">
        <v>132.25</v>
      </c>
      <c r="E2602">
        <f t="shared" si="80"/>
        <v>2</v>
      </c>
      <c r="F2602">
        <f t="shared" si="81"/>
        <v>2010</v>
      </c>
    </row>
    <row r="2603" spans="1:6" x14ac:dyDescent="0.2">
      <c r="A2603" s="20">
        <v>40220</v>
      </c>
      <c r="B2603">
        <v>132.5</v>
      </c>
      <c r="E2603">
        <f t="shared" si="80"/>
        <v>2</v>
      </c>
      <c r="F2603">
        <f t="shared" si="81"/>
        <v>2010</v>
      </c>
    </row>
    <row r="2604" spans="1:6" x14ac:dyDescent="0.2">
      <c r="A2604" s="20">
        <v>40221</v>
      </c>
      <c r="B2604">
        <v>132</v>
      </c>
      <c r="E2604">
        <f t="shared" si="80"/>
        <v>2</v>
      </c>
      <c r="F2604">
        <f t="shared" si="81"/>
        <v>2010</v>
      </c>
    </row>
    <row r="2605" spans="1:6" x14ac:dyDescent="0.2">
      <c r="A2605" s="20">
        <v>40224</v>
      </c>
      <c r="B2605">
        <v>131.5</v>
      </c>
      <c r="E2605">
        <f t="shared" si="80"/>
        <v>2</v>
      </c>
      <c r="F2605">
        <f t="shared" si="81"/>
        <v>2010</v>
      </c>
    </row>
    <row r="2606" spans="1:6" x14ac:dyDescent="0.2">
      <c r="A2606" s="20">
        <v>40225</v>
      </c>
      <c r="B2606">
        <v>131.75</v>
      </c>
      <c r="E2606">
        <f t="shared" si="80"/>
        <v>2</v>
      </c>
      <c r="F2606">
        <f t="shared" si="81"/>
        <v>2010</v>
      </c>
    </row>
    <row r="2607" spans="1:6" x14ac:dyDescent="0.2">
      <c r="A2607" s="20">
        <v>40226</v>
      </c>
      <c r="B2607">
        <v>132</v>
      </c>
      <c r="E2607">
        <f t="shared" si="80"/>
        <v>2</v>
      </c>
      <c r="F2607">
        <f t="shared" si="81"/>
        <v>2010</v>
      </c>
    </row>
    <row r="2608" spans="1:6" x14ac:dyDescent="0.2">
      <c r="A2608" s="20">
        <v>40227</v>
      </c>
      <c r="B2608">
        <v>130.75</v>
      </c>
      <c r="E2608">
        <f t="shared" si="80"/>
        <v>2</v>
      </c>
      <c r="F2608">
        <f t="shared" si="81"/>
        <v>2010</v>
      </c>
    </row>
    <row r="2609" spans="1:6" x14ac:dyDescent="0.2">
      <c r="A2609" s="20">
        <v>40228</v>
      </c>
      <c r="B2609">
        <v>130</v>
      </c>
      <c r="E2609">
        <f t="shared" si="80"/>
        <v>2</v>
      </c>
      <c r="F2609">
        <f t="shared" si="81"/>
        <v>2010</v>
      </c>
    </row>
    <row r="2610" spans="1:6" x14ac:dyDescent="0.2">
      <c r="A2610" s="20">
        <v>40231</v>
      </c>
      <c r="B2610">
        <v>129.75</v>
      </c>
      <c r="E2610">
        <f t="shared" si="80"/>
        <v>2</v>
      </c>
      <c r="F2610">
        <f t="shared" si="81"/>
        <v>2010</v>
      </c>
    </row>
    <row r="2611" spans="1:6" x14ac:dyDescent="0.2">
      <c r="A2611" s="20">
        <v>40232</v>
      </c>
      <c r="B2611">
        <v>130.25</v>
      </c>
      <c r="E2611">
        <f t="shared" si="80"/>
        <v>2</v>
      </c>
      <c r="F2611">
        <f t="shared" si="81"/>
        <v>2010</v>
      </c>
    </row>
    <row r="2612" spans="1:6" x14ac:dyDescent="0.2">
      <c r="A2612" s="20">
        <v>40233</v>
      </c>
      <c r="B2612">
        <v>130</v>
      </c>
      <c r="E2612">
        <f t="shared" si="80"/>
        <v>2</v>
      </c>
      <c r="F2612">
        <f t="shared" si="81"/>
        <v>2010</v>
      </c>
    </row>
    <row r="2613" spans="1:6" x14ac:dyDescent="0.2">
      <c r="A2613" s="20">
        <v>40234</v>
      </c>
      <c r="B2613">
        <v>129.5</v>
      </c>
      <c r="E2613">
        <f t="shared" si="80"/>
        <v>2</v>
      </c>
      <c r="F2613">
        <f t="shared" si="81"/>
        <v>2010</v>
      </c>
    </row>
    <row r="2614" spans="1:6" x14ac:dyDescent="0.2">
      <c r="A2614" s="20">
        <v>40235</v>
      </c>
      <c r="B2614">
        <v>128</v>
      </c>
      <c r="E2614">
        <f t="shared" si="80"/>
        <v>2</v>
      </c>
      <c r="F2614">
        <f t="shared" si="81"/>
        <v>2010</v>
      </c>
    </row>
    <row r="2615" spans="1:6" x14ac:dyDescent="0.2">
      <c r="A2615" s="20">
        <v>40238</v>
      </c>
      <c r="B2615">
        <v>127</v>
      </c>
      <c r="E2615">
        <f t="shared" si="80"/>
        <v>3</v>
      </c>
      <c r="F2615">
        <f t="shared" si="81"/>
        <v>2010</v>
      </c>
    </row>
    <row r="2616" spans="1:6" x14ac:dyDescent="0.2">
      <c r="A2616" s="20">
        <v>40239</v>
      </c>
      <c r="B2616">
        <v>126.25</v>
      </c>
      <c r="E2616">
        <f t="shared" si="80"/>
        <v>3</v>
      </c>
      <c r="F2616">
        <f t="shared" si="81"/>
        <v>2010</v>
      </c>
    </row>
    <row r="2617" spans="1:6" x14ac:dyDescent="0.2">
      <c r="A2617" s="20">
        <v>40240</v>
      </c>
      <c r="B2617">
        <v>127</v>
      </c>
      <c r="E2617">
        <f t="shared" si="80"/>
        <v>3</v>
      </c>
      <c r="F2617">
        <f t="shared" si="81"/>
        <v>2010</v>
      </c>
    </row>
    <row r="2618" spans="1:6" x14ac:dyDescent="0.2">
      <c r="A2618" s="20">
        <v>40241</v>
      </c>
      <c r="B2618">
        <v>127.25</v>
      </c>
      <c r="E2618">
        <f t="shared" si="80"/>
        <v>3</v>
      </c>
      <c r="F2618">
        <f t="shared" si="81"/>
        <v>2010</v>
      </c>
    </row>
    <row r="2619" spans="1:6" x14ac:dyDescent="0.2">
      <c r="A2619" s="20">
        <v>40242</v>
      </c>
      <c r="B2619">
        <v>129.25</v>
      </c>
      <c r="E2619">
        <f t="shared" si="80"/>
        <v>3</v>
      </c>
      <c r="F2619">
        <f t="shared" si="81"/>
        <v>2010</v>
      </c>
    </row>
    <row r="2620" spans="1:6" x14ac:dyDescent="0.2">
      <c r="A2620" s="20">
        <v>40245</v>
      </c>
      <c r="B2620">
        <v>134</v>
      </c>
      <c r="E2620">
        <f t="shared" si="80"/>
        <v>3</v>
      </c>
      <c r="F2620">
        <f t="shared" si="81"/>
        <v>2010</v>
      </c>
    </row>
    <row r="2621" spans="1:6" x14ac:dyDescent="0.2">
      <c r="A2621" s="20">
        <v>40246</v>
      </c>
      <c r="B2621">
        <v>133.5</v>
      </c>
      <c r="E2621">
        <f t="shared" si="80"/>
        <v>3</v>
      </c>
      <c r="F2621">
        <f t="shared" si="81"/>
        <v>2010</v>
      </c>
    </row>
    <row r="2622" spans="1:6" x14ac:dyDescent="0.2">
      <c r="A2622" s="20">
        <v>40247</v>
      </c>
      <c r="B2622">
        <v>132</v>
      </c>
      <c r="E2622">
        <f t="shared" si="80"/>
        <v>3</v>
      </c>
      <c r="F2622">
        <f t="shared" si="81"/>
        <v>2010</v>
      </c>
    </row>
    <row r="2623" spans="1:6" x14ac:dyDescent="0.2">
      <c r="A2623" s="20">
        <v>40248</v>
      </c>
      <c r="B2623">
        <v>131.5</v>
      </c>
      <c r="E2623">
        <f t="shared" si="80"/>
        <v>3</v>
      </c>
      <c r="F2623">
        <f t="shared" si="81"/>
        <v>2010</v>
      </c>
    </row>
    <row r="2624" spans="1:6" x14ac:dyDescent="0.2">
      <c r="A2624" s="20">
        <v>40249</v>
      </c>
      <c r="B2624">
        <v>131</v>
      </c>
      <c r="E2624">
        <f t="shared" si="80"/>
        <v>3</v>
      </c>
      <c r="F2624">
        <f t="shared" si="81"/>
        <v>2010</v>
      </c>
    </row>
    <row r="2625" spans="1:6" x14ac:dyDescent="0.2">
      <c r="A2625" s="20">
        <v>40252</v>
      </c>
      <c r="B2625">
        <v>131</v>
      </c>
      <c r="E2625">
        <f t="shared" si="80"/>
        <v>3</v>
      </c>
      <c r="F2625">
        <f t="shared" si="81"/>
        <v>2010</v>
      </c>
    </row>
    <row r="2626" spans="1:6" x14ac:dyDescent="0.2">
      <c r="A2626" s="20">
        <v>40253</v>
      </c>
      <c r="B2626">
        <v>131</v>
      </c>
      <c r="E2626">
        <f t="shared" si="80"/>
        <v>3</v>
      </c>
      <c r="F2626">
        <f t="shared" si="81"/>
        <v>2010</v>
      </c>
    </row>
    <row r="2627" spans="1:6" x14ac:dyDescent="0.2">
      <c r="A2627" s="20">
        <v>40254</v>
      </c>
      <c r="B2627">
        <v>132</v>
      </c>
      <c r="E2627">
        <f t="shared" ref="E2627:E2690" si="82">MONTH(A2627)</f>
        <v>3</v>
      </c>
      <c r="F2627">
        <f t="shared" ref="F2627:F2690" si="83">YEAR(A2627)</f>
        <v>2010</v>
      </c>
    </row>
    <row r="2628" spans="1:6" x14ac:dyDescent="0.2">
      <c r="A2628" s="20">
        <v>40255</v>
      </c>
      <c r="B2628">
        <v>133</v>
      </c>
      <c r="E2628">
        <f t="shared" si="82"/>
        <v>3</v>
      </c>
      <c r="F2628">
        <f t="shared" si="83"/>
        <v>2010</v>
      </c>
    </row>
    <row r="2629" spans="1:6" x14ac:dyDescent="0.2">
      <c r="A2629" s="20">
        <v>40256</v>
      </c>
      <c r="B2629">
        <v>134.5</v>
      </c>
      <c r="E2629">
        <f t="shared" si="82"/>
        <v>3</v>
      </c>
      <c r="F2629">
        <f t="shared" si="83"/>
        <v>2010</v>
      </c>
    </row>
    <row r="2630" spans="1:6" x14ac:dyDescent="0.2">
      <c r="A2630" s="20">
        <v>40259</v>
      </c>
      <c r="B2630">
        <v>136</v>
      </c>
      <c r="E2630">
        <f t="shared" si="82"/>
        <v>3</v>
      </c>
      <c r="F2630">
        <f t="shared" si="83"/>
        <v>2010</v>
      </c>
    </row>
    <row r="2631" spans="1:6" x14ac:dyDescent="0.2">
      <c r="A2631" s="20">
        <v>40260</v>
      </c>
      <c r="B2631">
        <v>136.5</v>
      </c>
      <c r="E2631">
        <f t="shared" si="82"/>
        <v>3</v>
      </c>
      <c r="F2631">
        <f t="shared" si="83"/>
        <v>2010</v>
      </c>
    </row>
    <row r="2632" spans="1:6" x14ac:dyDescent="0.2">
      <c r="A2632" s="20">
        <v>40261</v>
      </c>
      <c r="B2632">
        <v>135.25</v>
      </c>
      <c r="E2632">
        <f t="shared" si="82"/>
        <v>3</v>
      </c>
      <c r="F2632">
        <f t="shared" si="83"/>
        <v>2010</v>
      </c>
    </row>
    <row r="2633" spans="1:6" x14ac:dyDescent="0.2">
      <c r="A2633" s="20">
        <v>40262</v>
      </c>
      <c r="B2633">
        <v>135.5</v>
      </c>
      <c r="E2633">
        <f t="shared" si="82"/>
        <v>3</v>
      </c>
      <c r="F2633">
        <f t="shared" si="83"/>
        <v>2010</v>
      </c>
    </row>
    <row r="2634" spans="1:6" x14ac:dyDescent="0.2">
      <c r="A2634" s="20">
        <v>40263</v>
      </c>
      <c r="B2634">
        <v>136.5</v>
      </c>
      <c r="E2634">
        <f t="shared" si="82"/>
        <v>3</v>
      </c>
      <c r="F2634">
        <f t="shared" si="83"/>
        <v>2010</v>
      </c>
    </row>
    <row r="2635" spans="1:6" x14ac:dyDescent="0.2">
      <c r="A2635" s="20">
        <v>40266</v>
      </c>
      <c r="B2635">
        <v>136.5</v>
      </c>
      <c r="E2635">
        <f t="shared" si="82"/>
        <v>3</v>
      </c>
      <c r="F2635">
        <f t="shared" si="83"/>
        <v>2010</v>
      </c>
    </row>
    <row r="2636" spans="1:6" x14ac:dyDescent="0.2">
      <c r="A2636" s="20">
        <v>40267</v>
      </c>
      <c r="B2636">
        <v>136</v>
      </c>
      <c r="E2636">
        <f t="shared" si="82"/>
        <v>3</v>
      </c>
      <c r="F2636">
        <f t="shared" si="83"/>
        <v>2010</v>
      </c>
    </row>
    <row r="2637" spans="1:6" x14ac:dyDescent="0.2">
      <c r="A2637" s="20">
        <v>40268</v>
      </c>
      <c r="B2637">
        <v>135</v>
      </c>
      <c r="E2637">
        <f t="shared" si="82"/>
        <v>3</v>
      </c>
      <c r="F2637">
        <f t="shared" si="83"/>
        <v>2010</v>
      </c>
    </row>
    <row r="2638" spans="1:6" x14ac:dyDescent="0.2">
      <c r="A2638" s="20">
        <v>40269</v>
      </c>
      <c r="B2638">
        <v>136.25</v>
      </c>
      <c r="E2638">
        <f t="shared" si="82"/>
        <v>4</v>
      </c>
      <c r="F2638">
        <f t="shared" si="83"/>
        <v>2010</v>
      </c>
    </row>
    <row r="2639" spans="1:6" x14ac:dyDescent="0.2">
      <c r="A2639" s="20">
        <v>40274</v>
      </c>
      <c r="B2639">
        <v>137.25</v>
      </c>
      <c r="E2639">
        <f t="shared" si="82"/>
        <v>4</v>
      </c>
      <c r="F2639">
        <f t="shared" si="83"/>
        <v>2010</v>
      </c>
    </row>
    <row r="2640" spans="1:6" x14ac:dyDescent="0.2">
      <c r="A2640" s="20">
        <v>40275</v>
      </c>
      <c r="B2640">
        <v>137.5</v>
      </c>
      <c r="E2640">
        <f t="shared" si="82"/>
        <v>4</v>
      </c>
      <c r="F2640">
        <f t="shared" si="83"/>
        <v>2010</v>
      </c>
    </row>
    <row r="2641" spans="1:6" x14ac:dyDescent="0.2">
      <c r="A2641" s="20">
        <v>40276</v>
      </c>
      <c r="B2641">
        <v>138.75</v>
      </c>
      <c r="E2641">
        <f t="shared" si="82"/>
        <v>4</v>
      </c>
      <c r="F2641">
        <f t="shared" si="83"/>
        <v>2010</v>
      </c>
    </row>
    <row r="2642" spans="1:6" x14ac:dyDescent="0.2">
      <c r="A2642" s="20">
        <v>40277</v>
      </c>
      <c r="B2642">
        <v>137.75</v>
      </c>
      <c r="E2642">
        <f t="shared" si="82"/>
        <v>4</v>
      </c>
      <c r="F2642">
        <f t="shared" si="83"/>
        <v>2010</v>
      </c>
    </row>
    <row r="2643" spans="1:6" x14ac:dyDescent="0.2">
      <c r="A2643" s="20">
        <v>40280</v>
      </c>
      <c r="B2643">
        <v>138</v>
      </c>
      <c r="E2643">
        <f t="shared" si="82"/>
        <v>4</v>
      </c>
      <c r="F2643">
        <f t="shared" si="83"/>
        <v>2010</v>
      </c>
    </row>
    <row r="2644" spans="1:6" x14ac:dyDescent="0.2">
      <c r="A2644" s="20">
        <v>40281</v>
      </c>
      <c r="B2644">
        <v>138.5</v>
      </c>
      <c r="E2644">
        <f t="shared" si="82"/>
        <v>4</v>
      </c>
      <c r="F2644">
        <f t="shared" si="83"/>
        <v>2010</v>
      </c>
    </row>
    <row r="2645" spans="1:6" x14ac:dyDescent="0.2">
      <c r="A2645" s="20">
        <v>40282</v>
      </c>
      <c r="B2645">
        <v>141.25</v>
      </c>
      <c r="E2645">
        <f t="shared" si="82"/>
        <v>4</v>
      </c>
      <c r="F2645">
        <f t="shared" si="83"/>
        <v>2010</v>
      </c>
    </row>
    <row r="2646" spans="1:6" x14ac:dyDescent="0.2">
      <c r="A2646" s="20">
        <v>40283</v>
      </c>
      <c r="B2646">
        <v>143</v>
      </c>
      <c r="E2646">
        <f t="shared" si="82"/>
        <v>4</v>
      </c>
      <c r="F2646">
        <f t="shared" si="83"/>
        <v>2010</v>
      </c>
    </row>
    <row r="2647" spans="1:6" x14ac:dyDescent="0.2">
      <c r="A2647" s="20">
        <v>40284</v>
      </c>
      <c r="B2647">
        <v>142.5</v>
      </c>
      <c r="E2647">
        <f t="shared" si="82"/>
        <v>4</v>
      </c>
      <c r="F2647">
        <f t="shared" si="83"/>
        <v>2010</v>
      </c>
    </row>
    <row r="2648" spans="1:6" x14ac:dyDescent="0.2">
      <c r="A2648" s="20">
        <v>40287</v>
      </c>
      <c r="B2648">
        <v>141.25</v>
      </c>
      <c r="E2648">
        <f t="shared" si="82"/>
        <v>4</v>
      </c>
      <c r="F2648">
        <f t="shared" si="83"/>
        <v>2010</v>
      </c>
    </row>
    <row r="2649" spans="1:6" x14ac:dyDescent="0.2">
      <c r="A2649" s="20">
        <v>40288</v>
      </c>
      <c r="B2649">
        <v>142.5</v>
      </c>
      <c r="E2649">
        <f t="shared" si="82"/>
        <v>4</v>
      </c>
      <c r="F2649">
        <f t="shared" si="83"/>
        <v>2010</v>
      </c>
    </row>
    <row r="2650" spans="1:6" x14ac:dyDescent="0.2">
      <c r="A2650" s="20">
        <v>40289</v>
      </c>
      <c r="B2650">
        <v>144</v>
      </c>
      <c r="E2650">
        <f t="shared" si="82"/>
        <v>4</v>
      </c>
      <c r="F2650">
        <f t="shared" si="83"/>
        <v>2010</v>
      </c>
    </row>
    <row r="2651" spans="1:6" x14ac:dyDescent="0.2">
      <c r="A2651" s="20">
        <v>40290</v>
      </c>
      <c r="B2651">
        <v>144.5</v>
      </c>
      <c r="E2651">
        <f t="shared" si="82"/>
        <v>4</v>
      </c>
      <c r="F2651">
        <f t="shared" si="83"/>
        <v>2010</v>
      </c>
    </row>
    <row r="2652" spans="1:6" x14ac:dyDescent="0.2">
      <c r="A2652" s="20">
        <v>40291</v>
      </c>
      <c r="B2652">
        <v>144.5</v>
      </c>
      <c r="E2652">
        <f t="shared" si="82"/>
        <v>4</v>
      </c>
      <c r="F2652">
        <f t="shared" si="83"/>
        <v>2010</v>
      </c>
    </row>
    <row r="2653" spans="1:6" x14ac:dyDescent="0.2">
      <c r="A2653" s="20">
        <v>40294</v>
      </c>
      <c r="B2653">
        <v>145.5</v>
      </c>
      <c r="E2653">
        <f t="shared" si="82"/>
        <v>4</v>
      </c>
      <c r="F2653">
        <f t="shared" si="83"/>
        <v>2010</v>
      </c>
    </row>
    <row r="2654" spans="1:6" x14ac:dyDescent="0.2">
      <c r="A2654" s="20">
        <v>40295</v>
      </c>
      <c r="B2654">
        <v>143.5</v>
      </c>
      <c r="E2654">
        <f t="shared" si="82"/>
        <v>4</v>
      </c>
      <c r="F2654">
        <f t="shared" si="83"/>
        <v>2010</v>
      </c>
    </row>
    <row r="2655" spans="1:6" x14ac:dyDescent="0.2">
      <c r="A2655" s="20">
        <v>40296</v>
      </c>
      <c r="B2655">
        <v>142.75</v>
      </c>
      <c r="E2655">
        <f t="shared" si="82"/>
        <v>4</v>
      </c>
      <c r="F2655">
        <f t="shared" si="83"/>
        <v>2010</v>
      </c>
    </row>
    <row r="2656" spans="1:6" x14ac:dyDescent="0.2">
      <c r="A2656" s="20">
        <v>40297</v>
      </c>
      <c r="B2656">
        <v>143.75</v>
      </c>
      <c r="E2656">
        <f t="shared" si="82"/>
        <v>4</v>
      </c>
      <c r="F2656">
        <f t="shared" si="83"/>
        <v>2010</v>
      </c>
    </row>
    <row r="2657" spans="1:6" x14ac:dyDescent="0.2">
      <c r="A2657" s="20">
        <v>40298</v>
      </c>
      <c r="B2657">
        <v>143.5</v>
      </c>
      <c r="E2657">
        <f t="shared" si="82"/>
        <v>4</v>
      </c>
      <c r="F2657">
        <f t="shared" si="83"/>
        <v>2010</v>
      </c>
    </row>
    <row r="2658" spans="1:6" x14ac:dyDescent="0.2">
      <c r="A2658" s="20">
        <v>40301</v>
      </c>
      <c r="B2658">
        <v>143.75</v>
      </c>
      <c r="E2658">
        <f t="shared" si="82"/>
        <v>5</v>
      </c>
      <c r="F2658">
        <f t="shared" si="83"/>
        <v>2010</v>
      </c>
    </row>
    <row r="2659" spans="1:6" x14ac:dyDescent="0.2">
      <c r="A2659" s="20">
        <v>40302</v>
      </c>
      <c r="B2659">
        <v>143.25</v>
      </c>
      <c r="E2659">
        <f t="shared" si="82"/>
        <v>5</v>
      </c>
      <c r="F2659">
        <f t="shared" si="83"/>
        <v>2010</v>
      </c>
    </row>
    <row r="2660" spans="1:6" x14ac:dyDescent="0.2">
      <c r="A2660" s="20">
        <v>40303</v>
      </c>
      <c r="B2660">
        <v>145.25</v>
      </c>
      <c r="E2660">
        <f t="shared" si="82"/>
        <v>5</v>
      </c>
      <c r="F2660">
        <f t="shared" si="83"/>
        <v>2010</v>
      </c>
    </row>
    <row r="2661" spans="1:6" x14ac:dyDescent="0.2">
      <c r="A2661" s="20">
        <v>40304</v>
      </c>
      <c r="B2661">
        <v>147</v>
      </c>
      <c r="E2661">
        <f t="shared" si="82"/>
        <v>5</v>
      </c>
      <c r="F2661">
        <f t="shared" si="83"/>
        <v>2010</v>
      </c>
    </row>
    <row r="2662" spans="1:6" x14ac:dyDescent="0.2">
      <c r="A2662" s="20">
        <v>40305</v>
      </c>
      <c r="B2662">
        <v>146.75</v>
      </c>
      <c r="E2662">
        <f t="shared" si="82"/>
        <v>5</v>
      </c>
      <c r="F2662">
        <f t="shared" si="83"/>
        <v>2010</v>
      </c>
    </row>
    <row r="2663" spans="1:6" x14ac:dyDescent="0.2">
      <c r="A2663" s="20">
        <v>40308</v>
      </c>
      <c r="B2663">
        <v>145.75</v>
      </c>
      <c r="E2663">
        <f t="shared" si="82"/>
        <v>5</v>
      </c>
      <c r="F2663">
        <f t="shared" si="83"/>
        <v>2010</v>
      </c>
    </row>
    <row r="2664" spans="1:6" x14ac:dyDescent="0.2">
      <c r="A2664" s="20">
        <v>40309</v>
      </c>
      <c r="B2664">
        <v>145.25</v>
      </c>
      <c r="E2664">
        <f t="shared" si="82"/>
        <v>5</v>
      </c>
      <c r="F2664">
        <f t="shared" si="83"/>
        <v>2010</v>
      </c>
    </row>
    <row r="2665" spans="1:6" x14ac:dyDescent="0.2">
      <c r="A2665" s="20">
        <v>40310</v>
      </c>
      <c r="B2665">
        <v>146.5</v>
      </c>
      <c r="E2665">
        <f t="shared" si="82"/>
        <v>5</v>
      </c>
      <c r="F2665">
        <f t="shared" si="83"/>
        <v>2010</v>
      </c>
    </row>
    <row r="2666" spans="1:6" x14ac:dyDescent="0.2">
      <c r="A2666" s="20">
        <v>40311</v>
      </c>
      <c r="B2666">
        <v>146.25</v>
      </c>
      <c r="E2666">
        <f t="shared" si="82"/>
        <v>5</v>
      </c>
      <c r="F2666">
        <f t="shared" si="83"/>
        <v>2010</v>
      </c>
    </row>
    <row r="2667" spans="1:6" x14ac:dyDescent="0.2">
      <c r="A2667" s="20">
        <v>40312</v>
      </c>
      <c r="B2667">
        <v>146.5</v>
      </c>
      <c r="E2667">
        <f t="shared" si="82"/>
        <v>5</v>
      </c>
      <c r="F2667">
        <f t="shared" si="83"/>
        <v>2010</v>
      </c>
    </row>
    <row r="2668" spans="1:6" x14ac:dyDescent="0.2">
      <c r="A2668" s="20">
        <v>40315</v>
      </c>
      <c r="B2668">
        <v>147.25</v>
      </c>
      <c r="E2668">
        <f t="shared" si="82"/>
        <v>5</v>
      </c>
      <c r="F2668">
        <f t="shared" si="83"/>
        <v>2010</v>
      </c>
    </row>
    <row r="2669" spans="1:6" x14ac:dyDescent="0.2">
      <c r="A2669" s="20">
        <v>40316</v>
      </c>
      <c r="B2669">
        <v>147.75</v>
      </c>
      <c r="E2669">
        <f t="shared" si="82"/>
        <v>5</v>
      </c>
      <c r="F2669">
        <f t="shared" si="83"/>
        <v>2010</v>
      </c>
    </row>
    <row r="2670" spans="1:6" x14ac:dyDescent="0.2">
      <c r="A2670" s="20">
        <v>40317</v>
      </c>
      <c r="B2670">
        <v>149.25</v>
      </c>
      <c r="E2670">
        <f t="shared" si="82"/>
        <v>5</v>
      </c>
      <c r="F2670">
        <f t="shared" si="83"/>
        <v>2010</v>
      </c>
    </row>
    <row r="2671" spans="1:6" x14ac:dyDescent="0.2">
      <c r="A2671" s="20">
        <v>40318</v>
      </c>
      <c r="B2671">
        <v>150</v>
      </c>
      <c r="E2671">
        <f t="shared" si="82"/>
        <v>5</v>
      </c>
      <c r="F2671">
        <f t="shared" si="83"/>
        <v>2010</v>
      </c>
    </row>
    <row r="2672" spans="1:6" x14ac:dyDescent="0.2">
      <c r="A2672" s="20">
        <v>40319</v>
      </c>
      <c r="B2672">
        <v>152.5</v>
      </c>
      <c r="E2672">
        <f t="shared" si="82"/>
        <v>5</v>
      </c>
      <c r="F2672">
        <f t="shared" si="83"/>
        <v>2010</v>
      </c>
    </row>
    <row r="2673" spans="1:6" x14ac:dyDescent="0.2">
      <c r="A2673" s="20">
        <v>40322</v>
      </c>
      <c r="B2673">
        <v>155</v>
      </c>
      <c r="E2673">
        <f t="shared" si="82"/>
        <v>5</v>
      </c>
      <c r="F2673">
        <f t="shared" si="83"/>
        <v>2010</v>
      </c>
    </row>
    <row r="2674" spans="1:6" x14ac:dyDescent="0.2">
      <c r="A2674" s="20">
        <v>40323</v>
      </c>
      <c r="B2674">
        <v>153</v>
      </c>
      <c r="E2674">
        <f t="shared" si="82"/>
        <v>5</v>
      </c>
      <c r="F2674">
        <f t="shared" si="83"/>
        <v>2010</v>
      </c>
    </row>
    <row r="2675" spans="1:6" x14ac:dyDescent="0.2">
      <c r="A2675" s="20">
        <v>40324</v>
      </c>
      <c r="B2675">
        <v>152.5</v>
      </c>
      <c r="E2675">
        <f t="shared" si="82"/>
        <v>5</v>
      </c>
      <c r="F2675">
        <f t="shared" si="83"/>
        <v>2010</v>
      </c>
    </row>
    <row r="2676" spans="1:6" x14ac:dyDescent="0.2">
      <c r="A2676" s="20">
        <v>40325</v>
      </c>
      <c r="B2676">
        <v>153.25</v>
      </c>
      <c r="E2676">
        <f t="shared" si="82"/>
        <v>5</v>
      </c>
      <c r="F2676">
        <f t="shared" si="83"/>
        <v>2010</v>
      </c>
    </row>
    <row r="2677" spans="1:6" x14ac:dyDescent="0.2">
      <c r="A2677" s="20">
        <v>40326</v>
      </c>
      <c r="B2677">
        <v>152.25</v>
      </c>
      <c r="E2677">
        <f t="shared" si="82"/>
        <v>5</v>
      </c>
      <c r="F2677">
        <f t="shared" si="83"/>
        <v>2010</v>
      </c>
    </row>
    <row r="2678" spans="1:6" x14ac:dyDescent="0.2">
      <c r="A2678" s="20">
        <v>40329</v>
      </c>
      <c r="B2678">
        <v>150.25</v>
      </c>
      <c r="E2678">
        <f t="shared" si="82"/>
        <v>5</v>
      </c>
      <c r="F2678">
        <f t="shared" si="83"/>
        <v>2010</v>
      </c>
    </row>
    <row r="2679" spans="1:6" x14ac:dyDescent="0.2">
      <c r="A2679" s="20">
        <v>40330</v>
      </c>
      <c r="B2679">
        <v>148</v>
      </c>
      <c r="E2679">
        <f t="shared" si="82"/>
        <v>6</v>
      </c>
      <c r="F2679">
        <f t="shared" si="83"/>
        <v>2010</v>
      </c>
    </row>
    <row r="2680" spans="1:6" x14ac:dyDescent="0.2">
      <c r="A2680" s="20">
        <v>40331</v>
      </c>
      <c r="B2680">
        <v>145.25</v>
      </c>
      <c r="E2680">
        <f t="shared" si="82"/>
        <v>6</v>
      </c>
      <c r="F2680">
        <f t="shared" si="83"/>
        <v>2010</v>
      </c>
    </row>
    <row r="2681" spans="1:6" x14ac:dyDescent="0.2">
      <c r="A2681" s="20">
        <v>40332</v>
      </c>
      <c r="B2681">
        <v>145.75</v>
      </c>
      <c r="E2681">
        <f t="shared" si="82"/>
        <v>6</v>
      </c>
      <c r="F2681">
        <f t="shared" si="83"/>
        <v>2010</v>
      </c>
    </row>
    <row r="2682" spans="1:6" x14ac:dyDescent="0.2">
      <c r="A2682" s="20">
        <v>40333</v>
      </c>
      <c r="B2682">
        <v>146.75</v>
      </c>
      <c r="E2682">
        <f t="shared" si="82"/>
        <v>6</v>
      </c>
      <c r="F2682">
        <f t="shared" si="83"/>
        <v>2010</v>
      </c>
    </row>
    <row r="2683" spans="1:6" x14ac:dyDescent="0.2">
      <c r="A2683" s="20">
        <v>40336</v>
      </c>
      <c r="B2683">
        <v>150.25</v>
      </c>
      <c r="E2683">
        <f t="shared" si="82"/>
        <v>6</v>
      </c>
      <c r="F2683">
        <f t="shared" si="83"/>
        <v>2010</v>
      </c>
    </row>
    <row r="2684" spans="1:6" x14ac:dyDescent="0.2">
      <c r="A2684" s="20">
        <v>40337</v>
      </c>
      <c r="B2684">
        <v>149.25</v>
      </c>
      <c r="E2684">
        <f t="shared" si="82"/>
        <v>6</v>
      </c>
      <c r="F2684">
        <f t="shared" si="83"/>
        <v>2010</v>
      </c>
    </row>
    <row r="2685" spans="1:6" x14ac:dyDescent="0.2">
      <c r="A2685" s="20">
        <v>40338</v>
      </c>
      <c r="B2685">
        <v>148.75</v>
      </c>
      <c r="E2685">
        <f t="shared" si="82"/>
        <v>6</v>
      </c>
      <c r="F2685">
        <f t="shared" si="83"/>
        <v>2010</v>
      </c>
    </row>
    <row r="2686" spans="1:6" x14ac:dyDescent="0.2">
      <c r="A2686" s="20">
        <v>40339</v>
      </c>
      <c r="B2686">
        <v>149.75</v>
      </c>
      <c r="E2686">
        <f t="shared" si="82"/>
        <v>6</v>
      </c>
      <c r="F2686">
        <f t="shared" si="83"/>
        <v>2010</v>
      </c>
    </row>
    <row r="2687" spans="1:6" x14ac:dyDescent="0.2">
      <c r="A2687" s="20">
        <v>40340</v>
      </c>
      <c r="B2687">
        <v>150.25</v>
      </c>
      <c r="E2687">
        <f t="shared" si="82"/>
        <v>6</v>
      </c>
      <c r="F2687">
        <f t="shared" si="83"/>
        <v>2010</v>
      </c>
    </row>
    <row r="2688" spans="1:6" x14ac:dyDescent="0.2">
      <c r="A2688" s="20">
        <v>40343</v>
      </c>
      <c r="B2688">
        <v>150.75</v>
      </c>
      <c r="E2688">
        <f t="shared" si="82"/>
        <v>6</v>
      </c>
      <c r="F2688">
        <f t="shared" si="83"/>
        <v>2010</v>
      </c>
    </row>
    <row r="2689" spans="1:6" x14ac:dyDescent="0.2">
      <c r="A2689" s="20">
        <v>40344</v>
      </c>
      <c r="B2689">
        <v>150</v>
      </c>
      <c r="E2689">
        <f t="shared" si="82"/>
        <v>6</v>
      </c>
      <c r="F2689">
        <f t="shared" si="83"/>
        <v>2010</v>
      </c>
    </row>
    <row r="2690" spans="1:6" x14ac:dyDescent="0.2">
      <c r="A2690" s="20">
        <v>40345</v>
      </c>
      <c r="B2690">
        <v>152.75</v>
      </c>
      <c r="E2690">
        <f t="shared" si="82"/>
        <v>6</v>
      </c>
      <c r="F2690">
        <f t="shared" si="83"/>
        <v>2010</v>
      </c>
    </row>
    <row r="2691" spans="1:6" x14ac:dyDescent="0.2">
      <c r="A2691" s="20">
        <v>40346</v>
      </c>
      <c r="B2691">
        <v>152.5</v>
      </c>
      <c r="E2691">
        <f t="shared" ref="E2691:E2754" si="84">MONTH(A2691)</f>
        <v>6</v>
      </c>
      <c r="F2691">
        <f t="shared" ref="F2691:F2754" si="85">YEAR(A2691)</f>
        <v>2010</v>
      </c>
    </row>
    <row r="2692" spans="1:6" x14ac:dyDescent="0.2">
      <c r="A2692" s="20">
        <v>40347</v>
      </c>
      <c r="B2692">
        <v>153.25</v>
      </c>
      <c r="E2692">
        <f t="shared" si="84"/>
        <v>6</v>
      </c>
      <c r="F2692">
        <f t="shared" si="85"/>
        <v>2010</v>
      </c>
    </row>
    <row r="2693" spans="1:6" x14ac:dyDescent="0.2">
      <c r="A2693" s="20">
        <v>40350</v>
      </c>
      <c r="B2693">
        <v>153.25</v>
      </c>
      <c r="E2693">
        <f t="shared" si="84"/>
        <v>6</v>
      </c>
      <c r="F2693">
        <f t="shared" si="85"/>
        <v>2010</v>
      </c>
    </row>
    <row r="2694" spans="1:6" x14ac:dyDescent="0.2">
      <c r="A2694" s="20">
        <v>40351</v>
      </c>
      <c r="B2694">
        <v>153.5</v>
      </c>
      <c r="E2694">
        <f t="shared" si="84"/>
        <v>6</v>
      </c>
      <c r="F2694">
        <f t="shared" si="85"/>
        <v>2010</v>
      </c>
    </row>
    <row r="2695" spans="1:6" x14ac:dyDescent="0.2">
      <c r="A2695" s="20">
        <v>40352</v>
      </c>
      <c r="B2695">
        <v>154</v>
      </c>
      <c r="E2695">
        <f t="shared" si="84"/>
        <v>6</v>
      </c>
      <c r="F2695">
        <f t="shared" si="85"/>
        <v>2010</v>
      </c>
    </row>
    <row r="2696" spans="1:6" x14ac:dyDescent="0.2">
      <c r="A2696" s="20">
        <v>40353</v>
      </c>
      <c r="B2696">
        <v>155.5</v>
      </c>
      <c r="E2696">
        <f t="shared" si="84"/>
        <v>6</v>
      </c>
      <c r="F2696">
        <f t="shared" si="85"/>
        <v>2010</v>
      </c>
    </row>
    <row r="2697" spans="1:6" x14ac:dyDescent="0.2">
      <c r="A2697" s="20">
        <v>40354</v>
      </c>
      <c r="B2697">
        <v>156.75</v>
      </c>
      <c r="E2697">
        <f t="shared" si="84"/>
        <v>6</v>
      </c>
      <c r="F2697">
        <f t="shared" si="85"/>
        <v>2010</v>
      </c>
    </row>
    <row r="2698" spans="1:6" x14ac:dyDescent="0.2">
      <c r="A2698" s="20">
        <v>40357</v>
      </c>
      <c r="B2698">
        <v>159.25</v>
      </c>
      <c r="E2698">
        <f t="shared" si="84"/>
        <v>6</v>
      </c>
      <c r="F2698">
        <f t="shared" si="85"/>
        <v>2010</v>
      </c>
    </row>
    <row r="2699" spans="1:6" x14ac:dyDescent="0.2">
      <c r="A2699" s="20">
        <v>40358</v>
      </c>
      <c r="B2699">
        <v>157.5</v>
      </c>
      <c r="E2699">
        <f t="shared" si="84"/>
        <v>6</v>
      </c>
      <c r="F2699">
        <f t="shared" si="85"/>
        <v>2010</v>
      </c>
    </row>
    <row r="2700" spans="1:6" x14ac:dyDescent="0.2">
      <c r="A2700" s="20">
        <v>40359</v>
      </c>
      <c r="B2700">
        <v>159.25</v>
      </c>
      <c r="E2700">
        <f t="shared" si="84"/>
        <v>6</v>
      </c>
      <c r="F2700">
        <f t="shared" si="85"/>
        <v>2010</v>
      </c>
    </row>
    <row r="2701" spans="1:6" x14ac:dyDescent="0.2">
      <c r="A2701" s="20">
        <v>40360</v>
      </c>
      <c r="B2701">
        <v>162</v>
      </c>
      <c r="E2701">
        <f t="shared" si="84"/>
        <v>7</v>
      </c>
      <c r="F2701">
        <f t="shared" si="85"/>
        <v>2010</v>
      </c>
    </row>
    <row r="2702" spans="1:6" x14ac:dyDescent="0.2">
      <c r="A2702" s="20">
        <v>40361</v>
      </c>
      <c r="B2702">
        <v>162.75</v>
      </c>
      <c r="E2702">
        <f t="shared" si="84"/>
        <v>7</v>
      </c>
      <c r="F2702">
        <f t="shared" si="85"/>
        <v>2010</v>
      </c>
    </row>
    <row r="2703" spans="1:6" x14ac:dyDescent="0.2">
      <c r="A2703" s="20">
        <v>40364</v>
      </c>
      <c r="B2703">
        <v>167.75</v>
      </c>
      <c r="E2703">
        <f t="shared" si="84"/>
        <v>7</v>
      </c>
      <c r="F2703">
        <f t="shared" si="85"/>
        <v>2010</v>
      </c>
    </row>
    <row r="2704" spans="1:6" x14ac:dyDescent="0.2">
      <c r="A2704" s="20">
        <v>40365</v>
      </c>
      <c r="B2704">
        <v>171</v>
      </c>
      <c r="E2704">
        <f t="shared" si="84"/>
        <v>7</v>
      </c>
      <c r="F2704">
        <f t="shared" si="85"/>
        <v>2010</v>
      </c>
    </row>
    <row r="2705" spans="1:6" x14ac:dyDescent="0.2">
      <c r="A2705" s="20">
        <v>40366</v>
      </c>
      <c r="B2705">
        <v>170.25</v>
      </c>
      <c r="E2705">
        <f t="shared" si="84"/>
        <v>7</v>
      </c>
      <c r="F2705">
        <f t="shared" si="85"/>
        <v>2010</v>
      </c>
    </row>
    <row r="2706" spans="1:6" x14ac:dyDescent="0.2">
      <c r="A2706" s="20">
        <v>40367</v>
      </c>
      <c r="B2706">
        <v>171.25</v>
      </c>
      <c r="E2706">
        <f t="shared" si="84"/>
        <v>7</v>
      </c>
      <c r="F2706">
        <f t="shared" si="85"/>
        <v>2010</v>
      </c>
    </row>
    <row r="2707" spans="1:6" x14ac:dyDescent="0.2">
      <c r="A2707" s="20">
        <v>40368</v>
      </c>
      <c r="B2707">
        <v>167.75</v>
      </c>
      <c r="E2707">
        <f t="shared" si="84"/>
        <v>7</v>
      </c>
      <c r="F2707">
        <f t="shared" si="85"/>
        <v>2010</v>
      </c>
    </row>
    <row r="2708" spans="1:6" x14ac:dyDescent="0.2">
      <c r="A2708" s="20">
        <v>40371</v>
      </c>
      <c r="B2708">
        <v>167.75</v>
      </c>
      <c r="E2708">
        <f t="shared" si="84"/>
        <v>7</v>
      </c>
      <c r="F2708">
        <f t="shared" si="85"/>
        <v>2010</v>
      </c>
    </row>
    <row r="2709" spans="1:6" x14ac:dyDescent="0.2">
      <c r="A2709" s="20">
        <v>40372</v>
      </c>
      <c r="B2709">
        <v>168.25</v>
      </c>
      <c r="E2709">
        <f t="shared" si="84"/>
        <v>7</v>
      </c>
      <c r="F2709">
        <f t="shared" si="85"/>
        <v>2010</v>
      </c>
    </row>
    <row r="2710" spans="1:6" x14ac:dyDescent="0.2">
      <c r="A2710" s="20">
        <v>40373</v>
      </c>
      <c r="B2710">
        <v>169</v>
      </c>
      <c r="E2710">
        <f t="shared" si="84"/>
        <v>7</v>
      </c>
      <c r="F2710">
        <f t="shared" si="85"/>
        <v>2010</v>
      </c>
    </row>
    <row r="2711" spans="1:6" x14ac:dyDescent="0.2">
      <c r="A2711" s="20">
        <v>40374</v>
      </c>
      <c r="B2711">
        <v>175.25</v>
      </c>
      <c r="E2711">
        <f t="shared" si="84"/>
        <v>7</v>
      </c>
      <c r="F2711">
        <f t="shared" si="85"/>
        <v>2010</v>
      </c>
    </row>
    <row r="2712" spans="1:6" x14ac:dyDescent="0.2">
      <c r="A2712" s="20">
        <v>40375</v>
      </c>
      <c r="B2712">
        <v>172</v>
      </c>
      <c r="E2712">
        <f t="shared" si="84"/>
        <v>7</v>
      </c>
      <c r="F2712">
        <f t="shared" si="85"/>
        <v>2010</v>
      </c>
    </row>
    <row r="2713" spans="1:6" x14ac:dyDescent="0.2">
      <c r="A2713" s="20">
        <v>40378</v>
      </c>
      <c r="B2713">
        <v>167</v>
      </c>
      <c r="E2713">
        <f t="shared" si="84"/>
        <v>7</v>
      </c>
      <c r="F2713">
        <f t="shared" si="85"/>
        <v>2010</v>
      </c>
    </row>
    <row r="2714" spans="1:6" x14ac:dyDescent="0.2">
      <c r="A2714" s="20">
        <v>40379</v>
      </c>
      <c r="B2714">
        <v>163.25</v>
      </c>
      <c r="E2714">
        <f t="shared" si="84"/>
        <v>7</v>
      </c>
      <c r="F2714">
        <f t="shared" si="85"/>
        <v>2010</v>
      </c>
    </row>
    <row r="2715" spans="1:6" x14ac:dyDescent="0.2">
      <c r="A2715" s="20">
        <v>40380</v>
      </c>
      <c r="B2715">
        <v>166</v>
      </c>
      <c r="E2715">
        <f t="shared" si="84"/>
        <v>7</v>
      </c>
      <c r="F2715">
        <f t="shared" si="85"/>
        <v>2010</v>
      </c>
    </row>
    <row r="2716" spans="1:6" x14ac:dyDescent="0.2">
      <c r="A2716" s="20">
        <v>40381</v>
      </c>
      <c r="B2716">
        <v>171</v>
      </c>
      <c r="E2716">
        <f t="shared" si="84"/>
        <v>7</v>
      </c>
      <c r="F2716">
        <f t="shared" si="85"/>
        <v>2010</v>
      </c>
    </row>
    <row r="2717" spans="1:6" x14ac:dyDescent="0.2">
      <c r="A2717" s="20">
        <v>40382</v>
      </c>
      <c r="B2717">
        <v>170.5</v>
      </c>
      <c r="E2717">
        <f t="shared" si="84"/>
        <v>7</v>
      </c>
      <c r="F2717">
        <f t="shared" si="85"/>
        <v>2010</v>
      </c>
    </row>
    <row r="2718" spans="1:6" x14ac:dyDescent="0.2">
      <c r="A2718" s="20">
        <v>40385</v>
      </c>
      <c r="B2718">
        <v>169.25</v>
      </c>
      <c r="E2718">
        <f t="shared" si="84"/>
        <v>7</v>
      </c>
      <c r="F2718">
        <f t="shared" si="85"/>
        <v>2010</v>
      </c>
    </row>
    <row r="2719" spans="1:6" x14ac:dyDescent="0.2">
      <c r="A2719" s="20">
        <v>40386</v>
      </c>
      <c r="B2719">
        <v>171.75</v>
      </c>
      <c r="E2719">
        <f t="shared" si="84"/>
        <v>7</v>
      </c>
      <c r="F2719">
        <f t="shared" si="85"/>
        <v>2010</v>
      </c>
    </row>
    <row r="2720" spans="1:6" x14ac:dyDescent="0.2">
      <c r="A2720" s="20">
        <v>40387</v>
      </c>
      <c r="B2720">
        <v>179.75</v>
      </c>
      <c r="E2720">
        <f t="shared" si="84"/>
        <v>7</v>
      </c>
      <c r="F2720">
        <f t="shared" si="85"/>
        <v>2010</v>
      </c>
    </row>
    <row r="2721" spans="1:6" x14ac:dyDescent="0.2">
      <c r="A2721" s="20">
        <v>40388</v>
      </c>
      <c r="B2721">
        <v>183</v>
      </c>
      <c r="E2721">
        <f t="shared" si="84"/>
        <v>7</v>
      </c>
      <c r="F2721">
        <f t="shared" si="85"/>
        <v>2010</v>
      </c>
    </row>
    <row r="2722" spans="1:6" x14ac:dyDescent="0.2">
      <c r="A2722" s="20">
        <v>40389</v>
      </c>
      <c r="B2722">
        <v>195.5</v>
      </c>
      <c r="E2722">
        <f t="shared" si="84"/>
        <v>7</v>
      </c>
      <c r="F2722">
        <f t="shared" si="85"/>
        <v>2010</v>
      </c>
    </row>
    <row r="2723" spans="1:6" x14ac:dyDescent="0.2">
      <c r="A2723" s="20">
        <v>40392</v>
      </c>
      <c r="B2723">
        <v>204</v>
      </c>
      <c r="E2723">
        <f t="shared" si="84"/>
        <v>8</v>
      </c>
      <c r="F2723">
        <f t="shared" si="85"/>
        <v>2010</v>
      </c>
    </row>
    <row r="2724" spans="1:6" x14ac:dyDescent="0.2">
      <c r="A2724" s="20">
        <v>40393</v>
      </c>
      <c r="B2724">
        <v>193</v>
      </c>
      <c r="E2724">
        <f t="shared" si="84"/>
        <v>8</v>
      </c>
      <c r="F2724">
        <f t="shared" si="85"/>
        <v>2010</v>
      </c>
    </row>
    <row r="2725" spans="1:6" x14ac:dyDescent="0.2">
      <c r="A2725" s="20">
        <v>40394</v>
      </c>
      <c r="B2725">
        <v>195</v>
      </c>
      <c r="E2725">
        <f t="shared" si="84"/>
        <v>8</v>
      </c>
      <c r="F2725">
        <f t="shared" si="85"/>
        <v>2010</v>
      </c>
    </row>
    <row r="2726" spans="1:6" x14ac:dyDescent="0.2">
      <c r="A2726" s="20">
        <v>40395</v>
      </c>
      <c r="B2726">
        <v>216.75</v>
      </c>
      <c r="E2726">
        <f t="shared" si="84"/>
        <v>8</v>
      </c>
      <c r="F2726">
        <f t="shared" si="85"/>
        <v>2010</v>
      </c>
    </row>
    <row r="2727" spans="1:6" x14ac:dyDescent="0.2">
      <c r="A2727" s="20">
        <v>40396</v>
      </c>
      <c r="B2727">
        <v>189.5</v>
      </c>
      <c r="E2727">
        <f t="shared" si="84"/>
        <v>8</v>
      </c>
      <c r="F2727">
        <f t="shared" si="85"/>
        <v>2010</v>
      </c>
    </row>
    <row r="2728" spans="1:6" x14ac:dyDescent="0.2">
      <c r="A2728" s="20">
        <v>40399</v>
      </c>
      <c r="B2728">
        <v>189.5</v>
      </c>
      <c r="E2728">
        <f t="shared" si="84"/>
        <v>8</v>
      </c>
      <c r="F2728">
        <f t="shared" si="85"/>
        <v>2010</v>
      </c>
    </row>
    <row r="2729" spans="1:6" x14ac:dyDescent="0.2">
      <c r="A2729" s="20">
        <v>40400</v>
      </c>
      <c r="B2729">
        <v>183.25</v>
      </c>
      <c r="E2729">
        <f t="shared" si="84"/>
        <v>8</v>
      </c>
      <c r="F2729">
        <f t="shared" si="85"/>
        <v>2010</v>
      </c>
    </row>
    <row r="2730" spans="1:6" x14ac:dyDescent="0.2">
      <c r="A2730" s="20">
        <v>40401</v>
      </c>
      <c r="B2730">
        <v>181.5</v>
      </c>
      <c r="E2730">
        <f t="shared" si="84"/>
        <v>8</v>
      </c>
      <c r="F2730">
        <f t="shared" si="85"/>
        <v>2010</v>
      </c>
    </row>
    <row r="2731" spans="1:6" x14ac:dyDescent="0.2">
      <c r="A2731" s="20">
        <v>40402</v>
      </c>
      <c r="B2731">
        <v>186.5</v>
      </c>
      <c r="E2731">
        <f t="shared" si="84"/>
        <v>8</v>
      </c>
      <c r="F2731">
        <f t="shared" si="85"/>
        <v>2010</v>
      </c>
    </row>
    <row r="2732" spans="1:6" x14ac:dyDescent="0.2">
      <c r="A2732" s="20">
        <v>40403</v>
      </c>
      <c r="B2732">
        <v>187.5</v>
      </c>
      <c r="E2732">
        <f t="shared" si="84"/>
        <v>8</v>
      </c>
      <c r="F2732">
        <f t="shared" si="85"/>
        <v>2010</v>
      </c>
    </row>
    <row r="2733" spans="1:6" x14ac:dyDescent="0.2">
      <c r="A2733" s="20">
        <v>40406</v>
      </c>
      <c r="B2733">
        <v>189.75</v>
      </c>
      <c r="E2733">
        <f t="shared" si="84"/>
        <v>8</v>
      </c>
      <c r="F2733">
        <f t="shared" si="85"/>
        <v>2010</v>
      </c>
    </row>
    <row r="2734" spans="1:6" x14ac:dyDescent="0.2">
      <c r="A2734" s="20">
        <v>40407</v>
      </c>
      <c r="B2734">
        <v>184.75</v>
      </c>
      <c r="E2734">
        <f t="shared" si="84"/>
        <v>8</v>
      </c>
      <c r="F2734">
        <f t="shared" si="85"/>
        <v>2010</v>
      </c>
    </row>
    <row r="2735" spans="1:6" x14ac:dyDescent="0.2">
      <c r="A2735" s="20">
        <v>40408</v>
      </c>
      <c r="B2735">
        <v>186.25</v>
      </c>
      <c r="E2735">
        <f t="shared" si="84"/>
        <v>8</v>
      </c>
      <c r="F2735">
        <f t="shared" si="85"/>
        <v>2010</v>
      </c>
    </row>
    <row r="2736" spans="1:6" x14ac:dyDescent="0.2">
      <c r="A2736" s="20">
        <v>40409</v>
      </c>
      <c r="B2736">
        <v>191</v>
      </c>
      <c r="E2736">
        <f t="shared" si="84"/>
        <v>8</v>
      </c>
      <c r="F2736">
        <f t="shared" si="85"/>
        <v>2010</v>
      </c>
    </row>
    <row r="2737" spans="1:6" x14ac:dyDescent="0.2">
      <c r="A2737" s="20">
        <v>40410</v>
      </c>
      <c r="B2737">
        <v>188.25</v>
      </c>
      <c r="E2737">
        <f t="shared" si="84"/>
        <v>8</v>
      </c>
      <c r="F2737">
        <f t="shared" si="85"/>
        <v>2010</v>
      </c>
    </row>
    <row r="2738" spans="1:6" x14ac:dyDescent="0.2">
      <c r="A2738" s="20">
        <v>40413</v>
      </c>
      <c r="B2738">
        <v>190</v>
      </c>
      <c r="E2738">
        <f t="shared" si="84"/>
        <v>8</v>
      </c>
      <c r="F2738">
        <f t="shared" si="85"/>
        <v>2010</v>
      </c>
    </row>
    <row r="2739" spans="1:6" x14ac:dyDescent="0.2">
      <c r="A2739" s="20">
        <v>40414</v>
      </c>
      <c r="B2739">
        <v>187.5</v>
      </c>
      <c r="E2739">
        <f t="shared" si="84"/>
        <v>8</v>
      </c>
      <c r="F2739">
        <f t="shared" si="85"/>
        <v>2010</v>
      </c>
    </row>
    <row r="2740" spans="1:6" x14ac:dyDescent="0.2">
      <c r="A2740" s="20">
        <v>40415</v>
      </c>
      <c r="B2740">
        <v>187.5</v>
      </c>
      <c r="E2740">
        <f t="shared" si="84"/>
        <v>8</v>
      </c>
      <c r="F2740">
        <f t="shared" si="85"/>
        <v>2010</v>
      </c>
    </row>
    <row r="2741" spans="1:6" x14ac:dyDescent="0.2">
      <c r="A2741" s="20">
        <v>40416</v>
      </c>
      <c r="B2741">
        <v>189</v>
      </c>
      <c r="E2741">
        <f t="shared" si="84"/>
        <v>8</v>
      </c>
      <c r="F2741">
        <f t="shared" si="85"/>
        <v>2010</v>
      </c>
    </row>
    <row r="2742" spans="1:6" x14ac:dyDescent="0.2">
      <c r="A2742" s="20">
        <v>40417</v>
      </c>
      <c r="B2742">
        <v>192.25</v>
      </c>
      <c r="E2742">
        <f t="shared" si="84"/>
        <v>8</v>
      </c>
      <c r="F2742">
        <f t="shared" si="85"/>
        <v>2010</v>
      </c>
    </row>
    <row r="2743" spans="1:6" x14ac:dyDescent="0.2">
      <c r="A2743" s="20">
        <v>40420</v>
      </c>
      <c r="B2743">
        <v>197.5</v>
      </c>
      <c r="E2743">
        <f t="shared" si="84"/>
        <v>8</v>
      </c>
      <c r="F2743">
        <f t="shared" si="85"/>
        <v>2010</v>
      </c>
    </row>
    <row r="2744" spans="1:6" x14ac:dyDescent="0.2">
      <c r="A2744" s="20">
        <v>40421</v>
      </c>
      <c r="B2744">
        <v>196.5</v>
      </c>
      <c r="E2744">
        <f t="shared" si="84"/>
        <v>8</v>
      </c>
      <c r="F2744">
        <f t="shared" si="85"/>
        <v>2010</v>
      </c>
    </row>
    <row r="2745" spans="1:6" x14ac:dyDescent="0.2">
      <c r="A2745" s="20">
        <v>40422</v>
      </c>
      <c r="B2745">
        <v>195</v>
      </c>
      <c r="E2745">
        <f t="shared" si="84"/>
        <v>9</v>
      </c>
      <c r="F2745">
        <f t="shared" si="85"/>
        <v>2010</v>
      </c>
    </row>
    <row r="2746" spans="1:6" x14ac:dyDescent="0.2">
      <c r="A2746" s="20">
        <v>40423</v>
      </c>
      <c r="B2746">
        <v>195.5</v>
      </c>
      <c r="E2746">
        <f t="shared" si="84"/>
        <v>9</v>
      </c>
      <c r="F2746">
        <f t="shared" si="85"/>
        <v>2010</v>
      </c>
    </row>
    <row r="2747" spans="1:6" x14ac:dyDescent="0.2">
      <c r="A2747" s="20">
        <v>40424</v>
      </c>
      <c r="B2747">
        <v>197.5</v>
      </c>
      <c r="E2747">
        <f t="shared" si="84"/>
        <v>9</v>
      </c>
      <c r="F2747">
        <f t="shared" si="85"/>
        <v>2010</v>
      </c>
    </row>
    <row r="2748" spans="1:6" x14ac:dyDescent="0.2">
      <c r="A2748" s="20">
        <v>40427</v>
      </c>
      <c r="B2748">
        <v>197.75</v>
      </c>
      <c r="E2748">
        <f t="shared" si="84"/>
        <v>9</v>
      </c>
      <c r="F2748">
        <f t="shared" si="85"/>
        <v>2010</v>
      </c>
    </row>
    <row r="2749" spans="1:6" x14ac:dyDescent="0.2">
      <c r="A2749" s="20">
        <v>40428</v>
      </c>
      <c r="B2749">
        <v>196.25</v>
      </c>
      <c r="E2749">
        <f t="shared" si="84"/>
        <v>9</v>
      </c>
      <c r="F2749">
        <f t="shared" si="85"/>
        <v>2010</v>
      </c>
    </row>
    <row r="2750" spans="1:6" x14ac:dyDescent="0.2">
      <c r="A2750" s="20">
        <v>40429</v>
      </c>
      <c r="B2750">
        <v>196</v>
      </c>
      <c r="E2750">
        <f t="shared" si="84"/>
        <v>9</v>
      </c>
      <c r="F2750">
        <f t="shared" si="85"/>
        <v>2010</v>
      </c>
    </row>
    <row r="2751" spans="1:6" x14ac:dyDescent="0.2">
      <c r="A2751" s="20">
        <v>40430</v>
      </c>
      <c r="B2751">
        <v>197.5</v>
      </c>
      <c r="E2751">
        <f t="shared" si="84"/>
        <v>9</v>
      </c>
      <c r="F2751">
        <f t="shared" si="85"/>
        <v>2010</v>
      </c>
    </row>
    <row r="2752" spans="1:6" x14ac:dyDescent="0.2">
      <c r="A2752" s="20">
        <v>40431</v>
      </c>
      <c r="B2752">
        <v>201.25</v>
      </c>
      <c r="E2752">
        <f t="shared" si="84"/>
        <v>9</v>
      </c>
      <c r="F2752">
        <f t="shared" si="85"/>
        <v>2010</v>
      </c>
    </row>
    <row r="2753" spans="1:6" x14ac:dyDescent="0.2">
      <c r="A2753" s="20">
        <v>40434</v>
      </c>
      <c r="B2753">
        <v>204.25</v>
      </c>
      <c r="E2753">
        <f t="shared" si="84"/>
        <v>9</v>
      </c>
      <c r="F2753">
        <f t="shared" si="85"/>
        <v>2010</v>
      </c>
    </row>
    <row r="2754" spans="1:6" x14ac:dyDescent="0.2">
      <c r="A2754" s="20">
        <v>40435</v>
      </c>
      <c r="B2754">
        <v>204.25</v>
      </c>
      <c r="E2754">
        <f t="shared" si="84"/>
        <v>9</v>
      </c>
      <c r="F2754">
        <f t="shared" si="85"/>
        <v>2010</v>
      </c>
    </row>
    <row r="2755" spans="1:6" x14ac:dyDescent="0.2">
      <c r="A2755" s="20">
        <v>40436</v>
      </c>
      <c r="B2755">
        <v>207.25</v>
      </c>
      <c r="E2755">
        <f t="shared" ref="E2755:E2818" si="86">MONTH(A2755)</f>
        <v>9</v>
      </c>
      <c r="F2755">
        <f t="shared" ref="F2755:F2818" si="87">YEAR(A2755)</f>
        <v>2010</v>
      </c>
    </row>
    <row r="2756" spans="1:6" x14ac:dyDescent="0.2">
      <c r="A2756" s="20">
        <v>40437</v>
      </c>
      <c r="B2756">
        <v>206.75</v>
      </c>
      <c r="E2756">
        <f t="shared" si="86"/>
        <v>9</v>
      </c>
      <c r="F2756">
        <f t="shared" si="87"/>
        <v>2010</v>
      </c>
    </row>
    <row r="2757" spans="1:6" x14ac:dyDescent="0.2">
      <c r="A2757" s="20">
        <v>40438</v>
      </c>
      <c r="B2757">
        <v>211</v>
      </c>
      <c r="E2757">
        <f t="shared" si="86"/>
        <v>9</v>
      </c>
      <c r="F2757">
        <f t="shared" si="87"/>
        <v>2010</v>
      </c>
    </row>
    <row r="2758" spans="1:6" x14ac:dyDescent="0.2">
      <c r="A2758" s="20">
        <v>40441</v>
      </c>
      <c r="B2758">
        <v>214.75</v>
      </c>
      <c r="E2758">
        <f t="shared" si="86"/>
        <v>9</v>
      </c>
      <c r="F2758">
        <f t="shared" si="87"/>
        <v>2010</v>
      </c>
    </row>
    <row r="2759" spans="1:6" x14ac:dyDescent="0.2">
      <c r="A2759" s="20">
        <v>40442</v>
      </c>
      <c r="B2759">
        <v>217</v>
      </c>
      <c r="E2759">
        <f t="shared" si="86"/>
        <v>9</v>
      </c>
      <c r="F2759">
        <f t="shared" si="87"/>
        <v>2010</v>
      </c>
    </row>
    <row r="2760" spans="1:6" x14ac:dyDescent="0.2">
      <c r="A2760" s="20">
        <v>40443</v>
      </c>
      <c r="B2760">
        <v>213.25</v>
      </c>
      <c r="E2760">
        <f t="shared" si="86"/>
        <v>9</v>
      </c>
      <c r="F2760">
        <f t="shared" si="87"/>
        <v>2010</v>
      </c>
    </row>
    <row r="2761" spans="1:6" x14ac:dyDescent="0.2">
      <c r="A2761" s="20">
        <v>40444</v>
      </c>
      <c r="B2761">
        <v>209.75</v>
      </c>
      <c r="E2761">
        <f t="shared" si="86"/>
        <v>9</v>
      </c>
      <c r="F2761">
        <f t="shared" si="87"/>
        <v>2010</v>
      </c>
    </row>
    <row r="2762" spans="1:6" x14ac:dyDescent="0.2">
      <c r="A2762" s="20">
        <v>40445</v>
      </c>
      <c r="B2762">
        <v>209.75</v>
      </c>
      <c r="E2762">
        <f t="shared" si="86"/>
        <v>9</v>
      </c>
      <c r="F2762">
        <f t="shared" si="87"/>
        <v>2010</v>
      </c>
    </row>
    <row r="2763" spans="1:6" x14ac:dyDescent="0.2">
      <c r="A2763" s="20">
        <v>40448</v>
      </c>
      <c r="B2763">
        <v>209.5</v>
      </c>
      <c r="E2763">
        <f t="shared" si="86"/>
        <v>9</v>
      </c>
      <c r="F2763">
        <f t="shared" si="87"/>
        <v>2010</v>
      </c>
    </row>
    <row r="2764" spans="1:6" x14ac:dyDescent="0.2">
      <c r="A2764" s="20">
        <v>40449</v>
      </c>
      <c r="B2764">
        <v>201.75</v>
      </c>
      <c r="E2764">
        <f t="shared" si="86"/>
        <v>9</v>
      </c>
      <c r="F2764">
        <f t="shared" si="87"/>
        <v>2010</v>
      </c>
    </row>
    <row r="2765" spans="1:6" x14ac:dyDescent="0.2">
      <c r="A2765" s="20">
        <v>40450</v>
      </c>
      <c r="B2765">
        <v>198.5</v>
      </c>
      <c r="E2765">
        <f t="shared" si="86"/>
        <v>9</v>
      </c>
      <c r="F2765">
        <f t="shared" si="87"/>
        <v>2010</v>
      </c>
    </row>
    <row r="2766" spans="1:6" x14ac:dyDescent="0.2">
      <c r="A2766" s="20">
        <v>40451</v>
      </c>
      <c r="B2766">
        <v>196</v>
      </c>
      <c r="E2766">
        <f t="shared" si="86"/>
        <v>9</v>
      </c>
      <c r="F2766">
        <f t="shared" si="87"/>
        <v>2010</v>
      </c>
    </row>
    <row r="2767" spans="1:6" x14ac:dyDescent="0.2">
      <c r="A2767" s="20">
        <v>40452</v>
      </c>
      <c r="B2767">
        <v>193.75</v>
      </c>
      <c r="E2767">
        <f t="shared" si="86"/>
        <v>10</v>
      </c>
      <c r="F2767">
        <f t="shared" si="87"/>
        <v>2010</v>
      </c>
    </row>
    <row r="2768" spans="1:6" x14ac:dyDescent="0.2">
      <c r="A2768" s="20">
        <v>40455</v>
      </c>
      <c r="B2768">
        <v>190</v>
      </c>
      <c r="E2768">
        <f t="shared" si="86"/>
        <v>10</v>
      </c>
      <c r="F2768">
        <f t="shared" si="87"/>
        <v>2010</v>
      </c>
    </row>
    <row r="2769" spans="1:6" x14ac:dyDescent="0.2">
      <c r="A2769" s="20">
        <v>40456</v>
      </c>
      <c r="B2769">
        <v>193.5</v>
      </c>
      <c r="E2769">
        <f t="shared" si="86"/>
        <v>10</v>
      </c>
      <c r="F2769">
        <f t="shared" si="87"/>
        <v>2010</v>
      </c>
    </row>
    <row r="2770" spans="1:6" x14ac:dyDescent="0.2">
      <c r="A2770" s="20">
        <v>40457</v>
      </c>
      <c r="B2770">
        <v>195</v>
      </c>
      <c r="E2770">
        <f t="shared" si="86"/>
        <v>10</v>
      </c>
      <c r="F2770">
        <f t="shared" si="87"/>
        <v>2010</v>
      </c>
    </row>
    <row r="2771" spans="1:6" x14ac:dyDescent="0.2">
      <c r="A2771" s="20">
        <v>40458</v>
      </c>
      <c r="B2771">
        <v>194.75</v>
      </c>
      <c r="E2771">
        <f t="shared" si="86"/>
        <v>10</v>
      </c>
      <c r="F2771">
        <f t="shared" si="87"/>
        <v>2010</v>
      </c>
    </row>
    <row r="2772" spans="1:6" x14ac:dyDescent="0.2">
      <c r="A2772" s="20">
        <v>40459</v>
      </c>
      <c r="B2772">
        <v>208</v>
      </c>
      <c r="E2772">
        <f t="shared" si="86"/>
        <v>10</v>
      </c>
      <c r="F2772">
        <f t="shared" si="87"/>
        <v>2010</v>
      </c>
    </row>
    <row r="2773" spans="1:6" x14ac:dyDescent="0.2">
      <c r="A2773" s="20">
        <v>40462</v>
      </c>
      <c r="B2773">
        <v>208.5</v>
      </c>
      <c r="E2773">
        <f t="shared" si="86"/>
        <v>10</v>
      </c>
      <c r="F2773">
        <f t="shared" si="87"/>
        <v>2010</v>
      </c>
    </row>
    <row r="2774" spans="1:6" x14ac:dyDescent="0.2">
      <c r="A2774" s="20">
        <v>40463</v>
      </c>
      <c r="B2774">
        <v>206.75</v>
      </c>
      <c r="E2774">
        <f t="shared" si="86"/>
        <v>10</v>
      </c>
      <c r="F2774">
        <f t="shared" si="87"/>
        <v>2010</v>
      </c>
    </row>
    <row r="2775" spans="1:6" x14ac:dyDescent="0.2">
      <c r="A2775" s="20">
        <v>40464</v>
      </c>
      <c r="B2775">
        <v>204.5</v>
      </c>
      <c r="E2775">
        <f t="shared" si="86"/>
        <v>10</v>
      </c>
      <c r="F2775">
        <f t="shared" si="87"/>
        <v>2010</v>
      </c>
    </row>
    <row r="2776" spans="1:6" x14ac:dyDescent="0.2">
      <c r="A2776" s="20">
        <v>40465</v>
      </c>
      <c r="B2776">
        <v>203.5</v>
      </c>
      <c r="E2776">
        <f t="shared" si="86"/>
        <v>10</v>
      </c>
      <c r="F2776">
        <f t="shared" si="87"/>
        <v>2010</v>
      </c>
    </row>
    <row r="2777" spans="1:6" x14ac:dyDescent="0.2">
      <c r="A2777" s="20">
        <v>40466</v>
      </c>
      <c r="B2777">
        <v>202.75</v>
      </c>
      <c r="E2777">
        <f t="shared" si="86"/>
        <v>10</v>
      </c>
      <c r="F2777">
        <f t="shared" si="87"/>
        <v>2010</v>
      </c>
    </row>
    <row r="2778" spans="1:6" x14ac:dyDescent="0.2">
      <c r="A2778" s="20">
        <v>40469</v>
      </c>
      <c r="B2778">
        <v>200</v>
      </c>
      <c r="E2778">
        <f t="shared" si="86"/>
        <v>10</v>
      </c>
      <c r="F2778">
        <f t="shared" si="87"/>
        <v>2010</v>
      </c>
    </row>
    <row r="2779" spans="1:6" x14ac:dyDescent="0.2">
      <c r="A2779" s="20">
        <v>40470</v>
      </c>
      <c r="B2779">
        <v>197.5</v>
      </c>
      <c r="E2779">
        <f t="shared" si="86"/>
        <v>10</v>
      </c>
      <c r="F2779">
        <f t="shared" si="87"/>
        <v>2010</v>
      </c>
    </row>
    <row r="2780" spans="1:6" x14ac:dyDescent="0.2">
      <c r="A2780" s="20">
        <v>40471</v>
      </c>
      <c r="B2780">
        <v>197.75</v>
      </c>
      <c r="E2780">
        <f t="shared" si="86"/>
        <v>10</v>
      </c>
      <c r="F2780">
        <f t="shared" si="87"/>
        <v>2010</v>
      </c>
    </row>
    <row r="2781" spans="1:6" x14ac:dyDescent="0.2">
      <c r="A2781" s="20">
        <v>40472</v>
      </c>
      <c r="B2781">
        <v>196.25</v>
      </c>
      <c r="E2781">
        <f t="shared" si="86"/>
        <v>10</v>
      </c>
      <c r="F2781">
        <f t="shared" si="87"/>
        <v>2010</v>
      </c>
    </row>
    <row r="2782" spans="1:6" x14ac:dyDescent="0.2">
      <c r="A2782" s="20">
        <v>40473</v>
      </c>
      <c r="B2782">
        <v>196</v>
      </c>
      <c r="E2782">
        <f t="shared" si="86"/>
        <v>10</v>
      </c>
      <c r="F2782">
        <f t="shared" si="87"/>
        <v>2010</v>
      </c>
    </row>
    <row r="2783" spans="1:6" x14ac:dyDescent="0.2">
      <c r="A2783" s="20">
        <v>40476</v>
      </c>
      <c r="B2783">
        <v>197.5</v>
      </c>
      <c r="E2783">
        <f t="shared" si="86"/>
        <v>10</v>
      </c>
      <c r="F2783">
        <f t="shared" si="87"/>
        <v>2010</v>
      </c>
    </row>
    <row r="2784" spans="1:6" x14ac:dyDescent="0.2">
      <c r="A2784" s="20">
        <v>40477</v>
      </c>
      <c r="B2784">
        <v>197.75</v>
      </c>
      <c r="E2784">
        <f t="shared" si="86"/>
        <v>10</v>
      </c>
      <c r="F2784">
        <f t="shared" si="87"/>
        <v>2010</v>
      </c>
    </row>
    <row r="2785" spans="1:6" x14ac:dyDescent="0.2">
      <c r="A2785" s="20">
        <v>40478</v>
      </c>
      <c r="B2785">
        <v>200.5</v>
      </c>
      <c r="E2785">
        <f t="shared" si="86"/>
        <v>10</v>
      </c>
      <c r="F2785">
        <f t="shared" si="87"/>
        <v>2010</v>
      </c>
    </row>
    <row r="2786" spans="1:6" x14ac:dyDescent="0.2">
      <c r="A2786" s="20">
        <v>40479</v>
      </c>
      <c r="B2786">
        <v>203.25</v>
      </c>
      <c r="E2786">
        <f t="shared" si="86"/>
        <v>10</v>
      </c>
      <c r="F2786">
        <f t="shared" si="87"/>
        <v>2010</v>
      </c>
    </row>
    <row r="2787" spans="1:6" x14ac:dyDescent="0.2">
      <c r="A2787" s="20">
        <v>40480</v>
      </c>
      <c r="B2787">
        <v>202.75</v>
      </c>
      <c r="E2787">
        <f t="shared" si="86"/>
        <v>10</v>
      </c>
      <c r="F2787">
        <f t="shared" si="87"/>
        <v>2010</v>
      </c>
    </row>
    <row r="2788" spans="1:6" x14ac:dyDescent="0.2">
      <c r="A2788" s="20">
        <v>40483</v>
      </c>
      <c r="B2788">
        <v>201.5</v>
      </c>
      <c r="E2788">
        <f t="shared" si="86"/>
        <v>11</v>
      </c>
      <c r="F2788">
        <f t="shared" si="87"/>
        <v>2010</v>
      </c>
    </row>
    <row r="2789" spans="1:6" x14ac:dyDescent="0.2">
      <c r="A2789" s="20">
        <v>40484</v>
      </c>
      <c r="B2789">
        <v>199.75</v>
      </c>
      <c r="E2789">
        <f t="shared" si="86"/>
        <v>11</v>
      </c>
      <c r="F2789">
        <f t="shared" si="87"/>
        <v>2010</v>
      </c>
    </row>
    <row r="2790" spans="1:6" x14ac:dyDescent="0.2">
      <c r="A2790" s="20">
        <v>40485</v>
      </c>
      <c r="B2790">
        <v>197</v>
      </c>
      <c r="E2790">
        <f t="shared" si="86"/>
        <v>11</v>
      </c>
      <c r="F2790">
        <f t="shared" si="87"/>
        <v>2010</v>
      </c>
    </row>
    <row r="2791" spans="1:6" x14ac:dyDescent="0.2">
      <c r="A2791" s="20">
        <v>40486</v>
      </c>
      <c r="B2791">
        <v>199.75</v>
      </c>
      <c r="E2791">
        <f t="shared" si="86"/>
        <v>11</v>
      </c>
      <c r="F2791">
        <f t="shared" si="87"/>
        <v>2010</v>
      </c>
    </row>
    <row r="2792" spans="1:6" x14ac:dyDescent="0.2">
      <c r="A2792" s="20">
        <v>40487</v>
      </c>
      <c r="B2792">
        <v>199.5</v>
      </c>
      <c r="E2792">
        <f t="shared" si="86"/>
        <v>11</v>
      </c>
      <c r="F2792">
        <f t="shared" si="87"/>
        <v>2010</v>
      </c>
    </row>
    <row r="2793" spans="1:6" x14ac:dyDescent="0.2">
      <c r="A2793" s="20">
        <v>40490</v>
      </c>
      <c r="B2793">
        <v>210.25</v>
      </c>
      <c r="E2793">
        <f t="shared" si="86"/>
        <v>11</v>
      </c>
      <c r="F2793">
        <f t="shared" si="87"/>
        <v>2010</v>
      </c>
    </row>
    <row r="2794" spans="1:6" x14ac:dyDescent="0.2">
      <c r="A2794" s="20">
        <v>40491</v>
      </c>
      <c r="B2794">
        <v>212.5</v>
      </c>
      <c r="E2794">
        <f t="shared" si="86"/>
        <v>11</v>
      </c>
      <c r="F2794">
        <f t="shared" si="87"/>
        <v>2010</v>
      </c>
    </row>
    <row r="2795" spans="1:6" x14ac:dyDescent="0.2">
      <c r="A2795" s="20">
        <v>40492</v>
      </c>
      <c r="B2795">
        <v>209.5</v>
      </c>
      <c r="E2795">
        <f t="shared" si="86"/>
        <v>11</v>
      </c>
      <c r="F2795">
        <f t="shared" si="87"/>
        <v>2010</v>
      </c>
    </row>
    <row r="2796" spans="1:6" x14ac:dyDescent="0.2">
      <c r="A2796" s="20">
        <v>40493</v>
      </c>
      <c r="B2796">
        <v>211</v>
      </c>
      <c r="E2796">
        <f t="shared" si="86"/>
        <v>11</v>
      </c>
      <c r="F2796">
        <f t="shared" si="87"/>
        <v>2010</v>
      </c>
    </row>
    <row r="2797" spans="1:6" x14ac:dyDescent="0.2">
      <c r="A2797" s="20">
        <v>40494</v>
      </c>
      <c r="B2797">
        <v>206.25</v>
      </c>
      <c r="E2797">
        <f t="shared" si="86"/>
        <v>11</v>
      </c>
      <c r="F2797">
        <f t="shared" si="87"/>
        <v>2010</v>
      </c>
    </row>
    <row r="2798" spans="1:6" x14ac:dyDescent="0.2">
      <c r="A2798" s="20">
        <v>40497</v>
      </c>
      <c r="B2798">
        <v>208.25</v>
      </c>
      <c r="E2798">
        <f t="shared" si="86"/>
        <v>11</v>
      </c>
      <c r="F2798">
        <f t="shared" si="87"/>
        <v>2010</v>
      </c>
    </row>
    <row r="2799" spans="1:6" x14ac:dyDescent="0.2">
      <c r="A2799" s="20">
        <v>40498</v>
      </c>
      <c r="B2799">
        <v>202.5</v>
      </c>
      <c r="E2799">
        <f t="shared" si="86"/>
        <v>11</v>
      </c>
      <c r="F2799">
        <f t="shared" si="87"/>
        <v>2010</v>
      </c>
    </row>
    <row r="2800" spans="1:6" x14ac:dyDescent="0.2">
      <c r="A2800" s="20">
        <v>40499</v>
      </c>
      <c r="B2800">
        <v>204.5</v>
      </c>
      <c r="E2800">
        <f t="shared" si="86"/>
        <v>11</v>
      </c>
      <c r="F2800">
        <f t="shared" si="87"/>
        <v>2010</v>
      </c>
    </row>
    <row r="2801" spans="1:6" x14ac:dyDescent="0.2">
      <c r="A2801" s="20">
        <v>40500</v>
      </c>
      <c r="B2801">
        <v>207</v>
      </c>
      <c r="E2801">
        <f t="shared" si="86"/>
        <v>11</v>
      </c>
      <c r="F2801">
        <f t="shared" si="87"/>
        <v>2010</v>
      </c>
    </row>
    <row r="2802" spans="1:6" x14ac:dyDescent="0.2">
      <c r="A2802" s="20">
        <v>40501</v>
      </c>
      <c r="B2802">
        <v>205.5</v>
      </c>
      <c r="E2802">
        <f t="shared" si="86"/>
        <v>11</v>
      </c>
      <c r="F2802">
        <f t="shared" si="87"/>
        <v>2010</v>
      </c>
    </row>
    <row r="2803" spans="1:6" x14ac:dyDescent="0.2">
      <c r="A2803" s="20">
        <v>40504</v>
      </c>
      <c r="B2803">
        <v>201.75</v>
      </c>
      <c r="E2803">
        <f t="shared" si="86"/>
        <v>11</v>
      </c>
      <c r="F2803">
        <f t="shared" si="87"/>
        <v>2010</v>
      </c>
    </row>
    <row r="2804" spans="1:6" x14ac:dyDescent="0.2">
      <c r="A2804" s="20">
        <v>40505</v>
      </c>
      <c r="B2804">
        <v>204</v>
      </c>
      <c r="E2804">
        <f t="shared" si="86"/>
        <v>11</v>
      </c>
      <c r="F2804">
        <f t="shared" si="87"/>
        <v>2010</v>
      </c>
    </row>
    <row r="2805" spans="1:6" x14ac:dyDescent="0.2">
      <c r="A2805" s="20">
        <v>40506</v>
      </c>
      <c r="B2805">
        <v>206.75</v>
      </c>
      <c r="E2805">
        <f t="shared" si="86"/>
        <v>11</v>
      </c>
      <c r="F2805">
        <f t="shared" si="87"/>
        <v>2010</v>
      </c>
    </row>
    <row r="2806" spans="1:6" x14ac:dyDescent="0.2">
      <c r="A2806" s="20">
        <v>40507</v>
      </c>
      <c r="B2806">
        <v>209.5</v>
      </c>
      <c r="E2806">
        <f t="shared" si="86"/>
        <v>11</v>
      </c>
      <c r="F2806">
        <f t="shared" si="87"/>
        <v>2010</v>
      </c>
    </row>
    <row r="2807" spans="1:6" x14ac:dyDescent="0.2">
      <c r="A2807" s="20">
        <v>40508</v>
      </c>
      <c r="B2807">
        <v>209.5</v>
      </c>
      <c r="E2807">
        <f t="shared" si="86"/>
        <v>11</v>
      </c>
      <c r="F2807">
        <f t="shared" si="87"/>
        <v>2010</v>
      </c>
    </row>
    <row r="2808" spans="1:6" x14ac:dyDescent="0.2">
      <c r="A2808" s="20">
        <v>40511</v>
      </c>
      <c r="B2808">
        <v>212.75</v>
      </c>
      <c r="E2808">
        <f t="shared" si="86"/>
        <v>11</v>
      </c>
      <c r="F2808">
        <f t="shared" si="87"/>
        <v>2010</v>
      </c>
    </row>
    <row r="2809" spans="1:6" x14ac:dyDescent="0.2">
      <c r="A2809" s="20">
        <v>40512</v>
      </c>
      <c r="B2809">
        <v>212</v>
      </c>
      <c r="E2809">
        <f t="shared" si="86"/>
        <v>11</v>
      </c>
      <c r="F2809">
        <f t="shared" si="87"/>
        <v>2010</v>
      </c>
    </row>
    <row r="2810" spans="1:6" x14ac:dyDescent="0.2">
      <c r="A2810" s="20">
        <v>40513</v>
      </c>
      <c r="B2810">
        <v>215.25</v>
      </c>
      <c r="E2810">
        <f t="shared" si="86"/>
        <v>12</v>
      </c>
      <c r="F2810">
        <f t="shared" si="87"/>
        <v>2010</v>
      </c>
    </row>
    <row r="2811" spans="1:6" x14ac:dyDescent="0.2">
      <c r="A2811" s="20">
        <v>40514</v>
      </c>
      <c r="B2811">
        <v>216.5</v>
      </c>
      <c r="E2811">
        <f t="shared" si="86"/>
        <v>12</v>
      </c>
      <c r="F2811">
        <f t="shared" si="87"/>
        <v>2010</v>
      </c>
    </row>
    <row r="2812" spans="1:6" x14ac:dyDescent="0.2">
      <c r="A2812" s="20">
        <v>40515</v>
      </c>
      <c r="B2812">
        <v>217</v>
      </c>
      <c r="E2812">
        <f t="shared" si="86"/>
        <v>12</v>
      </c>
      <c r="F2812">
        <f t="shared" si="87"/>
        <v>2010</v>
      </c>
    </row>
    <row r="2813" spans="1:6" x14ac:dyDescent="0.2">
      <c r="A2813" s="20">
        <v>40518</v>
      </c>
      <c r="B2813">
        <v>216.25</v>
      </c>
      <c r="E2813">
        <f t="shared" si="86"/>
        <v>12</v>
      </c>
      <c r="F2813">
        <f t="shared" si="87"/>
        <v>2010</v>
      </c>
    </row>
    <row r="2814" spans="1:6" x14ac:dyDescent="0.2">
      <c r="A2814" s="20">
        <v>40519</v>
      </c>
      <c r="B2814">
        <v>216</v>
      </c>
      <c r="E2814">
        <f t="shared" si="86"/>
        <v>12</v>
      </c>
      <c r="F2814">
        <f t="shared" si="87"/>
        <v>2010</v>
      </c>
    </row>
    <row r="2815" spans="1:6" x14ac:dyDescent="0.2">
      <c r="A2815" s="20">
        <v>40520</v>
      </c>
      <c r="B2815">
        <v>217</v>
      </c>
      <c r="E2815">
        <f t="shared" si="86"/>
        <v>12</v>
      </c>
      <c r="F2815">
        <f t="shared" si="87"/>
        <v>2010</v>
      </c>
    </row>
    <row r="2816" spans="1:6" x14ac:dyDescent="0.2">
      <c r="A2816" s="20">
        <v>40521</v>
      </c>
      <c r="B2816">
        <v>217.75</v>
      </c>
      <c r="E2816">
        <f t="shared" si="86"/>
        <v>12</v>
      </c>
      <c r="F2816">
        <f t="shared" si="87"/>
        <v>2010</v>
      </c>
    </row>
    <row r="2817" spans="1:6" x14ac:dyDescent="0.2">
      <c r="A2817" s="20">
        <v>40522</v>
      </c>
      <c r="B2817">
        <v>218</v>
      </c>
      <c r="E2817">
        <f t="shared" si="86"/>
        <v>12</v>
      </c>
      <c r="F2817">
        <f t="shared" si="87"/>
        <v>2010</v>
      </c>
    </row>
    <row r="2818" spans="1:6" x14ac:dyDescent="0.2">
      <c r="A2818" s="20">
        <v>40525</v>
      </c>
      <c r="B2818">
        <v>219.5</v>
      </c>
      <c r="E2818">
        <f t="shared" si="86"/>
        <v>12</v>
      </c>
      <c r="F2818">
        <f t="shared" si="87"/>
        <v>2010</v>
      </c>
    </row>
    <row r="2819" spans="1:6" x14ac:dyDescent="0.2">
      <c r="A2819" s="20">
        <v>40526</v>
      </c>
      <c r="B2819">
        <v>217.5</v>
      </c>
      <c r="E2819">
        <f t="shared" ref="E2819:E2882" si="88">MONTH(A2819)</f>
        <v>12</v>
      </c>
      <c r="F2819">
        <f t="shared" ref="F2819:F2882" si="89">YEAR(A2819)</f>
        <v>2010</v>
      </c>
    </row>
    <row r="2820" spans="1:6" x14ac:dyDescent="0.2">
      <c r="A2820" s="20">
        <v>40527</v>
      </c>
      <c r="B2820">
        <v>217</v>
      </c>
      <c r="E2820">
        <f t="shared" si="88"/>
        <v>12</v>
      </c>
      <c r="F2820">
        <f t="shared" si="89"/>
        <v>2010</v>
      </c>
    </row>
    <row r="2821" spans="1:6" x14ac:dyDescent="0.2">
      <c r="A2821" s="20">
        <v>40528</v>
      </c>
      <c r="B2821">
        <v>217</v>
      </c>
      <c r="E2821">
        <f t="shared" si="88"/>
        <v>12</v>
      </c>
      <c r="F2821">
        <f t="shared" si="89"/>
        <v>2010</v>
      </c>
    </row>
    <row r="2822" spans="1:6" x14ac:dyDescent="0.2">
      <c r="A2822" s="20">
        <v>40529</v>
      </c>
      <c r="B2822">
        <v>216.25</v>
      </c>
      <c r="E2822">
        <f t="shared" si="88"/>
        <v>12</v>
      </c>
      <c r="F2822">
        <f t="shared" si="89"/>
        <v>2010</v>
      </c>
    </row>
    <row r="2823" spans="1:6" x14ac:dyDescent="0.2">
      <c r="A2823" s="20">
        <v>40532</v>
      </c>
      <c r="B2823">
        <v>218.25</v>
      </c>
      <c r="E2823">
        <f t="shared" si="88"/>
        <v>12</v>
      </c>
      <c r="F2823">
        <f t="shared" si="89"/>
        <v>2010</v>
      </c>
    </row>
    <row r="2824" spans="1:6" x14ac:dyDescent="0.2">
      <c r="A2824" s="20">
        <v>40533</v>
      </c>
      <c r="B2824">
        <v>220</v>
      </c>
      <c r="E2824">
        <f t="shared" si="88"/>
        <v>12</v>
      </c>
      <c r="F2824">
        <f t="shared" si="89"/>
        <v>2010</v>
      </c>
    </row>
    <row r="2825" spans="1:6" x14ac:dyDescent="0.2">
      <c r="A2825" s="20">
        <v>40534</v>
      </c>
      <c r="B2825">
        <v>224</v>
      </c>
      <c r="E2825">
        <f t="shared" si="88"/>
        <v>12</v>
      </c>
      <c r="F2825">
        <f t="shared" si="89"/>
        <v>2010</v>
      </c>
    </row>
    <row r="2826" spans="1:6" x14ac:dyDescent="0.2">
      <c r="A2826" s="20">
        <v>40535</v>
      </c>
      <c r="B2826">
        <v>225.5</v>
      </c>
      <c r="E2826">
        <f t="shared" si="88"/>
        <v>12</v>
      </c>
      <c r="F2826">
        <f t="shared" si="89"/>
        <v>2010</v>
      </c>
    </row>
    <row r="2827" spans="1:6" x14ac:dyDescent="0.2">
      <c r="A2827" s="20">
        <v>40536</v>
      </c>
      <c r="B2827">
        <v>226.75</v>
      </c>
      <c r="E2827">
        <f t="shared" si="88"/>
        <v>12</v>
      </c>
      <c r="F2827">
        <f t="shared" si="89"/>
        <v>2010</v>
      </c>
    </row>
    <row r="2828" spans="1:6" x14ac:dyDescent="0.2">
      <c r="A2828" s="20">
        <v>40539</v>
      </c>
      <c r="B2828">
        <v>228</v>
      </c>
      <c r="E2828">
        <f t="shared" si="88"/>
        <v>12</v>
      </c>
      <c r="F2828">
        <f t="shared" si="89"/>
        <v>2010</v>
      </c>
    </row>
    <row r="2829" spans="1:6" x14ac:dyDescent="0.2">
      <c r="A2829" s="20">
        <v>40540</v>
      </c>
      <c r="B2829">
        <v>232.25</v>
      </c>
      <c r="E2829">
        <f t="shared" si="88"/>
        <v>12</v>
      </c>
      <c r="F2829">
        <f t="shared" si="89"/>
        <v>2010</v>
      </c>
    </row>
    <row r="2830" spans="1:6" x14ac:dyDescent="0.2">
      <c r="A2830" s="20">
        <v>40541</v>
      </c>
      <c r="B2830">
        <v>232.25</v>
      </c>
      <c r="E2830">
        <f t="shared" si="88"/>
        <v>12</v>
      </c>
      <c r="F2830">
        <f t="shared" si="89"/>
        <v>2010</v>
      </c>
    </row>
    <row r="2831" spans="1:6" x14ac:dyDescent="0.2">
      <c r="A2831" s="20">
        <v>40542</v>
      </c>
      <c r="B2831">
        <v>228</v>
      </c>
      <c r="E2831">
        <f t="shared" si="88"/>
        <v>12</v>
      </c>
      <c r="F2831">
        <f t="shared" si="89"/>
        <v>2010</v>
      </c>
    </row>
    <row r="2832" spans="1:6" x14ac:dyDescent="0.2">
      <c r="A2832" s="20">
        <v>40543</v>
      </c>
      <c r="B2832">
        <v>234.5</v>
      </c>
      <c r="E2832">
        <f t="shared" si="88"/>
        <v>12</v>
      </c>
      <c r="F2832">
        <f t="shared" si="89"/>
        <v>2010</v>
      </c>
    </row>
    <row r="2833" spans="1:6" x14ac:dyDescent="0.2">
      <c r="A2833" s="20">
        <v>40546</v>
      </c>
      <c r="B2833">
        <v>237</v>
      </c>
      <c r="E2833">
        <f t="shared" si="88"/>
        <v>1</v>
      </c>
      <c r="F2833">
        <f t="shared" si="89"/>
        <v>2011</v>
      </c>
    </row>
    <row r="2834" spans="1:6" x14ac:dyDescent="0.2">
      <c r="A2834" s="20">
        <v>40547</v>
      </c>
      <c r="B2834">
        <v>232.75</v>
      </c>
      <c r="E2834">
        <f t="shared" si="88"/>
        <v>1</v>
      </c>
      <c r="F2834">
        <f t="shared" si="89"/>
        <v>2011</v>
      </c>
    </row>
    <row r="2835" spans="1:6" x14ac:dyDescent="0.2">
      <c r="A2835" s="20">
        <v>40548</v>
      </c>
      <c r="B2835">
        <v>233.5</v>
      </c>
      <c r="E2835">
        <f t="shared" si="88"/>
        <v>1</v>
      </c>
      <c r="F2835">
        <f t="shared" si="89"/>
        <v>2011</v>
      </c>
    </row>
    <row r="2836" spans="1:6" x14ac:dyDescent="0.2">
      <c r="A2836" s="20">
        <v>40549</v>
      </c>
      <c r="B2836">
        <v>233</v>
      </c>
      <c r="E2836">
        <f t="shared" si="88"/>
        <v>1</v>
      </c>
      <c r="F2836">
        <f t="shared" si="89"/>
        <v>2011</v>
      </c>
    </row>
    <row r="2837" spans="1:6" x14ac:dyDescent="0.2">
      <c r="A2837" s="20">
        <v>40550</v>
      </c>
      <c r="B2837">
        <v>231</v>
      </c>
      <c r="E2837">
        <f t="shared" si="88"/>
        <v>1</v>
      </c>
      <c r="F2837">
        <f t="shared" si="89"/>
        <v>2011</v>
      </c>
    </row>
    <row r="2838" spans="1:6" x14ac:dyDescent="0.2">
      <c r="A2838" s="20">
        <v>40553</v>
      </c>
      <c r="B2838">
        <v>231</v>
      </c>
      <c r="E2838">
        <f t="shared" si="88"/>
        <v>1</v>
      </c>
      <c r="F2838">
        <f t="shared" si="89"/>
        <v>2011</v>
      </c>
    </row>
    <row r="2839" spans="1:6" x14ac:dyDescent="0.2">
      <c r="A2839" s="20">
        <v>40554</v>
      </c>
      <c r="B2839">
        <v>231</v>
      </c>
      <c r="E2839">
        <f t="shared" si="88"/>
        <v>1</v>
      </c>
      <c r="F2839">
        <f t="shared" si="89"/>
        <v>2011</v>
      </c>
    </row>
    <row r="2840" spans="1:6" x14ac:dyDescent="0.2">
      <c r="A2840" s="20">
        <v>40555</v>
      </c>
      <c r="B2840">
        <v>235.5</v>
      </c>
      <c r="E2840">
        <f t="shared" si="88"/>
        <v>1</v>
      </c>
      <c r="F2840">
        <f t="shared" si="89"/>
        <v>2011</v>
      </c>
    </row>
    <row r="2841" spans="1:6" x14ac:dyDescent="0.2">
      <c r="A2841" s="20">
        <v>40556</v>
      </c>
      <c r="B2841">
        <v>239.5</v>
      </c>
      <c r="E2841">
        <f t="shared" si="88"/>
        <v>1</v>
      </c>
      <c r="F2841">
        <f t="shared" si="89"/>
        <v>2011</v>
      </c>
    </row>
    <row r="2842" spans="1:6" x14ac:dyDescent="0.2">
      <c r="A2842" s="20">
        <v>40557</v>
      </c>
      <c r="B2842">
        <v>237</v>
      </c>
      <c r="E2842">
        <f t="shared" si="88"/>
        <v>1</v>
      </c>
      <c r="F2842">
        <f t="shared" si="89"/>
        <v>2011</v>
      </c>
    </row>
    <row r="2843" spans="1:6" x14ac:dyDescent="0.2">
      <c r="A2843" s="20">
        <v>40560</v>
      </c>
      <c r="B2843">
        <v>237</v>
      </c>
      <c r="E2843">
        <f t="shared" si="88"/>
        <v>1</v>
      </c>
      <c r="F2843">
        <f t="shared" si="89"/>
        <v>2011</v>
      </c>
    </row>
    <row r="2844" spans="1:6" x14ac:dyDescent="0.2">
      <c r="A2844" s="20">
        <v>40561</v>
      </c>
      <c r="B2844">
        <v>239.75</v>
      </c>
      <c r="E2844">
        <f t="shared" si="88"/>
        <v>1</v>
      </c>
      <c r="F2844">
        <f t="shared" si="89"/>
        <v>2011</v>
      </c>
    </row>
    <row r="2845" spans="1:6" x14ac:dyDescent="0.2">
      <c r="A2845" s="20">
        <v>40562</v>
      </c>
      <c r="B2845">
        <v>240.5</v>
      </c>
      <c r="E2845">
        <f t="shared" si="88"/>
        <v>1</v>
      </c>
      <c r="F2845">
        <f t="shared" si="89"/>
        <v>2011</v>
      </c>
    </row>
    <row r="2846" spans="1:6" x14ac:dyDescent="0.2">
      <c r="A2846" s="20">
        <v>40563</v>
      </c>
      <c r="B2846">
        <v>238</v>
      </c>
      <c r="E2846">
        <f t="shared" si="88"/>
        <v>1</v>
      </c>
      <c r="F2846">
        <f t="shared" si="89"/>
        <v>2011</v>
      </c>
    </row>
    <row r="2847" spans="1:6" x14ac:dyDescent="0.2">
      <c r="A2847" s="20">
        <v>40564</v>
      </c>
      <c r="B2847">
        <v>239.75</v>
      </c>
      <c r="E2847">
        <f t="shared" si="88"/>
        <v>1</v>
      </c>
      <c r="F2847">
        <f t="shared" si="89"/>
        <v>2011</v>
      </c>
    </row>
    <row r="2848" spans="1:6" x14ac:dyDescent="0.2">
      <c r="A2848" s="20">
        <v>40567</v>
      </c>
      <c r="B2848">
        <v>238.5</v>
      </c>
      <c r="E2848">
        <f t="shared" si="88"/>
        <v>1</v>
      </c>
      <c r="F2848">
        <f t="shared" si="89"/>
        <v>2011</v>
      </c>
    </row>
    <row r="2849" spans="1:6" x14ac:dyDescent="0.2">
      <c r="A2849" s="20">
        <v>40568</v>
      </c>
      <c r="B2849">
        <v>236.75</v>
      </c>
      <c r="E2849">
        <f t="shared" si="88"/>
        <v>1</v>
      </c>
      <c r="F2849">
        <f t="shared" si="89"/>
        <v>2011</v>
      </c>
    </row>
    <row r="2850" spans="1:6" x14ac:dyDescent="0.2">
      <c r="A2850" s="20">
        <v>40569</v>
      </c>
      <c r="B2850">
        <v>238</v>
      </c>
      <c r="E2850">
        <f t="shared" si="88"/>
        <v>1</v>
      </c>
      <c r="F2850">
        <f t="shared" si="89"/>
        <v>2011</v>
      </c>
    </row>
    <row r="2851" spans="1:6" x14ac:dyDescent="0.2">
      <c r="A2851" s="20">
        <v>40570</v>
      </c>
      <c r="B2851">
        <v>236.75</v>
      </c>
      <c r="E2851">
        <f t="shared" si="88"/>
        <v>1</v>
      </c>
      <c r="F2851">
        <f t="shared" si="89"/>
        <v>2011</v>
      </c>
    </row>
    <row r="2852" spans="1:6" x14ac:dyDescent="0.2">
      <c r="A2852" s="20">
        <v>40571</v>
      </c>
      <c r="B2852">
        <v>234.75</v>
      </c>
      <c r="E2852">
        <f t="shared" si="88"/>
        <v>1</v>
      </c>
      <c r="F2852">
        <f t="shared" si="89"/>
        <v>2011</v>
      </c>
    </row>
    <row r="2853" spans="1:6" x14ac:dyDescent="0.2">
      <c r="A2853" s="20">
        <v>40574</v>
      </c>
      <c r="B2853">
        <v>235</v>
      </c>
      <c r="E2853">
        <f t="shared" si="88"/>
        <v>1</v>
      </c>
      <c r="F2853">
        <f t="shared" si="89"/>
        <v>2011</v>
      </c>
    </row>
    <row r="2854" spans="1:6" x14ac:dyDescent="0.2">
      <c r="A2854" s="20">
        <v>40575</v>
      </c>
      <c r="B2854">
        <v>234.75</v>
      </c>
      <c r="E2854">
        <f t="shared" si="88"/>
        <v>2</v>
      </c>
      <c r="F2854">
        <f t="shared" si="89"/>
        <v>2011</v>
      </c>
    </row>
    <row r="2855" spans="1:6" x14ac:dyDescent="0.2">
      <c r="A2855" s="20">
        <v>40576</v>
      </c>
      <c r="B2855">
        <v>236.75</v>
      </c>
      <c r="E2855">
        <f t="shared" si="88"/>
        <v>2</v>
      </c>
      <c r="F2855">
        <f t="shared" si="89"/>
        <v>2011</v>
      </c>
    </row>
    <row r="2856" spans="1:6" x14ac:dyDescent="0.2">
      <c r="A2856" s="20">
        <v>40577</v>
      </c>
      <c r="B2856">
        <v>237.5</v>
      </c>
      <c r="E2856">
        <f t="shared" si="88"/>
        <v>2</v>
      </c>
      <c r="F2856">
        <f t="shared" si="89"/>
        <v>2011</v>
      </c>
    </row>
    <row r="2857" spans="1:6" x14ac:dyDescent="0.2">
      <c r="A2857" s="20">
        <v>40578</v>
      </c>
      <c r="B2857">
        <v>236.25</v>
      </c>
      <c r="E2857">
        <f t="shared" si="88"/>
        <v>2</v>
      </c>
      <c r="F2857">
        <f t="shared" si="89"/>
        <v>2011</v>
      </c>
    </row>
    <row r="2858" spans="1:6" x14ac:dyDescent="0.2">
      <c r="A2858" s="20">
        <v>40581</v>
      </c>
      <c r="B2858">
        <v>239.25</v>
      </c>
      <c r="E2858">
        <f t="shared" si="88"/>
        <v>2</v>
      </c>
      <c r="F2858">
        <f t="shared" si="89"/>
        <v>2011</v>
      </c>
    </row>
    <row r="2859" spans="1:6" x14ac:dyDescent="0.2">
      <c r="A2859" s="20">
        <v>40582</v>
      </c>
      <c r="B2859">
        <v>238.5</v>
      </c>
      <c r="E2859">
        <f t="shared" si="88"/>
        <v>2</v>
      </c>
      <c r="F2859">
        <f t="shared" si="89"/>
        <v>2011</v>
      </c>
    </row>
    <row r="2860" spans="1:6" x14ac:dyDescent="0.2">
      <c r="A2860" s="20">
        <v>40583</v>
      </c>
      <c r="B2860">
        <v>241.25</v>
      </c>
      <c r="E2860">
        <f t="shared" si="88"/>
        <v>2</v>
      </c>
      <c r="F2860">
        <f t="shared" si="89"/>
        <v>2011</v>
      </c>
    </row>
    <row r="2861" spans="1:6" x14ac:dyDescent="0.2">
      <c r="A2861" s="20">
        <v>40584</v>
      </c>
      <c r="B2861">
        <v>239.5</v>
      </c>
      <c r="E2861">
        <f t="shared" si="88"/>
        <v>2</v>
      </c>
      <c r="F2861">
        <f t="shared" si="89"/>
        <v>2011</v>
      </c>
    </row>
    <row r="2862" spans="1:6" x14ac:dyDescent="0.2">
      <c r="A2862" s="20">
        <v>40585</v>
      </c>
      <c r="B2862">
        <v>239.5</v>
      </c>
      <c r="E2862">
        <f t="shared" si="88"/>
        <v>2</v>
      </c>
      <c r="F2862">
        <f t="shared" si="89"/>
        <v>2011</v>
      </c>
    </row>
    <row r="2863" spans="1:6" x14ac:dyDescent="0.2">
      <c r="A2863" s="20">
        <v>40588</v>
      </c>
      <c r="B2863">
        <v>239.75</v>
      </c>
      <c r="E2863">
        <f t="shared" si="88"/>
        <v>2</v>
      </c>
      <c r="F2863">
        <f t="shared" si="89"/>
        <v>2011</v>
      </c>
    </row>
    <row r="2864" spans="1:6" x14ac:dyDescent="0.2">
      <c r="A2864" s="20">
        <v>40589</v>
      </c>
      <c r="B2864">
        <v>236</v>
      </c>
      <c r="E2864">
        <f t="shared" si="88"/>
        <v>2</v>
      </c>
      <c r="F2864">
        <f t="shared" si="89"/>
        <v>2011</v>
      </c>
    </row>
    <row r="2865" spans="1:6" x14ac:dyDescent="0.2">
      <c r="A2865" s="20">
        <v>40590</v>
      </c>
      <c r="B2865">
        <v>234.5</v>
      </c>
      <c r="E2865">
        <f t="shared" si="88"/>
        <v>2</v>
      </c>
      <c r="F2865">
        <f t="shared" si="89"/>
        <v>2011</v>
      </c>
    </row>
    <row r="2866" spans="1:6" x14ac:dyDescent="0.2">
      <c r="A2866" s="20">
        <v>40591</v>
      </c>
      <c r="B2866">
        <v>236.75</v>
      </c>
      <c r="E2866">
        <f t="shared" si="88"/>
        <v>2</v>
      </c>
      <c r="F2866">
        <f t="shared" si="89"/>
        <v>2011</v>
      </c>
    </row>
    <row r="2867" spans="1:6" x14ac:dyDescent="0.2">
      <c r="A2867" s="20">
        <v>40592</v>
      </c>
      <c r="B2867">
        <v>236.75</v>
      </c>
      <c r="E2867">
        <f t="shared" si="88"/>
        <v>2</v>
      </c>
      <c r="F2867">
        <f t="shared" si="89"/>
        <v>2011</v>
      </c>
    </row>
    <row r="2868" spans="1:6" x14ac:dyDescent="0.2">
      <c r="A2868" s="20">
        <v>40595</v>
      </c>
      <c r="B2868">
        <v>234.5</v>
      </c>
      <c r="E2868">
        <f t="shared" si="88"/>
        <v>2</v>
      </c>
      <c r="F2868">
        <f t="shared" si="89"/>
        <v>2011</v>
      </c>
    </row>
    <row r="2869" spans="1:6" x14ac:dyDescent="0.2">
      <c r="A2869" s="20">
        <v>40596</v>
      </c>
      <c r="B2869">
        <v>226.25</v>
      </c>
      <c r="E2869">
        <f t="shared" si="88"/>
        <v>2</v>
      </c>
      <c r="F2869">
        <f t="shared" si="89"/>
        <v>2011</v>
      </c>
    </row>
    <row r="2870" spans="1:6" x14ac:dyDescent="0.2">
      <c r="A2870" s="20">
        <v>40597</v>
      </c>
      <c r="B2870">
        <v>224</v>
      </c>
      <c r="E2870">
        <f t="shared" si="88"/>
        <v>2</v>
      </c>
      <c r="F2870">
        <f t="shared" si="89"/>
        <v>2011</v>
      </c>
    </row>
    <row r="2871" spans="1:6" x14ac:dyDescent="0.2">
      <c r="A2871" s="20">
        <v>40598</v>
      </c>
      <c r="B2871">
        <v>227.25</v>
      </c>
      <c r="E2871">
        <f t="shared" si="88"/>
        <v>2</v>
      </c>
      <c r="F2871">
        <f t="shared" si="89"/>
        <v>2011</v>
      </c>
    </row>
    <row r="2872" spans="1:6" x14ac:dyDescent="0.2">
      <c r="A2872" s="20">
        <v>40599</v>
      </c>
      <c r="B2872">
        <v>232</v>
      </c>
      <c r="E2872">
        <f t="shared" si="88"/>
        <v>2</v>
      </c>
      <c r="F2872">
        <f t="shared" si="89"/>
        <v>2011</v>
      </c>
    </row>
    <row r="2873" spans="1:6" x14ac:dyDescent="0.2">
      <c r="A2873" s="20">
        <v>40602</v>
      </c>
      <c r="B2873">
        <v>232.5</v>
      </c>
      <c r="E2873">
        <f t="shared" si="88"/>
        <v>2</v>
      </c>
      <c r="F2873">
        <f t="shared" si="89"/>
        <v>2011</v>
      </c>
    </row>
    <row r="2874" spans="1:6" x14ac:dyDescent="0.2">
      <c r="A2874" s="20">
        <v>40603</v>
      </c>
      <c r="B2874">
        <v>233</v>
      </c>
      <c r="E2874">
        <f t="shared" si="88"/>
        <v>3</v>
      </c>
      <c r="F2874">
        <f t="shared" si="89"/>
        <v>2011</v>
      </c>
    </row>
    <row r="2875" spans="1:6" x14ac:dyDescent="0.2">
      <c r="A2875" s="20">
        <v>40604</v>
      </c>
      <c r="B2875">
        <v>232.75</v>
      </c>
      <c r="E2875">
        <f t="shared" si="88"/>
        <v>3</v>
      </c>
      <c r="F2875">
        <f t="shared" si="89"/>
        <v>2011</v>
      </c>
    </row>
    <row r="2876" spans="1:6" x14ac:dyDescent="0.2">
      <c r="A2876" s="20">
        <v>40605</v>
      </c>
      <c r="B2876">
        <v>231.75</v>
      </c>
      <c r="E2876">
        <f t="shared" si="88"/>
        <v>3</v>
      </c>
      <c r="F2876">
        <f t="shared" si="89"/>
        <v>2011</v>
      </c>
    </row>
    <row r="2877" spans="1:6" x14ac:dyDescent="0.2">
      <c r="A2877" s="20">
        <v>40606</v>
      </c>
      <c r="B2877">
        <v>230</v>
      </c>
      <c r="E2877">
        <f t="shared" si="88"/>
        <v>3</v>
      </c>
      <c r="F2877">
        <f t="shared" si="89"/>
        <v>2011</v>
      </c>
    </row>
    <row r="2878" spans="1:6" x14ac:dyDescent="0.2">
      <c r="A2878" s="20">
        <v>40609</v>
      </c>
      <c r="B2878">
        <v>233</v>
      </c>
      <c r="E2878">
        <f t="shared" si="88"/>
        <v>3</v>
      </c>
      <c r="F2878">
        <f t="shared" si="89"/>
        <v>2011</v>
      </c>
    </row>
    <row r="2879" spans="1:6" x14ac:dyDescent="0.2">
      <c r="A2879" s="20">
        <v>40610</v>
      </c>
      <c r="B2879">
        <v>230</v>
      </c>
      <c r="E2879">
        <f t="shared" si="88"/>
        <v>3</v>
      </c>
      <c r="F2879">
        <f t="shared" si="89"/>
        <v>2011</v>
      </c>
    </row>
    <row r="2880" spans="1:6" x14ac:dyDescent="0.2">
      <c r="A2880" s="20">
        <v>40611</v>
      </c>
      <c r="B2880">
        <v>225.5</v>
      </c>
      <c r="E2880">
        <f t="shared" si="88"/>
        <v>3</v>
      </c>
      <c r="F2880">
        <f t="shared" si="89"/>
        <v>2011</v>
      </c>
    </row>
    <row r="2881" spans="1:6" x14ac:dyDescent="0.2">
      <c r="A2881" s="20">
        <v>40612</v>
      </c>
      <c r="B2881">
        <v>224.5</v>
      </c>
      <c r="E2881">
        <f t="shared" si="88"/>
        <v>3</v>
      </c>
      <c r="F2881">
        <f t="shared" si="89"/>
        <v>2011</v>
      </c>
    </row>
    <row r="2882" spans="1:6" x14ac:dyDescent="0.2">
      <c r="A2882" s="20">
        <v>40613</v>
      </c>
      <c r="B2882">
        <v>221</v>
      </c>
      <c r="E2882">
        <f t="shared" si="88"/>
        <v>3</v>
      </c>
      <c r="F2882">
        <f t="shared" si="89"/>
        <v>2011</v>
      </c>
    </row>
    <row r="2883" spans="1:6" x14ac:dyDescent="0.2">
      <c r="A2883" s="20">
        <v>40616</v>
      </c>
      <c r="B2883">
        <v>215.5</v>
      </c>
      <c r="E2883">
        <f t="shared" ref="E2883:E2946" si="90">MONTH(A2883)</f>
        <v>3</v>
      </c>
      <c r="F2883">
        <f t="shared" ref="F2883:F2946" si="91">YEAR(A2883)</f>
        <v>2011</v>
      </c>
    </row>
    <row r="2884" spans="1:6" x14ac:dyDescent="0.2">
      <c r="A2884" s="20">
        <v>40617</v>
      </c>
      <c r="B2884">
        <v>198.75</v>
      </c>
      <c r="E2884">
        <f t="shared" si="90"/>
        <v>3</v>
      </c>
      <c r="F2884">
        <f t="shared" si="91"/>
        <v>2011</v>
      </c>
    </row>
    <row r="2885" spans="1:6" x14ac:dyDescent="0.2">
      <c r="A2885" s="20">
        <v>40618</v>
      </c>
      <c r="B2885">
        <v>204.75</v>
      </c>
      <c r="E2885">
        <f t="shared" si="90"/>
        <v>3</v>
      </c>
      <c r="F2885">
        <f t="shared" si="91"/>
        <v>2011</v>
      </c>
    </row>
    <row r="2886" spans="1:6" x14ac:dyDescent="0.2">
      <c r="A2886" s="20">
        <v>40619</v>
      </c>
      <c r="B2886">
        <v>219.25</v>
      </c>
      <c r="E2886">
        <f t="shared" si="90"/>
        <v>3</v>
      </c>
      <c r="F2886">
        <f t="shared" si="91"/>
        <v>2011</v>
      </c>
    </row>
    <row r="2887" spans="1:6" x14ac:dyDescent="0.2">
      <c r="A2887" s="20">
        <v>40620</v>
      </c>
      <c r="B2887">
        <v>224.5</v>
      </c>
      <c r="E2887">
        <f t="shared" si="90"/>
        <v>3</v>
      </c>
      <c r="F2887">
        <f t="shared" si="91"/>
        <v>2011</v>
      </c>
    </row>
    <row r="2888" spans="1:6" x14ac:dyDescent="0.2">
      <c r="A2888" s="20">
        <v>40623</v>
      </c>
      <c r="B2888">
        <v>224</v>
      </c>
      <c r="E2888">
        <f t="shared" si="90"/>
        <v>3</v>
      </c>
      <c r="F2888">
        <f t="shared" si="91"/>
        <v>2011</v>
      </c>
    </row>
    <row r="2889" spans="1:6" x14ac:dyDescent="0.2">
      <c r="A2889" s="20">
        <v>40624</v>
      </c>
      <c r="B2889">
        <v>218.75</v>
      </c>
      <c r="E2889">
        <f t="shared" si="90"/>
        <v>3</v>
      </c>
      <c r="F2889">
        <f t="shared" si="91"/>
        <v>2011</v>
      </c>
    </row>
    <row r="2890" spans="1:6" x14ac:dyDescent="0.2">
      <c r="A2890" s="20">
        <v>40625</v>
      </c>
      <c r="B2890">
        <v>218.75</v>
      </c>
      <c r="E2890">
        <f t="shared" si="90"/>
        <v>3</v>
      </c>
      <c r="F2890">
        <f t="shared" si="91"/>
        <v>2011</v>
      </c>
    </row>
    <row r="2891" spans="1:6" x14ac:dyDescent="0.2">
      <c r="A2891" s="20">
        <v>40626</v>
      </c>
      <c r="B2891">
        <v>221.75</v>
      </c>
      <c r="E2891">
        <f t="shared" si="90"/>
        <v>3</v>
      </c>
      <c r="F2891">
        <f t="shared" si="91"/>
        <v>2011</v>
      </c>
    </row>
    <row r="2892" spans="1:6" x14ac:dyDescent="0.2">
      <c r="A2892" s="20">
        <v>40627</v>
      </c>
      <c r="B2892">
        <v>224.25</v>
      </c>
      <c r="E2892">
        <f t="shared" si="90"/>
        <v>3</v>
      </c>
      <c r="F2892">
        <f t="shared" si="91"/>
        <v>2011</v>
      </c>
    </row>
    <row r="2893" spans="1:6" x14ac:dyDescent="0.2">
      <c r="A2893" s="20">
        <v>40630</v>
      </c>
      <c r="B2893">
        <v>229</v>
      </c>
      <c r="E2893">
        <f t="shared" si="90"/>
        <v>3</v>
      </c>
      <c r="F2893">
        <f t="shared" si="91"/>
        <v>2011</v>
      </c>
    </row>
    <row r="2894" spans="1:6" x14ac:dyDescent="0.2">
      <c r="A2894" s="20">
        <v>40631</v>
      </c>
      <c r="B2894">
        <v>223</v>
      </c>
      <c r="E2894">
        <f t="shared" si="90"/>
        <v>3</v>
      </c>
      <c r="F2894">
        <f t="shared" si="91"/>
        <v>2011</v>
      </c>
    </row>
    <row r="2895" spans="1:6" x14ac:dyDescent="0.2">
      <c r="A2895" s="20">
        <v>40632</v>
      </c>
      <c r="B2895">
        <v>222.75</v>
      </c>
      <c r="E2895">
        <f t="shared" si="90"/>
        <v>3</v>
      </c>
      <c r="F2895">
        <f t="shared" si="91"/>
        <v>2011</v>
      </c>
    </row>
    <row r="2896" spans="1:6" x14ac:dyDescent="0.2">
      <c r="A2896" s="20">
        <v>40633</v>
      </c>
      <c r="B2896">
        <v>230.5</v>
      </c>
      <c r="E2896">
        <f t="shared" si="90"/>
        <v>3</v>
      </c>
      <c r="F2896">
        <f t="shared" si="91"/>
        <v>2011</v>
      </c>
    </row>
    <row r="2897" spans="1:6" x14ac:dyDescent="0.2">
      <c r="A2897" s="20">
        <v>40634</v>
      </c>
      <c r="B2897">
        <v>234.75</v>
      </c>
      <c r="E2897">
        <f t="shared" si="90"/>
        <v>4</v>
      </c>
      <c r="F2897">
        <f t="shared" si="91"/>
        <v>2011</v>
      </c>
    </row>
    <row r="2898" spans="1:6" x14ac:dyDescent="0.2">
      <c r="A2898" s="20">
        <v>40637</v>
      </c>
      <c r="B2898">
        <v>238.75</v>
      </c>
      <c r="E2898">
        <f t="shared" si="90"/>
        <v>4</v>
      </c>
      <c r="F2898">
        <f t="shared" si="91"/>
        <v>2011</v>
      </c>
    </row>
    <row r="2899" spans="1:6" x14ac:dyDescent="0.2">
      <c r="A2899" s="20">
        <v>40638</v>
      </c>
      <c r="B2899">
        <v>238</v>
      </c>
      <c r="E2899">
        <f t="shared" si="90"/>
        <v>4</v>
      </c>
      <c r="F2899">
        <f t="shared" si="91"/>
        <v>2011</v>
      </c>
    </row>
    <row r="2900" spans="1:6" x14ac:dyDescent="0.2">
      <c r="A2900" s="20">
        <v>40639</v>
      </c>
      <c r="B2900">
        <v>234.5</v>
      </c>
      <c r="E2900">
        <f t="shared" si="90"/>
        <v>4</v>
      </c>
      <c r="F2900">
        <f t="shared" si="91"/>
        <v>2011</v>
      </c>
    </row>
    <row r="2901" spans="1:6" x14ac:dyDescent="0.2">
      <c r="A2901" s="20">
        <v>40640</v>
      </c>
      <c r="B2901">
        <v>236</v>
      </c>
      <c r="E2901">
        <f t="shared" si="90"/>
        <v>4</v>
      </c>
      <c r="F2901">
        <f t="shared" si="91"/>
        <v>2011</v>
      </c>
    </row>
    <row r="2902" spans="1:6" x14ac:dyDescent="0.2">
      <c r="A2902" s="20">
        <v>40641</v>
      </c>
      <c r="B2902">
        <v>238.25</v>
      </c>
      <c r="E2902">
        <f t="shared" si="90"/>
        <v>4</v>
      </c>
      <c r="F2902">
        <f t="shared" si="91"/>
        <v>2011</v>
      </c>
    </row>
    <row r="2903" spans="1:6" x14ac:dyDescent="0.2">
      <c r="A2903" s="20">
        <v>40644</v>
      </c>
      <c r="B2903">
        <v>240.25</v>
      </c>
      <c r="E2903">
        <f t="shared" si="90"/>
        <v>4</v>
      </c>
      <c r="F2903">
        <f t="shared" si="91"/>
        <v>2011</v>
      </c>
    </row>
    <row r="2904" spans="1:6" x14ac:dyDescent="0.2">
      <c r="A2904" s="20">
        <v>40645</v>
      </c>
      <c r="B2904">
        <v>235</v>
      </c>
      <c r="E2904">
        <f t="shared" si="90"/>
        <v>4</v>
      </c>
      <c r="F2904">
        <f t="shared" si="91"/>
        <v>2011</v>
      </c>
    </row>
    <row r="2905" spans="1:6" x14ac:dyDescent="0.2">
      <c r="A2905" s="20">
        <v>40646</v>
      </c>
      <c r="B2905">
        <v>238.75</v>
      </c>
      <c r="E2905">
        <f t="shared" si="90"/>
        <v>4</v>
      </c>
      <c r="F2905">
        <f t="shared" si="91"/>
        <v>2011</v>
      </c>
    </row>
    <row r="2906" spans="1:6" x14ac:dyDescent="0.2">
      <c r="A2906" s="20">
        <v>40647</v>
      </c>
      <c r="B2906">
        <v>236.75</v>
      </c>
      <c r="E2906">
        <f t="shared" si="90"/>
        <v>4</v>
      </c>
      <c r="F2906">
        <f t="shared" si="91"/>
        <v>2011</v>
      </c>
    </row>
    <row r="2907" spans="1:6" x14ac:dyDescent="0.2">
      <c r="A2907" s="20">
        <v>40648</v>
      </c>
      <c r="B2907">
        <v>236</v>
      </c>
      <c r="E2907">
        <f t="shared" si="90"/>
        <v>4</v>
      </c>
      <c r="F2907">
        <f t="shared" si="91"/>
        <v>2011</v>
      </c>
    </row>
    <row r="2908" spans="1:6" x14ac:dyDescent="0.2">
      <c r="A2908" s="20">
        <v>40651</v>
      </c>
      <c r="B2908">
        <v>239.5</v>
      </c>
      <c r="E2908">
        <f t="shared" si="90"/>
        <v>4</v>
      </c>
      <c r="F2908">
        <f t="shared" si="91"/>
        <v>2011</v>
      </c>
    </row>
    <row r="2909" spans="1:6" x14ac:dyDescent="0.2">
      <c r="A2909" s="20">
        <v>40652</v>
      </c>
      <c r="B2909">
        <v>240.5</v>
      </c>
      <c r="E2909">
        <f t="shared" si="90"/>
        <v>4</v>
      </c>
      <c r="F2909">
        <f t="shared" si="91"/>
        <v>2011</v>
      </c>
    </row>
    <row r="2910" spans="1:6" x14ac:dyDescent="0.2">
      <c r="A2910" s="20">
        <v>40653</v>
      </c>
      <c r="B2910">
        <v>241.25</v>
      </c>
      <c r="E2910">
        <f t="shared" si="90"/>
        <v>4</v>
      </c>
      <c r="F2910">
        <f t="shared" si="91"/>
        <v>2011</v>
      </c>
    </row>
    <row r="2911" spans="1:6" x14ac:dyDescent="0.2">
      <c r="A2911" s="20">
        <v>40654</v>
      </c>
      <c r="B2911">
        <v>239.75</v>
      </c>
      <c r="E2911">
        <f t="shared" si="90"/>
        <v>4</v>
      </c>
      <c r="F2911">
        <f t="shared" si="91"/>
        <v>2011</v>
      </c>
    </row>
    <row r="2912" spans="1:6" x14ac:dyDescent="0.2">
      <c r="A2912" s="20">
        <v>40659</v>
      </c>
      <c r="B2912">
        <v>241</v>
      </c>
      <c r="E2912">
        <f t="shared" si="90"/>
        <v>4</v>
      </c>
      <c r="F2912">
        <f t="shared" si="91"/>
        <v>2011</v>
      </c>
    </row>
    <row r="2913" spans="1:6" x14ac:dyDescent="0.2">
      <c r="A2913" s="20">
        <v>40660</v>
      </c>
      <c r="B2913">
        <v>234.75</v>
      </c>
      <c r="E2913">
        <f t="shared" si="90"/>
        <v>4</v>
      </c>
      <c r="F2913">
        <f t="shared" si="91"/>
        <v>2011</v>
      </c>
    </row>
    <row r="2914" spans="1:6" x14ac:dyDescent="0.2">
      <c r="A2914" s="20">
        <v>40661</v>
      </c>
      <c r="B2914">
        <v>231.75</v>
      </c>
      <c r="E2914">
        <f t="shared" si="90"/>
        <v>4</v>
      </c>
      <c r="F2914">
        <f t="shared" si="91"/>
        <v>2011</v>
      </c>
    </row>
    <row r="2915" spans="1:6" x14ac:dyDescent="0.2">
      <c r="A2915" s="20">
        <v>40662</v>
      </c>
      <c r="B2915">
        <v>233.5</v>
      </c>
      <c r="E2915">
        <f t="shared" si="90"/>
        <v>4</v>
      </c>
      <c r="F2915">
        <f t="shared" si="91"/>
        <v>2011</v>
      </c>
    </row>
    <row r="2916" spans="1:6" x14ac:dyDescent="0.2">
      <c r="A2916" s="20">
        <v>40665</v>
      </c>
      <c r="B2916">
        <v>234.5</v>
      </c>
      <c r="E2916">
        <f t="shared" si="90"/>
        <v>5</v>
      </c>
      <c r="F2916">
        <f t="shared" si="91"/>
        <v>2011</v>
      </c>
    </row>
    <row r="2917" spans="1:6" x14ac:dyDescent="0.2">
      <c r="A2917" s="20">
        <v>40666</v>
      </c>
      <c r="B2917">
        <v>233.75</v>
      </c>
      <c r="E2917">
        <f t="shared" si="90"/>
        <v>5</v>
      </c>
      <c r="F2917">
        <f t="shared" si="91"/>
        <v>2011</v>
      </c>
    </row>
    <row r="2918" spans="1:6" x14ac:dyDescent="0.2">
      <c r="A2918" s="20">
        <v>40667</v>
      </c>
      <c r="B2918">
        <v>230.75</v>
      </c>
      <c r="E2918">
        <f t="shared" si="90"/>
        <v>5</v>
      </c>
      <c r="F2918">
        <f t="shared" si="91"/>
        <v>2011</v>
      </c>
    </row>
    <row r="2919" spans="1:6" x14ac:dyDescent="0.2">
      <c r="A2919" s="20">
        <v>40668</v>
      </c>
      <c r="B2919">
        <v>231.5</v>
      </c>
      <c r="E2919">
        <f t="shared" si="90"/>
        <v>5</v>
      </c>
      <c r="F2919">
        <f t="shared" si="91"/>
        <v>2011</v>
      </c>
    </row>
    <row r="2920" spans="1:6" x14ac:dyDescent="0.2">
      <c r="A2920" s="20">
        <v>40669</v>
      </c>
      <c r="B2920">
        <v>229.75</v>
      </c>
      <c r="E2920">
        <f t="shared" si="90"/>
        <v>5</v>
      </c>
      <c r="F2920">
        <f t="shared" si="91"/>
        <v>2011</v>
      </c>
    </row>
    <row r="2921" spans="1:6" x14ac:dyDescent="0.2">
      <c r="A2921" s="20">
        <v>40672</v>
      </c>
      <c r="B2921">
        <v>236</v>
      </c>
      <c r="E2921">
        <f t="shared" si="90"/>
        <v>5</v>
      </c>
      <c r="F2921">
        <f t="shared" si="91"/>
        <v>2011</v>
      </c>
    </row>
    <row r="2922" spans="1:6" x14ac:dyDescent="0.2">
      <c r="A2922" s="20">
        <v>40673</v>
      </c>
      <c r="B2922">
        <v>235.75</v>
      </c>
      <c r="E2922">
        <f t="shared" si="90"/>
        <v>5</v>
      </c>
      <c r="F2922">
        <f t="shared" si="91"/>
        <v>2011</v>
      </c>
    </row>
    <row r="2923" spans="1:6" x14ac:dyDescent="0.2">
      <c r="A2923" s="20">
        <v>40674</v>
      </c>
      <c r="B2923">
        <v>232.75</v>
      </c>
      <c r="E2923">
        <f t="shared" si="90"/>
        <v>5</v>
      </c>
      <c r="F2923">
        <f t="shared" si="91"/>
        <v>2011</v>
      </c>
    </row>
    <row r="2924" spans="1:6" x14ac:dyDescent="0.2">
      <c r="A2924" s="20">
        <v>40675</v>
      </c>
      <c r="B2924">
        <v>232.5</v>
      </c>
      <c r="E2924">
        <f t="shared" si="90"/>
        <v>5</v>
      </c>
      <c r="F2924">
        <f t="shared" si="91"/>
        <v>2011</v>
      </c>
    </row>
    <row r="2925" spans="1:6" x14ac:dyDescent="0.2">
      <c r="A2925" s="20">
        <v>40676</v>
      </c>
      <c r="B2925">
        <v>231.75</v>
      </c>
      <c r="E2925">
        <f t="shared" si="90"/>
        <v>5</v>
      </c>
      <c r="F2925">
        <f t="shared" si="91"/>
        <v>2011</v>
      </c>
    </row>
    <row r="2926" spans="1:6" x14ac:dyDescent="0.2">
      <c r="A2926" s="20">
        <v>40679</v>
      </c>
      <c r="B2926">
        <v>233.25</v>
      </c>
      <c r="E2926">
        <f t="shared" si="90"/>
        <v>5</v>
      </c>
      <c r="F2926">
        <f t="shared" si="91"/>
        <v>2011</v>
      </c>
    </row>
    <row r="2927" spans="1:6" x14ac:dyDescent="0.2">
      <c r="A2927" s="20">
        <v>40680</v>
      </c>
      <c r="B2927">
        <v>234</v>
      </c>
      <c r="E2927">
        <f t="shared" si="90"/>
        <v>5</v>
      </c>
      <c r="F2927">
        <f t="shared" si="91"/>
        <v>2011</v>
      </c>
    </row>
    <row r="2928" spans="1:6" x14ac:dyDescent="0.2">
      <c r="A2928" s="20">
        <v>40681</v>
      </c>
      <c r="B2928">
        <v>238</v>
      </c>
      <c r="E2928">
        <f t="shared" si="90"/>
        <v>5</v>
      </c>
      <c r="F2928">
        <f t="shared" si="91"/>
        <v>2011</v>
      </c>
    </row>
    <row r="2929" spans="1:6" x14ac:dyDescent="0.2">
      <c r="A2929" s="20">
        <v>40682</v>
      </c>
      <c r="B2929">
        <v>235.5</v>
      </c>
      <c r="E2929">
        <f t="shared" si="90"/>
        <v>5</v>
      </c>
      <c r="F2929">
        <f t="shared" si="91"/>
        <v>2011</v>
      </c>
    </row>
    <row r="2930" spans="1:6" x14ac:dyDescent="0.2">
      <c r="A2930" s="20">
        <v>40683</v>
      </c>
      <c r="B2930">
        <v>234.75</v>
      </c>
      <c r="E2930">
        <f t="shared" si="90"/>
        <v>5</v>
      </c>
      <c r="F2930">
        <f t="shared" si="91"/>
        <v>2011</v>
      </c>
    </row>
    <row r="2931" spans="1:6" x14ac:dyDescent="0.2">
      <c r="A2931" s="20">
        <v>40686</v>
      </c>
      <c r="B2931">
        <v>237</v>
      </c>
      <c r="E2931">
        <f t="shared" si="90"/>
        <v>5</v>
      </c>
      <c r="F2931">
        <f t="shared" si="91"/>
        <v>2011</v>
      </c>
    </row>
    <row r="2932" spans="1:6" x14ac:dyDescent="0.2">
      <c r="A2932" s="20">
        <v>40687</v>
      </c>
      <c r="B2932">
        <v>236.5</v>
      </c>
      <c r="E2932">
        <f t="shared" si="90"/>
        <v>5</v>
      </c>
      <c r="F2932">
        <f t="shared" si="91"/>
        <v>2011</v>
      </c>
    </row>
    <row r="2933" spans="1:6" x14ac:dyDescent="0.2">
      <c r="A2933" s="20">
        <v>40688</v>
      </c>
      <c r="B2933">
        <v>239.25</v>
      </c>
      <c r="E2933">
        <f t="shared" si="90"/>
        <v>5</v>
      </c>
      <c r="F2933">
        <f t="shared" si="91"/>
        <v>2011</v>
      </c>
    </row>
    <row r="2934" spans="1:6" x14ac:dyDescent="0.2">
      <c r="A2934" s="20">
        <v>40689</v>
      </c>
      <c r="B2934">
        <v>245.25</v>
      </c>
      <c r="E2934">
        <f t="shared" si="90"/>
        <v>5</v>
      </c>
      <c r="F2934">
        <f t="shared" si="91"/>
        <v>2011</v>
      </c>
    </row>
    <row r="2935" spans="1:6" x14ac:dyDescent="0.2">
      <c r="A2935" s="20">
        <v>40690</v>
      </c>
      <c r="B2935">
        <v>247.25</v>
      </c>
      <c r="E2935">
        <f t="shared" si="90"/>
        <v>5</v>
      </c>
      <c r="F2935">
        <f t="shared" si="91"/>
        <v>2011</v>
      </c>
    </row>
    <row r="2936" spans="1:6" x14ac:dyDescent="0.2">
      <c r="A2936" s="20">
        <v>40693</v>
      </c>
      <c r="B2936">
        <v>247.25</v>
      </c>
      <c r="E2936">
        <f t="shared" si="90"/>
        <v>5</v>
      </c>
      <c r="F2936">
        <f t="shared" si="91"/>
        <v>2011</v>
      </c>
    </row>
    <row r="2937" spans="1:6" x14ac:dyDescent="0.2">
      <c r="A2937" s="20">
        <v>40694</v>
      </c>
      <c r="B2937">
        <v>245.75</v>
      </c>
      <c r="E2937">
        <f t="shared" si="90"/>
        <v>5</v>
      </c>
      <c r="F2937">
        <f t="shared" si="91"/>
        <v>2011</v>
      </c>
    </row>
    <row r="2938" spans="1:6" x14ac:dyDescent="0.2">
      <c r="A2938" s="20">
        <v>40695</v>
      </c>
      <c r="B2938">
        <v>245.5</v>
      </c>
      <c r="E2938">
        <f t="shared" si="90"/>
        <v>6</v>
      </c>
      <c r="F2938">
        <f t="shared" si="91"/>
        <v>2011</v>
      </c>
    </row>
    <row r="2939" spans="1:6" x14ac:dyDescent="0.2">
      <c r="A2939" s="20">
        <v>40696</v>
      </c>
      <c r="B2939">
        <v>247.75</v>
      </c>
      <c r="E2939">
        <f t="shared" si="90"/>
        <v>6</v>
      </c>
      <c r="F2939">
        <f t="shared" si="91"/>
        <v>2011</v>
      </c>
    </row>
    <row r="2940" spans="1:6" x14ac:dyDescent="0.2">
      <c r="A2940" s="20">
        <v>40697</v>
      </c>
      <c r="B2940">
        <v>249</v>
      </c>
      <c r="E2940">
        <f t="shared" si="90"/>
        <v>6</v>
      </c>
      <c r="F2940">
        <f t="shared" si="91"/>
        <v>2011</v>
      </c>
    </row>
    <row r="2941" spans="1:6" x14ac:dyDescent="0.2">
      <c r="A2941" s="20">
        <v>40700</v>
      </c>
      <c r="B2941">
        <v>245.25</v>
      </c>
      <c r="E2941">
        <f t="shared" si="90"/>
        <v>6</v>
      </c>
      <c r="F2941">
        <f t="shared" si="91"/>
        <v>2011</v>
      </c>
    </row>
    <row r="2942" spans="1:6" x14ac:dyDescent="0.2">
      <c r="A2942" s="20">
        <v>40701</v>
      </c>
      <c r="B2942">
        <v>242.25</v>
      </c>
      <c r="E2942">
        <f t="shared" si="90"/>
        <v>6</v>
      </c>
      <c r="F2942">
        <f t="shared" si="91"/>
        <v>2011</v>
      </c>
    </row>
    <row r="2943" spans="1:6" x14ac:dyDescent="0.2">
      <c r="A2943" s="20">
        <v>40702</v>
      </c>
      <c r="B2943">
        <v>246.25</v>
      </c>
      <c r="E2943">
        <f t="shared" si="90"/>
        <v>6</v>
      </c>
      <c r="F2943">
        <f t="shared" si="91"/>
        <v>2011</v>
      </c>
    </row>
    <row r="2944" spans="1:6" x14ac:dyDescent="0.2">
      <c r="A2944" s="20">
        <v>40703</v>
      </c>
      <c r="B2944">
        <v>248.5</v>
      </c>
      <c r="E2944">
        <f t="shared" si="90"/>
        <v>6</v>
      </c>
      <c r="F2944">
        <f t="shared" si="91"/>
        <v>2011</v>
      </c>
    </row>
    <row r="2945" spans="1:6" x14ac:dyDescent="0.2">
      <c r="A2945" s="20">
        <v>40704</v>
      </c>
      <c r="B2945">
        <v>248.75</v>
      </c>
      <c r="E2945">
        <f t="shared" si="90"/>
        <v>6</v>
      </c>
      <c r="F2945">
        <f t="shared" si="91"/>
        <v>2011</v>
      </c>
    </row>
    <row r="2946" spans="1:6" x14ac:dyDescent="0.2">
      <c r="A2946" s="20">
        <v>40707</v>
      </c>
      <c r="B2946">
        <v>246.5</v>
      </c>
      <c r="E2946">
        <f t="shared" si="90"/>
        <v>6</v>
      </c>
      <c r="F2946">
        <f t="shared" si="91"/>
        <v>2011</v>
      </c>
    </row>
    <row r="2947" spans="1:6" x14ac:dyDescent="0.2">
      <c r="A2947" s="20">
        <v>40708</v>
      </c>
      <c r="B2947">
        <v>242</v>
      </c>
      <c r="E2947">
        <f t="shared" ref="E2947:E3010" si="92">MONTH(A2947)</f>
        <v>6</v>
      </c>
      <c r="F2947">
        <f t="shared" ref="F2947:F3010" si="93">YEAR(A2947)</f>
        <v>2011</v>
      </c>
    </row>
    <row r="2948" spans="1:6" x14ac:dyDescent="0.2">
      <c r="A2948" s="20">
        <v>40709</v>
      </c>
      <c r="B2948">
        <v>240.5</v>
      </c>
      <c r="E2948">
        <f t="shared" si="92"/>
        <v>6</v>
      </c>
      <c r="F2948">
        <f t="shared" si="93"/>
        <v>2011</v>
      </c>
    </row>
    <row r="2949" spans="1:6" x14ac:dyDescent="0.2">
      <c r="A2949" s="20">
        <v>40710</v>
      </c>
      <c r="B2949">
        <v>240</v>
      </c>
      <c r="E2949">
        <f t="shared" si="92"/>
        <v>6</v>
      </c>
      <c r="F2949">
        <f t="shared" si="93"/>
        <v>2011</v>
      </c>
    </row>
    <row r="2950" spans="1:6" x14ac:dyDescent="0.2">
      <c r="A2950" s="20">
        <v>40711</v>
      </c>
      <c r="B2950">
        <v>238.5</v>
      </c>
      <c r="E2950">
        <f t="shared" si="92"/>
        <v>6</v>
      </c>
      <c r="F2950">
        <f t="shared" si="93"/>
        <v>2011</v>
      </c>
    </row>
    <row r="2951" spans="1:6" x14ac:dyDescent="0.2">
      <c r="A2951" s="20">
        <v>40714</v>
      </c>
      <c r="B2951">
        <v>236</v>
      </c>
      <c r="E2951">
        <f t="shared" si="92"/>
        <v>6</v>
      </c>
      <c r="F2951">
        <f t="shared" si="93"/>
        <v>2011</v>
      </c>
    </row>
    <row r="2952" spans="1:6" x14ac:dyDescent="0.2">
      <c r="A2952" s="20">
        <v>40715</v>
      </c>
      <c r="B2952">
        <v>238.5</v>
      </c>
      <c r="E2952">
        <f t="shared" si="92"/>
        <v>6</v>
      </c>
      <c r="F2952">
        <f t="shared" si="93"/>
        <v>2011</v>
      </c>
    </row>
    <row r="2953" spans="1:6" x14ac:dyDescent="0.2">
      <c r="A2953" s="20">
        <v>40716</v>
      </c>
      <c r="B2953">
        <v>229.5</v>
      </c>
      <c r="E2953">
        <f t="shared" si="92"/>
        <v>6</v>
      </c>
      <c r="F2953">
        <f t="shared" si="93"/>
        <v>2011</v>
      </c>
    </row>
    <row r="2954" spans="1:6" x14ac:dyDescent="0.2">
      <c r="A2954" s="20">
        <v>40717</v>
      </c>
      <c r="B2954">
        <v>229</v>
      </c>
      <c r="E2954">
        <f t="shared" si="92"/>
        <v>6</v>
      </c>
      <c r="F2954">
        <f t="shared" si="93"/>
        <v>2011</v>
      </c>
    </row>
    <row r="2955" spans="1:6" x14ac:dyDescent="0.2">
      <c r="A2955" s="20">
        <v>40718</v>
      </c>
      <c r="B2955">
        <v>231.75</v>
      </c>
      <c r="E2955">
        <f t="shared" si="92"/>
        <v>6</v>
      </c>
      <c r="F2955">
        <f t="shared" si="93"/>
        <v>2011</v>
      </c>
    </row>
    <row r="2956" spans="1:6" x14ac:dyDescent="0.2">
      <c r="A2956" s="20">
        <v>40721</v>
      </c>
      <c r="B2956">
        <v>231</v>
      </c>
      <c r="E2956">
        <f t="shared" si="92"/>
        <v>6</v>
      </c>
      <c r="F2956">
        <f t="shared" si="93"/>
        <v>2011</v>
      </c>
    </row>
    <row r="2957" spans="1:6" x14ac:dyDescent="0.2">
      <c r="A2957" s="20">
        <v>40722</v>
      </c>
      <c r="B2957">
        <v>234.5</v>
      </c>
      <c r="E2957">
        <f t="shared" si="92"/>
        <v>6</v>
      </c>
      <c r="F2957">
        <f t="shared" si="93"/>
        <v>2011</v>
      </c>
    </row>
    <row r="2958" spans="1:6" x14ac:dyDescent="0.2">
      <c r="A2958" s="20">
        <v>40723</v>
      </c>
      <c r="B2958">
        <v>239</v>
      </c>
      <c r="E2958">
        <f t="shared" si="92"/>
        <v>6</v>
      </c>
      <c r="F2958">
        <f t="shared" si="93"/>
        <v>2011</v>
      </c>
    </row>
    <row r="2959" spans="1:6" x14ac:dyDescent="0.2">
      <c r="A2959" s="20">
        <v>40724</v>
      </c>
      <c r="B2959">
        <v>230</v>
      </c>
      <c r="E2959">
        <f t="shared" si="92"/>
        <v>6</v>
      </c>
      <c r="F2959">
        <f t="shared" si="93"/>
        <v>2011</v>
      </c>
    </row>
    <row r="2960" spans="1:6" x14ac:dyDescent="0.2">
      <c r="A2960" s="20">
        <v>40725</v>
      </c>
      <c r="B2960">
        <v>231.75</v>
      </c>
      <c r="E2960">
        <f t="shared" si="92"/>
        <v>7</v>
      </c>
      <c r="F2960">
        <f t="shared" si="93"/>
        <v>2011</v>
      </c>
    </row>
    <row r="2961" spans="1:6" x14ac:dyDescent="0.2">
      <c r="A2961" s="20">
        <v>40728</v>
      </c>
      <c r="B2961">
        <v>235.75</v>
      </c>
      <c r="E2961">
        <f t="shared" si="92"/>
        <v>7</v>
      </c>
      <c r="F2961">
        <f t="shared" si="93"/>
        <v>2011</v>
      </c>
    </row>
    <row r="2962" spans="1:6" x14ac:dyDescent="0.2">
      <c r="A2962" s="20">
        <v>40729</v>
      </c>
      <c r="B2962">
        <v>237.5</v>
      </c>
      <c r="E2962">
        <f t="shared" si="92"/>
        <v>7</v>
      </c>
      <c r="F2962">
        <f t="shared" si="93"/>
        <v>2011</v>
      </c>
    </row>
    <row r="2963" spans="1:6" x14ac:dyDescent="0.2">
      <c r="A2963" s="20">
        <v>40730</v>
      </c>
      <c r="B2963">
        <v>236.75</v>
      </c>
      <c r="E2963">
        <f t="shared" si="92"/>
        <v>7</v>
      </c>
      <c r="F2963">
        <f t="shared" si="93"/>
        <v>2011</v>
      </c>
    </row>
    <row r="2964" spans="1:6" x14ac:dyDescent="0.2">
      <c r="A2964" s="20">
        <v>40731</v>
      </c>
      <c r="B2964">
        <v>236.25</v>
      </c>
      <c r="E2964">
        <f t="shared" si="92"/>
        <v>7</v>
      </c>
      <c r="F2964">
        <f t="shared" si="93"/>
        <v>2011</v>
      </c>
    </row>
    <row r="2965" spans="1:6" x14ac:dyDescent="0.2">
      <c r="A2965" s="20">
        <v>40732</v>
      </c>
      <c r="B2965">
        <v>236.75</v>
      </c>
      <c r="E2965">
        <f t="shared" si="92"/>
        <v>7</v>
      </c>
      <c r="F2965">
        <f t="shared" si="93"/>
        <v>2011</v>
      </c>
    </row>
    <row r="2966" spans="1:6" x14ac:dyDescent="0.2">
      <c r="A2966" s="20">
        <v>40735</v>
      </c>
      <c r="B2966">
        <v>237</v>
      </c>
      <c r="E2966">
        <f t="shared" si="92"/>
        <v>7</v>
      </c>
      <c r="F2966">
        <f t="shared" si="93"/>
        <v>2011</v>
      </c>
    </row>
    <row r="2967" spans="1:6" x14ac:dyDescent="0.2">
      <c r="A2967" s="20">
        <v>40736</v>
      </c>
      <c r="B2967">
        <v>237.5</v>
      </c>
      <c r="E2967">
        <f t="shared" si="92"/>
        <v>7</v>
      </c>
      <c r="F2967">
        <f t="shared" si="93"/>
        <v>2011</v>
      </c>
    </row>
    <row r="2968" spans="1:6" x14ac:dyDescent="0.2">
      <c r="A2968" s="20">
        <v>40737</v>
      </c>
      <c r="B2968">
        <v>239.75</v>
      </c>
      <c r="E2968">
        <f t="shared" si="92"/>
        <v>7</v>
      </c>
      <c r="F2968">
        <f t="shared" si="93"/>
        <v>2011</v>
      </c>
    </row>
    <row r="2969" spans="1:6" x14ac:dyDescent="0.2">
      <c r="A2969" s="20">
        <v>40738</v>
      </c>
      <c r="B2969">
        <v>239.5</v>
      </c>
      <c r="E2969">
        <f t="shared" si="92"/>
        <v>7</v>
      </c>
      <c r="F2969">
        <f t="shared" si="93"/>
        <v>2011</v>
      </c>
    </row>
    <row r="2970" spans="1:6" x14ac:dyDescent="0.2">
      <c r="A2970" s="20">
        <v>40739</v>
      </c>
      <c r="B2970">
        <v>239.25</v>
      </c>
      <c r="E2970">
        <f t="shared" si="92"/>
        <v>7</v>
      </c>
      <c r="F2970">
        <f t="shared" si="93"/>
        <v>2011</v>
      </c>
    </row>
    <row r="2971" spans="1:6" x14ac:dyDescent="0.2">
      <c r="A2971" s="20">
        <v>40742</v>
      </c>
      <c r="B2971">
        <v>235</v>
      </c>
      <c r="E2971">
        <f t="shared" si="92"/>
        <v>7</v>
      </c>
      <c r="F2971">
        <f t="shared" si="93"/>
        <v>2011</v>
      </c>
    </row>
    <row r="2972" spans="1:6" x14ac:dyDescent="0.2">
      <c r="A2972" s="20">
        <v>40743</v>
      </c>
      <c r="B2972">
        <v>239</v>
      </c>
      <c r="E2972">
        <f t="shared" si="92"/>
        <v>7</v>
      </c>
      <c r="F2972">
        <f t="shared" si="93"/>
        <v>2011</v>
      </c>
    </row>
    <row r="2973" spans="1:6" x14ac:dyDescent="0.2">
      <c r="A2973" s="20">
        <v>40744</v>
      </c>
      <c r="B2973">
        <v>239</v>
      </c>
      <c r="E2973">
        <f t="shared" si="92"/>
        <v>7</v>
      </c>
      <c r="F2973">
        <f t="shared" si="93"/>
        <v>2011</v>
      </c>
    </row>
    <row r="2974" spans="1:6" x14ac:dyDescent="0.2">
      <c r="A2974" s="20">
        <v>40745</v>
      </c>
      <c r="B2974">
        <v>239.5</v>
      </c>
      <c r="E2974">
        <f t="shared" si="92"/>
        <v>7</v>
      </c>
      <c r="F2974">
        <f t="shared" si="93"/>
        <v>2011</v>
      </c>
    </row>
    <row r="2975" spans="1:6" x14ac:dyDescent="0.2">
      <c r="A2975" s="20">
        <v>40746</v>
      </c>
      <c r="B2975">
        <v>238.75</v>
      </c>
      <c r="E2975">
        <f t="shared" si="92"/>
        <v>7</v>
      </c>
      <c r="F2975">
        <f t="shared" si="93"/>
        <v>2011</v>
      </c>
    </row>
    <row r="2976" spans="1:6" x14ac:dyDescent="0.2">
      <c r="A2976" s="20">
        <v>40749</v>
      </c>
      <c r="B2976">
        <v>236</v>
      </c>
      <c r="E2976">
        <f t="shared" si="92"/>
        <v>7</v>
      </c>
      <c r="F2976">
        <f t="shared" si="93"/>
        <v>2011</v>
      </c>
    </row>
    <row r="2977" spans="1:6" x14ac:dyDescent="0.2">
      <c r="A2977" s="20">
        <v>40750</v>
      </c>
      <c r="B2977">
        <v>236.75</v>
      </c>
      <c r="E2977">
        <f t="shared" si="92"/>
        <v>7</v>
      </c>
      <c r="F2977">
        <f t="shared" si="93"/>
        <v>2011</v>
      </c>
    </row>
    <row r="2978" spans="1:6" x14ac:dyDescent="0.2">
      <c r="A2978" s="20">
        <v>40751</v>
      </c>
      <c r="B2978">
        <v>237</v>
      </c>
      <c r="E2978">
        <f t="shared" si="92"/>
        <v>7</v>
      </c>
      <c r="F2978">
        <f t="shared" si="93"/>
        <v>2011</v>
      </c>
    </row>
    <row r="2979" spans="1:6" x14ac:dyDescent="0.2">
      <c r="A2979" s="20">
        <v>40752</v>
      </c>
      <c r="B2979">
        <v>239.25</v>
      </c>
      <c r="E2979">
        <f t="shared" si="92"/>
        <v>7</v>
      </c>
      <c r="F2979">
        <f t="shared" si="93"/>
        <v>2011</v>
      </c>
    </row>
    <row r="2980" spans="1:6" x14ac:dyDescent="0.2">
      <c r="A2980" s="20">
        <v>40753</v>
      </c>
      <c r="B2980">
        <v>238.25</v>
      </c>
      <c r="E2980">
        <f t="shared" si="92"/>
        <v>7</v>
      </c>
      <c r="F2980">
        <f t="shared" si="93"/>
        <v>2011</v>
      </c>
    </row>
    <row r="2981" spans="1:6" x14ac:dyDescent="0.2">
      <c r="A2981" s="20">
        <v>40756</v>
      </c>
      <c r="B2981">
        <v>238.5</v>
      </c>
      <c r="E2981">
        <f t="shared" si="92"/>
        <v>8</v>
      </c>
      <c r="F2981">
        <f t="shared" si="93"/>
        <v>2011</v>
      </c>
    </row>
    <row r="2982" spans="1:6" x14ac:dyDescent="0.2">
      <c r="A2982" s="20">
        <v>40757</v>
      </c>
      <c r="B2982">
        <v>238</v>
      </c>
      <c r="E2982">
        <f t="shared" si="92"/>
        <v>8</v>
      </c>
      <c r="F2982">
        <f t="shared" si="93"/>
        <v>2011</v>
      </c>
    </row>
    <row r="2983" spans="1:6" x14ac:dyDescent="0.2">
      <c r="A2983" s="20">
        <v>40758</v>
      </c>
      <c r="B2983">
        <v>240.5</v>
      </c>
      <c r="E2983">
        <f t="shared" si="92"/>
        <v>8</v>
      </c>
      <c r="F2983">
        <f t="shared" si="93"/>
        <v>2011</v>
      </c>
    </row>
    <row r="2984" spans="1:6" x14ac:dyDescent="0.2">
      <c r="A2984" s="20">
        <v>40759</v>
      </c>
      <c r="B2984">
        <v>241</v>
      </c>
      <c r="E2984">
        <f t="shared" si="92"/>
        <v>8</v>
      </c>
      <c r="F2984">
        <f t="shared" si="93"/>
        <v>2011</v>
      </c>
    </row>
    <row r="2985" spans="1:6" x14ac:dyDescent="0.2">
      <c r="A2985" s="20">
        <v>40760</v>
      </c>
      <c r="B2985">
        <v>234.5</v>
      </c>
      <c r="E2985">
        <f t="shared" si="92"/>
        <v>8</v>
      </c>
      <c r="F2985">
        <f t="shared" si="93"/>
        <v>2011</v>
      </c>
    </row>
    <row r="2986" spans="1:6" x14ac:dyDescent="0.2">
      <c r="A2986" s="20">
        <v>40763</v>
      </c>
      <c r="B2986">
        <v>199.5</v>
      </c>
      <c r="E2986">
        <f t="shared" si="92"/>
        <v>8</v>
      </c>
      <c r="F2986">
        <f t="shared" si="93"/>
        <v>2011</v>
      </c>
    </row>
    <row r="2987" spans="1:6" x14ac:dyDescent="0.2">
      <c r="A2987" s="20">
        <v>40764</v>
      </c>
      <c r="B2987">
        <v>203.5</v>
      </c>
      <c r="E2987">
        <f t="shared" si="92"/>
        <v>8</v>
      </c>
      <c r="F2987">
        <f t="shared" si="93"/>
        <v>2011</v>
      </c>
    </row>
    <row r="2988" spans="1:6" x14ac:dyDescent="0.2">
      <c r="A2988" s="20">
        <v>40765</v>
      </c>
      <c r="B2988">
        <v>204.5</v>
      </c>
      <c r="E2988">
        <f t="shared" si="92"/>
        <v>8</v>
      </c>
      <c r="F2988">
        <f t="shared" si="93"/>
        <v>2011</v>
      </c>
    </row>
    <row r="2989" spans="1:6" x14ac:dyDescent="0.2">
      <c r="A2989" s="20">
        <v>40766</v>
      </c>
      <c r="B2989">
        <v>207.5</v>
      </c>
      <c r="E2989">
        <f t="shared" si="92"/>
        <v>8</v>
      </c>
      <c r="F2989">
        <f t="shared" si="93"/>
        <v>2011</v>
      </c>
    </row>
    <row r="2990" spans="1:6" x14ac:dyDescent="0.2">
      <c r="A2990" s="20">
        <v>40767</v>
      </c>
      <c r="B2990">
        <v>208</v>
      </c>
      <c r="E2990">
        <f t="shared" si="92"/>
        <v>8</v>
      </c>
      <c r="F2990">
        <f t="shared" si="93"/>
        <v>2011</v>
      </c>
    </row>
    <row r="2991" spans="1:6" x14ac:dyDescent="0.2">
      <c r="A2991" s="20">
        <v>40770</v>
      </c>
      <c r="B2991">
        <v>208.5</v>
      </c>
      <c r="E2991">
        <f t="shared" si="92"/>
        <v>8</v>
      </c>
      <c r="F2991">
        <f t="shared" si="93"/>
        <v>2011</v>
      </c>
    </row>
    <row r="2992" spans="1:6" x14ac:dyDescent="0.2">
      <c r="A2992" s="20">
        <v>40771</v>
      </c>
      <c r="B2992">
        <v>209.25</v>
      </c>
      <c r="E2992">
        <f t="shared" si="92"/>
        <v>8</v>
      </c>
      <c r="F2992">
        <f t="shared" si="93"/>
        <v>2011</v>
      </c>
    </row>
    <row r="2993" spans="1:6" x14ac:dyDescent="0.2">
      <c r="A2993" s="20">
        <v>40772</v>
      </c>
      <c r="B2993">
        <v>208.5</v>
      </c>
      <c r="E2993">
        <f t="shared" si="92"/>
        <v>8</v>
      </c>
      <c r="F2993">
        <f t="shared" si="93"/>
        <v>2011</v>
      </c>
    </row>
    <row r="2994" spans="1:6" x14ac:dyDescent="0.2">
      <c r="A2994" s="20">
        <v>40773</v>
      </c>
      <c r="B2994">
        <v>205</v>
      </c>
      <c r="E2994">
        <f t="shared" si="92"/>
        <v>8</v>
      </c>
      <c r="F2994">
        <f t="shared" si="93"/>
        <v>2011</v>
      </c>
    </row>
    <row r="2995" spans="1:6" x14ac:dyDescent="0.2">
      <c r="A2995" s="20">
        <v>40774</v>
      </c>
      <c r="B2995">
        <v>206.75</v>
      </c>
      <c r="E2995">
        <f t="shared" si="92"/>
        <v>8</v>
      </c>
      <c r="F2995">
        <f t="shared" si="93"/>
        <v>2011</v>
      </c>
    </row>
    <row r="2996" spans="1:6" x14ac:dyDescent="0.2">
      <c r="A2996" s="20">
        <v>40777</v>
      </c>
      <c r="B2996">
        <v>207.75</v>
      </c>
      <c r="E2996">
        <f t="shared" si="92"/>
        <v>8</v>
      </c>
      <c r="F2996">
        <f t="shared" si="93"/>
        <v>2011</v>
      </c>
    </row>
    <row r="2997" spans="1:6" x14ac:dyDescent="0.2">
      <c r="A2997" s="20">
        <v>40778</v>
      </c>
      <c r="B2997">
        <v>210</v>
      </c>
      <c r="E2997">
        <f t="shared" si="92"/>
        <v>8</v>
      </c>
      <c r="F2997">
        <f t="shared" si="93"/>
        <v>2011</v>
      </c>
    </row>
    <row r="2998" spans="1:6" x14ac:dyDescent="0.2">
      <c r="A2998" s="20">
        <v>40779</v>
      </c>
      <c r="B2998">
        <v>209.5</v>
      </c>
      <c r="E2998">
        <f t="shared" si="92"/>
        <v>8</v>
      </c>
      <c r="F2998">
        <f t="shared" si="93"/>
        <v>2011</v>
      </c>
    </row>
    <row r="2999" spans="1:6" x14ac:dyDescent="0.2">
      <c r="A2999" s="20">
        <v>40780</v>
      </c>
      <c r="B2999">
        <v>211</v>
      </c>
      <c r="E2999">
        <f t="shared" si="92"/>
        <v>8</v>
      </c>
      <c r="F2999">
        <f t="shared" si="93"/>
        <v>2011</v>
      </c>
    </row>
    <row r="3000" spans="1:6" x14ac:dyDescent="0.2">
      <c r="A3000" s="20">
        <v>40781</v>
      </c>
      <c r="B3000">
        <v>213.5</v>
      </c>
      <c r="E3000">
        <f t="shared" si="92"/>
        <v>8</v>
      </c>
      <c r="F3000">
        <f t="shared" si="93"/>
        <v>2011</v>
      </c>
    </row>
    <row r="3001" spans="1:6" x14ac:dyDescent="0.2">
      <c r="A3001" s="20">
        <v>40784</v>
      </c>
      <c r="B3001">
        <v>216</v>
      </c>
      <c r="E3001">
        <f t="shared" si="92"/>
        <v>8</v>
      </c>
      <c r="F3001">
        <f t="shared" si="93"/>
        <v>2011</v>
      </c>
    </row>
    <row r="3002" spans="1:6" x14ac:dyDescent="0.2">
      <c r="A3002" s="20">
        <v>40785</v>
      </c>
      <c r="B3002">
        <v>214.75</v>
      </c>
      <c r="E3002">
        <f t="shared" si="92"/>
        <v>8</v>
      </c>
      <c r="F3002">
        <f t="shared" si="93"/>
        <v>2011</v>
      </c>
    </row>
    <row r="3003" spans="1:6" x14ac:dyDescent="0.2">
      <c r="A3003" s="20">
        <v>40786</v>
      </c>
      <c r="B3003">
        <v>214.5</v>
      </c>
      <c r="E3003">
        <f t="shared" si="92"/>
        <v>8</v>
      </c>
      <c r="F3003">
        <f t="shared" si="93"/>
        <v>2011</v>
      </c>
    </row>
    <row r="3004" spans="1:6" x14ac:dyDescent="0.2">
      <c r="A3004" s="20">
        <v>40787</v>
      </c>
      <c r="B3004">
        <v>213</v>
      </c>
      <c r="E3004">
        <f t="shared" si="92"/>
        <v>9</v>
      </c>
      <c r="F3004">
        <f t="shared" si="93"/>
        <v>2011</v>
      </c>
    </row>
    <row r="3005" spans="1:6" x14ac:dyDescent="0.2">
      <c r="A3005" s="20">
        <v>40788</v>
      </c>
      <c r="B3005">
        <v>213.25</v>
      </c>
      <c r="E3005">
        <f t="shared" si="92"/>
        <v>9</v>
      </c>
      <c r="F3005">
        <f t="shared" si="93"/>
        <v>2011</v>
      </c>
    </row>
    <row r="3006" spans="1:6" x14ac:dyDescent="0.2">
      <c r="A3006" s="20">
        <v>40791</v>
      </c>
      <c r="B3006">
        <v>211.75</v>
      </c>
      <c r="E3006">
        <f t="shared" si="92"/>
        <v>9</v>
      </c>
      <c r="F3006">
        <f t="shared" si="93"/>
        <v>2011</v>
      </c>
    </row>
    <row r="3007" spans="1:6" x14ac:dyDescent="0.2">
      <c r="A3007" s="20">
        <v>40792</v>
      </c>
      <c r="B3007">
        <v>210.5</v>
      </c>
      <c r="E3007">
        <f t="shared" si="92"/>
        <v>9</v>
      </c>
      <c r="F3007">
        <f t="shared" si="93"/>
        <v>2011</v>
      </c>
    </row>
    <row r="3008" spans="1:6" x14ac:dyDescent="0.2">
      <c r="A3008" s="20">
        <v>40793</v>
      </c>
      <c r="B3008">
        <v>212</v>
      </c>
      <c r="E3008">
        <f t="shared" si="92"/>
        <v>9</v>
      </c>
      <c r="F3008">
        <f t="shared" si="93"/>
        <v>2011</v>
      </c>
    </row>
    <row r="3009" spans="1:6" x14ac:dyDescent="0.2">
      <c r="A3009" s="20">
        <v>40794</v>
      </c>
      <c r="B3009">
        <v>211.75</v>
      </c>
      <c r="E3009">
        <f t="shared" si="92"/>
        <v>9</v>
      </c>
      <c r="F3009">
        <f t="shared" si="93"/>
        <v>2011</v>
      </c>
    </row>
    <row r="3010" spans="1:6" x14ac:dyDescent="0.2">
      <c r="A3010" s="20">
        <v>40795</v>
      </c>
      <c r="B3010">
        <v>210.75</v>
      </c>
      <c r="E3010">
        <f t="shared" si="92"/>
        <v>9</v>
      </c>
      <c r="F3010">
        <f t="shared" si="93"/>
        <v>2011</v>
      </c>
    </row>
    <row r="3011" spans="1:6" x14ac:dyDescent="0.2">
      <c r="A3011" s="20">
        <v>40798</v>
      </c>
      <c r="B3011">
        <v>213</v>
      </c>
      <c r="E3011">
        <f t="shared" ref="E3011:E3074" si="94">MONTH(A3011)</f>
        <v>9</v>
      </c>
      <c r="F3011">
        <f t="shared" ref="F3011:F3074" si="95">YEAR(A3011)</f>
        <v>2011</v>
      </c>
    </row>
    <row r="3012" spans="1:6" x14ac:dyDescent="0.2">
      <c r="A3012" s="20">
        <v>40799</v>
      </c>
      <c r="B3012">
        <v>210.5</v>
      </c>
      <c r="E3012">
        <f t="shared" si="94"/>
        <v>9</v>
      </c>
      <c r="F3012">
        <f t="shared" si="95"/>
        <v>2011</v>
      </c>
    </row>
    <row r="3013" spans="1:6" x14ac:dyDescent="0.2">
      <c r="A3013" s="20">
        <v>40800</v>
      </c>
      <c r="B3013">
        <v>209.5</v>
      </c>
      <c r="E3013">
        <f t="shared" si="94"/>
        <v>9</v>
      </c>
      <c r="F3013">
        <f t="shared" si="95"/>
        <v>2011</v>
      </c>
    </row>
    <row r="3014" spans="1:6" x14ac:dyDescent="0.2">
      <c r="A3014" s="20">
        <v>40801</v>
      </c>
      <c r="B3014">
        <v>204.5</v>
      </c>
      <c r="E3014">
        <f t="shared" si="94"/>
        <v>9</v>
      </c>
      <c r="F3014">
        <f t="shared" si="95"/>
        <v>2011</v>
      </c>
    </row>
    <row r="3015" spans="1:6" x14ac:dyDescent="0.2">
      <c r="A3015" s="20">
        <v>40802</v>
      </c>
      <c r="B3015">
        <v>205</v>
      </c>
      <c r="E3015">
        <f t="shared" si="94"/>
        <v>9</v>
      </c>
      <c r="F3015">
        <f t="shared" si="95"/>
        <v>2011</v>
      </c>
    </row>
    <row r="3016" spans="1:6" x14ac:dyDescent="0.2">
      <c r="A3016" s="20">
        <v>40805</v>
      </c>
      <c r="B3016">
        <v>202.25</v>
      </c>
      <c r="E3016">
        <f t="shared" si="94"/>
        <v>9</v>
      </c>
      <c r="F3016">
        <f t="shared" si="95"/>
        <v>2011</v>
      </c>
    </row>
    <row r="3017" spans="1:6" x14ac:dyDescent="0.2">
      <c r="A3017" s="20">
        <v>40806</v>
      </c>
      <c r="B3017">
        <v>204</v>
      </c>
      <c r="E3017">
        <f t="shared" si="94"/>
        <v>9</v>
      </c>
      <c r="F3017">
        <f t="shared" si="95"/>
        <v>2011</v>
      </c>
    </row>
    <row r="3018" spans="1:6" x14ac:dyDescent="0.2">
      <c r="A3018" s="20">
        <v>40807</v>
      </c>
      <c r="B3018">
        <v>203.5</v>
      </c>
      <c r="E3018">
        <f t="shared" si="94"/>
        <v>9</v>
      </c>
      <c r="F3018">
        <f t="shared" si="95"/>
        <v>2011</v>
      </c>
    </row>
    <row r="3019" spans="1:6" x14ac:dyDescent="0.2">
      <c r="A3019" s="20">
        <v>40808</v>
      </c>
      <c r="B3019">
        <v>199</v>
      </c>
      <c r="E3019">
        <f t="shared" si="94"/>
        <v>9</v>
      </c>
      <c r="F3019">
        <f t="shared" si="95"/>
        <v>2011</v>
      </c>
    </row>
    <row r="3020" spans="1:6" x14ac:dyDescent="0.2">
      <c r="A3020" s="20">
        <v>40809</v>
      </c>
      <c r="B3020">
        <v>196</v>
      </c>
      <c r="E3020">
        <f t="shared" si="94"/>
        <v>9</v>
      </c>
      <c r="F3020">
        <f t="shared" si="95"/>
        <v>2011</v>
      </c>
    </row>
    <row r="3021" spans="1:6" x14ac:dyDescent="0.2">
      <c r="A3021" s="20">
        <v>40812</v>
      </c>
      <c r="B3021">
        <v>197.25</v>
      </c>
      <c r="E3021">
        <f t="shared" si="94"/>
        <v>9</v>
      </c>
      <c r="F3021">
        <f t="shared" si="95"/>
        <v>2011</v>
      </c>
    </row>
    <row r="3022" spans="1:6" x14ac:dyDescent="0.2">
      <c r="A3022" s="20">
        <v>40813</v>
      </c>
      <c r="B3022">
        <v>198.75</v>
      </c>
      <c r="E3022">
        <f t="shared" si="94"/>
        <v>9</v>
      </c>
      <c r="F3022">
        <f t="shared" si="95"/>
        <v>2011</v>
      </c>
    </row>
    <row r="3023" spans="1:6" x14ac:dyDescent="0.2">
      <c r="A3023" s="20">
        <v>40814</v>
      </c>
      <c r="B3023">
        <v>195.25</v>
      </c>
      <c r="E3023">
        <f t="shared" si="94"/>
        <v>9</v>
      </c>
      <c r="F3023">
        <f t="shared" si="95"/>
        <v>2011</v>
      </c>
    </row>
    <row r="3024" spans="1:6" x14ac:dyDescent="0.2">
      <c r="A3024" s="20">
        <v>40815</v>
      </c>
      <c r="B3024">
        <v>194</v>
      </c>
      <c r="E3024">
        <f t="shared" si="94"/>
        <v>9</v>
      </c>
      <c r="F3024">
        <f t="shared" si="95"/>
        <v>2011</v>
      </c>
    </row>
    <row r="3025" spans="1:6" x14ac:dyDescent="0.2">
      <c r="A3025" s="20">
        <v>40816</v>
      </c>
      <c r="B3025">
        <v>187.25</v>
      </c>
      <c r="E3025">
        <f t="shared" si="94"/>
        <v>9</v>
      </c>
      <c r="F3025">
        <f t="shared" si="95"/>
        <v>2011</v>
      </c>
    </row>
    <row r="3026" spans="1:6" x14ac:dyDescent="0.2">
      <c r="A3026" s="20">
        <v>40819</v>
      </c>
      <c r="B3026">
        <v>187</v>
      </c>
      <c r="E3026">
        <f t="shared" si="94"/>
        <v>10</v>
      </c>
      <c r="F3026">
        <f t="shared" si="95"/>
        <v>2011</v>
      </c>
    </row>
    <row r="3027" spans="1:6" x14ac:dyDescent="0.2">
      <c r="A3027" s="20">
        <v>40820</v>
      </c>
      <c r="B3027">
        <v>183</v>
      </c>
      <c r="E3027">
        <f t="shared" si="94"/>
        <v>10</v>
      </c>
      <c r="F3027">
        <f t="shared" si="95"/>
        <v>2011</v>
      </c>
    </row>
    <row r="3028" spans="1:6" x14ac:dyDescent="0.2">
      <c r="A3028" s="20">
        <v>40821</v>
      </c>
      <c r="B3028">
        <v>185.75</v>
      </c>
      <c r="E3028">
        <f t="shared" si="94"/>
        <v>10</v>
      </c>
      <c r="F3028">
        <f t="shared" si="95"/>
        <v>2011</v>
      </c>
    </row>
    <row r="3029" spans="1:6" x14ac:dyDescent="0.2">
      <c r="A3029" s="20">
        <v>40822</v>
      </c>
      <c r="B3029">
        <v>188.75</v>
      </c>
      <c r="E3029">
        <f t="shared" si="94"/>
        <v>10</v>
      </c>
      <c r="F3029">
        <f t="shared" si="95"/>
        <v>2011</v>
      </c>
    </row>
    <row r="3030" spans="1:6" x14ac:dyDescent="0.2">
      <c r="A3030" s="20">
        <v>40823</v>
      </c>
      <c r="B3030">
        <v>184.75</v>
      </c>
      <c r="E3030">
        <f t="shared" si="94"/>
        <v>10</v>
      </c>
      <c r="F3030">
        <f t="shared" si="95"/>
        <v>2011</v>
      </c>
    </row>
    <row r="3031" spans="1:6" x14ac:dyDescent="0.2">
      <c r="A3031" s="20">
        <v>40826</v>
      </c>
      <c r="B3031">
        <v>184</v>
      </c>
      <c r="E3031">
        <f t="shared" si="94"/>
        <v>10</v>
      </c>
      <c r="F3031">
        <f t="shared" si="95"/>
        <v>2011</v>
      </c>
    </row>
    <row r="3032" spans="1:6" x14ac:dyDescent="0.2">
      <c r="A3032" s="20">
        <v>40827</v>
      </c>
      <c r="B3032">
        <v>188.75</v>
      </c>
      <c r="E3032">
        <f t="shared" si="94"/>
        <v>10</v>
      </c>
      <c r="F3032">
        <f t="shared" si="95"/>
        <v>2011</v>
      </c>
    </row>
    <row r="3033" spans="1:6" x14ac:dyDescent="0.2">
      <c r="A3033" s="20">
        <v>40828</v>
      </c>
      <c r="B3033">
        <v>187.5</v>
      </c>
      <c r="E3033">
        <f t="shared" si="94"/>
        <v>10</v>
      </c>
      <c r="F3033">
        <f t="shared" si="95"/>
        <v>2011</v>
      </c>
    </row>
    <row r="3034" spans="1:6" x14ac:dyDescent="0.2">
      <c r="A3034" s="20">
        <v>40829</v>
      </c>
      <c r="B3034">
        <v>183</v>
      </c>
      <c r="E3034">
        <f t="shared" si="94"/>
        <v>10</v>
      </c>
      <c r="F3034">
        <f t="shared" si="95"/>
        <v>2011</v>
      </c>
    </row>
    <row r="3035" spans="1:6" x14ac:dyDescent="0.2">
      <c r="A3035" s="20">
        <v>40830</v>
      </c>
      <c r="B3035">
        <v>186.25</v>
      </c>
      <c r="E3035">
        <f t="shared" si="94"/>
        <v>10</v>
      </c>
      <c r="F3035">
        <f t="shared" si="95"/>
        <v>2011</v>
      </c>
    </row>
    <row r="3036" spans="1:6" x14ac:dyDescent="0.2">
      <c r="A3036" s="20">
        <v>40833</v>
      </c>
      <c r="B3036">
        <v>186.75</v>
      </c>
      <c r="E3036">
        <f t="shared" si="94"/>
        <v>10</v>
      </c>
      <c r="F3036">
        <f t="shared" si="95"/>
        <v>2011</v>
      </c>
    </row>
    <row r="3037" spans="1:6" x14ac:dyDescent="0.2">
      <c r="A3037" s="20">
        <v>40834</v>
      </c>
      <c r="B3037">
        <v>186</v>
      </c>
      <c r="E3037">
        <f t="shared" si="94"/>
        <v>10</v>
      </c>
      <c r="F3037">
        <f t="shared" si="95"/>
        <v>2011</v>
      </c>
    </row>
    <row r="3038" spans="1:6" x14ac:dyDescent="0.2">
      <c r="A3038" s="20">
        <v>40835</v>
      </c>
      <c r="B3038">
        <v>185.5</v>
      </c>
      <c r="E3038">
        <f t="shared" si="94"/>
        <v>10</v>
      </c>
      <c r="F3038">
        <f t="shared" si="95"/>
        <v>2011</v>
      </c>
    </row>
    <row r="3039" spans="1:6" x14ac:dyDescent="0.2">
      <c r="A3039" s="20">
        <v>40836</v>
      </c>
      <c r="B3039">
        <v>184.75</v>
      </c>
      <c r="E3039">
        <f t="shared" si="94"/>
        <v>10</v>
      </c>
      <c r="F3039">
        <f t="shared" si="95"/>
        <v>2011</v>
      </c>
    </row>
    <row r="3040" spans="1:6" x14ac:dyDescent="0.2">
      <c r="A3040" s="20">
        <v>40837</v>
      </c>
      <c r="B3040">
        <v>187</v>
      </c>
      <c r="E3040">
        <f t="shared" si="94"/>
        <v>10</v>
      </c>
      <c r="F3040">
        <f t="shared" si="95"/>
        <v>2011</v>
      </c>
    </row>
    <row r="3041" spans="1:6" x14ac:dyDescent="0.2">
      <c r="A3041" s="20">
        <v>40840</v>
      </c>
      <c r="B3041">
        <v>188.5</v>
      </c>
      <c r="E3041">
        <f t="shared" si="94"/>
        <v>10</v>
      </c>
      <c r="F3041">
        <f t="shared" si="95"/>
        <v>2011</v>
      </c>
    </row>
    <row r="3042" spans="1:6" x14ac:dyDescent="0.2">
      <c r="A3042" s="20">
        <v>40841</v>
      </c>
      <c r="B3042">
        <v>189.5</v>
      </c>
      <c r="E3042">
        <f t="shared" si="94"/>
        <v>10</v>
      </c>
      <c r="F3042">
        <f t="shared" si="95"/>
        <v>2011</v>
      </c>
    </row>
    <row r="3043" spans="1:6" x14ac:dyDescent="0.2">
      <c r="A3043" s="20">
        <v>40842</v>
      </c>
      <c r="B3043">
        <v>188.75</v>
      </c>
      <c r="E3043">
        <f t="shared" si="94"/>
        <v>10</v>
      </c>
      <c r="F3043">
        <f t="shared" si="95"/>
        <v>2011</v>
      </c>
    </row>
    <row r="3044" spans="1:6" x14ac:dyDescent="0.2">
      <c r="A3044" s="20">
        <v>40843</v>
      </c>
      <c r="B3044">
        <v>188.5</v>
      </c>
      <c r="E3044">
        <f t="shared" si="94"/>
        <v>10</v>
      </c>
      <c r="F3044">
        <f t="shared" si="95"/>
        <v>2011</v>
      </c>
    </row>
    <row r="3045" spans="1:6" x14ac:dyDescent="0.2">
      <c r="A3045" s="20">
        <v>40844</v>
      </c>
      <c r="B3045">
        <v>188.25</v>
      </c>
      <c r="E3045">
        <f t="shared" si="94"/>
        <v>10</v>
      </c>
      <c r="F3045">
        <f t="shared" si="95"/>
        <v>2011</v>
      </c>
    </row>
    <row r="3046" spans="1:6" x14ac:dyDescent="0.2">
      <c r="A3046" s="20">
        <v>40847</v>
      </c>
      <c r="B3046">
        <v>191.75</v>
      </c>
      <c r="E3046">
        <f t="shared" si="94"/>
        <v>10</v>
      </c>
      <c r="F3046">
        <f t="shared" si="95"/>
        <v>2011</v>
      </c>
    </row>
    <row r="3047" spans="1:6" x14ac:dyDescent="0.2">
      <c r="A3047" s="20">
        <v>40848</v>
      </c>
      <c r="B3047">
        <v>193.5</v>
      </c>
      <c r="E3047">
        <f t="shared" si="94"/>
        <v>11</v>
      </c>
      <c r="F3047">
        <f t="shared" si="95"/>
        <v>2011</v>
      </c>
    </row>
    <row r="3048" spans="1:6" x14ac:dyDescent="0.2">
      <c r="A3048" s="20">
        <v>40849</v>
      </c>
      <c r="B3048">
        <v>190.25</v>
      </c>
      <c r="E3048">
        <f t="shared" si="94"/>
        <v>11</v>
      </c>
      <c r="F3048">
        <f t="shared" si="95"/>
        <v>2011</v>
      </c>
    </row>
    <row r="3049" spans="1:6" x14ac:dyDescent="0.2">
      <c r="A3049" s="20">
        <v>40850</v>
      </c>
      <c r="B3049">
        <v>188.75</v>
      </c>
      <c r="E3049">
        <f t="shared" si="94"/>
        <v>11</v>
      </c>
      <c r="F3049">
        <f t="shared" si="95"/>
        <v>2011</v>
      </c>
    </row>
    <row r="3050" spans="1:6" x14ac:dyDescent="0.2">
      <c r="A3050" s="20">
        <v>40851</v>
      </c>
      <c r="B3050">
        <v>186.5</v>
      </c>
      <c r="E3050">
        <f t="shared" si="94"/>
        <v>11</v>
      </c>
      <c r="F3050">
        <f t="shared" si="95"/>
        <v>2011</v>
      </c>
    </row>
    <row r="3051" spans="1:6" x14ac:dyDescent="0.2">
      <c r="A3051" s="20">
        <v>40854</v>
      </c>
      <c r="B3051">
        <v>188.5</v>
      </c>
      <c r="E3051">
        <f t="shared" si="94"/>
        <v>11</v>
      </c>
      <c r="F3051">
        <f t="shared" si="95"/>
        <v>2011</v>
      </c>
    </row>
    <row r="3052" spans="1:6" x14ac:dyDescent="0.2">
      <c r="A3052" s="20">
        <v>40855</v>
      </c>
      <c r="B3052">
        <v>189.25</v>
      </c>
      <c r="E3052">
        <f t="shared" si="94"/>
        <v>11</v>
      </c>
      <c r="F3052">
        <f t="shared" si="95"/>
        <v>2011</v>
      </c>
    </row>
    <row r="3053" spans="1:6" x14ac:dyDescent="0.2">
      <c r="A3053" s="20">
        <v>40856</v>
      </c>
      <c r="B3053">
        <v>190.25</v>
      </c>
      <c r="E3053">
        <f t="shared" si="94"/>
        <v>11</v>
      </c>
      <c r="F3053">
        <f t="shared" si="95"/>
        <v>2011</v>
      </c>
    </row>
    <row r="3054" spans="1:6" x14ac:dyDescent="0.2">
      <c r="A3054" s="20">
        <v>40857</v>
      </c>
      <c r="B3054">
        <v>189.25</v>
      </c>
      <c r="E3054">
        <f t="shared" si="94"/>
        <v>11</v>
      </c>
      <c r="F3054">
        <f t="shared" si="95"/>
        <v>2011</v>
      </c>
    </row>
    <row r="3055" spans="1:6" x14ac:dyDescent="0.2">
      <c r="A3055" s="20">
        <v>40858</v>
      </c>
      <c r="B3055">
        <v>187.5</v>
      </c>
      <c r="E3055">
        <f t="shared" si="94"/>
        <v>11</v>
      </c>
      <c r="F3055">
        <f t="shared" si="95"/>
        <v>2011</v>
      </c>
    </row>
    <row r="3056" spans="1:6" x14ac:dyDescent="0.2">
      <c r="A3056" s="20">
        <v>40861</v>
      </c>
      <c r="B3056">
        <v>187</v>
      </c>
      <c r="E3056">
        <f t="shared" si="94"/>
        <v>11</v>
      </c>
      <c r="F3056">
        <f t="shared" si="95"/>
        <v>2011</v>
      </c>
    </row>
    <row r="3057" spans="1:6" x14ac:dyDescent="0.2">
      <c r="A3057" s="20">
        <v>40862</v>
      </c>
      <c r="B3057">
        <v>187.5</v>
      </c>
      <c r="E3057">
        <f t="shared" si="94"/>
        <v>11</v>
      </c>
      <c r="F3057">
        <f t="shared" si="95"/>
        <v>2011</v>
      </c>
    </row>
    <row r="3058" spans="1:6" x14ac:dyDescent="0.2">
      <c r="A3058" s="20">
        <v>40863</v>
      </c>
      <c r="B3058">
        <v>187.25</v>
      </c>
      <c r="E3058">
        <f t="shared" si="94"/>
        <v>11</v>
      </c>
      <c r="F3058">
        <f t="shared" si="95"/>
        <v>2011</v>
      </c>
    </row>
    <row r="3059" spans="1:6" x14ac:dyDescent="0.2">
      <c r="A3059" s="20">
        <v>40864</v>
      </c>
      <c r="B3059">
        <v>184</v>
      </c>
      <c r="E3059">
        <f t="shared" si="94"/>
        <v>11</v>
      </c>
      <c r="F3059">
        <f t="shared" si="95"/>
        <v>2011</v>
      </c>
    </row>
    <row r="3060" spans="1:6" x14ac:dyDescent="0.2">
      <c r="A3060" s="20">
        <v>40865</v>
      </c>
      <c r="B3060">
        <v>181.5</v>
      </c>
      <c r="E3060">
        <f t="shared" si="94"/>
        <v>11</v>
      </c>
      <c r="F3060">
        <f t="shared" si="95"/>
        <v>2011</v>
      </c>
    </row>
    <row r="3061" spans="1:6" x14ac:dyDescent="0.2">
      <c r="A3061" s="20">
        <v>40868</v>
      </c>
      <c r="B3061">
        <v>179.5</v>
      </c>
      <c r="E3061">
        <f t="shared" si="94"/>
        <v>11</v>
      </c>
      <c r="F3061">
        <f t="shared" si="95"/>
        <v>2011</v>
      </c>
    </row>
    <row r="3062" spans="1:6" x14ac:dyDescent="0.2">
      <c r="A3062" s="20">
        <v>40869</v>
      </c>
      <c r="B3062">
        <v>178.5</v>
      </c>
      <c r="E3062">
        <f t="shared" si="94"/>
        <v>11</v>
      </c>
      <c r="F3062">
        <f t="shared" si="95"/>
        <v>2011</v>
      </c>
    </row>
    <row r="3063" spans="1:6" x14ac:dyDescent="0.2">
      <c r="A3063" s="20">
        <v>40870</v>
      </c>
      <c r="B3063">
        <v>175.25</v>
      </c>
      <c r="E3063">
        <f t="shared" si="94"/>
        <v>11</v>
      </c>
      <c r="F3063">
        <f t="shared" si="95"/>
        <v>2011</v>
      </c>
    </row>
    <row r="3064" spans="1:6" x14ac:dyDescent="0.2">
      <c r="A3064" s="20">
        <v>40871</v>
      </c>
      <c r="B3064">
        <v>176.25</v>
      </c>
      <c r="E3064">
        <f t="shared" si="94"/>
        <v>11</v>
      </c>
      <c r="F3064">
        <f t="shared" si="95"/>
        <v>2011</v>
      </c>
    </row>
    <row r="3065" spans="1:6" x14ac:dyDescent="0.2">
      <c r="A3065" s="20">
        <v>40872</v>
      </c>
      <c r="B3065">
        <v>179.5</v>
      </c>
      <c r="E3065">
        <f t="shared" si="94"/>
        <v>11</v>
      </c>
      <c r="F3065">
        <f t="shared" si="95"/>
        <v>2011</v>
      </c>
    </row>
    <row r="3066" spans="1:6" x14ac:dyDescent="0.2">
      <c r="A3066" s="20">
        <v>40875</v>
      </c>
      <c r="B3066">
        <v>181.25</v>
      </c>
      <c r="E3066">
        <f t="shared" si="94"/>
        <v>11</v>
      </c>
      <c r="F3066">
        <f t="shared" si="95"/>
        <v>2011</v>
      </c>
    </row>
    <row r="3067" spans="1:6" x14ac:dyDescent="0.2">
      <c r="A3067" s="20">
        <v>40876</v>
      </c>
      <c r="B3067">
        <v>184.5</v>
      </c>
      <c r="E3067">
        <f t="shared" si="94"/>
        <v>11</v>
      </c>
      <c r="F3067">
        <f t="shared" si="95"/>
        <v>2011</v>
      </c>
    </row>
    <row r="3068" spans="1:6" x14ac:dyDescent="0.2">
      <c r="A3068" s="20">
        <v>40877</v>
      </c>
      <c r="B3068">
        <v>183.5</v>
      </c>
      <c r="E3068">
        <f t="shared" si="94"/>
        <v>11</v>
      </c>
      <c r="F3068">
        <f t="shared" si="95"/>
        <v>2011</v>
      </c>
    </row>
    <row r="3069" spans="1:6" x14ac:dyDescent="0.2">
      <c r="A3069" s="20">
        <v>40878</v>
      </c>
      <c r="B3069">
        <v>182.5</v>
      </c>
      <c r="E3069">
        <f t="shared" si="94"/>
        <v>12</v>
      </c>
      <c r="F3069">
        <f t="shared" si="95"/>
        <v>2011</v>
      </c>
    </row>
    <row r="3070" spans="1:6" x14ac:dyDescent="0.2">
      <c r="A3070" s="20">
        <v>40879</v>
      </c>
      <c r="B3070">
        <v>183.5</v>
      </c>
      <c r="E3070">
        <f t="shared" si="94"/>
        <v>12</v>
      </c>
      <c r="F3070">
        <f t="shared" si="95"/>
        <v>2011</v>
      </c>
    </row>
    <row r="3071" spans="1:6" x14ac:dyDescent="0.2">
      <c r="A3071" s="20">
        <v>40882</v>
      </c>
      <c r="B3071">
        <v>183</v>
      </c>
      <c r="E3071">
        <f t="shared" si="94"/>
        <v>12</v>
      </c>
      <c r="F3071">
        <f t="shared" si="95"/>
        <v>2011</v>
      </c>
    </row>
    <row r="3072" spans="1:6" x14ac:dyDescent="0.2">
      <c r="A3072" s="20">
        <v>40883</v>
      </c>
      <c r="B3072">
        <v>183.5</v>
      </c>
      <c r="E3072">
        <f t="shared" si="94"/>
        <v>12</v>
      </c>
      <c r="F3072">
        <f t="shared" si="95"/>
        <v>2011</v>
      </c>
    </row>
    <row r="3073" spans="1:6" x14ac:dyDescent="0.2">
      <c r="A3073" s="20">
        <v>40884</v>
      </c>
      <c r="B3073">
        <v>183.5</v>
      </c>
      <c r="E3073">
        <f t="shared" si="94"/>
        <v>12</v>
      </c>
      <c r="F3073">
        <f t="shared" si="95"/>
        <v>2011</v>
      </c>
    </row>
    <row r="3074" spans="1:6" x14ac:dyDescent="0.2">
      <c r="A3074" s="20">
        <v>40885</v>
      </c>
      <c r="B3074">
        <v>183.25</v>
      </c>
      <c r="E3074">
        <f t="shared" si="94"/>
        <v>12</v>
      </c>
      <c r="F3074">
        <f t="shared" si="95"/>
        <v>2011</v>
      </c>
    </row>
    <row r="3075" spans="1:6" x14ac:dyDescent="0.2">
      <c r="A3075" s="20">
        <v>40886</v>
      </c>
      <c r="B3075">
        <v>182</v>
      </c>
      <c r="E3075">
        <f t="shared" ref="E3075:E3138" si="96">MONTH(A3075)</f>
        <v>12</v>
      </c>
      <c r="F3075">
        <f t="shared" ref="F3075:F3138" si="97">YEAR(A3075)</f>
        <v>2011</v>
      </c>
    </row>
    <row r="3076" spans="1:6" x14ac:dyDescent="0.2">
      <c r="A3076" s="20">
        <v>40889</v>
      </c>
      <c r="B3076">
        <v>182</v>
      </c>
      <c r="E3076">
        <f t="shared" si="96"/>
        <v>12</v>
      </c>
      <c r="F3076">
        <f t="shared" si="97"/>
        <v>2011</v>
      </c>
    </row>
    <row r="3077" spans="1:6" x14ac:dyDescent="0.2">
      <c r="A3077" s="20">
        <v>40890</v>
      </c>
      <c r="B3077">
        <v>184</v>
      </c>
      <c r="E3077">
        <f t="shared" si="96"/>
        <v>12</v>
      </c>
      <c r="F3077">
        <f t="shared" si="97"/>
        <v>2011</v>
      </c>
    </row>
    <row r="3078" spans="1:6" x14ac:dyDescent="0.2">
      <c r="A3078" s="20">
        <v>40891</v>
      </c>
      <c r="B3078">
        <v>183.75</v>
      </c>
      <c r="E3078">
        <f t="shared" si="96"/>
        <v>12</v>
      </c>
      <c r="F3078">
        <f t="shared" si="97"/>
        <v>2011</v>
      </c>
    </row>
    <row r="3079" spans="1:6" x14ac:dyDescent="0.2">
      <c r="A3079" s="20">
        <v>40892</v>
      </c>
      <c r="B3079">
        <v>184</v>
      </c>
      <c r="E3079">
        <f t="shared" si="96"/>
        <v>12</v>
      </c>
      <c r="F3079">
        <f t="shared" si="97"/>
        <v>2011</v>
      </c>
    </row>
    <row r="3080" spans="1:6" x14ac:dyDescent="0.2">
      <c r="A3080" s="20">
        <v>40893</v>
      </c>
      <c r="B3080">
        <v>184</v>
      </c>
      <c r="E3080">
        <f t="shared" si="96"/>
        <v>12</v>
      </c>
      <c r="F3080">
        <f t="shared" si="97"/>
        <v>2011</v>
      </c>
    </row>
    <row r="3081" spans="1:6" x14ac:dyDescent="0.2">
      <c r="A3081" s="20">
        <v>40896</v>
      </c>
      <c r="B3081">
        <v>187.5</v>
      </c>
      <c r="E3081">
        <f t="shared" si="96"/>
        <v>12</v>
      </c>
      <c r="F3081">
        <f t="shared" si="97"/>
        <v>2011</v>
      </c>
    </row>
    <row r="3082" spans="1:6" x14ac:dyDescent="0.2">
      <c r="A3082" s="20">
        <v>40897</v>
      </c>
      <c r="B3082">
        <v>187</v>
      </c>
      <c r="E3082">
        <f t="shared" si="96"/>
        <v>12</v>
      </c>
      <c r="F3082">
        <f t="shared" si="97"/>
        <v>2011</v>
      </c>
    </row>
    <row r="3083" spans="1:6" x14ac:dyDescent="0.2">
      <c r="A3083" s="20">
        <v>40898</v>
      </c>
      <c r="B3083">
        <v>188.5</v>
      </c>
      <c r="E3083">
        <f t="shared" si="96"/>
        <v>12</v>
      </c>
      <c r="F3083">
        <f t="shared" si="97"/>
        <v>2011</v>
      </c>
    </row>
    <row r="3084" spans="1:6" x14ac:dyDescent="0.2">
      <c r="A3084" s="20">
        <v>40899</v>
      </c>
      <c r="B3084">
        <v>190</v>
      </c>
      <c r="E3084">
        <f t="shared" si="96"/>
        <v>12</v>
      </c>
      <c r="F3084">
        <f t="shared" si="97"/>
        <v>2011</v>
      </c>
    </row>
    <row r="3085" spans="1:6" x14ac:dyDescent="0.2">
      <c r="A3085" s="20">
        <v>40900</v>
      </c>
      <c r="B3085">
        <v>190.75</v>
      </c>
      <c r="E3085">
        <f t="shared" si="96"/>
        <v>12</v>
      </c>
      <c r="F3085">
        <f t="shared" si="97"/>
        <v>2011</v>
      </c>
    </row>
    <row r="3086" spans="1:6" x14ac:dyDescent="0.2">
      <c r="A3086" s="20">
        <v>40904</v>
      </c>
      <c r="B3086">
        <v>194</v>
      </c>
      <c r="E3086">
        <f t="shared" si="96"/>
        <v>12</v>
      </c>
      <c r="F3086">
        <f t="shared" si="97"/>
        <v>2011</v>
      </c>
    </row>
    <row r="3087" spans="1:6" x14ac:dyDescent="0.2">
      <c r="A3087" s="20">
        <v>40905</v>
      </c>
      <c r="B3087">
        <v>196.75</v>
      </c>
      <c r="E3087">
        <f t="shared" si="96"/>
        <v>12</v>
      </c>
      <c r="F3087">
        <f t="shared" si="97"/>
        <v>2011</v>
      </c>
    </row>
    <row r="3088" spans="1:6" x14ac:dyDescent="0.2">
      <c r="A3088" s="20">
        <v>40906</v>
      </c>
      <c r="B3088">
        <v>196.25</v>
      </c>
      <c r="E3088">
        <f t="shared" si="96"/>
        <v>12</v>
      </c>
      <c r="F3088">
        <f t="shared" si="97"/>
        <v>2011</v>
      </c>
    </row>
    <row r="3089" spans="1:6" x14ac:dyDescent="0.2">
      <c r="A3089" s="20">
        <v>40907</v>
      </c>
      <c r="B3089">
        <v>197.25</v>
      </c>
      <c r="E3089">
        <f t="shared" si="96"/>
        <v>12</v>
      </c>
      <c r="F3089">
        <f t="shared" si="97"/>
        <v>2011</v>
      </c>
    </row>
    <row r="3090" spans="1:6" x14ac:dyDescent="0.2">
      <c r="A3090" s="20">
        <v>40910</v>
      </c>
      <c r="B3090">
        <v>200.75</v>
      </c>
      <c r="E3090">
        <f t="shared" si="96"/>
        <v>1</v>
      </c>
      <c r="F3090">
        <f t="shared" si="97"/>
        <v>2012</v>
      </c>
    </row>
    <row r="3091" spans="1:6" x14ac:dyDescent="0.2">
      <c r="A3091" s="20">
        <v>40911</v>
      </c>
      <c r="B3091">
        <v>205.5</v>
      </c>
      <c r="E3091">
        <f t="shared" si="96"/>
        <v>1</v>
      </c>
      <c r="F3091">
        <f t="shared" si="97"/>
        <v>2012</v>
      </c>
    </row>
    <row r="3092" spans="1:6" x14ac:dyDescent="0.2">
      <c r="A3092" s="20">
        <v>40912</v>
      </c>
      <c r="B3092">
        <v>200.75</v>
      </c>
      <c r="E3092">
        <f t="shared" si="96"/>
        <v>1</v>
      </c>
      <c r="F3092">
        <f t="shared" si="97"/>
        <v>2012</v>
      </c>
    </row>
    <row r="3093" spans="1:6" x14ac:dyDescent="0.2">
      <c r="A3093" s="20">
        <v>40913</v>
      </c>
      <c r="B3093">
        <v>198.5</v>
      </c>
      <c r="E3093">
        <f t="shared" si="96"/>
        <v>1</v>
      </c>
      <c r="F3093">
        <f t="shared" si="97"/>
        <v>2012</v>
      </c>
    </row>
    <row r="3094" spans="1:6" x14ac:dyDescent="0.2">
      <c r="A3094" s="20">
        <v>40914</v>
      </c>
      <c r="B3094">
        <v>198.75</v>
      </c>
      <c r="E3094">
        <f t="shared" si="96"/>
        <v>1</v>
      </c>
      <c r="F3094">
        <f t="shared" si="97"/>
        <v>2012</v>
      </c>
    </row>
    <row r="3095" spans="1:6" x14ac:dyDescent="0.2">
      <c r="A3095" s="20">
        <v>40917</v>
      </c>
      <c r="B3095">
        <v>204.25</v>
      </c>
      <c r="E3095">
        <f t="shared" si="96"/>
        <v>1</v>
      </c>
      <c r="F3095">
        <f t="shared" si="97"/>
        <v>2012</v>
      </c>
    </row>
    <row r="3096" spans="1:6" x14ac:dyDescent="0.2">
      <c r="A3096" s="20">
        <v>40918</v>
      </c>
      <c r="B3096">
        <v>205</v>
      </c>
      <c r="E3096">
        <f t="shared" si="96"/>
        <v>1</v>
      </c>
      <c r="F3096">
        <f t="shared" si="97"/>
        <v>2012</v>
      </c>
    </row>
    <row r="3097" spans="1:6" x14ac:dyDescent="0.2">
      <c r="A3097" s="20">
        <v>40919</v>
      </c>
      <c r="B3097">
        <v>204.25</v>
      </c>
      <c r="E3097">
        <f t="shared" si="96"/>
        <v>1</v>
      </c>
      <c r="F3097">
        <f t="shared" si="97"/>
        <v>2012</v>
      </c>
    </row>
    <row r="3098" spans="1:6" x14ac:dyDescent="0.2">
      <c r="A3098" s="20">
        <v>40920</v>
      </c>
      <c r="B3098">
        <v>199.5</v>
      </c>
      <c r="E3098">
        <f t="shared" si="96"/>
        <v>1</v>
      </c>
      <c r="F3098">
        <f t="shared" si="97"/>
        <v>2012</v>
      </c>
    </row>
    <row r="3099" spans="1:6" x14ac:dyDescent="0.2">
      <c r="A3099" s="20">
        <v>40921</v>
      </c>
      <c r="B3099">
        <v>201.25</v>
      </c>
      <c r="E3099">
        <f t="shared" si="96"/>
        <v>1</v>
      </c>
      <c r="F3099">
        <f t="shared" si="97"/>
        <v>2012</v>
      </c>
    </row>
    <row r="3100" spans="1:6" x14ac:dyDescent="0.2">
      <c r="A3100" s="20">
        <v>40924</v>
      </c>
      <c r="B3100">
        <v>201.25</v>
      </c>
      <c r="E3100">
        <f t="shared" si="96"/>
        <v>1</v>
      </c>
      <c r="F3100">
        <f t="shared" si="97"/>
        <v>2012</v>
      </c>
    </row>
    <row r="3101" spans="1:6" x14ac:dyDescent="0.2">
      <c r="A3101" s="20">
        <v>40925</v>
      </c>
      <c r="B3101">
        <v>202.5</v>
      </c>
      <c r="E3101">
        <f t="shared" si="96"/>
        <v>1</v>
      </c>
      <c r="F3101">
        <f t="shared" si="97"/>
        <v>2012</v>
      </c>
    </row>
    <row r="3102" spans="1:6" x14ac:dyDescent="0.2">
      <c r="A3102" s="20">
        <v>40926</v>
      </c>
      <c r="B3102">
        <v>200.25</v>
      </c>
      <c r="E3102">
        <f t="shared" si="96"/>
        <v>1</v>
      </c>
      <c r="F3102">
        <f t="shared" si="97"/>
        <v>2012</v>
      </c>
    </row>
    <row r="3103" spans="1:6" x14ac:dyDescent="0.2">
      <c r="A3103" s="20">
        <v>40927</v>
      </c>
      <c r="B3103">
        <v>200.25</v>
      </c>
      <c r="E3103">
        <f t="shared" si="96"/>
        <v>1</v>
      </c>
      <c r="F3103">
        <f t="shared" si="97"/>
        <v>2012</v>
      </c>
    </row>
    <row r="3104" spans="1:6" x14ac:dyDescent="0.2">
      <c r="A3104" s="20">
        <v>40928</v>
      </c>
      <c r="B3104">
        <v>200</v>
      </c>
      <c r="E3104">
        <f t="shared" si="96"/>
        <v>1</v>
      </c>
      <c r="F3104">
        <f t="shared" si="97"/>
        <v>2012</v>
      </c>
    </row>
    <row r="3105" spans="1:6" x14ac:dyDescent="0.2">
      <c r="A3105" s="20">
        <v>40931</v>
      </c>
      <c r="B3105">
        <v>201.5</v>
      </c>
      <c r="E3105">
        <f t="shared" si="96"/>
        <v>1</v>
      </c>
      <c r="F3105">
        <f t="shared" si="97"/>
        <v>2012</v>
      </c>
    </row>
    <row r="3106" spans="1:6" x14ac:dyDescent="0.2">
      <c r="A3106" s="20">
        <v>40932</v>
      </c>
      <c r="B3106">
        <v>202.75</v>
      </c>
      <c r="E3106">
        <f t="shared" si="96"/>
        <v>1</v>
      </c>
      <c r="F3106">
        <f t="shared" si="97"/>
        <v>2012</v>
      </c>
    </row>
    <row r="3107" spans="1:6" x14ac:dyDescent="0.2">
      <c r="A3107" s="20">
        <v>40933</v>
      </c>
      <c r="B3107">
        <v>203.5</v>
      </c>
      <c r="E3107">
        <f t="shared" si="96"/>
        <v>1</v>
      </c>
      <c r="F3107">
        <f t="shared" si="97"/>
        <v>2012</v>
      </c>
    </row>
    <row r="3108" spans="1:6" x14ac:dyDescent="0.2">
      <c r="A3108" s="20">
        <v>40934</v>
      </c>
      <c r="B3108">
        <v>205.25</v>
      </c>
      <c r="E3108">
        <f t="shared" si="96"/>
        <v>1</v>
      </c>
      <c r="F3108">
        <f t="shared" si="97"/>
        <v>2012</v>
      </c>
    </row>
    <row r="3109" spans="1:6" x14ac:dyDescent="0.2">
      <c r="A3109" s="20">
        <v>40935</v>
      </c>
      <c r="B3109">
        <v>204.25</v>
      </c>
      <c r="E3109">
        <f t="shared" si="96"/>
        <v>1</v>
      </c>
      <c r="F3109">
        <f t="shared" si="97"/>
        <v>2012</v>
      </c>
    </row>
    <row r="3110" spans="1:6" x14ac:dyDescent="0.2">
      <c r="A3110" s="20">
        <v>40938</v>
      </c>
      <c r="B3110">
        <v>204.25</v>
      </c>
      <c r="E3110">
        <f t="shared" si="96"/>
        <v>1</v>
      </c>
      <c r="F3110">
        <f t="shared" si="97"/>
        <v>2012</v>
      </c>
    </row>
    <row r="3111" spans="1:6" x14ac:dyDescent="0.2">
      <c r="A3111" s="20">
        <v>40939</v>
      </c>
      <c r="B3111">
        <v>207.75</v>
      </c>
      <c r="E3111">
        <f t="shared" si="96"/>
        <v>1</v>
      </c>
      <c r="F3111">
        <f t="shared" si="97"/>
        <v>2012</v>
      </c>
    </row>
    <row r="3112" spans="1:6" x14ac:dyDescent="0.2">
      <c r="A3112" s="20">
        <v>40940</v>
      </c>
      <c r="B3112">
        <v>208.75</v>
      </c>
      <c r="E3112">
        <f t="shared" si="96"/>
        <v>2</v>
      </c>
      <c r="F3112">
        <f t="shared" si="97"/>
        <v>2012</v>
      </c>
    </row>
    <row r="3113" spans="1:6" x14ac:dyDescent="0.2">
      <c r="A3113" s="20">
        <v>40941</v>
      </c>
      <c r="B3113">
        <v>207.25</v>
      </c>
      <c r="E3113">
        <f t="shared" si="96"/>
        <v>2</v>
      </c>
      <c r="F3113">
        <f t="shared" si="97"/>
        <v>2012</v>
      </c>
    </row>
    <row r="3114" spans="1:6" x14ac:dyDescent="0.2">
      <c r="A3114" s="20">
        <v>40942</v>
      </c>
      <c r="B3114">
        <v>207</v>
      </c>
      <c r="E3114">
        <f t="shared" si="96"/>
        <v>2</v>
      </c>
      <c r="F3114">
        <f t="shared" si="97"/>
        <v>2012</v>
      </c>
    </row>
    <row r="3115" spans="1:6" x14ac:dyDescent="0.2">
      <c r="A3115" s="20">
        <v>40945</v>
      </c>
      <c r="B3115">
        <v>209.5</v>
      </c>
      <c r="E3115">
        <f t="shared" si="96"/>
        <v>2</v>
      </c>
      <c r="F3115">
        <f t="shared" si="97"/>
        <v>2012</v>
      </c>
    </row>
    <row r="3116" spans="1:6" x14ac:dyDescent="0.2">
      <c r="A3116" s="20">
        <v>40946</v>
      </c>
      <c r="B3116">
        <v>208</v>
      </c>
      <c r="E3116">
        <f t="shared" si="96"/>
        <v>2</v>
      </c>
      <c r="F3116">
        <f t="shared" si="97"/>
        <v>2012</v>
      </c>
    </row>
    <row r="3117" spans="1:6" x14ac:dyDescent="0.2">
      <c r="A3117" s="20">
        <v>40947</v>
      </c>
      <c r="B3117">
        <v>205.75</v>
      </c>
      <c r="E3117">
        <f t="shared" si="96"/>
        <v>2</v>
      </c>
      <c r="F3117">
        <f t="shared" si="97"/>
        <v>2012</v>
      </c>
    </row>
    <row r="3118" spans="1:6" x14ac:dyDescent="0.2">
      <c r="A3118" s="20">
        <v>40948</v>
      </c>
      <c r="B3118">
        <v>206.25</v>
      </c>
      <c r="E3118">
        <f t="shared" si="96"/>
        <v>2</v>
      </c>
      <c r="F3118">
        <f t="shared" si="97"/>
        <v>2012</v>
      </c>
    </row>
    <row r="3119" spans="1:6" x14ac:dyDescent="0.2">
      <c r="A3119" s="20">
        <v>40949</v>
      </c>
      <c r="B3119">
        <v>205.25</v>
      </c>
      <c r="E3119">
        <f t="shared" si="96"/>
        <v>2</v>
      </c>
      <c r="F3119">
        <f t="shared" si="97"/>
        <v>2012</v>
      </c>
    </row>
    <row r="3120" spans="1:6" x14ac:dyDescent="0.2">
      <c r="A3120" s="20">
        <v>40952</v>
      </c>
      <c r="B3120">
        <v>205</v>
      </c>
      <c r="E3120">
        <f t="shared" si="96"/>
        <v>2</v>
      </c>
      <c r="F3120">
        <f t="shared" si="97"/>
        <v>2012</v>
      </c>
    </row>
    <row r="3121" spans="1:6" x14ac:dyDescent="0.2">
      <c r="A3121" s="20">
        <v>40953</v>
      </c>
      <c r="B3121">
        <v>206.25</v>
      </c>
      <c r="E3121">
        <f t="shared" si="96"/>
        <v>2</v>
      </c>
      <c r="F3121">
        <f t="shared" si="97"/>
        <v>2012</v>
      </c>
    </row>
    <row r="3122" spans="1:6" x14ac:dyDescent="0.2">
      <c r="A3122" s="20">
        <v>40954</v>
      </c>
      <c r="B3122">
        <v>206.5</v>
      </c>
      <c r="E3122">
        <f t="shared" si="96"/>
        <v>2</v>
      </c>
      <c r="F3122">
        <f t="shared" si="97"/>
        <v>2012</v>
      </c>
    </row>
    <row r="3123" spans="1:6" x14ac:dyDescent="0.2">
      <c r="A3123" s="20">
        <v>40955</v>
      </c>
      <c r="B3123">
        <v>206.75</v>
      </c>
      <c r="E3123">
        <f t="shared" si="96"/>
        <v>2</v>
      </c>
      <c r="F3123">
        <f t="shared" si="97"/>
        <v>2012</v>
      </c>
    </row>
    <row r="3124" spans="1:6" x14ac:dyDescent="0.2">
      <c r="A3124" s="20">
        <v>40956</v>
      </c>
      <c r="B3124">
        <v>208.5</v>
      </c>
      <c r="E3124">
        <f t="shared" si="96"/>
        <v>2</v>
      </c>
      <c r="F3124">
        <f t="shared" si="97"/>
        <v>2012</v>
      </c>
    </row>
    <row r="3125" spans="1:6" x14ac:dyDescent="0.2">
      <c r="A3125" s="20">
        <v>40959</v>
      </c>
      <c r="B3125">
        <v>210</v>
      </c>
      <c r="E3125">
        <f t="shared" si="96"/>
        <v>2</v>
      </c>
      <c r="F3125">
        <f t="shared" si="97"/>
        <v>2012</v>
      </c>
    </row>
    <row r="3126" spans="1:6" x14ac:dyDescent="0.2">
      <c r="A3126" s="20">
        <v>40960</v>
      </c>
      <c r="B3126">
        <v>206.25</v>
      </c>
      <c r="E3126">
        <f t="shared" si="96"/>
        <v>2</v>
      </c>
      <c r="F3126">
        <f t="shared" si="97"/>
        <v>2012</v>
      </c>
    </row>
    <row r="3127" spans="1:6" x14ac:dyDescent="0.2">
      <c r="A3127" s="20">
        <v>40961</v>
      </c>
      <c r="B3127">
        <v>206.5</v>
      </c>
      <c r="E3127">
        <f t="shared" si="96"/>
        <v>2</v>
      </c>
      <c r="F3127">
        <f t="shared" si="97"/>
        <v>2012</v>
      </c>
    </row>
    <row r="3128" spans="1:6" x14ac:dyDescent="0.2">
      <c r="A3128" s="20">
        <v>40962</v>
      </c>
      <c r="B3128">
        <v>204.75</v>
      </c>
      <c r="E3128">
        <f t="shared" si="96"/>
        <v>2</v>
      </c>
      <c r="F3128">
        <f t="shared" si="97"/>
        <v>2012</v>
      </c>
    </row>
    <row r="3129" spans="1:6" x14ac:dyDescent="0.2">
      <c r="A3129" s="20">
        <v>40963</v>
      </c>
      <c r="B3129">
        <v>204</v>
      </c>
      <c r="E3129">
        <f t="shared" si="96"/>
        <v>2</v>
      </c>
      <c r="F3129">
        <f t="shared" si="97"/>
        <v>2012</v>
      </c>
    </row>
    <row r="3130" spans="1:6" x14ac:dyDescent="0.2">
      <c r="A3130" s="20">
        <v>40966</v>
      </c>
      <c r="B3130">
        <v>202.75</v>
      </c>
      <c r="E3130">
        <f t="shared" si="96"/>
        <v>2</v>
      </c>
      <c r="F3130">
        <f t="shared" si="97"/>
        <v>2012</v>
      </c>
    </row>
    <row r="3131" spans="1:6" x14ac:dyDescent="0.2">
      <c r="A3131" s="20">
        <v>40967</v>
      </c>
      <c r="B3131">
        <v>205</v>
      </c>
      <c r="E3131">
        <f t="shared" si="96"/>
        <v>2</v>
      </c>
      <c r="F3131">
        <f t="shared" si="97"/>
        <v>2012</v>
      </c>
    </row>
    <row r="3132" spans="1:6" x14ac:dyDescent="0.2">
      <c r="A3132" s="20">
        <v>40968</v>
      </c>
      <c r="B3132">
        <v>206</v>
      </c>
      <c r="E3132">
        <f t="shared" si="96"/>
        <v>2</v>
      </c>
      <c r="F3132">
        <f t="shared" si="97"/>
        <v>2012</v>
      </c>
    </row>
    <row r="3133" spans="1:6" x14ac:dyDescent="0.2">
      <c r="A3133" s="20">
        <v>40969</v>
      </c>
      <c r="B3133">
        <v>205.5</v>
      </c>
      <c r="E3133">
        <f t="shared" si="96"/>
        <v>3</v>
      </c>
      <c r="F3133">
        <f t="shared" si="97"/>
        <v>2012</v>
      </c>
    </row>
    <row r="3134" spans="1:6" x14ac:dyDescent="0.2">
      <c r="A3134" s="20">
        <v>40970</v>
      </c>
      <c r="B3134">
        <v>205.25</v>
      </c>
      <c r="E3134">
        <f t="shared" si="96"/>
        <v>3</v>
      </c>
      <c r="F3134">
        <f t="shared" si="97"/>
        <v>2012</v>
      </c>
    </row>
    <row r="3135" spans="1:6" x14ac:dyDescent="0.2">
      <c r="A3135" s="20">
        <v>40973</v>
      </c>
      <c r="B3135">
        <v>208.5</v>
      </c>
      <c r="E3135">
        <f t="shared" si="96"/>
        <v>3</v>
      </c>
      <c r="F3135">
        <f t="shared" si="97"/>
        <v>2012</v>
      </c>
    </row>
    <row r="3136" spans="1:6" x14ac:dyDescent="0.2">
      <c r="A3136" s="20">
        <v>40974</v>
      </c>
      <c r="B3136">
        <v>207.5</v>
      </c>
      <c r="E3136">
        <f t="shared" si="96"/>
        <v>3</v>
      </c>
      <c r="F3136">
        <f t="shared" si="97"/>
        <v>2012</v>
      </c>
    </row>
    <row r="3137" spans="1:6" x14ac:dyDescent="0.2">
      <c r="A3137" s="20">
        <v>40975</v>
      </c>
      <c r="B3137">
        <v>206</v>
      </c>
      <c r="E3137">
        <f t="shared" si="96"/>
        <v>3</v>
      </c>
      <c r="F3137">
        <f t="shared" si="97"/>
        <v>2012</v>
      </c>
    </row>
    <row r="3138" spans="1:6" x14ac:dyDescent="0.2">
      <c r="A3138" s="20">
        <v>40976</v>
      </c>
      <c r="B3138">
        <v>206</v>
      </c>
      <c r="E3138">
        <f t="shared" si="96"/>
        <v>3</v>
      </c>
      <c r="F3138">
        <f t="shared" si="97"/>
        <v>2012</v>
      </c>
    </row>
    <row r="3139" spans="1:6" x14ac:dyDescent="0.2">
      <c r="A3139" s="20">
        <v>40977</v>
      </c>
      <c r="B3139">
        <v>207.75</v>
      </c>
      <c r="E3139">
        <f t="shared" ref="E3139:E3202" si="98">MONTH(A3139)</f>
        <v>3</v>
      </c>
      <c r="F3139">
        <f t="shared" ref="F3139:F3202" si="99">YEAR(A3139)</f>
        <v>2012</v>
      </c>
    </row>
    <row r="3140" spans="1:6" x14ac:dyDescent="0.2">
      <c r="A3140" s="20">
        <v>40980</v>
      </c>
      <c r="B3140">
        <v>209</v>
      </c>
      <c r="E3140">
        <f t="shared" si="98"/>
        <v>3</v>
      </c>
      <c r="F3140">
        <f t="shared" si="99"/>
        <v>2012</v>
      </c>
    </row>
    <row r="3141" spans="1:6" x14ac:dyDescent="0.2">
      <c r="A3141" s="20">
        <v>40981</v>
      </c>
      <c r="B3141">
        <v>210.75</v>
      </c>
      <c r="E3141">
        <f t="shared" si="98"/>
        <v>3</v>
      </c>
      <c r="F3141">
        <f t="shared" si="99"/>
        <v>2012</v>
      </c>
    </row>
    <row r="3142" spans="1:6" x14ac:dyDescent="0.2">
      <c r="A3142" s="20">
        <v>40982</v>
      </c>
      <c r="B3142">
        <v>212</v>
      </c>
      <c r="E3142">
        <f t="shared" si="98"/>
        <v>3</v>
      </c>
      <c r="F3142">
        <f t="shared" si="99"/>
        <v>2012</v>
      </c>
    </row>
    <row r="3143" spans="1:6" x14ac:dyDescent="0.2">
      <c r="A3143" s="20">
        <v>40983</v>
      </c>
      <c r="B3143">
        <v>214.75</v>
      </c>
      <c r="E3143">
        <f t="shared" si="98"/>
        <v>3</v>
      </c>
      <c r="F3143">
        <f t="shared" si="99"/>
        <v>2012</v>
      </c>
    </row>
    <row r="3144" spans="1:6" x14ac:dyDescent="0.2">
      <c r="A3144" s="20">
        <v>40984</v>
      </c>
      <c r="B3144">
        <v>214.75</v>
      </c>
      <c r="E3144">
        <f t="shared" si="98"/>
        <v>3</v>
      </c>
      <c r="F3144">
        <f t="shared" si="99"/>
        <v>2012</v>
      </c>
    </row>
    <row r="3145" spans="1:6" x14ac:dyDescent="0.2">
      <c r="A3145" s="20">
        <v>40987</v>
      </c>
      <c r="B3145">
        <v>214</v>
      </c>
      <c r="E3145">
        <f t="shared" si="98"/>
        <v>3</v>
      </c>
      <c r="F3145">
        <f t="shared" si="99"/>
        <v>2012</v>
      </c>
    </row>
    <row r="3146" spans="1:6" x14ac:dyDescent="0.2">
      <c r="A3146" s="20">
        <v>40988</v>
      </c>
      <c r="B3146">
        <v>211.5</v>
      </c>
      <c r="E3146">
        <f t="shared" si="98"/>
        <v>3</v>
      </c>
      <c r="F3146">
        <f t="shared" si="99"/>
        <v>2012</v>
      </c>
    </row>
    <row r="3147" spans="1:6" x14ac:dyDescent="0.2">
      <c r="A3147" s="20">
        <v>40989</v>
      </c>
      <c r="B3147">
        <v>211.25</v>
      </c>
      <c r="E3147">
        <f t="shared" si="98"/>
        <v>3</v>
      </c>
      <c r="F3147">
        <f t="shared" si="99"/>
        <v>2012</v>
      </c>
    </row>
    <row r="3148" spans="1:6" x14ac:dyDescent="0.2">
      <c r="A3148" s="20">
        <v>40990</v>
      </c>
      <c r="B3148">
        <v>211.5</v>
      </c>
      <c r="E3148">
        <f t="shared" si="98"/>
        <v>3</v>
      </c>
      <c r="F3148">
        <f t="shared" si="99"/>
        <v>2012</v>
      </c>
    </row>
    <row r="3149" spans="1:6" x14ac:dyDescent="0.2">
      <c r="A3149" s="20">
        <v>40991</v>
      </c>
      <c r="B3149">
        <v>213</v>
      </c>
      <c r="E3149">
        <f t="shared" si="98"/>
        <v>3</v>
      </c>
      <c r="F3149">
        <f t="shared" si="99"/>
        <v>2012</v>
      </c>
    </row>
    <row r="3150" spans="1:6" x14ac:dyDescent="0.2">
      <c r="A3150" s="20">
        <v>40994</v>
      </c>
      <c r="B3150">
        <v>214.25</v>
      </c>
      <c r="E3150">
        <f t="shared" si="98"/>
        <v>3</v>
      </c>
      <c r="F3150">
        <f t="shared" si="99"/>
        <v>2012</v>
      </c>
    </row>
    <row r="3151" spans="1:6" x14ac:dyDescent="0.2">
      <c r="A3151" s="20">
        <v>40995</v>
      </c>
      <c r="B3151">
        <v>212.5</v>
      </c>
      <c r="E3151">
        <f t="shared" si="98"/>
        <v>3</v>
      </c>
      <c r="F3151">
        <f t="shared" si="99"/>
        <v>2012</v>
      </c>
    </row>
    <row r="3152" spans="1:6" x14ac:dyDescent="0.2">
      <c r="A3152" s="20">
        <v>40996</v>
      </c>
      <c r="B3152">
        <v>210.75</v>
      </c>
      <c r="E3152">
        <f t="shared" si="98"/>
        <v>3</v>
      </c>
      <c r="F3152">
        <f t="shared" si="99"/>
        <v>2012</v>
      </c>
    </row>
    <row r="3153" spans="1:6" x14ac:dyDescent="0.2">
      <c r="A3153" s="20">
        <v>40997</v>
      </c>
      <c r="B3153">
        <v>210</v>
      </c>
      <c r="E3153">
        <f t="shared" si="98"/>
        <v>3</v>
      </c>
      <c r="F3153">
        <f t="shared" si="99"/>
        <v>2012</v>
      </c>
    </row>
    <row r="3154" spans="1:6" x14ac:dyDescent="0.2">
      <c r="A3154" s="20">
        <v>40998</v>
      </c>
      <c r="B3154">
        <v>214.5</v>
      </c>
      <c r="E3154">
        <f t="shared" si="98"/>
        <v>3</v>
      </c>
      <c r="F3154">
        <f t="shared" si="99"/>
        <v>2012</v>
      </c>
    </row>
    <row r="3155" spans="1:6" x14ac:dyDescent="0.2">
      <c r="A3155" s="20">
        <v>41001</v>
      </c>
      <c r="B3155">
        <v>213.75</v>
      </c>
      <c r="E3155">
        <f t="shared" si="98"/>
        <v>4</v>
      </c>
      <c r="F3155">
        <f t="shared" si="99"/>
        <v>2012</v>
      </c>
    </row>
    <row r="3156" spans="1:6" x14ac:dyDescent="0.2">
      <c r="A3156" s="20">
        <v>41002</v>
      </c>
      <c r="B3156">
        <v>213.75</v>
      </c>
      <c r="E3156">
        <f t="shared" si="98"/>
        <v>4</v>
      </c>
      <c r="F3156">
        <f t="shared" si="99"/>
        <v>2012</v>
      </c>
    </row>
    <row r="3157" spans="1:6" x14ac:dyDescent="0.2">
      <c r="A3157" s="20">
        <v>41003</v>
      </c>
      <c r="B3157">
        <v>213.5</v>
      </c>
      <c r="E3157">
        <f t="shared" si="98"/>
        <v>4</v>
      </c>
      <c r="F3157">
        <f t="shared" si="99"/>
        <v>2012</v>
      </c>
    </row>
    <row r="3158" spans="1:6" x14ac:dyDescent="0.2">
      <c r="A3158" s="20">
        <v>41004</v>
      </c>
      <c r="B3158">
        <v>217.25</v>
      </c>
      <c r="E3158">
        <f t="shared" si="98"/>
        <v>4</v>
      </c>
      <c r="F3158">
        <f t="shared" si="99"/>
        <v>2012</v>
      </c>
    </row>
    <row r="3159" spans="1:6" x14ac:dyDescent="0.2">
      <c r="A3159" s="20">
        <v>41009</v>
      </c>
      <c r="B3159">
        <v>216.75</v>
      </c>
      <c r="E3159">
        <f t="shared" si="98"/>
        <v>4</v>
      </c>
      <c r="F3159">
        <f t="shared" si="99"/>
        <v>2012</v>
      </c>
    </row>
    <row r="3160" spans="1:6" x14ac:dyDescent="0.2">
      <c r="A3160" s="20">
        <v>41010</v>
      </c>
      <c r="B3160">
        <v>215.5</v>
      </c>
      <c r="E3160">
        <f t="shared" si="98"/>
        <v>4</v>
      </c>
      <c r="F3160">
        <f t="shared" si="99"/>
        <v>2012</v>
      </c>
    </row>
    <row r="3161" spans="1:6" x14ac:dyDescent="0.2">
      <c r="A3161" s="20">
        <v>41011</v>
      </c>
      <c r="B3161">
        <v>216</v>
      </c>
      <c r="E3161">
        <f t="shared" si="98"/>
        <v>4</v>
      </c>
      <c r="F3161">
        <f t="shared" si="99"/>
        <v>2012</v>
      </c>
    </row>
    <row r="3162" spans="1:6" x14ac:dyDescent="0.2">
      <c r="A3162" s="20">
        <v>41012</v>
      </c>
      <c r="B3162">
        <v>216</v>
      </c>
      <c r="E3162">
        <f t="shared" si="98"/>
        <v>4</v>
      </c>
      <c r="F3162">
        <f t="shared" si="99"/>
        <v>2012</v>
      </c>
    </row>
    <row r="3163" spans="1:6" x14ac:dyDescent="0.2">
      <c r="A3163" s="20">
        <v>41015</v>
      </c>
      <c r="B3163">
        <v>215</v>
      </c>
      <c r="E3163">
        <f t="shared" si="98"/>
        <v>4</v>
      </c>
      <c r="F3163">
        <f t="shared" si="99"/>
        <v>2012</v>
      </c>
    </row>
    <row r="3164" spans="1:6" x14ac:dyDescent="0.2">
      <c r="A3164" s="20">
        <v>41016</v>
      </c>
      <c r="B3164">
        <v>214.75</v>
      </c>
      <c r="E3164">
        <f t="shared" si="98"/>
        <v>4</v>
      </c>
      <c r="F3164">
        <f t="shared" si="99"/>
        <v>2012</v>
      </c>
    </row>
    <row r="3165" spans="1:6" x14ac:dyDescent="0.2">
      <c r="A3165" s="20">
        <v>41017</v>
      </c>
      <c r="B3165">
        <v>214.75</v>
      </c>
      <c r="E3165">
        <f t="shared" si="98"/>
        <v>4</v>
      </c>
      <c r="F3165">
        <f t="shared" si="99"/>
        <v>2012</v>
      </c>
    </row>
    <row r="3166" spans="1:6" x14ac:dyDescent="0.2">
      <c r="A3166" s="20">
        <v>41018</v>
      </c>
      <c r="B3166">
        <v>214.75</v>
      </c>
      <c r="E3166">
        <f t="shared" si="98"/>
        <v>4</v>
      </c>
      <c r="F3166">
        <f t="shared" si="99"/>
        <v>2012</v>
      </c>
    </row>
    <row r="3167" spans="1:6" x14ac:dyDescent="0.2">
      <c r="A3167" s="20">
        <v>41019</v>
      </c>
      <c r="B3167">
        <v>214.5</v>
      </c>
      <c r="E3167">
        <f t="shared" si="98"/>
        <v>4</v>
      </c>
      <c r="F3167">
        <f t="shared" si="99"/>
        <v>2012</v>
      </c>
    </row>
    <row r="3168" spans="1:6" x14ac:dyDescent="0.2">
      <c r="A3168" s="20">
        <v>41022</v>
      </c>
      <c r="B3168">
        <v>215.75</v>
      </c>
      <c r="E3168">
        <f t="shared" si="98"/>
        <v>4</v>
      </c>
      <c r="F3168">
        <f t="shared" si="99"/>
        <v>2012</v>
      </c>
    </row>
    <row r="3169" spans="1:6" x14ac:dyDescent="0.2">
      <c r="A3169" s="20">
        <v>41023</v>
      </c>
      <c r="B3169">
        <v>216</v>
      </c>
      <c r="E3169">
        <f t="shared" si="98"/>
        <v>4</v>
      </c>
      <c r="F3169">
        <f t="shared" si="99"/>
        <v>2012</v>
      </c>
    </row>
    <row r="3170" spans="1:6" x14ac:dyDescent="0.2">
      <c r="A3170" s="20">
        <v>41024</v>
      </c>
      <c r="B3170">
        <v>216</v>
      </c>
      <c r="E3170">
        <f t="shared" si="98"/>
        <v>4</v>
      </c>
      <c r="F3170">
        <f t="shared" si="99"/>
        <v>2012</v>
      </c>
    </row>
    <row r="3171" spans="1:6" x14ac:dyDescent="0.2">
      <c r="A3171" s="20">
        <v>41025</v>
      </c>
      <c r="B3171">
        <v>215.75</v>
      </c>
      <c r="E3171">
        <f t="shared" si="98"/>
        <v>4</v>
      </c>
      <c r="F3171">
        <f t="shared" si="99"/>
        <v>2012</v>
      </c>
    </row>
    <row r="3172" spans="1:6" x14ac:dyDescent="0.2">
      <c r="A3172" s="20">
        <v>41026</v>
      </c>
      <c r="B3172">
        <v>216.5</v>
      </c>
      <c r="E3172">
        <f t="shared" si="98"/>
        <v>4</v>
      </c>
      <c r="F3172">
        <f t="shared" si="99"/>
        <v>2012</v>
      </c>
    </row>
    <row r="3173" spans="1:6" x14ac:dyDescent="0.2">
      <c r="A3173" s="20">
        <v>41029</v>
      </c>
      <c r="B3173">
        <v>216.5</v>
      </c>
      <c r="E3173">
        <f t="shared" si="98"/>
        <v>4</v>
      </c>
      <c r="F3173">
        <f t="shared" si="99"/>
        <v>2012</v>
      </c>
    </row>
    <row r="3174" spans="1:6" x14ac:dyDescent="0.2">
      <c r="A3174" s="20">
        <v>41031</v>
      </c>
      <c r="B3174">
        <v>215.5</v>
      </c>
      <c r="E3174">
        <f t="shared" si="98"/>
        <v>5</v>
      </c>
      <c r="F3174">
        <f t="shared" si="99"/>
        <v>2012</v>
      </c>
    </row>
    <row r="3175" spans="1:6" x14ac:dyDescent="0.2">
      <c r="A3175" s="20">
        <v>41032</v>
      </c>
      <c r="B3175">
        <v>215</v>
      </c>
      <c r="E3175">
        <f t="shared" si="98"/>
        <v>5</v>
      </c>
      <c r="F3175">
        <f t="shared" si="99"/>
        <v>2012</v>
      </c>
    </row>
    <row r="3176" spans="1:6" x14ac:dyDescent="0.2">
      <c r="A3176" s="20">
        <v>41033</v>
      </c>
      <c r="B3176">
        <v>213.25</v>
      </c>
      <c r="E3176">
        <f t="shared" si="98"/>
        <v>5</v>
      </c>
      <c r="F3176">
        <f t="shared" si="99"/>
        <v>2012</v>
      </c>
    </row>
    <row r="3177" spans="1:6" x14ac:dyDescent="0.2">
      <c r="A3177" s="20">
        <v>41036</v>
      </c>
      <c r="B3177">
        <v>212</v>
      </c>
      <c r="E3177">
        <f t="shared" si="98"/>
        <v>5</v>
      </c>
      <c r="F3177">
        <f t="shared" si="99"/>
        <v>2012</v>
      </c>
    </row>
    <row r="3178" spans="1:6" x14ac:dyDescent="0.2">
      <c r="A3178" s="20">
        <v>41037</v>
      </c>
      <c r="B3178">
        <v>214.75</v>
      </c>
      <c r="E3178">
        <f t="shared" si="98"/>
        <v>5</v>
      </c>
      <c r="F3178">
        <f t="shared" si="99"/>
        <v>2012</v>
      </c>
    </row>
    <row r="3179" spans="1:6" x14ac:dyDescent="0.2">
      <c r="A3179" s="20">
        <v>41038</v>
      </c>
      <c r="B3179">
        <v>213</v>
      </c>
      <c r="E3179">
        <f t="shared" si="98"/>
        <v>5</v>
      </c>
      <c r="F3179">
        <f t="shared" si="99"/>
        <v>2012</v>
      </c>
    </row>
    <row r="3180" spans="1:6" x14ac:dyDescent="0.2">
      <c r="A3180" s="20">
        <v>41039</v>
      </c>
      <c r="B3180">
        <v>211.25</v>
      </c>
      <c r="E3180">
        <f t="shared" si="98"/>
        <v>5</v>
      </c>
      <c r="F3180">
        <f t="shared" si="99"/>
        <v>2012</v>
      </c>
    </row>
    <row r="3181" spans="1:6" x14ac:dyDescent="0.2">
      <c r="A3181" s="20">
        <v>41040</v>
      </c>
      <c r="B3181">
        <v>211</v>
      </c>
      <c r="E3181">
        <f t="shared" si="98"/>
        <v>5</v>
      </c>
      <c r="F3181">
        <f t="shared" si="99"/>
        <v>2012</v>
      </c>
    </row>
    <row r="3182" spans="1:6" x14ac:dyDescent="0.2">
      <c r="A3182" s="20">
        <v>41043</v>
      </c>
      <c r="B3182">
        <v>209.5</v>
      </c>
      <c r="E3182">
        <f t="shared" si="98"/>
        <v>5</v>
      </c>
      <c r="F3182">
        <f t="shared" si="99"/>
        <v>2012</v>
      </c>
    </row>
    <row r="3183" spans="1:6" x14ac:dyDescent="0.2">
      <c r="A3183" s="20">
        <v>41044</v>
      </c>
      <c r="B3183">
        <v>210</v>
      </c>
      <c r="E3183">
        <f t="shared" si="98"/>
        <v>5</v>
      </c>
      <c r="F3183">
        <f t="shared" si="99"/>
        <v>2012</v>
      </c>
    </row>
    <row r="3184" spans="1:6" x14ac:dyDescent="0.2">
      <c r="A3184" s="20">
        <v>41045</v>
      </c>
      <c r="B3184">
        <v>210</v>
      </c>
      <c r="E3184">
        <f t="shared" si="98"/>
        <v>5</v>
      </c>
      <c r="F3184">
        <f t="shared" si="99"/>
        <v>2012</v>
      </c>
    </row>
    <row r="3185" spans="1:6" x14ac:dyDescent="0.2">
      <c r="A3185" s="20">
        <v>41046</v>
      </c>
      <c r="B3185">
        <v>211</v>
      </c>
      <c r="E3185">
        <f t="shared" si="98"/>
        <v>5</v>
      </c>
      <c r="F3185">
        <f t="shared" si="99"/>
        <v>2012</v>
      </c>
    </row>
    <row r="3186" spans="1:6" x14ac:dyDescent="0.2">
      <c r="A3186" s="20">
        <v>41047</v>
      </c>
      <c r="B3186">
        <v>213</v>
      </c>
      <c r="E3186">
        <f t="shared" si="98"/>
        <v>5</v>
      </c>
      <c r="F3186">
        <f t="shared" si="99"/>
        <v>2012</v>
      </c>
    </row>
    <row r="3187" spans="1:6" x14ac:dyDescent="0.2">
      <c r="A3187" s="20">
        <v>41050</v>
      </c>
      <c r="B3187">
        <v>211</v>
      </c>
      <c r="E3187">
        <f t="shared" si="98"/>
        <v>5</v>
      </c>
      <c r="F3187">
        <f t="shared" si="99"/>
        <v>2012</v>
      </c>
    </row>
    <row r="3188" spans="1:6" x14ac:dyDescent="0.2">
      <c r="A3188" s="20">
        <v>41051</v>
      </c>
      <c r="B3188">
        <v>208.5</v>
      </c>
      <c r="E3188">
        <f t="shared" si="98"/>
        <v>5</v>
      </c>
      <c r="F3188">
        <f t="shared" si="99"/>
        <v>2012</v>
      </c>
    </row>
    <row r="3189" spans="1:6" x14ac:dyDescent="0.2">
      <c r="A3189" s="20">
        <v>41052</v>
      </c>
      <c r="B3189">
        <v>208.5</v>
      </c>
      <c r="E3189">
        <f t="shared" si="98"/>
        <v>5</v>
      </c>
      <c r="F3189">
        <f t="shared" si="99"/>
        <v>2012</v>
      </c>
    </row>
    <row r="3190" spans="1:6" x14ac:dyDescent="0.2">
      <c r="A3190" s="20">
        <v>41053</v>
      </c>
      <c r="B3190">
        <v>210</v>
      </c>
      <c r="E3190">
        <f t="shared" si="98"/>
        <v>5</v>
      </c>
      <c r="F3190">
        <f t="shared" si="99"/>
        <v>2012</v>
      </c>
    </row>
    <row r="3191" spans="1:6" x14ac:dyDescent="0.2">
      <c r="A3191" s="20">
        <v>41054</v>
      </c>
      <c r="B3191">
        <v>209.5</v>
      </c>
      <c r="E3191">
        <f t="shared" si="98"/>
        <v>5</v>
      </c>
      <c r="F3191">
        <f t="shared" si="99"/>
        <v>2012</v>
      </c>
    </row>
    <row r="3192" spans="1:6" x14ac:dyDescent="0.2">
      <c r="A3192" s="20">
        <v>41057</v>
      </c>
      <c r="B3192">
        <v>209.5</v>
      </c>
      <c r="E3192">
        <f t="shared" si="98"/>
        <v>5</v>
      </c>
      <c r="F3192">
        <f t="shared" si="99"/>
        <v>2012</v>
      </c>
    </row>
    <row r="3193" spans="1:6" x14ac:dyDescent="0.2">
      <c r="A3193" s="20">
        <v>41058</v>
      </c>
      <c r="B3193">
        <v>208.5</v>
      </c>
      <c r="E3193">
        <f t="shared" si="98"/>
        <v>5</v>
      </c>
      <c r="F3193">
        <f t="shared" si="99"/>
        <v>2012</v>
      </c>
    </row>
    <row r="3194" spans="1:6" x14ac:dyDescent="0.2">
      <c r="A3194" s="20">
        <v>41059</v>
      </c>
      <c r="B3194">
        <v>207.25</v>
      </c>
      <c r="E3194">
        <f t="shared" si="98"/>
        <v>5</v>
      </c>
      <c r="F3194">
        <f t="shared" si="99"/>
        <v>2012</v>
      </c>
    </row>
    <row r="3195" spans="1:6" x14ac:dyDescent="0.2">
      <c r="A3195" s="20">
        <v>41060</v>
      </c>
      <c r="B3195">
        <v>208</v>
      </c>
      <c r="E3195">
        <f t="shared" si="98"/>
        <v>5</v>
      </c>
      <c r="F3195">
        <f t="shared" si="99"/>
        <v>2012</v>
      </c>
    </row>
    <row r="3196" spans="1:6" x14ac:dyDescent="0.2">
      <c r="A3196" s="20">
        <v>41061</v>
      </c>
      <c r="B3196">
        <v>209</v>
      </c>
      <c r="E3196">
        <f t="shared" si="98"/>
        <v>6</v>
      </c>
      <c r="F3196">
        <f t="shared" si="99"/>
        <v>2012</v>
      </c>
    </row>
    <row r="3197" spans="1:6" x14ac:dyDescent="0.2">
      <c r="A3197" s="20">
        <v>41064</v>
      </c>
      <c r="B3197">
        <v>208.25</v>
      </c>
      <c r="E3197">
        <f t="shared" si="98"/>
        <v>6</v>
      </c>
      <c r="F3197">
        <f t="shared" si="99"/>
        <v>2012</v>
      </c>
    </row>
    <row r="3198" spans="1:6" x14ac:dyDescent="0.2">
      <c r="A3198" s="20">
        <v>41065</v>
      </c>
      <c r="B3198">
        <v>203</v>
      </c>
      <c r="E3198">
        <f t="shared" si="98"/>
        <v>6</v>
      </c>
      <c r="F3198">
        <f t="shared" si="99"/>
        <v>2012</v>
      </c>
    </row>
    <row r="3199" spans="1:6" x14ac:dyDescent="0.2">
      <c r="A3199" s="20">
        <v>41066</v>
      </c>
      <c r="B3199">
        <v>209.25</v>
      </c>
      <c r="E3199">
        <f t="shared" si="98"/>
        <v>6</v>
      </c>
      <c r="F3199">
        <f t="shared" si="99"/>
        <v>2012</v>
      </c>
    </row>
    <row r="3200" spans="1:6" x14ac:dyDescent="0.2">
      <c r="A3200" s="20">
        <v>41067</v>
      </c>
      <c r="B3200">
        <v>210.75</v>
      </c>
      <c r="E3200">
        <f t="shared" si="98"/>
        <v>6</v>
      </c>
      <c r="F3200">
        <f t="shared" si="99"/>
        <v>2012</v>
      </c>
    </row>
    <row r="3201" spans="1:6" x14ac:dyDescent="0.2">
      <c r="A3201" s="20">
        <v>41068</v>
      </c>
      <c r="B3201">
        <v>210.5</v>
      </c>
      <c r="E3201">
        <f t="shared" si="98"/>
        <v>6</v>
      </c>
      <c r="F3201">
        <f t="shared" si="99"/>
        <v>2012</v>
      </c>
    </row>
    <row r="3202" spans="1:6" x14ac:dyDescent="0.2">
      <c r="A3202" s="20">
        <v>41071</v>
      </c>
      <c r="B3202">
        <v>211</v>
      </c>
      <c r="E3202">
        <f t="shared" si="98"/>
        <v>6</v>
      </c>
      <c r="F3202">
        <f t="shared" si="99"/>
        <v>2012</v>
      </c>
    </row>
    <row r="3203" spans="1:6" x14ac:dyDescent="0.2">
      <c r="A3203" s="20">
        <v>41072</v>
      </c>
      <c r="B3203">
        <v>209.5</v>
      </c>
      <c r="E3203">
        <f t="shared" ref="E3203:E3266" si="100">MONTH(A3203)</f>
        <v>6</v>
      </c>
      <c r="F3203">
        <f t="shared" ref="F3203:F3266" si="101">YEAR(A3203)</f>
        <v>2012</v>
      </c>
    </row>
    <row r="3204" spans="1:6" x14ac:dyDescent="0.2">
      <c r="A3204" s="20">
        <v>41073</v>
      </c>
      <c r="B3204">
        <v>210</v>
      </c>
      <c r="E3204">
        <f t="shared" si="100"/>
        <v>6</v>
      </c>
      <c r="F3204">
        <f t="shared" si="101"/>
        <v>2012</v>
      </c>
    </row>
    <row r="3205" spans="1:6" x14ac:dyDescent="0.2">
      <c r="A3205" s="20">
        <v>41074</v>
      </c>
      <c r="B3205">
        <v>210</v>
      </c>
      <c r="E3205">
        <f t="shared" si="100"/>
        <v>6</v>
      </c>
      <c r="F3205">
        <f t="shared" si="101"/>
        <v>2012</v>
      </c>
    </row>
    <row r="3206" spans="1:6" x14ac:dyDescent="0.2">
      <c r="A3206" s="20">
        <v>41075</v>
      </c>
      <c r="B3206">
        <v>207.75</v>
      </c>
      <c r="E3206">
        <f t="shared" si="100"/>
        <v>6</v>
      </c>
      <c r="F3206">
        <f t="shared" si="101"/>
        <v>2012</v>
      </c>
    </row>
    <row r="3207" spans="1:6" x14ac:dyDescent="0.2">
      <c r="A3207" s="20">
        <v>41078</v>
      </c>
      <c r="B3207">
        <v>209</v>
      </c>
      <c r="E3207">
        <f t="shared" si="100"/>
        <v>6</v>
      </c>
      <c r="F3207">
        <f t="shared" si="101"/>
        <v>2012</v>
      </c>
    </row>
    <row r="3208" spans="1:6" x14ac:dyDescent="0.2">
      <c r="A3208" s="20">
        <v>41079</v>
      </c>
      <c r="B3208">
        <v>211.25</v>
      </c>
      <c r="E3208">
        <f t="shared" si="100"/>
        <v>6</v>
      </c>
      <c r="F3208">
        <f t="shared" si="101"/>
        <v>2012</v>
      </c>
    </row>
    <row r="3209" spans="1:6" x14ac:dyDescent="0.2">
      <c r="A3209" s="20">
        <v>41080</v>
      </c>
      <c r="B3209">
        <v>211.5</v>
      </c>
      <c r="E3209">
        <f t="shared" si="100"/>
        <v>6</v>
      </c>
      <c r="F3209">
        <f t="shared" si="101"/>
        <v>2012</v>
      </c>
    </row>
    <row r="3210" spans="1:6" x14ac:dyDescent="0.2">
      <c r="A3210" s="20">
        <v>41081</v>
      </c>
      <c r="B3210">
        <v>212</v>
      </c>
      <c r="E3210">
        <f t="shared" si="100"/>
        <v>6</v>
      </c>
      <c r="F3210">
        <f t="shared" si="101"/>
        <v>2012</v>
      </c>
    </row>
    <row r="3211" spans="1:6" x14ac:dyDescent="0.2">
      <c r="A3211" s="20">
        <v>41082</v>
      </c>
      <c r="B3211">
        <v>213</v>
      </c>
      <c r="E3211">
        <f t="shared" si="100"/>
        <v>6</v>
      </c>
      <c r="F3211">
        <f t="shared" si="101"/>
        <v>2012</v>
      </c>
    </row>
    <row r="3212" spans="1:6" x14ac:dyDescent="0.2">
      <c r="A3212" s="20">
        <v>41085</v>
      </c>
      <c r="B3212">
        <v>216.5</v>
      </c>
      <c r="E3212">
        <f t="shared" si="100"/>
        <v>6</v>
      </c>
      <c r="F3212">
        <f t="shared" si="101"/>
        <v>2012</v>
      </c>
    </row>
    <row r="3213" spans="1:6" x14ac:dyDescent="0.2">
      <c r="A3213" s="20">
        <v>41086</v>
      </c>
      <c r="B3213">
        <v>217</v>
      </c>
      <c r="E3213">
        <f t="shared" si="100"/>
        <v>6</v>
      </c>
      <c r="F3213">
        <f t="shared" si="101"/>
        <v>2012</v>
      </c>
    </row>
    <row r="3214" spans="1:6" x14ac:dyDescent="0.2">
      <c r="A3214" s="20">
        <v>41087</v>
      </c>
      <c r="B3214">
        <v>217</v>
      </c>
      <c r="E3214">
        <f t="shared" si="100"/>
        <v>6</v>
      </c>
      <c r="F3214">
        <f t="shared" si="101"/>
        <v>2012</v>
      </c>
    </row>
    <row r="3215" spans="1:6" x14ac:dyDescent="0.2">
      <c r="A3215" s="20">
        <v>41088</v>
      </c>
      <c r="B3215">
        <v>217</v>
      </c>
      <c r="E3215">
        <f t="shared" si="100"/>
        <v>6</v>
      </c>
      <c r="F3215">
        <f t="shared" si="101"/>
        <v>2012</v>
      </c>
    </row>
    <row r="3216" spans="1:6" x14ac:dyDescent="0.2">
      <c r="A3216" s="20">
        <v>41089</v>
      </c>
      <c r="B3216">
        <v>217</v>
      </c>
      <c r="E3216">
        <f t="shared" si="100"/>
        <v>6</v>
      </c>
      <c r="F3216">
        <f t="shared" si="101"/>
        <v>2012</v>
      </c>
    </row>
    <row r="3217" spans="1:6" x14ac:dyDescent="0.2">
      <c r="A3217" s="20">
        <v>41092</v>
      </c>
      <c r="B3217">
        <v>219</v>
      </c>
      <c r="E3217">
        <f t="shared" si="100"/>
        <v>7</v>
      </c>
      <c r="F3217">
        <f t="shared" si="101"/>
        <v>2012</v>
      </c>
    </row>
    <row r="3218" spans="1:6" x14ac:dyDescent="0.2">
      <c r="A3218" s="20">
        <v>41093</v>
      </c>
      <c r="B3218">
        <v>219.5</v>
      </c>
      <c r="E3218">
        <f t="shared" si="100"/>
        <v>7</v>
      </c>
      <c r="F3218">
        <f t="shared" si="101"/>
        <v>2012</v>
      </c>
    </row>
    <row r="3219" spans="1:6" x14ac:dyDescent="0.2">
      <c r="A3219" s="20">
        <v>41094</v>
      </c>
      <c r="B3219">
        <v>221.5</v>
      </c>
      <c r="E3219">
        <f t="shared" si="100"/>
        <v>7</v>
      </c>
      <c r="F3219">
        <f t="shared" si="101"/>
        <v>2012</v>
      </c>
    </row>
    <row r="3220" spans="1:6" x14ac:dyDescent="0.2">
      <c r="A3220" s="20">
        <v>41095</v>
      </c>
      <c r="B3220">
        <v>230.5</v>
      </c>
      <c r="E3220">
        <f t="shared" si="100"/>
        <v>7</v>
      </c>
      <c r="F3220">
        <f t="shared" si="101"/>
        <v>2012</v>
      </c>
    </row>
    <row r="3221" spans="1:6" x14ac:dyDescent="0.2">
      <c r="A3221" s="20">
        <v>41096</v>
      </c>
      <c r="B3221">
        <v>230</v>
      </c>
      <c r="E3221">
        <f t="shared" si="100"/>
        <v>7</v>
      </c>
      <c r="F3221">
        <f t="shared" si="101"/>
        <v>2012</v>
      </c>
    </row>
    <row r="3222" spans="1:6" x14ac:dyDescent="0.2">
      <c r="A3222" s="20">
        <v>41099</v>
      </c>
      <c r="B3222">
        <v>237</v>
      </c>
      <c r="E3222">
        <f t="shared" si="100"/>
        <v>7</v>
      </c>
      <c r="F3222">
        <f t="shared" si="101"/>
        <v>2012</v>
      </c>
    </row>
    <row r="3223" spans="1:6" x14ac:dyDescent="0.2">
      <c r="A3223" s="20">
        <v>41100</v>
      </c>
      <c r="B3223">
        <v>237</v>
      </c>
      <c r="E3223">
        <f t="shared" si="100"/>
        <v>7</v>
      </c>
      <c r="F3223">
        <f t="shared" si="101"/>
        <v>2012</v>
      </c>
    </row>
    <row r="3224" spans="1:6" x14ac:dyDescent="0.2">
      <c r="A3224" s="20">
        <v>41101</v>
      </c>
      <c r="B3224">
        <v>236</v>
      </c>
      <c r="E3224">
        <f t="shared" si="100"/>
        <v>7</v>
      </c>
      <c r="F3224">
        <f t="shared" si="101"/>
        <v>2012</v>
      </c>
    </row>
    <row r="3225" spans="1:6" x14ac:dyDescent="0.2">
      <c r="A3225" s="20">
        <v>41102</v>
      </c>
      <c r="B3225">
        <v>242.25</v>
      </c>
      <c r="E3225">
        <f t="shared" si="100"/>
        <v>7</v>
      </c>
      <c r="F3225">
        <f t="shared" si="101"/>
        <v>2012</v>
      </c>
    </row>
    <row r="3226" spans="1:6" x14ac:dyDescent="0.2">
      <c r="A3226" s="20">
        <v>41103</v>
      </c>
      <c r="B3226">
        <v>250</v>
      </c>
      <c r="E3226">
        <f t="shared" si="100"/>
        <v>7</v>
      </c>
      <c r="F3226">
        <f t="shared" si="101"/>
        <v>2012</v>
      </c>
    </row>
    <row r="3227" spans="1:6" x14ac:dyDescent="0.2">
      <c r="A3227" s="20">
        <v>41106</v>
      </c>
      <c r="B3227">
        <v>258.5</v>
      </c>
      <c r="E3227">
        <f t="shared" si="100"/>
        <v>7</v>
      </c>
      <c r="F3227">
        <f t="shared" si="101"/>
        <v>2012</v>
      </c>
    </row>
    <row r="3228" spans="1:6" x14ac:dyDescent="0.2">
      <c r="A3228" s="20">
        <v>41107</v>
      </c>
      <c r="B3228">
        <v>259.5</v>
      </c>
      <c r="E3228">
        <f t="shared" si="100"/>
        <v>7</v>
      </c>
      <c r="F3228">
        <f t="shared" si="101"/>
        <v>2012</v>
      </c>
    </row>
    <row r="3229" spans="1:6" x14ac:dyDescent="0.2">
      <c r="A3229" s="20">
        <v>41108</v>
      </c>
      <c r="B3229">
        <v>255.5</v>
      </c>
      <c r="E3229">
        <f t="shared" si="100"/>
        <v>7</v>
      </c>
      <c r="F3229">
        <f t="shared" si="101"/>
        <v>2012</v>
      </c>
    </row>
    <row r="3230" spans="1:6" x14ac:dyDescent="0.2">
      <c r="A3230" s="20">
        <v>41109</v>
      </c>
      <c r="B3230">
        <v>252.75</v>
      </c>
      <c r="E3230">
        <f t="shared" si="100"/>
        <v>7</v>
      </c>
      <c r="F3230">
        <f t="shared" si="101"/>
        <v>2012</v>
      </c>
    </row>
    <row r="3231" spans="1:6" x14ac:dyDescent="0.2">
      <c r="A3231" s="20">
        <v>41110</v>
      </c>
      <c r="B3231">
        <v>256</v>
      </c>
      <c r="E3231">
        <f t="shared" si="100"/>
        <v>7</v>
      </c>
      <c r="F3231">
        <f t="shared" si="101"/>
        <v>2012</v>
      </c>
    </row>
    <row r="3232" spans="1:6" x14ac:dyDescent="0.2">
      <c r="A3232" s="20">
        <v>41113</v>
      </c>
      <c r="B3232">
        <v>260</v>
      </c>
      <c r="E3232">
        <f t="shared" si="100"/>
        <v>7</v>
      </c>
      <c r="F3232">
        <f t="shared" si="101"/>
        <v>2012</v>
      </c>
    </row>
    <row r="3233" spans="1:6" x14ac:dyDescent="0.2">
      <c r="A3233" s="20">
        <v>41114</v>
      </c>
      <c r="B3233">
        <v>253.75</v>
      </c>
      <c r="E3233">
        <f t="shared" si="100"/>
        <v>7</v>
      </c>
      <c r="F3233">
        <f t="shared" si="101"/>
        <v>2012</v>
      </c>
    </row>
    <row r="3234" spans="1:6" x14ac:dyDescent="0.2">
      <c r="A3234" s="20">
        <v>41115</v>
      </c>
      <c r="B3234">
        <v>261</v>
      </c>
      <c r="E3234">
        <f t="shared" si="100"/>
        <v>7</v>
      </c>
      <c r="F3234">
        <f t="shared" si="101"/>
        <v>2012</v>
      </c>
    </row>
    <row r="3235" spans="1:6" x14ac:dyDescent="0.2">
      <c r="A3235" s="20">
        <v>41116</v>
      </c>
      <c r="B3235">
        <v>257</v>
      </c>
      <c r="E3235">
        <f t="shared" si="100"/>
        <v>7</v>
      </c>
      <c r="F3235">
        <f t="shared" si="101"/>
        <v>2012</v>
      </c>
    </row>
    <row r="3236" spans="1:6" x14ac:dyDescent="0.2">
      <c r="A3236" s="20">
        <v>41117</v>
      </c>
      <c r="B3236">
        <v>260</v>
      </c>
      <c r="E3236">
        <f t="shared" si="100"/>
        <v>7</v>
      </c>
      <c r="F3236">
        <f t="shared" si="101"/>
        <v>2012</v>
      </c>
    </row>
    <row r="3237" spans="1:6" x14ac:dyDescent="0.2">
      <c r="A3237" s="20">
        <v>41120</v>
      </c>
      <c r="B3237">
        <v>263.25</v>
      </c>
      <c r="E3237">
        <f t="shared" si="100"/>
        <v>7</v>
      </c>
      <c r="F3237">
        <f t="shared" si="101"/>
        <v>2012</v>
      </c>
    </row>
    <row r="3238" spans="1:6" x14ac:dyDescent="0.2">
      <c r="A3238" s="20">
        <v>41121</v>
      </c>
      <c r="B3238">
        <v>264</v>
      </c>
      <c r="E3238">
        <f t="shared" si="100"/>
        <v>7</v>
      </c>
      <c r="F3238">
        <f t="shared" si="101"/>
        <v>2012</v>
      </c>
    </row>
    <row r="3239" spans="1:6" x14ac:dyDescent="0.2">
      <c r="A3239" s="20">
        <v>41122</v>
      </c>
      <c r="B3239">
        <v>260</v>
      </c>
      <c r="E3239">
        <f t="shared" si="100"/>
        <v>8</v>
      </c>
      <c r="F3239">
        <f t="shared" si="101"/>
        <v>2012</v>
      </c>
    </row>
    <row r="3240" spans="1:6" x14ac:dyDescent="0.2">
      <c r="A3240" s="20">
        <v>41123</v>
      </c>
      <c r="B3240">
        <v>259</v>
      </c>
      <c r="E3240">
        <f t="shared" si="100"/>
        <v>8</v>
      </c>
      <c r="F3240">
        <f t="shared" si="101"/>
        <v>2012</v>
      </c>
    </row>
    <row r="3241" spans="1:6" x14ac:dyDescent="0.2">
      <c r="A3241" s="20">
        <v>41124</v>
      </c>
      <c r="B3241">
        <v>261</v>
      </c>
      <c r="E3241">
        <f t="shared" si="100"/>
        <v>8</v>
      </c>
      <c r="F3241">
        <f t="shared" si="101"/>
        <v>2012</v>
      </c>
    </row>
    <row r="3242" spans="1:6" x14ac:dyDescent="0.2">
      <c r="A3242" s="20">
        <v>41127</v>
      </c>
      <c r="B3242">
        <v>254.5</v>
      </c>
      <c r="E3242">
        <f t="shared" si="100"/>
        <v>8</v>
      </c>
      <c r="F3242">
        <f t="shared" si="101"/>
        <v>2012</v>
      </c>
    </row>
    <row r="3243" spans="1:6" x14ac:dyDescent="0.2">
      <c r="A3243" s="20">
        <v>41128</v>
      </c>
      <c r="B3243">
        <v>250</v>
      </c>
      <c r="E3243">
        <f t="shared" si="100"/>
        <v>8</v>
      </c>
      <c r="F3243">
        <f t="shared" si="101"/>
        <v>2012</v>
      </c>
    </row>
    <row r="3244" spans="1:6" x14ac:dyDescent="0.2">
      <c r="A3244" s="20">
        <v>41129</v>
      </c>
      <c r="B3244">
        <v>250.25</v>
      </c>
      <c r="E3244">
        <f t="shared" si="100"/>
        <v>8</v>
      </c>
      <c r="F3244">
        <f t="shared" si="101"/>
        <v>2012</v>
      </c>
    </row>
    <row r="3245" spans="1:6" x14ac:dyDescent="0.2">
      <c r="A3245" s="20">
        <v>41130</v>
      </c>
      <c r="B3245">
        <v>255.5</v>
      </c>
      <c r="E3245">
        <f t="shared" si="100"/>
        <v>8</v>
      </c>
      <c r="F3245">
        <f t="shared" si="101"/>
        <v>2012</v>
      </c>
    </row>
    <row r="3246" spans="1:6" x14ac:dyDescent="0.2">
      <c r="A3246" s="20">
        <v>41131</v>
      </c>
      <c r="B3246">
        <v>254.75</v>
      </c>
      <c r="E3246">
        <f t="shared" si="100"/>
        <v>8</v>
      </c>
      <c r="F3246">
        <f t="shared" si="101"/>
        <v>2012</v>
      </c>
    </row>
    <row r="3247" spans="1:6" x14ac:dyDescent="0.2">
      <c r="A3247" s="20">
        <v>41134</v>
      </c>
      <c r="B3247">
        <v>251.5</v>
      </c>
      <c r="E3247">
        <f t="shared" si="100"/>
        <v>8</v>
      </c>
      <c r="F3247">
        <f t="shared" si="101"/>
        <v>2012</v>
      </c>
    </row>
    <row r="3248" spans="1:6" x14ac:dyDescent="0.2">
      <c r="A3248" s="20">
        <v>41135</v>
      </c>
      <c r="B3248">
        <v>249.25</v>
      </c>
      <c r="E3248">
        <f t="shared" si="100"/>
        <v>8</v>
      </c>
      <c r="F3248">
        <f t="shared" si="101"/>
        <v>2012</v>
      </c>
    </row>
    <row r="3249" spans="1:6" x14ac:dyDescent="0.2">
      <c r="A3249" s="20">
        <v>41136</v>
      </c>
      <c r="B3249">
        <v>251</v>
      </c>
      <c r="E3249">
        <f t="shared" si="100"/>
        <v>8</v>
      </c>
      <c r="F3249">
        <f t="shared" si="101"/>
        <v>2012</v>
      </c>
    </row>
    <row r="3250" spans="1:6" x14ac:dyDescent="0.2">
      <c r="A3250" s="20">
        <v>41137</v>
      </c>
      <c r="B3250">
        <v>254.5</v>
      </c>
      <c r="E3250">
        <f t="shared" si="100"/>
        <v>8</v>
      </c>
      <c r="F3250">
        <f t="shared" si="101"/>
        <v>2012</v>
      </c>
    </row>
    <row r="3251" spans="1:6" x14ac:dyDescent="0.2">
      <c r="A3251" s="20">
        <v>41138</v>
      </c>
      <c r="B3251">
        <v>257</v>
      </c>
      <c r="E3251">
        <f t="shared" si="100"/>
        <v>8</v>
      </c>
      <c r="F3251">
        <f t="shared" si="101"/>
        <v>2012</v>
      </c>
    </row>
    <row r="3252" spans="1:6" x14ac:dyDescent="0.2">
      <c r="A3252" s="20">
        <v>41141</v>
      </c>
      <c r="B3252">
        <v>257.25</v>
      </c>
      <c r="E3252">
        <f t="shared" si="100"/>
        <v>8</v>
      </c>
      <c r="F3252">
        <f t="shared" si="101"/>
        <v>2012</v>
      </c>
    </row>
    <row r="3253" spans="1:6" x14ac:dyDescent="0.2">
      <c r="A3253" s="20">
        <v>41142</v>
      </c>
      <c r="B3253">
        <v>261.75</v>
      </c>
      <c r="E3253">
        <f t="shared" si="100"/>
        <v>8</v>
      </c>
      <c r="F3253">
        <f t="shared" si="101"/>
        <v>2012</v>
      </c>
    </row>
    <row r="3254" spans="1:6" x14ac:dyDescent="0.2">
      <c r="A3254" s="20">
        <v>41143</v>
      </c>
      <c r="B3254">
        <v>261</v>
      </c>
      <c r="E3254">
        <f t="shared" si="100"/>
        <v>8</v>
      </c>
      <c r="F3254">
        <f t="shared" si="101"/>
        <v>2012</v>
      </c>
    </row>
    <row r="3255" spans="1:6" x14ac:dyDescent="0.2">
      <c r="A3255" s="20">
        <v>41144</v>
      </c>
      <c r="B3255">
        <v>257.25</v>
      </c>
      <c r="E3255">
        <f t="shared" si="100"/>
        <v>8</v>
      </c>
      <c r="F3255">
        <f t="shared" si="101"/>
        <v>2012</v>
      </c>
    </row>
    <row r="3256" spans="1:6" x14ac:dyDescent="0.2">
      <c r="A3256" s="20">
        <v>41145</v>
      </c>
      <c r="B3256">
        <v>255</v>
      </c>
      <c r="E3256">
        <f t="shared" si="100"/>
        <v>8</v>
      </c>
      <c r="F3256">
        <f t="shared" si="101"/>
        <v>2012</v>
      </c>
    </row>
    <row r="3257" spans="1:6" x14ac:dyDescent="0.2">
      <c r="A3257" s="20">
        <v>41148</v>
      </c>
      <c r="B3257">
        <v>253.75</v>
      </c>
      <c r="E3257">
        <f t="shared" si="100"/>
        <v>8</v>
      </c>
      <c r="F3257">
        <f t="shared" si="101"/>
        <v>2012</v>
      </c>
    </row>
    <row r="3258" spans="1:6" x14ac:dyDescent="0.2">
      <c r="A3258" s="20">
        <v>41149</v>
      </c>
      <c r="B3258">
        <v>251.75</v>
      </c>
      <c r="E3258">
        <f t="shared" si="100"/>
        <v>8</v>
      </c>
      <c r="F3258">
        <f t="shared" si="101"/>
        <v>2012</v>
      </c>
    </row>
    <row r="3259" spans="1:6" x14ac:dyDescent="0.2">
      <c r="A3259" s="20">
        <v>41150</v>
      </c>
      <c r="B3259">
        <v>254</v>
      </c>
      <c r="E3259">
        <f t="shared" si="100"/>
        <v>8</v>
      </c>
      <c r="F3259">
        <f t="shared" si="101"/>
        <v>2012</v>
      </c>
    </row>
    <row r="3260" spans="1:6" x14ac:dyDescent="0.2">
      <c r="A3260" s="20">
        <v>41151</v>
      </c>
      <c r="B3260">
        <v>257</v>
      </c>
      <c r="E3260">
        <f t="shared" si="100"/>
        <v>8</v>
      </c>
      <c r="F3260">
        <f t="shared" si="101"/>
        <v>2012</v>
      </c>
    </row>
    <row r="3261" spans="1:6" x14ac:dyDescent="0.2">
      <c r="A3261" s="20">
        <v>41152</v>
      </c>
      <c r="B3261">
        <v>254</v>
      </c>
      <c r="E3261">
        <f t="shared" si="100"/>
        <v>8</v>
      </c>
      <c r="F3261">
        <f t="shared" si="101"/>
        <v>2012</v>
      </c>
    </row>
    <row r="3262" spans="1:6" x14ac:dyDescent="0.2">
      <c r="A3262" s="20">
        <v>41155</v>
      </c>
      <c r="B3262">
        <v>256.25</v>
      </c>
      <c r="E3262">
        <f t="shared" si="100"/>
        <v>9</v>
      </c>
      <c r="F3262">
        <f t="shared" si="101"/>
        <v>2012</v>
      </c>
    </row>
    <row r="3263" spans="1:6" x14ac:dyDescent="0.2">
      <c r="A3263" s="20">
        <v>41156</v>
      </c>
      <c r="B3263">
        <v>255.5</v>
      </c>
      <c r="E3263">
        <f t="shared" si="100"/>
        <v>9</v>
      </c>
      <c r="F3263">
        <f t="shared" si="101"/>
        <v>2012</v>
      </c>
    </row>
    <row r="3264" spans="1:6" x14ac:dyDescent="0.2">
      <c r="A3264" s="20">
        <v>41157</v>
      </c>
      <c r="B3264">
        <v>253.75</v>
      </c>
      <c r="E3264">
        <f t="shared" si="100"/>
        <v>9</v>
      </c>
      <c r="F3264">
        <f t="shared" si="101"/>
        <v>2012</v>
      </c>
    </row>
    <row r="3265" spans="1:6" x14ac:dyDescent="0.2">
      <c r="A3265" s="20">
        <v>41158</v>
      </c>
      <c r="B3265">
        <v>254</v>
      </c>
      <c r="E3265">
        <f t="shared" si="100"/>
        <v>9</v>
      </c>
      <c r="F3265">
        <f t="shared" si="101"/>
        <v>2012</v>
      </c>
    </row>
    <row r="3266" spans="1:6" x14ac:dyDescent="0.2">
      <c r="A3266" s="20">
        <v>41159</v>
      </c>
      <c r="B3266">
        <v>255.25</v>
      </c>
      <c r="E3266">
        <f t="shared" si="100"/>
        <v>9</v>
      </c>
      <c r="F3266">
        <f t="shared" si="101"/>
        <v>2012</v>
      </c>
    </row>
    <row r="3267" spans="1:6" x14ac:dyDescent="0.2">
      <c r="A3267" s="20">
        <v>41162</v>
      </c>
      <c r="B3267">
        <v>255</v>
      </c>
      <c r="E3267">
        <f t="shared" ref="E3267:E3330" si="102">MONTH(A3267)</f>
        <v>9</v>
      </c>
      <c r="F3267">
        <f t="shared" ref="F3267:F3330" si="103">YEAR(A3267)</f>
        <v>2012</v>
      </c>
    </row>
    <row r="3268" spans="1:6" x14ac:dyDescent="0.2">
      <c r="A3268" s="20">
        <v>41163</v>
      </c>
      <c r="B3268">
        <v>252.5</v>
      </c>
      <c r="E3268">
        <f t="shared" si="102"/>
        <v>9</v>
      </c>
      <c r="F3268">
        <f t="shared" si="103"/>
        <v>2012</v>
      </c>
    </row>
    <row r="3269" spans="1:6" x14ac:dyDescent="0.2">
      <c r="A3269" s="20">
        <v>41164</v>
      </c>
      <c r="B3269">
        <v>247.25</v>
      </c>
      <c r="E3269">
        <f t="shared" si="102"/>
        <v>9</v>
      </c>
      <c r="F3269">
        <f t="shared" si="103"/>
        <v>2012</v>
      </c>
    </row>
    <row r="3270" spans="1:6" x14ac:dyDescent="0.2">
      <c r="A3270" s="20">
        <v>41165</v>
      </c>
      <c r="B3270">
        <v>248.25</v>
      </c>
      <c r="E3270">
        <f t="shared" si="102"/>
        <v>9</v>
      </c>
      <c r="F3270">
        <f t="shared" si="103"/>
        <v>2012</v>
      </c>
    </row>
    <row r="3271" spans="1:6" x14ac:dyDescent="0.2">
      <c r="A3271" s="20">
        <v>41166</v>
      </c>
      <c r="B3271">
        <v>251</v>
      </c>
      <c r="E3271">
        <f t="shared" si="102"/>
        <v>9</v>
      </c>
      <c r="F3271">
        <f t="shared" si="103"/>
        <v>2012</v>
      </c>
    </row>
    <row r="3272" spans="1:6" x14ac:dyDescent="0.2">
      <c r="A3272" s="20">
        <v>41169</v>
      </c>
      <c r="B3272">
        <v>244</v>
      </c>
      <c r="E3272">
        <f t="shared" si="102"/>
        <v>9</v>
      </c>
      <c r="F3272">
        <f t="shared" si="103"/>
        <v>2012</v>
      </c>
    </row>
    <row r="3273" spans="1:6" x14ac:dyDescent="0.2">
      <c r="A3273" s="20">
        <v>41170</v>
      </c>
      <c r="B3273">
        <v>241</v>
      </c>
      <c r="E3273">
        <f t="shared" si="102"/>
        <v>9</v>
      </c>
      <c r="F3273">
        <f t="shared" si="103"/>
        <v>2012</v>
      </c>
    </row>
    <row r="3274" spans="1:6" x14ac:dyDescent="0.2">
      <c r="A3274" s="20">
        <v>41171</v>
      </c>
      <c r="B3274">
        <v>243.25</v>
      </c>
      <c r="E3274">
        <f t="shared" si="102"/>
        <v>9</v>
      </c>
      <c r="F3274">
        <f t="shared" si="103"/>
        <v>2012</v>
      </c>
    </row>
    <row r="3275" spans="1:6" x14ac:dyDescent="0.2">
      <c r="A3275" s="20">
        <v>41172</v>
      </c>
      <c r="B3275">
        <v>241.75</v>
      </c>
      <c r="E3275">
        <f t="shared" si="102"/>
        <v>9</v>
      </c>
      <c r="F3275">
        <f t="shared" si="103"/>
        <v>2012</v>
      </c>
    </row>
    <row r="3276" spans="1:6" x14ac:dyDescent="0.2">
      <c r="A3276" s="20">
        <v>41173</v>
      </c>
      <c r="B3276">
        <v>243.25</v>
      </c>
      <c r="E3276">
        <f t="shared" si="102"/>
        <v>9</v>
      </c>
      <c r="F3276">
        <f t="shared" si="103"/>
        <v>2012</v>
      </c>
    </row>
    <row r="3277" spans="1:6" x14ac:dyDescent="0.2">
      <c r="A3277" s="20">
        <v>41176</v>
      </c>
      <c r="B3277">
        <v>241</v>
      </c>
      <c r="E3277">
        <f t="shared" si="102"/>
        <v>9</v>
      </c>
      <c r="F3277">
        <f t="shared" si="103"/>
        <v>2012</v>
      </c>
    </row>
    <row r="3278" spans="1:6" x14ac:dyDescent="0.2">
      <c r="A3278" s="20">
        <v>41177</v>
      </c>
      <c r="B3278">
        <v>241</v>
      </c>
      <c r="E3278">
        <f t="shared" si="102"/>
        <v>9</v>
      </c>
      <c r="F3278">
        <f t="shared" si="103"/>
        <v>2012</v>
      </c>
    </row>
    <row r="3279" spans="1:6" x14ac:dyDescent="0.2">
      <c r="A3279" s="20">
        <v>41178</v>
      </c>
      <c r="B3279">
        <v>238</v>
      </c>
      <c r="E3279">
        <f t="shared" si="102"/>
        <v>9</v>
      </c>
      <c r="F3279">
        <f t="shared" si="103"/>
        <v>2012</v>
      </c>
    </row>
    <row r="3280" spans="1:6" x14ac:dyDescent="0.2">
      <c r="A3280" s="20">
        <v>41179</v>
      </c>
      <c r="B3280">
        <v>233.5</v>
      </c>
      <c r="E3280">
        <f t="shared" si="102"/>
        <v>9</v>
      </c>
      <c r="F3280">
        <f t="shared" si="103"/>
        <v>2012</v>
      </c>
    </row>
    <row r="3281" spans="1:6" x14ac:dyDescent="0.2">
      <c r="A3281" s="20">
        <v>41180</v>
      </c>
      <c r="B3281">
        <v>242.5</v>
      </c>
      <c r="E3281">
        <f t="shared" si="102"/>
        <v>9</v>
      </c>
      <c r="F3281">
        <f t="shared" si="103"/>
        <v>2012</v>
      </c>
    </row>
    <row r="3282" spans="1:6" x14ac:dyDescent="0.2">
      <c r="A3282" s="20">
        <v>41183</v>
      </c>
      <c r="B3282">
        <v>239</v>
      </c>
      <c r="E3282">
        <f t="shared" si="102"/>
        <v>10</v>
      </c>
      <c r="F3282">
        <f t="shared" si="103"/>
        <v>2012</v>
      </c>
    </row>
    <row r="3283" spans="1:6" x14ac:dyDescent="0.2">
      <c r="A3283" s="20">
        <v>41184</v>
      </c>
      <c r="B3283">
        <v>237.75</v>
      </c>
      <c r="E3283">
        <f t="shared" si="102"/>
        <v>10</v>
      </c>
      <c r="F3283">
        <f t="shared" si="103"/>
        <v>2012</v>
      </c>
    </row>
    <row r="3284" spans="1:6" x14ac:dyDescent="0.2">
      <c r="A3284" s="20">
        <v>41185</v>
      </c>
      <c r="B3284">
        <v>237</v>
      </c>
      <c r="E3284">
        <f t="shared" si="102"/>
        <v>10</v>
      </c>
      <c r="F3284">
        <f t="shared" si="103"/>
        <v>2012</v>
      </c>
    </row>
    <row r="3285" spans="1:6" x14ac:dyDescent="0.2">
      <c r="A3285" s="20">
        <v>41186</v>
      </c>
      <c r="B3285">
        <v>240</v>
      </c>
      <c r="E3285">
        <f t="shared" si="102"/>
        <v>10</v>
      </c>
      <c r="F3285">
        <f t="shared" si="103"/>
        <v>2012</v>
      </c>
    </row>
    <row r="3286" spans="1:6" x14ac:dyDescent="0.2">
      <c r="A3286" s="20">
        <v>41187</v>
      </c>
      <c r="B3286">
        <v>239</v>
      </c>
      <c r="E3286">
        <f t="shared" si="102"/>
        <v>10</v>
      </c>
      <c r="F3286">
        <f t="shared" si="103"/>
        <v>2012</v>
      </c>
    </row>
    <row r="3287" spans="1:6" x14ac:dyDescent="0.2">
      <c r="A3287" s="20">
        <v>41190</v>
      </c>
      <c r="B3287">
        <v>237.75</v>
      </c>
      <c r="E3287">
        <f t="shared" si="102"/>
        <v>10</v>
      </c>
      <c r="F3287">
        <f t="shared" si="103"/>
        <v>2012</v>
      </c>
    </row>
    <row r="3288" spans="1:6" x14ac:dyDescent="0.2">
      <c r="A3288" s="20">
        <v>41191</v>
      </c>
      <c r="B3288">
        <v>240.75</v>
      </c>
      <c r="E3288">
        <f t="shared" si="102"/>
        <v>10</v>
      </c>
      <c r="F3288">
        <f t="shared" si="103"/>
        <v>2012</v>
      </c>
    </row>
    <row r="3289" spans="1:6" x14ac:dyDescent="0.2">
      <c r="A3289" s="20">
        <v>41192</v>
      </c>
      <c r="B3289">
        <v>241</v>
      </c>
      <c r="E3289">
        <f t="shared" si="102"/>
        <v>10</v>
      </c>
      <c r="F3289">
        <f t="shared" si="103"/>
        <v>2012</v>
      </c>
    </row>
    <row r="3290" spans="1:6" x14ac:dyDescent="0.2">
      <c r="A3290" s="20">
        <v>41193</v>
      </c>
      <c r="B3290">
        <v>244</v>
      </c>
      <c r="E3290">
        <f t="shared" si="102"/>
        <v>10</v>
      </c>
      <c r="F3290">
        <f t="shared" si="103"/>
        <v>2012</v>
      </c>
    </row>
    <row r="3291" spans="1:6" x14ac:dyDescent="0.2">
      <c r="A3291" s="20">
        <v>41194</v>
      </c>
      <c r="B3291">
        <v>241.5</v>
      </c>
      <c r="E3291">
        <f t="shared" si="102"/>
        <v>10</v>
      </c>
      <c r="F3291">
        <f t="shared" si="103"/>
        <v>2012</v>
      </c>
    </row>
    <row r="3292" spans="1:6" x14ac:dyDescent="0.2">
      <c r="A3292" s="20">
        <v>41197</v>
      </c>
      <c r="B3292">
        <v>239.25</v>
      </c>
      <c r="E3292">
        <f t="shared" si="102"/>
        <v>10</v>
      </c>
      <c r="F3292">
        <f t="shared" si="103"/>
        <v>2012</v>
      </c>
    </row>
    <row r="3293" spans="1:6" x14ac:dyDescent="0.2">
      <c r="A3293" s="20">
        <v>41198</v>
      </c>
      <c r="B3293">
        <v>239</v>
      </c>
      <c r="E3293">
        <f t="shared" si="102"/>
        <v>10</v>
      </c>
      <c r="F3293">
        <f t="shared" si="103"/>
        <v>2012</v>
      </c>
    </row>
    <row r="3294" spans="1:6" x14ac:dyDescent="0.2">
      <c r="A3294" s="20">
        <v>41199</v>
      </c>
      <c r="B3294">
        <v>237.5</v>
      </c>
      <c r="E3294">
        <f t="shared" si="102"/>
        <v>10</v>
      </c>
      <c r="F3294">
        <f t="shared" si="103"/>
        <v>2012</v>
      </c>
    </row>
    <row r="3295" spans="1:6" x14ac:dyDescent="0.2">
      <c r="A3295" s="20">
        <v>41200</v>
      </c>
      <c r="B3295">
        <v>239.75</v>
      </c>
      <c r="E3295">
        <f t="shared" si="102"/>
        <v>10</v>
      </c>
      <c r="F3295">
        <f t="shared" si="103"/>
        <v>2012</v>
      </c>
    </row>
    <row r="3296" spans="1:6" x14ac:dyDescent="0.2">
      <c r="A3296" s="20">
        <v>41201</v>
      </c>
      <c r="B3296">
        <v>241.75</v>
      </c>
      <c r="E3296">
        <f t="shared" si="102"/>
        <v>10</v>
      </c>
      <c r="F3296">
        <f t="shared" si="103"/>
        <v>2012</v>
      </c>
    </row>
    <row r="3297" spans="1:6" x14ac:dyDescent="0.2">
      <c r="A3297" s="20">
        <v>41204</v>
      </c>
      <c r="B3297">
        <v>244</v>
      </c>
      <c r="E3297">
        <f t="shared" si="102"/>
        <v>10</v>
      </c>
      <c r="F3297">
        <f t="shared" si="103"/>
        <v>2012</v>
      </c>
    </row>
    <row r="3298" spans="1:6" x14ac:dyDescent="0.2">
      <c r="A3298" s="20">
        <v>41205</v>
      </c>
      <c r="B3298">
        <v>245.25</v>
      </c>
      <c r="E3298">
        <f t="shared" si="102"/>
        <v>10</v>
      </c>
      <c r="F3298">
        <f t="shared" si="103"/>
        <v>2012</v>
      </c>
    </row>
    <row r="3299" spans="1:6" x14ac:dyDescent="0.2">
      <c r="A3299" s="20">
        <v>41206</v>
      </c>
      <c r="B3299">
        <v>249</v>
      </c>
      <c r="E3299">
        <f t="shared" si="102"/>
        <v>10</v>
      </c>
      <c r="F3299">
        <f t="shared" si="103"/>
        <v>2012</v>
      </c>
    </row>
    <row r="3300" spans="1:6" x14ac:dyDescent="0.2">
      <c r="A3300" s="20">
        <v>41207</v>
      </c>
      <c r="B3300">
        <v>247.75</v>
      </c>
      <c r="E3300">
        <f t="shared" si="102"/>
        <v>10</v>
      </c>
      <c r="F3300">
        <f t="shared" si="103"/>
        <v>2012</v>
      </c>
    </row>
    <row r="3301" spans="1:6" x14ac:dyDescent="0.2">
      <c r="A3301" s="20">
        <v>41208</v>
      </c>
      <c r="B3301">
        <v>249.75</v>
      </c>
      <c r="E3301">
        <f t="shared" si="102"/>
        <v>10</v>
      </c>
      <c r="F3301">
        <f t="shared" si="103"/>
        <v>2012</v>
      </c>
    </row>
    <row r="3302" spans="1:6" x14ac:dyDescent="0.2">
      <c r="A3302" s="20">
        <v>41211</v>
      </c>
      <c r="B3302">
        <v>248.5</v>
      </c>
      <c r="E3302">
        <f t="shared" si="102"/>
        <v>10</v>
      </c>
      <c r="F3302">
        <f t="shared" si="103"/>
        <v>2012</v>
      </c>
    </row>
    <row r="3303" spans="1:6" x14ac:dyDescent="0.2">
      <c r="A3303" s="20">
        <v>41212</v>
      </c>
      <c r="B3303">
        <v>246.25</v>
      </c>
      <c r="E3303">
        <f t="shared" si="102"/>
        <v>10</v>
      </c>
      <c r="F3303">
        <f t="shared" si="103"/>
        <v>2012</v>
      </c>
    </row>
    <row r="3304" spans="1:6" x14ac:dyDescent="0.2">
      <c r="A3304" s="20">
        <v>41213</v>
      </c>
      <c r="B3304">
        <v>247.75</v>
      </c>
      <c r="E3304">
        <f t="shared" si="102"/>
        <v>10</v>
      </c>
      <c r="F3304">
        <f t="shared" si="103"/>
        <v>2012</v>
      </c>
    </row>
    <row r="3305" spans="1:6" x14ac:dyDescent="0.2">
      <c r="A3305" s="20">
        <v>41214</v>
      </c>
      <c r="B3305">
        <v>247</v>
      </c>
      <c r="E3305">
        <f t="shared" si="102"/>
        <v>11</v>
      </c>
      <c r="F3305">
        <f t="shared" si="103"/>
        <v>2012</v>
      </c>
    </row>
    <row r="3306" spans="1:6" x14ac:dyDescent="0.2">
      <c r="A3306" s="20">
        <v>41215</v>
      </c>
      <c r="B3306">
        <v>247</v>
      </c>
      <c r="E3306">
        <f t="shared" si="102"/>
        <v>11</v>
      </c>
      <c r="F3306">
        <f t="shared" si="103"/>
        <v>2012</v>
      </c>
    </row>
    <row r="3307" spans="1:6" x14ac:dyDescent="0.2">
      <c r="A3307" s="20">
        <v>41218</v>
      </c>
      <c r="B3307">
        <v>238</v>
      </c>
      <c r="E3307">
        <f t="shared" si="102"/>
        <v>11</v>
      </c>
      <c r="F3307">
        <f t="shared" si="103"/>
        <v>2012</v>
      </c>
    </row>
    <row r="3308" spans="1:6" x14ac:dyDescent="0.2">
      <c r="A3308" s="20">
        <v>41219</v>
      </c>
      <c r="B3308">
        <v>255.5</v>
      </c>
      <c r="E3308">
        <f t="shared" si="102"/>
        <v>11</v>
      </c>
      <c r="F3308">
        <f t="shared" si="103"/>
        <v>2012</v>
      </c>
    </row>
    <row r="3309" spans="1:6" x14ac:dyDescent="0.2">
      <c r="A3309" s="20">
        <v>41220</v>
      </c>
      <c r="B3309">
        <v>257</v>
      </c>
      <c r="E3309">
        <f t="shared" si="102"/>
        <v>11</v>
      </c>
      <c r="F3309">
        <f t="shared" si="103"/>
        <v>2012</v>
      </c>
    </row>
    <row r="3310" spans="1:6" x14ac:dyDescent="0.2">
      <c r="A3310" s="20">
        <v>41221</v>
      </c>
      <c r="B3310">
        <v>258</v>
      </c>
      <c r="E3310">
        <f t="shared" si="102"/>
        <v>11</v>
      </c>
      <c r="F3310">
        <f t="shared" si="103"/>
        <v>2012</v>
      </c>
    </row>
    <row r="3311" spans="1:6" x14ac:dyDescent="0.2">
      <c r="A3311" s="20">
        <v>41222</v>
      </c>
      <c r="B3311">
        <v>258.75</v>
      </c>
      <c r="E3311">
        <f t="shared" si="102"/>
        <v>11</v>
      </c>
      <c r="F3311">
        <f t="shared" si="103"/>
        <v>2012</v>
      </c>
    </row>
    <row r="3312" spans="1:6" x14ac:dyDescent="0.2">
      <c r="A3312" s="20">
        <v>41225</v>
      </c>
      <c r="B3312">
        <v>253.5</v>
      </c>
      <c r="E3312">
        <f t="shared" si="102"/>
        <v>11</v>
      </c>
      <c r="F3312">
        <f t="shared" si="103"/>
        <v>2012</v>
      </c>
    </row>
    <row r="3313" spans="1:6" x14ac:dyDescent="0.2">
      <c r="A3313" s="20">
        <v>41226</v>
      </c>
      <c r="B3313">
        <v>252.25</v>
      </c>
      <c r="E3313">
        <f t="shared" si="102"/>
        <v>11</v>
      </c>
      <c r="F3313">
        <f t="shared" si="103"/>
        <v>2012</v>
      </c>
    </row>
    <row r="3314" spans="1:6" x14ac:dyDescent="0.2">
      <c r="A3314" s="20">
        <v>41227</v>
      </c>
      <c r="B3314">
        <v>255</v>
      </c>
      <c r="E3314">
        <f t="shared" si="102"/>
        <v>11</v>
      </c>
      <c r="F3314">
        <f t="shared" si="103"/>
        <v>2012</v>
      </c>
    </row>
    <row r="3315" spans="1:6" x14ac:dyDescent="0.2">
      <c r="A3315" s="20">
        <v>41228</v>
      </c>
      <c r="B3315">
        <v>254.5</v>
      </c>
      <c r="E3315">
        <f t="shared" si="102"/>
        <v>11</v>
      </c>
      <c r="F3315">
        <f t="shared" si="103"/>
        <v>2012</v>
      </c>
    </row>
    <row r="3316" spans="1:6" x14ac:dyDescent="0.2">
      <c r="A3316" s="20">
        <v>41229</v>
      </c>
      <c r="B3316">
        <v>252.25</v>
      </c>
      <c r="E3316">
        <f t="shared" si="102"/>
        <v>11</v>
      </c>
      <c r="F3316">
        <f t="shared" si="103"/>
        <v>2012</v>
      </c>
    </row>
    <row r="3317" spans="1:6" x14ac:dyDescent="0.2">
      <c r="A3317" s="20">
        <v>41232</v>
      </c>
      <c r="B3317">
        <v>254.5</v>
      </c>
      <c r="E3317">
        <f t="shared" si="102"/>
        <v>11</v>
      </c>
      <c r="F3317">
        <f t="shared" si="103"/>
        <v>2012</v>
      </c>
    </row>
    <row r="3318" spans="1:6" x14ac:dyDescent="0.2">
      <c r="A3318" s="20">
        <v>41233</v>
      </c>
      <c r="B3318">
        <v>254.25</v>
      </c>
      <c r="E3318">
        <f t="shared" si="102"/>
        <v>11</v>
      </c>
      <c r="F3318">
        <f t="shared" si="103"/>
        <v>2012</v>
      </c>
    </row>
    <row r="3319" spans="1:6" x14ac:dyDescent="0.2">
      <c r="A3319" s="20">
        <v>41234</v>
      </c>
      <c r="B3319">
        <v>253</v>
      </c>
      <c r="E3319">
        <f t="shared" si="102"/>
        <v>11</v>
      </c>
      <c r="F3319">
        <f t="shared" si="103"/>
        <v>2012</v>
      </c>
    </row>
    <row r="3320" spans="1:6" x14ac:dyDescent="0.2">
      <c r="A3320" s="20">
        <v>41235</v>
      </c>
      <c r="B3320">
        <v>253.75</v>
      </c>
      <c r="E3320">
        <f t="shared" si="102"/>
        <v>11</v>
      </c>
      <c r="F3320">
        <f t="shared" si="103"/>
        <v>2012</v>
      </c>
    </row>
    <row r="3321" spans="1:6" x14ac:dyDescent="0.2">
      <c r="A3321" s="20">
        <v>41236</v>
      </c>
      <c r="B3321">
        <v>254</v>
      </c>
      <c r="E3321">
        <f t="shared" si="102"/>
        <v>11</v>
      </c>
      <c r="F3321">
        <f t="shared" si="103"/>
        <v>2012</v>
      </c>
    </row>
    <row r="3322" spans="1:6" x14ac:dyDescent="0.2">
      <c r="A3322" s="20">
        <v>41239</v>
      </c>
      <c r="B3322">
        <v>255</v>
      </c>
      <c r="E3322">
        <f t="shared" si="102"/>
        <v>11</v>
      </c>
      <c r="F3322">
        <f t="shared" si="103"/>
        <v>2012</v>
      </c>
    </row>
    <row r="3323" spans="1:6" x14ac:dyDescent="0.2">
      <c r="A3323" s="20">
        <v>41240</v>
      </c>
      <c r="B3323">
        <v>256</v>
      </c>
      <c r="E3323">
        <f t="shared" si="102"/>
        <v>11</v>
      </c>
      <c r="F3323">
        <f t="shared" si="103"/>
        <v>2012</v>
      </c>
    </row>
    <row r="3324" spans="1:6" x14ac:dyDescent="0.2">
      <c r="A3324" s="20">
        <v>41241</v>
      </c>
      <c r="B3324">
        <v>257</v>
      </c>
      <c r="E3324">
        <f t="shared" si="102"/>
        <v>11</v>
      </c>
      <c r="F3324">
        <f t="shared" si="103"/>
        <v>2012</v>
      </c>
    </row>
    <row r="3325" spans="1:6" x14ac:dyDescent="0.2">
      <c r="A3325" s="20">
        <v>41242</v>
      </c>
      <c r="B3325">
        <v>256.5</v>
      </c>
      <c r="E3325">
        <f t="shared" si="102"/>
        <v>11</v>
      </c>
      <c r="F3325">
        <f t="shared" si="103"/>
        <v>2012</v>
      </c>
    </row>
    <row r="3326" spans="1:6" x14ac:dyDescent="0.2">
      <c r="A3326" s="20">
        <v>41243</v>
      </c>
      <c r="B3326">
        <v>253.5</v>
      </c>
      <c r="E3326">
        <f t="shared" si="102"/>
        <v>11</v>
      </c>
      <c r="F3326">
        <f t="shared" si="103"/>
        <v>2012</v>
      </c>
    </row>
    <row r="3327" spans="1:6" x14ac:dyDescent="0.2">
      <c r="A3327" s="20">
        <v>41246</v>
      </c>
      <c r="B3327">
        <v>253.25</v>
      </c>
      <c r="E3327">
        <f t="shared" si="102"/>
        <v>12</v>
      </c>
      <c r="F3327">
        <f t="shared" si="103"/>
        <v>2012</v>
      </c>
    </row>
    <row r="3328" spans="1:6" x14ac:dyDescent="0.2">
      <c r="A3328" s="20">
        <v>41247</v>
      </c>
      <c r="B3328">
        <v>250.75</v>
      </c>
      <c r="E3328">
        <f t="shared" si="102"/>
        <v>12</v>
      </c>
      <c r="F3328">
        <f t="shared" si="103"/>
        <v>2012</v>
      </c>
    </row>
    <row r="3329" spans="1:6" x14ac:dyDescent="0.2">
      <c r="A3329" s="20">
        <v>41248</v>
      </c>
      <c r="B3329">
        <v>254</v>
      </c>
      <c r="E3329">
        <f t="shared" si="102"/>
        <v>12</v>
      </c>
      <c r="F3329">
        <f t="shared" si="103"/>
        <v>2012</v>
      </c>
    </row>
    <row r="3330" spans="1:6" x14ac:dyDescent="0.2">
      <c r="A3330" s="20">
        <v>41249</v>
      </c>
      <c r="B3330">
        <v>253.5</v>
      </c>
      <c r="E3330">
        <f t="shared" si="102"/>
        <v>12</v>
      </c>
      <c r="F3330">
        <f t="shared" si="103"/>
        <v>2012</v>
      </c>
    </row>
    <row r="3331" spans="1:6" x14ac:dyDescent="0.2">
      <c r="A3331" s="20">
        <v>41250</v>
      </c>
      <c r="B3331">
        <v>255.75</v>
      </c>
      <c r="E3331">
        <f t="shared" ref="E3331:E3394" si="104">MONTH(A3331)</f>
        <v>12</v>
      </c>
      <c r="F3331">
        <f t="shared" ref="F3331:F3394" si="105">YEAR(A3331)</f>
        <v>2012</v>
      </c>
    </row>
    <row r="3332" spans="1:6" x14ac:dyDescent="0.2">
      <c r="A3332" s="20">
        <v>41253</v>
      </c>
      <c r="B3332">
        <v>253</v>
      </c>
      <c r="E3332">
        <f t="shared" si="104"/>
        <v>12</v>
      </c>
      <c r="F3332">
        <f t="shared" si="105"/>
        <v>2012</v>
      </c>
    </row>
    <row r="3333" spans="1:6" x14ac:dyDescent="0.2">
      <c r="A3333" s="20">
        <v>41254</v>
      </c>
      <c r="B3333">
        <v>251.5</v>
      </c>
      <c r="E3333">
        <f t="shared" si="104"/>
        <v>12</v>
      </c>
      <c r="F3333">
        <f t="shared" si="105"/>
        <v>2012</v>
      </c>
    </row>
    <row r="3334" spans="1:6" x14ac:dyDescent="0.2">
      <c r="A3334" s="20">
        <v>41255</v>
      </c>
      <c r="B3334">
        <v>249.25</v>
      </c>
      <c r="E3334">
        <f t="shared" si="104"/>
        <v>12</v>
      </c>
      <c r="F3334">
        <f t="shared" si="105"/>
        <v>2012</v>
      </c>
    </row>
    <row r="3335" spans="1:6" x14ac:dyDescent="0.2">
      <c r="A3335" s="20">
        <v>41256</v>
      </c>
      <c r="B3335">
        <v>246</v>
      </c>
      <c r="E3335">
        <f t="shared" si="104"/>
        <v>12</v>
      </c>
      <c r="F3335">
        <f t="shared" si="105"/>
        <v>2012</v>
      </c>
    </row>
    <row r="3336" spans="1:6" x14ac:dyDescent="0.2">
      <c r="A3336" s="20">
        <v>41257</v>
      </c>
      <c r="B3336">
        <v>249.25</v>
      </c>
      <c r="E3336">
        <f t="shared" si="104"/>
        <v>12</v>
      </c>
      <c r="F3336">
        <f t="shared" si="105"/>
        <v>2012</v>
      </c>
    </row>
    <row r="3337" spans="1:6" x14ac:dyDescent="0.2">
      <c r="A3337" s="20">
        <v>41260</v>
      </c>
      <c r="B3337">
        <v>247.75</v>
      </c>
      <c r="E3337">
        <f t="shared" si="104"/>
        <v>12</v>
      </c>
      <c r="F3337">
        <f t="shared" si="105"/>
        <v>2012</v>
      </c>
    </row>
    <row r="3338" spans="1:6" x14ac:dyDescent="0.2">
      <c r="A3338" s="20">
        <v>41261</v>
      </c>
      <c r="B3338">
        <v>245.75</v>
      </c>
      <c r="E3338">
        <f t="shared" si="104"/>
        <v>12</v>
      </c>
      <c r="F3338">
        <f t="shared" si="105"/>
        <v>2012</v>
      </c>
    </row>
    <row r="3339" spans="1:6" x14ac:dyDescent="0.2">
      <c r="A3339" s="20">
        <v>41262</v>
      </c>
      <c r="B3339">
        <v>243</v>
      </c>
      <c r="E3339">
        <f t="shared" si="104"/>
        <v>12</v>
      </c>
      <c r="F3339">
        <f t="shared" si="105"/>
        <v>2012</v>
      </c>
    </row>
    <row r="3340" spans="1:6" x14ac:dyDescent="0.2">
      <c r="A3340" s="20">
        <v>41263</v>
      </c>
      <c r="B3340">
        <v>238.25</v>
      </c>
      <c r="E3340">
        <f t="shared" si="104"/>
        <v>12</v>
      </c>
      <c r="F3340">
        <f t="shared" si="105"/>
        <v>2012</v>
      </c>
    </row>
    <row r="3341" spans="1:6" x14ac:dyDescent="0.2">
      <c r="A3341" s="20">
        <v>41264</v>
      </c>
      <c r="B3341">
        <v>241.5</v>
      </c>
      <c r="E3341">
        <f t="shared" si="104"/>
        <v>12</v>
      </c>
      <c r="F3341">
        <f t="shared" si="105"/>
        <v>2012</v>
      </c>
    </row>
    <row r="3342" spans="1:6" x14ac:dyDescent="0.2">
      <c r="A3342" s="20">
        <v>41267</v>
      </c>
      <c r="B3342">
        <v>242</v>
      </c>
      <c r="E3342">
        <f t="shared" si="104"/>
        <v>12</v>
      </c>
      <c r="F3342">
        <f t="shared" si="105"/>
        <v>2012</v>
      </c>
    </row>
    <row r="3343" spans="1:6" x14ac:dyDescent="0.2">
      <c r="A3343" s="20">
        <v>41270</v>
      </c>
      <c r="B3343">
        <v>238</v>
      </c>
      <c r="E3343">
        <f t="shared" si="104"/>
        <v>12</v>
      </c>
      <c r="F3343">
        <f t="shared" si="105"/>
        <v>2012</v>
      </c>
    </row>
    <row r="3344" spans="1:6" x14ac:dyDescent="0.2">
      <c r="A3344" s="20">
        <v>41271</v>
      </c>
      <c r="B3344">
        <v>240.5</v>
      </c>
      <c r="E3344">
        <f t="shared" si="104"/>
        <v>12</v>
      </c>
      <c r="F3344">
        <f t="shared" si="105"/>
        <v>2012</v>
      </c>
    </row>
    <row r="3345" spans="1:6" x14ac:dyDescent="0.2">
      <c r="A3345" s="20">
        <v>41274</v>
      </c>
      <c r="B3345">
        <v>238.75</v>
      </c>
      <c r="E3345">
        <f t="shared" si="104"/>
        <v>12</v>
      </c>
      <c r="F3345">
        <f t="shared" si="105"/>
        <v>2012</v>
      </c>
    </row>
    <row r="3346" spans="1:6" x14ac:dyDescent="0.2">
      <c r="A3346" s="20">
        <v>41276</v>
      </c>
      <c r="B3346">
        <v>238.75</v>
      </c>
      <c r="E3346">
        <f t="shared" si="104"/>
        <v>1</v>
      </c>
      <c r="F3346">
        <f t="shared" si="105"/>
        <v>2013</v>
      </c>
    </row>
    <row r="3347" spans="1:6" x14ac:dyDescent="0.2">
      <c r="A3347" s="20">
        <v>41277</v>
      </c>
      <c r="B3347">
        <v>237.5</v>
      </c>
      <c r="E3347">
        <f t="shared" si="104"/>
        <v>1</v>
      </c>
      <c r="F3347">
        <f t="shared" si="105"/>
        <v>2013</v>
      </c>
    </row>
    <row r="3348" spans="1:6" x14ac:dyDescent="0.2">
      <c r="A3348" s="20">
        <v>41278</v>
      </c>
      <c r="B3348">
        <v>235.75</v>
      </c>
      <c r="E3348">
        <f t="shared" si="104"/>
        <v>1</v>
      </c>
      <c r="F3348">
        <f t="shared" si="105"/>
        <v>2013</v>
      </c>
    </row>
    <row r="3349" spans="1:6" x14ac:dyDescent="0.2">
      <c r="A3349" s="20">
        <v>41281</v>
      </c>
      <c r="B3349">
        <v>235.5</v>
      </c>
      <c r="E3349">
        <f t="shared" si="104"/>
        <v>1</v>
      </c>
      <c r="F3349">
        <f t="shared" si="105"/>
        <v>2013</v>
      </c>
    </row>
    <row r="3350" spans="1:6" x14ac:dyDescent="0.2">
      <c r="A3350" s="20">
        <v>41282</v>
      </c>
      <c r="B3350">
        <v>236.75</v>
      </c>
      <c r="E3350">
        <f t="shared" si="104"/>
        <v>1</v>
      </c>
      <c r="F3350">
        <f t="shared" si="105"/>
        <v>2013</v>
      </c>
    </row>
    <row r="3351" spans="1:6" x14ac:dyDescent="0.2">
      <c r="A3351" s="20">
        <v>41283</v>
      </c>
      <c r="B3351">
        <v>235.5</v>
      </c>
      <c r="E3351">
        <f t="shared" si="104"/>
        <v>1</v>
      </c>
      <c r="F3351">
        <f t="shared" si="105"/>
        <v>2013</v>
      </c>
    </row>
    <row r="3352" spans="1:6" x14ac:dyDescent="0.2">
      <c r="A3352" s="20">
        <v>41284</v>
      </c>
      <c r="B3352">
        <v>236</v>
      </c>
      <c r="E3352">
        <f t="shared" si="104"/>
        <v>1</v>
      </c>
      <c r="F3352">
        <f t="shared" si="105"/>
        <v>2013</v>
      </c>
    </row>
    <row r="3353" spans="1:6" x14ac:dyDescent="0.2">
      <c r="A3353" s="20">
        <v>41285</v>
      </c>
      <c r="B3353">
        <v>236.75</v>
      </c>
      <c r="E3353">
        <f t="shared" si="104"/>
        <v>1</v>
      </c>
      <c r="F3353">
        <f t="shared" si="105"/>
        <v>2013</v>
      </c>
    </row>
    <row r="3354" spans="1:6" x14ac:dyDescent="0.2">
      <c r="A3354" s="20">
        <v>41288</v>
      </c>
      <c r="B3354">
        <v>242</v>
      </c>
      <c r="E3354">
        <f t="shared" si="104"/>
        <v>1</v>
      </c>
      <c r="F3354">
        <f t="shared" si="105"/>
        <v>2013</v>
      </c>
    </row>
    <row r="3355" spans="1:6" x14ac:dyDescent="0.2">
      <c r="A3355" s="20">
        <v>41289</v>
      </c>
      <c r="B3355">
        <v>243.75</v>
      </c>
      <c r="E3355">
        <f t="shared" si="104"/>
        <v>1</v>
      </c>
      <c r="F3355">
        <f t="shared" si="105"/>
        <v>2013</v>
      </c>
    </row>
    <row r="3356" spans="1:6" x14ac:dyDescent="0.2">
      <c r="A3356" s="20">
        <v>41290</v>
      </c>
      <c r="B3356">
        <v>242.75</v>
      </c>
      <c r="E3356">
        <f t="shared" si="104"/>
        <v>1</v>
      </c>
      <c r="F3356">
        <f t="shared" si="105"/>
        <v>2013</v>
      </c>
    </row>
    <row r="3357" spans="1:6" x14ac:dyDescent="0.2">
      <c r="A3357" s="20">
        <v>41291</v>
      </c>
      <c r="B3357">
        <v>241</v>
      </c>
      <c r="E3357">
        <f t="shared" si="104"/>
        <v>1</v>
      </c>
      <c r="F3357">
        <f t="shared" si="105"/>
        <v>2013</v>
      </c>
    </row>
    <row r="3358" spans="1:6" x14ac:dyDescent="0.2">
      <c r="A3358" s="20">
        <v>41292</v>
      </c>
      <c r="B3358">
        <v>241.5</v>
      </c>
      <c r="E3358">
        <f t="shared" si="104"/>
        <v>1</v>
      </c>
      <c r="F3358">
        <f t="shared" si="105"/>
        <v>2013</v>
      </c>
    </row>
    <row r="3359" spans="1:6" x14ac:dyDescent="0.2">
      <c r="A3359" s="20">
        <v>41295</v>
      </c>
      <c r="B3359">
        <v>243.25</v>
      </c>
      <c r="E3359">
        <f t="shared" si="104"/>
        <v>1</v>
      </c>
      <c r="F3359">
        <f t="shared" si="105"/>
        <v>2013</v>
      </c>
    </row>
    <row r="3360" spans="1:6" x14ac:dyDescent="0.2">
      <c r="A3360" s="20">
        <v>41296</v>
      </c>
      <c r="B3360">
        <v>243</v>
      </c>
      <c r="E3360">
        <f t="shared" si="104"/>
        <v>1</v>
      </c>
      <c r="F3360">
        <f t="shared" si="105"/>
        <v>2013</v>
      </c>
    </row>
    <row r="3361" spans="1:6" x14ac:dyDescent="0.2">
      <c r="A3361" s="20">
        <v>41297</v>
      </c>
      <c r="B3361">
        <v>242</v>
      </c>
      <c r="E3361">
        <f t="shared" si="104"/>
        <v>1</v>
      </c>
      <c r="F3361">
        <f t="shared" si="105"/>
        <v>2013</v>
      </c>
    </row>
    <row r="3362" spans="1:6" x14ac:dyDescent="0.2">
      <c r="A3362" s="20">
        <v>41298</v>
      </c>
      <c r="B3362">
        <v>237.75</v>
      </c>
      <c r="E3362">
        <f t="shared" si="104"/>
        <v>1</v>
      </c>
      <c r="F3362">
        <f t="shared" si="105"/>
        <v>2013</v>
      </c>
    </row>
    <row r="3363" spans="1:6" x14ac:dyDescent="0.2">
      <c r="A3363" s="20">
        <v>41299</v>
      </c>
      <c r="B3363">
        <v>237</v>
      </c>
      <c r="E3363">
        <f t="shared" si="104"/>
        <v>1</v>
      </c>
      <c r="F3363">
        <f t="shared" si="105"/>
        <v>2013</v>
      </c>
    </row>
    <row r="3364" spans="1:6" x14ac:dyDescent="0.2">
      <c r="A3364" s="20">
        <v>41302</v>
      </c>
      <c r="B3364">
        <v>237.5</v>
      </c>
      <c r="E3364">
        <f t="shared" si="104"/>
        <v>1</v>
      </c>
      <c r="F3364">
        <f t="shared" si="105"/>
        <v>2013</v>
      </c>
    </row>
    <row r="3365" spans="1:6" x14ac:dyDescent="0.2">
      <c r="A3365" s="20">
        <v>41303</v>
      </c>
      <c r="B3365">
        <v>238</v>
      </c>
      <c r="E3365">
        <f t="shared" si="104"/>
        <v>1</v>
      </c>
      <c r="F3365">
        <f t="shared" si="105"/>
        <v>2013</v>
      </c>
    </row>
    <row r="3366" spans="1:6" x14ac:dyDescent="0.2">
      <c r="A3366" s="20">
        <v>41304</v>
      </c>
      <c r="B3366">
        <v>237.25</v>
      </c>
      <c r="E3366">
        <f t="shared" si="104"/>
        <v>1</v>
      </c>
      <c r="F3366">
        <f t="shared" si="105"/>
        <v>2013</v>
      </c>
    </row>
    <row r="3367" spans="1:6" x14ac:dyDescent="0.2">
      <c r="A3367" s="20">
        <v>41305</v>
      </c>
      <c r="B3367">
        <v>236</v>
      </c>
      <c r="E3367">
        <f t="shared" si="104"/>
        <v>1</v>
      </c>
      <c r="F3367">
        <f t="shared" si="105"/>
        <v>2013</v>
      </c>
    </row>
    <row r="3368" spans="1:6" x14ac:dyDescent="0.2">
      <c r="A3368" s="20">
        <v>41306</v>
      </c>
      <c r="B3368">
        <v>235.75</v>
      </c>
      <c r="E3368">
        <f t="shared" si="104"/>
        <v>2</v>
      </c>
      <c r="F3368">
        <f t="shared" si="105"/>
        <v>2013</v>
      </c>
    </row>
    <row r="3369" spans="1:6" x14ac:dyDescent="0.2">
      <c r="A3369" s="20">
        <v>41309</v>
      </c>
      <c r="B3369">
        <v>235</v>
      </c>
      <c r="E3369">
        <f t="shared" si="104"/>
        <v>2</v>
      </c>
      <c r="F3369">
        <f t="shared" si="105"/>
        <v>2013</v>
      </c>
    </row>
    <row r="3370" spans="1:6" x14ac:dyDescent="0.2">
      <c r="A3370" s="20">
        <v>41310</v>
      </c>
      <c r="B3370">
        <v>233</v>
      </c>
      <c r="E3370">
        <f t="shared" si="104"/>
        <v>2</v>
      </c>
      <c r="F3370">
        <f t="shared" si="105"/>
        <v>2013</v>
      </c>
    </row>
    <row r="3371" spans="1:6" x14ac:dyDescent="0.2">
      <c r="A3371" s="20">
        <v>41311</v>
      </c>
      <c r="B3371">
        <v>230.25</v>
      </c>
      <c r="E3371">
        <f t="shared" si="104"/>
        <v>2</v>
      </c>
      <c r="F3371">
        <f t="shared" si="105"/>
        <v>2013</v>
      </c>
    </row>
    <row r="3372" spans="1:6" x14ac:dyDescent="0.2">
      <c r="A3372" s="20">
        <v>41312</v>
      </c>
      <c r="B3372">
        <v>228.5</v>
      </c>
      <c r="E3372">
        <f t="shared" si="104"/>
        <v>2</v>
      </c>
      <c r="F3372">
        <f t="shared" si="105"/>
        <v>2013</v>
      </c>
    </row>
    <row r="3373" spans="1:6" x14ac:dyDescent="0.2">
      <c r="A3373" s="20">
        <v>41313</v>
      </c>
      <c r="B3373">
        <v>228.75</v>
      </c>
      <c r="E3373">
        <f t="shared" si="104"/>
        <v>2</v>
      </c>
      <c r="F3373">
        <f t="shared" si="105"/>
        <v>2013</v>
      </c>
    </row>
    <row r="3374" spans="1:6" x14ac:dyDescent="0.2">
      <c r="A3374" s="20">
        <v>41316</v>
      </c>
      <c r="B3374">
        <v>227.25</v>
      </c>
      <c r="E3374">
        <f t="shared" si="104"/>
        <v>2</v>
      </c>
      <c r="F3374">
        <f t="shared" si="105"/>
        <v>2013</v>
      </c>
    </row>
    <row r="3375" spans="1:6" x14ac:dyDescent="0.2">
      <c r="A3375" s="20">
        <v>41317</v>
      </c>
      <c r="B3375">
        <v>225</v>
      </c>
      <c r="E3375">
        <f t="shared" si="104"/>
        <v>2</v>
      </c>
      <c r="F3375">
        <f t="shared" si="105"/>
        <v>2013</v>
      </c>
    </row>
    <row r="3376" spans="1:6" x14ac:dyDescent="0.2">
      <c r="A3376" s="20">
        <v>41318</v>
      </c>
      <c r="B3376">
        <v>225</v>
      </c>
      <c r="E3376">
        <f t="shared" si="104"/>
        <v>2</v>
      </c>
      <c r="F3376">
        <f t="shared" si="105"/>
        <v>2013</v>
      </c>
    </row>
    <row r="3377" spans="1:6" x14ac:dyDescent="0.2">
      <c r="A3377" s="20">
        <v>41319</v>
      </c>
      <c r="B3377">
        <v>223.75</v>
      </c>
      <c r="E3377">
        <f t="shared" si="104"/>
        <v>2</v>
      </c>
      <c r="F3377">
        <f t="shared" si="105"/>
        <v>2013</v>
      </c>
    </row>
    <row r="3378" spans="1:6" x14ac:dyDescent="0.2">
      <c r="A3378" s="20">
        <v>41320</v>
      </c>
      <c r="B3378">
        <v>225</v>
      </c>
      <c r="E3378">
        <f t="shared" si="104"/>
        <v>2</v>
      </c>
      <c r="F3378">
        <f t="shared" si="105"/>
        <v>2013</v>
      </c>
    </row>
    <row r="3379" spans="1:6" x14ac:dyDescent="0.2">
      <c r="A3379" s="20">
        <v>41323</v>
      </c>
      <c r="B3379">
        <v>225.5</v>
      </c>
      <c r="E3379">
        <f t="shared" si="104"/>
        <v>2</v>
      </c>
      <c r="F3379">
        <f t="shared" si="105"/>
        <v>2013</v>
      </c>
    </row>
    <row r="3380" spans="1:6" x14ac:dyDescent="0.2">
      <c r="A3380" s="20">
        <v>41324</v>
      </c>
      <c r="B3380">
        <v>225</v>
      </c>
      <c r="E3380">
        <f t="shared" si="104"/>
        <v>2</v>
      </c>
      <c r="F3380">
        <f t="shared" si="105"/>
        <v>2013</v>
      </c>
    </row>
    <row r="3381" spans="1:6" x14ac:dyDescent="0.2">
      <c r="A3381" s="20">
        <v>41325</v>
      </c>
      <c r="B3381">
        <v>226.25</v>
      </c>
      <c r="E3381">
        <f t="shared" si="104"/>
        <v>2</v>
      </c>
      <c r="F3381">
        <f t="shared" si="105"/>
        <v>2013</v>
      </c>
    </row>
    <row r="3382" spans="1:6" x14ac:dyDescent="0.2">
      <c r="A3382" s="20">
        <v>41326</v>
      </c>
      <c r="B3382">
        <v>224</v>
      </c>
      <c r="E3382">
        <f t="shared" si="104"/>
        <v>2</v>
      </c>
      <c r="F3382">
        <f t="shared" si="105"/>
        <v>2013</v>
      </c>
    </row>
    <row r="3383" spans="1:6" x14ac:dyDescent="0.2">
      <c r="A3383" s="20">
        <v>41327</v>
      </c>
      <c r="B3383">
        <v>225.25</v>
      </c>
      <c r="E3383">
        <f t="shared" si="104"/>
        <v>2</v>
      </c>
      <c r="F3383">
        <f t="shared" si="105"/>
        <v>2013</v>
      </c>
    </row>
    <row r="3384" spans="1:6" x14ac:dyDescent="0.2">
      <c r="A3384" s="20">
        <v>41330</v>
      </c>
      <c r="B3384">
        <v>223</v>
      </c>
      <c r="E3384">
        <f t="shared" si="104"/>
        <v>2</v>
      </c>
      <c r="F3384">
        <f t="shared" si="105"/>
        <v>2013</v>
      </c>
    </row>
    <row r="3385" spans="1:6" x14ac:dyDescent="0.2">
      <c r="A3385" s="20">
        <v>41331</v>
      </c>
      <c r="B3385">
        <v>224.5</v>
      </c>
      <c r="E3385">
        <f t="shared" si="104"/>
        <v>2</v>
      </c>
      <c r="F3385">
        <f t="shared" si="105"/>
        <v>2013</v>
      </c>
    </row>
    <row r="3386" spans="1:6" x14ac:dyDescent="0.2">
      <c r="A3386" s="20">
        <v>41332</v>
      </c>
      <c r="B3386">
        <v>226.75</v>
      </c>
      <c r="E3386">
        <f t="shared" si="104"/>
        <v>2</v>
      </c>
      <c r="F3386">
        <f t="shared" si="105"/>
        <v>2013</v>
      </c>
    </row>
    <row r="3387" spans="1:6" x14ac:dyDescent="0.2">
      <c r="A3387" s="20">
        <v>41333</v>
      </c>
      <c r="B3387">
        <v>227.25</v>
      </c>
      <c r="E3387">
        <f t="shared" si="104"/>
        <v>2</v>
      </c>
      <c r="F3387">
        <f t="shared" si="105"/>
        <v>2013</v>
      </c>
    </row>
    <row r="3388" spans="1:6" x14ac:dyDescent="0.2">
      <c r="A3388" s="20">
        <v>41334</v>
      </c>
      <c r="B3388">
        <v>224.5</v>
      </c>
      <c r="E3388">
        <f t="shared" si="104"/>
        <v>3</v>
      </c>
      <c r="F3388">
        <f t="shared" si="105"/>
        <v>2013</v>
      </c>
    </row>
    <row r="3389" spans="1:6" x14ac:dyDescent="0.2">
      <c r="A3389" s="20">
        <v>41337</v>
      </c>
      <c r="B3389">
        <v>217.25</v>
      </c>
      <c r="E3389">
        <f t="shared" si="104"/>
        <v>3</v>
      </c>
      <c r="F3389">
        <f t="shared" si="105"/>
        <v>2013</v>
      </c>
    </row>
    <row r="3390" spans="1:6" x14ac:dyDescent="0.2">
      <c r="A3390" s="20">
        <v>41338</v>
      </c>
      <c r="B3390">
        <v>218.5</v>
      </c>
      <c r="E3390">
        <f t="shared" si="104"/>
        <v>3</v>
      </c>
      <c r="F3390">
        <f t="shared" si="105"/>
        <v>2013</v>
      </c>
    </row>
    <row r="3391" spans="1:6" x14ac:dyDescent="0.2">
      <c r="A3391" s="20">
        <v>41339</v>
      </c>
      <c r="B3391">
        <v>222.25</v>
      </c>
      <c r="E3391">
        <f t="shared" si="104"/>
        <v>3</v>
      </c>
      <c r="F3391">
        <f t="shared" si="105"/>
        <v>2013</v>
      </c>
    </row>
    <row r="3392" spans="1:6" x14ac:dyDescent="0.2">
      <c r="A3392" s="20">
        <v>41340</v>
      </c>
      <c r="B3392">
        <v>219</v>
      </c>
      <c r="E3392">
        <f t="shared" si="104"/>
        <v>3</v>
      </c>
      <c r="F3392">
        <f t="shared" si="105"/>
        <v>2013</v>
      </c>
    </row>
    <row r="3393" spans="1:6" x14ac:dyDescent="0.2">
      <c r="A3393" s="20">
        <v>41341</v>
      </c>
      <c r="B3393">
        <v>219.5</v>
      </c>
      <c r="E3393">
        <f t="shared" si="104"/>
        <v>3</v>
      </c>
      <c r="F3393">
        <f t="shared" si="105"/>
        <v>2013</v>
      </c>
    </row>
    <row r="3394" spans="1:6" x14ac:dyDescent="0.2">
      <c r="A3394" s="20">
        <v>41344</v>
      </c>
      <c r="B3394">
        <v>222.75</v>
      </c>
      <c r="E3394">
        <f t="shared" si="104"/>
        <v>3</v>
      </c>
      <c r="F3394">
        <f t="shared" si="105"/>
        <v>2013</v>
      </c>
    </row>
    <row r="3395" spans="1:6" x14ac:dyDescent="0.2">
      <c r="A3395" s="20">
        <v>41345</v>
      </c>
      <c r="B3395">
        <v>222.5</v>
      </c>
      <c r="E3395">
        <f t="shared" ref="E3395:E3458" si="106">MONTH(A3395)</f>
        <v>3</v>
      </c>
      <c r="F3395">
        <f t="shared" ref="F3395:F3458" si="107">YEAR(A3395)</f>
        <v>2013</v>
      </c>
    </row>
    <row r="3396" spans="1:6" x14ac:dyDescent="0.2">
      <c r="A3396" s="20">
        <v>41346</v>
      </c>
      <c r="B3396">
        <v>222.75</v>
      </c>
      <c r="E3396">
        <f t="shared" si="106"/>
        <v>3</v>
      </c>
      <c r="F3396">
        <f t="shared" si="107"/>
        <v>2013</v>
      </c>
    </row>
    <row r="3397" spans="1:6" x14ac:dyDescent="0.2">
      <c r="A3397" s="20">
        <v>41347</v>
      </c>
      <c r="B3397">
        <v>224</v>
      </c>
      <c r="E3397">
        <f t="shared" si="106"/>
        <v>3</v>
      </c>
      <c r="F3397">
        <f t="shared" si="107"/>
        <v>2013</v>
      </c>
    </row>
    <row r="3398" spans="1:6" x14ac:dyDescent="0.2">
      <c r="A3398" s="20">
        <v>41348</v>
      </c>
      <c r="B3398">
        <v>225.25</v>
      </c>
      <c r="E3398">
        <f t="shared" si="106"/>
        <v>3</v>
      </c>
      <c r="F3398">
        <f t="shared" si="107"/>
        <v>2013</v>
      </c>
    </row>
    <row r="3399" spans="1:6" x14ac:dyDescent="0.2">
      <c r="A3399" s="20">
        <v>41351</v>
      </c>
      <c r="B3399">
        <v>224.5</v>
      </c>
      <c r="E3399">
        <f t="shared" si="106"/>
        <v>3</v>
      </c>
      <c r="F3399">
        <f t="shared" si="107"/>
        <v>2013</v>
      </c>
    </row>
    <row r="3400" spans="1:6" x14ac:dyDescent="0.2">
      <c r="A3400" s="20">
        <v>41352</v>
      </c>
      <c r="B3400">
        <v>226.5</v>
      </c>
      <c r="E3400">
        <f t="shared" si="106"/>
        <v>3</v>
      </c>
      <c r="F3400">
        <f t="shared" si="107"/>
        <v>2013</v>
      </c>
    </row>
    <row r="3401" spans="1:6" x14ac:dyDescent="0.2">
      <c r="A3401" s="20">
        <v>41353</v>
      </c>
      <c r="B3401">
        <v>230</v>
      </c>
      <c r="E3401">
        <f t="shared" si="106"/>
        <v>3</v>
      </c>
      <c r="F3401">
        <f t="shared" si="107"/>
        <v>2013</v>
      </c>
    </row>
    <row r="3402" spans="1:6" x14ac:dyDescent="0.2">
      <c r="A3402" s="20">
        <v>41354</v>
      </c>
      <c r="B3402">
        <v>230.5</v>
      </c>
      <c r="E3402">
        <f t="shared" si="106"/>
        <v>3</v>
      </c>
      <c r="F3402">
        <f t="shared" si="107"/>
        <v>2013</v>
      </c>
    </row>
    <row r="3403" spans="1:6" x14ac:dyDescent="0.2">
      <c r="A3403" s="20">
        <v>41355</v>
      </c>
      <c r="B3403">
        <v>229</v>
      </c>
      <c r="E3403">
        <f t="shared" si="106"/>
        <v>3</v>
      </c>
      <c r="F3403">
        <f t="shared" si="107"/>
        <v>2013</v>
      </c>
    </row>
    <row r="3404" spans="1:6" x14ac:dyDescent="0.2">
      <c r="A3404" s="20">
        <v>41358</v>
      </c>
      <c r="B3404">
        <v>229.75</v>
      </c>
      <c r="E3404">
        <f t="shared" si="106"/>
        <v>3</v>
      </c>
      <c r="F3404">
        <f t="shared" si="107"/>
        <v>2013</v>
      </c>
    </row>
    <row r="3405" spans="1:6" x14ac:dyDescent="0.2">
      <c r="A3405" s="20">
        <v>41359</v>
      </c>
      <c r="B3405">
        <v>231.25</v>
      </c>
      <c r="E3405">
        <f t="shared" si="106"/>
        <v>3</v>
      </c>
      <c r="F3405">
        <f t="shared" si="107"/>
        <v>2013</v>
      </c>
    </row>
    <row r="3406" spans="1:6" x14ac:dyDescent="0.2">
      <c r="A3406" s="20">
        <v>41360</v>
      </c>
      <c r="B3406">
        <v>233.25</v>
      </c>
      <c r="E3406">
        <f t="shared" si="106"/>
        <v>3</v>
      </c>
      <c r="F3406">
        <f t="shared" si="107"/>
        <v>2013</v>
      </c>
    </row>
    <row r="3407" spans="1:6" x14ac:dyDescent="0.2">
      <c r="A3407" s="20">
        <v>41361</v>
      </c>
      <c r="B3407">
        <v>227.75</v>
      </c>
      <c r="E3407">
        <f t="shared" si="106"/>
        <v>3</v>
      </c>
      <c r="F3407">
        <f t="shared" si="107"/>
        <v>2013</v>
      </c>
    </row>
    <row r="3408" spans="1:6" x14ac:dyDescent="0.2">
      <c r="A3408" s="20">
        <v>41366</v>
      </c>
      <c r="B3408">
        <v>224</v>
      </c>
      <c r="E3408">
        <f t="shared" si="106"/>
        <v>4</v>
      </c>
      <c r="F3408">
        <f t="shared" si="107"/>
        <v>2013</v>
      </c>
    </row>
    <row r="3409" spans="1:6" x14ac:dyDescent="0.2">
      <c r="A3409" s="20">
        <v>41367</v>
      </c>
      <c r="B3409">
        <v>223.5</v>
      </c>
      <c r="E3409">
        <f t="shared" si="106"/>
        <v>4</v>
      </c>
      <c r="F3409">
        <f t="shared" si="107"/>
        <v>2013</v>
      </c>
    </row>
    <row r="3410" spans="1:6" x14ac:dyDescent="0.2">
      <c r="A3410" s="20">
        <v>41368</v>
      </c>
      <c r="B3410">
        <v>224</v>
      </c>
      <c r="E3410">
        <f t="shared" si="106"/>
        <v>4</v>
      </c>
      <c r="F3410">
        <f t="shared" si="107"/>
        <v>2013</v>
      </c>
    </row>
    <row r="3411" spans="1:6" x14ac:dyDescent="0.2">
      <c r="A3411" s="20">
        <v>41369</v>
      </c>
      <c r="B3411">
        <v>224.25</v>
      </c>
      <c r="E3411">
        <f t="shared" si="106"/>
        <v>4</v>
      </c>
      <c r="F3411">
        <f t="shared" si="107"/>
        <v>2013</v>
      </c>
    </row>
    <row r="3412" spans="1:6" x14ac:dyDescent="0.2">
      <c r="A3412" s="20">
        <v>41372</v>
      </c>
      <c r="B3412">
        <v>225.5</v>
      </c>
      <c r="E3412">
        <f t="shared" si="106"/>
        <v>4</v>
      </c>
      <c r="F3412">
        <f t="shared" si="107"/>
        <v>2013</v>
      </c>
    </row>
    <row r="3413" spans="1:6" x14ac:dyDescent="0.2">
      <c r="A3413" s="20">
        <v>41373</v>
      </c>
      <c r="B3413">
        <v>224.75</v>
      </c>
      <c r="E3413">
        <f t="shared" si="106"/>
        <v>4</v>
      </c>
      <c r="F3413">
        <f t="shared" si="107"/>
        <v>2013</v>
      </c>
    </row>
    <row r="3414" spans="1:6" x14ac:dyDescent="0.2">
      <c r="A3414" s="20">
        <v>41374</v>
      </c>
      <c r="B3414">
        <v>222.75</v>
      </c>
      <c r="E3414">
        <f t="shared" si="106"/>
        <v>4</v>
      </c>
      <c r="F3414">
        <f t="shared" si="107"/>
        <v>2013</v>
      </c>
    </row>
    <row r="3415" spans="1:6" x14ac:dyDescent="0.2">
      <c r="A3415" s="20">
        <v>41375</v>
      </c>
      <c r="B3415">
        <v>223</v>
      </c>
      <c r="E3415">
        <f t="shared" si="106"/>
        <v>4</v>
      </c>
      <c r="F3415">
        <f t="shared" si="107"/>
        <v>2013</v>
      </c>
    </row>
    <row r="3416" spans="1:6" x14ac:dyDescent="0.2">
      <c r="A3416" s="20">
        <v>41376</v>
      </c>
      <c r="B3416">
        <v>224</v>
      </c>
      <c r="E3416">
        <f t="shared" si="106"/>
        <v>4</v>
      </c>
      <c r="F3416">
        <f t="shared" si="107"/>
        <v>2013</v>
      </c>
    </row>
    <row r="3417" spans="1:6" x14ac:dyDescent="0.2">
      <c r="A3417" s="20">
        <v>41379</v>
      </c>
      <c r="B3417">
        <v>222.5</v>
      </c>
      <c r="E3417">
        <f t="shared" si="106"/>
        <v>4</v>
      </c>
      <c r="F3417">
        <f t="shared" si="107"/>
        <v>2013</v>
      </c>
    </row>
    <row r="3418" spans="1:6" x14ac:dyDescent="0.2">
      <c r="A3418" s="20">
        <v>41380</v>
      </c>
      <c r="B3418">
        <v>221.25</v>
      </c>
      <c r="E3418">
        <f t="shared" si="106"/>
        <v>4</v>
      </c>
      <c r="F3418">
        <f t="shared" si="107"/>
        <v>2013</v>
      </c>
    </row>
    <row r="3419" spans="1:6" x14ac:dyDescent="0.2">
      <c r="A3419" s="20">
        <v>41381</v>
      </c>
      <c r="B3419">
        <v>221.25</v>
      </c>
      <c r="E3419">
        <f t="shared" si="106"/>
        <v>4</v>
      </c>
      <c r="F3419">
        <f t="shared" si="107"/>
        <v>2013</v>
      </c>
    </row>
    <row r="3420" spans="1:6" x14ac:dyDescent="0.2">
      <c r="A3420" s="20">
        <v>41382</v>
      </c>
      <c r="B3420">
        <v>220.25</v>
      </c>
      <c r="E3420">
        <f t="shared" si="106"/>
        <v>4</v>
      </c>
      <c r="F3420">
        <f t="shared" si="107"/>
        <v>2013</v>
      </c>
    </row>
    <row r="3421" spans="1:6" x14ac:dyDescent="0.2">
      <c r="A3421" s="20">
        <v>41383</v>
      </c>
      <c r="B3421">
        <v>219.25</v>
      </c>
      <c r="E3421">
        <f t="shared" si="106"/>
        <v>4</v>
      </c>
      <c r="F3421">
        <f t="shared" si="107"/>
        <v>2013</v>
      </c>
    </row>
    <row r="3422" spans="1:6" x14ac:dyDescent="0.2">
      <c r="A3422" s="20">
        <v>41386</v>
      </c>
      <c r="B3422">
        <v>218.5</v>
      </c>
      <c r="E3422">
        <f t="shared" si="106"/>
        <v>4</v>
      </c>
      <c r="F3422">
        <f t="shared" si="107"/>
        <v>2013</v>
      </c>
    </row>
    <row r="3423" spans="1:6" x14ac:dyDescent="0.2">
      <c r="A3423" s="20">
        <v>41387</v>
      </c>
      <c r="B3423">
        <v>217</v>
      </c>
      <c r="E3423">
        <f t="shared" si="106"/>
        <v>4</v>
      </c>
      <c r="F3423">
        <f t="shared" si="107"/>
        <v>2013</v>
      </c>
    </row>
    <row r="3424" spans="1:6" x14ac:dyDescent="0.2">
      <c r="A3424" s="20">
        <v>41388</v>
      </c>
      <c r="B3424">
        <v>216.25</v>
      </c>
      <c r="E3424">
        <f t="shared" si="106"/>
        <v>4</v>
      </c>
      <c r="F3424">
        <f t="shared" si="107"/>
        <v>2013</v>
      </c>
    </row>
    <row r="3425" spans="1:6" x14ac:dyDescent="0.2">
      <c r="A3425" s="20">
        <v>41389</v>
      </c>
      <c r="B3425">
        <v>215.5</v>
      </c>
      <c r="E3425">
        <f t="shared" si="106"/>
        <v>4</v>
      </c>
      <c r="F3425">
        <f t="shared" si="107"/>
        <v>2013</v>
      </c>
    </row>
    <row r="3426" spans="1:6" x14ac:dyDescent="0.2">
      <c r="A3426" s="20">
        <v>41390</v>
      </c>
      <c r="B3426">
        <v>214.25</v>
      </c>
      <c r="E3426">
        <f t="shared" si="106"/>
        <v>4</v>
      </c>
      <c r="F3426">
        <f t="shared" si="107"/>
        <v>2013</v>
      </c>
    </row>
    <row r="3427" spans="1:6" x14ac:dyDescent="0.2">
      <c r="A3427" s="20">
        <v>41393</v>
      </c>
      <c r="B3427">
        <v>216</v>
      </c>
      <c r="E3427">
        <f t="shared" si="106"/>
        <v>4</v>
      </c>
      <c r="F3427">
        <f t="shared" si="107"/>
        <v>2013</v>
      </c>
    </row>
    <row r="3428" spans="1:6" x14ac:dyDescent="0.2">
      <c r="A3428" s="20">
        <v>41394</v>
      </c>
      <c r="B3428">
        <v>216.5</v>
      </c>
      <c r="E3428">
        <f t="shared" si="106"/>
        <v>4</v>
      </c>
      <c r="F3428">
        <f t="shared" si="107"/>
        <v>2013</v>
      </c>
    </row>
    <row r="3429" spans="1:6" x14ac:dyDescent="0.2">
      <c r="A3429" s="20">
        <v>41396</v>
      </c>
      <c r="B3429">
        <v>217</v>
      </c>
      <c r="E3429">
        <f t="shared" si="106"/>
        <v>5</v>
      </c>
      <c r="F3429">
        <f t="shared" si="107"/>
        <v>2013</v>
      </c>
    </row>
    <row r="3430" spans="1:6" x14ac:dyDescent="0.2">
      <c r="A3430" s="20">
        <v>41397</v>
      </c>
      <c r="B3430">
        <v>220</v>
      </c>
      <c r="E3430">
        <f t="shared" si="106"/>
        <v>5</v>
      </c>
      <c r="F3430">
        <f t="shared" si="107"/>
        <v>2013</v>
      </c>
    </row>
    <row r="3431" spans="1:6" x14ac:dyDescent="0.2">
      <c r="A3431" s="20">
        <v>41400</v>
      </c>
      <c r="B3431">
        <v>215.75</v>
      </c>
      <c r="E3431">
        <f t="shared" si="106"/>
        <v>5</v>
      </c>
      <c r="F3431">
        <f t="shared" si="107"/>
        <v>2013</v>
      </c>
    </row>
    <row r="3432" spans="1:6" x14ac:dyDescent="0.2">
      <c r="A3432" s="20">
        <v>41401</v>
      </c>
      <c r="B3432">
        <v>216</v>
      </c>
      <c r="E3432">
        <f t="shared" si="106"/>
        <v>5</v>
      </c>
      <c r="F3432">
        <f t="shared" si="107"/>
        <v>2013</v>
      </c>
    </row>
    <row r="3433" spans="1:6" x14ac:dyDescent="0.2">
      <c r="A3433" s="20">
        <v>41402</v>
      </c>
      <c r="B3433">
        <v>214.75</v>
      </c>
      <c r="E3433">
        <f t="shared" si="106"/>
        <v>5</v>
      </c>
      <c r="F3433">
        <f t="shared" si="107"/>
        <v>2013</v>
      </c>
    </row>
    <row r="3434" spans="1:6" x14ac:dyDescent="0.2">
      <c r="A3434" s="20">
        <v>41403</v>
      </c>
      <c r="B3434">
        <v>216</v>
      </c>
      <c r="E3434">
        <f t="shared" si="106"/>
        <v>5</v>
      </c>
      <c r="F3434">
        <f t="shared" si="107"/>
        <v>2013</v>
      </c>
    </row>
    <row r="3435" spans="1:6" x14ac:dyDescent="0.2">
      <c r="A3435" s="20">
        <v>41404</v>
      </c>
      <c r="B3435">
        <v>215</v>
      </c>
      <c r="E3435">
        <f t="shared" si="106"/>
        <v>5</v>
      </c>
      <c r="F3435">
        <f t="shared" si="107"/>
        <v>2013</v>
      </c>
    </row>
    <row r="3436" spans="1:6" x14ac:dyDescent="0.2">
      <c r="A3436" s="20">
        <v>41407</v>
      </c>
      <c r="B3436">
        <v>215.75</v>
      </c>
      <c r="E3436">
        <f t="shared" si="106"/>
        <v>5</v>
      </c>
      <c r="F3436">
        <f t="shared" si="107"/>
        <v>2013</v>
      </c>
    </row>
    <row r="3437" spans="1:6" x14ac:dyDescent="0.2">
      <c r="A3437" s="20">
        <v>41408</v>
      </c>
      <c r="B3437">
        <v>216</v>
      </c>
      <c r="E3437">
        <f t="shared" si="106"/>
        <v>5</v>
      </c>
      <c r="F3437">
        <f t="shared" si="107"/>
        <v>2013</v>
      </c>
    </row>
    <row r="3438" spans="1:6" x14ac:dyDescent="0.2">
      <c r="A3438" s="20">
        <v>41409</v>
      </c>
      <c r="B3438">
        <v>216.25</v>
      </c>
      <c r="E3438">
        <f t="shared" si="106"/>
        <v>5</v>
      </c>
      <c r="F3438">
        <f t="shared" si="107"/>
        <v>2013</v>
      </c>
    </row>
    <row r="3439" spans="1:6" x14ac:dyDescent="0.2">
      <c r="A3439" s="20">
        <v>41410</v>
      </c>
      <c r="B3439">
        <v>215.75</v>
      </c>
      <c r="E3439">
        <f t="shared" si="106"/>
        <v>5</v>
      </c>
      <c r="F3439">
        <f t="shared" si="107"/>
        <v>2013</v>
      </c>
    </row>
    <row r="3440" spans="1:6" x14ac:dyDescent="0.2">
      <c r="A3440" s="20">
        <v>41411</v>
      </c>
      <c r="B3440">
        <v>217.75</v>
      </c>
      <c r="E3440">
        <f t="shared" si="106"/>
        <v>5</v>
      </c>
      <c r="F3440">
        <f t="shared" si="107"/>
        <v>2013</v>
      </c>
    </row>
    <row r="3441" spans="1:6" x14ac:dyDescent="0.2">
      <c r="A3441" s="20">
        <v>41414</v>
      </c>
      <c r="B3441">
        <v>215.75</v>
      </c>
      <c r="E3441">
        <f t="shared" si="106"/>
        <v>5</v>
      </c>
      <c r="F3441">
        <f t="shared" si="107"/>
        <v>2013</v>
      </c>
    </row>
    <row r="3442" spans="1:6" x14ac:dyDescent="0.2">
      <c r="A3442" s="20">
        <v>41415</v>
      </c>
      <c r="B3442">
        <v>215</v>
      </c>
      <c r="E3442">
        <f t="shared" si="106"/>
        <v>5</v>
      </c>
      <c r="F3442">
        <f t="shared" si="107"/>
        <v>2013</v>
      </c>
    </row>
    <row r="3443" spans="1:6" x14ac:dyDescent="0.2">
      <c r="A3443" s="20">
        <v>41416</v>
      </c>
      <c r="B3443">
        <v>217.75</v>
      </c>
      <c r="E3443">
        <f t="shared" si="106"/>
        <v>5</v>
      </c>
      <c r="F3443">
        <f t="shared" si="107"/>
        <v>2013</v>
      </c>
    </row>
    <row r="3444" spans="1:6" x14ac:dyDescent="0.2">
      <c r="A3444" s="20">
        <v>41417</v>
      </c>
      <c r="B3444">
        <v>219</v>
      </c>
      <c r="E3444">
        <f t="shared" si="106"/>
        <v>5</v>
      </c>
      <c r="F3444">
        <f t="shared" si="107"/>
        <v>2013</v>
      </c>
    </row>
    <row r="3445" spans="1:6" x14ac:dyDescent="0.2">
      <c r="A3445" s="20">
        <v>41418</v>
      </c>
      <c r="B3445">
        <v>219.75</v>
      </c>
      <c r="E3445">
        <f t="shared" si="106"/>
        <v>5</v>
      </c>
      <c r="F3445">
        <f t="shared" si="107"/>
        <v>2013</v>
      </c>
    </row>
    <row r="3446" spans="1:6" x14ac:dyDescent="0.2">
      <c r="A3446" s="20">
        <v>41421</v>
      </c>
      <c r="B3446">
        <v>220</v>
      </c>
      <c r="E3446">
        <f t="shared" si="106"/>
        <v>5</v>
      </c>
      <c r="F3446">
        <f t="shared" si="107"/>
        <v>2013</v>
      </c>
    </row>
    <row r="3447" spans="1:6" x14ac:dyDescent="0.2">
      <c r="A3447" s="20">
        <v>41422</v>
      </c>
      <c r="B3447">
        <v>224.5</v>
      </c>
      <c r="E3447">
        <f t="shared" si="106"/>
        <v>5</v>
      </c>
      <c r="F3447">
        <f t="shared" si="107"/>
        <v>2013</v>
      </c>
    </row>
    <row r="3448" spans="1:6" x14ac:dyDescent="0.2">
      <c r="A3448" s="20">
        <v>41423</v>
      </c>
      <c r="B3448">
        <v>226</v>
      </c>
      <c r="E3448">
        <f t="shared" si="106"/>
        <v>5</v>
      </c>
      <c r="F3448">
        <f t="shared" si="107"/>
        <v>2013</v>
      </c>
    </row>
    <row r="3449" spans="1:6" x14ac:dyDescent="0.2">
      <c r="A3449" s="20">
        <v>41424</v>
      </c>
      <c r="B3449">
        <v>230.25</v>
      </c>
      <c r="E3449">
        <f t="shared" si="106"/>
        <v>5</v>
      </c>
      <c r="F3449">
        <f t="shared" si="107"/>
        <v>2013</v>
      </c>
    </row>
    <row r="3450" spans="1:6" x14ac:dyDescent="0.2">
      <c r="A3450" s="20">
        <v>41425</v>
      </c>
      <c r="B3450">
        <v>226.75</v>
      </c>
      <c r="E3450">
        <f t="shared" si="106"/>
        <v>5</v>
      </c>
      <c r="F3450">
        <f t="shared" si="107"/>
        <v>2013</v>
      </c>
    </row>
    <row r="3451" spans="1:6" x14ac:dyDescent="0.2">
      <c r="A3451" s="20">
        <v>41428</v>
      </c>
      <c r="B3451">
        <v>223.5</v>
      </c>
      <c r="E3451">
        <f t="shared" si="106"/>
        <v>6</v>
      </c>
      <c r="F3451">
        <f t="shared" si="107"/>
        <v>2013</v>
      </c>
    </row>
    <row r="3452" spans="1:6" x14ac:dyDescent="0.2">
      <c r="A3452" s="20">
        <v>41429</v>
      </c>
      <c r="B3452">
        <v>222.75</v>
      </c>
      <c r="E3452">
        <f t="shared" si="106"/>
        <v>6</v>
      </c>
      <c r="F3452">
        <f t="shared" si="107"/>
        <v>2013</v>
      </c>
    </row>
    <row r="3453" spans="1:6" x14ac:dyDescent="0.2">
      <c r="A3453" s="20">
        <v>41430</v>
      </c>
      <c r="B3453">
        <v>217</v>
      </c>
      <c r="E3453">
        <f t="shared" si="106"/>
        <v>6</v>
      </c>
      <c r="F3453">
        <f t="shared" si="107"/>
        <v>2013</v>
      </c>
    </row>
    <row r="3454" spans="1:6" x14ac:dyDescent="0.2">
      <c r="A3454" s="20">
        <v>41431</v>
      </c>
      <c r="B3454">
        <v>219.25</v>
      </c>
      <c r="E3454">
        <f t="shared" si="106"/>
        <v>6</v>
      </c>
      <c r="F3454">
        <f t="shared" si="107"/>
        <v>2013</v>
      </c>
    </row>
    <row r="3455" spans="1:6" x14ac:dyDescent="0.2">
      <c r="A3455" s="20">
        <v>41432</v>
      </c>
      <c r="B3455">
        <v>219.25</v>
      </c>
      <c r="E3455">
        <f t="shared" si="106"/>
        <v>6</v>
      </c>
      <c r="F3455">
        <f t="shared" si="107"/>
        <v>2013</v>
      </c>
    </row>
    <row r="3456" spans="1:6" x14ac:dyDescent="0.2">
      <c r="A3456" s="20">
        <v>41435</v>
      </c>
      <c r="B3456">
        <v>217.75</v>
      </c>
      <c r="E3456">
        <f t="shared" si="106"/>
        <v>6</v>
      </c>
      <c r="F3456">
        <f t="shared" si="107"/>
        <v>2013</v>
      </c>
    </row>
    <row r="3457" spans="1:6" x14ac:dyDescent="0.2">
      <c r="A3457" s="20">
        <v>41436</v>
      </c>
      <c r="B3457">
        <v>218.5</v>
      </c>
      <c r="E3457">
        <f t="shared" si="106"/>
        <v>6</v>
      </c>
      <c r="F3457">
        <f t="shared" si="107"/>
        <v>2013</v>
      </c>
    </row>
    <row r="3458" spans="1:6" x14ac:dyDescent="0.2">
      <c r="A3458" s="20">
        <v>41437</v>
      </c>
      <c r="B3458">
        <v>218.25</v>
      </c>
      <c r="E3458">
        <f t="shared" si="106"/>
        <v>6</v>
      </c>
      <c r="F3458">
        <f t="shared" si="107"/>
        <v>2013</v>
      </c>
    </row>
    <row r="3459" spans="1:6" x14ac:dyDescent="0.2">
      <c r="A3459" s="20">
        <v>41438</v>
      </c>
      <c r="B3459">
        <v>217.5</v>
      </c>
      <c r="E3459">
        <f t="shared" ref="E3459:E3522" si="108">MONTH(A3459)</f>
        <v>6</v>
      </c>
      <c r="F3459">
        <f t="shared" ref="F3459:F3522" si="109">YEAR(A3459)</f>
        <v>2013</v>
      </c>
    </row>
    <row r="3460" spans="1:6" x14ac:dyDescent="0.2">
      <c r="A3460" s="20">
        <v>41439</v>
      </c>
      <c r="B3460">
        <v>216.75</v>
      </c>
      <c r="E3460">
        <f t="shared" si="108"/>
        <v>6</v>
      </c>
      <c r="F3460">
        <f t="shared" si="109"/>
        <v>2013</v>
      </c>
    </row>
    <row r="3461" spans="1:6" x14ac:dyDescent="0.2">
      <c r="A3461" s="20">
        <v>41442</v>
      </c>
      <c r="B3461">
        <v>216.5</v>
      </c>
      <c r="E3461">
        <f t="shared" si="108"/>
        <v>6</v>
      </c>
      <c r="F3461">
        <f t="shared" si="109"/>
        <v>2013</v>
      </c>
    </row>
    <row r="3462" spans="1:6" x14ac:dyDescent="0.2">
      <c r="A3462" s="20">
        <v>41443</v>
      </c>
      <c r="B3462">
        <v>217.25</v>
      </c>
      <c r="E3462">
        <f t="shared" si="108"/>
        <v>6</v>
      </c>
      <c r="F3462">
        <f t="shared" si="109"/>
        <v>2013</v>
      </c>
    </row>
    <row r="3463" spans="1:6" x14ac:dyDescent="0.2">
      <c r="A3463" s="20">
        <v>41444</v>
      </c>
      <c r="B3463">
        <v>220.25</v>
      </c>
      <c r="E3463">
        <f t="shared" si="108"/>
        <v>6</v>
      </c>
      <c r="F3463">
        <f t="shared" si="109"/>
        <v>2013</v>
      </c>
    </row>
    <row r="3464" spans="1:6" x14ac:dyDescent="0.2">
      <c r="A3464" s="20">
        <v>41445</v>
      </c>
      <c r="B3464">
        <v>222</v>
      </c>
      <c r="E3464">
        <f t="shared" si="108"/>
        <v>6</v>
      </c>
      <c r="F3464">
        <f t="shared" si="109"/>
        <v>2013</v>
      </c>
    </row>
    <row r="3465" spans="1:6" x14ac:dyDescent="0.2">
      <c r="A3465" s="20">
        <v>41446</v>
      </c>
      <c r="B3465">
        <v>224.5</v>
      </c>
      <c r="E3465">
        <f t="shared" si="108"/>
        <v>6</v>
      </c>
      <c r="F3465">
        <f t="shared" si="109"/>
        <v>2013</v>
      </c>
    </row>
    <row r="3466" spans="1:6" x14ac:dyDescent="0.2">
      <c r="A3466" s="20">
        <v>41449</v>
      </c>
      <c r="B3466">
        <v>224.25</v>
      </c>
      <c r="E3466">
        <f t="shared" si="108"/>
        <v>6</v>
      </c>
      <c r="F3466">
        <f t="shared" si="109"/>
        <v>2013</v>
      </c>
    </row>
    <row r="3467" spans="1:6" x14ac:dyDescent="0.2">
      <c r="A3467" s="20">
        <v>41450</v>
      </c>
      <c r="B3467">
        <v>224.75</v>
      </c>
      <c r="E3467">
        <f t="shared" si="108"/>
        <v>6</v>
      </c>
      <c r="F3467">
        <f t="shared" si="109"/>
        <v>2013</v>
      </c>
    </row>
    <row r="3468" spans="1:6" x14ac:dyDescent="0.2">
      <c r="A3468" s="20">
        <v>41451</v>
      </c>
      <c r="B3468">
        <v>227.25</v>
      </c>
      <c r="E3468">
        <f t="shared" si="108"/>
        <v>6</v>
      </c>
      <c r="F3468">
        <f t="shared" si="109"/>
        <v>2013</v>
      </c>
    </row>
    <row r="3469" spans="1:6" x14ac:dyDescent="0.2">
      <c r="A3469" s="20">
        <v>41452</v>
      </c>
      <c r="B3469">
        <v>227</v>
      </c>
      <c r="E3469">
        <f t="shared" si="108"/>
        <v>6</v>
      </c>
      <c r="F3469">
        <f t="shared" si="109"/>
        <v>2013</v>
      </c>
    </row>
    <row r="3470" spans="1:6" x14ac:dyDescent="0.2">
      <c r="A3470" s="20">
        <v>41453</v>
      </c>
      <c r="B3470">
        <v>224.25</v>
      </c>
      <c r="E3470">
        <f t="shared" si="108"/>
        <v>6</v>
      </c>
      <c r="F3470">
        <f t="shared" si="109"/>
        <v>2013</v>
      </c>
    </row>
    <row r="3471" spans="1:6" x14ac:dyDescent="0.2">
      <c r="A3471" s="20">
        <v>41456</v>
      </c>
      <c r="B3471">
        <v>222.5</v>
      </c>
      <c r="E3471">
        <f t="shared" si="108"/>
        <v>7</v>
      </c>
      <c r="F3471">
        <f t="shared" si="109"/>
        <v>2013</v>
      </c>
    </row>
    <row r="3472" spans="1:6" x14ac:dyDescent="0.2">
      <c r="A3472" s="20">
        <v>41457</v>
      </c>
      <c r="B3472">
        <v>220</v>
      </c>
      <c r="E3472">
        <f t="shared" si="108"/>
        <v>7</v>
      </c>
      <c r="F3472">
        <f t="shared" si="109"/>
        <v>2013</v>
      </c>
    </row>
    <row r="3473" spans="1:6" x14ac:dyDescent="0.2">
      <c r="A3473" s="20">
        <v>41458</v>
      </c>
      <c r="B3473">
        <v>220.75</v>
      </c>
      <c r="E3473">
        <f t="shared" si="108"/>
        <v>7</v>
      </c>
      <c r="F3473">
        <f t="shared" si="109"/>
        <v>2013</v>
      </c>
    </row>
    <row r="3474" spans="1:6" x14ac:dyDescent="0.2">
      <c r="A3474" s="20">
        <v>41459</v>
      </c>
      <c r="B3474">
        <v>220.5</v>
      </c>
      <c r="E3474">
        <f t="shared" si="108"/>
        <v>7</v>
      </c>
      <c r="F3474">
        <f t="shared" si="109"/>
        <v>2013</v>
      </c>
    </row>
    <row r="3475" spans="1:6" x14ac:dyDescent="0.2">
      <c r="A3475" s="20">
        <v>41460</v>
      </c>
      <c r="B3475">
        <v>218</v>
      </c>
      <c r="E3475">
        <f t="shared" si="108"/>
        <v>7</v>
      </c>
      <c r="F3475">
        <f t="shared" si="109"/>
        <v>2013</v>
      </c>
    </row>
    <row r="3476" spans="1:6" x14ac:dyDescent="0.2">
      <c r="A3476" s="20">
        <v>41463</v>
      </c>
      <c r="B3476">
        <v>217.25</v>
      </c>
      <c r="E3476">
        <f t="shared" si="108"/>
        <v>7</v>
      </c>
      <c r="F3476">
        <f t="shared" si="109"/>
        <v>2013</v>
      </c>
    </row>
    <row r="3477" spans="1:6" x14ac:dyDescent="0.2">
      <c r="A3477" s="20">
        <v>41464</v>
      </c>
      <c r="B3477">
        <v>219.5</v>
      </c>
      <c r="E3477">
        <f t="shared" si="108"/>
        <v>7</v>
      </c>
      <c r="F3477">
        <f t="shared" si="109"/>
        <v>2013</v>
      </c>
    </row>
    <row r="3478" spans="1:6" x14ac:dyDescent="0.2">
      <c r="A3478" s="20">
        <v>41465</v>
      </c>
      <c r="B3478">
        <v>220.5</v>
      </c>
      <c r="E3478">
        <f t="shared" si="108"/>
        <v>7</v>
      </c>
      <c r="F3478">
        <f t="shared" si="109"/>
        <v>2013</v>
      </c>
    </row>
    <row r="3479" spans="1:6" x14ac:dyDescent="0.2">
      <c r="A3479" s="20">
        <v>41466</v>
      </c>
      <c r="B3479">
        <v>221</v>
      </c>
      <c r="E3479">
        <f t="shared" si="108"/>
        <v>7</v>
      </c>
      <c r="F3479">
        <f t="shared" si="109"/>
        <v>2013</v>
      </c>
    </row>
    <row r="3480" spans="1:6" x14ac:dyDescent="0.2">
      <c r="A3480" s="20">
        <v>41467</v>
      </c>
      <c r="B3480">
        <v>221</v>
      </c>
      <c r="E3480">
        <f t="shared" si="108"/>
        <v>7</v>
      </c>
      <c r="F3480">
        <f t="shared" si="109"/>
        <v>2013</v>
      </c>
    </row>
    <row r="3481" spans="1:6" x14ac:dyDescent="0.2">
      <c r="A3481" s="20">
        <v>41470</v>
      </c>
      <c r="B3481">
        <v>220.5</v>
      </c>
      <c r="E3481">
        <f t="shared" si="108"/>
        <v>7</v>
      </c>
      <c r="F3481">
        <f t="shared" si="109"/>
        <v>2013</v>
      </c>
    </row>
    <row r="3482" spans="1:6" x14ac:dyDescent="0.2">
      <c r="A3482" s="20">
        <v>41471</v>
      </c>
      <c r="B3482">
        <v>221.5</v>
      </c>
      <c r="E3482">
        <f t="shared" si="108"/>
        <v>7</v>
      </c>
      <c r="F3482">
        <f t="shared" si="109"/>
        <v>2013</v>
      </c>
    </row>
    <row r="3483" spans="1:6" x14ac:dyDescent="0.2">
      <c r="A3483" s="20">
        <v>41472</v>
      </c>
      <c r="B3483">
        <v>222</v>
      </c>
      <c r="E3483">
        <f t="shared" si="108"/>
        <v>7</v>
      </c>
      <c r="F3483">
        <f t="shared" si="109"/>
        <v>2013</v>
      </c>
    </row>
    <row r="3484" spans="1:6" x14ac:dyDescent="0.2">
      <c r="A3484" s="20">
        <v>41473</v>
      </c>
      <c r="B3484">
        <v>222</v>
      </c>
      <c r="E3484">
        <f t="shared" si="108"/>
        <v>7</v>
      </c>
      <c r="F3484">
        <f t="shared" si="109"/>
        <v>2013</v>
      </c>
    </row>
    <row r="3485" spans="1:6" x14ac:dyDescent="0.2">
      <c r="A3485" s="20">
        <v>41474</v>
      </c>
      <c r="B3485">
        <v>221.25</v>
      </c>
      <c r="E3485">
        <f t="shared" si="108"/>
        <v>7</v>
      </c>
      <c r="F3485">
        <f t="shared" si="109"/>
        <v>2013</v>
      </c>
    </row>
    <row r="3486" spans="1:6" x14ac:dyDescent="0.2">
      <c r="A3486" s="20">
        <v>41477</v>
      </c>
      <c r="B3486">
        <v>221</v>
      </c>
      <c r="E3486">
        <f t="shared" si="108"/>
        <v>7</v>
      </c>
      <c r="F3486">
        <f t="shared" si="109"/>
        <v>2013</v>
      </c>
    </row>
    <row r="3487" spans="1:6" x14ac:dyDescent="0.2">
      <c r="A3487" s="20">
        <v>41478</v>
      </c>
      <c r="B3487">
        <v>221.25</v>
      </c>
      <c r="E3487">
        <f t="shared" si="108"/>
        <v>7</v>
      </c>
      <c r="F3487">
        <f t="shared" si="109"/>
        <v>2013</v>
      </c>
    </row>
    <row r="3488" spans="1:6" x14ac:dyDescent="0.2">
      <c r="A3488" s="20">
        <v>41479</v>
      </c>
      <c r="B3488">
        <v>220.75</v>
      </c>
      <c r="E3488">
        <f t="shared" si="108"/>
        <v>7</v>
      </c>
      <c r="F3488">
        <f t="shared" si="109"/>
        <v>2013</v>
      </c>
    </row>
    <row r="3489" spans="1:6" x14ac:dyDescent="0.2">
      <c r="A3489" s="20">
        <v>41480</v>
      </c>
      <c r="B3489">
        <v>219.75</v>
      </c>
      <c r="E3489">
        <f t="shared" si="108"/>
        <v>7</v>
      </c>
      <c r="F3489">
        <f t="shared" si="109"/>
        <v>2013</v>
      </c>
    </row>
    <row r="3490" spans="1:6" x14ac:dyDescent="0.2">
      <c r="A3490" s="20">
        <v>41481</v>
      </c>
      <c r="B3490">
        <v>218</v>
      </c>
      <c r="E3490">
        <f t="shared" si="108"/>
        <v>7</v>
      </c>
      <c r="F3490">
        <f t="shared" si="109"/>
        <v>2013</v>
      </c>
    </row>
    <row r="3491" spans="1:6" x14ac:dyDescent="0.2">
      <c r="A3491" s="20">
        <v>41484</v>
      </c>
      <c r="B3491">
        <v>219</v>
      </c>
      <c r="E3491">
        <f t="shared" si="108"/>
        <v>7</v>
      </c>
      <c r="F3491">
        <f t="shared" si="109"/>
        <v>2013</v>
      </c>
    </row>
    <row r="3492" spans="1:6" x14ac:dyDescent="0.2">
      <c r="A3492" s="20">
        <v>41485</v>
      </c>
      <c r="B3492">
        <v>220</v>
      </c>
      <c r="E3492">
        <f t="shared" si="108"/>
        <v>7</v>
      </c>
      <c r="F3492">
        <f t="shared" si="109"/>
        <v>2013</v>
      </c>
    </row>
    <row r="3493" spans="1:6" x14ac:dyDescent="0.2">
      <c r="A3493" s="20">
        <v>41486</v>
      </c>
      <c r="B3493">
        <v>219</v>
      </c>
      <c r="E3493">
        <f t="shared" si="108"/>
        <v>7</v>
      </c>
      <c r="F3493">
        <f t="shared" si="109"/>
        <v>2013</v>
      </c>
    </row>
    <row r="3494" spans="1:6" x14ac:dyDescent="0.2">
      <c r="A3494" s="20">
        <v>41487</v>
      </c>
      <c r="B3494">
        <v>217.75</v>
      </c>
      <c r="E3494">
        <f t="shared" si="108"/>
        <v>8</v>
      </c>
      <c r="F3494">
        <f t="shared" si="109"/>
        <v>2013</v>
      </c>
    </row>
    <row r="3495" spans="1:6" x14ac:dyDescent="0.2">
      <c r="A3495" s="20">
        <v>41488</v>
      </c>
      <c r="B3495">
        <v>203.5</v>
      </c>
      <c r="E3495">
        <f t="shared" si="108"/>
        <v>8</v>
      </c>
      <c r="F3495">
        <f t="shared" si="109"/>
        <v>2013</v>
      </c>
    </row>
    <row r="3496" spans="1:6" x14ac:dyDescent="0.2">
      <c r="A3496" s="20">
        <v>41491</v>
      </c>
      <c r="B3496">
        <v>177.25</v>
      </c>
      <c r="E3496">
        <f t="shared" si="108"/>
        <v>8</v>
      </c>
      <c r="F3496">
        <f t="shared" si="109"/>
        <v>2013</v>
      </c>
    </row>
    <row r="3497" spans="1:6" x14ac:dyDescent="0.2">
      <c r="A3497" s="20">
        <v>41492</v>
      </c>
      <c r="B3497">
        <v>165.75</v>
      </c>
      <c r="E3497">
        <f t="shared" si="108"/>
        <v>8</v>
      </c>
      <c r="F3497">
        <f t="shared" si="109"/>
        <v>2013</v>
      </c>
    </row>
    <row r="3498" spans="1:6" x14ac:dyDescent="0.2">
      <c r="A3498" s="20">
        <v>41493</v>
      </c>
      <c r="B3498">
        <v>166.5</v>
      </c>
      <c r="E3498">
        <f t="shared" si="108"/>
        <v>8</v>
      </c>
      <c r="F3498">
        <f t="shared" si="109"/>
        <v>2013</v>
      </c>
    </row>
    <row r="3499" spans="1:6" x14ac:dyDescent="0.2">
      <c r="A3499" s="20">
        <v>41494</v>
      </c>
      <c r="B3499">
        <v>167</v>
      </c>
      <c r="E3499">
        <f t="shared" si="108"/>
        <v>8</v>
      </c>
      <c r="F3499">
        <f t="shared" si="109"/>
        <v>2013</v>
      </c>
    </row>
    <row r="3500" spans="1:6" x14ac:dyDescent="0.2">
      <c r="A3500" s="20">
        <v>41495</v>
      </c>
      <c r="B3500">
        <v>165.5</v>
      </c>
      <c r="E3500">
        <f t="shared" si="108"/>
        <v>8</v>
      </c>
      <c r="F3500">
        <f t="shared" si="109"/>
        <v>2013</v>
      </c>
    </row>
    <row r="3501" spans="1:6" x14ac:dyDescent="0.2">
      <c r="A3501" s="20">
        <v>41498</v>
      </c>
      <c r="B3501">
        <v>165.5</v>
      </c>
      <c r="E3501">
        <f t="shared" si="108"/>
        <v>8</v>
      </c>
      <c r="F3501">
        <f t="shared" si="109"/>
        <v>2013</v>
      </c>
    </row>
    <row r="3502" spans="1:6" x14ac:dyDescent="0.2">
      <c r="A3502" s="20">
        <v>41499</v>
      </c>
      <c r="B3502">
        <v>165.5</v>
      </c>
      <c r="E3502">
        <f t="shared" si="108"/>
        <v>8</v>
      </c>
      <c r="F3502">
        <f t="shared" si="109"/>
        <v>2013</v>
      </c>
    </row>
    <row r="3503" spans="1:6" x14ac:dyDescent="0.2">
      <c r="A3503" s="20">
        <v>41500</v>
      </c>
      <c r="B3503">
        <v>164.5</v>
      </c>
      <c r="E3503">
        <f t="shared" si="108"/>
        <v>8</v>
      </c>
      <c r="F3503">
        <f t="shared" si="109"/>
        <v>2013</v>
      </c>
    </row>
    <row r="3504" spans="1:6" x14ac:dyDescent="0.2">
      <c r="A3504" s="20">
        <v>41501</v>
      </c>
      <c r="B3504">
        <v>166</v>
      </c>
      <c r="E3504">
        <f t="shared" si="108"/>
        <v>8</v>
      </c>
      <c r="F3504">
        <f t="shared" si="109"/>
        <v>2013</v>
      </c>
    </row>
    <row r="3505" spans="1:6" x14ac:dyDescent="0.2">
      <c r="A3505" s="20">
        <v>41502</v>
      </c>
      <c r="B3505">
        <v>165.5</v>
      </c>
      <c r="E3505">
        <f t="shared" si="108"/>
        <v>8</v>
      </c>
      <c r="F3505">
        <f t="shared" si="109"/>
        <v>2013</v>
      </c>
    </row>
    <row r="3506" spans="1:6" x14ac:dyDescent="0.2">
      <c r="A3506" s="20">
        <v>41505</v>
      </c>
      <c r="B3506">
        <v>168.75</v>
      </c>
      <c r="E3506">
        <f t="shared" si="108"/>
        <v>8</v>
      </c>
      <c r="F3506">
        <f t="shared" si="109"/>
        <v>2013</v>
      </c>
    </row>
    <row r="3507" spans="1:6" x14ac:dyDescent="0.2">
      <c r="A3507" s="20">
        <v>41506</v>
      </c>
      <c r="B3507">
        <v>168</v>
      </c>
      <c r="E3507">
        <f t="shared" si="108"/>
        <v>8</v>
      </c>
      <c r="F3507">
        <f t="shared" si="109"/>
        <v>2013</v>
      </c>
    </row>
    <row r="3508" spans="1:6" x14ac:dyDescent="0.2">
      <c r="A3508" s="20">
        <v>41507</v>
      </c>
      <c r="B3508">
        <v>169.75</v>
      </c>
      <c r="E3508">
        <f t="shared" si="108"/>
        <v>8</v>
      </c>
      <c r="F3508">
        <f t="shared" si="109"/>
        <v>2013</v>
      </c>
    </row>
    <row r="3509" spans="1:6" x14ac:dyDescent="0.2">
      <c r="A3509" s="20">
        <v>41508</v>
      </c>
      <c r="B3509">
        <v>169.75</v>
      </c>
      <c r="E3509">
        <f t="shared" si="108"/>
        <v>8</v>
      </c>
      <c r="F3509">
        <f t="shared" si="109"/>
        <v>2013</v>
      </c>
    </row>
    <row r="3510" spans="1:6" x14ac:dyDescent="0.2">
      <c r="A3510" s="20">
        <v>41509</v>
      </c>
      <c r="B3510">
        <v>170.25</v>
      </c>
      <c r="E3510">
        <f t="shared" si="108"/>
        <v>8</v>
      </c>
      <c r="F3510">
        <f t="shared" si="109"/>
        <v>2013</v>
      </c>
    </row>
    <row r="3511" spans="1:6" x14ac:dyDescent="0.2">
      <c r="A3511" s="20">
        <v>41512</v>
      </c>
      <c r="B3511">
        <v>177</v>
      </c>
      <c r="E3511">
        <f t="shared" si="108"/>
        <v>8</v>
      </c>
      <c r="F3511">
        <f t="shared" si="109"/>
        <v>2013</v>
      </c>
    </row>
    <row r="3512" spans="1:6" x14ac:dyDescent="0.2">
      <c r="A3512" s="20">
        <v>41513</v>
      </c>
      <c r="B3512">
        <v>177.25</v>
      </c>
      <c r="E3512">
        <f t="shared" si="108"/>
        <v>8</v>
      </c>
      <c r="F3512">
        <f t="shared" si="109"/>
        <v>2013</v>
      </c>
    </row>
    <row r="3513" spans="1:6" x14ac:dyDescent="0.2">
      <c r="A3513" s="20">
        <v>41514</v>
      </c>
      <c r="B3513">
        <v>176</v>
      </c>
      <c r="E3513">
        <f t="shared" si="108"/>
        <v>8</v>
      </c>
      <c r="F3513">
        <f t="shared" si="109"/>
        <v>2013</v>
      </c>
    </row>
    <row r="3514" spans="1:6" x14ac:dyDescent="0.2">
      <c r="A3514" s="20">
        <v>41515</v>
      </c>
      <c r="B3514">
        <v>174.75</v>
      </c>
      <c r="E3514">
        <f t="shared" si="108"/>
        <v>8</v>
      </c>
      <c r="F3514">
        <f t="shared" si="109"/>
        <v>2013</v>
      </c>
    </row>
    <row r="3515" spans="1:6" x14ac:dyDescent="0.2">
      <c r="A3515" s="20">
        <v>41516</v>
      </c>
      <c r="B3515">
        <v>170.5</v>
      </c>
      <c r="E3515">
        <f t="shared" si="108"/>
        <v>8</v>
      </c>
      <c r="F3515">
        <f t="shared" si="109"/>
        <v>2013</v>
      </c>
    </row>
    <row r="3516" spans="1:6" x14ac:dyDescent="0.2">
      <c r="A3516" s="20">
        <v>41519</v>
      </c>
      <c r="B3516">
        <v>175.25</v>
      </c>
      <c r="E3516">
        <f t="shared" si="108"/>
        <v>9</v>
      </c>
      <c r="F3516">
        <f t="shared" si="109"/>
        <v>2013</v>
      </c>
    </row>
    <row r="3517" spans="1:6" x14ac:dyDescent="0.2">
      <c r="A3517" s="20">
        <v>41520</v>
      </c>
      <c r="B3517">
        <v>173.25</v>
      </c>
      <c r="E3517">
        <f t="shared" si="108"/>
        <v>9</v>
      </c>
      <c r="F3517">
        <f t="shared" si="109"/>
        <v>2013</v>
      </c>
    </row>
    <row r="3518" spans="1:6" x14ac:dyDescent="0.2">
      <c r="A3518" s="20">
        <v>41521</v>
      </c>
      <c r="B3518">
        <v>172</v>
      </c>
      <c r="E3518">
        <f t="shared" si="108"/>
        <v>9</v>
      </c>
      <c r="F3518">
        <f t="shared" si="109"/>
        <v>2013</v>
      </c>
    </row>
    <row r="3519" spans="1:6" x14ac:dyDescent="0.2">
      <c r="A3519" s="20">
        <v>41522</v>
      </c>
      <c r="B3519">
        <v>171.25</v>
      </c>
      <c r="E3519">
        <f t="shared" si="108"/>
        <v>9</v>
      </c>
      <c r="F3519">
        <f t="shared" si="109"/>
        <v>2013</v>
      </c>
    </row>
    <row r="3520" spans="1:6" x14ac:dyDescent="0.2">
      <c r="A3520" s="20">
        <v>41523</v>
      </c>
      <c r="B3520">
        <v>171.25</v>
      </c>
      <c r="E3520">
        <f t="shared" si="108"/>
        <v>9</v>
      </c>
      <c r="F3520">
        <f t="shared" si="109"/>
        <v>2013</v>
      </c>
    </row>
    <row r="3521" spans="1:6" x14ac:dyDescent="0.2">
      <c r="A3521" s="20">
        <v>41526</v>
      </c>
      <c r="B3521">
        <v>169.75</v>
      </c>
      <c r="E3521">
        <f t="shared" si="108"/>
        <v>9</v>
      </c>
      <c r="F3521">
        <f t="shared" si="109"/>
        <v>2013</v>
      </c>
    </row>
    <row r="3522" spans="1:6" x14ac:dyDescent="0.2">
      <c r="A3522" s="20">
        <v>41527</v>
      </c>
      <c r="B3522">
        <v>170.5</v>
      </c>
      <c r="E3522">
        <f t="shared" si="108"/>
        <v>9</v>
      </c>
      <c r="F3522">
        <f t="shared" si="109"/>
        <v>2013</v>
      </c>
    </row>
    <row r="3523" spans="1:6" x14ac:dyDescent="0.2">
      <c r="A3523" s="20">
        <v>41528</v>
      </c>
      <c r="B3523">
        <v>172.75</v>
      </c>
      <c r="E3523">
        <f t="shared" ref="E3523:E3586" si="110">MONTH(A3523)</f>
        <v>9</v>
      </c>
      <c r="F3523">
        <f t="shared" ref="F3523:F3586" si="111">YEAR(A3523)</f>
        <v>2013</v>
      </c>
    </row>
    <row r="3524" spans="1:6" x14ac:dyDescent="0.2">
      <c r="A3524" s="20">
        <v>41529</v>
      </c>
      <c r="B3524">
        <v>169.25</v>
      </c>
      <c r="E3524">
        <f t="shared" si="110"/>
        <v>9</v>
      </c>
      <c r="F3524">
        <f t="shared" si="111"/>
        <v>2013</v>
      </c>
    </row>
    <row r="3525" spans="1:6" x14ac:dyDescent="0.2">
      <c r="A3525" s="20">
        <v>41530</v>
      </c>
      <c r="B3525">
        <v>168</v>
      </c>
      <c r="E3525">
        <f t="shared" si="110"/>
        <v>9</v>
      </c>
      <c r="F3525">
        <f t="shared" si="111"/>
        <v>2013</v>
      </c>
    </row>
    <row r="3526" spans="1:6" x14ac:dyDescent="0.2">
      <c r="A3526" s="20">
        <v>41533</v>
      </c>
      <c r="B3526">
        <v>165.75</v>
      </c>
      <c r="E3526">
        <f t="shared" si="110"/>
        <v>9</v>
      </c>
      <c r="F3526">
        <f t="shared" si="111"/>
        <v>2013</v>
      </c>
    </row>
    <row r="3527" spans="1:6" x14ac:dyDescent="0.2">
      <c r="A3527" s="20">
        <v>41534</v>
      </c>
      <c r="B3527">
        <v>167.75</v>
      </c>
      <c r="E3527">
        <f t="shared" si="110"/>
        <v>9</v>
      </c>
      <c r="F3527">
        <f t="shared" si="111"/>
        <v>2013</v>
      </c>
    </row>
    <row r="3528" spans="1:6" x14ac:dyDescent="0.2">
      <c r="A3528" s="20">
        <v>41535</v>
      </c>
      <c r="B3528">
        <v>167.75</v>
      </c>
      <c r="E3528">
        <f t="shared" si="110"/>
        <v>9</v>
      </c>
      <c r="F3528">
        <f t="shared" si="111"/>
        <v>2013</v>
      </c>
    </row>
    <row r="3529" spans="1:6" x14ac:dyDescent="0.2">
      <c r="A3529" s="20">
        <v>41536</v>
      </c>
      <c r="B3529">
        <v>168.25</v>
      </c>
      <c r="E3529">
        <f t="shared" si="110"/>
        <v>9</v>
      </c>
      <c r="F3529">
        <f t="shared" si="111"/>
        <v>2013</v>
      </c>
    </row>
    <row r="3530" spans="1:6" x14ac:dyDescent="0.2">
      <c r="A3530" s="20">
        <v>41537</v>
      </c>
      <c r="B3530">
        <v>166.5</v>
      </c>
      <c r="E3530">
        <f t="shared" si="110"/>
        <v>9</v>
      </c>
      <c r="F3530">
        <f t="shared" si="111"/>
        <v>2013</v>
      </c>
    </row>
    <row r="3531" spans="1:6" x14ac:dyDescent="0.2">
      <c r="A3531" s="20">
        <v>41540</v>
      </c>
      <c r="B3531">
        <v>166.75</v>
      </c>
      <c r="E3531">
        <f t="shared" si="110"/>
        <v>9</v>
      </c>
      <c r="F3531">
        <f t="shared" si="111"/>
        <v>2013</v>
      </c>
    </row>
    <row r="3532" spans="1:6" x14ac:dyDescent="0.2">
      <c r="A3532" s="20">
        <v>41541</v>
      </c>
      <c r="B3532">
        <v>166</v>
      </c>
      <c r="E3532">
        <f t="shared" si="110"/>
        <v>9</v>
      </c>
      <c r="F3532">
        <f t="shared" si="111"/>
        <v>2013</v>
      </c>
    </row>
    <row r="3533" spans="1:6" x14ac:dyDescent="0.2">
      <c r="A3533" s="20">
        <v>41542</v>
      </c>
      <c r="B3533">
        <v>168.25</v>
      </c>
      <c r="E3533">
        <f t="shared" si="110"/>
        <v>9</v>
      </c>
      <c r="F3533">
        <f t="shared" si="111"/>
        <v>2013</v>
      </c>
    </row>
    <row r="3534" spans="1:6" x14ac:dyDescent="0.2">
      <c r="A3534" s="20">
        <v>41543</v>
      </c>
      <c r="B3534">
        <v>169</v>
      </c>
      <c r="E3534">
        <f t="shared" si="110"/>
        <v>9</v>
      </c>
      <c r="F3534">
        <f t="shared" si="111"/>
        <v>2013</v>
      </c>
    </row>
    <row r="3535" spans="1:6" x14ac:dyDescent="0.2">
      <c r="A3535" s="20">
        <v>41544</v>
      </c>
      <c r="B3535">
        <v>169.25</v>
      </c>
      <c r="E3535">
        <f t="shared" si="110"/>
        <v>9</v>
      </c>
      <c r="F3535">
        <f t="shared" si="111"/>
        <v>2013</v>
      </c>
    </row>
    <row r="3536" spans="1:6" x14ac:dyDescent="0.2">
      <c r="A3536" s="20">
        <v>41547</v>
      </c>
      <c r="B3536">
        <v>167.75</v>
      </c>
      <c r="E3536">
        <f t="shared" si="110"/>
        <v>9</v>
      </c>
      <c r="F3536">
        <f t="shared" si="111"/>
        <v>2013</v>
      </c>
    </row>
    <row r="3537" spans="1:6" x14ac:dyDescent="0.2">
      <c r="A3537" s="20">
        <v>41548</v>
      </c>
      <c r="B3537">
        <v>165.75</v>
      </c>
      <c r="E3537">
        <f t="shared" si="110"/>
        <v>10</v>
      </c>
      <c r="F3537">
        <f t="shared" si="111"/>
        <v>2013</v>
      </c>
    </row>
    <row r="3538" spans="1:6" x14ac:dyDescent="0.2">
      <c r="A3538" s="20">
        <v>41549</v>
      </c>
      <c r="B3538">
        <v>167.25</v>
      </c>
      <c r="E3538">
        <f t="shared" si="110"/>
        <v>10</v>
      </c>
      <c r="F3538">
        <f t="shared" si="111"/>
        <v>2013</v>
      </c>
    </row>
    <row r="3539" spans="1:6" x14ac:dyDescent="0.2">
      <c r="A3539" s="20">
        <v>41550</v>
      </c>
      <c r="B3539">
        <v>169</v>
      </c>
      <c r="E3539">
        <f t="shared" si="110"/>
        <v>10</v>
      </c>
      <c r="F3539">
        <f t="shared" si="111"/>
        <v>2013</v>
      </c>
    </row>
    <row r="3540" spans="1:6" x14ac:dyDescent="0.2">
      <c r="A3540" s="20">
        <v>41551</v>
      </c>
      <c r="B3540">
        <v>168.75</v>
      </c>
      <c r="E3540">
        <f t="shared" si="110"/>
        <v>10</v>
      </c>
      <c r="F3540">
        <f t="shared" si="111"/>
        <v>2013</v>
      </c>
    </row>
    <row r="3541" spans="1:6" x14ac:dyDescent="0.2">
      <c r="A3541" s="20">
        <v>41554</v>
      </c>
      <c r="B3541">
        <v>174</v>
      </c>
      <c r="E3541">
        <f t="shared" si="110"/>
        <v>10</v>
      </c>
      <c r="F3541">
        <f t="shared" si="111"/>
        <v>2013</v>
      </c>
    </row>
    <row r="3542" spans="1:6" x14ac:dyDescent="0.2">
      <c r="A3542" s="20">
        <v>41555</v>
      </c>
      <c r="B3542">
        <v>172.5</v>
      </c>
      <c r="E3542">
        <f t="shared" si="110"/>
        <v>10</v>
      </c>
      <c r="F3542">
        <f t="shared" si="111"/>
        <v>2013</v>
      </c>
    </row>
    <row r="3543" spans="1:6" x14ac:dyDescent="0.2">
      <c r="A3543" s="20">
        <v>41556</v>
      </c>
      <c r="B3543">
        <v>173.5</v>
      </c>
      <c r="E3543">
        <f t="shared" si="110"/>
        <v>10</v>
      </c>
      <c r="F3543">
        <f t="shared" si="111"/>
        <v>2013</v>
      </c>
    </row>
    <row r="3544" spans="1:6" x14ac:dyDescent="0.2">
      <c r="A3544" s="20">
        <v>41557</v>
      </c>
      <c r="B3544">
        <v>173.75</v>
      </c>
      <c r="E3544">
        <f t="shared" si="110"/>
        <v>10</v>
      </c>
      <c r="F3544">
        <f t="shared" si="111"/>
        <v>2013</v>
      </c>
    </row>
    <row r="3545" spans="1:6" x14ac:dyDescent="0.2">
      <c r="A3545" s="20">
        <v>41558</v>
      </c>
      <c r="B3545">
        <v>173</v>
      </c>
      <c r="E3545">
        <f t="shared" si="110"/>
        <v>10</v>
      </c>
      <c r="F3545">
        <f t="shared" si="111"/>
        <v>2013</v>
      </c>
    </row>
    <row r="3546" spans="1:6" x14ac:dyDescent="0.2">
      <c r="A3546" s="20">
        <v>41561</v>
      </c>
      <c r="B3546">
        <v>174.5</v>
      </c>
      <c r="E3546">
        <f t="shared" si="110"/>
        <v>10</v>
      </c>
      <c r="F3546">
        <f t="shared" si="111"/>
        <v>2013</v>
      </c>
    </row>
    <row r="3547" spans="1:6" x14ac:dyDescent="0.2">
      <c r="A3547" s="20">
        <v>41562</v>
      </c>
      <c r="B3547">
        <v>174.25</v>
      </c>
      <c r="E3547">
        <f t="shared" si="110"/>
        <v>10</v>
      </c>
      <c r="F3547">
        <f t="shared" si="111"/>
        <v>2013</v>
      </c>
    </row>
    <row r="3548" spans="1:6" x14ac:dyDescent="0.2">
      <c r="A3548" s="20">
        <v>41563</v>
      </c>
      <c r="B3548">
        <v>174.25</v>
      </c>
      <c r="E3548">
        <f t="shared" si="110"/>
        <v>10</v>
      </c>
      <c r="F3548">
        <f t="shared" si="111"/>
        <v>2013</v>
      </c>
    </row>
    <row r="3549" spans="1:6" x14ac:dyDescent="0.2">
      <c r="A3549" s="20">
        <v>41564</v>
      </c>
      <c r="B3549">
        <v>174.5</v>
      </c>
      <c r="E3549">
        <f t="shared" si="110"/>
        <v>10</v>
      </c>
      <c r="F3549">
        <f t="shared" si="111"/>
        <v>2013</v>
      </c>
    </row>
    <row r="3550" spans="1:6" x14ac:dyDescent="0.2">
      <c r="A3550" s="20">
        <v>41565</v>
      </c>
      <c r="B3550">
        <v>177</v>
      </c>
      <c r="E3550">
        <f t="shared" si="110"/>
        <v>10</v>
      </c>
      <c r="F3550">
        <f t="shared" si="111"/>
        <v>2013</v>
      </c>
    </row>
    <row r="3551" spans="1:6" x14ac:dyDescent="0.2">
      <c r="A3551" s="20">
        <v>41568</v>
      </c>
      <c r="B3551">
        <v>176</v>
      </c>
      <c r="E3551">
        <f t="shared" si="110"/>
        <v>10</v>
      </c>
      <c r="F3551">
        <f t="shared" si="111"/>
        <v>2013</v>
      </c>
    </row>
    <row r="3552" spans="1:6" x14ac:dyDescent="0.2">
      <c r="A3552" s="20">
        <v>41569</v>
      </c>
      <c r="B3552">
        <v>176</v>
      </c>
      <c r="E3552">
        <f t="shared" si="110"/>
        <v>10</v>
      </c>
      <c r="F3552">
        <f t="shared" si="111"/>
        <v>2013</v>
      </c>
    </row>
    <row r="3553" spans="1:6" x14ac:dyDescent="0.2">
      <c r="A3553" s="20">
        <v>41570</v>
      </c>
      <c r="B3553">
        <v>178</v>
      </c>
      <c r="E3553">
        <f t="shared" si="110"/>
        <v>10</v>
      </c>
      <c r="F3553">
        <f t="shared" si="111"/>
        <v>2013</v>
      </c>
    </row>
    <row r="3554" spans="1:6" x14ac:dyDescent="0.2">
      <c r="A3554" s="20">
        <v>41571</v>
      </c>
      <c r="B3554">
        <v>177.25</v>
      </c>
      <c r="E3554">
        <f t="shared" si="110"/>
        <v>10</v>
      </c>
      <c r="F3554">
        <f t="shared" si="111"/>
        <v>2013</v>
      </c>
    </row>
    <row r="3555" spans="1:6" x14ac:dyDescent="0.2">
      <c r="A3555" s="20">
        <v>41572</v>
      </c>
      <c r="B3555">
        <v>177.25</v>
      </c>
      <c r="E3555">
        <f t="shared" si="110"/>
        <v>10</v>
      </c>
      <c r="F3555">
        <f t="shared" si="111"/>
        <v>2013</v>
      </c>
    </row>
    <row r="3556" spans="1:6" x14ac:dyDescent="0.2">
      <c r="A3556" s="20">
        <v>41575</v>
      </c>
      <c r="B3556">
        <v>175.75</v>
      </c>
      <c r="E3556">
        <f t="shared" si="110"/>
        <v>10</v>
      </c>
      <c r="F3556">
        <f t="shared" si="111"/>
        <v>2013</v>
      </c>
    </row>
    <row r="3557" spans="1:6" x14ac:dyDescent="0.2">
      <c r="A3557" s="20">
        <v>41576</v>
      </c>
      <c r="B3557">
        <v>172.5</v>
      </c>
      <c r="E3557">
        <f t="shared" si="110"/>
        <v>10</v>
      </c>
      <c r="F3557">
        <f t="shared" si="111"/>
        <v>2013</v>
      </c>
    </row>
    <row r="3558" spans="1:6" x14ac:dyDescent="0.2">
      <c r="A3558" s="20">
        <v>41577</v>
      </c>
      <c r="B3558">
        <v>168.25</v>
      </c>
      <c r="E3558">
        <f t="shared" si="110"/>
        <v>10</v>
      </c>
      <c r="F3558">
        <f t="shared" si="111"/>
        <v>2013</v>
      </c>
    </row>
    <row r="3559" spans="1:6" x14ac:dyDescent="0.2">
      <c r="A3559" s="20">
        <v>41578</v>
      </c>
      <c r="B3559">
        <v>165</v>
      </c>
      <c r="E3559">
        <f t="shared" si="110"/>
        <v>10</v>
      </c>
      <c r="F3559">
        <f t="shared" si="111"/>
        <v>2013</v>
      </c>
    </row>
    <row r="3560" spans="1:6" x14ac:dyDescent="0.2">
      <c r="A3560" s="20">
        <v>41579</v>
      </c>
      <c r="B3560">
        <v>163.25</v>
      </c>
      <c r="E3560">
        <f t="shared" si="110"/>
        <v>11</v>
      </c>
      <c r="F3560">
        <f t="shared" si="111"/>
        <v>2013</v>
      </c>
    </row>
    <row r="3561" spans="1:6" x14ac:dyDescent="0.2">
      <c r="A3561" s="20">
        <v>41582</v>
      </c>
      <c r="B3561">
        <v>163.25</v>
      </c>
      <c r="E3561">
        <f t="shared" si="110"/>
        <v>11</v>
      </c>
      <c r="F3561">
        <f t="shared" si="111"/>
        <v>2013</v>
      </c>
    </row>
    <row r="3562" spans="1:6" x14ac:dyDescent="0.2">
      <c r="A3562" s="20">
        <v>41583</v>
      </c>
      <c r="B3562">
        <v>162</v>
      </c>
      <c r="E3562">
        <f t="shared" si="110"/>
        <v>11</v>
      </c>
      <c r="F3562">
        <f t="shared" si="111"/>
        <v>2013</v>
      </c>
    </row>
    <row r="3563" spans="1:6" x14ac:dyDescent="0.2">
      <c r="A3563" s="20">
        <v>41584</v>
      </c>
      <c r="B3563">
        <v>172.25</v>
      </c>
      <c r="E3563">
        <f t="shared" si="110"/>
        <v>11</v>
      </c>
      <c r="F3563">
        <f t="shared" si="111"/>
        <v>2013</v>
      </c>
    </row>
    <row r="3564" spans="1:6" x14ac:dyDescent="0.2">
      <c r="A3564" s="20">
        <v>41585</v>
      </c>
      <c r="B3564">
        <v>175</v>
      </c>
      <c r="E3564">
        <f t="shared" si="110"/>
        <v>11</v>
      </c>
      <c r="F3564">
        <f t="shared" si="111"/>
        <v>2013</v>
      </c>
    </row>
    <row r="3565" spans="1:6" x14ac:dyDescent="0.2">
      <c r="A3565" s="20">
        <v>41586</v>
      </c>
      <c r="B3565">
        <v>174.25</v>
      </c>
      <c r="E3565">
        <f t="shared" si="110"/>
        <v>11</v>
      </c>
      <c r="F3565">
        <f t="shared" si="111"/>
        <v>2013</v>
      </c>
    </row>
    <row r="3566" spans="1:6" x14ac:dyDescent="0.2">
      <c r="A3566" s="20">
        <v>41589</v>
      </c>
      <c r="B3566">
        <v>177.5</v>
      </c>
      <c r="E3566">
        <f t="shared" si="110"/>
        <v>11</v>
      </c>
      <c r="F3566">
        <f t="shared" si="111"/>
        <v>2013</v>
      </c>
    </row>
    <row r="3567" spans="1:6" x14ac:dyDescent="0.2">
      <c r="A3567" s="20">
        <v>41590</v>
      </c>
      <c r="B3567">
        <v>176.5</v>
      </c>
      <c r="E3567">
        <f t="shared" si="110"/>
        <v>11</v>
      </c>
      <c r="F3567">
        <f t="shared" si="111"/>
        <v>2013</v>
      </c>
    </row>
    <row r="3568" spans="1:6" x14ac:dyDescent="0.2">
      <c r="A3568" s="20">
        <v>41591</v>
      </c>
      <c r="B3568">
        <v>174.25</v>
      </c>
      <c r="E3568">
        <f t="shared" si="110"/>
        <v>11</v>
      </c>
      <c r="F3568">
        <f t="shared" si="111"/>
        <v>2013</v>
      </c>
    </row>
    <row r="3569" spans="1:6" x14ac:dyDescent="0.2">
      <c r="A3569" s="20">
        <v>41592</v>
      </c>
      <c r="B3569">
        <v>175.25</v>
      </c>
      <c r="E3569">
        <f t="shared" si="110"/>
        <v>11</v>
      </c>
      <c r="F3569">
        <f t="shared" si="111"/>
        <v>2013</v>
      </c>
    </row>
    <row r="3570" spans="1:6" x14ac:dyDescent="0.2">
      <c r="A3570" s="20">
        <v>41593</v>
      </c>
      <c r="B3570">
        <v>174.75</v>
      </c>
      <c r="E3570">
        <f t="shared" si="110"/>
        <v>11</v>
      </c>
      <c r="F3570">
        <f t="shared" si="111"/>
        <v>2013</v>
      </c>
    </row>
    <row r="3571" spans="1:6" x14ac:dyDescent="0.2">
      <c r="A3571" s="20">
        <v>41596</v>
      </c>
      <c r="B3571">
        <v>173.5</v>
      </c>
      <c r="E3571">
        <f t="shared" si="110"/>
        <v>11</v>
      </c>
      <c r="F3571">
        <f t="shared" si="111"/>
        <v>2013</v>
      </c>
    </row>
    <row r="3572" spans="1:6" x14ac:dyDescent="0.2">
      <c r="A3572" s="20">
        <v>41597</v>
      </c>
      <c r="B3572">
        <v>173.75</v>
      </c>
      <c r="E3572">
        <f t="shared" si="110"/>
        <v>11</v>
      </c>
      <c r="F3572">
        <f t="shared" si="111"/>
        <v>2013</v>
      </c>
    </row>
    <row r="3573" spans="1:6" x14ac:dyDescent="0.2">
      <c r="A3573" s="20">
        <v>41598</v>
      </c>
      <c r="B3573">
        <v>174.5</v>
      </c>
      <c r="E3573">
        <f t="shared" si="110"/>
        <v>11</v>
      </c>
      <c r="F3573">
        <f t="shared" si="111"/>
        <v>2013</v>
      </c>
    </row>
    <row r="3574" spans="1:6" x14ac:dyDescent="0.2">
      <c r="A3574" s="20">
        <v>41599</v>
      </c>
      <c r="B3574">
        <v>177.75</v>
      </c>
      <c r="E3574">
        <f t="shared" si="110"/>
        <v>11</v>
      </c>
      <c r="F3574">
        <f t="shared" si="111"/>
        <v>2013</v>
      </c>
    </row>
    <row r="3575" spans="1:6" x14ac:dyDescent="0.2">
      <c r="A3575" s="20">
        <v>41600</v>
      </c>
      <c r="B3575">
        <v>176.25</v>
      </c>
      <c r="E3575">
        <f t="shared" si="110"/>
        <v>11</v>
      </c>
      <c r="F3575">
        <f t="shared" si="111"/>
        <v>2013</v>
      </c>
    </row>
    <row r="3576" spans="1:6" x14ac:dyDescent="0.2">
      <c r="A3576" s="20">
        <v>41603</v>
      </c>
      <c r="B3576">
        <v>176.25</v>
      </c>
      <c r="E3576">
        <f t="shared" si="110"/>
        <v>11</v>
      </c>
      <c r="F3576">
        <f t="shared" si="111"/>
        <v>2013</v>
      </c>
    </row>
    <row r="3577" spans="1:6" x14ac:dyDescent="0.2">
      <c r="A3577" s="20">
        <v>41604</v>
      </c>
      <c r="B3577">
        <v>175.5</v>
      </c>
      <c r="E3577">
        <f t="shared" si="110"/>
        <v>11</v>
      </c>
      <c r="F3577">
        <f t="shared" si="111"/>
        <v>2013</v>
      </c>
    </row>
    <row r="3578" spans="1:6" x14ac:dyDescent="0.2">
      <c r="A3578" s="20">
        <v>41605</v>
      </c>
      <c r="B3578">
        <v>176</v>
      </c>
      <c r="E3578">
        <f t="shared" si="110"/>
        <v>11</v>
      </c>
      <c r="F3578">
        <f t="shared" si="111"/>
        <v>2013</v>
      </c>
    </row>
    <row r="3579" spans="1:6" x14ac:dyDescent="0.2">
      <c r="A3579" s="20">
        <v>41606</v>
      </c>
      <c r="B3579">
        <v>176</v>
      </c>
      <c r="E3579">
        <f t="shared" si="110"/>
        <v>11</v>
      </c>
      <c r="F3579">
        <f t="shared" si="111"/>
        <v>2013</v>
      </c>
    </row>
    <row r="3580" spans="1:6" x14ac:dyDescent="0.2">
      <c r="A3580" s="20">
        <v>41607</v>
      </c>
      <c r="B3580">
        <v>177.25</v>
      </c>
      <c r="E3580">
        <f t="shared" si="110"/>
        <v>11</v>
      </c>
      <c r="F3580">
        <f t="shared" si="111"/>
        <v>2013</v>
      </c>
    </row>
    <row r="3581" spans="1:6" x14ac:dyDescent="0.2">
      <c r="A3581" s="20">
        <v>41610</v>
      </c>
      <c r="B3581">
        <v>178.25</v>
      </c>
      <c r="E3581">
        <f t="shared" si="110"/>
        <v>12</v>
      </c>
      <c r="F3581">
        <f t="shared" si="111"/>
        <v>2013</v>
      </c>
    </row>
    <row r="3582" spans="1:6" x14ac:dyDescent="0.2">
      <c r="A3582" s="20">
        <v>41611</v>
      </c>
      <c r="B3582">
        <v>181</v>
      </c>
      <c r="E3582">
        <f t="shared" si="110"/>
        <v>12</v>
      </c>
      <c r="F3582">
        <f t="shared" si="111"/>
        <v>2013</v>
      </c>
    </row>
    <row r="3583" spans="1:6" x14ac:dyDescent="0.2">
      <c r="A3583" s="20">
        <v>41612</v>
      </c>
      <c r="B3583">
        <v>182</v>
      </c>
      <c r="E3583">
        <f t="shared" si="110"/>
        <v>12</v>
      </c>
      <c r="F3583">
        <f t="shared" si="111"/>
        <v>2013</v>
      </c>
    </row>
    <row r="3584" spans="1:6" x14ac:dyDescent="0.2">
      <c r="A3584" s="20">
        <v>41613</v>
      </c>
      <c r="B3584">
        <v>180.75</v>
      </c>
      <c r="E3584">
        <f t="shared" si="110"/>
        <v>12</v>
      </c>
      <c r="F3584">
        <f t="shared" si="111"/>
        <v>2013</v>
      </c>
    </row>
    <row r="3585" spans="1:6" x14ac:dyDescent="0.2">
      <c r="A3585" s="20">
        <v>41614</v>
      </c>
      <c r="B3585">
        <v>180.25</v>
      </c>
      <c r="E3585">
        <f t="shared" si="110"/>
        <v>12</v>
      </c>
      <c r="F3585">
        <f t="shared" si="111"/>
        <v>2013</v>
      </c>
    </row>
    <row r="3586" spans="1:6" x14ac:dyDescent="0.2">
      <c r="A3586" s="20">
        <v>41617</v>
      </c>
      <c r="B3586">
        <v>179.75</v>
      </c>
      <c r="E3586">
        <f t="shared" si="110"/>
        <v>12</v>
      </c>
      <c r="F3586">
        <f t="shared" si="111"/>
        <v>2013</v>
      </c>
    </row>
    <row r="3587" spans="1:6" x14ac:dyDescent="0.2">
      <c r="A3587" s="20">
        <v>41618</v>
      </c>
      <c r="B3587">
        <v>177.5</v>
      </c>
      <c r="E3587">
        <f t="shared" ref="E3587:E3650" si="112">MONTH(A3587)</f>
        <v>12</v>
      </c>
      <c r="F3587">
        <f t="shared" ref="F3587:F3650" si="113">YEAR(A3587)</f>
        <v>2013</v>
      </c>
    </row>
    <row r="3588" spans="1:6" x14ac:dyDescent="0.2">
      <c r="A3588" s="20">
        <v>41619</v>
      </c>
      <c r="B3588">
        <v>177.25</v>
      </c>
      <c r="E3588">
        <f t="shared" si="112"/>
        <v>12</v>
      </c>
      <c r="F3588">
        <f t="shared" si="113"/>
        <v>2013</v>
      </c>
    </row>
    <row r="3589" spans="1:6" x14ac:dyDescent="0.2">
      <c r="A3589" s="20">
        <v>41620</v>
      </c>
      <c r="B3589">
        <v>176.75</v>
      </c>
      <c r="E3589">
        <f t="shared" si="112"/>
        <v>12</v>
      </c>
      <c r="F3589">
        <f t="shared" si="113"/>
        <v>2013</v>
      </c>
    </row>
    <row r="3590" spans="1:6" x14ac:dyDescent="0.2">
      <c r="A3590" s="20">
        <v>41621</v>
      </c>
      <c r="B3590">
        <v>176.75</v>
      </c>
      <c r="E3590">
        <f t="shared" si="112"/>
        <v>12</v>
      </c>
      <c r="F3590">
        <f t="shared" si="113"/>
        <v>2013</v>
      </c>
    </row>
    <row r="3591" spans="1:6" x14ac:dyDescent="0.2">
      <c r="A3591" s="20">
        <v>41624</v>
      </c>
      <c r="B3591">
        <v>174.5</v>
      </c>
      <c r="E3591">
        <f t="shared" si="112"/>
        <v>12</v>
      </c>
      <c r="F3591">
        <f t="shared" si="113"/>
        <v>2013</v>
      </c>
    </row>
    <row r="3592" spans="1:6" x14ac:dyDescent="0.2">
      <c r="A3592" s="20">
        <v>41625</v>
      </c>
      <c r="B3592">
        <v>176</v>
      </c>
      <c r="E3592">
        <f t="shared" si="112"/>
        <v>12</v>
      </c>
      <c r="F3592">
        <f t="shared" si="113"/>
        <v>2013</v>
      </c>
    </row>
    <row r="3593" spans="1:6" x14ac:dyDescent="0.2">
      <c r="A3593" s="20">
        <v>41626</v>
      </c>
      <c r="B3593">
        <v>175.25</v>
      </c>
      <c r="E3593">
        <f t="shared" si="112"/>
        <v>12</v>
      </c>
      <c r="F3593">
        <f t="shared" si="113"/>
        <v>2013</v>
      </c>
    </row>
    <row r="3594" spans="1:6" x14ac:dyDescent="0.2">
      <c r="A3594" s="20">
        <v>41627</v>
      </c>
      <c r="B3594">
        <v>176.5</v>
      </c>
      <c r="E3594">
        <f t="shared" si="112"/>
        <v>12</v>
      </c>
      <c r="F3594">
        <f t="shared" si="113"/>
        <v>2013</v>
      </c>
    </row>
    <row r="3595" spans="1:6" x14ac:dyDescent="0.2">
      <c r="A3595" s="20">
        <v>41628</v>
      </c>
      <c r="B3595">
        <v>174.5</v>
      </c>
      <c r="E3595">
        <f t="shared" si="112"/>
        <v>12</v>
      </c>
      <c r="F3595">
        <f t="shared" si="113"/>
        <v>2013</v>
      </c>
    </row>
    <row r="3596" spans="1:6" x14ac:dyDescent="0.2">
      <c r="A3596" s="20">
        <v>41631</v>
      </c>
      <c r="B3596">
        <v>176.5</v>
      </c>
      <c r="E3596">
        <f t="shared" si="112"/>
        <v>12</v>
      </c>
      <c r="F3596">
        <f t="shared" si="113"/>
        <v>2013</v>
      </c>
    </row>
    <row r="3597" spans="1:6" x14ac:dyDescent="0.2">
      <c r="A3597" s="20">
        <v>41632</v>
      </c>
      <c r="B3597">
        <v>175.5</v>
      </c>
      <c r="E3597">
        <f t="shared" si="112"/>
        <v>12</v>
      </c>
      <c r="F3597">
        <f t="shared" si="113"/>
        <v>2013</v>
      </c>
    </row>
    <row r="3598" spans="1:6" x14ac:dyDescent="0.2">
      <c r="A3598" s="20">
        <v>41635</v>
      </c>
      <c r="B3598">
        <v>174.75</v>
      </c>
      <c r="E3598">
        <f t="shared" si="112"/>
        <v>12</v>
      </c>
      <c r="F3598">
        <f t="shared" si="113"/>
        <v>2013</v>
      </c>
    </row>
    <row r="3599" spans="1:6" x14ac:dyDescent="0.2">
      <c r="A3599" s="20">
        <v>41638</v>
      </c>
      <c r="B3599">
        <v>174</v>
      </c>
      <c r="E3599">
        <f t="shared" si="112"/>
        <v>12</v>
      </c>
      <c r="F3599">
        <f t="shared" si="113"/>
        <v>2013</v>
      </c>
    </row>
    <row r="3600" spans="1:6" x14ac:dyDescent="0.2">
      <c r="A3600" s="20">
        <v>41639</v>
      </c>
      <c r="B3600">
        <v>173.75</v>
      </c>
      <c r="E3600">
        <f t="shared" si="112"/>
        <v>12</v>
      </c>
      <c r="F3600">
        <f t="shared" si="113"/>
        <v>2013</v>
      </c>
    </row>
    <row r="3601" spans="1:6" x14ac:dyDescent="0.2">
      <c r="A3601" s="20">
        <v>41641</v>
      </c>
      <c r="B3601">
        <v>174.25</v>
      </c>
      <c r="E3601">
        <f t="shared" si="112"/>
        <v>1</v>
      </c>
      <c r="F3601">
        <f t="shared" si="113"/>
        <v>2014</v>
      </c>
    </row>
    <row r="3602" spans="1:6" x14ac:dyDescent="0.2">
      <c r="A3602" s="20">
        <v>41642</v>
      </c>
      <c r="B3602">
        <v>174.75</v>
      </c>
      <c r="E3602">
        <f t="shared" si="112"/>
        <v>1</v>
      </c>
      <c r="F3602">
        <f t="shared" si="113"/>
        <v>2014</v>
      </c>
    </row>
    <row r="3603" spans="1:6" x14ac:dyDescent="0.2">
      <c r="A3603" s="20">
        <v>41645</v>
      </c>
      <c r="B3603">
        <v>175.25</v>
      </c>
      <c r="E3603">
        <f t="shared" si="112"/>
        <v>1</v>
      </c>
      <c r="F3603">
        <f t="shared" si="113"/>
        <v>2014</v>
      </c>
    </row>
    <row r="3604" spans="1:6" x14ac:dyDescent="0.2">
      <c r="A3604" s="20">
        <v>41646</v>
      </c>
      <c r="B3604">
        <v>175</v>
      </c>
      <c r="E3604">
        <f t="shared" si="112"/>
        <v>1</v>
      </c>
      <c r="F3604">
        <f t="shared" si="113"/>
        <v>2014</v>
      </c>
    </row>
    <row r="3605" spans="1:6" x14ac:dyDescent="0.2">
      <c r="A3605" s="20">
        <v>41647</v>
      </c>
      <c r="B3605">
        <v>172.75</v>
      </c>
      <c r="E3605">
        <f t="shared" si="112"/>
        <v>1</v>
      </c>
      <c r="F3605">
        <f t="shared" si="113"/>
        <v>2014</v>
      </c>
    </row>
    <row r="3606" spans="1:6" x14ac:dyDescent="0.2">
      <c r="A3606" s="20">
        <v>41648</v>
      </c>
      <c r="B3606">
        <v>171</v>
      </c>
      <c r="E3606">
        <f t="shared" si="112"/>
        <v>1</v>
      </c>
      <c r="F3606">
        <f t="shared" si="113"/>
        <v>2014</v>
      </c>
    </row>
    <row r="3607" spans="1:6" x14ac:dyDescent="0.2">
      <c r="A3607" s="20">
        <v>41649</v>
      </c>
      <c r="B3607">
        <v>171.5</v>
      </c>
      <c r="E3607">
        <f t="shared" si="112"/>
        <v>1</v>
      </c>
      <c r="F3607">
        <f t="shared" si="113"/>
        <v>2014</v>
      </c>
    </row>
    <row r="3608" spans="1:6" x14ac:dyDescent="0.2">
      <c r="A3608" s="20">
        <v>41652</v>
      </c>
      <c r="B3608">
        <v>173.75</v>
      </c>
      <c r="E3608">
        <f t="shared" si="112"/>
        <v>1</v>
      </c>
      <c r="F3608">
        <f t="shared" si="113"/>
        <v>2014</v>
      </c>
    </row>
    <row r="3609" spans="1:6" x14ac:dyDescent="0.2">
      <c r="A3609" s="20">
        <v>41653</v>
      </c>
      <c r="B3609">
        <v>172.5</v>
      </c>
      <c r="E3609">
        <f t="shared" si="112"/>
        <v>1</v>
      </c>
      <c r="F3609">
        <f t="shared" si="113"/>
        <v>2014</v>
      </c>
    </row>
    <row r="3610" spans="1:6" x14ac:dyDescent="0.2">
      <c r="A3610" s="20">
        <v>41654</v>
      </c>
      <c r="B3610">
        <v>172.5</v>
      </c>
      <c r="E3610">
        <f t="shared" si="112"/>
        <v>1</v>
      </c>
      <c r="F3610">
        <f t="shared" si="113"/>
        <v>2014</v>
      </c>
    </row>
    <row r="3611" spans="1:6" x14ac:dyDescent="0.2">
      <c r="A3611" s="20">
        <v>41655</v>
      </c>
      <c r="B3611">
        <v>172.75</v>
      </c>
      <c r="E3611">
        <f t="shared" si="112"/>
        <v>1</v>
      </c>
      <c r="F3611">
        <f t="shared" si="113"/>
        <v>2014</v>
      </c>
    </row>
    <row r="3612" spans="1:6" x14ac:dyDescent="0.2">
      <c r="A3612" s="20">
        <v>41656</v>
      </c>
      <c r="B3612">
        <v>172.5</v>
      </c>
      <c r="E3612">
        <f t="shared" si="112"/>
        <v>1</v>
      </c>
      <c r="F3612">
        <f t="shared" si="113"/>
        <v>2014</v>
      </c>
    </row>
    <row r="3613" spans="1:6" x14ac:dyDescent="0.2">
      <c r="A3613" s="20">
        <v>41659</v>
      </c>
      <c r="B3613">
        <v>172.25</v>
      </c>
      <c r="E3613">
        <f t="shared" si="112"/>
        <v>1</v>
      </c>
      <c r="F3613">
        <f t="shared" si="113"/>
        <v>2014</v>
      </c>
    </row>
    <row r="3614" spans="1:6" x14ac:dyDescent="0.2">
      <c r="A3614" s="20">
        <v>41660</v>
      </c>
      <c r="B3614">
        <v>173.5</v>
      </c>
      <c r="E3614">
        <f t="shared" si="112"/>
        <v>1</v>
      </c>
      <c r="F3614">
        <f t="shared" si="113"/>
        <v>2014</v>
      </c>
    </row>
    <row r="3615" spans="1:6" x14ac:dyDescent="0.2">
      <c r="A3615" s="20">
        <v>41661</v>
      </c>
      <c r="B3615">
        <v>172.5</v>
      </c>
      <c r="E3615">
        <f t="shared" si="112"/>
        <v>1</v>
      </c>
      <c r="F3615">
        <f t="shared" si="113"/>
        <v>2014</v>
      </c>
    </row>
    <row r="3616" spans="1:6" x14ac:dyDescent="0.2">
      <c r="A3616" s="20">
        <v>41662</v>
      </c>
      <c r="B3616">
        <v>173.75</v>
      </c>
      <c r="E3616">
        <f t="shared" si="112"/>
        <v>1</v>
      </c>
      <c r="F3616">
        <f t="shared" si="113"/>
        <v>2014</v>
      </c>
    </row>
    <row r="3617" spans="1:6" x14ac:dyDescent="0.2">
      <c r="A3617" s="20">
        <v>41663</v>
      </c>
      <c r="B3617">
        <v>172.75</v>
      </c>
      <c r="E3617">
        <f t="shared" si="112"/>
        <v>1</v>
      </c>
      <c r="F3617">
        <f t="shared" si="113"/>
        <v>2014</v>
      </c>
    </row>
    <row r="3618" spans="1:6" x14ac:dyDescent="0.2">
      <c r="A3618" s="20">
        <v>41666</v>
      </c>
      <c r="B3618">
        <v>173.5</v>
      </c>
      <c r="E3618">
        <f t="shared" si="112"/>
        <v>1</v>
      </c>
      <c r="F3618">
        <f t="shared" si="113"/>
        <v>2014</v>
      </c>
    </row>
    <row r="3619" spans="1:6" x14ac:dyDescent="0.2">
      <c r="A3619" s="20">
        <v>41667</v>
      </c>
      <c r="B3619">
        <v>173.25</v>
      </c>
      <c r="E3619">
        <f t="shared" si="112"/>
        <v>1</v>
      </c>
      <c r="F3619">
        <f t="shared" si="113"/>
        <v>2014</v>
      </c>
    </row>
    <row r="3620" spans="1:6" x14ac:dyDescent="0.2">
      <c r="A3620" s="20">
        <v>41668</v>
      </c>
      <c r="B3620">
        <v>171.75</v>
      </c>
      <c r="E3620">
        <f t="shared" si="112"/>
        <v>1</v>
      </c>
      <c r="F3620">
        <f t="shared" si="113"/>
        <v>2014</v>
      </c>
    </row>
    <row r="3621" spans="1:6" x14ac:dyDescent="0.2">
      <c r="A3621" s="20">
        <v>41669</v>
      </c>
      <c r="B3621">
        <v>172.25</v>
      </c>
      <c r="E3621">
        <f t="shared" si="112"/>
        <v>1</v>
      </c>
      <c r="F3621">
        <f t="shared" si="113"/>
        <v>2014</v>
      </c>
    </row>
    <row r="3622" spans="1:6" x14ac:dyDescent="0.2">
      <c r="A3622" s="20">
        <v>41670</v>
      </c>
      <c r="B3622">
        <v>173.5</v>
      </c>
      <c r="E3622">
        <f t="shared" si="112"/>
        <v>1</v>
      </c>
      <c r="F3622">
        <f t="shared" si="113"/>
        <v>2014</v>
      </c>
    </row>
    <row r="3623" spans="1:6" x14ac:dyDescent="0.2">
      <c r="A3623" s="20">
        <v>41673</v>
      </c>
      <c r="B3623">
        <v>173</v>
      </c>
      <c r="E3623">
        <f t="shared" si="112"/>
        <v>2</v>
      </c>
      <c r="F3623">
        <f t="shared" si="113"/>
        <v>2014</v>
      </c>
    </row>
    <row r="3624" spans="1:6" x14ac:dyDescent="0.2">
      <c r="A3624" s="20">
        <v>41674</v>
      </c>
      <c r="B3624">
        <v>174</v>
      </c>
      <c r="E3624">
        <f t="shared" si="112"/>
        <v>2</v>
      </c>
      <c r="F3624">
        <f t="shared" si="113"/>
        <v>2014</v>
      </c>
    </row>
    <row r="3625" spans="1:6" x14ac:dyDescent="0.2">
      <c r="A3625" s="20">
        <v>41675</v>
      </c>
      <c r="B3625">
        <v>174.25</v>
      </c>
      <c r="E3625">
        <f t="shared" si="112"/>
        <v>2</v>
      </c>
      <c r="F3625">
        <f t="shared" si="113"/>
        <v>2014</v>
      </c>
    </row>
    <row r="3626" spans="1:6" x14ac:dyDescent="0.2">
      <c r="A3626" s="20">
        <v>41676</v>
      </c>
      <c r="B3626">
        <v>174.25</v>
      </c>
      <c r="E3626">
        <f t="shared" si="112"/>
        <v>2</v>
      </c>
      <c r="F3626">
        <f t="shared" si="113"/>
        <v>2014</v>
      </c>
    </row>
    <row r="3627" spans="1:6" x14ac:dyDescent="0.2">
      <c r="A3627" s="20">
        <v>41677</v>
      </c>
      <c r="B3627">
        <v>174.25</v>
      </c>
      <c r="E3627">
        <f t="shared" si="112"/>
        <v>2</v>
      </c>
      <c r="F3627">
        <f t="shared" si="113"/>
        <v>2014</v>
      </c>
    </row>
    <row r="3628" spans="1:6" x14ac:dyDescent="0.2">
      <c r="A3628" s="20">
        <v>41680</v>
      </c>
      <c r="B3628">
        <v>174.75</v>
      </c>
      <c r="E3628">
        <f t="shared" si="112"/>
        <v>2</v>
      </c>
      <c r="F3628">
        <f t="shared" si="113"/>
        <v>2014</v>
      </c>
    </row>
    <row r="3629" spans="1:6" x14ac:dyDescent="0.2">
      <c r="A3629" s="20">
        <v>41681</v>
      </c>
      <c r="B3629">
        <v>173.5</v>
      </c>
      <c r="E3629">
        <f t="shared" si="112"/>
        <v>2</v>
      </c>
      <c r="F3629">
        <f t="shared" si="113"/>
        <v>2014</v>
      </c>
    </row>
    <row r="3630" spans="1:6" x14ac:dyDescent="0.2">
      <c r="A3630" s="20">
        <v>41682</v>
      </c>
      <c r="B3630">
        <v>173.25</v>
      </c>
      <c r="E3630">
        <f t="shared" si="112"/>
        <v>2</v>
      </c>
      <c r="F3630">
        <f t="shared" si="113"/>
        <v>2014</v>
      </c>
    </row>
    <row r="3631" spans="1:6" x14ac:dyDescent="0.2">
      <c r="A3631" s="20">
        <v>41683</v>
      </c>
      <c r="B3631">
        <v>172.5</v>
      </c>
      <c r="E3631">
        <f t="shared" si="112"/>
        <v>2</v>
      </c>
      <c r="F3631">
        <f t="shared" si="113"/>
        <v>2014</v>
      </c>
    </row>
    <row r="3632" spans="1:6" x14ac:dyDescent="0.2">
      <c r="A3632" s="20">
        <v>41684</v>
      </c>
      <c r="B3632">
        <v>172.25</v>
      </c>
      <c r="E3632">
        <f t="shared" si="112"/>
        <v>2</v>
      </c>
      <c r="F3632">
        <f t="shared" si="113"/>
        <v>2014</v>
      </c>
    </row>
    <row r="3633" spans="1:6" x14ac:dyDescent="0.2">
      <c r="A3633" s="20">
        <v>41687</v>
      </c>
      <c r="B3633">
        <v>173.25</v>
      </c>
      <c r="E3633">
        <f t="shared" si="112"/>
        <v>2</v>
      </c>
      <c r="F3633">
        <f t="shared" si="113"/>
        <v>2014</v>
      </c>
    </row>
    <row r="3634" spans="1:6" x14ac:dyDescent="0.2">
      <c r="A3634" s="20">
        <v>41688</v>
      </c>
      <c r="B3634">
        <v>173</v>
      </c>
      <c r="E3634">
        <f t="shared" si="112"/>
        <v>2</v>
      </c>
      <c r="F3634">
        <f t="shared" si="113"/>
        <v>2014</v>
      </c>
    </row>
    <row r="3635" spans="1:6" x14ac:dyDescent="0.2">
      <c r="A3635" s="20">
        <v>41689</v>
      </c>
      <c r="B3635">
        <v>173.25</v>
      </c>
      <c r="E3635">
        <f t="shared" si="112"/>
        <v>2</v>
      </c>
      <c r="F3635">
        <f t="shared" si="113"/>
        <v>2014</v>
      </c>
    </row>
    <row r="3636" spans="1:6" x14ac:dyDescent="0.2">
      <c r="A3636" s="20">
        <v>41690</v>
      </c>
      <c r="B3636">
        <v>174.25</v>
      </c>
      <c r="E3636">
        <f t="shared" si="112"/>
        <v>2</v>
      </c>
      <c r="F3636">
        <f t="shared" si="113"/>
        <v>2014</v>
      </c>
    </row>
    <row r="3637" spans="1:6" x14ac:dyDescent="0.2">
      <c r="A3637" s="20">
        <v>41691</v>
      </c>
      <c r="B3637">
        <v>174</v>
      </c>
      <c r="E3637">
        <f t="shared" si="112"/>
        <v>2</v>
      </c>
      <c r="F3637">
        <f t="shared" si="113"/>
        <v>2014</v>
      </c>
    </row>
    <row r="3638" spans="1:6" x14ac:dyDescent="0.2">
      <c r="A3638" s="20">
        <v>41694</v>
      </c>
      <c r="B3638">
        <v>173.25</v>
      </c>
      <c r="E3638">
        <f t="shared" si="112"/>
        <v>2</v>
      </c>
      <c r="F3638">
        <f t="shared" si="113"/>
        <v>2014</v>
      </c>
    </row>
    <row r="3639" spans="1:6" x14ac:dyDescent="0.2">
      <c r="A3639" s="20">
        <v>41695</v>
      </c>
      <c r="B3639">
        <v>172.25</v>
      </c>
      <c r="E3639">
        <f t="shared" si="112"/>
        <v>2</v>
      </c>
      <c r="F3639">
        <f t="shared" si="113"/>
        <v>2014</v>
      </c>
    </row>
    <row r="3640" spans="1:6" x14ac:dyDescent="0.2">
      <c r="A3640" s="20">
        <v>41696</v>
      </c>
      <c r="B3640">
        <v>172.5</v>
      </c>
      <c r="E3640">
        <f t="shared" si="112"/>
        <v>2</v>
      </c>
      <c r="F3640">
        <f t="shared" si="113"/>
        <v>2014</v>
      </c>
    </row>
    <row r="3641" spans="1:6" x14ac:dyDescent="0.2">
      <c r="A3641" s="20">
        <v>41697</v>
      </c>
      <c r="B3641">
        <v>172.5</v>
      </c>
      <c r="E3641">
        <f t="shared" si="112"/>
        <v>2</v>
      </c>
      <c r="F3641">
        <f t="shared" si="113"/>
        <v>2014</v>
      </c>
    </row>
    <row r="3642" spans="1:6" x14ac:dyDescent="0.2">
      <c r="A3642" s="20">
        <v>41698</v>
      </c>
      <c r="B3642">
        <v>169.25</v>
      </c>
      <c r="E3642">
        <f t="shared" si="112"/>
        <v>2</v>
      </c>
      <c r="F3642">
        <f t="shared" si="113"/>
        <v>2014</v>
      </c>
    </row>
    <row r="3643" spans="1:6" x14ac:dyDescent="0.2">
      <c r="A3643" s="20">
        <v>41701</v>
      </c>
      <c r="B3643">
        <v>172.75</v>
      </c>
      <c r="E3643">
        <f t="shared" si="112"/>
        <v>3</v>
      </c>
      <c r="F3643">
        <f t="shared" si="113"/>
        <v>2014</v>
      </c>
    </row>
    <row r="3644" spans="1:6" x14ac:dyDescent="0.2">
      <c r="A3644" s="20">
        <v>41702</v>
      </c>
      <c r="B3644">
        <v>170.75</v>
      </c>
      <c r="E3644">
        <f t="shared" si="112"/>
        <v>3</v>
      </c>
      <c r="F3644">
        <f t="shared" si="113"/>
        <v>2014</v>
      </c>
    </row>
    <row r="3645" spans="1:6" x14ac:dyDescent="0.2">
      <c r="A3645" s="20">
        <v>41703</v>
      </c>
      <c r="B3645">
        <v>170</v>
      </c>
      <c r="E3645">
        <f t="shared" si="112"/>
        <v>3</v>
      </c>
      <c r="F3645">
        <f t="shared" si="113"/>
        <v>2014</v>
      </c>
    </row>
    <row r="3646" spans="1:6" x14ac:dyDescent="0.2">
      <c r="A3646" s="20">
        <v>41704</v>
      </c>
      <c r="B3646">
        <v>182.75</v>
      </c>
      <c r="E3646">
        <f t="shared" si="112"/>
        <v>3</v>
      </c>
      <c r="F3646">
        <f t="shared" si="113"/>
        <v>2014</v>
      </c>
    </row>
    <row r="3647" spans="1:6" x14ac:dyDescent="0.2">
      <c r="A3647" s="20">
        <v>41705</v>
      </c>
      <c r="B3647">
        <v>184</v>
      </c>
      <c r="E3647">
        <f t="shared" si="112"/>
        <v>3</v>
      </c>
      <c r="F3647">
        <f t="shared" si="113"/>
        <v>2014</v>
      </c>
    </row>
    <row r="3648" spans="1:6" x14ac:dyDescent="0.2">
      <c r="A3648" s="20">
        <v>41708</v>
      </c>
      <c r="B3648">
        <v>182.5</v>
      </c>
      <c r="E3648">
        <f t="shared" si="112"/>
        <v>3</v>
      </c>
      <c r="F3648">
        <f t="shared" si="113"/>
        <v>2014</v>
      </c>
    </row>
    <row r="3649" spans="1:6" x14ac:dyDescent="0.2">
      <c r="A3649" s="20">
        <v>41709</v>
      </c>
      <c r="B3649">
        <v>183.25</v>
      </c>
      <c r="E3649">
        <f t="shared" si="112"/>
        <v>3</v>
      </c>
      <c r="F3649">
        <f t="shared" si="113"/>
        <v>2014</v>
      </c>
    </row>
    <row r="3650" spans="1:6" x14ac:dyDescent="0.2">
      <c r="A3650" s="20">
        <v>41710</v>
      </c>
      <c r="B3650">
        <v>185.75</v>
      </c>
      <c r="E3650">
        <f t="shared" si="112"/>
        <v>3</v>
      </c>
      <c r="F3650">
        <f t="shared" si="113"/>
        <v>2014</v>
      </c>
    </row>
    <row r="3651" spans="1:6" x14ac:dyDescent="0.2">
      <c r="A3651" s="20">
        <v>41711</v>
      </c>
      <c r="B3651">
        <v>186.25</v>
      </c>
      <c r="E3651">
        <f t="shared" ref="E3651:E3714" si="114">MONTH(A3651)</f>
        <v>3</v>
      </c>
      <c r="F3651">
        <f t="shared" ref="F3651:F3714" si="115">YEAR(A3651)</f>
        <v>2014</v>
      </c>
    </row>
    <row r="3652" spans="1:6" x14ac:dyDescent="0.2">
      <c r="A3652" s="20">
        <v>41712</v>
      </c>
      <c r="B3652">
        <v>186.75</v>
      </c>
      <c r="E3652">
        <f t="shared" si="114"/>
        <v>3</v>
      </c>
      <c r="F3652">
        <f t="shared" si="115"/>
        <v>2014</v>
      </c>
    </row>
    <row r="3653" spans="1:6" x14ac:dyDescent="0.2">
      <c r="A3653" s="20">
        <v>41715</v>
      </c>
      <c r="B3653">
        <v>184.25</v>
      </c>
      <c r="E3653">
        <f t="shared" si="114"/>
        <v>3</v>
      </c>
      <c r="F3653">
        <f t="shared" si="115"/>
        <v>2014</v>
      </c>
    </row>
    <row r="3654" spans="1:6" x14ac:dyDescent="0.2">
      <c r="A3654" s="20">
        <v>41716</v>
      </c>
      <c r="B3654">
        <v>184.5</v>
      </c>
      <c r="E3654">
        <f t="shared" si="114"/>
        <v>3</v>
      </c>
      <c r="F3654">
        <f t="shared" si="115"/>
        <v>2014</v>
      </c>
    </row>
    <row r="3655" spans="1:6" x14ac:dyDescent="0.2">
      <c r="A3655" s="20">
        <v>41717</v>
      </c>
      <c r="B3655">
        <v>186.5</v>
      </c>
      <c r="E3655">
        <f t="shared" si="114"/>
        <v>3</v>
      </c>
      <c r="F3655">
        <f t="shared" si="115"/>
        <v>2014</v>
      </c>
    </row>
    <row r="3656" spans="1:6" x14ac:dyDescent="0.2">
      <c r="A3656" s="20">
        <v>41718</v>
      </c>
      <c r="B3656">
        <v>185.75</v>
      </c>
      <c r="E3656">
        <f t="shared" si="114"/>
        <v>3</v>
      </c>
      <c r="F3656">
        <f t="shared" si="115"/>
        <v>2014</v>
      </c>
    </row>
    <row r="3657" spans="1:6" x14ac:dyDescent="0.2">
      <c r="A3657" s="20">
        <v>41719</v>
      </c>
      <c r="B3657">
        <v>185.5</v>
      </c>
      <c r="E3657">
        <f t="shared" si="114"/>
        <v>3</v>
      </c>
      <c r="F3657">
        <f t="shared" si="115"/>
        <v>2014</v>
      </c>
    </row>
    <row r="3658" spans="1:6" x14ac:dyDescent="0.2">
      <c r="A3658" s="20">
        <v>41722</v>
      </c>
      <c r="B3658">
        <v>186</v>
      </c>
      <c r="E3658">
        <f t="shared" si="114"/>
        <v>3</v>
      </c>
      <c r="F3658">
        <f t="shared" si="115"/>
        <v>2014</v>
      </c>
    </row>
    <row r="3659" spans="1:6" x14ac:dyDescent="0.2">
      <c r="A3659" s="20">
        <v>41723</v>
      </c>
      <c r="B3659">
        <v>185.75</v>
      </c>
      <c r="E3659">
        <f t="shared" si="114"/>
        <v>3</v>
      </c>
      <c r="F3659">
        <f t="shared" si="115"/>
        <v>2014</v>
      </c>
    </row>
    <row r="3660" spans="1:6" x14ac:dyDescent="0.2">
      <c r="A3660" s="20">
        <v>41724</v>
      </c>
      <c r="B3660">
        <v>185.75</v>
      </c>
      <c r="E3660">
        <f t="shared" si="114"/>
        <v>3</v>
      </c>
      <c r="F3660">
        <f t="shared" si="115"/>
        <v>2014</v>
      </c>
    </row>
    <row r="3661" spans="1:6" x14ac:dyDescent="0.2">
      <c r="A3661" s="20">
        <v>41725</v>
      </c>
      <c r="B3661">
        <v>185.75</v>
      </c>
      <c r="E3661">
        <f t="shared" si="114"/>
        <v>3</v>
      </c>
      <c r="F3661">
        <f t="shared" si="115"/>
        <v>2014</v>
      </c>
    </row>
    <row r="3662" spans="1:6" x14ac:dyDescent="0.2">
      <c r="A3662" s="20">
        <v>41726</v>
      </c>
      <c r="B3662">
        <v>185.25</v>
      </c>
      <c r="E3662">
        <f t="shared" si="114"/>
        <v>3</v>
      </c>
      <c r="F3662">
        <f t="shared" si="115"/>
        <v>2014</v>
      </c>
    </row>
    <row r="3663" spans="1:6" x14ac:dyDescent="0.2">
      <c r="A3663" s="20">
        <v>41729</v>
      </c>
      <c r="B3663">
        <v>186</v>
      </c>
      <c r="E3663">
        <f t="shared" si="114"/>
        <v>3</v>
      </c>
      <c r="F3663">
        <f t="shared" si="115"/>
        <v>2014</v>
      </c>
    </row>
    <row r="3664" spans="1:6" x14ac:dyDescent="0.2">
      <c r="A3664" s="20">
        <v>41730</v>
      </c>
      <c r="B3664">
        <v>187</v>
      </c>
      <c r="E3664">
        <f t="shared" si="114"/>
        <v>4</v>
      </c>
      <c r="F3664">
        <f t="shared" si="115"/>
        <v>2014</v>
      </c>
    </row>
    <row r="3665" spans="1:6" x14ac:dyDescent="0.2">
      <c r="A3665" s="20">
        <v>41731</v>
      </c>
      <c r="B3665">
        <v>184.75</v>
      </c>
      <c r="E3665">
        <f t="shared" si="114"/>
        <v>4</v>
      </c>
      <c r="F3665">
        <f t="shared" si="115"/>
        <v>2014</v>
      </c>
    </row>
    <row r="3666" spans="1:6" x14ac:dyDescent="0.2">
      <c r="A3666" s="20">
        <v>41732</v>
      </c>
      <c r="B3666">
        <v>185.75</v>
      </c>
      <c r="E3666">
        <f t="shared" si="114"/>
        <v>4</v>
      </c>
      <c r="F3666">
        <f t="shared" si="115"/>
        <v>2014</v>
      </c>
    </row>
    <row r="3667" spans="1:6" x14ac:dyDescent="0.2">
      <c r="A3667" s="20">
        <v>41733</v>
      </c>
      <c r="B3667">
        <v>184.25</v>
      </c>
      <c r="E3667">
        <f t="shared" si="114"/>
        <v>4</v>
      </c>
      <c r="F3667">
        <f t="shared" si="115"/>
        <v>2014</v>
      </c>
    </row>
    <row r="3668" spans="1:6" x14ac:dyDescent="0.2">
      <c r="A3668" s="20">
        <v>41736</v>
      </c>
      <c r="B3668">
        <v>184.5</v>
      </c>
      <c r="E3668">
        <f t="shared" si="114"/>
        <v>4</v>
      </c>
      <c r="F3668">
        <f t="shared" si="115"/>
        <v>2014</v>
      </c>
    </row>
    <row r="3669" spans="1:6" x14ac:dyDescent="0.2">
      <c r="A3669" s="20">
        <v>41737</v>
      </c>
      <c r="B3669">
        <v>186.25</v>
      </c>
      <c r="E3669">
        <f t="shared" si="114"/>
        <v>4</v>
      </c>
      <c r="F3669">
        <f t="shared" si="115"/>
        <v>2014</v>
      </c>
    </row>
    <row r="3670" spans="1:6" x14ac:dyDescent="0.2">
      <c r="A3670" s="20">
        <v>41738</v>
      </c>
      <c r="B3670">
        <v>188.75</v>
      </c>
      <c r="E3670">
        <f t="shared" si="114"/>
        <v>4</v>
      </c>
      <c r="F3670">
        <f t="shared" si="115"/>
        <v>2014</v>
      </c>
    </row>
    <row r="3671" spans="1:6" x14ac:dyDescent="0.2">
      <c r="A3671" s="20">
        <v>41739</v>
      </c>
      <c r="B3671">
        <v>188.25</v>
      </c>
      <c r="E3671">
        <f t="shared" si="114"/>
        <v>4</v>
      </c>
      <c r="F3671">
        <f t="shared" si="115"/>
        <v>2014</v>
      </c>
    </row>
    <row r="3672" spans="1:6" x14ac:dyDescent="0.2">
      <c r="A3672" s="20">
        <v>41740</v>
      </c>
      <c r="B3672">
        <v>187</v>
      </c>
      <c r="E3672">
        <f t="shared" si="114"/>
        <v>4</v>
      </c>
      <c r="F3672">
        <f t="shared" si="115"/>
        <v>2014</v>
      </c>
    </row>
    <row r="3673" spans="1:6" x14ac:dyDescent="0.2">
      <c r="A3673" s="20">
        <v>41743</v>
      </c>
      <c r="B3673">
        <v>189</v>
      </c>
      <c r="E3673">
        <f t="shared" si="114"/>
        <v>4</v>
      </c>
      <c r="F3673">
        <f t="shared" si="115"/>
        <v>2014</v>
      </c>
    </row>
    <row r="3674" spans="1:6" x14ac:dyDescent="0.2">
      <c r="A3674" s="20">
        <v>41744</v>
      </c>
      <c r="B3674">
        <v>189.25</v>
      </c>
      <c r="E3674">
        <f t="shared" si="114"/>
        <v>4</v>
      </c>
      <c r="F3674">
        <f t="shared" si="115"/>
        <v>2014</v>
      </c>
    </row>
    <row r="3675" spans="1:6" x14ac:dyDescent="0.2">
      <c r="A3675" s="20">
        <v>41745</v>
      </c>
      <c r="B3675">
        <v>189.5</v>
      </c>
      <c r="E3675">
        <f t="shared" si="114"/>
        <v>4</v>
      </c>
      <c r="F3675">
        <f t="shared" si="115"/>
        <v>2014</v>
      </c>
    </row>
    <row r="3676" spans="1:6" x14ac:dyDescent="0.2">
      <c r="A3676" s="20">
        <v>41746</v>
      </c>
      <c r="B3676">
        <v>188</v>
      </c>
      <c r="E3676">
        <f t="shared" si="114"/>
        <v>4</v>
      </c>
      <c r="F3676">
        <f t="shared" si="115"/>
        <v>2014</v>
      </c>
    </row>
    <row r="3677" spans="1:6" x14ac:dyDescent="0.2">
      <c r="A3677" s="20">
        <v>41751</v>
      </c>
      <c r="B3677">
        <v>184.75</v>
      </c>
      <c r="E3677">
        <f t="shared" si="114"/>
        <v>4</v>
      </c>
      <c r="F3677">
        <f t="shared" si="115"/>
        <v>2014</v>
      </c>
    </row>
    <row r="3678" spans="1:6" x14ac:dyDescent="0.2">
      <c r="A3678" s="20">
        <v>41752</v>
      </c>
      <c r="B3678">
        <v>185.75</v>
      </c>
      <c r="E3678">
        <f t="shared" si="114"/>
        <v>4</v>
      </c>
      <c r="F3678">
        <f t="shared" si="115"/>
        <v>2014</v>
      </c>
    </row>
    <row r="3679" spans="1:6" x14ac:dyDescent="0.2">
      <c r="A3679" s="20">
        <v>41753</v>
      </c>
      <c r="B3679">
        <v>188</v>
      </c>
      <c r="E3679">
        <f t="shared" si="114"/>
        <v>4</v>
      </c>
      <c r="F3679">
        <f t="shared" si="115"/>
        <v>2014</v>
      </c>
    </row>
    <row r="3680" spans="1:6" x14ac:dyDescent="0.2">
      <c r="A3680" s="20">
        <v>41754</v>
      </c>
      <c r="B3680">
        <v>187.25</v>
      </c>
      <c r="E3680">
        <f t="shared" si="114"/>
        <v>4</v>
      </c>
      <c r="F3680">
        <f t="shared" si="115"/>
        <v>2014</v>
      </c>
    </row>
    <row r="3681" spans="1:6" x14ac:dyDescent="0.2">
      <c r="A3681" s="20">
        <v>41757</v>
      </c>
      <c r="B3681">
        <v>185</v>
      </c>
      <c r="E3681">
        <f t="shared" si="114"/>
        <v>4</v>
      </c>
      <c r="F3681">
        <f t="shared" si="115"/>
        <v>2014</v>
      </c>
    </row>
    <row r="3682" spans="1:6" x14ac:dyDescent="0.2">
      <c r="A3682" s="20">
        <v>41758</v>
      </c>
      <c r="B3682">
        <v>185</v>
      </c>
      <c r="E3682">
        <f t="shared" si="114"/>
        <v>4</v>
      </c>
      <c r="F3682">
        <f t="shared" si="115"/>
        <v>2014</v>
      </c>
    </row>
    <row r="3683" spans="1:6" x14ac:dyDescent="0.2">
      <c r="A3683" s="20">
        <v>41759</v>
      </c>
      <c r="B3683">
        <v>184.5</v>
      </c>
      <c r="E3683">
        <f t="shared" si="114"/>
        <v>4</v>
      </c>
      <c r="F3683">
        <f t="shared" si="115"/>
        <v>2014</v>
      </c>
    </row>
    <row r="3684" spans="1:6" x14ac:dyDescent="0.2">
      <c r="A3684" s="20">
        <v>41761</v>
      </c>
      <c r="B3684">
        <v>183.75</v>
      </c>
      <c r="E3684">
        <f t="shared" si="114"/>
        <v>5</v>
      </c>
      <c r="F3684">
        <f t="shared" si="115"/>
        <v>2014</v>
      </c>
    </row>
    <row r="3685" spans="1:6" x14ac:dyDescent="0.2">
      <c r="A3685" s="20">
        <v>41764</v>
      </c>
      <c r="B3685">
        <v>186</v>
      </c>
      <c r="E3685">
        <f t="shared" si="114"/>
        <v>5</v>
      </c>
      <c r="F3685">
        <f t="shared" si="115"/>
        <v>2014</v>
      </c>
    </row>
    <row r="3686" spans="1:6" x14ac:dyDescent="0.2">
      <c r="A3686" s="20">
        <v>41765</v>
      </c>
      <c r="B3686">
        <v>185.75</v>
      </c>
      <c r="E3686">
        <f t="shared" si="114"/>
        <v>5</v>
      </c>
      <c r="F3686">
        <f t="shared" si="115"/>
        <v>2014</v>
      </c>
    </row>
    <row r="3687" spans="1:6" x14ac:dyDescent="0.2">
      <c r="A3687" s="20">
        <v>41766</v>
      </c>
      <c r="B3687">
        <v>184.5</v>
      </c>
      <c r="E3687">
        <f t="shared" si="114"/>
        <v>5</v>
      </c>
      <c r="F3687">
        <f t="shared" si="115"/>
        <v>2014</v>
      </c>
    </row>
    <row r="3688" spans="1:6" x14ac:dyDescent="0.2">
      <c r="A3688" s="20">
        <v>41767</v>
      </c>
      <c r="B3688">
        <v>184.5</v>
      </c>
      <c r="E3688">
        <f t="shared" si="114"/>
        <v>5</v>
      </c>
      <c r="F3688">
        <f t="shared" si="115"/>
        <v>2014</v>
      </c>
    </row>
    <row r="3689" spans="1:6" x14ac:dyDescent="0.2">
      <c r="A3689" s="20">
        <v>41768</v>
      </c>
      <c r="B3689">
        <v>184.25</v>
      </c>
      <c r="E3689">
        <f t="shared" si="114"/>
        <v>5</v>
      </c>
      <c r="F3689">
        <f t="shared" si="115"/>
        <v>2014</v>
      </c>
    </row>
    <row r="3690" spans="1:6" x14ac:dyDescent="0.2">
      <c r="A3690" s="20">
        <v>41771</v>
      </c>
      <c r="B3690">
        <v>183</v>
      </c>
      <c r="E3690">
        <f t="shared" si="114"/>
        <v>5</v>
      </c>
      <c r="F3690">
        <f t="shared" si="115"/>
        <v>2014</v>
      </c>
    </row>
    <row r="3691" spans="1:6" x14ac:dyDescent="0.2">
      <c r="A3691" s="20">
        <v>41772</v>
      </c>
      <c r="B3691">
        <v>183.25</v>
      </c>
      <c r="E3691">
        <f t="shared" si="114"/>
        <v>5</v>
      </c>
      <c r="F3691">
        <f t="shared" si="115"/>
        <v>2014</v>
      </c>
    </row>
    <row r="3692" spans="1:6" x14ac:dyDescent="0.2">
      <c r="A3692" s="20">
        <v>41773</v>
      </c>
      <c r="B3692">
        <v>180.5</v>
      </c>
      <c r="E3692">
        <f t="shared" si="114"/>
        <v>5</v>
      </c>
      <c r="F3692">
        <f t="shared" si="115"/>
        <v>2014</v>
      </c>
    </row>
    <row r="3693" spans="1:6" x14ac:dyDescent="0.2">
      <c r="A3693" s="20">
        <v>41774</v>
      </c>
      <c r="B3693">
        <v>178</v>
      </c>
      <c r="E3693">
        <f t="shared" si="114"/>
        <v>5</v>
      </c>
      <c r="F3693">
        <f t="shared" si="115"/>
        <v>2014</v>
      </c>
    </row>
    <row r="3694" spans="1:6" x14ac:dyDescent="0.2">
      <c r="A3694" s="20">
        <v>41775</v>
      </c>
      <c r="B3694">
        <v>177.5</v>
      </c>
      <c r="E3694">
        <f t="shared" si="114"/>
        <v>5</v>
      </c>
      <c r="F3694">
        <f t="shared" si="115"/>
        <v>2014</v>
      </c>
    </row>
    <row r="3695" spans="1:6" x14ac:dyDescent="0.2">
      <c r="A3695" s="20">
        <v>41778</v>
      </c>
      <c r="B3695">
        <v>176</v>
      </c>
      <c r="E3695">
        <f t="shared" si="114"/>
        <v>5</v>
      </c>
      <c r="F3695">
        <f t="shared" si="115"/>
        <v>2014</v>
      </c>
    </row>
    <row r="3696" spans="1:6" x14ac:dyDescent="0.2">
      <c r="A3696" s="20">
        <v>41779</v>
      </c>
      <c r="B3696">
        <v>177</v>
      </c>
      <c r="E3696">
        <f t="shared" si="114"/>
        <v>5</v>
      </c>
      <c r="F3696">
        <f t="shared" si="115"/>
        <v>2014</v>
      </c>
    </row>
    <row r="3697" spans="1:6" x14ac:dyDescent="0.2">
      <c r="A3697" s="20">
        <v>41780</v>
      </c>
      <c r="B3697">
        <v>175.5</v>
      </c>
      <c r="E3697">
        <f t="shared" si="114"/>
        <v>5</v>
      </c>
      <c r="F3697">
        <f t="shared" si="115"/>
        <v>2014</v>
      </c>
    </row>
    <row r="3698" spans="1:6" x14ac:dyDescent="0.2">
      <c r="A3698" s="20">
        <v>41781</v>
      </c>
      <c r="B3698">
        <v>176</v>
      </c>
      <c r="E3698">
        <f t="shared" si="114"/>
        <v>5</v>
      </c>
      <c r="F3698">
        <f t="shared" si="115"/>
        <v>2014</v>
      </c>
    </row>
    <row r="3699" spans="1:6" x14ac:dyDescent="0.2">
      <c r="A3699" s="20">
        <v>41782</v>
      </c>
      <c r="B3699">
        <v>175.75</v>
      </c>
      <c r="E3699">
        <f t="shared" si="114"/>
        <v>5</v>
      </c>
      <c r="F3699">
        <f t="shared" si="115"/>
        <v>2014</v>
      </c>
    </row>
    <row r="3700" spans="1:6" x14ac:dyDescent="0.2">
      <c r="A3700" s="20">
        <v>41785</v>
      </c>
      <c r="B3700">
        <v>174.5</v>
      </c>
      <c r="E3700">
        <f t="shared" si="114"/>
        <v>5</v>
      </c>
      <c r="F3700">
        <f t="shared" si="115"/>
        <v>2014</v>
      </c>
    </row>
    <row r="3701" spans="1:6" x14ac:dyDescent="0.2">
      <c r="A3701" s="20">
        <v>41786</v>
      </c>
      <c r="B3701">
        <v>173.25</v>
      </c>
      <c r="E3701">
        <f t="shared" si="114"/>
        <v>5</v>
      </c>
      <c r="F3701">
        <f t="shared" si="115"/>
        <v>2014</v>
      </c>
    </row>
    <row r="3702" spans="1:6" x14ac:dyDescent="0.2">
      <c r="A3702" s="20">
        <v>41787</v>
      </c>
      <c r="B3702">
        <v>171</v>
      </c>
      <c r="E3702">
        <f t="shared" si="114"/>
        <v>5</v>
      </c>
      <c r="F3702">
        <f t="shared" si="115"/>
        <v>2014</v>
      </c>
    </row>
    <row r="3703" spans="1:6" x14ac:dyDescent="0.2">
      <c r="A3703" s="20">
        <v>41788</v>
      </c>
      <c r="B3703">
        <v>171.5</v>
      </c>
      <c r="E3703">
        <f t="shared" si="114"/>
        <v>5</v>
      </c>
      <c r="F3703">
        <f t="shared" si="115"/>
        <v>2014</v>
      </c>
    </row>
    <row r="3704" spans="1:6" x14ac:dyDescent="0.2">
      <c r="A3704" s="20">
        <v>41789</v>
      </c>
      <c r="B3704">
        <v>173.5</v>
      </c>
      <c r="E3704">
        <f t="shared" si="114"/>
        <v>5</v>
      </c>
      <c r="F3704">
        <f t="shared" si="115"/>
        <v>2014</v>
      </c>
    </row>
    <row r="3705" spans="1:6" x14ac:dyDescent="0.2">
      <c r="A3705" s="20">
        <v>41792</v>
      </c>
      <c r="B3705">
        <v>171.75</v>
      </c>
      <c r="E3705">
        <f t="shared" si="114"/>
        <v>6</v>
      </c>
      <c r="F3705">
        <f t="shared" si="115"/>
        <v>2014</v>
      </c>
    </row>
    <row r="3706" spans="1:6" x14ac:dyDescent="0.2">
      <c r="A3706" s="20">
        <v>41793</v>
      </c>
      <c r="B3706">
        <v>171.75</v>
      </c>
      <c r="E3706">
        <f t="shared" si="114"/>
        <v>6</v>
      </c>
      <c r="F3706">
        <f t="shared" si="115"/>
        <v>2014</v>
      </c>
    </row>
    <row r="3707" spans="1:6" x14ac:dyDescent="0.2">
      <c r="A3707" s="20">
        <v>41794</v>
      </c>
      <c r="B3707">
        <v>168.25</v>
      </c>
      <c r="E3707">
        <f t="shared" si="114"/>
        <v>6</v>
      </c>
      <c r="F3707">
        <f t="shared" si="115"/>
        <v>2014</v>
      </c>
    </row>
    <row r="3708" spans="1:6" x14ac:dyDescent="0.2">
      <c r="A3708" s="20">
        <v>41795</v>
      </c>
      <c r="B3708">
        <v>168</v>
      </c>
      <c r="E3708">
        <f t="shared" si="114"/>
        <v>6</v>
      </c>
      <c r="F3708">
        <f t="shared" si="115"/>
        <v>2014</v>
      </c>
    </row>
    <row r="3709" spans="1:6" x14ac:dyDescent="0.2">
      <c r="A3709" s="20">
        <v>41796</v>
      </c>
      <c r="B3709">
        <v>178.5</v>
      </c>
      <c r="E3709">
        <f t="shared" si="114"/>
        <v>6</v>
      </c>
      <c r="F3709">
        <f t="shared" si="115"/>
        <v>2014</v>
      </c>
    </row>
    <row r="3710" spans="1:6" x14ac:dyDescent="0.2">
      <c r="A3710" s="20">
        <v>41799</v>
      </c>
      <c r="B3710">
        <v>177.5</v>
      </c>
      <c r="E3710">
        <f t="shared" si="114"/>
        <v>6</v>
      </c>
      <c r="F3710">
        <f t="shared" si="115"/>
        <v>2014</v>
      </c>
    </row>
    <row r="3711" spans="1:6" x14ac:dyDescent="0.2">
      <c r="A3711" s="20">
        <v>41800</v>
      </c>
      <c r="B3711">
        <v>177.75</v>
      </c>
      <c r="E3711">
        <f t="shared" si="114"/>
        <v>6</v>
      </c>
      <c r="F3711">
        <f t="shared" si="115"/>
        <v>2014</v>
      </c>
    </row>
    <row r="3712" spans="1:6" x14ac:dyDescent="0.2">
      <c r="A3712" s="20">
        <v>41801</v>
      </c>
      <c r="B3712">
        <v>177.25</v>
      </c>
      <c r="E3712">
        <f t="shared" si="114"/>
        <v>6</v>
      </c>
      <c r="F3712">
        <f t="shared" si="115"/>
        <v>2014</v>
      </c>
    </row>
    <row r="3713" spans="1:6" x14ac:dyDescent="0.2">
      <c r="A3713" s="20">
        <v>41802</v>
      </c>
      <c r="B3713">
        <v>176.25</v>
      </c>
      <c r="E3713">
        <f t="shared" si="114"/>
        <v>6</v>
      </c>
      <c r="F3713">
        <f t="shared" si="115"/>
        <v>2014</v>
      </c>
    </row>
    <row r="3714" spans="1:6" x14ac:dyDescent="0.2">
      <c r="A3714" s="20">
        <v>41803</v>
      </c>
      <c r="B3714">
        <v>176.5</v>
      </c>
      <c r="E3714">
        <f t="shared" si="114"/>
        <v>6</v>
      </c>
      <c r="F3714">
        <f t="shared" si="115"/>
        <v>2014</v>
      </c>
    </row>
    <row r="3715" spans="1:6" x14ac:dyDescent="0.2">
      <c r="A3715" s="20">
        <v>41806</v>
      </c>
      <c r="B3715">
        <v>176.75</v>
      </c>
      <c r="E3715">
        <f t="shared" ref="E3715:E3778" si="116">MONTH(A3715)</f>
        <v>6</v>
      </c>
      <c r="F3715">
        <f t="shared" ref="F3715:F3778" si="117">YEAR(A3715)</f>
        <v>2014</v>
      </c>
    </row>
    <row r="3716" spans="1:6" x14ac:dyDescent="0.2">
      <c r="A3716" s="20">
        <v>41807</v>
      </c>
      <c r="B3716">
        <v>176.5</v>
      </c>
      <c r="E3716">
        <f t="shared" si="116"/>
        <v>6</v>
      </c>
      <c r="F3716">
        <f t="shared" si="117"/>
        <v>2014</v>
      </c>
    </row>
    <row r="3717" spans="1:6" x14ac:dyDescent="0.2">
      <c r="A3717" s="20">
        <v>41808</v>
      </c>
      <c r="B3717">
        <v>176.5</v>
      </c>
      <c r="E3717">
        <f t="shared" si="116"/>
        <v>6</v>
      </c>
      <c r="F3717">
        <f t="shared" si="117"/>
        <v>2014</v>
      </c>
    </row>
    <row r="3718" spans="1:6" x14ac:dyDescent="0.2">
      <c r="A3718" s="20">
        <v>41809</v>
      </c>
      <c r="B3718">
        <v>176</v>
      </c>
      <c r="E3718">
        <f t="shared" si="116"/>
        <v>6</v>
      </c>
      <c r="F3718">
        <f t="shared" si="117"/>
        <v>2014</v>
      </c>
    </row>
    <row r="3719" spans="1:6" x14ac:dyDescent="0.2">
      <c r="A3719" s="20">
        <v>41810</v>
      </c>
      <c r="B3719">
        <v>176</v>
      </c>
      <c r="E3719">
        <f t="shared" si="116"/>
        <v>6</v>
      </c>
      <c r="F3719">
        <f t="shared" si="117"/>
        <v>2014</v>
      </c>
    </row>
    <row r="3720" spans="1:6" x14ac:dyDescent="0.2">
      <c r="A3720" s="20">
        <v>41813</v>
      </c>
      <c r="B3720">
        <v>175.5</v>
      </c>
      <c r="E3720">
        <f t="shared" si="116"/>
        <v>6</v>
      </c>
      <c r="F3720">
        <f t="shared" si="117"/>
        <v>2014</v>
      </c>
    </row>
    <row r="3721" spans="1:6" x14ac:dyDescent="0.2">
      <c r="A3721" s="20">
        <v>41814</v>
      </c>
      <c r="B3721">
        <v>174.5</v>
      </c>
      <c r="E3721">
        <f t="shared" si="116"/>
        <v>6</v>
      </c>
      <c r="F3721">
        <f t="shared" si="117"/>
        <v>2014</v>
      </c>
    </row>
    <row r="3722" spans="1:6" x14ac:dyDescent="0.2">
      <c r="A3722" s="20">
        <v>41815</v>
      </c>
      <c r="B3722">
        <v>173.25</v>
      </c>
      <c r="E3722">
        <f t="shared" si="116"/>
        <v>6</v>
      </c>
      <c r="F3722">
        <f t="shared" si="117"/>
        <v>2014</v>
      </c>
    </row>
    <row r="3723" spans="1:6" x14ac:dyDescent="0.2">
      <c r="A3723" s="20">
        <v>41816</v>
      </c>
      <c r="B3723">
        <v>173.5</v>
      </c>
      <c r="E3723">
        <f t="shared" si="116"/>
        <v>6</v>
      </c>
      <c r="F3723">
        <f t="shared" si="117"/>
        <v>2014</v>
      </c>
    </row>
    <row r="3724" spans="1:6" x14ac:dyDescent="0.2">
      <c r="A3724" s="20">
        <v>41817</v>
      </c>
      <c r="B3724">
        <v>172.5</v>
      </c>
      <c r="E3724">
        <f t="shared" si="116"/>
        <v>6</v>
      </c>
      <c r="F3724">
        <f t="shared" si="117"/>
        <v>2014</v>
      </c>
    </row>
    <row r="3725" spans="1:6" x14ac:dyDescent="0.2">
      <c r="A3725" s="20">
        <v>41820</v>
      </c>
      <c r="B3725">
        <v>170</v>
      </c>
      <c r="E3725">
        <f t="shared" si="116"/>
        <v>6</v>
      </c>
      <c r="F3725">
        <f t="shared" si="117"/>
        <v>2014</v>
      </c>
    </row>
    <row r="3726" spans="1:6" x14ac:dyDescent="0.2">
      <c r="A3726" s="20">
        <v>41821</v>
      </c>
      <c r="B3726">
        <v>170</v>
      </c>
      <c r="E3726">
        <f t="shared" si="116"/>
        <v>7</v>
      </c>
      <c r="F3726">
        <f t="shared" si="117"/>
        <v>2014</v>
      </c>
    </row>
    <row r="3727" spans="1:6" x14ac:dyDescent="0.2">
      <c r="A3727" s="20">
        <v>41822</v>
      </c>
      <c r="B3727">
        <v>169.75</v>
      </c>
      <c r="E3727">
        <f t="shared" si="116"/>
        <v>7</v>
      </c>
      <c r="F3727">
        <f t="shared" si="117"/>
        <v>2014</v>
      </c>
    </row>
    <row r="3728" spans="1:6" x14ac:dyDescent="0.2">
      <c r="A3728" s="20">
        <v>41823</v>
      </c>
      <c r="B3728">
        <v>171.25</v>
      </c>
      <c r="E3728">
        <f t="shared" si="116"/>
        <v>7</v>
      </c>
      <c r="F3728">
        <f t="shared" si="117"/>
        <v>2014</v>
      </c>
    </row>
    <row r="3729" spans="1:6" x14ac:dyDescent="0.2">
      <c r="A3729" s="20">
        <v>41824</v>
      </c>
      <c r="B3729">
        <v>171</v>
      </c>
      <c r="E3729">
        <f t="shared" si="116"/>
        <v>7</v>
      </c>
      <c r="F3729">
        <f t="shared" si="117"/>
        <v>2014</v>
      </c>
    </row>
    <row r="3730" spans="1:6" x14ac:dyDescent="0.2">
      <c r="A3730" s="20">
        <v>41827</v>
      </c>
      <c r="B3730">
        <v>170.25</v>
      </c>
      <c r="E3730">
        <f t="shared" si="116"/>
        <v>7</v>
      </c>
      <c r="F3730">
        <f t="shared" si="117"/>
        <v>2014</v>
      </c>
    </row>
    <row r="3731" spans="1:6" x14ac:dyDescent="0.2">
      <c r="A3731" s="20">
        <v>41828</v>
      </c>
      <c r="B3731">
        <v>171.5</v>
      </c>
      <c r="E3731">
        <f t="shared" si="116"/>
        <v>7</v>
      </c>
      <c r="F3731">
        <f t="shared" si="117"/>
        <v>2014</v>
      </c>
    </row>
    <row r="3732" spans="1:6" x14ac:dyDescent="0.2">
      <c r="A3732" s="20">
        <v>41829</v>
      </c>
      <c r="B3732">
        <v>169.75</v>
      </c>
      <c r="E3732">
        <f t="shared" si="116"/>
        <v>7</v>
      </c>
      <c r="F3732">
        <f t="shared" si="117"/>
        <v>2014</v>
      </c>
    </row>
    <row r="3733" spans="1:6" x14ac:dyDescent="0.2">
      <c r="A3733" s="20">
        <v>41830</v>
      </c>
      <c r="B3733">
        <v>170.25</v>
      </c>
      <c r="E3733">
        <f t="shared" si="116"/>
        <v>7</v>
      </c>
      <c r="F3733">
        <f t="shared" si="117"/>
        <v>2014</v>
      </c>
    </row>
    <row r="3734" spans="1:6" x14ac:dyDescent="0.2">
      <c r="A3734" s="20">
        <v>41831</v>
      </c>
      <c r="B3734">
        <v>169</v>
      </c>
      <c r="E3734">
        <f t="shared" si="116"/>
        <v>7</v>
      </c>
      <c r="F3734">
        <f t="shared" si="117"/>
        <v>2014</v>
      </c>
    </row>
    <row r="3735" spans="1:6" x14ac:dyDescent="0.2">
      <c r="A3735" s="20">
        <v>41834</v>
      </c>
      <c r="B3735">
        <v>167.5</v>
      </c>
      <c r="E3735">
        <f t="shared" si="116"/>
        <v>7</v>
      </c>
      <c r="F3735">
        <f t="shared" si="117"/>
        <v>2014</v>
      </c>
    </row>
    <row r="3736" spans="1:6" x14ac:dyDescent="0.2">
      <c r="A3736" s="20">
        <v>41835</v>
      </c>
      <c r="B3736">
        <v>167.5</v>
      </c>
      <c r="E3736">
        <f t="shared" si="116"/>
        <v>7</v>
      </c>
      <c r="F3736">
        <f t="shared" si="117"/>
        <v>2014</v>
      </c>
    </row>
    <row r="3737" spans="1:6" x14ac:dyDescent="0.2">
      <c r="A3737" s="20">
        <v>41836</v>
      </c>
      <c r="B3737">
        <v>168</v>
      </c>
      <c r="E3737">
        <f t="shared" si="116"/>
        <v>7</v>
      </c>
      <c r="F3737">
        <f t="shared" si="117"/>
        <v>2014</v>
      </c>
    </row>
    <row r="3738" spans="1:6" x14ac:dyDescent="0.2">
      <c r="A3738" s="20">
        <v>41837</v>
      </c>
      <c r="B3738">
        <v>169</v>
      </c>
      <c r="E3738">
        <f t="shared" si="116"/>
        <v>7</v>
      </c>
      <c r="F3738">
        <f t="shared" si="117"/>
        <v>2014</v>
      </c>
    </row>
    <row r="3739" spans="1:6" x14ac:dyDescent="0.2">
      <c r="A3739" s="20">
        <v>41838</v>
      </c>
      <c r="B3739">
        <v>166.75</v>
      </c>
      <c r="E3739">
        <f t="shared" si="116"/>
        <v>7</v>
      </c>
      <c r="F3739">
        <f t="shared" si="117"/>
        <v>2014</v>
      </c>
    </row>
    <row r="3740" spans="1:6" x14ac:dyDescent="0.2">
      <c r="A3740" s="20">
        <v>41841</v>
      </c>
      <c r="B3740">
        <v>165.5</v>
      </c>
      <c r="E3740">
        <f t="shared" si="116"/>
        <v>7</v>
      </c>
      <c r="F3740">
        <f t="shared" si="117"/>
        <v>2014</v>
      </c>
    </row>
    <row r="3741" spans="1:6" x14ac:dyDescent="0.2">
      <c r="A3741" s="20">
        <v>41842</v>
      </c>
      <c r="B3741">
        <v>160.25</v>
      </c>
      <c r="E3741">
        <f t="shared" si="116"/>
        <v>7</v>
      </c>
      <c r="F3741">
        <f t="shared" si="117"/>
        <v>2014</v>
      </c>
    </row>
    <row r="3742" spans="1:6" x14ac:dyDescent="0.2">
      <c r="A3742" s="20">
        <v>41843</v>
      </c>
      <c r="B3742">
        <v>157.75</v>
      </c>
      <c r="E3742">
        <f t="shared" si="116"/>
        <v>7</v>
      </c>
      <c r="F3742">
        <f t="shared" si="117"/>
        <v>2014</v>
      </c>
    </row>
    <row r="3743" spans="1:6" x14ac:dyDescent="0.2">
      <c r="A3743" s="20">
        <v>41844</v>
      </c>
      <c r="B3743">
        <v>158.75</v>
      </c>
      <c r="E3743">
        <f t="shared" si="116"/>
        <v>7</v>
      </c>
      <c r="F3743">
        <f t="shared" si="117"/>
        <v>2014</v>
      </c>
    </row>
    <row r="3744" spans="1:6" x14ac:dyDescent="0.2">
      <c r="A3744" s="20">
        <v>41845</v>
      </c>
      <c r="B3744">
        <v>156.25</v>
      </c>
      <c r="E3744">
        <f t="shared" si="116"/>
        <v>7</v>
      </c>
      <c r="F3744">
        <f t="shared" si="117"/>
        <v>2014</v>
      </c>
    </row>
    <row r="3745" spans="1:6" x14ac:dyDescent="0.2">
      <c r="A3745" s="20">
        <v>41848</v>
      </c>
      <c r="B3745">
        <v>159.75</v>
      </c>
      <c r="E3745">
        <f t="shared" si="116"/>
        <v>7</v>
      </c>
      <c r="F3745">
        <f t="shared" si="117"/>
        <v>2014</v>
      </c>
    </row>
    <row r="3746" spans="1:6" x14ac:dyDescent="0.2">
      <c r="A3746" s="20">
        <v>41849</v>
      </c>
      <c r="B3746">
        <v>162</v>
      </c>
      <c r="E3746">
        <f t="shared" si="116"/>
        <v>7</v>
      </c>
      <c r="F3746">
        <f t="shared" si="117"/>
        <v>2014</v>
      </c>
    </row>
    <row r="3747" spans="1:6" x14ac:dyDescent="0.2">
      <c r="A3747" s="20">
        <v>41850</v>
      </c>
      <c r="B3747">
        <v>163</v>
      </c>
      <c r="E3747">
        <f t="shared" si="116"/>
        <v>7</v>
      </c>
      <c r="F3747">
        <f t="shared" si="117"/>
        <v>2014</v>
      </c>
    </row>
    <row r="3748" spans="1:6" x14ac:dyDescent="0.2">
      <c r="A3748" s="20">
        <v>41851</v>
      </c>
      <c r="B3748">
        <v>162.25</v>
      </c>
      <c r="E3748">
        <f t="shared" si="116"/>
        <v>7</v>
      </c>
      <c r="F3748">
        <f t="shared" si="117"/>
        <v>2014</v>
      </c>
    </row>
    <row r="3749" spans="1:6" x14ac:dyDescent="0.2">
      <c r="A3749" s="20">
        <v>41852</v>
      </c>
      <c r="B3749">
        <v>163.5</v>
      </c>
      <c r="E3749">
        <f t="shared" si="116"/>
        <v>8</v>
      </c>
      <c r="F3749">
        <f t="shared" si="117"/>
        <v>2014</v>
      </c>
    </row>
    <row r="3750" spans="1:6" x14ac:dyDescent="0.2">
      <c r="A3750" s="20">
        <v>41855</v>
      </c>
      <c r="B3750">
        <v>160</v>
      </c>
      <c r="E3750">
        <f t="shared" si="116"/>
        <v>8</v>
      </c>
      <c r="F3750">
        <f t="shared" si="117"/>
        <v>2014</v>
      </c>
    </row>
    <row r="3751" spans="1:6" x14ac:dyDescent="0.2">
      <c r="A3751" s="20">
        <v>41856</v>
      </c>
      <c r="B3751">
        <v>158.5</v>
      </c>
      <c r="E3751">
        <f t="shared" si="116"/>
        <v>8</v>
      </c>
      <c r="F3751">
        <f t="shared" si="117"/>
        <v>2014</v>
      </c>
    </row>
    <row r="3752" spans="1:6" x14ac:dyDescent="0.2">
      <c r="A3752" s="20">
        <v>41857</v>
      </c>
      <c r="B3752">
        <v>155.25</v>
      </c>
      <c r="E3752">
        <f t="shared" si="116"/>
        <v>8</v>
      </c>
      <c r="F3752">
        <f t="shared" si="117"/>
        <v>2014</v>
      </c>
    </row>
    <row r="3753" spans="1:6" x14ac:dyDescent="0.2">
      <c r="A3753" s="20">
        <v>41858</v>
      </c>
      <c r="B3753">
        <v>156.5</v>
      </c>
      <c r="E3753">
        <f t="shared" si="116"/>
        <v>8</v>
      </c>
      <c r="F3753">
        <f t="shared" si="117"/>
        <v>2014</v>
      </c>
    </row>
    <row r="3754" spans="1:6" x14ac:dyDescent="0.2">
      <c r="A3754" s="20">
        <v>41859</v>
      </c>
      <c r="B3754">
        <v>154.5</v>
      </c>
      <c r="E3754">
        <f t="shared" si="116"/>
        <v>8</v>
      </c>
      <c r="F3754">
        <f t="shared" si="117"/>
        <v>2014</v>
      </c>
    </row>
    <row r="3755" spans="1:6" x14ac:dyDescent="0.2">
      <c r="A3755" s="20">
        <v>41862</v>
      </c>
      <c r="B3755">
        <v>154.5</v>
      </c>
      <c r="E3755">
        <f t="shared" si="116"/>
        <v>8</v>
      </c>
      <c r="F3755">
        <f t="shared" si="117"/>
        <v>2014</v>
      </c>
    </row>
    <row r="3756" spans="1:6" x14ac:dyDescent="0.2">
      <c r="A3756" s="20">
        <v>41863</v>
      </c>
      <c r="B3756">
        <v>154</v>
      </c>
      <c r="E3756">
        <f t="shared" si="116"/>
        <v>8</v>
      </c>
      <c r="F3756">
        <f t="shared" si="117"/>
        <v>2014</v>
      </c>
    </row>
    <row r="3757" spans="1:6" x14ac:dyDescent="0.2">
      <c r="A3757" s="20">
        <v>41864</v>
      </c>
      <c r="B3757">
        <v>154</v>
      </c>
      <c r="E3757">
        <f t="shared" si="116"/>
        <v>8</v>
      </c>
      <c r="F3757">
        <f t="shared" si="117"/>
        <v>2014</v>
      </c>
    </row>
    <row r="3758" spans="1:6" x14ac:dyDescent="0.2">
      <c r="A3758" s="20">
        <v>41865</v>
      </c>
      <c r="B3758">
        <v>153.5</v>
      </c>
      <c r="E3758">
        <f t="shared" si="116"/>
        <v>8</v>
      </c>
      <c r="F3758">
        <f t="shared" si="117"/>
        <v>2014</v>
      </c>
    </row>
    <row r="3759" spans="1:6" x14ac:dyDescent="0.2">
      <c r="A3759" s="20">
        <v>41866</v>
      </c>
      <c r="B3759">
        <v>154.5</v>
      </c>
      <c r="E3759">
        <f t="shared" si="116"/>
        <v>8</v>
      </c>
      <c r="F3759">
        <f t="shared" si="117"/>
        <v>2014</v>
      </c>
    </row>
    <row r="3760" spans="1:6" x14ac:dyDescent="0.2">
      <c r="A3760" s="20">
        <v>41869</v>
      </c>
      <c r="B3760">
        <v>153</v>
      </c>
      <c r="E3760">
        <f t="shared" si="116"/>
        <v>8</v>
      </c>
      <c r="F3760">
        <f t="shared" si="117"/>
        <v>2014</v>
      </c>
    </row>
    <row r="3761" spans="1:6" x14ac:dyDescent="0.2">
      <c r="A3761" s="20">
        <v>41870</v>
      </c>
      <c r="B3761">
        <v>153.75</v>
      </c>
      <c r="E3761">
        <f t="shared" si="116"/>
        <v>8</v>
      </c>
      <c r="F3761">
        <f t="shared" si="117"/>
        <v>2014</v>
      </c>
    </row>
    <row r="3762" spans="1:6" x14ac:dyDescent="0.2">
      <c r="A3762" s="20">
        <v>41871</v>
      </c>
      <c r="B3762">
        <v>152.75</v>
      </c>
      <c r="E3762">
        <f t="shared" si="116"/>
        <v>8</v>
      </c>
      <c r="F3762">
        <f t="shared" si="117"/>
        <v>2014</v>
      </c>
    </row>
    <row r="3763" spans="1:6" x14ac:dyDescent="0.2">
      <c r="A3763" s="20">
        <v>41872</v>
      </c>
      <c r="B3763">
        <v>153.25</v>
      </c>
      <c r="E3763">
        <f t="shared" si="116"/>
        <v>8</v>
      </c>
      <c r="F3763">
        <f t="shared" si="117"/>
        <v>2014</v>
      </c>
    </row>
    <row r="3764" spans="1:6" x14ac:dyDescent="0.2">
      <c r="A3764" s="20">
        <v>41873</v>
      </c>
      <c r="B3764">
        <v>152.75</v>
      </c>
      <c r="E3764">
        <f t="shared" si="116"/>
        <v>8</v>
      </c>
      <c r="F3764">
        <f t="shared" si="117"/>
        <v>2014</v>
      </c>
    </row>
    <row r="3765" spans="1:6" x14ac:dyDescent="0.2">
      <c r="A3765" s="20">
        <v>41876</v>
      </c>
      <c r="B3765">
        <v>152</v>
      </c>
      <c r="E3765">
        <f t="shared" si="116"/>
        <v>8</v>
      </c>
      <c r="F3765">
        <f t="shared" si="117"/>
        <v>2014</v>
      </c>
    </row>
    <row r="3766" spans="1:6" x14ac:dyDescent="0.2">
      <c r="A3766" s="20">
        <v>41877</v>
      </c>
      <c r="B3766">
        <v>151</v>
      </c>
      <c r="E3766">
        <f t="shared" si="116"/>
        <v>8</v>
      </c>
      <c r="F3766">
        <f t="shared" si="117"/>
        <v>2014</v>
      </c>
    </row>
    <row r="3767" spans="1:6" x14ac:dyDescent="0.2">
      <c r="A3767" s="20">
        <v>41878</v>
      </c>
      <c r="B3767">
        <v>151.5</v>
      </c>
      <c r="E3767">
        <f t="shared" si="116"/>
        <v>8</v>
      </c>
      <c r="F3767">
        <f t="shared" si="117"/>
        <v>2014</v>
      </c>
    </row>
    <row r="3768" spans="1:6" x14ac:dyDescent="0.2">
      <c r="A3768" s="20">
        <v>41879</v>
      </c>
      <c r="B3768">
        <v>152.25</v>
      </c>
      <c r="E3768">
        <f t="shared" si="116"/>
        <v>8</v>
      </c>
      <c r="F3768">
        <f t="shared" si="117"/>
        <v>2014</v>
      </c>
    </row>
    <row r="3769" spans="1:6" x14ac:dyDescent="0.2">
      <c r="A3769" s="20">
        <v>41880</v>
      </c>
      <c r="B3769">
        <v>151.75</v>
      </c>
      <c r="E3769">
        <f t="shared" si="116"/>
        <v>8</v>
      </c>
      <c r="F3769">
        <f t="shared" si="117"/>
        <v>2014</v>
      </c>
    </row>
    <row r="3770" spans="1:6" x14ac:dyDescent="0.2">
      <c r="A3770" s="20">
        <v>41883</v>
      </c>
      <c r="B3770">
        <v>151.75</v>
      </c>
      <c r="E3770">
        <f t="shared" si="116"/>
        <v>9</v>
      </c>
      <c r="F3770">
        <f t="shared" si="117"/>
        <v>2014</v>
      </c>
    </row>
    <row r="3771" spans="1:6" x14ac:dyDescent="0.2">
      <c r="A3771" s="20">
        <v>41884</v>
      </c>
      <c r="B3771">
        <v>151.25</v>
      </c>
      <c r="E3771">
        <f t="shared" si="116"/>
        <v>9</v>
      </c>
      <c r="F3771">
        <f t="shared" si="117"/>
        <v>2014</v>
      </c>
    </row>
    <row r="3772" spans="1:6" x14ac:dyDescent="0.2">
      <c r="A3772" s="20">
        <v>41885</v>
      </c>
      <c r="B3772">
        <v>150</v>
      </c>
      <c r="E3772">
        <f t="shared" si="116"/>
        <v>9</v>
      </c>
      <c r="F3772">
        <f t="shared" si="117"/>
        <v>2014</v>
      </c>
    </row>
    <row r="3773" spans="1:6" x14ac:dyDescent="0.2">
      <c r="A3773" s="20">
        <v>41886</v>
      </c>
      <c r="B3773">
        <v>148.5</v>
      </c>
      <c r="E3773">
        <f t="shared" si="116"/>
        <v>9</v>
      </c>
      <c r="F3773">
        <f t="shared" si="117"/>
        <v>2014</v>
      </c>
    </row>
    <row r="3774" spans="1:6" x14ac:dyDescent="0.2">
      <c r="A3774" s="20">
        <v>41887</v>
      </c>
      <c r="B3774">
        <v>149</v>
      </c>
      <c r="E3774">
        <f t="shared" si="116"/>
        <v>9</v>
      </c>
      <c r="F3774">
        <f t="shared" si="117"/>
        <v>2014</v>
      </c>
    </row>
    <row r="3775" spans="1:6" x14ac:dyDescent="0.2">
      <c r="A3775" s="20">
        <v>41890</v>
      </c>
      <c r="B3775">
        <v>147.75</v>
      </c>
      <c r="E3775">
        <f t="shared" si="116"/>
        <v>9</v>
      </c>
      <c r="F3775">
        <f t="shared" si="117"/>
        <v>2014</v>
      </c>
    </row>
    <row r="3776" spans="1:6" x14ac:dyDescent="0.2">
      <c r="A3776" s="20">
        <v>41891</v>
      </c>
      <c r="B3776">
        <v>144.75</v>
      </c>
      <c r="E3776">
        <f t="shared" si="116"/>
        <v>9</v>
      </c>
      <c r="F3776">
        <f t="shared" si="117"/>
        <v>2014</v>
      </c>
    </row>
    <row r="3777" spans="1:6" x14ac:dyDescent="0.2">
      <c r="A3777" s="20">
        <v>41892</v>
      </c>
      <c r="B3777">
        <v>142.75</v>
      </c>
      <c r="E3777">
        <f t="shared" si="116"/>
        <v>9</v>
      </c>
      <c r="F3777">
        <f t="shared" si="117"/>
        <v>2014</v>
      </c>
    </row>
    <row r="3778" spans="1:6" x14ac:dyDescent="0.2">
      <c r="A3778" s="20">
        <v>41893</v>
      </c>
      <c r="B3778">
        <v>138.75</v>
      </c>
      <c r="E3778">
        <f t="shared" si="116"/>
        <v>9</v>
      </c>
      <c r="F3778">
        <f t="shared" si="117"/>
        <v>2014</v>
      </c>
    </row>
    <row r="3779" spans="1:6" x14ac:dyDescent="0.2">
      <c r="A3779" s="20">
        <v>41894</v>
      </c>
      <c r="B3779">
        <v>140.25</v>
      </c>
      <c r="E3779">
        <f t="shared" ref="E3779:E3842" si="118">MONTH(A3779)</f>
        <v>9</v>
      </c>
      <c r="F3779">
        <f t="shared" ref="F3779:F3842" si="119">YEAR(A3779)</f>
        <v>2014</v>
      </c>
    </row>
    <row r="3780" spans="1:6" x14ac:dyDescent="0.2">
      <c r="A3780" s="20">
        <v>41897</v>
      </c>
      <c r="B3780">
        <v>138.5</v>
      </c>
      <c r="E3780">
        <f t="shared" si="118"/>
        <v>9</v>
      </c>
      <c r="F3780">
        <f t="shared" si="119"/>
        <v>2014</v>
      </c>
    </row>
    <row r="3781" spans="1:6" x14ac:dyDescent="0.2">
      <c r="A3781" s="20">
        <v>41898</v>
      </c>
      <c r="B3781">
        <v>139</v>
      </c>
      <c r="E3781">
        <f t="shared" si="118"/>
        <v>9</v>
      </c>
      <c r="F3781">
        <f t="shared" si="119"/>
        <v>2014</v>
      </c>
    </row>
    <row r="3782" spans="1:6" x14ac:dyDescent="0.2">
      <c r="A3782" s="20">
        <v>41899</v>
      </c>
      <c r="B3782">
        <v>140.25</v>
      </c>
      <c r="E3782">
        <f t="shared" si="118"/>
        <v>9</v>
      </c>
      <c r="F3782">
        <f t="shared" si="119"/>
        <v>2014</v>
      </c>
    </row>
    <row r="3783" spans="1:6" x14ac:dyDescent="0.2">
      <c r="A3783" s="20">
        <v>41900</v>
      </c>
      <c r="B3783">
        <v>139.75</v>
      </c>
      <c r="E3783">
        <f t="shared" si="118"/>
        <v>9</v>
      </c>
      <c r="F3783">
        <f t="shared" si="119"/>
        <v>2014</v>
      </c>
    </row>
    <row r="3784" spans="1:6" x14ac:dyDescent="0.2">
      <c r="A3784" s="20">
        <v>41901</v>
      </c>
      <c r="B3784">
        <v>137</v>
      </c>
      <c r="E3784">
        <f t="shared" si="118"/>
        <v>9</v>
      </c>
      <c r="F3784">
        <f t="shared" si="119"/>
        <v>2014</v>
      </c>
    </row>
    <row r="3785" spans="1:6" x14ac:dyDescent="0.2">
      <c r="A3785" s="20">
        <v>41904</v>
      </c>
      <c r="B3785">
        <v>134.25</v>
      </c>
      <c r="E3785">
        <f t="shared" si="118"/>
        <v>9</v>
      </c>
      <c r="F3785">
        <f t="shared" si="119"/>
        <v>2014</v>
      </c>
    </row>
    <row r="3786" spans="1:6" x14ac:dyDescent="0.2">
      <c r="A3786" s="20">
        <v>41905</v>
      </c>
      <c r="B3786">
        <v>131.25</v>
      </c>
      <c r="E3786">
        <f t="shared" si="118"/>
        <v>9</v>
      </c>
      <c r="F3786">
        <f t="shared" si="119"/>
        <v>2014</v>
      </c>
    </row>
    <row r="3787" spans="1:6" x14ac:dyDescent="0.2">
      <c r="A3787" s="20">
        <v>41906</v>
      </c>
      <c r="B3787">
        <v>134.5</v>
      </c>
      <c r="E3787">
        <f t="shared" si="118"/>
        <v>9</v>
      </c>
      <c r="F3787">
        <f t="shared" si="119"/>
        <v>2014</v>
      </c>
    </row>
    <row r="3788" spans="1:6" x14ac:dyDescent="0.2">
      <c r="A3788" s="20">
        <v>41907</v>
      </c>
      <c r="B3788">
        <v>136</v>
      </c>
      <c r="E3788">
        <f t="shared" si="118"/>
        <v>9</v>
      </c>
      <c r="F3788">
        <f t="shared" si="119"/>
        <v>2014</v>
      </c>
    </row>
    <row r="3789" spans="1:6" x14ac:dyDescent="0.2">
      <c r="A3789" s="20">
        <v>41908</v>
      </c>
      <c r="B3789">
        <v>137.25</v>
      </c>
      <c r="E3789">
        <f t="shared" si="118"/>
        <v>9</v>
      </c>
      <c r="F3789">
        <f t="shared" si="119"/>
        <v>2014</v>
      </c>
    </row>
    <row r="3790" spans="1:6" x14ac:dyDescent="0.2">
      <c r="A3790" s="20">
        <v>41911</v>
      </c>
      <c r="B3790">
        <v>138.5</v>
      </c>
      <c r="E3790">
        <f t="shared" si="118"/>
        <v>9</v>
      </c>
      <c r="F3790">
        <f t="shared" si="119"/>
        <v>2014</v>
      </c>
    </row>
    <row r="3791" spans="1:6" x14ac:dyDescent="0.2">
      <c r="A3791" s="20">
        <v>41912</v>
      </c>
      <c r="B3791">
        <v>138</v>
      </c>
      <c r="E3791">
        <f t="shared" si="118"/>
        <v>9</v>
      </c>
      <c r="F3791">
        <f t="shared" si="119"/>
        <v>2014</v>
      </c>
    </row>
    <row r="3792" spans="1:6" x14ac:dyDescent="0.2">
      <c r="A3792" s="20">
        <v>41913</v>
      </c>
      <c r="B3792">
        <v>140.75</v>
      </c>
      <c r="E3792">
        <f t="shared" si="118"/>
        <v>10</v>
      </c>
      <c r="F3792">
        <f t="shared" si="119"/>
        <v>2014</v>
      </c>
    </row>
    <row r="3793" spans="1:6" x14ac:dyDescent="0.2">
      <c r="A3793" s="20">
        <v>41914</v>
      </c>
      <c r="B3793">
        <v>142.25</v>
      </c>
      <c r="E3793">
        <f t="shared" si="118"/>
        <v>10</v>
      </c>
      <c r="F3793">
        <f t="shared" si="119"/>
        <v>2014</v>
      </c>
    </row>
    <row r="3794" spans="1:6" x14ac:dyDescent="0.2">
      <c r="A3794" s="20">
        <v>41915</v>
      </c>
      <c r="B3794">
        <v>141.5</v>
      </c>
      <c r="E3794">
        <f t="shared" si="118"/>
        <v>10</v>
      </c>
      <c r="F3794">
        <f t="shared" si="119"/>
        <v>2014</v>
      </c>
    </row>
    <row r="3795" spans="1:6" x14ac:dyDescent="0.2">
      <c r="A3795" s="20">
        <v>41918</v>
      </c>
      <c r="B3795">
        <v>144</v>
      </c>
      <c r="E3795">
        <f t="shared" si="118"/>
        <v>10</v>
      </c>
      <c r="F3795">
        <f t="shared" si="119"/>
        <v>2014</v>
      </c>
    </row>
    <row r="3796" spans="1:6" x14ac:dyDescent="0.2">
      <c r="A3796" s="20">
        <v>41919</v>
      </c>
      <c r="B3796">
        <v>143.75</v>
      </c>
      <c r="E3796">
        <f t="shared" si="118"/>
        <v>10</v>
      </c>
      <c r="F3796">
        <f t="shared" si="119"/>
        <v>2014</v>
      </c>
    </row>
    <row r="3797" spans="1:6" x14ac:dyDescent="0.2">
      <c r="A3797" s="20">
        <v>41920</v>
      </c>
      <c r="B3797">
        <v>140.75</v>
      </c>
      <c r="E3797">
        <f t="shared" si="118"/>
        <v>10</v>
      </c>
      <c r="F3797">
        <f t="shared" si="119"/>
        <v>2014</v>
      </c>
    </row>
    <row r="3798" spans="1:6" x14ac:dyDescent="0.2">
      <c r="A3798" s="20">
        <v>41921</v>
      </c>
      <c r="B3798">
        <v>139.25</v>
      </c>
      <c r="E3798">
        <f t="shared" si="118"/>
        <v>10</v>
      </c>
      <c r="F3798">
        <f t="shared" si="119"/>
        <v>2014</v>
      </c>
    </row>
    <row r="3799" spans="1:6" x14ac:dyDescent="0.2">
      <c r="A3799" s="20">
        <v>41922</v>
      </c>
      <c r="B3799">
        <v>140.75</v>
      </c>
      <c r="E3799">
        <f t="shared" si="118"/>
        <v>10</v>
      </c>
      <c r="F3799">
        <f t="shared" si="119"/>
        <v>2014</v>
      </c>
    </row>
    <row r="3800" spans="1:6" x14ac:dyDescent="0.2">
      <c r="A3800" s="20">
        <v>41925</v>
      </c>
      <c r="B3800">
        <v>141</v>
      </c>
      <c r="E3800">
        <f t="shared" si="118"/>
        <v>10</v>
      </c>
      <c r="F3800">
        <f t="shared" si="119"/>
        <v>2014</v>
      </c>
    </row>
    <row r="3801" spans="1:6" x14ac:dyDescent="0.2">
      <c r="A3801" s="20">
        <v>41926</v>
      </c>
      <c r="B3801">
        <v>142</v>
      </c>
      <c r="E3801">
        <f t="shared" si="118"/>
        <v>10</v>
      </c>
      <c r="F3801">
        <f t="shared" si="119"/>
        <v>2014</v>
      </c>
    </row>
    <row r="3802" spans="1:6" x14ac:dyDescent="0.2">
      <c r="A3802" s="20">
        <v>41927</v>
      </c>
      <c r="B3802">
        <v>143.25</v>
      </c>
      <c r="E3802">
        <f t="shared" si="118"/>
        <v>10</v>
      </c>
      <c r="F3802">
        <f t="shared" si="119"/>
        <v>2014</v>
      </c>
    </row>
    <row r="3803" spans="1:6" x14ac:dyDescent="0.2">
      <c r="A3803" s="20">
        <v>41928</v>
      </c>
      <c r="B3803">
        <v>143</v>
      </c>
      <c r="E3803">
        <f t="shared" si="118"/>
        <v>10</v>
      </c>
      <c r="F3803">
        <f t="shared" si="119"/>
        <v>2014</v>
      </c>
    </row>
    <row r="3804" spans="1:6" x14ac:dyDescent="0.2">
      <c r="A3804" s="20">
        <v>41929</v>
      </c>
      <c r="B3804">
        <v>142.5</v>
      </c>
      <c r="E3804">
        <f t="shared" si="118"/>
        <v>10</v>
      </c>
      <c r="F3804">
        <f t="shared" si="119"/>
        <v>2014</v>
      </c>
    </row>
    <row r="3805" spans="1:6" x14ac:dyDescent="0.2">
      <c r="A3805" s="20">
        <v>41932</v>
      </c>
      <c r="B3805">
        <v>141</v>
      </c>
      <c r="E3805">
        <f t="shared" si="118"/>
        <v>10</v>
      </c>
      <c r="F3805">
        <f t="shared" si="119"/>
        <v>2014</v>
      </c>
    </row>
    <row r="3806" spans="1:6" x14ac:dyDescent="0.2">
      <c r="A3806" s="20">
        <v>41933</v>
      </c>
      <c r="B3806">
        <v>142.5</v>
      </c>
      <c r="E3806">
        <f t="shared" si="118"/>
        <v>10</v>
      </c>
      <c r="F3806">
        <f t="shared" si="119"/>
        <v>2014</v>
      </c>
    </row>
    <row r="3807" spans="1:6" x14ac:dyDescent="0.2">
      <c r="A3807" s="20">
        <v>41934</v>
      </c>
      <c r="B3807">
        <v>143</v>
      </c>
      <c r="E3807">
        <f t="shared" si="118"/>
        <v>10</v>
      </c>
      <c r="F3807">
        <f t="shared" si="119"/>
        <v>2014</v>
      </c>
    </row>
    <row r="3808" spans="1:6" x14ac:dyDescent="0.2">
      <c r="A3808" s="20">
        <v>41935</v>
      </c>
      <c r="B3808">
        <v>145.75</v>
      </c>
      <c r="E3808">
        <f t="shared" si="118"/>
        <v>10</v>
      </c>
      <c r="F3808">
        <f t="shared" si="119"/>
        <v>2014</v>
      </c>
    </row>
    <row r="3809" spans="1:6" x14ac:dyDescent="0.2">
      <c r="A3809" s="20">
        <v>41936</v>
      </c>
      <c r="B3809">
        <v>144.5</v>
      </c>
      <c r="E3809">
        <f t="shared" si="118"/>
        <v>10</v>
      </c>
      <c r="F3809">
        <f t="shared" si="119"/>
        <v>2014</v>
      </c>
    </row>
    <row r="3810" spans="1:6" x14ac:dyDescent="0.2">
      <c r="A3810" s="20">
        <v>41939</v>
      </c>
      <c r="B3810">
        <v>143.75</v>
      </c>
      <c r="E3810">
        <f t="shared" si="118"/>
        <v>10</v>
      </c>
      <c r="F3810">
        <f t="shared" si="119"/>
        <v>2014</v>
      </c>
    </row>
    <row r="3811" spans="1:6" x14ac:dyDescent="0.2">
      <c r="A3811" s="20">
        <v>41940</v>
      </c>
      <c r="B3811">
        <v>143.75</v>
      </c>
      <c r="E3811">
        <f t="shared" si="118"/>
        <v>10</v>
      </c>
      <c r="F3811">
        <f t="shared" si="119"/>
        <v>2014</v>
      </c>
    </row>
    <row r="3812" spans="1:6" x14ac:dyDescent="0.2">
      <c r="A3812" s="20">
        <v>41941</v>
      </c>
      <c r="B3812">
        <v>145</v>
      </c>
      <c r="E3812">
        <f t="shared" si="118"/>
        <v>10</v>
      </c>
      <c r="F3812">
        <f t="shared" si="119"/>
        <v>2014</v>
      </c>
    </row>
    <row r="3813" spans="1:6" x14ac:dyDescent="0.2">
      <c r="A3813" s="20">
        <v>41942</v>
      </c>
      <c r="B3813">
        <v>145.5</v>
      </c>
      <c r="E3813">
        <f t="shared" si="118"/>
        <v>10</v>
      </c>
      <c r="F3813">
        <f t="shared" si="119"/>
        <v>2014</v>
      </c>
    </row>
    <row r="3814" spans="1:6" x14ac:dyDescent="0.2">
      <c r="A3814" s="20">
        <v>41943</v>
      </c>
      <c r="B3814">
        <v>143.75</v>
      </c>
      <c r="E3814">
        <f t="shared" si="118"/>
        <v>10</v>
      </c>
      <c r="F3814">
        <f t="shared" si="119"/>
        <v>2014</v>
      </c>
    </row>
    <row r="3815" spans="1:6" x14ac:dyDescent="0.2">
      <c r="A3815" s="20">
        <v>41946</v>
      </c>
      <c r="B3815">
        <v>141.75</v>
      </c>
      <c r="E3815">
        <f t="shared" si="118"/>
        <v>11</v>
      </c>
      <c r="F3815">
        <f t="shared" si="119"/>
        <v>2014</v>
      </c>
    </row>
    <row r="3816" spans="1:6" x14ac:dyDescent="0.2">
      <c r="A3816" s="20">
        <v>41947</v>
      </c>
      <c r="B3816">
        <v>140</v>
      </c>
      <c r="E3816">
        <f t="shared" si="118"/>
        <v>11</v>
      </c>
      <c r="F3816">
        <f t="shared" si="119"/>
        <v>2014</v>
      </c>
    </row>
    <row r="3817" spans="1:6" x14ac:dyDescent="0.2">
      <c r="A3817" s="20">
        <v>41948</v>
      </c>
      <c r="B3817">
        <v>136.75</v>
      </c>
      <c r="E3817">
        <f t="shared" si="118"/>
        <v>11</v>
      </c>
      <c r="F3817">
        <f t="shared" si="119"/>
        <v>2014</v>
      </c>
    </row>
    <row r="3818" spans="1:6" x14ac:dyDescent="0.2">
      <c r="A3818" s="20">
        <v>41949</v>
      </c>
      <c r="B3818">
        <v>149.5</v>
      </c>
      <c r="E3818">
        <f t="shared" si="118"/>
        <v>11</v>
      </c>
      <c r="F3818">
        <f t="shared" si="119"/>
        <v>2014</v>
      </c>
    </row>
    <row r="3819" spans="1:6" x14ac:dyDescent="0.2">
      <c r="A3819" s="20">
        <v>41950</v>
      </c>
      <c r="B3819">
        <v>150.25</v>
      </c>
      <c r="E3819">
        <f t="shared" si="118"/>
        <v>11</v>
      </c>
      <c r="F3819">
        <f t="shared" si="119"/>
        <v>2014</v>
      </c>
    </row>
    <row r="3820" spans="1:6" x14ac:dyDescent="0.2">
      <c r="A3820" s="20">
        <v>41953</v>
      </c>
      <c r="B3820">
        <v>151.5</v>
      </c>
      <c r="E3820">
        <f t="shared" si="118"/>
        <v>11</v>
      </c>
      <c r="F3820">
        <f t="shared" si="119"/>
        <v>2014</v>
      </c>
    </row>
    <row r="3821" spans="1:6" x14ac:dyDescent="0.2">
      <c r="A3821" s="20">
        <v>41954</v>
      </c>
      <c r="B3821">
        <v>152.5</v>
      </c>
      <c r="E3821">
        <f t="shared" si="118"/>
        <v>11</v>
      </c>
      <c r="F3821">
        <f t="shared" si="119"/>
        <v>2014</v>
      </c>
    </row>
    <row r="3822" spans="1:6" x14ac:dyDescent="0.2">
      <c r="A3822" s="20">
        <v>41955</v>
      </c>
      <c r="B3822">
        <v>154.25</v>
      </c>
      <c r="E3822">
        <f t="shared" si="118"/>
        <v>11</v>
      </c>
      <c r="F3822">
        <f t="shared" si="119"/>
        <v>2014</v>
      </c>
    </row>
    <row r="3823" spans="1:6" x14ac:dyDescent="0.2">
      <c r="A3823" s="20">
        <v>41956</v>
      </c>
      <c r="B3823">
        <v>155.25</v>
      </c>
      <c r="E3823">
        <f t="shared" si="118"/>
        <v>11</v>
      </c>
      <c r="F3823">
        <f t="shared" si="119"/>
        <v>2014</v>
      </c>
    </row>
    <row r="3824" spans="1:6" x14ac:dyDescent="0.2">
      <c r="A3824" s="20">
        <v>41957</v>
      </c>
      <c r="B3824">
        <v>156.5</v>
      </c>
      <c r="E3824">
        <f t="shared" si="118"/>
        <v>11</v>
      </c>
      <c r="F3824">
        <f t="shared" si="119"/>
        <v>2014</v>
      </c>
    </row>
    <row r="3825" spans="1:6" x14ac:dyDescent="0.2">
      <c r="A3825" s="20">
        <v>41960</v>
      </c>
      <c r="B3825">
        <v>155.75</v>
      </c>
      <c r="E3825">
        <f t="shared" si="118"/>
        <v>11</v>
      </c>
      <c r="F3825">
        <f t="shared" si="119"/>
        <v>2014</v>
      </c>
    </row>
    <row r="3826" spans="1:6" x14ac:dyDescent="0.2">
      <c r="A3826" s="20">
        <v>41961</v>
      </c>
      <c r="B3826">
        <v>153.75</v>
      </c>
      <c r="E3826">
        <f t="shared" si="118"/>
        <v>11</v>
      </c>
      <c r="F3826">
        <f t="shared" si="119"/>
        <v>2014</v>
      </c>
    </row>
    <row r="3827" spans="1:6" x14ac:dyDescent="0.2">
      <c r="A3827" s="20">
        <v>41962</v>
      </c>
      <c r="B3827">
        <v>152.25</v>
      </c>
      <c r="E3827">
        <f t="shared" si="118"/>
        <v>11</v>
      </c>
      <c r="F3827">
        <f t="shared" si="119"/>
        <v>2014</v>
      </c>
    </row>
    <row r="3828" spans="1:6" x14ac:dyDescent="0.2">
      <c r="A3828" s="20">
        <v>41963</v>
      </c>
      <c r="B3828">
        <v>154.75</v>
      </c>
      <c r="E3828">
        <f t="shared" si="118"/>
        <v>11</v>
      </c>
      <c r="F3828">
        <f t="shared" si="119"/>
        <v>2014</v>
      </c>
    </row>
    <row r="3829" spans="1:6" x14ac:dyDescent="0.2">
      <c r="A3829" s="20">
        <v>41964</v>
      </c>
      <c r="B3829">
        <v>155.25</v>
      </c>
      <c r="E3829">
        <f t="shared" si="118"/>
        <v>11</v>
      </c>
      <c r="F3829">
        <f t="shared" si="119"/>
        <v>2014</v>
      </c>
    </row>
    <row r="3830" spans="1:6" x14ac:dyDescent="0.2">
      <c r="A3830" s="20">
        <v>41967</v>
      </c>
      <c r="B3830">
        <v>156</v>
      </c>
      <c r="E3830">
        <f t="shared" si="118"/>
        <v>11</v>
      </c>
      <c r="F3830">
        <f t="shared" si="119"/>
        <v>2014</v>
      </c>
    </row>
    <row r="3831" spans="1:6" x14ac:dyDescent="0.2">
      <c r="A3831" s="20">
        <v>41968</v>
      </c>
      <c r="B3831">
        <v>156</v>
      </c>
      <c r="E3831">
        <f t="shared" si="118"/>
        <v>11</v>
      </c>
      <c r="F3831">
        <f t="shared" si="119"/>
        <v>2014</v>
      </c>
    </row>
    <row r="3832" spans="1:6" x14ac:dyDescent="0.2">
      <c r="A3832" s="20">
        <v>41969</v>
      </c>
      <c r="B3832">
        <v>155.5</v>
      </c>
      <c r="E3832">
        <f t="shared" si="118"/>
        <v>11</v>
      </c>
      <c r="F3832">
        <f t="shared" si="119"/>
        <v>2014</v>
      </c>
    </row>
    <row r="3833" spans="1:6" x14ac:dyDescent="0.2">
      <c r="A3833" s="20">
        <v>41970</v>
      </c>
      <c r="B3833">
        <v>154</v>
      </c>
      <c r="E3833">
        <f t="shared" si="118"/>
        <v>11</v>
      </c>
      <c r="F3833">
        <f t="shared" si="119"/>
        <v>2014</v>
      </c>
    </row>
    <row r="3834" spans="1:6" x14ac:dyDescent="0.2">
      <c r="A3834" s="20">
        <v>41971</v>
      </c>
      <c r="B3834">
        <v>155.5</v>
      </c>
      <c r="E3834">
        <f t="shared" si="118"/>
        <v>11</v>
      </c>
      <c r="F3834">
        <f t="shared" si="119"/>
        <v>2014</v>
      </c>
    </row>
    <row r="3835" spans="1:6" x14ac:dyDescent="0.2">
      <c r="A3835" s="20">
        <v>41974</v>
      </c>
      <c r="B3835">
        <v>159.5</v>
      </c>
      <c r="E3835">
        <f t="shared" si="118"/>
        <v>12</v>
      </c>
      <c r="F3835">
        <f t="shared" si="119"/>
        <v>2014</v>
      </c>
    </row>
    <row r="3836" spans="1:6" x14ac:dyDescent="0.2">
      <c r="A3836" s="20">
        <v>41975</v>
      </c>
      <c r="B3836">
        <v>161.75</v>
      </c>
      <c r="E3836">
        <f t="shared" si="118"/>
        <v>12</v>
      </c>
      <c r="F3836">
        <f t="shared" si="119"/>
        <v>2014</v>
      </c>
    </row>
    <row r="3837" spans="1:6" x14ac:dyDescent="0.2">
      <c r="A3837" s="20">
        <v>41976</v>
      </c>
      <c r="B3837">
        <v>160</v>
      </c>
      <c r="E3837">
        <f t="shared" si="118"/>
        <v>12</v>
      </c>
      <c r="F3837">
        <f t="shared" si="119"/>
        <v>2014</v>
      </c>
    </row>
    <row r="3838" spans="1:6" x14ac:dyDescent="0.2">
      <c r="A3838" s="20">
        <v>41977</v>
      </c>
      <c r="B3838">
        <v>158.5</v>
      </c>
      <c r="E3838">
        <f t="shared" si="118"/>
        <v>12</v>
      </c>
      <c r="F3838">
        <f t="shared" si="119"/>
        <v>2014</v>
      </c>
    </row>
    <row r="3839" spans="1:6" x14ac:dyDescent="0.2">
      <c r="A3839" s="20">
        <v>41978</v>
      </c>
      <c r="B3839">
        <v>159.25</v>
      </c>
      <c r="E3839">
        <f t="shared" si="118"/>
        <v>12</v>
      </c>
      <c r="F3839">
        <f t="shared" si="119"/>
        <v>2014</v>
      </c>
    </row>
    <row r="3840" spans="1:6" x14ac:dyDescent="0.2">
      <c r="A3840" s="20">
        <v>41981</v>
      </c>
      <c r="B3840">
        <v>160.5</v>
      </c>
      <c r="E3840">
        <f t="shared" si="118"/>
        <v>12</v>
      </c>
      <c r="F3840">
        <f t="shared" si="119"/>
        <v>2014</v>
      </c>
    </row>
    <row r="3841" spans="1:6" x14ac:dyDescent="0.2">
      <c r="A3841" s="20">
        <v>41982</v>
      </c>
      <c r="B3841">
        <v>160.25</v>
      </c>
      <c r="E3841">
        <f t="shared" si="118"/>
        <v>12</v>
      </c>
      <c r="F3841">
        <f t="shared" si="119"/>
        <v>2014</v>
      </c>
    </row>
    <row r="3842" spans="1:6" x14ac:dyDescent="0.2">
      <c r="A3842" s="20">
        <v>41983</v>
      </c>
      <c r="B3842">
        <v>158.5</v>
      </c>
      <c r="E3842">
        <f t="shared" si="118"/>
        <v>12</v>
      </c>
      <c r="F3842">
        <f t="shared" si="119"/>
        <v>2014</v>
      </c>
    </row>
    <row r="3843" spans="1:6" x14ac:dyDescent="0.2">
      <c r="A3843" s="20">
        <v>41984</v>
      </c>
      <c r="B3843">
        <v>158</v>
      </c>
      <c r="E3843">
        <f t="shared" ref="E3843:E3906" si="120">MONTH(A3843)</f>
        <v>12</v>
      </c>
      <c r="F3843">
        <f t="shared" ref="F3843:F3906" si="121">YEAR(A3843)</f>
        <v>2014</v>
      </c>
    </row>
    <row r="3844" spans="1:6" x14ac:dyDescent="0.2">
      <c r="A3844" s="20">
        <v>41985</v>
      </c>
      <c r="B3844">
        <v>160.75</v>
      </c>
      <c r="E3844">
        <f t="shared" si="120"/>
        <v>12</v>
      </c>
      <c r="F3844">
        <f t="shared" si="121"/>
        <v>2014</v>
      </c>
    </row>
    <row r="3845" spans="1:6" x14ac:dyDescent="0.2">
      <c r="A3845" s="20">
        <v>41988</v>
      </c>
      <c r="B3845">
        <v>164</v>
      </c>
      <c r="E3845">
        <f t="shared" si="120"/>
        <v>12</v>
      </c>
      <c r="F3845">
        <f t="shared" si="121"/>
        <v>2014</v>
      </c>
    </row>
    <row r="3846" spans="1:6" x14ac:dyDescent="0.2">
      <c r="A3846" s="20">
        <v>41989</v>
      </c>
      <c r="B3846">
        <v>165.5</v>
      </c>
      <c r="E3846">
        <f t="shared" si="120"/>
        <v>12</v>
      </c>
      <c r="F3846">
        <f t="shared" si="121"/>
        <v>2014</v>
      </c>
    </row>
    <row r="3847" spans="1:6" x14ac:dyDescent="0.2">
      <c r="A3847" s="20">
        <v>41990</v>
      </c>
      <c r="B3847">
        <v>165</v>
      </c>
      <c r="E3847">
        <f t="shared" si="120"/>
        <v>12</v>
      </c>
      <c r="F3847">
        <f t="shared" si="121"/>
        <v>2014</v>
      </c>
    </row>
    <row r="3848" spans="1:6" x14ac:dyDescent="0.2">
      <c r="A3848" s="20">
        <v>41991</v>
      </c>
      <c r="B3848">
        <v>164.5</v>
      </c>
      <c r="E3848">
        <f t="shared" si="120"/>
        <v>12</v>
      </c>
      <c r="F3848">
        <f t="shared" si="121"/>
        <v>2014</v>
      </c>
    </row>
    <row r="3849" spans="1:6" x14ac:dyDescent="0.2">
      <c r="A3849" s="20">
        <v>41992</v>
      </c>
      <c r="B3849">
        <v>161.5</v>
      </c>
      <c r="E3849">
        <f t="shared" si="120"/>
        <v>12</v>
      </c>
      <c r="F3849">
        <f t="shared" si="121"/>
        <v>2014</v>
      </c>
    </row>
    <row r="3850" spans="1:6" x14ac:dyDescent="0.2">
      <c r="A3850" s="20">
        <v>41995</v>
      </c>
      <c r="B3850">
        <v>164.75</v>
      </c>
      <c r="E3850">
        <f t="shared" si="120"/>
        <v>12</v>
      </c>
      <c r="F3850">
        <f t="shared" si="121"/>
        <v>2014</v>
      </c>
    </row>
    <row r="3851" spans="1:6" x14ac:dyDescent="0.2">
      <c r="A3851" s="20">
        <v>41996</v>
      </c>
      <c r="B3851">
        <v>167.25</v>
      </c>
      <c r="E3851">
        <f t="shared" si="120"/>
        <v>12</v>
      </c>
      <c r="F3851">
        <f t="shared" si="121"/>
        <v>2014</v>
      </c>
    </row>
    <row r="3852" spans="1:6" x14ac:dyDescent="0.2">
      <c r="A3852" s="20">
        <v>41997</v>
      </c>
      <c r="B3852">
        <v>169.25</v>
      </c>
      <c r="E3852">
        <f t="shared" si="120"/>
        <v>12</v>
      </c>
      <c r="F3852">
        <f t="shared" si="121"/>
        <v>2014</v>
      </c>
    </row>
    <row r="3853" spans="1:6" x14ac:dyDescent="0.2">
      <c r="A3853" s="20">
        <v>42002</v>
      </c>
      <c r="B3853">
        <v>165.75</v>
      </c>
      <c r="E3853">
        <f t="shared" si="120"/>
        <v>12</v>
      </c>
      <c r="F3853">
        <f t="shared" si="121"/>
        <v>2014</v>
      </c>
    </row>
    <row r="3854" spans="1:6" x14ac:dyDescent="0.2">
      <c r="A3854" s="20">
        <v>42003</v>
      </c>
      <c r="B3854">
        <v>165.5</v>
      </c>
      <c r="E3854">
        <f t="shared" si="120"/>
        <v>12</v>
      </c>
      <c r="F3854">
        <f t="shared" si="121"/>
        <v>2014</v>
      </c>
    </row>
    <row r="3855" spans="1:6" x14ac:dyDescent="0.2">
      <c r="A3855" s="20">
        <v>42004</v>
      </c>
      <c r="B3855">
        <v>165.75</v>
      </c>
      <c r="E3855">
        <f t="shared" si="120"/>
        <v>12</v>
      </c>
      <c r="F3855">
        <f t="shared" si="121"/>
        <v>2014</v>
      </c>
    </row>
    <row r="3856" spans="1:6" x14ac:dyDescent="0.2">
      <c r="A3856" s="20">
        <v>42006</v>
      </c>
      <c r="B3856">
        <v>161.25</v>
      </c>
      <c r="E3856">
        <f t="shared" si="120"/>
        <v>1</v>
      </c>
      <c r="F3856">
        <f t="shared" si="121"/>
        <v>2015</v>
      </c>
    </row>
    <row r="3857" spans="1:6" x14ac:dyDescent="0.2">
      <c r="A3857" s="20">
        <v>42009</v>
      </c>
      <c r="B3857">
        <v>166.75</v>
      </c>
      <c r="E3857">
        <f t="shared" si="120"/>
        <v>1</v>
      </c>
      <c r="F3857">
        <f t="shared" si="121"/>
        <v>2015</v>
      </c>
    </row>
    <row r="3858" spans="1:6" x14ac:dyDescent="0.2">
      <c r="A3858" s="20">
        <v>42010</v>
      </c>
      <c r="B3858">
        <v>168.25</v>
      </c>
      <c r="E3858">
        <f t="shared" si="120"/>
        <v>1</v>
      </c>
      <c r="F3858">
        <f t="shared" si="121"/>
        <v>2015</v>
      </c>
    </row>
    <row r="3859" spans="1:6" x14ac:dyDescent="0.2">
      <c r="A3859" s="20">
        <v>42011</v>
      </c>
      <c r="B3859">
        <v>164.5</v>
      </c>
      <c r="E3859">
        <f t="shared" si="120"/>
        <v>1</v>
      </c>
      <c r="F3859">
        <f t="shared" si="121"/>
        <v>2015</v>
      </c>
    </row>
    <row r="3860" spans="1:6" x14ac:dyDescent="0.2">
      <c r="A3860" s="20">
        <v>42012</v>
      </c>
      <c r="B3860">
        <v>163.25</v>
      </c>
      <c r="E3860">
        <f t="shared" si="120"/>
        <v>1</v>
      </c>
      <c r="F3860">
        <f t="shared" si="121"/>
        <v>2015</v>
      </c>
    </row>
    <row r="3861" spans="1:6" x14ac:dyDescent="0.2">
      <c r="A3861" s="20">
        <v>42013</v>
      </c>
      <c r="B3861">
        <v>162.75</v>
      </c>
      <c r="E3861">
        <f t="shared" si="120"/>
        <v>1</v>
      </c>
      <c r="F3861">
        <f t="shared" si="121"/>
        <v>2015</v>
      </c>
    </row>
    <row r="3862" spans="1:6" x14ac:dyDescent="0.2">
      <c r="A3862" s="20">
        <v>42016</v>
      </c>
      <c r="B3862">
        <v>162.25</v>
      </c>
      <c r="E3862">
        <f t="shared" si="120"/>
        <v>1</v>
      </c>
      <c r="F3862">
        <f t="shared" si="121"/>
        <v>2015</v>
      </c>
    </row>
    <row r="3863" spans="1:6" x14ac:dyDescent="0.2">
      <c r="A3863" s="20">
        <v>42017</v>
      </c>
      <c r="B3863">
        <v>159.5</v>
      </c>
      <c r="E3863">
        <f t="shared" si="120"/>
        <v>1</v>
      </c>
      <c r="F3863">
        <f t="shared" si="121"/>
        <v>2015</v>
      </c>
    </row>
    <row r="3864" spans="1:6" x14ac:dyDescent="0.2">
      <c r="A3864" s="20">
        <v>42018</v>
      </c>
      <c r="B3864">
        <v>157</v>
      </c>
      <c r="E3864">
        <f t="shared" si="120"/>
        <v>1</v>
      </c>
      <c r="F3864">
        <f t="shared" si="121"/>
        <v>2015</v>
      </c>
    </row>
    <row r="3865" spans="1:6" x14ac:dyDescent="0.2">
      <c r="A3865" s="20">
        <v>42019</v>
      </c>
      <c r="B3865">
        <v>158.25</v>
      </c>
      <c r="E3865">
        <f t="shared" si="120"/>
        <v>1</v>
      </c>
      <c r="F3865">
        <f t="shared" si="121"/>
        <v>2015</v>
      </c>
    </row>
    <row r="3866" spans="1:6" x14ac:dyDescent="0.2">
      <c r="A3866" s="20">
        <v>42020</v>
      </c>
      <c r="B3866">
        <v>159.5</v>
      </c>
      <c r="E3866">
        <f t="shared" si="120"/>
        <v>1</v>
      </c>
      <c r="F3866">
        <f t="shared" si="121"/>
        <v>2015</v>
      </c>
    </row>
    <row r="3867" spans="1:6" x14ac:dyDescent="0.2">
      <c r="A3867" s="20">
        <v>42023</v>
      </c>
      <c r="B3867">
        <v>158.25</v>
      </c>
      <c r="E3867">
        <f t="shared" si="120"/>
        <v>1</v>
      </c>
      <c r="F3867">
        <f t="shared" si="121"/>
        <v>2015</v>
      </c>
    </row>
    <row r="3868" spans="1:6" x14ac:dyDescent="0.2">
      <c r="A3868" s="20">
        <v>42024</v>
      </c>
      <c r="B3868">
        <v>156.75</v>
      </c>
      <c r="E3868">
        <f t="shared" si="120"/>
        <v>1</v>
      </c>
      <c r="F3868">
        <f t="shared" si="121"/>
        <v>2015</v>
      </c>
    </row>
    <row r="3869" spans="1:6" x14ac:dyDescent="0.2">
      <c r="A3869" s="20">
        <v>42025</v>
      </c>
      <c r="B3869">
        <v>157</v>
      </c>
      <c r="E3869">
        <f t="shared" si="120"/>
        <v>1</v>
      </c>
      <c r="F3869">
        <f t="shared" si="121"/>
        <v>2015</v>
      </c>
    </row>
    <row r="3870" spans="1:6" x14ac:dyDescent="0.2">
      <c r="A3870" s="20">
        <v>42026</v>
      </c>
      <c r="B3870">
        <v>158.25</v>
      </c>
      <c r="E3870">
        <f t="shared" si="120"/>
        <v>1</v>
      </c>
      <c r="F3870">
        <f t="shared" si="121"/>
        <v>2015</v>
      </c>
    </row>
    <row r="3871" spans="1:6" x14ac:dyDescent="0.2">
      <c r="A3871" s="20">
        <v>42027</v>
      </c>
      <c r="B3871">
        <v>159.25</v>
      </c>
      <c r="E3871">
        <f t="shared" si="120"/>
        <v>1</v>
      </c>
      <c r="F3871">
        <f t="shared" si="121"/>
        <v>2015</v>
      </c>
    </row>
    <row r="3872" spans="1:6" x14ac:dyDescent="0.2">
      <c r="A3872" s="20">
        <v>42030</v>
      </c>
      <c r="B3872">
        <v>157.5</v>
      </c>
      <c r="E3872">
        <f t="shared" si="120"/>
        <v>1</v>
      </c>
      <c r="F3872">
        <f t="shared" si="121"/>
        <v>2015</v>
      </c>
    </row>
    <row r="3873" spans="1:6" x14ac:dyDescent="0.2">
      <c r="A3873" s="20">
        <v>42031</v>
      </c>
      <c r="B3873">
        <v>155</v>
      </c>
      <c r="E3873">
        <f t="shared" si="120"/>
        <v>1</v>
      </c>
      <c r="F3873">
        <f t="shared" si="121"/>
        <v>2015</v>
      </c>
    </row>
    <row r="3874" spans="1:6" x14ac:dyDescent="0.2">
      <c r="A3874" s="20">
        <v>42032</v>
      </c>
      <c r="B3874">
        <v>152.5</v>
      </c>
      <c r="E3874">
        <f t="shared" si="120"/>
        <v>1</v>
      </c>
      <c r="F3874">
        <f t="shared" si="121"/>
        <v>2015</v>
      </c>
    </row>
    <row r="3875" spans="1:6" x14ac:dyDescent="0.2">
      <c r="A3875" s="20">
        <v>42033</v>
      </c>
      <c r="B3875">
        <v>153</v>
      </c>
      <c r="E3875">
        <f t="shared" si="120"/>
        <v>1</v>
      </c>
      <c r="F3875">
        <f t="shared" si="121"/>
        <v>2015</v>
      </c>
    </row>
    <row r="3876" spans="1:6" x14ac:dyDescent="0.2">
      <c r="A3876" s="20">
        <v>42034</v>
      </c>
      <c r="B3876">
        <v>153.75</v>
      </c>
      <c r="E3876">
        <f t="shared" si="120"/>
        <v>1</v>
      </c>
      <c r="F3876">
        <f t="shared" si="121"/>
        <v>2015</v>
      </c>
    </row>
    <row r="3877" spans="1:6" x14ac:dyDescent="0.2">
      <c r="A3877" s="20">
        <v>42037</v>
      </c>
      <c r="B3877">
        <v>151.75</v>
      </c>
      <c r="E3877">
        <f t="shared" si="120"/>
        <v>2</v>
      </c>
      <c r="F3877">
        <f t="shared" si="121"/>
        <v>2015</v>
      </c>
    </row>
    <row r="3878" spans="1:6" x14ac:dyDescent="0.2">
      <c r="A3878" s="20">
        <v>42038</v>
      </c>
      <c r="B3878">
        <v>154</v>
      </c>
      <c r="E3878">
        <f t="shared" si="120"/>
        <v>2</v>
      </c>
      <c r="F3878">
        <f t="shared" si="121"/>
        <v>2015</v>
      </c>
    </row>
    <row r="3879" spans="1:6" x14ac:dyDescent="0.2">
      <c r="A3879" s="20">
        <v>42039</v>
      </c>
      <c r="B3879">
        <v>154.5</v>
      </c>
      <c r="E3879">
        <f t="shared" si="120"/>
        <v>2</v>
      </c>
      <c r="F3879">
        <f t="shared" si="121"/>
        <v>2015</v>
      </c>
    </row>
    <row r="3880" spans="1:6" x14ac:dyDescent="0.2">
      <c r="A3880" s="20">
        <v>42040</v>
      </c>
      <c r="B3880">
        <v>155.5</v>
      </c>
      <c r="E3880">
        <f t="shared" si="120"/>
        <v>2</v>
      </c>
      <c r="F3880">
        <f t="shared" si="121"/>
        <v>2015</v>
      </c>
    </row>
    <row r="3881" spans="1:6" x14ac:dyDescent="0.2">
      <c r="A3881" s="20">
        <v>42041</v>
      </c>
      <c r="B3881">
        <v>155.75</v>
      </c>
      <c r="E3881">
        <f t="shared" si="120"/>
        <v>2</v>
      </c>
      <c r="F3881">
        <f t="shared" si="121"/>
        <v>2015</v>
      </c>
    </row>
    <row r="3882" spans="1:6" x14ac:dyDescent="0.2">
      <c r="A3882" s="20">
        <v>42044</v>
      </c>
      <c r="B3882">
        <v>155.5</v>
      </c>
      <c r="E3882">
        <f t="shared" si="120"/>
        <v>2</v>
      </c>
      <c r="F3882">
        <f t="shared" si="121"/>
        <v>2015</v>
      </c>
    </row>
    <row r="3883" spans="1:6" x14ac:dyDescent="0.2">
      <c r="A3883" s="20">
        <v>42045</v>
      </c>
      <c r="B3883">
        <v>154.5</v>
      </c>
      <c r="E3883">
        <f t="shared" si="120"/>
        <v>2</v>
      </c>
      <c r="F3883">
        <f t="shared" si="121"/>
        <v>2015</v>
      </c>
    </row>
    <row r="3884" spans="1:6" x14ac:dyDescent="0.2">
      <c r="A3884" s="20">
        <v>42046</v>
      </c>
      <c r="B3884">
        <v>153.25</v>
      </c>
      <c r="E3884">
        <f t="shared" si="120"/>
        <v>2</v>
      </c>
      <c r="F3884">
        <f t="shared" si="121"/>
        <v>2015</v>
      </c>
    </row>
    <row r="3885" spans="1:6" x14ac:dyDescent="0.2">
      <c r="A3885" s="20">
        <v>42047</v>
      </c>
      <c r="B3885">
        <v>152.25</v>
      </c>
      <c r="E3885">
        <f t="shared" si="120"/>
        <v>2</v>
      </c>
      <c r="F3885">
        <f t="shared" si="121"/>
        <v>2015</v>
      </c>
    </row>
    <row r="3886" spans="1:6" x14ac:dyDescent="0.2">
      <c r="A3886" s="20">
        <v>42048</v>
      </c>
      <c r="B3886">
        <v>153</v>
      </c>
      <c r="E3886">
        <f t="shared" si="120"/>
        <v>2</v>
      </c>
      <c r="F3886">
        <f t="shared" si="121"/>
        <v>2015</v>
      </c>
    </row>
    <row r="3887" spans="1:6" x14ac:dyDescent="0.2">
      <c r="A3887" s="20">
        <v>42051</v>
      </c>
      <c r="B3887">
        <v>152.75</v>
      </c>
      <c r="E3887">
        <f t="shared" si="120"/>
        <v>2</v>
      </c>
      <c r="F3887">
        <f t="shared" si="121"/>
        <v>2015</v>
      </c>
    </row>
    <row r="3888" spans="1:6" x14ac:dyDescent="0.2">
      <c r="A3888" s="20">
        <v>42052</v>
      </c>
      <c r="B3888">
        <v>153</v>
      </c>
      <c r="E3888">
        <f t="shared" si="120"/>
        <v>2</v>
      </c>
      <c r="F3888">
        <f t="shared" si="121"/>
        <v>2015</v>
      </c>
    </row>
    <row r="3889" spans="1:6" x14ac:dyDescent="0.2">
      <c r="A3889" s="20">
        <v>42053</v>
      </c>
      <c r="B3889">
        <v>152.75</v>
      </c>
      <c r="E3889">
        <f t="shared" si="120"/>
        <v>2</v>
      </c>
      <c r="F3889">
        <f t="shared" si="121"/>
        <v>2015</v>
      </c>
    </row>
    <row r="3890" spans="1:6" x14ac:dyDescent="0.2">
      <c r="A3890" s="20">
        <v>42054</v>
      </c>
      <c r="B3890">
        <v>153</v>
      </c>
      <c r="E3890">
        <f t="shared" si="120"/>
        <v>2</v>
      </c>
      <c r="F3890">
        <f t="shared" si="121"/>
        <v>2015</v>
      </c>
    </row>
    <row r="3891" spans="1:6" x14ac:dyDescent="0.2">
      <c r="A3891" s="20">
        <v>42055</v>
      </c>
      <c r="B3891">
        <v>151.25</v>
      </c>
      <c r="E3891">
        <f t="shared" si="120"/>
        <v>2</v>
      </c>
      <c r="F3891">
        <f t="shared" si="121"/>
        <v>2015</v>
      </c>
    </row>
    <row r="3892" spans="1:6" x14ac:dyDescent="0.2">
      <c r="A3892" s="20">
        <v>42058</v>
      </c>
      <c r="B3892">
        <v>149.5</v>
      </c>
      <c r="E3892">
        <f t="shared" si="120"/>
        <v>2</v>
      </c>
      <c r="F3892">
        <f t="shared" si="121"/>
        <v>2015</v>
      </c>
    </row>
    <row r="3893" spans="1:6" x14ac:dyDescent="0.2">
      <c r="A3893" s="20">
        <v>42059</v>
      </c>
      <c r="B3893">
        <v>149.25</v>
      </c>
      <c r="E3893">
        <f t="shared" si="120"/>
        <v>2</v>
      </c>
      <c r="F3893">
        <f t="shared" si="121"/>
        <v>2015</v>
      </c>
    </row>
    <row r="3894" spans="1:6" x14ac:dyDescent="0.2">
      <c r="A3894" s="20">
        <v>42060</v>
      </c>
      <c r="B3894">
        <v>148.75</v>
      </c>
      <c r="E3894">
        <f t="shared" si="120"/>
        <v>2</v>
      </c>
      <c r="F3894">
        <f t="shared" si="121"/>
        <v>2015</v>
      </c>
    </row>
    <row r="3895" spans="1:6" x14ac:dyDescent="0.2">
      <c r="A3895" s="20">
        <v>42061</v>
      </c>
      <c r="B3895">
        <v>148.5</v>
      </c>
      <c r="E3895">
        <f t="shared" si="120"/>
        <v>2</v>
      </c>
      <c r="F3895">
        <f t="shared" si="121"/>
        <v>2015</v>
      </c>
    </row>
    <row r="3896" spans="1:6" x14ac:dyDescent="0.2">
      <c r="A3896" s="20">
        <v>42062</v>
      </c>
      <c r="B3896">
        <v>149.5</v>
      </c>
      <c r="E3896">
        <f t="shared" si="120"/>
        <v>2</v>
      </c>
      <c r="F3896">
        <f t="shared" si="121"/>
        <v>2015</v>
      </c>
    </row>
    <row r="3897" spans="1:6" x14ac:dyDescent="0.2">
      <c r="A3897" s="20">
        <v>42065</v>
      </c>
      <c r="B3897">
        <v>148.25</v>
      </c>
      <c r="E3897">
        <f t="shared" si="120"/>
        <v>3</v>
      </c>
      <c r="F3897">
        <f t="shared" si="121"/>
        <v>2015</v>
      </c>
    </row>
    <row r="3898" spans="1:6" x14ac:dyDescent="0.2">
      <c r="A3898" s="20">
        <v>42066</v>
      </c>
      <c r="B3898">
        <v>147.75</v>
      </c>
      <c r="E3898">
        <f t="shared" si="120"/>
        <v>3</v>
      </c>
      <c r="F3898">
        <f t="shared" si="121"/>
        <v>2015</v>
      </c>
    </row>
    <row r="3899" spans="1:6" x14ac:dyDescent="0.2">
      <c r="A3899" s="20">
        <v>42067</v>
      </c>
      <c r="B3899">
        <v>146.25</v>
      </c>
      <c r="E3899">
        <f t="shared" si="120"/>
        <v>3</v>
      </c>
      <c r="F3899">
        <f t="shared" si="121"/>
        <v>2015</v>
      </c>
    </row>
    <row r="3900" spans="1:6" x14ac:dyDescent="0.2">
      <c r="A3900" s="20">
        <v>42068</v>
      </c>
      <c r="B3900">
        <v>151.5</v>
      </c>
      <c r="E3900">
        <f t="shared" si="120"/>
        <v>3</v>
      </c>
      <c r="F3900">
        <f t="shared" si="121"/>
        <v>2015</v>
      </c>
    </row>
    <row r="3901" spans="1:6" x14ac:dyDescent="0.2">
      <c r="A3901" s="20">
        <v>42069</v>
      </c>
      <c r="B3901">
        <v>159</v>
      </c>
      <c r="E3901">
        <f t="shared" si="120"/>
        <v>3</v>
      </c>
      <c r="F3901">
        <f t="shared" si="121"/>
        <v>2015</v>
      </c>
    </row>
    <row r="3902" spans="1:6" x14ac:dyDescent="0.2">
      <c r="A3902" s="20">
        <v>42072</v>
      </c>
      <c r="B3902">
        <v>160.75</v>
      </c>
      <c r="E3902">
        <f t="shared" si="120"/>
        <v>3</v>
      </c>
      <c r="F3902">
        <f t="shared" si="121"/>
        <v>2015</v>
      </c>
    </row>
    <row r="3903" spans="1:6" x14ac:dyDescent="0.2">
      <c r="A3903" s="20">
        <v>42073</v>
      </c>
      <c r="B3903">
        <v>162</v>
      </c>
      <c r="E3903">
        <f t="shared" si="120"/>
        <v>3</v>
      </c>
      <c r="F3903">
        <f t="shared" si="121"/>
        <v>2015</v>
      </c>
    </row>
    <row r="3904" spans="1:6" x14ac:dyDescent="0.2">
      <c r="A3904" s="20">
        <v>42074</v>
      </c>
      <c r="B3904">
        <v>165.25</v>
      </c>
      <c r="E3904">
        <f t="shared" si="120"/>
        <v>3</v>
      </c>
      <c r="F3904">
        <f t="shared" si="121"/>
        <v>2015</v>
      </c>
    </row>
    <row r="3905" spans="1:6" x14ac:dyDescent="0.2">
      <c r="A3905" s="20">
        <v>42075</v>
      </c>
      <c r="B3905">
        <v>165</v>
      </c>
      <c r="E3905">
        <f t="shared" si="120"/>
        <v>3</v>
      </c>
      <c r="F3905">
        <f t="shared" si="121"/>
        <v>2015</v>
      </c>
    </row>
    <row r="3906" spans="1:6" x14ac:dyDescent="0.2">
      <c r="A3906" s="20">
        <v>42076</v>
      </c>
      <c r="B3906">
        <v>164.25</v>
      </c>
      <c r="E3906">
        <f t="shared" si="120"/>
        <v>3</v>
      </c>
      <c r="F3906">
        <f t="shared" si="121"/>
        <v>2015</v>
      </c>
    </row>
    <row r="3907" spans="1:6" x14ac:dyDescent="0.2">
      <c r="A3907" s="20">
        <v>42079</v>
      </c>
      <c r="B3907">
        <v>165</v>
      </c>
      <c r="E3907">
        <f t="shared" ref="E3907:E3970" si="122">MONTH(A3907)</f>
        <v>3</v>
      </c>
      <c r="F3907">
        <f t="shared" ref="F3907:F3970" si="123">YEAR(A3907)</f>
        <v>2015</v>
      </c>
    </row>
    <row r="3908" spans="1:6" x14ac:dyDescent="0.2">
      <c r="A3908" s="20">
        <v>42080</v>
      </c>
      <c r="B3908">
        <v>164.75</v>
      </c>
      <c r="E3908">
        <f t="shared" si="122"/>
        <v>3</v>
      </c>
      <c r="F3908">
        <f t="shared" si="123"/>
        <v>2015</v>
      </c>
    </row>
    <row r="3909" spans="1:6" x14ac:dyDescent="0.2">
      <c r="A3909" s="20">
        <v>42081</v>
      </c>
      <c r="B3909">
        <v>163.75</v>
      </c>
      <c r="E3909">
        <f t="shared" si="122"/>
        <v>3</v>
      </c>
      <c r="F3909">
        <f t="shared" si="123"/>
        <v>2015</v>
      </c>
    </row>
    <row r="3910" spans="1:6" x14ac:dyDescent="0.2">
      <c r="A3910" s="20">
        <v>42082</v>
      </c>
      <c r="B3910">
        <v>163.5</v>
      </c>
      <c r="E3910">
        <f t="shared" si="122"/>
        <v>3</v>
      </c>
      <c r="F3910">
        <f t="shared" si="123"/>
        <v>2015</v>
      </c>
    </row>
    <row r="3911" spans="1:6" x14ac:dyDescent="0.2">
      <c r="A3911" s="20">
        <v>42083</v>
      </c>
      <c r="B3911">
        <v>163.75</v>
      </c>
      <c r="E3911">
        <f t="shared" si="122"/>
        <v>3</v>
      </c>
      <c r="F3911">
        <f t="shared" si="123"/>
        <v>2015</v>
      </c>
    </row>
    <row r="3912" spans="1:6" x14ac:dyDescent="0.2">
      <c r="A3912" s="20">
        <v>42086</v>
      </c>
      <c r="B3912">
        <v>163.25</v>
      </c>
      <c r="E3912">
        <f t="shared" si="122"/>
        <v>3</v>
      </c>
      <c r="F3912">
        <f t="shared" si="123"/>
        <v>2015</v>
      </c>
    </row>
    <row r="3913" spans="1:6" x14ac:dyDescent="0.2">
      <c r="A3913" s="20">
        <v>42087</v>
      </c>
      <c r="B3913">
        <v>162.75</v>
      </c>
      <c r="E3913">
        <f t="shared" si="122"/>
        <v>3</v>
      </c>
      <c r="F3913">
        <f t="shared" si="123"/>
        <v>2015</v>
      </c>
    </row>
    <row r="3914" spans="1:6" x14ac:dyDescent="0.2">
      <c r="A3914" s="20">
        <v>42088</v>
      </c>
      <c r="B3914">
        <v>162</v>
      </c>
      <c r="E3914">
        <f t="shared" si="122"/>
        <v>3</v>
      </c>
      <c r="F3914">
        <f t="shared" si="123"/>
        <v>2015</v>
      </c>
    </row>
    <row r="3915" spans="1:6" x14ac:dyDescent="0.2">
      <c r="A3915" s="20">
        <v>42089</v>
      </c>
      <c r="B3915">
        <v>162</v>
      </c>
      <c r="E3915">
        <f t="shared" si="122"/>
        <v>3</v>
      </c>
      <c r="F3915">
        <f t="shared" si="123"/>
        <v>2015</v>
      </c>
    </row>
    <row r="3916" spans="1:6" x14ac:dyDescent="0.2">
      <c r="A3916" s="20">
        <v>42090</v>
      </c>
      <c r="B3916">
        <v>162.5</v>
      </c>
      <c r="E3916">
        <f t="shared" si="122"/>
        <v>3</v>
      </c>
      <c r="F3916">
        <f t="shared" si="123"/>
        <v>2015</v>
      </c>
    </row>
    <row r="3917" spans="1:6" x14ac:dyDescent="0.2">
      <c r="A3917" s="20">
        <v>42093</v>
      </c>
      <c r="B3917">
        <v>163.75</v>
      </c>
      <c r="E3917">
        <f t="shared" si="122"/>
        <v>3</v>
      </c>
      <c r="F3917">
        <f t="shared" si="123"/>
        <v>2015</v>
      </c>
    </row>
    <row r="3918" spans="1:6" x14ac:dyDescent="0.2">
      <c r="A3918" s="20">
        <v>42094</v>
      </c>
      <c r="B3918">
        <v>163.75</v>
      </c>
      <c r="E3918">
        <f t="shared" si="122"/>
        <v>3</v>
      </c>
      <c r="F3918">
        <f t="shared" si="123"/>
        <v>2015</v>
      </c>
    </row>
    <row r="3919" spans="1:6" x14ac:dyDescent="0.2">
      <c r="A3919" s="20">
        <v>42095</v>
      </c>
      <c r="B3919">
        <v>164.25</v>
      </c>
      <c r="E3919">
        <f t="shared" si="122"/>
        <v>4</v>
      </c>
      <c r="F3919">
        <f t="shared" si="123"/>
        <v>2015</v>
      </c>
    </row>
    <row r="3920" spans="1:6" x14ac:dyDescent="0.2">
      <c r="A3920" s="20">
        <v>42096</v>
      </c>
      <c r="B3920">
        <v>164.5</v>
      </c>
      <c r="E3920">
        <f t="shared" si="122"/>
        <v>4</v>
      </c>
      <c r="F3920">
        <f t="shared" si="123"/>
        <v>2015</v>
      </c>
    </row>
    <row r="3921" spans="1:6" x14ac:dyDescent="0.2">
      <c r="A3921" s="20">
        <v>42101</v>
      </c>
      <c r="B3921">
        <v>165.25</v>
      </c>
      <c r="E3921">
        <f t="shared" si="122"/>
        <v>4</v>
      </c>
      <c r="F3921">
        <f t="shared" si="123"/>
        <v>2015</v>
      </c>
    </row>
    <row r="3922" spans="1:6" x14ac:dyDescent="0.2">
      <c r="A3922" s="20">
        <v>42102</v>
      </c>
      <c r="B3922">
        <v>164.25</v>
      </c>
      <c r="E3922">
        <f t="shared" si="122"/>
        <v>4</v>
      </c>
      <c r="F3922">
        <f t="shared" si="123"/>
        <v>2015</v>
      </c>
    </row>
    <row r="3923" spans="1:6" x14ac:dyDescent="0.2">
      <c r="A3923" s="20">
        <v>42103</v>
      </c>
      <c r="B3923">
        <v>164</v>
      </c>
      <c r="E3923">
        <f t="shared" si="122"/>
        <v>4</v>
      </c>
      <c r="F3923">
        <f t="shared" si="123"/>
        <v>2015</v>
      </c>
    </row>
    <row r="3924" spans="1:6" x14ac:dyDescent="0.2">
      <c r="A3924" s="20">
        <v>42104</v>
      </c>
      <c r="B3924">
        <v>164.25</v>
      </c>
      <c r="E3924">
        <f t="shared" si="122"/>
        <v>4</v>
      </c>
      <c r="F3924">
        <f t="shared" si="123"/>
        <v>2015</v>
      </c>
    </row>
    <row r="3925" spans="1:6" x14ac:dyDescent="0.2">
      <c r="A3925" s="20">
        <v>42107</v>
      </c>
      <c r="B3925">
        <v>164.25</v>
      </c>
      <c r="E3925">
        <f t="shared" si="122"/>
        <v>4</v>
      </c>
      <c r="F3925">
        <f t="shared" si="123"/>
        <v>2015</v>
      </c>
    </row>
    <row r="3926" spans="1:6" x14ac:dyDescent="0.2">
      <c r="A3926" s="20">
        <v>42108</v>
      </c>
      <c r="B3926">
        <v>165</v>
      </c>
      <c r="E3926">
        <f t="shared" si="122"/>
        <v>4</v>
      </c>
      <c r="F3926">
        <f t="shared" si="123"/>
        <v>2015</v>
      </c>
    </row>
    <row r="3927" spans="1:6" x14ac:dyDescent="0.2">
      <c r="A3927" s="20">
        <v>42109</v>
      </c>
      <c r="B3927">
        <v>165.5</v>
      </c>
      <c r="E3927">
        <f t="shared" si="122"/>
        <v>4</v>
      </c>
      <c r="F3927">
        <f t="shared" si="123"/>
        <v>2015</v>
      </c>
    </row>
    <row r="3928" spans="1:6" x14ac:dyDescent="0.2">
      <c r="A3928" s="20">
        <v>42110</v>
      </c>
      <c r="B3928">
        <v>164</v>
      </c>
      <c r="E3928">
        <f t="shared" si="122"/>
        <v>4</v>
      </c>
      <c r="F3928">
        <f t="shared" si="123"/>
        <v>2015</v>
      </c>
    </row>
    <row r="3929" spans="1:6" x14ac:dyDescent="0.2">
      <c r="A3929" s="20">
        <v>42111</v>
      </c>
      <c r="B3929">
        <v>162.75</v>
      </c>
      <c r="E3929">
        <f t="shared" si="122"/>
        <v>4</v>
      </c>
      <c r="F3929">
        <f t="shared" si="123"/>
        <v>2015</v>
      </c>
    </row>
    <row r="3930" spans="1:6" x14ac:dyDescent="0.2">
      <c r="A3930" s="20">
        <v>42114</v>
      </c>
      <c r="B3930">
        <v>162.5</v>
      </c>
      <c r="E3930">
        <f t="shared" si="122"/>
        <v>4</v>
      </c>
      <c r="F3930">
        <f t="shared" si="123"/>
        <v>2015</v>
      </c>
    </row>
    <row r="3931" spans="1:6" x14ac:dyDescent="0.2">
      <c r="A3931" s="20">
        <v>42115</v>
      </c>
      <c r="B3931">
        <v>161.75</v>
      </c>
      <c r="E3931">
        <f t="shared" si="122"/>
        <v>4</v>
      </c>
      <c r="F3931">
        <f t="shared" si="123"/>
        <v>2015</v>
      </c>
    </row>
    <row r="3932" spans="1:6" x14ac:dyDescent="0.2">
      <c r="A3932" s="20">
        <v>42116</v>
      </c>
      <c r="B3932">
        <v>161.5</v>
      </c>
      <c r="E3932">
        <f t="shared" si="122"/>
        <v>4</v>
      </c>
      <c r="F3932">
        <f t="shared" si="123"/>
        <v>2015</v>
      </c>
    </row>
    <row r="3933" spans="1:6" x14ac:dyDescent="0.2">
      <c r="A3933" s="20">
        <v>42117</v>
      </c>
      <c r="B3933">
        <v>162</v>
      </c>
      <c r="E3933">
        <f t="shared" si="122"/>
        <v>4</v>
      </c>
      <c r="F3933">
        <f t="shared" si="123"/>
        <v>2015</v>
      </c>
    </row>
    <row r="3934" spans="1:6" x14ac:dyDescent="0.2">
      <c r="A3934" s="20">
        <v>42118</v>
      </c>
      <c r="B3934">
        <v>160.75</v>
      </c>
      <c r="E3934">
        <f t="shared" si="122"/>
        <v>4</v>
      </c>
      <c r="F3934">
        <f t="shared" si="123"/>
        <v>2015</v>
      </c>
    </row>
    <row r="3935" spans="1:6" x14ac:dyDescent="0.2">
      <c r="A3935" s="20">
        <v>42121</v>
      </c>
      <c r="B3935">
        <v>159.5</v>
      </c>
      <c r="E3935">
        <f t="shared" si="122"/>
        <v>4</v>
      </c>
      <c r="F3935">
        <f t="shared" si="123"/>
        <v>2015</v>
      </c>
    </row>
    <row r="3936" spans="1:6" x14ac:dyDescent="0.2">
      <c r="A3936" s="20">
        <v>42122</v>
      </c>
      <c r="B3936">
        <v>158.25</v>
      </c>
      <c r="E3936">
        <f t="shared" si="122"/>
        <v>4</v>
      </c>
      <c r="F3936">
        <f t="shared" si="123"/>
        <v>2015</v>
      </c>
    </row>
    <row r="3937" spans="1:6" x14ac:dyDescent="0.2">
      <c r="A3937" s="20">
        <v>42123</v>
      </c>
      <c r="B3937">
        <v>157.75</v>
      </c>
      <c r="E3937">
        <f t="shared" si="122"/>
        <v>4</v>
      </c>
      <c r="F3937">
        <f t="shared" si="123"/>
        <v>2015</v>
      </c>
    </row>
    <row r="3938" spans="1:6" x14ac:dyDescent="0.2">
      <c r="A3938" s="20">
        <v>42124</v>
      </c>
      <c r="B3938">
        <v>157</v>
      </c>
      <c r="E3938">
        <f t="shared" si="122"/>
        <v>4</v>
      </c>
      <c r="F3938">
        <f t="shared" si="123"/>
        <v>2015</v>
      </c>
    </row>
    <row r="3939" spans="1:6" x14ac:dyDescent="0.2">
      <c r="A3939" s="20">
        <v>42128</v>
      </c>
      <c r="B3939">
        <v>155.25</v>
      </c>
      <c r="E3939">
        <f t="shared" si="122"/>
        <v>5</v>
      </c>
      <c r="F3939">
        <f t="shared" si="123"/>
        <v>2015</v>
      </c>
    </row>
    <row r="3940" spans="1:6" x14ac:dyDescent="0.2">
      <c r="A3940" s="20">
        <v>42129</v>
      </c>
      <c r="B3940">
        <v>153.5</v>
      </c>
      <c r="E3940">
        <f t="shared" si="122"/>
        <v>5</v>
      </c>
      <c r="F3940">
        <f t="shared" si="123"/>
        <v>2015</v>
      </c>
    </row>
    <row r="3941" spans="1:6" x14ac:dyDescent="0.2">
      <c r="A3941" s="20">
        <v>42130</v>
      </c>
      <c r="B3941">
        <v>155</v>
      </c>
      <c r="E3941">
        <f t="shared" si="122"/>
        <v>5</v>
      </c>
      <c r="F3941">
        <f t="shared" si="123"/>
        <v>2015</v>
      </c>
    </row>
    <row r="3942" spans="1:6" x14ac:dyDescent="0.2">
      <c r="A3942" s="20">
        <v>42131</v>
      </c>
      <c r="B3942">
        <v>155.25</v>
      </c>
      <c r="E3942">
        <f t="shared" si="122"/>
        <v>5</v>
      </c>
      <c r="F3942">
        <f t="shared" si="123"/>
        <v>2015</v>
      </c>
    </row>
    <row r="3943" spans="1:6" x14ac:dyDescent="0.2">
      <c r="A3943" s="20">
        <v>42132</v>
      </c>
      <c r="B3943">
        <v>154.75</v>
      </c>
      <c r="E3943">
        <f t="shared" si="122"/>
        <v>5</v>
      </c>
      <c r="F3943">
        <f t="shared" si="123"/>
        <v>2015</v>
      </c>
    </row>
    <row r="3944" spans="1:6" x14ac:dyDescent="0.2">
      <c r="A3944" s="20">
        <v>42135</v>
      </c>
      <c r="B3944">
        <v>156.25</v>
      </c>
      <c r="E3944">
        <f t="shared" si="122"/>
        <v>5</v>
      </c>
      <c r="F3944">
        <f t="shared" si="123"/>
        <v>2015</v>
      </c>
    </row>
    <row r="3945" spans="1:6" x14ac:dyDescent="0.2">
      <c r="A3945" s="20">
        <v>42136</v>
      </c>
      <c r="B3945">
        <v>155</v>
      </c>
      <c r="E3945">
        <f t="shared" si="122"/>
        <v>5</v>
      </c>
      <c r="F3945">
        <f t="shared" si="123"/>
        <v>2015</v>
      </c>
    </row>
    <row r="3946" spans="1:6" x14ac:dyDescent="0.2">
      <c r="A3946" s="20">
        <v>42137</v>
      </c>
      <c r="B3946">
        <v>154</v>
      </c>
      <c r="E3946">
        <f t="shared" si="122"/>
        <v>5</v>
      </c>
      <c r="F3946">
        <f t="shared" si="123"/>
        <v>2015</v>
      </c>
    </row>
    <row r="3947" spans="1:6" x14ac:dyDescent="0.2">
      <c r="A3947" s="20">
        <v>42138</v>
      </c>
      <c r="B3947">
        <v>155</v>
      </c>
      <c r="E3947">
        <f t="shared" si="122"/>
        <v>5</v>
      </c>
      <c r="F3947">
        <f t="shared" si="123"/>
        <v>2015</v>
      </c>
    </row>
    <row r="3948" spans="1:6" x14ac:dyDescent="0.2">
      <c r="A3948" s="20">
        <v>42139</v>
      </c>
      <c r="B3948">
        <v>154.5</v>
      </c>
      <c r="E3948">
        <f t="shared" si="122"/>
        <v>5</v>
      </c>
      <c r="F3948">
        <f t="shared" si="123"/>
        <v>2015</v>
      </c>
    </row>
    <row r="3949" spans="1:6" x14ac:dyDescent="0.2">
      <c r="A3949" s="20">
        <v>42142</v>
      </c>
      <c r="B3949">
        <v>155.25</v>
      </c>
      <c r="E3949">
        <f t="shared" si="122"/>
        <v>5</v>
      </c>
      <c r="F3949">
        <f t="shared" si="123"/>
        <v>2015</v>
      </c>
    </row>
    <row r="3950" spans="1:6" x14ac:dyDescent="0.2">
      <c r="A3950" s="20">
        <v>42143</v>
      </c>
      <c r="B3950">
        <v>154.75</v>
      </c>
      <c r="E3950">
        <f t="shared" si="122"/>
        <v>5</v>
      </c>
      <c r="F3950">
        <f t="shared" si="123"/>
        <v>2015</v>
      </c>
    </row>
    <row r="3951" spans="1:6" x14ac:dyDescent="0.2">
      <c r="A3951" s="20">
        <v>42144</v>
      </c>
      <c r="B3951">
        <v>154</v>
      </c>
      <c r="E3951">
        <f t="shared" si="122"/>
        <v>5</v>
      </c>
      <c r="F3951">
        <f t="shared" si="123"/>
        <v>2015</v>
      </c>
    </row>
    <row r="3952" spans="1:6" x14ac:dyDescent="0.2">
      <c r="A3952" s="20">
        <v>42145</v>
      </c>
      <c r="B3952">
        <v>154.5</v>
      </c>
      <c r="E3952">
        <f t="shared" si="122"/>
        <v>5</v>
      </c>
      <c r="F3952">
        <f t="shared" si="123"/>
        <v>2015</v>
      </c>
    </row>
    <row r="3953" spans="1:6" x14ac:dyDescent="0.2">
      <c r="A3953" s="20">
        <v>42146</v>
      </c>
      <c r="B3953">
        <v>154.25</v>
      </c>
      <c r="E3953">
        <f t="shared" si="122"/>
        <v>5</v>
      </c>
      <c r="F3953">
        <f t="shared" si="123"/>
        <v>2015</v>
      </c>
    </row>
    <row r="3954" spans="1:6" x14ac:dyDescent="0.2">
      <c r="A3954" s="20">
        <v>42149</v>
      </c>
      <c r="B3954">
        <v>153</v>
      </c>
      <c r="E3954">
        <f t="shared" si="122"/>
        <v>5</v>
      </c>
      <c r="F3954">
        <f t="shared" si="123"/>
        <v>2015</v>
      </c>
    </row>
    <row r="3955" spans="1:6" x14ac:dyDescent="0.2">
      <c r="A3955" s="20">
        <v>42150</v>
      </c>
      <c r="B3955">
        <v>152.75</v>
      </c>
      <c r="E3955">
        <f t="shared" si="122"/>
        <v>5</v>
      </c>
      <c r="F3955">
        <f t="shared" si="123"/>
        <v>2015</v>
      </c>
    </row>
    <row r="3956" spans="1:6" x14ac:dyDescent="0.2">
      <c r="A3956" s="20">
        <v>42151</v>
      </c>
      <c r="B3956">
        <v>153.75</v>
      </c>
      <c r="E3956">
        <f t="shared" si="122"/>
        <v>5</v>
      </c>
      <c r="F3956">
        <f t="shared" si="123"/>
        <v>2015</v>
      </c>
    </row>
    <row r="3957" spans="1:6" x14ac:dyDescent="0.2">
      <c r="A3957" s="20">
        <v>42152</v>
      </c>
      <c r="B3957">
        <v>154.5</v>
      </c>
      <c r="E3957">
        <f t="shared" si="122"/>
        <v>5</v>
      </c>
      <c r="F3957">
        <f t="shared" si="123"/>
        <v>2015</v>
      </c>
    </row>
    <row r="3958" spans="1:6" x14ac:dyDescent="0.2">
      <c r="A3958" s="20">
        <v>42153</v>
      </c>
      <c r="B3958">
        <v>151.5</v>
      </c>
      <c r="E3958">
        <f t="shared" si="122"/>
        <v>5</v>
      </c>
      <c r="F3958">
        <f t="shared" si="123"/>
        <v>2015</v>
      </c>
    </row>
    <row r="3959" spans="1:6" x14ac:dyDescent="0.2">
      <c r="A3959" s="20">
        <v>42156</v>
      </c>
      <c r="B3959">
        <v>154</v>
      </c>
      <c r="E3959">
        <f t="shared" si="122"/>
        <v>6</v>
      </c>
      <c r="F3959">
        <f t="shared" si="123"/>
        <v>2015</v>
      </c>
    </row>
    <row r="3960" spans="1:6" x14ac:dyDescent="0.2">
      <c r="A3960" s="20">
        <v>42157</v>
      </c>
      <c r="B3960">
        <v>155</v>
      </c>
      <c r="E3960">
        <f t="shared" si="122"/>
        <v>6</v>
      </c>
      <c r="F3960">
        <f t="shared" si="123"/>
        <v>2015</v>
      </c>
    </row>
    <row r="3961" spans="1:6" x14ac:dyDescent="0.2">
      <c r="A3961" s="20">
        <v>42158</v>
      </c>
      <c r="B3961">
        <v>156.25</v>
      </c>
      <c r="E3961">
        <f t="shared" si="122"/>
        <v>6</v>
      </c>
      <c r="F3961">
        <f t="shared" si="123"/>
        <v>2015</v>
      </c>
    </row>
    <row r="3962" spans="1:6" x14ac:dyDescent="0.2">
      <c r="A3962" s="20">
        <v>42159</v>
      </c>
      <c r="B3962">
        <v>157.5</v>
      </c>
      <c r="E3962">
        <f t="shared" si="122"/>
        <v>6</v>
      </c>
      <c r="F3962">
        <f t="shared" si="123"/>
        <v>2015</v>
      </c>
    </row>
    <row r="3963" spans="1:6" x14ac:dyDescent="0.2">
      <c r="A3963" s="20">
        <v>42160</v>
      </c>
      <c r="B3963">
        <v>155</v>
      </c>
      <c r="E3963">
        <f t="shared" si="122"/>
        <v>6</v>
      </c>
      <c r="F3963">
        <f t="shared" si="123"/>
        <v>2015</v>
      </c>
    </row>
    <row r="3964" spans="1:6" x14ac:dyDescent="0.2">
      <c r="A3964" s="20">
        <v>42163</v>
      </c>
      <c r="B3964">
        <v>167.75</v>
      </c>
      <c r="E3964">
        <f t="shared" si="122"/>
        <v>6</v>
      </c>
      <c r="F3964">
        <f t="shared" si="123"/>
        <v>2015</v>
      </c>
    </row>
    <row r="3965" spans="1:6" x14ac:dyDescent="0.2">
      <c r="A3965" s="20">
        <v>42164</v>
      </c>
      <c r="B3965">
        <v>167.5</v>
      </c>
      <c r="E3965">
        <f t="shared" si="122"/>
        <v>6</v>
      </c>
      <c r="F3965">
        <f t="shared" si="123"/>
        <v>2015</v>
      </c>
    </row>
    <row r="3966" spans="1:6" x14ac:dyDescent="0.2">
      <c r="A3966" s="20">
        <v>42165</v>
      </c>
      <c r="B3966">
        <v>164.75</v>
      </c>
      <c r="E3966">
        <f t="shared" si="122"/>
        <v>6</v>
      </c>
      <c r="F3966">
        <f t="shared" si="123"/>
        <v>2015</v>
      </c>
    </row>
    <row r="3967" spans="1:6" x14ac:dyDescent="0.2">
      <c r="A3967" s="20">
        <v>42166</v>
      </c>
      <c r="B3967">
        <v>163.75</v>
      </c>
      <c r="E3967">
        <f t="shared" si="122"/>
        <v>6</v>
      </c>
      <c r="F3967">
        <f t="shared" si="123"/>
        <v>2015</v>
      </c>
    </row>
    <row r="3968" spans="1:6" x14ac:dyDescent="0.2">
      <c r="A3968" s="20">
        <v>42167</v>
      </c>
      <c r="B3968">
        <v>163.25</v>
      </c>
      <c r="E3968">
        <f t="shared" si="122"/>
        <v>6</v>
      </c>
      <c r="F3968">
        <f t="shared" si="123"/>
        <v>2015</v>
      </c>
    </row>
    <row r="3969" spans="1:6" x14ac:dyDescent="0.2">
      <c r="A3969" s="20">
        <v>42170</v>
      </c>
      <c r="B3969">
        <v>161.5</v>
      </c>
      <c r="E3969">
        <f t="shared" si="122"/>
        <v>6</v>
      </c>
      <c r="F3969">
        <f t="shared" si="123"/>
        <v>2015</v>
      </c>
    </row>
    <row r="3970" spans="1:6" x14ac:dyDescent="0.2">
      <c r="A3970" s="20">
        <v>42171</v>
      </c>
      <c r="B3970">
        <v>162.5</v>
      </c>
      <c r="E3970">
        <f t="shared" si="122"/>
        <v>6</v>
      </c>
      <c r="F3970">
        <f t="shared" si="123"/>
        <v>2015</v>
      </c>
    </row>
    <row r="3971" spans="1:6" x14ac:dyDescent="0.2">
      <c r="A3971" s="20">
        <v>42172</v>
      </c>
      <c r="B3971">
        <v>163</v>
      </c>
      <c r="E3971">
        <f t="shared" ref="E3971:E4034" si="124">MONTH(A3971)</f>
        <v>6</v>
      </c>
      <c r="F3971">
        <f t="shared" ref="F3971:F4034" si="125">YEAR(A3971)</f>
        <v>2015</v>
      </c>
    </row>
    <row r="3972" spans="1:6" x14ac:dyDescent="0.2">
      <c r="A3972" s="20">
        <v>42173</v>
      </c>
      <c r="B3972">
        <v>162</v>
      </c>
      <c r="E3972">
        <f t="shared" si="124"/>
        <v>6</v>
      </c>
      <c r="F3972">
        <f t="shared" si="125"/>
        <v>2015</v>
      </c>
    </row>
    <row r="3973" spans="1:6" x14ac:dyDescent="0.2">
      <c r="A3973" s="20">
        <v>42174</v>
      </c>
      <c r="B3973">
        <v>161.75</v>
      </c>
      <c r="E3973">
        <f t="shared" si="124"/>
        <v>6</v>
      </c>
      <c r="F3973">
        <f t="shared" si="125"/>
        <v>2015</v>
      </c>
    </row>
    <row r="3974" spans="1:6" x14ac:dyDescent="0.2">
      <c r="A3974" s="20">
        <v>42177</v>
      </c>
      <c r="B3974">
        <v>162.75</v>
      </c>
      <c r="E3974">
        <f t="shared" si="124"/>
        <v>6</v>
      </c>
      <c r="F3974">
        <f t="shared" si="125"/>
        <v>2015</v>
      </c>
    </row>
    <row r="3975" spans="1:6" x14ac:dyDescent="0.2">
      <c r="A3975" s="20">
        <v>42178</v>
      </c>
      <c r="B3975">
        <v>164.25</v>
      </c>
      <c r="E3975">
        <f t="shared" si="124"/>
        <v>6</v>
      </c>
      <c r="F3975">
        <f t="shared" si="125"/>
        <v>2015</v>
      </c>
    </row>
    <row r="3976" spans="1:6" x14ac:dyDescent="0.2">
      <c r="A3976" s="20">
        <v>42179</v>
      </c>
      <c r="B3976">
        <v>167</v>
      </c>
      <c r="E3976">
        <f t="shared" si="124"/>
        <v>6</v>
      </c>
      <c r="F3976">
        <f t="shared" si="125"/>
        <v>2015</v>
      </c>
    </row>
    <row r="3977" spans="1:6" x14ac:dyDescent="0.2">
      <c r="A3977" s="20">
        <v>42180</v>
      </c>
      <c r="B3977">
        <v>169</v>
      </c>
      <c r="E3977">
        <f t="shared" si="124"/>
        <v>6</v>
      </c>
      <c r="F3977">
        <f t="shared" si="125"/>
        <v>2015</v>
      </c>
    </row>
    <row r="3978" spans="1:6" x14ac:dyDescent="0.2">
      <c r="A3978" s="20">
        <v>42181</v>
      </c>
      <c r="B3978">
        <v>173.5</v>
      </c>
      <c r="E3978">
        <f t="shared" si="124"/>
        <v>6</v>
      </c>
      <c r="F3978">
        <f t="shared" si="125"/>
        <v>2015</v>
      </c>
    </row>
    <row r="3979" spans="1:6" x14ac:dyDescent="0.2">
      <c r="A3979" s="20">
        <v>42184</v>
      </c>
      <c r="B3979">
        <v>178.75</v>
      </c>
      <c r="E3979">
        <f t="shared" si="124"/>
        <v>6</v>
      </c>
      <c r="F3979">
        <f t="shared" si="125"/>
        <v>2015</v>
      </c>
    </row>
    <row r="3980" spans="1:6" x14ac:dyDescent="0.2">
      <c r="A3980" s="20">
        <v>42185</v>
      </c>
      <c r="B3980">
        <v>186.75</v>
      </c>
      <c r="E3980">
        <f t="shared" si="124"/>
        <v>6</v>
      </c>
      <c r="F3980">
        <f t="shared" si="125"/>
        <v>2015</v>
      </c>
    </row>
    <row r="3981" spans="1:6" x14ac:dyDescent="0.2">
      <c r="A3981" s="20">
        <v>42186</v>
      </c>
      <c r="B3981">
        <v>189.75</v>
      </c>
      <c r="E3981">
        <f t="shared" si="124"/>
        <v>7</v>
      </c>
      <c r="F3981">
        <f t="shared" si="125"/>
        <v>2015</v>
      </c>
    </row>
    <row r="3982" spans="1:6" x14ac:dyDescent="0.2">
      <c r="A3982" s="20">
        <v>42187</v>
      </c>
      <c r="B3982">
        <v>193.75</v>
      </c>
      <c r="E3982">
        <f t="shared" si="124"/>
        <v>7</v>
      </c>
      <c r="F3982">
        <f t="shared" si="125"/>
        <v>2015</v>
      </c>
    </row>
    <row r="3983" spans="1:6" x14ac:dyDescent="0.2">
      <c r="A3983" s="20">
        <v>42188</v>
      </c>
      <c r="B3983">
        <v>193.75</v>
      </c>
      <c r="E3983">
        <f t="shared" si="124"/>
        <v>7</v>
      </c>
      <c r="F3983">
        <f t="shared" si="125"/>
        <v>2015</v>
      </c>
    </row>
    <row r="3984" spans="1:6" x14ac:dyDescent="0.2">
      <c r="A3984" s="20">
        <v>42191</v>
      </c>
      <c r="B3984">
        <v>191.5</v>
      </c>
      <c r="E3984">
        <f t="shared" si="124"/>
        <v>7</v>
      </c>
      <c r="F3984">
        <f t="shared" si="125"/>
        <v>2015</v>
      </c>
    </row>
    <row r="3985" spans="1:6" x14ac:dyDescent="0.2">
      <c r="A3985" s="20">
        <v>42192</v>
      </c>
      <c r="B3985">
        <v>187</v>
      </c>
      <c r="E3985">
        <f t="shared" si="124"/>
        <v>7</v>
      </c>
      <c r="F3985">
        <f t="shared" si="125"/>
        <v>2015</v>
      </c>
    </row>
    <row r="3986" spans="1:6" x14ac:dyDescent="0.2">
      <c r="A3986" s="20">
        <v>42193</v>
      </c>
      <c r="B3986">
        <v>184.25</v>
      </c>
      <c r="E3986">
        <f t="shared" si="124"/>
        <v>7</v>
      </c>
      <c r="F3986">
        <f t="shared" si="125"/>
        <v>2015</v>
      </c>
    </row>
    <row r="3987" spans="1:6" x14ac:dyDescent="0.2">
      <c r="A3987" s="20">
        <v>42194</v>
      </c>
      <c r="B3987">
        <v>183.75</v>
      </c>
      <c r="E3987">
        <f t="shared" si="124"/>
        <v>7</v>
      </c>
      <c r="F3987">
        <f t="shared" si="125"/>
        <v>2015</v>
      </c>
    </row>
    <row r="3988" spans="1:6" x14ac:dyDescent="0.2">
      <c r="A3988" s="20">
        <v>42195</v>
      </c>
      <c r="B3988">
        <v>184.75</v>
      </c>
      <c r="E3988">
        <f t="shared" si="124"/>
        <v>7</v>
      </c>
      <c r="F3988">
        <f t="shared" si="125"/>
        <v>2015</v>
      </c>
    </row>
    <row r="3989" spans="1:6" x14ac:dyDescent="0.2">
      <c r="A3989" s="20">
        <v>42198</v>
      </c>
      <c r="B3989">
        <v>183.5</v>
      </c>
      <c r="E3989">
        <f t="shared" si="124"/>
        <v>7</v>
      </c>
      <c r="F3989">
        <f t="shared" si="125"/>
        <v>2015</v>
      </c>
    </row>
    <row r="3990" spans="1:6" x14ac:dyDescent="0.2">
      <c r="A3990" s="20">
        <v>42199</v>
      </c>
      <c r="B3990">
        <v>182.75</v>
      </c>
      <c r="E3990">
        <f t="shared" si="124"/>
        <v>7</v>
      </c>
      <c r="F3990">
        <f t="shared" si="125"/>
        <v>2015</v>
      </c>
    </row>
    <row r="3991" spans="1:6" x14ac:dyDescent="0.2">
      <c r="A3991" s="20">
        <v>42200</v>
      </c>
      <c r="B3991">
        <v>178.75</v>
      </c>
      <c r="E3991">
        <f t="shared" si="124"/>
        <v>7</v>
      </c>
      <c r="F3991">
        <f t="shared" si="125"/>
        <v>2015</v>
      </c>
    </row>
    <row r="3992" spans="1:6" x14ac:dyDescent="0.2">
      <c r="A3992" s="20">
        <v>42201</v>
      </c>
      <c r="B3992">
        <v>182.5</v>
      </c>
      <c r="E3992">
        <f t="shared" si="124"/>
        <v>7</v>
      </c>
      <c r="F3992">
        <f t="shared" si="125"/>
        <v>2015</v>
      </c>
    </row>
    <row r="3993" spans="1:6" x14ac:dyDescent="0.2">
      <c r="A3993" s="20">
        <v>42202</v>
      </c>
      <c r="B3993">
        <v>181.25</v>
      </c>
      <c r="E3993">
        <f t="shared" si="124"/>
        <v>7</v>
      </c>
      <c r="F3993">
        <f t="shared" si="125"/>
        <v>2015</v>
      </c>
    </row>
    <row r="3994" spans="1:6" x14ac:dyDescent="0.2">
      <c r="A3994" s="20">
        <v>42205</v>
      </c>
      <c r="B3994">
        <v>179.75</v>
      </c>
      <c r="E3994">
        <f t="shared" si="124"/>
        <v>7</v>
      </c>
      <c r="F3994">
        <f t="shared" si="125"/>
        <v>2015</v>
      </c>
    </row>
    <row r="3995" spans="1:6" x14ac:dyDescent="0.2">
      <c r="A3995" s="20">
        <v>42206</v>
      </c>
      <c r="B3995">
        <v>180.5</v>
      </c>
      <c r="E3995">
        <f t="shared" si="124"/>
        <v>7</v>
      </c>
      <c r="F3995">
        <f t="shared" si="125"/>
        <v>2015</v>
      </c>
    </row>
    <row r="3996" spans="1:6" x14ac:dyDescent="0.2">
      <c r="A3996" s="20">
        <v>42207</v>
      </c>
      <c r="B3996">
        <v>178.75</v>
      </c>
      <c r="E3996">
        <f t="shared" si="124"/>
        <v>7</v>
      </c>
      <c r="F3996">
        <f t="shared" si="125"/>
        <v>2015</v>
      </c>
    </row>
    <row r="3997" spans="1:6" x14ac:dyDescent="0.2">
      <c r="A3997" s="20">
        <v>42208</v>
      </c>
      <c r="B3997">
        <v>179.25</v>
      </c>
      <c r="E3997">
        <f t="shared" si="124"/>
        <v>7</v>
      </c>
      <c r="F3997">
        <f t="shared" si="125"/>
        <v>2015</v>
      </c>
    </row>
    <row r="3998" spans="1:6" x14ac:dyDescent="0.2">
      <c r="A3998" s="20">
        <v>42209</v>
      </c>
      <c r="B3998">
        <v>178.5</v>
      </c>
      <c r="E3998">
        <f t="shared" si="124"/>
        <v>7</v>
      </c>
      <c r="F3998">
        <f t="shared" si="125"/>
        <v>2015</v>
      </c>
    </row>
    <row r="3999" spans="1:6" x14ac:dyDescent="0.2">
      <c r="A3999" s="20">
        <v>42212</v>
      </c>
      <c r="B3999">
        <v>176.75</v>
      </c>
      <c r="E3999">
        <f t="shared" si="124"/>
        <v>7</v>
      </c>
      <c r="F3999">
        <f t="shared" si="125"/>
        <v>2015</v>
      </c>
    </row>
    <row r="4000" spans="1:6" x14ac:dyDescent="0.2">
      <c r="A4000" s="20">
        <v>42213</v>
      </c>
      <c r="B4000">
        <v>176</v>
      </c>
      <c r="E4000">
        <f t="shared" si="124"/>
        <v>7</v>
      </c>
      <c r="F4000">
        <f t="shared" si="125"/>
        <v>2015</v>
      </c>
    </row>
    <row r="4001" spans="1:6" x14ac:dyDescent="0.2">
      <c r="A4001" s="20">
        <v>42214</v>
      </c>
      <c r="B4001">
        <v>173.75</v>
      </c>
      <c r="E4001">
        <f t="shared" si="124"/>
        <v>7</v>
      </c>
      <c r="F4001">
        <f t="shared" si="125"/>
        <v>2015</v>
      </c>
    </row>
    <row r="4002" spans="1:6" x14ac:dyDescent="0.2">
      <c r="A4002" s="20">
        <v>42215</v>
      </c>
      <c r="B4002">
        <v>174</v>
      </c>
      <c r="E4002">
        <f t="shared" si="124"/>
        <v>7</v>
      </c>
      <c r="F4002">
        <f t="shared" si="125"/>
        <v>2015</v>
      </c>
    </row>
    <row r="4003" spans="1:6" x14ac:dyDescent="0.2">
      <c r="A4003" s="20">
        <v>42216</v>
      </c>
      <c r="B4003">
        <v>174.25</v>
      </c>
      <c r="E4003">
        <f t="shared" si="124"/>
        <v>7</v>
      </c>
      <c r="F4003">
        <f t="shared" si="125"/>
        <v>2015</v>
      </c>
    </row>
    <row r="4004" spans="1:6" x14ac:dyDescent="0.2">
      <c r="A4004" s="20">
        <v>42219</v>
      </c>
      <c r="B4004">
        <v>174</v>
      </c>
      <c r="E4004">
        <f t="shared" si="124"/>
        <v>8</v>
      </c>
      <c r="F4004">
        <f t="shared" si="125"/>
        <v>2015</v>
      </c>
    </row>
    <row r="4005" spans="1:6" x14ac:dyDescent="0.2">
      <c r="A4005" s="20">
        <v>42220</v>
      </c>
      <c r="B4005">
        <v>175</v>
      </c>
      <c r="E4005">
        <f t="shared" si="124"/>
        <v>8</v>
      </c>
      <c r="F4005">
        <f t="shared" si="125"/>
        <v>2015</v>
      </c>
    </row>
    <row r="4006" spans="1:6" x14ac:dyDescent="0.2">
      <c r="A4006" s="20">
        <v>42221</v>
      </c>
      <c r="B4006">
        <v>176</v>
      </c>
      <c r="E4006">
        <f t="shared" si="124"/>
        <v>8</v>
      </c>
      <c r="F4006">
        <f t="shared" si="125"/>
        <v>2015</v>
      </c>
    </row>
    <row r="4007" spans="1:6" x14ac:dyDescent="0.2">
      <c r="A4007" s="20">
        <v>42222</v>
      </c>
      <c r="B4007">
        <v>182</v>
      </c>
      <c r="E4007">
        <f t="shared" si="124"/>
        <v>8</v>
      </c>
      <c r="F4007">
        <f t="shared" si="125"/>
        <v>2015</v>
      </c>
    </row>
    <row r="4008" spans="1:6" x14ac:dyDescent="0.2">
      <c r="A4008" s="20">
        <v>42223</v>
      </c>
      <c r="B4008">
        <v>183.5</v>
      </c>
      <c r="E4008">
        <f t="shared" si="124"/>
        <v>8</v>
      </c>
      <c r="F4008">
        <f t="shared" si="125"/>
        <v>2015</v>
      </c>
    </row>
    <row r="4009" spans="1:6" x14ac:dyDescent="0.2">
      <c r="A4009" s="20">
        <v>42226</v>
      </c>
      <c r="B4009">
        <v>188.25</v>
      </c>
      <c r="E4009">
        <f t="shared" si="124"/>
        <v>8</v>
      </c>
      <c r="F4009">
        <f t="shared" si="125"/>
        <v>2015</v>
      </c>
    </row>
    <row r="4010" spans="1:6" x14ac:dyDescent="0.2">
      <c r="A4010" s="20">
        <v>42227</v>
      </c>
      <c r="B4010">
        <v>185</v>
      </c>
      <c r="E4010">
        <f t="shared" si="124"/>
        <v>8</v>
      </c>
      <c r="F4010">
        <f t="shared" si="125"/>
        <v>2015</v>
      </c>
    </row>
    <row r="4011" spans="1:6" x14ac:dyDescent="0.2">
      <c r="A4011" s="20">
        <v>42228</v>
      </c>
      <c r="B4011">
        <v>180.25</v>
      </c>
      <c r="E4011">
        <f t="shared" si="124"/>
        <v>8</v>
      </c>
      <c r="F4011">
        <f t="shared" si="125"/>
        <v>2015</v>
      </c>
    </row>
    <row r="4012" spans="1:6" x14ac:dyDescent="0.2">
      <c r="A4012" s="20">
        <v>42229</v>
      </c>
      <c r="B4012">
        <v>181.25</v>
      </c>
      <c r="E4012">
        <f t="shared" si="124"/>
        <v>8</v>
      </c>
      <c r="F4012">
        <f t="shared" si="125"/>
        <v>2015</v>
      </c>
    </row>
    <row r="4013" spans="1:6" x14ac:dyDescent="0.2">
      <c r="A4013" s="20">
        <v>42230</v>
      </c>
      <c r="B4013">
        <v>178.75</v>
      </c>
      <c r="E4013">
        <f t="shared" si="124"/>
        <v>8</v>
      </c>
      <c r="F4013">
        <f t="shared" si="125"/>
        <v>2015</v>
      </c>
    </row>
    <row r="4014" spans="1:6" x14ac:dyDescent="0.2">
      <c r="A4014" s="20">
        <v>42233</v>
      </c>
      <c r="B4014">
        <v>177.25</v>
      </c>
      <c r="E4014">
        <f t="shared" si="124"/>
        <v>8</v>
      </c>
      <c r="F4014">
        <f t="shared" si="125"/>
        <v>2015</v>
      </c>
    </row>
    <row r="4015" spans="1:6" x14ac:dyDescent="0.2">
      <c r="A4015" s="20">
        <v>42234</v>
      </c>
      <c r="B4015">
        <v>176.25</v>
      </c>
      <c r="E4015">
        <f t="shared" si="124"/>
        <v>8</v>
      </c>
      <c r="F4015">
        <f t="shared" si="125"/>
        <v>2015</v>
      </c>
    </row>
    <row r="4016" spans="1:6" x14ac:dyDescent="0.2">
      <c r="A4016" s="20">
        <v>42235</v>
      </c>
      <c r="B4016">
        <v>175.25</v>
      </c>
      <c r="E4016">
        <f t="shared" si="124"/>
        <v>8</v>
      </c>
      <c r="F4016">
        <f t="shared" si="125"/>
        <v>2015</v>
      </c>
    </row>
    <row r="4017" spans="1:6" x14ac:dyDescent="0.2">
      <c r="A4017" s="20">
        <v>42236</v>
      </c>
      <c r="B4017">
        <v>176</v>
      </c>
      <c r="E4017">
        <f t="shared" si="124"/>
        <v>8</v>
      </c>
      <c r="F4017">
        <f t="shared" si="125"/>
        <v>2015</v>
      </c>
    </row>
    <row r="4018" spans="1:6" x14ac:dyDescent="0.2">
      <c r="A4018" s="20">
        <v>42237</v>
      </c>
      <c r="B4018">
        <v>174.25</v>
      </c>
      <c r="E4018">
        <f t="shared" si="124"/>
        <v>8</v>
      </c>
      <c r="F4018">
        <f t="shared" si="125"/>
        <v>2015</v>
      </c>
    </row>
    <row r="4019" spans="1:6" x14ac:dyDescent="0.2">
      <c r="A4019" s="20">
        <v>42240</v>
      </c>
      <c r="B4019">
        <v>172</v>
      </c>
      <c r="E4019">
        <f t="shared" si="124"/>
        <v>8</v>
      </c>
      <c r="F4019">
        <f t="shared" si="125"/>
        <v>2015</v>
      </c>
    </row>
    <row r="4020" spans="1:6" x14ac:dyDescent="0.2">
      <c r="A4020" s="20">
        <v>42241</v>
      </c>
      <c r="B4020">
        <v>172.25</v>
      </c>
      <c r="E4020">
        <f t="shared" si="124"/>
        <v>8</v>
      </c>
      <c r="F4020">
        <f t="shared" si="125"/>
        <v>2015</v>
      </c>
    </row>
    <row r="4021" spans="1:6" x14ac:dyDescent="0.2">
      <c r="A4021" s="20">
        <v>42242</v>
      </c>
      <c r="B4021">
        <v>171</v>
      </c>
      <c r="E4021">
        <f t="shared" si="124"/>
        <v>8</v>
      </c>
      <c r="F4021">
        <f t="shared" si="125"/>
        <v>2015</v>
      </c>
    </row>
    <row r="4022" spans="1:6" x14ac:dyDescent="0.2">
      <c r="A4022" s="20">
        <v>42243</v>
      </c>
      <c r="B4022">
        <v>169.25</v>
      </c>
      <c r="E4022">
        <f t="shared" si="124"/>
        <v>8</v>
      </c>
      <c r="F4022">
        <f t="shared" si="125"/>
        <v>2015</v>
      </c>
    </row>
    <row r="4023" spans="1:6" x14ac:dyDescent="0.2">
      <c r="A4023" s="20">
        <v>42244</v>
      </c>
      <c r="B4023">
        <v>169</v>
      </c>
      <c r="E4023">
        <f t="shared" si="124"/>
        <v>8</v>
      </c>
      <c r="F4023">
        <f t="shared" si="125"/>
        <v>2015</v>
      </c>
    </row>
    <row r="4024" spans="1:6" x14ac:dyDescent="0.2">
      <c r="A4024" s="20">
        <v>42247</v>
      </c>
      <c r="B4024">
        <v>168.5</v>
      </c>
      <c r="E4024">
        <f t="shared" si="124"/>
        <v>8</v>
      </c>
      <c r="F4024">
        <f t="shared" si="125"/>
        <v>2015</v>
      </c>
    </row>
    <row r="4025" spans="1:6" x14ac:dyDescent="0.2">
      <c r="A4025" s="20">
        <v>42248</v>
      </c>
      <c r="B4025">
        <v>166.25</v>
      </c>
      <c r="E4025">
        <f t="shared" si="124"/>
        <v>9</v>
      </c>
      <c r="F4025">
        <f t="shared" si="125"/>
        <v>2015</v>
      </c>
    </row>
    <row r="4026" spans="1:6" x14ac:dyDescent="0.2">
      <c r="A4026" s="20">
        <v>42249</v>
      </c>
      <c r="B4026">
        <v>163.25</v>
      </c>
      <c r="E4026">
        <f t="shared" si="124"/>
        <v>9</v>
      </c>
      <c r="F4026">
        <f t="shared" si="125"/>
        <v>2015</v>
      </c>
    </row>
    <row r="4027" spans="1:6" x14ac:dyDescent="0.2">
      <c r="A4027" s="20">
        <v>42250</v>
      </c>
      <c r="B4027">
        <v>162.25</v>
      </c>
      <c r="E4027">
        <f t="shared" si="124"/>
        <v>9</v>
      </c>
      <c r="F4027">
        <f t="shared" si="125"/>
        <v>2015</v>
      </c>
    </row>
    <row r="4028" spans="1:6" x14ac:dyDescent="0.2">
      <c r="A4028" s="20">
        <v>42251</v>
      </c>
      <c r="B4028">
        <v>161.5</v>
      </c>
      <c r="E4028">
        <f t="shared" si="124"/>
        <v>9</v>
      </c>
      <c r="F4028">
        <f t="shared" si="125"/>
        <v>2015</v>
      </c>
    </row>
    <row r="4029" spans="1:6" x14ac:dyDescent="0.2">
      <c r="A4029" s="20">
        <v>42254</v>
      </c>
      <c r="B4029">
        <v>162.75</v>
      </c>
      <c r="E4029">
        <f t="shared" si="124"/>
        <v>9</v>
      </c>
      <c r="F4029">
        <f t="shared" si="125"/>
        <v>2015</v>
      </c>
    </row>
    <row r="4030" spans="1:6" x14ac:dyDescent="0.2">
      <c r="A4030" s="20">
        <v>42255</v>
      </c>
      <c r="B4030">
        <v>165.75</v>
      </c>
      <c r="E4030">
        <f t="shared" si="124"/>
        <v>9</v>
      </c>
      <c r="F4030">
        <f t="shared" si="125"/>
        <v>2015</v>
      </c>
    </row>
    <row r="4031" spans="1:6" x14ac:dyDescent="0.2">
      <c r="A4031" s="20">
        <v>42256</v>
      </c>
      <c r="B4031">
        <v>165</v>
      </c>
      <c r="E4031">
        <f t="shared" si="124"/>
        <v>9</v>
      </c>
      <c r="F4031">
        <f t="shared" si="125"/>
        <v>2015</v>
      </c>
    </row>
    <row r="4032" spans="1:6" x14ac:dyDescent="0.2">
      <c r="A4032" s="20">
        <v>42257</v>
      </c>
      <c r="B4032">
        <v>164</v>
      </c>
      <c r="E4032">
        <f t="shared" si="124"/>
        <v>9</v>
      </c>
      <c r="F4032">
        <f t="shared" si="125"/>
        <v>2015</v>
      </c>
    </row>
    <row r="4033" spans="1:6" x14ac:dyDescent="0.2">
      <c r="A4033" s="20">
        <v>42258</v>
      </c>
      <c r="B4033">
        <v>165</v>
      </c>
      <c r="E4033">
        <f t="shared" si="124"/>
        <v>9</v>
      </c>
      <c r="F4033">
        <f t="shared" si="125"/>
        <v>2015</v>
      </c>
    </row>
    <row r="4034" spans="1:6" x14ac:dyDescent="0.2">
      <c r="A4034" s="20">
        <v>42261</v>
      </c>
      <c r="B4034">
        <v>167.75</v>
      </c>
      <c r="E4034">
        <f t="shared" si="124"/>
        <v>9</v>
      </c>
      <c r="F4034">
        <f t="shared" si="125"/>
        <v>2015</v>
      </c>
    </row>
    <row r="4035" spans="1:6" x14ac:dyDescent="0.2">
      <c r="A4035" s="20">
        <v>42262</v>
      </c>
      <c r="B4035">
        <v>167.25</v>
      </c>
      <c r="E4035">
        <f t="shared" ref="E4035:E4098" si="126">MONTH(A4035)</f>
        <v>9</v>
      </c>
      <c r="F4035">
        <f t="shared" ref="F4035:F4098" si="127">YEAR(A4035)</f>
        <v>2015</v>
      </c>
    </row>
    <row r="4036" spans="1:6" x14ac:dyDescent="0.2">
      <c r="A4036" s="20">
        <v>42263</v>
      </c>
      <c r="B4036">
        <v>164.75</v>
      </c>
      <c r="E4036">
        <f t="shared" si="126"/>
        <v>9</v>
      </c>
      <c r="F4036">
        <f t="shared" si="127"/>
        <v>2015</v>
      </c>
    </row>
    <row r="4037" spans="1:6" x14ac:dyDescent="0.2">
      <c r="A4037" s="20">
        <v>42264</v>
      </c>
      <c r="B4037">
        <v>162.5</v>
      </c>
      <c r="E4037">
        <f t="shared" si="126"/>
        <v>9</v>
      </c>
      <c r="F4037">
        <f t="shared" si="127"/>
        <v>2015</v>
      </c>
    </row>
    <row r="4038" spans="1:6" x14ac:dyDescent="0.2">
      <c r="A4038" s="20">
        <v>42265</v>
      </c>
      <c r="B4038">
        <v>161.75</v>
      </c>
      <c r="E4038">
        <f t="shared" si="126"/>
        <v>9</v>
      </c>
      <c r="F4038">
        <f t="shared" si="127"/>
        <v>2015</v>
      </c>
    </row>
    <row r="4039" spans="1:6" x14ac:dyDescent="0.2">
      <c r="A4039" s="20">
        <v>42268</v>
      </c>
      <c r="B4039">
        <v>162</v>
      </c>
      <c r="E4039">
        <f t="shared" si="126"/>
        <v>9</v>
      </c>
      <c r="F4039">
        <f t="shared" si="127"/>
        <v>2015</v>
      </c>
    </row>
    <row r="4040" spans="1:6" x14ac:dyDescent="0.2">
      <c r="A4040" s="20">
        <v>42269</v>
      </c>
      <c r="B4040">
        <v>161.25</v>
      </c>
      <c r="E4040">
        <f t="shared" si="126"/>
        <v>9</v>
      </c>
      <c r="F4040">
        <f t="shared" si="127"/>
        <v>2015</v>
      </c>
    </row>
    <row r="4041" spans="1:6" x14ac:dyDescent="0.2">
      <c r="A4041" s="20">
        <v>42270</v>
      </c>
      <c r="B4041">
        <v>162.5</v>
      </c>
      <c r="E4041">
        <f t="shared" si="126"/>
        <v>9</v>
      </c>
      <c r="F4041">
        <f t="shared" si="127"/>
        <v>2015</v>
      </c>
    </row>
    <row r="4042" spans="1:6" x14ac:dyDescent="0.2">
      <c r="A4042" s="20">
        <v>42271</v>
      </c>
      <c r="B4042">
        <v>163.25</v>
      </c>
      <c r="E4042">
        <f t="shared" si="126"/>
        <v>9</v>
      </c>
      <c r="F4042">
        <f t="shared" si="127"/>
        <v>2015</v>
      </c>
    </row>
    <row r="4043" spans="1:6" x14ac:dyDescent="0.2">
      <c r="A4043" s="20">
        <v>42272</v>
      </c>
      <c r="B4043">
        <v>165.25</v>
      </c>
      <c r="E4043">
        <f t="shared" si="126"/>
        <v>9</v>
      </c>
      <c r="F4043">
        <f t="shared" si="127"/>
        <v>2015</v>
      </c>
    </row>
    <row r="4044" spans="1:6" x14ac:dyDescent="0.2">
      <c r="A4044" s="20">
        <v>42275</v>
      </c>
      <c r="B4044">
        <v>163.5</v>
      </c>
      <c r="E4044">
        <f t="shared" si="126"/>
        <v>9</v>
      </c>
      <c r="F4044">
        <f t="shared" si="127"/>
        <v>2015</v>
      </c>
    </row>
    <row r="4045" spans="1:6" x14ac:dyDescent="0.2">
      <c r="A4045" s="20">
        <v>42276</v>
      </c>
      <c r="B4045">
        <v>162.5</v>
      </c>
      <c r="E4045">
        <f t="shared" si="126"/>
        <v>9</v>
      </c>
      <c r="F4045">
        <f t="shared" si="127"/>
        <v>2015</v>
      </c>
    </row>
    <row r="4046" spans="1:6" x14ac:dyDescent="0.2">
      <c r="A4046" s="20">
        <v>42277</v>
      </c>
      <c r="B4046">
        <v>161.25</v>
      </c>
      <c r="E4046">
        <f t="shared" si="126"/>
        <v>9</v>
      </c>
      <c r="F4046">
        <f t="shared" si="127"/>
        <v>2015</v>
      </c>
    </row>
    <row r="4047" spans="1:6" x14ac:dyDescent="0.2">
      <c r="A4047" s="20">
        <v>42278</v>
      </c>
      <c r="B4047">
        <v>161.75</v>
      </c>
      <c r="E4047">
        <f t="shared" si="126"/>
        <v>10</v>
      </c>
      <c r="F4047">
        <f t="shared" si="127"/>
        <v>2015</v>
      </c>
    </row>
    <row r="4048" spans="1:6" x14ac:dyDescent="0.2">
      <c r="A4048" s="20">
        <v>42279</v>
      </c>
      <c r="B4048">
        <v>162</v>
      </c>
      <c r="E4048">
        <f t="shared" si="126"/>
        <v>10</v>
      </c>
      <c r="F4048">
        <f t="shared" si="127"/>
        <v>2015</v>
      </c>
    </row>
    <row r="4049" spans="1:6" x14ac:dyDescent="0.2">
      <c r="A4049" s="20">
        <v>42282</v>
      </c>
      <c r="B4049">
        <v>163.75</v>
      </c>
      <c r="E4049">
        <f t="shared" si="126"/>
        <v>10</v>
      </c>
      <c r="F4049">
        <f t="shared" si="127"/>
        <v>2015</v>
      </c>
    </row>
    <row r="4050" spans="1:6" x14ac:dyDescent="0.2">
      <c r="A4050" s="20">
        <v>42283</v>
      </c>
      <c r="B4050">
        <v>166</v>
      </c>
      <c r="E4050">
        <f t="shared" si="126"/>
        <v>10</v>
      </c>
      <c r="F4050">
        <f t="shared" si="127"/>
        <v>2015</v>
      </c>
    </row>
    <row r="4051" spans="1:6" x14ac:dyDescent="0.2">
      <c r="A4051" s="20">
        <v>42284</v>
      </c>
      <c r="B4051">
        <v>165.75</v>
      </c>
      <c r="E4051">
        <f t="shared" si="126"/>
        <v>10</v>
      </c>
      <c r="F4051">
        <f t="shared" si="127"/>
        <v>2015</v>
      </c>
    </row>
    <row r="4052" spans="1:6" x14ac:dyDescent="0.2">
      <c r="A4052" s="20">
        <v>42285</v>
      </c>
      <c r="B4052">
        <v>165.5</v>
      </c>
      <c r="E4052">
        <f t="shared" si="126"/>
        <v>10</v>
      </c>
      <c r="F4052">
        <f t="shared" si="127"/>
        <v>2015</v>
      </c>
    </row>
    <row r="4053" spans="1:6" x14ac:dyDescent="0.2">
      <c r="A4053" s="20">
        <v>42286</v>
      </c>
      <c r="B4053">
        <v>166.75</v>
      </c>
      <c r="E4053">
        <f t="shared" si="126"/>
        <v>10</v>
      </c>
      <c r="F4053">
        <f t="shared" si="127"/>
        <v>2015</v>
      </c>
    </row>
    <row r="4054" spans="1:6" x14ac:dyDescent="0.2">
      <c r="A4054" s="20">
        <v>42289</v>
      </c>
      <c r="B4054">
        <v>165.75</v>
      </c>
      <c r="E4054">
        <f t="shared" si="126"/>
        <v>10</v>
      </c>
      <c r="F4054">
        <f t="shared" si="127"/>
        <v>2015</v>
      </c>
    </row>
    <row r="4055" spans="1:6" x14ac:dyDescent="0.2">
      <c r="A4055" s="20">
        <v>42290</v>
      </c>
      <c r="B4055">
        <v>164.5</v>
      </c>
      <c r="E4055">
        <f t="shared" si="126"/>
        <v>10</v>
      </c>
      <c r="F4055">
        <f t="shared" si="127"/>
        <v>2015</v>
      </c>
    </row>
    <row r="4056" spans="1:6" x14ac:dyDescent="0.2">
      <c r="A4056" s="20">
        <v>42291</v>
      </c>
      <c r="B4056">
        <v>163.5</v>
      </c>
      <c r="E4056">
        <f t="shared" si="126"/>
        <v>10</v>
      </c>
      <c r="F4056">
        <f t="shared" si="127"/>
        <v>2015</v>
      </c>
    </row>
    <row r="4057" spans="1:6" x14ac:dyDescent="0.2">
      <c r="A4057" s="20">
        <v>42292</v>
      </c>
      <c r="B4057">
        <v>161.25</v>
      </c>
      <c r="E4057">
        <f t="shared" si="126"/>
        <v>10</v>
      </c>
      <c r="F4057">
        <f t="shared" si="127"/>
        <v>2015</v>
      </c>
    </row>
    <row r="4058" spans="1:6" x14ac:dyDescent="0.2">
      <c r="A4058" s="20">
        <v>42293</v>
      </c>
      <c r="B4058">
        <v>161.25</v>
      </c>
      <c r="E4058">
        <f t="shared" si="126"/>
        <v>10</v>
      </c>
      <c r="F4058">
        <f t="shared" si="127"/>
        <v>2015</v>
      </c>
    </row>
    <row r="4059" spans="1:6" x14ac:dyDescent="0.2">
      <c r="A4059" s="20">
        <v>42296</v>
      </c>
      <c r="B4059">
        <v>158.5</v>
      </c>
      <c r="E4059">
        <f t="shared" si="126"/>
        <v>10</v>
      </c>
      <c r="F4059">
        <f t="shared" si="127"/>
        <v>2015</v>
      </c>
    </row>
    <row r="4060" spans="1:6" x14ac:dyDescent="0.2">
      <c r="A4060" s="20">
        <v>42297</v>
      </c>
      <c r="B4060">
        <v>160.75</v>
      </c>
      <c r="E4060">
        <f t="shared" si="126"/>
        <v>10</v>
      </c>
      <c r="F4060">
        <f t="shared" si="127"/>
        <v>2015</v>
      </c>
    </row>
    <row r="4061" spans="1:6" x14ac:dyDescent="0.2">
      <c r="A4061" s="20">
        <v>42298</v>
      </c>
      <c r="B4061">
        <v>163.5</v>
      </c>
      <c r="E4061">
        <f t="shared" si="126"/>
        <v>10</v>
      </c>
      <c r="F4061">
        <f t="shared" si="127"/>
        <v>2015</v>
      </c>
    </row>
    <row r="4062" spans="1:6" x14ac:dyDescent="0.2">
      <c r="A4062" s="20">
        <v>42299</v>
      </c>
      <c r="B4062">
        <v>164</v>
      </c>
      <c r="E4062">
        <f t="shared" si="126"/>
        <v>10</v>
      </c>
      <c r="F4062">
        <f t="shared" si="127"/>
        <v>2015</v>
      </c>
    </row>
    <row r="4063" spans="1:6" x14ac:dyDescent="0.2">
      <c r="A4063" s="20">
        <v>42300</v>
      </c>
      <c r="B4063">
        <v>165</v>
      </c>
      <c r="E4063">
        <f t="shared" si="126"/>
        <v>10</v>
      </c>
      <c r="F4063">
        <f t="shared" si="127"/>
        <v>2015</v>
      </c>
    </row>
    <row r="4064" spans="1:6" x14ac:dyDescent="0.2">
      <c r="A4064" s="20">
        <v>42303</v>
      </c>
      <c r="B4064">
        <v>166</v>
      </c>
      <c r="E4064">
        <f t="shared" si="126"/>
        <v>10</v>
      </c>
      <c r="F4064">
        <f t="shared" si="127"/>
        <v>2015</v>
      </c>
    </row>
    <row r="4065" spans="1:6" x14ac:dyDescent="0.2">
      <c r="A4065" s="20">
        <v>42304</v>
      </c>
      <c r="B4065">
        <v>164.75</v>
      </c>
      <c r="E4065">
        <f t="shared" si="126"/>
        <v>10</v>
      </c>
      <c r="F4065">
        <f t="shared" si="127"/>
        <v>2015</v>
      </c>
    </row>
    <row r="4066" spans="1:6" x14ac:dyDescent="0.2">
      <c r="A4066" s="20">
        <v>42305</v>
      </c>
      <c r="B4066">
        <v>165</v>
      </c>
      <c r="E4066">
        <f t="shared" si="126"/>
        <v>10</v>
      </c>
      <c r="F4066">
        <f t="shared" si="127"/>
        <v>2015</v>
      </c>
    </row>
    <row r="4067" spans="1:6" x14ac:dyDescent="0.2">
      <c r="A4067" s="20">
        <v>42306</v>
      </c>
      <c r="B4067">
        <v>166.5</v>
      </c>
      <c r="E4067">
        <f t="shared" si="126"/>
        <v>10</v>
      </c>
      <c r="F4067">
        <f t="shared" si="127"/>
        <v>2015</v>
      </c>
    </row>
    <row r="4068" spans="1:6" x14ac:dyDescent="0.2">
      <c r="A4068" s="20">
        <v>42307</v>
      </c>
      <c r="B4068">
        <v>165</v>
      </c>
      <c r="E4068">
        <f t="shared" si="126"/>
        <v>10</v>
      </c>
      <c r="F4068">
        <f t="shared" si="127"/>
        <v>2015</v>
      </c>
    </row>
    <row r="4069" spans="1:6" x14ac:dyDescent="0.2">
      <c r="A4069" s="20">
        <v>42310</v>
      </c>
      <c r="B4069">
        <v>161.25</v>
      </c>
      <c r="E4069">
        <f t="shared" si="126"/>
        <v>11</v>
      </c>
      <c r="F4069">
        <f t="shared" si="127"/>
        <v>2015</v>
      </c>
    </row>
    <row r="4070" spans="1:6" x14ac:dyDescent="0.2">
      <c r="A4070" s="20">
        <v>42311</v>
      </c>
      <c r="B4070">
        <v>160.75</v>
      </c>
      <c r="E4070">
        <f t="shared" si="126"/>
        <v>11</v>
      </c>
      <c r="F4070">
        <f t="shared" si="127"/>
        <v>2015</v>
      </c>
    </row>
    <row r="4071" spans="1:6" x14ac:dyDescent="0.2">
      <c r="A4071" s="20">
        <v>42312</v>
      </c>
      <c r="B4071">
        <v>162.25</v>
      </c>
      <c r="E4071">
        <f t="shared" si="126"/>
        <v>11</v>
      </c>
      <c r="F4071">
        <f t="shared" si="127"/>
        <v>2015</v>
      </c>
    </row>
    <row r="4072" spans="1:6" x14ac:dyDescent="0.2">
      <c r="A4072" s="20">
        <v>42313</v>
      </c>
      <c r="B4072">
        <v>161</v>
      </c>
      <c r="E4072">
        <f t="shared" si="126"/>
        <v>11</v>
      </c>
      <c r="F4072">
        <f t="shared" si="127"/>
        <v>2015</v>
      </c>
    </row>
    <row r="4073" spans="1:6" x14ac:dyDescent="0.2">
      <c r="A4073" s="20">
        <v>42314</v>
      </c>
      <c r="B4073">
        <v>175.75</v>
      </c>
      <c r="E4073">
        <f t="shared" si="126"/>
        <v>11</v>
      </c>
      <c r="F4073">
        <f t="shared" si="127"/>
        <v>2015</v>
      </c>
    </row>
    <row r="4074" spans="1:6" x14ac:dyDescent="0.2">
      <c r="A4074" s="20">
        <v>42317</v>
      </c>
      <c r="B4074">
        <v>174</v>
      </c>
      <c r="E4074">
        <f t="shared" si="126"/>
        <v>11</v>
      </c>
      <c r="F4074">
        <f t="shared" si="127"/>
        <v>2015</v>
      </c>
    </row>
    <row r="4075" spans="1:6" x14ac:dyDescent="0.2">
      <c r="A4075" s="20">
        <v>42318</v>
      </c>
      <c r="B4075">
        <v>173.25</v>
      </c>
      <c r="E4075">
        <f t="shared" si="126"/>
        <v>11</v>
      </c>
      <c r="F4075">
        <f t="shared" si="127"/>
        <v>2015</v>
      </c>
    </row>
    <row r="4076" spans="1:6" x14ac:dyDescent="0.2">
      <c r="A4076" s="20">
        <v>42319</v>
      </c>
      <c r="B4076">
        <v>173</v>
      </c>
      <c r="E4076">
        <f t="shared" si="126"/>
        <v>11</v>
      </c>
      <c r="F4076">
        <f t="shared" si="127"/>
        <v>2015</v>
      </c>
    </row>
    <row r="4077" spans="1:6" x14ac:dyDescent="0.2">
      <c r="A4077" s="20">
        <v>42320</v>
      </c>
      <c r="B4077">
        <v>172.25</v>
      </c>
      <c r="E4077">
        <f t="shared" si="126"/>
        <v>11</v>
      </c>
      <c r="F4077">
        <f t="shared" si="127"/>
        <v>2015</v>
      </c>
    </row>
    <row r="4078" spans="1:6" x14ac:dyDescent="0.2">
      <c r="A4078" s="20">
        <v>42321</v>
      </c>
      <c r="B4078">
        <v>171</v>
      </c>
      <c r="E4078">
        <f t="shared" si="126"/>
        <v>11</v>
      </c>
      <c r="F4078">
        <f t="shared" si="127"/>
        <v>2015</v>
      </c>
    </row>
    <row r="4079" spans="1:6" x14ac:dyDescent="0.2">
      <c r="A4079" s="20">
        <v>42324</v>
      </c>
      <c r="B4079">
        <v>173</v>
      </c>
      <c r="E4079">
        <f t="shared" si="126"/>
        <v>11</v>
      </c>
      <c r="F4079">
        <f t="shared" si="127"/>
        <v>2015</v>
      </c>
    </row>
    <row r="4080" spans="1:6" x14ac:dyDescent="0.2">
      <c r="A4080" s="20">
        <v>42325</v>
      </c>
      <c r="B4080">
        <v>173</v>
      </c>
      <c r="E4080">
        <f t="shared" si="126"/>
        <v>11</v>
      </c>
      <c r="F4080">
        <f t="shared" si="127"/>
        <v>2015</v>
      </c>
    </row>
    <row r="4081" spans="1:6" x14ac:dyDescent="0.2">
      <c r="A4081" s="20">
        <v>42326</v>
      </c>
      <c r="B4081">
        <v>172.5</v>
      </c>
      <c r="E4081">
        <f t="shared" si="126"/>
        <v>11</v>
      </c>
      <c r="F4081">
        <f t="shared" si="127"/>
        <v>2015</v>
      </c>
    </row>
    <row r="4082" spans="1:6" x14ac:dyDescent="0.2">
      <c r="A4082" s="20">
        <v>42327</v>
      </c>
      <c r="B4082">
        <v>173.75</v>
      </c>
      <c r="E4082">
        <f t="shared" si="126"/>
        <v>11</v>
      </c>
      <c r="F4082">
        <f t="shared" si="127"/>
        <v>2015</v>
      </c>
    </row>
    <row r="4083" spans="1:6" x14ac:dyDescent="0.2">
      <c r="A4083" s="20">
        <v>42328</v>
      </c>
      <c r="B4083">
        <v>172.5</v>
      </c>
      <c r="E4083">
        <f t="shared" si="126"/>
        <v>11</v>
      </c>
      <c r="F4083">
        <f t="shared" si="127"/>
        <v>2015</v>
      </c>
    </row>
    <row r="4084" spans="1:6" x14ac:dyDescent="0.2">
      <c r="A4084" s="20">
        <v>42331</v>
      </c>
      <c r="B4084">
        <v>172.5</v>
      </c>
      <c r="E4084">
        <f t="shared" si="126"/>
        <v>11</v>
      </c>
      <c r="F4084">
        <f t="shared" si="127"/>
        <v>2015</v>
      </c>
    </row>
    <row r="4085" spans="1:6" x14ac:dyDescent="0.2">
      <c r="A4085" s="20">
        <v>42332</v>
      </c>
      <c r="B4085">
        <v>172.25</v>
      </c>
      <c r="E4085">
        <f t="shared" si="126"/>
        <v>11</v>
      </c>
      <c r="F4085">
        <f t="shared" si="127"/>
        <v>2015</v>
      </c>
    </row>
    <row r="4086" spans="1:6" x14ac:dyDescent="0.2">
      <c r="A4086" s="20">
        <v>42333</v>
      </c>
      <c r="B4086">
        <v>172.25</v>
      </c>
      <c r="E4086">
        <f t="shared" si="126"/>
        <v>11</v>
      </c>
      <c r="F4086">
        <f t="shared" si="127"/>
        <v>2015</v>
      </c>
    </row>
    <row r="4087" spans="1:6" x14ac:dyDescent="0.2">
      <c r="A4087" s="20">
        <v>42334</v>
      </c>
      <c r="B4087">
        <v>171.5</v>
      </c>
      <c r="E4087">
        <f t="shared" si="126"/>
        <v>11</v>
      </c>
      <c r="F4087">
        <f t="shared" si="127"/>
        <v>2015</v>
      </c>
    </row>
    <row r="4088" spans="1:6" x14ac:dyDescent="0.2">
      <c r="A4088" s="20">
        <v>42335</v>
      </c>
      <c r="B4088">
        <v>170.75</v>
      </c>
      <c r="E4088">
        <f t="shared" si="126"/>
        <v>11</v>
      </c>
      <c r="F4088">
        <f t="shared" si="127"/>
        <v>2015</v>
      </c>
    </row>
    <row r="4089" spans="1:6" x14ac:dyDescent="0.2">
      <c r="A4089" s="20">
        <v>42338</v>
      </c>
      <c r="B4089">
        <v>170.25</v>
      </c>
      <c r="E4089">
        <f t="shared" si="126"/>
        <v>11</v>
      </c>
      <c r="F4089">
        <f t="shared" si="127"/>
        <v>2015</v>
      </c>
    </row>
    <row r="4090" spans="1:6" x14ac:dyDescent="0.2">
      <c r="A4090" s="20">
        <v>42339</v>
      </c>
      <c r="B4090">
        <v>170</v>
      </c>
      <c r="E4090">
        <f t="shared" si="126"/>
        <v>12</v>
      </c>
      <c r="F4090">
        <f t="shared" si="127"/>
        <v>2015</v>
      </c>
    </row>
    <row r="4091" spans="1:6" x14ac:dyDescent="0.2">
      <c r="A4091" s="20">
        <v>42340</v>
      </c>
      <c r="B4091">
        <v>169.5</v>
      </c>
      <c r="E4091">
        <f t="shared" si="126"/>
        <v>12</v>
      </c>
      <c r="F4091">
        <f t="shared" si="127"/>
        <v>2015</v>
      </c>
    </row>
    <row r="4092" spans="1:6" x14ac:dyDescent="0.2">
      <c r="A4092" s="20">
        <v>42341</v>
      </c>
      <c r="B4092">
        <v>170.25</v>
      </c>
      <c r="E4092">
        <f t="shared" si="126"/>
        <v>12</v>
      </c>
      <c r="F4092">
        <f t="shared" si="127"/>
        <v>2015</v>
      </c>
    </row>
    <row r="4093" spans="1:6" x14ac:dyDescent="0.2">
      <c r="A4093" s="20">
        <v>42342</v>
      </c>
      <c r="B4093">
        <v>170.25</v>
      </c>
      <c r="E4093">
        <f t="shared" si="126"/>
        <v>12</v>
      </c>
      <c r="F4093">
        <f t="shared" si="127"/>
        <v>2015</v>
      </c>
    </row>
    <row r="4094" spans="1:6" x14ac:dyDescent="0.2">
      <c r="A4094" s="20">
        <v>42345</v>
      </c>
      <c r="B4094">
        <v>170.25</v>
      </c>
      <c r="E4094">
        <f t="shared" si="126"/>
        <v>12</v>
      </c>
      <c r="F4094">
        <f t="shared" si="127"/>
        <v>2015</v>
      </c>
    </row>
    <row r="4095" spans="1:6" x14ac:dyDescent="0.2">
      <c r="A4095" s="20">
        <v>42346</v>
      </c>
      <c r="B4095">
        <v>168.5</v>
      </c>
      <c r="E4095">
        <f t="shared" si="126"/>
        <v>12</v>
      </c>
      <c r="F4095">
        <f t="shared" si="127"/>
        <v>2015</v>
      </c>
    </row>
    <row r="4096" spans="1:6" x14ac:dyDescent="0.2">
      <c r="A4096" s="20">
        <v>42347</v>
      </c>
      <c r="B4096">
        <v>169.75</v>
      </c>
      <c r="E4096">
        <f t="shared" si="126"/>
        <v>12</v>
      </c>
      <c r="F4096">
        <f t="shared" si="127"/>
        <v>2015</v>
      </c>
    </row>
    <row r="4097" spans="1:6" x14ac:dyDescent="0.2">
      <c r="A4097" s="20">
        <v>42348</v>
      </c>
      <c r="B4097">
        <v>170.25</v>
      </c>
      <c r="E4097">
        <f t="shared" si="126"/>
        <v>12</v>
      </c>
      <c r="F4097">
        <f t="shared" si="127"/>
        <v>2015</v>
      </c>
    </row>
    <row r="4098" spans="1:6" x14ac:dyDescent="0.2">
      <c r="A4098" s="20">
        <v>42349</v>
      </c>
      <c r="B4098">
        <v>169.25</v>
      </c>
      <c r="E4098">
        <f t="shared" si="126"/>
        <v>12</v>
      </c>
      <c r="F4098">
        <f t="shared" si="127"/>
        <v>2015</v>
      </c>
    </row>
    <row r="4099" spans="1:6" x14ac:dyDescent="0.2">
      <c r="A4099" s="20">
        <v>42352</v>
      </c>
      <c r="B4099">
        <v>168.5</v>
      </c>
      <c r="E4099">
        <f t="shared" ref="E4099:E4162" si="128">MONTH(A4099)</f>
        <v>12</v>
      </c>
      <c r="F4099">
        <f t="shared" ref="F4099:F4162" si="129">YEAR(A4099)</f>
        <v>2015</v>
      </c>
    </row>
    <row r="4100" spans="1:6" x14ac:dyDescent="0.2">
      <c r="A4100" s="20">
        <v>42353</v>
      </c>
      <c r="B4100">
        <v>166.75</v>
      </c>
      <c r="E4100">
        <f t="shared" si="128"/>
        <v>12</v>
      </c>
      <c r="F4100">
        <f t="shared" si="129"/>
        <v>2015</v>
      </c>
    </row>
    <row r="4101" spans="1:6" x14ac:dyDescent="0.2">
      <c r="A4101" s="20">
        <v>42354</v>
      </c>
      <c r="B4101">
        <v>166.25</v>
      </c>
      <c r="E4101">
        <f t="shared" si="128"/>
        <v>12</v>
      </c>
      <c r="F4101">
        <f t="shared" si="129"/>
        <v>2015</v>
      </c>
    </row>
    <row r="4102" spans="1:6" x14ac:dyDescent="0.2">
      <c r="A4102" s="20">
        <v>42355</v>
      </c>
      <c r="B4102">
        <v>166.75</v>
      </c>
      <c r="E4102">
        <f t="shared" si="128"/>
        <v>12</v>
      </c>
      <c r="F4102">
        <f t="shared" si="129"/>
        <v>2015</v>
      </c>
    </row>
    <row r="4103" spans="1:6" x14ac:dyDescent="0.2">
      <c r="A4103" s="20">
        <v>42356</v>
      </c>
      <c r="B4103">
        <v>168</v>
      </c>
      <c r="E4103">
        <f t="shared" si="128"/>
        <v>12</v>
      </c>
      <c r="F4103">
        <f t="shared" si="129"/>
        <v>2015</v>
      </c>
    </row>
    <row r="4104" spans="1:6" x14ac:dyDescent="0.2">
      <c r="A4104" s="20">
        <v>42359</v>
      </c>
      <c r="B4104">
        <v>167.75</v>
      </c>
      <c r="E4104">
        <f t="shared" si="128"/>
        <v>12</v>
      </c>
      <c r="F4104">
        <f t="shared" si="129"/>
        <v>2015</v>
      </c>
    </row>
    <row r="4105" spans="1:6" x14ac:dyDescent="0.2">
      <c r="A4105" s="20">
        <v>42360</v>
      </c>
      <c r="B4105">
        <v>166</v>
      </c>
      <c r="E4105">
        <f t="shared" si="128"/>
        <v>12</v>
      </c>
      <c r="F4105">
        <f t="shared" si="129"/>
        <v>2015</v>
      </c>
    </row>
    <row r="4106" spans="1:6" x14ac:dyDescent="0.2">
      <c r="A4106" s="20">
        <v>42361</v>
      </c>
      <c r="B4106">
        <v>164</v>
      </c>
      <c r="E4106">
        <f t="shared" si="128"/>
        <v>12</v>
      </c>
      <c r="F4106">
        <f t="shared" si="129"/>
        <v>2015</v>
      </c>
    </row>
    <row r="4107" spans="1:6" x14ac:dyDescent="0.2">
      <c r="A4107" s="20">
        <v>42362</v>
      </c>
      <c r="B4107">
        <v>163.5</v>
      </c>
      <c r="E4107">
        <f t="shared" si="128"/>
        <v>12</v>
      </c>
      <c r="F4107">
        <f t="shared" si="129"/>
        <v>2015</v>
      </c>
    </row>
    <row r="4108" spans="1:6" x14ac:dyDescent="0.2">
      <c r="A4108" s="20">
        <v>42366</v>
      </c>
      <c r="B4108">
        <v>163.5</v>
      </c>
      <c r="E4108">
        <f t="shared" si="128"/>
        <v>12</v>
      </c>
      <c r="F4108">
        <f t="shared" si="129"/>
        <v>2015</v>
      </c>
    </row>
    <row r="4109" spans="1:6" x14ac:dyDescent="0.2">
      <c r="A4109" s="20">
        <v>42367</v>
      </c>
      <c r="B4109">
        <v>163.75</v>
      </c>
      <c r="E4109">
        <f t="shared" si="128"/>
        <v>12</v>
      </c>
      <c r="F4109">
        <f t="shared" si="129"/>
        <v>2015</v>
      </c>
    </row>
    <row r="4110" spans="1:6" x14ac:dyDescent="0.2">
      <c r="A4110" s="20">
        <v>42368</v>
      </c>
      <c r="B4110">
        <v>164.5</v>
      </c>
      <c r="E4110">
        <f t="shared" si="128"/>
        <v>12</v>
      </c>
      <c r="F4110">
        <f t="shared" si="129"/>
        <v>2015</v>
      </c>
    </row>
    <row r="4111" spans="1:6" x14ac:dyDescent="0.2">
      <c r="A4111" s="20">
        <v>42369</v>
      </c>
      <c r="B4111">
        <v>164</v>
      </c>
      <c r="E4111">
        <f t="shared" si="128"/>
        <v>12</v>
      </c>
      <c r="F4111">
        <f t="shared" si="129"/>
        <v>2015</v>
      </c>
    </row>
    <row r="4112" spans="1:6" x14ac:dyDescent="0.2">
      <c r="A4112" s="20">
        <v>42373</v>
      </c>
      <c r="B4112">
        <v>161.5</v>
      </c>
      <c r="E4112">
        <f t="shared" si="128"/>
        <v>1</v>
      </c>
      <c r="F4112">
        <f t="shared" si="129"/>
        <v>2016</v>
      </c>
    </row>
    <row r="4113" spans="1:6" x14ac:dyDescent="0.2">
      <c r="A4113" s="20">
        <v>42374</v>
      </c>
      <c r="B4113">
        <v>162.25</v>
      </c>
      <c r="E4113">
        <f t="shared" si="128"/>
        <v>1</v>
      </c>
      <c r="F4113">
        <f t="shared" si="129"/>
        <v>2016</v>
      </c>
    </row>
    <row r="4114" spans="1:6" x14ac:dyDescent="0.2">
      <c r="A4114" s="20">
        <v>42375</v>
      </c>
      <c r="B4114">
        <v>160.25</v>
      </c>
      <c r="E4114">
        <f t="shared" si="128"/>
        <v>1</v>
      </c>
      <c r="F4114">
        <f t="shared" si="129"/>
        <v>2016</v>
      </c>
    </row>
    <row r="4115" spans="1:6" x14ac:dyDescent="0.2">
      <c r="A4115" s="20">
        <v>42376</v>
      </c>
      <c r="B4115">
        <v>158.25</v>
      </c>
      <c r="E4115">
        <f t="shared" si="128"/>
        <v>1</v>
      </c>
      <c r="F4115">
        <f t="shared" si="129"/>
        <v>2016</v>
      </c>
    </row>
    <row r="4116" spans="1:6" x14ac:dyDescent="0.2">
      <c r="A4116" s="20">
        <v>42377</v>
      </c>
      <c r="B4116">
        <v>160.5</v>
      </c>
      <c r="E4116">
        <f t="shared" si="128"/>
        <v>1</v>
      </c>
      <c r="F4116">
        <f t="shared" si="129"/>
        <v>2016</v>
      </c>
    </row>
    <row r="4117" spans="1:6" x14ac:dyDescent="0.2">
      <c r="A4117" s="20">
        <v>42380</v>
      </c>
      <c r="B4117">
        <v>158.5</v>
      </c>
      <c r="E4117">
        <f t="shared" si="128"/>
        <v>1</v>
      </c>
      <c r="F4117">
        <f t="shared" si="129"/>
        <v>2016</v>
      </c>
    </row>
    <row r="4118" spans="1:6" x14ac:dyDescent="0.2">
      <c r="A4118" s="20">
        <v>42381</v>
      </c>
      <c r="B4118">
        <v>159.5</v>
      </c>
      <c r="E4118">
        <f t="shared" si="128"/>
        <v>1</v>
      </c>
      <c r="F4118">
        <f t="shared" si="129"/>
        <v>2016</v>
      </c>
    </row>
    <row r="4119" spans="1:6" x14ac:dyDescent="0.2">
      <c r="A4119" s="20">
        <v>42382</v>
      </c>
      <c r="B4119">
        <v>157.75</v>
      </c>
      <c r="E4119">
        <f t="shared" si="128"/>
        <v>1</v>
      </c>
      <c r="F4119">
        <f t="shared" si="129"/>
        <v>2016</v>
      </c>
    </row>
    <row r="4120" spans="1:6" x14ac:dyDescent="0.2">
      <c r="A4120" s="20">
        <v>42383</v>
      </c>
      <c r="B4120">
        <v>155.75</v>
      </c>
      <c r="E4120">
        <f t="shared" si="128"/>
        <v>1</v>
      </c>
      <c r="F4120">
        <f t="shared" si="129"/>
        <v>2016</v>
      </c>
    </row>
    <row r="4121" spans="1:6" x14ac:dyDescent="0.2">
      <c r="A4121" s="20">
        <v>42384</v>
      </c>
      <c r="B4121">
        <v>155</v>
      </c>
      <c r="E4121">
        <f t="shared" si="128"/>
        <v>1</v>
      </c>
      <c r="F4121">
        <f t="shared" si="129"/>
        <v>2016</v>
      </c>
    </row>
    <row r="4122" spans="1:6" x14ac:dyDescent="0.2">
      <c r="A4122" s="20">
        <v>42387</v>
      </c>
      <c r="B4122">
        <v>155</v>
      </c>
      <c r="E4122">
        <f t="shared" si="128"/>
        <v>1</v>
      </c>
      <c r="F4122">
        <f t="shared" si="129"/>
        <v>2016</v>
      </c>
    </row>
    <row r="4123" spans="1:6" x14ac:dyDescent="0.2">
      <c r="A4123" s="20">
        <v>42388</v>
      </c>
      <c r="B4123">
        <v>156.5</v>
      </c>
      <c r="E4123">
        <f t="shared" si="128"/>
        <v>1</v>
      </c>
      <c r="F4123">
        <f t="shared" si="129"/>
        <v>2016</v>
      </c>
    </row>
    <row r="4124" spans="1:6" x14ac:dyDescent="0.2">
      <c r="A4124" s="20">
        <v>42389</v>
      </c>
      <c r="B4124">
        <v>154.25</v>
      </c>
      <c r="E4124">
        <f t="shared" si="128"/>
        <v>1</v>
      </c>
      <c r="F4124">
        <f t="shared" si="129"/>
        <v>2016</v>
      </c>
    </row>
    <row r="4125" spans="1:6" x14ac:dyDescent="0.2">
      <c r="A4125" s="20">
        <v>42390</v>
      </c>
      <c r="B4125">
        <v>155</v>
      </c>
      <c r="E4125">
        <f t="shared" si="128"/>
        <v>1</v>
      </c>
      <c r="F4125">
        <f t="shared" si="129"/>
        <v>2016</v>
      </c>
    </row>
    <row r="4126" spans="1:6" x14ac:dyDescent="0.2">
      <c r="A4126" s="20">
        <v>42391</v>
      </c>
      <c r="B4126">
        <v>156</v>
      </c>
      <c r="E4126">
        <f t="shared" si="128"/>
        <v>1</v>
      </c>
      <c r="F4126">
        <f t="shared" si="129"/>
        <v>2016</v>
      </c>
    </row>
    <row r="4127" spans="1:6" x14ac:dyDescent="0.2">
      <c r="A4127" s="20">
        <v>42394</v>
      </c>
      <c r="B4127">
        <v>156.25</v>
      </c>
      <c r="E4127">
        <f t="shared" si="128"/>
        <v>1</v>
      </c>
      <c r="F4127">
        <f t="shared" si="129"/>
        <v>2016</v>
      </c>
    </row>
    <row r="4128" spans="1:6" x14ac:dyDescent="0.2">
      <c r="A4128" s="20">
        <v>42395</v>
      </c>
      <c r="B4128">
        <v>156.75</v>
      </c>
      <c r="E4128">
        <f t="shared" si="128"/>
        <v>1</v>
      </c>
      <c r="F4128">
        <f t="shared" si="129"/>
        <v>2016</v>
      </c>
    </row>
    <row r="4129" spans="1:6" x14ac:dyDescent="0.2">
      <c r="A4129" s="20">
        <v>42396</v>
      </c>
      <c r="B4129">
        <v>155</v>
      </c>
      <c r="E4129">
        <f t="shared" si="128"/>
        <v>1</v>
      </c>
      <c r="F4129">
        <f t="shared" si="129"/>
        <v>2016</v>
      </c>
    </row>
    <row r="4130" spans="1:6" x14ac:dyDescent="0.2">
      <c r="A4130" s="20">
        <v>42397</v>
      </c>
      <c r="B4130">
        <v>154.5</v>
      </c>
      <c r="E4130">
        <f t="shared" si="128"/>
        <v>1</v>
      </c>
      <c r="F4130">
        <f t="shared" si="129"/>
        <v>2016</v>
      </c>
    </row>
    <row r="4131" spans="1:6" x14ac:dyDescent="0.2">
      <c r="A4131" s="20">
        <v>42398</v>
      </c>
      <c r="B4131">
        <v>155</v>
      </c>
      <c r="E4131">
        <f t="shared" si="128"/>
        <v>1</v>
      </c>
      <c r="F4131">
        <f t="shared" si="129"/>
        <v>2016</v>
      </c>
    </row>
    <row r="4132" spans="1:6" x14ac:dyDescent="0.2">
      <c r="A4132" s="20">
        <v>42401</v>
      </c>
      <c r="B4132">
        <v>153</v>
      </c>
      <c r="E4132">
        <f t="shared" si="128"/>
        <v>2</v>
      </c>
      <c r="F4132">
        <f t="shared" si="129"/>
        <v>2016</v>
      </c>
    </row>
    <row r="4133" spans="1:6" x14ac:dyDescent="0.2">
      <c r="A4133" s="20">
        <v>42402</v>
      </c>
      <c r="B4133">
        <v>153</v>
      </c>
      <c r="E4133">
        <f t="shared" si="128"/>
        <v>2</v>
      </c>
      <c r="F4133">
        <f t="shared" si="129"/>
        <v>2016</v>
      </c>
    </row>
    <row r="4134" spans="1:6" x14ac:dyDescent="0.2">
      <c r="A4134" s="20">
        <v>42403</v>
      </c>
      <c r="B4134">
        <v>153.25</v>
      </c>
      <c r="E4134">
        <f t="shared" si="128"/>
        <v>2</v>
      </c>
      <c r="F4134">
        <f t="shared" si="129"/>
        <v>2016</v>
      </c>
    </row>
    <row r="4135" spans="1:6" x14ac:dyDescent="0.2">
      <c r="A4135" s="20">
        <v>42404</v>
      </c>
      <c r="B4135">
        <v>152.5</v>
      </c>
      <c r="E4135">
        <f t="shared" si="128"/>
        <v>2</v>
      </c>
      <c r="F4135">
        <f t="shared" si="129"/>
        <v>2016</v>
      </c>
    </row>
    <row r="4136" spans="1:6" x14ac:dyDescent="0.2">
      <c r="A4136" s="20">
        <v>42405</v>
      </c>
      <c r="B4136">
        <v>150.5</v>
      </c>
      <c r="E4136">
        <f t="shared" si="128"/>
        <v>2</v>
      </c>
      <c r="F4136">
        <f t="shared" si="129"/>
        <v>2016</v>
      </c>
    </row>
    <row r="4137" spans="1:6" x14ac:dyDescent="0.2">
      <c r="A4137" s="20">
        <v>42408</v>
      </c>
      <c r="B4137">
        <v>148.5</v>
      </c>
      <c r="E4137">
        <f t="shared" si="128"/>
        <v>2</v>
      </c>
      <c r="F4137">
        <f t="shared" si="129"/>
        <v>2016</v>
      </c>
    </row>
    <row r="4138" spans="1:6" x14ac:dyDescent="0.2">
      <c r="A4138" s="20">
        <v>42409</v>
      </c>
      <c r="B4138">
        <v>149.25</v>
      </c>
      <c r="E4138">
        <f t="shared" si="128"/>
        <v>2</v>
      </c>
      <c r="F4138">
        <f t="shared" si="129"/>
        <v>2016</v>
      </c>
    </row>
    <row r="4139" spans="1:6" x14ac:dyDescent="0.2">
      <c r="A4139" s="20">
        <v>42410</v>
      </c>
      <c r="B4139">
        <v>149.25</v>
      </c>
      <c r="E4139">
        <f t="shared" si="128"/>
        <v>2</v>
      </c>
      <c r="F4139">
        <f t="shared" si="129"/>
        <v>2016</v>
      </c>
    </row>
    <row r="4140" spans="1:6" x14ac:dyDescent="0.2">
      <c r="A4140" s="20">
        <v>42411</v>
      </c>
      <c r="B4140">
        <v>148.75</v>
      </c>
      <c r="E4140">
        <f t="shared" si="128"/>
        <v>2</v>
      </c>
      <c r="F4140">
        <f t="shared" si="129"/>
        <v>2016</v>
      </c>
    </row>
    <row r="4141" spans="1:6" x14ac:dyDescent="0.2">
      <c r="A4141" s="20">
        <v>42412</v>
      </c>
      <c r="B4141">
        <v>149.75</v>
      </c>
      <c r="E4141">
        <f t="shared" si="128"/>
        <v>2</v>
      </c>
      <c r="F4141">
        <f t="shared" si="129"/>
        <v>2016</v>
      </c>
    </row>
    <row r="4142" spans="1:6" x14ac:dyDescent="0.2">
      <c r="A4142" s="20">
        <v>42415</v>
      </c>
      <c r="B4142">
        <v>149.5</v>
      </c>
      <c r="E4142">
        <f t="shared" si="128"/>
        <v>2</v>
      </c>
      <c r="F4142">
        <f t="shared" si="129"/>
        <v>2016</v>
      </c>
    </row>
    <row r="4143" spans="1:6" x14ac:dyDescent="0.2">
      <c r="A4143" s="20">
        <v>42416</v>
      </c>
      <c r="B4143">
        <v>148.75</v>
      </c>
      <c r="E4143">
        <f t="shared" si="128"/>
        <v>2</v>
      </c>
      <c r="F4143">
        <f t="shared" si="129"/>
        <v>2016</v>
      </c>
    </row>
    <row r="4144" spans="1:6" x14ac:dyDescent="0.2">
      <c r="A4144" s="20">
        <v>42417</v>
      </c>
      <c r="B4144">
        <v>146.5</v>
      </c>
      <c r="E4144">
        <f t="shared" si="128"/>
        <v>2</v>
      </c>
      <c r="F4144">
        <f t="shared" si="129"/>
        <v>2016</v>
      </c>
    </row>
    <row r="4145" spans="1:6" x14ac:dyDescent="0.2">
      <c r="A4145" s="20">
        <v>42418</v>
      </c>
      <c r="B4145">
        <v>146</v>
      </c>
      <c r="E4145">
        <f t="shared" si="128"/>
        <v>2</v>
      </c>
      <c r="F4145">
        <f t="shared" si="129"/>
        <v>2016</v>
      </c>
    </row>
    <row r="4146" spans="1:6" x14ac:dyDescent="0.2">
      <c r="A4146" s="20">
        <v>42419</v>
      </c>
      <c r="B4146">
        <v>146</v>
      </c>
      <c r="E4146">
        <f t="shared" si="128"/>
        <v>2</v>
      </c>
      <c r="F4146">
        <f t="shared" si="129"/>
        <v>2016</v>
      </c>
    </row>
    <row r="4147" spans="1:6" x14ac:dyDescent="0.2">
      <c r="A4147" s="20">
        <v>42422</v>
      </c>
      <c r="B4147">
        <v>146.5</v>
      </c>
      <c r="E4147">
        <f t="shared" si="128"/>
        <v>2</v>
      </c>
      <c r="F4147">
        <f t="shared" si="129"/>
        <v>2016</v>
      </c>
    </row>
    <row r="4148" spans="1:6" x14ac:dyDescent="0.2">
      <c r="A4148" s="20">
        <v>42423</v>
      </c>
      <c r="B4148">
        <v>145.5</v>
      </c>
      <c r="E4148">
        <f t="shared" si="128"/>
        <v>2</v>
      </c>
      <c r="F4148">
        <f t="shared" si="129"/>
        <v>2016</v>
      </c>
    </row>
    <row r="4149" spans="1:6" x14ac:dyDescent="0.2">
      <c r="A4149" s="20">
        <v>42424</v>
      </c>
      <c r="B4149">
        <v>144.25</v>
      </c>
      <c r="E4149">
        <f t="shared" si="128"/>
        <v>2</v>
      </c>
      <c r="F4149">
        <f t="shared" si="129"/>
        <v>2016</v>
      </c>
    </row>
    <row r="4150" spans="1:6" x14ac:dyDescent="0.2">
      <c r="A4150" s="20">
        <v>42425</v>
      </c>
      <c r="B4150">
        <v>144.75</v>
      </c>
      <c r="E4150">
        <f t="shared" si="128"/>
        <v>2</v>
      </c>
      <c r="F4150">
        <f t="shared" si="129"/>
        <v>2016</v>
      </c>
    </row>
    <row r="4151" spans="1:6" x14ac:dyDescent="0.2">
      <c r="A4151" s="20">
        <v>42426</v>
      </c>
      <c r="B4151">
        <v>146.25</v>
      </c>
      <c r="E4151">
        <f t="shared" si="128"/>
        <v>2</v>
      </c>
      <c r="F4151">
        <f t="shared" si="129"/>
        <v>2016</v>
      </c>
    </row>
    <row r="4152" spans="1:6" x14ac:dyDescent="0.2">
      <c r="A4152" s="20">
        <v>42429</v>
      </c>
      <c r="B4152">
        <v>146.75</v>
      </c>
      <c r="E4152">
        <f t="shared" si="128"/>
        <v>2</v>
      </c>
      <c r="F4152">
        <f t="shared" si="129"/>
        <v>2016</v>
      </c>
    </row>
    <row r="4153" spans="1:6" x14ac:dyDescent="0.2">
      <c r="A4153" s="20">
        <v>42430</v>
      </c>
      <c r="B4153">
        <v>146.5</v>
      </c>
      <c r="E4153">
        <f t="shared" si="128"/>
        <v>3</v>
      </c>
      <c r="F4153">
        <f t="shared" si="129"/>
        <v>2016</v>
      </c>
    </row>
    <row r="4154" spans="1:6" x14ac:dyDescent="0.2">
      <c r="A4154" s="20">
        <v>42431</v>
      </c>
      <c r="B4154">
        <v>148</v>
      </c>
      <c r="E4154">
        <f t="shared" si="128"/>
        <v>3</v>
      </c>
      <c r="F4154">
        <f t="shared" si="129"/>
        <v>2016</v>
      </c>
    </row>
    <row r="4155" spans="1:6" x14ac:dyDescent="0.2">
      <c r="A4155" s="20">
        <v>42432</v>
      </c>
      <c r="B4155">
        <v>147</v>
      </c>
      <c r="E4155">
        <f t="shared" si="128"/>
        <v>3</v>
      </c>
      <c r="F4155">
        <f t="shared" si="129"/>
        <v>2016</v>
      </c>
    </row>
    <row r="4156" spans="1:6" x14ac:dyDescent="0.2">
      <c r="A4156" s="20">
        <v>42433</v>
      </c>
      <c r="B4156">
        <v>145.75</v>
      </c>
      <c r="E4156">
        <f t="shared" si="128"/>
        <v>3</v>
      </c>
      <c r="F4156">
        <f t="shared" si="129"/>
        <v>2016</v>
      </c>
    </row>
    <row r="4157" spans="1:6" x14ac:dyDescent="0.2">
      <c r="A4157" s="20">
        <v>42436</v>
      </c>
      <c r="B4157">
        <v>136.25</v>
      </c>
      <c r="E4157">
        <f t="shared" si="128"/>
        <v>3</v>
      </c>
      <c r="F4157">
        <f t="shared" si="129"/>
        <v>2016</v>
      </c>
    </row>
    <row r="4158" spans="1:6" x14ac:dyDescent="0.2">
      <c r="A4158" s="20">
        <v>42437</v>
      </c>
      <c r="B4158">
        <v>152.25</v>
      </c>
      <c r="E4158">
        <f t="shared" si="128"/>
        <v>3</v>
      </c>
      <c r="F4158">
        <f t="shared" si="129"/>
        <v>2016</v>
      </c>
    </row>
    <row r="4159" spans="1:6" x14ac:dyDescent="0.2">
      <c r="A4159" s="20">
        <v>42438</v>
      </c>
      <c r="B4159">
        <v>153</v>
      </c>
      <c r="E4159">
        <f t="shared" si="128"/>
        <v>3</v>
      </c>
      <c r="F4159">
        <f t="shared" si="129"/>
        <v>2016</v>
      </c>
    </row>
    <row r="4160" spans="1:6" x14ac:dyDescent="0.2">
      <c r="A4160" s="20">
        <v>42439</v>
      </c>
      <c r="B4160">
        <v>151.75</v>
      </c>
      <c r="E4160">
        <f t="shared" si="128"/>
        <v>3</v>
      </c>
      <c r="F4160">
        <f t="shared" si="129"/>
        <v>2016</v>
      </c>
    </row>
    <row r="4161" spans="1:6" x14ac:dyDescent="0.2">
      <c r="A4161" s="20">
        <v>42440</v>
      </c>
      <c r="B4161">
        <v>153.5</v>
      </c>
      <c r="E4161">
        <f t="shared" si="128"/>
        <v>3</v>
      </c>
      <c r="F4161">
        <f t="shared" si="129"/>
        <v>2016</v>
      </c>
    </row>
    <row r="4162" spans="1:6" x14ac:dyDescent="0.2">
      <c r="A4162" s="20">
        <v>42443</v>
      </c>
      <c r="B4162">
        <v>155.25</v>
      </c>
      <c r="E4162">
        <f t="shared" si="128"/>
        <v>3</v>
      </c>
      <c r="F4162">
        <f t="shared" si="129"/>
        <v>2016</v>
      </c>
    </row>
    <row r="4163" spans="1:6" x14ac:dyDescent="0.2">
      <c r="A4163" s="20">
        <v>42444</v>
      </c>
      <c r="B4163">
        <v>155</v>
      </c>
      <c r="E4163">
        <f t="shared" ref="E4163:E4226" si="130">MONTH(A4163)</f>
        <v>3</v>
      </c>
      <c r="F4163">
        <f t="shared" ref="F4163:F4226" si="131">YEAR(A4163)</f>
        <v>2016</v>
      </c>
    </row>
    <row r="4164" spans="1:6" x14ac:dyDescent="0.2">
      <c r="A4164" s="20">
        <v>42445</v>
      </c>
      <c r="B4164">
        <v>154.75</v>
      </c>
      <c r="E4164">
        <f t="shared" si="130"/>
        <v>3</v>
      </c>
      <c r="F4164">
        <f t="shared" si="131"/>
        <v>2016</v>
      </c>
    </row>
    <row r="4165" spans="1:6" x14ac:dyDescent="0.2">
      <c r="A4165" s="20">
        <v>42446</v>
      </c>
      <c r="B4165">
        <v>153.5</v>
      </c>
      <c r="E4165">
        <f t="shared" si="130"/>
        <v>3</v>
      </c>
      <c r="F4165">
        <f t="shared" si="131"/>
        <v>2016</v>
      </c>
    </row>
    <row r="4166" spans="1:6" x14ac:dyDescent="0.2">
      <c r="A4166" s="20">
        <v>42447</v>
      </c>
      <c r="B4166">
        <v>152.25</v>
      </c>
      <c r="E4166">
        <f t="shared" si="130"/>
        <v>3</v>
      </c>
      <c r="F4166">
        <f t="shared" si="131"/>
        <v>2016</v>
      </c>
    </row>
    <row r="4167" spans="1:6" x14ac:dyDescent="0.2">
      <c r="A4167" s="20">
        <v>42450</v>
      </c>
      <c r="B4167">
        <v>152.5</v>
      </c>
      <c r="E4167">
        <f t="shared" si="130"/>
        <v>3</v>
      </c>
      <c r="F4167">
        <f t="shared" si="131"/>
        <v>2016</v>
      </c>
    </row>
    <row r="4168" spans="1:6" x14ac:dyDescent="0.2">
      <c r="A4168" s="20">
        <v>42451</v>
      </c>
      <c r="B4168">
        <v>153.75</v>
      </c>
      <c r="E4168">
        <f t="shared" si="130"/>
        <v>3</v>
      </c>
      <c r="F4168">
        <f t="shared" si="131"/>
        <v>2016</v>
      </c>
    </row>
    <row r="4169" spans="1:6" x14ac:dyDescent="0.2">
      <c r="A4169" s="20">
        <v>42452</v>
      </c>
      <c r="B4169">
        <v>154</v>
      </c>
      <c r="E4169">
        <f t="shared" si="130"/>
        <v>3</v>
      </c>
      <c r="F4169">
        <f t="shared" si="131"/>
        <v>2016</v>
      </c>
    </row>
    <row r="4170" spans="1:6" x14ac:dyDescent="0.2">
      <c r="A4170" s="20">
        <v>42453</v>
      </c>
      <c r="B4170">
        <v>155.75</v>
      </c>
      <c r="E4170">
        <f t="shared" si="130"/>
        <v>3</v>
      </c>
      <c r="F4170">
        <f t="shared" si="131"/>
        <v>2016</v>
      </c>
    </row>
    <row r="4171" spans="1:6" x14ac:dyDescent="0.2">
      <c r="A4171" s="20">
        <v>42458</v>
      </c>
      <c r="B4171">
        <v>157.25</v>
      </c>
      <c r="E4171">
        <f t="shared" si="130"/>
        <v>3</v>
      </c>
      <c r="F4171">
        <f t="shared" si="131"/>
        <v>2016</v>
      </c>
    </row>
    <row r="4172" spans="1:6" x14ac:dyDescent="0.2">
      <c r="A4172" s="20">
        <v>42459</v>
      </c>
      <c r="B4172">
        <v>155.25</v>
      </c>
      <c r="E4172">
        <f t="shared" si="130"/>
        <v>3</v>
      </c>
      <c r="F4172">
        <f t="shared" si="131"/>
        <v>2016</v>
      </c>
    </row>
    <row r="4173" spans="1:6" x14ac:dyDescent="0.2">
      <c r="A4173" s="20">
        <v>42460</v>
      </c>
      <c r="B4173">
        <v>151.75</v>
      </c>
      <c r="E4173">
        <f t="shared" si="130"/>
        <v>3</v>
      </c>
      <c r="F4173">
        <f t="shared" si="131"/>
        <v>2016</v>
      </c>
    </row>
    <row r="4174" spans="1:6" x14ac:dyDescent="0.2">
      <c r="A4174" s="20">
        <v>42461</v>
      </c>
      <c r="B4174">
        <v>151.75</v>
      </c>
      <c r="E4174">
        <f t="shared" si="130"/>
        <v>4</v>
      </c>
      <c r="F4174">
        <f t="shared" si="131"/>
        <v>2016</v>
      </c>
    </row>
    <row r="4175" spans="1:6" x14ac:dyDescent="0.2">
      <c r="A4175" s="20">
        <v>42464</v>
      </c>
      <c r="B4175">
        <v>152.5</v>
      </c>
      <c r="E4175">
        <f t="shared" si="130"/>
        <v>4</v>
      </c>
      <c r="F4175">
        <f t="shared" si="131"/>
        <v>2016</v>
      </c>
    </row>
    <row r="4176" spans="1:6" x14ac:dyDescent="0.2">
      <c r="A4176" s="20">
        <v>42465</v>
      </c>
      <c r="B4176">
        <v>154</v>
      </c>
      <c r="E4176">
        <f t="shared" si="130"/>
        <v>4</v>
      </c>
      <c r="F4176">
        <f t="shared" si="131"/>
        <v>2016</v>
      </c>
    </row>
    <row r="4177" spans="1:6" x14ac:dyDescent="0.2">
      <c r="A4177" s="20">
        <v>42466</v>
      </c>
      <c r="B4177">
        <v>154</v>
      </c>
      <c r="E4177">
        <f t="shared" si="130"/>
        <v>4</v>
      </c>
      <c r="F4177">
        <f t="shared" si="131"/>
        <v>2016</v>
      </c>
    </row>
    <row r="4178" spans="1:6" x14ac:dyDescent="0.2">
      <c r="A4178" s="20">
        <v>42467</v>
      </c>
      <c r="B4178">
        <v>155.25</v>
      </c>
      <c r="E4178">
        <f t="shared" si="130"/>
        <v>4</v>
      </c>
      <c r="F4178">
        <f t="shared" si="131"/>
        <v>2016</v>
      </c>
    </row>
    <row r="4179" spans="1:6" x14ac:dyDescent="0.2">
      <c r="A4179" s="20">
        <v>42468</v>
      </c>
      <c r="B4179">
        <v>155</v>
      </c>
      <c r="E4179">
        <f t="shared" si="130"/>
        <v>4</v>
      </c>
      <c r="F4179">
        <f t="shared" si="131"/>
        <v>2016</v>
      </c>
    </row>
    <row r="4180" spans="1:6" x14ac:dyDescent="0.2">
      <c r="A4180" s="20">
        <v>42471</v>
      </c>
      <c r="B4180">
        <v>153</v>
      </c>
      <c r="E4180">
        <f t="shared" si="130"/>
        <v>4</v>
      </c>
      <c r="F4180">
        <f t="shared" si="131"/>
        <v>2016</v>
      </c>
    </row>
    <row r="4181" spans="1:6" x14ac:dyDescent="0.2">
      <c r="A4181" s="20">
        <v>42472</v>
      </c>
      <c r="B4181">
        <v>153.25</v>
      </c>
      <c r="E4181">
        <f t="shared" si="130"/>
        <v>4</v>
      </c>
      <c r="F4181">
        <f t="shared" si="131"/>
        <v>2016</v>
      </c>
    </row>
    <row r="4182" spans="1:6" x14ac:dyDescent="0.2">
      <c r="A4182" s="20">
        <v>42473</v>
      </c>
      <c r="B4182">
        <v>155.75</v>
      </c>
      <c r="E4182">
        <f t="shared" si="130"/>
        <v>4</v>
      </c>
      <c r="F4182">
        <f t="shared" si="131"/>
        <v>2016</v>
      </c>
    </row>
    <row r="4183" spans="1:6" x14ac:dyDescent="0.2">
      <c r="A4183" s="20">
        <v>42474</v>
      </c>
      <c r="B4183">
        <v>156.25</v>
      </c>
      <c r="E4183">
        <f t="shared" si="130"/>
        <v>4</v>
      </c>
      <c r="F4183">
        <f t="shared" si="131"/>
        <v>2016</v>
      </c>
    </row>
    <row r="4184" spans="1:6" x14ac:dyDescent="0.2">
      <c r="A4184" s="20">
        <v>42475</v>
      </c>
      <c r="B4184">
        <v>156.75</v>
      </c>
      <c r="E4184">
        <f t="shared" si="130"/>
        <v>4</v>
      </c>
      <c r="F4184">
        <f t="shared" si="131"/>
        <v>2016</v>
      </c>
    </row>
    <row r="4185" spans="1:6" x14ac:dyDescent="0.2">
      <c r="A4185" s="20">
        <v>42478</v>
      </c>
      <c r="B4185">
        <v>157</v>
      </c>
      <c r="E4185">
        <f t="shared" si="130"/>
        <v>4</v>
      </c>
      <c r="F4185">
        <f t="shared" si="131"/>
        <v>2016</v>
      </c>
    </row>
    <row r="4186" spans="1:6" x14ac:dyDescent="0.2">
      <c r="A4186" s="20">
        <v>42479</v>
      </c>
      <c r="B4186">
        <v>159.5</v>
      </c>
      <c r="E4186">
        <f t="shared" si="130"/>
        <v>4</v>
      </c>
      <c r="F4186">
        <f t="shared" si="131"/>
        <v>2016</v>
      </c>
    </row>
    <row r="4187" spans="1:6" x14ac:dyDescent="0.2">
      <c r="A4187" s="20">
        <v>42480</v>
      </c>
      <c r="B4187">
        <v>163.25</v>
      </c>
      <c r="E4187">
        <f t="shared" si="130"/>
        <v>4</v>
      </c>
      <c r="F4187">
        <f t="shared" si="131"/>
        <v>2016</v>
      </c>
    </row>
    <row r="4188" spans="1:6" x14ac:dyDescent="0.2">
      <c r="A4188" s="20">
        <v>42481</v>
      </c>
      <c r="B4188">
        <v>163</v>
      </c>
      <c r="E4188">
        <f t="shared" si="130"/>
        <v>4</v>
      </c>
      <c r="F4188">
        <f t="shared" si="131"/>
        <v>2016</v>
      </c>
    </row>
    <row r="4189" spans="1:6" x14ac:dyDescent="0.2">
      <c r="A4189" s="20">
        <v>42482</v>
      </c>
      <c r="B4189">
        <v>159</v>
      </c>
      <c r="E4189">
        <f t="shared" si="130"/>
        <v>4</v>
      </c>
      <c r="F4189">
        <f t="shared" si="131"/>
        <v>2016</v>
      </c>
    </row>
    <row r="4190" spans="1:6" x14ac:dyDescent="0.2">
      <c r="A4190" s="20">
        <v>42485</v>
      </c>
      <c r="B4190">
        <v>159.5</v>
      </c>
      <c r="E4190">
        <f t="shared" si="130"/>
        <v>4</v>
      </c>
      <c r="F4190">
        <f t="shared" si="131"/>
        <v>2016</v>
      </c>
    </row>
    <row r="4191" spans="1:6" x14ac:dyDescent="0.2">
      <c r="A4191" s="20">
        <v>42486</v>
      </c>
      <c r="B4191">
        <v>160.75</v>
      </c>
      <c r="E4191">
        <f t="shared" si="130"/>
        <v>4</v>
      </c>
      <c r="F4191">
        <f t="shared" si="131"/>
        <v>2016</v>
      </c>
    </row>
    <row r="4192" spans="1:6" x14ac:dyDescent="0.2">
      <c r="A4192" s="20">
        <v>42487</v>
      </c>
      <c r="B4192">
        <v>162.75</v>
      </c>
      <c r="E4192">
        <f t="shared" si="130"/>
        <v>4</v>
      </c>
      <c r="F4192">
        <f t="shared" si="131"/>
        <v>2016</v>
      </c>
    </row>
    <row r="4193" spans="1:6" x14ac:dyDescent="0.2">
      <c r="A4193" s="20">
        <v>42488</v>
      </c>
      <c r="B4193">
        <v>165</v>
      </c>
      <c r="E4193">
        <f t="shared" si="130"/>
        <v>4</v>
      </c>
      <c r="F4193">
        <f t="shared" si="131"/>
        <v>2016</v>
      </c>
    </row>
    <row r="4194" spans="1:6" x14ac:dyDescent="0.2">
      <c r="A4194" s="20">
        <v>42489</v>
      </c>
      <c r="B4194">
        <v>163</v>
      </c>
      <c r="E4194">
        <f t="shared" si="130"/>
        <v>4</v>
      </c>
      <c r="F4194">
        <f t="shared" si="131"/>
        <v>2016</v>
      </c>
    </row>
    <row r="4195" spans="1:6" x14ac:dyDescent="0.2">
      <c r="A4195" s="20">
        <v>42492</v>
      </c>
      <c r="B4195">
        <v>162.75</v>
      </c>
      <c r="E4195">
        <f t="shared" si="130"/>
        <v>5</v>
      </c>
      <c r="F4195">
        <f t="shared" si="131"/>
        <v>2016</v>
      </c>
    </row>
    <row r="4196" spans="1:6" x14ac:dyDescent="0.2">
      <c r="A4196" s="20">
        <v>42493</v>
      </c>
      <c r="B4196">
        <v>161.75</v>
      </c>
      <c r="E4196">
        <f t="shared" si="130"/>
        <v>5</v>
      </c>
      <c r="F4196">
        <f t="shared" si="131"/>
        <v>2016</v>
      </c>
    </row>
    <row r="4197" spans="1:6" x14ac:dyDescent="0.2">
      <c r="A4197" s="20">
        <v>42494</v>
      </c>
      <c r="B4197">
        <v>161.5</v>
      </c>
      <c r="E4197">
        <f t="shared" si="130"/>
        <v>5</v>
      </c>
      <c r="F4197">
        <f t="shared" si="131"/>
        <v>2016</v>
      </c>
    </row>
    <row r="4198" spans="1:6" x14ac:dyDescent="0.2">
      <c r="A4198" s="20">
        <v>42495</v>
      </c>
      <c r="B4198">
        <v>161.5</v>
      </c>
      <c r="E4198">
        <f t="shared" si="130"/>
        <v>5</v>
      </c>
      <c r="F4198">
        <f t="shared" si="131"/>
        <v>2016</v>
      </c>
    </row>
    <row r="4199" spans="1:6" x14ac:dyDescent="0.2">
      <c r="A4199" s="20">
        <v>42496</v>
      </c>
      <c r="B4199">
        <v>160.5</v>
      </c>
      <c r="E4199">
        <f t="shared" si="130"/>
        <v>5</v>
      </c>
      <c r="F4199">
        <f t="shared" si="131"/>
        <v>2016</v>
      </c>
    </row>
    <row r="4200" spans="1:6" x14ac:dyDescent="0.2">
      <c r="A4200" s="20">
        <v>42499</v>
      </c>
      <c r="B4200">
        <v>160.5</v>
      </c>
      <c r="E4200">
        <f t="shared" si="130"/>
        <v>5</v>
      </c>
      <c r="F4200">
        <f t="shared" si="131"/>
        <v>2016</v>
      </c>
    </row>
    <row r="4201" spans="1:6" x14ac:dyDescent="0.2">
      <c r="A4201" s="20">
        <v>42500</v>
      </c>
      <c r="B4201">
        <v>161.25</v>
      </c>
      <c r="E4201">
        <f t="shared" si="130"/>
        <v>5</v>
      </c>
      <c r="F4201">
        <f t="shared" si="131"/>
        <v>2016</v>
      </c>
    </row>
    <row r="4202" spans="1:6" x14ac:dyDescent="0.2">
      <c r="A4202" s="20">
        <v>42501</v>
      </c>
      <c r="B4202">
        <v>162</v>
      </c>
      <c r="E4202">
        <f t="shared" si="130"/>
        <v>5</v>
      </c>
      <c r="F4202">
        <f t="shared" si="131"/>
        <v>2016</v>
      </c>
    </row>
    <row r="4203" spans="1:6" x14ac:dyDescent="0.2">
      <c r="A4203" s="20">
        <v>42502</v>
      </c>
      <c r="B4203">
        <v>164</v>
      </c>
      <c r="E4203">
        <f t="shared" si="130"/>
        <v>5</v>
      </c>
      <c r="F4203">
        <f t="shared" si="131"/>
        <v>2016</v>
      </c>
    </row>
    <row r="4204" spans="1:6" x14ac:dyDescent="0.2">
      <c r="A4204" s="20">
        <v>42503</v>
      </c>
      <c r="B4204">
        <v>165.75</v>
      </c>
      <c r="E4204">
        <f t="shared" si="130"/>
        <v>5</v>
      </c>
      <c r="F4204">
        <f t="shared" si="131"/>
        <v>2016</v>
      </c>
    </row>
    <row r="4205" spans="1:6" x14ac:dyDescent="0.2">
      <c r="A4205" s="20">
        <v>42506</v>
      </c>
      <c r="B4205">
        <v>168.5</v>
      </c>
      <c r="E4205">
        <f t="shared" si="130"/>
        <v>5</v>
      </c>
      <c r="F4205">
        <f t="shared" si="131"/>
        <v>2016</v>
      </c>
    </row>
    <row r="4206" spans="1:6" x14ac:dyDescent="0.2">
      <c r="A4206" s="20">
        <v>42507</v>
      </c>
      <c r="B4206">
        <v>167.75</v>
      </c>
      <c r="E4206">
        <f t="shared" si="130"/>
        <v>5</v>
      </c>
      <c r="F4206">
        <f t="shared" si="131"/>
        <v>2016</v>
      </c>
    </row>
    <row r="4207" spans="1:6" x14ac:dyDescent="0.2">
      <c r="A4207" s="20">
        <v>42508</v>
      </c>
      <c r="B4207">
        <v>166.5</v>
      </c>
      <c r="E4207">
        <f t="shared" si="130"/>
        <v>5</v>
      </c>
      <c r="F4207">
        <f t="shared" si="131"/>
        <v>2016</v>
      </c>
    </row>
    <row r="4208" spans="1:6" x14ac:dyDescent="0.2">
      <c r="A4208" s="20">
        <v>42509</v>
      </c>
      <c r="B4208">
        <v>165.25</v>
      </c>
      <c r="E4208">
        <f t="shared" si="130"/>
        <v>5</v>
      </c>
      <c r="F4208">
        <f t="shared" si="131"/>
        <v>2016</v>
      </c>
    </row>
    <row r="4209" spans="1:6" x14ac:dyDescent="0.2">
      <c r="A4209" s="20">
        <v>42510</v>
      </c>
      <c r="B4209">
        <v>166.25</v>
      </c>
      <c r="E4209">
        <f t="shared" si="130"/>
        <v>5</v>
      </c>
      <c r="F4209">
        <f t="shared" si="131"/>
        <v>2016</v>
      </c>
    </row>
    <row r="4210" spans="1:6" x14ac:dyDescent="0.2">
      <c r="A4210" s="20">
        <v>42513</v>
      </c>
      <c r="B4210">
        <v>167</v>
      </c>
      <c r="E4210">
        <f t="shared" si="130"/>
        <v>5</v>
      </c>
      <c r="F4210">
        <f t="shared" si="131"/>
        <v>2016</v>
      </c>
    </row>
    <row r="4211" spans="1:6" x14ac:dyDescent="0.2">
      <c r="A4211" s="20">
        <v>42514</v>
      </c>
      <c r="B4211">
        <v>168.75</v>
      </c>
      <c r="E4211">
        <f t="shared" si="130"/>
        <v>5</v>
      </c>
      <c r="F4211">
        <f t="shared" si="131"/>
        <v>2016</v>
      </c>
    </row>
    <row r="4212" spans="1:6" x14ac:dyDescent="0.2">
      <c r="A4212" s="20">
        <v>42515</v>
      </c>
      <c r="B4212">
        <v>169</v>
      </c>
      <c r="E4212">
        <f t="shared" si="130"/>
        <v>5</v>
      </c>
      <c r="F4212">
        <f t="shared" si="131"/>
        <v>2016</v>
      </c>
    </row>
    <row r="4213" spans="1:6" x14ac:dyDescent="0.2">
      <c r="A4213" s="20">
        <v>42516</v>
      </c>
      <c r="B4213">
        <v>170.5</v>
      </c>
      <c r="E4213">
        <f t="shared" si="130"/>
        <v>5</v>
      </c>
      <c r="F4213">
        <f t="shared" si="131"/>
        <v>2016</v>
      </c>
    </row>
    <row r="4214" spans="1:6" x14ac:dyDescent="0.2">
      <c r="A4214" s="20">
        <v>42517</v>
      </c>
      <c r="B4214">
        <v>171.25</v>
      </c>
      <c r="E4214">
        <f t="shared" si="130"/>
        <v>5</v>
      </c>
      <c r="F4214">
        <f t="shared" si="131"/>
        <v>2016</v>
      </c>
    </row>
    <row r="4215" spans="1:6" x14ac:dyDescent="0.2">
      <c r="A4215" s="20">
        <v>42520</v>
      </c>
      <c r="B4215">
        <v>172</v>
      </c>
      <c r="E4215">
        <f t="shared" si="130"/>
        <v>5</v>
      </c>
      <c r="F4215">
        <f t="shared" si="131"/>
        <v>2016</v>
      </c>
    </row>
    <row r="4216" spans="1:6" x14ac:dyDescent="0.2">
      <c r="A4216" s="20">
        <v>42521</v>
      </c>
      <c r="B4216">
        <v>171.75</v>
      </c>
      <c r="E4216">
        <f t="shared" si="130"/>
        <v>5</v>
      </c>
      <c r="F4216">
        <f t="shared" si="131"/>
        <v>2016</v>
      </c>
    </row>
    <row r="4217" spans="1:6" x14ac:dyDescent="0.2">
      <c r="A4217" s="20">
        <v>42522</v>
      </c>
      <c r="B4217">
        <v>173.5</v>
      </c>
      <c r="E4217">
        <f t="shared" si="130"/>
        <v>6</v>
      </c>
      <c r="F4217">
        <f t="shared" si="131"/>
        <v>2016</v>
      </c>
    </row>
    <row r="4218" spans="1:6" x14ac:dyDescent="0.2">
      <c r="A4218" s="20">
        <v>42523</v>
      </c>
      <c r="B4218">
        <v>176.25</v>
      </c>
      <c r="E4218">
        <f t="shared" si="130"/>
        <v>6</v>
      </c>
      <c r="F4218">
        <f t="shared" si="131"/>
        <v>2016</v>
      </c>
    </row>
    <row r="4219" spans="1:6" x14ac:dyDescent="0.2">
      <c r="A4219" s="20">
        <v>42524</v>
      </c>
      <c r="B4219">
        <v>175.25</v>
      </c>
      <c r="E4219">
        <f t="shared" si="130"/>
        <v>6</v>
      </c>
      <c r="F4219">
        <f t="shared" si="131"/>
        <v>2016</v>
      </c>
    </row>
    <row r="4220" spans="1:6" x14ac:dyDescent="0.2">
      <c r="A4220" s="20">
        <v>42527</v>
      </c>
      <c r="B4220">
        <v>178</v>
      </c>
      <c r="E4220">
        <f t="shared" si="130"/>
        <v>6</v>
      </c>
      <c r="F4220">
        <f t="shared" si="131"/>
        <v>2016</v>
      </c>
    </row>
    <row r="4221" spans="1:6" x14ac:dyDescent="0.2">
      <c r="A4221" s="20">
        <v>42528</v>
      </c>
      <c r="B4221">
        <v>184</v>
      </c>
      <c r="E4221">
        <f t="shared" si="130"/>
        <v>6</v>
      </c>
      <c r="F4221">
        <f t="shared" si="131"/>
        <v>2016</v>
      </c>
    </row>
    <row r="4222" spans="1:6" x14ac:dyDescent="0.2">
      <c r="A4222" s="20">
        <v>42529</v>
      </c>
      <c r="B4222">
        <v>187</v>
      </c>
      <c r="E4222">
        <f t="shared" si="130"/>
        <v>6</v>
      </c>
      <c r="F4222">
        <f t="shared" si="131"/>
        <v>2016</v>
      </c>
    </row>
    <row r="4223" spans="1:6" x14ac:dyDescent="0.2">
      <c r="A4223" s="20">
        <v>42530</v>
      </c>
      <c r="B4223">
        <v>186.5</v>
      </c>
      <c r="E4223">
        <f t="shared" si="130"/>
        <v>6</v>
      </c>
      <c r="F4223">
        <f t="shared" si="131"/>
        <v>2016</v>
      </c>
    </row>
    <row r="4224" spans="1:6" x14ac:dyDescent="0.2">
      <c r="A4224" s="20">
        <v>42531</v>
      </c>
      <c r="B4224">
        <v>186</v>
      </c>
      <c r="E4224">
        <f t="shared" si="130"/>
        <v>6</v>
      </c>
      <c r="F4224">
        <f t="shared" si="131"/>
        <v>2016</v>
      </c>
    </row>
    <row r="4225" spans="1:6" x14ac:dyDescent="0.2">
      <c r="A4225" s="20">
        <v>42534</v>
      </c>
      <c r="B4225">
        <v>187.75</v>
      </c>
      <c r="E4225">
        <f t="shared" si="130"/>
        <v>6</v>
      </c>
      <c r="F4225">
        <f t="shared" si="131"/>
        <v>2016</v>
      </c>
    </row>
    <row r="4226" spans="1:6" x14ac:dyDescent="0.2">
      <c r="A4226" s="20">
        <v>42535</v>
      </c>
      <c r="B4226">
        <v>186</v>
      </c>
      <c r="E4226">
        <f t="shared" si="130"/>
        <v>6</v>
      </c>
      <c r="F4226">
        <f t="shared" si="131"/>
        <v>2016</v>
      </c>
    </row>
    <row r="4227" spans="1:6" x14ac:dyDescent="0.2">
      <c r="A4227" s="20">
        <v>42536</v>
      </c>
      <c r="B4227">
        <v>185.5</v>
      </c>
      <c r="E4227">
        <f t="shared" ref="E4227:E4290" si="132">MONTH(A4227)</f>
        <v>6</v>
      </c>
      <c r="F4227">
        <f t="shared" ref="F4227:F4290" si="133">YEAR(A4227)</f>
        <v>2016</v>
      </c>
    </row>
    <row r="4228" spans="1:6" x14ac:dyDescent="0.2">
      <c r="A4228" s="20">
        <v>42537</v>
      </c>
      <c r="B4228">
        <v>182.5</v>
      </c>
      <c r="E4228">
        <f t="shared" si="132"/>
        <v>6</v>
      </c>
      <c r="F4228">
        <f t="shared" si="133"/>
        <v>2016</v>
      </c>
    </row>
    <row r="4229" spans="1:6" x14ac:dyDescent="0.2">
      <c r="A4229" s="20">
        <v>42538</v>
      </c>
      <c r="B4229">
        <v>181.25</v>
      </c>
      <c r="E4229">
        <f t="shared" si="132"/>
        <v>6</v>
      </c>
      <c r="F4229">
        <f t="shared" si="133"/>
        <v>2016</v>
      </c>
    </row>
    <row r="4230" spans="1:6" x14ac:dyDescent="0.2">
      <c r="A4230" s="20">
        <v>42541</v>
      </c>
      <c r="B4230">
        <v>179.5</v>
      </c>
      <c r="E4230">
        <f t="shared" si="132"/>
        <v>6</v>
      </c>
      <c r="F4230">
        <f t="shared" si="133"/>
        <v>2016</v>
      </c>
    </row>
    <row r="4231" spans="1:6" x14ac:dyDescent="0.2">
      <c r="A4231" s="20">
        <v>42542</v>
      </c>
      <c r="B4231">
        <v>175.25</v>
      </c>
      <c r="E4231">
        <f t="shared" si="132"/>
        <v>6</v>
      </c>
      <c r="F4231">
        <f t="shared" si="133"/>
        <v>2016</v>
      </c>
    </row>
    <row r="4232" spans="1:6" x14ac:dyDescent="0.2">
      <c r="A4232" s="20">
        <v>42543</v>
      </c>
      <c r="B4232">
        <v>177</v>
      </c>
      <c r="E4232">
        <f t="shared" si="132"/>
        <v>6</v>
      </c>
      <c r="F4232">
        <f t="shared" si="133"/>
        <v>2016</v>
      </c>
    </row>
    <row r="4233" spans="1:6" x14ac:dyDescent="0.2">
      <c r="A4233" s="20">
        <v>42544</v>
      </c>
      <c r="B4233">
        <v>176</v>
      </c>
      <c r="E4233">
        <f t="shared" si="132"/>
        <v>6</v>
      </c>
      <c r="F4233">
        <f t="shared" si="133"/>
        <v>2016</v>
      </c>
    </row>
    <row r="4234" spans="1:6" x14ac:dyDescent="0.2">
      <c r="A4234" s="20">
        <v>42545</v>
      </c>
      <c r="B4234">
        <v>175.25</v>
      </c>
      <c r="E4234">
        <f t="shared" si="132"/>
        <v>6</v>
      </c>
      <c r="F4234">
        <f t="shared" si="133"/>
        <v>2016</v>
      </c>
    </row>
    <row r="4235" spans="1:6" x14ac:dyDescent="0.2">
      <c r="A4235" s="20">
        <v>42548</v>
      </c>
      <c r="B4235">
        <v>176</v>
      </c>
      <c r="E4235">
        <f t="shared" si="132"/>
        <v>6</v>
      </c>
      <c r="F4235">
        <f t="shared" si="133"/>
        <v>2016</v>
      </c>
    </row>
    <row r="4236" spans="1:6" x14ac:dyDescent="0.2">
      <c r="A4236" s="20">
        <v>42549</v>
      </c>
      <c r="B4236">
        <v>177.25</v>
      </c>
      <c r="E4236">
        <f t="shared" si="132"/>
        <v>6</v>
      </c>
      <c r="F4236">
        <f t="shared" si="133"/>
        <v>2016</v>
      </c>
    </row>
    <row r="4237" spans="1:6" x14ac:dyDescent="0.2">
      <c r="A4237" s="20">
        <v>42550</v>
      </c>
      <c r="B4237">
        <v>176.75</v>
      </c>
      <c r="E4237">
        <f t="shared" si="132"/>
        <v>6</v>
      </c>
      <c r="F4237">
        <f t="shared" si="133"/>
        <v>2016</v>
      </c>
    </row>
    <row r="4238" spans="1:6" x14ac:dyDescent="0.2">
      <c r="A4238" s="20">
        <v>42551</v>
      </c>
      <c r="B4238">
        <v>173.25</v>
      </c>
      <c r="E4238">
        <f t="shared" si="132"/>
        <v>6</v>
      </c>
      <c r="F4238">
        <f t="shared" si="133"/>
        <v>2016</v>
      </c>
    </row>
    <row r="4239" spans="1:6" x14ac:dyDescent="0.2">
      <c r="A4239" s="20">
        <v>42552</v>
      </c>
      <c r="B4239">
        <v>169.75</v>
      </c>
      <c r="E4239">
        <f t="shared" si="132"/>
        <v>7</v>
      </c>
      <c r="F4239">
        <f t="shared" si="133"/>
        <v>2016</v>
      </c>
    </row>
    <row r="4240" spans="1:6" x14ac:dyDescent="0.2">
      <c r="A4240" s="20">
        <v>42555</v>
      </c>
      <c r="B4240">
        <v>169.75</v>
      </c>
      <c r="E4240">
        <f t="shared" si="132"/>
        <v>7</v>
      </c>
      <c r="F4240">
        <f t="shared" si="133"/>
        <v>2016</v>
      </c>
    </row>
    <row r="4241" spans="1:6" x14ac:dyDescent="0.2">
      <c r="A4241" s="20">
        <v>42556</v>
      </c>
      <c r="B4241">
        <v>168</v>
      </c>
      <c r="E4241">
        <f t="shared" si="132"/>
        <v>7</v>
      </c>
      <c r="F4241">
        <f t="shared" si="133"/>
        <v>2016</v>
      </c>
    </row>
    <row r="4242" spans="1:6" x14ac:dyDescent="0.2">
      <c r="A4242" s="20">
        <v>42557</v>
      </c>
      <c r="B4242">
        <v>167.5</v>
      </c>
      <c r="E4242">
        <f t="shared" si="132"/>
        <v>7</v>
      </c>
      <c r="F4242">
        <f t="shared" si="133"/>
        <v>2016</v>
      </c>
    </row>
    <row r="4243" spans="1:6" x14ac:dyDescent="0.2">
      <c r="A4243" s="20">
        <v>42558</v>
      </c>
      <c r="B4243">
        <v>169.5</v>
      </c>
      <c r="E4243">
        <f t="shared" si="132"/>
        <v>7</v>
      </c>
      <c r="F4243">
        <f t="shared" si="133"/>
        <v>2016</v>
      </c>
    </row>
    <row r="4244" spans="1:6" x14ac:dyDescent="0.2">
      <c r="A4244" s="20">
        <v>42559</v>
      </c>
      <c r="B4244">
        <v>171</v>
      </c>
      <c r="E4244">
        <f t="shared" si="132"/>
        <v>7</v>
      </c>
      <c r="F4244">
        <f t="shared" si="133"/>
        <v>2016</v>
      </c>
    </row>
    <row r="4245" spans="1:6" x14ac:dyDescent="0.2">
      <c r="A4245" s="20">
        <v>42562</v>
      </c>
      <c r="B4245">
        <v>171.75</v>
      </c>
      <c r="E4245">
        <f t="shared" si="132"/>
        <v>7</v>
      </c>
      <c r="F4245">
        <f t="shared" si="133"/>
        <v>2016</v>
      </c>
    </row>
    <row r="4246" spans="1:6" x14ac:dyDescent="0.2">
      <c r="A4246" s="20">
        <v>42563</v>
      </c>
      <c r="B4246">
        <v>171.25</v>
      </c>
      <c r="E4246">
        <f t="shared" si="132"/>
        <v>7</v>
      </c>
      <c r="F4246">
        <f t="shared" si="133"/>
        <v>2016</v>
      </c>
    </row>
    <row r="4247" spans="1:6" x14ac:dyDescent="0.2">
      <c r="A4247" s="20">
        <v>42564</v>
      </c>
      <c r="B4247">
        <v>173.5</v>
      </c>
      <c r="E4247">
        <f t="shared" si="132"/>
        <v>7</v>
      </c>
      <c r="F4247">
        <f t="shared" si="133"/>
        <v>2016</v>
      </c>
    </row>
    <row r="4248" spans="1:6" x14ac:dyDescent="0.2">
      <c r="A4248" s="20">
        <v>42565</v>
      </c>
      <c r="B4248">
        <v>173.75</v>
      </c>
      <c r="E4248">
        <f t="shared" si="132"/>
        <v>7</v>
      </c>
      <c r="F4248">
        <f t="shared" si="133"/>
        <v>2016</v>
      </c>
    </row>
    <row r="4249" spans="1:6" x14ac:dyDescent="0.2">
      <c r="A4249" s="20">
        <v>42566</v>
      </c>
      <c r="B4249">
        <v>173.75</v>
      </c>
      <c r="E4249">
        <f t="shared" si="132"/>
        <v>7</v>
      </c>
      <c r="F4249">
        <f t="shared" si="133"/>
        <v>2016</v>
      </c>
    </row>
    <row r="4250" spans="1:6" x14ac:dyDescent="0.2">
      <c r="A4250" s="20">
        <v>42569</v>
      </c>
      <c r="B4250">
        <v>171.75</v>
      </c>
      <c r="E4250">
        <f t="shared" si="132"/>
        <v>7</v>
      </c>
      <c r="F4250">
        <f t="shared" si="133"/>
        <v>2016</v>
      </c>
    </row>
    <row r="4251" spans="1:6" x14ac:dyDescent="0.2">
      <c r="A4251" s="20">
        <v>42570</v>
      </c>
      <c r="B4251">
        <v>169.25</v>
      </c>
      <c r="E4251">
        <f t="shared" si="132"/>
        <v>7</v>
      </c>
      <c r="F4251">
        <f t="shared" si="133"/>
        <v>2016</v>
      </c>
    </row>
    <row r="4252" spans="1:6" x14ac:dyDescent="0.2">
      <c r="A4252" s="20">
        <v>42571</v>
      </c>
      <c r="B4252">
        <v>167.5</v>
      </c>
      <c r="E4252">
        <f t="shared" si="132"/>
        <v>7</v>
      </c>
      <c r="F4252">
        <f t="shared" si="133"/>
        <v>2016</v>
      </c>
    </row>
    <row r="4253" spans="1:6" x14ac:dyDescent="0.2">
      <c r="A4253" s="20">
        <v>42572</v>
      </c>
      <c r="B4253">
        <v>169.25</v>
      </c>
      <c r="E4253">
        <f t="shared" si="132"/>
        <v>7</v>
      </c>
      <c r="F4253">
        <f t="shared" si="133"/>
        <v>2016</v>
      </c>
    </row>
    <row r="4254" spans="1:6" x14ac:dyDescent="0.2">
      <c r="A4254" s="20">
        <v>42573</v>
      </c>
      <c r="B4254">
        <v>171.5</v>
      </c>
      <c r="E4254">
        <f t="shared" si="132"/>
        <v>7</v>
      </c>
      <c r="F4254">
        <f t="shared" si="133"/>
        <v>2016</v>
      </c>
    </row>
    <row r="4255" spans="1:6" x14ac:dyDescent="0.2">
      <c r="A4255" s="20">
        <v>42576</v>
      </c>
      <c r="B4255">
        <v>170.75</v>
      </c>
      <c r="E4255">
        <f t="shared" si="132"/>
        <v>7</v>
      </c>
      <c r="F4255">
        <f t="shared" si="133"/>
        <v>2016</v>
      </c>
    </row>
    <row r="4256" spans="1:6" x14ac:dyDescent="0.2">
      <c r="A4256" s="20">
        <v>42577</v>
      </c>
      <c r="B4256">
        <v>170</v>
      </c>
      <c r="E4256">
        <f t="shared" si="132"/>
        <v>7</v>
      </c>
      <c r="F4256">
        <f t="shared" si="133"/>
        <v>2016</v>
      </c>
    </row>
    <row r="4257" spans="1:6" x14ac:dyDescent="0.2">
      <c r="A4257" s="20">
        <v>42578</v>
      </c>
      <c r="B4257">
        <v>169.75</v>
      </c>
      <c r="E4257">
        <f t="shared" si="132"/>
        <v>7</v>
      </c>
      <c r="F4257">
        <f t="shared" si="133"/>
        <v>2016</v>
      </c>
    </row>
    <row r="4258" spans="1:6" x14ac:dyDescent="0.2">
      <c r="A4258" s="20">
        <v>42579</v>
      </c>
      <c r="B4258">
        <v>170</v>
      </c>
      <c r="E4258">
        <f t="shared" si="132"/>
        <v>7</v>
      </c>
      <c r="F4258">
        <f t="shared" si="133"/>
        <v>2016</v>
      </c>
    </row>
    <row r="4259" spans="1:6" x14ac:dyDescent="0.2">
      <c r="A4259" s="20">
        <v>42580</v>
      </c>
      <c r="B4259">
        <v>168.75</v>
      </c>
      <c r="E4259">
        <f t="shared" si="132"/>
        <v>7</v>
      </c>
      <c r="F4259">
        <f t="shared" si="133"/>
        <v>2016</v>
      </c>
    </row>
    <row r="4260" spans="1:6" x14ac:dyDescent="0.2">
      <c r="A4260" s="20">
        <v>42583</v>
      </c>
      <c r="B4260">
        <v>168.75</v>
      </c>
      <c r="E4260">
        <f t="shared" si="132"/>
        <v>8</v>
      </c>
      <c r="F4260">
        <f t="shared" si="133"/>
        <v>2016</v>
      </c>
    </row>
    <row r="4261" spans="1:6" x14ac:dyDescent="0.2">
      <c r="A4261" s="20">
        <v>42584</v>
      </c>
      <c r="B4261">
        <v>169.75</v>
      </c>
      <c r="E4261">
        <f t="shared" si="132"/>
        <v>8</v>
      </c>
      <c r="F4261">
        <f t="shared" si="133"/>
        <v>2016</v>
      </c>
    </row>
    <row r="4262" spans="1:6" x14ac:dyDescent="0.2">
      <c r="A4262" s="20">
        <v>42585</v>
      </c>
      <c r="B4262">
        <v>168</v>
      </c>
      <c r="E4262">
        <f t="shared" si="132"/>
        <v>8</v>
      </c>
      <c r="F4262">
        <f t="shared" si="133"/>
        <v>2016</v>
      </c>
    </row>
    <row r="4263" spans="1:6" x14ac:dyDescent="0.2">
      <c r="A4263" s="20">
        <v>42586</v>
      </c>
      <c r="B4263">
        <v>165</v>
      </c>
      <c r="E4263">
        <f t="shared" si="132"/>
        <v>8</v>
      </c>
      <c r="F4263">
        <f t="shared" si="133"/>
        <v>2016</v>
      </c>
    </row>
    <row r="4264" spans="1:6" x14ac:dyDescent="0.2">
      <c r="A4264" s="20">
        <v>42587</v>
      </c>
      <c r="B4264">
        <v>169</v>
      </c>
      <c r="E4264">
        <f t="shared" si="132"/>
        <v>8</v>
      </c>
      <c r="F4264">
        <f t="shared" si="133"/>
        <v>2016</v>
      </c>
    </row>
    <row r="4265" spans="1:6" x14ac:dyDescent="0.2">
      <c r="A4265" s="20">
        <v>42590</v>
      </c>
      <c r="B4265">
        <v>165.5</v>
      </c>
      <c r="E4265">
        <f t="shared" si="132"/>
        <v>8</v>
      </c>
      <c r="F4265">
        <f t="shared" si="133"/>
        <v>2016</v>
      </c>
    </row>
    <row r="4266" spans="1:6" x14ac:dyDescent="0.2">
      <c r="A4266" s="20">
        <v>42591</v>
      </c>
      <c r="B4266">
        <v>165</v>
      </c>
      <c r="E4266">
        <f t="shared" si="132"/>
        <v>8</v>
      </c>
      <c r="F4266">
        <f t="shared" si="133"/>
        <v>2016</v>
      </c>
    </row>
    <row r="4267" spans="1:6" x14ac:dyDescent="0.2">
      <c r="A4267" s="20">
        <v>42592</v>
      </c>
      <c r="B4267">
        <v>166</v>
      </c>
      <c r="E4267">
        <f t="shared" si="132"/>
        <v>8</v>
      </c>
      <c r="F4267">
        <f t="shared" si="133"/>
        <v>2016</v>
      </c>
    </row>
    <row r="4268" spans="1:6" x14ac:dyDescent="0.2">
      <c r="A4268" s="20">
        <v>42593</v>
      </c>
      <c r="B4268">
        <v>167</v>
      </c>
      <c r="E4268">
        <f t="shared" si="132"/>
        <v>8</v>
      </c>
      <c r="F4268">
        <f t="shared" si="133"/>
        <v>2016</v>
      </c>
    </row>
    <row r="4269" spans="1:6" x14ac:dyDescent="0.2">
      <c r="A4269" s="20">
        <v>42594</v>
      </c>
      <c r="B4269">
        <v>165.75</v>
      </c>
      <c r="E4269">
        <f t="shared" si="132"/>
        <v>8</v>
      </c>
      <c r="F4269">
        <f t="shared" si="133"/>
        <v>2016</v>
      </c>
    </row>
    <row r="4270" spans="1:6" x14ac:dyDescent="0.2">
      <c r="A4270" s="20">
        <v>42597</v>
      </c>
      <c r="B4270">
        <v>166.5</v>
      </c>
      <c r="E4270">
        <f t="shared" si="132"/>
        <v>8</v>
      </c>
      <c r="F4270">
        <f t="shared" si="133"/>
        <v>2016</v>
      </c>
    </row>
    <row r="4271" spans="1:6" x14ac:dyDescent="0.2">
      <c r="A4271" s="20">
        <v>42598</v>
      </c>
      <c r="B4271">
        <v>166.5</v>
      </c>
      <c r="E4271">
        <f t="shared" si="132"/>
        <v>8</v>
      </c>
      <c r="F4271">
        <f t="shared" si="133"/>
        <v>2016</v>
      </c>
    </row>
    <row r="4272" spans="1:6" x14ac:dyDescent="0.2">
      <c r="A4272" s="20">
        <v>42599</v>
      </c>
      <c r="B4272">
        <v>166.25</v>
      </c>
      <c r="E4272">
        <f t="shared" si="132"/>
        <v>8</v>
      </c>
      <c r="F4272">
        <f t="shared" si="133"/>
        <v>2016</v>
      </c>
    </row>
    <row r="4273" spans="1:6" x14ac:dyDescent="0.2">
      <c r="A4273" s="20">
        <v>42600</v>
      </c>
      <c r="B4273">
        <v>166.25</v>
      </c>
      <c r="E4273">
        <f t="shared" si="132"/>
        <v>8</v>
      </c>
      <c r="F4273">
        <f t="shared" si="133"/>
        <v>2016</v>
      </c>
    </row>
    <row r="4274" spans="1:6" x14ac:dyDescent="0.2">
      <c r="A4274" s="20">
        <v>42601</v>
      </c>
      <c r="B4274">
        <v>166.75</v>
      </c>
      <c r="E4274">
        <f t="shared" si="132"/>
        <v>8</v>
      </c>
      <c r="F4274">
        <f t="shared" si="133"/>
        <v>2016</v>
      </c>
    </row>
    <row r="4275" spans="1:6" x14ac:dyDescent="0.2">
      <c r="A4275" s="20">
        <v>42604</v>
      </c>
      <c r="B4275">
        <v>165.75</v>
      </c>
      <c r="E4275">
        <f t="shared" si="132"/>
        <v>8</v>
      </c>
      <c r="F4275">
        <f t="shared" si="133"/>
        <v>2016</v>
      </c>
    </row>
    <row r="4276" spans="1:6" x14ac:dyDescent="0.2">
      <c r="A4276" s="20">
        <v>42605</v>
      </c>
      <c r="B4276">
        <v>164.75</v>
      </c>
      <c r="E4276">
        <f t="shared" si="132"/>
        <v>8</v>
      </c>
      <c r="F4276">
        <f t="shared" si="133"/>
        <v>2016</v>
      </c>
    </row>
    <row r="4277" spans="1:6" x14ac:dyDescent="0.2">
      <c r="A4277" s="20">
        <v>42606</v>
      </c>
      <c r="B4277">
        <v>166</v>
      </c>
      <c r="E4277">
        <f t="shared" si="132"/>
        <v>8</v>
      </c>
      <c r="F4277">
        <f t="shared" si="133"/>
        <v>2016</v>
      </c>
    </row>
    <row r="4278" spans="1:6" x14ac:dyDescent="0.2">
      <c r="A4278" s="20">
        <v>42607</v>
      </c>
      <c r="B4278">
        <v>165.5</v>
      </c>
      <c r="E4278">
        <f t="shared" si="132"/>
        <v>8</v>
      </c>
      <c r="F4278">
        <f t="shared" si="133"/>
        <v>2016</v>
      </c>
    </row>
    <row r="4279" spans="1:6" x14ac:dyDescent="0.2">
      <c r="A4279" s="20">
        <v>42608</v>
      </c>
      <c r="B4279">
        <v>164.25</v>
      </c>
      <c r="E4279">
        <f t="shared" si="132"/>
        <v>8</v>
      </c>
      <c r="F4279">
        <f t="shared" si="133"/>
        <v>2016</v>
      </c>
    </row>
    <row r="4280" spans="1:6" x14ac:dyDescent="0.2">
      <c r="A4280" s="20">
        <v>42611</v>
      </c>
      <c r="B4280">
        <v>162</v>
      </c>
      <c r="E4280">
        <f t="shared" si="132"/>
        <v>8</v>
      </c>
      <c r="F4280">
        <f t="shared" si="133"/>
        <v>2016</v>
      </c>
    </row>
    <row r="4281" spans="1:6" x14ac:dyDescent="0.2">
      <c r="A4281" s="20">
        <v>42612</v>
      </c>
      <c r="B4281">
        <v>161.5</v>
      </c>
      <c r="E4281">
        <f t="shared" si="132"/>
        <v>8</v>
      </c>
      <c r="F4281">
        <f t="shared" si="133"/>
        <v>2016</v>
      </c>
    </row>
    <row r="4282" spans="1:6" x14ac:dyDescent="0.2">
      <c r="A4282" s="20">
        <v>42613</v>
      </c>
      <c r="B4282">
        <v>159.75</v>
      </c>
      <c r="E4282">
        <f t="shared" si="132"/>
        <v>8</v>
      </c>
      <c r="F4282">
        <f t="shared" si="133"/>
        <v>2016</v>
      </c>
    </row>
    <row r="4283" spans="1:6" x14ac:dyDescent="0.2">
      <c r="A4283" s="20">
        <v>42614</v>
      </c>
      <c r="B4283">
        <v>161</v>
      </c>
      <c r="E4283">
        <f t="shared" si="132"/>
        <v>9</v>
      </c>
      <c r="F4283">
        <f t="shared" si="133"/>
        <v>2016</v>
      </c>
    </row>
    <row r="4284" spans="1:6" x14ac:dyDescent="0.2">
      <c r="A4284" s="20">
        <v>42615</v>
      </c>
      <c r="B4284">
        <v>162.5</v>
      </c>
      <c r="E4284">
        <f t="shared" si="132"/>
        <v>9</v>
      </c>
      <c r="F4284">
        <f t="shared" si="133"/>
        <v>2016</v>
      </c>
    </row>
    <row r="4285" spans="1:6" x14ac:dyDescent="0.2">
      <c r="A4285" s="20">
        <v>42618</v>
      </c>
      <c r="B4285">
        <v>162.5</v>
      </c>
      <c r="E4285">
        <f t="shared" si="132"/>
        <v>9</v>
      </c>
      <c r="F4285">
        <f t="shared" si="133"/>
        <v>2016</v>
      </c>
    </row>
    <row r="4286" spans="1:6" x14ac:dyDescent="0.2">
      <c r="A4286" s="20">
        <v>42619</v>
      </c>
      <c r="B4286">
        <v>161</v>
      </c>
      <c r="E4286">
        <f t="shared" si="132"/>
        <v>9</v>
      </c>
      <c r="F4286">
        <f t="shared" si="133"/>
        <v>2016</v>
      </c>
    </row>
    <row r="4287" spans="1:6" x14ac:dyDescent="0.2">
      <c r="A4287" s="20">
        <v>42620</v>
      </c>
      <c r="B4287">
        <v>161</v>
      </c>
      <c r="E4287">
        <f t="shared" si="132"/>
        <v>9</v>
      </c>
      <c r="F4287">
        <f t="shared" si="133"/>
        <v>2016</v>
      </c>
    </row>
    <row r="4288" spans="1:6" x14ac:dyDescent="0.2">
      <c r="A4288" s="20">
        <v>42621</v>
      </c>
      <c r="B4288">
        <v>161.25</v>
      </c>
      <c r="E4288">
        <f t="shared" si="132"/>
        <v>9</v>
      </c>
      <c r="F4288">
        <f t="shared" si="133"/>
        <v>2016</v>
      </c>
    </row>
    <row r="4289" spans="1:6" x14ac:dyDescent="0.2">
      <c r="A4289" s="20">
        <v>42622</v>
      </c>
      <c r="B4289">
        <v>160.75</v>
      </c>
      <c r="E4289">
        <f t="shared" si="132"/>
        <v>9</v>
      </c>
      <c r="F4289">
        <f t="shared" si="133"/>
        <v>2016</v>
      </c>
    </row>
    <row r="4290" spans="1:6" x14ac:dyDescent="0.2">
      <c r="A4290" s="20">
        <v>42625</v>
      </c>
      <c r="B4290">
        <v>160.75</v>
      </c>
      <c r="E4290">
        <f t="shared" si="132"/>
        <v>9</v>
      </c>
      <c r="F4290">
        <f t="shared" si="133"/>
        <v>2016</v>
      </c>
    </row>
    <row r="4291" spans="1:6" x14ac:dyDescent="0.2">
      <c r="A4291" s="20">
        <v>42626</v>
      </c>
      <c r="B4291">
        <v>160</v>
      </c>
      <c r="E4291">
        <f t="shared" ref="E4291:E4354" si="134">MONTH(A4291)</f>
        <v>9</v>
      </c>
      <c r="F4291">
        <f t="shared" ref="F4291:F4354" si="135">YEAR(A4291)</f>
        <v>2016</v>
      </c>
    </row>
    <row r="4292" spans="1:6" x14ac:dyDescent="0.2">
      <c r="A4292" s="20">
        <v>42627</v>
      </c>
      <c r="B4292">
        <v>160.25</v>
      </c>
      <c r="E4292">
        <f t="shared" si="134"/>
        <v>9</v>
      </c>
      <c r="F4292">
        <f t="shared" si="135"/>
        <v>2016</v>
      </c>
    </row>
    <row r="4293" spans="1:6" x14ac:dyDescent="0.2">
      <c r="A4293" s="20">
        <v>42628</v>
      </c>
      <c r="B4293">
        <v>160</v>
      </c>
      <c r="E4293">
        <f t="shared" si="134"/>
        <v>9</v>
      </c>
      <c r="F4293">
        <f t="shared" si="135"/>
        <v>2016</v>
      </c>
    </row>
    <row r="4294" spans="1:6" x14ac:dyDescent="0.2">
      <c r="A4294" s="20">
        <v>42629</v>
      </c>
      <c r="B4294">
        <v>160.5</v>
      </c>
      <c r="E4294">
        <f t="shared" si="134"/>
        <v>9</v>
      </c>
      <c r="F4294">
        <f t="shared" si="135"/>
        <v>2016</v>
      </c>
    </row>
    <row r="4295" spans="1:6" x14ac:dyDescent="0.2">
      <c r="A4295" s="20">
        <v>42632</v>
      </c>
      <c r="B4295">
        <v>160.75</v>
      </c>
      <c r="E4295">
        <f t="shared" si="134"/>
        <v>9</v>
      </c>
      <c r="F4295">
        <f t="shared" si="135"/>
        <v>2016</v>
      </c>
    </row>
    <row r="4296" spans="1:6" x14ac:dyDescent="0.2">
      <c r="A4296" s="20">
        <v>42633</v>
      </c>
      <c r="B4296">
        <v>161.75</v>
      </c>
      <c r="E4296">
        <f t="shared" si="134"/>
        <v>9</v>
      </c>
      <c r="F4296">
        <f t="shared" si="135"/>
        <v>2016</v>
      </c>
    </row>
    <row r="4297" spans="1:6" x14ac:dyDescent="0.2">
      <c r="A4297" s="20">
        <v>42634</v>
      </c>
      <c r="B4297">
        <v>162</v>
      </c>
      <c r="E4297">
        <f t="shared" si="134"/>
        <v>9</v>
      </c>
      <c r="F4297">
        <f t="shared" si="135"/>
        <v>2016</v>
      </c>
    </row>
    <row r="4298" spans="1:6" x14ac:dyDescent="0.2">
      <c r="A4298" s="20">
        <v>42635</v>
      </c>
      <c r="B4298">
        <v>162</v>
      </c>
      <c r="E4298">
        <f t="shared" si="134"/>
        <v>9</v>
      </c>
      <c r="F4298">
        <f t="shared" si="135"/>
        <v>2016</v>
      </c>
    </row>
    <row r="4299" spans="1:6" x14ac:dyDescent="0.2">
      <c r="A4299" s="20">
        <v>42636</v>
      </c>
      <c r="B4299">
        <v>162.75</v>
      </c>
      <c r="E4299">
        <f t="shared" si="134"/>
        <v>9</v>
      </c>
      <c r="F4299">
        <f t="shared" si="135"/>
        <v>2016</v>
      </c>
    </row>
    <row r="4300" spans="1:6" x14ac:dyDescent="0.2">
      <c r="A4300" s="20">
        <v>42639</v>
      </c>
      <c r="B4300">
        <v>160.5</v>
      </c>
      <c r="E4300">
        <f t="shared" si="134"/>
        <v>9</v>
      </c>
      <c r="F4300">
        <f t="shared" si="135"/>
        <v>2016</v>
      </c>
    </row>
    <row r="4301" spans="1:6" x14ac:dyDescent="0.2">
      <c r="A4301" s="20">
        <v>42640</v>
      </c>
      <c r="B4301">
        <v>160.5</v>
      </c>
      <c r="E4301">
        <f t="shared" si="134"/>
        <v>9</v>
      </c>
      <c r="F4301">
        <f t="shared" si="135"/>
        <v>2016</v>
      </c>
    </row>
    <row r="4302" spans="1:6" x14ac:dyDescent="0.2">
      <c r="A4302" s="20">
        <v>42641</v>
      </c>
      <c r="B4302">
        <v>160</v>
      </c>
      <c r="E4302">
        <f t="shared" si="134"/>
        <v>9</v>
      </c>
      <c r="F4302">
        <f t="shared" si="135"/>
        <v>2016</v>
      </c>
    </row>
    <row r="4303" spans="1:6" x14ac:dyDescent="0.2">
      <c r="A4303" s="20">
        <v>42642</v>
      </c>
      <c r="B4303">
        <v>160.5</v>
      </c>
      <c r="E4303">
        <f t="shared" si="134"/>
        <v>9</v>
      </c>
      <c r="F4303">
        <f t="shared" si="135"/>
        <v>2016</v>
      </c>
    </row>
    <row r="4304" spans="1:6" x14ac:dyDescent="0.2">
      <c r="A4304" s="20">
        <v>42643</v>
      </c>
      <c r="B4304">
        <v>160.25</v>
      </c>
      <c r="E4304">
        <f t="shared" si="134"/>
        <v>9</v>
      </c>
      <c r="F4304">
        <f t="shared" si="135"/>
        <v>2016</v>
      </c>
    </row>
    <row r="4305" spans="1:6" x14ac:dyDescent="0.2">
      <c r="A4305" s="20">
        <v>42646</v>
      </c>
      <c r="B4305">
        <v>160</v>
      </c>
      <c r="E4305">
        <f t="shared" si="134"/>
        <v>10</v>
      </c>
      <c r="F4305">
        <f t="shared" si="135"/>
        <v>2016</v>
      </c>
    </row>
    <row r="4306" spans="1:6" x14ac:dyDescent="0.2">
      <c r="A4306" s="20">
        <v>42647</v>
      </c>
      <c r="B4306">
        <v>160.5</v>
      </c>
      <c r="E4306">
        <f t="shared" si="134"/>
        <v>10</v>
      </c>
      <c r="F4306">
        <f t="shared" si="135"/>
        <v>2016</v>
      </c>
    </row>
    <row r="4307" spans="1:6" x14ac:dyDescent="0.2">
      <c r="A4307" s="20">
        <v>42648</v>
      </c>
      <c r="B4307">
        <v>161</v>
      </c>
      <c r="E4307">
        <f t="shared" si="134"/>
        <v>10</v>
      </c>
      <c r="F4307">
        <f t="shared" si="135"/>
        <v>2016</v>
      </c>
    </row>
    <row r="4308" spans="1:6" x14ac:dyDescent="0.2">
      <c r="A4308" s="20">
        <v>42649</v>
      </c>
      <c r="B4308">
        <v>159.5</v>
      </c>
      <c r="E4308">
        <f t="shared" si="134"/>
        <v>10</v>
      </c>
      <c r="F4308">
        <f t="shared" si="135"/>
        <v>2016</v>
      </c>
    </row>
    <row r="4309" spans="1:6" x14ac:dyDescent="0.2">
      <c r="A4309" s="20">
        <v>42650</v>
      </c>
      <c r="B4309">
        <v>158.5</v>
      </c>
      <c r="E4309">
        <f t="shared" si="134"/>
        <v>10</v>
      </c>
      <c r="F4309">
        <f t="shared" si="135"/>
        <v>2016</v>
      </c>
    </row>
    <row r="4310" spans="1:6" x14ac:dyDescent="0.2">
      <c r="A4310" s="20">
        <v>42653</v>
      </c>
      <c r="B4310">
        <v>158</v>
      </c>
      <c r="E4310">
        <f t="shared" si="134"/>
        <v>10</v>
      </c>
      <c r="F4310">
        <f t="shared" si="135"/>
        <v>2016</v>
      </c>
    </row>
    <row r="4311" spans="1:6" x14ac:dyDescent="0.2">
      <c r="A4311" s="20">
        <v>42654</v>
      </c>
      <c r="B4311">
        <v>158</v>
      </c>
      <c r="E4311">
        <f t="shared" si="134"/>
        <v>10</v>
      </c>
      <c r="F4311">
        <f t="shared" si="135"/>
        <v>2016</v>
      </c>
    </row>
    <row r="4312" spans="1:6" x14ac:dyDescent="0.2">
      <c r="A4312" s="20">
        <v>42655</v>
      </c>
      <c r="B4312">
        <v>157.5</v>
      </c>
      <c r="E4312">
        <f t="shared" si="134"/>
        <v>10</v>
      </c>
      <c r="F4312">
        <f t="shared" si="135"/>
        <v>2016</v>
      </c>
    </row>
    <row r="4313" spans="1:6" x14ac:dyDescent="0.2">
      <c r="A4313" s="20">
        <v>42656</v>
      </c>
      <c r="B4313">
        <v>158.25</v>
      </c>
      <c r="E4313">
        <f t="shared" si="134"/>
        <v>10</v>
      </c>
      <c r="F4313">
        <f t="shared" si="135"/>
        <v>2016</v>
      </c>
    </row>
    <row r="4314" spans="1:6" x14ac:dyDescent="0.2">
      <c r="A4314" s="20">
        <v>42657</v>
      </c>
      <c r="B4314">
        <v>159.5</v>
      </c>
      <c r="E4314">
        <f t="shared" si="134"/>
        <v>10</v>
      </c>
      <c r="F4314">
        <f t="shared" si="135"/>
        <v>2016</v>
      </c>
    </row>
    <row r="4315" spans="1:6" x14ac:dyDescent="0.2">
      <c r="A4315" s="20">
        <v>42660</v>
      </c>
      <c r="B4315">
        <v>158.75</v>
      </c>
      <c r="E4315">
        <f t="shared" si="134"/>
        <v>10</v>
      </c>
      <c r="F4315">
        <f t="shared" si="135"/>
        <v>2016</v>
      </c>
    </row>
    <row r="4316" spans="1:6" x14ac:dyDescent="0.2">
      <c r="A4316" s="20">
        <v>42661</v>
      </c>
      <c r="B4316">
        <v>159.25</v>
      </c>
      <c r="E4316">
        <f t="shared" si="134"/>
        <v>10</v>
      </c>
      <c r="F4316">
        <f t="shared" si="135"/>
        <v>2016</v>
      </c>
    </row>
    <row r="4317" spans="1:6" x14ac:dyDescent="0.2">
      <c r="A4317" s="20">
        <v>42662</v>
      </c>
      <c r="B4317">
        <v>159.25</v>
      </c>
      <c r="E4317">
        <f t="shared" si="134"/>
        <v>10</v>
      </c>
      <c r="F4317">
        <f t="shared" si="135"/>
        <v>2016</v>
      </c>
    </row>
    <row r="4318" spans="1:6" x14ac:dyDescent="0.2">
      <c r="A4318" s="20">
        <v>42663</v>
      </c>
      <c r="B4318">
        <v>158.75</v>
      </c>
      <c r="E4318">
        <f t="shared" si="134"/>
        <v>10</v>
      </c>
      <c r="F4318">
        <f t="shared" si="135"/>
        <v>2016</v>
      </c>
    </row>
    <row r="4319" spans="1:6" x14ac:dyDescent="0.2">
      <c r="A4319" s="20">
        <v>42664</v>
      </c>
      <c r="B4319">
        <v>159.25</v>
      </c>
      <c r="E4319">
        <f t="shared" si="134"/>
        <v>10</v>
      </c>
      <c r="F4319">
        <f t="shared" si="135"/>
        <v>2016</v>
      </c>
    </row>
    <row r="4320" spans="1:6" x14ac:dyDescent="0.2">
      <c r="A4320" s="20">
        <v>42667</v>
      </c>
      <c r="B4320">
        <v>159.25</v>
      </c>
      <c r="E4320">
        <f t="shared" si="134"/>
        <v>10</v>
      </c>
      <c r="F4320">
        <f t="shared" si="135"/>
        <v>2016</v>
      </c>
    </row>
    <row r="4321" spans="1:6" x14ac:dyDescent="0.2">
      <c r="A4321" s="20">
        <v>42668</v>
      </c>
      <c r="B4321">
        <v>161.75</v>
      </c>
      <c r="E4321">
        <f t="shared" si="134"/>
        <v>10</v>
      </c>
      <c r="F4321">
        <f t="shared" si="135"/>
        <v>2016</v>
      </c>
    </row>
    <row r="4322" spans="1:6" x14ac:dyDescent="0.2">
      <c r="A4322" s="20">
        <v>42669</v>
      </c>
      <c r="B4322">
        <v>164.5</v>
      </c>
      <c r="E4322">
        <f t="shared" si="134"/>
        <v>10</v>
      </c>
      <c r="F4322">
        <f t="shared" si="135"/>
        <v>2016</v>
      </c>
    </row>
    <row r="4323" spans="1:6" x14ac:dyDescent="0.2">
      <c r="A4323" s="20">
        <v>42670</v>
      </c>
      <c r="B4323">
        <v>166.75</v>
      </c>
      <c r="E4323">
        <f t="shared" si="134"/>
        <v>10</v>
      </c>
      <c r="F4323">
        <f t="shared" si="135"/>
        <v>2016</v>
      </c>
    </row>
    <row r="4324" spans="1:6" x14ac:dyDescent="0.2">
      <c r="A4324" s="20">
        <v>42671</v>
      </c>
      <c r="B4324">
        <v>167</v>
      </c>
      <c r="E4324">
        <f t="shared" si="134"/>
        <v>10</v>
      </c>
      <c r="F4324">
        <f t="shared" si="135"/>
        <v>2016</v>
      </c>
    </row>
    <row r="4325" spans="1:6" x14ac:dyDescent="0.2">
      <c r="A4325" s="20">
        <v>42674</v>
      </c>
      <c r="B4325">
        <v>167</v>
      </c>
      <c r="E4325">
        <f t="shared" si="134"/>
        <v>10</v>
      </c>
      <c r="F4325">
        <f t="shared" si="135"/>
        <v>2016</v>
      </c>
    </row>
    <row r="4326" spans="1:6" x14ac:dyDescent="0.2">
      <c r="A4326" s="20">
        <v>42675</v>
      </c>
      <c r="B4326">
        <v>166.25</v>
      </c>
      <c r="E4326">
        <f t="shared" si="134"/>
        <v>11</v>
      </c>
      <c r="F4326">
        <f t="shared" si="135"/>
        <v>2016</v>
      </c>
    </row>
    <row r="4327" spans="1:6" x14ac:dyDescent="0.2">
      <c r="A4327" s="20">
        <v>42676</v>
      </c>
      <c r="B4327">
        <v>164.75</v>
      </c>
      <c r="E4327">
        <f t="shared" si="134"/>
        <v>11</v>
      </c>
      <c r="F4327">
        <f t="shared" si="135"/>
        <v>2016</v>
      </c>
    </row>
    <row r="4328" spans="1:6" x14ac:dyDescent="0.2">
      <c r="A4328" s="20">
        <v>42677</v>
      </c>
      <c r="B4328">
        <v>164</v>
      </c>
      <c r="E4328">
        <f t="shared" si="134"/>
        <v>11</v>
      </c>
      <c r="F4328">
        <f t="shared" si="135"/>
        <v>2016</v>
      </c>
    </row>
    <row r="4329" spans="1:6" x14ac:dyDescent="0.2">
      <c r="A4329" s="20">
        <v>42678</v>
      </c>
      <c r="B4329">
        <v>163.25</v>
      </c>
      <c r="E4329">
        <f t="shared" si="134"/>
        <v>11</v>
      </c>
      <c r="F4329">
        <f t="shared" si="135"/>
        <v>2016</v>
      </c>
    </row>
    <row r="4330" spans="1:6" x14ac:dyDescent="0.2">
      <c r="A4330" s="20">
        <v>42681</v>
      </c>
      <c r="B4330">
        <v>159.5</v>
      </c>
      <c r="E4330">
        <f t="shared" si="134"/>
        <v>11</v>
      </c>
      <c r="F4330">
        <f t="shared" si="135"/>
        <v>2016</v>
      </c>
    </row>
    <row r="4331" spans="1:6" x14ac:dyDescent="0.2">
      <c r="A4331" s="20">
        <v>42682</v>
      </c>
      <c r="B4331">
        <v>165.75</v>
      </c>
      <c r="E4331">
        <f t="shared" si="134"/>
        <v>11</v>
      </c>
      <c r="F4331">
        <f t="shared" si="135"/>
        <v>2016</v>
      </c>
    </row>
    <row r="4332" spans="1:6" x14ac:dyDescent="0.2">
      <c r="A4332" s="20">
        <v>42683</v>
      </c>
      <c r="B4332">
        <v>164.5</v>
      </c>
      <c r="E4332">
        <f t="shared" si="134"/>
        <v>11</v>
      </c>
      <c r="F4332">
        <f t="shared" si="135"/>
        <v>2016</v>
      </c>
    </row>
    <row r="4333" spans="1:6" x14ac:dyDescent="0.2">
      <c r="A4333" s="20">
        <v>42684</v>
      </c>
      <c r="B4333">
        <v>165</v>
      </c>
      <c r="E4333">
        <f t="shared" si="134"/>
        <v>11</v>
      </c>
      <c r="F4333">
        <f t="shared" si="135"/>
        <v>2016</v>
      </c>
    </row>
    <row r="4334" spans="1:6" x14ac:dyDescent="0.2">
      <c r="A4334" s="20">
        <v>42685</v>
      </c>
      <c r="B4334">
        <v>165</v>
      </c>
      <c r="E4334">
        <f t="shared" si="134"/>
        <v>11</v>
      </c>
      <c r="F4334">
        <f t="shared" si="135"/>
        <v>2016</v>
      </c>
    </row>
    <row r="4335" spans="1:6" x14ac:dyDescent="0.2">
      <c r="A4335" s="20">
        <v>42688</v>
      </c>
      <c r="B4335">
        <v>165.5</v>
      </c>
      <c r="E4335">
        <f t="shared" si="134"/>
        <v>11</v>
      </c>
      <c r="F4335">
        <f t="shared" si="135"/>
        <v>2016</v>
      </c>
    </row>
    <row r="4336" spans="1:6" x14ac:dyDescent="0.2">
      <c r="A4336" s="20">
        <v>42689</v>
      </c>
      <c r="B4336">
        <v>165.5</v>
      </c>
      <c r="E4336">
        <f t="shared" si="134"/>
        <v>11</v>
      </c>
      <c r="F4336">
        <f t="shared" si="135"/>
        <v>2016</v>
      </c>
    </row>
    <row r="4337" spans="1:6" x14ac:dyDescent="0.2">
      <c r="A4337" s="20">
        <v>42690</v>
      </c>
      <c r="B4337">
        <v>165.75</v>
      </c>
      <c r="E4337">
        <f t="shared" si="134"/>
        <v>11</v>
      </c>
      <c r="F4337">
        <f t="shared" si="135"/>
        <v>2016</v>
      </c>
    </row>
    <row r="4338" spans="1:6" x14ac:dyDescent="0.2">
      <c r="A4338" s="20">
        <v>42691</v>
      </c>
      <c r="B4338">
        <v>166</v>
      </c>
      <c r="E4338">
        <f t="shared" si="134"/>
        <v>11</v>
      </c>
      <c r="F4338">
        <f t="shared" si="135"/>
        <v>2016</v>
      </c>
    </row>
    <row r="4339" spans="1:6" x14ac:dyDescent="0.2">
      <c r="A4339" s="20">
        <v>42692</v>
      </c>
      <c r="B4339">
        <v>167</v>
      </c>
      <c r="E4339">
        <f t="shared" si="134"/>
        <v>11</v>
      </c>
      <c r="F4339">
        <f t="shared" si="135"/>
        <v>2016</v>
      </c>
    </row>
    <row r="4340" spans="1:6" x14ac:dyDescent="0.2">
      <c r="A4340" s="20">
        <v>42695</v>
      </c>
      <c r="B4340">
        <v>167.5</v>
      </c>
      <c r="E4340">
        <f t="shared" si="134"/>
        <v>11</v>
      </c>
      <c r="F4340">
        <f t="shared" si="135"/>
        <v>2016</v>
      </c>
    </row>
    <row r="4341" spans="1:6" x14ac:dyDescent="0.2">
      <c r="A4341" s="20">
        <v>42696</v>
      </c>
      <c r="B4341">
        <v>167.75</v>
      </c>
      <c r="E4341">
        <f t="shared" si="134"/>
        <v>11</v>
      </c>
      <c r="F4341">
        <f t="shared" si="135"/>
        <v>2016</v>
      </c>
    </row>
    <row r="4342" spans="1:6" x14ac:dyDescent="0.2">
      <c r="A4342" s="20">
        <v>42697</v>
      </c>
      <c r="B4342">
        <v>167.75</v>
      </c>
      <c r="E4342">
        <f t="shared" si="134"/>
        <v>11</v>
      </c>
      <c r="F4342">
        <f t="shared" si="135"/>
        <v>2016</v>
      </c>
    </row>
    <row r="4343" spans="1:6" x14ac:dyDescent="0.2">
      <c r="A4343" s="20">
        <v>42698</v>
      </c>
      <c r="B4343">
        <v>168</v>
      </c>
      <c r="E4343">
        <f t="shared" si="134"/>
        <v>11</v>
      </c>
      <c r="F4343">
        <f t="shared" si="135"/>
        <v>2016</v>
      </c>
    </row>
    <row r="4344" spans="1:6" x14ac:dyDescent="0.2">
      <c r="A4344" s="20">
        <v>42699</v>
      </c>
      <c r="B4344">
        <v>168</v>
      </c>
      <c r="E4344">
        <f t="shared" si="134"/>
        <v>11</v>
      </c>
      <c r="F4344">
        <f t="shared" si="135"/>
        <v>2016</v>
      </c>
    </row>
    <row r="4345" spans="1:6" x14ac:dyDescent="0.2">
      <c r="A4345" s="20">
        <v>42702</v>
      </c>
      <c r="B4345">
        <v>167.25</v>
      </c>
      <c r="E4345">
        <f t="shared" si="134"/>
        <v>11</v>
      </c>
      <c r="F4345">
        <f t="shared" si="135"/>
        <v>2016</v>
      </c>
    </row>
    <row r="4346" spans="1:6" x14ac:dyDescent="0.2">
      <c r="A4346" s="20">
        <v>42703</v>
      </c>
      <c r="B4346">
        <v>166.25</v>
      </c>
      <c r="E4346">
        <f t="shared" si="134"/>
        <v>11</v>
      </c>
      <c r="F4346">
        <f t="shared" si="135"/>
        <v>2016</v>
      </c>
    </row>
    <row r="4347" spans="1:6" x14ac:dyDescent="0.2">
      <c r="A4347" s="20">
        <v>42704</v>
      </c>
      <c r="B4347">
        <v>166</v>
      </c>
      <c r="E4347">
        <f t="shared" si="134"/>
        <v>11</v>
      </c>
      <c r="F4347">
        <f t="shared" si="135"/>
        <v>2016</v>
      </c>
    </row>
    <row r="4348" spans="1:6" x14ac:dyDescent="0.2">
      <c r="A4348" s="20">
        <v>42705</v>
      </c>
      <c r="B4348">
        <v>165</v>
      </c>
      <c r="E4348">
        <f t="shared" si="134"/>
        <v>12</v>
      </c>
      <c r="F4348">
        <f t="shared" si="135"/>
        <v>2016</v>
      </c>
    </row>
    <row r="4349" spans="1:6" x14ac:dyDescent="0.2">
      <c r="A4349" s="20">
        <v>42706</v>
      </c>
      <c r="B4349">
        <v>164.5</v>
      </c>
      <c r="E4349">
        <f t="shared" si="134"/>
        <v>12</v>
      </c>
      <c r="F4349">
        <f t="shared" si="135"/>
        <v>2016</v>
      </c>
    </row>
    <row r="4350" spans="1:6" x14ac:dyDescent="0.2">
      <c r="A4350" s="20">
        <v>42709</v>
      </c>
      <c r="B4350">
        <v>163.75</v>
      </c>
      <c r="E4350">
        <f t="shared" si="134"/>
        <v>12</v>
      </c>
      <c r="F4350">
        <f t="shared" si="135"/>
        <v>2016</v>
      </c>
    </row>
    <row r="4351" spans="1:6" x14ac:dyDescent="0.2">
      <c r="A4351" s="20">
        <v>42710</v>
      </c>
      <c r="B4351">
        <v>163.75</v>
      </c>
      <c r="E4351">
        <f t="shared" si="134"/>
        <v>12</v>
      </c>
      <c r="F4351">
        <f t="shared" si="135"/>
        <v>2016</v>
      </c>
    </row>
    <row r="4352" spans="1:6" x14ac:dyDescent="0.2">
      <c r="A4352" s="20">
        <v>42711</v>
      </c>
      <c r="B4352">
        <v>164</v>
      </c>
      <c r="E4352">
        <f t="shared" si="134"/>
        <v>12</v>
      </c>
      <c r="F4352">
        <f t="shared" si="135"/>
        <v>2016</v>
      </c>
    </row>
    <row r="4353" spans="1:6" x14ac:dyDescent="0.2">
      <c r="A4353" s="20">
        <v>42712</v>
      </c>
      <c r="B4353">
        <v>165.25</v>
      </c>
      <c r="E4353">
        <f t="shared" si="134"/>
        <v>12</v>
      </c>
      <c r="F4353">
        <f t="shared" si="135"/>
        <v>2016</v>
      </c>
    </row>
    <row r="4354" spans="1:6" x14ac:dyDescent="0.2">
      <c r="A4354" s="20">
        <v>42713</v>
      </c>
      <c r="B4354">
        <v>165.75</v>
      </c>
      <c r="E4354">
        <f t="shared" si="134"/>
        <v>12</v>
      </c>
      <c r="F4354">
        <f t="shared" si="135"/>
        <v>2016</v>
      </c>
    </row>
    <row r="4355" spans="1:6" x14ac:dyDescent="0.2">
      <c r="A4355" s="20">
        <v>42716</v>
      </c>
      <c r="B4355">
        <v>165.75</v>
      </c>
      <c r="E4355">
        <f t="shared" ref="E4355:E4418" si="136">MONTH(A4355)</f>
        <v>12</v>
      </c>
      <c r="F4355">
        <f t="shared" ref="F4355:F4418" si="137">YEAR(A4355)</f>
        <v>2016</v>
      </c>
    </row>
    <row r="4356" spans="1:6" x14ac:dyDescent="0.2">
      <c r="A4356" s="20">
        <v>42717</v>
      </c>
      <c r="B4356">
        <v>166</v>
      </c>
      <c r="E4356">
        <f t="shared" si="136"/>
        <v>12</v>
      </c>
      <c r="F4356">
        <f t="shared" si="137"/>
        <v>2016</v>
      </c>
    </row>
    <row r="4357" spans="1:6" x14ac:dyDescent="0.2">
      <c r="A4357" s="20">
        <v>42718</v>
      </c>
      <c r="B4357">
        <v>166.25</v>
      </c>
      <c r="E4357">
        <f t="shared" si="136"/>
        <v>12</v>
      </c>
      <c r="F4357">
        <f t="shared" si="137"/>
        <v>2016</v>
      </c>
    </row>
    <row r="4358" spans="1:6" x14ac:dyDescent="0.2">
      <c r="A4358" s="20">
        <v>42719</v>
      </c>
      <c r="B4358">
        <v>167</v>
      </c>
      <c r="E4358">
        <f t="shared" si="136"/>
        <v>12</v>
      </c>
      <c r="F4358">
        <f t="shared" si="137"/>
        <v>2016</v>
      </c>
    </row>
    <row r="4359" spans="1:6" x14ac:dyDescent="0.2">
      <c r="A4359" s="20">
        <v>42720</v>
      </c>
      <c r="B4359">
        <v>166.5</v>
      </c>
      <c r="E4359">
        <f t="shared" si="136"/>
        <v>12</v>
      </c>
      <c r="F4359">
        <f t="shared" si="137"/>
        <v>2016</v>
      </c>
    </row>
    <row r="4360" spans="1:6" x14ac:dyDescent="0.2">
      <c r="A4360" s="20">
        <v>42723</v>
      </c>
      <c r="B4360">
        <v>166.75</v>
      </c>
      <c r="E4360">
        <f t="shared" si="136"/>
        <v>12</v>
      </c>
      <c r="F4360">
        <f t="shared" si="137"/>
        <v>2016</v>
      </c>
    </row>
    <row r="4361" spans="1:6" x14ac:dyDescent="0.2">
      <c r="A4361" s="20">
        <v>42724</v>
      </c>
      <c r="B4361">
        <v>167.5</v>
      </c>
      <c r="E4361">
        <f t="shared" si="136"/>
        <v>12</v>
      </c>
      <c r="F4361">
        <f t="shared" si="137"/>
        <v>2016</v>
      </c>
    </row>
    <row r="4362" spans="1:6" x14ac:dyDescent="0.2">
      <c r="A4362" s="20">
        <v>42725</v>
      </c>
      <c r="B4362">
        <v>168.75</v>
      </c>
      <c r="E4362">
        <f t="shared" si="136"/>
        <v>12</v>
      </c>
      <c r="F4362">
        <f t="shared" si="137"/>
        <v>2016</v>
      </c>
    </row>
    <row r="4363" spans="1:6" x14ac:dyDescent="0.2">
      <c r="A4363" s="20">
        <v>42726</v>
      </c>
      <c r="B4363">
        <v>169</v>
      </c>
      <c r="E4363">
        <f t="shared" si="136"/>
        <v>12</v>
      </c>
      <c r="F4363">
        <f t="shared" si="137"/>
        <v>2016</v>
      </c>
    </row>
    <row r="4364" spans="1:6" x14ac:dyDescent="0.2">
      <c r="A4364" s="20">
        <v>42727</v>
      </c>
      <c r="B4364">
        <v>167.75</v>
      </c>
      <c r="E4364">
        <f t="shared" si="136"/>
        <v>12</v>
      </c>
      <c r="F4364">
        <f t="shared" si="137"/>
        <v>2016</v>
      </c>
    </row>
    <row r="4365" spans="1:6" x14ac:dyDescent="0.2">
      <c r="A4365" s="20">
        <v>42731</v>
      </c>
      <c r="B4365">
        <v>168</v>
      </c>
      <c r="E4365">
        <f t="shared" si="136"/>
        <v>12</v>
      </c>
      <c r="F4365">
        <f t="shared" si="137"/>
        <v>2016</v>
      </c>
    </row>
    <row r="4366" spans="1:6" x14ac:dyDescent="0.2">
      <c r="A4366" s="20">
        <v>42732</v>
      </c>
      <c r="B4366">
        <v>169.25</v>
      </c>
      <c r="E4366">
        <f t="shared" si="136"/>
        <v>12</v>
      </c>
      <c r="F4366">
        <f t="shared" si="137"/>
        <v>2016</v>
      </c>
    </row>
    <row r="4367" spans="1:6" x14ac:dyDescent="0.2">
      <c r="A4367" s="20">
        <v>42733</v>
      </c>
      <c r="B4367">
        <v>169.25</v>
      </c>
      <c r="E4367">
        <f t="shared" si="136"/>
        <v>12</v>
      </c>
      <c r="F4367">
        <f t="shared" si="137"/>
        <v>2016</v>
      </c>
    </row>
    <row r="4368" spans="1:6" x14ac:dyDescent="0.2">
      <c r="A4368" s="20">
        <v>42734</v>
      </c>
      <c r="B4368">
        <v>168.5</v>
      </c>
      <c r="E4368">
        <f t="shared" si="136"/>
        <v>12</v>
      </c>
      <c r="F4368">
        <f t="shared" si="137"/>
        <v>2016</v>
      </c>
    </row>
    <row r="4369" spans="1:6" x14ac:dyDescent="0.2">
      <c r="A4369" s="20">
        <v>42737</v>
      </c>
      <c r="B4369">
        <v>168.5</v>
      </c>
      <c r="E4369">
        <f t="shared" si="136"/>
        <v>1</v>
      </c>
      <c r="F4369">
        <f t="shared" si="137"/>
        <v>2017</v>
      </c>
    </row>
    <row r="4370" spans="1:6" x14ac:dyDescent="0.2">
      <c r="A4370" s="20">
        <v>42738</v>
      </c>
      <c r="B4370">
        <v>169</v>
      </c>
      <c r="E4370">
        <f t="shared" si="136"/>
        <v>1</v>
      </c>
      <c r="F4370">
        <f t="shared" si="137"/>
        <v>2017</v>
      </c>
    </row>
    <row r="4371" spans="1:6" x14ac:dyDescent="0.2">
      <c r="A4371" s="20">
        <v>42739</v>
      </c>
      <c r="B4371">
        <v>169.5</v>
      </c>
      <c r="E4371">
        <f t="shared" si="136"/>
        <v>1</v>
      </c>
      <c r="F4371">
        <f t="shared" si="137"/>
        <v>2017</v>
      </c>
    </row>
    <row r="4372" spans="1:6" x14ac:dyDescent="0.2">
      <c r="A4372" s="20">
        <v>42740</v>
      </c>
      <c r="B4372">
        <v>169.5</v>
      </c>
      <c r="E4372">
        <f t="shared" si="136"/>
        <v>1</v>
      </c>
      <c r="F4372">
        <f t="shared" si="137"/>
        <v>2017</v>
      </c>
    </row>
    <row r="4373" spans="1:6" x14ac:dyDescent="0.2">
      <c r="A4373" s="20">
        <v>42741</v>
      </c>
      <c r="B4373">
        <v>169.75</v>
      </c>
      <c r="E4373">
        <f t="shared" si="136"/>
        <v>1</v>
      </c>
      <c r="F4373">
        <f t="shared" si="137"/>
        <v>2017</v>
      </c>
    </row>
    <row r="4374" spans="1:6" x14ac:dyDescent="0.2">
      <c r="A4374" s="20">
        <v>42744</v>
      </c>
      <c r="B4374">
        <v>169.75</v>
      </c>
      <c r="E4374">
        <f t="shared" si="136"/>
        <v>1</v>
      </c>
      <c r="F4374">
        <f t="shared" si="137"/>
        <v>2017</v>
      </c>
    </row>
    <row r="4375" spans="1:6" x14ac:dyDescent="0.2">
      <c r="A4375" s="20">
        <v>42745</v>
      </c>
      <c r="B4375">
        <v>169</v>
      </c>
      <c r="E4375">
        <f t="shared" si="136"/>
        <v>1</v>
      </c>
      <c r="F4375">
        <f t="shared" si="137"/>
        <v>2017</v>
      </c>
    </row>
    <row r="4376" spans="1:6" x14ac:dyDescent="0.2">
      <c r="A4376" s="20">
        <v>42746</v>
      </c>
      <c r="B4376">
        <v>168.5</v>
      </c>
      <c r="E4376">
        <f t="shared" si="136"/>
        <v>1</v>
      </c>
      <c r="F4376">
        <f t="shared" si="137"/>
        <v>2017</v>
      </c>
    </row>
    <row r="4377" spans="1:6" x14ac:dyDescent="0.2">
      <c r="A4377" s="20">
        <v>42747</v>
      </c>
      <c r="B4377">
        <v>167.5</v>
      </c>
      <c r="E4377">
        <f t="shared" si="136"/>
        <v>1</v>
      </c>
      <c r="F4377">
        <f t="shared" si="137"/>
        <v>2017</v>
      </c>
    </row>
    <row r="4378" spans="1:6" x14ac:dyDescent="0.2">
      <c r="A4378" s="20">
        <v>42748</v>
      </c>
      <c r="B4378">
        <v>167.5</v>
      </c>
      <c r="E4378">
        <f t="shared" si="136"/>
        <v>1</v>
      </c>
      <c r="F4378">
        <f t="shared" si="137"/>
        <v>2017</v>
      </c>
    </row>
    <row r="4379" spans="1:6" x14ac:dyDescent="0.2">
      <c r="A4379" s="20">
        <v>42751</v>
      </c>
      <c r="B4379">
        <v>167.5</v>
      </c>
      <c r="E4379">
        <f t="shared" si="136"/>
        <v>1</v>
      </c>
      <c r="F4379">
        <f t="shared" si="137"/>
        <v>2017</v>
      </c>
    </row>
    <row r="4380" spans="1:6" x14ac:dyDescent="0.2">
      <c r="A4380" s="20">
        <v>42752</v>
      </c>
      <c r="B4380">
        <v>169</v>
      </c>
      <c r="E4380">
        <f t="shared" si="136"/>
        <v>1</v>
      </c>
      <c r="F4380">
        <f t="shared" si="137"/>
        <v>2017</v>
      </c>
    </row>
    <row r="4381" spans="1:6" x14ac:dyDescent="0.2">
      <c r="A4381" s="20">
        <v>42753</v>
      </c>
      <c r="B4381">
        <v>169.5</v>
      </c>
      <c r="E4381">
        <f t="shared" si="136"/>
        <v>1</v>
      </c>
      <c r="F4381">
        <f t="shared" si="137"/>
        <v>2017</v>
      </c>
    </row>
    <row r="4382" spans="1:6" x14ac:dyDescent="0.2">
      <c r="A4382" s="20">
        <v>42754</v>
      </c>
      <c r="B4382">
        <v>169.5</v>
      </c>
      <c r="E4382">
        <f t="shared" si="136"/>
        <v>1</v>
      </c>
      <c r="F4382">
        <f t="shared" si="137"/>
        <v>2017</v>
      </c>
    </row>
    <row r="4383" spans="1:6" x14ac:dyDescent="0.2">
      <c r="A4383" s="20">
        <v>42755</v>
      </c>
      <c r="B4383">
        <v>170</v>
      </c>
      <c r="E4383">
        <f t="shared" si="136"/>
        <v>1</v>
      </c>
      <c r="F4383">
        <f t="shared" si="137"/>
        <v>2017</v>
      </c>
    </row>
    <row r="4384" spans="1:6" x14ac:dyDescent="0.2">
      <c r="A4384" s="20">
        <v>42758</v>
      </c>
      <c r="B4384">
        <v>170</v>
      </c>
      <c r="E4384">
        <f t="shared" si="136"/>
        <v>1</v>
      </c>
      <c r="F4384">
        <f t="shared" si="137"/>
        <v>2017</v>
      </c>
    </row>
    <row r="4385" spans="1:6" x14ac:dyDescent="0.2">
      <c r="A4385" s="20">
        <v>42759</v>
      </c>
      <c r="B4385">
        <v>170.75</v>
      </c>
      <c r="E4385">
        <f t="shared" si="136"/>
        <v>1</v>
      </c>
      <c r="F4385">
        <f t="shared" si="137"/>
        <v>2017</v>
      </c>
    </row>
    <row r="4386" spans="1:6" x14ac:dyDescent="0.2">
      <c r="A4386" s="20">
        <v>42760</v>
      </c>
      <c r="B4386">
        <v>171</v>
      </c>
      <c r="E4386">
        <f t="shared" si="136"/>
        <v>1</v>
      </c>
      <c r="F4386">
        <f t="shared" si="137"/>
        <v>2017</v>
      </c>
    </row>
    <row r="4387" spans="1:6" x14ac:dyDescent="0.2">
      <c r="A4387" s="20">
        <v>42761</v>
      </c>
      <c r="B4387">
        <v>171.25</v>
      </c>
      <c r="E4387">
        <f t="shared" si="136"/>
        <v>1</v>
      </c>
      <c r="F4387">
        <f t="shared" si="137"/>
        <v>2017</v>
      </c>
    </row>
    <row r="4388" spans="1:6" x14ac:dyDescent="0.2">
      <c r="A4388" s="20">
        <v>42762</v>
      </c>
      <c r="B4388">
        <v>171.25</v>
      </c>
      <c r="E4388">
        <f t="shared" si="136"/>
        <v>1</v>
      </c>
      <c r="F4388">
        <f t="shared" si="137"/>
        <v>2017</v>
      </c>
    </row>
    <row r="4389" spans="1:6" x14ac:dyDescent="0.2">
      <c r="A4389" s="20">
        <v>42765</v>
      </c>
      <c r="B4389">
        <v>170</v>
      </c>
      <c r="E4389">
        <f t="shared" si="136"/>
        <v>1</v>
      </c>
      <c r="F4389">
        <f t="shared" si="137"/>
        <v>2017</v>
      </c>
    </row>
    <row r="4390" spans="1:6" x14ac:dyDescent="0.2">
      <c r="A4390" s="20">
        <v>42766</v>
      </c>
      <c r="B4390">
        <v>169</v>
      </c>
      <c r="E4390">
        <f t="shared" si="136"/>
        <v>1</v>
      </c>
      <c r="F4390">
        <f t="shared" si="137"/>
        <v>2017</v>
      </c>
    </row>
    <row r="4391" spans="1:6" x14ac:dyDescent="0.2">
      <c r="A4391" s="20">
        <v>42767</v>
      </c>
      <c r="B4391">
        <v>170</v>
      </c>
      <c r="E4391">
        <f t="shared" si="136"/>
        <v>2</v>
      </c>
      <c r="F4391">
        <f t="shared" si="137"/>
        <v>2017</v>
      </c>
    </row>
    <row r="4392" spans="1:6" x14ac:dyDescent="0.2">
      <c r="A4392" s="20">
        <v>42768</v>
      </c>
      <c r="B4392">
        <v>170.25</v>
      </c>
      <c r="E4392">
        <f t="shared" si="136"/>
        <v>2</v>
      </c>
      <c r="F4392">
        <f t="shared" si="137"/>
        <v>2017</v>
      </c>
    </row>
    <row r="4393" spans="1:6" x14ac:dyDescent="0.2">
      <c r="A4393" s="20">
        <v>42769</v>
      </c>
      <c r="B4393">
        <v>170.5</v>
      </c>
      <c r="E4393">
        <f t="shared" si="136"/>
        <v>2</v>
      </c>
      <c r="F4393">
        <f t="shared" si="137"/>
        <v>2017</v>
      </c>
    </row>
    <row r="4394" spans="1:6" x14ac:dyDescent="0.2">
      <c r="A4394" s="20">
        <v>42772</v>
      </c>
      <c r="B4394">
        <v>170</v>
      </c>
      <c r="E4394">
        <f t="shared" si="136"/>
        <v>2</v>
      </c>
      <c r="F4394">
        <f t="shared" si="137"/>
        <v>2017</v>
      </c>
    </row>
    <row r="4395" spans="1:6" x14ac:dyDescent="0.2">
      <c r="A4395" s="20">
        <v>42773</v>
      </c>
      <c r="B4395">
        <v>172</v>
      </c>
      <c r="E4395">
        <f t="shared" si="136"/>
        <v>2</v>
      </c>
      <c r="F4395">
        <f t="shared" si="137"/>
        <v>2017</v>
      </c>
    </row>
    <row r="4396" spans="1:6" x14ac:dyDescent="0.2">
      <c r="A4396" s="20">
        <v>42774</v>
      </c>
      <c r="B4396">
        <v>173</v>
      </c>
      <c r="E4396">
        <f t="shared" si="136"/>
        <v>2</v>
      </c>
      <c r="F4396">
        <f t="shared" si="137"/>
        <v>2017</v>
      </c>
    </row>
    <row r="4397" spans="1:6" x14ac:dyDescent="0.2">
      <c r="A4397" s="20">
        <v>42775</v>
      </c>
      <c r="B4397">
        <v>172.75</v>
      </c>
      <c r="E4397">
        <f t="shared" si="136"/>
        <v>2</v>
      </c>
      <c r="F4397">
        <f t="shared" si="137"/>
        <v>2017</v>
      </c>
    </row>
    <row r="4398" spans="1:6" x14ac:dyDescent="0.2">
      <c r="A4398" s="20">
        <v>42776</v>
      </c>
      <c r="B4398">
        <v>173</v>
      </c>
      <c r="E4398">
        <f t="shared" si="136"/>
        <v>2</v>
      </c>
      <c r="F4398">
        <f t="shared" si="137"/>
        <v>2017</v>
      </c>
    </row>
    <row r="4399" spans="1:6" x14ac:dyDescent="0.2">
      <c r="A4399" s="20">
        <v>42779</v>
      </c>
      <c r="B4399">
        <v>173.5</v>
      </c>
      <c r="E4399">
        <f t="shared" si="136"/>
        <v>2</v>
      </c>
      <c r="F4399">
        <f t="shared" si="137"/>
        <v>2017</v>
      </c>
    </row>
    <row r="4400" spans="1:6" x14ac:dyDescent="0.2">
      <c r="A4400" s="20">
        <v>42780</v>
      </c>
      <c r="B4400">
        <v>172.75</v>
      </c>
      <c r="E4400">
        <f t="shared" si="136"/>
        <v>2</v>
      </c>
      <c r="F4400">
        <f t="shared" si="137"/>
        <v>2017</v>
      </c>
    </row>
    <row r="4401" spans="1:6" x14ac:dyDescent="0.2">
      <c r="A4401" s="20">
        <v>42781</v>
      </c>
      <c r="B4401">
        <v>171.75</v>
      </c>
      <c r="E4401">
        <f t="shared" si="136"/>
        <v>2</v>
      </c>
      <c r="F4401">
        <f t="shared" si="137"/>
        <v>2017</v>
      </c>
    </row>
    <row r="4402" spans="1:6" x14ac:dyDescent="0.2">
      <c r="A4402" s="20">
        <v>42782</v>
      </c>
      <c r="B4402">
        <v>172</v>
      </c>
      <c r="E4402">
        <f t="shared" si="136"/>
        <v>2</v>
      </c>
      <c r="F4402">
        <f t="shared" si="137"/>
        <v>2017</v>
      </c>
    </row>
    <row r="4403" spans="1:6" x14ac:dyDescent="0.2">
      <c r="A4403" s="20">
        <v>42783</v>
      </c>
      <c r="B4403">
        <v>171.25</v>
      </c>
      <c r="E4403">
        <f t="shared" si="136"/>
        <v>2</v>
      </c>
      <c r="F4403">
        <f t="shared" si="137"/>
        <v>2017</v>
      </c>
    </row>
    <row r="4404" spans="1:6" x14ac:dyDescent="0.2">
      <c r="A4404" s="20">
        <v>42786</v>
      </c>
      <c r="B4404">
        <v>171.25</v>
      </c>
      <c r="E4404">
        <f t="shared" si="136"/>
        <v>2</v>
      </c>
      <c r="F4404">
        <f t="shared" si="137"/>
        <v>2017</v>
      </c>
    </row>
    <row r="4405" spans="1:6" x14ac:dyDescent="0.2">
      <c r="A4405" s="20">
        <v>42787</v>
      </c>
      <c r="B4405">
        <v>171.75</v>
      </c>
      <c r="E4405">
        <f t="shared" si="136"/>
        <v>2</v>
      </c>
      <c r="F4405">
        <f t="shared" si="137"/>
        <v>2017</v>
      </c>
    </row>
    <row r="4406" spans="1:6" x14ac:dyDescent="0.2">
      <c r="A4406" s="20">
        <v>42788</v>
      </c>
      <c r="B4406">
        <v>173</v>
      </c>
      <c r="E4406">
        <f t="shared" si="136"/>
        <v>2</v>
      </c>
      <c r="F4406">
        <f t="shared" si="137"/>
        <v>2017</v>
      </c>
    </row>
    <row r="4407" spans="1:6" x14ac:dyDescent="0.2">
      <c r="A4407" s="20">
        <v>42789</v>
      </c>
      <c r="B4407">
        <v>172.5</v>
      </c>
      <c r="E4407">
        <f t="shared" si="136"/>
        <v>2</v>
      </c>
      <c r="F4407">
        <f t="shared" si="137"/>
        <v>2017</v>
      </c>
    </row>
    <row r="4408" spans="1:6" x14ac:dyDescent="0.2">
      <c r="A4408" s="20">
        <v>42790</v>
      </c>
      <c r="B4408">
        <v>171.25</v>
      </c>
      <c r="E4408">
        <f t="shared" si="136"/>
        <v>2</v>
      </c>
      <c r="F4408">
        <f t="shared" si="137"/>
        <v>2017</v>
      </c>
    </row>
    <row r="4409" spans="1:6" x14ac:dyDescent="0.2">
      <c r="A4409" s="20">
        <v>42793</v>
      </c>
      <c r="B4409">
        <v>168.75</v>
      </c>
      <c r="E4409">
        <f t="shared" si="136"/>
        <v>2</v>
      </c>
      <c r="F4409">
        <f t="shared" si="137"/>
        <v>2017</v>
      </c>
    </row>
    <row r="4410" spans="1:6" x14ac:dyDescent="0.2">
      <c r="A4410" s="20">
        <v>42794</v>
      </c>
      <c r="B4410">
        <v>171.25</v>
      </c>
      <c r="E4410">
        <f t="shared" si="136"/>
        <v>2</v>
      </c>
      <c r="F4410">
        <f t="shared" si="137"/>
        <v>2017</v>
      </c>
    </row>
    <row r="4411" spans="1:6" x14ac:dyDescent="0.2">
      <c r="A4411" s="20">
        <v>42795</v>
      </c>
      <c r="B4411">
        <v>172</v>
      </c>
      <c r="E4411">
        <f t="shared" si="136"/>
        <v>3</v>
      </c>
      <c r="F4411">
        <f t="shared" si="137"/>
        <v>2017</v>
      </c>
    </row>
    <row r="4412" spans="1:6" x14ac:dyDescent="0.2">
      <c r="A4412" s="20">
        <v>42796</v>
      </c>
      <c r="B4412">
        <v>169.75</v>
      </c>
      <c r="E4412">
        <f t="shared" si="136"/>
        <v>3</v>
      </c>
      <c r="F4412">
        <f t="shared" si="137"/>
        <v>2017</v>
      </c>
    </row>
    <row r="4413" spans="1:6" x14ac:dyDescent="0.2">
      <c r="A4413" s="20">
        <v>42797</v>
      </c>
      <c r="B4413">
        <v>168.25</v>
      </c>
      <c r="E4413">
        <f t="shared" si="136"/>
        <v>3</v>
      </c>
      <c r="F4413">
        <f t="shared" si="137"/>
        <v>2017</v>
      </c>
    </row>
    <row r="4414" spans="1:6" x14ac:dyDescent="0.2">
      <c r="A4414" s="20">
        <v>42800</v>
      </c>
      <c r="B4414">
        <v>166</v>
      </c>
      <c r="E4414">
        <f t="shared" si="136"/>
        <v>3</v>
      </c>
      <c r="F4414">
        <f t="shared" si="137"/>
        <v>2017</v>
      </c>
    </row>
    <row r="4415" spans="1:6" x14ac:dyDescent="0.2">
      <c r="A4415" s="20">
        <v>42801</v>
      </c>
      <c r="B4415">
        <v>175</v>
      </c>
      <c r="E4415">
        <f t="shared" si="136"/>
        <v>3</v>
      </c>
      <c r="F4415">
        <f t="shared" si="137"/>
        <v>2017</v>
      </c>
    </row>
    <row r="4416" spans="1:6" x14ac:dyDescent="0.2">
      <c r="A4416" s="20">
        <v>42802</v>
      </c>
      <c r="B4416">
        <v>174.75</v>
      </c>
      <c r="E4416">
        <f t="shared" si="136"/>
        <v>3</v>
      </c>
      <c r="F4416">
        <f t="shared" si="137"/>
        <v>2017</v>
      </c>
    </row>
    <row r="4417" spans="1:6" x14ac:dyDescent="0.2">
      <c r="A4417" s="20">
        <v>42803</v>
      </c>
      <c r="B4417">
        <v>174</v>
      </c>
      <c r="E4417">
        <f t="shared" si="136"/>
        <v>3</v>
      </c>
      <c r="F4417">
        <f t="shared" si="137"/>
        <v>2017</v>
      </c>
    </row>
    <row r="4418" spans="1:6" x14ac:dyDescent="0.2">
      <c r="A4418" s="20">
        <v>42804</v>
      </c>
      <c r="B4418">
        <v>172.5</v>
      </c>
      <c r="E4418">
        <f t="shared" si="136"/>
        <v>3</v>
      </c>
      <c r="F4418">
        <f t="shared" si="137"/>
        <v>2017</v>
      </c>
    </row>
    <row r="4419" spans="1:6" x14ac:dyDescent="0.2">
      <c r="A4419" s="20">
        <v>42807</v>
      </c>
      <c r="B4419">
        <v>171</v>
      </c>
      <c r="E4419">
        <f t="shared" ref="E4419:E4482" si="138">MONTH(A4419)</f>
        <v>3</v>
      </c>
      <c r="F4419">
        <f t="shared" ref="F4419:F4482" si="139">YEAR(A4419)</f>
        <v>2017</v>
      </c>
    </row>
    <row r="4420" spans="1:6" x14ac:dyDescent="0.2">
      <c r="A4420" s="20">
        <v>42808</v>
      </c>
      <c r="B4420">
        <v>170.25</v>
      </c>
      <c r="E4420">
        <f t="shared" si="138"/>
        <v>3</v>
      </c>
      <c r="F4420">
        <f t="shared" si="139"/>
        <v>2017</v>
      </c>
    </row>
    <row r="4421" spans="1:6" x14ac:dyDescent="0.2">
      <c r="A4421" s="20">
        <v>42809</v>
      </c>
      <c r="B4421">
        <v>171.5</v>
      </c>
      <c r="E4421">
        <f t="shared" si="138"/>
        <v>3</v>
      </c>
      <c r="F4421">
        <f t="shared" si="139"/>
        <v>2017</v>
      </c>
    </row>
    <row r="4422" spans="1:6" x14ac:dyDescent="0.2">
      <c r="A4422" s="20">
        <v>42810</v>
      </c>
      <c r="B4422">
        <v>171.75</v>
      </c>
      <c r="E4422">
        <f t="shared" si="138"/>
        <v>3</v>
      </c>
      <c r="F4422">
        <f t="shared" si="139"/>
        <v>2017</v>
      </c>
    </row>
    <row r="4423" spans="1:6" x14ac:dyDescent="0.2">
      <c r="A4423" s="20">
        <v>42811</v>
      </c>
      <c r="B4423">
        <v>172.25</v>
      </c>
      <c r="E4423">
        <f t="shared" si="138"/>
        <v>3</v>
      </c>
      <c r="F4423">
        <f t="shared" si="139"/>
        <v>2017</v>
      </c>
    </row>
    <row r="4424" spans="1:6" x14ac:dyDescent="0.2">
      <c r="A4424" s="20">
        <v>42814</v>
      </c>
      <c r="B4424">
        <v>173</v>
      </c>
      <c r="E4424">
        <f t="shared" si="138"/>
        <v>3</v>
      </c>
      <c r="F4424">
        <f t="shared" si="139"/>
        <v>2017</v>
      </c>
    </row>
    <row r="4425" spans="1:6" x14ac:dyDescent="0.2">
      <c r="A4425" s="20">
        <v>42815</v>
      </c>
      <c r="B4425">
        <v>173</v>
      </c>
      <c r="E4425">
        <f t="shared" si="138"/>
        <v>3</v>
      </c>
      <c r="F4425">
        <f t="shared" si="139"/>
        <v>2017</v>
      </c>
    </row>
    <row r="4426" spans="1:6" x14ac:dyDescent="0.2">
      <c r="A4426" s="20">
        <v>42816</v>
      </c>
      <c r="B4426">
        <v>171.75</v>
      </c>
      <c r="E4426">
        <f t="shared" si="138"/>
        <v>3</v>
      </c>
      <c r="F4426">
        <f t="shared" si="139"/>
        <v>2017</v>
      </c>
    </row>
    <row r="4427" spans="1:6" x14ac:dyDescent="0.2">
      <c r="A4427" s="20">
        <v>42817</v>
      </c>
      <c r="B4427">
        <v>172</v>
      </c>
      <c r="E4427">
        <f t="shared" si="138"/>
        <v>3</v>
      </c>
      <c r="F4427">
        <f t="shared" si="139"/>
        <v>2017</v>
      </c>
    </row>
    <row r="4428" spans="1:6" x14ac:dyDescent="0.2">
      <c r="A4428" s="20">
        <v>42818</v>
      </c>
      <c r="B4428">
        <v>172</v>
      </c>
      <c r="E4428">
        <f t="shared" si="138"/>
        <v>3</v>
      </c>
      <c r="F4428">
        <f t="shared" si="139"/>
        <v>2017</v>
      </c>
    </row>
    <row r="4429" spans="1:6" x14ac:dyDescent="0.2">
      <c r="A4429" s="20">
        <v>42821</v>
      </c>
      <c r="B4429">
        <v>171.25</v>
      </c>
      <c r="E4429">
        <f t="shared" si="138"/>
        <v>3</v>
      </c>
      <c r="F4429">
        <f t="shared" si="139"/>
        <v>2017</v>
      </c>
    </row>
    <row r="4430" spans="1:6" x14ac:dyDescent="0.2">
      <c r="A4430" s="20">
        <v>42822</v>
      </c>
      <c r="B4430">
        <v>172</v>
      </c>
      <c r="E4430">
        <f t="shared" si="138"/>
        <v>3</v>
      </c>
      <c r="F4430">
        <f t="shared" si="139"/>
        <v>2017</v>
      </c>
    </row>
    <row r="4431" spans="1:6" x14ac:dyDescent="0.2">
      <c r="A4431" s="20">
        <v>42823</v>
      </c>
      <c r="B4431">
        <v>171.5</v>
      </c>
      <c r="E4431">
        <f t="shared" si="138"/>
        <v>3</v>
      </c>
      <c r="F4431">
        <f t="shared" si="139"/>
        <v>2017</v>
      </c>
    </row>
    <row r="4432" spans="1:6" x14ac:dyDescent="0.2">
      <c r="A4432" s="20">
        <v>42824</v>
      </c>
      <c r="B4432">
        <v>171</v>
      </c>
      <c r="E4432">
        <f t="shared" si="138"/>
        <v>3</v>
      </c>
      <c r="F4432">
        <f t="shared" si="139"/>
        <v>2017</v>
      </c>
    </row>
    <row r="4433" spans="1:6" x14ac:dyDescent="0.2">
      <c r="A4433" s="20">
        <v>42825</v>
      </c>
      <c r="B4433">
        <v>172.25</v>
      </c>
      <c r="E4433">
        <f t="shared" si="138"/>
        <v>3</v>
      </c>
      <c r="F4433">
        <f t="shared" si="139"/>
        <v>2017</v>
      </c>
    </row>
    <row r="4434" spans="1:6" x14ac:dyDescent="0.2">
      <c r="A4434" s="20">
        <v>42828</v>
      </c>
      <c r="B4434">
        <v>172.25</v>
      </c>
      <c r="E4434">
        <f t="shared" si="138"/>
        <v>4</v>
      </c>
      <c r="F4434">
        <f t="shared" si="139"/>
        <v>2017</v>
      </c>
    </row>
    <row r="4435" spans="1:6" x14ac:dyDescent="0.2">
      <c r="A4435" s="20">
        <v>42829</v>
      </c>
      <c r="B4435">
        <v>171.5</v>
      </c>
      <c r="E4435">
        <f t="shared" si="138"/>
        <v>4</v>
      </c>
      <c r="F4435">
        <f t="shared" si="139"/>
        <v>2017</v>
      </c>
    </row>
    <row r="4436" spans="1:6" x14ac:dyDescent="0.2">
      <c r="A4436" s="20">
        <v>42830</v>
      </c>
      <c r="B4436">
        <v>171.75</v>
      </c>
      <c r="E4436">
        <f t="shared" si="138"/>
        <v>4</v>
      </c>
      <c r="F4436">
        <f t="shared" si="139"/>
        <v>2017</v>
      </c>
    </row>
    <row r="4437" spans="1:6" x14ac:dyDescent="0.2">
      <c r="A4437" s="20">
        <v>42831</v>
      </c>
      <c r="B4437">
        <v>171.25</v>
      </c>
      <c r="E4437">
        <f t="shared" si="138"/>
        <v>4</v>
      </c>
      <c r="F4437">
        <f t="shared" si="139"/>
        <v>2017</v>
      </c>
    </row>
    <row r="4438" spans="1:6" x14ac:dyDescent="0.2">
      <c r="A4438" s="20">
        <v>42832</v>
      </c>
      <c r="B4438">
        <v>169.25</v>
      </c>
      <c r="E4438">
        <f t="shared" si="138"/>
        <v>4</v>
      </c>
      <c r="F4438">
        <f t="shared" si="139"/>
        <v>2017</v>
      </c>
    </row>
    <row r="4439" spans="1:6" x14ac:dyDescent="0.2">
      <c r="A4439" s="20">
        <v>42835</v>
      </c>
      <c r="B4439">
        <v>169.75</v>
      </c>
      <c r="E4439">
        <f t="shared" si="138"/>
        <v>4</v>
      </c>
      <c r="F4439">
        <f t="shared" si="139"/>
        <v>2017</v>
      </c>
    </row>
    <row r="4440" spans="1:6" x14ac:dyDescent="0.2">
      <c r="A4440" s="20">
        <v>42836</v>
      </c>
      <c r="B4440">
        <v>169.5</v>
      </c>
      <c r="E4440">
        <f t="shared" si="138"/>
        <v>4</v>
      </c>
      <c r="F4440">
        <f t="shared" si="139"/>
        <v>2017</v>
      </c>
    </row>
    <row r="4441" spans="1:6" x14ac:dyDescent="0.2">
      <c r="A4441" s="20">
        <v>42837</v>
      </c>
      <c r="B4441">
        <v>170.75</v>
      </c>
      <c r="E4441">
        <f t="shared" si="138"/>
        <v>4</v>
      </c>
      <c r="F4441">
        <f t="shared" si="139"/>
        <v>2017</v>
      </c>
    </row>
    <row r="4442" spans="1:6" x14ac:dyDescent="0.2">
      <c r="A4442" s="20">
        <v>42838</v>
      </c>
      <c r="B4442">
        <v>172.75</v>
      </c>
      <c r="E4442">
        <f t="shared" si="138"/>
        <v>4</v>
      </c>
      <c r="F4442">
        <f t="shared" si="139"/>
        <v>2017</v>
      </c>
    </row>
    <row r="4443" spans="1:6" x14ac:dyDescent="0.2">
      <c r="A4443" s="20">
        <v>42843</v>
      </c>
      <c r="B4443">
        <v>173.5</v>
      </c>
      <c r="E4443">
        <f t="shared" si="138"/>
        <v>4</v>
      </c>
      <c r="F4443">
        <f t="shared" si="139"/>
        <v>2017</v>
      </c>
    </row>
    <row r="4444" spans="1:6" x14ac:dyDescent="0.2">
      <c r="A4444" s="20">
        <v>42844</v>
      </c>
      <c r="B4444">
        <v>173.75</v>
      </c>
      <c r="E4444">
        <f t="shared" si="138"/>
        <v>4</v>
      </c>
      <c r="F4444">
        <f t="shared" si="139"/>
        <v>2017</v>
      </c>
    </row>
    <row r="4445" spans="1:6" x14ac:dyDescent="0.2">
      <c r="A4445" s="20">
        <v>42845</v>
      </c>
      <c r="B4445">
        <v>174</v>
      </c>
      <c r="E4445">
        <f t="shared" si="138"/>
        <v>4</v>
      </c>
      <c r="F4445">
        <f t="shared" si="139"/>
        <v>2017</v>
      </c>
    </row>
    <row r="4446" spans="1:6" x14ac:dyDescent="0.2">
      <c r="A4446" s="20">
        <v>42846</v>
      </c>
      <c r="B4446">
        <v>173</v>
      </c>
      <c r="E4446">
        <f t="shared" si="138"/>
        <v>4</v>
      </c>
      <c r="F4446">
        <f t="shared" si="139"/>
        <v>2017</v>
      </c>
    </row>
    <row r="4447" spans="1:6" x14ac:dyDescent="0.2">
      <c r="A4447" s="20">
        <v>42849</v>
      </c>
      <c r="B4447">
        <v>173.25</v>
      </c>
      <c r="E4447">
        <f t="shared" si="138"/>
        <v>4</v>
      </c>
      <c r="F4447">
        <f t="shared" si="139"/>
        <v>2017</v>
      </c>
    </row>
    <row r="4448" spans="1:6" x14ac:dyDescent="0.2">
      <c r="A4448" s="20">
        <v>42850</v>
      </c>
      <c r="B4448">
        <v>173</v>
      </c>
      <c r="E4448">
        <f t="shared" si="138"/>
        <v>4</v>
      </c>
      <c r="F4448">
        <f t="shared" si="139"/>
        <v>2017</v>
      </c>
    </row>
    <row r="4449" spans="1:6" x14ac:dyDescent="0.2">
      <c r="A4449" s="20">
        <v>42851</v>
      </c>
      <c r="B4449">
        <v>172.25</v>
      </c>
      <c r="E4449">
        <f t="shared" si="138"/>
        <v>4</v>
      </c>
      <c r="F4449">
        <f t="shared" si="139"/>
        <v>2017</v>
      </c>
    </row>
    <row r="4450" spans="1:6" x14ac:dyDescent="0.2">
      <c r="A4450" s="20">
        <v>42852</v>
      </c>
      <c r="B4450">
        <v>171.5</v>
      </c>
      <c r="E4450">
        <f t="shared" si="138"/>
        <v>4</v>
      </c>
      <c r="F4450">
        <f t="shared" si="139"/>
        <v>2017</v>
      </c>
    </row>
    <row r="4451" spans="1:6" x14ac:dyDescent="0.2">
      <c r="A4451" s="20">
        <v>42853</v>
      </c>
      <c r="B4451">
        <v>172.25</v>
      </c>
      <c r="E4451">
        <f t="shared" si="138"/>
        <v>4</v>
      </c>
      <c r="F4451">
        <f t="shared" si="139"/>
        <v>2017</v>
      </c>
    </row>
    <row r="4452" spans="1:6" x14ac:dyDescent="0.2">
      <c r="A4452" s="20">
        <v>42856</v>
      </c>
      <c r="B4452" t="s">
        <v>49</v>
      </c>
      <c r="E4452">
        <f t="shared" si="138"/>
        <v>5</v>
      </c>
      <c r="F4452">
        <f t="shared" si="139"/>
        <v>2017</v>
      </c>
    </row>
    <row r="4453" spans="1:6" x14ac:dyDescent="0.2">
      <c r="A4453" s="20">
        <v>42857</v>
      </c>
      <c r="B4453">
        <v>174.25</v>
      </c>
      <c r="E4453">
        <f t="shared" si="138"/>
        <v>5</v>
      </c>
      <c r="F4453">
        <f t="shared" si="139"/>
        <v>2017</v>
      </c>
    </row>
    <row r="4454" spans="1:6" x14ac:dyDescent="0.2">
      <c r="A4454" s="20">
        <v>42858</v>
      </c>
      <c r="B4454">
        <v>174</v>
      </c>
      <c r="E4454">
        <f t="shared" si="138"/>
        <v>5</v>
      </c>
      <c r="F4454">
        <f t="shared" si="139"/>
        <v>2017</v>
      </c>
    </row>
    <row r="4455" spans="1:6" x14ac:dyDescent="0.2">
      <c r="A4455" s="20">
        <v>42859</v>
      </c>
      <c r="B4455">
        <v>173.75</v>
      </c>
      <c r="E4455">
        <f t="shared" si="138"/>
        <v>5</v>
      </c>
      <c r="F4455">
        <f t="shared" si="139"/>
        <v>2017</v>
      </c>
    </row>
    <row r="4456" spans="1:6" x14ac:dyDescent="0.2">
      <c r="A4456" s="20">
        <v>42860</v>
      </c>
      <c r="B4456">
        <v>174</v>
      </c>
      <c r="E4456">
        <f t="shared" si="138"/>
        <v>5</v>
      </c>
      <c r="F4456">
        <f t="shared" si="139"/>
        <v>2017</v>
      </c>
    </row>
    <row r="4457" spans="1:6" x14ac:dyDescent="0.2">
      <c r="A4457" s="20">
        <v>42863</v>
      </c>
      <c r="B4457">
        <v>174.5</v>
      </c>
      <c r="E4457">
        <f t="shared" si="138"/>
        <v>5</v>
      </c>
      <c r="F4457">
        <f t="shared" si="139"/>
        <v>2017</v>
      </c>
    </row>
    <row r="4458" spans="1:6" x14ac:dyDescent="0.2">
      <c r="A4458" s="20">
        <v>42864</v>
      </c>
      <c r="B4458">
        <v>173.75</v>
      </c>
      <c r="E4458">
        <f t="shared" si="138"/>
        <v>5</v>
      </c>
      <c r="F4458">
        <f t="shared" si="139"/>
        <v>2017</v>
      </c>
    </row>
    <row r="4459" spans="1:6" x14ac:dyDescent="0.2">
      <c r="A4459" s="20">
        <v>42865</v>
      </c>
      <c r="B4459">
        <v>174.25</v>
      </c>
      <c r="E4459">
        <f t="shared" si="138"/>
        <v>5</v>
      </c>
      <c r="F4459">
        <f t="shared" si="139"/>
        <v>2017</v>
      </c>
    </row>
    <row r="4460" spans="1:6" x14ac:dyDescent="0.2">
      <c r="A4460" s="20">
        <v>42866</v>
      </c>
      <c r="B4460">
        <v>174.25</v>
      </c>
      <c r="E4460">
        <f t="shared" si="138"/>
        <v>5</v>
      </c>
      <c r="F4460">
        <f t="shared" si="139"/>
        <v>2017</v>
      </c>
    </row>
    <row r="4461" spans="1:6" x14ac:dyDescent="0.2">
      <c r="A4461" s="20">
        <v>42867</v>
      </c>
      <c r="B4461">
        <v>173.75</v>
      </c>
      <c r="E4461">
        <f t="shared" si="138"/>
        <v>5</v>
      </c>
      <c r="F4461">
        <f t="shared" si="139"/>
        <v>2017</v>
      </c>
    </row>
    <row r="4462" spans="1:6" x14ac:dyDescent="0.2">
      <c r="A4462" s="20">
        <v>42870</v>
      </c>
      <c r="B4462">
        <v>172.25</v>
      </c>
      <c r="E4462">
        <f t="shared" si="138"/>
        <v>5</v>
      </c>
      <c r="F4462">
        <f t="shared" si="139"/>
        <v>2017</v>
      </c>
    </row>
    <row r="4463" spans="1:6" x14ac:dyDescent="0.2">
      <c r="A4463" s="20">
        <v>42871</v>
      </c>
      <c r="B4463">
        <v>169.5</v>
      </c>
      <c r="E4463">
        <f t="shared" si="138"/>
        <v>5</v>
      </c>
      <c r="F4463">
        <f t="shared" si="139"/>
        <v>2017</v>
      </c>
    </row>
    <row r="4464" spans="1:6" x14ac:dyDescent="0.2">
      <c r="A4464" s="20">
        <v>42872</v>
      </c>
      <c r="B4464">
        <v>169.5</v>
      </c>
      <c r="E4464">
        <f t="shared" si="138"/>
        <v>5</v>
      </c>
      <c r="F4464">
        <f t="shared" si="139"/>
        <v>2017</v>
      </c>
    </row>
    <row r="4465" spans="1:6" x14ac:dyDescent="0.2">
      <c r="A4465" s="20">
        <v>42873</v>
      </c>
      <c r="B4465">
        <v>168.5</v>
      </c>
      <c r="E4465">
        <f t="shared" si="138"/>
        <v>5</v>
      </c>
      <c r="F4465">
        <f t="shared" si="139"/>
        <v>2017</v>
      </c>
    </row>
    <row r="4466" spans="1:6" x14ac:dyDescent="0.2">
      <c r="A4466" s="20">
        <v>42874</v>
      </c>
      <c r="B4466">
        <v>166.75</v>
      </c>
      <c r="E4466">
        <f t="shared" si="138"/>
        <v>5</v>
      </c>
      <c r="F4466">
        <f t="shared" si="139"/>
        <v>2017</v>
      </c>
    </row>
    <row r="4467" spans="1:6" x14ac:dyDescent="0.2">
      <c r="A4467" s="20">
        <v>42877</v>
      </c>
      <c r="B4467">
        <v>166.75</v>
      </c>
      <c r="E4467">
        <f t="shared" si="138"/>
        <v>5</v>
      </c>
      <c r="F4467">
        <f t="shared" si="139"/>
        <v>2017</v>
      </c>
    </row>
    <row r="4468" spans="1:6" x14ac:dyDescent="0.2">
      <c r="A4468" s="20">
        <v>42878</v>
      </c>
      <c r="B4468">
        <v>166.5</v>
      </c>
      <c r="E4468">
        <f t="shared" si="138"/>
        <v>5</v>
      </c>
      <c r="F4468">
        <f t="shared" si="139"/>
        <v>2017</v>
      </c>
    </row>
    <row r="4469" spans="1:6" x14ac:dyDescent="0.2">
      <c r="A4469" s="20">
        <v>42879</v>
      </c>
      <c r="B4469">
        <v>166.25</v>
      </c>
      <c r="E4469">
        <f t="shared" si="138"/>
        <v>5</v>
      </c>
      <c r="F4469">
        <f t="shared" si="139"/>
        <v>2017</v>
      </c>
    </row>
    <row r="4470" spans="1:6" x14ac:dyDescent="0.2">
      <c r="A4470" s="20">
        <v>42880</v>
      </c>
      <c r="B4470">
        <v>166</v>
      </c>
      <c r="E4470">
        <f t="shared" si="138"/>
        <v>5</v>
      </c>
      <c r="F4470">
        <f t="shared" si="139"/>
        <v>2017</v>
      </c>
    </row>
    <row r="4471" spans="1:6" x14ac:dyDescent="0.2">
      <c r="A4471" s="20">
        <v>42881</v>
      </c>
      <c r="B4471">
        <v>165</v>
      </c>
      <c r="E4471">
        <f t="shared" si="138"/>
        <v>5</v>
      </c>
      <c r="F4471">
        <f t="shared" si="139"/>
        <v>2017</v>
      </c>
    </row>
    <row r="4472" spans="1:6" x14ac:dyDescent="0.2">
      <c r="A4472" s="20">
        <v>42884</v>
      </c>
      <c r="B4472">
        <v>163.5</v>
      </c>
      <c r="E4472">
        <f t="shared" si="138"/>
        <v>5</v>
      </c>
      <c r="F4472">
        <f t="shared" si="139"/>
        <v>2017</v>
      </c>
    </row>
    <row r="4473" spans="1:6" x14ac:dyDescent="0.2">
      <c r="A4473" s="20">
        <v>42885</v>
      </c>
      <c r="B4473">
        <v>162</v>
      </c>
      <c r="E4473">
        <f t="shared" si="138"/>
        <v>5</v>
      </c>
      <c r="F4473">
        <f t="shared" si="139"/>
        <v>2017</v>
      </c>
    </row>
    <row r="4474" spans="1:6" x14ac:dyDescent="0.2">
      <c r="A4474" s="20">
        <v>42886</v>
      </c>
      <c r="B4474">
        <v>162.25</v>
      </c>
      <c r="E4474">
        <f t="shared" si="138"/>
        <v>5</v>
      </c>
      <c r="F4474">
        <f t="shared" si="139"/>
        <v>2017</v>
      </c>
    </row>
    <row r="4475" spans="1:6" x14ac:dyDescent="0.2">
      <c r="A4475" s="20">
        <v>42887</v>
      </c>
      <c r="B4475">
        <v>162.25</v>
      </c>
      <c r="E4475">
        <f t="shared" si="138"/>
        <v>6</v>
      </c>
      <c r="F4475">
        <f t="shared" si="139"/>
        <v>2017</v>
      </c>
    </row>
    <row r="4476" spans="1:6" x14ac:dyDescent="0.2">
      <c r="A4476" s="20">
        <v>42888</v>
      </c>
      <c r="B4476">
        <v>162.5</v>
      </c>
      <c r="E4476">
        <f t="shared" si="138"/>
        <v>6</v>
      </c>
      <c r="F4476">
        <f t="shared" si="139"/>
        <v>2017</v>
      </c>
    </row>
    <row r="4477" spans="1:6" x14ac:dyDescent="0.2">
      <c r="A4477" s="20">
        <v>42891</v>
      </c>
      <c r="B4477">
        <v>169.75</v>
      </c>
      <c r="E4477">
        <f t="shared" si="138"/>
        <v>6</v>
      </c>
      <c r="F4477">
        <f t="shared" si="139"/>
        <v>2017</v>
      </c>
    </row>
    <row r="4478" spans="1:6" x14ac:dyDescent="0.2">
      <c r="A4478" s="20">
        <v>42892</v>
      </c>
      <c r="B4478">
        <v>170.75</v>
      </c>
      <c r="E4478">
        <f t="shared" si="138"/>
        <v>6</v>
      </c>
      <c r="F4478">
        <f t="shared" si="139"/>
        <v>2017</v>
      </c>
    </row>
    <row r="4479" spans="1:6" x14ac:dyDescent="0.2">
      <c r="A4479" s="20">
        <v>42893</v>
      </c>
      <c r="B4479">
        <v>172.75</v>
      </c>
      <c r="E4479">
        <f t="shared" si="138"/>
        <v>6</v>
      </c>
      <c r="F4479">
        <f t="shared" si="139"/>
        <v>2017</v>
      </c>
    </row>
    <row r="4480" spans="1:6" x14ac:dyDescent="0.2">
      <c r="A4480" s="20">
        <v>42894</v>
      </c>
      <c r="B4480">
        <v>175.25</v>
      </c>
      <c r="E4480">
        <f t="shared" si="138"/>
        <v>6</v>
      </c>
      <c r="F4480">
        <f t="shared" si="139"/>
        <v>2017</v>
      </c>
    </row>
    <row r="4481" spans="1:6" x14ac:dyDescent="0.2">
      <c r="A4481" s="20">
        <v>42895</v>
      </c>
      <c r="B4481">
        <v>175.75</v>
      </c>
      <c r="E4481">
        <f t="shared" si="138"/>
        <v>6</v>
      </c>
      <c r="F4481">
        <f t="shared" si="139"/>
        <v>2017</v>
      </c>
    </row>
    <row r="4482" spans="1:6" x14ac:dyDescent="0.2">
      <c r="A4482" s="20">
        <v>42898</v>
      </c>
      <c r="B4482">
        <v>174.25</v>
      </c>
      <c r="E4482">
        <f t="shared" si="138"/>
        <v>6</v>
      </c>
      <c r="F4482">
        <f t="shared" si="139"/>
        <v>2017</v>
      </c>
    </row>
    <row r="4483" spans="1:6" x14ac:dyDescent="0.2">
      <c r="A4483" s="20">
        <v>42899</v>
      </c>
      <c r="B4483">
        <v>173.75</v>
      </c>
      <c r="E4483">
        <f t="shared" ref="E4483:E4546" si="140">MONTH(A4483)</f>
        <v>6</v>
      </c>
      <c r="F4483">
        <f t="shared" ref="F4483:F4546" si="141">YEAR(A4483)</f>
        <v>2017</v>
      </c>
    </row>
    <row r="4484" spans="1:6" x14ac:dyDescent="0.2">
      <c r="A4484" s="20">
        <v>42900</v>
      </c>
      <c r="B4484">
        <v>173.25</v>
      </c>
      <c r="E4484">
        <f t="shared" si="140"/>
        <v>6</v>
      </c>
      <c r="F4484">
        <f t="shared" si="141"/>
        <v>2017</v>
      </c>
    </row>
    <row r="4485" spans="1:6" x14ac:dyDescent="0.2">
      <c r="A4485" s="20">
        <v>42901</v>
      </c>
      <c r="B4485">
        <v>172.25</v>
      </c>
      <c r="E4485">
        <f t="shared" si="140"/>
        <v>6</v>
      </c>
      <c r="F4485">
        <f t="shared" si="141"/>
        <v>2017</v>
      </c>
    </row>
    <row r="4486" spans="1:6" x14ac:dyDescent="0.2">
      <c r="A4486" s="20">
        <v>42902</v>
      </c>
      <c r="B4486">
        <v>173.75</v>
      </c>
      <c r="E4486">
        <f t="shared" si="140"/>
        <v>6</v>
      </c>
      <c r="F4486">
        <f t="shared" si="141"/>
        <v>2017</v>
      </c>
    </row>
    <row r="4487" spans="1:6" x14ac:dyDescent="0.2">
      <c r="A4487" s="20">
        <v>42905</v>
      </c>
      <c r="B4487">
        <v>175.75</v>
      </c>
      <c r="E4487">
        <f t="shared" si="140"/>
        <v>6</v>
      </c>
      <c r="F4487">
        <f t="shared" si="141"/>
        <v>2017</v>
      </c>
    </row>
    <row r="4488" spans="1:6" x14ac:dyDescent="0.2">
      <c r="A4488" s="20">
        <v>42906</v>
      </c>
      <c r="B4488">
        <v>176.25</v>
      </c>
      <c r="E4488">
        <f t="shared" si="140"/>
        <v>6</v>
      </c>
      <c r="F4488">
        <f t="shared" si="141"/>
        <v>2017</v>
      </c>
    </row>
    <row r="4489" spans="1:6" x14ac:dyDescent="0.2">
      <c r="A4489" s="20">
        <v>42907</v>
      </c>
      <c r="B4489">
        <v>176.5</v>
      </c>
      <c r="E4489">
        <f t="shared" si="140"/>
        <v>6</v>
      </c>
      <c r="F4489">
        <f t="shared" si="141"/>
        <v>2017</v>
      </c>
    </row>
    <row r="4490" spans="1:6" x14ac:dyDescent="0.2">
      <c r="A4490" s="20">
        <v>42908</v>
      </c>
      <c r="B4490">
        <v>175</v>
      </c>
      <c r="E4490">
        <f t="shared" si="140"/>
        <v>6</v>
      </c>
      <c r="F4490">
        <f t="shared" si="141"/>
        <v>2017</v>
      </c>
    </row>
    <row r="4491" spans="1:6" x14ac:dyDescent="0.2">
      <c r="A4491" s="20">
        <v>42909</v>
      </c>
      <c r="B4491">
        <v>175</v>
      </c>
      <c r="E4491">
        <f t="shared" si="140"/>
        <v>6</v>
      </c>
      <c r="F4491">
        <f t="shared" si="141"/>
        <v>2017</v>
      </c>
    </row>
    <row r="4492" spans="1:6" x14ac:dyDescent="0.2">
      <c r="A4492" s="20">
        <v>42912</v>
      </c>
      <c r="B4492">
        <v>174.25</v>
      </c>
      <c r="E4492">
        <f t="shared" si="140"/>
        <v>6</v>
      </c>
      <c r="F4492">
        <f t="shared" si="141"/>
        <v>2017</v>
      </c>
    </row>
    <row r="4493" spans="1:6" x14ac:dyDescent="0.2">
      <c r="A4493" s="20">
        <v>42913</v>
      </c>
      <c r="B4493">
        <v>174.25</v>
      </c>
      <c r="E4493">
        <f t="shared" si="140"/>
        <v>6</v>
      </c>
      <c r="F4493">
        <f t="shared" si="141"/>
        <v>2017</v>
      </c>
    </row>
    <row r="4494" spans="1:6" x14ac:dyDescent="0.2">
      <c r="A4494" s="20">
        <v>42914</v>
      </c>
      <c r="B4494">
        <v>173.5</v>
      </c>
      <c r="E4494">
        <f t="shared" si="140"/>
        <v>6</v>
      </c>
      <c r="F4494">
        <f t="shared" si="141"/>
        <v>2017</v>
      </c>
    </row>
    <row r="4495" spans="1:6" x14ac:dyDescent="0.2">
      <c r="A4495" s="20">
        <v>42915</v>
      </c>
      <c r="B4495">
        <v>174.5</v>
      </c>
      <c r="E4495">
        <f t="shared" si="140"/>
        <v>6</v>
      </c>
      <c r="F4495">
        <f t="shared" si="141"/>
        <v>2017</v>
      </c>
    </row>
    <row r="4496" spans="1:6" x14ac:dyDescent="0.2">
      <c r="A4496" s="20">
        <v>42916</v>
      </c>
      <c r="B4496">
        <v>174.75</v>
      </c>
      <c r="E4496">
        <f t="shared" si="140"/>
        <v>6</v>
      </c>
      <c r="F4496">
        <f t="shared" si="141"/>
        <v>2017</v>
      </c>
    </row>
    <row r="4497" spans="1:6" x14ac:dyDescent="0.2">
      <c r="A4497" s="20">
        <v>42919</v>
      </c>
      <c r="B4497">
        <v>175.75</v>
      </c>
      <c r="E4497">
        <f t="shared" si="140"/>
        <v>7</v>
      </c>
      <c r="F4497">
        <f t="shared" si="141"/>
        <v>2017</v>
      </c>
    </row>
    <row r="4498" spans="1:6" x14ac:dyDescent="0.2">
      <c r="A4498" s="20">
        <v>42920</v>
      </c>
      <c r="B4498">
        <v>174.5</v>
      </c>
      <c r="E4498">
        <f t="shared" si="140"/>
        <v>7</v>
      </c>
      <c r="F4498">
        <f t="shared" si="141"/>
        <v>2017</v>
      </c>
    </row>
    <row r="4499" spans="1:6" x14ac:dyDescent="0.2">
      <c r="A4499" s="20">
        <v>42921</v>
      </c>
      <c r="B4499">
        <v>173.5</v>
      </c>
      <c r="E4499">
        <f t="shared" si="140"/>
        <v>7</v>
      </c>
      <c r="F4499">
        <f t="shared" si="141"/>
        <v>2017</v>
      </c>
    </row>
    <row r="4500" spans="1:6" x14ac:dyDescent="0.2">
      <c r="A4500" s="20">
        <v>42922</v>
      </c>
      <c r="B4500">
        <v>172</v>
      </c>
      <c r="E4500">
        <f t="shared" si="140"/>
        <v>7</v>
      </c>
      <c r="F4500">
        <f t="shared" si="141"/>
        <v>2017</v>
      </c>
    </row>
    <row r="4501" spans="1:6" x14ac:dyDescent="0.2">
      <c r="A4501" s="20">
        <v>42923</v>
      </c>
      <c r="B4501">
        <v>171.5</v>
      </c>
      <c r="E4501">
        <f t="shared" si="140"/>
        <v>7</v>
      </c>
      <c r="F4501">
        <f t="shared" si="141"/>
        <v>2017</v>
      </c>
    </row>
    <row r="4502" spans="1:6" x14ac:dyDescent="0.2">
      <c r="A4502" s="20">
        <v>42926</v>
      </c>
      <c r="B4502">
        <v>173</v>
      </c>
      <c r="E4502">
        <f t="shared" si="140"/>
        <v>7</v>
      </c>
      <c r="F4502">
        <f t="shared" si="141"/>
        <v>2017</v>
      </c>
    </row>
    <row r="4503" spans="1:6" x14ac:dyDescent="0.2">
      <c r="A4503" s="20">
        <v>42927</v>
      </c>
      <c r="B4503">
        <v>172.5</v>
      </c>
      <c r="E4503">
        <f t="shared" si="140"/>
        <v>7</v>
      </c>
      <c r="F4503">
        <f t="shared" si="141"/>
        <v>2017</v>
      </c>
    </row>
    <row r="4504" spans="1:6" x14ac:dyDescent="0.2">
      <c r="A4504" s="20">
        <v>42928</v>
      </c>
      <c r="B4504">
        <v>171.75</v>
      </c>
      <c r="E4504">
        <f t="shared" si="140"/>
        <v>7</v>
      </c>
      <c r="F4504">
        <f t="shared" si="141"/>
        <v>2017</v>
      </c>
    </row>
    <row r="4505" spans="1:6" x14ac:dyDescent="0.2">
      <c r="A4505" s="20">
        <v>42929</v>
      </c>
      <c r="B4505">
        <v>169.75</v>
      </c>
      <c r="E4505">
        <f t="shared" si="140"/>
        <v>7</v>
      </c>
      <c r="F4505">
        <f t="shared" si="141"/>
        <v>2017</v>
      </c>
    </row>
    <row r="4506" spans="1:6" x14ac:dyDescent="0.2">
      <c r="A4506" s="20">
        <v>42930</v>
      </c>
      <c r="B4506">
        <v>169.75</v>
      </c>
      <c r="E4506">
        <f t="shared" si="140"/>
        <v>7</v>
      </c>
      <c r="F4506">
        <f t="shared" si="141"/>
        <v>2017</v>
      </c>
    </row>
    <row r="4507" spans="1:6" x14ac:dyDescent="0.2">
      <c r="A4507" s="20">
        <v>42933</v>
      </c>
      <c r="B4507">
        <v>168.25</v>
      </c>
      <c r="E4507">
        <f t="shared" si="140"/>
        <v>7</v>
      </c>
      <c r="F4507">
        <f t="shared" si="141"/>
        <v>2017</v>
      </c>
    </row>
    <row r="4508" spans="1:6" x14ac:dyDescent="0.2">
      <c r="A4508" s="20">
        <v>42934</v>
      </c>
      <c r="B4508">
        <v>168</v>
      </c>
      <c r="E4508">
        <f t="shared" si="140"/>
        <v>7</v>
      </c>
      <c r="F4508">
        <f t="shared" si="141"/>
        <v>2017</v>
      </c>
    </row>
    <row r="4509" spans="1:6" x14ac:dyDescent="0.2">
      <c r="A4509" s="20">
        <v>42935</v>
      </c>
      <c r="B4509">
        <v>167.25</v>
      </c>
      <c r="E4509">
        <f t="shared" si="140"/>
        <v>7</v>
      </c>
      <c r="F4509">
        <f t="shared" si="141"/>
        <v>2017</v>
      </c>
    </row>
    <row r="4510" spans="1:6" x14ac:dyDescent="0.2">
      <c r="A4510" s="20">
        <v>42936</v>
      </c>
      <c r="B4510">
        <v>166</v>
      </c>
      <c r="E4510">
        <f t="shared" si="140"/>
        <v>7</v>
      </c>
      <c r="F4510">
        <f t="shared" si="141"/>
        <v>2017</v>
      </c>
    </row>
    <row r="4511" spans="1:6" x14ac:dyDescent="0.2">
      <c r="A4511" s="20">
        <v>42937</v>
      </c>
      <c r="B4511">
        <v>165.25</v>
      </c>
      <c r="E4511">
        <f t="shared" si="140"/>
        <v>7</v>
      </c>
      <c r="F4511">
        <f t="shared" si="141"/>
        <v>2017</v>
      </c>
    </row>
    <row r="4512" spans="1:6" x14ac:dyDescent="0.2">
      <c r="A4512" s="20">
        <v>42940</v>
      </c>
      <c r="B4512">
        <v>164.25</v>
      </c>
      <c r="E4512">
        <f t="shared" si="140"/>
        <v>7</v>
      </c>
      <c r="F4512">
        <f t="shared" si="141"/>
        <v>2017</v>
      </c>
    </row>
    <row r="4513" spans="1:6" x14ac:dyDescent="0.2">
      <c r="A4513" s="20">
        <v>42941</v>
      </c>
      <c r="B4513">
        <v>163</v>
      </c>
      <c r="E4513">
        <f t="shared" si="140"/>
        <v>7</v>
      </c>
      <c r="F4513">
        <f t="shared" si="141"/>
        <v>2017</v>
      </c>
    </row>
    <row r="4514" spans="1:6" x14ac:dyDescent="0.2">
      <c r="A4514" s="20">
        <v>42942</v>
      </c>
      <c r="B4514">
        <v>160.5</v>
      </c>
      <c r="E4514">
        <f t="shared" si="140"/>
        <v>7</v>
      </c>
      <c r="F4514">
        <f t="shared" si="141"/>
        <v>2017</v>
      </c>
    </row>
    <row r="4515" spans="1:6" x14ac:dyDescent="0.2">
      <c r="A4515" s="20">
        <v>42943</v>
      </c>
      <c r="B4515">
        <v>155</v>
      </c>
      <c r="E4515">
        <f t="shared" si="140"/>
        <v>7</v>
      </c>
      <c r="F4515">
        <f t="shared" si="141"/>
        <v>2017</v>
      </c>
    </row>
    <row r="4516" spans="1:6" x14ac:dyDescent="0.2">
      <c r="A4516" s="20">
        <v>42944</v>
      </c>
      <c r="B4516">
        <v>155.25</v>
      </c>
      <c r="E4516">
        <f t="shared" si="140"/>
        <v>7</v>
      </c>
      <c r="F4516">
        <f t="shared" si="141"/>
        <v>2017</v>
      </c>
    </row>
    <row r="4517" spans="1:6" x14ac:dyDescent="0.2">
      <c r="A4517" s="20">
        <v>42947</v>
      </c>
      <c r="B4517">
        <v>156</v>
      </c>
      <c r="E4517">
        <f t="shared" si="140"/>
        <v>7</v>
      </c>
      <c r="F4517">
        <f t="shared" si="141"/>
        <v>2017</v>
      </c>
    </row>
    <row r="4518" spans="1:6" x14ac:dyDescent="0.2">
      <c r="A4518" s="20">
        <v>42948</v>
      </c>
      <c r="B4518">
        <v>143</v>
      </c>
      <c r="E4518">
        <f t="shared" si="140"/>
        <v>8</v>
      </c>
      <c r="F4518">
        <f t="shared" si="141"/>
        <v>2017</v>
      </c>
    </row>
    <row r="4519" spans="1:6" x14ac:dyDescent="0.2">
      <c r="A4519" s="20">
        <v>42949</v>
      </c>
      <c r="B4519">
        <v>146</v>
      </c>
      <c r="E4519">
        <f t="shared" si="140"/>
        <v>8</v>
      </c>
      <c r="F4519">
        <f t="shared" si="141"/>
        <v>2017</v>
      </c>
    </row>
    <row r="4520" spans="1:6" x14ac:dyDescent="0.2">
      <c r="A4520" s="20">
        <v>42950</v>
      </c>
      <c r="B4520">
        <v>148.5</v>
      </c>
      <c r="E4520">
        <f t="shared" si="140"/>
        <v>8</v>
      </c>
      <c r="F4520">
        <f t="shared" si="141"/>
        <v>2017</v>
      </c>
    </row>
    <row r="4521" spans="1:6" x14ac:dyDescent="0.2">
      <c r="A4521" s="20">
        <v>42951</v>
      </c>
      <c r="B4521">
        <v>151.25</v>
      </c>
      <c r="E4521">
        <f t="shared" si="140"/>
        <v>8</v>
      </c>
      <c r="F4521">
        <f t="shared" si="141"/>
        <v>2017</v>
      </c>
    </row>
    <row r="4522" spans="1:6" x14ac:dyDescent="0.2">
      <c r="A4522" s="20">
        <v>42954</v>
      </c>
      <c r="B4522">
        <v>142.5</v>
      </c>
      <c r="E4522">
        <f t="shared" si="140"/>
        <v>8</v>
      </c>
      <c r="F4522">
        <f t="shared" si="141"/>
        <v>2017</v>
      </c>
    </row>
    <row r="4523" spans="1:6" x14ac:dyDescent="0.2">
      <c r="A4523" s="20">
        <v>42955</v>
      </c>
      <c r="B4523">
        <v>166</v>
      </c>
      <c r="E4523">
        <f t="shared" si="140"/>
        <v>8</v>
      </c>
      <c r="F4523">
        <f t="shared" si="141"/>
        <v>2017</v>
      </c>
    </row>
    <row r="4524" spans="1:6" x14ac:dyDescent="0.2">
      <c r="A4524" s="20">
        <v>42956</v>
      </c>
      <c r="B4524">
        <v>166</v>
      </c>
      <c r="E4524">
        <f t="shared" si="140"/>
        <v>8</v>
      </c>
      <c r="F4524">
        <f t="shared" si="141"/>
        <v>2017</v>
      </c>
    </row>
    <row r="4525" spans="1:6" x14ac:dyDescent="0.2">
      <c r="A4525" s="20">
        <v>42957</v>
      </c>
      <c r="B4525">
        <v>165.5</v>
      </c>
      <c r="E4525">
        <f t="shared" si="140"/>
        <v>8</v>
      </c>
      <c r="F4525">
        <f t="shared" si="141"/>
        <v>2017</v>
      </c>
    </row>
    <row r="4526" spans="1:6" x14ac:dyDescent="0.2">
      <c r="A4526" s="20">
        <v>42958</v>
      </c>
      <c r="B4526">
        <v>163.5</v>
      </c>
      <c r="E4526">
        <f t="shared" si="140"/>
        <v>8</v>
      </c>
      <c r="F4526">
        <f t="shared" si="141"/>
        <v>2017</v>
      </c>
    </row>
    <row r="4527" spans="1:6" x14ac:dyDescent="0.2">
      <c r="A4527" s="20">
        <v>42961</v>
      </c>
      <c r="B4527">
        <v>162.25</v>
      </c>
      <c r="E4527">
        <f t="shared" si="140"/>
        <v>8</v>
      </c>
      <c r="F4527">
        <f t="shared" si="141"/>
        <v>2017</v>
      </c>
    </row>
    <row r="4528" spans="1:6" x14ac:dyDescent="0.2">
      <c r="A4528" s="20">
        <v>42962</v>
      </c>
      <c r="B4528">
        <v>162.5</v>
      </c>
      <c r="E4528">
        <f t="shared" si="140"/>
        <v>8</v>
      </c>
      <c r="F4528">
        <f t="shared" si="141"/>
        <v>2017</v>
      </c>
    </row>
    <row r="4529" spans="1:6" x14ac:dyDescent="0.2">
      <c r="A4529" s="20">
        <v>42963</v>
      </c>
      <c r="B4529">
        <v>161.75</v>
      </c>
      <c r="E4529">
        <f t="shared" si="140"/>
        <v>8</v>
      </c>
      <c r="F4529">
        <f t="shared" si="141"/>
        <v>2017</v>
      </c>
    </row>
    <row r="4530" spans="1:6" x14ac:dyDescent="0.2">
      <c r="A4530" s="20">
        <v>42964</v>
      </c>
      <c r="B4530">
        <v>161.25</v>
      </c>
      <c r="E4530">
        <f t="shared" si="140"/>
        <v>8</v>
      </c>
      <c r="F4530">
        <f t="shared" si="141"/>
        <v>2017</v>
      </c>
    </row>
    <row r="4531" spans="1:6" x14ac:dyDescent="0.2">
      <c r="A4531" s="20">
        <v>42965</v>
      </c>
      <c r="B4531">
        <v>160.75</v>
      </c>
      <c r="E4531">
        <f t="shared" si="140"/>
        <v>8</v>
      </c>
      <c r="F4531">
        <f t="shared" si="141"/>
        <v>2017</v>
      </c>
    </row>
    <row r="4532" spans="1:6" x14ac:dyDescent="0.2">
      <c r="A4532" s="20">
        <v>42968</v>
      </c>
      <c r="B4532">
        <v>159.5</v>
      </c>
      <c r="E4532">
        <f t="shared" si="140"/>
        <v>8</v>
      </c>
      <c r="F4532">
        <f t="shared" si="141"/>
        <v>2017</v>
      </c>
    </row>
    <row r="4533" spans="1:6" x14ac:dyDescent="0.2">
      <c r="A4533" s="20">
        <v>42969</v>
      </c>
      <c r="B4533">
        <v>158.75</v>
      </c>
      <c r="E4533">
        <f t="shared" si="140"/>
        <v>8</v>
      </c>
      <c r="F4533">
        <f t="shared" si="141"/>
        <v>2017</v>
      </c>
    </row>
    <row r="4534" spans="1:6" x14ac:dyDescent="0.2">
      <c r="A4534" s="20">
        <v>42970</v>
      </c>
      <c r="B4534">
        <v>158.75</v>
      </c>
      <c r="E4534">
        <f t="shared" si="140"/>
        <v>8</v>
      </c>
      <c r="F4534">
        <f t="shared" si="141"/>
        <v>2017</v>
      </c>
    </row>
    <row r="4535" spans="1:6" x14ac:dyDescent="0.2">
      <c r="A4535" s="20">
        <v>42971</v>
      </c>
      <c r="B4535">
        <v>159.5</v>
      </c>
      <c r="E4535">
        <f t="shared" si="140"/>
        <v>8</v>
      </c>
      <c r="F4535">
        <f t="shared" si="141"/>
        <v>2017</v>
      </c>
    </row>
    <row r="4536" spans="1:6" x14ac:dyDescent="0.2">
      <c r="A4536" s="20">
        <v>42972</v>
      </c>
      <c r="B4536">
        <v>159.75</v>
      </c>
      <c r="E4536">
        <f t="shared" si="140"/>
        <v>8</v>
      </c>
      <c r="F4536">
        <f t="shared" si="141"/>
        <v>2017</v>
      </c>
    </row>
    <row r="4537" spans="1:6" x14ac:dyDescent="0.2">
      <c r="A4537" s="20">
        <v>42975</v>
      </c>
      <c r="B4537">
        <v>158.25</v>
      </c>
      <c r="E4537">
        <f t="shared" si="140"/>
        <v>8</v>
      </c>
      <c r="F4537">
        <f t="shared" si="141"/>
        <v>2017</v>
      </c>
    </row>
    <row r="4538" spans="1:6" x14ac:dyDescent="0.2">
      <c r="A4538" s="20">
        <v>42976</v>
      </c>
      <c r="B4538">
        <v>157.75</v>
      </c>
      <c r="E4538">
        <f t="shared" si="140"/>
        <v>8</v>
      </c>
      <c r="F4538">
        <f t="shared" si="141"/>
        <v>2017</v>
      </c>
    </row>
    <row r="4539" spans="1:6" x14ac:dyDescent="0.2">
      <c r="A4539" s="20">
        <v>42977</v>
      </c>
      <c r="B4539">
        <v>158.25</v>
      </c>
      <c r="E4539">
        <f t="shared" si="140"/>
        <v>8</v>
      </c>
      <c r="F4539">
        <f t="shared" si="141"/>
        <v>2017</v>
      </c>
    </row>
    <row r="4540" spans="1:6" x14ac:dyDescent="0.2">
      <c r="A4540" s="20">
        <v>42978</v>
      </c>
      <c r="B4540">
        <v>159</v>
      </c>
      <c r="E4540">
        <f t="shared" si="140"/>
        <v>8</v>
      </c>
      <c r="F4540">
        <f t="shared" si="141"/>
        <v>2017</v>
      </c>
    </row>
    <row r="4541" spans="1:6" x14ac:dyDescent="0.2">
      <c r="A4541" s="20">
        <v>42979</v>
      </c>
      <c r="B4541">
        <v>160</v>
      </c>
      <c r="E4541">
        <f t="shared" si="140"/>
        <v>9</v>
      </c>
      <c r="F4541">
        <f t="shared" si="141"/>
        <v>2017</v>
      </c>
    </row>
    <row r="4542" spans="1:6" x14ac:dyDescent="0.2">
      <c r="A4542" s="20">
        <v>42982</v>
      </c>
      <c r="B4542">
        <v>159</v>
      </c>
      <c r="E4542">
        <f t="shared" si="140"/>
        <v>9</v>
      </c>
      <c r="F4542">
        <f t="shared" si="141"/>
        <v>2017</v>
      </c>
    </row>
    <row r="4543" spans="1:6" x14ac:dyDescent="0.2">
      <c r="A4543" s="20">
        <v>42983</v>
      </c>
      <c r="B4543">
        <v>160</v>
      </c>
      <c r="E4543">
        <f t="shared" si="140"/>
        <v>9</v>
      </c>
      <c r="F4543">
        <f t="shared" si="141"/>
        <v>2017</v>
      </c>
    </row>
    <row r="4544" spans="1:6" x14ac:dyDescent="0.2">
      <c r="A4544" s="20">
        <v>42984</v>
      </c>
      <c r="B4544">
        <v>158.75</v>
      </c>
      <c r="E4544">
        <f t="shared" si="140"/>
        <v>9</v>
      </c>
      <c r="F4544">
        <f t="shared" si="141"/>
        <v>2017</v>
      </c>
    </row>
    <row r="4545" spans="1:6" x14ac:dyDescent="0.2">
      <c r="A4545" s="20">
        <v>42985</v>
      </c>
      <c r="B4545">
        <v>159.25</v>
      </c>
      <c r="E4545">
        <f t="shared" si="140"/>
        <v>9</v>
      </c>
      <c r="F4545">
        <f t="shared" si="141"/>
        <v>2017</v>
      </c>
    </row>
    <row r="4546" spans="1:6" x14ac:dyDescent="0.2">
      <c r="A4546" s="20">
        <v>42986</v>
      </c>
      <c r="B4546">
        <v>158.5</v>
      </c>
      <c r="E4546">
        <f t="shared" si="140"/>
        <v>9</v>
      </c>
      <c r="F4546">
        <f t="shared" si="141"/>
        <v>2017</v>
      </c>
    </row>
    <row r="4547" spans="1:6" x14ac:dyDescent="0.2">
      <c r="A4547" s="20">
        <v>42989</v>
      </c>
      <c r="B4547">
        <v>157.25</v>
      </c>
      <c r="E4547">
        <f t="shared" ref="E4547:E4610" si="142">MONTH(A4547)</f>
        <v>9</v>
      </c>
      <c r="F4547">
        <f t="shared" ref="F4547:F4610" si="143">YEAR(A4547)</f>
        <v>2017</v>
      </c>
    </row>
    <row r="4548" spans="1:6" x14ac:dyDescent="0.2">
      <c r="A4548" s="20">
        <v>42990</v>
      </c>
      <c r="B4548">
        <v>156.5</v>
      </c>
      <c r="E4548">
        <f t="shared" si="142"/>
        <v>9</v>
      </c>
      <c r="F4548">
        <f t="shared" si="143"/>
        <v>2017</v>
      </c>
    </row>
    <row r="4549" spans="1:6" x14ac:dyDescent="0.2">
      <c r="A4549" s="20">
        <v>42991</v>
      </c>
      <c r="B4549">
        <v>156.5</v>
      </c>
      <c r="E4549">
        <f t="shared" si="142"/>
        <v>9</v>
      </c>
      <c r="F4549">
        <f t="shared" si="143"/>
        <v>2017</v>
      </c>
    </row>
    <row r="4550" spans="1:6" x14ac:dyDescent="0.2">
      <c r="A4550" s="20">
        <v>42992</v>
      </c>
      <c r="B4550">
        <v>158</v>
      </c>
      <c r="E4550">
        <f t="shared" si="142"/>
        <v>9</v>
      </c>
      <c r="F4550">
        <f t="shared" si="143"/>
        <v>2017</v>
      </c>
    </row>
    <row r="4551" spans="1:6" x14ac:dyDescent="0.2">
      <c r="A4551" s="20">
        <v>42993</v>
      </c>
      <c r="B4551">
        <v>157.75</v>
      </c>
      <c r="E4551">
        <f t="shared" si="142"/>
        <v>9</v>
      </c>
      <c r="F4551">
        <f t="shared" si="143"/>
        <v>2017</v>
      </c>
    </row>
    <row r="4552" spans="1:6" x14ac:dyDescent="0.2">
      <c r="A4552" s="20">
        <v>42996</v>
      </c>
      <c r="B4552">
        <v>157.25</v>
      </c>
      <c r="E4552">
        <f t="shared" si="142"/>
        <v>9</v>
      </c>
      <c r="F4552">
        <f t="shared" si="143"/>
        <v>2017</v>
      </c>
    </row>
    <row r="4553" spans="1:6" x14ac:dyDescent="0.2">
      <c r="A4553" s="20">
        <v>42997</v>
      </c>
      <c r="B4553">
        <v>156.25</v>
      </c>
      <c r="E4553">
        <f t="shared" si="142"/>
        <v>9</v>
      </c>
      <c r="F4553">
        <f t="shared" si="143"/>
        <v>2017</v>
      </c>
    </row>
    <row r="4554" spans="1:6" x14ac:dyDescent="0.2">
      <c r="A4554" s="20">
        <v>42998</v>
      </c>
      <c r="B4554">
        <v>155.25</v>
      </c>
      <c r="E4554">
        <f t="shared" si="142"/>
        <v>9</v>
      </c>
      <c r="F4554">
        <f t="shared" si="143"/>
        <v>2017</v>
      </c>
    </row>
    <row r="4555" spans="1:6" x14ac:dyDescent="0.2">
      <c r="A4555" s="20">
        <v>42999</v>
      </c>
      <c r="B4555">
        <v>155</v>
      </c>
      <c r="E4555">
        <f t="shared" si="142"/>
        <v>9</v>
      </c>
      <c r="F4555">
        <f t="shared" si="143"/>
        <v>2017</v>
      </c>
    </row>
    <row r="4556" spans="1:6" x14ac:dyDescent="0.2">
      <c r="A4556" s="20">
        <v>43000</v>
      </c>
      <c r="B4556">
        <v>155</v>
      </c>
      <c r="E4556">
        <f t="shared" si="142"/>
        <v>9</v>
      </c>
      <c r="F4556">
        <f t="shared" si="143"/>
        <v>2017</v>
      </c>
    </row>
    <row r="4557" spans="1:6" x14ac:dyDescent="0.2">
      <c r="A4557" s="20">
        <v>43003</v>
      </c>
      <c r="B4557">
        <v>155.25</v>
      </c>
      <c r="E4557">
        <f t="shared" si="142"/>
        <v>9</v>
      </c>
      <c r="F4557">
        <f t="shared" si="143"/>
        <v>2017</v>
      </c>
    </row>
    <row r="4558" spans="1:6" x14ac:dyDescent="0.2">
      <c r="A4558" s="20">
        <v>43004</v>
      </c>
      <c r="B4558">
        <v>156.5</v>
      </c>
      <c r="E4558">
        <f t="shared" si="142"/>
        <v>9</v>
      </c>
      <c r="F4558">
        <f t="shared" si="143"/>
        <v>2017</v>
      </c>
    </row>
    <row r="4559" spans="1:6" x14ac:dyDescent="0.2">
      <c r="A4559" s="20">
        <v>43005</v>
      </c>
      <c r="B4559">
        <v>156.25</v>
      </c>
      <c r="E4559">
        <f t="shared" si="142"/>
        <v>9</v>
      </c>
      <c r="F4559">
        <f t="shared" si="143"/>
        <v>2017</v>
      </c>
    </row>
    <row r="4560" spans="1:6" x14ac:dyDescent="0.2">
      <c r="A4560" s="20">
        <v>43006</v>
      </c>
      <c r="B4560">
        <v>155.75</v>
      </c>
      <c r="E4560">
        <f t="shared" si="142"/>
        <v>9</v>
      </c>
      <c r="F4560">
        <f t="shared" si="143"/>
        <v>2017</v>
      </c>
    </row>
    <row r="4561" spans="1:6" x14ac:dyDescent="0.2">
      <c r="A4561" s="20">
        <v>43007</v>
      </c>
      <c r="B4561">
        <v>155.5</v>
      </c>
      <c r="E4561">
        <f t="shared" si="142"/>
        <v>9</v>
      </c>
      <c r="F4561">
        <f t="shared" si="143"/>
        <v>2017</v>
      </c>
    </row>
    <row r="4562" spans="1:6" x14ac:dyDescent="0.2">
      <c r="A4562" s="20">
        <v>43010</v>
      </c>
      <c r="B4562">
        <v>155</v>
      </c>
      <c r="E4562">
        <f t="shared" si="142"/>
        <v>10</v>
      </c>
      <c r="F4562">
        <f t="shared" si="143"/>
        <v>2017</v>
      </c>
    </row>
    <row r="4563" spans="1:6" x14ac:dyDescent="0.2">
      <c r="A4563" s="20">
        <v>43011</v>
      </c>
      <c r="B4563">
        <v>155.5</v>
      </c>
      <c r="E4563">
        <f t="shared" si="142"/>
        <v>10</v>
      </c>
      <c r="F4563">
        <f t="shared" si="143"/>
        <v>2017</v>
      </c>
    </row>
    <row r="4564" spans="1:6" x14ac:dyDescent="0.2">
      <c r="A4564" s="20">
        <v>43012</v>
      </c>
      <c r="B4564">
        <v>155</v>
      </c>
      <c r="E4564">
        <f t="shared" si="142"/>
        <v>10</v>
      </c>
      <c r="F4564">
        <f t="shared" si="143"/>
        <v>2017</v>
      </c>
    </row>
    <row r="4565" spans="1:6" x14ac:dyDescent="0.2">
      <c r="A4565" s="20">
        <v>43013</v>
      </c>
      <c r="B4565">
        <v>154.75</v>
      </c>
      <c r="E4565">
        <f t="shared" si="142"/>
        <v>10</v>
      </c>
      <c r="F4565">
        <f t="shared" si="143"/>
        <v>2017</v>
      </c>
    </row>
    <row r="4566" spans="1:6" x14ac:dyDescent="0.2">
      <c r="A4566" s="20">
        <v>43014</v>
      </c>
      <c r="B4566">
        <v>154.25</v>
      </c>
      <c r="E4566">
        <f t="shared" si="142"/>
        <v>10</v>
      </c>
      <c r="F4566">
        <f t="shared" si="143"/>
        <v>2017</v>
      </c>
    </row>
    <row r="4567" spans="1:6" x14ac:dyDescent="0.2">
      <c r="A4567" s="20">
        <v>43017</v>
      </c>
      <c r="B4567">
        <v>153.25</v>
      </c>
      <c r="E4567">
        <f t="shared" si="142"/>
        <v>10</v>
      </c>
      <c r="F4567">
        <f t="shared" si="143"/>
        <v>2017</v>
      </c>
    </row>
    <row r="4568" spans="1:6" x14ac:dyDescent="0.2">
      <c r="A4568" s="20">
        <v>43018</v>
      </c>
      <c r="B4568">
        <v>153.25</v>
      </c>
      <c r="E4568">
        <f t="shared" si="142"/>
        <v>10</v>
      </c>
      <c r="F4568">
        <f t="shared" si="143"/>
        <v>2017</v>
      </c>
    </row>
    <row r="4569" spans="1:6" x14ac:dyDescent="0.2">
      <c r="A4569" s="20">
        <v>43019</v>
      </c>
      <c r="B4569">
        <v>151.5</v>
      </c>
      <c r="E4569">
        <f t="shared" si="142"/>
        <v>10</v>
      </c>
      <c r="F4569">
        <f t="shared" si="143"/>
        <v>2017</v>
      </c>
    </row>
    <row r="4570" spans="1:6" x14ac:dyDescent="0.2">
      <c r="A4570" s="20">
        <v>43020</v>
      </c>
      <c r="B4570">
        <v>152</v>
      </c>
      <c r="E4570">
        <f t="shared" si="142"/>
        <v>10</v>
      </c>
      <c r="F4570">
        <f t="shared" si="143"/>
        <v>2017</v>
      </c>
    </row>
    <row r="4571" spans="1:6" x14ac:dyDescent="0.2">
      <c r="A4571" s="20">
        <v>43021</v>
      </c>
      <c r="B4571">
        <v>150</v>
      </c>
      <c r="E4571">
        <f t="shared" si="142"/>
        <v>10</v>
      </c>
      <c r="F4571">
        <f t="shared" si="143"/>
        <v>2017</v>
      </c>
    </row>
    <row r="4572" spans="1:6" x14ac:dyDescent="0.2">
      <c r="A4572" s="20">
        <v>43024</v>
      </c>
      <c r="B4572">
        <v>146.75</v>
      </c>
      <c r="E4572">
        <f t="shared" si="142"/>
        <v>10</v>
      </c>
      <c r="F4572">
        <f t="shared" si="143"/>
        <v>2017</v>
      </c>
    </row>
    <row r="4573" spans="1:6" x14ac:dyDescent="0.2">
      <c r="A4573" s="20">
        <v>43025</v>
      </c>
      <c r="B4573">
        <v>148.75</v>
      </c>
      <c r="E4573">
        <f t="shared" si="142"/>
        <v>10</v>
      </c>
      <c r="F4573">
        <f t="shared" si="143"/>
        <v>2017</v>
      </c>
    </row>
    <row r="4574" spans="1:6" x14ac:dyDescent="0.2">
      <c r="A4574" s="20">
        <v>43026</v>
      </c>
      <c r="B4574">
        <v>147.5</v>
      </c>
      <c r="E4574">
        <f t="shared" si="142"/>
        <v>10</v>
      </c>
      <c r="F4574">
        <f t="shared" si="143"/>
        <v>2017</v>
      </c>
    </row>
    <row r="4575" spans="1:6" x14ac:dyDescent="0.2">
      <c r="A4575" s="20">
        <v>43027</v>
      </c>
      <c r="B4575">
        <v>146.25</v>
      </c>
      <c r="E4575">
        <f t="shared" si="142"/>
        <v>10</v>
      </c>
      <c r="F4575">
        <f t="shared" si="143"/>
        <v>2017</v>
      </c>
    </row>
    <row r="4576" spans="1:6" x14ac:dyDescent="0.2">
      <c r="A4576" s="20">
        <v>43028</v>
      </c>
      <c r="B4576">
        <v>145.25</v>
      </c>
      <c r="E4576">
        <f t="shared" si="142"/>
        <v>10</v>
      </c>
      <c r="F4576">
        <f t="shared" si="143"/>
        <v>2017</v>
      </c>
    </row>
    <row r="4577" spans="1:6" x14ac:dyDescent="0.2">
      <c r="A4577" s="20">
        <v>43031</v>
      </c>
      <c r="B4577">
        <v>147.75</v>
      </c>
      <c r="E4577">
        <f t="shared" si="142"/>
        <v>10</v>
      </c>
      <c r="F4577">
        <f t="shared" si="143"/>
        <v>2017</v>
      </c>
    </row>
    <row r="4578" spans="1:6" x14ac:dyDescent="0.2">
      <c r="A4578" s="20">
        <v>43032</v>
      </c>
      <c r="B4578">
        <v>146.75</v>
      </c>
      <c r="E4578">
        <f t="shared" si="142"/>
        <v>10</v>
      </c>
      <c r="F4578">
        <f t="shared" si="143"/>
        <v>2017</v>
      </c>
    </row>
    <row r="4579" spans="1:6" x14ac:dyDescent="0.2">
      <c r="A4579" s="20">
        <v>43033</v>
      </c>
      <c r="B4579">
        <v>148</v>
      </c>
      <c r="E4579">
        <f t="shared" si="142"/>
        <v>10</v>
      </c>
      <c r="F4579">
        <f t="shared" si="143"/>
        <v>2017</v>
      </c>
    </row>
    <row r="4580" spans="1:6" x14ac:dyDescent="0.2">
      <c r="A4580" s="20">
        <v>43034</v>
      </c>
      <c r="B4580">
        <v>150.75</v>
      </c>
      <c r="E4580">
        <f t="shared" si="142"/>
        <v>10</v>
      </c>
      <c r="F4580">
        <f t="shared" si="143"/>
        <v>2017</v>
      </c>
    </row>
    <row r="4581" spans="1:6" x14ac:dyDescent="0.2">
      <c r="A4581" s="20">
        <v>43035</v>
      </c>
      <c r="B4581">
        <v>151.5</v>
      </c>
      <c r="E4581">
        <f t="shared" si="142"/>
        <v>10</v>
      </c>
      <c r="F4581">
        <f t="shared" si="143"/>
        <v>2017</v>
      </c>
    </row>
    <row r="4582" spans="1:6" x14ac:dyDescent="0.2">
      <c r="A4582" s="20">
        <v>43038</v>
      </c>
      <c r="B4582">
        <v>150</v>
      </c>
      <c r="E4582">
        <f t="shared" si="142"/>
        <v>10</v>
      </c>
      <c r="F4582">
        <f t="shared" si="143"/>
        <v>2017</v>
      </c>
    </row>
    <row r="4583" spans="1:6" x14ac:dyDescent="0.2">
      <c r="A4583" s="20">
        <v>43039</v>
      </c>
      <c r="B4583">
        <v>151.5</v>
      </c>
      <c r="E4583">
        <f t="shared" si="142"/>
        <v>10</v>
      </c>
      <c r="F4583">
        <f t="shared" si="143"/>
        <v>2017</v>
      </c>
    </row>
    <row r="4584" spans="1:6" x14ac:dyDescent="0.2">
      <c r="A4584" s="20">
        <v>43040</v>
      </c>
      <c r="B4584">
        <v>149.5</v>
      </c>
      <c r="E4584">
        <f t="shared" si="142"/>
        <v>11</v>
      </c>
      <c r="F4584">
        <f t="shared" si="143"/>
        <v>2017</v>
      </c>
    </row>
    <row r="4585" spans="1:6" x14ac:dyDescent="0.2">
      <c r="A4585" s="20">
        <v>43041</v>
      </c>
      <c r="B4585">
        <v>151.5</v>
      </c>
      <c r="E4585">
        <f t="shared" si="142"/>
        <v>11</v>
      </c>
      <c r="F4585">
        <f t="shared" si="143"/>
        <v>2017</v>
      </c>
    </row>
    <row r="4586" spans="1:6" x14ac:dyDescent="0.2">
      <c r="A4586" s="20">
        <v>43042</v>
      </c>
      <c r="B4586">
        <v>157</v>
      </c>
      <c r="E4586">
        <f t="shared" si="142"/>
        <v>11</v>
      </c>
      <c r="F4586">
        <f t="shared" si="143"/>
        <v>2017</v>
      </c>
    </row>
    <row r="4587" spans="1:6" x14ac:dyDescent="0.2">
      <c r="A4587" s="20">
        <v>43045</v>
      </c>
      <c r="B4587">
        <v>152</v>
      </c>
      <c r="E4587">
        <f t="shared" si="142"/>
        <v>11</v>
      </c>
      <c r="F4587">
        <f t="shared" si="143"/>
        <v>2017</v>
      </c>
    </row>
    <row r="4588" spans="1:6" x14ac:dyDescent="0.2">
      <c r="A4588" s="20">
        <v>43046</v>
      </c>
      <c r="B4588">
        <v>163</v>
      </c>
      <c r="E4588">
        <f t="shared" si="142"/>
        <v>11</v>
      </c>
      <c r="F4588">
        <f t="shared" si="143"/>
        <v>2017</v>
      </c>
    </row>
    <row r="4589" spans="1:6" x14ac:dyDescent="0.2">
      <c r="A4589" s="20">
        <v>43047</v>
      </c>
      <c r="B4589">
        <v>163</v>
      </c>
      <c r="E4589">
        <f t="shared" si="142"/>
        <v>11</v>
      </c>
      <c r="F4589">
        <f t="shared" si="143"/>
        <v>2017</v>
      </c>
    </row>
    <row r="4590" spans="1:6" x14ac:dyDescent="0.2">
      <c r="A4590" s="20">
        <v>43048</v>
      </c>
      <c r="B4590">
        <v>163.25</v>
      </c>
      <c r="E4590">
        <f t="shared" si="142"/>
        <v>11</v>
      </c>
      <c r="F4590">
        <f t="shared" si="143"/>
        <v>2017</v>
      </c>
    </row>
    <row r="4591" spans="1:6" x14ac:dyDescent="0.2">
      <c r="A4591" s="20">
        <v>43049</v>
      </c>
      <c r="B4591">
        <v>162.5</v>
      </c>
      <c r="E4591">
        <f t="shared" si="142"/>
        <v>11</v>
      </c>
      <c r="F4591">
        <f t="shared" si="143"/>
        <v>2017</v>
      </c>
    </row>
    <row r="4592" spans="1:6" x14ac:dyDescent="0.2">
      <c r="A4592" s="20">
        <v>43052</v>
      </c>
      <c r="B4592">
        <v>162</v>
      </c>
      <c r="E4592">
        <f t="shared" si="142"/>
        <v>11</v>
      </c>
      <c r="F4592">
        <f t="shared" si="143"/>
        <v>2017</v>
      </c>
    </row>
    <row r="4593" spans="1:6" x14ac:dyDescent="0.2">
      <c r="A4593" s="20">
        <v>43053</v>
      </c>
      <c r="B4593">
        <v>161.5</v>
      </c>
      <c r="E4593">
        <f t="shared" si="142"/>
        <v>11</v>
      </c>
      <c r="F4593">
        <f t="shared" si="143"/>
        <v>2017</v>
      </c>
    </row>
    <row r="4594" spans="1:6" x14ac:dyDescent="0.2">
      <c r="A4594" s="20">
        <v>43054</v>
      </c>
      <c r="B4594">
        <v>161.25</v>
      </c>
      <c r="E4594">
        <f t="shared" si="142"/>
        <v>11</v>
      </c>
      <c r="F4594">
        <f t="shared" si="143"/>
        <v>2017</v>
      </c>
    </row>
    <row r="4595" spans="1:6" x14ac:dyDescent="0.2">
      <c r="A4595" s="20">
        <v>43055</v>
      </c>
      <c r="B4595">
        <v>160.75</v>
      </c>
      <c r="E4595">
        <f t="shared" si="142"/>
        <v>11</v>
      </c>
      <c r="F4595">
        <f t="shared" si="143"/>
        <v>2017</v>
      </c>
    </row>
    <row r="4596" spans="1:6" x14ac:dyDescent="0.2">
      <c r="A4596" s="20">
        <v>43056</v>
      </c>
      <c r="B4596">
        <v>161</v>
      </c>
      <c r="E4596">
        <f t="shared" si="142"/>
        <v>11</v>
      </c>
      <c r="F4596">
        <f t="shared" si="143"/>
        <v>2017</v>
      </c>
    </row>
    <row r="4597" spans="1:6" x14ac:dyDescent="0.2">
      <c r="A4597" s="20">
        <v>43059</v>
      </c>
      <c r="B4597">
        <v>160</v>
      </c>
      <c r="E4597">
        <f t="shared" si="142"/>
        <v>11</v>
      </c>
      <c r="F4597">
        <f t="shared" si="143"/>
        <v>2017</v>
      </c>
    </row>
    <row r="4598" spans="1:6" x14ac:dyDescent="0.2">
      <c r="A4598" s="20">
        <v>43060</v>
      </c>
      <c r="B4598">
        <v>160</v>
      </c>
      <c r="E4598">
        <f t="shared" si="142"/>
        <v>11</v>
      </c>
      <c r="F4598">
        <f t="shared" si="143"/>
        <v>2017</v>
      </c>
    </row>
    <row r="4599" spans="1:6" x14ac:dyDescent="0.2">
      <c r="A4599" s="20">
        <v>43061</v>
      </c>
      <c r="B4599">
        <v>160</v>
      </c>
      <c r="E4599">
        <f t="shared" si="142"/>
        <v>11</v>
      </c>
      <c r="F4599">
        <f t="shared" si="143"/>
        <v>2017</v>
      </c>
    </row>
    <row r="4600" spans="1:6" x14ac:dyDescent="0.2">
      <c r="A4600" s="20">
        <v>43062</v>
      </c>
      <c r="B4600">
        <v>160.25</v>
      </c>
      <c r="E4600">
        <f t="shared" si="142"/>
        <v>11</v>
      </c>
      <c r="F4600">
        <f t="shared" si="143"/>
        <v>2017</v>
      </c>
    </row>
    <row r="4601" spans="1:6" x14ac:dyDescent="0.2">
      <c r="A4601" s="20">
        <v>43063</v>
      </c>
      <c r="B4601">
        <v>159</v>
      </c>
      <c r="E4601">
        <f t="shared" si="142"/>
        <v>11</v>
      </c>
      <c r="F4601">
        <f t="shared" si="143"/>
        <v>2017</v>
      </c>
    </row>
    <row r="4602" spans="1:6" x14ac:dyDescent="0.2">
      <c r="A4602" s="20">
        <v>43066</v>
      </c>
      <c r="B4602">
        <v>158.5</v>
      </c>
      <c r="E4602">
        <f t="shared" si="142"/>
        <v>11</v>
      </c>
      <c r="F4602">
        <f t="shared" si="143"/>
        <v>2017</v>
      </c>
    </row>
    <row r="4603" spans="1:6" x14ac:dyDescent="0.2">
      <c r="A4603" s="20">
        <v>43067</v>
      </c>
      <c r="B4603">
        <v>157.75</v>
      </c>
      <c r="E4603">
        <f t="shared" si="142"/>
        <v>11</v>
      </c>
      <c r="F4603">
        <f t="shared" si="143"/>
        <v>2017</v>
      </c>
    </row>
    <row r="4604" spans="1:6" x14ac:dyDescent="0.2">
      <c r="A4604" s="20">
        <v>43068</v>
      </c>
      <c r="B4604">
        <v>159.25</v>
      </c>
      <c r="E4604">
        <f t="shared" si="142"/>
        <v>11</v>
      </c>
      <c r="F4604">
        <f t="shared" si="143"/>
        <v>2017</v>
      </c>
    </row>
    <row r="4605" spans="1:6" x14ac:dyDescent="0.2">
      <c r="A4605" s="20">
        <v>43069</v>
      </c>
      <c r="B4605">
        <v>159</v>
      </c>
      <c r="E4605">
        <f t="shared" si="142"/>
        <v>11</v>
      </c>
      <c r="F4605">
        <f t="shared" si="143"/>
        <v>2017</v>
      </c>
    </row>
    <row r="4606" spans="1:6" x14ac:dyDescent="0.2">
      <c r="A4606" s="20">
        <v>43070</v>
      </c>
      <c r="B4606">
        <v>158.75</v>
      </c>
      <c r="E4606">
        <f t="shared" si="142"/>
        <v>12</v>
      </c>
      <c r="F4606">
        <f t="shared" si="143"/>
        <v>2017</v>
      </c>
    </row>
    <row r="4607" spans="1:6" x14ac:dyDescent="0.2">
      <c r="A4607" s="20">
        <v>43073</v>
      </c>
      <c r="B4607">
        <v>159.5</v>
      </c>
      <c r="E4607">
        <f t="shared" si="142"/>
        <v>12</v>
      </c>
      <c r="F4607">
        <f t="shared" si="143"/>
        <v>2017</v>
      </c>
    </row>
    <row r="4608" spans="1:6" x14ac:dyDescent="0.2">
      <c r="A4608" s="20">
        <v>43074</v>
      </c>
      <c r="B4608">
        <v>159.5</v>
      </c>
      <c r="E4608">
        <f t="shared" si="142"/>
        <v>12</v>
      </c>
      <c r="F4608">
        <f t="shared" si="143"/>
        <v>2017</v>
      </c>
    </row>
    <row r="4609" spans="1:6" x14ac:dyDescent="0.2">
      <c r="A4609" s="20">
        <v>43075</v>
      </c>
      <c r="B4609">
        <v>159</v>
      </c>
      <c r="E4609">
        <f t="shared" si="142"/>
        <v>12</v>
      </c>
      <c r="F4609">
        <f t="shared" si="143"/>
        <v>2017</v>
      </c>
    </row>
    <row r="4610" spans="1:6" x14ac:dyDescent="0.2">
      <c r="A4610" s="20">
        <v>43076</v>
      </c>
      <c r="B4610">
        <v>158.75</v>
      </c>
      <c r="E4610">
        <f t="shared" si="142"/>
        <v>12</v>
      </c>
      <c r="F4610">
        <f t="shared" si="143"/>
        <v>2017</v>
      </c>
    </row>
    <row r="4611" spans="1:6" x14ac:dyDescent="0.2">
      <c r="A4611" s="20">
        <v>43077</v>
      </c>
      <c r="B4611">
        <v>158.75</v>
      </c>
      <c r="E4611">
        <f t="shared" ref="E4611:E4674" si="144">MONTH(A4611)</f>
        <v>12</v>
      </c>
      <c r="F4611">
        <f t="shared" ref="F4611:F4674" si="145">YEAR(A4611)</f>
        <v>2017</v>
      </c>
    </row>
    <row r="4612" spans="1:6" x14ac:dyDescent="0.2">
      <c r="A4612" s="20">
        <v>43080</v>
      </c>
      <c r="B4612">
        <v>158.25</v>
      </c>
      <c r="E4612">
        <f t="shared" si="144"/>
        <v>12</v>
      </c>
      <c r="F4612">
        <f t="shared" si="145"/>
        <v>2017</v>
      </c>
    </row>
    <row r="4613" spans="1:6" x14ac:dyDescent="0.2">
      <c r="A4613" s="20">
        <v>43081</v>
      </c>
      <c r="B4613">
        <v>159</v>
      </c>
      <c r="E4613">
        <f t="shared" si="144"/>
        <v>12</v>
      </c>
      <c r="F4613">
        <f t="shared" si="145"/>
        <v>2017</v>
      </c>
    </row>
    <row r="4614" spans="1:6" x14ac:dyDescent="0.2">
      <c r="A4614" s="20">
        <v>43082</v>
      </c>
      <c r="B4614">
        <v>158.25</v>
      </c>
      <c r="E4614">
        <f t="shared" si="144"/>
        <v>12</v>
      </c>
      <c r="F4614">
        <f t="shared" si="145"/>
        <v>2017</v>
      </c>
    </row>
    <row r="4615" spans="1:6" x14ac:dyDescent="0.2">
      <c r="A4615" s="20">
        <v>43083</v>
      </c>
      <c r="B4615">
        <v>158</v>
      </c>
      <c r="E4615">
        <f t="shared" si="144"/>
        <v>12</v>
      </c>
      <c r="F4615">
        <f t="shared" si="145"/>
        <v>2017</v>
      </c>
    </row>
    <row r="4616" spans="1:6" x14ac:dyDescent="0.2">
      <c r="A4616" s="20">
        <v>43084</v>
      </c>
      <c r="B4616">
        <v>158.25</v>
      </c>
      <c r="E4616">
        <f t="shared" si="144"/>
        <v>12</v>
      </c>
      <c r="F4616">
        <f t="shared" si="145"/>
        <v>2017</v>
      </c>
    </row>
    <row r="4617" spans="1:6" x14ac:dyDescent="0.2">
      <c r="A4617" s="20">
        <v>43087</v>
      </c>
      <c r="B4617">
        <v>158</v>
      </c>
      <c r="E4617">
        <f t="shared" si="144"/>
        <v>12</v>
      </c>
      <c r="F4617">
        <f t="shared" si="145"/>
        <v>2017</v>
      </c>
    </row>
    <row r="4618" spans="1:6" x14ac:dyDescent="0.2">
      <c r="A4618" s="20">
        <v>43088</v>
      </c>
      <c r="B4618">
        <v>158.5</v>
      </c>
      <c r="E4618">
        <f t="shared" si="144"/>
        <v>12</v>
      </c>
      <c r="F4618">
        <f t="shared" si="145"/>
        <v>2017</v>
      </c>
    </row>
    <row r="4619" spans="1:6" x14ac:dyDescent="0.2">
      <c r="A4619" s="20">
        <v>43089</v>
      </c>
      <c r="B4619">
        <v>158.25</v>
      </c>
      <c r="E4619">
        <f t="shared" si="144"/>
        <v>12</v>
      </c>
      <c r="F4619">
        <f t="shared" si="145"/>
        <v>2017</v>
      </c>
    </row>
    <row r="4620" spans="1:6" x14ac:dyDescent="0.2">
      <c r="A4620" s="20">
        <v>43090</v>
      </c>
      <c r="B4620">
        <v>157.25</v>
      </c>
      <c r="E4620">
        <f t="shared" si="144"/>
        <v>12</v>
      </c>
      <c r="F4620">
        <f t="shared" si="145"/>
        <v>2017</v>
      </c>
    </row>
    <row r="4621" spans="1:6" x14ac:dyDescent="0.2">
      <c r="A4621" s="20">
        <v>43091</v>
      </c>
      <c r="B4621">
        <v>157.75</v>
      </c>
      <c r="E4621">
        <f t="shared" si="144"/>
        <v>12</v>
      </c>
      <c r="F4621">
        <f t="shared" si="145"/>
        <v>2017</v>
      </c>
    </row>
    <row r="4622" spans="1:6" x14ac:dyDescent="0.2">
      <c r="A4622" s="20">
        <v>43095</v>
      </c>
      <c r="B4622" t="s">
        <v>49</v>
      </c>
      <c r="E4622">
        <f t="shared" si="144"/>
        <v>12</v>
      </c>
      <c r="F4622">
        <f t="shared" si="145"/>
        <v>2017</v>
      </c>
    </row>
    <row r="4623" spans="1:6" x14ac:dyDescent="0.2">
      <c r="A4623" s="20">
        <v>43096</v>
      </c>
      <c r="B4623">
        <v>158.5</v>
      </c>
      <c r="E4623">
        <f t="shared" si="144"/>
        <v>12</v>
      </c>
      <c r="F4623">
        <f t="shared" si="145"/>
        <v>2017</v>
      </c>
    </row>
    <row r="4624" spans="1:6" x14ac:dyDescent="0.2">
      <c r="A4624" s="20">
        <v>43097</v>
      </c>
      <c r="B4624">
        <v>158</v>
      </c>
      <c r="E4624">
        <f t="shared" si="144"/>
        <v>12</v>
      </c>
      <c r="F4624">
        <f t="shared" si="145"/>
        <v>2017</v>
      </c>
    </row>
    <row r="4625" spans="1:6" x14ac:dyDescent="0.2">
      <c r="A4625" s="20">
        <v>43098</v>
      </c>
      <c r="B4625">
        <v>157.75</v>
      </c>
      <c r="E4625">
        <f t="shared" si="144"/>
        <v>12</v>
      </c>
      <c r="F4625">
        <f t="shared" si="145"/>
        <v>2017</v>
      </c>
    </row>
    <row r="4626" spans="1:6" x14ac:dyDescent="0.2">
      <c r="A4626" s="20">
        <v>43102</v>
      </c>
      <c r="B4626">
        <v>158</v>
      </c>
      <c r="E4626">
        <f t="shared" si="144"/>
        <v>1</v>
      </c>
      <c r="F4626">
        <f t="shared" si="145"/>
        <v>2018</v>
      </c>
    </row>
    <row r="4627" spans="1:6" x14ac:dyDescent="0.2">
      <c r="A4627" s="20">
        <v>43103</v>
      </c>
      <c r="B4627">
        <v>158.25</v>
      </c>
      <c r="E4627">
        <f t="shared" si="144"/>
        <v>1</v>
      </c>
      <c r="F4627">
        <f t="shared" si="145"/>
        <v>2018</v>
      </c>
    </row>
    <row r="4628" spans="1:6" x14ac:dyDescent="0.2">
      <c r="A4628" s="20">
        <v>43104</v>
      </c>
      <c r="B4628">
        <v>158.5</v>
      </c>
      <c r="E4628">
        <f t="shared" si="144"/>
        <v>1</v>
      </c>
      <c r="F4628">
        <f t="shared" si="145"/>
        <v>2018</v>
      </c>
    </row>
    <row r="4629" spans="1:6" x14ac:dyDescent="0.2">
      <c r="A4629" s="20">
        <v>43105</v>
      </c>
      <c r="B4629">
        <v>159.25</v>
      </c>
      <c r="E4629">
        <f t="shared" si="144"/>
        <v>1</v>
      </c>
      <c r="F4629">
        <f t="shared" si="145"/>
        <v>2018</v>
      </c>
    </row>
    <row r="4630" spans="1:6" x14ac:dyDescent="0.2">
      <c r="A4630" s="20">
        <v>43108</v>
      </c>
      <c r="B4630">
        <v>158.75</v>
      </c>
      <c r="E4630">
        <f t="shared" si="144"/>
        <v>1</v>
      </c>
      <c r="F4630">
        <f t="shared" si="145"/>
        <v>2018</v>
      </c>
    </row>
    <row r="4631" spans="1:6" x14ac:dyDescent="0.2">
      <c r="A4631" s="20">
        <v>43109</v>
      </c>
      <c r="B4631">
        <v>159</v>
      </c>
      <c r="E4631">
        <f t="shared" si="144"/>
        <v>1</v>
      </c>
      <c r="F4631">
        <f t="shared" si="145"/>
        <v>2018</v>
      </c>
    </row>
    <row r="4632" spans="1:6" x14ac:dyDescent="0.2">
      <c r="A4632" s="20">
        <v>43110</v>
      </c>
      <c r="B4632">
        <v>159.25</v>
      </c>
      <c r="E4632">
        <f t="shared" si="144"/>
        <v>1</v>
      </c>
      <c r="F4632">
        <f t="shared" si="145"/>
        <v>2018</v>
      </c>
    </row>
    <row r="4633" spans="1:6" x14ac:dyDescent="0.2">
      <c r="A4633" s="20">
        <v>43111</v>
      </c>
      <c r="B4633">
        <v>157.25</v>
      </c>
      <c r="E4633">
        <f t="shared" si="144"/>
        <v>1</v>
      </c>
      <c r="F4633">
        <f t="shared" si="145"/>
        <v>2018</v>
      </c>
    </row>
    <row r="4634" spans="1:6" x14ac:dyDescent="0.2">
      <c r="A4634" s="20">
        <v>43112</v>
      </c>
      <c r="B4634">
        <v>155.5</v>
      </c>
      <c r="E4634">
        <f t="shared" si="144"/>
        <v>1</v>
      </c>
      <c r="F4634">
        <f t="shared" si="145"/>
        <v>2018</v>
      </c>
    </row>
    <row r="4635" spans="1:6" x14ac:dyDescent="0.2">
      <c r="A4635" s="20">
        <v>43115</v>
      </c>
      <c r="B4635">
        <v>154</v>
      </c>
      <c r="E4635">
        <f t="shared" si="144"/>
        <v>1</v>
      </c>
      <c r="F4635">
        <f t="shared" si="145"/>
        <v>2018</v>
      </c>
    </row>
    <row r="4636" spans="1:6" x14ac:dyDescent="0.2">
      <c r="A4636" s="20">
        <v>43116</v>
      </c>
      <c r="B4636">
        <v>151.5</v>
      </c>
      <c r="E4636">
        <f t="shared" si="144"/>
        <v>1</v>
      </c>
      <c r="F4636">
        <f t="shared" si="145"/>
        <v>2018</v>
      </c>
    </row>
    <row r="4637" spans="1:6" x14ac:dyDescent="0.2">
      <c r="A4637" s="20">
        <v>43117</v>
      </c>
      <c r="B4637">
        <v>151.75</v>
      </c>
      <c r="E4637">
        <f t="shared" si="144"/>
        <v>1</v>
      </c>
      <c r="F4637">
        <f t="shared" si="145"/>
        <v>2018</v>
      </c>
    </row>
    <row r="4638" spans="1:6" x14ac:dyDescent="0.2">
      <c r="A4638" s="20">
        <v>43118</v>
      </c>
      <c r="B4638">
        <v>151.5</v>
      </c>
      <c r="E4638">
        <f t="shared" si="144"/>
        <v>1</v>
      </c>
      <c r="F4638">
        <f t="shared" si="145"/>
        <v>2018</v>
      </c>
    </row>
    <row r="4639" spans="1:6" x14ac:dyDescent="0.2">
      <c r="A4639" s="20">
        <v>43119</v>
      </c>
      <c r="B4639">
        <v>152</v>
      </c>
      <c r="E4639">
        <f t="shared" si="144"/>
        <v>1</v>
      </c>
      <c r="F4639">
        <f t="shared" si="145"/>
        <v>2018</v>
      </c>
    </row>
    <row r="4640" spans="1:6" x14ac:dyDescent="0.2">
      <c r="A4640" s="20">
        <v>43122</v>
      </c>
      <c r="B4640">
        <v>152</v>
      </c>
      <c r="E4640">
        <f t="shared" si="144"/>
        <v>1</v>
      </c>
      <c r="F4640">
        <f t="shared" si="145"/>
        <v>2018</v>
      </c>
    </row>
    <row r="4641" spans="1:6" x14ac:dyDescent="0.2">
      <c r="A4641" s="20">
        <v>43123</v>
      </c>
      <c r="B4641">
        <v>151.75</v>
      </c>
      <c r="E4641">
        <f t="shared" si="144"/>
        <v>1</v>
      </c>
      <c r="F4641">
        <f t="shared" si="145"/>
        <v>2018</v>
      </c>
    </row>
    <row r="4642" spans="1:6" x14ac:dyDescent="0.2">
      <c r="A4642" s="20">
        <v>43124</v>
      </c>
      <c r="B4642">
        <v>151.75</v>
      </c>
      <c r="E4642">
        <f t="shared" si="144"/>
        <v>1</v>
      </c>
      <c r="F4642">
        <f t="shared" si="145"/>
        <v>2018</v>
      </c>
    </row>
    <row r="4643" spans="1:6" x14ac:dyDescent="0.2">
      <c r="A4643" s="20">
        <v>43125</v>
      </c>
      <c r="B4643">
        <v>151.75</v>
      </c>
      <c r="E4643">
        <f t="shared" si="144"/>
        <v>1</v>
      </c>
      <c r="F4643">
        <f t="shared" si="145"/>
        <v>2018</v>
      </c>
    </row>
    <row r="4644" spans="1:6" x14ac:dyDescent="0.2">
      <c r="A4644" s="20">
        <v>43126</v>
      </c>
      <c r="B4644">
        <v>151.5</v>
      </c>
      <c r="E4644">
        <f t="shared" si="144"/>
        <v>1</v>
      </c>
      <c r="F4644">
        <f t="shared" si="145"/>
        <v>2018</v>
      </c>
    </row>
    <row r="4645" spans="1:6" x14ac:dyDescent="0.2">
      <c r="A4645" s="20">
        <v>43129</v>
      </c>
      <c r="B4645">
        <v>151</v>
      </c>
      <c r="E4645">
        <f t="shared" si="144"/>
        <v>1</v>
      </c>
      <c r="F4645">
        <f t="shared" si="145"/>
        <v>2018</v>
      </c>
    </row>
    <row r="4646" spans="1:6" x14ac:dyDescent="0.2">
      <c r="A4646" s="20">
        <v>43130</v>
      </c>
      <c r="B4646">
        <v>151.75</v>
      </c>
      <c r="E4646">
        <f t="shared" si="144"/>
        <v>1</v>
      </c>
      <c r="F4646">
        <f t="shared" si="145"/>
        <v>2018</v>
      </c>
    </row>
    <row r="4647" spans="1:6" x14ac:dyDescent="0.2">
      <c r="A4647" s="20">
        <v>43131</v>
      </c>
      <c r="B4647">
        <v>151.5</v>
      </c>
      <c r="E4647">
        <f t="shared" si="144"/>
        <v>1</v>
      </c>
      <c r="F4647">
        <f t="shared" si="145"/>
        <v>2018</v>
      </c>
    </row>
    <row r="4648" spans="1:6" x14ac:dyDescent="0.2">
      <c r="A4648" s="20">
        <v>43132</v>
      </c>
      <c r="B4648">
        <v>152.25</v>
      </c>
      <c r="E4648">
        <f t="shared" si="144"/>
        <v>2</v>
      </c>
      <c r="F4648">
        <f t="shared" si="145"/>
        <v>2018</v>
      </c>
    </row>
    <row r="4649" spans="1:6" x14ac:dyDescent="0.2">
      <c r="A4649" s="20">
        <v>43133</v>
      </c>
      <c r="B4649">
        <v>152.25</v>
      </c>
      <c r="E4649">
        <f t="shared" si="144"/>
        <v>2</v>
      </c>
      <c r="F4649">
        <f t="shared" si="145"/>
        <v>2018</v>
      </c>
    </row>
    <row r="4650" spans="1:6" x14ac:dyDescent="0.2">
      <c r="A4650" s="20">
        <v>43136</v>
      </c>
      <c r="B4650">
        <v>152.5</v>
      </c>
      <c r="E4650">
        <f t="shared" si="144"/>
        <v>2</v>
      </c>
      <c r="F4650">
        <f t="shared" si="145"/>
        <v>2018</v>
      </c>
    </row>
    <row r="4651" spans="1:6" x14ac:dyDescent="0.2">
      <c r="A4651" s="20">
        <v>43137</v>
      </c>
      <c r="B4651">
        <v>153</v>
      </c>
      <c r="E4651">
        <f t="shared" si="144"/>
        <v>2</v>
      </c>
      <c r="F4651">
        <f t="shared" si="145"/>
        <v>2018</v>
      </c>
    </row>
    <row r="4652" spans="1:6" x14ac:dyDescent="0.2">
      <c r="A4652" s="20">
        <v>43138</v>
      </c>
      <c r="B4652">
        <v>153.75</v>
      </c>
      <c r="E4652">
        <f t="shared" si="144"/>
        <v>2</v>
      </c>
      <c r="F4652">
        <f t="shared" si="145"/>
        <v>2018</v>
      </c>
    </row>
    <row r="4653" spans="1:6" x14ac:dyDescent="0.2">
      <c r="A4653" s="20">
        <v>43139</v>
      </c>
      <c r="B4653">
        <v>154.25</v>
      </c>
      <c r="E4653">
        <f t="shared" si="144"/>
        <v>2</v>
      </c>
      <c r="F4653">
        <f t="shared" si="145"/>
        <v>2018</v>
      </c>
    </row>
    <row r="4654" spans="1:6" x14ac:dyDescent="0.2">
      <c r="A4654" s="20">
        <v>43140</v>
      </c>
      <c r="B4654">
        <v>154.25</v>
      </c>
      <c r="E4654">
        <f t="shared" si="144"/>
        <v>2</v>
      </c>
      <c r="F4654">
        <f t="shared" si="145"/>
        <v>2018</v>
      </c>
    </row>
    <row r="4655" spans="1:6" x14ac:dyDescent="0.2">
      <c r="A4655" s="20">
        <v>43143</v>
      </c>
      <c r="B4655">
        <v>155</v>
      </c>
      <c r="E4655">
        <f t="shared" si="144"/>
        <v>2</v>
      </c>
      <c r="F4655">
        <f t="shared" si="145"/>
        <v>2018</v>
      </c>
    </row>
    <row r="4656" spans="1:6" x14ac:dyDescent="0.2">
      <c r="A4656" s="20">
        <v>43144</v>
      </c>
      <c r="B4656">
        <v>154.75</v>
      </c>
      <c r="E4656">
        <f t="shared" si="144"/>
        <v>2</v>
      </c>
      <c r="F4656">
        <f t="shared" si="145"/>
        <v>2018</v>
      </c>
    </row>
    <row r="4657" spans="1:6" x14ac:dyDescent="0.2">
      <c r="A4657" s="20">
        <v>43145</v>
      </c>
      <c r="B4657">
        <v>155</v>
      </c>
      <c r="E4657">
        <f t="shared" si="144"/>
        <v>2</v>
      </c>
      <c r="F4657">
        <f t="shared" si="145"/>
        <v>2018</v>
      </c>
    </row>
    <row r="4658" spans="1:6" x14ac:dyDescent="0.2">
      <c r="A4658" s="20">
        <v>43146</v>
      </c>
      <c r="B4658">
        <v>153.75</v>
      </c>
      <c r="E4658">
        <f t="shared" si="144"/>
        <v>2</v>
      </c>
      <c r="F4658">
        <f t="shared" si="145"/>
        <v>2018</v>
      </c>
    </row>
    <row r="4659" spans="1:6" x14ac:dyDescent="0.2">
      <c r="A4659" s="20">
        <v>43147</v>
      </c>
      <c r="B4659">
        <v>153.25</v>
      </c>
      <c r="E4659">
        <f t="shared" si="144"/>
        <v>2</v>
      </c>
      <c r="F4659">
        <f t="shared" si="145"/>
        <v>2018</v>
      </c>
    </row>
    <row r="4660" spans="1:6" x14ac:dyDescent="0.2">
      <c r="A4660" s="20">
        <v>43150</v>
      </c>
      <c r="B4660">
        <v>152.75</v>
      </c>
      <c r="E4660">
        <f t="shared" si="144"/>
        <v>2</v>
      </c>
      <c r="F4660">
        <f t="shared" si="145"/>
        <v>2018</v>
      </c>
    </row>
    <row r="4661" spans="1:6" x14ac:dyDescent="0.2">
      <c r="A4661" s="20">
        <v>43151</v>
      </c>
      <c r="B4661">
        <v>152.5</v>
      </c>
      <c r="E4661">
        <f t="shared" si="144"/>
        <v>2</v>
      </c>
      <c r="F4661">
        <f t="shared" si="145"/>
        <v>2018</v>
      </c>
    </row>
    <row r="4662" spans="1:6" x14ac:dyDescent="0.2">
      <c r="A4662" s="20">
        <v>43152</v>
      </c>
      <c r="B4662">
        <v>152.75</v>
      </c>
      <c r="E4662">
        <f t="shared" si="144"/>
        <v>2</v>
      </c>
      <c r="F4662">
        <f t="shared" si="145"/>
        <v>2018</v>
      </c>
    </row>
    <row r="4663" spans="1:6" x14ac:dyDescent="0.2">
      <c r="A4663" s="20">
        <v>43153</v>
      </c>
      <c r="B4663">
        <v>153.25</v>
      </c>
      <c r="E4663">
        <f t="shared" si="144"/>
        <v>2</v>
      </c>
      <c r="F4663">
        <f t="shared" si="145"/>
        <v>2018</v>
      </c>
    </row>
    <row r="4664" spans="1:6" x14ac:dyDescent="0.2">
      <c r="A4664" s="20">
        <v>43154</v>
      </c>
      <c r="B4664">
        <v>153.25</v>
      </c>
      <c r="E4664">
        <f t="shared" si="144"/>
        <v>2</v>
      </c>
      <c r="F4664">
        <f t="shared" si="145"/>
        <v>2018</v>
      </c>
    </row>
    <row r="4665" spans="1:6" x14ac:dyDescent="0.2">
      <c r="A4665" s="20">
        <v>43157</v>
      </c>
      <c r="B4665">
        <v>154.5</v>
      </c>
      <c r="E4665">
        <f t="shared" si="144"/>
        <v>2</v>
      </c>
      <c r="F4665">
        <f t="shared" si="145"/>
        <v>2018</v>
      </c>
    </row>
    <row r="4666" spans="1:6" x14ac:dyDescent="0.2">
      <c r="A4666" s="20">
        <v>43158</v>
      </c>
      <c r="B4666">
        <v>154.25</v>
      </c>
      <c r="E4666">
        <f t="shared" si="144"/>
        <v>2</v>
      </c>
      <c r="F4666">
        <f t="shared" si="145"/>
        <v>2018</v>
      </c>
    </row>
    <row r="4667" spans="1:6" x14ac:dyDescent="0.2">
      <c r="A4667" s="20">
        <v>43159</v>
      </c>
      <c r="B4667">
        <v>156</v>
      </c>
      <c r="E4667">
        <f t="shared" si="144"/>
        <v>2</v>
      </c>
      <c r="F4667">
        <f t="shared" si="145"/>
        <v>2018</v>
      </c>
    </row>
    <row r="4668" spans="1:6" x14ac:dyDescent="0.2">
      <c r="A4668" s="20">
        <v>43160</v>
      </c>
      <c r="B4668">
        <v>155</v>
      </c>
      <c r="E4668">
        <f t="shared" si="144"/>
        <v>3</v>
      </c>
      <c r="F4668">
        <f t="shared" si="145"/>
        <v>2018</v>
      </c>
    </row>
    <row r="4669" spans="1:6" x14ac:dyDescent="0.2">
      <c r="A4669" s="20">
        <v>43161</v>
      </c>
      <c r="B4669">
        <v>155.75</v>
      </c>
      <c r="E4669">
        <f t="shared" si="144"/>
        <v>3</v>
      </c>
      <c r="F4669">
        <f t="shared" si="145"/>
        <v>2018</v>
      </c>
    </row>
    <row r="4670" spans="1:6" x14ac:dyDescent="0.2">
      <c r="A4670" s="20">
        <v>43164</v>
      </c>
      <c r="B4670">
        <v>157</v>
      </c>
      <c r="E4670">
        <f t="shared" si="144"/>
        <v>3</v>
      </c>
      <c r="F4670">
        <f t="shared" si="145"/>
        <v>2018</v>
      </c>
    </row>
    <row r="4671" spans="1:6" x14ac:dyDescent="0.2">
      <c r="A4671" s="20">
        <v>43165</v>
      </c>
      <c r="B4671">
        <v>163.5</v>
      </c>
      <c r="E4671">
        <f t="shared" si="144"/>
        <v>3</v>
      </c>
      <c r="F4671">
        <f t="shared" si="145"/>
        <v>2018</v>
      </c>
    </row>
    <row r="4672" spans="1:6" x14ac:dyDescent="0.2">
      <c r="A4672" s="20">
        <v>43166</v>
      </c>
      <c r="B4672">
        <v>161.75</v>
      </c>
      <c r="E4672">
        <f t="shared" si="144"/>
        <v>3</v>
      </c>
      <c r="F4672">
        <f t="shared" si="145"/>
        <v>2018</v>
      </c>
    </row>
    <row r="4673" spans="1:6" x14ac:dyDescent="0.2">
      <c r="A4673" s="20">
        <v>43167</v>
      </c>
      <c r="B4673">
        <v>163.25</v>
      </c>
      <c r="E4673">
        <f t="shared" si="144"/>
        <v>3</v>
      </c>
      <c r="F4673">
        <f t="shared" si="145"/>
        <v>2018</v>
      </c>
    </row>
    <row r="4674" spans="1:6" x14ac:dyDescent="0.2">
      <c r="A4674" s="20">
        <v>43168</v>
      </c>
      <c r="B4674">
        <v>163.5</v>
      </c>
      <c r="E4674">
        <f t="shared" si="144"/>
        <v>3</v>
      </c>
      <c r="F4674">
        <f t="shared" si="145"/>
        <v>2018</v>
      </c>
    </row>
    <row r="4675" spans="1:6" x14ac:dyDescent="0.2">
      <c r="A4675" s="20">
        <v>43171</v>
      </c>
      <c r="B4675">
        <v>163.75</v>
      </c>
      <c r="E4675">
        <f t="shared" ref="E4675:E4738" si="146">MONTH(A4675)</f>
        <v>3</v>
      </c>
      <c r="F4675">
        <f t="shared" ref="F4675:F4738" si="147">YEAR(A4675)</f>
        <v>2018</v>
      </c>
    </row>
    <row r="4676" spans="1:6" x14ac:dyDescent="0.2">
      <c r="A4676" s="20">
        <v>43172</v>
      </c>
      <c r="B4676">
        <v>164.75</v>
      </c>
      <c r="E4676">
        <f t="shared" si="146"/>
        <v>3</v>
      </c>
      <c r="F4676">
        <f t="shared" si="147"/>
        <v>2018</v>
      </c>
    </row>
    <row r="4677" spans="1:6" x14ac:dyDescent="0.2">
      <c r="A4677" s="20">
        <v>43173</v>
      </c>
      <c r="B4677">
        <v>165.5</v>
      </c>
      <c r="E4677">
        <f t="shared" si="146"/>
        <v>3</v>
      </c>
      <c r="F4677">
        <f t="shared" si="147"/>
        <v>2018</v>
      </c>
    </row>
    <row r="4678" spans="1:6" x14ac:dyDescent="0.2">
      <c r="A4678" s="20">
        <v>43174</v>
      </c>
      <c r="B4678">
        <v>165</v>
      </c>
      <c r="E4678">
        <f t="shared" si="146"/>
        <v>3</v>
      </c>
      <c r="F4678">
        <f t="shared" si="147"/>
        <v>2018</v>
      </c>
    </row>
    <row r="4679" spans="1:6" x14ac:dyDescent="0.2">
      <c r="A4679" s="20">
        <v>43175</v>
      </c>
      <c r="B4679">
        <v>164.5</v>
      </c>
      <c r="E4679">
        <f t="shared" si="146"/>
        <v>3</v>
      </c>
      <c r="F4679">
        <f t="shared" si="147"/>
        <v>2018</v>
      </c>
    </row>
    <row r="4680" spans="1:6" x14ac:dyDescent="0.2">
      <c r="A4680" s="20">
        <v>43178</v>
      </c>
      <c r="B4680">
        <v>162.5</v>
      </c>
      <c r="E4680">
        <f t="shared" si="146"/>
        <v>3</v>
      </c>
      <c r="F4680">
        <f t="shared" si="147"/>
        <v>2018</v>
      </c>
    </row>
    <row r="4681" spans="1:6" x14ac:dyDescent="0.2">
      <c r="A4681" s="20">
        <v>43179</v>
      </c>
      <c r="B4681">
        <v>163</v>
      </c>
      <c r="E4681">
        <f t="shared" si="146"/>
        <v>3</v>
      </c>
      <c r="F4681">
        <f t="shared" si="147"/>
        <v>2018</v>
      </c>
    </row>
    <row r="4682" spans="1:6" x14ac:dyDescent="0.2">
      <c r="A4682" s="20">
        <v>43180</v>
      </c>
      <c r="B4682">
        <v>163</v>
      </c>
      <c r="E4682">
        <f t="shared" si="146"/>
        <v>3</v>
      </c>
      <c r="F4682">
        <f t="shared" si="147"/>
        <v>2018</v>
      </c>
    </row>
    <row r="4683" spans="1:6" x14ac:dyDescent="0.2">
      <c r="A4683" s="20">
        <v>43181</v>
      </c>
      <c r="B4683">
        <v>162.75</v>
      </c>
      <c r="E4683">
        <f t="shared" si="146"/>
        <v>3</v>
      </c>
      <c r="F4683">
        <f t="shared" si="147"/>
        <v>2018</v>
      </c>
    </row>
    <row r="4684" spans="1:6" x14ac:dyDescent="0.2">
      <c r="A4684" s="20">
        <v>43182</v>
      </c>
      <c r="B4684">
        <v>162.25</v>
      </c>
      <c r="E4684">
        <f t="shared" si="146"/>
        <v>3</v>
      </c>
      <c r="F4684">
        <f t="shared" si="147"/>
        <v>2018</v>
      </c>
    </row>
    <row r="4685" spans="1:6" x14ac:dyDescent="0.2">
      <c r="A4685" s="20">
        <v>43185</v>
      </c>
      <c r="B4685">
        <v>162.75</v>
      </c>
      <c r="E4685">
        <f t="shared" si="146"/>
        <v>3</v>
      </c>
      <c r="F4685">
        <f t="shared" si="147"/>
        <v>2018</v>
      </c>
    </row>
    <row r="4686" spans="1:6" x14ac:dyDescent="0.2">
      <c r="A4686" s="20">
        <v>43186</v>
      </c>
      <c r="B4686">
        <v>163.25</v>
      </c>
      <c r="E4686">
        <f t="shared" si="146"/>
        <v>3</v>
      </c>
      <c r="F4686">
        <f t="shared" si="147"/>
        <v>2018</v>
      </c>
    </row>
    <row r="4687" spans="1:6" x14ac:dyDescent="0.2">
      <c r="A4687" s="20">
        <v>43187</v>
      </c>
      <c r="B4687">
        <v>163.75</v>
      </c>
      <c r="E4687">
        <f t="shared" si="146"/>
        <v>3</v>
      </c>
      <c r="F4687">
        <f t="shared" si="147"/>
        <v>2018</v>
      </c>
    </row>
    <row r="4688" spans="1:6" x14ac:dyDescent="0.2">
      <c r="A4688" s="20">
        <v>43188</v>
      </c>
      <c r="B4688">
        <v>164.5</v>
      </c>
      <c r="E4688">
        <f t="shared" si="146"/>
        <v>3</v>
      </c>
      <c r="F4688">
        <f t="shared" si="147"/>
        <v>2018</v>
      </c>
    </row>
    <row r="4689" spans="1:6" x14ac:dyDescent="0.2">
      <c r="A4689" s="20">
        <v>43193</v>
      </c>
      <c r="B4689">
        <v>166.5</v>
      </c>
      <c r="E4689">
        <f t="shared" si="146"/>
        <v>4</v>
      </c>
      <c r="F4689">
        <f t="shared" si="147"/>
        <v>2018</v>
      </c>
    </row>
    <row r="4690" spans="1:6" x14ac:dyDescent="0.2">
      <c r="A4690" s="20">
        <v>43194</v>
      </c>
      <c r="B4690">
        <v>165.5</v>
      </c>
      <c r="E4690">
        <f t="shared" si="146"/>
        <v>4</v>
      </c>
      <c r="F4690">
        <f t="shared" si="147"/>
        <v>2018</v>
      </c>
    </row>
    <row r="4691" spans="1:6" x14ac:dyDescent="0.2">
      <c r="A4691" s="20">
        <v>43195</v>
      </c>
      <c r="B4691">
        <v>167</v>
      </c>
      <c r="E4691">
        <f t="shared" si="146"/>
        <v>4</v>
      </c>
      <c r="F4691">
        <f t="shared" si="147"/>
        <v>2018</v>
      </c>
    </row>
    <row r="4692" spans="1:6" x14ac:dyDescent="0.2">
      <c r="A4692" s="20">
        <v>43196</v>
      </c>
      <c r="B4692">
        <v>167.5</v>
      </c>
      <c r="E4692">
        <f t="shared" si="146"/>
        <v>4</v>
      </c>
      <c r="F4692">
        <f t="shared" si="147"/>
        <v>2018</v>
      </c>
    </row>
    <row r="4693" spans="1:6" x14ac:dyDescent="0.2">
      <c r="A4693" s="20">
        <v>43199</v>
      </c>
      <c r="B4693">
        <v>168</v>
      </c>
      <c r="E4693">
        <f t="shared" si="146"/>
        <v>4</v>
      </c>
      <c r="F4693">
        <f t="shared" si="147"/>
        <v>2018</v>
      </c>
    </row>
    <row r="4694" spans="1:6" x14ac:dyDescent="0.2">
      <c r="A4694" s="20">
        <v>43200</v>
      </c>
      <c r="B4694">
        <v>167.5</v>
      </c>
      <c r="E4694">
        <f t="shared" si="146"/>
        <v>4</v>
      </c>
      <c r="F4694">
        <f t="shared" si="147"/>
        <v>2018</v>
      </c>
    </row>
    <row r="4695" spans="1:6" x14ac:dyDescent="0.2">
      <c r="A4695" s="20">
        <v>43201</v>
      </c>
      <c r="B4695">
        <v>167.25</v>
      </c>
      <c r="E4695">
        <f t="shared" si="146"/>
        <v>4</v>
      </c>
      <c r="F4695">
        <f t="shared" si="147"/>
        <v>2018</v>
      </c>
    </row>
    <row r="4696" spans="1:6" x14ac:dyDescent="0.2">
      <c r="A4696" s="20">
        <v>43202</v>
      </c>
      <c r="B4696">
        <v>166.25</v>
      </c>
      <c r="E4696">
        <f t="shared" si="146"/>
        <v>4</v>
      </c>
      <c r="F4696">
        <f t="shared" si="147"/>
        <v>2018</v>
      </c>
    </row>
    <row r="4697" spans="1:6" x14ac:dyDescent="0.2">
      <c r="A4697" s="20">
        <v>43203</v>
      </c>
      <c r="B4697">
        <v>165.5</v>
      </c>
      <c r="E4697">
        <f t="shared" si="146"/>
        <v>4</v>
      </c>
      <c r="F4697">
        <f t="shared" si="147"/>
        <v>2018</v>
      </c>
    </row>
    <row r="4698" spans="1:6" x14ac:dyDescent="0.2">
      <c r="A4698" s="20">
        <v>43206</v>
      </c>
      <c r="B4698">
        <v>164.75</v>
      </c>
      <c r="E4698">
        <f t="shared" si="146"/>
        <v>4</v>
      </c>
      <c r="F4698">
        <f t="shared" si="147"/>
        <v>2018</v>
      </c>
    </row>
    <row r="4699" spans="1:6" x14ac:dyDescent="0.2">
      <c r="A4699" s="20">
        <v>43207</v>
      </c>
      <c r="B4699">
        <v>164.25</v>
      </c>
      <c r="E4699">
        <f t="shared" si="146"/>
        <v>4</v>
      </c>
      <c r="F4699">
        <f t="shared" si="147"/>
        <v>2018</v>
      </c>
    </row>
    <row r="4700" spans="1:6" x14ac:dyDescent="0.2">
      <c r="A4700" s="20">
        <v>43208</v>
      </c>
      <c r="B4700">
        <v>163.5</v>
      </c>
      <c r="E4700">
        <f t="shared" si="146"/>
        <v>4</v>
      </c>
      <c r="F4700">
        <f t="shared" si="147"/>
        <v>2018</v>
      </c>
    </row>
    <row r="4701" spans="1:6" x14ac:dyDescent="0.2">
      <c r="A4701" s="20">
        <v>43209</v>
      </c>
      <c r="B4701">
        <v>163.5</v>
      </c>
      <c r="E4701">
        <f t="shared" si="146"/>
        <v>4</v>
      </c>
      <c r="F4701">
        <f t="shared" si="147"/>
        <v>2018</v>
      </c>
    </row>
    <row r="4702" spans="1:6" x14ac:dyDescent="0.2">
      <c r="A4702" s="20">
        <v>43210</v>
      </c>
      <c r="B4702">
        <v>162.5</v>
      </c>
      <c r="E4702">
        <f t="shared" si="146"/>
        <v>4</v>
      </c>
      <c r="F4702">
        <f t="shared" si="147"/>
        <v>2018</v>
      </c>
    </row>
    <row r="4703" spans="1:6" x14ac:dyDescent="0.2">
      <c r="A4703" s="20">
        <v>43213</v>
      </c>
      <c r="B4703">
        <v>162.25</v>
      </c>
      <c r="E4703">
        <f t="shared" si="146"/>
        <v>4</v>
      </c>
      <c r="F4703">
        <f t="shared" si="147"/>
        <v>2018</v>
      </c>
    </row>
    <row r="4704" spans="1:6" x14ac:dyDescent="0.2">
      <c r="A4704" s="20">
        <v>43214</v>
      </c>
      <c r="B4704">
        <v>162</v>
      </c>
      <c r="E4704">
        <f t="shared" si="146"/>
        <v>4</v>
      </c>
      <c r="F4704">
        <f t="shared" si="147"/>
        <v>2018</v>
      </c>
    </row>
    <row r="4705" spans="1:6" x14ac:dyDescent="0.2">
      <c r="A4705" s="20">
        <v>43215</v>
      </c>
      <c r="B4705">
        <v>162.75</v>
      </c>
      <c r="E4705">
        <f t="shared" si="146"/>
        <v>4</v>
      </c>
      <c r="F4705">
        <f t="shared" si="147"/>
        <v>2018</v>
      </c>
    </row>
    <row r="4706" spans="1:6" x14ac:dyDescent="0.2">
      <c r="A4706" s="20">
        <v>43216</v>
      </c>
      <c r="B4706">
        <v>162.75</v>
      </c>
      <c r="E4706">
        <f t="shared" si="146"/>
        <v>4</v>
      </c>
      <c r="F4706">
        <f t="shared" si="147"/>
        <v>2018</v>
      </c>
    </row>
    <row r="4707" spans="1:6" x14ac:dyDescent="0.2">
      <c r="A4707" s="20">
        <v>43217</v>
      </c>
      <c r="B4707">
        <v>163.5</v>
      </c>
      <c r="E4707">
        <f t="shared" si="146"/>
        <v>4</v>
      </c>
      <c r="F4707">
        <f t="shared" si="147"/>
        <v>2018</v>
      </c>
    </row>
    <row r="4708" spans="1:6" x14ac:dyDescent="0.2">
      <c r="A4708" s="20">
        <v>43220</v>
      </c>
      <c r="B4708">
        <v>165.5</v>
      </c>
      <c r="E4708">
        <f t="shared" si="146"/>
        <v>4</v>
      </c>
      <c r="F4708">
        <f t="shared" si="147"/>
        <v>2018</v>
      </c>
    </row>
    <row r="4709" spans="1:6" x14ac:dyDescent="0.2">
      <c r="A4709" s="20">
        <v>43222</v>
      </c>
      <c r="B4709">
        <v>167.25</v>
      </c>
      <c r="E4709">
        <f t="shared" si="146"/>
        <v>5</v>
      </c>
      <c r="F4709">
        <f t="shared" si="147"/>
        <v>2018</v>
      </c>
    </row>
    <row r="4710" spans="1:6" x14ac:dyDescent="0.2">
      <c r="A4710" s="20">
        <v>43223</v>
      </c>
      <c r="B4710">
        <v>167</v>
      </c>
      <c r="E4710">
        <f t="shared" si="146"/>
        <v>5</v>
      </c>
      <c r="F4710">
        <f t="shared" si="147"/>
        <v>2018</v>
      </c>
    </row>
    <row r="4711" spans="1:6" x14ac:dyDescent="0.2">
      <c r="A4711" s="20">
        <v>43224</v>
      </c>
      <c r="B4711">
        <v>167</v>
      </c>
      <c r="E4711">
        <f t="shared" si="146"/>
        <v>5</v>
      </c>
      <c r="F4711">
        <f t="shared" si="147"/>
        <v>2018</v>
      </c>
    </row>
    <row r="4712" spans="1:6" x14ac:dyDescent="0.2">
      <c r="A4712" s="20">
        <v>43227</v>
      </c>
      <c r="B4712">
        <v>166.5</v>
      </c>
      <c r="E4712">
        <f t="shared" si="146"/>
        <v>5</v>
      </c>
      <c r="F4712">
        <f t="shared" si="147"/>
        <v>2018</v>
      </c>
    </row>
    <row r="4713" spans="1:6" x14ac:dyDescent="0.2">
      <c r="A4713" s="20">
        <v>43228</v>
      </c>
      <c r="B4713">
        <v>167.75</v>
      </c>
      <c r="E4713">
        <f t="shared" si="146"/>
        <v>5</v>
      </c>
      <c r="F4713">
        <f t="shared" si="147"/>
        <v>2018</v>
      </c>
    </row>
    <row r="4714" spans="1:6" x14ac:dyDescent="0.2">
      <c r="A4714" s="20">
        <v>43229</v>
      </c>
      <c r="B4714">
        <v>167.25</v>
      </c>
      <c r="E4714">
        <f t="shared" si="146"/>
        <v>5</v>
      </c>
      <c r="F4714">
        <f t="shared" si="147"/>
        <v>2018</v>
      </c>
    </row>
    <row r="4715" spans="1:6" x14ac:dyDescent="0.2">
      <c r="A4715" s="20">
        <v>43230</v>
      </c>
      <c r="B4715">
        <v>167.75</v>
      </c>
      <c r="E4715">
        <f t="shared" si="146"/>
        <v>5</v>
      </c>
      <c r="F4715">
        <f t="shared" si="147"/>
        <v>2018</v>
      </c>
    </row>
    <row r="4716" spans="1:6" x14ac:dyDescent="0.2">
      <c r="A4716" s="20">
        <v>43231</v>
      </c>
      <c r="B4716">
        <v>167</v>
      </c>
      <c r="E4716">
        <f t="shared" si="146"/>
        <v>5</v>
      </c>
      <c r="F4716">
        <f t="shared" si="147"/>
        <v>2018</v>
      </c>
    </row>
    <row r="4717" spans="1:6" x14ac:dyDescent="0.2">
      <c r="A4717" s="20">
        <v>43234</v>
      </c>
      <c r="B4717">
        <v>165.5</v>
      </c>
      <c r="E4717">
        <f t="shared" si="146"/>
        <v>5</v>
      </c>
      <c r="F4717">
        <f t="shared" si="147"/>
        <v>2018</v>
      </c>
    </row>
    <row r="4718" spans="1:6" x14ac:dyDescent="0.2">
      <c r="A4718" s="20">
        <v>43235</v>
      </c>
      <c r="B4718">
        <v>165.5</v>
      </c>
      <c r="E4718">
        <f t="shared" si="146"/>
        <v>5</v>
      </c>
      <c r="F4718">
        <f t="shared" si="147"/>
        <v>2018</v>
      </c>
    </row>
    <row r="4719" spans="1:6" x14ac:dyDescent="0.2">
      <c r="A4719" s="20">
        <v>43236</v>
      </c>
      <c r="B4719">
        <v>166</v>
      </c>
      <c r="E4719">
        <f t="shared" si="146"/>
        <v>5</v>
      </c>
      <c r="F4719">
        <f t="shared" si="147"/>
        <v>2018</v>
      </c>
    </row>
    <row r="4720" spans="1:6" x14ac:dyDescent="0.2">
      <c r="A4720" s="20">
        <v>43237</v>
      </c>
      <c r="B4720">
        <v>167</v>
      </c>
      <c r="E4720">
        <f t="shared" si="146"/>
        <v>5</v>
      </c>
      <c r="F4720">
        <f t="shared" si="147"/>
        <v>2018</v>
      </c>
    </row>
    <row r="4721" spans="1:6" x14ac:dyDescent="0.2">
      <c r="A4721" s="20">
        <v>43238</v>
      </c>
      <c r="B4721">
        <v>168.5</v>
      </c>
      <c r="E4721">
        <f t="shared" si="146"/>
        <v>5</v>
      </c>
      <c r="F4721">
        <f t="shared" si="147"/>
        <v>2018</v>
      </c>
    </row>
    <row r="4722" spans="1:6" x14ac:dyDescent="0.2">
      <c r="A4722" s="20">
        <v>43241</v>
      </c>
      <c r="B4722">
        <v>167.5</v>
      </c>
      <c r="E4722">
        <f t="shared" si="146"/>
        <v>5</v>
      </c>
      <c r="F4722">
        <f t="shared" si="147"/>
        <v>2018</v>
      </c>
    </row>
    <row r="4723" spans="1:6" x14ac:dyDescent="0.2">
      <c r="A4723" s="20">
        <v>43242</v>
      </c>
      <c r="B4723">
        <v>168.5</v>
      </c>
      <c r="E4723">
        <f t="shared" si="146"/>
        <v>5</v>
      </c>
      <c r="F4723">
        <f t="shared" si="147"/>
        <v>2018</v>
      </c>
    </row>
    <row r="4724" spans="1:6" x14ac:dyDescent="0.2">
      <c r="A4724" s="20">
        <v>43243</v>
      </c>
      <c r="B4724">
        <v>168.5</v>
      </c>
      <c r="E4724">
        <f t="shared" si="146"/>
        <v>5</v>
      </c>
      <c r="F4724">
        <f t="shared" si="147"/>
        <v>2018</v>
      </c>
    </row>
    <row r="4725" spans="1:6" x14ac:dyDescent="0.2">
      <c r="A4725" s="20">
        <v>43244</v>
      </c>
      <c r="B4725">
        <v>169.5</v>
      </c>
      <c r="E4725">
        <f t="shared" si="146"/>
        <v>5</v>
      </c>
      <c r="F4725">
        <f t="shared" si="147"/>
        <v>2018</v>
      </c>
    </row>
    <row r="4726" spans="1:6" x14ac:dyDescent="0.2">
      <c r="A4726" s="20">
        <v>43245</v>
      </c>
      <c r="B4726">
        <v>170</v>
      </c>
      <c r="E4726">
        <f t="shared" si="146"/>
        <v>5</v>
      </c>
      <c r="F4726">
        <f t="shared" si="147"/>
        <v>2018</v>
      </c>
    </row>
    <row r="4727" spans="1:6" x14ac:dyDescent="0.2">
      <c r="A4727" s="20">
        <v>43248</v>
      </c>
      <c r="B4727">
        <v>172.25</v>
      </c>
      <c r="E4727">
        <f t="shared" si="146"/>
        <v>5</v>
      </c>
      <c r="F4727">
        <f t="shared" si="147"/>
        <v>2018</v>
      </c>
    </row>
    <row r="4728" spans="1:6" x14ac:dyDescent="0.2">
      <c r="A4728" s="20">
        <v>43249</v>
      </c>
      <c r="B4728">
        <v>173.5</v>
      </c>
      <c r="E4728">
        <f t="shared" si="146"/>
        <v>5</v>
      </c>
      <c r="F4728">
        <f t="shared" si="147"/>
        <v>2018</v>
      </c>
    </row>
    <row r="4729" spans="1:6" x14ac:dyDescent="0.2">
      <c r="A4729" s="20">
        <v>43250</v>
      </c>
      <c r="B4729">
        <v>169.75</v>
      </c>
      <c r="E4729">
        <f t="shared" si="146"/>
        <v>5</v>
      </c>
      <c r="F4729">
        <f t="shared" si="147"/>
        <v>2018</v>
      </c>
    </row>
    <row r="4730" spans="1:6" x14ac:dyDescent="0.2">
      <c r="A4730" s="20">
        <v>43251</v>
      </c>
      <c r="B4730">
        <v>169</v>
      </c>
      <c r="E4730">
        <f t="shared" si="146"/>
        <v>5</v>
      </c>
      <c r="F4730">
        <f t="shared" si="147"/>
        <v>2018</v>
      </c>
    </row>
    <row r="4731" spans="1:6" x14ac:dyDescent="0.2">
      <c r="A4731" s="20">
        <v>43252</v>
      </c>
      <c r="B4731">
        <v>164.75</v>
      </c>
      <c r="E4731">
        <f t="shared" si="146"/>
        <v>6</v>
      </c>
      <c r="F4731">
        <f t="shared" si="147"/>
        <v>2018</v>
      </c>
    </row>
    <row r="4732" spans="1:6" x14ac:dyDescent="0.2">
      <c r="A4732" s="20">
        <v>43255</v>
      </c>
      <c r="B4732">
        <v>159.5</v>
      </c>
      <c r="E4732">
        <f t="shared" si="146"/>
        <v>6</v>
      </c>
      <c r="F4732">
        <f t="shared" si="147"/>
        <v>2018</v>
      </c>
    </row>
    <row r="4733" spans="1:6" x14ac:dyDescent="0.2">
      <c r="A4733" s="20">
        <v>43256</v>
      </c>
      <c r="B4733">
        <v>162</v>
      </c>
      <c r="E4733">
        <f t="shared" si="146"/>
        <v>6</v>
      </c>
      <c r="F4733">
        <f t="shared" si="147"/>
        <v>2018</v>
      </c>
    </row>
    <row r="4734" spans="1:6" x14ac:dyDescent="0.2">
      <c r="A4734" s="20">
        <v>43257</v>
      </c>
      <c r="B4734">
        <v>168.5</v>
      </c>
      <c r="E4734">
        <f t="shared" si="146"/>
        <v>6</v>
      </c>
      <c r="F4734">
        <f t="shared" si="147"/>
        <v>2018</v>
      </c>
    </row>
    <row r="4735" spans="1:6" x14ac:dyDescent="0.2">
      <c r="A4735" s="20">
        <v>43258</v>
      </c>
      <c r="B4735">
        <v>168.25</v>
      </c>
      <c r="E4735">
        <f t="shared" si="146"/>
        <v>6</v>
      </c>
      <c r="F4735">
        <f t="shared" si="147"/>
        <v>2018</v>
      </c>
    </row>
    <row r="4736" spans="1:6" x14ac:dyDescent="0.2">
      <c r="A4736" s="20">
        <v>43259</v>
      </c>
      <c r="B4736">
        <v>167.75</v>
      </c>
      <c r="E4736">
        <f t="shared" si="146"/>
        <v>6</v>
      </c>
      <c r="F4736">
        <f t="shared" si="147"/>
        <v>2018</v>
      </c>
    </row>
    <row r="4737" spans="1:6" x14ac:dyDescent="0.2">
      <c r="A4737" s="20">
        <v>43262</v>
      </c>
      <c r="B4737">
        <v>166.75</v>
      </c>
      <c r="E4737">
        <f t="shared" si="146"/>
        <v>6</v>
      </c>
      <c r="F4737">
        <f t="shared" si="147"/>
        <v>2018</v>
      </c>
    </row>
    <row r="4738" spans="1:6" x14ac:dyDescent="0.2">
      <c r="A4738" s="20">
        <v>43263</v>
      </c>
      <c r="B4738">
        <v>168.5</v>
      </c>
      <c r="E4738">
        <f t="shared" si="146"/>
        <v>6</v>
      </c>
      <c r="F4738">
        <f t="shared" si="147"/>
        <v>2018</v>
      </c>
    </row>
    <row r="4739" spans="1:6" x14ac:dyDescent="0.2">
      <c r="A4739" s="20">
        <v>43264</v>
      </c>
      <c r="B4739">
        <v>166.75</v>
      </c>
      <c r="E4739">
        <f t="shared" ref="E4739:E4802" si="148">MONTH(A4739)</f>
        <v>6</v>
      </c>
      <c r="F4739">
        <f t="shared" ref="F4739:F4802" si="149">YEAR(A4739)</f>
        <v>2018</v>
      </c>
    </row>
    <row r="4740" spans="1:6" x14ac:dyDescent="0.2">
      <c r="A4740" s="20">
        <v>43265</v>
      </c>
      <c r="B4740">
        <v>166.75</v>
      </c>
      <c r="E4740">
        <f t="shared" si="148"/>
        <v>6</v>
      </c>
      <c r="F4740">
        <f t="shared" si="149"/>
        <v>2018</v>
      </c>
    </row>
    <row r="4741" spans="1:6" x14ac:dyDescent="0.2">
      <c r="A4741" s="20">
        <v>43266</v>
      </c>
      <c r="B4741">
        <v>165.25</v>
      </c>
      <c r="E4741">
        <f t="shared" si="148"/>
        <v>6</v>
      </c>
      <c r="F4741">
        <f t="shared" si="149"/>
        <v>2018</v>
      </c>
    </row>
    <row r="4742" spans="1:6" x14ac:dyDescent="0.2">
      <c r="A4742" s="20">
        <v>43269</v>
      </c>
      <c r="B4742">
        <v>162.75</v>
      </c>
      <c r="E4742">
        <f t="shared" si="148"/>
        <v>6</v>
      </c>
      <c r="F4742">
        <f t="shared" si="149"/>
        <v>2018</v>
      </c>
    </row>
    <row r="4743" spans="1:6" x14ac:dyDescent="0.2">
      <c r="A4743" s="20">
        <v>43270</v>
      </c>
      <c r="B4743">
        <v>162</v>
      </c>
      <c r="E4743">
        <f t="shared" si="148"/>
        <v>6</v>
      </c>
      <c r="F4743">
        <f t="shared" si="149"/>
        <v>2018</v>
      </c>
    </row>
    <row r="4744" spans="1:6" x14ac:dyDescent="0.2">
      <c r="A4744" s="20">
        <v>43271</v>
      </c>
      <c r="B4744">
        <v>164</v>
      </c>
      <c r="E4744">
        <f t="shared" si="148"/>
        <v>6</v>
      </c>
      <c r="F4744">
        <f t="shared" si="149"/>
        <v>2018</v>
      </c>
    </row>
    <row r="4745" spans="1:6" x14ac:dyDescent="0.2">
      <c r="A4745" s="20">
        <v>43272</v>
      </c>
      <c r="B4745">
        <v>165</v>
      </c>
      <c r="E4745">
        <f t="shared" si="148"/>
        <v>6</v>
      </c>
      <c r="F4745">
        <f t="shared" si="149"/>
        <v>2018</v>
      </c>
    </row>
    <row r="4746" spans="1:6" x14ac:dyDescent="0.2">
      <c r="A4746" s="20">
        <v>43273</v>
      </c>
      <c r="B4746">
        <v>164.75</v>
      </c>
      <c r="E4746">
        <f t="shared" si="148"/>
        <v>6</v>
      </c>
      <c r="F4746">
        <f t="shared" si="149"/>
        <v>2018</v>
      </c>
    </row>
    <row r="4747" spans="1:6" x14ac:dyDescent="0.2">
      <c r="A4747" s="20">
        <v>43276</v>
      </c>
      <c r="B4747">
        <v>163.5</v>
      </c>
      <c r="E4747">
        <f t="shared" si="148"/>
        <v>6</v>
      </c>
      <c r="F4747">
        <f t="shared" si="149"/>
        <v>2018</v>
      </c>
    </row>
    <row r="4748" spans="1:6" x14ac:dyDescent="0.2">
      <c r="A4748" s="20">
        <v>43277</v>
      </c>
      <c r="B4748">
        <v>163.25</v>
      </c>
      <c r="E4748">
        <f t="shared" si="148"/>
        <v>6</v>
      </c>
      <c r="F4748">
        <f t="shared" si="149"/>
        <v>2018</v>
      </c>
    </row>
    <row r="4749" spans="1:6" x14ac:dyDescent="0.2">
      <c r="A4749" s="20">
        <v>43278</v>
      </c>
      <c r="B4749">
        <v>163.75</v>
      </c>
      <c r="E4749">
        <f t="shared" si="148"/>
        <v>6</v>
      </c>
      <c r="F4749">
        <f t="shared" si="149"/>
        <v>2018</v>
      </c>
    </row>
    <row r="4750" spans="1:6" x14ac:dyDescent="0.2">
      <c r="A4750" s="20">
        <v>43279</v>
      </c>
      <c r="B4750">
        <v>164.5</v>
      </c>
      <c r="E4750">
        <f t="shared" si="148"/>
        <v>6</v>
      </c>
      <c r="F4750">
        <f t="shared" si="149"/>
        <v>2018</v>
      </c>
    </row>
    <row r="4751" spans="1:6" x14ac:dyDescent="0.2">
      <c r="A4751" s="20">
        <v>43280</v>
      </c>
      <c r="B4751">
        <v>165</v>
      </c>
      <c r="E4751">
        <f t="shared" si="148"/>
        <v>6</v>
      </c>
      <c r="F4751">
        <f t="shared" si="149"/>
        <v>2018</v>
      </c>
    </row>
    <row r="4752" spans="1:6" x14ac:dyDescent="0.2">
      <c r="A4752" s="20">
        <v>43283</v>
      </c>
      <c r="B4752">
        <v>166.75</v>
      </c>
      <c r="E4752">
        <f t="shared" si="148"/>
        <v>7</v>
      </c>
      <c r="F4752">
        <f t="shared" si="149"/>
        <v>2018</v>
      </c>
    </row>
    <row r="4753" spans="1:6" x14ac:dyDescent="0.2">
      <c r="A4753" s="20">
        <v>43284</v>
      </c>
      <c r="B4753">
        <v>169.25</v>
      </c>
      <c r="E4753">
        <f t="shared" si="148"/>
        <v>7</v>
      </c>
      <c r="F4753">
        <f t="shared" si="149"/>
        <v>2018</v>
      </c>
    </row>
    <row r="4754" spans="1:6" x14ac:dyDescent="0.2">
      <c r="A4754" s="20">
        <v>43285</v>
      </c>
      <c r="B4754">
        <v>170</v>
      </c>
      <c r="E4754">
        <f t="shared" si="148"/>
        <v>7</v>
      </c>
      <c r="F4754">
        <f t="shared" si="149"/>
        <v>2018</v>
      </c>
    </row>
    <row r="4755" spans="1:6" x14ac:dyDescent="0.2">
      <c r="A4755" s="20">
        <v>43286</v>
      </c>
      <c r="B4755">
        <v>172</v>
      </c>
      <c r="E4755">
        <f t="shared" si="148"/>
        <v>7</v>
      </c>
      <c r="F4755">
        <f t="shared" si="149"/>
        <v>2018</v>
      </c>
    </row>
    <row r="4756" spans="1:6" x14ac:dyDescent="0.2">
      <c r="A4756" s="20">
        <v>43287</v>
      </c>
      <c r="B4756">
        <v>171.75</v>
      </c>
      <c r="E4756">
        <f t="shared" si="148"/>
        <v>7</v>
      </c>
      <c r="F4756">
        <f t="shared" si="149"/>
        <v>2018</v>
      </c>
    </row>
    <row r="4757" spans="1:6" x14ac:dyDescent="0.2">
      <c r="A4757" s="20">
        <v>43290</v>
      </c>
      <c r="B4757">
        <v>171</v>
      </c>
      <c r="E4757">
        <f t="shared" si="148"/>
        <v>7</v>
      </c>
      <c r="F4757">
        <f t="shared" si="149"/>
        <v>2018</v>
      </c>
    </row>
    <row r="4758" spans="1:6" x14ac:dyDescent="0.2">
      <c r="A4758" s="20">
        <v>43291</v>
      </c>
      <c r="B4758">
        <v>169.25</v>
      </c>
      <c r="E4758">
        <f t="shared" si="148"/>
        <v>7</v>
      </c>
      <c r="F4758">
        <f t="shared" si="149"/>
        <v>2018</v>
      </c>
    </row>
    <row r="4759" spans="1:6" x14ac:dyDescent="0.2">
      <c r="A4759" s="20">
        <v>43292</v>
      </c>
      <c r="B4759">
        <v>168</v>
      </c>
      <c r="E4759">
        <f t="shared" si="148"/>
        <v>7</v>
      </c>
      <c r="F4759">
        <f t="shared" si="149"/>
        <v>2018</v>
      </c>
    </row>
    <row r="4760" spans="1:6" x14ac:dyDescent="0.2">
      <c r="A4760" s="20">
        <v>43293</v>
      </c>
      <c r="B4760">
        <v>168.5</v>
      </c>
      <c r="E4760">
        <f t="shared" si="148"/>
        <v>7</v>
      </c>
      <c r="F4760">
        <f t="shared" si="149"/>
        <v>2018</v>
      </c>
    </row>
    <row r="4761" spans="1:6" x14ac:dyDescent="0.2">
      <c r="A4761" s="20">
        <v>43294</v>
      </c>
      <c r="B4761">
        <v>169</v>
      </c>
      <c r="E4761">
        <f t="shared" si="148"/>
        <v>7</v>
      </c>
      <c r="F4761">
        <f t="shared" si="149"/>
        <v>2018</v>
      </c>
    </row>
    <row r="4762" spans="1:6" x14ac:dyDescent="0.2">
      <c r="A4762" s="20">
        <v>43297</v>
      </c>
      <c r="B4762">
        <v>168.5</v>
      </c>
      <c r="E4762">
        <f t="shared" si="148"/>
        <v>7</v>
      </c>
      <c r="F4762">
        <f t="shared" si="149"/>
        <v>2018</v>
      </c>
    </row>
    <row r="4763" spans="1:6" x14ac:dyDescent="0.2">
      <c r="A4763" s="20">
        <v>43298</v>
      </c>
      <c r="B4763">
        <v>170.75</v>
      </c>
      <c r="E4763">
        <f t="shared" si="148"/>
        <v>7</v>
      </c>
      <c r="F4763">
        <f t="shared" si="149"/>
        <v>2018</v>
      </c>
    </row>
    <row r="4764" spans="1:6" x14ac:dyDescent="0.2">
      <c r="A4764" s="20">
        <v>43299</v>
      </c>
      <c r="B4764">
        <v>171.25</v>
      </c>
      <c r="E4764">
        <f t="shared" si="148"/>
        <v>7</v>
      </c>
      <c r="F4764">
        <f t="shared" si="149"/>
        <v>2018</v>
      </c>
    </row>
    <row r="4765" spans="1:6" x14ac:dyDescent="0.2">
      <c r="A4765" s="20">
        <v>43300</v>
      </c>
      <c r="B4765">
        <v>172.5</v>
      </c>
      <c r="E4765">
        <f t="shared" si="148"/>
        <v>7</v>
      </c>
      <c r="F4765">
        <f t="shared" si="149"/>
        <v>2018</v>
      </c>
    </row>
    <row r="4766" spans="1:6" x14ac:dyDescent="0.2">
      <c r="A4766" s="20">
        <v>43301</v>
      </c>
      <c r="B4766">
        <v>174.25</v>
      </c>
      <c r="E4766">
        <f t="shared" si="148"/>
        <v>7</v>
      </c>
      <c r="F4766">
        <f t="shared" si="149"/>
        <v>2018</v>
      </c>
    </row>
    <row r="4767" spans="1:6" x14ac:dyDescent="0.2">
      <c r="A4767" s="20">
        <v>43304</v>
      </c>
      <c r="B4767">
        <v>175.75</v>
      </c>
      <c r="E4767">
        <f t="shared" si="148"/>
        <v>7</v>
      </c>
      <c r="F4767">
        <f t="shared" si="149"/>
        <v>2018</v>
      </c>
    </row>
    <row r="4768" spans="1:6" x14ac:dyDescent="0.2">
      <c r="A4768" s="20">
        <v>43305</v>
      </c>
      <c r="B4768">
        <v>177.5</v>
      </c>
      <c r="E4768">
        <f t="shared" si="148"/>
        <v>7</v>
      </c>
      <c r="F4768">
        <f t="shared" si="149"/>
        <v>2018</v>
      </c>
    </row>
    <row r="4769" spans="1:6" x14ac:dyDescent="0.2">
      <c r="A4769" s="20">
        <v>43306</v>
      </c>
      <c r="B4769">
        <v>181</v>
      </c>
      <c r="E4769">
        <f t="shared" si="148"/>
        <v>7</v>
      </c>
      <c r="F4769">
        <f t="shared" si="149"/>
        <v>2018</v>
      </c>
    </row>
    <row r="4770" spans="1:6" x14ac:dyDescent="0.2">
      <c r="A4770" s="20">
        <v>43307</v>
      </c>
      <c r="B4770">
        <v>182.25</v>
      </c>
      <c r="E4770">
        <f t="shared" si="148"/>
        <v>7</v>
      </c>
      <c r="F4770">
        <f t="shared" si="149"/>
        <v>2018</v>
      </c>
    </row>
    <row r="4771" spans="1:6" x14ac:dyDescent="0.2">
      <c r="A4771" s="20">
        <v>43308</v>
      </c>
      <c r="B4771">
        <v>179.25</v>
      </c>
      <c r="E4771">
        <f t="shared" si="148"/>
        <v>7</v>
      </c>
      <c r="F4771">
        <f t="shared" si="149"/>
        <v>2018</v>
      </c>
    </row>
    <row r="4772" spans="1:6" x14ac:dyDescent="0.2">
      <c r="A4772" s="20">
        <v>43311</v>
      </c>
      <c r="B4772">
        <v>181.5</v>
      </c>
      <c r="E4772">
        <f t="shared" si="148"/>
        <v>7</v>
      </c>
      <c r="F4772">
        <f t="shared" si="149"/>
        <v>2018</v>
      </c>
    </row>
    <row r="4773" spans="1:6" x14ac:dyDescent="0.2">
      <c r="A4773" s="20">
        <v>43312</v>
      </c>
      <c r="B4773">
        <v>184.75</v>
      </c>
      <c r="E4773">
        <f t="shared" si="148"/>
        <v>7</v>
      </c>
      <c r="F4773">
        <f t="shared" si="149"/>
        <v>2018</v>
      </c>
    </row>
    <row r="4774" spans="1:6" x14ac:dyDescent="0.2">
      <c r="A4774" s="20">
        <v>43313</v>
      </c>
      <c r="B4774">
        <v>193</v>
      </c>
      <c r="E4774">
        <f t="shared" si="148"/>
        <v>8</v>
      </c>
      <c r="F4774">
        <f t="shared" si="149"/>
        <v>2018</v>
      </c>
    </row>
    <row r="4775" spans="1:6" x14ac:dyDescent="0.2">
      <c r="A4775" s="20">
        <v>43314</v>
      </c>
      <c r="B4775">
        <v>195</v>
      </c>
      <c r="E4775">
        <f t="shared" si="148"/>
        <v>8</v>
      </c>
      <c r="F4775">
        <f t="shared" si="149"/>
        <v>2018</v>
      </c>
    </row>
    <row r="4776" spans="1:6" x14ac:dyDescent="0.2">
      <c r="A4776" s="20">
        <v>43315</v>
      </c>
      <c r="B4776">
        <v>200</v>
      </c>
      <c r="E4776">
        <f t="shared" si="148"/>
        <v>8</v>
      </c>
      <c r="F4776">
        <f t="shared" si="149"/>
        <v>2018</v>
      </c>
    </row>
    <row r="4777" spans="1:6" x14ac:dyDescent="0.2">
      <c r="A4777" s="20">
        <v>43318</v>
      </c>
      <c r="B4777">
        <v>199.5</v>
      </c>
      <c r="E4777">
        <f t="shared" si="148"/>
        <v>8</v>
      </c>
      <c r="F4777">
        <f t="shared" si="149"/>
        <v>2018</v>
      </c>
    </row>
    <row r="4778" spans="1:6" x14ac:dyDescent="0.2">
      <c r="A4778" s="20">
        <v>43319</v>
      </c>
      <c r="B4778">
        <v>196.25</v>
      </c>
      <c r="E4778">
        <f t="shared" si="148"/>
        <v>8</v>
      </c>
      <c r="F4778">
        <f t="shared" si="149"/>
        <v>2018</v>
      </c>
    </row>
    <row r="4779" spans="1:6" x14ac:dyDescent="0.2">
      <c r="A4779" s="20">
        <v>43320</v>
      </c>
      <c r="B4779">
        <v>194.5</v>
      </c>
      <c r="E4779">
        <f t="shared" si="148"/>
        <v>8</v>
      </c>
      <c r="F4779">
        <f t="shared" si="149"/>
        <v>2018</v>
      </c>
    </row>
    <row r="4780" spans="1:6" x14ac:dyDescent="0.2">
      <c r="A4780" s="20">
        <v>43321</v>
      </c>
      <c r="B4780">
        <v>191</v>
      </c>
      <c r="E4780">
        <f t="shared" si="148"/>
        <v>8</v>
      </c>
      <c r="F4780">
        <f t="shared" si="149"/>
        <v>2018</v>
      </c>
    </row>
    <row r="4781" spans="1:6" x14ac:dyDescent="0.2">
      <c r="A4781" s="20">
        <v>43322</v>
      </c>
      <c r="B4781">
        <v>190.5</v>
      </c>
      <c r="E4781">
        <f t="shared" si="148"/>
        <v>8</v>
      </c>
      <c r="F4781">
        <f t="shared" si="149"/>
        <v>2018</v>
      </c>
    </row>
    <row r="4782" spans="1:6" x14ac:dyDescent="0.2">
      <c r="A4782" s="20">
        <v>43325</v>
      </c>
      <c r="B4782">
        <v>185.25</v>
      </c>
      <c r="E4782">
        <f t="shared" si="148"/>
        <v>8</v>
      </c>
      <c r="F4782">
        <f t="shared" si="149"/>
        <v>2018</v>
      </c>
    </row>
    <row r="4783" spans="1:6" x14ac:dyDescent="0.2">
      <c r="A4783" s="20">
        <v>43326</v>
      </c>
      <c r="B4783">
        <v>186.25</v>
      </c>
      <c r="E4783">
        <f t="shared" si="148"/>
        <v>8</v>
      </c>
      <c r="F4783">
        <f t="shared" si="149"/>
        <v>2018</v>
      </c>
    </row>
    <row r="4784" spans="1:6" x14ac:dyDescent="0.2">
      <c r="A4784" s="20">
        <v>43327</v>
      </c>
      <c r="B4784">
        <v>185</v>
      </c>
      <c r="E4784">
        <f t="shared" si="148"/>
        <v>8</v>
      </c>
      <c r="F4784">
        <f t="shared" si="149"/>
        <v>2018</v>
      </c>
    </row>
    <row r="4785" spans="1:6" x14ac:dyDescent="0.2">
      <c r="A4785" s="20">
        <v>43328</v>
      </c>
      <c r="B4785">
        <v>188.5</v>
      </c>
      <c r="E4785">
        <f t="shared" si="148"/>
        <v>8</v>
      </c>
      <c r="F4785">
        <f t="shared" si="149"/>
        <v>2018</v>
      </c>
    </row>
    <row r="4786" spans="1:6" x14ac:dyDescent="0.2">
      <c r="A4786" s="20">
        <v>43329</v>
      </c>
      <c r="B4786">
        <v>190</v>
      </c>
      <c r="E4786">
        <f t="shared" si="148"/>
        <v>8</v>
      </c>
      <c r="F4786">
        <f t="shared" si="149"/>
        <v>2018</v>
      </c>
    </row>
    <row r="4787" spans="1:6" x14ac:dyDescent="0.2">
      <c r="A4787" s="20">
        <v>43332</v>
      </c>
      <c r="B4787">
        <v>189.5</v>
      </c>
      <c r="E4787">
        <f t="shared" si="148"/>
        <v>8</v>
      </c>
      <c r="F4787">
        <f t="shared" si="149"/>
        <v>2018</v>
      </c>
    </row>
    <row r="4788" spans="1:6" x14ac:dyDescent="0.2">
      <c r="A4788" s="20">
        <v>43333</v>
      </c>
      <c r="B4788">
        <v>186.75</v>
      </c>
      <c r="E4788">
        <f t="shared" si="148"/>
        <v>8</v>
      </c>
      <c r="F4788">
        <f t="shared" si="149"/>
        <v>2018</v>
      </c>
    </row>
    <row r="4789" spans="1:6" x14ac:dyDescent="0.2">
      <c r="A4789" s="20">
        <v>43334</v>
      </c>
      <c r="B4789">
        <v>185.5</v>
      </c>
      <c r="E4789">
        <f t="shared" si="148"/>
        <v>8</v>
      </c>
      <c r="F4789">
        <f t="shared" si="149"/>
        <v>2018</v>
      </c>
    </row>
    <row r="4790" spans="1:6" x14ac:dyDescent="0.2">
      <c r="A4790" s="20">
        <v>43335</v>
      </c>
      <c r="B4790">
        <v>184.25</v>
      </c>
      <c r="E4790">
        <f t="shared" si="148"/>
        <v>8</v>
      </c>
      <c r="F4790">
        <f t="shared" si="149"/>
        <v>2018</v>
      </c>
    </row>
    <row r="4791" spans="1:6" x14ac:dyDescent="0.2">
      <c r="A4791" s="20">
        <v>43336</v>
      </c>
      <c r="B4791">
        <v>183.5</v>
      </c>
      <c r="E4791">
        <f t="shared" si="148"/>
        <v>8</v>
      </c>
      <c r="F4791">
        <f t="shared" si="149"/>
        <v>2018</v>
      </c>
    </row>
    <row r="4792" spans="1:6" x14ac:dyDescent="0.2">
      <c r="A4792" s="20">
        <v>43339</v>
      </c>
      <c r="B4792">
        <v>180</v>
      </c>
      <c r="E4792">
        <f t="shared" si="148"/>
        <v>8</v>
      </c>
      <c r="F4792">
        <f t="shared" si="149"/>
        <v>2018</v>
      </c>
    </row>
    <row r="4793" spans="1:6" x14ac:dyDescent="0.2">
      <c r="A4793" s="20">
        <v>43340</v>
      </c>
      <c r="B4793">
        <v>179.75</v>
      </c>
      <c r="E4793">
        <f t="shared" si="148"/>
        <v>8</v>
      </c>
      <c r="F4793">
        <f t="shared" si="149"/>
        <v>2018</v>
      </c>
    </row>
    <row r="4794" spans="1:6" x14ac:dyDescent="0.2">
      <c r="A4794" s="20">
        <v>43341</v>
      </c>
      <c r="B4794">
        <v>182.75</v>
      </c>
      <c r="E4794">
        <f t="shared" si="148"/>
        <v>8</v>
      </c>
      <c r="F4794">
        <f t="shared" si="149"/>
        <v>2018</v>
      </c>
    </row>
    <row r="4795" spans="1:6" x14ac:dyDescent="0.2">
      <c r="A4795" s="20">
        <v>43342</v>
      </c>
      <c r="B4795">
        <v>183</v>
      </c>
      <c r="E4795">
        <f t="shared" si="148"/>
        <v>8</v>
      </c>
      <c r="F4795">
        <f t="shared" si="149"/>
        <v>2018</v>
      </c>
    </row>
    <row r="4796" spans="1:6" x14ac:dyDescent="0.2">
      <c r="A4796" s="20">
        <v>43343</v>
      </c>
      <c r="B4796">
        <v>184.75</v>
      </c>
      <c r="E4796">
        <f t="shared" si="148"/>
        <v>8</v>
      </c>
      <c r="F4796">
        <f t="shared" si="149"/>
        <v>2018</v>
      </c>
    </row>
    <row r="4797" spans="1:6" x14ac:dyDescent="0.2">
      <c r="A4797" s="20">
        <v>43346</v>
      </c>
      <c r="B4797">
        <v>181.5</v>
      </c>
      <c r="E4797">
        <f t="shared" si="148"/>
        <v>9</v>
      </c>
      <c r="F4797">
        <f t="shared" si="149"/>
        <v>2018</v>
      </c>
    </row>
    <row r="4798" spans="1:6" x14ac:dyDescent="0.2">
      <c r="A4798" s="20">
        <v>43347</v>
      </c>
      <c r="B4798">
        <v>181</v>
      </c>
      <c r="E4798">
        <f t="shared" si="148"/>
        <v>9</v>
      </c>
      <c r="F4798">
        <f t="shared" si="149"/>
        <v>2018</v>
      </c>
    </row>
    <row r="4799" spans="1:6" x14ac:dyDescent="0.2">
      <c r="A4799" s="20">
        <v>43348</v>
      </c>
      <c r="B4799">
        <v>181.25</v>
      </c>
      <c r="E4799">
        <f t="shared" si="148"/>
        <v>9</v>
      </c>
      <c r="F4799">
        <f t="shared" si="149"/>
        <v>2018</v>
      </c>
    </row>
    <row r="4800" spans="1:6" x14ac:dyDescent="0.2">
      <c r="A4800" s="20">
        <v>43349</v>
      </c>
      <c r="B4800">
        <v>180</v>
      </c>
      <c r="E4800">
        <f t="shared" si="148"/>
        <v>9</v>
      </c>
      <c r="F4800">
        <f t="shared" si="149"/>
        <v>2018</v>
      </c>
    </row>
    <row r="4801" spans="1:6" x14ac:dyDescent="0.2">
      <c r="A4801" s="20">
        <v>43350</v>
      </c>
      <c r="B4801">
        <v>177.75</v>
      </c>
      <c r="E4801">
        <f t="shared" si="148"/>
        <v>9</v>
      </c>
      <c r="F4801">
        <f t="shared" si="149"/>
        <v>2018</v>
      </c>
    </row>
    <row r="4802" spans="1:6" x14ac:dyDescent="0.2">
      <c r="A4802" s="20">
        <v>43353</v>
      </c>
      <c r="B4802">
        <v>179.75</v>
      </c>
      <c r="E4802">
        <f t="shared" si="148"/>
        <v>9</v>
      </c>
      <c r="F4802">
        <f t="shared" si="149"/>
        <v>2018</v>
      </c>
    </row>
    <row r="4803" spans="1:6" x14ac:dyDescent="0.2">
      <c r="A4803" s="20">
        <v>43354</v>
      </c>
      <c r="B4803">
        <v>179</v>
      </c>
      <c r="E4803">
        <f t="shared" ref="E4803:E4866" si="150">MONTH(A4803)</f>
        <v>9</v>
      </c>
      <c r="F4803">
        <f t="shared" ref="F4803:F4866" si="151">YEAR(A4803)</f>
        <v>2018</v>
      </c>
    </row>
    <row r="4804" spans="1:6" x14ac:dyDescent="0.2">
      <c r="A4804" s="20">
        <v>43355</v>
      </c>
      <c r="B4804">
        <v>177.5</v>
      </c>
      <c r="E4804">
        <f t="shared" si="150"/>
        <v>9</v>
      </c>
      <c r="F4804">
        <f t="shared" si="151"/>
        <v>2018</v>
      </c>
    </row>
    <row r="4805" spans="1:6" x14ac:dyDescent="0.2">
      <c r="A4805" s="20">
        <v>43356</v>
      </c>
      <c r="B4805">
        <v>175</v>
      </c>
      <c r="E4805">
        <f t="shared" si="150"/>
        <v>9</v>
      </c>
      <c r="F4805">
        <f t="shared" si="151"/>
        <v>2018</v>
      </c>
    </row>
    <row r="4806" spans="1:6" x14ac:dyDescent="0.2">
      <c r="A4806" s="20">
        <v>43357</v>
      </c>
      <c r="B4806">
        <v>176.25</v>
      </c>
      <c r="E4806">
        <f t="shared" si="150"/>
        <v>9</v>
      </c>
      <c r="F4806">
        <f t="shared" si="151"/>
        <v>2018</v>
      </c>
    </row>
    <row r="4807" spans="1:6" x14ac:dyDescent="0.2">
      <c r="A4807" s="20">
        <v>43360</v>
      </c>
      <c r="B4807">
        <v>176.5</v>
      </c>
      <c r="E4807">
        <f t="shared" si="150"/>
        <v>9</v>
      </c>
      <c r="F4807">
        <f t="shared" si="151"/>
        <v>2018</v>
      </c>
    </row>
    <row r="4808" spans="1:6" x14ac:dyDescent="0.2">
      <c r="A4808" s="20">
        <v>43361</v>
      </c>
      <c r="B4808">
        <v>176</v>
      </c>
      <c r="E4808">
        <f t="shared" si="150"/>
        <v>9</v>
      </c>
      <c r="F4808">
        <f t="shared" si="151"/>
        <v>2018</v>
      </c>
    </row>
    <row r="4809" spans="1:6" x14ac:dyDescent="0.2">
      <c r="A4809" s="20">
        <v>43362</v>
      </c>
      <c r="B4809">
        <v>175</v>
      </c>
      <c r="E4809">
        <f t="shared" si="150"/>
        <v>9</v>
      </c>
      <c r="F4809">
        <f t="shared" si="151"/>
        <v>2018</v>
      </c>
    </row>
    <row r="4810" spans="1:6" x14ac:dyDescent="0.2">
      <c r="A4810" s="20">
        <v>43363</v>
      </c>
      <c r="B4810">
        <v>176</v>
      </c>
      <c r="E4810">
        <f t="shared" si="150"/>
        <v>9</v>
      </c>
      <c r="F4810">
        <f t="shared" si="151"/>
        <v>2018</v>
      </c>
    </row>
    <row r="4811" spans="1:6" x14ac:dyDescent="0.2">
      <c r="A4811" s="20">
        <v>43364</v>
      </c>
      <c r="B4811">
        <v>177</v>
      </c>
      <c r="E4811">
        <f t="shared" si="150"/>
        <v>9</v>
      </c>
      <c r="F4811">
        <f t="shared" si="151"/>
        <v>2018</v>
      </c>
    </row>
    <row r="4812" spans="1:6" x14ac:dyDescent="0.2">
      <c r="A4812" s="20">
        <v>43367</v>
      </c>
      <c r="B4812">
        <v>176.5</v>
      </c>
      <c r="E4812">
        <f t="shared" si="150"/>
        <v>9</v>
      </c>
      <c r="F4812">
        <f t="shared" si="151"/>
        <v>2018</v>
      </c>
    </row>
    <row r="4813" spans="1:6" x14ac:dyDescent="0.2">
      <c r="A4813" s="20">
        <v>43368</v>
      </c>
      <c r="B4813">
        <v>176.5</v>
      </c>
      <c r="E4813">
        <f t="shared" si="150"/>
        <v>9</v>
      </c>
      <c r="F4813">
        <f t="shared" si="151"/>
        <v>2018</v>
      </c>
    </row>
    <row r="4814" spans="1:6" x14ac:dyDescent="0.2">
      <c r="A4814" s="20">
        <v>43369</v>
      </c>
      <c r="B4814">
        <v>177.25</v>
      </c>
      <c r="E4814">
        <f t="shared" si="150"/>
        <v>9</v>
      </c>
      <c r="F4814">
        <f t="shared" si="151"/>
        <v>2018</v>
      </c>
    </row>
    <row r="4815" spans="1:6" x14ac:dyDescent="0.2">
      <c r="A4815" s="20">
        <v>43370</v>
      </c>
      <c r="B4815">
        <v>176</v>
      </c>
      <c r="E4815">
        <f t="shared" si="150"/>
        <v>9</v>
      </c>
      <c r="F4815">
        <f t="shared" si="151"/>
        <v>2018</v>
      </c>
    </row>
    <row r="4816" spans="1:6" x14ac:dyDescent="0.2">
      <c r="A4816" s="20">
        <v>43371</v>
      </c>
      <c r="B4816">
        <v>174.5</v>
      </c>
      <c r="E4816">
        <f t="shared" si="150"/>
        <v>9</v>
      </c>
      <c r="F4816">
        <f t="shared" si="151"/>
        <v>2018</v>
      </c>
    </row>
    <row r="4817" spans="1:6" x14ac:dyDescent="0.2">
      <c r="A4817" s="20">
        <v>43374</v>
      </c>
      <c r="B4817">
        <v>174.5</v>
      </c>
      <c r="E4817">
        <f t="shared" si="150"/>
        <v>10</v>
      </c>
      <c r="F4817">
        <f t="shared" si="151"/>
        <v>2018</v>
      </c>
    </row>
    <row r="4818" spans="1:6" x14ac:dyDescent="0.2">
      <c r="A4818" s="20">
        <v>43375</v>
      </c>
      <c r="B4818">
        <v>174.25</v>
      </c>
      <c r="E4818">
        <f t="shared" si="150"/>
        <v>10</v>
      </c>
      <c r="F4818">
        <f t="shared" si="151"/>
        <v>2018</v>
      </c>
    </row>
    <row r="4819" spans="1:6" x14ac:dyDescent="0.2">
      <c r="A4819" s="20">
        <v>43376</v>
      </c>
      <c r="B4819">
        <v>174.75</v>
      </c>
      <c r="E4819">
        <f t="shared" si="150"/>
        <v>10</v>
      </c>
      <c r="F4819">
        <f t="shared" si="151"/>
        <v>2018</v>
      </c>
    </row>
    <row r="4820" spans="1:6" x14ac:dyDescent="0.2">
      <c r="A4820" s="20">
        <v>43377</v>
      </c>
      <c r="B4820">
        <v>174</v>
      </c>
      <c r="E4820">
        <f t="shared" si="150"/>
        <v>10</v>
      </c>
      <c r="F4820">
        <f t="shared" si="151"/>
        <v>2018</v>
      </c>
    </row>
    <row r="4821" spans="1:6" x14ac:dyDescent="0.2">
      <c r="A4821" s="20">
        <v>43378</v>
      </c>
      <c r="B4821">
        <v>174.25</v>
      </c>
      <c r="E4821">
        <f t="shared" si="150"/>
        <v>10</v>
      </c>
      <c r="F4821">
        <f t="shared" si="151"/>
        <v>2018</v>
      </c>
    </row>
    <row r="4822" spans="1:6" x14ac:dyDescent="0.2">
      <c r="A4822" s="20">
        <v>43381</v>
      </c>
      <c r="B4822">
        <v>173.75</v>
      </c>
      <c r="E4822">
        <f t="shared" si="150"/>
        <v>10</v>
      </c>
      <c r="F4822">
        <f t="shared" si="151"/>
        <v>2018</v>
      </c>
    </row>
    <row r="4823" spans="1:6" x14ac:dyDescent="0.2">
      <c r="A4823" s="20">
        <v>43382</v>
      </c>
      <c r="B4823">
        <v>173.5</v>
      </c>
      <c r="E4823">
        <f t="shared" si="150"/>
        <v>10</v>
      </c>
      <c r="F4823">
        <f t="shared" si="151"/>
        <v>2018</v>
      </c>
    </row>
    <row r="4824" spans="1:6" x14ac:dyDescent="0.2">
      <c r="A4824" s="20">
        <v>43383</v>
      </c>
      <c r="B4824">
        <v>173.25</v>
      </c>
      <c r="E4824">
        <f t="shared" si="150"/>
        <v>10</v>
      </c>
      <c r="F4824">
        <f t="shared" si="151"/>
        <v>2018</v>
      </c>
    </row>
    <row r="4825" spans="1:6" x14ac:dyDescent="0.2">
      <c r="A4825" s="20">
        <v>43384</v>
      </c>
      <c r="B4825">
        <v>173.5</v>
      </c>
      <c r="E4825">
        <f t="shared" si="150"/>
        <v>10</v>
      </c>
      <c r="F4825">
        <f t="shared" si="151"/>
        <v>2018</v>
      </c>
    </row>
    <row r="4826" spans="1:6" x14ac:dyDescent="0.2">
      <c r="A4826" s="20">
        <v>43385</v>
      </c>
      <c r="B4826">
        <v>174.25</v>
      </c>
      <c r="E4826">
        <f t="shared" si="150"/>
        <v>10</v>
      </c>
      <c r="F4826">
        <f t="shared" si="151"/>
        <v>2018</v>
      </c>
    </row>
    <row r="4827" spans="1:6" x14ac:dyDescent="0.2">
      <c r="A4827" s="20">
        <v>43388</v>
      </c>
      <c r="B4827">
        <v>172.25</v>
      </c>
      <c r="E4827">
        <f t="shared" si="150"/>
        <v>10</v>
      </c>
      <c r="F4827">
        <f t="shared" si="151"/>
        <v>2018</v>
      </c>
    </row>
    <row r="4828" spans="1:6" x14ac:dyDescent="0.2">
      <c r="A4828" s="20">
        <v>43389</v>
      </c>
      <c r="B4828">
        <v>171.75</v>
      </c>
      <c r="E4828">
        <f t="shared" si="150"/>
        <v>10</v>
      </c>
      <c r="F4828">
        <f t="shared" si="151"/>
        <v>2018</v>
      </c>
    </row>
    <row r="4829" spans="1:6" x14ac:dyDescent="0.2">
      <c r="A4829" s="20">
        <v>43390</v>
      </c>
      <c r="B4829">
        <v>170.5</v>
      </c>
      <c r="E4829">
        <f t="shared" si="150"/>
        <v>10</v>
      </c>
      <c r="F4829">
        <f t="shared" si="151"/>
        <v>2018</v>
      </c>
    </row>
    <row r="4830" spans="1:6" x14ac:dyDescent="0.2">
      <c r="A4830" s="20">
        <v>43391</v>
      </c>
      <c r="B4830">
        <v>169</v>
      </c>
      <c r="E4830">
        <f t="shared" si="150"/>
        <v>10</v>
      </c>
      <c r="F4830">
        <f t="shared" si="151"/>
        <v>2018</v>
      </c>
    </row>
    <row r="4831" spans="1:6" x14ac:dyDescent="0.2">
      <c r="A4831" s="20">
        <v>43392</v>
      </c>
      <c r="B4831">
        <v>168.5</v>
      </c>
      <c r="E4831">
        <f t="shared" si="150"/>
        <v>10</v>
      </c>
      <c r="F4831">
        <f t="shared" si="151"/>
        <v>2018</v>
      </c>
    </row>
    <row r="4832" spans="1:6" x14ac:dyDescent="0.2">
      <c r="A4832" s="20">
        <v>43395</v>
      </c>
      <c r="B4832">
        <v>166.5</v>
      </c>
      <c r="E4832">
        <f t="shared" si="150"/>
        <v>10</v>
      </c>
      <c r="F4832">
        <f t="shared" si="151"/>
        <v>2018</v>
      </c>
    </row>
    <row r="4833" spans="1:6" x14ac:dyDescent="0.2">
      <c r="A4833" s="20">
        <v>43396</v>
      </c>
      <c r="B4833">
        <v>167.25</v>
      </c>
      <c r="E4833">
        <f t="shared" si="150"/>
        <v>10</v>
      </c>
      <c r="F4833">
        <f t="shared" si="151"/>
        <v>2018</v>
      </c>
    </row>
    <row r="4834" spans="1:6" x14ac:dyDescent="0.2">
      <c r="A4834" s="20">
        <v>43397</v>
      </c>
      <c r="B4834">
        <v>167.25</v>
      </c>
      <c r="E4834">
        <f t="shared" si="150"/>
        <v>10</v>
      </c>
      <c r="F4834">
        <f t="shared" si="151"/>
        <v>2018</v>
      </c>
    </row>
    <row r="4835" spans="1:6" x14ac:dyDescent="0.2">
      <c r="A4835" s="20">
        <v>43398</v>
      </c>
      <c r="B4835">
        <v>166.25</v>
      </c>
      <c r="E4835">
        <f t="shared" si="150"/>
        <v>10</v>
      </c>
      <c r="F4835">
        <f t="shared" si="151"/>
        <v>2018</v>
      </c>
    </row>
    <row r="4836" spans="1:6" x14ac:dyDescent="0.2">
      <c r="A4836" s="20">
        <v>43399</v>
      </c>
      <c r="B4836">
        <v>166</v>
      </c>
      <c r="E4836">
        <f t="shared" si="150"/>
        <v>10</v>
      </c>
      <c r="F4836">
        <f t="shared" si="151"/>
        <v>2018</v>
      </c>
    </row>
    <row r="4837" spans="1:6" x14ac:dyDescent="0.2">
      <c r="A4837" s="20">
        <v>43402</v>
      </c>
      <c r="B4837">
        <v>168.5</v>
      </c>
      <c r="E4837">
        <f t="shared" si="150"/>
        <v>10</v>
      </c>
      <c r="F4837">
        <f t="shared" si="151"/>
        <v>2018</v>
      </c>
    </row>
    <row r="4838" spans="1:6" x14ac:dyDescent="0.2">
      <c r="A4838" s="20">
        <v>43403</v>
      </c>
      <c r="B4838">
        <v>168.25</v>
      </c>
      <c r="E4838">
        <f t="shared" si="150"/>
        <v>10</v>
      </c>
      <c r="F4838">
        <f t="shared" si="151"/>
        <v>2018</v>
      </c>
    </row>
    <row r="4839" spans="1:6" x14ac:dyDescent="0.2">
      <c r="A4839" s="20">
        <v>43404</v>
      </c>
      <c r="B4839">
        <v>168</v>
      </c>
      <c r="E4839">
        <f t="shared" si="150"/>
        <v>10</v>
      </c>
      <c r="F4839">
        <f t="shared" si="151"/>
        <v>2018</v>
      </c>
    </row>
    <row r="4840" spans="1:6" x14ac:dyDescent="0.2">
      <c r="A4840" s="20">
        <v>43405</v>
      </c>
      <c r="B4840">
        <v>168.5</v>
      </c>
      <c r="E4840">
        <f t="shared" si="150"/>
        <v>11</v>
      </c>
      <c r="F4840">
        <f t="shared" si="151"/>
        <v>2018</v>
      </c>
    </row>
    <row r="4841" spans="1:6" x14ac:dyDescent="0.2">
      <c r="A4841" s="20">
        <v>43406</v>
      </c>
      <c r="B4841">
        <v>169.5</v>
      </c>
      <c r="E4841">
        <f t="shared" si="150"/>
        <v>11</v>
      </c>
      <c r="F4841">
        <f t="shared" si="151"/>
        <v>2018</v>
      </c>
    </row>
    <row r="4842" spans="1:6" x14ac:dyDescent="0.2">
      <c r="A4842" s="20">
        <v>43409</v>
      </c>
      <c r="B4842">
        <v>167.25</v>
      </c>
      <c r="E4842">
        <f t="shared" si="150"/>
        <v>11</v>
      </c>
      <c r="F4842">
        <f t="shared" si="151"/>
        <v>2018</v>
      </c>
    </row>
    <row r="4843" spans="1:6" x14ac:dyDescent="0.2">
      <c r="A4843" s="20">
        <v>43410</v>
      </c>
      <c r="B4843">
        <v>174.5</v>
      </c>
      <c r="E4843">
        <f t="shared" si="150"/>
        <v>11</v>
      </c>
      <c r="F4843">
        <f t="shared" si="151"/>
        <v>2018</v>
      </c>
    </row>
    <row r="4844" spans="1:6" x14ac:dyDescent="0.2">
      <c r="A4844" s="20">
        <v>43411</v>
      </c>
      <c r="B4844">
        <v>174.25</v>
      </c>
      <c r="E4844">
        <f t="shared" si="150"/>
        <v>11</v>
      </c>
      <c r="F4844">
        <f t="shared" si="151"/>
        <v>2018</v>
      </c>
    </row>
    <row r="4845" spans="1:6" x14ac:dyDescent="0.2">
      <c r="A4845" s="20">
        <v>43412</v>
      </c>
      <c r="B4845">
        <v>174.25</v>
      </c>
      <c r="E4845">
        <f t="shared" si="150"/>
        <v>11</v>
      </c>
      <c r="F4845">
        <f t="shared" si="151"/>
        <v>2018</v>
      </c>
    </row>
    <row r="4846" spans="1:6" x14ac:dyDescent="0.2">
      <c r="A4846" s="20">
        <v>43413</v>
      </c>
      <c r="B4846">
        <v>174</v>
      </c>
      <c r="E4846">
        <f t="shared" si="150"/>
        <v>11</v>
      </c>
      <c r="F4846">
        <f t="shared" si="151"/>
        <v>2018</v>
      </c>
    </row>
    <row r="4847" spans="1:6" x14ac:dyDescent="0.2">
      <c r="A4847" s="20">
        <v>43416</v>
      </c>
      <c r="B4847">
        <v>175.25</v>
      </c>
      <c r="E4847">
        <f t="shared" si="150"/>
        <v>11</v>
      </c>
      <c r="F4847">
        <f t="shared" si="151"/>
        <v>2018</v>
      </c>
    </row>
    <row r="4848" spans="1:6" x14ac:dyDescent="0.2">
      <c r="A4848" s="20">
        <v>43417</v>
      </c>
      <c r="B4848">
        <v>175.75</v>
      </c>
      <c r="E4848">
        <f t="shared" si="150"/>
        <v>11</v>
      </c>
      <c r="F4848">
        <f t="shared" si="151"/>
        <v>2018</v>
      </c>
    </row>
    <row r="4849" spans="1:6" x14ac:dyDescent="0.2">
      <c r="A4849" s="20">
        <v>43418</v>
      </c>
      <c r="B4849">
        <v>176.75</v>
      </c>
      <c r="E4849">
        <f t="shared" si="150"/>
        <v>11</v>
      </c>
      <c r="F4849">
        <f t="shared" si="151"/>
        <v>2018</v>
      </c>
    </row>
    <row r="4850" spans="1:6" x14ac:dyDescent="0.2">
      <c r="A4850" s="20">
        <v>43419</v>
      </c>
      <c r="B4850">
        <v>177</v>
      </c>
      <c r="E4850">
        <f t="shared" si="150"/>
        <v>11</v>
      </c>
      <c r="F4850">
        <f t="shared" si="151"/>
        <v>2018</v>
      </c>
    </row>
    <row r="4851" spans="1:6" x14ac:dyDescent="0.2">
      <c r="A4851" s="20">
        <v>43420</v>
      </c>
      <c r="B4851">
        <v>177.25</v>
      </c>
      <c r="E4851">
        <f t="shared" si="150"/>
        <v>11</v>
      </c>
      <c r="F4851">
        <f t="shared" si="151"/>
        <v>2018</v>
      </c>
    </row>
    <row r="4852" spans="1:6" x14ac:dyDescent="0.2">
      <c r="A4852" s="20">
        <v>43423</v>
      </c>
      <c r="B4852">
        <v>175.5</v>
      </c>
      <c r="E4852">
        <f t="shared" si="150"/>
        <v>11</v>
      </c>
      <c r="F4852">
        <f t="shared" si="151"/>
        <v>2018</v>
      </c>
    </row>
    <row r="4853" spans="1:6" x14ac:dyDescent="0.2">
      <c r="A4853" s="20">
        <v>43424</v>
      </c>
      <c r="B4853">
        <v>175.25</v>
      </c>
      <c r="E4853">
        <f t="shared" si="150"/>
        <v>11</v>
      </c>
      <c r="F4853">
        <f t="shared" si="151"/>
        <v>2018</v>
      </c>
    </row>
    <row r="4854" spans="1:6" x14ac:dyDescent="0.2">
      <c r="A4854" s="20">
        <v>43425</v>
      </c>
      <c r="B4854">
        <v>176.25</v>
      </c>
      <c r="E4854">
        <f t="shared" si="150"/>
        <v>11</v>
      </c>
      <c r="F4854">
        <f t="shared" si="151"/>
        <v>2018</v>
      </c>
    </row>
    <row r="4855" spans="1:6" x14ac:dyDescent="0.2">
      <c r="A4855" s="20">
        <v>43426</v>
      </c>
      <c r="B4855">
        <v>176.5</v>
      </c>
      <c r="E4855">
        <f t="shared" si="150"/>
        <v>11</v>
      </c>
      <c r="F4855">
        <f t="shared" si="151"/>
        <v>2018</v>
      </c>
    </row>
    <row r="4856" spans="1:6" x14ac:dyDescent="0.2">
      <c r="A4856" s="20">
        <v>43427</v>
      </c>
      <c r="B4856">
        <v>176.5</v>
      </c>
      <c r="E4856">
        <f t="shared" si="150"/>
        <v>11</v>
      </c>
      <c r="F4856">
        <f t="shared" si="151"/>
        <v>2018</v>
      </c>
    </row>
    <row r="4857" spans="1:6" x14ac:dyDescent="0.2">
      <c r="A4857" s="20">
        <v>43430</v>
      </c>
      <c r="B4857">
        <v>176</v>
      </c>
      <c r="E4857">
        <f t="shared" si="150"/>
        <v>11</v>
      </c>
      <c r="F4857">
        <f t="shared" si="151"/>
        <v>2018</v>
      </c>
    </row>
    <row r="4858" spans="1:6" x14ac:dyDescent="0.2">
      <c r="A4858" s="20">
        <v>43431</v>
      </c>
      <c r="B4858">
        <v>176.5</v>
      </c>
      <c r="E4858">
        <f t="shared" si="150"/>
        <v>11</v>
      </c>
      <c r="F4858">
        <f t="shared" si="151"/>
        <v>2018</v>
      </c>
    </row>
    <row r="4859" spans="1:6" x14ac:dyDescent="0.2">
      <c r="A4859" s="20">
        <v>43432</v>
      </c>
      <c r="B4859">
        <v>175.75</v>
      </c>
      <c r="E4859">
        <f t="shared" si="150"/>
        <v>11</v>
      </c>
      <c r="F4859">
        <f t="shared" si="151"/>
        <v>2018</v>
      </c>
    </row>
    <row r="4860" spans="1:6" x14ac:dyDescent="0.2">
      <c r="A4860" s="20">
        <v>43433</v>
      </c>
      <c r="B4860">
        <v>175.5</v>
      </c>
      <c r="E4860">
        <f t="shared" si="150"/>
        <v>11</v>
      </c>
      <c r="F4860">
        <f t="shared" si="151"/>
        <v>2018</v>
      </c>
    </row>
    <row r="4861" spans="1:6" x14ac:dyDescent="0.2">
      <c r="A4861" s="20">
        <v>43434</v>
      </c>
      <c r="B4861">
        <v>175.25</v>
      </c>
      <c r="E4861">
        <f t="shared" si="150"/>
        <v>11</v>
      </c>
      <c r="F4861">
        <f t="shared" si="151"/>
        <v>2018</v>
      </c>
    </row>
    <row r="4862" spans="1:6" x14ac:dyDescent="0.2">
      <c r="A4862" s="20">
        <v>43437</v>
      </c>
      <c r="B4862">
        <v>175.5</v>
      </c>
      <c r="E4862">
        <f t="shared" si="150"/>
        <v>12</v>
      </c>
      <c r="F4862">
        <f t="shared" si="151"/>
        <v>2018</v>
      </c>
    </row>
    <row r="4863" spans="1:6" x14ac:dyDescent="0.2">
      <c r="A4863" s="20">
        <v>43438</v>
      </c>
      <c r="B4863">
        <v>175.5</v>
      </c>
      <c r="E4863">
        <f t="shared" si="150"/>
        <v>12</v>
      </c>
      <c r="F4863">
        <f t="shared" si="151"/>
        <v>2018</v>
      </c>
    </row>
    <row r="4864" spans="1:6" x14ac:dyDescent="0.2">
      <c r="A4864" s="20">
        <v>43439</v>
      </c>
      <c r="B4864">
        <v>176.5</v>
      </c>
      <c r="E4864">
        <f t="shared" si="150"/>
        <v>12</v>
      </c>
      <c r="F4864">
        <f t="shared" si="151"/>
        <v>2018</v>
      </c>
    </row>
    <row r="4865" spans="1:6" x14ac:dyDescent="0.2">
      <c r="A4865" s="20">
        <v>43440</v>
      </c>
      <c r="B4865">
        <v>176</v>
      </c>
      <c r="E4865">
        <f t="shared" si="150"/>
        <v>12</v>
      </c>
      <c r="F4865">
        <f t="shared" si="151"/>
        <v>2018</v>
      </c>
    </row>
    <row r="4866" spans="1:6" x14ac:dyDescent="0.2">
      <c r="A4866" s="20">
        <v>43441</v>
      </c>
      <c r="B4866">
        <v>176.25</v>
      </c>
      <c r="E4866">
        <f t="shared" si="150"/>
        <v>12</v>
      </c>
      <c r="F4866">
        <f t="shared" si="151"/>
        <v>2018</v>
      </c>
    </row>
    <row r="4867" spans="1:6" x14ac:dyDescent="0.2">
      <c r="A4867" s="20">
        <v>43444</v>
      </c>
      <c r="B4867">
        <v>176.5</v>
      </c>
      <c r="E4867">
        <f t="shared" ref="E4867:E4930" si="152">MONTH(A4867)</f>
        <v>12</v>
      </c>
      <c r="F4867">
        <f t="shared" ref="F4867:F4930" si="153">YEAR(A4867)</f>
        <v>2018</v>
      </c>
    </row>
    <row r="4868" spans="1:6" x14ac:dyDescent="0.2">
      <c r="A4868" s="20">
        <v>43445</v>
      </c>
      <c r="B4868">
        <v>176.75</v>
      </c>
      <c r="E4868">
        <f t="shared" si="152"/>
        <v>12</v>
      </c>
      <c r="F4868">
        <f t="shared" si="153"/>
        <v>2018</v>
      </c>
    </row>
    <row r="4869" spans="1:6" x14ac:dyDescent="0.2">
      <c r="A4869" s="20">
        <v>43446</v>
      </c>
      <c r="B4869">
        <v>178.25</v>
      </c>
      <c r="E4869">
        <f t="shared" si="152"/>
        <v>12</v>
      </c>
      <c r="F4869">
        <f t="shared" si="153"/>
        <v>2018</v>
      </c>
    </row>
    <row r="4870" spans="1:6" x14ac:dyDescent="0.2">
      <c r="A4870" s="20">
        <v>43447</v>
      </c>
      <c r="B4870">
        <v>178.75</v>
      </c>
      <c r="E4870">
        <f t="shared" si="152"/>
        <v>12</v>
      </c>
      <c r="F4870">
        <f t="shared" si="153"/>
        <v>2018</v>
      </c>
    </row>
    <row r="4871" spans="1:6" x14ac:dyDescent="0.2">
      <c r="A4871" s="20">
        <v>43448</v>
      </c>
      <c r="B4871">
        <v>177.5</v>
      </c>
      <c r="E4871">
        <f t="shared" si="152"/>
        <v>12</v>
      </c>
      <c r="F4871">
        <f t="shared" si="153"/>
        <v>2018</v>
      </c>
    </row>
    <row r="4872" spans="1:6" x14ac:dyDescent="0.2">
      <c r="A4872" s="20">
        <v>43451</v>
      </c>
      <c r="B4872">
        <v>178.5</v>
      </c>
      <c r="E4872">
        <f t="shared" si="152"/>
        <v>12</v>
      </c>
      <c r="F4872">
        <f t="shared" si="153"/>
        <v>2018</v>
      </c>
    </row>
    <row r="4873" spans="1:6" x14ac:dyDescent="0.2">
      <c r="A4873" s="20">
        <v>43452</v>
      </c>
      <c r="B4873">
        <v>179.25</v>
      </c>
      <c r="E4873">
        <f t="shared" si="152"/>
        <v>12</v>
      </c>
      <c r="F4873">
        <f t="shared" si="153"/>
        <v>2018</v>
      </c>
    </row>
    <row r="4874" spans="1:6" x14ac:dyDescent="0.2">
      <c r="A4874" s="20">
        <v>43453</v>
      </c>
      <c r="B4874">
        <v>178.75</v>
      </c>
      <c r="E4874">
        <f t="shared" si="152"/>
        <v>12</v>
      </c>
      <c r="F4874">
        <f t="shared" si="153"/>
        <v>2018</v>
      </c>
    </row>
    <row r="4875" spans="1:6" x14ac:dyDescent="0.2">
      <c r="A4875" s="20">
        <v>43454</v>
      </c>
      <c r="B4875">
        <v>179.75</v>
      </c>
      <c r="E4875">
        <f t="shared" si="152"/>
        <v>12</v>
      </c>
      <c r="F4875">
        <f t="shared" si="153"/>
        <v>2018</v>
      </c>
    </row>
    <row r="4876" spans="1:6" x14ac:dyDescent="0.2">
      <c r="A4876" s="20">
        <v>43455</v>
      </c>
      <c r="B4876">
        <v>179.5</v>
      </c>
      <c r="E4876">
        <f t="shared" si="152"/>
        <v>12</v>
      </c>
      <c r="F4876">
        <f t="shared" si="153"/>
        <v>2018</v>
      </c>
    </row>
    <row r="4877" spans="1:6" x14ac:dyDescent="0.2">
      <c r="A4877" s="20">
        <v>43458</v>
      </c>
      <c r="B4877">
        <v>180</v>
      </c>
      <c r="E4877">
        <f t="shared" si="152"/>
        <v>12</v>
      </c>
      <c r="F4877">
        <f t="shared" si="153"/>
        <v>2018</v>
      </c>
    </row>
    <row r="4878" spans="1:6" x14ac:dyDescent="0.2">
      <c r="A4878" s="20">
        <v>43461</v>
      </c>
      <c r="B4878">
        <v>179.5</v>
      </c>
      <c r="E4878">
        <f t="shared" si="152"/>
        <v>12</v>
      </c>
      <c r="F4878">
        <f t="shared" si="153"/>
        <v>2018</v>
      </c>
    </row>
    <row r="4879" spans="1:6" x14ac:dyDescent="0.2">
      <c r="A4879" s="20">
        <v>43462</v>
      </c>
      <c r="B4879">
        <v>179.5</v>
      </c>
      <c r="E4879">
        <f t="shared" si="152"/>
        <v>12</v>
      </c>
      <c r="F4879">
        <f t="shared" si="153"/>
        <v>2018</v>
      </c>
    </row>
    <row r="4880" spans="1:6" x14ac:dyDescent="0.2">
      <c r="A4880" s="20">
        <v>43465</v>
      </c>
      <c r="B4880">
        <v>180.25</v>
      </c>
      <c r="E4880">
        <f t="shared" si="152"/>
        <v>12</v>
      </c>
      <c r="F4880">
        <f t="shared" si="153"/>
        <v>2018</v>
      </c>
    </row>
    <row r="4881" spans="1:6" x14ac:dyDescent="0.2">
      <c r="A4881" s="20">
        <v>43467</v>
      </c>
      <c r="B4881">
        <v>180</v>
      </c>
      <c r="E4881">
        <f t="shared" si="152"/>
        <v>1</v>
      </c>
      <c r="F4881">
        <f t="shared" si="153"/>
        <v>2019</v>
      </c>
    </row>
    <row r="4882" spans="1:6" x14ac:dyDescent="0.2">
      <c r="A4882" s="20">
        <v>43468</v>
      </c>
      <c r="B4882">
        <v>180.75</v>
      </c>
      <c r="E4882">
        <f t="shared" si="152"/>
        <v>1</v>
      </c>
      <c r="F4882">
        <f t="shared" si="153"/>
        <v>2019</v>
      </c>
    </row>
    <row r="4883" spans="1:6" x14ac:dyDescent="0.2">
      <c r="A4883" s="20">
        <v>43469</v>
      </c>
      <c r="B4883">
        <v>182.25</v>
      </c>
      <c r="E4883">
        <f t="shared" si="152"/>
        <v>1</v>
      </c>
      <c r="F4883">
        <f t="shared" si="153"/>
        <v>2019</v>
      </c>
    </row>
    <row r="4884" spans="1:6" x14ac:dyDescent="0.2">
      <c r="A4884" s="20">
        <v>43472</v>
      </c>
      <c r="B4884">
        <v>182.25</v>
      </c>
      <c r="E4884">
        <f t="shared" si="152"/>
        <v>1</v>
      </c>
      <c r="F4884">
        <f t="shared" si="153"/>
        <v>2019</v>
      </c>
    </row>
    <row r="4885" spans="1:6" x14ac:dyDescent="0.2">
      <c r="A4885" s="20">
        <v>43473</v>
      </c>
      <c r="B4885">
        <v>182.75</v>
      </c>
      <c r="E4885">
        <f t="shared" si="152"/>
        <v>1</v>
      </c>
      <c r="F4885">
        <f t="shared" si="153"/>
        <v>2019</v>
      </c>
    </row>
    <row r="4886" spans="1:6" x14ac:dyDescent="0.2">
      <c r="A4886" s="20">
        <v>43474</v>
      </c>
      <c r="B4886">
        <v>181.75</v>
      </c>
      <c r="E4886">
        <f t="shared" si="152"/>
        <v>1</v>
      </c>
      <c r="F4886">
        <f t="shared" si="153"/>
        <v>2019</v>
      </c>
    </row>
    <row r="4887" spans="1:6" x14ac:dyDescent="0.2">
      <c r="A4887" s="20">
        <v>43475</v>
      </c>
      <c r="B4887">
        <v>180.5</v>
      </c>
      <c r="E4887">
        <f t="shared" si="152"/>
        <v>1</v>
      </c>
      <c r="F4887">
        <f t="shared" si="153"/>
        <v>2019</v>
      </c>
    </row>
    <row r="4888" spans="1:6" x14ac:dyDescent="0.2">
      <c r="A4888" s="20">
        <v>43476</v>
      </c>
      <c r="B4888">
        <v>180.5</v>
      </c>
      <c r="E4888">
        <f t="shared" si="152"/>
        <v>1</v>
      </c>
      <c r="F4888">
        <f t="shared" si="153"/>
        <v>2019</v>
      </c>
    </row>
    <row r="4889" spans="1:6" x14ac:dyDescent="0.2">
      <c r="A4889" s="20">
        <v>43479</v>
      </c>
      <c r="B4889">
        <v>179.75</v>
      </c>
      <c r="E4889">
        <f t="shared" si="152"/>
        <v>1</v>
      </c>
      <c r="F4889">
        <f t="shared" si="153"/>
        <v>2019</v>
      </c>
    </row>
    <row r="4890" spans="1:6" x14ac:dyDescent="0.2">
      <c r="A4890" s="20">
        <v>43480</v>
      </c>
      <c r="B4890">
        <v>179.75</v>
      </c>
      <c r="E4890">
        <f t="shared" si="152"/>
        <v>1</v>
      </c>
      <c r="F4890">
        <f t="shared" si="153"/>
        <v>2019</v>
      </c>
    </row>
    <row r="4891" spans="1:6" x14ac:dyDescent="0.2">
      <c r="A4891" s="20">
        <v>43481</v>
      </c>
      <c r="B4891">
        <v>180</v>
      </c>
      <c r="E4891">
        <f t="shared" si="152"/>
        <v>1</v>
      </c>
      <c r="F4891">
        <f t="shared" si="153"/>
        <v>2019</v>
      </c>
    </row>
    <row r="4892" spans="1:6" x14ac:dyDescent="0.2">
      <c r="A4892" s="20">
        <v>43482</v>
      </c>
      <c r="B4892">
        <v>180.5</v>
      </c>
      <c r="E4892">
        <f t="shared" si="152"/>
        <v>1</v>
      </c>
      <c r="F4892">
        <f t="shared" si="153"/>
        <v>2019</v>
      </c>
    </row>
    <row r="4893" spans="1:6" x14ac:dyDescent="0.2">
      <c r="A4893" s="20">
        <v>43483</v>
      </c>
      <c r="B4893">
        <v>181</v>
      </c>
      <c r="E4893">
        <f t="shared" si="152"/>
        <v>1</v>
      </c>
      <c r="F4893">
        <f t="shared" si="153"/>
        <v>2019</v>
      </c>
    </row>
    <row r="4894" spans="1:6" x14ac:dyDescent="0.2">
      <c r="A4894" s="20">
        <v>43486</v>
      </c>
      <c r="B4894">
        <v>181.75</v>
      </c>
      <c r="E4894">
        <f t="shared" si="152"/>
        <v>1</v>
      </c>
      <c r="F4894">
        <f t="shared" si="153"/>
        <v>2019</v>
      </c>
    </row>
    <row r="4895" spans="1:6" x14ac:dyDescent="0.2">
      <c r="A4895" s="20">
        <v>43487</v>
      </c>
      <c r="B4895">
        <v>182.25</v>
      </c>
      <c r="E4895">
        <f t="shared" si="152"/>
        <v>1</v>
      </c>
      <c r="F4895">
        <f t="shared" si="153"/>
        <v>2019</v>
      </c>
    </row>
    <row r="4896" spans="1:6" x14ac:dyDescent="0.2">
      <c r="A4896" s="20">
        <v>43488</v>
      </c>
      <c r="B4896">
        <v>182.5</v>
      </c>
      <c r="E4896">
        <f t="shared" si="152"/>
        <v>1</v>
      </c>
      <c r="F4896">
        <f t="shared" si="153"/>
        <v>2019</v>
      </c>
    </row>
    <row r="4897" spans="1:6" x14ac:dyDescent="0.2">
      <c r="A4897" s="20">
        <v>43489</v>
      </c>
      <c r="B4897">
        <v>181.75</v>
      </c>
      <c r="E4897">
        <f t="shared" si="152"/>
        <v>1</v>
      </c>
      <c r="F4897">
        <f t="shared" si="153"/>
        <v>2019</v>
      </c>
    </row>
    <row r="4898" spans="1:6" x14ac:dyDescent="0.2">
      <c r="A4898" s="20">
        <v>43490</v>
      </c>
      <c r="B4898">
        <v>179.75</v>
      </c>
      <c r="E4898">
        <f t="shared" si="152"/>
        <v>1</v>
      </c>
      <c r="F4898">
        <f t="shared" si="153"/>
        <v>2019</v>
      </c>
    </row>
    <row r="4899" spans="1:6" x14ac:dyDescent="0.2">
      <c r="A4899" s="20">
        <v>43493</v>
      </c>
      <c r="B4899">
        <v>179.5</v>
      </c>
      <c r="E4899">
        <f t="shared" si="152"/>
        <v>1</v>
      </c>
      <c r="F4899">
        <f t="shared" si="153"/>
        <v>2019</v>
      </c>
    </row>
    <row r="4900" spans="1:6" x14ac:dyDescent="0.2">
      <c r="A4900" s="20">
        <v>43494</v>
      </c>
      <c r="B4900">
        <v>179</v>
      </c>
      <c r="E4900">
        <f t="shared" si="152"/>
        <v>1</v>
      </c>
      <c r="F4900">
        <f t="shared" si="153"/>
        <v>2019</v>
      </c>
    </row>
    <row r="4901" spans="1:6" x14ac:dyDescent="0.2">
      <c r="A4901" s="20">
        <v>43495</v>
      </c>
      <c r="B4901">
        <v>178.5</v>
      </c>
      <c r="E4901">
        <f t="shared" si="152"/>
        <v>1</v>
      </c>
      <c r="F4901">
        <f t="shared" si="153"/>
        <v>2019</v>
      </c>
    </row>
    <row r="4902" spans="1:6" x14ac:dyDescent="0.2">
      <c r="A4902" s="20">
        <v>43496</v>
      </c>
      <c r="B4902">
        <v>177.75</v>
      </c>
      <c r="E4902">
        <f t="shared" si="152"/>
        <v>1</v>
      </c>
      <c r="F4902">
        <f t="shared" si="153"/>
        <v>2019</v>
      </c>
    </row>
    <row r="4903" spans="1:6" x14ac:dyDescent="0.2">
      <c r="A4903" s="20">
        <v>43497</v>
      </c>
      <c r="B4903">
        <v>177</v>
      </c>
      <c r="E4903">
        <f t="shared" si="152"/>
        <v>2</v>
      </c>
      <c r="F4903">
        <f t="shared" si="153"/>
        <v>2019</v>
      </c>
    </row>
    <row r="4904" spans="1:6" x14ac:dyDescent="0.2">
      <c r="A4904" s="20">
        <v>43500</v>
      </c>
      <c r="B4904">
        <v>176.75</v>
      </c>
      <c r="E4904">
        <f t="shared" si="152"/>
        <v>2</v>
      </c>
      <c r="F4904">
        <f t="shared" si="153"/>
        <v>2019</v>
      </c>
    </row>
    <row r="4905" spans="1:6" x14ac:dyDescent="0.2">
      <c r="A4905" s="20">
        <v>43501</v>
      </c>
      <c r="B4905">
        <v>176.5</v>
      </c>
      <c r="E4905">
        <f t="shared" si="152"/>
        <v>2</v>
      </c>
      <c r="F4905">
        <f t="shared" si="153"/>
        <v>2019</v>
      </c>
    </row>
    <row r="4906" spans="1:6" x14ac:dyDescent="0.2">
      <c r="A4906" s="20">
        <v>43502</v>
      </c>
      <c r="B4906">
        <v>176.5</v>
      </c>
      <c r="E4906">
        <f t="shared" si="152"/>
        <v>2</v>
      </c>
      <c r="F4906">
        <f t="shared" si="153"/>
        <v>2019</v>
      </c>
    </row>
    <row r="4907" spans="1:6" x14ac:dyDescent="0.2">
      <c r="A4907" s="20">
        <v>43503</v>
      </c>
      <c r="B4907">
        <v>176</v>
      </c>
      <c r="E4907">
        <f t="shared" si="152"/>
        <v>2</v>
      </c>
      <c r="F4907">
        <f t="shared" si="153"/>
        <v>2019</v>
      </c>
    </row>
    <row r="4908" spans="1:6" x14ac:dyDescent="0.2">
      <c r="A4908" s="20">
        <v>43504</v>
      </c>
      <c r="B4908">
        <v>176.5</v>
      </c>
      <c r="E4908">
        <f t="shared" si="152"/>
        <v>2</v>
      </c>
      <c r="F4908">
        <f t="shared" si="153"/>
        <v>2019</v>
      </c>
    </row>
    <row r="4909" spans="1:6" x14ac:dyDescent="0.2">
      <c r="A4909" s="20">
        <v>43507</v>
      </c>
      <c r="B4909">
        <v>177</v>
      </c>
      <c r="E4909">
        <f t="shared" si="152"/>
        <v>2</v>
      </c>
      <c r="F4909">
        <f t="shared" si="153"/>
        <v>2019</v>
      </c>
    </row>
    <row r="4910" spans="1:6" x14ac:dyDescent="0.2">
      <c r="A4910" s="20">
        <v>43508</v>
      </c>
      <c r="B4910">
        <v>176.5</v>
      </c>
      <c r="E4910">
        <f t="shared" si="152"/>
        <v>2</v>
      </c>
      <c r="F4910">
        <f t="shared" si="153"/>
        <v>2019</v>
      </c>
    </row>
    <row r="4911" spans="1:6" x14ac:dyDescent="0.2">
      <c r="A4911" s="20">
        <v>43509</v>
      </c>
      <c r="B4911">
        <v>175.25</v>
      </c>
      <c r="E4911">
        <f t="shared" si="152"/>
        <v>2</v>
      </c>
      <c r="F4911">
        <f t="shared" si="153"/>
        <v>2019</v>
      </c>
    </row>
    <row r="4912" spans="1:6" x14ac:dyDescent="0.2">
      <c r="A4912" s="20">
        <v>43510</v>
      </c>
      <c r="B4912">
        <v>175</v>
      </c>
      <c r="E4912">
        <f t="shared" si="152"/>
        <v>2</v>
      </c>
      <c r="F4912">
        <f t="shared" si="153"/>
        <v>2019</v>
      </c>
    </row>
    <row r="4913" spans="1:6" x14ac:dyDescent="0.2">
      <c r="A4913" s="20">
        <v>43511</v>
      </c>
      <c r="B4913">
        <v>173</v>
      </c>
      <c r="E4913">
        <f t="shared" si="152"/>
        <v>2</v>
      </c>
      <c r="F4913">
        <f t="shared" si="153"/>
        <v>2019</v>
      </c>
    </row>
    <row r="4914" spans="1:6" x14ac:dyDescent="0.2">
      <c r="A4914" s="20">
        <v>43514</v>
      </c>
      <c r="B4914">
        <v>172.25</v>
      </c>
      <c r="E4914">
        <f t="shared" si="152"/>
        <v>2</v>
      </c>
      <c r="F4914">
        <f t="shared" si="153"/>
        <v>2019</v>
      </c>
    </row>
    <row r="4915" spans="1:6" x14ac:dyDescent="0.2">
      <c r="A4915" s="20">
        <v>43515</v>
      </c>
      <c r="B4915">
        <v>173.5</v>
      </c>
      <c r="E4915">
        <f t="shared" si="152"/>
        <v>2</v>
      </c>
      <c r="F4915">
        <f t="shared" si="153"/>
        <v>2019</v>
      </c>
    </row>
    <row r="4916" spans="1:6" x14ac:dyDescent="0.2">
      <c r="A4916" s="20">
        <v>43516</v>
      </c>
      <c r="B4916">
        <v>174</v>
      </c>
      <c r="E4916">
        <f t="shared" si="152"/>
        <v>2</v>
      </c>
      <c r="F4916">
        <f t="shared" si="153"/>
        <v>2019</v>
      </c>
    </row>
    <row r="4917" spans="1:6" x14ac:dyDescent="0.2">
      <c r="A4917" s="20">
        <v>43517</v>
      </c>
      <c r="B4917">
        <v>173.5</v>
      </c>
      <c r="E4917">
        <f t="shared" si="152"/>
        <v>2</v>
      </c>
      <c r="F4917">
        <f t="shared" si="153"/>
        <v>2019</v>
      </c>
    </row>
    <row r="4918" spans="1:6" x14ac:dyDescent="0.2">
      <c r="A4918" s="20">
        <v>43518</v>
      </c>
      <c r="B4918">
        <v>172.75</v>
      </c>
      <c r="E4918">
        <f t="shared" si="152"/>
        <v>2</v>
      </c>
      <c r="F4918">
        <f t="shared" si="153"/>
        <v>2019</v>
      </c>
    </row>
    <row r="4919" spans="1:6" x14ac:dyDescent="0.2">
      <c r="A4919" s="20">
        <v>43521</v>
      </c>
      <c r="B4919">
        <v>172</v>
      </c>
      <c r="E4919">
        <f t="shared" si="152"/>
        <v>2</v>
      </c>
      <c r="F4919">
        <f t="shared" si="153"/>
        <v>2019</v>
      </c>
    </row>
    <row r="4920" spans="1:6" x14ac:dyDescent="0.2">
      <c r="A4920" s="20">
        <v>43522</v>
      </c>
      <c r="B4920">
        <v>169.75</v>
      </c>
      <c r="E4920">
        <f t="shared" si="152"/>
        <v>2</v>
      </c>
      <c r="F4920">
        <f t="shared" si="153"/>
        <v>2019</v>
      </c>
    </row>
    <row r="4921" spans="1:6" x14ac:dyDescent="0.2">
      <c r="A4921" s="20">
        <v>43523</v>
      </c>
      <c r="B4921">
        <v>169</v>
      </c>
      <c r="E4921">
        <f t="shared" si="152"/>
        <v>2</v>
      </c>
      <c r="F4921">
        <f t="shared" si="153"/>
        <v>2019</v>
      </c>
    </row>
    <row r="4922" spans="1:6" x14ac:dyDescent="0.2">
      <c r="A4922" s="20">
        <v>43524</v>
      </c>
      <c r="B4922">
        <v>164.25</v>
      </c>
      <c r="E4922">
        <f t="shared" si="152"/>
        <v>2</v>
      </c>
      <c r="F4922">
        <f t="shared" si="153"/>
        <v>2019</v>
      </c>
    </row>
    <row r="4923" spans="1:6" x14ac:dyDescent="0.2">
      <c r="A4923" s="20">
        <v>43525</v>
      </c>
      <c r="B4923">
        <v>157.75</v>
      </c>
      <c r="E4923">
        <f t="shared" si="152"/>
        <v>3</v>
      </c>
      <c r="F4923">
        <f t="shared" si="153"/>
        <v>2019</v>
      </c>
    </row>
    <row r="4924" spans="1:6" x14ac:dyDescent="0.2">
      <c r="A4924" s="20">
        <v>43528</v>
      </c>
      <c r="B4924">
        <v>162</v>
      </c>
      <c r="E4924">
        <f t="shared" si="152"/>
        <v>3</v>
      </c>
      <c r="F4924">
        <f t="shared" si="153"/>
        <v>2019</v>
      </c>
    </row>
    <row r="4925" spans="1:6" x14ac:dyDescent="0.2">
      <c r="A4925" s="20">
        <v>43529</v>
      </c>
      <c r="B4925">
        <v>159</v>
      </c>
      <c r="E4925">
        <f t="shared" si="152"/>
        <v>3</v>
      </c>
      <c r="F4925">
        <f t="shared" si="153"/>
        <v>2019</v>
      </c>
    </row>
    <row r="4926" spans="1:6" x14ac:dyDescent="0.2">
      <c r="A4926" s="20">
        <v>43530</v>
      </c>
      <c r="B4926">
        <v>170.25</v>
      </c>
      <c r="E4926">
        <f t="shared" si="152"/>
        <v>3</v>
      </c>
      <c r="F4926">
        <f t="shared" si="153"/>
        <v>2019</v>
      </c>
    </row>
    <row r="4927" spans="1:6" x14ac:dyDescent="0.2">
      <c r="A4927" s="20">
        <v>43531</v>
      </c>
      <c r="B4927">
        <v>169.75</v>
      </c>
      <c r="E4927">
        <f t="shared" si="152"/>
        <v>3</v>
      </c>
      <c r="F4927">
        <f t="shared" si="153"/>
        <v>2019</v>
      </c>
    </row>
    <row r="4928" spans="1:6" x14ac:dyDescent="0.2">
      <c r="A4928" s="20">
        <v>43532</v>
      </c>
      <c r="B4928">
        <v>168.5</v>
      </c>
      <c r="E4928">
        <f t="shared" si="152"/>
        <v>3</v>
      </c>
      <c r="F4928">
        <f t="shared" si="153"/>
        <v>2019</v>
      </c>
    </row>
    <row r="4929" spans="1:6" x14ac:dyDescent="0.2">
      <c r="A4929" s="20">
        <v>43535</v>
      </c>
      <c r="B4929">
        <v>166.75</v>
      </c>
      <c r="E4929">
        <f t="shared" si="152"/>
        <v>3</v>
      </c>
      <c r="F4929">
        <f t="shared" si="153"/>
        <v>2019</v>
      </c>
    </row>
    <row r="4930" spans="1:6" x14ac:dyDescent="0.2">
      <c r="A4930" s="20">
        <v>43536</v>
      </c>
      <c r="B4930">
        <v>169.25</v>
      </c>
      <c r="E4930">
        <f t="shared" si="152"/>
        <v>3</v>
      </c>
      <c r="F4930">
        <f t="shared" si="153"/>
        <v>2019</v>
      </c>
    </row>
    <row r="4931" spans="1:6" x14ac:dyDescent="0.2">
      <c r="A4931" s="20">
        <v>43537</v>
      </c>
      <c r="B4931">
        <v>170</v>
      </c>
      <c r="E4931">
        <f t="shared" ref="E4931:E4994" si="154">MONTH(A4931)</f>
        <v>3</v>
      </c>
      <c r="F4931">
        <f t="shared" ref="F4931:F4994" si="155">YEAR(A4931)</f>
        <v>2019</v>
      </c>
    </row>
    <row r="4932" spans="1:6" x14ac:dyDescent="0.2">
      <c r="A4932" s="20">
        <v>43538</v>
      </c>
      <c r="B4932">
        <v>171</v>
      </c>
      <c r="E4932">
        <f t="shared" si="154"/>
        <v>3</v>
      </c>
      <c r="F4932">
        <f t="shared" si="155"/>
        <v>2019</v>
      </c>
    </row>
    <row r="4933" spans="1:6" x14ac:dyDescent="0.2">
      <c r="A4933" s="20">
        <v>43539</v>
      </c>
      <c r="B4933">
        <v>170.5</v>
      </c>
      <c r="E4933">
        <f t="shared" si="154"/>
        <v>3</v>
      </c>
      <c r="F4933">
        <f t="shared" si="155"/>
        <v>2019</v>
      </c>
    </row>
    <row r="4934" spans="1:6" x14ac:dyDescent="0.2">
      <c r="A4934" s="20">
        <v>43542</v>
      </c>
      <c r="B4934">
        <v>170.5</v>
      </c>
      <c r="E4934">
        <f t="shared" si="154"/>
        <v>3</v>
      </c>
      <c r="F4934">
        <f t="shared" si="155"/>
        <v>2019</v>
      </c>
    </row>
    <row r="4935" spans="1:6" x14ac:dyDescent="0.2">
      <c r="A4935" s="20">
        <v>43543</v>
      </c>
      <c r="B4935">
        <v>170.25</v>
      </c>
      <c r="E4935">
        <f t="shared" si="154"/>
        <v>3</v>
      </c>
      <c r="F4935">
        <f t="shared" si="155"/>
        <v>2019</v>
      </c>
    </row>
    <row r="4936" spans="1:6" x14ac:dyDescent="0.2">
      <c r="A4936" s="20">
        <v>43544</v>
      </c>
      <c r="B4936">
        <v>169</v>
      </c>
      <c r="E4936">
        <f t="shared" si="154"/>
        <v>3</v>
      </c>
      <c r="F4936">
        <f t="shared" si="155"/>
        <v>2019</v>
      </c>
    </row>
    <row r="4937" spans="1:6" x14ac:dyDescent="0.2">
      <c r="A4937" s="20">
        <v>43545</v>
      </c>
      <c r="B4937">
        <v>170.5</v>
      </c>
      <c r="E4937">
        <f t="shared" si="154"/>
        <v>3</v>
      </c>
      <c r="F4937">
        <f t="shared" si="155"/>
        <v>2019</v>
      </c>
    </row>
    <row r="4938" spans="1:6" x14ac:dyDescent="0.2">
      <c r="A4938" s="20">
        <v>43546</v>
      </c>
      <c r="B4938">
        <v>170.5</v>
      </c>
      <c r="E4938">
        <f t="shared" si="154"/>
        <v>3</v>
      </c>
      <c r="F4938">
        <f t="shared" si="155"/>
        <v>2019</v>
      </c>
    </row>
    <row r="4939" spans="1:6" x14ac:dyDescent="0.2">
      <c r="A4939" s="20">
        <v>43549</v>
      </c>
      <c r="B4939">
        <v>171</v>
      </c>
      <c r="E4939">
        <f t="shared" si="154"/>
        <v>3</v>
      </c>
      <c r="F4939">
        <f t="shared" si="155"/>
        <v>2019</v>
      </c>
    </row>
    <row r="4940" spans="1:6" x14ac:dyDescent="0.2">
      <c r="A4940" s="20">
        <v>43550</v>
      </c>
      <c r="B4940">
        <v>170.5</v>
      </c>
      <c r="E4940">
        <f t="shared" si="154"/>
        <v>3</v>
      </c>
      <c r="F4940">
        <f t="shared" si="155"/>
        <v>2019</v>
      </c>
    </row>
    <row r="4941" spans="1:6" x14ac:dyDescent="0.2">
      <c r="A4941" s="20">
        <v>43551</v>
      </c>
      <c r="B4941">
        <v>169.25</v>
      </c>
      <c r="E4941">
        <f t="shared" si="154"/>
        <v>3</v>
      </c>
      <c r="F4941">
        <f t="shared" si="155"/>
        <v>2019</v>
      </c>
    </row>
    <row r="4942" spans="1:6" x14ac:dyDescent="0.2">
      <c r="A4942" s="20">
        <v>43552</v>
      </c>
      <c r="B4942">
        <v>169.25</v>
      </c>
      <c r="E4942">
        <f t="shared" si="154"/>
        <v>3</v>
      </c>
      <c r="F4942">
        <f t="shared" si="155"/>
        <v>2019</v>
      </c>
    </row>
    <row r="4943" spans="1:6" x14ac:dyDescent="0.2">
      <c r="A4943" s="20">
        <v>43553</v>
      </c>
      <c r="B4943">
        <v>168</v>
      </c>
      <c r="E4943">
        <f t="shared" si="154"/>
        <v>3</v>
      </c>
      <c r="F4943">
        <f t="shared" si="155"/>
        <v>2019</v>
      </c>
    </row>
    <row r="4944" spans="1:6" x14ac:dyDescent="0.2">
      <c r="A4944" s="20">
        <v>43556</v>
      </c>
      <c r="B4944">
        <v>168.25</v>
      </c>
      <c r="E4944">
        <f t="shared" si="154"/>
        <v>4</v>
      </c>
      <c r="F4944">
        <f t="shared" si="155"/>
        <v>2019</v>
      </c>
    </row>
    <row r="4945" spans="1:6" x14ac:dyDescent="0.2">
      <c r="A4945" s="20">
        <v>43557</v>
      </c>
      <c r="B4945">
        <v>168.5</v>
      </c>
      <c r="E4945">
        <f t="shared" si="154"/>
        <v>4</v>
      </c>
      <c r="F4945">
        <f t="shared" si="155"/>
        <v>2019</v>
      </c>
    </row>
    <row r="4946" spans="1:6" x14ac:dyDescent="0.2">
      <c r="A4946" s="20">
        <v>43558</v>
      </c>
      <c r="B4946">
        <v>169</v>
      </c>
      <c r="E4946">
        <f t="shared" si="154"/>
        <v>4</v>
      </c>
      <c r="F4946">
        <f t="shared" si="155"/>
        <v>2019</v>
      </c>
    </row>
    <row r="4947" spans="1:6" x14ac:dyDescent="0.2">
      <c r="A4947" s="20">
        <v>43559</v>
      </c>
      <c r="B4947">
        <v>169.75</v>
      </c>
      <c r="E4947">
        <f t="shared" si="154"/>
        <v>4</v>
      </c>
      <c r="F4947">
        <f t="shared" si="155"/>
        <v>2019</v>
      </c>
    </row>
    <row r="4948" spans="1:6" x14ac:dyDescent="0.2">
      <c r="A4948" s="20">
        <v>43560</v>
      </c>
      <c r="B4948">
        <v>170.25</v>
      </c>
      <c r="E4948">
        <f t="shared" si="154"/>
        <v>4</v>
      </c>
      <c r="F4948">
        <f t="shared" si="155"/>
        <v>2019</v>
      </c>
    </row>
    <row r="4949" spans="1:6" x14ac:dyDescent="0.2">
      <c r="A4949" s="20">
        <v>43563</v>
      </c>
      <c r="B4949">
        <v>170.25</v>
      </c>
      <c r="E4949">
        <f t="shared" si="154"/>
        <v>4</v>
      </c>
      <c r="F4949">
        <f t="shared" si="155"/>
        <v>2019</v>
      </c>
    </row>
    <row r="4950" spans="1:6" x14ac:dyDescent="0.2">
      <c r="A4950" s="20">
        <v>43564</v>
      </c>
      <c r="B4950">
        <v>170.5</v>
      </c>
      <c r="E4950">
        <f t="shared" si="154"/>
        <v>4</v>
      </c>
      <c r="F4950">
        <f t="shared" si="155"/>
        <v>2019</v>
      </c>
    </row>
    <row r="4951" spans="1:6" x14ac:dyDescent="0.2">
      <c r="A4951" s="20">
        <v>43565</v>
      </c>
      <c r="B4951">
        <v>169.75</v>
      </c>
      <c r="E4951">
        <f t="shared" si="154"/>
        <v>4</v>
      </c>
      <c r="F4951">
        <f t="shared" si="155"/>
        <v>2019</v>
      </c>
    </row>
    <row r="4952" spans="1:6" x14ac:dyDescent="0.2">
      <c r="A4952" s="20">
        <v>43566</v>
      </c>
      <c r="B4952">
        <v>169.25</v>
      </c>
      <c r="E4952">
        <f t="shared" si="154"/>
        <v>4</v>
      </c>
      <c r="F4952">
        <f t="shared" si="155"/>
        <v>2019</v>
      </c>
    </row>
    <row r="4953" spans="1:6" x14ac:dyDescent="0.2">
      <c r="A4953" s="20">
        <v>43567</v>
      </c>
      <c r="B4953">
        <v>167.5</v>
      </c>
      <c r="E4953">
        <f t="shared" si="154"/>
        <v>4</v>
      </c>
      <c r="F4953">
        <f t="shared" si="155"/>
        <v>2019</v>
      </c>
    </row>
    <row r="4954" spans="1:6" x14ac:dyDescent="0.2">
      <c r="A4954" s="20">
        <v>43570</v>
      </c>
      <c r="B4954">
        <v>166.5</v>
      </c>
      <c r="E4954">
        <f t="shared" si="154"/>
        <v>4</v>
      </c>
      <c r="F4954">
        <f t="shared" si="155"/>
        <v>2019</v>
      </c>
    </row>
    <row r="4955" spans="1:6" x14ac:dyDescent="0.2">
      <c r="A4955" s="20">
        <v>43571</v>
      </c>
      <c r="B4955">
        <v>165.5</v>
      </c>
      <c r="E4955">
        <f t="shared" si="154"/>
        <v>4</v>
      </c>
      <c r="F4955">
        <f t="shared" si="155"/>
        <v>2019</v>
      </c>
    </row>
    <row r="4956" spans="1:6" x14ac:dyDescent="0.2">
      <c r="A4956" s="20">
        <v>43572</v>
      </c>
      <c r="B4956">
        <v>165.5</v>
      </c>
      <c r="E4956">
        <f t="shared" si="154"/>
        <v>4</v>
      </c>
      <c r="F4956">
        <f t="shared" si="155"/>
        <v>2019</v>
      </c>
    </row>
    <row r="4957" spans="1:6" x14ac:dyDescent="0.2">
      <c r="A4957" s="20">
        <v>43573</v>
      </c>
      <c r="B4957">
        <v>165.5</v>
      </c>
      <c r="E4957">
        <f t="shared" si="154"/>
        <v>4</v>
      </c>
      <c r="F4957">
        <f t="shared" si="155"/>
        <v>2019</v>
      </c>
    </row>
    <row r="4958" spans="1:6" x14ac:dyDescent="0.2">
      <c r="A4958" s="20">
        <v>43578</v>
      </c>
      <c r="B4958">
        <v>164</v>
      </c>
      <c r="E4958">
        <f t="shared" si="154"/>
        <v>4</v>
      </c>
      <c r="F4958">
        <f t="shared" si="155"/>
        <v>2019</v>
      </c>
    </row>
    <row r="4959" spans="1:6" x14ac:dyDescent="0.2">
      <c r="A4959" s="20">
        <v>43579</v>
      </c>
      <c r="B4959">
        <v>164.25</v>
      </c>
      <c r="E4959">
        <f t="shared" si="154"/>
        <v>4</v>
      </c>
      <c r="F4959">
        <f t="shared" si="155"/>
        <v>2019</v>
      </c>
    </row>
    <row r="4960" spans="1:6" x14ac:dyDescent="0.2">
      <c r="A4960" s="20">
        <v>43580</v>
      </c>
      <c r="B4960">
        <v>164.5</v>
      </c>
      <c r="E4960">
        <f t="shared" si="154"/>
        <v>4</v>
      </c>
      <c r="F4960">
        <f t="shared" si="155"/>
        <v>2019</v>
      </c>
    </row>
    <row r="4961" spans="1:6" x14ac:dyDescent="0.2">
      <c r="A4961" s="20">
        <v>43581</v>
      </c>
      <c r="B4961">
        <v>166</v>
      </c>
      <c r="E4961">
        <f t="shared" si="154"/>
        <v>4</v>
      </c>
      <c r="F4961">
        <f t="shared" si="155"/>
        <v>2019</v>
      </c>
    </row>
    <row r="4962" spans="1:6" x14ac:dyDescent="0.2">
      <c r="A4962" s="20">
        <v>43584</v>
      </c>
      <c r="B4962">
        <v>165.5</v>
      </c>
      <c r="E4962">
        <f t="shared" si="154"/>
        <v>4</v>
      </c>
      <c r="F4962">
        <f t="shared" si="155"/>
        <v>2019</v>
      </c>
    </row>
    <row r="4963" spans="1:6" x14ac:dyDescent="0.2">
      <c r="A4963" s="20">
        <v>43585</v>
      </c>
      <c r="B4963">
        <v>165.5</v>
      </c>
      <c r="E4963">
        <f t="shared" si="154"/>
        <v>4</v>
      </c>
      <c r="F4963">
        <f t="shared" si="155"/>
        <v>2019</v>
      </c>
    </row>
    <row r="4964" spans="1:6" x14ac:dyDescent="0.2">
      <c r="A4964" s="20">
        <v>43587</v>
      </c>
      <c r="B4964">
        <v>166.75</v>
      </c>
      <c r="E4964">
        <f t="shared" si="154"/>
        <v>5</v>
      </c>
      <c r="F4964">
        <f t="shared" si="155"/>
        <v>2019</v>
      </c>
    </row>
    <row r="4965" spans="1:6" x14ac:dyDescent="0.2">
      <c r="A4965" s="20">
        <v>43588</v>
      </c>
      <c r="B4965">
        <v>166.75</v>
      </c>
      <c r="E4965">
        <f t="shared" si="154"/>
        <v>5</v>
      </c>
      <c r="F4965">
        <f t="shared" si="155"/>
        <v>2019</v>
      </c>
    </row>
    <row r="4966" spans="1:6" x14ac:dyDescent="0.2">
      <c r="A4966" s="20">
        <v>43591</v>
      </c>
      <c r="B4966">
        <v>166.25</v>
      </c>
      <c r="E4966">
        <f t="shared" si="154"/>
        <v>5</v>
      </c>
      <c r="F4966">
        <f t="shared" si="155"/>
        <v>2019</v>
      </c>
    </row>
    <row r="4967" spans="1:6" x14ac:dyDescent="0.2">
      <c r="A4967" s="20">
        <v>43592</v>
      </c>
      <c r="B4967">
        <v>166.25</v>
      </c>
      <c r="E4967">
        <f t="shared" si="154"/>
        <v>5</v>
      </c>
      <c r="F4967">
        <f t="shared" si="155"/>
        <v>2019</v>
      </c>
    </row>
    <row r="4968" spans="1:6" x14ac:dyDescent="0.2">
      <c r="A4968" s="20">
        <v>43593</v>
      </c>
      <c r="B4968">
        <v>165.25</v>
      </c>
      <c r="E4968">
        <f t="shared" si="154"/>
        <v>5</v>
      </c>
      <c r="F4968">
        <f t="shared" si="155"/>
        <v>2019</v>
      </c>
    </row>
    <row r="4969" spans="1:6" x14ac:dyDescent="0.2">
      <c r="A4969" s="20">
        <v>43594</v>
      </c>
      <c r="B4969">
        <v>164.5</v>
      </c>
      <c r="E4969">
        <f t="shared" si="154"/>
        <v>5</v>
      </c>
      <c r="F4969">
        <f t="shared" si="155"/>
        <v>2019</v>
      </c>
    </row>
    <row r="4970" spans="1:6" x14ac:dyDescent="0.2">
      <c r="A4970" s="20">
        <v>43595</v>
      </c>
      <c r="B4970">
        <v>163.5</v>
      </c>
      <c r="E4970">
        <f t="shared" si="154"/>
        <v>5</v>
      </c>
      <c r="F4970">
        <f t="shared" si="155"/>
        <v>2019</v>
      </c>
    </row>
    <row r="4971" spans="1:6" x14ac:dyDescent="0.2">
      <c r="A4971" s="20">
        <v>43598</v>
      </c>
      <c r="B4971">
        <v>163</v>
      </c>
      <c r="E4971">
        <f t="shared" si="154"/>
        <v>5</v>
      </c>
      <c r="F4971">
        <f t="shared" si="155"/>
        <v>2019</v>
      </c>
    </row>
    <row r="4972" spans="1:6" x14ac:dyDescent="0.2">
      <c r="A4972" s="20">
        <v>43599</v>
      </c>
      <c r="B4972">
        <v>164</v>
      </c>
      <c r="E4972">
        <f t="shared" si="154"/>
        <v>5</v>
      </c>
      <c r="F4972">
        <f t="shared" si="155"/>
        <v>2019</v>
      </c>
    </row>
    <row r="4973" spans="1:6" x14ac:dyDescent="0.2">
      <c r="A4973" s="20">
        <v>43600</v>
      </c>
      <c r="B4973">
        <v>164</v>
      </c>
      <c r="E4973">
        <f t="shared" si="154"/>
        <v>5</v>
      </c>
      <c r="F4973">
        <f t="shared" si="155"/>
        <v>2019</v>
      </c>
    </row>
    <row r="4974" spans="1:6" x14ac:dyDescent="0.2">
      <c r="A4974" s="20">
        <v>43601</v>
      </c>
      <c r="B4974">
        <v>162.75</v>
      </c>
      <c r="E4974">
        <f t="shared" si="154"/>
        <v>5</v>
      </c>
      <c r="F4974">
        <f t="shared" si="155"/>
        <v>2019</v>
      </c>
    </row>
    <row r="4975" spans="1:6" x14ac:dyDescent="0.2">
      <c r="A4975" s="20">
        <v>43602</v>
      </c>
      <c r="B4975">
        <v>162</v>
      </c>
      <c r="E4975">
        <f t="shared" si="154"/>
        <v>5</v>
      </c>
      <c r="F4975">
        <f t="shared" si="155"/>
        <v>2019</v>
      </c>
    </row>
    <row r="4976" spans="1:6" x14ac:dyDescent="0.2">
      <c r="A4976" s="20">
        <v>43605</v>
      </c>
      <c r="B4976">
        <v>162.75</v>
      </c>
      <c r="E4976">
        <f t="shared" si="154"/>
        <v>5</v>
      </c>
      <c r="F4976">
        <f t="shared" si="155"/>
        <v>2019</v>
      </c>
    </row>
    <row r="4977" spans="1:6" x14ac:dyDescent="0.2">
      <c r="A4977" s="20">
        <v>43606</v>
      </c>
      <c r="B4977">
        <v>163.25</v>
      </c>
      <c r="E4977">
        <f t="shared" si="154"/>
        <v>5</v>
      </c>
      <c r="F4977">
        <f t="shared" si="155"/>
        <v>2019</v>
      </c>
    </row>
    <row r="4978" spans="1:6" x14ac:dyDescent="0.2">
      <c r="A4978" s="20">
        <v>43607</v>
      </c>
      <c r="B4978">
        <v>162.25</v>
      </c>
      <c r="E4978">
        <f t="shared" si="154"/>
        <v>5</v>
      </c>
      <c r="F4978">
        <f t="shared" si="155"/>
        <v>2019</v>
      </c>
    </row>
    <row r="4979" spans="1:6" x14ac:dyDescent="0.2">
      <c r="A4979" s="20">
        <v>43608</v>
      </c>
      <c r="B4979">
        <v>162</v>
      </c>
      <c r="E4979">
        <f t="shared" si="154"/>
        <v>5</v>
      </c>
      <c r="F4979">
        <f t="shared" si="155"/>
        <v>2019</v>
      </c>
    </row>
    <row r="4980" spans="1:6" x14ac:dyDescent="0.2">
      <c r="A4980" s="20">
        <v>43609</v>
      </c>
      <c r="B4980">
        <v>161.75</v>
      </c>
      <c r="E4980">
        <f t="shared" si="154"/>
        <v>5</v>
      </c>
      <c r="F4980">
        <f t="shared" si="155"/>
        <v>2019</v>
      </c>
    </row>
    <row r="4981" spans="1:6" x14ac:dyDescent="0.2">
      <c r="A4981" s="20">
        <v>43612</v>
      </c>
      <c r="B4981">
        <v>163</v>
      </c>
      <c r="E4981">
        <f t="shared" si="154"/>
        <v>5</v>
      </c>
      <c r="F4981">
        <f t="shared" si="155"/>
        <v>2019</v>
      </c>
    </row>
    <row r="4982" spans="1:6" x14ac:dyDescent="0.2">
      <c r="A4982" s="20">
        <v>43613</v>
      </c>
      <c r="B4982">
        <v>163</v>
      </c>
      <c r="E4982">
        <f t="shared" si="154"/>
        <v>5</v>
      </c>
      <c r="F4982">
        <f t="shared" si="155"/>
        <v>2019</v>
      </c>
    </row>
    <row r="4983" spans="1:6" x14ac:dyDescent="0.2">
      <c r="A4983" s="20">
        <v>43614</v>
      </c>
      <c r="B4983">
        <v>165</v>
      </c>
      <c r="E4983">
        <f t="shared" si="154"/>
        <v>5</v>
      </c>
      <c r="F4983">
        <f t="shared" si="155"/>
        <v>2019</v>
      </c>
    </row>
    <row r="4984" spans="1:6" x14ac:dyDescent="0.2">
      <c r="A4984" s="20">
        <v>43615</v>
      </c>
      <c r="B4984">
        <v>166.5</v>
      </c>
      <c r="E4984">
        <f t="shared" si="154"/>
        <v>5</v>
      </c>
      <c r="F4984">
        <f t="shared" si="155"/>
        <v>2019</v>
      </c>
    </row>
    <row r="4985" spans="1:6" x14ac:dyDescent="0.2">
      <c r="A4985" s="20">
        <v>43616</v>
      </c>
      <c r="B4985">
        <v>165.5</v>
      </c>
      <c r="E4985">
        <f t="shared" si="154"/>
        <v>5</v>
      </c>
      <c r="F4985">
        <f t="shared" si="155"/>
        <v>2019</v>
      </c>
    </row>
    <row r="4986" spans="1:6" x14ac:dyDescent="0.2">
      <c r="A4986" s="20">
        <v>43619</v>
      </c>
      <c r="B4986">
        <v>167.5</v>
      </c>
      <c r="E4986">
        <f t="shared" si="154"/>
        <v>6</v>
      </c>
      <c r="F4986">
        <f t="shared" si="155"/>
        <v>2019</v>
      </c>
    </row>
    <row r="4987" spans="1:6" x14ac:dyDescent="0.2">
      <c r="A4987" s="20">
        <v>43620</v>
      </c>
      <c r="B4987">
        <v>169</v>
      </c>
      <c r="E4987">
        <f t="shared" si="154"/>
        <v>6</v>
      </c>
      <c r="F4987">
        <f t="shared" si="155"/>
        <v>2019</v>
      </c>
    </row>
    <row r="4988" spans="1:6" x14ac:dyDescent="0.2">
      <c r="A4988" s="20">
        <v>43621</v>
      </c>
      <c r="B4988">
        <v>165</v>
      </c>
      <c r="E4988">
        <f t="shared" si="154"/>
        <v>6</v>
      </c>
      <c r="F4988">
        <f t="shared" si="155"/>
        <v>2019</v>
      </c>
    </row>
    <row r="4989" spans="1:6" x14ac:dyDescent="0.2">
      <c r="A4989" s="20">
        <v>43622</v>
      </c>
      <c r="B4989">
        <v>174.5</v>
      </c>
      <c r="E4989">
        <f t="shared" si="154"/>
        <v>6</v>
      </c>
      <c r="F4989">
        <f t="shared" si="155"/>
        <v>2019</v>
      </c>
    </row>
    <row r="4990" spans="1:6" x14ac:dyDescent="0.2">
      <c r="A4990" s="20">
        <v>43623</v>
      </c>
      <c r="B4990">
        <v>175.25</v>
      </c>
      <c r="E4990">
        <f t="shared" si="154"/>
        <v>6</v>
      </c>
      <c r="F4990">
        <f t="shared" si="155"/>
        <v>2019</v>
      </c>
    </row>
    <row r="4991" spans="1:6" x14ac:dyDescent="0.2">
      <c r="A4991" s="20">
        <v>43626</v>
      </c>
      <c r="B4991">
        <v>174.75</v>
      </c>
      <c r="E4991">
        <f t="shared" si="154"/>
        <v>6</v>
      </c>
      <c r="F4991">
        <f t="shared" si="155"/>
        <v>2019</v>
      </c>
    </row>
    <row r="4992" spans="1:6" x14ac:dyDescent="0.2">
      <c r="A4992" s="20">
        <v>43627</v>
      </c>
      <c r="B4992">
        <v>176</v>
      </c>
      <c r="E4992">
        <f t="shared" si="154"/>
        <v>6</v>
      </c>
      <c r="F4992">
        <f t="shared" si="155"/>
        <v>2019</v>
      </c>
    </row>
    <row r="4993" spans="1:6" x14ac:dyDescent="0.2">
      <c r="A4993" s="20">
        <v>43628</v>
      </c>
      <c r="B4993">
        <v>175.75</v>
      </c>
      <c r="E4993">
        <f t="shared" si="154"/>
        <v>6</v>
      </c>
      <c r="F4993">
        <f t="shared" si="155"/>
        <v>2019</v>
      </c>
    </row>
    <row r="4994" spans="1:6" x14ac:dyDescent="0.2">
      <c r="A4994" s="20">
        <v>43629</v>
      </c>
      <c r="B4994">
        <v>176.25</v>
      </c>
      <c r="E4994">
        <f t="shared" si="154"/>
        <v>6</v>
      </c>
      <c r="F4994">
        <f t="shared" si="155"/>
        <v>2019</v>
      </c>
    </row>
    <row r="4995" spans="1:6" x14ac:dyDescent="0.2">
      <c r="A4995" s="20">
        <v>43630</v>
      </c>
      <c r="B4995">
        <v>176.5</v>
      </c>
      <c r="E4995">
        <f t="shared" ref="E4995:E5058" si="156">MONTH(A4995)</f>
        <v>6</v>
      </c>
      <c r="F4995">
        <f t="shared" ref="F4995:F5058" si="157">YEAR(A4995)</f>
        <v>2019</v>
      </c>
    </row>
    <row r="4996" spans="1:6" x14ac:dyDescent="0.2">
      <c r="A4996" s="20">
        <v>43633</v>
      </c>
      <c r="B4996">
        <v>177.25</v>
      </c>
      <c r="E4996">
        <f t="shared" si="156"/>
        <v>6</v>
      </c>
      <c r="F4996">
        <f t="shared" si="157"/>
        <v>2019</v>
      </c>
    </row>
    <row r="4997" spans="1:6" x14ac:dyDescent="0.2">
      <c r="A4997" s="20">
        <v>43634</v>
      </c>
      <c r="B4997">
        <v>177</v>
      </c>
      <c r="E4997">
        <f t="shared" si="156"/>
        <v>6</v>
      </c>
      <c r="F4997">
        <f t="shared" si="157"/>
        <v>2019</v>
      </c>
    </row>
    <row r="4998" spans="1:6" x14ac:dyDescent="0.2">
      <c r="A4998" s="20">
        <v>43635</v>
      </c>
      <c r="B4998">
        <v>175.25</v>
      </c>
      <c r="E4998">
        <f t="shared" si="156"/>
        <v>6</v>
      </c>
      <c r="F4998">
        <f t="shared" si="157"/>
        <v>2019</v>
      </c>
    </row>
    <row r="4999" spans="1:6" x14ac:dyDescent="0.2">
      <c r="A4999" s="20">
        <v>43636</v>
      </c>
      <c r="B4999">
        <v>175.5</v>
      </c>
      <c r="E4999">
        <f t="shared" si="156"/>
        <v>6</v>
      </c>
      <c r="F4999">
        <f t="shared" si="157"/>
        <v>2019</v>
      </c>
    </row>
    <row r="5000" spans="1:6" x14ac:dyDescent="0.2">
      <c r="A5000" s="20">
        <v>43637</v>
      </c>
      <c r="B5000">
        <v>175.75</v>
      </c>
      <c r="E5000">
        <f t="shared" si="156"/>
        <v>6</v>
      </c>
      <c r="F5000">
        <f t="shared" si="157"/>
        <v>2019</v>
      </c>
    </row>
    <row r="5001" spans="1:6" x14ac:dyDescent="0.2">
      <c r="A5001" s="20">
        <v>43640</v>
      </c>
      <c r="B5001">
        <v>177.75</v>
      </c>
      <c r="E5001">
        <f t="shared" si="156"/>
        <v>6</v>
      </c>
      <c r="F5001">
        <f t="shared" si="157"/>
        <v>2019</v>
      </c>
    </row>
    <row r="5002" spans="1:6" x14ac:dyDescent="0.2">
      <c r="A5002" s="20">
        <v>43641</v>
      </c>
      <c r="B5002">
        <v>177.75</v>
      </c>
      <c r="E5002">
        <f t="shared" si="156"/>
        <v>6</v>
      </c>
      <c r="F5002">
        <f t="shared" si="157"/>
        <v>2019</v>
      </c>
    </row>
    <row r="5003" spans="1:6" x14ac:dyDescent="0.2">
      <c r="A5003" s="20">
        <v>43642</v>
      </c>
      <c r="B5003">
        <v>177.5</v>
      </c>
      <c r="E5003">
        <f t="shared" si="156"/>
        <v>6</v>
      </c>
      <c r="F5003">
        <f t="shared" si="157"/>
        <v>2019</v>
      </c>
    </row>
    <row r="5004" spans="1:6" x14ac:dyDescent="0.2">
      <c r="A5004" s="20">
        <v>43643</v>
      </c>
      <c r="B5004">
        <v>178.5</v>
      </c>
      <c r="E5004">
        <f t="shared" si="156"/>
        <v>6</v>
      </c>
      <c r="F5004">
        <f t="shared" si="157"/>
        <v>2019</v>
      </c>
    </row>
    <row r="5005" spans="1:6" x14ac:dyDescent="0.2">
      <c r="A5005" s="20">
        <v>43644</v>
      </c>
      <c r="B5005">
        <v>177.5</v>
      </c>
      <c r="E5005">
        <f t="shared" si="156"/>
        <v>6</v>
      </c>
      <c r="F5005">
        <f t="shared" si="157"/>
        <v>2019</v>
      </c>
    </row>
    <row r="5006" spans="1:6" x14ac:dyDescent="0.2">
      <c r="A5006" s="20">
        <v>43647</v>
      </c>
      <c r="B5006">
        <v>176.25</v>
      </c>
      <c r="E5006">
        <f t="shared" si="156"/>
        <v>7</v>
      </c>
      <c r="F5006">
        <f t="shared" si="157"/>
        <v>2019</v>
      </c>
    </row>
    <row r="5007" spans="1:6" x14ac:dyDescent="0.2">
      <c r="A5007" s="20">
        <v>43648</v>
      </c>
      <c r="B5007">
        <v>175.5</v>
      </c>
      <c r="E5007">
        <f t="shared" si="156"/>
        <v>7</v>
      </c>
      <c r="F5007">
        <f t="shared" si="157"/>
        <v>2019</v>
      </c>
    </row>
    <row r="5008" spans="1:6" x14ac:dyDescent="0.2">
      <c r="A5008" s="20">
        <v>43649</v>
      </c>
      <c r="B5008">
        <v>175.75</v>
      </c>
      <c r="E5008">
        <f t="shared" si="156"/>
        <v>7</v>
      </c>
      <c r="F5008">
        <f t="shared" si="157"/>
        <v>2019</v>
      </c>
    </row>
    <row r="5009" spans="1:6" x14ac:dyDescent="0.2">
      <c r="A5009" s="20">
        <v>43650</v>
      </c>
      <c r="B5009">
        <v>177.25</v>
      </c>
      <c r="E5009">
        <f t="shared" si="156"/>
        <v>7</v>
      </c>
      <c r="F5009">
        <f t="shared" si="157"/>
        <v>2019</v>
      </c>
    </row>
    <row r="5010" spans="1:6" x14ac:dyDescent="0.2">
      <c r="A5010" s="20">
        <v>43651</v>
      </c>
      <c r="B5010">
        <v>178.25</v>
      </c>
      <c r="E5010">
        <f t="shared" si="156"/>
        <v>7</v>
      </c>
      <c r="F5010">
        <f t="shared" si="157"/>
        <v>2019</v>
      </c>
    </row>
    <row r="5011" spans="1:6" x14ac:dyDescent="0.2">
      <c r="A5011" s="20">
        <v>43654</v>
      </c>
      <c r="B5011">
        <v>178.25</v>
      </c>
      <c r="E5011">
        <f t="shared" si="156"/>
        <v>7</v>
      </c>
      <c r="F5011">
        <f t="shared" si="157"/>
        <v>2019</v>
      </c>
    </row>
    <row r="5012" spans="1:6" x14ac:dyDescent="0.2">
      <c r="A5012" s="20">
        <v>43655</v>
      </c>
      <c r="B5012">
        <v>177</v>
      </c>
      <c r="E5012">
        <f t="shared" si="156"/>
        <v>7</v>
      </c>
      <c r="F5012">
        <f t="shared" si="157"/>
        <v>2019</v>
      </c>
    </row>
    <row r="5013" spans="1:6" x14ac:dyDescent="0.2">
      <c r="A5013" s="20">
        <v>43656</v>
      </c>
      <c r="B5013">
        <v>177.5</v>
      </c>
      <c r="E5013">
        <f t="shared" si="156"/>
        <v>7</v>
      </c>
      <c r="F5013">
        <f t="shared" si="157"/>
        <v>2019</v>
      </c>
    </row>
    <row r="5014" spans="1:6" x14ac:dyDescent="0.2">
      <c r="A5014" s="20">
        <v>43657</v>
      </c>
      <c r="B5014">
        <v>177.75</v>
      </c>
      <c r="E5014">
        <f t="shared" si="156"/>
        <v>7</v>
      </c>
      <c r="F5014">
        <f t="shared" si="157"/>
        <v>2019</v>
      </c>
    </row>
    <row r="5015" spans="1:6" x14ac:dyDescent="0.2">
      <c r="A5015" s="20">
        <v>43658</v>
      </c>
      <c r="B5015">
        <v>178</v>
      </c>
      <c r="E5015">
        <f t="shared" si="156"/>
        <v>7</v>
      </c>
      <c r="F5015">
        <f t="shared" si="157"/>
        <v>2019</v>
      </c>
    </row>
    <row r="5016" spans="1:6" x14ac:dyDescent="0.2">
      <c r="A5016" s="20">
        <v>43661</v>
      </c>
      <c r="B5016">
        <v>177.75</v>
      </c>
      <c r="E5016">
        <f t="shared" si="156"/>
        <v>7</v>
      </c>
      <c r="F5016">
        <f t="shared" si="157"/>
        <v>2019</v>
      </c>
    </row>
    <row r="5017" spans="1:6" x14ac:dyDescent="0.2">
      <c r="A5017" s="20">
        <v>43662</v>
      </c>
      <c r="B5017">
        <v>177.5</v>
      </c>
      <c r="E5017">
        <f t="shared" si="156"/>
        <v>7</v>
      </c>
      <c r="F5017">
        <f t="shared" si="157"/>
        <v>2019</v>
      </c>
    </row>
    <row r="5018" spans="1:6" x14ac:dyDescent="0.2">
      <c r="A5018" s="20">
        <v>43663</v>
      </c>
      <c r="B5018">
        <v>178.25</v>
      </c>
      <c r="E5018">
        <f t="shared" si="156"/>
        <v>7</v>
      </c>
      <c r="F5018">
        <f t="shared" si="157"/>
        <v>2019</v>
      </c>
    </row>
    <row r="5019" spans="1:6" x14ac:dyDescent="0.2">
      <c r="A5019" s="20">
        <v>43664</v>
      </c>
      <c r="B5019">
        <v>178</v>
      </c>
      <c r="E5019">
        <f t="shared" si="156"/>
        <v>7</v>
      </c>
      <c r="F5019">
        <f t="shared" si="157"/>
        <v>2019</v>
      </c>
    </row>
    <row r="5020" spans="1:6" x14ac:dyDescent="0.2">
      <c r="A5020" s="20">
        <v>43665</v>
      </c>
      <c r="B5020">
        <v>180.75</v>
      </c>
      <c r="E5020">
        <f t="shared" si="156"/>
        <v>7</v>
      </c>
      <c r="F5020">
        <f t="shared" si="157"/>
        <v>2019</v>
      </c>
    </row>
    <row r="5021" spans="1:6" x14ac:dyDescent="0.2">
      <c r="A5021" s="20">
        <v>43668</v>
      </c>
      <c r="B5021">
        <v>180.5</v>
      </c>
      <c r="E5021">
        <f t="shared" si="156"/>
        <v>7</v>
      </c>
      <c r="F5021">
        <f t="shared" si="157"/>
        <v>2019</v>
      </c>
    </row>
    <row r="5022" spans="1:6" x14ac:dyDescent="0.2">
      <c r="A5022" s="20">
        <v>43669</v>
      </c>
      <c r="B5022">
        <v>179.25</v>
      </c>
      <c r="E5022">
        <f t="shared" si="156"/>
        <v>7</v>
      </c>
      <c r="F5022">
        <f t="shared" si="157"/>
        <v>2019</v>
      </c>
    </row>
    <row r="5023" spans="1:6" x14ac:dyDescent="0.2">
      <c r="A5023" s="20">
        <v>43670</v>
      </c>
      <c r="B5023">
        <v>180</v>
      </c>
      <c r="E5023">
        <f t="shared" si="156"/>
        <v>7</v>
      </c>
      <c r="F5023">
        <f t="shared" si="157"/>
        <v>2019</v>
      </c>
    </row>
    <row r="5024" spans="1:6" x14ac:dyDescent="0.2">
      <c r="A5024" s="20">
        <v>43671</v>
      </c>
      <c r="B5024">
        <v>179.5</v>
      </c>
      <c r="E5024">
        <f t="shared" si="156"/>
        <v>7</v>
      </c>
      <c r="F5024">
        <f t="shared" si="157"/>
        <v>2019</v>
      </c>
    </row>
    <row r="5025" spans="1:6" x14ac:dyDescent="0.2">
      <c r="A5025" s="20">
        <v>43672</v>
      </c>
      <c r="B5025">
        <v>179.25</v>
      </c>
      <c r="E5025">
        <f t="shared" si="156"/>
        <v>7</v>
      </c>
      <c r="F5025">
        <f t="shared" si="157"/>
        <v>2019</v>
      </c>
    </row>
    <row r="5026" spans="1:6" x14ac:dyDescent="0.2">
      <c r="A5026" s="20">
        <v>43675</v>
      </c>
      <c r="B5026">
        <v>177.75</v>
      </c>
      <c r="E5026">
        <f t="shared" si="156"/>
        <v>7</v>
      </c>
      <c r="F5026">
        <f t="shared" si="157"/>
        <v>2019</v>
      </c>
    </row>
    <row r="5027" spans="1:6" x14ac:dyDescent="0.2">
      <c r="A5027" s="20">
        <v>43676</v>
      </c>
      <c r="B5027">
        <v>174</v>
      </c>
      <c r="E5027">
        <f t="shared" si="156"/>
        <v>7</v>
      </c>
      <c r="F5027">
        <f t="shared" si="157"/>
        <v>2019</v>
      </c>
    </row>
    <row r="5028" spans="1:6" x14ac:dyDescent="0.2">
      <c r="A5028" s="20">
        <v>43677</v>
      </c>
      <c r="B5028">
        <v>170</v>
      </c>
      <c r="E5028">
        <f t="shared" si="156"/>
        <v>7</v>
      </c>
      <c r="F5028">
        <f t="shared" si="157"/>
        <v>2019</v>
      </c>
    </row>
    <row r="5029" spans="1:6" x14ac:dyDescent="0.2">
      <c r="A5029" s="20">
        <v>43678</v>
      </c>
      <c r="B5029">
        <v>167</v>
      </c>
      <c r="E5029">
        <f t="shared" si="156"/>
        <v>8</v>
      </c>
      <c r="F5029">
        <f t="shared" si="157"/>
        <v>2019</v>
      </c>
    </row>
    <row r="5030" spans="1:6" x14ac:dyDescent="0.2">
      <c r="A5030" s="20">
        <v>43679</v>
      </c>
      <c r="B5030">
        <v>158</v>
      </c>
      <c r="E5030">
        <f t="shared" si="156"/>
        <v>8</v>
      </c>
      <c r="F5030">
        <f t="shared" si="157"/>
        <v>2019</v>
      </c>
    </row>
    <row r="5031" spans="1:6" x14ac:dyDescent="0.2">
      <c r="A5031" s="20">
        <v>43682</v>
      </c>
      <c r="B5031">
        <v>158.5</v>
      </c>
      <c r="E5031">
        <f t="shared" si="156"/>
        <v>8</v>
      </c>
      <c r="F5031">
        <f t="shared" si="157"/>
        <v>2019</v>
      </c>
    </row>
    <row r="5032" spans="1:6" x14ac:dyDescent="0.2">
      <c r="A5032" s="20">
        <v>43683</v>
      </c>
      <c r="B5032">
        <v>170.5</v>
      </c>
      <c r="E5032">
        <f t="shared" si="156"/>
        <v>8</v>
      </c>
      <c r="F5032">
        <f t="shared" si="157"/>
        <v>2019</v>
      </c>
    </row>
    <row r="5033" spans="1:6" x14ac:dyDescent="0.2">
      <c r="A5033" s="20">
        <v>43684</v>
      </c>
      <c r="B5033">
        <v>170.5</v>
      </c>
      <c r="E5033">
        <f t="shared" si="156"/>
        <v>8</v>
      </c>
      <c r="F5033">
        <f t="shared" si="157"/>
        <v>2019</v>
      </c>
    </row>
    <row r="5034" spans="1:6" x14ac:dyDescent="0.2">
      <c r="A5034" s="20">
        <v>43685</v>
      </c>
      <c r="B5034">
        <v>171.75</v>
      </c>
      <c r="E5034">
        <f t="shared" si="156"/>
        <v>8</v>
      </c>
      <c r="F5034">
        <f t="shared" si="157"/>
        <v>2019</v>
      </c>
    </row>
    <row r="5035" spans="1:6" x14ac:dyDescent="0.2">
      <c r="A5035" s="20">
        <v>43686</v>
      </c>
      <c r="B5035">
        <v>172.75</v>
      </c>
      <c r="E5035">
        <f t="shared" si="156"/>
        <v>8</v>
      </c>
      <c r="F5035">
        <f t="shared" si="157"/>
        <v>2019</v>
      </c>
    </row>
    <row r="5036" spans="1:6" x14ac:dyDescent="0.2">
      <c r="A5036" s="20">
        <v>43689</v>
      </c>
      <c r="B5036">
        <v>170</v>
      </c>
      <c r="E5036">
        <f t="shared" si="156"/>
        <v>8</v>
      </c>
      <c r="F5036">
        <f t="shared" si="157"/>
        <v>2019</v>
      </c>
    </row>
    <row r="5037" spans="1:6" x14ac:dyDescent="0.2">
      <c r="A5037" s="20">
        <v>43690</v>
      </c>
      <c r="B5037">
        <v>167.75</v>
      </c>
      <c r="E5037">
        <f t="shared" si="156"/>
        <v>8</v>
      </c>
      <c r="F5037">
        <f t="shared" si="157"/>
        <v>2019</v>
      </c>
    </row>
    <row r="5038" spans="1:6" x14ac:dyDescent="0.2">
      <c r="A5038" s="20">
        <v>43691</v>
      </c>
      <c r="B5038">
        <v>168.5</v>
      </c>
      <c r="E5038">
        <f t="shared" si="156"/>
        <v>8</v>
      </c>
      <c r="F5038">
        <f t="shared" si="157"/>
        <v>2019</v>
      </c>
    </row>
    <row r="5039" spans="1:6" x14ac:dyDescent="0.2">
      <c r="A5039" s="20">
        <v>43692</v>
      </c>
      <c r="B5039">
        <v>169</v>
      </c>
      <c r="E5039">
        <f t="shared" si="156"/>
        <v>8</v>
      </c>
      <c r="F5039">
        <f t="shared" si="157"/>
        <v>2019</v>
      </c>
    </row>
    <row r="5040" spans="1:6" x14ac:dyDescent="0.2">
      <c r="A5040" s="20">
        <v>43693</v>
      </c>
      <c r="B5040">
        <v>168</v>
      </c>
      <c r="E5040">
        <f t="shared" si="156"/>
        <v>8</v>
      </c>
      <c r="F5040">
        <f t="shared" si="157"/>
        <v>2019</v>
      </c>
    </row>
    <row r="5041" spans="1:6" x14ac:dyDescent="0.2">
      <c r="A5041" s="20">
        <v>43696</v>
      </c>
      <c r="B5041">
        <v>165.25</v>
      </c>
      <c r="E5041">
        <f t="shared" si="156"/>
        <v>8</v>
      </c>
      <c r="F5041">
        <f t="shared" si="157"/>
        <v>2019</v>
      </c>
    </row>
    <row r="5042" spans="1:6" x14ac:dyDescent="0.2">
      <c r="A5042" s="20">
        <v>43697</v>
      </c>
      <c r="B5042">
        <v>165.5</v>
      </c>
      <c r="E5042">
        <f t="shared" si="156"/>
        <v>8</v>
      </c>
      <c r="F5042">
        <f t="shared" si="157"/>
        <v>2019</v>
      </c>
    </row>
    <row r="5043" spans="1:6" x14ac:dyDescent="0.2">
      <c r="A5043" s="20">
        <v>43698</v>
      </c>
      <c r="B5043">
        <v>165.5</v>
      </c>
      <c r="E5043">
        <f t="shared" si="156"/>
        <v>8</v>
      </c>
      <c r="F5043">
        <f t="shared" si="157"/>
        <v>2019</v>
      </c>
    </row>
    <row r="5044" spans="1:6" x14ac:dyDescent="0.2">
      <c r="A5044" s="20">
        <v>43699</v>
      </c>
      <c r="B5044">
        <v>165</v>
      </c>
      <c r="E5044">
        <f t="shared" si="156"/>
        <v>8</v>
      </c>
      <c r="F5044">
        <f t="shared" si="157"/>
        <v>2019</v>
      </c>
    </row>
    <row r="5045" spans="1:6" x14ac:dyDescent="0.2">
      <c r="A5045" s="20">
        <v>43700</v>
      </c>
      <c r="B5045">
        <v>164.5</v>
      </c>
      <c r="E5045">
        <f t="shared" si="156"/>
        <v>8</v>
      </c>
      <c r="F5045">
        <f t="shared" si="157"/>
        <v>2019</v>
      </c>
    </row>
    <row r="5046" spans="1:6" x14ac:dyDescent="0.2">
      <c r="A5046" s="20">
        <v>43703</v>
      </c>
      <c r="B5046">
        <v>165</v>
      </c>
      <c r="E5046">
        <f t="shared" si="156"/>
        <v>8</v>
      </c>
      <c r="F5046">
        <f t="shared" si="157"/>
        <v>2019</v>
      </c>
    </row>
    <row r="5047" spans="1:6" x14ac:dyDescent="0.2">
      <c r="A5047" s="20">
        <v>43704</v>
      </c>
      <c r="B5047">
        <v>164.75</v>
      </c>
      <c r="E5047">
        <f t="shared" si="156"/>
        <v>8</v>
      </c>
      <c r="F5047">
        <f t="shared" si="157"/>
        <v>2019</v>
      </c>
    </row>
    <row r="5048" spans="1:6" x14ac:dyDescent="0.2">
      <c r="A5048" s="20">
        <v>43705</v>
      </c>
      <c r="B5048">
        <v>164.25</v>
      </c>
      <c r="E5048">
        <f t="shared" si="156"/>
        <v>8</v>
      </c>
      <c r="F5048">
        <f t="shared" si="157"/>
        <v>2019</v>
      </c>
    </row>
    <row r="5049" spans="1:6" x14ac:dyDescent="0.2">
      <c r="A5049" s="20">
        <v>43706</v>
      </c>
      <c r="B5049">
        <v>164</v>
      </c>
      <c r="E5049">
        <f t="shared" si="156"/>
        <v>8</v>
      </c>
      <c r="F5049">
        <f t="shared" si="157"/>
        <v>2019</v>
      </c>
    </row>
    <row r="5050" spans="1:6" x14ac:dyDescent="0.2">
      <c r="A5050" s="20">
        <v>43707</v>
      </c>
      <c r="B5050">
        <v>163</v>
      </c>
      <c r="E5050">
        <f t="shared" si="156"/>
        <v>8</v>
      </c>
      <c r="F5050">
        <f t="shared" si="157"/>
        <v>2019</v>
      </c>
    </row>
    <row r="5051" spans="1:6" x14ac:dyDescent="0.2">
      <c r="A5051" s="20">
        <v>43710</v>
      </c>
      <c r="B5051">
        <v>161.75</v>
      </c>
      <c r="E5051">
        <f t="shared" si="156"/>
        <v>9</v>
      </c>
      <c r="F5051">
        <f t="shared" si="157"/>
        <v>2019</v>
      </c>
    </row>
    <row r="5052" spans="1:6" x14ac:dyDescent="0.2">
      <c r="A5052" s="20">
        <v>43711</v>
      </c>
      <c r="B5052">
        <v>161.25</v>
      </c>
      <c r="E5052">
        <f t="shared" si="156"/>
        <v>9</v>
      </c>
      <c r="F5052">
        <f t="shared" si="157"/>
        <v>2019</v>
      </c>
    </row>
    <row r="5053" spans="1:6" x14ac:dyDescent="0.2">
      <c r="A5053" s="20">
        <v>43712</v>
      </c>
      <c r="B5053">
        <v>161.25</v>
      </c>
      <c r="E5053">
        <f t="shared" si="156"/>
        <v>9</v>
      </c>
      <c r="F5053">
        <f t="shared" si="157"/>
        <v>2019</v>
      </c>
    </row>
    <row r="5054" spans="1:6" x14ac:dyDescent="0.2">
      <c r="A5054" s="20">
        <v>43713</v>
      </c>
      <c r="B5054">
        <v>161.5</v>
      </c>
      <c r="E5054">
        <f t="shared" si="156"/>
        <v>9</v>
      </c>
      <c r="F5054">
        <f t="shared" si="157"/>
        <v>2019</v>
      </c>
    </row>
    <row r="5055" spans="1:6" x14ac:dyDescent="0.2">
      <c r="A5055" s="20">
        <v>43714</v>
      </c>
      <c r="B5055">
        <v>161</v>
      </c>
      <c r="E5055">
        <f t="shared" si="156"/>
        <v>9</v>
      </c>
      <c r="F5055">
        <f t="shared" si="157"/>
        <v>2019</v>
      </c>
    </row>
    <row r="5056" spans="1:6" x14ac:dyDescent="0.2">
      <c r="A5056" s="20">
        <v>43717</v>
      </c>
      <c r="B5056">
        <v>162.75</v>
      </c>
      <c r="E5056">
        <f t="shared" si="156"/>
        <v>9</v>
      </c>
      <c r="F5056">
        <f t="shared" si="157"/>
        <v>2019</v>
      </c>
    </row>
    <row r="5057" spans="1:6" x14ac:dyDescent="0.2">
      <c r="A5057" s="20">
        <v>43718</v>
      </c>
      <c r="B5057">
        <v>163.75</v>
      </c>
      <c r="E5057">
        <f t="shared" si="156"/>
        <v>9</v>
      </c>
      <c r="F5057">
        <f t="shared" si="157"/>
        <v>2019</v>
      </c>
    </row>
    <row r="5058" spans="1:6" x14ac:dyDescent="0.2">
      <c r="A5058" s="20">
        <v>43719</v>
      </c>
      <c r="B5058">
        <v>162.5</v>
      </c>
      <c r="E5058">
        <f t="shared" si="156"/>
        <v>9</v>
      </c>
      <c r="F5058">
        <f t="shared" si="157"/>
        <v>2019</v>
      </c>
    </row>
    <row r="5059" spans="1:6" x14ac:dyDescent="0.2">
      <c r="A5059" s="20">
        <v>43720</v>
      </c>
      <c r="B5059">
        <v>162.25</v>
      </c>
      <c r="E5059">
        <f t="shared" ref="E5059:E5122" si="158">MONTH(A5059)</f>
        <v>9</v>
      </c>
      <c r="F5059">
        <f t="shared" ref="F5059:F5122" si="159">YEAR(A5059)</f>
        <v>2019</v>
      </c>
    </row>
    <row r="5060" spans="1:6" x14ac:dyDescent="0.2">
      <c r="A5060" s="20">
        <v>43721</v>
      </c>
      <c r="B5060">
        <v>162.75</v>
      </c>
      <c r="E5060">
        <f t="shared" si="158"/>
        <v>9</v>
      </c>
      <c r="F5060">
        <f t="shared" si="159"/>
        <v>2019</v>
      </c>
    </row>
    <row r="5061" spans="1:6" x14ac:dyDescent="0.2">
      <c r="A5061" s="20">
        <v>43724</v>
      </c>
      <c r="B5061">
        <v>163.75</v>
      </c>
      <c r="E5061">
        <f t="shared" si="158"/>
        <v>9</v>
      </c>
      <c r="F5061">
        <f t="shared" si="159"/>
        <v>2019</v>
      </c>
    </row>
    <row r="5062" spans="1:6" x14ac:dyDescent="0.2">
      <c r="A5062" s="20">
        <v>43725</v>
      </c>
      <c r="B5062">
        <v>164</v>
      </c>
      <c r="E5062">
        <f t="shared" si="158"/>
        <v>9</v>
      </c>
      <c r="F5062">
        <f t="shared" si="159"/>
        <v>2019</v>
      </c>
    </row>
    <row r="5063" spans="1:6" x14ac:dyDescent="0.2">
      <c r="A5063" s="20">
        <v>43726</v>
      </c>
      <c r="B5063">
        <v>164</v>
      </c>
      <c r="E5063">
        <f t="shared" si="158"/>
        <v>9</v>
      </c>
      <c r="F5063">
        <f t="shared" si="159"/>
        <v>2019</v>
      </c>
    </row>
    <row r="5064" spans="1:6" x14ac:dyDescent="0.2">
      <c r="A5064" s="20">
        <v>43727</v>
      </c>
      <c r="B5064">
        <v>163.5</v>
      </c>
      <c r="E5064">
        <f t="shared" si="158"/>
        <v>9</v>
      </c>
      <c r="F5064">
        <f t="shared" si="159"/>
        <v>2019</v>
      </c>
    </row>
    <row r="5065" spans="1:6" x14ac:dyDescent="0.2">
      <c r="A5065" s="20">
        <v>43728</v>
      </c>
      <c r="B5065">
        <v>163.25</v>
      </c>
      <c r="E5065">
        <f t="shared" si="158"/>
        <v>9</v>
      </c>
      <c r="F5065">
        <f t="shared" si="159"/>
        <v>2019</v>
      </c>
    </row>
    <row r="5066" spans="1:6" x14ac:dyDescent="0.2">
      <c r="A5066" s="20">
        <v>43731</v>
      </c>
      <c r="B5066">
        <v>163.5</v>
      </c>
      <c r="E5066">
        <f t="shared" si="158"/>
        <v>9</v>
      </c>
      <c r="F5066">
        <f t="shared" si="159"/>
        <v>2019</v>
      </c>
    </row>
    <row r="5067" spans="1:6" x14ac:dyDescent="0.2">
      <c r="A5067" s="20">
        <v>43732</v>
      </c>
      <c r="B5067">
        <v>162.75</v>
      </c>
      <c r="E5067">
        <f t="shared" si="158"/>
        <v>9</v>
      </c>
      <c r="F5067">
        <f t="shared" si="159"/>
        <v>2019</v>
      </c>
    </row>
    <row r="5068" spans="1:6" x14ac:dyDescent="0.2">
      <c r="A5068" s="20">
        <v>43733</v>
      </c>
      <c r="B5068">
        <v>162.5</v>
      </c>
      <c r="E5068">
        <f t="shared" si="158"/>
        <v>9</v>
      </c>
      <c r="F5068">
        <f t="shared" si="159"/>
        <v>2019</v>
      </c>
    </row>
    <row r="5069" spans="1:6" x14ac:dyDescent="0.2">
      <c r="A5069" s="20">
        <v>43734</v>
      </c>
      <c r="B5069">
        <v>163.25</v>
      </c>
      <c r="E5069">
        <f t="shared" si="158"/>
        <v>9</v>
      </c>
      <c r="F5069">
        <f t="shared" si="159"/>
        <v>2019</v>
      </c>
    </row>
    <row r="5070" spans="1:6" x14ac:dyDescent="0.2">
      <c r="A5070" s="20">
        <v>43735</v>
      </c>
      <c r="B5070">
        <v>163.75</v>
      </c>
      <c r="E5070">
        <f t="shared" si="158"/>
        <v>9</v>
      </c>
      <c r="F5070">
        <f t="shared" si="159"/>
        <v>2019</v>
      </c>
    </row>
    <row r="5071" spans="1:6" x14ac:dyDescent="0.2">
      <c r="A5071" s="20">
        <v>43738</v>
      </c>
      <c r="B5071">
        <v>164.5</v>
      </c>
      <c r="E5071">
        <f t="shared" si="158"/>
        <v>9</v>
      </c>
      <c r="F5071">
        <f t="shared" si="159"/>
        <v>2019</v>
      </c>
    </row>
    <row r="5072" spans="1:6" x14ac:dyDescent="0.2">
      <c r="A5072" s="20">
        <v>43739</v>
      </c>
      <c r="B5072">
        <v>164.75</v>
      </c>
      <c r="E5072">
        <f t="shared" si="158"/>
        <v>10</v>
      </c>
      <c r="F5072">
        <f t="shared" si="159"/>
        <v>2019</v>
      </c>
    </row>
    <row r="5073" spans="1:6" x14ac:dyDescent="0.2">
      <c r="A5073" s="20">
        <v>43740</v>
      </c>
      <c r="B5073">
        <v>164.75</v>
      </c>
      <c r="E5073">
        <f t="shared" si="158"/>
        <v>10</v>
      </c>
      <c r="F5073">
        <f t="shared" si="159"/>
        <v>2019</v>
      </c>
    </row>
    <row r="5074" spans="1:6" x14ac:dyDescent="0.2">
      <c r="A5074" s="20">
        <v>43741</v>
      </c>
      <c r="B5074">
        <v>165</v>
      </c>
      <c r="E5074">
        <f t="shared" si="158"/>
        <v>10</v>
      </c>
      <c r="F5074">
        <f t="shared" si="159"/>
        <v>2019</v>
      </c>
    </row>
    <row r="5075" spans="1:6" x14ac:dyDescent="0.2">
      <c r="A5075" s="20">
        <v>43742</v>
      </c>
      <c r="B5075">
        <v>164.5</v>
      </c>
      <c r="E5075">
        <f t="shared" si="158"/>
        <v>10</v>
      </c>
      <c r="F5075">
        <f t="shared" si="159"/>
        <v>2019</v>
      </c>
    </row>
    <row r="5076" spans="1:6" x14ac:dyDescent="0.2">
      <c r="A5076" s="20">
        <v>43745</v>
      </c>
      <c r="B5076">
        <v>164.25</v>
      </c>
      <c r="E5076">
        <f t="shared" si="158"/>
        <v>10</v>
      </c>
      <c r="F5076">
        <f t="shared" si="159"/>
        <v>2019</v>
      </c>
    </row>
    <row r="5077" spans="1:6" x14ac:dyDescent="0.2">
      <c r="A5077" s="20">
        <v>43746</v>
      </c>
      <c r="B5077">
        <v>165</v>
      </c>
      <c r="E5077">
        <f t="shared" si="158"/>
        <v>10</v>
      </c>
      <c r="F5077">
        <f t="shared" si="159"/>
        <v>2019</v>
      </c>
    </row>
    <row r="5078" spans="1:6" x14ac:dyDescent="0.2">
      <c r="A5078" s="20">
        <v>43747</v>
      </c>
      <c r="B5078">
        <v>164.75</v>
      </c>
      <c r="E5078">
        <f t="shared" si="158"/>
        <v>10</v>
      </c>
      <c r="F5078">
        <f t="shared" si="159"/>
        <v>2019</v>
      </c>
    </row>
    <row r="5079" spans="1:6" x14ac:dyDescent="0.2">
      <c r="A5079" s="20">
        <v>43748</v>
      </c>
      <c r="B5079">
        <v>163.5</v>
      </c>
      <c r="E5079">
        <f t="shared" si="158"/>
        <v>10</v>
      </c>
      <c r="F5079">
        <f t="shared" si="159"/>
        <v>2019</v>
      </c>
    </row>
    <row r="5080" spans="1:6" x14ac:dyDescent="0.2">
      <c r="A5080" s="20">
        <v>43749</v>
      </c>
      <c r="B5080">
        <v>165.25</v>
      </c>
      <c r="E5080">
        <f t="shared" si="158"/>
        <v>10</v>
      </c>
      <c r="F5080">
        <f t="shared" si="159"/>
        <v>2019</v>
      </c>
    </row>
    <row r="5081" spans="1:6" x14ac:dyDescent="0.2">
      <c r="A5081" s="20">
        <v>43752</v>
      </c>
      <c r="B5081">
        <v>164.75</v>
      </c>
      <c r="E5081">
        <f t="shared" si="158"/>
        <v>10</v>
      </c>
      <c r="F5081">
        <f t="shared" si="159"/>
        <v>2019</v>
      </c>
    </row>
    <row r="5082" spans="1:6" x14ac:dyDescent="0.2">
      <c r="A5082" s="20">
        <v>43753</v>
      </c>
      <c r="B5082">
        <v>164</v>
      </c>
      <c r="E5082">
        <f t="shared" si="158"/>
        <v>10</v>
      </c>
      <c r="F5082">
        <f t="shared" si="159"/>
        <v>2019</v>
      </c>
    </row>
    <row r="5083" spans="1:6" x14ac:dyDescent="0.2">
      <c r="A5083" s="20">
        <v>43754</v>
      </c>
      <c r="B5083">
        <v>164.25</v>
      </c>
      <c r="E5083">
        <f t="shared" si="158"/>
        <v>10</v>
      </c>
      <c r="F5083">
        <f t="shared" si="159"/>
        <v>2019</v>
      </c>
    </row>
    <row r="5084" spans="1:6" x14ac:dyDescent="0.2">
      <c r="A5084" s="20">
        <v>43755</v>
      </c>
      <c r="B5084">
        <v>165</v>
      </c>
      <c r="E5084">
        <f t="shared" si="158"/>
        <v>10</v>
      </c>
      <c r="F5084">
        <f t="shared" si="159"/>
        <v>2019</v>
      </c>
    </row>
    <row r="5085" spans="1:6" x14ac:dyDescent="0.2">
      <c r="A5085" s="20">
        <v>43756</v>
      </c>
      <c r="B5085">
        <v>165.75</v>
      </c>
      <c r="E5085">
        <f t="shared" si="158"/>
        <v>10</v>
      </c>
      <c r="F5085">
        <f t="shared" si="159"/>
        <v>2019</v>
      </c>
    </row>
    <row r="5086" spans="1:6" x14ac:dyDescent="0.2">
      <c r="A5086" s="20">
        <v>43759</v>
      </c>
      <c r="B5086">
        <v>165.25</v>
      </c>
      <c r="E5086">
        <f t="shared" si="158"/>
        <v>10</v>
      </c>
      <c r="F5086">
        <f t="shared" si="159"/>
        <v>2019</v>
      </c>
    </row>
    <row r="5087" spans="1:6" x14ac:dyDescent="0.2">
      <c r="A5087" s="20">
        <v>43760</v>
      </c>
      <c r="B5087">
        <v>164.75</v>
      </c>
      <c r="E5087">
        <f t="shared" si="158"/>
        <v>10</v>
      </c>
      <c r="F5087">
        <f t="shared" si="159"/>
        <v>2019</v>
      </c>
    </row>
    <row r="5088" spans="1:6" x14ac:dyDescent="0.2">
      <c r="A5088" s="20">
        <v>43761</v>
      </c>
      <c r="B5088">
        <v>164.25</v>
      </c>
      <c r="E5088">
        <f t="shared" si="158"/>
        <v>10</v>
      </c>
      <c r="F5088">
        <f t="shared" si="159"/>
        <v>2019</v>
      </c>
    </row>
    <row r="5089" spans="1:6" x14ac:dyDescent="0.2">
      <c r="A5089" s="20">
        <v>43762</v>
      </c>
      <c r="B5089">
        <v>163.25</v>
      </c>
      <c r="E5089">
        <f t="shared" si="158"/>
        <v>10</v>
      </c>
      <c r="F5089">
        <f t="shared" si="159"/>
        <v>2019</v>
      </c>
    </row>
    <row r="5090" spans="1:6" x14ac:dyDescent="0.2">
      <c r="A5090" s="20">
        <v>43763</v>
      </c>
      <c r="B5090">
        <v>164.25</v>
      </c>
      <c r="E5090">
        <f t="shared" si="158"/>
        <v>10</v>
      </c>
      <c r="F5090">
        <f t="shared" si="159"/>
        <v>2019</v>
      </c>
    </row>
    <row r="5091" spans="1:6" x14ac:dyDescent="0.2">
      <c r="A5091" s="20">
        <v>43766</v>
      </c>
      <c r="B5091">
        <v>163.75</v>
      </c>
      <c r="E5091">
        <f t="shared" si="158"/>
        <v>10</v>
      </c>
      <c r="F5091">
        <f t="shared" si="159"/>
        <v>2019</v>
      </c>
    </row>
    <row r="5092" spans="1:6" x14ac:dyDescent="0.2">
      <c r="A5092" s="20">
        <v>43767</v>
      </c>
      <c r="B5092">
        <v>163.5</v>
      </c>
      <c r="E5092">
        <f t="shared" si="158"/>
        <v>10</v>
      </c>
      <c r="F5092">
        <f t="shared" si="159"/>
        <v>2019</v>
      </c>
    </row>
    <row r="5093" spans="1:6" x14ac:dyDescent="0.2">
      <c r="A5093" s="20">
        <v>43768</v>
      </c>
      <c r="B5093">
        <v>163.25</v>
      </c>
      <c r="E5093">
        <f t="shared" si="158"/>
        <v>10</v>
      </c>
      <c r="F5093">
        <f t="shared" si="159"/>
        <v>2019</v>
      </c>
    </row>
    <row r="5094" spans="1:6" x14ac:dyDescent="0.2">
      <c r="A5094" s="20">
        <v>43769</v>
      </c>
      <c r="B5094">
        <v>163.25</v>
      </c>
      <c r="E5094">
        <f t="shared" si="158"/>
        <v>10</v>
      </c>
      <c r="F5094">
        <f t="shared" si="159"/>
        <v>2019</v>
      </c>
    </row>
    <row r="5095" spans="1:6" x14ac:dyDescent="0.2">
      <c r="A5095" s="20">
        <v>43770</v>
      </c>
      <c r="B5095">
        <v>161</v>
      </c>
      <c r="E5095">
        <f t="shared" si="158"/>
        <v>11</v>
      </c>
      <c r="F5095">
        <f t="shared" si="159"/>
        <v>2019</v>
      </c>
    </row>
    <row r="5096" spans="1:6" x14ac:dyDescent="0.2">
      <c r="A5096" s="20">
        <v>43773</v>
      </c>
      <c r="B5096">
        <v>155</v>
      </c>
      <c r="E5096">
        <f t="shared" si="158"/>
        <v>11</v>
      </c>
      <c r="F5096">
        <f t="shared" si="159"/>
        <v>2019</v>
      </c>
    </row>
    <row r="5097" spans="1:6" x14ac:dyDescent="0.2">
      <c r="A5097" s="20">
        <v>43774</v>
      </c>
      <c r="B5097">
        <v>157</v>
      </c>
      <c r="E5097">
        <f t="shared" si="158"/>
        <v>11</v>
      </c>
      <c r="F5097">
        <f t="shared" si="159"/>
        <v>2019</v>
      </c>
    </row>
    <row r="5098" spans="1:6" x14ac:dyDescent="0.2">
      <c r="A5098" s="20">
        <v>43775</v>
      </c>
      <c r="B5098">
        <v>168.25</v>
      </c>
      <c r="E5098">
        <f t="shared" si="158"/>
        <v>11</v>
      </c>
      <c r="F5098">
        <f t="shared" si="159"/>
        <v>2019</v>
      </c>
    </row>
    <row r="5099" spans="1:6" x14ac:dyDescent="0.2">
      <c r="A5099" s="20">
        <v>43776</v>
      </c>
      <c r="B5099">
        <v>167.75</v>
      </c>
      <c r="E5099">
        <f t="shared" si="158"/>
        <v>11</v>
      </c>
      <c r="F5099">
        <f t="shared" si="159"/>
        <v>2019</v>
      </c>
    </row>
    <row r="5100" spans="1:6" x14ac:dyDescent="0.2">
      <c r="A5100" s="20">
        <v>43777</v>
      </c>
      <c r="B5100">
        <v>168</v>
      </c>
      <c r="E5100">
        <f t="shared" si="158"/>
        <v>11</v>
      </c>
      <c r="F5100">
        <f t="shared" si="159"/>
        <v>2019</v>
      </c>
    </row>
    <row r="5101" spans="1:6" x14ac:dyDescent="0.2">
      <c r="A5101" s="20">
        <v>43780</v>
      </c>
      <c r="B5101">
        <v>167.5</v>
      </c>
      <c r="E5101">
        <f t="shared" si="158"/>
        <v>11</v>
      </c>
      <c r="F5101">
        <f t="shared" si="159"/>
        <v>2019</v>
      </c>
    </row>
    <row r="5102" spans="1:6" x14ac:dyDescent="0.2">
      <c r="A5102" s="20">
        <v>43781</v>
      </c>
      <c r="B5102">
        <v>168</v>
      </c>
      <c r="E5102">
        <f t="shared" si="158"/>
        <v>11</v>
      </c>
      <c r="F5102">
        <f t="shared" si="159"/>
        <v>2019</v>
      </c>
    </row>
    <row r="5103" spans="1:6" x14ac:dyDescent="0.2">
      <c r="A5103" s="20">
        <v>43782</v>
      </c>
      <c r="B5103">
        <v>167.5</v>
      </c>
      <c r="E5103">
        <f t="shared" si="158"/>
        <v>11</v>
      </c>
      <c r="F5103">
        <f t="shared" si="159"/>
        <v>2019</v>
      </c>
    </row>
    <row r="5104" spans="1:6" x14ac:dyDescent="0.2">
      <c r="A5104" s="20">
        <v>43783</v>
      </c>
      <c r="B5104">
        <v>168</v>
      </c>
      <c r="E5104">
        <f t="shared" si="158"/>
        <v>11</v>
      </c>
      <c r="F5104">
        <f t="shared" si="159"/>
        <v>2019</v>
      </c>
    </row>
    <row r="5105" spans="1:6" x14ac:dyDescent="0.2">
      <c r="A5105" s="20">
        <v>43784</v>
      </c>
      <c r="B5105">
        <v>168</v>
      </c>
      <c r="E5105">
        <f t="shared" si="158"/>
        <v>11</v>
      </c>
      <c r="F5105">
        <f t="shared" si="159"/>
        <v>2019</v>
      </c>
    </row>
    <row r="5106" spans="1:6" x14ac:dyDescent="0.2">
      <c r="A5106" s="20">
        <v>43787</v>
      </c>
      <c r="B5106">
        <v>166.5</v>
      </c>
      <c r="E5106">
        <f t="shared" si="158"/>
        <v>11</v>
      </c>
      <c r="F5106">
        <f t="shared" si="159"/>
        <v>2019</v>
      </c>
    </row>
    <row r="5107" spans="1:6" x14ac:dyDescent="0.2">
      <c r="A5107" s="20">
        <v>43788</v>
      </c>
      <c r="B5107">
        <v>166.75</v>
      </c>
      <c r="E5107">
        <f t="shared" si="158"/>
        <v>11</v>
      </c>
      <c r="F5107">
        <f t="shared" si="159"/>
        <v>2019</v>
      </c>
    </row>
    <row r="5108" spans="1:6" x14ac:dyDescent="0.2">
      <c r="A5108" s="20">
        <v>43789</v>
      </c>
      <c r="B5108">
        <v>167.25</v>
      </c>
      <c r="E5108">
        <f t="shared" si="158"/>
        <v>11</v>
      </c>
      <c r="F5108">
        <f t="shared" si="159"/>
        <v>2019</v>
      </c>
    </row>
    <row r="5109" spans="1:6" x14ac:dyDescent="0.2">
      <c r="A5109" s="20">
        <v>43790</v>
      </c>
      <c r="B5109">
        <v>167.5</v>
      </c>
      <c r="E5109">
        <f t="shared" si="158"/>
        <v>11</v>
      </c>
      <c r="F5109">
        <f t="shared" si="159"/>
        <v>2019</v>
      </c>
    </row>
    <row r="5110" spans="1:6" x14ac:dyDescent="0.2">
      <c r="A5110" s="20">
        <v>43791</v>
      </c>
      <c r="B5110">
        <v>168</v>
      </c>
      <c r="E5110">
        <f t="shared" si="158"/>
        <v>11</v>
      </c>
      <c r="F5110">
        <f t="shared" si="159"/>
        <v>2019</v>
      </c>
    </row>
    <row r="5111" spans="1:6" x14ac:dyDescent="0.2">
      <c r="A5111" s="20">
        <v>43794</v>
      </c>
      <c r="B5111">
        <v>168.75</v>
      </c>
      <c r="E5111">
        <f t="shared" si="158"/>
        <v>11</v>
      </c>
      <c r="F5111">
        <f t="shared" si="159"/>
        <v>2019</v>
      </c>
    </row>
    <row r="5112" spans="1:6" x14ac:dyDescent="0.2">
      <c r="A5112" s="20">
        <v>43795</v>
      </c>
      <c r="B5112">
        <v>168.5</v>
      </c>
      <c r="E5112">
        <f t="shared" si="158"/>
        <v>11</v>
      </c>
      <c r="F5112">
        <f t="shared" si="159"/>
        <v>2019</v>
      </c>
    </row>
    <row r="5113" spans="1:6" x14ac:dyDescent="0.2">
      <c r="A5113" s="20">
        <v>43796</v>
      </c>
      <c r="B5113">
        <v>168.75</v>
      </c>
      <c r="E5113">
        <f t="shared" si="158"/>
        <v>11</v>
      </c>
      <c r="F5113">
        <f t="shared" si="159"/>
        <v>2019</v>
      </c>
    </row>
    <row r="5114" spans="1:6" x14ac:dyDescent="0.2">
      <c r="A5114" s="20">
        <v>43797</v>
      </c>
      <c r="B5114">
        <v>168.5</v>
      </c>
      <c r="E5114">
        <f t="shared" si="158"/>
        <v>11</v>
      </c>
      <c r="F5114">
        <f t="shared" si="159"/>
        <v>2019</v>
      </c>
    </row>
    <row r="5115" spans="1:6" x14ac:dyDescent="0.2">
      <c r="A5115" s="20">
        <v>43798</v>
      </c>
      <c r="B5115">
        <v>169</v>
      </c>
      <c r="E5115">
        <f t="shared" si="158"/>
        <v>11</v>
      </c>
      <c r="F5115">
        <f t="shared" si="159"/>
        <v>2019</v>
      </c>
    </row>
    <row r="5116" spans="1:6" x14ac:dyDescent="0.2">
      <c r="A5116" s="20">
        <v>43801</v>
      </c>
      <c r="B5116">
        <v>169</v>
      </c>
      <c r="E5116">
        <f t="shared" si="158"/>
        <v>12</v>
      </c>
      <c r="F5116">
        <f t="shared" si="159"/>
        <v>2019</v>
      </c>
    </row>
    <row r="5117" spans="1:6" x14ac:dyDescent="0.2">
      <c r="A5117" s="20">
        <v>43802</v>
      </c>
      <c r="B5117">
        <v>169</v>
      </c>
      <c r="E5117">
        <f t="shared" si="158"/>
        <v>12</v>
      </c>
      <c r="F5117">
        <f t="shared" si="159"/>
        <v>2019</v>
      </c>
    </row>
    <row r="5118" spans="1:6" x14ac:dyDescent="0.2">
      <c r="A5118" s="20">
        <v>43803</v>
      </c>
      <c r="B5118">
        <v>168.25</v>
      </c>
      <c r="E5118">
        <f t="shared" si="158"/>
        <v>12</v>
      </c>
      <c r="F5118">
        <f t="shared" si="159"/>
        <v>2019</v>
      </c>
    </row>
    <row r="5119" spans="1:6" x14ac:dyDescent="0.2">
      <c r="A5119" s="20">
        <v>43804</v>
      </c>
      <c r="B5119">
        <v>168.5</v>
      </c>
      <c r="E5119">
        <f t="shared" si="158"/>
        <v>12</v>
      </c>
      <c r="F5119">
        <f t="shared" si="159"/>
        <v>2019</v>
      </c>
    </row>
    <row r="5120" spans="1:6" x14ac:dyDescent="0.2">
      <c r="A5120" s="20">
        <v>43805</v>
      </c>
      <c r="B5120">
        <v>168.5</v>
      </c>
      <c r="E5120">
        <f t="shared" si="158"/>
        <v>12</v>
      </c>
      <c r="F5120">
        <f t="shared" si="159"/>
        <v>2019</v>
      </c>
    </row>
    <row r="5121" spans="1:6" x14ac:dyDescent="0.2">
      <c r="A5121" s="20">
        <v>43808</v>
      </c>
      <c r="B5121">
        <v>168.25</v>
      </c>
      <c r="E5121">
        <f t="shared" si="158"/>
        <v>12</v>
      </c>
      <c r="F5121">
        <f t="shared" si="159"/>
        <v>2019</v>
      </c>
    </row>
    <row r="5122" spans="1:6" x14ac:dyDescent="0.2">
      <c r="A5122" s="20">
        <v>43809</v>
      </c>
      <c r="B5122">
        <v>167.75</v>
      </c>
      <c r="E5122">
        <f t="shared" si="158"/>
        <v>12</v>
      </c>
      <c r="F5122">
        <f t="shared" si="159"/>
        <v>2019</v>
      </c>
    </row>
    <row r="5123" spans="1:6" x14ac:dyDescent="0.2">
      <c r="A5123" s="20">
        <v>43810</v>
      </c>
      <c r="B5123">
        <v>166.5</v>
      </c>
      <c r="E5123">
        <f t="shared" ref="E5123:E5186" si="160">MONTH(A5123)</f>
        <v>12</v>
      </c>
      <c r="F5123">
        <f t="shared" ref="F5123:F5186" si="161">YEAR(A5123)</f>
        <v>2019</v>
      </c>
    </row>
    <row r="5124" spans="1:6" x14ac:dyDescent="0.2">
      <c r="A5124" s="20">
        <v>43811</v>
      </c>
      <c r="B5124">
        <v>167.5</v>
      </c>
      <c r="E5124">
        <f t="shared" si="160"/>
        <v>12</v>
      </c>
      <c r="F5124">
        <f t="shared" si="161"/>
        <v>2019</v>
      </c>
    </row>
    <row r="5125" spans="1:6" x14ac:dyDescent="0.2">
      <c r="A5125" s="20">
        <v>43812</v>
      </c>
      <c r="B5125">
        <v>168.5</v>
      </c>
      <c r="E5125">
        <f t="shared" si="160"/>
        <v>12</v>
      </c>
      <c r="F5125">
        <f t="shared" si="161"/>
        <v>2019</v>
      </c>
    </row>
    <row r="5126" spans="1:6" x14ac:dyDescent="0.2">
      <c r="A5126" s="20">
        <v>43815</v>
      </c>
      <c r="B5126">
        <v>169.75</v>
      </c>
      <c r="E5126">
        <f t="shared" si="160"/>
        <v>12</v>
      </c>
      <c r="F5126">
        <f t="shared" si="161"/>
        <v>2019</v>
      </c>
    </row>
    <row r="5127" spans="1:6" x14ac:dyDescent="0.2">
      <c r="A5127" s="20">
        <v>43816</v>
      </c>
      <c r="B5127">
        <v>170</v>
      </c>
      <c r="E5127">
        <f t="shared" si="160"/>
        <v>12</v>
      </c>
      <c r="F5127">
        <f t="shared" si="161"/>
        <v>2019</v>
      </c>
    </row>
    <row r="5128" spans="1:6" x14ac:dyDescent="0.2">
      <c r="A5128" s="20">
        <v>43817</v>
      </c>
      <c r="B5128">
        <v>168.5</v>
      </c>
      <c r="E5128">
        <f t="shared" si="160"/>
        <v>12</v>
      </c>
      <c r="F5128">
        <f t="shared" si="161"/>
        <v>2019</v>
      </c>
    </row>
    <row r="5129" spans="1:6" x14ac:dyDescent="0.2">
      <c r="A5129" s="20">
        <v>43818</v>
      </c>
      <c r="B5129">
        <v>169.75</v>
      </c>
      <c r="E5129">
        <f t="shared" si="160"/>
        <v>12</v>
      </c>
      <c r="F5129">
        <f t="shared" si="161"/>
        <v>2019</v>
      </c>
    </row>
    <row r="5130" spans="1:6" x14ac:dyDescent="0.2">
      <c r="A5130" s="20">
        <v>43819</v>
      </c>
      <c r="B5130">
        <v>167.75</v>
      </c>
      <c r="E5130">
        <f t="shared" si="160"/>
        <v>12</v>
      </c>
      <c r="F5130">
        <f t="shared" si="161"/>
        <v>2019</v>
      </c>
    </row>
    <row r="5131" spans="1:6" x14ac:dyDescent="0.2">
      <c r="A5131" s="20">
        <v>43822</v>
      </c>
      <c r="B5131">
        <v>168</v>
      </c>
      <c r="E5131">
        <f t="shared" si="160"/>
        <v>12</v>
      </c>
      <c r="F5131">
        <f t="shared" si="161"/>
        <v>2019</v>
      </c>
    </row>
    <row r="5132" spans="1:6" x14ac:dyDescent="0.2">
      <c r="A5132" s="20">
        <v>43823</v>
      </c>
      <c r="B5132">
        <v>169.75</v>
      </c>
      <c r="E5132">
        <f t="shared" si="160"/>
        <v>12</v>
      </c>
      <c r="F5132">
        <f t="shared" si="161"/>
        <v>2019</v>
      </c>
    </row>
    <row r="5133" spans="1:6" x14ac:dyDescent="0.2">
      <c r="A5133" s="20">
        <v>43826</v>
      </c>
      <c r="B5133">
        <v>170.5</v>
      </c>
      <c r="E5133">
        <f t="shared" si="160"/>
        <v>12</v>
      </c>
      <c r="F5133">
        <f t="shared" si="161"/>
        <v>2019</v>
      </c>
    </row>
    <row r="5134" spans="1:6" x14ac:dyDescent="0.2">
      <c r="A5134" s="20">
        <v>43829</v>
      </c>
      <c r="B5134">
        <v>172</v>
      </c>
      <c r="E5134">
        <f t="shared" si="160"/>
        <v>12</v>
      </c>
      <c r="F5134">
        <f t="shared" si="161"/>
        <v>2019</v>
      </c>
    </row>
    <row r="5135" spans="1:6" x14ac:dyDescent="0.2">
      <c r="A5135" s="20">
        <v>43830</v>
      </c>
      <c r="B5135">
        <v>171.75</v>
      </c>
      <c r="E5135">
        <f t="shared" si="160"/>
        <v>12</v>
      </c>
      <c r="F5135">
        <f t="shared" si="161"/>
        <v>2019</v>
      </c>
    </row>
    <row r="5136" spans="1:6" x14ac:dyDescent="0.2">
      <c r="A5136" s="20">
        <v>43832</v>
      </c>
      <c r="B5136">
        <v>173</v>
      </c>
      <c r="E5136">
        <f t="shared" si="160"/>
        <v>1</v>
      </c>
      <c r="F5136">
        <f t="shared" si="161"/>
        <v>2020</v>
      </c>
    </row>
    <row r="5137" spans="1:6" x14ac:dyDescent="0.2">
      <c r="A5137" s="20">
        <v>43833</v>
      </c>
      <c r="B5137">
        <v>173.25</v>
      </c>
      <c r="E5137">
        <f t="shared" si="160"/>
        <v>1</v>
      </c>
      <c r="F5137">
        <f t="shared" si="161"/>
        <v>2020</v>
      </c>
    </row>
    <row r="5138" spans="1:6" x14ac:dyDescent="0.2">
      <c r="A5138" s="20">
        <v>43836</v>
      </c>
      <c r="B5138">
        <v>172.5</v>
      </c>
      <c r="E5138">
        <f t="shared" si="160"/>
        <v>1</v>
      </c>
      <c r="F5138">
        <f t="shared" si="161"/>
        <v>2020</v>
      </c>
    </row>
    <row r="5139" spans="1:6" x14ac:dyDescent="0.2">
      <c r="A5139" s="20">
        <v>43837</v>
      </c>
      <c r="B5139">
        <v>171</v>
      </c>
      <c r="E5139">
        <f t="shared" si="160"/>
        <v>1</v>
      </c>
      <c r="F5139">
        <f t="shared" si="161"/>
        <v>2020</v>
      </c>
    </row>
    <row r="5140" spans="1:6" x14ac:dyDescent="0.2">
      <c r="A5140" s="20">
        <v>43838</v>
      </c>
      <c r="B5140">
        <v>171.25</v>
      </c>
      <c r="E5140">
        <f t="shared" si="160"/>
        <v>1</v>
      </c>
      <c r="F5140">
        <f t="shared" si="161"/>
        <v>2020</v>
      </c>
    </row>
    <row r="5141" spans="1:6" x14ac:dyDescent="0.2">
      <c r="A5141" s="20">
        <v>43839</v>
      </c>
      <c r="B5141">
        <v>172.75</v>
      </c>
      <c r="E5141">
        <f t="shared" si="160"/>
        <v>1</v>
      </c>
      <c r="F5141">
        <f t="shared" si="161"/>
        <v>2020</v>
      </c>
    </row>
    <row r="5142" spans="1:6" x14ac:dyDescent="0.2">
      <c r="A5142" s="20">
        <v>43840</v>
      </c>
      <c r="B5142">
        <v>173</v>
      </c>
      <c r="E5142">
        <f t="shared" si="160"/>
        <v>1</v>
      </c>
      <c r="F5142">
        <f t="shared" si="161"/>
        <v>2020</v>
      </c>
    </row>
    <row r="5143" spans="1:6" x14ac:dyDescent="0.2">
      <c r="A5143" s="20">
        <v>43843</v>
      </c>
      <c r="B5143">
        <v>173</v>
      </c>
      <c r="E5143">
        <f t="shared" si="160"/>
        <v>1</v>
      </c>
      <c r="F5143">
        <f t="shared" si="161"/>
        <v>2020</v>
      </c>
    </row>
    <row r="5144" spans="1:6" x14ac:dyDescent="0.2">
      <c r="A5144" s="20">
        <v>43844</v>
      </c>
      <c r="B5144">
        <v>173.5</v>
      </c>
      <c r="E5144">
        <f t="shared" si="160"/>
        <v>1</v>
      </c>
      <c r="F5144">
        <f t="shared" si="161"/>
        <v>2020</v>
      </c>
    </row>
    <row r="5145" spans="1:6" x14ac:dyDescent="0.2">
      <c r="A5145" s="20">
        <v>43845</v>
      </c>
      <c r="B5145">
        <v>172.75</v>
      </c>
      <c r="E5145">
        <f t="shared" si="160"/>
        <v>1</v>
      </c>
      <c r="F5145">
        <f t="shared" si="161"/>
        <v>2020</v>
      </c>
    </row>
    <row r="5146" spans="1:6" x14ac:dyDescent="0.2">
      <c r="A5146" s="20">
        <v>43846</v>
      </c>
      <c r="B5146">
        <v>171.25</v>
      </c>
      <c r="E5146">
        <f t="shared" si="160"/>
        <v>1</v>
      </c>
      <c r="F5146">
        <f t="shared" si="161"/>
        <v>2020</v>
      </c>
    </row>
    <row r="5147" spans="1:6" x14ac:dyDescent="0.2">
      <c r="A5147" s="20">
        <v>43847</v>
      </c>
      <c r="B5147">
        <v>173</v>
      </c>
      <c r="E5147">
        <f t="shared" si="160"/>
        <v>1</v>
      </c>
      <c r="F5147">
        <f t="shared" si="161"/>
        <v>2020</v>
      </c>
    </row>
    <row r="5148" spans="1:6" x14ac:dyDescent="0.2">
      <c r="A5148" s="20">
        <v>43850</v>
      </c>
      <c r="B5148">
        <v>172.5</v>
      </c>
      <c r="E5148">
        <f t="shared" si="160"/>
        <v>1</v>
      </c>
      <c r="F5148">
        <f t="shared" si="161"/>
        <v>2020</v>
      </c>
    </row>
    <row r="5149" spans="1:6" x14ac:dyDescent="0.2">
      <c r="A5149" s="20">
        <v>43851</v>
      </c>
      <c r="B5149">
        <v>172.5</v>
      </c>
      <c r="E5149">
        <f t="shared" si="160"/>
        <v>1</v>
      </c>
      <c r="F5149">
        <f t="shared" si="161"/>
        <v>2020</v>
      </c>
    </row>
    <row r="5150" spans="1:6" x14ac:dyDescent="0.2">
      <c r="A5150" s="20">
        <v>43852</v>
      </c>
      <c r="B5150">
        <v>172.5</v>
      </c>
      <c r="E5150">
        <f t="shared" si="160"/>
        <v>1</v>
      </c>
      <c r="F5150">
        <f t="shared" si="161"/>
        <v>2020</v>
      </c>
    </row>
    <row r="5151" spans="1:6" x14ac:dyDescent="0.2">
      <c r="A5151" s="20">
        <v>43853</v>
      </c>
      <c r="B5151">
        <v>172.5</v>
      </c>
      <c r="E5151">
        <f t="shared" si="160"/>
        <v>1</v>
      </c>
      <c r="F5151">
        <f t="shared" si="161"/>
        <v>2020</v>
      </c>
    </row>
    <row r="5152" spans="1:6" x14ac:dyDescent="0.2">
      <c r="A5152" s="20">
        <v>43854</v>
      </c>
      <c r="B5152">
        <v>172</v>
      </c>
      <c r="E5152">
        <f t="shared" si="160"/>
        <v>1</v>
      </c>
      <c r="F5152">
        <f t="shared" si="161"/>
        <v>2020</v>
      </c>
    </row>
    <row r="5153" spans="1:6" x14ac:dyDescent="0.2">
      <c r="A5153" s="20">
        <v>43857</v>
      </c>
      <c r="B5153">
        <v>170.25</v>
      </c>
      <c r="E5153">
        <f t="shared" si="160"/>
        <v>1</v>
      </c>
      <c r="F5153">
        <f t="shared" si="161"/>
        <v>2020</v>
      </c>
    </row>
    <row r="5154" spans="1:6" x14ac:dyDescent="0.2">
      <c r="A5154" s="20">
        <v>43858</v>
      </c>
      <c r="B5154">
        <v>169.75</v>
      </c>
      <c r="E5154">
        <f t="shared" si="160"/>
        <v>1</v>
      </c>
      <c r="F5154">
        <f t="shared" si="161"/>
        <v>2020</v>
      </c>
    </row>
    <row r="5155" spans="1:6" x14ac:dyDescent="0.2">
      <c r="A5155" s="20">
        <v>43859</v>
      </c>
      <c r="B5155">
        <v>169.5</v>
      </c>
      <c r="E5155">
        <f t="shared" si="160"/>
        <v>1</v>
      </c>
      <c r="F5155">
        <f t="shared" si="161"/>
        <v>2020</v>
      </c>
    </row>
    <row r="5156" spans="1:6" x14ac:dyDescent="0.2">
      <c r="A5156" s="20">
        <v>43860</v>
      </c>
      <c r="B5156">
        <v>169.25</v>
      </c>
      <c r="E5156">
        <f t="shared" si="160"/>
        <v>1</v>
      </c>
      <c r="F5156">
        <f t="shared" si="161"/>
        <v>2020</v>
      </c>
    </row>
    <row r="5157" spans="1:6" x14ac:dyDescent="0.2">
      <c r="A5157" s="20">
        <v>43861</v>
      </c>
      <c r="B5157">
        <v>168.5</v>
      </c>
      <c r="E5157">
        <f t="shared" si="160"/>
        <v>1</v>
      </c>
      <c r="F5157">
        <f t="shared" si="161"/>
        <v>2020</v>
      </c>
    </row>
    <row r="5158" spans="1:6" x14ac:dyDescent="0.2">
      <c r="A5158" s="20">
        <v>43864</v>
      </c>
      <c r="B5158">
        <v>168</v>
      </c>
      <c r="E5158">
        <f t="shared" si="160"/>
        <v>2</v>
      </c>
      <c r="F5158">
        <f t="shared" si="161"/>
        <v>2020</v>
      </c>
    </row>
    <row r="5159" spans="1:6" x14ac:dyDescent="0.2">
      <c r="A5159" s="20">
        <v>43865</v>
      </c>
      <c r="B5159">
        <v>168.75</v>
      </c>
      <c r="E5159">
        <f t="shared" si="160"/>
        <v>2</v>
      </c>
      <c r="F5159">
        <f t="shared" si="161"/>
        <v>2020</v>
      </c>
    </row>
    <row r="5160" spans="1:6" x14ac:dyDescent="0.2">
      <c r="A5160" s="20">
        <v>43866</v>
      </c>
      <c r="B5160">
        <v>167.75</v>
      </c>
      <c r="E5160">
        <f t="shared" si="160"/>
        <v>2</v>
      </c>
      <c r="F5160">
        <f t="shared" si="161"/>
        <v>2020</v>
      </c>
    </row>
    <row r="5161" spans="1:6" x14ac:dyDescent="0.2">
      <c r="A5161" s="20">
        <v>43867</v>
      </c>
      <c r="B5161">
        <v>167.75</v>
      </c>
      <c r="E5161">
        <f t="shared" si="160"/>
        <v>2</v>
      </c>
      <c r="F5161">
        <f t="shared" si="161"/>
        <v>2020</v>
      </c>
    </row>
    <row r="5162" spans="1:6" x14ac:dyDescent="0.2">
      <c r="A5162" s="20">
        <v>43868</v>
      </c>
      <c r="B5162">
        <v>167.5</v>
      </c>
      <c r="E5162">
        <f t="shared" si="160"/>
        <v>2</v>
      </c>
      <c r="F5162">
        <f t="shared" si="161"/>
        <v>2020</v>
      </c>
    </row>
    <row r="5163" spans="1:6" x14ac:dyDescent="0.2">
      <c r="A5163" s="20">
        <v>43871</v>
      </c>
      <c r="B5163">
        <v>167.25</v>
      </c>
      <c r="E5163">
        <f t="shared" si="160"/>
        <v>2</v>
      </c>
      <c r="F5163">
        <f t="shared" si="161"/>
        <v>2020</v>
      </c>
    </row>
    <row r="5164" spans="1:6" x14ac:dyDescent="0.2">
      <c r="A5164" s="20">
        <v>43872</v>
      </c>
      <c r="B5164">
        <v>166.75</v>
      </c>
      <c r="E5164">
        <f t="shared" si="160"/>
        <v>2</v>
      </c>
      <c r="F5164">
        <f t="shared" si="161"/>
        <v>2020</v>
      </c>
    </row>
    <row r="5165" spans="1:6" x14ac:dyDescent="0.2">
      <c r="A5165" s="20">
        <v>43873</v>
      </c>
      <c r="B5165">
        <v>167.5</v>
      </c>
      <c r="E5165">
        <f t="shared" si="160"/>
        <v>2</v>
      </c>
      <c r="F5165">
        <f t="shared" si="161"/>
        <v>2020</v>
      </c>
    </row>
    <row r="5166" spans="1:6" x14ac:dyDescent="0.2">
      <c r="A5166" s="20">
        <v>43874</v>
      </c>
      <c r="B5166">
        <v>168.25</v>
      </c>
      <c r="E5166">
        <f t="shared" si="160"/>
        <v>2</v>
      </c>
      <c r="F5166">
        <f t="shared" si="161"/>
        <v>2020</v>
      </c>
    </row>
    <row r="5167" spans="1:6" x14ac:dyDescent="0.2">
      <c r="A5167" s="20">
        <v>43875</v>
      </c>
      <c r="B5167">
        <v>168.25</v>
      </c>
      <c r="E5167">
        <f t="shared" si="160"/>
        <v>2</v>
      </c>
      <c r="F5167">
        <f t="shared" si="161"/>
        <v>2020</v>
      </c>
    </row>
    <row r="5168" spans="1:6" x14ac:dyDescent="0.2">
      <c r="A5168" s="20">
        <v>43878</v>
      </c>
      <c r="B5168">
        <v>168.25</v>
      </c>
      <c r="E5168">
        <f t="shared" si="160"/>
        <v>2</v>
      </c>
      <c r="F5168">
        <f t="shared" si="161"/>
        <v>2020</v>
      </c>
    </row>
    <row r="5169" spans="1:6" x14ac:dyDescent="0.2">
      <c r="A5169" s="20">
        <v>43879</v>
      </c>
      <c r="B5169">
        <v>169.25</v>
      </c>
      <c r="E5169">
        <f t="shared" si="160"/>
        <v>2</v>
      </c>
      <c r="F5169">
        <f t="shared" si="161"/>
        <v>2020</v>
      </c>
    </row>
    <row r="5170" spans="1:6" x14ac:dyDescent="0.2">
      <c r="A5170" s="20">
        <v>43880</v>
      </c>
      <c r="B5170">
        <v>169.25</v>
      </c>
      <c r="E5170">
        <f t="shared" si="160"/>
        <v>2</v>
      </c>
      <c r="F5170">
        <f t="shared" si="161"/>
        <v>2020</v>
      </c>
    </row>
    <row r="5171" spans="1:6" x14ac:dyDescent="0.2">
      <c r="A5171" s="20">
        <v>43881</v>
      </c>
      <c r="B5171">
        <v>168.5</v>
      </c>
      <c r="E5171">
        <f t="shared" si="160"/>
        <v>2</v>
      </c>
      <c r="F5171">
        <f t="shared" si="161"/>
        <v>2020</v>
      </c>
    </row>
    <row r="5172" spans="1:6" x14ac:dyDescent="0.2">
      <c r="A5172" s="20">
        <v>43882</v>
      </c>
      <c r="B5172">
        <v>169.75</v>
      </c>
      <c r="E5172">
        <f t="shared" si="160"/>
        <v>2</v>
      </c>
      <c r="F5172">
        <f t="shared" si="161"/>
        <v>2020</v>
      </c>
    </row>
    <row r="5173" spans="1:6" x14ac:dyDescent="0.2">
      <c r="A5173" s="20">
        <v>43885</v>
      </c>
      <c r="B5173">
        <v>169</v>
      </c>
      <c r="E5173">
        <f t="shared" si="160"/>
        <v>2</v>
      </c>
      <c r="F5173">
        <f t="shared" si="161"/>
        <v>2020</v>
      </c>
    </row>
    <row r="5174" spans="1:6" x14ac:dyDescent="0.2">
      <c r="A5174" s="20">
        <v>43886</v>
      </c>
      <c r="B5174">
        <v>169.75</v>
      </c>
      <c r="E5174">
        <f t="shared" si="160"/>
        <v>2</v>
      </c>
      <c r="F5174">
        <f t="shared" si="161"/>
        <v>2020</v>
      </c>
    </row>
    <row r="5175" spans="1:6" x14ac:dyDescent="0.2">
      <c r="A5175" s="20">
        <v>43887</v>
      </c>
      <c r="B5175">
        <v>169.75</v>
      </c>
      <c r="E5175">
        <f t="shared" si="160"/>
        <v>2</v>
      </c>
      <c r="F5175">
        <f t="shared" si="161"/>
        <v>2020</v>
      </c>
    </row>
    <row r="5176" spans="1:6" x14ac:dyDescent="0.2">
      <c r="A5176" s="20">
        <v>43888</v>
      </c>
      <c r="B5176">
        <v>167.5</v>
      </c>
      <c r="E5176">
        <f t="shared" si="160"/>
        <v>2</v>
      </c>
      <c r="F5176">
        <f t="shared" si="161"/>
        <v>2020</v>
      </c>
    </row>
    <row r="5177" spans="1:6" x14ac:dyDescent="0.2">
      <c r="A5177" s="20">
        <v>43889</v>
      </c>
      <c r="B5177">
        <v>165.5</v>
      </c>
      <c r="E5177">
        <f t="shared" si="160"/>
        <v>2</v>
      </c>
      <c r="F5177">
        <f t="shared" si="161"/>
        <v>2020</v>
      </c>
    </row>
    <row r="5178" spans="1:6" x14ac:dyDescent="0.2">
      <c r="A5178" s="20">
        <v>43892</v>
      </c>
      <c r="B5178">
        <v>165</v>
      </c>
      <c r="E5178">
        <f t="shared" si="160"/>
        <v>3</v>
      </c>
      <c r="F5178">
        <f t="shared" si="161"/>
        <v>2020</v>
      </c>
    </row>
    <row r="5179" spans="1:6" x14ac:dyDescent="0.2">
      <c r="A5179" s="20">
        <v>43893</v>
      </c>
      <c r="B5179">
        <v>166.25</v>
      </c>
      <c r="E5179">
        <f t="shared" si="160"/>
        <v>3</v>
      </c>
      <c r="F5179">
        <f t="shared" si="161"/>
        <v>2020</v>
      </c>
    </row>
    <row r="5180" spans="1:6" x14ac:dyDescent="0.2">
      <c r="A5180" s="20">
        <v>43894</v>
      </c>
      <c r="B5180">
        <v>168</v>
      </c>
      <c r="E5180">
        <f t="shared" si="160"/>
        <v>3</v>
      </c>
      <c r="F5180">
        <f t="shared" si="161"/>
        <v>2020</v>
      </c>
    </row>
    <row r="5181" spans="1:6" x14ac:dyDescent="0.2">
      <c r="A5181" s="20">
        <v>43895</v>
      </c>
      <c r="B5181">
        <v>159</v>
      </c>
      <c r="E5181">
        <f t="shared" si="160"/>
        <v>3</v>
      </c>
      <c r="F5181">
        <f t="shared" si="161"/>
        <v>2020</v>
      </c>
    </row>
    <row r="5182" spans="1:6" x14ac:dyDescent="0.2">
      <c r="A5182" s="20">
        <v>43896</v>
      </c>
      <c r="B5182">
        <v>166.75</v>
      </c>
      <c r="E5182">
        <f t="shared" si="160"/>
        <v>3</v>
      </c>
      <c r="F5182">
        <f t="shared" si="161"/>
        <v>2020</v>
      </c>
    </row>
    <row r="5183" spans="1:6" x14ac:dyDescent="0.2">
      <c r="A5183" s="20">
        <v>43899</v>
      </c>
      <c r="B5183">
        <v>165</v>
      </c>
      <c r="E5183">
        <f t="shared" si="160"/>
        <v>3</v>
      </c>
      <c r="F5183">
        <f t="shared" si="161"/>
        <v>2020</v>
      </c>
    </row>
    <row r="5184" spans="1:6" x14ac:dyDescent="0.2">
      <c r="A5184" s="20">
        <v>43900</v>
      </c>
      <c r="B5184">
        <v>166.25</v>
      </c>
      <c r="E5184">
        <f t="shared" si="160"/>
        <v>3</v>
      </c>
      <c r="F5184">
        <f t="shared" si="161"/>
        <v>2020</v>
      </c>
    </row>
    <row r="5185" spans="1:6" x14ac:dyDescent="0.2">
      <c r="A5185" s="20">
        <v>43901</v>
      </c>
      <c r="B5185">
        <v>165.5</v>
      </c>
      <c r="E5185">
        <f t="shared" si="160"/>
        <v>3</v>
      </c>
      <c r="F5185">
        <f t="shared" si="161"/>
        <v>2020</v>
      </c>
    </row>
    <row r="5186" spans="1:6" x14ac:dyDescent="0.2">
      <c r="A5186" s="20">
        <v>43902</v>
      </c>
      <c r="B5186">
        <v>164.5</v>
      </c>
      <c r="E5186">
        <f t="shared" si="160"/>
        <v>3</v>
      </c>
      <c r="F5186">
        <f t="shared" si="161"/>
        <v>2020</v>
      </c>
    </row>
    <row r="5187" spans="1:6" x14ac:dyDescent="0.2">
      <c r="A5187" s="20">
        <v>43903</v>
      </c>
      <c r="B5187">
        <v>165</v>
      </c>
      <c r="E5187">
        <f t="shared" ref="E5187:E5250" si="162">MONTH(A5187)</f>
        <v>3</v>
      </c>
      <c r="F5187">
        <f t="shared" ref="F5187:F5250" si="163">YEAR(A5187)</f>
        <v>2020</v>
      </c>
    </row>
    <row r="5188" spans="1:6" x14ac:dyDescent="0.2">
      <c r="A5188" s="20">
        <v>43906</v>
      </c>
      <c r="B5188">
        <v>161</v>
      </c>
      <c r="E5188">
        <f t="shared" si="162"/>
        <v>3</v>
      </c>
      <c r="F5188">
        <f t="shared" si="163"/>
        <v>2020</v>
      </c>
    </row>
    <row r="5189" spans="1:6" x14ac:dyDescent="0.2">
      <c r="A5189" s="20">
        <v>43907</v>
      </c>
      <c r="B5189">
        <v>164</v>
      </c>
      <c r="E5189">
        <f t="shared" si="162"/>
        <v>3</v>
      </c>
      <c r="F5189">
        <f t="shared" si="163"/>
        <v>2020</v>
      </c>
    </row>
    <row r="5190" spans="1:6" x14ac:dyDescent="0.2">
      <c r="A5190" s="20">
        <v>43908</v>
      </c>
      <c r="B5190">
        <v>164.5</v>
      </c>
      <c r="E5190">
        <f t="shared" si="162"/>
        <v>3</v>
      </c>
      <c r="F5190">
        <f t="shared" si="163"/>
        <v>2020</v>
      </c>
    </row>
    <row r="5191" spans="1:6" x14ac:dyDescent="0.2">
      <c r="A5191" s="20">
        <v>43909</v>
      </c>
      <c r="B5191">
        <v>167.75</v>
      </c>
      <c r="E5191">
        <f t="shared" si="162"/>
        <v>3</v>
      </c>
      <c r="F5191">
        <f t="shared" si="163"/>
        <v>2020</v>
      </c>
    </row>
    <row r="5192" spans="1:6" x14ac:dyDescent="0.2">
      <c r="A5192" s="20">
        <v>43910</v>
      </c>
      <c r="B5192">
        <v>168.25</v>
      </c>
      <c r="E5192">
        <f t="shared" si="162"/>
        <v>3</v>
      </c>
      <c r="F5192">
        <f t="shared" si="163"/>
        <v>2020</v>
      </c>
    </row>
    <row r="5193" spans="1:6" x14ac:dyDescent="0.2">
      <c r="A5193" s="20">
        <v>43913</v>
      </c>
      <c r="B5193">
        <v>169.75</v>
      </c>
      <c r="E5193">
        <f t="shared" si="162"/>
        <v>3</v>
      </c>
      <c r="F5193">
        <f t="shared" si="163"/>
        <v>2020</v>
      </c>
    </row>
    <row r="5194" spans="1:6" x14ac:dyDescent="0.2">
      <c r="A5194" s="20">
        <v>43914</v>
      </c>
      <c r="B5194">
        <v>168.5</v>
      </c>
      <c r="E5194">
        <f t="shared" si="162"/>
        <v>3</v>
      </c>
      <c r="F5194">
        <f t="shared" si="163"/>
        <v>2020</v>
      </c>
    </row>
    <row r="5195" spans="1:6" x14ac:dyDescent="0.2">
      <c r="A5195" s="20">
        <v>43915</v>
      </c>
      <c r="B5195">
        <v>170</v>
      </c>
      <c r="E5195">
        <f t="shared" si="162"/>
        <v>3</v>
      </c>
      <c r="F5195">
        <f t="shared" si="163"/>
        <v>2020</v>
      </c>
    </row>
    <row r="5196" spans="1:6" x14ac:dyDescent="0.2">
      <c r="A5196" s="20">
        <v>43916</v>
      </c>
      <c r="B5196">
        <v>168</v>
      </c>
      <c r="E5196">
        <f t="shared" si="162"/>
        <v>3</v>
      </c>
      <c r="F5196">
        <f t="shared" si="163"/>
        <v>2020</v>
      </c>
    </row>
    <row r="5197" spans="1:6" x14ac:dyDescent="0.2">
      <c r="A5197" s="20">
        <v>43917</v>
      </c>
      <c r="B5197">
        <v>167.75</v>
      </c>
      <c r="E5197">
        <f t="shared" si="162"/>
        <v>3</v>
      </c>
      <c r="F5197">
        <f t="shared" si="163"/>
        <v>2020</v>
      </c>
    </row>
    <row r="5198" spans="1:6" x14ac:dyDescent="0.2">
      <c r="A5198" s="20">
        <v>43920</v>
      </c>
      <c r="B5198">
        <v>167.75</v>
      </c>
      <c r="E5198">
        <f t="shared" si="162"/>
        <v>3</v>
      </c>
      <c r="F5198">
        <f t="shared" si="163"/>
        <v>2020</v>
      </c>
    </row>
    <row r="5199" spans="1:6" x14ac:dyDescent="0.2">
      <c r="A5199" s="20">
        <v>43921</v>
      </c>
      <c r="B5199">
        <v>167.25</v>
      </c>
      <c r="E5199">
        <f t="shared" si="162"/>
        <v>3</v>
      </c>
      <c r="F5199">
        <f t="shared" si="163"/>
        <v>2020</v>
      </c>
    </row>
    <row r="5200" spans="1:6" x14ac:dyDescent="0.2">
      <c r="A5200" s="20">
        <v>43922</v>
      </c>
      <c r="B5200">
        <v>166</v>
      </c>
      <c r="E5200">
        <f t="shared" si="162"/>
        <v>4</v>
      </c>
      <c r="F5200">
        <f t="shared" si="163"/>
        <v>2020</v>
      </c>
    </row>
    <row r="5201" spans="1:6" x14ac:dyDescent="0.2">
      <c r="A5201" s="20">
        <v>43923</v>
      </c>
      <c r="B5201">
        <v>165</v>
      </c>
      <c r="E5201">
        <f t="shared" si="162"/>
        <v>4</v>
      </c>
      <c r="F5201">
        <f t="shared" si="163"/>
        <v>2020</v>
      </c>
    </row>
    <row r="5202" spans="1:6" x14ac:dyDescent="0.2">
      <c r="A5202" s="20">
        <v>43924</v>
      </c>
      <c r="B5202">
        <v>165.5</v>
      </c>
      <c r="E5202">
        <f t="shared" si="162"/>
        <v>4</v>
      </c>
      <c r="F5202">
        <f t="shared" si="163"/>
        <v>2020</v>
      </c>
    </row>
    <row r="5203" spans="1:6" x14ac:dyDescent="0.2">
      <c r="A5203" s="20">
        <v>43927</v>
      </c>
      <c r="B5203">
        <v>166.5</v>
      </c>
      <c r="E5203">
        <f t="shared" si="162"/>
        <v>4</v>
      </c>
      <c r="F5203">
        <f t="shared" si="163"/>
        <v>2020</v>
      </c>
    </row>
    <row r="5204" spans="1:6" x14ac:dyDescent="0.2">
      <c r="A5204" s="20">
        <v>43928</v>
      </c>
      <c r="B5204">
        <v>165.75</v>
      </c>
      <c r="E5204">
        <f t="shared" si="162"/>
        <v>4</v>
      </c>
      <c r="F5204">
        <f t="shared" si="163"/>
        <v>2020</v>
      </c>
    </row>
    <row r="5205" spans="1:6" x14ac:dyDescent="0.2">
      <c r="A5205" s="20">
        <v>43929</v>
      </c>
      <c r="B5205">
        <v>164.5</v>
      </c>
      <c r="E5205">
        <f t="shared" si="162"/>
        <v>4</v>
      </c>
      <c r="F5205">
        <f t="shared" si="163"/>
        <v>2020</v>
      </c>
    </row>
    <row r="5206" spans="1:6" x14ac:dyDescent="0.2">
      <c r="A5206" s="20">
        <v>43930</v>
      </c>
      <c r="B5206">
        <v>164.75</v>
      </c>
      <c r="E5206">
        <f t="shared" si="162"/>
        <v>4</v>
      </c>
      <c r="F5206">
        <f t="shared" si="163"/>
        <v>2020</v>
      </c>
    </row>
    <row r="5207" spans="1:6" x14ac:dyDescent="0.2">
      <c r="A5207" s="20">
        <v>43935</v>
      </c>
      <c r="B5207">
        <v>163</v>
      </c>
      <c r="E5207">
        <f t="shared" si="162"/>
        <v>4</v>
      </c>
      <c r="F5207">
        <f t="shared" si="163"/>
        <v>2020</v>
      </c>
    </row>
    <row r="5208" spans="1:6" x14ac:dyDescent="0.2">
      <c r="A5208" s="20">
        <v>43936</v>
      </c>
      <c r="B5208">
        <v>163</v>
      </c>
      <c r="E5208">
        <f t="shared" si="162"/>
        <v>4</v>
      </c>
      <c r="F5208">
        <f t="shared" si="163"/>
        <v>2020</v>
      </c>
    </row>
    <row r="5209" spans="1:6" x14ac:dyDescent="0.2">
      <c r="A5209" s="20">
        <v>43937</v>
      </c>
      <c r="B5209">
        <v>163.5</v>
      </c>
      <c r="E5209">
        <f t="shared" si="162"/>
        <v>4</v>
      </c>
      <c r="F5209">
        <f t="shared" si="163"/>
        <v>2020</v>
      </c>
    </row>
    <row r="5210" spans="1:6" x14ac:dyDescent="0.2">
      <c r="A5210" s="20">
        <v>43938</v>
      </c>
      <c r="B5210">
        <v>163.75</v>
      </c>
      <c r="E5210">
        <f t="shared" si="162"/>
        <v>4</v>
      </c>
      <c r="F5210">
        <f t="shared" si="163"/>
        <v>2020</v>
      </c>
    </row>
    <row r="5211" spans="1:6" x14ac:dyDescent="0.2">
      <c r="A5211" s="20">
        <v>43941</v>
      </c>
      <c r="B5211">
        <v>165.5</v>
      </c>
      <c r="E5211">
        <f t="shared" si="162"/>
        <v>4</v>
      </c>
      <c r="F5211">
        <f t="shared" si="163"/>
        <v>2020</v>
      </c>
    </row>
    <row r="5212" spans="1:6" x14ac:dyDescent="0.2">
      <c r="A5212" s="20">
        <v>43942</v>
      </c>
      <c r="B5212">
        <v>164.75</v>
      </c>
      <c r="E5212">
        <f t="shared" si="162"/>
        <v>4</v>
      </c>
      <c r="F5212">
        <f t="shared" si="163"/>
        <v>2020</v>
      </c>
    </row>
    <row r="5213" spans="1:6" x14ac:dyDescent="0.2">
      <c r="A5213" s="20">
        <v>43943</v>
      </c>
      <c r="B5213">
        <v>165.5</v>
      </c>
      <c r="E5213">
        <f t="shared" si="162"/>
        <v>4</v>
      </c>
      <c r="F5213">
        <f t="shared" si="163"/>
        <v>2020</v>
      </c>
    </row>
    <row r="5214" spans="1:6" x14ac:dyDescent="0.2">
      <c r="A5214" s="20">
        <v>43944</v>
      </c>
      <c r="B5214">
        <v>166</v>
      </c>
      <c r="E5214">
        <f t="shared" si="162"/>
        <v>4</v>
      </c>
      <c r="F5214">
        <f t="shared" si="163"/>
        <v>2020</v>
      </c>
    </row>
    <row r="5215" spans="1:6" x14ac:dyDescent="0.2">
      <c r="A5215" s="20">
        <v>43945</v>
      </c>
      <c r="B5215">
        <v>166.25</v>
      </c>
      <c r="E5215">
        <f t="shared" si="162"/>
        <v>4</v>
      </c>
      <c r="F5215">
        <f t="shared" si="163"/>
        <v>2020</v>
      </c>
    </row>
    <row r="5216" spans="1:6" x14ac:dyDescent="0.2">
      <c r="A5216" s="20">
        <v>43948</v>
      </c>
      <c r="B5216">
        <v>165.5</v>
      </c>
      <c r="E5216">
        <f t="shared" si="162"/>
        <v>4</v>
      </c>
      <c r="F5216">
        <f t="shared" si="163"/>
        <v>2020</v>
      </c>
    </row>
    <row r="5217" spans="1:6" x14ac:dyDescent="0.2">
      <c r="A5217" s="20">
        <v>43949</v>
      </c>
      <c r="B5217">
        <v>165.25</v>
      </c>
      <c r="E5217">
        <f t="shared" si="162"/>
        <v>4</v>
      </c>
      <c r="F5217">
        <f t="shared" si="163"/>
        <v>2020</v>
      </c>
    </row>
    <row r="5218" spans="1:6" x14ac:dyDescent="0.2">
      <c r="A5218" s="20">
        <v>43950</v>
      </c>
      <c r="B5218">
        <v>165.25</v>
      </c>
      <c r="E5218">
        <f t="shared" si="162"/>
        <v>4</v>
      </c>
      <c r="F5218">
        <f t="shared" si="163"/>
        <v>2020</v>
      </c>
    </row>
    <row r="5219" spans="1:6" x14ac:dyDescent="0.2">
      <c r="A5219" s="20">
        <v>43951</v>
      </c>
      <c r="B5219">
        <v>165.25</v>
      </c>
      <c r="E5219">
        <f t="shared" si="162"/>
        <v>4</v>
      </c>
      <c r="F5219">
        <f t="shared" si="163"/>
        <v>2020</v>
      </c>
    </row>
    <row r="5220" spans="1:6" x14ac:dyDescent="0.2">
      <c r="A5220" s="20">
        <v>43955</v>
      </c>
      <c r="B5220">
        <v>164.75</v>
      </c>
      <c r="E5220">
        <f t="shared" si="162"/>
        <v>5</v>
      </c>
      <c r="F5220">
        <f t="shared" si="163"/>
        <v>2020</v>
      </c>
    </row>
    <row r="5221" spans="1:6" x14ac:dyDescent="0.2">
      <c r="A5221" s="20">
        <v>43956</v>
      </c>
      <c r="B5221">
        <v>165</v>
      </c>
      <c r="E5221">
        <f t="shared" si="162"/>
        <v>5</v>
      </c>
      <c r="F5221">
        <f t="shared" si="163"/>
        <v>2020</v>
      </c>
    </row>
    <row r="5222" spans="1:6" x14ac:dyDescent="0.2">
      <c r="A5222" s="20">
        <v>43957</v>
      </c>
      <c r="B5222">
        <v>164.75</v>
      </c>
      <c r="E5222">
        <f t="shared" si="162"/>
        <v>5</v>
      </c>
      <c r="F5222">
        <f t="shared" si="163"/>
        <v>2020</v>
      </c>
    </row>
    <row r="5223" spans="1:6" x14ac:dyDescent="0.2">
      <c r="A5223" s="20">
        <v>43958</v>
      </c>
      <c r="B5223">
        <v>165.5</v>
      </c>
      <c r="E5223">
        <f t="shared" si="162"/>
        <v>5</v>
      </c>
      <c r="F5223">
        <f t="shared" si="163"/>
        <v>2020</v>
      </c>
    </row>
    <row r="5224" spans="1:6" x14ac:dyDescent="0.2">
      <c r="A5224" s="20">
        <v>43959</v>
      </c>
      <c r="B5224">
        <v>165.75</v>
      </c>
      <c r="E5224">
        <f t="shared" si="162"/>
        <v>5</v>
      </c>
      <c r="F5224">
        <f t="shared" si="163"/>
        <v>2020</v>
      </c>
    </row>
    <row r="5225" spans="1:6" x14ac:dyDescent="0.2">
      <c r="A5225" s="20">
        <v>43962</v>
      </c>
      <c r="B5225">
        <v>165</v>
      </c>
      <c r="E5225">
        <f t="shared" si="162"/>
        <v>5</v>
      </c>
      <c r="F5225">
        <f t="shared" si="163"/>
        <v>2020</v>
      </c>
    </row>
    <row r="5226" spans="1:6" x14ac:dyDescent="0.2">
      <c r="A5226" s="20">
        <v>43963</v>
      </c>
      <c r="B5226">
        <v>164.5</v>
      </c>
      <c r="E5226">
        <f t="shared" si="162"/>
        <v>5</v>
      </c>
      <c r="F5226">
        <f t="shared" si="163"/>
        <v>2020</v>
      </c>
    </row>
    <row r="5227" spans="1:6" x14ac:dyDescent="0.2">
      <c r="A5227" s="20">
        <v>43964</v>
      </c>
      <c r="B5227">
        <v>164.25</v>
      </c>
      <c r="E5227">
        <f t="shared" si="162"/>
        <v>5</v>
      </c>
      <c r="F5227">
        <f t="shared" si="163"/>
        <v>2020</v>
      </c>
    </row>
    <row r="5228" spans="1:6" x14ac:dyDescent="0.2">
      <c r="A5228" s="20">
        <v>43965</v>
      </c>
      <c r="B5228">
        <v>164.5</v>
      </c>
      <c r="E5228">
        <f t="shared" si="162"/>
        <v>5</v>
      </c>
      <c r="F5228">
        <f t="shared" si="163"/>
        <v>2020</v>
      </c>
    </row>
    <row r="5229" spans="1:6" x14ac:dyDescent="0.2">
      <c r="A5229" s="20">
        <v>43966</v>
      </c>
      <c r="B5229">
        <v>164.25</v>
      </c>
      <c r="E5229">
        <f t="shared" si="162"/>
        <v>5</v>
      </c>
      <c r="F5229">
        <f t="shared" si="163"/>
        <v>2020</v>
      </c>
    </row>
    <row r="5230" spans="1:6" x14ac:dyDescent="0.2">
      <c r="A5230" s="20">
        <v>43969</v>
      </c>
      <c r="B5230">
        <v>164</v>
      </c>
      <c r="E5230">
        <f t="shared" si="162"/>
        <v>5</v>
      </c>
      <c r="F5230">
        <f t="shared" si="163"/>
        <v>2020</v>
      </c>
    </row>
    <row r="5231" spans="1:6" x14ac:dyDescent="0.2">
      <c r="A5231" s="20">
        <v>43970</v>
      </c>
      <c r="B5231">
        <v>163.25</v>
      </c>
      <c r="E5231">
        <f t="shared" si="162"/>
        <v>5</v>
      </c>
      <c r="F5231">
        <f t="shared" si="163"/>
        <v>2020</v>
      </c>
    </row>
    <row r="5232" spans="1:6" x14ac:dyDescent="0.2">
      <c r="A5232" s="20">
        <v>43971</v>
      </c>
      <c r="B5232">
        <v>165.5</v>
      </c>
      <c r="E5232">
        <f t="shared" si="162"/>
        <v>5</v>
      </c>
      <c r="F5232">
        <f t="shared" si="163"/>
        <v>2020</v>
      </c>
    </row>
    <row r="5233" spans="1:6" x14ac:dyDescent="0.2">
      <c r="A5233" s="20">
        <v>43972</v>
      </c>
      <c r="B5233">
        <v>167</v>
      </c>
      <c r="E5233">
        <f t="shared" si="162"/>
        <v>5</v>
      </c>
      <c r="F5233">
        <f t="shared" si="163"/>
        <v>2020</v>
      </c>
    </row>
    <row r="5234" spans="1:6" x14ac:dyDescent="0.2">
      <c r="A5234" s="20">
        <v>43973</v>
      </c>
      <c r="B5234">
        <v>169.25</v>
      </c>
      <c r="E5234">
        <f t="shared" si="162"/>
        <v>5</v>
      </c>
      <c r="F5234">
        <f t="shared" si="163"/>
        <v>2020</v>
      </c>
    </row>
    <row r="5235" spans="1:6" x14ac:dyDescent="0.2">
      <c r="A5235" s="20">
        <v>43976</v>
      </c>
      <c r="B5235">
        <v>167.75</v>
      </c>
      <c r="E5235">
        <f t="shared" si="162"/>
        <v>5</v>
      </c>
      <c r="F5235">
        <f t="shared" si="163"/>
        <v>2020</v>
      </c>
    </row>
    <row r="5236" spans="1:6" x14ac:dyDescent="0.2">
      <c r="A5236" s="20">
        <v>43977</v>
      </c>
      <c r="B5236">
        <v>166.75</v>
      </c>
      <c r="E5236">
        <f t="shared" si="162"/>
        <v>5</v>
      </c>
      <c r="F5236">
        <f t="shared" si="163"/>
        <v>2020</v>
      </c>
    </row>
    <row r="5237" spans="1:6" x14ac:dyDescent="0.2">
      <c r="A5237" s="20">
        <v>43978</v>
      </c>
      <c r="B5237">
        <v>167.25</v>
      </c>
      <c r="E5237">
        <f t="shared" si="162"/>
        <v>5</v>
      </c>
      <c r="F5237">
        <f t="shared" si="163"/>
        <v>2020</v>
      </c>
    </row>
    <row r="5238" spans="1:6" x14ac:dyDescent="0.2">
      <c r="A5238" s="20">
        <v>43979</v>
      </c>
      <c r="B5238">
        <v>167.5</v>
      </c>
      <c r="E5238">
        <f t="shared" si="162"/>
        <v>5</v>
      </c>
      <c r="F5238">
        <f t="shared" si="163"/>
        <v>2020</v>
      </c>
    </row>
    <row r="5239" spans="1:6" x14ac:dyDescent="0.2">
      <c r="A5239" s="20">
        <v>43980</v>
      </c>
      <c r="B5239">
        <v>167</v>
      </c>
      <c r="E5239">
        <f t="shared" si="162"/>
        <v>5</v>
      </c>
      <c r="F5239">
        <f t="shared" si="163"/>
        <v>2020</v>
      </c>
    </row>
    <row r="5240" spans="1:6" x14ac:dyDescent="0.2">
      <c r="A5240" s="20">
        <v>43983</v>
      </c>
      <c r="B5240">
        <v>168.5</v>
      </c>
      <c r="E5240">
        <f t="shared" si="162"/>
        <v>6</v>
      </c>
      <c r="F5240">
        <f t="shared" si="163"/>
        <v>2020</v>
      </c>
    </row>
    <row r="5241" spans="1:6" x14ac:dyDescent="0.2">
      <c r="A5241" s="20">
        <v>43984</v>
      </c>
      <c r="B5241">
        <v>171</v>
      </c>
      <c r="E5241">
        <f t="shared" si="162"/>
        <v>6</v>
      </c>
      <c r="F5241">
        <f t="shared" si="163"/>
        <v>2020</v>
      </c>
    </row>
    <row r="5242" spans="1:6" x14ac:dyDescent="0.2">
      <c r="A5242" s="20">
        <v>43985</v>
      </c>
      <c r="B5242">
        <v>170</v>
      </c>
      <c r="E5242">
        <f t="shared" si="162"/>
        <v>6</v>
      </c>
      <c r="F5242">
        <f t="shared" si="163"/>
        <v>2020</v>
      </c>
    </row>
    <row r="5243" spans="1:6" x14ac:dyDescent="0.2">
      <c r="A5243" s="20">
        <v>43986</v>
      </c>
      <c r="B5243">
        <v>170</v>
      </c>
      <c r="E5243">
        <f t="shared" si="162"/>
        <v>6</v>
      </c>
      <c r="F5243">
        <f t="shared" si="163"/>
        <v>2020</v>
      </c>
    </row>
    <row r="5244" spans="1:6" x14ac:dyDescent="0.2">
      <c r="A5244" s="20">
        <v>43987</v>
      </c>
      <c r="B5244">
        <v>167</v>
      </c>
      <c r="E5244">
        <f t="shared" si="162"/>
        <v>6</v>
      </c>
      <c r="F5244">
        <f t="shared" si="163"/>
        <v>2020</v>
      </c>
    </row>
    <row r="5245" spans="1:6" x14ac:dyDescent="0.2">
      <c r="A5245" s="20">
        <v>43990</v>
      </c>
      <c r="B5245">
        <v>169.75</v>
      </c>
      <c r="E5245">
        <f t="shared" si="162"/>
        <v>6</v>
      </c>
      <c r="F5245">
        <f t="shared" si="163"/>
        <v>2020</v>
      </c>
    </row>
    <row r="5246" spans="1:6" x14ac:dyDescent="0.2">
      <c r="A5246" s="20">
        <v>43991</v>
      </c>
      <c r="B5246">
        <v>169.25</v>
      </c>
      <c r="E5246">
        <f t="shared" si="162"/>
        <v>6</v>
      </c>
      <c r="F5246">
        <f t="shared" si="163"/>
        <v>2020</v>
      </c>
    </row>
    <row r="5247" spans="1:6" x14ac:dyDescent="0.2">
      <c r="A5247" s="20">
        <v>43992</v>
      </c>
      <c r="B5247">
        <v>168.5</v>
      </c>
      <c r="E5247">
        <f t="shared" si="162"/>
        <v>6</v>
      </c>
      <c r="F5247">
        <f t="shared" si="163"/>
        <v>2020</v>
      </c>
    </row>
    <row r="5248" spans="1:6" x14ac:dyDescent="0.2">
      <c r="A5248" s="20">
        <v>43993</v>
      </c>
      <c r="B5248">
        <v>168.25</v>
      </c>
      <c r="E5248">
        <f t="shared" si="162"/>
        <v>6</v>
      </c>
      <c r="F5248">
        <f t="shared" si="163"/>
        <v>2020</v>
      </c>
    </row>
    <row r="5249" spans="1:6" x14ac:dyDescent="0.2">
      <c r="A5249" s="20">
        <v>43994</v>
      </c>
      <c r="B5249">
        <v>166.75</v>
      </c>
      <c r="E5249">
        <f t="shared" si="162"/>
        <v>6</v>
      </c>
      <c r="F5249">
        <f t="shared" si="163"/>
        <v>2020</v>
      </c>
    </row>
    <row r="5250" spans="1:6" x14ac:dyDescent="0.2">
      <c r="A5250" s="20">
        <v>43997</v>
      </c>
      <c r="B5250">
        <v>165.25</v>
      </c>
      <c r="E5250">
        <f t="shared" si="162"/>
        <v>6</v>
      </c>
      <c r="F5250">
        <f t="shared" si="163"/>
        <v>2020</v>
      </c>
    </row>
    <row r="5251" spans="1:6" x14ac:dyDescent="0.2">
      <c r="A5251" s="20">
        <v>43998</v>
      </c>
      <c r="B5251">
        <v>165.5</v>
      </c>
      <c r="E5251">
        <f t="shared" ref="E5251:E5314" si="164">MONTH(A5251)</f>
        <v>6</v>
      </c>
      <c r="F5251">
        <f t="shared" ref="F5251:F5314" si="165">YEAR(A5251)</f>
        <v>2020</v>
      </c>
    </row>
    <row r="5252" spans="1:6" x14ac:dyDescent="0.2">
      <c r="A5252" s="20">
        <v>43999</v>
      </c>
      <c r="B5252">
        <v>165.75</v>
      </c>
      <c r="E5252">
        <f t="shared" si="164"/>
        <v>6</v>
      </c>
      <c r="F5252">
        <f t="shared" si="165"/>
        <v>2020</v>
      </c>
    </row>
    <row r="5253" spans="1:6" x14ac:dyDescent="0.2">
      <c r="A5253" s="20">
        <v>44000</v>
      </c>
      <c r="B5253">
        <v>166</v>
      </c>
      <c r="E5253">
        <f t="shared" si="164"/>
        <v>6</v>
      </c>
      <c r="F5253">
        <f t="shared" si="165"/>
        <v>2020</v>
      </c>
    </row>
    <row r="5254" spans="1:6" x14ac:dyDescent="0.2">
      <c r="A5254" s="20">
        <v>44001</v>
      </c>
      <c r="B5254">
        <v>166.25</v>
      </c>
      <c r="E5254">
        <f t="shared" si="164"/>
        <v>6</v>
      </c>
      <c r="F5254">
        <f t="shared" si="165"/>
        <v>2020</v>
      </c>
    </row>
    <row r="5255" spans="1:6" x14ac:dyDescent="0.2">
      <c r="A5255" s="20">
        <v>44004</v>
      </c>
      <c r="B5255">
        <v>166</v>
      </c>
      <c r="E5255">
        <f t="shared" si="164"/>
        <v>6</v>
      </c>
      <c r="F5255">
        <f t="shared" si="165"/>
        <v>2020</v>
      </c>
    </row>
    <row r="5256" spans="1:6" x14ac:dyDescent="0.2">
      <c r="A5256" s="20">
        <v>44005</v>
      </c>
      <c r="B5256">
        <v>165.75</v>
      </c>
      <c r="E5256">
        <f t="shared" si="164"/>
        <v>6</v>
      </c>
      <c r="F5256">
        <f t="shared" si="165"/>
        <v>2020</v>
      </c>
    </row>
    <row r="5257" spans="1:6" x14ac:dyDescent="0.2">
      <c r="A5257" s="20">
        <v>44006</v>
      </c>
      <c r="B5257">
        <v>165.75</v>
      </c>
      <c r="E5257">
        <f t="shared" si="164"/>
        <v>6</v>
      </c>
      <c r="F5257">
        <f t="shared" si="165"/>
        <v>2020</v>
      </c>
    </row>
    <row r="5258" spans="1:6" x14ac:dyDescent="0.2">
      <c r="A5258" s="20">
        <v>44007</v>
      </c>
      <c r="B5258">
        <v>165.75</v>
      </c>
      <c r="E5258">
        <f t="shared" si="164"/>
        <v>6</v>
      </c>
      <c r="F5258">
        <f t="shared" si="165"/>
        <v>2020</v>
      </c>
    </row>
    <row r="5259" spans="1:6" x14ac:dyDescent="0.2">
      <c r="A5259" s="20">
        <v>44008</v>
      </c>
      <c r="B5259">
        <v>165.5</v>
      </c>
      <c r="E5259">
        <f t="shared" si="164"/>
        <v>6</v>
      </c>
      <c r="F5259">
        <f t="shared" si="165"/>
        <v>2020</v>
      </c>
    </row>
    <row r="5260" spans="1:6" x14ac:dyDescent="0.2">
      <c r="A5260" s="20">
        <v>44011</v>
      </c>
      <c r="B5260">
        <v>166</v>
      </c>
      <c r="E5260">
        <f t="shared" si="164"/>
        <v>6</v>
      </c>
      <c r="F5260">
        <f t="shared" si="165"/>
        <v>2020</v>
      </c>
    </row>
    <row r="5261" spans="1:6" x14ac:dyDescent="0.2">
      <c r="A5261" s="20">
        <v>44012</v>
      </c>
      <c r="B5261">
        <v>167.5</v>
      </c>
      <c r="E5261">
        <f t="shared" si="164"/>
        <v>6</v>
      </c>
      <c r="F5261">
        <f t="shared" si="165"/>
        <v>2020</v>
      </c>
    </row>
    <row r="5262" spans="1:6" x14ac:dyDescent="0.2">
      <c r="A5262" s="20">
        <v>44013</v>
      </c>
      <c r="B5262">
        <v>168.5</v>
      </c>
      <c r="E5262">
        <f t="shared" si="164"/>
        <v>7</v>
      </c>
      <c r="F5262">
        <f t="shared" si="165"/>
        <v>2020</v>
      </c>
    </row>
    <row r="5263" spans="1:6" x14ac:dyDescent="0.2">
      <c r="A5263" s="20">
        <v>44014</v>
      </c>
      <c r="B5263">
        <v>167.75</v>
      </c>
      <c r="E5263">
        <f t="shared" si="164"/>
        <v>7</v>
      </c>
      <c r="F5263">
        <f t="shared" si="165"/>
        <v>2020</v>
      </c>
    </row>
    <row r="5264" spans="1:6" x14ac:dyDescent="0.2">
      <c r="A5264" s="20">
        <v>44015</v>
      </c>
      <c r="B5264">
        <v>168.25</v>
      </c>
      <c r="E5264">
        <f t="shared" si="164"/>
        <v>7</v>
      </c>
      <c r="F5264">
        <f t="shared" si="165"/>
        <v>2020</v>
      </c>
    </row>
    <row r="5265" spans="1:6" x14ac:dyDescent="0.2">
      <c r="A5265" s="20">
        <v>44018</v>
      </c>
      <c r="B5265">
        <v>169.5</v>
      </c>
      <c r="E5265">
        <f t="shared" si="164"/>
        <v>7</v>
      </c>
      <c r="F5265">
        <f t="shared" si="165"/>
        <v>2020</v>
      </c>
    </row>
    <row r="5266" spans="1:6" x14ac:dyDescent="0.2">
      <c r="A5266" s="20">
        <v>44019</v>
      </c>
      <c r="B5266">
        <v>171.75</v>
      </c>
      <c r="E5266">
        <f t="shared" si="164"/>
        <v>7</v>
      </c>
      <c r="F5266">
        <f t="shared" si="165"/>
        <v>2020</v>
      </c>
    </row>
    <row r="5267" spans="1:6" x14ac:dyDescent="0.2">
      <c r="A5267" s="20">
        <v>44020</v>
      </c>
      <c r="B5267">
        <v>173.75</v>
      </c>
      <c r="E5267">
        <f t="shared" si="164"/>
        <v>7</v>
      </c>
      <c r="F5267">
        <f t="shared" si="165"/>
        <v>2020</v>
      </c>
    </row>
    <row r="5268" spans="1:6" x14ac:dyDescent="0.2">
      <c r="A5268" s="20">
        <v>44021</v>
      </c>
      <c r="B5268">
        <v>175.75</v>
      </c>
      <c r="E5268">
        <f t="shared" si="164"/>
        <v>7</v>
      </c>
      <c r="F5268">
        <f t="shared" si="165"/>
        <v>2020</v>
      </c>
    </row>
    <row r="5269" spans="1:6" x14ac:dyDescent="0.2">
      <c r="A5269" s="20">
        <v>44022</v>
      </c>
      <c r="B5269">
        <v>176.75</v>
      </c>
      <c r="E5269">
        <f t="shared" si="164"/>
        <v>7</v>
      </c>
      <c r="F5269">
        <f t="shared" si="165"/>
        <v>2020</v>
      </c>
    </row>
    <row r="5270" spans="1:6" x14ac:dyDescent="0.2">
      <c r="A5270" s="20">
        <v>44025</v>
      </c>
      <c r="B5270">
        <v>177.5</v>
      </c>
      <c r="E5270">
        <f t="shared" si="164"/>
        <v>7</v>
      </c>
      <c r="F5270">
        <f t="shared" si="165"/>
        <v>2020</v>
      </c>
    </row>
    <row r="5271" spans="1:6" x14ac:dyDescent="0.2">
      <c r="A5271" s="20">
        <v>44026</v>
      </c>
      <c r="B5271">
        <v>181</v>
      </c>
      <c r="E5271">
        <f t="shared" si="164"/>
        <v>7</v>
      </c>
      <c r="F5271">
        <f t="shared" si="165"/>
        <v>2020</v>
      </c>
    </row>
    <row r="5272" spans="1:6" x14ac:dyDescent="0.2">
      <c r="A5272" s="20">
        <v>44027</v>
      </c>
      <c r="B5272">
        <v>175</v>
      </c>
      <c r="E5272">
        <f t="shared" si="164"/>
        <v>7</v>
      </c>
      <c r="F5272">
        <f t="shared" si="165"/>
        <v>2020</v>
      </c>
    </row>
    <row r="5273" spans="1:6" x14ac:dyDescent="0.2">
      <c r="A5273" s="20">
        <v>44028</v>
      </c>
      <c r="B5273">
        <v>173.75</v>
      </c>
      <c r="E5273">
        <f t="shared" si="164"/>
        <v>7</v>
      </c>
      <c r="F5273">
        <f t="shared" si="165"/>
        <v>2020</v>
      </c>
    </row>
    <row r="5274" spans="1:6" x14ac:dyDescent="0.2">
      <c r="A5274" s="20">
        <v>44029</v>
      </c>
      <c r="B5274">
        <v>174.5</v>
      </c>
      <c r="E5274">
        <f t="shared" si="164"/>
        <v>7</v>
      </c>
      <c r="F5274">
        <f t="shared" si="165"/>
        <v>2020</v>
      </c>
    </row>
    <row r="5275" spans="1:6" x14ac:dyDescent="0.2">
      <c r="A5275" s="20">
        <v>44032</v>
      </c>
      <c r="B5275">
        <v>171.25</v>
      </c>
      <c r="E5275">
        <f t="shared" si="164"/>
        <v>7</v>
      </c>
      <c r="F5275">
        <f t="shared" si="165"/>
        <v>2020</v>
      </c>
    </row>
    <row r="5276" spans="1:6" x14ac:dyDescent="0.2">
      <c r="A5276" s="20">
        <v>44033</v>
      </c>
      <c r="B5276">
        <v>172</v>
      </c>
      <c r="E5276">
        <f t="shared" si="164"/>
        <v>7</v>
      </c>
      <c r="F5276">
        <f t="shared" si="165"/>
        <v>2020</v>
      </c>
    </row>
    <row r="5277" spans="1:6" x14ac:dyDescent="0.2">
      <c r="A5277" s="20">
        <v>44034</v>
      </c>
      <c r="B5277">
        <v>173.75</v>
      </c>
      <c r="E5277">
        <f t="shared" si="164"/>
        <v>7</v>
      </c>
      <c r="F5277">
        <f t="shared" si="165"/>
        <v>2020</v>
      </c>
    </row>
    <row r="5278" spans="1:6" x14ac:dyDescent="0.2">
      <c r="A5278" s="20">
        <v>44035</v>
      </c>
      <c r="B5278">
        <v>174.75</v>
      </c>
      <c r="E5278">
        <f t="shared" si="164"/>
        <v>7</v>
      </c>
      <c r="F5278">
        <f t="shared" si="165"/>
        <v>2020</v>
      </c>
    </row>
    <row r="5279" spans="1:6" x14ac:dyDescent="0.2">
      <c r="A5279" s="20">
        <v>44036</v>
      </c>
      <c r="B5279">
        <v>174.5</v>
      </c>
      <c r="E5279">
        <f t="shared" si="164"/>
        <v>7</v>
      </c>
      <c r="F5279">
        <f t="shared" si="165"/>
        <v>2020</v>
      </c>
    </row>
    <row r="5280" spans="1:6" x14ac:dyDescent="0.2">
      <c r="A5280" s="20">
        <v>44039</v>
      </c>
      <c r="B5280">
        <v>172.5</v>
      </c>
      <c r="E5280">
        <f t="shared" si="164"/>
        <v>7</v>
      </c>
      <c r="F5280">
        <f t="shared" si="165"/>
        <v>2020</v>
      </c>
    </row>
    <row r="5281" spans="1:6" x14ac:dyDescent="0.2">
      <c r="A5281" s="20">
        <v>44040</v>
      </c>
      <c r="B5281">
        <v>172</v>
      </c>
      <c r="E5281">
        <f t="shared" si="164"/>
        <v>7</v>
      </c>
      <c r="F5281">
        <f t="shared" si="165"/>
        <v>2020</v>
      </c>
    </row>
    <row r="5282" spans="1:6" x14ac:dyDescent="0.2">
      <c r="A5282" s="20">
        <v>44041</v>
      </c>
      <c r="B5282">
        <v>172.25</v>
      </c>
      <c r="E5282">
        <f t="shared" si="164"/>
        <v>7</v>
      </c>
      <c r="F5282">
        <f t="shared" si="165"/>
        <v>2020</v>
      </c>
    </row>
    <row r="5283" spans="1:6" x14ac:dyDescent="0.2">
      <c r="A5283" s="20">
        <v>44042</v>
      </c>
      <c r="B5283">
        <v>176.25</v>
      </c>
      <c r="E5283">
        <f t="shared" si="164"/>
        <v>7</v>
      </c>
      <c r="F5283">
        <f t="shared" si="165"/>
        <v>2020</v>
      </c>
    </row>
    <row r="5284" spans="1:6" x14ac:dyDescent="0.2">
      <c r="A5284" s="20">
        <v>44043</v>
      </c>
      <c r="B5284">
        <v>178</v>
      </c>
      <c r="E5284">
        <f t="shared" si="164"/>
        <v>7</v>
      </c>
      <c r="F5284">
        <f t="shared" si="165"/>
        <v>2020</v>
      </c>
    </row>
    <row r="5285" spans="1:6" x14ac:dyDescent="0.2">
      <c r="A5285" s="20">
        <v>44046</v>
      </c>
      <c r="B5285">
        <v>182</v>
      </c>
      <c r="E5285">
        <f t="shared" si="164"/>
        <v>8</v>
      </c>
      <c r="F5285">
        <f t="shared" si="165"/>
        <v>2020</v>
      </c>
    </row>
    <row r="5286" spans="1:6" x14ac:dyDescent="0.2">
      <c r="A5286" s="20">
        <v>44047</v>
      </c>
      <c r="B5286">
        <v>180</v>
      </c>
      <c r="E5286">
        <f t="shared" si="164"/>
        <v>8</v>
      </c>
      <c r="F5286">
        <f t="shared" si="165"/>
        <v>2020</v>
      </c>
    </row>
    <row r="5287" spans="1:6" x14ac:dyDescent="0.2">
      <c r="A5287" s="20">
        <v>44048</v>
      </c>
      <c r="B5287" t="s">
        <v>49</v>
      </c>
      <c r="E5287">
        <f t="shared" si="164"/>
        <v>8</v>
      </c>
      <c r="F5287">
        <f t="shared" si="165"/>
        <v>2020</v>
      </c>
    </row>
    <row r="5288" spans="1:6" x14ac:dyDescent="0.2">
      <c r="A5288" s="20">
        <v>44049</v>
      </c>
      <c r="B5288">
        <v>164.75</v>
      </c>
      <c r="E5288">
        <f t="shared" si="164"/>
        <v>8</v>
      </c>
      <c r="F5288">
        <f t="shared" si="165"/>
        <v>2020</v>
      </c>
    </row>
    <row r="5289" spans="1:6" x14ac:dyDescent="0.2">
      <c r="A5289" s="20">
        <v>44050</v>
      </c>
      <c r="B5289">
        <v>164.5</v>
      </c>
      <c r="E5289">
        <f t="shared" si="164"/>
        <v>8</v>
      </c>
      <c r="F5289">
        <f t="shared" si="165"/>
        <v>2020</v>
      </c>
    </row>
    <row r="5290" spans="1:6" x14ac:dyDescent="0.2">
      <c r="A5290" s="20">
        <v>44053</v>
      </c>
      <c r="B5290">
        <v>163.5</v>
      </c>
      <c r="E5290">
        <f t="shared" si="164"/>
        <v>8</v>
      </c>
      <c r="F5290">
        <f t="shared" si="165"/>
        <v>2020</v>
      </c>
    </row>
    <row r="5291" spans="1:6" x14ac:dyDescent="0.2">
      <c r="A5291" s="20">
        <v>44054</v>
      </c>
      <c r="B5291">
        <v>163.5</v>
      </c>
      <c r="E5291">
        <f t="shared" si="164"/>
        <v>8</v>
      </c>
      <c r="F5291">
        <f t="shared" si="165"/>
        <v>2020</v>
      </c>
    </row>
    <row r="5292" spans="1:6" x14ac:dyDescent="0.2">
      <c r="A5292" s="20">
        <v>44055</v>
      </c>
      <c r="B5292">
        <v>163.75</v>
      </c>
      <c r="E5292">
        <f t="shared" si="164"/>
        <v>8</v>
      </c>
      <c r="F5292">
        <f t="shared" si="165"/>
        <v>2020</v>
      </c>
    </row>
    <row r="5293" spans="1:6" x14ac:dyDescent="0.2">
      <c r="A5293" s="20">
        <v>44056</v>
      </c>
      <c r="B5293">
        <v>164</v>
      </c>
      <c r="E5293">
        <f t="shared" si="164"/>
        <v>8</v>
      </c>
      <c r="F5293">
        <f t="shared" si="165"/>
        <v>2020</v>
      </c>
    </row>
    <row r="5294" spans="1:6" x14ac:dyDescent="0.2">
      <c r="A5294" s="20">
        <v>44057</v>
      </c>
      <c r="B5294">
        <v>164.5</v>
      </c>
      <c r="E5294">
        <f t="shared" si="164"/>
        <v>8</v>
      </c>
      <c r="F5294">
        <f t="shared" si="165"/>
        <v>2020</v>
      </c>
    </row>
    <row r="5295" spans="1:6" x14ac:dyDescent="0.2">
      <c r="A5295" s="20">
        <v>44060</v>
      </c>
      <c r="B5295">
        <v>166</v>
      </c>
      <c r="E5295">
        <f t="shared" si="164"/>
        <v>8</v>
      </c>
      <c r="F5295">
        <f t="shared" si="165"/>
        <v>2020</v>
      </c>
    </row>
    <row r="5296" spans="1:6" x14ac:dyDescent="0.2">
      <c r="A5296" s="20">
        <v>44061</v>
      </c>
      <c r="B5296">
        <v>165.5</v>
      </c>
      <c r="E5296">
        <f t="shared" si="164"/>
        <v>8</v>
      </c>
      <c r="F5296">
        <f t="shared" si="165"/>
        <v>2020</v>
      </c>
    </row>
    <row r="5297" spans="1:6" x14ac:dyDescent="0.2">
      <c r="A5297" s="20">
        <v>44062</v>
      </c>
      <c r="B5297">
        <v>166</v>
      </c>
      <c r="E5297">
        <f t="shared" si="164"/>
        <v>8</v>
      </c>
      <c r="F5297">
        <f t="shared" si="165"/>
        <v>2020</v>
      </c>
    </row>
    <row r="5298" spans="1:6" x14ac:dyDescent="0.2">
      <c r="A5298" s="20">
        <v>44063</v>
      </c>
      <c r="B5298">
        <v>166</v>
      </c>
      <c r="E5298">
        <f t="shared" si="164"/>
        <v>8</v>
      </c>
      <c r="F5298">
        <f t="shared" si="165"/>
        <v>2020</v>
      </c>
    </row>
    <row r="5299" spans="1:6" x14ac:dyDescent="0.2">
      <c r="A5299" s="20">
        <v>44064</v>
      </c>
      <c r="B5299">
        <v>167</v>
      </c>
      <c r="E5299">
        <f t="shared" si="164"/>
        <v>8</v>
      </c>
      <c r="F5299">
        <f t="shared" si="165"/>
        <v>2020</v>
      </c>
    </row>
    <row r="5300" spans="1:6" x14ac:dyDescent="0.2">
      <c r="A5300" s="20">
        <v>44067</v>
      </c>
      <c r="B5300">
        <v>166.25</v>
      </c>
      <c r="E5300">
        <f t="shared" si="164"/>
        <v>8</v>
      </c>
      <c r="F5300">
        <f t="shared" si="165"/>
        <v>2020</v>
      </c>
    </row>
    <row r="5301" spans="1:6" x14ac:dyDescent="0.2">
      <c r="A5301" s="20">
        <v>44068</v>
      </c>
      <c r="B5301">
        <v>167.5</v>
      </c>
      <c r="E5301">
        <f t="shared" si="164"/>
        <v>8</v>
      </c>
      <c r="F5301">
        <f t="shared" si="165"/>
        <v>2020</v>
      </c>
    </row>
    <row r="5302" spans="1:6" x14ac:dyDescent="0.2">
      <c r="A5302" s="20">
        <v>44069</v>
      </c>
      <c r="B5302">
        <v>167.5</v>
      </c>
      <c r="E5302">
        <f t="shared" si="164"/>
        <v>8</v>
      </c>
      <c r="F5302">
        <f t="shared" si="165"/>
        <v>2020</v>
      </c>
    </row>
    <row r="5303" spans="1:6" x14ac:dyDescent="0.2">
      <c r="A5303" s="20">
        <v>44070</v>
      </c>
      <c r="B5303">
        <v>168.5</v>
      </c>
      <c r="E5303">
        <f t="shared" si="164"/>
        <v>8</v>
      </c>
      <c r="F5303">
        <f t="shared" si="165"/>
        <v>2020</v>
      </c>
    </row>
    <row r="5304" spans="1:6" x14ac:dyDescent="0.2">
      <c r="A5304" s="20">
        <v>44071</v>
      </c>
      <c r="B5304">
        <v>168</v>
      </c>
      <c r="E5304">
        <f t="shared" si="164"/>
        <v>8</v>
      </c>
      <c r="F5304">
        <f t="shared" si="165"/>
        <v>2020</v>
      </c>
    </row>
    <row r="5305" spans="1:6" x14ac:dyDescent="0.2">
      <c r="A5305" s="20">
        <v>44074</v>
      </c>
      <c r="B5305">
        <v>167</v>
      </c>
      <c r="E5305">
        <f t="shared" si="164"/>
        <v>8</v>
      </c>
      <c r="F5305">
        <f t="shared" si="165"/>
        <v>2020</v>
      </c>
    </row>
    <row r="5306" spans="1:6" x14ac:dyDescent="0.2">
      <c r="A5306" s="20">
        <v>44075</v>
      </c>
      <c r="B5306">
        <v>168</v>
      </c>
      <c r="E5306">
        <f t="shared" si="164"/>
        <v>9</v>
      </c>
      <c r="F5306">
        <f t="shared" si="165"/>
        <v>2020</v>
      </c>
    </row>
    <row r="5307" spans="1:6" x14ac:dyDescent="0.2">
      <c r="A5307" s="20">
        <v>44076</v>
      </c>
      <c r="B5307">
        <v>167.5</v>
      </c>
      <c r="E5307">
        <f t="shared" si="164"/>
        <v>9</v>
      </c>
      <c r="F5307">
        <f t="shared" si="165"/>
        <v>2020</v>
      </c>
    </row>
    <row r="5308" spans="1:6" x14ac:dyDescent="0.2">
      <c r="A5308" s="20">
        <v>44077</v>
      </c>
      <c r="B5308">
        <v>166.75</v>
      </c>
      <c r="E5308">
        <f t="shared" si="164"/>
        <v>9</v>
      </c>
      <c r="F5308">
        <f t="shared" si="165"/>
        <v>2020</v>
      </c>
    </row>
    <row r="5309" spans="1:6" x14ac:dyDescent="0.2">
      <c r="A5309" s="20">
        <v>44078</v>
      </c>
      <c r="B5309">
        <v>166.5</v>
      </c>
      <c r="E5309">
        <f t="shared" si="164"/>
        <v>9</v>
      </c>
      <c r="F5309">
        <f t="shared" si="165"/>
        <v>2020</v>
      </c>
    </row>
    <row r="5310" spans="1:6" x14ac:dyDescent="0.2">
      <c r="A5310" s="20">
        <v>44081</v>
      </c>
      <c r="B5310">
        <v>166.75</v>
      </c>
      <c r="E5310">
        <f t="shared" si="164"/>
        <v>9</v>
      </c>
      <c r="F5310">
        <f t="shared" si="165"/>
        <v>2020</v>
      </c>
    </row>
    <row r="5311" spans="1:6" x14ac:dyDescent="0.2">
      <c r="A5311" s="20">
        <v>44082</v>
      </c>
      <c r="B5311">
        <v>166.5</v>
      </c>
      <c r="E5311">
        <f t="shared" si="164"/>
        <v>9</v>
      </c>
      <c r="F5311">
        <f t="shared" si="165"/>
        <v>2020</v>
      </c>
    </row>
    <row r="5312" spans="1:6" x14ac:dyDescent="0.2">
      <c r="A5312" s="20">
        <v>44083</v>
      </c>
      <c r="B5312">
        <v>166.75</v>
      </c>
      <c r="E5312">
        <f t="shared" si="164"/>
        <v>9</v>
      </c>
      <c r="F5312">
        <f t="shared" si="165"/>
        <v>2020</v>
      </c>
    </row>
    <row r="5313" spans="1:6" x14ac:dyDescent="0.2">
      <c r="A5313" s="20">
        <v>44084</v>
      </c>
      <c r="B5313">
        <v>168</v>
      </c>
      <c r="E5313">
        <f t="shared" si="164"/>
        <v>9</v>
      </c>
      <c r="F5313">
        <f t="shared" si="165"/>
        <v>2020</v>
      </c>
    </row>
    <row r="5314" spans="1:6" x14ac:dyDescent="0.2">
      <c r="A5314" s="20">
        <v>44085</v>
      </c>
      <c r="B5314">
        <v>168.25</v>
      </c>
      <c r="E5314">
        <f t="shared" si="164"/>
        <v>9</v>
      </c>
      <c r="F5314">
        <f t="shared" si="165"/>
        <v>2020</v>
      </c>
    </row>
    <row r="5315" spans="1:6" x14ac:dyDescent="0.2">
      <c r="A5315" s="20">
        <v>44088</v>
      </c>
      <c r="B5315">
        <v>167.75</v>
      </c>
      <c r="E5315">
        <f t="shared" ref="E5315:E5378" si="166">MONTH(A5315)</f>
        <v>9</v>
      </c>
      <c r="F5315">
        <f t="shared" ref="F5315:F5378" si="167">YEAR(A5315)</f>
        <v>2020</v>
      </c>
    </row>
    <row r="5316" spans="1:6" x14ac:dyDescent="0.2">
      <c r="A5316" s="20">
        <v>44089</v>
      </c>
      <c r="B5316">
        <v>167.75</v>
      </c>
      <c r="E5316">
        <f t="shared" si="166"/>
        <v>9</v>
      </c>
      <c r="F5316">
        <f t="shared" si="167"/>
        <v>2020</v>
      </c>
    </row>
    <row r="5317" spans="1:6" x14ac:dyDescent="0.2">
      <c r="A5317" s="20">
        <v>44090</v>
      </c>
      <c r="B5317">
        <v>168.75</v>
      </c>
      <c r="E5317">
        <f t="shared" si="166"/>
        <v>9</v>
      </c>
      <c r="F5317">
        <f t="shared" si="167"/>
        <v>2020</v>
      </c>
    </row>
    <row r="5318" spans="1:6" x14ac:dyDescent="0.2">
      <c r="A5318" s="20">
        <v>44091</v>
      </c>
      <c r="B5318">
        <v>171.25</v>
      </c>
      <c r="E5318">
        <f t="shared" si="166"/>
        <v>9</v>
      </c>
      <c r="F5318">
        <f t="shared" si="167"/>
        <v>2020</v>
      </c>
    </row>
    <row r="5319" spans="1:6" x14ac:dyDescent="0.2">
      <c r="A5319" s="20">
        <v>44092</v>
      </c>
      <c r="B5319">
        <v>171.5</v>
      </c>
      <c r="E5319">
        <f t="shared" si="166"/>
        <v>9</v>
      </c>
      <c r="F5319">
        <f t="shared" si="167"/>
        <v>2020</v>
      </c>
    </row>
    <row r="5320" spans="1:6" x14ac:dyDescent="0.2">
      <c r="A5320" s="20">
        <v>44095</v>
      </c>
      <c r="B5320">
        <v>170</v>
      </c>
      <c r="E5320">
        <f t="shared" si="166"/>
        <v>9</v>
      </c>
      <c r="F5320">
        <f t="shared" si="167"/>
        <v>2020</v>
      </c>
    </row>
    <row r="5321" spans="1:6" x14ac:dyDescent="0.2">
      <c r="A5321" s="20">
        <v>44096</v>
      </c>
      <c r="B5321">
        <v>171.25</v>
      </c>
      <c r="E5321">
        <f t="shared" si="166"/>
        <v>9</v>
      </c>
      <c r="F5321">
        <f t="shared" si="167"/>
        <v>2020</v>
      </c>
    </row>
    <row r="5322" spans="1:6" x14ac:dyDescent="0.2">
      <c r="A5322" s="20">
        <v>44097</v>
      </c>
      <c r="B5322">
        <v>172</v>
      </c>
      <c r="E5322">
        <f t="shared" si="166"/>
        <v>9</v>
      </c>
      <c r="F5322">
        <f t="shared" si="167"/>
        <v>2020</v>
      </c>
    </row>
    <row r="5323" spans="1:6" x14ac:dyDescent="0.2">
      <c r="A5323" s="20">
        <v>44098</v>
      </c>
      <c r="B5323">
        <v>172</v>
      </c>
      <c r="E5323">
        <f t="shared" si="166"/>
        <v>9</v>
      </c>
      <c r="F5323">
        <f t="shared" si="167"/>
        <v>2020</v>
      </c>
    </row>
    <row r="5324" spans="1:6" x14ac:dyDescent="0.2">
      <c r="A5324" s="20">
        <v>44099</v>
      </c>
      <c r="B5324">
        <v>171</v>
      </c>
      <c r="E5324">
        <f t="shared" si="166"/>
        <v>9</v>
      </c>
      <c r="F5324">
        <f t="shared" si="167"/>
        <v>2020</v>
      </c>
    </row>
    <row r="5325" spans="1:6" x14ac:dyDescent="0.2">
      <c r="A5325" s="20">
        <v>44102</v>
      </c>
      <c r="B5325">
        <v>170</v>
      </c>
      <c r="E5325">
        <f t="shared" si="166"/>
        <v>9</v>
      </c>
      <c r="F5325">
        <f t="shared" si="167"/>
        <v>2020</v>
      </c>
    </row>
    <row r="5326" spans="1:6" x14ac:dyDescent="0.2">
      <c r="A5326" s="20">
        <v>44103</v>
      </c>
      <c r="B5326">
        <v>169.5</v>
      </c>
      <c r="E5326">
        <f t="shared" si="166"/>
        <v>9</v>
      </c>
      <c r="F5326">
        <f t="shared" si="167"/>
        <v>2020</v>
      </c>
    </row>
    <row r="5327" spans="1:6" x14ac:dyDescent="0.2">
      <c r="A5327" s="20">
        <v>44104</v>
      </c>
      <c r="B5327">
        <v>172.5</v>
      </c>
      <c r="E5327">
        <f t="shared" si="166"/>
        <v>9</v>
      </c>
      <c r="F5327">
        <f t="shared" si="167"/>
        <v>2020</v>
      </c>
    </row>
    <row r="5328" spans="1:6" x14ac:dyDescent="0.2">
      <c r="A5328" s="20">
        <v>44105</v>
      </c>
      <c r="B5328">
        <v>171.5</v>
      </c>
      <c r="E5328">
        <f t="shared" si="166"/>
        <v>10</v>
      </c>
      <c r="F5328">
        <f t="shared" si="167"/>
        <v>2020</v>
      </c>
    </row>
    <row r="5329" spans="1:6" x14ac:dyDescent="0.2">
      <c r="A5329" s="20">
        <v>44106</v>
      </c>
      <c r="B5329">
        <v>170.75</v>
      </c>
      <c r="E5329">
        <f t="shared" si="166"/>
        <v>10</v>
      </c>
      <c r="F5329">
        <f t="shared" si="167"/>
        <v>2020</v>
      </c>
    </row>
    <row r="5330" spans="1:6" x14ac:dyDescent="0.2">
      <c r="A5330" s="20">
        <v>44109</v>
      </c>
      <c r="B5330">
        <v>171.75</v>
      </c>
      <c r="E5330">
        <f t="shared" si="166"/>
        <v>10</v>
      </c>
      <c r="F5330">
        <f t="shared" si="167"/>
        <v>2020</v>
      </c>
    </row>
    <row r="5331" spans="1:6" x14ac:dyDescent="0.2">
      <c r="A5331" s="20">
        <v>44110</v>
      </c>
      <c r="B5331">
        <v>173.25</v>
      </c>
      <c r="E5331">
        <f t="shared" si="166"/>
        <v>10</v>
      </c>
      <c r="F5331">
        <f t="shared" si="167"/>
        <v>2020</v>
      </c>
    </row>
    <row r="5332" spans="1:6" x14ac:dyDescent="0.2">
      <c r="A5332" s="20">
        <v>44111</v>
      </c>
      <c r="B5332">
        <v>175.75</v>
      </c>
      <c r="E5332">
        <f t="shared" si="166"/>
        <v>10</v>
      </c>
      <c r="F5332">
        <f t="shared" si="167"/>
        <v>2020</v>
      </c>
    </row>
    <row r="5333" spans="1:6" x14ac:dyDescent="0.2">
      <c r="A5333" s="20">
        <v>44112</v>
      </c>
      <c r="B5333">
        <v>175.5</v>
      </c>
      <c r="E5333">
        <f t="shared" si="166"/>
        <v>10</v>
      </c>
      <c r="F5333">
        <f t="shared" si="167"/>
        <v>2020</v>
      </c>
    </row>
    <row r="5334" spans="1:6" x14ac:dyDescent="0.2">
      <c r="A5334" s="20">
        <v>44113</v>
      </c>
      <c r="B5334">
        <v>176.5</v>
      </c>
      <c r="E5334">
        <f t="shared" si="166"/>
        <v>10</v>
      </c>
      <c r="F5334">
        <f t="shared" si="167"/>
        <v>2020</v>
      </c>
    </row>
    <row r="5335" spans="1:6" x14ac:dyDescent="0.2">
      <c r="A5335" s="20">
        <v>44116</v>
      </c>
      <c r="B5335">
        <v>177</v>
      </c>
      <c r="E5335">
        <f t="shared" si="166"/>
        <v>10</v>
      </c>
      <c r="F5335">
        <f t="shared" si="167"/>
        <v>2020</v>
      </c>
    </row>
    <row r="5336" spans="1:6" x14ac:dyDescent="0.2">
      <c r="A5336" s="20">
        <v>44117</v>
      </c>
      <c r="B5336">
        <v>178</v>
      </c>
      <c r="E5336">
        <f t="shared" si="166"/>
        <v>10</v>
      </c>
      <c r="F5336">
        <f t="shared" si="167"/>
        <v>2020</v>
      </c>
    </row>
    <row r="5337" spans="1:6" x14ac:dyDescent="0.2">
      <c r="A5337" s="20">
        <v>44118</v>
      </c>
      <c r="B5337">
        <v>180.5</v>
      </c>
      <c r="E5337">
        <f t="shared" si="166"/>
        <v>10</v>
      </c>
      <c r="F5337">
        <f t="shared" si="167"/>
        <v>2020</v>
      </c>
    </row>
    <row r="5338" spans="1:6" x14ac:dyDescent="0.2">
      <c r="A5338" s="20">
        <v>44119</v>
      </c>
      <c r="B5338">
        <v>184.75</v>
      </c>
      <c r="E5338">
        <f t="shared" si="166"/>
        <v>10</v>
      </c>
      <c r="F5338">
        <f t="shared" si="167"/>
        <v>2020</v>
      </c>
    </row>
    <row r="5339" spans="1:6" x14ac:dyDescent="0.2">
      <c r="A5339" s="20">
        <v>44120</v>
      </c>
      <c r="B5339">
        <v>186.25</v>
      </c>
      <c r="E5339">
        <f t="shared" si="166"/>
        <v>10</v>
      </c>
      <c r="F5339">
        <f t="shared" si="167"/>
        <v>2020</v>
      </c>
    </row>
    <row r="5340" spans="1:6" x14ac:dyDescent="0.2">
      <c r="A5340" s="20">
        <v>44123</v>
      </c>
      <c r="B5340">
        <v>188.25</v>
      </c>
      <c r="E5340">
        <f t="shared" si="166"/>
        <v>10</v>
      </c>
      <c r="F5340">
        <f t="shared" si="167"/>
        <v>2020</v>
      </c>
    </row>
    <row r="5341" spans="1:6" x14ac:dyDescent="0.2">
      <c r="A5341" s="20">
        <v>44124</v>
      </c>
      <c r="B5341">
        <v>188.75</v>
      </c>
      <c r="E5341">
        <f t="shared" si="166"/>
        <v>10</v>
      </c>
      <c r="F5341">
        <f t="shared" si="167"/>
        <v>2020</v>
      </c>
    </row>
    <row r="5342" spans="1:6" x14ac:dyDescent="0.2">
      <c r="A5342" s="20">
        <v>44125</v>
      </c>
      <c r="B5342">
        <v>190.75</v>
      </c>
      <c r="E5342">
        <f t="shared" si="166"/>
        <v>10</v>
      </c>
      <c r="F5342">
        <f t="shared" si="167"/>
        <v>2020</v>
      </c>
    </row>
    <row r="5343" spans="1:6" x14ac:dyDescent="0.2">
      <c r="A5343" s="20">
        <v>44126</v>
      </c>
      <c r="B5343">
        <v>191.25</v>
      </c>
      <c r="E5343">
        <f t="shared" si="166"/>
        <v>10</v>
      </c>
      <c r="F5343">
        <f t="shared" si="167"/>
        <v>2020</v>
      </c>
    </row>
    <row r="5344" spans="1:6" x14ac:dyDescent="0.2">
      <c r="A5344" s="20">
        <v>44127</v>
      </c>
      <c r="B5344">
        <v>196.5</v>
      </c>
      <c r="E5344">
        <f t="shared" si="166"/>
        <v>10</v>
      </c>
      <c r="F5344">
        <f t="shared" si="167"/>
        <v>2020</v>
      </c>
    </row>
    <row r="5345" spans="1:6" x14ac:dyDescent="0.2">
      <c r="A5345" s="20">
        <v>44130</v>
      </c>
      <c r="B5345">
        <v>196.5</v>
      </c>
      <c r="E5345">
        <f t="shared" si="166"/>
        <v>10</v>
      </c>
      <c r="F5345">
        <f t="shared" si="167"/>
        <v>2020</v>
      </c>
    </row>
    <row r="5346" spans="1:6" x14ac:dyDescent="0.2">
      <c r="A5346" s="20">
        <v>44131</v>
      </c>
      <c r="B5346">
        <v>197.5</v>
      </c>
      <c r="E5346">
        <f t="shared" si="166"/>
        <v>10</v>
      </c>
      <c r="F5346">
        <f t="shared" si="167"/>
        <v>2020</v>
      </c>
    </row>
    <row r="5347" spans="1:6" x14ac:dyDescent="0.2">
      <c r="A5347" s="20">
        <v>44132</v>
      </c>
      <c r="B5347">
        <v>195.25</v>
      </c>
      <c r="E5347">
        <f t="shared" si="166"/>
        <v>10</v>
      </c>
      <c r="F5347">
        <f t="shared" si="167"/>
        <v>2020</v>
      </c>
    </row>
    <row r="5348" spans="1:6" x14ac:dyDescent="0.2">
      <c r="A5348" s="20">
        <v>44133</v>
      </c>
      <c r="B5348">
        <v>192</v>
      </c>
      <c r="E5348">
        <f t="shared" si="166"/>
        <v>10</v>
      </c>
      <c r="F5348">
        <f t="shared" si="167"/>
        <v>2020</v>
      </c>
    </row>
    <row r="5349" spans="1:6" x14ac:dyDescent="0.2">
      <c r="A5349" s="20">
        <v>44134</v>
      </c>
      <c r="B5349">
        <v>192.25</v>
      </c>
      <c r="E5349">
        <f t="shared" si="166"/>
        <v>10</v>
      </c>
      <c r="F5349">
        <f t="shared" si="167"/>
        <v>2020</v>
      </c>
    </row>
    <row r="5350" spans="1:6" x14ac:dyDescent="0.2">
      <c r="A5350" s="20">
        <v>44137</v>
      </c>
      <c r="B5350">
        <v>192.5</v>
      </c>
      <c r="E5350">
        <f t="shared" si="166"/>
        <v>11</v>
      </c>
      <c r="F5350">
        <f t="shared" si="167"/>
        <v>2020</v>
      </c>
    </row>
    <row r="5351" spans="1:6" x14ac:dyDescent="0.2">
      <c r="A5351" s="20">
        <v>44138</v>
      </c>
      <c r="B5351">
        <v>194</v>
      </c>
      <c r="E5351">
        <f t="shared" si="166"/>
        <v>11</v>
      </c>
      <c r="F5351">
        <f t="shared" si="167"/>
        <v>2020</v>
      </c>
    </row>
    <row r="5352" spans="1:6" x14ac:dyDescent="0.2">
      <c r="A5352" s="20">
        <v>44139</v>
      </c>
      <c r="B5352">
        <v>193</v>
      </c>
      <c r="E5352">
        <f t="shared" si="166"/>
        <v>11</v>
      </c>
      <c r="F5352">
        <f t="shared" si="167"/>
        <v>2020</v>
      </c>
    </row>
    <row r="5353" spans="1:6" x14ac:dyDescent="0.2">
      <c r="A5353" s="20">
        <v>44140</v>
      </c>
      <c r="B5353">
        <v>190</v>
      </c>
      <c r="E5353">
        <f t="shared" si="166"/>
        <v>11</v>
      </c>
      <c r="F5353">
        <f t="shared" si="167"/>
        <v>2020</v>
      </c>
    </row>
    <row r="5354" spans="1:6" x14ac:dyDescent="0.2">
      <c r="A5354" s="20">
        <v>44141</v>
      </c>
      <c r="B5354">
        <v>187.5</v>
      </c>
      <c r="E5354">
        <f t="shared" si="166"/>
        <v>11</v>
      </c>
      <c r="F5354">
        <f t="shared" si="167"/>
        <v>2020</v>
      </c>
    </row>
    <row r="5355" spans="1:6" x14ac:dyDescent="0.2">
      <c r="A5355" s="20">
        <v>44144</v>
      </c>
      <c r="B5355">
        <v>188.5</v>
      </c>
      <c r="E5355">
        <f t="shared" si="166"/>
        <v>11</v>
      </c>
      <c r="F5355">
        <f t="shared" si="167"/>
        <v>2020</v>
      </c>
    </row>
    <row r="5356" spans="1:6" x14ac:dyDescent="0.2">
      <c r="A5356" s="20">
        <v>44145</v>
      </c>
      <c r="B5356">
        <v>191.5</v>
      </c>
      <c r="E5356">
        <f t="shared" si="166"/>
        <v>11</v>
      </c>
      <c r="F5356">
        <f t="shared" si="167"/>
        <v>2020</v>
      </c>
    </row>
    <row r="5357" spans="1:6" x14ac:dyDescent="0.2">
      <c r="A5357" s="20">
        <v>44146</v>
      </c>
      <c r="B5357">
        <v>192.5</v>
      </c>
      <c r="E5357">
        <f t="shared" si="166"/>
        <v>11</v>
      </c>
      <c r="F5357">
        <f t="shared" si="167"/>
        <v>2020</v>
      </c>
    </row>
    <row r="5358" spans="1:6" x14ac:dyDescent="0.2">
      <c r="A5358" s="20">
        <v>44147</v>
      </c>
      <c r="B5358">
        <v>190.75</v>
      </c>
      <c r="E5358">
        <f t="shared" si="166"/>
        <v>11</v>
      </c>
      <c r="F5358">
        <f t="shared" si="167"/>
        <v>2020</v>
      </c>
    </row>
    <row r="5359" spans="1:6" x14ac:dyDescent="0.2">
      <c r="A5359" s="20">
        <v>44148</v>
      </c>
      <c r="B5359">
        <v>190</v>
      </c>
      <c r="E5359">
        <f t="shared" si="166"/>
        <v>11</v>
      </c>
      <c r="F5359">
        <f t="shared" si="167"/>
        <v>2020</v>
      </c>
    </row>
    <row r="5360" spans="1:6" x14ac:dyDescent="0.2">
      <c r="A5360" s="20">
        <v>44151</v>
      </c>
      <c r="B5360">
        <v>189.25</v>
      </c>
      <c r="E5360">
        <f t="shared" si="166"/>
        <v>11</v>
      </c>
      <c r="F5360">
        <f t="shared" si="167"/>
        <v>2020</v>
      </c>
    </row>
    <row r="5361" spans="1:6" x14ac:dyDescent="0.2">
      <c r="A5361" s="20">
        <v>44152</v>
      </c>
      <c r="B5361">
        <v>190.75</v>
      </c>
      <c r="E5361">
        <f t="shared" si="166"/>
        <v>11</v>
      </c>
      <c r="F5361">
        <f t="shared" si="167"/>
        <v>2020</v>
      </c>
    </row>
    <row r="5362" spans="1:6" x14ac:dyDescent="0.2">
      <c r="A5362" s="20">
        <v>44153</v>
      </c>
      <c r="B5362">
        <v>192.5</v>
      </c>
      <c r="E5362">
        <f t="shared" si="166"/>
        <v>11</v>
      </c>
      <c r="F5362">
        <f t="shared" si="167"/>
        <v>2020</v>
      </c>
    </row>
    <row r="5363" spans="1:6" x14ac:dyDescent="0.2">
      <c r="A5363" s="20">
        <v>44154</v>
      </c>
      <c r="B5363">
        <v>191.75</v>
      </c>
      <c r="E5363">
        <f t="shared" si="166"/>
        <v>11</v>
      </c>
      <c r="F5363">
        <f t="shared" si="167"/>
        <v>2020</v>
      </c>
    </row>
    <row r="5364" spans="1:6" x14ac:dyDescent="0.2">
      <c r="A5364" s="20">
        <v>44155</v>
      </c>
      <c r="B5364">
        <v>194.25</v>
      </c>
      <c r="E5364">
        <f t="shared" si="166"/>
        <v>11</v>
      </c>
      <c r="F5364">
        <f t="shared" si="167"/>
        <v>2020</v>
      </c>
    </row>
    <row r="5365" spans="1:6" x14ac:dyDescent="0.2">
      <c r="A5365" s="20">
        <v>44158</v>
      </c>
      <c r="B5365">
        <v>195.5</v>
      </c>
      <c r="E5365">
        <f t="shared" si="166"/>
        <v>11</v>
      </c>
      <c r="F5365">
        <f t="shared" si="167"/>
        <v>2020</v>
      </c>
    </row>
    <row r="5366" spans="1:6" x14ac:dyDescent="0.2">
      <c r="A5366" s="20">
        <v>44159</v>
      </c>
      <c r="B5366">
        <v>195.5</v>
      </c>
      <c r="E5366">
        <f t="shared" si="166"/>
        <v>11</v>
      </c>
      <c r="F5366">
        <f t="shared" si="167"/>
        <v>2020</v>
      </c>
    </row>
    <row r="5367" spans="1:6" x14ac:dyDescent="0.2">
      <c r="A5367" s="20">
        <v>44160</v>
      </c>
      <c r="B5367">
        <v>193.75</v>
      </c>
      <c r="E5367">
        <f t="shared" si="166"/>
        <v>11</v>
      </c>
      <c r="F5367">
        <f t="shared" si="167"/>
        <v>2020</v>
      </c>
    </row>
    <row r="5368" spans="1:6" x14ac:dyDescent="0.2">
      <c r="A5368" s="20">
        <v>44161</v>
      </c>
      <c r="B5368">
        <v>193.5</v>
      </c>
      <c r="E5368">
        <f t="shared" si="166"/>
        <v>11</v>
      </c>
      <c r="F5368">
        <f t="shared" si="167"/>
        <v>2020</v>
      </c>
    </row>
    <row r="5369" spans="1:6" x14ac:dyDescent="0.2">
      <c r="A5369" s="20">
        <v>44162</v>
      </c>
      <c r="B5369">
        <v>193.5</v>
      </c>
      <c r="E5369">
        <f t="shared" si="166"/>
        <v>11</v>
      </c>
      <c r="F5369">
        <f t="shared" si="167"/>
        <v>2020</v>
      </c>
    </row>
    <row r="5370" spans="1:6" x14ac:dyDescent="0.2">
      <c r="A5370" s="20">
        <v>44165</v>
      </c>
      <c r="B5370">
        <v>192.5</v>
      </c>
      <c r="E5370">
        <f t="shared" si="166"/>
        <v>11</v>
      </c>
      <c r="F5370">
        <f t="shared" si="167"/>
        <v>2020</v>
      </c>
    </row>
    <row r="5371" spans="1:6" x14ac:dyDescent="0.2">
      <c r="A5371" s="20">
        <v>44166</v>
      </c>
      <c r="B5371">
        <v>190.25</v>
      </c>
      <c r="E5371">
        <f t="shared" si="166"/>
        <v>12</v>
      </c>
      <c r="F5371">
        <f t="shared" si="167"/>
        <v>2020</v>
      </c>
    </row>
    <row r="5372" spans="1:6" x14ac:dyDescent="0.2">
      <c r="A5372" s="20">
        <v>44167</v>
      </c>
      <c r="B5372">
        <v>190.25</v>
      </c>
      <c r="E5372">
        <f t="shared" si="166"/>
        <v>12</v>
      </c>
      <c r="F5372">
        <f t="shared" si="167"/>
        <v>2020</v>
      </c>
    </row>
    <row r="5373" spans="1:6" x14ac:dyDescent="0.2">
      <c r="A5373" s="20">
        <v>44168</v>
      </c>
      <c r="B5373">
        <v>189.5</v>
      </c>
      <c r="E5373">
        <f t="shared" si="166"/>
        <v>12</v>
      </c>
      <c r="F5373">
        <f t="shared" si="167"/>
        <v>2020</v>
      </c>
    </row>
    <row r="5374" spans="1:6" x14ac:dyDescent="0.2">
      <c r="A5374" s="20">
        <v>44169</v>
      </c>
      <c r="B5374">
        <v>188</v>
      </c>
      <c r="E5374">
        <f t="shared" si="166"/>
        <v>12</v>
      </c>
      <c r="F5374">
        <f t="shared" si="167"/>
        <v>2020</v>
      </c>
    </row>
    <row r="5375" spans="1:6" x14ac:dyDescent="0.2">
      <c r="A5375" s="20">
        <v>44172</v>
      </c>
      <c r="B5375">
        <v>186.75</v>
      </c>
      <c r="E5375">
        <f t="shared" si="166"/>
        <v>12</v>
      </c>
      <c r="F5375">
        <f t="shared" si="167"/>
        <v>2020</v>
      </c>
    </row>
    <row r="5376" spans="1:6" x14ac:dyDescent="0.2">
      <c r="A5376" s="20">
        <v>44173</v>
      </c>
      <c r="B5376">
        <v>187.5</v>
      </c>
      <c r="E5376">
        <f t="shared" si="166"/>
        <v>12</v>
      </c>
      <c r="F5376">
        <f t="shared" si="167"/>
        <v>2020</v>
      </c>
    </row>
    <row r="5377" spans="1:6" x14ac:dyDescent="0.2">
      <c r="A5377" s="20">
        <v>44174</v>
      </c>
      <c r="B5377">
        <v>189</v>
      </c>
      <c r="E5377">
        <f t="shared" si="166"/>
        <v>12</v>
      </c>
      <c r="F5377">
        <f t="shared" si="167"/>
        <v>2020</v>
      </c>
    </row>
    <row r="5378" spans="1:6" x14ac:dyDescent="0.2">
      <c r="A5378" s="20">
        <v>44175</v>
      </c>
      <c r="B5378">
        <v>189.75</v>
      </c>
      <c r="E5378">
        <f t="shared" si="166"/>
        <v>12</v>
      </c>
      <c r="F5378">
        <f t="shared" si="167"/>
        <v>2020</v>
      </c>
    </row>
    <row r="5379" spans="1:6" x14ac:dyDescent="0.2">
      <c r="A5379" s="20">
        <v>44176</v>
      </c>
      <c r="B5379">
        <v>192.25</v>
      </c>
      <c r="E5379">
        <f t="shared" ref="E5379:E5442" si="168">MONTH(A5379)</f>
        <v>12</v>
      </c>
      <c r="F5379">
        <f t="shared" ref="F5379:F5442" si="169">YEAR(A5379)</f>
        <v>2020</v>
      </c>
    </row>
    <row r="5380" spans="1:6" x14ac:dyDescent="0.2">
      <c r="A5380" s="20">
        <v>44179</v>
      </c>
      <c r="B5380">
        <v>189.25</v>
      </c>
      <c r="E5380">
        <f t="shared" si="168"/>
        <v>12</v>
      </c>
      <c r="F5380">
        <f t="shared" si="169"/>
        <v>2020</v>
      </c>
    </row>
    <row r="5381" spans="1:6" x14ac:dyDescent="0.2">
      <c r="A5381" s="20">
        <v>44180</v>
      </c>
      <c r="B5381">
        <v>190</v>
      </c>
      <c r="E5381">
        <f t="shared" si="168"/>
        <v>12</v>
      </c>
      <c r="F5381">
        <f t="shared" si="169"/>
        <v>2020</v>
      </c>
    </row>
    <row r="5382" spans="1:6" x14ac:dyDescent="0.2">
      <c r="A5382" s="20">
        <v>44181</v>
      </c>
      <c r="B5382">
        <v>190</v>
      </c>
      <c r="E5382">
        <f t="shared" si="168"/>
        <v>12</v>
      </c>
      <c r="F5382">
        <f t="shared" si="169"/>
        <v>2020</v>
      </c>
    </row>
    <row r="5383" spans="1:6" x14ac:dyDescent="0.2">
      <c r="A5383" s="20">
        <v>44182</v>
      </c>
      <c r="B5383">
        <v>191</v>
      </c>
      <c r="E5383">
        <f t="shared" si="168"/>
        <v>12</v>
      </c>
      <c r="F5383">
        <f t="shared" si="169"/>
        <v>2020</v>
      </c>
    </row>
    <row r="5384" spans="1:6" x14ac:dyDescent="0.2">
      <c r="A5384" s="20">
        <v>44183</v>
      </c>
      <c r="B5384">
        <v>191.75</v>
      </c>
      <c r="E5384">
        <f t="shared" si="168"/>
        <v>12</v>
      </c>
      <c r="F5384">
        <f t="shared" si="169"/>
        <v>2020</v>
      </c>
    </row>
    <row r="5385" spans="1:6" x14ac:dyDescent="0.2">
      <c r="A5385" s="20">
        <v>44186</v>
      </c>
      <c r="B5385">
        <v>192.25</v>
      </c>
      <c r="E5385">
        <f t="shared" si="168"/>
        <v>12</v>
      </c>
      <c r="F5385">
        <f t="shared" si="169"/>
        <v>2020</v>
      </c>
    </row>
    <row r="5386" spans="1:6" x14ac:dyDescent="0.2">
      <c r="A5386" s="20">
        <v>44187</v>
      </c>
      <c r="B5386">
        <v>192.5</v>
      </c>
      <c r="E5386">
        <f t="shared" si="168"/>
        <v>12</v>
      </c>
      <c r="F5386">
        <f t="shared" si="169"/>
        <v>2020</v>
      </c>
    </row>
    <row r="5387" spans="1:6" x14ac:dyDescent="0.2">
      <c r="A5387" s="20">
        <v>44188</v>
      </c>
      <c r="B5387">
        <v>194.25</v>
      </c>
      <c r="E5387">
        <f t="shared" si="168"/>
        <v>12</v>
      </c>
      <c r="F5387">
        <f t="shared" si="169"/>
        <v>2020</v>
      </c>
    </row>
    <row r="5388" spans="1:6" x14ac:dyDescent="0.2">
      <c r="A5388" s="20">
        <v>44189</v>
      </c>
      <c r="B5388">
        <v>194.25</v>
      </c>
      <c r="E5388">
        <f t="shared" si="168"/>
        <v>12</v>
      </c>
      <c r="F5388">
        <f t="shared" si="169"/>
        <v>2020</v>
      </c>
    </row>
    <row r="5389" spans="1:6" x14ac:dyDescent="0.2">
      <c r="A5389" s="20">
        <v>44193</v>
      </c>
      <c r="B5389">
        <v>193.75</v>
      </c>
      <c r="E5389">
        <f t="shared" si="168"/>
        <v>12</v>
      </c>
      <c r="F5389">
        <f t="shared" si="169"/>
        <v>2020</v>
      </c>
    </row>
    <row r="5390" spans="1:6" x14ac:dyDescent="0.2">
      <c r="A5390" s="20">
        <v>44194</v>
      </c>
      <c r="B5390">
        <v>195.25</v>
      </c>
      <c r="E5390">
        <f t="shared" si="168"/>
        <v>12</v>
      </c>
      <c r="F5390">
        <f t="shared" si="169"/>
        <v>2020</v>
      </c>
    </row>
    <row r="5391" spans="1:6" x14ac:dyDescent="0.2">
      <c r="A5391" s="20">
        <v>44195</v>
      </c>
      <c r="B5391">
        <v>196.5</v>
      </c>
      <c r="E5391">
        <f t="shared" si="168"/>
        <v>12</v>
      </c>
      <c r="F5391">
        <f t="shared" si="169"/>
        <v>2020</v>
      </c>
    </row>
    <row r="5392" spans="1:6" x14ac:dyDescent="0.2">
      <c r="A5392" s="20">
        <v>44196</v>
      </c>
      <c r="B5392">
        <v>198.5</v>
      </c>
      <c r="E5392">
        <f t="shared" si="168"/>
        <v>12</v>
      </c>
      <c r="F5392">
        <f t="shared" si="169"/>
        <v>2020</v>
      </c>
    </row>
    <row r="5393" spans="1:6" x14ac:dyDescent="0.2">
      <c r="A5393" s="20">
        <v>44200</v>
      </c>
      <c r="B5393">
        <v>198.5</v>
      </c>
      <c r="E5393">
        <f t="shared" si="168"/>
        <v>1</v>
      </c>
      <c r="F5393">
        <f t="shared" si="169"/>
        <v>2021</v>
      </c>
    </row>
    <row r="5394" spans="1:6" x14ac:dyDescent="0.2">
      <c r="A5394" s="20">
        <v>44201</v>
      </c>
      <c r="B5394">
        <v>200.5</v>
      </c>
      <c r="E5394">
        <f t="shared" si="168"/>
        <v>1</v>
      </c>
      <c r="F5394">
        <f t="shared" si="169"/>
        <v>2021</v>
      </c>
    </row>
    <row r="5395" spans="1:6" x14ac:dyDescent="0.2">
      <c r="A5395" s="20">
        <v>44202</v>
      </c>
      <c r="B5395">
        <v>201</v>
      </c>
      <c r="E5395">
        <f t="shared" si="168"/>
        <v>1</v>
      </c>
      <c r="F5395">
        <f t="shared" si="169"/>
        <v>2021</v>
      </c>
    </row>
    <row r="5396" spans="1:6" x14ac:dyDescent="0.2">
      <c r="A5396" s="20">
        <v>44203</v>
      </c>
      <c r="B5396">
        <v>200.75</v>
      </c>
      <c r="E5396">
        <f t="shared" si="168"/>
        <v>1</v>
      </c>
      <c r="F5396">
        <f t="shared" si="169"/>
        <v>2021</v>
      </c>
    </row>
    <row r="5397" spans="1:6" x14ac:dyDescent="0.2">
      <c r="A5397" s="20">
        <v>44204</v>
      </c>
      <c r="B5397">
        <v>202.5</v>
      </c>
      <c r="E5397">
        <f t="shared" si="168"/>
        <v>1</v>
      </c>
      <c r="F5397">
        <f t="shared" si="169"/>
        <v>2021</v>
      </c>
    </row>
    <row r="5398" spans="1:6" x14ac:dyDescent="0.2">
      <c r="A5398" s="20">
        <v>44207</v>
      </c>
      <c r="B5398">
        <v>203</v>
      </c>
      <c r="E5398">
        <f t="shared" si="168"/>
        <v>1</v>
      </c>
      <c r="F5398">
        <f t="shared" si="169"/>
        <v>2021</v>
      </c>
    </row>
    <row r="5399" spans="1:6" x14ac:dyDescent="0.2">
      <c r="A5399" s="20">
        <v>44208</v>
      </c>
      <c r="B5399">
        <v>208.5</v>
      </c>
      <c r="E5399">
        <f t="shared" si="168"/>
        <v>1</v>
      </c>
      <c r="F5399">
        <f t="shared" si="169"/>
        <v>2021</v>
      </c>
    </row>
    <row r="5400" spans="1:6" x14ac:dyDescent="0.2">
      <c r="A5400" s="20">
        <v>44209</v>
      </c>
      <c r="B5400">
        <v>210.25</v>
      </c>
      <c r="E5400">
        <f t="shared" si="168"/>
        <v>1</v>
      </c>
      <c r="F5400">
        <f t="shared" si="169"/>
        <v>2021</v>
      </c>
    </row>
    <row r="5401" spans="1:6" x14ac:dyDescent="0.2">
      <c r="A5401" s="20">
        <v>44210</v>
      </c>
      <c r="B5401">
        <v>212.25</v>
      </c>
      <c r="E5401">
        <f t="shared" si="168"/>
        <v>1</v>
      </c>
      <c r="F5401">
        <f t="shared" si="169"/>
        <v>2021</v>
      </c>
    </row>
    <row r="5402" spans="1:6" x14ac:dyDescent="0.2">
      <c r="A5402" s="20">
        <v>44211</v>
      </c>
      <c r="B5402">
        <v>212</v>
      </c>
      <c r="E5402">
        <f t="shared" si="168"/>
        <v>1</v>
      </c>
      <c r="F5402">
        <f t="shared" si="169"/>
        <v>2021</v>
      </c>
    </row>
    <row r="5403" spans="1:6" x14ac:dyDescent="0.2">
      <c r="A5403" s="20">
        <v>44214</v>
      </c>
      <c r="B5403">
        <v>217</v>
      </c>
      <c r="E5403">
        <f t="shared" si="168"/>
        <v>1</v>
      </c>
      <c r="F5403">
        <f t="shared" si="169"/>
        <v>2021</v>
      </c>
    </row>
    <row r="5404" spans="1:6" x14ac:dyDescent="0.2">
      <c r="A5404" s="20">
        <v>44215</v>
      </c>
      <c r="B5404">
        <v>216.5</v>
      </c>
      <c r="E5404">
        <f t="shared" si="168"/>
        <v>1</v>
      </c>
      <c r="F5404">
        <f t="shared" si="169"/>
        <v>2021</v>
      </c>
    </row>
    <row r="5405" spans="1:6" x14ac:dyDescent="0.2">
      <c r="A5405" s="20">
        <v>44216</v>
      </c>
      <c r="B5405">
        <v>213.5</v>
      </c>
      <c r="E5405">
        <f t="shared" si="168"/>
        <v>1</v>
      </c>
      <c r="F5405">
        <f t="shared" si="169"/>
        <v>2021</v>
      </c>
    </row>
    <row r="5406" spans="1:6" x14ac:dyDescent="0.2">
      <c r="A5406" s="20">
        <v>44217</v>
      </c>
      <c r="B5406">
        <v>213.75</v>
      </c>
      <c r="E5406">
        <f t="shared" si="168"/>
        <v>1</v>
      </c>
      <c r="F5406">
        <f t="shared" si="169"/>
        <v>2021</v>
      </c>
    </row>
    <row r="5407" spans="1:6" x14ac:dyDescent="0.2">
      <c r="A5407" s="20">
        <v>44218</v>
      </c>
      <c r="B5407">
        <v>209.25</v>
      </c>
      <c r="E5407">
        <f t="shared" si="168"/>
        <v>1</v>
      </c>
      <c r="F5407">
        <f t="shared" si="169"/>
        <v>2021</v>
      </c>
    </row>
    <row r="5408" spans="1:6" x14ac:dyDescent="0.2">
      <c r="A5408" s="20">
        <v>44221</v>
      </c>
      <c r="B5408">
        <v>211</v>
      </c>
      <c r="E5408">
        <f t="shared" si="168"/>
        <v>1</v>
      </c>
      <c r="F5408">
        <f t="shared" si="169"/>
        <v>2021</v>
      </c>
    </row>
    <row r="5409" spans="1:6" x14ac:dyDescent="0.2">
      <c r="A5409" s="20">
        <v>44222</v>
      </c>
      <c r="B5409">
        <v>215</v>
      </c>
      <c r="E5409">
        <f t="shared" si="168"/>
        <v>1</v>
      </c>
      <c r="F5409">
        <f t="shared" si="169"/>
        <v>2021</v>
      </c>
    </row>
    <row r="5410" spans="1:6" x14ac:dyDescent="0.2">
      <c r="A5410" s="20">
        <v>44223</v>
      </c>
      <c r="B5410">
        <v>215.5</v>
      </c>
      <c r="E5410">
        <f t="shared" si="168"/>
        <v>1</v>
      </c>
      <c r="F5410">
        <f t="shared" si="169"/>
        <v>2021</v>
      </c>
    </row>
    <row r="5411" spans="1:6" x14ac:dyDescent="0.2">
      <c r="A5411" s="20">
        <v>44224</v>
      </c>
      <c r="B5411">
        <v>215.75</v>
      </c>
      <c r="E5411">
        <f t="shared" si="168"/>
        <v>1</v>
      </c>
      <c r="F5411">
        <f t="shared" si="169"/>
        <v>2021</v>
      </c>
    </row>
    <row r="5412" spans="1:6" x14ac:dyDescent="0.2">
      <c r="A5412" s="20">
        <v>44225</v>
      </c>
      <c r="B5412">
        <v>216.5</v>
      </c>
      <c r="E5412">
        <f t="shared" si="168"/>
        <v>1</v>
      </c>
      <c r="F5412">
        <f t="shared" si="169"/>
        <v>2021</v>
      </c>
    </row>
    <row r="5413" spans="1:6" x14ac:dyDescent="0.2">
      <c r="A5413" s="20">
        <v>44228</v>
      </c>
      <c r="B5413">
        <v>216.5</v>
      </c>
      <c r="E5413">
        <f t="shared" si="168"/>
        <v>2</v>
      </c>
      <c r="F5413">
        <f t="shared" si="169"/>
        <v>2021</v>
      </c>
    </row>
    <row r="5414" spans="1:6" x14ac:dyDescent="0.2">
      <c r="A5414" s="20">
        <v>44229</v>
      </c>
      <c r="B5414">
        <v>217</v>
      </c>
      <c r="E5414">
        <f t="shared" si="168"/>
        <v>2</v>
      </c>
      <c r="F5414">
        <f t="shared" si="169"/>
        <v>2021</v>
      </c>
    </row>
    <row r="5415" spans="1:6" x14ac:dyDescent="0.2">
      <c r="A5415" s="20">
        <v>44230</v>
      </c>
      <c r="B5415">
        <v>216.25</v>
      </c>
      <c r="E5415">
        <f t="shared" si="168"/>
        <v>2</v>
      </c>
      <c r="F5415">
        <f t="shared" si="169"/>
        <v>2021</v>
      </c>
    </row>
    <row r="5416" spans="1:6" x14ac:dyDescent="0.2">
      <c r="A5416" s="20">
        <v>44231</v>
      </c>
      <c r="B5416">
        <v>217.75</v>
      </c>
      <c r="E5416">
        <f t="shared" si="168"/>
        <v>2</v>
      </c>
      <c r="F5416">
        <f t="shared" si="169"/>
        <v>2021</v>
      </c>
    </row>
    <row r="5417" spans="1:6" x14ac:dyDescent="0.2">
      <c r="A5417" s="20">
        <v>44232</v>
      </c>
      <c r="B5417">
        <v>218.5</v>
      </c>
      <c r="E5417">
        <f t="shared" si="168"/>
        <v>2</v>
      </c>
      <c r="F5417">
        <f t="shared" si="169"/>
        <v>2021</v>
      </c>
    </row>
    <row r="5418" spans="1:6" x14ac:dyDescent="0.2">
      <c r="A5418" s="20">
        <v>44235</v>
      </c>
      <c r="B5418">
        <v>219</v>
      </c>
      <c r="E5418">
        <f t="shared" si="168"/>
        <v>2</v>
      </c>
      <c r="F5418">
        <f t="shared" si="169"/>
        <v>2021</v>
      </c>
    </row>
    <row r="5419" spans="1:6" x14ac:dyDescent="0.2">
      <c r="A5419" s="20">
        <v>44236</v>
      </c>
      <c r="B5419">
        <v>217.5</v>
      </c>
      <c r="E5419">
        <f t="shared" si="168"/>
        <v>2</v>
      </c>
      <c r="F5419">
        <f t="shared" si="169"/>
        <v>2021</v>
      </c>
    </row>
    <row r="5420" spans="1:6" x14ac:dyDescent="0.2">
      <c r="A5420" s="20">
        <v>44237</v>
      </c>
      <c r="B5420">
        <v>217</v>
      </c>
      <c r="E5420">
        <f t="shared" si="168"/>
        <v>2</v>
      </c>
      <c r="F5420">
        <f t="shared" si="169"/>
        <v>2021</v>
      </c>
    </row>
    <row r="5421" spans="1:6" x14ac:dyDescent="0.2">
      <c r="A5421" s="20">
        <v>44238</v>
      </c>
      <c r="B5421">
        <v>218.25</v>
      </c>
      <c r="E5421">
        <f t="shared" si="168"/>
        <v>2</v>
      </c>
      <c r="F5421">
        <f t="shared" si="169"/>
        <v>2021</v>
      </c>
    </row>
    <row r="5422" spans="1:6" x14ac:dyDescent="0.2">
      <c r="A5422" s="20">
        <v>44239</v>
      </c>
      <c r="B5422">
        <v>219</v>
      </c>
      <c r="E5422">
        <f t="shared" si="168"/>
        <v>2</v>
      </c>
      <c r="F5422">
        <f t="shared" si="169"/>
        <v>2021</v>
      </c>
    </row>
    <row r="5423" spans="1:6" x14ac:dyDescent="0.2">
      <c r="A5423" s="20">
        <v>44242</v>
      </c>
      <c r="B5423">
        <v>220.25</v>
      </c>
      <c r="E5423">
        <f t="shared" si="168"/>
        <v>2</v>
      </c>
      <c r="F5423">
        <f t="shared" si="169"/>
        <v>2021</v>
      </c>
    </row>
    <row r="5424" spans="1:6" x14ac:dyDescent="0.2">
      <c r="A5424" s="20">
        <v>44243</v>
      </c>
      <c r="B5424">
        <v>221</v>
      </c>
      <c r="E5424">
        <f t="shared" si="168"/>
        <v>2</v>
      </c>
      <c r="F5424">
        <f t="shared" si="169"/>
        <v>2021</v>
      </c>
    </row>
    <row r="5425" spans="1:6" x14ac:dyDescent="0.2">
      <c r="A5425" s="20">
        <v>44244</v>
      </c>
      <c r="B5425">
        <v>221</v>
      </c>
      <c r="E5425">
        <f t="shared" si="168"/>
        <v>2</v>
      </c>
      <c r="F5425">
        <f t="shared" si="169"/>
        <v>2021</v>
      </c>
    </row>
    <row r="5426" spans="1:6" x14ac:dyDescent="0.2">
      <c r="A5426" s="20">
        <v>44245</v>
      </c>
      <c r="B5426">
        <v>223.75</v>
      </c>
      <c r="E5426">
        <f t="shared" si="168"/>
        <v>2</v>
      </c>
      <c r="F5426">
        <f t="shared" si="169"/>
        <v>2021</v>
      </c>
    </row>
    <row r="5427" spans="1:6" x14ac:dyDescent="0.2">
      <c r="A5427" s="20">
        <v>44246</v>
      </c>
      <c r="B5427">
        <v>228</v>
      </c>
      <c r="E5427">
        <f t="shared" si="168"/>
        <v>2</v>
      </c>
      <c r="F5427">
        <f t="shared" si="169"/>
        <v>2021</v>
      </c>
    </row>
    <row r="5428" spans="1:6" x14ac:dyDescent="0.2">
      <c r="A5428" s="20">
        <v>44249</v>
      </c>
      <c r="B5428">
        <v>229.25</v>
      </c>
      <c r="E5428">
        <f t="shared" si="168"/>
        <v>2</v>
      </c>
      <c r="F5428">
        <f t="shared" si="169"/>
        <v>2021</v>
      </c>
    </row>
    <row r="5429" spans="1:6" x14ac:dyDescent="0.2">
      <c r="A5429" s="20">
        <v>44250</v>
      </c>
      <c r="B5429">
        <v>229.75</v>
      </c>
      <c r="E5429">
        <f t="shared" si="168"/>
        <v>2</v>
      </c>
      <c r="F5429">
        <f t="shared" si="169"/>
        <v>2021</v>
      </c>
    </row>
    <row r="5430" spans="1:6" x14ac:dyDescent="0.2">
      <c r="A5430" s="20">
        <v>44251</v>
      </c>
      <c r="B5430">
        <v>229.5</v>
      </c>
      <c r="E5430">
        <f t="shared" si="168"/>
        <v>2</v>
      </c>
      <c r="F5430">
        <f t="shared" si="169"/>
        <v>2021</v>
      </c>
    </row>
    <row r="5431" spans="1:6" x14ac:dyDescent="0.2">
      <c r="A5431" s="20">
        <v>44252</v>
      </c>
      <c r="B5431">
        <v>229.25</v>
      </c>
      <c r="E5431">
        <f t="shared" si="168"/>
        <v>2</v>
      </c>
      <c r="F5431">
        <f t="shared" si="169"/>
        <v>2021</v>
      </c>
    </row>
    <row r="5432" spans="1:6" x14ac:dyDescent="0.2">
      <c r="A5432" s="20">
        <v>44253</v>
      </c>
      <c r="B5432">
        <v>226.25</v>
      </c>
      <c r="E5432">
        <f t="shared" si="168"/>
        <v>2</v>
      </c>
      <c r="F5432">
        <f t="shared" si="169"/>
        <v>2021</v>
      </c>
    </row>
    <row r="5433" spans="1:6" x14ac:dyDescent="0.2">
      <c r="A5433" s="20">
        <v>44256</v>
      </c>
      <c r="B5433">
        <v>227.5</v>
      </c>
      <c r="E5433">
        <f t="shared" si="168"/>
        <v>3</v>
      </c>
      <c r="F5433">
        <f t="shared" si="169"/>
        <v>2021</v>
      </c>
    </row>
    <row r="5434" spans="1:6" x14ac:dyDescent="0.2">
      <c r="A5434" s="20">
        <v>44257</v>
      </c>
      <c r="B5434">
        <v>228</v>
      </c>
      <c r="E5434">
        <f t="shared" si="168"/>
        <v>3</v>
      </c>
      <c r="F5434">
        <f t="shared" si="169"/>
        <v>2021</v>
      </c>
    </row>
    <row r="5435" spans="1:6" x14ac:dyDescent="0.2">
      <c r="A5435" s="20">
        <v>44258</v>
      </c>
      <c r="B5435">
        <v>226</v>
      </c>
      <c r="E5435">
        <f t="shared" si="168"/>
        <v>3</v>
      </c>
      <c r="F5435">
        <f t="shared" si="169"/>
        <v>2021</v>
      </c>
    </row>
    <row r="5436" spans="1:6" x14ac:dyDescent="0.2">
      <c r="A5436" s="20">
        <v>44259</v>
      </c>
      <c r="B5436">
        <v>217</v>
      </c>
      <c r="E5436">
        <f t="shared" si="168"/>
        <v>3</v>
      </c>
      <c r="F5436">
        <f t="shared" si="169"/>
        <v>2021</v>
      </c>
    </row>
    <row r="5437" spans="1:6" x14ac:dyDescent="0.2">
      <c r="A5437" s="20">
        <v>44260</v>
      </c>
      <c r="B5437">
        <v>219.25</v>
      </c>
      <c r="E5437">
        <f t="shared" si="168"/>
        <v>3</v>
      </c>
      <c r="F5437">
        <f t="shared" si="169"/>
        <v>2021</v>
      </c>
    </row>
    <row r="5438" spans="1:6" x14ac:dyDescent="0.2">
      <c r="A5438" s="20">
        <v>44263</v>
      </c>
      <c r="B5438">
        <v>221.25</v>
      </c>
      <c r="E5438">
        <f t="shared" si="168"/>
        <v>3</v>
      </c>
      <c r="F5438">
        <f t="shared" si="169"/>
        <v>2021</v>
      </c>
    </row>
    <row r="5439" spans="1:6" x14ac:dyDescent="0.2">
      <c r="A5439" s="20">
        <v>44264</v>
      </c>
      <c r="B5439">
        <v>220</v>
      </c>
      <c r="E5439">
        <f t="shared" si="168"/>
        <v>3</v>
      </c>
      <c r="F5439">
        <f t="shared" si="169"/>
        <v>2021</v>
      </c>
    </row>
    <row r="5440" spans="1:6" x14ac:dyDescent="0.2">
      <c r="A5440" s="20">
        <v>44265</v>
      </c>
      <c r="B5440">
        <v>218.75</v>
      </c>
      <c r="E5440">
        <f t="shared" si="168"/>
        <v>3</v>
      </c>
      <c r="F5440">
        <f t="shared" si="169"/>
        <v>2021</v>
      </c>
    </row>
    <row r="5441" spans="1:6" x14ac:dyDescent="0.2">
      <c r="A5441" s="20">
        <v>44266</v>
      </c>
      <c r="B5441">
        <v>216.75</v>
      </c>
      <c r="E5441">
        <f t="shared" si="168"/>
        <v>3</v>
      </c>
      <c r="F5441">
        <f t="shared" si="169"/>
        <v>2021</v>
      </c>
    </row>
    <row r="5442" spans="1:6" x14ac:dyDescent="0.2">
      <c r="A5442" s="20">
        <v>44267</v>
      </c>
      <c r="B5442">
        <v>215.5</v>
      </c>
      <c r="E5442">
        <f t="shared" si="168"/>
        <v>3</v>
      </c>
      <c r="F5442">
        <f t="shared" si="169"/>
        <v>2021</v>
      </c>
    </row>
    <row r="5443" spans="1:6" x14ac:dyDescent="0.2">
      <c r="A5443" s="20">
        <v>44270</v>
      </c>
      <c r="B5443">
        <v>215.75</v>
      </c>
      <c r="E5443">
        <f t="shared" ref="E5443:E5506" si="170">MONTH(A5443)</f>
        <v>3</v>
      </c>
      <c r="F5443">
        <f t="shared" ref="F5443:F5506" si="171">YEAR(A5443)</f>
        <v>2021</v>
      </c>
    </row>
    <row r="5444" spans="1:6" x14ac:dyDescent="0.2">
      <c r="A5444" s="20">
        <v>44271</v>
      </c>
      <c r="B5444">
        <v>216</v>
      </c>
      <c r="E5444">
        <f t="shared" si="170"/>
        <v>3</v>
      </c>
      <c r="F5444">
        <f t="shared" si="171"/>
        <v>2021</v>
      </c>
    </row>
    <row r="5445" spans="1:6" x14ac:dyDescent="0.2">
      <c r="A5445" s="20">
        <v>44272</v>
      </c>
      <c r="B5445">
        <v>216.75</v>
      </c>
      <c r="E5445">
        <f t="shared" si="170"/>
        <v>3</v>
      </c>
      <c r="F5445">
        <f t="shared" si="171"/>
        <v>2021</v>
      </c>
    </row>
    <row r="5446" spans="1:6" x14ac:dyDescent="0.2">
      <c r="A5446" s="20">
        <v>44273</v>
      </c>
      <c r="B5446">
        <v>215.5</v>
      </c>
      <c r="E5446">
        <f t="shared" si="170"/>
        <v>3</v>
      </c>
      <c r="F5446">
        <f t="shared" si="171"/>
        <v>2021</v>
      </c>
    </row>
    <row r="5447" spans="1:6" x14ac:dyDescent="0.2">
      <c r="A5447" s="20">
        <v>44274</v>
      </c>
      <c r="B5447">
        <v>215.25</v>
      </c>
      <c r="E5447">
        <f t="shared" si="170"/>
        <v>3</v>
      </c>
      <c r="F5447">
        <f t="shared" si="171"/>
        <v>2021</v>
      </c>
    </row>
    <row r="5448" spans="1:6" x14ac:dyDescent="0.2">
      <c r="A5448" s="20">
        <v>44277</v>
      </c>
      <c r="B5448">
        <v>215.5</v>
      </c>
      <c r="E5448">
        <f t="shared" si="170"/>
        <v>3</v>
      </c>
      <c r="F5448">
        <f t="shared" si="171"/>
        <v>2021</v>
      </c>
    </row>
    <row r="5449" spans="1:6" x14ac:dyDescent="0.2">
      <c r="A5449" s="20">
        <v>44278</v>
      </c>
      <c r="B5449">
        <v>217</v>
      </c>
      <c r="E5449">
        <f t="shared" si="170"/>
        <v>3</v>
      </c>
      <c r="F5449">
        <f t="shared" si="171"/>
        <v>2021</v>
      </c>
    </row>
    <row r="5450" spans="1:6" x14ac:dyDescent="0.2">
      <c r="A5450" s="20">
        <v>44279</v>
      </c>
      <c r="B5450">
        <v>215</v>
      </c>
      <c r="E5450">
        <f t="shared" si="170"/>
        <v>3</v>
      </c>
      <c r="F5450">
        <f t="shared" si="171"/>
        <v>2021</v>
      </c>
    </row>
    <row r="5451" spans="1:6" x14ac:dyDescent="0.2">
      <c r="A5451" s="20">
        <v>44280</v>
      </c>
      <c r="B5451">
        <v>211.25</v>
      </c>
      <c r="E5451">
        <f t="shared" si="170"/>
        <v>3</v>
      </c>
      <c r="F5451">
        <f t="shared" si="171"/>
        <v>2021</v>
      </c>
    </row>
    <row r="5452" spans="1:6" x14ac:dyDescent="0.2">
      <c r="A5452" s="20">
        <v>44281</v>
      </c>
      <c r="B5452">
        <v>213.5</v>
      </c>
      <c r="E5452">
        <f t="shared" si="170"/>
        <v>3</v>
      </c>
      <c r="F5452">
        <f t="shared" si="171"/>
        <v>2021</v>
      </c>
    </row>
    <row r="5453" spans="1:6" x14ac:dyDescent="0.2">
      <c r="A5453" s="20">
        <v>44284</v>
      </c>
      <c r="B5453">
        <v>211.5</v>
      </c>
      <c r="E5453">
        <f t="shared" si="170"/>
        <v>3</v>
      </c>
      <c r="F5453">
        <f t="shared" si="171"/>
        <v>2021</v>
      </c>
    </row>
    <row r="5454" spans="1:6" x14ac:dyDescent="0.2">
      <c r="A5454" s="20">
        <v>44285</v>
      </c>
      <c r="B5454">
        <v>211</v>
      </c>
      <c r="E5454">
        <f t="shared" si="170"/>
        <v>3</v>
      </c>
      <c r="F5454">
        <f t="shared" si="171"/>
        <v>2021</v>
      </c>
    </row>
    <row r="5455" spans="1:6" x14ac:dyDescent="0.2">
      <c r="A5455" s="20">
        <v>44286</v>
      </c>
      <c r="B5455">
        <v>216.75</v>
      </c>
      <c r="E5455">
        <f t="shared" si="170"/>
        <v>3</v>
      </c>
      <c r="F5455">
        <f t="shared" si="171"/>
        <v>2021</v>
      </c>
    </row>
    <row r="5456" spans="1:6" x14ac:dyDescent="0.2">
      <c r="A5456" s="20">
        <v>44287</v>
      </c>
      <c r="B5456">
        <v>214.25</v>
      </c>
      <c r="E5456">
        <f t="shared" si="170"/>
        <v>4</v>
      </c>
      <c r="F5456">
        <f t="shared" si="171"/>
        <v>2021</v>
      </c>
    </row>
    <row r="5457" spans="1:6" x14ac:dyDescent="0.2">
      <c r="A5457" s="20">
        <v>44292</v>
      </c>
      <c r="B5457">
        <v>212.25</v>
      </c>
      <c r="E5457">
        <f t="shared" si="170"/>
        <v>4</v>
      </c>
      <c r="F5457">
        <f t="shared" si="171"/>
        <v>2021</v>
      </c>
    </row>
    <row r="5458" spans="1:6" x14ac:dyDescent="0.2">
      <c r="A5458" s="20">
        <v>44293</v>
      </c>
      <c r="B5458">
        <v>213</v>
      </c>
      <c r="E5458">
        <f t="shared" si="170"/>
        <v>4</v>
      </c>
      <c r="F5458">
        <f t="shared" si="171"/>
        <v>2021</v>
      </c>
    </row>
    <row r="5459" spans="1:6" x14ac:dyDescent="0.2">
      <c r="A5459" s="20">
        <v>44294</v>
      </c>
      <c r="B5459">
        <v>215.25</v>
      </c>
      <c r="E5459">
        <f t="shared" si="170"/>
        <v>4</v>
      </c>
      <c r="F5459">
        <f t="shared" si="171"/>
        <v>2021</v>
      </c>
    </row>
    <row r="5460" spans="1:6" x14ac:dyDescent="0.2">
      <c r="A5460" s="20">
        <v>44295</v>
      </c>
      <c r="B5460">
        <v>217</v>
      </c>
      <c r="E5460">
        <f t="shared" si="170"/>
        <v>4</v>
      </c>
      <c r="F5460">
        <f t="shared" si="171"/>
        <v>2021</v>
      </c>
    </row>
    <row r="5461" spans="1:6" x14ac:dyDescent="0.2">
      <c r="A5461" s="20">
        <v>44298</v>
      </c>
      <c r="B5461">
        <v>216.25</v>
      </c>
      <c r="E5461">
        <f t="shared" si="170"/>
        <v>4</v>
      </c>
      <c r="F5461">
        <f t="shared" si="171"/>
        <v>2021</v>
      </c>
    </row>
    <row r="5462" spans="1:6" x14ac:dyDescent="0.2">
      <c r="A5462" s="20">
        <v>44299</v>
      </c>
      <c r="B5462">
        <v>218.25</v>
      </c>
      <c r="E5462">
        <f t="shared" si="170"/>
        <v>4</v>
      </c>
      <c r="F5462">
        <f t="shared" si="171"/>
        <v>2021</v>
      </c>
    </row>
    <row r="5463" spans="1:6" x14ac:dyDescent="0.2">
      <c r="A5463" s="20">
        <v>44300</v>
      </c>
      <c r="B5463">
        <v>221</v>
      </c>
      <c r="E5463">
        <f t="shared" si="170"/>
        <v>4</v>
      </c>
      <c r="F5463">
        <f t="shared" si="171"/>
        <v>2021</v>
      </c>
    </row>
    <row r="5464" spans="1:6" x14ac:dyDescent="0.2">
      <c r="A5464" s="20">
        <v>44301</v>
      </c>
      <c r="B5464">
        <v>221</v>
      </c>
      <c r="E5464">
        <f t="shared" si="170"/>
        <v>4</v>
      </c>
      <c r="F5464">
        <f t="shared" si="171"/>
        <v>2021</v>
      </c>
    </row>
    <row r="5465" spans="1:6" x14ac:dyDescent="0.2">
      <c r="A5465" s="20">
        <v>44302</v>
      </c>
      <c r="B5465">
        <v>220.25</v>
      </c>
      <c r="E5465">
        <f t="shared" si="170"/>
        <v>4</v>
      </c>
      <c r="F5465">
        <f t="shared" si="171"/>
        <v>2021</v>
      </c>
    </row>
    <row r="5466" spans="1:6" x14ac:dyDescent="0.2">
      <c r="A5466" s="20">
        <v>44305</v>
      </c>
      <c r="B5466">
        <v>222.5</v>
      </c>
      <c r="E5466">
        <f t="shared" si="170"/>
        <v>4</v>
      </c>
      <c r="F5466">
        <f t="shared" si="171"/>
        <v>2021</v>
      </c>
    </row>
    <row r="5467" spans="1:6" x14ac:dyDescent="0.2">
      <c r="A5467" s="20">
        <v>44306</v>
      </c>
      <c r="B5467">
        <v>226</v>
      </c>
      <c r="E5467">
        <f t="shared" si="170"/>
        <v>4</v>
      </c>
      <c r="F5467">
        <f t="shared" si="171"/>
        <v>2021</v>
      </c>
    </row>
    <row r="5468" spans="1:6" x14ac:dyDescent="0.2">
      <c r="A5468" s="20">
        <v>44307</v>
      </c>
      <c r="B5468">
        <v>229</v>
      </c>
      <c r="E5468">
        <f t="shared" si="170"/>
        <v>4</v>
      </c>
      <c r="F5468">
        <f t="shared" si="171"/>
        <v>2021</v>
      </c>
    </row>
    <row r="5469" spans="1:6" x14ac:dyDescent="0.2">
      <c r="A5469" s="20">
        <v>44308</v>
      </c>
      <c r="B5469">
        <v>233.75</v>
      </c>
      <c r="E5469">
        <f t="shared" si="170"/>
        <v>4</v>
      </c>
      <c r="F5469">
        <f t="shared" si="171"/>
        <v>2021</v>
      </c>
    </row>
    <row r="5470" spans="1:6" x14ac:dyDescent="0.2">
      <c r="A5470" s="20">
        <v>44309</v>
      </c>
      <c r="B5470">
        <v>230.25</v>
      </c>
      <c r="E5470">
        <f t="shared" si="170"/>
        <v>4</v>
      </c>
      <c r="F5470">
        <f t="shared" si="171"/>
        <v>2021</v>
      </c>
    </row>
    <row r="5471" spans="1:6" x14ac:dyDescent="0.2">
      <c r="A5471" s="20">
        <v>44312</v>
      </c>
      <c r="B5471">
        <v>233.5</v>
      </c>
      <c r="E5471">
        <f t="shared" si="170"/>
        <v>4</v>
      </c>
      <c r="F5471">
        <f t="shared" si="171"/>
        <v>2021</v>
      </c>
    </row>
    <row r="5472" spans="1:6" x14ac:dyDescent="0.2">
      <c r="A5472" s="20">
        <v>44313</v>
      </c>
      <c r="B5472">
        <v>236.25</v>
      </c>
      <c r="E5472">
        <f t="shared" si="170"/>
        <v>4</v>
      </c>
      <c r="F5472">
        <f t="shared" si="171"/>
        <v>2021</v>
      </c>
    </row>
    <row r="5473" spans="1:6" x14ac:dyDescent="0.2">
      <c r="A5473" s="20">
        <v>44314</v>
      </c>
      <c r="B5473">
        <v>236.5</v>
      </c>
      <c r="E5473">
        <f t="shared" si="170"/>
        <v>4</v>
      </c>
      <c r="F5473">
        <f t="shared" si="171"/>
        <v>2021</v>
      </c>
    </row>
    <row r="5474" spans="1:6" x14ac:dyDescent="0.2">
      <c r="A5474" s="20">
        <v>44315</v>
      </c>
      <c r="B5474">
        <v>236.75</v>
      </c>
      <c r="E5474">
        <f t="shared" si="170"/>
        <v>4</v>
      </c>
      <c r="F5474">
        <f t="shared" si="171"/>
        <v>2021</v>
      </c>
    </row>
    <row r="5475" spans="1:6" x14ac:dyDescent="0.2">
      <c r="A5475" s="20">
        <v>44316</v>
      </c>
      <c r="B5475">
        <v>241.25</v>
      </c>
      <c r="E5475">
        <f t="shared" si="170"/>
        <v>4</v>
      </c>
      <c r="F5475">
        <f t="shared" si="171"/>
        <v>2021</v>
      </c>
    </row>
    <row r="5476" spans="1:6" x14ac:dyDescent="0.2">
      <c r="A5476" s="20">
        <v>44319</v>
      </c>
      <c r="B5476">
        <v>243.25</v>
      </c>
      <c r="E5476">
        <f t="shared" si="170"/>
        <v>5</v>
      </c>
      <c r="F5476">
        <f t="shared" si="171"/>
        <v>2021</v>
      </c>
    </row>
    <row r="5477" spans="1:6" x14ac:dyDescent="0.2">
      <c r="A5477" s="20">
        <v>44320</v>
      </c>
      <c r="B5477">
        <v>248</v>
      </c>
      <c r="E5477">
        <f t="shared" si="170"/>
        <v>5</v>
      </c>
      <c r="F5477">
        <f t="shared" si="171"/>
        <v>2021</v>
      </c>
    </row>
    <row r="5478" spans="1:6" x14ac:dyDescent="0.2">
      <c r="A5478" s="20">
        <v>44321</v>
      </c>
      <c r="B5478">
        <v>251</v>
      </c>
      <c r="E5478">
        <f t="shared" si="170"/>
        <v>5</v>
      </c>
      <c r="F5478">
        <f t="shared" si="171"/>
        <v>2021</v>
      </c>
    </row>
    <row r="5479" spans="1:6" x14ac:dyDescent="0.2">
      <c r="A5479" s="20">
        <v>44322</v>
      </c>
      <c r="B5479">
        <v>258.25</v>
      </c>
      <c r="E5479">
        <f t="shared" si="170"/>
        <v>5</v>
      </c>
      <c r="F5479">
        <f t="shared" si="171"/>
        <v>2021</v>
      </c>
    </row>
    <row r="5480" spans="1:6" x14ac:dyDescent="0.2">
      <c r="A5480" s="20">
        <v>44323</v>
      </c>
      <c r="B5480">
        <v>263</v>
      </c>
      <c r="E5480">
        <f t="shared" si="170"/>
        <v>5</v>
      </c>
      <c r="F5480">
        <f t="shared" si="171"/>
        <v>2021</v>
      </c>
    </row>
    <row r="5481" spans="1:6" x14ac:dyDescent="0.2">
      <c r="A5481" s="20">
        <v>44326</v>
      </c>
      <c r="B5481">
        <v>256.75</v>
      </c>
      <c r="E5481">
        <f t="shared" si="170"/>
        <v>5</v>
      </c>
      <c r="F5481">
        <f t="shared" si="171"/>
        <v>2021</v>
      </c>
    </row>
    <row r="5482" spans="1:6" x14ac:dyDescent="0.2">
      <c r="A5482" s="20">
        <v>44327</v>
      </c>
      <c r="B5482">
        <v>258.5</v>
      </c>
      <c r="E5482">
        <f t="shared" si="170"/>
        <v>5</v>
      </c>
      <c r="F5482">
        <f t="shared" si="171"/>
        <v>2021</v>
      </c>
    </row>
    <row r="5483" spans="1:6" x14ac:dyDescent="0.2">
      <c r="A5483" s="20">
        <v>44328</v>
      </c>
      <c r="B5483">
        <v>257.25</v>
      </c>
      <c r="E5483">
        <f t="shared" si="170"/>
        <v>5</v>
      </c>
      <c r="F5483">
        <f t="shared" si="171"/>
        <v>2021</v>
      </c>
    </row>
    <row r="5484" spans="1:6" x14ac:dyDescent="0.2">
      <c r="A5484" s="20">
        <v>44329</v>
      </c>
      <c r="B5484">
        <v>250.25</v>
      </c>
      <c r="E5484">
        <f t="shared" si="170"/>
        <v>5</v>
      </c>
      <c r="F5484">
        <f t="shared" si="171"/>
        <v>2021</v>
      </c>
    </row>
    <row r="5485" spans="1:6" x14ac:dyDescent="0.2">
      <c r="A5485" s="20">
        <v>44330</v>
      </c>
      <c r="B5485">
        <v>251</v>
      </c>
      <c r="E5485">
        <f t="shared" si="170"/>
        <v>5</v>
      </c>
      <c r="F5485">
        <f t="shared" si="171"/>
        <v>2021</v>
      </c>
    </row>
    <row r="5486" spans="1:6" x14ac:dyDescent="0.2">
      <c r="A5486" s="20">
        <v>44333</v>
      </c>
      <c r="B5486">
        <v>250.5</v>
      </c>
      <c r="E5486">
        <f t="shared" si="170"/>
        <v>5</v>
      </c>
      <c r="F5486">
        <f t="shared" si="171"/>
        <v>2021</v>
      </c>
    </row>
    <row r="5487" spans="1:6" x14ac:dyDescent="0.2">
      <c r="A5487" s="20">
        <v>44334</v>
      </c>
      <c r="B5487">
        <v>250.5</v>
      </c>
      <c r="E5487">
        <f t="shared" si="170"/>
        <v>5</v>
      </c>
      <c r="F5487">
        <f t="shared" si="171"/>
        <v>2021</v>
      </c>
    </row>
    <row r="5488" spans="1:6" x14ac:dyDescent="0.2">
      <c r="A5488" s="20">
        <v>44335</v>
      </c>
      <c r="B5488">
        <v>246.5</v>
      </c>
      <c r="E5488">
        <f t="shared" si="170"/>
        <v>5</v>
      </c>
      <c r="F5488">
        <f t="shared" si="171"/>
        <v>2021</v>
      </c>
    </row>
    <row r="5489" spans="1:6" x14ac:dyDescent="0.2">
      <c r="A5489" s="20">
        <v>44336</v>
      </c>
      <c r="B5489">
        <v>253</v>
      </c>
      <c r="E5489">
        <f t="shared" si="170"/>
        <v>5</v>
      </c>
      <c r="F5489">
        <f t="shared" si="171"/>
        <v>2021</v>
      </c>
    </row>
    <row r="5490" spans="1:6" x14ac:dyDescent="0.2">
      <c r="A5490" s="20">
        <v>44337</v>
      </c>
      <c r="B5490">
        <v>254.75</v>
      </c>
      <c r="E5490">
        <f t="shared" si="170"/>
        <v>5</v>
      </c>
      <c r="F5490">
        <f t="shared" si="171"/>
        <v>2021</v>
      </c>
    </row>
    <row r="5491" spans="1:6" x14ac:dyDescent="0.2">
      <c r="A5491" s="20">
        <v>44340</v>
      </c>
      <c r="B5491">
        <v>254.25</v>
      </c>
      <c r="E5491">
        <f t="shared" si="170"/>
        <v>5</v>
      </c>
      <c r="F5491">
        <f t="shared" si="171"/>
        <v>2021</v>
      </c>
    </row>
    <row r="5492" spans="1:6" x14ac:dyDescent="0.2">
      <c r="A5492" s="20">
        <v>44341</v>
      </c>
      <c r="B5492">
        <v>254.5</v>
      </c>
      <c r="E5492">
        <f t="shared" si="170"/>
        <v>5</v>
      </c>
      <c r="F5492">
        <f t="shared" si="171"/>
        <v>2021</v>
      </c>
    </row>
    <row r="5493" spans="1:6" x14ac:dyDescent="0.2">
      <c r="A5493" s="20">
        <v>44342</v>
      </c>
      <c r="B5493">
        <v>252.5</v>
      </c>
      <c r="E5493">
        <f t="shared" si="170"/>
        <v>5</v>
      </c>
      <c r="F5493">
        <f t="shared" si="171"/>
        <v>2021</v>
      </c>
    </row>
    <row r="5494" spans="1:6" x14ac:dyDescent="0.2">
      <c r="A5494" s="20">
        <v>44343</v>
      </c>
      <c r="B5494">
        <v>265</v>
      </c>
      <c r="E5494">
        <f t="shared" si="170"/>
        <v>5</v>
      </c>
      <c r="F5494">
        <f t="shared" si="171"/>
        <v>2021</v>
      </c>
    </row>
    <row r="5495" spans="1:6" x14ac:dyDescent="0.2">
      <c r="A5495" s="20">
        <v>44344</v>
      </c>
      <c r="B5495">
        <v>267.75</v>
      </c>
      <c r="E5495">
        <f t="shared" si="170"/>
        <v>5</v>
      </c>
      <c r="F5495">
        <f t="shared" si="171"/>
        <v>2021</v>
      </c>
    </row>
    <row r="5496" spans="1:6" x14ac:dyDescent="0.2">
      <c r="A5496" s="20">
        <v>44347</v>
      </c>
      <c r="B5496">
        <v>269.25</v>
      </c>
      <c r="E5496">
        <f t="shared" si="170"/>
        <v>5</v>
      </c>
      <c r="F5496">
        <f t="shared" si="171"/>
        <v>2021</v>
      </c>
    </row>
    <row r="5497" spans="1:6" x14ac:dyDescent="0.2">
      <c r="A5497" s="20">
        <v>44348</v>
      </c>
      <c r="B5497">
        <v>268.75</v>
      </c>
      <c r="E5497">
        <f t="shared" si="170"/>
        <v>6</v>
      </c>
      <c r="F5497">
        <f t="shared" si="171"/>
        <v>2021</v>
      </c>
    </row>
    <row r="5498" spans="1:6" x14ac:dyDescent="0.2">
      <c r="A5498" s="20">
        <v>44349</v>
      </c>
      <c r="B5498">
        <v>254</v>
      </c>
      <c r="E5498">
        <f t="shared" si="170"/>
        <v>6</v>
      </c>
      <c r="F5498">
        <f t="shared" si="171"/>
        <v>2021</v>
      </c>
    </row>
    <row r="5499" spans="1:6" x14ac:dyDescent="0.2">
      <c r="A5499" s="20">
        <v>44350</v>
      </c>
      <c r="B5499">
        <v>253</v>
      </c>
      <c r="E5499">
        <f t="shared" si="170"/>
        <v>6</v>
      </c>
      <c r="F5499">
        <f t="shared" si="171"/>
        <v>2021</v>
      </c>
    </row>
    <row r="5500" spans="1:6" x14ac:dyDescent="0.2">
      <c r="A5500" s="20">
        <v>44351</v>
      </c>
      <c r="B5500">
        <v>269.75</v>
      </c>
      <c r="E5500">
        <f t="shared" si="170"/>
        <v>6</v>
      </c>
      <c r="F5500">
        <f t="shared" si="171"/>
        <v>2021</v>
      </c>
    </row>
    <row r="5501" spans="1:6" x14ac:dyDescent="0.2">
      <c r="A5501" s="20">
        <v>44354</v>
      </c>
      <c r="B5501">
        <v>269.75</v>
      </c>
      <c r="E5501">
        <f t="shared" si="170"/>
        <v>6</v>
      </c>
      <c r="F5501">
        <f t="shared" si="171"/>
        <v>2021</v>
      </c>
    </row>
    <row r="5502" spans="1:6" x14ac:dyDescent="0.2">
      <c r="A5502" s="20">
        <v>44355</v>
      </c>
      <c r="B5502">
        <v>263.25</v>
      </c>
      <c r="E5502">
        <f t="shared" si="170"/>
        <v>6</v>
      </c>
      <c r="F5502">
        <f t="shared" si="171"/>
        <v>2021</v>
      </c>
    </row>
    <row r="5503" spans="1:6" x14ac:dyDescent="0.2">
      <c r="A5503" s="20">
        <v>44356</v>
      </c>
      <c r="B5503">
        <v>260.25</v>
      </c>
      <c r="E5503">
        <f t="shared" si="170"/>
        <v>6</v>
      </c>
      <c r="F5503">
        <f t="shared" si="171"/>
        <v>2021</v>
      </c>
    </row>
    <row r="5504" spans="1:6" x14ac:dyDescent="0.2">
      <c r="A5504" s="20">
        <v>44357</v>
      </c>
      <c r="B5504">
        <v>262</v>
      </c>
      <c r="E5504">
        <f t="shared" si="170"/>
        <v>6</v>
      </c>
      <c r="F5504">
        <f t="shared" si="171"/>
        <v>2021</v>
      </c>
    </row>
    <row r="5505" spans="1:6" x14ac:dyDescent="0.2">
      <c r="A5505" s="20">
        <v>44358</v>
      </c>
      <c r="B5505">
        <v>261</v>
      </c>
      <c r="E5505">
        <f t="shared" si="170"/>
        <v>6</v>
      </c>
      <c r="F5505">
        <f t="shared" si="171"/>
        <v>2021</v>
      </c>
    </row>
    <row r="5506" spans="1:6" x14ac:dyDescent="0.2">
      <c r="A5506" s="20">
        <v>44361</v>
      </c>
      <c r="B5506">
        <v>259.75</v>
      </c>
      <c r="E5506">
        <f t="shared" si="170"/>
        <v>6</v>
      </c>
      <c r="F5506">
        <f t="shared" si="171"/>
        <v>2021</v>
      </c>
    </row>
    <row r="5507" spans="1:6" x14ac:dyDescent="0.2">
      <c r="A5507" s="20">
        <v>44362</v>
      </c>
      <c r="B5507">
        <v>258</v>
      </c>
      <c r="E5507">
        <f t="shared" ref="E5507:E5570" si="172">MONTH(A5507)</f>
        <v>6</v>
      </c>
      <c r="F5507">
        <f t="shared" ref="F5507:F5570" si="173">YEAR(A5507)</f>
        <v>2021</v>
      </c>
    </row>
    <row r="5508" spans="1:6" x14ac:dyDescent="0.2">
      <c r="A5508" s="20">
        <v>44363</v>
      </c>
      <c r="B5508">
        <v>258.25</v>
      </c>
      <c r="E5508">
        <f t="shared" si="172"/>
        <v>6</v>
      </c>
      <c r="F5508">
        <f t="shared" si="173"/>
        <v>2021</v>
      </c>
    </row>
    <row r="5509" spans="1:6" x14ac:dyDescent="0.2">
      <c r="A5509" s="20">
        <v>44364</v>
      </c>
      <c r="B5509">
        <v>246</v>
      </c>
      <c r="E5509">
        <f t="shared" si="172"/>
        <v>6</v>
      </c>
      <c r="F5509">
        <f t="shared" si="173"/>
        <v>2021</v>
      </c>
    </row>
    <row r="5510" spans="1:6" x14ac:dyDescent="0.2">
      <c r="A5510" s="20">
        <v>44365</v>
      </c>
      <c r="B5510">
        <v>243</v>
      </c>
      <c r="E5510">
        <f t="shared" si="172"/>
        <v>6</v>
      </c>
      <c r="F5510">
        <f t="shared" si="173"/>
        <v>2021</v>
      </c>
    </row>
    <row r="5511" spans="1:6" x14ac:dyDescent="0.2">
      <c r="A5511" s="20">
        <v>44368</v>
      </c>
      <c r="B5511">
        <v>243</v>
      </c>
      <c r="E5511">
        <f t="shared" si="172"/>
        <v>6</v>
      </c>
      <c r="F5511">
        <f t="shared" si="173"/>
        <v>2021</v>
      </c>
    </row>
    <row r="5512" spans="1:6" x14ac:dyDescent="0.2">
      <c r="A5512" s="20">
        <v>44369</v>
      </c>
      <c r="B5512">
        <v>243.5</v>
      </c>
      <c r="E5512">
        <f t="shared" si="172"/>
        <v>6</v>
      </c>
      <c r="F5512">
        <f t="shared" si="173"/>
        <v>2021</v>
      </c>
    </row>
    <row r="5513" spans="1:6" x14ac:dyDescent="0.2">
      <c r="A5513" s="20">
        <v>44370</v>
      </c>
      <c r="B5513">
        <v>245.25</v>
      </c>
      <c r="E5513">
        <f t="shared" si="172"/>
        <v>6</v>
      </c>
      <c r="F5513">
        <f t="shared" si="173"/>
        <v>2021</v>
      </c>
    </row>
    <row r="5514" spans="1:6" x14ac:dyDescent="0.2">
      <c r="A5514" s="20">
        <v>44371</v>
      </c>
      <c r="B5514">
        <v>241.5</v>
      </c>
      <c r="E5514">
        <f t="shared" si="172"/>
        <v>6</v>
      </c>
      <c r="F5514">
        <f t="shared" si="173"/>
        <v>2021</v>
      </c>
    </row>
    <row r="5515" spans="1:6" x14ac:dyDescent="0.2">
      <c r="A5515" s="20">
        <v>44372</v>
      </c>
      <c r="B5515">
        <v>237.25</v>
      </c>
      <c r="E5515">
        <f t="shared" si="172"/>
        <v>6</v>
      </c>
      <c r="F5515">
        <f t="shared" si="173"/>
        <v>2021</v>
      </c>
    </row>
    <row r="5516" spans="1:6" x14ac:dyDescent="0.2">
      <c r="A5516" s="20">
        <v>44375</v>
      </c>
      <c r="B5516">
        <v>239</v>
      </c>
      <c r="E5516">
        <f t="shared" si="172"/>
        <v>6</v>
      </c>
      <c r="F5516">
        <f t="shared" si="173"/>
        <v>2021</v>
      </c>
    </row>
    <row r="5517" spans="1:6" x14ac:dyDescent="0.2">
      <c r="A5517" s="20">
        <v>44376</v>
      </c>
      <c r="B5517">
        <v>238.75</v>
      </c>
      <c r="E5517">
        <f t="shared" si="172"/>
        <v>6</v>
      </c>
      <c r="F5517">
        <f t="shared" si="173"/>
        <v>2021</v>
      </c>
    </row>
    <row r="5518" spans="1:6" x14ac:dyDescent="0.2">
      <c r="A5518" s="20">
        <v>44377</v>
      </c>
      <c r="B5518">
        <v>239.75</v>
      </c>
      <c r="E5518">
        <f t="shared" si="172"/>
        <v>6</v>
      </c>
      <c r="F5518">
        <f t="shared" si="173"/>
        <v>2021</v>
      </c>
    </row>
    <row r="5519" spans="1:6" x14ac:dyDescent="0.2">
      <c r="A5519" s="20">
        <v>44378</v>
      </c>
      <c r="B5519">
        <v>240.75</v>
      </c>
      <c r="E5519">
        <f t="shared" si="172"/>
        <v>7</v>
      </c>
      <c r="F5519">
        <f t="shared" si="173"/>
        <v>2021</v>
      </c>
    </row>
    <row r="5520" spans="1:6" x14ac:dyDescent="0.2">
      <c r="A5520" s="20">
        <v>44379</v>
      </c>
      <c r="B5520">
        <v>238.5</v>
      </c>
      <c r="E5520">
        <f t="shared" si="172"/>
        <v>7</v>
      </c>
      <c r="F5520">
        <f t="shared" si="173"/>
        <v>2021</v>
      </c>
    </row>
    <row r="5521" spans="1:6" x14ac:dyDescent="0.2">
      <c r="A5521" s="20">
        <v>44382</v>
      </c>
      <c r="B5521">
        <v>238</v>
      </c>
      <c r="E5521">
        <f t="shared" si="172"/>
        <v>7</v>
      </c>
      <c r="F5521">
        <f t="shared" si="173"/>
        <v>2021</v>
      </c>
    </row>
    <row r="5522" spans="1:6" x14ac:dyDescent="0.2">
      <c r="A5522" s="20">
        <v>44383</v>
      </c>
      <c r="B5522">
        <v>233.5</v>
      </c>
      <c r="E5522">
        <f t="shared" si="172"/>
        <v>7</v>
      </c>
      <c r="F5522">
        <f t="shared" si="173"/>
        <v>2021</v>
      </c>
    </row>
    <row r="5523" spans="1:6" x14ac:dyDescent="0.2">
      <c r="A5523" s="20">
        <v>44384</v>
      </c>
      <c r="B5523">
        <v>236.25</v>
      </c>
      <c r="E5523">
        <f t="shared" si="172"/>
        <v>7</v>
      </c>
      <c r="F5523">
        <f t="shared" si="173"/>
        <v>2021</v>
      </c>
    </row>
    <row r="5524" spans="1:6" x14ac:dyDescent="0.2">
      <c r="A5524" s="20">
        <v>44385</v>
      </c>
      <c r="B5524">
        <v>236</v>
      </c>
      <c r="E5524">
        <f t="shared" si="172"/>
        <v>7</v>
      </c>
      <c r="F5524">
        <f t="shared" si="173"/>
        <v>2021</v>
      </c>
    </row>
    <row r="5525" spans="1:6" x14ac:dyDescent="0.2">
      <c r="A5525" s="20">
        <v>44386</v>
      </c>
      <c r="B5525">
        <v>234.5</v>
      </c>
      <c r="E5525">
        <f t="shared" si="172"/>
        <v>7</v>
      </c>
      <c r="F5525">
        <f t="shared" si="173"/>
        <v>2021</v>
      </c>
    </row>
    <row r="5526" spans="1:6" x14ac:dyDescent="0.2">
      <c r="A5526" s="20">
        <v>44389</v>
      </c>
      <c r="B5526">
        <v>235</v>
      </c>
      <c r="E5526">
        <f t="shared" si="172"/>
        <v>7</v>
      </c>
      <c r="F5526">
        <f t="shared" si="173"/>
        <v>2021</v>
      </c>
    </row>
    <row r="5527" spans="1:6" x14ac:dyDescent="0.2">
      <c r="A5527" s="20">
        <v>44390</v>
      </c>
      <c r="B5527">
        <v>236</v>
      </c>
      <c r="E5527">
        <f t="shared" si="172"/>
        <v>7</v>
      </c>
      <c r="F5527">
        <f t="shared" si="173"/>
        <v>2021</v>
      </c>
    </row>
    <row r="5528" spans="1:6" x14ac:dyDescent="0.2">
      <c r="A5528" s="20">
        <v>44391</v>
      </c>
      <c r="B5528">
        <v>239</v>
      </c>
      <c r="E5528">
        <f t="shared" si="172"/>
        <v>7</v>
      </c>
      <c r="F5528">
        <f t="shared" si="173"/>
        <v>2021</v>
      </c>
    </row>
    <row r="5529" spans="1:6" x14ac:dyDescent="0.2">
      <c r="A5529" s="20">
        <v>44392</v>
      </c>
      <c r="B5529">
        <v>242.25</v>
      </c>
      <c r="E5529">
        <f t="shared" si="172"/>
        <v>7</v>
      </c>
      <c r="F5529">
        <f t="shared" si="173"/>
        <v>2021</v>
      </c>
    </row>
    <row r="5530" spans="1:6" x14ac:dyDescent="0.2">
      <c r="A5530" s="20">
        <v>44393</v>
      </c>
      <c r="B5530">
        <v>246</v>
      </c>
      <c r="E5530">
        <f t="shared" si="172"/>
        <v>7</v>
      </c>
      <c r="F5530">
        <f t="shared" si="173"/>
        <v>2021</v>
      </c>
    </row>
    <row r="5531" spans="1:6" x14ac:dyDescent="0.2">
      <c r="A5531" s="20">
        <v>44396</v>
      </c>
      <c r="B5531">
        <v>247</v>
      </c>
      <c r="E5531">
        <f t="shared" si="172"/>
        <v>7</v>
      </c>
      <c r="F5531">
        <f t="shared" si="173"/>
        <v>2021</v>
      </c>
    </row>
    <row r="5532" spans="1:6" x14ac:dyDescent="0.2">
      <c r="A5532" s="20">
        <v>44397</v>
      </c>
      <c r="B5532">
        <v>257</v>
      </c>
      <c r="E5532">
        <f t="shared" si="172"/>
        <v>7</v>
      </c>
      <c r="F5532">
        <f t="shared" si="173"/>
        <v>2021</v>
      </c>
    </row>
    <row r="5533" spans="1:6" x14ac:dyDescent="0.2">
      <c r="A5533" s="20">
        <v>44398</v>
      </c>
      <c r="B5533">
        <v>260</v>
      </c>
      <c r="E5533">
        <f t="shared" si="172"/>
        <v>7</v>
      </c>
      <c r="F5533">
        <f t="shared" si="173"/>
        <v>2021</v>
      </c>
    </row>
    <row r="5534" spans="1:6" x14ac:dyDescent="0.2">
      <c r="A5534" s="20">
        <v>44399</v>
      </c>
      <c r="B5534">
        <v>260.75</v>
      </c>
      <c r="E5534">
        <f t="shared" si="172"/>
        <v>7</v>
      </c>
      <c r="F5534">
        <f t="shared" si="173"/>
        <v>2021</v>
      </c>
    </row>
    <row r="5535" spans="1:6" x14ac:dyDescent="0.2">
      <c r="A5535" s="20">
        <v>44400</v>
      </c>
      <c r="B5535">
        <v>259</v>
      </c>
      <c r="E5535">
        <f t="shared" si="172"/>
        <v>7</v>
      </c>
      <c r="F5535">
        <f t="shared" si="173"/>
        <v>2021</v>
      </c>
    </row>
    <row r="5536" spans="1:6" x14ac:dyDescent="0.2">
      <c r="A5536" s="20">
        <v>44403</v>
      </c>
      <c r="B5536">
        <v>258</v>
      </c>
      <c r="E5536">
        <f t="shared" si="172"/>
        <v>7</v>
      </c>
      <c r="F5536">
        <f t="shared" si="173"/>
        <v>2021</v>
      </c>
    </row>
    <row r="5537" spans="1:6" x14ac:dyDescent="0.2">
      <c r="A5537" s="20">
        <v>44404</v>
      </c>
      <c r="B5537">
        <v>258.5</v>
      </c>
      <c r="E5537">
        <f t="shared" si="172"/>
        <v>7</v>
      </c>
      <c r="F5537">
        <f t="shared" si="173"/>
        <v>2021</v>
      </c>
    </row>
    <row r="5538" spans="1:6" x14ac:dyDescent="0.2">
      <c r="A5538" s="20">
        <v>44405</v>
      </c>
      <c r="B5538">
        <v>262</v>
      </c>
      <c r="E5538">
        <f t="shared" si="172"/>
        <v>7</v>
      </c>
      <c r="F5538">
        <f t="shared" si="173"/>
        <v>2021</v>
      </c>
    </row>
    <row r="5539" spans="1:6" x14ac:dyDescent="0.2">
      <c r="A5539" s="20">
        <v>44406</v>
      </c>
      <c r="B5539">
        <v>267.25</v>
      </c>
      <c r="E5539">
        <f t="shared" si="172"/>
        <v>7</v>
      </c>
      <c r="F5539">
        <f t="shared" si="173"/>
        <v>2021</v>
      </c>
    </row>
    <row r="5540" spans="1:6" x14ac:dyDescent="0.2">
      <c r="A5540" s="20">
        <v>44407</v>
      </c>
      <c r="B5540">
        <v>284</v>
      </c>
      <c r="E5540">
        <f t="shared" si="172"/>
        <v>7</v>
      </c>
      <c r="F5540">
        <f t="shared" si="173"/>
        <v>2021</v>
      </c>
    </row>
    <row r="5541" spans="1:6" x14ac:dyDescent="0.2">
      <c r="A5541" s="20">
        <v>44410</v>
      </c>
      <c r="B5541">
        <v>290</v>
      </c>
      <c r="E5541">
        <f t="shared" si="172"/>
        <v>8</v>
      </c>
      <c r="F5541">
        <f t="shared" si="173"/>
        <v>2021</v>
      </c>
    </row>
    <row r="5542" spans="1:6" x14ac:dyDescent="0.2">
      <c r="A5542" s="20">
        <v>44411</v>
      </c>
      <c r="B5542">
        <v>295</v>
      </c>
      <c r="E5542">
        <f t="shared" si="172"/>
        <v>8</v>
      </c>
      <c r="F5542">
        <f t="shared" si="173"/>
        <v>2021</v>
      </c>
    </row>
    <row r="5543" spans="1:6" x14ac:dyDescent="0.2">
      <c r="A5543" s="20">
        <v>44412</v>
      </c>
      <c r="B5543">
        <v>320</v>
      </c>
      <c r="E5543">
        <f t="shared" si="172"/>
        <v>8</v>
      </c>
      <c r="F5543">
        <f t="shared" si="173"/>
        <v>2021</v>
      </c>
    </row>
    <row r="5544" spans="1:6" x14ac:dyDescent="0.2">
      <c r="A5544" s="20">
        <v>44413</v>
      </c>
      <c r="B5544">
        <v>300</v>
      </c>
      <c r="E5544">
        <f t="shared" si="172"/>
        <v>8</v>
      </c>
      <c r="F5544">
        <f t="shared" si="173"/>
        <v>2021</v>
      </c>
    </row>
    <row r="5545" spans="1:6" x14ac:dyDescent="0.2">
      <c r="A5545" s="20">
        <v>44414</v>
      </c>
      <c r="B5545">
        <v>213.5</v>
      </c>
      <c r="E5545">
        <f t="shared" si="172"/>
        <v>8</v>
      </c>
      <c r="F5545">
        <f t="shared" si="173"/>
        <v>2021</v>
      </c>
    </row>
    <row r="5546" spans="1:6" x14ac:dyDescent="0.2">
      <c r="A5546" s="20">
        <v>44417</v>
      </c>
      <c r="B5546">
        <v>213.5</v>
      </c>
      <c r="E5546">
        <f t="shared" si="172"/>
        <v>8</v>
      </c>
      <c r="F5546">
        <f t="shared" si="173"/>
        <v>2021</v>
      </c>
    </row>
    <row r="5547" spans="1:6" x14ac:dyDescent="0.2">
      <c r="A5547" s="20">
        <v>44418</v>
      </c>
      <c r="B5547">
        <v>214.5</v>
      </c>
      <c r="E5547">
        <f t="shared" si="172"/>
        <v>8</v>
      </c>
      <c r="F5547">
        <f t="shared" si="173"/>
        <v>2021</v>
      </c>
    </row>
    <row r="5548" spans="1:6" x14ac:dyDescent="0.2">
      <c r="A5548" s="20">
        <v>44419</v>
      </c>
      <c r="B5548">
        <v>216.75</v>
      </c>
      <c r="E5548">
        <f t="shared" si="172"/>
        <v>8</v>
      </c>
      <c r="F5548">
        <f t="shared" si="173"/>
        <v>2021</v>
      </c>
    </row>
    <row r="5549" spans="1:6" x14ac:dyDescent="0.2">
      <c r="A5549" s="20">
        <v>44420</v>
      </c>
      <c r="B5549">
        <v>221.75</v>
      </c>
      <c r="E5549">
        <f t="shared" si="172"/>
        <v>8</v>
      </c>
      <c r="F5549">
        <f t="shared" si="173"/>
        <v>2021</v>
      </c>
    </row>
    <row r="5550" spans="1:6" x14ac:dyDescent="0.2">
      <c r="A5550" s="20">
        <v>44421</v>
      </c>
      <c r="B5550">
        <v>221.75</v>
      </c>
      <c r="E5550">
        <f t="shared" si="172"/>
        <v>8</v>
      </c>
      <c r="F5550">
        <f t="shared" si="173"/>
        <v>2021</v>
      </c>
    </row>
    <row r="5551" spans="1:6" x14ac:dyDescent="0.2">
      <c r="A5551" s="20">
        <v>44424</v>
      </c>
      <c r="B5551">
        <v>219.5</v>
      </c>
      <c r="E5551">
        <f t="shared" si="172"/>
        <v>8</v>
      </c>
      <c r="F5551">
        <f t="shared" si="173"/>
        <v>2021</v>
      </c>
    </row>
    <row r="5552" spans="1:6" x14ac:dyDescent="0.2">
      <c r="A5552" s="20">
        <v>44425</v>
      </c>
      <c r="B5552">
        <v>216</v>
      </c>
      <c r="E5552">
        <f t="shared" si="172"/>
        <v>8</v>
      </c>
      <c r="F5552">
        <f t="shared" si="173"/>
        <v>2021</v>
      </c>
    </row>
    <row r="5553" spans="1:6" x14ac:dyDescent="0.2">
      <c r="A5553" s="20">
        <v>44426</v>
      </c>
      <c r="B5553">
        <v>217</v>
      </c>
      <c r="E5553">
        <f t="shared" si="172"/>
        <v>8</v>
      </c>
      <c r="F5553">
        <f t="shared" si="173"/>
        <v>2021</v>
      </c>
    </row>
    <row r="5554" spans="1:6" x14ac:dyDescent="0.2">
      <c r="A5554" s="20">
        <v>44427</v>
      </c>
      <c r="B5554">
        <v>215.75</v>
      </c>
      <c r="E5554">
        <f t="shared" si="172"/>
        <v>8</v>
      </c>
      <c r="F5554">
        <f t="shared" si="173"/>
        <v>2021</v>
      </c>
    </row>
    <row r="5555" spans="1:6" x14ac:dyDescent="0.2">
      <c r="A5555" s="20">
        <v>44428</v>
      </c>
      <c r="B5555">
        <v>216</v>
      </c>
      <c r="E5555">
        <f t="shared" si="172"/>
        <v>8</v>
      </c>
      <c r="F5555">
        <f t="shared" si="173"/>
        <v>2021</v>
      </c>
    </row>
    <row r="5556" spans="1:6" x14ac:dyDescent="0.2">
      <c r="A5556" s="20">
        <v>44431</v>
      </c>
      <c r="B5556">
        <v>215.75</v>
      </c>
      <c r="E5556">
        <f t="shared" si="172"/>
        <v>8</v>
      </c>
      <c r="F5556">
        <f t="shared" si="173"/>
        <v>2021</v>
      </c>
    </row>
    <row r="5557" spans="1:6" x14ac:dyDescent="0.2">
      <c r="A5557" s="20">
        <v>44432</v>
      </c>
      <c r="B5557">
        <v>219</v>
      </c>
      <c r="E5557">
        <f t="shared" si="172"/>
        <v>8</v>
      </c>
      <c r="F5557">
        <f t="shared" si="173"/>
        <v>2021</v>
      </c>
    </row>
    <row r="5558" spans="1:6" x14ac:dyDescent="0.2">
      <c r="A5558" s="20">
        <v>44433</v>
      </c>
      <c r="B5558">
        <v>220</v>
      </c>
      <c r="E5558">
        <f t="shared" si="172"/>
        <v>8</v>
      </c>
      <c r="F5558">
        <f t="shared" si="173"/>
        <v>2021</v>
      </c>
    </row>
    <row r="5559" spans="1:6" x14ac:dyDescent="0.2">
      <c r="A5559" s="20">
        <v>44434</v>
      </c>
      <c r="B5559">
        <v>222.5</v>
      </c>
      <c r="E5559">
        <f t="shared" si="172"/>
        <v>8</v>
      </c>
      <c r="F5559">
        <f t="shared" si="173"/>
        <v>2021</v>
      </c>
    </row>
    <row r="5560" spans="1:6" x14ac:dyDescent="0.2">
      <c r="A5560" s="20">
        <v>44435</v>
      </c>
      <c r="B5560">
        <v>221.25</v>
      </c>
      <c r="E5560">
        <f t="shared" si="172"/>
        <v>8</v>
      </c>
      <c r="F5560">
        <f t="shared" si="173"/>
        <v>2021</v>
      </c>
    </row>
    <row r="5561" spans="1:6" x14ac:dyDescent="0.2">
      <c r="A5561" s="20">
        <v>44438</v>
      </c>
      <c r="B5561">
        <v>221</v>
      </c>
      <c r="E5561">
        <f t="shared" si="172"/>
        <v>8</v>
      </c>
      <c r="F5561">
        <f t="shared" si="173"/>
        <v>2021</v>
      </c>
    </row>
    <row r="5562" spans="1:6" x14ac:dyDescent="0.2">
      <c r="A5562" s="20">
        <v>44439</v>
      </c>
      <c r="B5562">
        <v>219.5</v>
      </c>
      <c r="E5562">
        <f t="shared" si="172"/>
        <v>8</v>
      </c>
      <c r="F5562">
        <f t="shared" si="173"/>
        <v>2021</v>
      </c>
    </row>
    <row r="5563" spans="1:6" x14ac:dyDescent="0.2">
      <c r="A5563" s="20">
        <v>44440</v>
      </c>
      <c r="B5563">
        <v>217.5</v>
      </c>
      <c r="E5563">
        <f t="shared" si="172"/>
        <v>9</v>
      </c>
      <c r="F5563">
        <f t="shared" si="173"/>
        <v>2021</v>
      </c>
    </row>
    <row r="5564" spans="1:6" x14ac:dyDescent="0.2">
      <c r="A5564" s="20">
        <v>44441</v>
      </c>
      <c r="B5564">
        <v>217.5</v>
      </c>
      <c r="E5564">
        <f t="shared" si="172"/>
        <v>9</v>
      </c>
      <c r="F5564">
        <f t="shared" si="173"/>
        <v>2021</v>
      </c>
    </row>
    <row r="5565" spans="1:6" x14ac:dyDescent="0.2">
      <c r="A5565" s="20">
        <v>44442</v>
      </c>
      <c r="B5565">
        <v>217</v>
      </c>
      <c r="E5565">
        <f t="shared" si="172"/>
        <v>9</v>
      </c>
      <c r="F5565">
        <f t="shared" si="173"/>
        <v>2021</v>
      </c>
    </row>
    <row r="5566" spans="1:6" x14ac:dyDescent="0.2">
      <c r="A5566" s="20">
        <v>44445</v>
      </c>
      <c r="B5566">
        <v>215.5</v>
      </c>
      <c r="E5566">
        <f t="shared" si="172"/>
        <v>9</v>
      </c>
      <c r="F5566">
        <f t="shared" si="173"/>
        <v>2021</v>
      </c>
    </row>
    <row r="5567" spans="1:6" x14ac:dyDescent="0.2">
      <c r="A5567" s="20">
        <v>44446</v>
      </c>
      <c r="B5567">
        <v>213.25</v>
      </c>
      <c r="E5567">
        <f t="shared" si="172"/>
        <v>9</v>
      </c>
      <c r="F5567">
        <f t="shared" si="173"/>
        <v>2021</v>
      </c>
    </row>
    <row r="5568" spans="1:6" x14ac:dyDescent="0.2">
      <c r="A5568" s="20">
        <v>44447</v>
      </c>
      <c r="B5568">
        <v>215</v>
      </c>
      <c r="E5568">
        <f t="shared" si="172"/>
        <v>9</v>
      </c>
      <c r="F5568">
        <f t="shared" si="173"/>
        <v>2021</v>
      </c>
    </row>
    <row r="5569" spans="1:6" x14ac:dyDescent="0.2">
      <c r="A5569" s="20">
        <v>44448</v>
      </c>
      <c r="B5569">
        <v>213.5</v>
      </c>
      <c r="E5569">
        <f t="shared" si="172"/>
        <v>9</v>
      </c>
      <c r="F5569">
        <f t="shared" si="173"/>
        <v>2021</v>
      </c>
    </row>
    <row r="5570" spans="1:6" x14ac:dyDescent="0.2">
      <c r="A5570" s="20">
        <v>44449</v>
      </c>
      <c r="B5570">
        <v>211.5</v>
      </c>
      <c r="E5570">
        <f t="shared" si="172"/>
        <v>9</v>
      </c>
      <c r="F5570">
        <f t="shared" si="173"/>
        <v>2021</v>
      </c>
    </row>
    <row r="5571" spans="1:6" x14ac:dyDescent="0.2">
      <c r="A5571" s="20">
        <v>44452</v>
      </c>
      <c r="B5571">
        <v>211.75</v>
      </c>
      <c r="E5571">
        <f t="shared" ref="E5571:E5634" si="174">MONTH(A5571)</f>
        <v>9</v>
      </c>
      <c r="F5571">
        <f t="shared" ref="F5571:F5634" si="175">YEAR(A5571)</f>
        <v>2021</v>
      </c>
    </row>
    <row r="5572" spans="1:6" x14ac:dyDescent="0.2">
      <c r="A5572" s="20">
        <v>44453</v>
      </c>
      <c r="B5572">
        <v>214.75</v>
      </c>
      <c r="E5572">
        <f t="shared" si="174"/>
        <v>9</v>
      </c>
      <c r="F5572">
        <f t="shared" si="175"/>
        <v>2021</v>
      </c>
    </row>
    <row r="5573" spans="1:6" x14ac:dyDescent="0.2">
      <c r="A5573" s="20">
        <v>44454</v>
      </c>
      <c r="B5573">
        <v>219.25</v>
      </c>
      <c r="E5573">
        <f t="shared" si="174"/>
        <v>9</v>
      </c>
      <c r="F5573">
        <f t="shared" si="175"/>
        <v>2021</v>
      </c>
    </row>
    <row r="5574" spans="1:6" x14ac:dyDescent="0.2">
      <c r="A5574" s="20">
        <v>44455</v>
      </c>
      <c r="B5574">
        <v>219</v>
      </c>
      <c r="E5574">
        <f t="shared" si="174"/>
        <v>9</v>
      </c>
      <c r="F5574">
        <f t="shared" si="175"/>
        <v>2021</v>
      </c>
    </row>
    <row r="5575" spans="1:6" x14ac:dyDescent="0.2">
      <c r="A5575" s="20">
        <v>44456</v>
      </c>
      <c r="B5575">
        <v>218</v>
      </c>
      <c r="E5575">
        <f t="shared" si="174"/>
        <v>9</v>
      </c>
      <c r="F5575">
        <f t="shared" si="175"/>
        <v>2021</v>
      </c>
    </row>
    <row r="5576" spans="1:6" x14ac:dyDescent="0.2">
      <c r="A5576" s="20">
        <v>44459</v>
      </c>
      <c r="B5576">
        <v>216.75</v>
      </c>
      <c r="E5576">
        <f t="shared" si="174"/>
        <v>9</v>
      </c>
      <c r="F5576">
        <f t="shared" si="175"/>
        <v>2021</v>
      </c>
    </row>
    <row r="5577" spans="1:6" x14ac:dyDescent="0.2">
      <c r="A5577" s="20">
        <v>44460</v>
      </c>
      <c r="B5577">
        <v>215.75</v>
      </c>
      <c r="E5577">
        <f t="shared" si="174"/>
        <v>9</v>
      </c>
      <c r="F5577">
        <f t="shared" si="175"/>
        <v>2021</v>
      </c>
    </row>
    <row r="5578" spans="1:6" x14ac:dyDescent="0.2">
      <c r="A5578" s="20">
        <v>44461</v>
      </c>
      <c r="B5578">
        <v>219.25</v>
      </c>
      <c r="E5578">
        <f t="shared" si="174"/>
        <v>9</v>
      </c>
      <c r="F5578">
        <f t="shared" si="175"/>
        <v>2021</v>
      </c>
    </row>
    <row r="5579" spans="1:6" x14ac:dyDescent="0.2">
      <c r="A5579" s="20">
        <v>44462</v>
      </c>
      <c r="B5579">
        <v>221.75</v>
      </c>
      <c r="E5579">
        <f t="shared" si="174"/>
        <v>9</v>
      </c>
      <c r="F5579">
        <f t="shared" si="175"/>
        <v>2021</v>
      </c>
    </row>
    <row r="5580" spans="1:6" x14ac:dyDescent="0.2">
      <c r="A5580" s="20">
        <v>44463</v>
      </c>
      <c r="B5580">
        <v>223.5</v>
      </c>
      <c r="E5580">
        <f t="shared" si="174"/>
        <v>9</v>
      </c>
      <c r="F5580">
        <f t="shared" si="175"/>
        <v>2021</v>
      </c>
    </row>
    <row r="5581" spans="1:6" x14ac:dyDescent="0.2">
      <c r="A5581" s="20">
        <v>44466</v>
      </c>
      <c r="B5581">
        <v>225</v>
      </c>
      <c r="E5581">
        <f t="shared" si="174"/>
        <v>9</v>
      </c>
      <c r="F5581">
        <f t="shared" si="175"/>
        <v>2021</v>
      </c>
    </row>
    <row r="5582" spans="1:6" x14ac:dyDescent="0.2">
      <c r="A5582" s="20">
        <v>44467</v>
      </c>
      <c r="B5582">
        <v>226.75</v>
      </c>
      <c r="E5582">
        <f t="shared" si="174"/>
        <v>9</v>
      </c>
      <c r="F5582">
        <f t="shared" si="175"/>
        <v>2021</v>
      </c>
    </row>
    <row r="5583" spans="1:6" x14ac:dyDescent="0.2">
      <c r="A5583" s="20">
        <v>44468</v>
      </c>
      <c r="B5583">
        <v>230</v>
      </c>
      <c r="E5583">
        <f t="shared" si="174"/>
        <v>9</v>
      </c>
      <c r="F5583">
        <f t="shared" si="175"/>
        <v>2021</v>
      </c>
    </row>
    <row r="5584" spans="1:6" x14ac:dyDescent="0.2">
      <c r="A5584" s="20">
        <v>44469</v>
      </c>
      <c r="B5584">
        <v>230.75</v>
      </c>
      <c r="E5584">
        <f t="shared" si="174"/>
        <v>9</v>
      </c>
      <c r="F5584">
        <f t="shared" si="175"/>
        <v>2021</v>
      </c>
    </row>
    <row r="5585" spans="1:6" x14ac:dyDescent="0.2">
      <c r="A5585" s="20">
        <v>44470</v>
      </c>
      <c r="B5585">
        <v>236.5</v>
      </c>
      <c r="E5585">
        <f t="shared" si="174"/>
        <v>10</v>
      </c>
      <c r="F5585">
        <f t="shared" si="175"/>
        <v>2021</v>
      </c>
    </row>
    <row r="5586" spans="1:6" x14ac:dyDescent="0.2">
      <c r="A5586" s="20">
        <v>44473</v>
      </c>
      <c r="B5586">
        <v>237.25</v>
      </c>
      <c r="E5586">
        <f t="shared" si="174"/>
        <v>10</v>
      </c>
      <c r="F5586">
        <f t="shared" si="175"/>
        <v>2021</v>
      </c>
    </row>
    <row r="5587" spans="1:6" x14ac:dyDescent="0.2">
      <c r="A5587" s="20">
        <v>44474</v>
      </c>
      <c r="B5587">
        <v>237.75</v>
      </c>
      <c r="E5587">
        <f t="shared" si="174"/>
        <v>10</v>
      </c>
      <c r="F5587">
        <f t="shared" si="175"/>
        <v>2021</v>
      </c>
    </row>
    <row r="5588" spans="1:6" x14ac:dyDescent="0.2">
      <c r="A5588" s="20">
        <v>44475</v>
      </c>
      <c r="B5588">
        <v>242.25</v>
      </c>
      <c r="E5588">
        <f t="shared" si="174"/>
        <v>10</v>
      </c>
      <c r="F5588">
        <f t="shared" si="175"/>
        <v>2021</v>
      </c>
    </row>
    <row r="5589" spans="1:6" x14ac:dyDescent="0.2">
      <c r="A5589" s="20">
        <v>44476</v>
      </c>
      <c r="B5589">
        <v>244.5</v>
      </c>
      <c r="E5589">
        <f t="shared" si="174"/>
        <v>10</v>
      </c>
      <c r="F5589">
        <f t="shared" si="175"/>
        <v>2021</v>
      </c>
    </row>
    <row r="5590" spans="1:6" x14ac:dyDescent="0.2">
      <c r="A5590" s="20">
        <v>44477</v>
      </c>
      <c r="B5590">
        <v>250</v>
      </c>
      <c r="E5590">
        <f t="shared" si="174"/>
        <v>10</v>
      </c>
      <c r="F5590">
        <f t="shared" si="175"/>
        <v>2021</v>
      </c>
    </row>
    <row r="5591" spans="1:6" x14ac:dyDescent="0.2">
      <c r="A5591" s="20">
        <v>44480</v>
      </c>
      <c r="B5591">
        <v>251.5</v>
      </c>
      <c r="E5591">
        <f t="shared" si="174"/>
        <v>10</v>
      </c>
      <c r="F5591">
        <f t="shared" si="175"/>
        <v>2021</v>
      </c>
    </row>
    <row r="5592" spans="1:6" x14ac:dyDescent="0.2">
      <c r="A5592" s="20">
        <v>44481</v>
      </c>
      <c r="B5592">
        <v>249</v>
      </c>
      <c r="E5592">
        <f t="shared" si="174"/>
        <v>10</v>
      </c>
      <c r="F5592">
        <f t="shared" si="175"/>
        <v>2021</v>
      </c>
    </row>
    <row r="5593" spans="1:6" x14ac:dyDescent="0.2">
      <c r="A5593" s="20">
        <v>44482</v>
      </c>
      <c r="B5593">
        <v>240</v>
      </c>
      <c r="E5593">
        <f t="shared" si="174"/>
        <v>10</v>
      </c>
      <c r="F5593">
        <f t="shared" si="175"/>
        <v>2021</v>
      </c>
    </row>
    <row r="5594" spans="1:6" x14ac:dyDescent="0.2">
      <c r="A5594" s="20">
        <v>44483</v>
      </c>
      <c r="B5594">
        <v>241</v>
      </c>
      <c r="E5594">
        <f t="shared" si="174"/>
        <v>10</v>
      </c>
      <c r="F5594">
        <f t="shared" si="175"/>
        <v>2021</v>
      </c>
    </row>
    <row r="5595" spans="1:6" x14ac:dyDescent="0.2">
      <c r="A5595" s="20">
        <v>44484</v>
      </c>
      <c r="B5595">
        <v>245.75</v>
      </c>
      <c r="E5595">
        <f t="shared" si="174"/>
        <v>10</v>
      </c>
      <c r="F5595">
        <f t="shared" si="175"/>
        <v>2021</v>
      </c>
    </row>
    <row r="5596" spans="1:6" x14ac:dyDescent="0.2">
      <c r="A5596" s="20">
        <v>44487</v>
      </c>
      <c r="B5596">
        <v>245.25</v>
      </c>
      <c r="E5596">
        <f t="shared" si="174"/>
        <v>10</v>
      </c>
      <c r="F5596">
        <f t="shared" si="175"/>
        <v>2021</v>
      </c>
    </row>
    <row r="5597" spans="1:6" x14ac:dyDescent="0.2">
      <c r="A5597" s="20">
        <v>44488</v>
      </c>
      <c r="B5597">
        <v>245.5</v>
      </c>
      <c r="E5597">
        <f t="shared" si="174"/>
        <v>10</v>
      </c>
      <c r="F5597">
        <f t="shared" si="175"/>
        <v>2021</v>
      </c>
    </row>
    <row r="5598" spans="1:6" x14ac:dyDescent="0.2">
      <c r="A5598" s="20">
        <v>44489</v>
      </c>
      <c r="B5598">
        <v>247.25</v>
      </c>
      <c r="E5598">
        <f t="shared" si="174"/>
        <v>10</v>
      </c>
      <c r="F5598">
        <f t="shared" si="175"/>
        <v>2021</v>
      </c>
    </row>
    <row r="5599" spans="1:6" x14ac:dyDescent="0.2">
      <c r="A5599" s="20">
        <v>44490</v>
      </c>
      <c r="B5599">
        <v>247.25</v>
      </c>
      <c r="E5599">
        <f t="shared" si="174"/>
        <v>10</v>
      </c>
      <c r="F5599">
        <f t="shared" si="175"/>
        <v>2021</v>
      </c>
    </row>
    <row r="5600" spans="1:6" x14ac:dyDescent="0.2">
      <c r="A5600" s="20">
        <v>44491</v>
      </c>
      <c r="B5600">
        <v>249</v>
      </c>
      <c r="E5600">
        <f t="shared" si="174"/>
        <v>10</v>
      </c>
      <c r="F5600">
        <f t="shared" si="175"/>
        <v>2021</v>
      </c>
    </row>
    <row r="5601" spans="1:6" x14ac:dyDescent="0.2">
      <c r="A5601" s="20">
        <v>44494</v>
      </c>
      <c r="B5601">
        <v>247.25</v>
      </c>
      <c r="E5601">
        <f t="shared" si="174"/>
        <v>10</v>
      </c>
      <c r="F5601">
        <f t="shared" si="175"/>
        <v>2021</v>
      </c>
    </row>
    <row r="5602" spans="1:6" x14ac:dyDescent="0.2">
      <c r="A5602" s="20">
        <v>44495</v>
      </c>
      <c r="B5602">
        <v>244</v>
      </c>
      <c r="E5602">
        <f t="shared" si="174"/>
        <v>10</v>
      </c>
      <c r="F5602">
        <f t="shared" si="175"/>
        <v>2021</v>
      </c>
    </row>
    <row r="5603" spans="1:6" x14ac:dyDescent="0.2">
      <c r="A5603" s="20">
        <v>44496</v>
      </c>
      <c r="B5603">
        <v>244</v>
      </c>
      <c r="E5603">
        <f t="shared" si="174"/>
        <v>10</v>
      </c>
      <c r="F5603">
        <f t="shared" si="175"/>
        <v>2021</v>
      </c>
    </row>
    <row r="5604" spans="1:6" x14ac:dyDescent="0.2">
      <c r="A5604" s="20">
        <v>44497</v>
      </c>
      <c r="B5604">
        <v>242.5</v>
      </c>
      <c r="E5604">
        <f t="shared" si="174"/>
        <v>10</v>
      </c>
      <c r="F5604">
        <f t="shared" si="175"/>
        <v>2021</v>
      </c>
    </row>
    <row r="5605" spans="1:6" x14ac:dyDescent="0.2">
      <c r="A5605" s="20">
        <v>44498</v>
      </c>
      <c r="B5605">
        <v>239.5</v>
      </c>
      <c r="E5605">
        <f t="shared" si="174"/>
        <v>10</v>
      </c>
      <c r="F5605">
        <f t="shared" si="175"/>
        <v>2021</v>
      </c>
    </row>
    <row r="5606" spans="1:6" x14ac:dyDescent="0.2">
      <c r="A5606" s="20">
        <v>44501</v>
      </c>
      <c r="B5606">
        <v>225</v>
      </c>
      <c r="E5606">
        <f t="shared" si="174"/>
        <v>11</v>
      </c>
      <c r="F5606">
        <f t="shared" si="175"/>
        <v>2021</v>
      </c>
    </row>
    <row r="5607" spans="1:6" x14ac:dyDescent="0.2">
      <c r="A5607" s="20">
        <v>44502</v>
      </c>
      <c r="B5607">
        <v>235.5</v>
      </c>
      <c r="E5607">
        <f t="shared" si="174"/>
        <v>11</v>
      </c>
      <c r="F5607">
        <f t="shared" si="175"/>
        <v>2021</v>
      </c>
    </row>
    <row r="5608" spans="1:6" x14ac:dyDescent="0.2">
      <c r="A5608" s="20">
        <v>44503</v>
      </c>
      <c r="B5608">
        <v>219.5</v>
      </c>
      <c r="E5608">
        <f t="shared" si="174"/>
        <v>11</v>
      </c>
      <c r="F5608">
        <f t="shared" si="175"/>
        <v>2021</v>
      </c>
    </row>
    <row r="5609" spans="1:6" x14ac:dyDescent="0.2">
      <c r="A5609" s="20">
        <v>44504</v>
      </c>
      <c r="B5609">
        <v>239.75</v>
      </c>
      <c r="E5609">
        <f t="shared" si="174"/>
        <v>11</v>
      </c>
      <c r="F5609">
        <f t="shared" si="175"/>
        <v>2021</v>
      </c>
    </row>
    <row r="5610" spans="1:6" x14ac:dyDescent="0.2">
      <c r="A5610" s="20">
        <v>44505</v>
      </c>
      <c r="B5610">
        <v>239.75</v>
      </c>
      <c r="E5610">
        <f t="shared" si="174"/>
        <v>11</v>
      </c>
      <c r="F5610">
        <f t="shared" si="175"/>
        <v>2021</v>
      </c>
    </row>
    <row r="5611" spans="1:6" x14ac:dyDescent="0.2">
      <c r="A5611" s="20">
        <v>44508</v>
      </c>
      <c r="B5611">
        <v>235</v>
      </c>
      <c r="E5611">
        <f t="shared" si="174"/>
        <v>11</v>
      </c>
      <c r="F5611">
        <f t="shared" si="175"/>
        <v>2021</v>
      </c>
    </row>
    <row r="5612" spans="1:6" x14ac:dyDescent="0.2">
      <c r="A5612" s="20">
        <v>44509</v>
      </c>
      <c r="B5612">
        <v>235.5</v>
      </c>
      <c r="E5612">
        <f t="shared" si="174"/>
        <v>11</v>
      </c>
      <c r="F5612">
        <f t="shared" si="175"/>
        <v>2021</v>
      </c>
    </row>
    <row r="5613" spans="1:6" x14ac:dyDescent="0.2">
      <c r="A5613" s="20">
        <v>44510</v>
      </c>
      <c r="B5613">
        <v>237.5</v>
      </c>
      <c r="E5613">
        <f t="shared" si="174"/>
        <v>11</v>
      </c>
      <c r="F5613">
        <f t="shared" si="175"/>
        <v>2021</v>
      </c>
    </row>
    <row r="5614" spans="1:6" x14ac:dyDescent="0.2">
      <c r="A5614" s="20">
        <v>44511</v>
      </c>
      <c r="B5614">
        <v>240</v>
      </c>
      <c r="E5614">
        <f t="shared" si="174"/>
        <v>11</v>
      </c>
      <c r="F5614">
        <f t="shared" si="175"/>
        <v>2021</v>
      </c>
    </row>
    <row r="5615" spans="1:6" x14ac:dyDescent="0.2">
      <c r="A5615" s="20">
        <v>44512</v>
      </c>
      <c r="B5615">
        <v>244</v>
      </c>
      <c r="E5615">
        <f t="shared" si="174"/>
        <v>11</v>
      </c>
      <c r="F5615">
        <f t="shared" si="175"/>
        <v>2021</v>
      </c>
    </row>
    <row r="5616" spans="1:6" x14ac:dyDescent="0.2">
      <c r="A5616" s="20">
        <v>44515</v>
      </c>
      <c r="B5616">
        <v>244.5</v>
      </c>
      <c r="E5616">
        <f t="shared" si="174"/>
        <v>11</v>
      </c>
      <c r="F5616">
        <f t="shared" si="175"/>
        <v>2021</v>
      </c>
    </row>
    <row r="5617" spans="1:6" x14ac:dyDescent="0.2">
      <c r="A5617" s="20">
        <v>44516</v>
      </c>
      <c r="B5617">
        <v>241.5</v>
      </c>
      <c r="E5617">
        <f t="shared" si="174"/>
        <v>11</v>
      </c>
      <c r="F5617">
        <f t="shared" si="175"/>
        <v>2021</v>
      </c>
    </row>
    <row r="5618" spans="1:6" x14ac:dyDescent="0.2">
      <c r="A5618" s="20">
        <v>44517</v>
      </c>
      <c r="B5618">
        <v>245.75</v>
      </c>
      <c r="E5618">
        <f t="shared" si="174"/>
        <v>11</v>
      </c>
      <c r="F5618">
        <f t="shared" si="175"/>
        <v>2021</v>
      </c>
    </row>
    <row r="5619" spans="1:6" x14ac:dyDescent="0.2">
      <c r="A5619" s="20">
        <v>44518</v>
      </c>
      <c r="B5619">
        <v>247.75</v>
      </c>
      <c r="E5619">
        <f t="shared" si="174"/>
        <v>11</v>
      </c>
      <c r="F5619">
        <f t="shared" si="175"/>
        <v>2021</v>
      </c>
    </row>
    <row r="5620" spans="1:6" x14ac:dyDescent="0.2">
      <c r="A5620" s="20">
        <v>44519</v>
      </c>
      <c r="B5620">
        <v>247.5</v>
      </c>
      <c r="E5620">
        <f t="shared" si="174"/>
        <v>11</v>
      </c>
      <c r="F5620">
        <f t="shared" si="175"/>
        <v>2021</v>
      </c>
    </row>
    <row r="5621" spans="1:6" x14ac:dyDescent="0.2">
      <c r="A5621" s="20">
        <v>44522</v>
      </c>
      <c r="B5621">
        <v>254</v>
      </c>
      <c r="E5621">
        <f t="shared" si="174"/>
        <v>11</v>
      </c>
      <c r="F5621">
        <f t="shared" si="175"/>
        <v>2021</v>
      </c>
    </row>
    <row r="5622" spans="1:6" x14ac:dyDescent="0.2">
      <c r="A5622" s="20">
        <v>44523</v>
      </c>
      <c r="B5622">
        <v>257.75</v>
      </c>
      <c r="E5622">
        <f t="shared" si="174"/>
        <v>11</v>
      </c>
      <c r="F5622">
        <f t="shared" si="175"/>
        <v>2021</v>
      </c>
    </row>
    <row r="5623" spans="1:6" x14ac:dyDescent="0.2">
      <c r="A5623" s="20">
        <v>44524</v>
      </c>
      <c r="B5623">
        <v>259.75</v>
      </c>
      <c r="E5623">
        <f t="shared" si="174"/>
        <v>11</v>
      </c>
      <c r="F5623">
        <f t="shared" si="175"/>
        <v>2021</v>
      </c>
    </row>
    <row r="5624" spans="1:6" x14ac:dyDescent="0.2">
      <c r="A5624" s="20">
        <v>44525</v>
      </c>
      <c r="B5624">
        <v>259.25</v>
      </c>
      <c r="E5624">
        <f t="shared" si="174"/>
        <v>11</v>
      </c>
      <c r="F5624">
        <f t="shared" si="175"/>
        <v>2021</v>
      </c>
    </row>
    <row r="5625" spans="1:6" x14ac:dyDescent="0.2">
      <c r="A5625" s="20">
        <v>44526</v>
      </c>
      <c r="B5625">
        <v>254</v>
      </c>
      <c r="E5625">
        <f t="shared" si="174"/>
        <v>11</v>
      </c>
      <c r="F5625">
        <f t="shared" si="175"/>
        <v>2021</v>
      </c>
    </row>
    <row r="5626" spans="1:6" x14ac:dyDescent="0.2">
      <c r="A5626" s="20">
        <v>44529</v>
      </c>
      <c r="B5626">
        <v>247.5</v>
      </c>
      <c r="E5626">
        <f t="shared" si="174"/>
        <v>11</v>
      </c>
      <c r="F5626">
        <f t="shared" si="175"/>
        <v>2021</v>
      </c>
    </row>
    <row r="5627" spans="1:6" x14ac:dyDescent="0.2">
      <c r="A5627" s="20">
        <v>44530</v>
      </c>
      <c r="B5627">
        <v>238</v>
      </c>
      <c r="E5627">
        <f t="shared" si="174"/>
        <v>11</v>
      </c>
      <c r="F5627">
        <f t="shared" si="175"/>
        <v>2021</v>
      </c>
    </row>
    <row r="5628" spans="1:6" x14ac:dyDescent="0.2">
      <c r="A5628" s="20">
        <v>44531</v>
      </c>
      <c r="B5628">
        <v>239.75</v>
      </c>
      <c r="E5628">
        <f t="shared" si="174"/>
        <v>12</v>
      </c>
      <c r="F5628">
        <f t="shared" si="175"/>
        <v>2021</v>
      </c>
    </row>
    <row r="5629" spans="1:6" x14ac:dyDescent="0.2">
      <c r="A5629" s="20">
        <v>44532</v>
      </c>
      <c r="B5629">
        <v>244.25</v>
      </c>
      <c r="E5629">
        <f t="shared" si="174"/>
        <v>12</v>
      </c>
      <c r="F5629">
        <f t="shared" si="175"/>
        <v>2021</v>
      </c>
    </row>
    <row r="5630" spans="1:6" x14ac:dyDescent="0.2">
      <c r="A5630" s="20">
        <v>44533</v>
      </c>
      <c r="B5630">
        <v>243.25</v>
      </c>
      <c r="E5630">
        <f t="shared" si="174"/>
        <v>12</v>
      </c>
      <c r="F5630">
        <f t="shared" si="175"/>
        <v>2021</v>
      </c>
    </row>
    <row r="5631" spans="1:6" x14ac:dyDescent="0.2">
      <c r="A5631" s="20">
        <v>44536</v>
      </c>
      <c r="B5631">
        <v>244</v>
      </c>
      <c r="E5631">
        <f t="shared" si="174"/>
        <v>12</v>
      </c>
      <c r="F5631">
        <f t="shared" si="175"/>
        <v>2021</v>
      </c>
    </row>
    <row r="5632" spans="1:6" x14ac:dyDescent="0.2">
      <c r="A5632" s="20">
        <v>44537</v>
      </c>
      <c r="B5632">
        <v>245.25</v>
      </c>
      <c r="E5632">
        <f t="shared" si="174"/>
        <v>12</v>
      </c>
      <c r="F5632">
        <f t="shared" si="175"/>
        <v>2021</v>
      </c>
    </row>
    <row r="5633" spans="1:6" x14ac:dyDescent="0.2">
      <c r="A5633" s="20">
        <v>44538</v>
      </c>
      <c r="B5633">
        <v>242.5</v>
      </c>
      <c r="E5633">
        <f t="shared" si="174"/>
        <v>12</v>
      </c>
      <c r="F5633">
        <f t="shared" si="175"/>
        <v>2021</v>
      </c>
    </row>
    <row r="5634" spans="1:6" x14ac:dyDescent="0.2">
      <c r="A5634" s="20">
        <v>44539</v>
      </c>
      <c r="B5634">
        <v>245.25</v>
      </c>
      <c r="E5634">
        <f t="shared" si="174"/>
        <v>12</v>
      </c>
      <c r="F5634">
        <f t="shared" si="175"/>
        <v>2021</v>
      </c>
    </row>
    <row r="5635" spans="1:6" x14ac:dyDescent="0.2">
      <c r="A5635" s="20">
        <v>44540</v>
      </c>
      <c r="B5635">
        <v>245.25</v>
      </c>
      <c r="E5635">
        <f t="shared" ref="E5635:E5698" si="176">MONTH(A5635)</f>
        <v>12</v>
      </c>
      <c r="F5635">
        <f t="shared" ref="F5635:F5698" si="177">YEAR(A5635)</f>
        <v>2021</v>
      </c>
    </row>
    <row r="5636" spans="1:6" x14ac:dyDescent="0.2">
      <c r="A5636" s="20">
        <v>44543</v>
      </c>
      <c r="B5636">
        <v>244.25</v>
      </c>
      <c r="E5636">
        <f t="shared" si="176"/>
        <v>12</v>
      </c>
      <c r="F5636">
        <f t="shared" si="177"/>
        <v>2021</v>
      </c>
    </row>
    <row r="5637" spans="1:6" x14ac:dyDescent="0.2">
      <c r="A5637" s="20">
        <v>44544</v>
      </c>
      <c r="B5637">
        <v>243.25</v>
      </c>
      <c r="E5637">
        <f t="shared" si="176"/>
        <v>12</v>
      </c>
      <c r="F5637">
        <f t="shared" si="177"/>
        <v>2021</v>
      </c>
    </row>
    <row r="5638" spans="1:6" x14ac:dyDescent="0.2">
      <c r="A5638" s="20">
        <v>44545</v>
      </c>
      <c r="B5638">
        <v>240.5</v>
      </c>
      <c r="E5638">
        <f t="shared" si="176"/>
        <v>12</v>
      </c>
      <c r="F5638">
        <f t="shared" si="177"/>
        <v>2021</v>
      </c>
    </row>
    <row r="5639" spans="1:6" x14ac:dyDescent="0.2">
      <c r="A5639" s="20">
        <v>44546</v>
      </c>
      <c r="B5639">
        <v>240.25</v>
      </c>
      <c r="E5639">
        <f t="shared" si="176"/>
        <v>12</v>
      </c>
      <c r="F5639">
        <f t="shared" si="177"/>
        <v>2021</v>
      </c>
    </row>
    <row r="5640" spans="1:6" x14ac:dyDescent="0.2">
      <c r="A5640" s="20">
        <v>44547</v>
      </c>
      <c r="B5640">
        <v>240.5</v>
      </c>
      <c r="E5640">
        <f t="shared" si="176"/>
        <v>12</v>
      </c>
      <c r="F5640">
        <f t="shared" si="177"/>
        <v>2021</v>
      </c>
    </row>
    <row r="5641" spans="1:6" x14ac:dyDescent="0.2">
      <c r="A5641" s="20">
        <v>44550</v>
      </c>
      <c r="B5641">
        <v>240.25</v>
      </c>
      <c r="E5641">
        <f t="shared" si="176"/>
        <v>12</v>
      </c>
      <c r="F5641">
        <f t="shared" si="177"/>
        <v>2021</v>
      </c>
    </row>
    <row r="5642" spans="1:6" x14ac:dyDescent="0.2">
      <c r="A5642" s="20">
        <v>44551</v>
      </c>
      <c r="B5642">
        <v>242.5</v>
      </c>
      <c r="E5642">
        <f t="shared" si="176"/>
        <v>12</v>
      </c>
      <c r="F5642">
        <f t="shared" si="177"/>
        <v>2021</v>
      </c>
    </row>
    <row r="5643" spans="1:6" x14ac:dyDescent="0.2">
      <c r="A5643" s="20">
        <v>44552</v>
      </c>
      <c r="B5643">
        <v>245</v>
      </c>
      <c r="E5643">
        <f t="shared" si="176"/>
        <v>12</v>
      </c>
      <c r="F5643">
        <f t="shared" si="177"/>
        <v>2021</v>
      </c>
    </row>
    <row r="5644" spans="1:6" x14ac:dyDescent="0.2">
      <c r="A5644" s="20">
        <v>44553</v>
      </c>
      <c r="B5644">
        <v>243.75</v>
      </c>
      <c r="E5644">
        <f t="shared" si="176"/>
        <v>12</v>
      </c>
      <c r="F5644">
        <f t="shared" si="177"/>
        <v>2021</v>
      </c>
    </row>
    <row r="5645" spans="1:6" x14ac:dyDescent="0.2">
      <c r="A5645" s="20">
        <v>44554</v>
      </c>
      <c r="B5645">
        <v>244</v>
      </c>
      <c r="E5645">
        <f t="shared" si="176"/>
        <v>12</v>
      </c>
      <c r="F5645">
        <f t="shared" si="177"/>
        <v>2021</v>
      </c>
    </row>
    <row r="5646" spans="1:6" x14ac:dyDescent="0.2">
      <c r="A5646" s="20">
        <v>44557</v>
      </c>
      <c r="B5646">
        <v>245.5</v>
      </c>
      <c r="E5646">
        <f t="shared" si="176"/>
        <v>12</v>
      </c>
      <c r="F5646">
        <f t="shared" si="177"/>
        <v>2021</v>
      </c>
    </row>
    <row r="5647" spans="1:6" x14ac:dyDescent="0.2">
      <c r="A5647" s="20">
        <v>44558</v>
      </c>
      <c r="B5647">
        <v>244.25</v>
      </c>
      <c r="E5647">
        <f t="shared" si="176"/>
        <v>12</v>
      </c>
      <c r="F5647">
        <f t="shared" si="177"/>
        <v>2021</v>
      </c>
    </row>
    <row r="5648" spans="1:6" x14ac:dyDescent="0.2">
      <c r="A5648" s="20">
        <v>44559</v>
      </c>
      <c r="B5648">
        <v>245.5</v>
      </c>
      <c r="E5648">
        <f t="shared" si="176"/>
        <v>12</v>
      </c>
      <c r="F5648">
        <f t="shared" si="177"/>
        <v>2021</v>
      </c>
    </row>
    <row r="5649" spans="1:6" x14ac:dyDescent="0.2">
      <c r="A5649" s="20">
        <v>44560</v>
      </c>
      <c r="B5649">
        <v>243.5</v>
      </c>
      <c r="E5649">
        <f t="shared" si="176"/>
        <v>12</v>
      </c>
      <c r="F5649">
        <f t="shared" si="177"/>
        <v>2021</v>
      </c>
    </row>
    <row r="5650" spans="1:6" x14ac:dyDescent="0.2">
      <c r="A5650" s="20">
        <v>44561</v>
      </c>
      <c r="B5650">
        <v>243</v>
      </c>
      <c r="E5650">
        <f t="shared" si="176"/>
        <v>12</v>
      </c>
      <c r="F5650">
        <f t="shared" si="177"/>
        <v>2021</v>
      </c>
    </row>
    <row r="5651" spans="1:6" x14ac:dyDescent="0.2">
      <c r="A5651" s="20">
        <v>44564</v>
      </c>
      <c r="B5651">
        <v>243.5</v>
      </c>
      <c r="E5651">
        <f t="shared" si="176"/>
        <v>1</v>
      </c>
      <c r="F5651">
        <f t="shared" si="177"/>
        <v>2022</v>
      </c>
    </row>
    <row r="5652" spans="1:6" x14ac:dyDescent="0.2">
      <c r="A5652" s="20">
        <v>44565</v>
      </c>
      <c r="B5652">
        <v>247.5</v>
      </c>
      <c r="E5652">
        <f t="shared" si="176"/>
        <v>1</v>
      </c>
      <c r="F5652">
        <f t="shared" si="177"/>
        <v>2022</v>
      </c>
    </row>
    <row r="5653" spans="1:6" x14ac:dyDescent="0.2">
      <c r="A5653" s="20">
        <v>44566</v>
      </c>
      <c r="B5653">
        <v>245</v>
      </c>
      <c r="E5653">
        <f t="shared" si="176"/>
        <v>1</v>
      </c>
      <c r="F5653">
        <f t="shared" si="177"/>
        <v>2022</v>
      </c>
    </row>
    <row r="5654" spans="1:6" x14ac:dyDescent="0.2">
      <c r="A5654" s="20">
        <v>44567</v>
      </c>
      <c r="B5654">
        <v>243.75</v>
      </c>
      <c r="E5654">
        <f t="shared" si="176"/>
        <v>1</v>
      </c>
      <c r="F5654">
        <f t="shared" si="177"/>
        <v>2022</v>
      </c>
    </row>
    <row r="5655" spans="1:6" x14ac:dyDescent="0.2">
      <c r="A5655" s="20">
        <v>44568</v>
      </c>
      <c r="B5655">
        <v>243.25</v>
      </c>
      <c r="E5655">
        <f t="shared" si="176"/>
        <v>1</v>
      </c>
      <c r="F5655">
        <f t="shared" si="177"/>
        <v>2022</v>
      </c>
    </row>
    <row r="5656" spans="1:6" x14ac:dyDescent="0.2">
      <c r="A5656" s="20">
        <v>44571</v>
      </c>
      <c r="B5656">
        <v>243</v>
      </c>
      <c r="E5656">
        <f t="shared" si="176"/>
        <v>1</v>
      </c>
      <c r="F5656">
        <f t="shared" si="177"/>
        <v>2022</v>
      </c>
    </row>
    <row r="5657" spans="1:6" x14ac:dyDescent="0.2">
      <c r="A5657" s="20">
        <v>44572</v>
      </c>
      <c r="B5657">
        <v>244.75</v>
      </c>
      <c r="E5657">
        <f t="shared" si="176"/>
        <v>1</v>
      </c>
      <c r="F5657">
        <f t="shared" si="177"/>
        <v>2022</v>
      </c>
    </row>
    <row r="5658" spans="1:6" x14ac:dyDescent="0.2">
      <c r="A5658" s="20">
        <v>44573</v>
      </c>
      <c r="B5658">
        <v>243</v>
      </c>
      <c r="E5658">
        <f t="shared" si="176"/>
        <v>1</v>
      </c>
      <c r="F5658">
        <f t="shared" si="177"/>
        <v>2022</v>
      </c>
    </row>
    <row r="5659" spans="1:6" x14ac:dyDescent="0.2">
      <c r="A5659" s="20">
        <v>44574</v>
      </c>
      <c r="B5659">
        <v>239</v>
      </c>
      <c r="E5659">
        <f t="shared" si="176"/>
        <v>1</v>
      </c>
      <c r="F5659">
        <f t="shared" si="177"/>
        <v>2022</v>
      </c>
    </row>
    <row r="5660" spans="1:6" x14ac:dyDescent="0.2">
      <c r="A5660" s="20">
        <v>44575</v>
      </c>
      <c r="B5660">
        <v>239</v>
      </c>
      <c r="E5660">
        <f t="shared" si="176"/>
        <v>1</v>
      </c>
      <c r="F5660">
        <f t="shared" si="177"/>
        <v>2022</v>
      </c>
    </row>
    <row r="5661" spans="1:6" x14ac:dyDescent="0.2">
      <c r="A5661" s="20">
        <v>44578</v>
      </c>
      <c r="B5661">
        <v>239</v>
      </c>
      <c r="E5661">
        <f t="shared" si="176"/>
        <v>1</v>
      </c>
      <c r="F5661">
        <f t="shared" si="177"/>
        <v>2022</v>
      </c>
    </row>
    <row r="5662" spans="1:6" x14ac:dyDescent="0.2">
      <c r="A5662" s="20">
        <v>44579</v>
      </c>
      <c r="B5662">
        <v>240.25</v>
      </c>
      <c r="E5662">
        <f t="shared" si="176"/>
        <v>1</v>
      </c>
      <c r="F5662">
        <f t="shared" si="177"/>
        <v>2022</v>
      </c>
    </row>
    <row r="5663" spans="1:6" x14ac:dyDescent="0.2">
      <c r="A5663" s="20">
        <v>44580</v>
      </c>
      <c r="B5663">
        <v>245</v>
      </c>
      <c r="E5663">
        <f t="shared" si="176"/>
        <v>1</v>
      </c>
      <c r="F5663">
        <f t="shared" si="177"/>
        <v>2022</v>
      </c>
    </row>
    <row r="5664" spans="1:6" x14ac:dyDescent="0.2">
      <c r="A5664" s="20">
        <v>44581</v>
      </c>
      <c r="B5664">
        <v>247.5</v>
      </c>
      <c r="E5664">
        <f t="shared" si="176"/>
        <v>1</v>
      </c>
      <c r="F5664">
        <f t="shared" si="177"/>
        <v>2022</v>
      </c>
    </row>
    <row r="5665" spans="1:6" x14ac:dyDescent="0.2">
      <c r="A5665" s="20">
        <v>44582</v>
      </c>
      <c r="B5665">
        <v>247.5</v>
      </c>
      <c r="E5665">
        <f t="shared" si="176"/>
        <v>1</v>
      </c>
      <c r="F5665">
        <f t="shared" si="177"/>
        <v>2022</v>
      </c>
    </row>
    <row r="5666" spans="1:6" x14ac:dyDescent="0.2">
      <c r="A5666" s="20">
        <v>44585</v>
      </c>
      <c r="B5666">
        <v>252.25</v>
      </c>
      <c r="E5666">
        <f t="shared" si="176"/>
        <v>1</v>
      </c>
      <c r="F5666">
        <f t="shared" si="177"/>
        <v>2022</v>
      </c>
    </row>
    <row r="5667" spans="1:6" x14ac:dyDescent="0.2">
      <c r="A5667" s="20">
        <v>44586</v>
      </c>
      <c r="B5667">
        <v>257.75</v>
      </c>
      <c r="E5667">
        <f t="shared" si="176"/>
        <v>1</v>
      </c>
      <c r="F5667">
        <f t="shared" si="177"/>
        <v>2022</v>
      </c>
    </row>
    <row r="5668" spans="1:6" x14ac:dyDescent="0.2">
      <c r="A5668" s="20">
        <v>44587</v>
      </c>
      <c r="B5668">
        <v>252</v>
      </c>
      <c r="E5668">
        <f t="shared" si="176"/>
        <v>1</v>
      </c>
      <c r="F5668">
        <f t="shared" si="177"/>
        <v>2022</v>
      </c>
    </row>
    <row r="5669" spans="1:6" x14ac:dyDescent="0.2">
      <c r="A5669" s="20">
        <v>44588</v>
      </c>
      <c r="B5669">
        <v>254.75</v>
      </c>
      <c r="E5669">
        <f t="shared" si="176"/>
        <v>1</v>
      </c>
      <c r="F5669">
        <f t="shared" si="177"/>
        <v>2022</v>
      </c>
    </row>
    <row r="5670" spans="1:6" x14ac:dyDescent="0.2">
      <c r="A5670" s="20">
        <v>44589</v>
      </c>
      <c r="B5670">
        <v>257.25</v>
      </c>
      <c r="E5670">
        <f t="shared" si="176"/>
        <v>1</v>
      </c>
      <c r="F5670">
        <f t="shared" si="177"/>
        <v>2022</v>
      </c>
    </row>
    <row r="5671" spans="1:6" x14ac:dyDescent="0.2">
      <c r="A5671" s="20">
        <v>44592</v>
      </c>
      <c r="B5671">
        <v>249.25</v>
      </c>
      <c r="E5671">
        <f t="shared" si="176"/>
        <v>1</v>
      </c>
      <c r="F5671">
        <f t="shared" si="177"/>
        <v>2022</v>
      </c>
    </row>
    <row r="5672" spans="1:6" x14ac:dyDescent="0.2">
      <c r="A5672" s="20">
        <v>44593</v>
      </c>
      <c r="B5672">
        <v>253</v>
      </c>
      <c r="E5672">
        <f t="shared" si="176"/>
        <v>2</v>
      </c>
      <c r="F5672">
        <f t="shared" si="177"/>
        <v>2022</v>
      </c>
    </row>
    <row r="5673" spans="1:6" x14ac:dyDescent="0.2">
      <c r="A5673" s="20">
        <v>44594</v>
      </c>
      <c r="B5673">
        <v>251</v>
      </c>
      <c r="E5673">
        <f t="shared" si="176"/>
        <v>2</v>
      </c>
      <c r="F5673">
        <f t="shared" si="177"/>
        <v>2022</v>
      </c>
    </row>
    <row r="5674" spans="1:6" x14ac:dyDescent="0.2">
      <c r="A5674" s="20">
        <v>44595</v>
      </c>
      <c r="B5674">
        <v>249</v>
      </c>
      <c r="E5674">
        <f t="shared" si="176"/>
        <v>2</v>
      </c>
      <c r="F5674">
        <f t="shared" si="177"/>
        <v>2022</v>
      </c>
    </row>
    <row r="5675" spans="1:6" x14ac:dyDescent="0.2">
      <c r="A5675" s="20">
        <v>44596</v>
      </c>
      <c r="B5675">
        <v>251.75</v>
      </c>
      <c r="E5675">
        <f t="shared" si="176"/>
        <v>2</v>
      </c>
      <c r="F5675">
        <f t="shared" si="177"/>
        <v>2022</v>
      </c>
    </row>
    <row r="5676" spans="1:6" x14ac:dyDescent="0.2">
      <c r="A5676" s="20">
        <v>44599</v>
      </c>
      <c r="B5676">
        <v>252.5</v>
      </c>
      <c r="E5676">
        <f t="shared" si="176"/>
        <v>2</v>
      </c>
      <c r="F5676">
        <f t="shared" si="177"/>
        <v>2022</v>
      </c>
    </row>
    <row r="5677" spans="1:6" x14ac:dyDescent="0.2">
      <c r="A5677" s="20">
        <v>44600</v>
      </c>
      <c r="B5677">
        <v>251.5</v>
      </c>
      <c r="E5677">
        <f t="shared" si="176"/>
        <v>2</v>
      </c>
      <c r="F5677">
        <f t="shared" si="177"/>
        <v>2022</v>
      </c>
    </row>
    <row r="5678" spans="1:6" x14ac:dyDescent="0.2">
      <c r="A5678" s="20">
        <v>44601</v>
      </c>
      <c r="B5678">
        <v>250.25</v>
      </c>
      <c r="E5678">
        <f t="shared" si="176"/>
        <v>2</v>
      </c>
      <c r="F5678">
        <f t="shared" si="177"/>
        <v>2022</v>
      </c>
    </row>
    <row r="5679" spans="1:6" x14ac:dyDescent="0.2">
      <c r="A5679" s="20">
        <v>44602</v>
      </c>
      <c r="B5679">
        <v>250.75</v>
      </c>
      <c r="E5679">
        <f t="shared" si="176"/>
        <v>2</v>
      </c>
      <c r="F5679">
        <f t="shared" si="177"/>
        <v>2022</v>
      </c>
    </row>
    <row r="5680" spans="1:6" x14ac:dyDescent="0.2">
      <c r="A5680" s="20">
        <v>44603</v>
      </c>
      <c r="B5680">
        <v>255</v>
      </c>
      <c r="E5680">
        <f t="shared" si="176"/>
        <v>2</v>
      </c>
      <c r="F5680">
        <f t="shared" si="177"/>
        <v>2022</v>
      </c>
    </row>
    <row r="5681" spans="1:6" x14ac:dyDescent="0.2">
      <c r="A5681" s="20">
        <v>44606</v>
      </c>
      <c r="B5681">
        <v>256.25</v>
      </c>
      <c r="E5681">
        <f t="shared" si="176"/>
        <v>2</v>
      </c>
      <c r="F5681">
        <f t="shared" si="177"/>
        <v>2022</v>
      </c>
    </row>
    <row r="5682" spans="1:6" x14ac:dyDescent="0.2">
      <c r="A5682" s="20">
        <v>44607</v>
      </c>
      <c r="B5682">
        <v>249.5</v>
      </c>
      <c r="E5682">
        <f t="shared" si="176"/>
        <v>2</v>
      </c>
      <c r="F5682">
        <f t="shared" si="177"/>
        <v>2022</v>
      </c>
    </row>
    <row r="5683" spans="1:6" x14ac:dyDescent="0.2">
      <c r="A5683" s="20">
        <v>44608</v>
      </c>
      <c r="B5683">
        <v>248</v>
      </c>
      <c r="E5683">
        <f t="shared" si="176"/>
        <v>2</v>
      </c>
      <c r="F5683">
        <f t="shared" si="177"/>
        <v>2022</v>
      </c>
    </row>
    <row r="5684" spans="1:6" x14ac:dyDescent="0.2">
      <c r="A5684" s="20">
        <v>44609</v>
      </c>
      <c r="B5684">
        <v>249.75</v>
      </c>
      <c r="E5684">
        <f t="shared" si="176"/>
        <v>2</v>
      </c>
      <c r="F5684">
        <f t="shared" si="177"/>
        <v>2022</v>
      </c>
    </row>
    <row r="5685" spans="1:6" x14ac:dyDescent="0.2">
      <c r="A5685" s="20">
        <v>44610</v>
      </c>
      <c r="B5685">
        <v>254</v>
      </c>
      <c r="E5685">
        <f t="shared" si="176"/>
        <v>2</v>
      </c>
      <c r="F5685">
        <f t="shared" si="177"/>
        <v>2022</v>
      </c>
    </row>
    <row r="5686" spans="1:6" x14ac:dyDescent="0.2">
      <c r="A5686" s="20">
        <v>44613</v>
      </c>
      <c r="B5686">
        <v>257</v>
      </c>
      <c r="E5686">
        <f t="shared" si="176"/>
        <v>2</v>
      </c>
      <c r="F5686">
        <f t="shared" si="177"/>
        <v>2022</v>
      </c>
    </row>
    <row r="5687" spans="1:6" x14ac:dyDescent="0.2">
      <c r="A5687" s="20">
        <v>44614</v>
      </c>
      <c r="B5687">
        <v>261.75</v>
      </c>
      <c r="E5687">
        <f t="shared" si="176"/>
        <v>2</v>
      </c>
      <c r="F5687">
        <f t="shared" si="177"/>
        <v>2022</v>
      </c>
    </row>
    <row r="5688" spans="1:6" x14ac:dyDescent="0.2">
      <c r="A5688" s="20">
        <v>44615</v>
      </c>
      <c r="B5688">
        <v>267.75</v>
      </c>
      <c r="E5688">
        <f t="shared" si="176"/>
        <v>2</v>
      </c>
      <c r="F5688">
        <f t="shared" si="177"/>
        <v>2022</v>
      </c>
    </row>
    <row r="5689" spans="1:6" x14ac:dyDescent="0.2">
      <c r="A5689" s="20">
        <v>44616</v>
      </c>
      <c r="B5689">
        <v>280</v>
      </c>
      <c r="E5689">
        <f t="shared" si="176"/>
        <v>2</v>
      </c>
      <c r="F5689">
        <f t="shared" si="177"/>
        <v>2022</v>
      </c>
    </row>
    <row r="5690" spans="1:6" x14ac:dyDescent="0.2">
      <c r="A5690" s="20">
        <v>44617</v>
      </c>
      <c r="B5690">
        <v>289.25</v>
      </c>
      <c r="E5690">
        <f t="shared" si="176"/>
        <v>2</v>
      </c>
      <c r="F5690">
        <f t="shared" si="177"/>
        <v>2022</v>
      </c>
    </row>
    <row r="5691" spans="1:6" x14ac:dyDescent="0.2">
      <c r="A5691" s="20">
        <v>44620</v>
      </c>
      <c r="B5691">
        <v>311</v>
      </c>
      <c r="E5691">
        <f t="shared" si="176"/>
        <v>2</v>
      </c>
      <c r="F5691">
        <f t="shared" si="177"/>
        <v>2022</v>
      </c>
    </row>
    <row r="5692" spans="1:6" x14ac:dyDescent="0.2">
      <c r="A5692" s="20">
        <v>44621</v>
      </c>
      <c r="B5692">
        <v>340</v>
      </c>
      <c r="E5692">
        <f t="shared" si="176"/>
        <v>3</v>
      </c>
      <c r="F5692">
        <f t="shared" si="177"/>
        <v>2022</v>
      </c>
    </row>
    <row r="5693" spans="1:6" x14ac:dyDescent="0.2">
      <c r="A5693" s="20">
        <v>44622</v>
      </c>
      <c r="B5693">
        <v>355</v>
      </c>
      <c r="E5693">
        <f t="shared" si="176"/>
        <v>3</v>
      </c>
      <c r="F5693">
        <f t="shared" si="177"/>
        <v>2022</v>
      </c>
    </row>
    <row r="5694" spans="1:6" x14ac:dyDescent="0.2">
      <c r="A5694" s="20">
        <v>44623</v>
      </c>
      <c r="B5694">
        <v>379</v>
      </c>
      <c r="E5694">
        <f t="shared" si="176"/>
        <v>3</v>
      </c>
      <c r="F5694">
        <f t="shared" si="177"/>
        <v>2022</v>
      </c>
    </row>
    <row r="5695" spans="1:6" x14ac:dyDescent="0.2">
      <c r="A5695" s="20">
        <v>44624</v>
      </c>
      <c r="B5695">
        <v>350</v>
      </c>
      <c r="E5695">
        <f t="shared" si="176"/>
        <v>3</v>
      </c>
      <c r="F5695">
        <f t="shared" si="177"/>
        <v>2022</v>
      </c>
    </row>
    <row r="5696" spans="1:6" x14ac:dyDescent="0.2">
      <c r="A5696" s="20">
        <v>44627</v>
      </c>
      <c r="B5696">
        <v>371</v>
      </c>
      <c r="E5696">
        <f t="shared" si="176"/>
        <v>3</v>
      </c>
      <c r="F5696">
        <f t="shared" si="177"/>
        <v>2022</v>
      </c>
    </row>
    <row r="5697" spans="1:6" x14ac:dyDescent="0.2">
      <c r="A5697" s="20">
        <v>44628</v>
      </c>
      <c r="B5697">
        <v>345.75</v>
      </c>
      <c r="E5697">
        <f t="shared" si="176"/>
        <v>3</v>
      </c>
      <c r="F5697">
        <f t="shared" si="177"/>
        <v>2022</v>
      </c>
    </row>
    <row r="5698" spans="1:6" x14ac:dyDescent="0.2">
      <c r="A5698" s="20">
        <v>44629</v>
      </c>
      <c r="B5698">
        <v>348.5</v>
      </c>
      <c r="E5698">
        <f t="shared" si="176"/>
        <v>3</v>
      </c>
      <c r="F5698">
        <f t="shared" si="177"/>
        <v>2022</v>
      </c>
    </row>
    <row r="5699" spans="1:6" x14ac:dyDescent="0.2">
      <c r="A5699" s="20">
        <v>44630</v>
      </c>
      <c r="B5699">
        <v>344.25</v>
      </c>
      <c r="E5699">
        <f t="shared" ref="E5699:E5762" si="178">MONTH(A5699)</f>
        <v>3</v>
      </c>
      <c r="F5699">
        <f t="shared" ref="F5699:F5762" si="179">YEAR(A5699)</f>
        <v>2022</v>
      </c>
    </row>
    <row r="5700" spans="1:6" x14ac:dyDescent="0.2">
      <c r="A5700" s="20">
        <v>44631</v>
      </c>
      <c r="B5700">
        <v>349</v>
      </c>
      <c r="E5700">
        <f t="shared" si="178"/>
        <v>3</v>
      </c>
      <c r="F5700">
        <f t="shared" si="179"/>
        <v>2022</v>
      </c>
    </row>
    <row r="5701" spans="1:6" x14ac:dyDescent="0.2">
      <c r="A5701" s="20">
        <v>44634</v>
      </c>
      <c r="B5701">
        <v>346</v>
      </c>
      <c r="E5701">
        <f t="shared" si="178"/>
        <v>3</v>
      </c>
      <c r="F5701">
        <f t="shared" si="179"/>
        <v>2022</v>
      </c>
    </row>
    <row r="5702" spans="1:6" x14ac:dyDescent="0.2">
      <c r="A5702" s="20">
        <v>44635</v>
      </c>
      <c r="B5702">
        <v>346.25</v>
      </c>
      <c r="E5702">
        <f t="shared" si="178"/>
        <v>3</v>
      </c>
      <c r="F5702">
        <f t="shared" si="179"/>
        <v>2022</v>
      </c>
    </row>
    <row r="5703" spans="1:6" x14ac:dyDescent="0.2">
      <c r="A5703" s="20">
        <v>44636</v>
      </c>
      <c r="B5703">
        <v>335.25</v>
      </c>
      <c r="E5703">
        <f t="shared" si="178"/>
        <v>3</v>
      </c>
      <c r="F5703">
        <f t="shared" si="179"/>
        <v>2022</v>
      </c>
    </row>
    <row r="5704" spans="1:6" x14ac:dyDescent="0.2">
      <c r="A5704" s="20">
        <v>44637</v>
      </c>
      <c r="B5704">
        <v>331.25</v>
      </c>
      <c r="E5704">
        <f t="shared" si="178"/>
        <v>3</v>
      </c>
      <c r="F5704">
        <f t="shared" si="179"/>
        <v>2022</v>
      </c>
    </row>
    <row r="5705" spans="1:6" x14ac:dyDescent="0.2">
      <c r="A5705" s="20">
        <v>44638</v>
      </c>
      <c r="B5705">
        <v>324.5</v>
      </c>
      <c r="E5705">
        <f t="shared" si="178"/>
        <v>3</v>
      </c>
      <c r="F5705">
        <f t="shared" si="179"/>
        <v>2022</v>
      </c>
    </row>
    <row r="5706" spans="1:6" x14ac:dyDescent="0.2">
      <c r="A5706" s="20">
        <v>44641</v>
      </c>
      <c r="B5706">
        <v>334</v>
      </c>
      <c r="E5706">
        <f t="shared" si="178"/>
        <v>3</v>
      </c>
      <c r="F5706">
        <f t="shared" si="179"/>
        <v>2022</v>
      </c>
    </row>
    <row r="5707" spans="1:6" x14ac:dyDescent="0.2">
      <c r="A5707" s="20">
        <v>44642</v>
      </c>
      <c r="B5707">
        <v>335.5</v>
      </c>
      <c r="E5707">
        <f t="shared" si="178"/>
        <v>3</v>
      </c>
      <c r="F5707">
        <f t="shared" si="179"/>
        <v>2022</v>
      </c>
    </row>
    <row r="5708" spans="1:6" x14ac:dyDescent="0.2">
      <c r="A5708" s="20">
        <v>44643</v>
      </c>
      <c r="B5708">
        <v>338.75</v>
      </c>
      <c r="E5708">
        <f t="shared" si="178"/>
        <v>3</v>
      </c>
      <c r="F5708">
        <f t="shared" si="179"/>
        <v>2022</v>
      </c>
    </row>
    <row r="5709" spans="1:6" x14ac:dyDescent="0.2">
      <c r="A5709" s="20">
        <v>44644</v>
      </c>
      <c r="B5709">
        <v>333</v>
      </c>
      <c r="E5709">
        <f t="shared" si="178"/>
        <v>3</v>
      </c>
      <c r="F5709">
        <f t="shared" si="179"/>
        <v>2022</v>
      </c>
    </row>
    <row r="5710" spans="1:6" x14ac:dyDescent="0.2">
      <c r="A5710" s="20">
        <v>44645</v>
      </c>
      <c r="B5710">
        <v>338.75</v>
      </c>
      <c r="E5710">
        <f t="shared" si="178"/>
        <v>3</v>
      </c>
      <c r="F5710">
        <f t="shared" si="179"/>
        <v>2022</v>
      </c>
    </row>
    <row r="5711" spans="1:6" x14ac:dyDescent="0.2">
      <c r="A5711" s="20">
        <v>44648</v>
      </c>
      <c r="B5711">
        <v>331.25</v>
      </c>
      <c r="E5711">
        <f t="shared" si="178"/>
        <v>3</v>
      </c>
      <c r="F5711">
        <f t="shared" si="179"/>
        <v>2022</v>
      </c>
    </row>
    <row r="5712" spans="1:6" x14ac:dyDescent="0.2">
      <c r="A5712" s="20">
        <v>44649</v>
      </c>
      <c r="B5712">
        <v>313.75</v>
      </c>
      <c r="E5712">
        <f t="shared" si="178"/>
        <v>3</v>
      </c>
      <c r="F5712">
        <f t="shared" si="179"/>
        <v>2022</v>
      </c>
    </row>
    <row r="5713" spans="1:6" x14ac:dyDescent="0.2">
      <c r="A5713" s="20">
        <v>44650</v>
      </c>
      <c r="B5713">
        <v>318</v>
      </c>
      <c r="E5713">
        <f t="shared" si="178"/>
        <v>3</v>
      </c>
      <c r="F5713">
        <f t="shared" si="179"/>
        <v>2022</v>
      </c>
    </row>
    <row r="5714" spans="1:6" x14ac:dyDescent="0.2">
      <c r="A5714" s="20">
        <v>44651</v>
      </c>
      <c r="B5714">
        <v>322.75</v>
      </c>
      <c r="E5714">
        <f t="shared" si="178"/>
        <v>3</v>
      </c>
      <c r="F5714">
        <f t="shared" si="179"/>
        <v>2022</v>
      </c>
    </row>
    <row r="5715" spans="1:6" x14ac:dyDescent="0.2">
      <c r="A5715" s="20">
        <v>44652</v>
      </c>
      <c r="B5715">
        <v>315.5</v>
      </c>
      <c r="E5715">
        <f t="shared" si="178"/>
        <v>4</v>
      </c>
      <c r="F5715">
        <f t="shared" si="179"/>
        <v>2022</v>
      </c>
    </row>
    <row r="5716" spans="1:6" x14ac:dyDescent="0.2">
      <c r="A5716" s="20">
        <v>44655</v>
      </c>
      <c r="B5716">
        <v>319</v>
      </c>
      <c r="E5716">
        <f t="shared" si="178"/>
        <v>4</v>
      </c>
      <c r="F5716">
        <f t="shared" si="179"/>
        <v>2022</v>
      </c>
    </row>
    <row r="5717" spans="1:6" x14ac:dyDescent="0.2">
      <c r="A5717" s="20">
        <v>44656</v>
      </c>
      <c r="B5717">
        <v>322</v>
      </c>
      <c r="E5717">
        <f t="shared" si="178"/>
        <v>4</v>
      </c>
      <c r="F5717">
        <f t="shared" si="179"/>
        <v>2022</v>
      </c>
    </row>
    <row r="5718" spans="1:6" x14ac:dyDescent="0.2">
      <c r="A5718" s="20">
        <v>44657</v>
      </c>
      <c r="B5718">
        <v>319.5</v>
      </c>
      <c r="E5718">
        <f t="shared" si="178"/>
        <v>4</v>
      </c>
      <c r="F5718">
        <f t="shared" si="179"/>
        <v>2022</v>
      </c>
    </row>
    <row r="5719" spans="1:6" x14ac:dyDescent="0.2">
      <c r="A5719" s="20">
        <v>44658</v>
      </c>
      <c r="B5719">
        <v>317.25</v>
      </c>
      <c r="E5719">
        <f t="shared" si="178"/>
        <v>4</v>
      </c>
      <c r="F5719">
        <f t="shared" si="179"/>
        <v>2022</v>
      </c>
    </row>
    <row r="5720" spans="1:6" x14ac:dyDescent="0.2">
      <c r="A5720" s="20">
        <v>44659</v>
      </c>
      <c r="B5720">
        <v>322.5</v>
      </c>
      <c r="E5720">
        <f t="shared" si="178"/>
        <v>4</v>
      </c>
      <c r="F5720">
        <f t="shared" si="179"/>
        <v>2022</v>
      </c>
    </row>
    <row r="5721" spans="1:6" x14ac:dyDescent="0.2">
      <c r="A5721" s="20">
        <v>44662</v>
      </c>
      <c r="B5721">
        <v>326.25</v>
      </c>
      <c r="E5721">
        <f t="shared" si="178"/>
        <v>4</v>
      </c>
      <c r="F5721">
        <f t="shared" si="179"/>
        <v>2022</v>
      </c>
    </row>
    <row r="5722" spans="1:6" x14ac:dyDescent="0.2">
      <c r="A5722" s="20">
        <v>44663</v>
      </c>
      <c r="B5722">
        <v>334</v>
      </c>
      <c r="E5722">
        <f t="shared" si="178"/>
        <v>4</v>
      </c>
      <c r="F5722">
        <f t="shared" si="179"/>
        <v>2022</v>
      </c>
    </row>
    <row r="5723" spans="1:6" x14ac:dyDescent="0.2">
      <c r="A5723" s="20">
        <v>44664</v>
      </c>
      <c r="B5723">
        <v>330</v>
      </c>
      <c r="E5723">
        <f t="shared" si="178"/>
        <v>4</v>
      </c>
      <c r="F5723">
        <f t="shared" si="179"/>
        <v>2022</v>
      </c>
    </row>
    <row r="5724" spans="1:6" x14ac:dyDescent="0.2">
      <c r="A5724" s="20">
        <v>44665</v>
      </c>
      <c r="B5724">
        <v>332.75</v>
      </c>
      <c r="E5724">
        <f t="shared" si="178"/>
        <v>4</v>
      </c>
      <c r="F5724">
        <f t="shared" si="179"/>
        <v>2022</v>
      </c>
    </row>
    <row r="5725" spans="1:6" x14ac:dyDescent="0.2">
      <c r="A5725" s="20">
        <v>44670</v>
      </c>
      <c r="B5725">
        <v>332</v>
      </c>
      <c r="E5725">
        <f t="shared" si="178"/>
        <v>4</v>
      </c>
      <c r="F5725">
        <f t="shared" si="179"/>
        <v>2022</v>
      </c>
    </row>
    <row r="5726" spans="1:6" x14ac:dyDescent="0.2">
      <c r="A5726" s="20">
        <v>44671</v>
      </c>
      <c r="B5726">
        <v>331</v>
      </c>
      <c r="E5726">
        <f t="shared" si="178"/>
        <v>4</v>
      </c>
      <c r="F5726">
        <f t="shared" si="179"/>
        <v>2022</v>
      </c>
    </row>
    <row r="5727" spans="1:6" x14ac:dyDescent="0.2">
      <c r="A5727" s="20">
        <v>44672</v>
      </c>
      <c r="B5727">
        <v>331</v>
      </c>
      <c r="E5727">
        <f t="shared" si="178"/>
        <v>4</v>
      </c>
      <c r="F5727">
        <f t="shared" si="179"/>
        <v>2022</v>
      </c>
    </row>
    <row r="5728" spans="1:6" x14ac:dyDescent="0.2">
      <c r="A5728" s="20">
        <v>44673</v>
      </c>
      <c r="B5728">
        <v>330.75</v>
      </c>
      <c r="E5728">
        <f t="shared" si="178"/>
        <v>4</v>
      </c>
      <c r="F5728">
        <f t="shared" si="179"/>
        <v>2022</v>
      </c>
    </row>
    <row r="5729" spans="1:6" x14ac:dyDescent="0.2">
      <c r="A5729" s="20">
        <v>44676</v>
      </c>
      <c r="B5729">
        <v>333</v>
      </c>
      <c r="E5729">
        <f t="shared" si="178"/>
        <v>4</v>
      </c>
      <c r="F5729">
        <f t="shared" si="179"/>
        <v>2022</v>
      </c>
    </row>
    <row r="5730" spans="1:6" x14ac:dyDescent="0.2">
      <c r="A5730" s="20">
        <v>44677</v>
      </c>
      <c r="B5730">
        <v>338</v>
      </c>
      <c r="E5730">
        <f t="shared" si="178"/>
        <v>4</v>
      </c>
      <c r="F5730">
        <f t="shared" si="179"/>
        <v>2022</v>
      </c>
    </row>
    <row r="5731" spans="1:6" x14ac:dyDescent="0.2">
      <c r="A5731" s="20">
        <v>44678</v>
      </c>
      <c r="B5731">
        <v>349</v>
      </c>
      <c r="E5731">
        <f t="shared" si="178"/>
        <v>4</v>
      </c>
      <c r="F5731">
        <f t="shared" si="179"/>
        <v>2022</v>
      </c>
    </row>
    <row r="5732" spans="1:6" x14ac:dyDescent="0.2">
      <c r="A5732" s="20">
        <v>44679</v>
      </c>
      <c r="B5732">
        <v>349</v>
      </c>
      <c r="E5732">
        <f t="shared" si="178"/>
        <v>4</v>
      </c>
      <c r="F5732">
        <f t="shared" si="179"/>
        <v>2022</v>
      </c>
    </row>
    <row r="5733" spans="1:6" x14ac:dyDescent="0.2">
      <c r="A5733" s="20">
        <v>44680</v>
      </c>
      <c r="B5733">
        <v>349.25</v>
      </c>
      <c r="E5733">
        <f t="shared" si="178"/>
        <v>4</v>
      </c>
      <c r="F5733">
        <f t="shared" si="179"/>
        <v>2022</v>
      </c>
    </row>
    <row r="5734" spans="1:6" x14ac:dyDescent="0.2">
      <c r="A5734" s="20">
        <v>44683</v>
      </c>
      <c r="B5734">
        <v>347.5</v>
      </c>
      <c r="E5734">
        <f t="shared" si="178"/>
        <v>5</v>
      </c>
      <c r="F5734">
        <f t="shared" si="179"/>
        <v>2022</v>
      </c>
    </row>
    <row r="5735" spans="1:6" x14ac:dyDescent="0.2">
      <c r="A5735" s="20">
        <v>44684</v>
      </c>
      <c r="B5735">
        <v>349.5</v>
      </c>
      <c r="E5735">
        <f t="shared" si="178"/>
        <v>5</v>
      </c>
      <c r="F5735">
        <f t="shared" si="179"/>
        <v>2022</v>
      </c>
    </row>
    <row r="5736" spans="1:6" x14ac:dyDescent="0.2">
      <c r="A5736" s="20">
        <v>44685</v>
      </c>
      <c r="B5736">
        <v>354.5</v>
      </c>
      <c r="E5736">
        <f t="shared" si="178"/>
        <v>5</v>
      </c>
      <c r="F5736">
        <f t="shared" si="179"/>
        <v>2022</v>
      </c>
    </row>
    <row r="5737" spans="1:6" x14ac:dyDescent="0.2">
      <c r="A5737" s="20">
        <v>44686</v>
      </c>
      <c r="B5737">
        <v>363.5</v>
      </c>
      <c r="E5737">
        <f t="shared" si="178"/>
        <v>5</v>
      </c>
      <c r="F5737">
        <f t="shared" si="179"/>
        <v>2022</v>
      </c>
    </row>
    <row r="5738" spans="1:6" x14ac:dyDescent="0.2">
      <c r="A5738" s="20">
        <v>44687</v>
      </c>
      <c r="B5738">
        <v>361.5</v>
      </c>
      <c r="E5738">
        <f t="shared" si="178"/>
        <v>5</v>
      </c>
      <c r="F5738">
        <f t="shared" si="179"/>
        <v>2022</v>
      </c>
    </row>
    <row r="5739" spans="1:6" x14ac:dyDescent="0.2">
      <c r="A5739" s="20">
        <v>44690</v>
      </c>
      <c r="B5739">
        <v>358.25</v>
      </c>
      <c r="E5739">
        <f t="shared" si="178"/>
        <v>5</v>
      </c>
      <c r="F5739">
        <f t="shared" si="179"/>
        <v>2022</v>
      </c>
    </row>
    <row r="5740" spans="1:6" x14ac:dyDescent="0.2">
      <c r="A5740" s="20">
        <v>44691</v>
      </c>
      <c r="B5740">
        <v>359.5</v>
      </c>
      <c r="E5740">
        <f t="shared" si="178"/>
        <v>5</v>
      </c>
      <c r="F5740">
        <f t="shared" si="179"/>
        <v>2022</v>
      </c>
    </row>
    <row r="5741" spans="1:6" x14ac:dyDescent="0.2">
      <c r="A5741" s="20">
        <v>44692</v>
      </c>
      <c r="B5741">
        <v>358.75</v>
      </c>
      <c r="E5741">
        <f t="shared" si="178"/>
        <v>5</v>
      </c>
      <c r="F5741">
        <f t="shared" si="179"/>
        <v>2022</v>
      </c>
    </row>
    <row r="5742" spans="1:6" x14ac:dyDescent="0.2">
      <c r="A5742" s="20">
        <v>44693</v>
      </c>
      <c r="B5742">
        <v>363.5</v>
      </c>
      <c r="E5742">
        <f t="shared" si="178"/>
        <v>5</v>
      </c>
      <c r="F5742">
        <f t="shared" si="179"/>
        <v>2022</v>
      </c>
    </row>
    <row r="5743" spans="1:6" x14ac:dyDescent="0.2">
      <c r="A5743" s="20">
        <v>44694</v>
      </c>
      <c r="B5743">
        <v>360.25</v>
      </c>
      <c r="E5743">
        <f t="shared" si="178"/>
        <v>5</v>
      </c>
      <c r="F5743">
        <f t="shared" si="179"/>
        <v>2022</v>
      </c>
    </row>
    <row r="5744" spans="1:6" x14ac:dyDescent="0.2">
      <c r="A5744" s="20">
        <v>44697</v>
      </c>
      <c r="B5744">
        <v>372.25</v>
      </c>
      <c r="E5744">
        <f t="shared" si="178"/>
        <v>5</v>
      </c>
      <c r="F5744">
        <f t="shared" si="179"/>
        <v>2022</v>
      </c>
    </row>
    <row r="5745" spans="1:6" x14ac:dyDescent="0.2">
      <c r="A5745" s="20">
        <v>44698</v>
      </c>
      <c r="B5745">
        <v>373.5</v>
      </c>
      <c r="E5745">
        <f t="shared" si="178"/>
        <v>5</v>
      </c>
      <c r="F5745">
        <f t="shared" si="179"/>
        <v>2022</v>
      </c>
    </row>
    <row r="5746" spans="1:6" x14ac:dyDescent="0.2">
      <c r="A5746" s="20">
        <v>44699</v>
      </c>
      <c r="B5746">
        <v>371</v>
      </c>
      <c r="E5746">
        <f t="shared" si="178"/>
        <v>5</v>
      </c>
      <c r="F5746">
        <f t="shared" si="179"/>
        <v>2022</v>
      </c>
    </row>
    <row r="5747" spans="1:6" x14ac:dyDescent="0.2">
      <c r="A5747" s="20">
        <v>44700</v>
      </c>
      <c r="B5747">
        <v>363.25</v>
      </c>
      <c r="E5747">
        <f t="shared" si="178"/>
        <v>5</v>
      </c>
      <c r="F5747">
        <f t="shared" si="179"/>
        <v>2022</v>
      </c>
    </row>
    <row r="5748" spans="1:6" x14ac:dyDescent="0.2">
      <c r="A5748" s="20">
        <v>44701</v>
      </c>
      <c r="B5748">
        <v>360.25</v>
      </c>
      <c r="E5748">
        <f t="shared" si="178"/>
        <v>5</v>
      </c>
      <c r="F5748">
        <f t="shared" si="179"/>
        <v>2022</v>
      </c>
    </row>
    <row r="5749" spans="1:6" x14ac:dyDescent="0.2">
      <c r="A5749" s="20">
        <v>44704</v>
      </c>
      <c r="B5749">
        <v>364</v>
      </c>
      <c r="E5749">
        <f t="shared" si="178"/>
        <v>5</v>
      </c>
      <c r="F5749">
        <f t="shared" si="179"/>
        <v>2022</v>
      </c>
    </row>
    <row r="5750" spans="1:6" x14ac:dyDescent="0.2">
      <c r="A5750" s="20">
        <v>44705</v>
      </c>
      <c r="B5750">
        <v>360.5</v>
      </c>
      <c r="E5750">
        <f t="shared" si="178"/>
        <v>5</v>
      </c>
      <c r="F5750">
        <f t="shared" si="179"/>
        <v>2022</v>
      </c>
    </row>
    <row r="5751" spans="1:6" x14ac:dyDescent="0.2">
      <c r="A5751" s="20">
        <v>44706</v>
      </c>
      <c r="B5751">
        <v>347.75</v>
      </c>
      <c r="E5751">
        <f t="shared" si="178"/>
        <v>5</v>
      </c>
      <c r="F5751">
        <f t="shared" si="179"/>
        <v>2022</v>
      </c>
    </row>
    <row r="5752" spans="1:6" x14ac:dyDescent="0.2">
      <c r="A5752" s="20">
        <v>44707</v>
      </c>
      <c r="B5752">
        <v>351.25</v>
      </c>
      <c r="E5752">
        <f t="shared" si="178"/>
        <v>5</v>
      </c>
      <c r="F5752">
        <f t="shared" si="179"/>
        <v>2022</v>
      </c>
    </row>
    <row r="5753" spans="1:6" x14ac:dyDescent="0.2">
      <c r="A5753" s="20">
        <v>44708</v>
      </c>
      <c r="B5753">
        <v>352.25</v>
      </c>
      <c r="E5753">
        <f t="shared" si="178"/>
        <v>5</v>
      </c>
      <c r="F5753">
        <f t="shared" si="179"/>
        <v>2022</v>
      </c>
    </row>
    <row r="5754" spans="1:6" x14ac:dyDescent="0.2">
      <c r="A5754" s="20">
        <v>44711</v>
      </c>
      <c r="B5754">
        <v>351.25</v>
      </c>
      <c r="E5754">
        <f t="shared" si="178"/>
        <v>5</v>
      </c>
      <c r="F5754">
        <f t="shared" si="179"/>
        <v>2022</v>
      </c>
    </row>
    <row r="5755" spans="1:6" x14ac:dyDescent="0.2">
      <c r="A5755" s="20">
        <v>44712</v>
      </c>
      <c r="B5755">
        <v>340.25</v>
      </c>
      <c r="E5755">
        <f t="shared" si="178"/>
        <v>5</v>
      </c>
      <c r="F5755">
        <f t="shared" si="179"/>
        <v>2022</v>
      </c>
    </row>
    <row r="5756" spans="1:6" x14ac:dyDescent="0.2">
      <c r="A5756" s="20">
        <v>44713</v>
      </c>
      <c r="B5756">
        <v>329.5</v>
      </c>
      <c r="E5756">
        <f t="shared" si="178"/>
        <v>6</v>
      </c>
      <c r="F5756">
        <f t="shared" si="179"/>
        <v>2022</v>
      </c>
    </row>
    <row r="5757" spans="1:6" x14ac:dyDescent="0.2">
      <c r="A5757" s="20">
        <v>44714</v>
      </c>
      <c r="B5757">
        <v>329</v>
      </c>
      <c r="E5757">
        <f t="shared" si="178"/>
        <v>6</v>
      </c>
      <c r="F5757">
        <f t="shared" si="179"/>
        <v>2022</v>
      </c>
    </row>
    <row r="5758" spans="1:6" x14ac:dyDescent="0.2">
      <c r="A5758" s="20">
        <v>44715</v>
      </c>
      <c r="B5758">
        <v>327.5</v>
      </c>
      <c r="E5758">
        <f t="shared" si="178"/>
        <v>6</v>
      </c>
      <c r="F5758">
        <f t="shared" si="179"/>
        <v>2022</v>
      </c>
    </row>
    <row r="5759" spans="1:6" x14ac:dyDescent="0.2">
      <c r="A5759" s="20">
        <v>44718</v>
      </c>
      <c r="B5759">
        <v>317</v>
      </c>
      <c r="E5759">
        <f t="shared" si="178"/>
        <v>6</v>
      </c>
      <c r="F5759">
        <f t="shared" si="179"/>
        <v>2022</v>
      </c>
    </row>
    <row r="5760" spans="1:6" x14ac:dyDescent="0.2">
      <c r="A5760" s="20">
        <v>44719</v>
      </c>
      <c r="B5760">
        <v>335.25</v>
      </c>
      <c r="E5760">
        <f t="shared" si="178"/>
        <v>6</v>
      </c>
      <c r="F5760">
        <f t="shared" si="179"/>
        <v>2022</v>
      </c>
    </row>
    <row r="5761" spans="1:6" x14ac:dyDescent="0.2">
      <c r="A5761" s="20">
        <v>44720</v>
      </c>
      <c r="B5761">
        <v>332.75</v>
      </c>
      <c r="E5761">
        <f t="shared" si="178"/>
        <v>6</v>
      </c>
      <c r="F5761">
        <f t="shared" si="179"/>
        <v>2022</v>
      </c>
    </row>
    <row r="5762" spans="1:6" x14ac:dyDescent="0.2">
      <c r="A5762" s="20">
        <v>44721</v>
      </c>
      <c r="B5762">
        <v>333</v>
      </c>
      <c r="E5762">
        <f t="shared" si="178"/>
        <v>6</v>
      </c>
      <c r="F5762">
        <f t="shared" si="179"/>
        <v>2022</v>
      </c>
    </row>
    <row r="5763" spans="1:6" x14ac:dyDescent="0.2">
      <c r="A5763" s="20">
        <v>44722</v>
      </c>
      <c r="B5763">
        <v>334.75</v>
      </c>
      <c r="E5763">
        <f t="shared" ref="E5763:E5826" si="180">MONTH(A5763)</f>
        <v>6</v>
      </c>
      <c r="F5763">
        <f t="shared" ref="F5763:F5826" si="181">YEAR(A5763)</f>
        <v>2022</v>
      </c>
    </row>
    <row r="5764" spans="1:6" x14ac:dyDescent="0.2">
      <c r="A5764" s="20">
        <v>44725</v>
      </c>
      <c r="B5764">
        <v>335.75</v>
      </c>
      <c r="E5764">
        <f t="shared" si="180"/>
        <v>6</v>
      </c>
      <c r="F5764">
        <f t="shared" si="181"/>
        <v>2022</v>
      </c>
    </row>
    <row r="5765" spans="1:6" x14ac:dyDescent="0.2">
      <c r="A5765" s="20">
        <v>44726</v>
      </c>
      <c r="B5765">
        <v>335.75</v>
      </c>
      <c r="E5765">
        <f t="shared" si="180"/>
        <v>6</v>
      </c>
      <c r="F5765">
        <f t="shared" si="181"/>
        <v>2022</v>
      </c>
    </row>
    <row r="5766" spans="1:6" x14ac:dyDescent="0.2">
      <c r="A5766" s="20">
        <v>44727</v>
      </c>
      <c r="B5766">
        <v>335</v>
      </c>
      <c r="E5766">
        <f t="shared" si="180"/>
        <v>6</v>
      </c>
      <c r="F5766">
        <f t="shared" si="181"/>
        <v>2022</v>
      </c>
    </row>
    <row r="5767" spans="1:6" x14ac:dyDescent="0.2">
      <c r="A5767" s="20">
        <v>44728</v>
      </c>
      <c r="B5767">
        <v>339.5</v>
      </c>
      <c r="E5767">
        <f t="shared" si="180"/>
        <v>6</v>
      </c>
      <c r="F5767">
        <f t="shared" si="181"/>
        <v>2022</v>
      </c>
    </row>
    <row r="5768" spans="1:6" x14ac:dyDescent="0.2">
      <c r="A5768" s="20">
        <v>44729</v>
      </c>
      <c r="B5768">
        <v>337.5</v>
      </c>
      <c r="E5768">
        <f t="shared" si="180"/>
        <v>6</v>
      </c>
      <c r="F5768">
        <f t="shared" si="181"/>
        <v>2022</v>
      </c>
    </row>
    <row r="5769" spans="1:6" x14ac:dyDescent="0.2">
      <c r="A5769" s="20">
        <v>44732</v>
      </c>
      <c r="B5769">
        <v>338</v>
      </c>
      <c r="E5769">
        <f t="shared" si="180"/>
        <v>6</v>
      </c>
      <c r="F5769">
        <f t="shared" si="181"/>
        <v>2022</v>
      </c>
    </row>
    <row r="5770" spans="1:6" x14ac:dyDescent="0.2">
      <c r="A5770" s="20">
        <v>44733</v>
      </c>
      <c r="B5770">
        <v>326</v>
      </c>
      <c r="E5770">
        <f t="shared" si="180"/>
        <v>6</v>
      </c>
      <c r="F5770">
        <f t="shared" si="181"/>
        <v>2022</v>
      </c>
    </row>
    <row r="5771" spans="1:6" x14ac:dyDescent="0.2">
      <c r="A5771" s="20">
        <v>44734</v>
      </c>
      <c r="B5771">
        <v>323.5</v>
      </c>
      <c r="E5771">
        <f t="shared" si="180"/>
        <v>6</v>
      </c>
      <c r="F5771">
        <f t="shared" si="181"/>
        <v>2022</v>
      </c>
    </row>
    <row r="5772" spans="1:6" x14ac:dyDescent="0.2">
      <c r="A5772" s="20">
        <v>44735</v>
      </c>
      <c r="B5772">
        <v>307.75</v>
      </c>
      <c r="E5772">
        <f t="shared" si="180"/>
        <v>6</v>
      </c>
      <c r="F5772">
        <f t="shared" si="181"/>
        <v>2022</v>
      </c>
    </row>
    <row r="5773" spans="1:6" x14ac:dyDescent="0.2">
      <c r="A5773" s="20">
        <v>44736</v>
      </c>
      <c r="B5773">
        <v>307</v>
      </c>
      <c r="E5773">
        <f t="shared" si="180"/>
        <v>6</v>
      </c>
      <c r="F5773">
        <f t="shared" si="181"/>
        <v>2022</v>
      </c>
    </row>
    <row r="5774" spans="1:6" x14ac:dyDescent="0.2">
      <c r="A5774" s="20">
        <v>44739</v>
      </c>
      <c r="B5774">
        <v>300</v>
      </c>
      <c r="E5774">
        <f t="shared" si="180"/>
        <v>6</v>
      </c>
      <c r="F5774">
        <f t="shared" si="181"/>
        <v>2022</v>
      </c>
    </row>
    <row r="5775" spans="1:6" x14ac:dyDescent="0.2">
      <c r="A5775" s="20">
        <v>44740</v>
      </c>
      <c r="B5775">
        <v>303.5</v>
      </c>
      <c r="E5775">
        <f t="shared" si="180"/>
        <v>6</v>
      </c>
      <c r="F5775">
        <f t="shared" si="181"/>
        <v>2022</v>
      </c>
    </row>
    <row r="5776" spans="1:6" x14ac:dyDescent="0.2">
      <c r="A5776" s="20">
        <v>44741</v>
      </c>
      <c r="B5776">
        <v>306</v>
      </c>
      <c r="E5776">
        <f t="shared" si="180"/>
        <v>6</v>
      </c>
      <c r="F5776">
        <f t="shared" si="181"/>
        <v>2022</v>
      </c>
    </row>
    <row r="5777" spans="1:6" x14ac:dyDescent="0.2">
      <c r="A5777" s="20">
        <v>44742</v>
      </c>
      <c r="B5777">
        <v>298</v>
      </c>
      <c r="E5777">
        <f t="shared" si="180"/>
        <v>6</v>
      </c>
      <c r="F5777">
        <f t="shared" si="181"/>
        <v>2022</v>
      </c>
    </row>
    <row r="5778" spans="1:6" x14ac:dyDescent="0.2">
      <c r="A5778" s="20">
        <v>44743</v>
      </c>
      <c r="B5778">
        <v>288.25</v>
      </c>
      <c r="E5778">
        <f t="shared" si="180"/>
        <v>7</v>
      </c>
      <c r="F5778">
        <f t="shared" si="181"/>
        <v>2022</v>
      </c>
    </row>
    <row r="5779" spans="1:6" x14ac:dyDescent="0.2">
      <c r="A5779" s="20">
        <v>44746</v>
      </c>
      <c r="B5779">
        <v>293.25</v>
      </c>
      <c r="E5779">
        <f t="shared" si="180"/>
        <v>7</v>
      </c>
      <c r="F5779">
        <f t="shared" si="181"/>
        <v>2022</v>
      </c>
    </row>
    <row r="5780" spans="1:6" x14ac:dyDescent="0.2">
      <c r="A5780" s="20">
        <v>44747</v>
      </c>
      <c r="B5780">
        <v>287.75</v>
      </c>
      <c r="E5780">
        <f t="shared" si="180"/>
        <v>7</v>
      </c>
      <c r="F5780">
        <f t="shared" si="181"/>
        <v>2022</v>
      </c>
    </row>
    <row r="5781" spans="1:6" x14ac:dyDescent="0.2">
      <c r="A5781" s="20">
        <v>44748</v>
      </c>
      <c r="B5781">
        <v>288</v>
      </c>
      <c r="E5781">
        <f t="shared" si="180"/>
        <v>7</v>
      </c>
      <c r="F5781">
        <f t="shared" si="181"/>
        <v>2022</v>
      </c>
    </row>
    <row r="5782" spans="1:6" x14ac:dyDescent="0.2">
      <c r="A5782" s="20">
        <v>44749</v>
      </c>
      <c r="B5782">
        <v>298.25</v>
      </c>
      <c r="E5782">
        <f t="shared" si="180"/>
        <v>7</v>
      </c>
      <c r="F5782">
        <f t="shared" si="181"/>
        <v>2022</v>
      </c>
    </row>
    <row r="5783" spans="1:6" x14ac:dyDescent="0.2">
      <c r="A5783" s="20">
        <v>44750</v>
      </c>
      <c r="B5783">
        <v>316</v>
      </c>
      <c r="E5783">
        <f t="shared" si="180"/>
        <v>7</v>
      </c>
      <c r="F5783">
        <f t="shared" si="181"/>
        <v>2022</v>
      </c>
    </row>
    <row r="5784" spans="1:6" x14ac:dyDescent="0.2">
      <c r="A5784" s="20">
        <v>44753</v>
      </c>
      <c r="B5784">
        <v>326.5</v>
      </c>
      <c r="E5784">
        <f t="shared" si="180"/>
        <v>7</v>
      </c>
      <c r="F5784">
        <f t="shared" si="181"/>
        <v>2022</v>
      </c>
    </row>
    <row r="5785" spans="1:6" x14ac:dyDescent="0.2">
      <c r="A5785" s="20">
        <v>44754</v>
      </c>
      <c r="B5785">
        <v>315.5</v>
      </c>
      <c r="E5785">
        <f t="shared" si="180"/>
        <v>7</v>
      </c>
      <c r="F5785">
        <f t="shared" si="181"/>
        <v>2022</v>
      </c>
    </row>
    <row r="5786" spans="1:6" x14ac:dyDescent="0.2">
      <c r="A5786" s="20">
        <v>44755</v>
      </c>
      <c r="B5786">
        <v>321</v>
      </c>
      <c r="E5786">
        <f t="shared" si="180"/>
        <v>7</v>
      </c>
      <c r="F5786">
        <f t="shared" si="181"/>
        <v>2022</v>
      </c>
    </row>
    <row r="5787" spans="1:6" x14ac:dyDescent="0.2">
      <c r="A5787" s="20">
        <v>44756</v>
      </c>
      <c r="B5787">
        <v>328.75</v>
      </c>
      <c r="E5787">
        <f t="shared" si="180"/>
        <v>7</v>
      </c>
      <c r="F5787">
        <f t="shared" si="181"/>
        <v>2022</v>
      </c>
    </row>
    <row r="5788" spans="1:6" x14ac:dyDescent="0.2">
      <c r="A5788" s="20">
        <v>44757</v>
      </c>
      <c r="B5788">
        <v>323.25</v>
      </c>
      <c r="E5788">
        <f t="shared" si="180"/>
        <v>7</v>
      </c>
      <c r="F5788">
        <f t="shared" si="181"/>
        <v>2022</v>
      </c>
    </row>
    <row r="5789" spans="1:6" x14ac:dyDescent="0.2">
      <c r="A5789" s="20">
        <v>44760</v>
      </c>
      <c r="B5789">
        <v>329.25</v>
      </c>
      <c r="E5789">
        <f t="shared" si="180"/>
        <v>7</v>
      </c>
      <c r="F5789">
        <f t="shared" si="181"/>
        <v>2022</v>
      </c>
    </row>
    <row r="5790" spans="1:6" x14ac:dyDescent="0.2">
      <c r="A5790" s="20">
        <v>44761</v>
      </c>
      <c r="B5790">
        <v>327.5</v>
      </c>
      <c r="E5790">
        <f t="shared" si="180"/>
        <v>7</v>
      </c>
      <c r="F5790">
        <f t="shared" si="181"/>
        <v>2022</v>
      </c>
    </row>
    <row r="5791" spans="1:6" x14ac:dyDescent="0.2">
      <c r="A5791" s="20">
        <v>44762</v>
      </c>
      <c r="B5791">
        <v>328.5</v>
      </c>
      <c r="E5791">
        <f t="shared" si="180"/>
        <v>7</v>
      </c>
      <c r="F5791">
        <f t="shared" si="181"/>
        <v>2022</v>
      </c>
    </row>
    <row r="5792" spans="1:6" x14ac:dyDescent="0.2">
      <c r="A5792" s="20">
        <v>44763</v>
      </c>
      <c r="B5792">
        <v>333.25</v>
      </c>
      <c r="E5792">
        <f t="shared" si="180"/>
        <v>7</v>
      </c>
      <c r="F5792">
        <f t="shared" si="181"/>
        <v>2022</v>
      </c>
    </row>
    <row r="5793" spans="1:6" x14ac:dyDescent="0.2">
      <c r="A5793" s="20">
        <v>44764</v>
      </c>
      <c r="B5793">
        <v>323</v>
      </c>
      <c r="E5793">
        <f t="shared" si="180"/>
        <v>7</v>
      </c>
      <c r="F5793">
        <f t="shared" si="181"/>
        <v>2022</v>
      </c>
    </row>
    <row r="5794" spans="1:6" x14ac:dyDescent="0.2">
      <c r="A5794" s="20">
        <v>44767</v>
      </c>
      <c r="B5794">
        <v>330</v>
      </c>
      <c r="E5794">
        <f t="shared" si="180"/>
        <v>7</v>
      </c>
      <c r="F5794">
        <f t="shared" si="181"/>
        <v>2022</v>
      </c>
    </row>
    <row r="5795" spans="1:6" x14ac:dyDescent="0.2">
      <c r="A5795" s="20">
        <v>44768</v>
      </c>
      <c r="B5795">
        <v>349.25</v>
      </c>
      <c r="E5795">
        <f t="shared" si="180"/>
        <v>7</v>
      </c>
      <c r="F5795">
        <f t="shared" si="181"/>
        <v>2022</v>
      </c>
    </row>
    <row r="5796" spans="1:6" x14ac:dyDescent="0.2">
      <c r="A5796" s="20">
        <v>44769</v>
      </c>
      <c r="B5796">
        <v>352.5</v>
      </c>
      <c r="E5796">
        <f t="shared" si="180"/>
        <v>7</v>
      </c>
      <c r="F5796">
        <f t="shared" si="181"/>
        <v>2022</v>
      </c>
    </row>
    <row r="5797" spans="1:6" x14ac:dyDescent="0.2">
      <c r="A5797" s="20">
        <v>44770</v>
      </c>
      <c r="B5797">
        <v>352</v>
      </c>
      <c r="E5797">
        <f t="shared" si="180"/>
        <v>7</v>
      </c>
      <c r="F5797">
        <f t="shared" si="181"/>
        <v>2022</v>
      </c>
    </row>
    <row r="5798" spans="1:6" x14ac:dyDescent="0.2">
      <c r="A5798" s="20">
        <v>44771</v>
      </c>
      <c r="B5798">
        <v>352.25</v>
      </c>
      <c r="E5798">
        <f t="shared" si="180"/>
        <v>7</v>
      </c>
      <c r="F5798">
        <f t="shared" si="181"/>
        <v>2022</v>
      </c>
    </row>
    <row r="5799" spans="1:6" x14ac:dyDescent="0.2">
      <c r="A5799" s="20">
        <v>44774</v>
      </c>
      <c r="B5799">
        <v>342</v>
      </c>
      <c r="E5799">
        <f t="shared" si="180"/>
        <v>8</v>
      </c>
      <c r="F5799">
        <f t="shared" si="181"/>
        <v>2022</v>
      </c>
    </row>
    <row r="5800" spans="1:6" x14ac:dyDescent="0.2">
      <c r="A5800" s="20">
        <v>44775</v>
      </c>
      <c r="B5800">
        <v>340</v>
      </c>
      <c r="E5800">
        <f t="shared" si="180"/>
        <v>8</v>
      </c>
      <c r="F5800">
        <f t="shared" si="181"/>
        <v>2022</v>
      </c>
    </row>
    <row r="5801" spans="1:6" x14ac:dyDescent="0.2">
      <c r="A5801" s="20">
        <v>44776</v>
      </c>
      <c r="B5801">
        <v>340</v>
      </c>
      <c r="E5801">
        <f t="shared" si="180"/>
        <v>8</v>
      </c>
      <c r="F5801">
        <f t="shared" si="181"/>
        <v>2022</v>
      </c>
    </row>
    <row r="5802" spans="1:6" x14ac:dyDescent="0.2">
      <c r="A5802" s="20">
        <v>44777</v>
      </c>
      <c r="B5802">
        <v>340</v>
      </c>
      <c r="E5802">
        <f t="shared" si="180"/>
        <v>8</v>
      </c>
      <c r="F5802">
        <f t="shared" si="181"/>
        <v>2022</v>
      </c>
    </row>
    <row r="5803" spans="1:6" x14ac:dyDescent="0.2">
      <c r="A5803" s="20">
        <v>44778</v>
      </c>
      <c r="B5803">
        <v>340</v>
      </c>
      <c r="E5803">
        <f t="shared" si="180"/>
        <v>8</v>
      </c>
      <c r="F5803">
        <f t="shared" si="181"/>
        <v>2022</v>
      </c>
    </row>
    <row r="5804" spans="1:6" x14ac:dyDescent="0.2">
      <c r="A5804" s="20">
        <v>44781</v>
      </c>
      <c r="B5804">
        <v>327</v>
      </c>
      <c r="E5804">
        <f t="shared" si="180"/>
        <v>8</v>
      </c>
      <c r="F5804">
        <f t="shared" si="181"/>
        <v>2022</v>
      </c>
    </row>
    <row r="5805" spans="1:6" x14ac:dyDescent="0.2">
      <c r="A5805" s="20">
        <v>44782</v>
      </c>
      <c r="B5805">
        <v>327.5</v>
      </c>
      <c r="E5805">
        <f t="shared" si="180"/>
        <v>8</v>
      </c>
      <c r="F5805">
        <f t="shared" si="181"/>
        <v>2022</v>
      </c>
    </row>
    <row r="5806" spans="1:6" x14ac:dyDescent="0.2">
      <c r="A5806" s="20">
        <v>44783</v>
      </c>
      <c r="B5806">
        <v>330.5</v>
      </c>
      <c r="E5806">
        <f t="shared" si="180"/>
        <v>8</v>
      </c>
      <c r="F5806">
        <f t="shared" si="181"/>
        <v>2022</v>
      </c>
    </row>
    <row r="5807" spans="1:6" x14ac:dyDescent="0.2">
      <c r="A5807" s="20">
        <v>44784</v>
      </c>
      <c r="B5807">
        <v>334.75</v>
      </c>
      <c r="E5807">
        <f t="shared" si="180"/>
        <v>8</v>
      </c>
      <c r="F5807">
        <f t="shared" si="181"/>
        <v>2022</v>
      </c>
    </row>
    <row r="5808" spans="1:6" x14ac:dyDescent="0.2">
      <c r="A5808" s="20">
        <v>44785</v>
      </c>
      <c r="B5808">
        <v>336.5</v>
      </c>
      <c r="E5808">
        <f t="shared" si="180"/>
        <v>8</v>
      </c>
      <c r="F5808">
        <f t="shared" si="181"/>
        <v>2022</v>
      </c>
    </row>
    <row r="5809" spans="1:6" x14ac:dyDescent="0.2">
      <c r="A5809" s="20">
        <v>44788</v>
      </c>
      <c r="B5809">
        <v>337</v>
      </c>
      <c r="E5809">
        <f t="shared" si="180"/>
        <v>8</v>
      </c>
      <c r="F5809">
        <f t="shared" si="181"/>
        <v>2022</v>
      </c>
    </row>
    <row r="5810" spans="1:6" x14ac:dyDescent="0.2">
      <c r="A5810" s="20">
        <v>44789</v>
      </c>
      <c r="B5810">
        <v>327.75</v>
      </c>
      <c r="E5810">
        <f t="shared" si="180"/>
        <v>8</v>
      </c>
      <c r="F5810">
        <f t="shared" si="181"/>
        <v>2022</v>
      </c>
    </row>
    <row r="5811" spans="1:6" x14ac:dyDescent="0.2">
      <c r="A5811" s="20">
        <v>44790</v>
      </c>
      <c r="B5811">
        <v>317.5</v>
      </c>
      <c r="E5811">
        <f t="shared" si="180"/>
        <v>8</v>
      </c>
      <c r="F5811">
        <f t="shared" si="181"/>
        <v>2022</v>
      </c>
    </row>
    <row r="5812" spans="1:6" x14ac:dyDescent="0.2">
      <c r="A5812" s="20">
        <v>44791</v>
      </c>
      <c r="B5812">
        <v>307.75</v>
      </c>
      <c r="E5812">
        <f t="shared" si="180"/>
        <v>8</v>
      </c>
      <c r="F5812">
        <f t="shared" si="181"/>
        <v>2022</v>
      </c>
    </row>
    <row r="5813" spans="1:6" x14ac:dyDescent="0.2">
      <c r="A5813" s="20">
        <v>44792</v>
      </c>
      <c r="B5813">
        <v>310.75</v>
      </c>
      <c r="E5813">
        <f t="shared" si="180"/>
        <v>8</v>
      </c>
      <c r="F5813">
        <f t="shared" si="181"/>
        <v>2022</v>
      </c>
    </row>
    <row r="5814" spans="1:6" x14ac:dyDescent="0.2">
      <c r="A5814" s="20">
        <v>44795</v>
      </c>
      <c r="B5814">
        <v>312.5</v>
      </c>
      <c r="E5814">
        <f t="shared" si="180"/>
        <v>8</v>
      </c>
      <c r="F5814">
        <f t="shared" si="181"/>
        <v>2022</v>
      </c>
    </row>
    <row r="5815" spans="1:6" x14ac:dyDescent="0.2">
      <c r="A5815" s="20">
        <v>44796</v>
      </c>
      <c r="B5815">
        <v>323.75</v>
      </c>
      <c r="E5815">
        <f t="shared" si="180"/>
        <v>8</v>
      </c>
      <c r="F5815">
        <f t="shared" si="181"/>
        <v>2022</v>
      </c>
    </row>
    <row r="5816" spans="1:6" x14ac:dyDescent="0.2">
      <c r="A5816" s="20">
        <v>44797</v>
      </c>
      <c r="B5816">
        <v>321</v>
      </c>
      <c r="E5816">
        <f t="shared" si="180"/>
        <v>8</v>
      </c>
      <c r="F5816">
        <f t="shared" si="181"/>
        <v>2022</v>
      </c>
    </row>
    <row r="5817" spans="1:6" x14ac:dyDescent="0.2">
      <c r="A5817" s="20">
        <v>44798</v>
      </c>
      <c r="B5817">
        <v>313.25</v>
      </c>
      <c r="E5817">
        <f t="shared" si="180"/>
        <v>8</v>
      </c>
      <c r="F5817">
        <f t="shared" si="181"/>
        <v>2022</v>
      </c>
    </row>
    <row r="5818" spans="1:6" x14ac:dyDescent="0.2">
      <c r="A5818" s="20">
        <v>44799</v>
      </c>
      <c r="B5818">
        <v>316</v>
      </c>
      <c r="E5818">
        <f t="shared" si="180"/>
        <v>8</v>
      </c>
      <c r="F5818">
        <f t="shared" si="181"/>
        <v>2022</v>
      </c>
    </row>
    <row r="5819" spans="1:6" x14ac:dyDescent="0.2">
      <c r="A5819" s="20">
        <v>44802</v>
      </c>
      <c r="B5819">
        <v>324.5</v>
      </c>
      <c r="E5819">
        <f t="shared" si="180"/>
        <v>8</v>
      </c>
      <c r="F5819">
        <f t="shared" si="181"/>
        <v>2022</v>
      </c>
    </row>
    <row r="5820" spans="1:6" x14ac:dyDescent="0.2">
      <c r="A5820" s="20">
        <v>44803</v>
      </c>
      <c r="B5820">
        <v>319.5</v>
      </c>
      <c r="E5820">
        <f t="shared" si="180"/>
        <v>8</v>
      </c>
      <c r="F5820">
        <f t="shared" si="181"/>
        <v>2022</v>
      </c>
    </row>
    <row r="5821" spans="1:6" x14ac:dyDescent="0.2">
      <c r="A5821" s="20">
        <v>44804</v>
      </c>
      <c r="B5821">
        <v>320</v>
      </c>
      <c r="E5821">
        <f t="shared" si="180"/>
        <v>8</v>
      </c>
      <c r="F5821">
        <f t="shared" si="181"/>
        <v>2022</v>
      </c>
    </row>
    <row r="5822" spans="1:6" x14ac:dyDescent="0.2">
      <c r="A5822" s="20">
        <v>44805</v>
      </c>
      <c r="B5822">
        <v>318</v>
      </c>
      <c r="E5822">
        <f t="shared" si="180"/>
        <v>9</v>
      </c>
      <c r="F5822">
        <f t="shared" si="181"/>
        <v>2022</v>
      </c>
    </row>
    <row r="5823" spans="1:6" x14ac:dyDescent="0.2">
      <c r="A5823" s="20">
        <v>44806</v>
      </c>
      <c r="B5823">
        <v>316.25</v>
      </c>
      <c r="E5823">
        <f t="shared" si="180"/>
        <v>9</v>
      </c>
      <c r="F5823">
        <f t="shared" si="181"/>
        <v>2022</v>
      </c>
    </row>
    <row r="5824" spans="1:6" x14ac:dyDescent="0.2">
      <c r="A5824" s="20">
        <v>44809</v>
      </c>
      <c r="B5824">
        <v>316.25</v>
      </c>
      <c r="E5824">
        <f t="shared" si="180"/>
        <v>9</v>
      </c>
      <c r="F5824">
        <f t="shared" si="181"/>
        <v>2022</v>
      </c>
    </row>
    <row r="5825" spans="1:6" x14ac:dyDescent="0.2">
      <c r="A5825" s="20">
        <v>44810</v>
      </c>
      <c r="B5825">
        <v>315</v>
      </c>
      <c r="E5825">
        <f t="shared" si="180"/>
        <v>9</v>
      </c>
      <c r="F5825">
        <f t="shared" si="181"/>
        <v>2022</v>
      </c>
    </row>
    <row r="5826" spans="1:6" x14ac:dyDescent="0.2">
      <c r="A5826" s="20">
        <v>44811</v>
      </c>
      <c r="B5826">
        <v>323.5</v>
      </c>
      <c r="E5826">
        <f t="shared" si="180"/>
        <v>9</v>
      </c>
      <c r="F5826">
        <f t="shared" si="181"/>
        <v>2022</v>
      </c>
    </row>
    <row r="5827" spans="1:6" x14ac:dyDescent="0.2">
      <c r="A5827" s="20">
        <v>44812</v>
      </c>
      <c r="B5827">
        <v>320</v>
      </c>
      <c r="E5827">
        <f t="shared" ref="E5827:E5890" si="182">MONTH(A5827)</f>
        <v>9</v>
      </c>
      <c r="F5827">
        <f t="shared" ref="F5827:F5890" si="183">YEAR(A5827)</f>
        <v>2022</v>
      </c>
    </row>
    <row r="5828" spans="1:6" x14ac:dyDescent="0.2">
      <c r="A5828" s="20">
        <v>44813</v>
      </c>
      <c r="B5828">
        <v>328</v>
      </c>
      <c r="E5828">
        <f t="shared" si="182"/>
        <v>9</v>
      </c>
      <c r="F5828">
        <f t="shared" si="183"/>
        <v>2022</v>
      </c>
    </row>
    <row r="5829" spans="1:6" x14ac:dyDescent="0.2">
      <c r="A5829" s="20">
        <v>44816</v>
      </c>
      <c r="B5829">
        <v>327.5</v>
      </c>
      <c r="E5829">
        <f t="shared" si="182"/>
        <v>9</v>
      </c>
      <c r="F5829">
        <f t="shared" si="183"/>
        <v>2022</v>
      </c>
    </row>
    <row r="5830" spans="1:6" x14ac:dyDescent="0.2">
      <c r="A5830" s="20">
        <v>44817</v>
      </c>
      <c r="B5830">
        <v>330.25</v>
      </c>
      <c r="E5830">
        <f t="shared" si="182"/>
        <v>9</v>
      </c>
      <c r="F5830">
        <f t="shared" si="183"/>
        <v>2022</v>
      </c>
    </row>
    <row r="5831" spans="1:6" x14ac:dyDescent="0.2">
      <c r="A5831" s="20">
        <v>44818</v>
      </c>
      <c r="B5831">
        <v>330.75</v>
      </c>
      <c r="E5831">
        <f t="shared" si="182"/>
        <v>9</v>
      </c>
      <c r="F5831">
        <f t="shared" si="183"/>
        <v>2022</v>
      </c>
    </row>
    <row r="5832" spans="1:6" x14ac:dyDescent="0.2">
      <c r="A5832" s="20">
        <v>44819</v>
      </c>
      <c r="B5832">
        <v>327.5</v>
      </c>
      <c r="E5832">
        <f t="shared" si="182"/>
        <v>9</v>
      </c>
      <c r="F5832">
        <f t="shared" si="183"/>
        <v>2022</v>
      </c>
    </row>
    <row r="5833" spans="1:6" x14ac:dyDescent="0.2">
      <c r="A5833" s="20">
        <v>44820</v>
      </c>
      <c r="B5833">
        <v>328</v>
      </c>
      <c r="E5833">
        <f t="shared" si="182"/>
        <v>9</v>
      </c>
      <c r="F5833">
        <f t="shared" si="183"/>
        <v>2022</v>
      </c>
    </row>
    <row r="5834" spans="1:6" x14ac:dyDescent="0.2">
      <c r="A5834" s="20">
        <v>44823</v>
      </c>
      <c r="B5834">
        <v>323.5</v>
      </c>
      <c r="E5834">
        <f t="shared" si="182"/>
        <v>9</v>
      </c>
      <c r="F5834">
        <f t="shared" si="183"/>
        <v>2022</v>
      </c>
    </row>
    <row r="5835" spans="1:6" x14ac:dyDescent="0.2">
      <c r="A5835" s="20">
        <v>44824</v>
      </c>
      <c r="B5835">
        <v>331.25</v>
      </c>
      <c r="E5835">
        <f t="shared" si="182"/>
        <v>9</v>
      </c>
      <c r="F5835">
        <f t="shared" si="183"/>
        <v>2022</v>
      </c>
    </row>
    <row r="5836" spans="1:6" x14ac:dyDescent="0.2">
      <c r="A5836" s="20">
        <v>44825</v>
      </c>
      <c r="B5836">
        <v>338</v>
      </c>
      <c r="E5836">
        <f t="shared" si="182"/>
        <v>9</v>
      </c>
      <c r="F5836">
        <f t="shared" si="183"/>
        <v>2022</v>
      </c>
    </row>
    <row r="5837" spans="1:6" x14ac:dyDescent="0.2">
      <c r="A5837" s="20">
        <v>44826</v>
      </c>
      <c r="B5837">
        <v>338.25</v>
      </c>
      <c r="E5837">
        <f t="shared" si="182"/>
        <v>9</v>
      </c>
      <c r="F5837">
        <f t="shared" si="183"/>
        <v>2022</v>
      </c>
    </row>
    <row r="5838" spans="1:6" x14ac:dyDescent="0.2">
      <c r="A5838" s="20">
        <v>44827</v>
      </c>
      <c r="B5838">
        <v>338.5</v>
      </c>
      <c r="E5838">
        <f t="shared" si="182"/>
        <v>9</v>
      </c>
      <c r="F5838">
        <f t="shared" si="183"/>
        <v>2022</v>
      </c>
    </row>
    <row r="5839" spans="1:6" x14ac:dyDescent="0.2">
      <c r="A5839" s="20">
        <v>44830</v>
      </c>
      <c r="B5839">
        <v>334.75</v>
      </c>
      <c r="E5839">
        <f t="shared" si="182"/>
        <v>9</v>
      </c>
      <c r="F5839">
        <f t="shared" si="183"/>
        <v>2022</v>
      </c>
    </row>
    <row r="5840" spans="1:6" x14ac:dyDescent="0.2">
      <c r="A5840" s="20">
        <v>44831</v>
      </c>
      <c r="B5840">
        <v>336.25</v>
      </c>
      <c r="E5840">
        <f t="shared" si="182"/>
        <v>9</v>
      </c>
      <c r="F5840">
        <f t="shared" si="183"/>
        <v>2022</v>
      </c>
    </row>
    <row r="5841" spans="1:6" x14ac:dyDescent="0.2">
      <c r="A5841" s="20">
        <v>44832</v>
      </c>
      <c r="B5841">
        <v>339</v>
      </c>
      <c r="E5841">
        <f t="shared" si="182"/>
        <v>9</v>
      </c>
      <c r="F5841">
        <f t="shared" si="183"/>
        <v>2022</v>
      </c>
    </row>
    <row r="5842" spans="1:6" x14ac:dyDescent="0.2">
      <c r="A5842" s="20">
        <v>44833</v>
      </c>
      <c r="B5842">
        <v>337.5</v>
      </c>
      <c r="E5842">
        <f t="shared" si="182"/>
        <v>9</v>
      </c>
      <c r="F5842">
        <f t="shared" si="183"/>
        <v>2022</v>
      </c>
    </row>
    <row r="5843" spans="1:6" x14ac:dyDescent="0.2">
      <c r="A5843" s="20">
        <v>44834</v>
      </c>
      <c r="B5843">
        <v>341</v>
      </c>
      <c r="E5843">
        <f t="shared" si="182"/>
        <v>9</v>
      </c>
      <c r="F5843">
        <f t="shared" si="183"/>
        <v>2022</v>
      </c>
    </row>
    <row r="5844" spans="1:6" x14ac:dyDescent="0.2">
      <c r="A5844" s="20">
        <v>44837</v>
      </c>
      <c r="B5844">
        <v>340</v>
      </c>
      <c r="E5844">
        <f t="shared" si="182"/>
        <v>10</v>
      </c>
      <c r="F5844">
        <f t="shared" si="183"/>
        <v>2022</v>
      </c>
    </row>
    <row r="5845" spans="1:6" x14ac:dyDescent="0.2">
      <c r="A5845" s="20">
        <v>44838</v>
      </c>
      <c r="B5845">
        <v>339.75</v>
      </c>
      <c r="E5845">
        <f t="shared" si="182"/>
        <v>10</v>
      </c>
      <c r="F5845">
        <f t="shared" si="183"/>
        <v>2022</v>
      </c>
    </row>
    <row r="5846" spans="1:6" x14ac:dyDescent="0.2">
      <c r="A5846" s="20">
        <v>44839</v>
      </c>
      <c r="B5846">
        <v>338.75</v>
      </c>
      <c r="E5846">
        <f t="shared" si="182"/>
        <v>10</v>
      </c>
      <c r="F5846">
        <f t="shared" si="183"/>
        <v>2022</v>
      </c>
    </row>
    <row r="5847" spans="1:6" x14ac:dyDescent="0.2">
      <c r="A5847" s="20">
        <v>44840</v>
      </c>
      <c r="B5847">
        <v>337.25</v>
      </c>
      <c r="E5847">
        <f t="shared" si="182"/>
        <v>10</v>
      </c>
      <c r="F5847">
        <f t="shared" si="183"/>
        <v>2022</v>
      </c>
    </row>
    <row r="5848" spans="1:6" x14ac:dyDescent="0.2">
      <c r="A5848" s="20">
        <v>44841</v>
      </c>
      <c r="B5848">
        <v>336.5</v>
      </c>
      <c r="E5848">
        <f t="shared" si="182"/>
        <v>10</v>
      </c>
      <c r="F5848">
        <f t="shared" si="183"/>
        <v>2022</v>
      </c>
    </row>
    <row r="5849" spans="1:6" x14ac:dyDescent="0.2">
      <c r="A5849" s="20">
        <v>44844</v>
      </c>
      <c r="B5849">
        <v>346.75</v>
      </c>
      <c r="E5849">
        <f t="shared" si="182"/>
        <v>10</v>
      </c>
      <c r="F5849">
        <f t="shared" si="183"/>
        <v>2022</v>
      </c>
    </row>
    <row r="5850" spans="1:6" x14ac:dyDescent="0.2">
      <c r="A5850" s="20">
        <v>44845</v>
      </c>
      <c r="B5850">
        <v>340.75</v>
      </c>
      <c r="E5850">
        <f t="shared" si="182"/>
        <v>10</v>
      </c>
      <c r="F5850">
        <f t="shared" si="183"/>
        <v>2022</v>
      </c>
    </row>
    <row r="5851" spans="1:6" x14ac:dyDescent="0.2">
      <c r="A5851" s="20">
        <v>44846</v>
      </c>
      <c r="B5851">
        <v>340.25</v>
      </c>
      <c r="E5851">
        <f t="shared" si="182"/>
        <v>10</v>
      </c>
      <c r="F5851">
        <f t="shared" si="183"/>
        <v>2022</v>
      </c>
    </row>
    <row r="5852" spans="1:6" x14ac:dyDescent="0.2">
      <c r="A5852" s="20">
        <v>44847</v>
      </c>
      <c r="B5852">
        <v>341.25</v>
      </c>
      <c r="E5852">
        <f t="shared" si="182"/>
        <v>10</v>
      </c>
      <c r="F5852">
        <f t="shared" si="183"/>
        <v>2022</v>
      </c>
    </row>
    <row r="5853" spans="1:6" x14ac:dyDescent="0.2">
      <c r="A5853" s="20">
        <v>44848</v>
      </c>
      <c r="B5853">
        <v>340.25</v>
      </c>
      <c r="E5853">
        <f t="shared" si="182"/>
        <v>10</v>
      </c>
      <c r="F5853">
        <f t="shared" si="183"/>
        <v>2022</v>
      </c>
    </row>
    <row r="5854" spans="1:6" x14ac:dyDescent="0.2">
      <c r="A5854" s="20">
        <v>44851</v>
      </c>
      <c r="B5854">
        <v>332.75</v>
      </c>
      <c r="E5854">
        <f t="shared" si="182"/>
        <v>10</v>
      </c>
      <c r="F5854">
        <f t="shared" si="183"/>
        <v>2022</v>
      </c>
    </row>
    <row r="5855" spans="1:6" x14ac:dyDescent="0.2">
      <c r="A5855" s="20">
        <v>44852</v>
      </c>
      <c r="B5855">
        <v>326</v>
      </c>
      <c r="E5855">
        <f t="shared" si="182"/>
        <v>10</v>
      </c>
      <c r="F5855">
        <f t="shared" si="183"/>
        <v>2022</v>
      </c>
    </row>
    <row r="5856" spans="1:6" x14ac:dyDescent="0.2">
      <c r="A5856" s="20">
        <v>44853</v>
      </c>
      <c r="B5856">
        <v>327</v>
      </c>
      <c r="E5856">
        <f t="shared" si="182"/>
        <v>10</v>
      </c>
      <c r="F5856">
        <f t="shared" si="183"/>
        <v>2022</v>
      </c>
    </row>
    <row r="5857" spans="1:6" x14ac:dyDescent="0.2">
      <c r="A5857" s="20">
        <v>44854</v>
      </c>
      <c r="B5857">
        <v>332.25</v>
      </c>
      <c r="E5857">
        <f t="shared" si="182"/>
        <v>10</v>
      </c>
      <c r="F5857">
        <f t="shared" si="183"/>
        <v>2022</v>
      </c>
    </row>
    <row r="5858" spans="1:6" x14ac:dyDescent="0.2">
      <c r="A5858" s="20">
        <v>44855</v>
      </c>
      <c r="B5858">
        <v>334.25</v>
      </c>
      <c r="E5858">
        <f t="shared" si="182"/>
        <v>10</v>
      </c>
      <c r="F5858">
        <f t="shared" si="183"/>
        <v>2022</v>
      </c>
    </row>
    <row r="5859" spans="1:6" x14ac:dyDescent="0.2">
      <c r="A5859" s="20">
        <v>44858</v>
      </c>
      <c r="B5859">
        <v>332.75</v>
      </c>
      <c r="E5859">
        <f t="shared" si="182"/>
        <v>10</v>
      </c>
      <c r="F5859">
        <f t="shared" si="183"/>
        <v>2022</v>
      </c>
    </row>
    <row r="5860" spans="1:6" x14ac:dyDescent="0.2">
      <c r="A5860" s="20">
        <v>44859</v>
      </c>
      <c r="B5860">
        <v>334</v>
      </c>
      <c r="E5860">
        <f t="shared" si="182"/>
        <v>10</v>
      </c>
      <c r="F5860">
        <f t="shared" si="183"/>
        <v>2022</v>
      </c>
    </row>
    <row r="5861" spans="1:6" x14ac:dyDescent="0.2">
      <c r="A5861" s="20">
        <v>44860</v>
      </c>
      <c r="B5861">
        <v>332.25</v>
      </c>
      <c r="E5861">
        <f t="shared" si="182"/>
        <v>10</v>
      </c>
      <c r="F5861">
        <f t="shared" si="183"/>
        <v>2022</v>
      </c>
    </row>
    <row r="5862" spans="1:6" x14ac:dyDescent="0.2">
      <c r="A5862" s="20">
        <v>44861</v>
      </c>
      <c r="B5862">
        <v>335.25</v>
      </c>
      <c r="E5862">
        <f t="shared" si="182"/>
        <v>10</v>
      </c>
      <c r="F5862">
        <f t="shared" si="183"/>
        <v>2022</v>
      </c>
    </row>
    <row r="5863" spans="1:6" x14ac:dyDescent="0.2">
      <c r="A5863" s="20">
        <v>44862</v>
      </c>
      <c r="B5863">
        <v>337</v>
      </c>
      <c r="E5863">
        <f t="shared" si="182"/>
        <v>10</v>
      </c>
      <c r="F5863">
        <f t="shared" si="183"/>
        <v>2022</v>
      </c>
    </row>
    <row r="5864" spans="1:6" x14ac:dyDescent="0.2">
      <c r="A5864" s="20">
        <v>44865</v>
      </c>
      <c r="B5864">
        <v>347.25</v>
      </c>
      <c r="E5864">
        <f t="shared" si="182"/>
        <v>10</v>
      </c>
      <c r="F5864">
        <f t="shared" si="183"/>
        <v>2022</v>
      </c>
    </row>
    <row r="5865" spans="1:6" x14ac:dyDescent="0.2">
      <c r="A5865" s="20">
        <v>44866</v>
      </c>
      <c r="B5865">
        <v>338</v>
      </c>
      <c r="E5865">
        <f t="shared" si="182"/>
        <v>11</v>
      </c>
      <c r="F5865">
        <f t="shared" si="183"/>
        <v>2022</v>
      </c>
    </row>
    <row r="5866" spans="1:6" x14ac:dyDescent="0.2">
      <c r="A5866" s="20">
        <v>44867</v>
      </c>
      <c r="B5866">
        <v>336</v>
      </c>
      <c r="E5866">
        <f t="shared" si="182"/>
        <v>11</v>
      </c>
      <c r="F5866">
        <f t="shared" si="183"/>
        <v>2022</v>
      </c>
    </row>
    <row r="5867" spans="1:6" x14ac:dyDescent="0.2">
      <c r="A5867" s="20">
        <v>44868</v>
      </c>
      <c r="B5867">
        <v>346.75</v>
      </c>
      <c r="E5867">
        <f t="shared" si="182"/>
        <v>11</v>
      </c>
      <c r="F5867">
        <f t="shared" si="183"/>
        <v>2022</v>
      </c>
    </row>
    <row r="5868" spans="1:6" x14ac:dyDescent="0.2">
      <c r="A5868" s="20">
        <v>44869</v>
      </c>
      <c r="B5868">
        <v>329</v>
      </c>
      <c r="E5868">
        <f t="shared" si="182"/>
        <v>11</v>
      </c>
      <c r="F5868">
        <f t="shared" si="183"/>
        <v>2022</v>
      </c>
    </row>
    <row r="5869" spans="1:6" x14ac:dyDescent="0.2">
      <c r="A5869" s="20">
        <v>44872</v>
      </c>
      <c r="B5869">
        <v>329</v>
      </c>
      <c r="E5869">
        <f t="shared" si="182"/>
        <v>11</v>
      </c>
      <c r="F5869">
        <f t="shared" si="183"/>
        <v>2022</v>
      </c>
    </row>
    <row r="5870" spans="1:6" x14ac:dyDescent="0.2">
      <c r="A5870" s="20">
        <v>44873</v>
      </c>
      <c r="B5870">
        <v>326.75</v>
      </c>
      <c r="E5870">
        <f t="shared" si="182"/>
        <v>11</v>
      </c>
      <c r="F5870">
        <f t="shared" si="183"/>
        <v>2022</v>
      </c>
    </row>
    <row r="5871" spans="1:6" x14ac:dyDescent="0.2">
      <c r="A5871" s="20">
        <v>44874</v>
      </c>
      <c r="B5871">
        <v>323.5</v>
      </c>
      <c r="E5871">
        <f t="shared" si="182"/>
        <v>11</v>
      </c>
      <c r="F5871">
        <f t="shared" si="183"/>
        <v>2022</v>
      </c>
    </row>
    <row r="5872" spans="1:6" x14ac:dyDescent="0.2">
      <c r="A5872" s="20">
        <v>44875</v>
      </c>
      <c r="B5872">
        <v>321.25</v>
      </c>
      <c r="E5872">
        <f t="shared" si="182"/>
        <v>11</v>
      </c>
      <c r="F5872">
        <f t="shared" si="183"/>
        <v>2022</v>
      </c>
    </row>
    <row r="5873" spans="1:6" x14ac:dyDescent="0.2">
      <c r="A5873" s="20">
        <v>44876</v>
      </c>
      <c r="B5873">
        <v>320</v>
      </c>
      <c r="E5873">
        <f t="shared" si="182"/>
        <v>11</v>
      </c>
      <c r="F5873">
        <f t="shared" si="183"/>
        <v>2022</v>
      </c>
    </row>
    <row r="5874" spans="1:6" x14ac:dyDescent="0.2">
      <c r="A5874" s="20">
        <v>44879</v>
      </c>
      <c r="B5874">
        <v>317.75</v>
      </c>
      <c r="E5874">
        <f t="shared" si="182"/>
        <v>11</v>
      </c>
      <c r="F5874">
        <f t="shared" si="183"/>
        <v>2022</v>
      </c>
    </row>
    <row r="5875" spans="1:6" x14ac:dyDescent="0.2">
      <c r="A5875" s="20">
        <v>44880</v>
      </c>
      <c r="B5875">
        <v>311.5</v>
      </c>
      <c r="E5875">
        <f t="shared" si="182"/>
        <v>11</v>
      </c>
      <c r="F5875">
        <f t="shared" si="183"/>
        <v>2022</v>
      </c>
    </row>
    <row r="5876" spans="1:6" x14ac:dyDescent="0.2">
      <c r="A5876" s="20">
        <v>44881</v>
      </c>
      <c r="B5876">
        <v>307.5</v>
      </c>
      <c r="E5876">
        <f t="shared" si="182"/>
        <v>11</v>
      </c>
      <c r="F5876">
        <f t="shared" si="183"/>
        <v>2022</v>
      </c>
    </row>
    <row r="5877" spans="1:6" x14ac:dyDescent="0.2">
      <c r="A5877" s="20">
        <v>44882</v>
      </c>
      <c r="B5877">
        <v>305.5</v>
      </c>
      <c r="E5877">
        <f t="shared" si="182"/>
        <v>11</v>
      </c>
      <c r="F5877">
        <f t="shared" si="183"/>
        <v>2022</v>
      </c>
    </row>
    <row r="5878" spans="1:6" x14ac:dyDescent="0.2">
      <c r="A5878" s="20">
        <v>44883</v>
      </c>
      <c r="B5878">
        <v>306.75</v>
      </c>
      <c r="E5878">
        <f t="shared" si="182"/>
        <v>11</v>
      </c>
      <c r="F5878">
        <f t="shared" si="183"/>
        <v>2022</v>
      </c>
    </row>
    <row r="5879" spans="1:6" x14ac:dyDescent="0.2">
      <c r="A5879" s="20">
        <v>44886</v>
      </c>
      <c r="B5879">
        <v>306.75</v>
      </c>
      <c r="E5879">
        <f t="shared" si="182"/>
        <v>11</v>
      </c>
      <c r="F5879">
        <f t="shared" si="183"/>
        <v>2022</v>
      </c>
    </row>
    <row r="5880" spans="1:6" x14ac:dyDescent="0.2">
      <c r="A5880" s="20">
        <v>44887</v>
      </c>
      <c r="B5880">
        <v>306</v>
      </c>
      <c r="E5880">
        <f t="shared" si="182"/>
        <v>11</v>
      </c>
      <c r="F5880">
        <f t="shared" si="183"/>
        <v>2022</v>
      </c>
    </row>
    <row r="5881" spans="1:6" x14ac:dyDescent="0.2">
      <c r="A5881" s="20">
        <v>44888</v>
      </c>
      <c r="B5881">
        <v>304</v>
      </c>
      <c r="E5881">
        <f t="shared" si="182"/>
        <v>11</v>
      </c>
      <c r="F5881">
        <f t="shared" si="183"/>
        <v>2022</v>
      </c>
    </row>
    <row r="5882" spans="1:6" x14ac:dyDescent="0.2">
      <c r="A5882" s="20">
        <v>44889</v>
      </c>
      <c r="B5882">
        <v>303</v>
      </c>
      <c r="E5882">
        <f t="shared" si="182"/>
        <v>11</v>
      </c>
      <c r="F5882">
        <f t="shared" si="183"/>
        <v>2022</v>
      </c>
    </row>
    <row r="5883" spans="1:6" x14ac:dyDescent="0.2">
      <c r="A5883" s="20">
        <v>44890</v>
      </c>
      <c r="B5883">
        <v>304</v>
      </c>
      <c r="E5883">
        <f t="shared" si="182"/>
        <v>11</v>
      </c>
      <c r="F5883">
        <f t="shared" si="183"/>
        <v>2022</v>
      </c>
    </row>
    <row r="5884" spans="1:6" x14ac:dyDescent="0.2">
      <c r="A5884" s="20">
        <v>44893</v>
      </c>
      <c r="B5884">
        <v>301</v>
      </c>
      <c r="E5884">
        <f t="shared" si="182"/>
        <v>11</v>
      </c>
      <c r="F5884">
        <f t="shared" si="183"/>
        <v>2022</v>
      </c>
    </row>
    <row r="5885" spans="1:6" x14ac:dyDescent="0.2">
      <c r="A5885" s="20">
        <v>44894</v>
      </c>
      <c r="B5885">
        <v>299.5</v>
      </c>
      <c r="E5885">
        <f t="shared" si="182"/>
        <v>11</v>
      </c>
      <c r="F5885">
        <f t="shared" si="183"/>
        <v>2022</v>
      </c>
    </row>
    <row r="5886" spans="1:6" x14ac:dyDescent="0.2">
      <c r="A5886" s="20">
        <v>44895</v>
      </c>
      <c r="B5886">
        <v>300.5</v>
      </c>
      <c r="E5886">
        <f t="shared" si="182"/>
        <v>11</v>
      </c>
      <c r="F5886">
        <f t="shared" si="183"/>
        <v>2022</v>
      </c>
    </row>
    <row r="5887" spans="1:6" x14ac:dyDescent="0.2">
      <c r="A5887" s="20">
        <v>44896</v>
      </c>
      <c r="B5887">
        <v>297.5</v>
      </c>
      <c r="E5887">
        <f t="shared" si="182"/>
        <v>12</v>
      </c>
      <c r="F5887">
        <f t="shared" si="183"/>
        <v>2022</v>
      </c>
    </row>
    <row r="5888" spans="1:6" x14ac:dyDescent="0.2">
      <c r="A5888" s="20">
        <v>44897</v>
      </c>
      <c r="B5888">
        <v>294.5</v>
      </c>
      <c r="E5888">
        <f t="shared" si="182"/>
        <v>12</v>
      </c>
      <c r="F5888">
        <f t="shared" si="183"/>
        <v>2022</v>
      </c>
    </row>
    <row r="5889" spans="1:6" x14ac:dyDescent="0.2">
      <c r="A5889" s="20">
        <v>44900</v>
      </c>
      <c r="B5889">
        <v>291.75</v>
      </c>
      <c r="E5889">
        <f t="shared" si="182"/>
        <v>12</v>
      </c>
      <c r="F5889">
        <f t="shared" si="183"/>
        <v>2022</v>
      </c>
    </row>
    <row r="5890" spans="1:6" x14ac:dyDescent="0.2">
      <c r="A5890" s="20">
        <v>44901</v>
      </c>
      <c r="B5890">
        <v>288.5</v>
      </c>
      <c r="E5890">
        <f t="shared" si="182"/>
        <v>12</v>
      </c>
      <c r="F5890">
        <f t="shared" si="183"/>
        <v>2022</v>
      </c>
    </row>
    <row r="5891" spans="1:6" x14ac:dyDescent="0.2">
      <c r="A5891" s="20">
        <v>44902</v>
      </c>
      <c r="B5891">
        <v>292</v>
      </c>
      <c r="E5891">
        <f t="shared" ref="E5891:E5954" si="184">MONTH(A5891)</f>
        <v>12</v>
      </c>
      <c r="F5891">
        <f t="shared" ref="F5891:F5954" si="185">YEAR(A5891)</f>
        <v>2022</v>
      </c>
    </row>
    <row r="5892" spans="1:6" x14ac:dyDescent="0.2">
      <c r="A5892" s="20">
        <v>44903</v>
      </c>
      <c r="B5892">
        <v>291</v>
      </c>
      <c r="E5892">
        <f t="shared" si="184"/>
        <v>12</v>
      </c>
      <c r="F5892">
        <f t="shared" si="185"/>
        <v>2022</v>
      </c>
    </row>
    <row r="5893" spans="1:6" x14ac:dyDescent="0.2">
      <c r="A5893" s="20">
        <v>44904</v>
      </c>
      <c r="B5893">
        <v>286.75</v>
      </c>
      <c r="E5893">
        <f t="shared" si="184"/>
        <v>12</v>
      </c>
      <c r="F5893">
        <f t="shared" si="185"/>
        <v>2022</v>
      </c>
    </row>
    <row r="5894" spans="1:6" x14ac:dyDescent="0.2">
      <c r="A5894" s="20">
        <v>44907</v>
      </c>
      <c r="B5894">
        <v>287.5</v>
      </c>
      <c r="E5894">
        <f t="shared" si="184"/>
        <v>12</v>
      </c>
      <c r="F5894">
        <f t="shared" si="185"/>
        <v>2022</v>
      </c>
    </row>
    <row r="5895" spans="1:6" x14ac:dyDescent="0.2">
      <c r="A5895" s="20">
        <v>44908</v>
      </c>
      <c r="B5895">
        <v>287.5</v>
      </c>
      <c r="E5895">
        <f t="shared" si="184"/>
        <v>12</v>
      </c>
      <c r="F5895">
        <f t="shared" si="185"/>
        <v>2022</v>
      </c>
    </row>
    <row r="5896" spans="1:6" x14ac:dyDescent="0.2">
      <c r="A5896" s="20">
        <v>44909</v>
      </c>
      <c r="B5896">
        <v>284.25</v>
      </c>
      <c r="E5896">
        <f t="shared" si="184"/>
        <v>12</v>
      </c>
      <c r="F5896">
        <f t="shared" si="185"/>
        <v>2022</v>
      </c>
    </row>
    <row r="5897" spans="1:6" x14ac:dyDescent="0.2">
      <c r="A5897" s="20">
        <v>44910</v>
      </c>
      <c r="B5897">
        <v>284.5</v>
      </c>
      <c r="E5897">
        <f t="shared" si="184"/>
        <v>12</v>
      </c>
      <c r="F5897">
        <f t="shared" si="185"/>
        <v>2022</v>
      </c>
    </row>
    <row r="5898" spans="1:6" x14ac:dyDescent="0.2">
      <c r="A5898" s="20">
        <v>44911</v>
      </c>
      <c r="B5898">
        <v>283.75</v>
      </c>
      <c r="E5898">
        <f t="shared" si="184"/>
        <v>12</v>
      </c>
      <c r="F5898">
        <f t="shared" si="185"/>
        <v>2022</v>
      </c>
    </row>
    <row r="5899" spans="1:6" x14ac:dyDescent="0.2">
      <c r="A5899" s="20">
        <v>44914</v>
      </c>
      <c r="B5899">
        <v>284.25</v>
      </c>
      <c r="E5899">
        <f t="shared" si="184"/>
        <v>12</v>
      </c>
      <c r="F5899">
        <f t="shared" si="185"/>
        <v>2022</v>
      </c>
    </row>
    <row r="5900" spans="1:6" x14ac:dyDescent="0.2">
      <c r="A5900" s="20">
        <v>44915</v>
      </c>
      <c r="B5900">
        <v>283.25</v>
      </c>
      <c r="E5900">
        <f t="shared" si="184"/>
        <v>12</v>
      </c>
      <c r="F5900">
        <f t="shared" si="185"/>
        <v>2022</v>
      </c>
    </row>
    <row r="5901" spans="1:6" x14ac:dyDescent="0.2">
      <c r="A5901" s="20">
        <v>44916</v>
      </c>
      <c r="B5901">
        <v>290</v>
      </c>
      <c r="E5901">
        <f t="shared" si="184"/>
        <v>12</v>
      </c>
      <c r="F5901">
        <f t="shared" si="185"/>
        <v>2022</v>
      </c>
    </row>
    <row r="5902" spans="1:6" x14ac:dyDescent="0.2">
      <c r="A5902" s="20">
        <v>44917</v>
      </c>
      <c r="B5902">
        <v>291</v>
      </c>
      <c r="E5902">
        <f t="shared" si="184"/>
        <v>12</v>
      </c>
      <c r="F5902">
        <f t="shared" si="185"/>
        <v>2022</v>
      </c>
    </row>
    <row r="5903" spans="1:6" x14ac:dyDescent="0.2">
      <c r="A5903" s="20">
        <v>44918</v>
      </c>
      <c r="B5903">
        <v>296</v>
      </c>
      <c r="E5903">
        <f t="shared" si="184"/>
        <v>12</v>
      </c>
      <c r="F5903">
        <f t="shared" si="185"/>
        <v>2022</v>
      </c>
    </row>
    <row r="5904" spans="1:6" x14ac:dyDescent="0.2">
      <c r="A5904" s="20">
        <v>44922</v>
      </c>
      <c r="B5904">
        <v>299.25</v>
      </c>
      <c r="E5904">
        <f t="shared" si="184"/>
        <v>12</v>
      </c>
      <c r="F5904">
        <f t="shared" si="185"/>
        <v>2022</v>
      </c>
    </row>
    <row r="5905" spans="1:6" x14ac:dyDescent="0.2">
      <c r="A5905" s="20">
        <v>44923</v>
      </c>
      <c r="B5905">
        <v>299.25</v>
      </c>
      <c r="E5905">
        <f t="shared" si="184"/>
        <v>12</v>
      </c>
      <c r="F5905">
        <f t="shared" si="185"/>
        <v>2022</v>
      </c>
    </row>
    <row r="5906" spans="1:6" x14ac:dyDescent="0.2">
      <c r="A5906" s="20">
        <v>44924</v>
      </c>
      <c r="B5906">
        <v>296</v>
      </c>
      <c r="E5906">
        <f t="shared" si="184"/>
        <v>12</v>
      </c>
      <c r="F5906">
        <f t="shared" si="185"/>
        <v>2022</v>
      </c>
    </row>
    <row r="5907" spans="1:6" x14ac:dyDescent="0.2">
      <c r="A5907" s="20">
        <v>44925</v>
      </c>
      <c r="B5907">
        <v>295.5</v>
      </c>
      <c r="E5907">
        <f t="shared" si="184"/>
        <v>12</v>
      </c>
      <c r="F5907">
        <f t="shared" si="185"/>
        <v>2022</v>
      </c>
    </row>
    <row r="5908" spans="1:6" x14ac:dyDescent="0.2">
      <c r="A5908" s="20">
        <v>44928</v>
      </c>
      <c r="B5908">
        <v>296</v>
      </c>
      <c r="E5908">
        <f t="shared" si="184"/>
        <v>1</v>
      </c>
      <c r="F5908">
        <f t="shared" si="185"/>
        <v>2023</v>
      </c>
    </row>
    <row r="5909" spans="1:6" x14ac:dyDescent="0.2">
      <c r="A5909" s="20">
        <v>44929</v>
      </c>
      <c r="B5909">
        <v>292.5</v>
      </c>
      <c r="E5909">
        <f t="shared" si="184"/>
        <v>1</v>
      </c>
      <c r="F5909">
        <f t="shared" si="185"/>
        <v>2023</v>
      </c>
    </row>
    <row r="5910" spans="1:6" x14ac:dyDescent="0.2">
      <c r="A5910" s="20">
        <v>44930</v>
      </c>
      <c r="B5910">
        <v>289.25</v>
      </c>
      <c r="E5910">
        <f t="shared" si="184"/>
        <v>1</v>
      </c>
      <c r="F5910">
        <f t="shared" si="185"/>
        <v>2023</v>
      </c>
    </row>
    <row r="5911" spans="1:6" x14ac:dyDescent="0.2">
      <c r="A5911" s="20">
        <v>44931</v>
      </c>
      <c r="B5911">
        <v>290</v>
      </c>
      <c r="E5911">
        <f t="shared" si="184"/>
        <v>1</v>
      </c>
      <c r="F5911">
        <f t="shared" si="185"/>
        <v>2023</v>
      </c>
    </row>
    <row r="5912" spans="1:6" x14ac:dyDescent="0.2">
      <c r="A5912" s="20">
        <v>44932</v>
      </c>
      <c r="B5912">
        <v>290.5</v>
      </c>
      <c r="E5912">
        <f t="shared" si="184"/>
        <v>1</v>
      </c>
      <c r="F5912">
        <f t="shared" si="185"/>
        <v>2023</v>
      </c>
    </row>
    <row r="5913" spans="1:6" x14ac:dyDescent="0.2">
      <c r="A5913" s="20">
        <v>44935</v>
      </c>
      <c r="B5913">
        <v>287.75</v>
      </c>
      <c r="E5913">
        <f t="shared" si="184"/>
        <v>1</v>
      </c>
      <c r="F5913">
        <f t="shared" si="185"/>
        <v>2023</v>
      </c>
    </row>
    <row r="5914" spans="1:6" x14ac:dyDescent="0.2">
      <c r="A5914" s="20">
        <v>44936</v>
      </c>
      <c r="B5914">
        <v>283.5</v>
      </c>
      <c r="E5914">
        <f t="shared" si="184"/>
        <v>1</v>
      </c>
      <c r="F5914">
        <f t="shared" si="185"/>
        <v>2023</v>
      </c>
    </row>
    <row r="5915" spans="1:6" x14ac:dyDescent="0.2">
      <c r="A5915" s="20">
        <v>44937</v>
      </c>
      <c r="B5915">
        <v>283.75</v>
      </c>
      <c r="E5915">
        <f t="shared" si="184"/>
        <v>1</v>
      </c>
      <c r="F5915">
        <f t="shared" si="185"/>
        <v>2023</v>
      </c>
    </row>
    <row r="5916" spans="1:6" x14ac:dyDescent="0.2">
      <c r="A5916" s="20">
        <v>44938</v>
      </c>
      <c r="B5916">
        <v>284</v>
      </c>
      <c r="E5916">
        <f t="shared" si="184"/>
        <v>1</v>
      </c>
      <c r="F5916">
        <f t="shared" si="185"/>
        <v>2023</v>
      </c>
    </row>
    <row r="5917" spans="1:6" x14ac:dyDescent="0.2">
      <c r="A5917" s="20">
        <v>44939</v>
      </c>
      <c r="B5917">
        <v>280</v>
      </c>
      <c r="E5917">
        <f t="shared" si="184"/>
        <v>1</v>
      </c>
      <c r="F5917">
        <f t="shared" si="185"/>
        <v>2023</v>
      </c>
    </row>
    <row r="5918" spans="1:6" x14ac:dyDescent="0.2">
      <c r="A5918" s="20">
        <v>44942</v>
      </c>
      <c r="B5918">
        <v>279</v>
      </c>
      <c r="E5918">
        <f t="shared" si="184"/>
        <v>1</v>
      </c>
      <c r="F5918">
        <f t="shared" si="185"/>
        <v>2023</v>
      </c>
    </row>
    <row r="5919" spans="1:6" x14ac:dyDescent="0.2">
      <c r="A5919" s="20">
        <v>44943</v>
      </c>
      <c r="B5919">
        <v>278.5</v>
      </c>
      <c r="E5919">
        <f t="shared" si="184"/>
        <v>1</v>
      </c>
      <c r="F5919">
        <f t="shared" si="185"/>
        <v>2023</v>
      </c>
    </row>
    <row r="5920" spans="1:6" x14ac:dyDescent="0.2">
      <c r="A5920" s="20">
        <v>44944</v>
      </c>
      <c r="B5920">
        <v>280.5</v>
      </c>
      <c r="E5920">
        <f t="shared" si="184"/>
        <v>1</v>
      </c>
      <c r="F5920">
        <f t="shared" si="185"/>
        <v>2023</v>
      </c>
    </row>
    <row r="5921" spans="1:6" x14ac:dyDescent="0.2">
      <c r="A5921" s="20">
        <v>44945</v>
      </c>
      <c r="B5921">
        <v>278</v>
      </c>
      <c r="E5921">
        <f t="shared" si="184"/>
        <v>1</v>
      </c>
      <c r="F5921">
        <f t="shared" si="185"/>
        <v>2023</v>
      </c>
    </row>
    <row r="5922" spans="1:6" x14ac:dyDescent="0.2">
      <c r="A5922" s="20">
        <v>44946</v>
      </c>
      <c r="B5922">
        <v>278</v>
      </c>
      <c r="E5922">
        <f t="shared" si="184"/>
        <v>1</v>
      </c>
      <c r="F5922">
        <f t="shared" si="185"/>
        <v>2023</v>
      </c>
    </row>
    <row r="5923" spans="1:6" x14ac:dyDescent="0.2">
      <c r="A5923" s="20">
        <v>44949</v>
      </c>
      <c r="B5923">
        <v>272.25</v>
      </c>
      <c r="E5923">
        <f t="shared" si="184"/>
        <v>1</v>
      </c>
      <c r="F5923">
        <f t="shared" si="185"/>
        <v>2023</v>
      </c>
    </row>
    <row r="5924" spans="1:6" x14ac:dyDescent="0.2">
      <c r="A5924" s="20">
        <v>44950</v>
      </c>
      <c r="B5924">
        <v>273.25</v>
      </c>
      <c r="E5924">
        <f t="shared" si="184"/>
        <v>1</v>
      </c>
      <c r="F5924">
        <f t="shared" si="185"/>
        <v>2023</v>
      </c>
    </row>
    <row r="5925" spans="1:6" x14ac:dyDescent="0.2">
      <c r="A5925" s="20">
        <v>44951</v>
      </c>
      <c r="B5925">
        <v>274.75</v>
      </c>
      <c r="E5925">
        <f t="shared" si="184"/>
        <v>1</v>
      </c>
      <c r="F5925">
        <f t="shared" si="185"/>
        <v>2023</v>
      </c>
    </row>
    <row r="5926" spans="1:6" x14ac:dyDescent="0.2">
      <c r="A5926" s="20">
        <v>44952</v>
      </c>
      <c r="B5926">
        <v>278.5</v>
      </c>
      <c r="E5926">
        <f t="shared" si="184"/>
        <v>1</v>
      </c>
      <c r="F5926">
        <f t="shared" si="185"/>
        <v>2023</v>
      </c>
    </row>
    <row r="5927" spans="1:6" x14ac:dyDescent="0.2">
      <c r="A5927" s="20">
        <v>44953</v>
      </c>
      <c r="B5927">
        <v>278.75</v>
      </c>
      <c r="E5927">
        <f t="shared" si="184"/>
        <v>1</v>
      </c>
      <c r="F5927">
        <f t="shared" si="185"/>
        <v>2023</v>
      </c>
    </row>
    <row r="5928" spans="1:6" x14ac:dyDescent="0.2">
      <c r="A5928" s="20">
        <v>44956</v>
      </c>
      <c r="B5928">
        <v>280</v>
      </c>
      <c r="E5928">
        <f t="shared" si="184"/>
        <v>1</v>
      </c>
      <c r="F5928">
        <f t="shared" si="185"/>
        <v>2023</v>
      </c>
    </row>
    <row r="5929" spans="1:6" x14ac:dyDescent="0.2">
      <c r="A5929" s="20">
        <v>44957</v>
      </c>
      <c r="B5929">
        <v>279.25</v>
      </c>
      <c r="E5929">
        <f t="shared" si="184"/>
        <v>1</v>
      </c>
      <c r="F5929">
        <f t="shared" si="185"/>
        <v>2023</v>
      </c>
    </row>
    <row r="5930" spans="1:6" x14ac:dyDescent="0.2">
      <c r="A5930" s="20">
        <v>44958</v>
      </c>
      <c r="B5930">
        <v>276.75</v>
      </c>
      <c r="E5930">
        <f t="shared" si="184"/>
        <v>2</v>
      </c>
      <c r="F5930">
        <f t="shared" si="185"/>
        <v>2023</v>
      </c>
    </row>
    <row r="5931" spans="1:6" x14ac:dyDescent="0.2">
      <c r="A5931" s="20">
        <v>44959</v>
      </c>
      <c r="B5931">
        <v>275.75</v>
      </c>
      <c r="E5931">
        <f t="shared" si="184"/>
        <v>2</v>
      </c>
      <c r="F5931">
        <f t="shared" si="185"/>
        <v>2023</v>
      </c>
    </row>
    <row r="5932" spans="1:6" x14ac:dyDescent="0.2">
      <c r="A5932" s="20">
        <v>44960</v>
      </c>
      <c r="B5932">
        <v>278</v>
      </c>
      <c r="E5932">
        <f t="shared" si="184"/>
        <v>2</v>
      </c>
      <c r="F5932">
        <f t="shared" si="185"/>
        <v>2023</v>
      </c>
    </row>
    <row r="5933" spans="1:6" x14ac:dyDescent="0.2">
      <c r="A5933" s="20">
        <v>44963</v>
      </c>
      <c r="B5933">
        <v>280.25</v>
      </c>
      <c r="E5933">
        <f t="shared" si="184"/>
        <v>2</v>
      </c>
      <c r="F5933">
        <f t="shared" si="185"/>
        <v>2023</v>
      </c>
    </row>
    <row r="5934" spans="1:6" x14ac:dyDescent="0.2">
      <c r="A5934" s="20">
        <v>44964</v>
      </c>
      <c r="B5934">
        <v>285.5</v>
      </c>
      <c r="E5934">
        <f t="shared" si="184"/>
        <v>2</v>
      </c>
      <c r="F5934">
        <f t="shared" si="185"/>
        <v>2023</v>
      </c>
    </row>
    <row r="5935" spans="1:6" x14ac:dyDescent="0.2">
      <c r="A5935" s="20">
        <v>44965</v>
      </c>
      <c r="B5935">
        <v>289</v>
      </c>
      <c r="E5935">
        <f t="shared" si="184"/>
        <v>2</v>
      </c>
      <c r="F5935">
        <f t="shared" si="185"/>
        <v>2023</v>
      </c>
    </row>
    <row r="5936" spans="1:6" x14ac:dyDescent="0.2">
      <c r="A5936" s="20">
        <v>44966</v>
      </c>
      <c r="B5936">
        <v>287.75</v>
      </c>
      <c r="E5936">
        <f t="shared" si="184"/>
        <v>2</v>
      </c>
      <c r="F5936">
        <f t="shared" si="185"/>
        <v>2023</v>
      </c>
    </row>
    <row r="5937" spans="1:6" x14ac:dyDescent="0.2">
      <c r="A5937" s="20">
        <v>44967</v>
      </c>
      <c r="B5937">
        <v>291.75</v>
      </c>
      <c r="E5937">
        <f t="shared" si="184"/>
        <v>2</v>
      </c>
      <c r="F5937">
        <f t="shared" si="185"/>
        <v>2023</v>
      </c>
    </row>
    <row r="5938" spans="1:6" x14ac:dyDescent="0.2">
      <c r="A5938" s="20">
        <v>44970</v>
      </c>
      <c r="B5938">
        <v>297</v>
      </c>
      <c r="E5938">
        <f t="shared" si="184"/>
        <v>2</v>
      </c>
      <c r="F5938">
        <f t="shared" si="185"/>
        <v>2023</v>
      </c>
    </row>
    <row r="5939" spans="1:6" x14ac:dyDescent="0.2">
      <c r="A5939" s="20">
        <v>44971</v>
      </c>
      <c r="B5939">
        <v>298</v>
      </c>
      <c r="E5939">
        <f t="shared" si="184"/>
        <v>2</v>
      </c>
      <c r="F5939">
        <f t="shared" si="185"/>
        <v>2023</v>
      </c>
    </row>
    <row r="5940" spans="1:6" x14ac:dyDescent="0.2">
      <c r="A5940" s="20">
        <v>44972</v>
      </c>
      <c r="B5940">
        <v>297</v>
      </c>
      <c r="E5940">
        <f t="shared" si="184"/>
        <v>2</v>
      </c>
      <c r="F5940">
        <f t="shared" si="185"/>
        <v>2023</v>
      </c>
    </row>
    <row r="5941" spans="1:6" x14ac:dyDescent="0.2">
      <c r="A5941" s="20">
        <v>44973</v>
      </c>
      <c r="B5941">
        <v>294</v>
      </c>
      <c r="E5941">
        <f t="shared" si="184"/>
        <v>2</v>
      </c>
      <c r="F5941">
        <f t="shared" si="185"/>
        <v>2023</v>
      </c>
    </row>
    <row r="5942" spans="1:6" x14ac:dyDescent="0.2">
      <c r="A5942" s="20">
        <v>44974</v>
      </c>
      <c r="B5942">
        <v>295</v>
      </c>
      <c r="E5942">
        <f t="shared" si="184"/>
        <v>2</v>
      </c>
      <c r="F5942">
        <f t="shared" si="185"/>
        <v>2023</v>
      </c>
    </row>
    <row r="5943" spans="1:6" x14ac:dyDescent="0.2">
      <c r="A5943" s="20">
        <v>44977</v>
      </c>
      <c r="B5943">
        <v>294.75</v>
      </c>
      <c r="E5943">
        <f t="shared" si="184"/>
        <v>2</v>
      </c>
      <c r="F5943">
        <f t="shared" si="185"/>
        <v>2023</v>
      </c>
    </row>
    <row r="5944" spans="1:6" x14ac:dyDescent="0.2">
      <c r="A5944" s="20">
        <v>44978</v>
      </c>
      <c r="B5944">
        <v>293.5</v>
      </c>
      <c r="E5944">
        <f t="shared" si="184"/>
        <v>2</v>
      </c>
      <c r="F5944">
        <f t="shared" si="185"/>
        <v>2023</v>
      </c>
    </row>
    <row r="5945" spans="1:6" x14ac:dyDescent="0.2">
      <c r="A5945" s="20">
        <v>44979</v>
      </c>
      <c r="B5945">
        <v>291.75</v>
      </c>
      <c r="E5945">
        <f t="shared" si="184"/>
        <v>2</v>
      </c>
      <c r="F5945">
        <f t="shared" si="185"/>
        <v>2023</v>
      </c>
    </row>
    <row r="5946" spans="1:6" x14ac:dyDescent="0.2">
      <c r="A5946" s="20">
        <v>44980</v>
      </c>
      <c r="B5946">
        <v>295.25</v>
      </c>
      <c r="E5946">
        <f t="shared" si="184"/>
        <v>2</v>
      </c>
      <c r="F5946">
        <f t="shared" si="185"/>
        <v>2023</v>
      </c>
    </row>
    <row r="5947" spans="1:6" x14ac:dyDescent="0.2">
      <c r="A5947" s="20">
        <v>44981</v>
      </c>
      <c r="B5947">
        <v>288.5</v>
      </c>
      <c r="E5947">
        <f t="shared" si="184"/>
        <v>2</v>
      </c>
      <c r="F5947">
        <f t="shared" si="185"/>
        <v>2023</v>
      </c>
    </row>
    <row r="5948" spans="1:6" x14ac:dyDescent="0.2">
      <c r="A5948" s="20">
        <v>44984</v>
      </c>
      <c r="B5948">
        <v>279.5</v>
      </c>
      <c r="E5948">
        <f t="shared" si="184"/>
        <v>2</v>
      </c>
      <c r="F5948">
        <f t="shared" si="185"/>
        <v>2023</v>
      </c>
    </row>
    <row r="5949" spans="1:6" x14ac:dyDescent="0.2">
      <c r="A5949" s="20">
        <v>44985</v>
      </c>
      <c r="B5949">
        <v>279.25</v>
      </c>
      <c r="E5949">
        <f t="shared" si="184"/>
        <v>2</v>
      </c>
      <c r="F5949">
        <f t="shared" si="185"/>
        <v>2023</v>
      </c>
    </row>
    <row r="5950" spans="1:6" x14ac:dyDescent="0.2">
      <c r="A5950" s="20">
        <v>44986</v>
      </c>
      <c r="B5950">
        <v>281.25</v>
      </c>
      <c r="E5950">
        <f t="shared" si="184"/>
        <v>3</v>
      </c>
      <c r="F5950">
        <f t="shared" si="185"/>
        <v>2023</v>
      </c>
    </row>
    <row r="5951" spans="1:6" x14ac:dyDescent="0.2">
      <c r="A5951" s="20">
        <v>44987</v>
      </c>
      <c r="B5951">
        <v>286</v>
      </c>
      <c r="E5951">
        <f t="shared" si="184"/>
        <v>3</v>
      </c>
      <c r="F5951">
        <f t="shared" si="185"/>
        <v>2023</v>
      </c>
    </row>
    <row r="5952" spans="1:6" x14ac:dyDescent="0.2">
      <c r="A5952" s="20">
        <v>44988</v>
      </c>
      <c r="B5952">
        <v>289.75</v>
      </c>
      <c r="E5952">
        <f t="shared" si="184"/>
        <v>3</v>
      </c>
      <c r="F5952">
        <f t="shared" si="185"/>
        <v>2023</v>
      </c>
    </row>
    <row r="5953" spans="1:6" x14ac:dyDescent="0.2">
      <c r="A5953" s="20">
        <v>44991</v>
      </c>
      <c r="B5953">
        <v>279</v>
      </c>
      <c r="E5953">
        <f t="shared" si="184"/>
        <v>3</v>
      </c>
      <c r="F5953">
        <f t="shared" si="185"/>
        <v>2023</v>
      </c>
    </row>
    <row r="5954" spans="1:6" x14ac:dyDescent="0.2">
      <c r="A5954" s="20">
        <v>44992</v>
      </c>
      <c r="B5954">
        <v>265.5</v>
      </c>
      <c r="E5954">
        <f t="shared" si="184"/>
        <v>3</v>
      </c>
      <c r="F5954">
        <f t="shared" si="185"/>
        <v>2023</v>
      </c>
    </row>
    <row r="5955" spans="1:6" x14ac:dyDescent="0.2">
      <c r="A5955" s="20">
        <v>44993</v>
      </c>
      <c r="B5955">
        <v>262</v>
      </c>
      <c r="E5955">
        <f t="shared" ref="E5955:E6018" si="186">MONTH(A5955)</f>
        <v>3</v>
      </c>
      <c r="F5955">
        <f t="shared" ref="F5955:F6018" si="187">YEAR(A5955)</f>
        <v>2023</v>
      </c>
    </row>
    <row r="5956" spans="1:6" x14ac:dyDescent="0.2">
      <c r="A5956" s="20">
        <v>44994</v>
      </c>
      <c r="B5956">
        <v>260.25</v>
      </c>
      <c r="E5956">
        <f t="shared" si="186"/>
        <v>3</v>
      </c>
      <c r="F5956">
        <f t="shared" si="187"/>
        <v>2023</v>
      </c>
    </row>
    <row r="5957" spans="1:6" x14ac:dyDescent="0.2">
      <c r="A5957" s="20">
        <v>44995</v>
      </c>
      <c r="B5957">
        <v>258</v>
      </c>
      <c r="E5957">
        <f t="shared" si="186"/>
        <v>3</v>
      </c>
      <c r="F5957">
        <f t="shared" si="187"/>
        <v>2023</v>
      </c>
    </row>
    <row r="5958" spans="1:6" x14ac:dyDescent="0.2">
      <c r="A5958" s="20">
        <v>44998</v>
      </c>
      <c r="B5958">
        <v>262.5</v>
      </c>
      <c r="E5958">
        <f t="shared" si="186"/>
        <v>3</v>
      </c>
      <c r="F5958">
        <f t="shared" si="187"/>
        <v>2023</v>
      </c>
    </row>
    <row r="5959" spans="1:6" x14ac:dyDescent="0.2">
      <c r="A5959" s="20">
        <v>44999</v>
      </c>
      <c r="B5959">
        <v>264.75</v>
      </c>
      <c r="E5959">
        <f t="shared" si="186"/>
        <v>3</v>
      </c>
      <c r="F5959">
        <f t="shared" si="187"/>
        <v>2023</v>
      </c>
    </row>
    <row r="5960" spans="1:6" x14ac:dyDescent="0.2">
      <c r="A5960" s="20">
        <v>45000</v>
      </c>
      <c r="B5960">
        <v>265.5</v>
      </c>
      <c r="E5960">
        <f t="shared" si="186"/>
        <v>3</v>
      </c>
      <c r="F5960">
        <f t="shared" si="187"/>
        <v>2023</v>
      </c>
    </row>
    <row r="5961" spans="1:6" x14ac:dyDescent="0.2">
      <c r="A5961" s="20">
        <v>45001</v>
      </c>
      <c r="B5961">
        <v>264</v>
      </c>
      <c r="E5961">
        <f t="shared" si="186"/>
        <v>3</v>
      </c>
      <c r="F5961">
        <f t="shared" si="187"/>
        <v>2023</v>
      </c>
    </row>
    <row r="5962" spans="1:6" x14ac:dyDescent="0.2">
      <c r="A5962" s="20">
        <v>45002</v>
      </c>
      <c r="B5962">
        <v>261.5</v>
      </c>
      <c r="E5962">
        <f t="shared" si="186"/>
        <v>3</v>
      </c>
      <c r="F5962">
        <f t="shared" si="187"/>
        <v>2023</v>
      </c>
    </row>
    <row r="5963" spans="1:6" x14ac:dyDescent="0.2">
      <c r="A5963" s="20">
        <v>45005</v>
      </c>
      <c r="B5963">
        <v>254.75</v>
      </c>
      <c r="E5963">
        <f t="shared" si="186"/>
        <v>3</v>
      </c>
      <c r="F5963">
        <f t="shared" si="187"/>
        <v>2023</v>
      </c>
    </row>
    <row r="5964" spans="1:6" x14ac:dyDescent="0.2">
      <c r="A5964" s="20">
        <v>45006</v>
      </c>
      <c r="B5964">
        <v>250.25</v>
      </c>
      <c r="E5964">
        <f t="shared" si="186"/>
        <v>3</v>
      </c>
      <c r="F5964">
        <f t="shared" si="187"/>
        <v>2023</v>
      </c>
    </row>
    <row r="5965" spans="1:6" x14ac:dyDescent="0.2">
      <c r="A5965" s="20">
        <v>45007</v>
      </c>
      <c r="B5965">
        <v>244.75</v>
      </c>
      <c r="E5965">
        <f t="shared" si="186"/>
        <v>3</v>
      </c>
      <c r="F5965">
        <f t="shared" si="187"/>
        <v>2023</v>
      </c>
    </row>
    <row r="5966" spans="1:6" x14ac:dyDescent="0.2">
      <c r="A5966" s="20">
        <v>45008</v>
      </c>
      <c r="B5966">
        <v>242.75</v>
      </c>
      <c r="E5966">
        <f t="shared" si="186"/>
        <v>3</v>
      </c>
      <c r="F5966">
        <f t="shared" si="187"/>
        <v>2023</v>
      </c>
    </row>
    <row r="5967" spans="1:6" x14ac:dyDescent="0.2">
      <c r="A5967" s="20">
        <v>45009</v>
      </c>
      <c r="B5967">
        <v>253.75</v>
      </c>
      <c r="E5967">
        <f t="shared" si="186"/>
        <v>3</v>
      </c>
      <c r="F5967">
        <f t="shared" si="187"/>
        <v>2023</v>
      </c>
    </row>
    <row r="5968" spans="1:6" x14ac:dyDescent="0.2">
      <c r="A5968" s="20">
        <v>45012</v>
      </c>
      <c r="B5968">
        <v>260.75</v>
      </c>
      <c r="E5968">
        <f t="shared" si="186"/>
        <v>3</v>
      </c>
      <c r="F5968">
        <f t="shared" si="187"/>
        <v>2023</v>
      </c>
    </row>
    <row r="5969" spans="1:6" x14ac:dyDescent="0.2">
      <c r="A5969" s="20">
        <v>45013</v>
      </c>
      <c r="B5969">
        <v>259</v>
      </c>
      <c r="E5969">
        <f t="shared" si="186"/>
        <v>3</v>
      </c>
      <c r="F5969">
        <f t="shared" si="187"/>
        <v>2023</v>
      </c>
    </row>
    <row r="5970" spans="1:6" x14ac:dyDescent="0.2">
      <c r="A5970" s="20">
        <v>45014</v>
      </c>
      <c r="B5970">
        <v>261.75</v>
      </c>
      <c r="E5970">
        <f t="shared" si="186"/>
        <v>3</v>
      </c>
      <c r="F5970">
        <f t="shared" si="187"/>
        <v>2023</v>
      </c>
    </row>
    <row r="5971" spans="1:6" x14ac:dyDescent="0.2">
      <c r="A5971" s="20">
        <v>45015</v>
      </c>
      <c r="B5971">
        <v>259</v>
      </c>
      <c r="E5971">
        <f t="shared" si="186"/>
        <v>3</v>
      </c>
      <c r="F5971">
        <f t="shared" si="187"/>
        <v>2023</v>
      </c>
    </row>
    <row r="5972" spans="1:6" x14ac:dyDescent="0.2">
      <c r="A5972" s="20">
        <v>45016</v>
      </c>
      <c r="B5972">
        <v>257.75</v>
      </c>
      <c r="E5972">
        <f t="shared" si="186"/>
        <v>3</v>
      </c>
      <c r="F5972">
        <f t="shared" si="187"/>
        <v>2023</v>
      </c>
    </row>
    <row r="5973" spans="1:6" x14ac:dyDescent="0.2">
      <c r="A5973" s="20">
        <v>45019</v>
      </c>
      <c r="B5973">
        <v>255.5</v>
      </c>
      <c r="E5973">
        <f t="shared" si="186"/>
        <v>4</v>
      </c>
      <c r="F5973">
        <f t="shared" si="187"/>
        <v>2023</v>
      </c>
    </row>
    <row r="5974" spans="1:6" x14ac:dyDescent="0.2">
      <c r="A5974" s="20">
        <v>45020</v>
      </c>
      <c r="B5974">
        <v>254</v>
      </c>
      <c r="E5974">
        <f t="shared" si="186"/>
        <v>4</v>
      </c>
      <c r="F5974">
        <f t="shared" si="187"/>
        <v>2023</v>
      </c>
    </row>
    <row r="5975" spans="1:6" x14ac:dyDescent="0.2">
      <c r="A5975" s="20">
        <v>45021</v>
      </c>
      <c r="B5975">
        <v>251.25</v>
      </c>
      <c r="E5975">
        <f t="shared" si="186"/>
        <v>4</v>
      </c>
      <c r="F5975">
        <f t="shared" si="187"/>
        <v>2023</v>
      </c>
    </row>
    <row r="5976" spans="1:6" x14ac:dyDescent="0.2">
      <c r="A5976" s="20">
        <v>45022</v>
      </c>
      <c r="B5976">
        <v>247.75</v>
      </c>
      <c r="E5976">
        <f t="shared" si="186"/>
        <v>4</v>
      </c>
      <c r="F5976">
        <f t="shared" si="187"/>
        <v>2023</v>
      </c>
    </row>
    <row r="5977" spans="1:6" x14ac:dyDescent="0.2">
      <c r="A5977" s="20">
        <v>45027</v>
      </c>
      <c r="B5977">
        <v>247.25</v>
      </c>
      <c r="E5977">
        <f t="shared" si="186"/>
        <v>4</v>
      </c>
      <c r="F5977">
        <f t="shared" si="187"/>
        <v>2023</v>
      </c>
    </row>
    <row r="5978" spans="1:6" x14ac:dyDescent="0.2">
      <c r="A5978" s="20">
        <v>45028</v>
      </c>
      <c r="B5978">
        <v>244.75</v>
      </c>
      <c r="E5978">
        <f t="shared" si="186"/>
        <v>4</v>
      </c>
      <c r="F5978">
        <f t="shared" si="187"/>
        <v>2023</v>
      </c>
    </row>
    <row r="5979" spans="1:6" x14ac:dyDescent="0.2">
      <c r="A5979" s="20">
        <v>45029</v>
      </c>
      <c r="B5979">
        <v>239.75</v>
      </c>
      <c r="E5979">
        <f t="shared" si="186"/>
        <v>4</v>
      </c>
      <c r="F5979">
        <f t="shared" si="187"/>
        <v>2023</v>
      </c>
    </row>
    <row r="5980" spans="1:6" x14ac:dyDescent="0.2">
      <c r="A5980" s="20">
        <v>45030</v>
      </c>
      <c r="B5980">
        <v>241.75</v>
      </c>
      <c r="E5980">
        <f t="shared" si="186"/>
        <v>4</v>
      </c>
      <c r="F5980">
        <f t="shared" si="187"/>
        <v>2023</v>
      </c>
    </row>
    <row r="5981" spans="1:6" x14ac:dyDescent="0.2">
      <c r="A5981" s="20">
        <v>45033</v>
      </c>
      <c r="B5981">
        <v>244.75</v>
      </c>
      <c r="E5981">
        <f t="shared" si="186"/>
        <v>4</v>
      </c>
      <c r="F5981">
        <f t="shared" si="187"/>
        <v>2023</v>
      </c>
    </row>
    <row r="5982" spans="1:6" x14ac:dyDescent="0.2">
      <c r="A5982" s="20">
        <v>45034</v>
      </c>
      <c r="B5982">
        <v>250.75</v>
      </c>
      <c r="E5982">
        <f t="shared" si="186"/>
        <v>4</v>
      </c>
      <c r="F5982">
        <f t="shared" si="187"/>
        <v>2023</v>
      </c>
    </row>
    <row r="5983" spans="1:6" x14ac:dyDescent="0.2">
      <c r="A5983" s="20">
        <v>45035</v>
      </c>
      <c r="B5983">
        <v>245.25</v>
      </c>
      <c r="E5983">
        <f t="shared" si="186"/>
        <v>4</v>
      </c>
      <c r="F5983">
        <f t="shared" si="187"/>
        <v>2023</v>
      </c>
    </row>
    <row r="5984" spans="1:6" x14ac:dyDescent="0.2">
      <c r="A5984" s="20">
        <v>45036</v>
      </c>
      <c r="B5984">
        <v>243.5</v>
      </c>
      <c r="E5984">
        <f t="shared" si="186"/>
        <v>4</v>
      </c>
      <c r="F5984">
        <f t="shared" si="187"/>
        <v>2023</v>
      </c>
    </row>
    <row r="5985" spans="1:6" x14ac:dyDescent="0.2">
      <c r="A5985" s="20">
        <v>45037</v>
      </c>
      <c r="B5985">
        <v>239.5</v>
      </c>
      <c r="E5985">
        <f t="shared" si="186"/>
        <v>4</v>
      </c>
      <c r="F5985">
        <f t="shared" si="187"/>
        <v>2023</v>
      </c>
    </row>
    <row r="5986" spans="1:6" x14ac:dyDescent="0.2">
      <c r="A5986" s="20">
        <v>45040</v>
      </c>
      <c r="B5986">
        <v>239.75</v>
      </c>
      <c r="E5986">
        <f t="shared" si="186"/>
        <v>4</v>
      </c>
      <c r="F5986">
        <f t="shared" si="187"/>
        <v>2023</v>
      </c>
    </row>
    <row r="5987" spans="1:6" x14ac:dyDescent="0.2">
      <c r="A5987" s="20">
        <v>45041</v>
      </c>
      <c r="B5987">
        <v>238.5</v>
      </c>
      <c r="E5987">
        <f t="shared" si="186"/>
        <v>4</v>
      </c>
      <c r="F5987">
        <f t="shared" si="187"/>
        <v>2023</v>
      </c>
    </row>
    <row r="5988" spans="1:6" x14ac:dyDescent="0.2">
      <c r="A5988" s="20">
        <v>45042</v>
      </c>
      <c r="B5988">
        <v>239</v>
      </c>
      <c r="E5988">
        <f t="shared" si="186"/>
        <v>4</v>
      </c>
      <c r="F5988">
        <f t="shared" si="187"/>
        <v>2023</v>
      </c>
    </row>
    <row r="5989" spans="1:6" x14ac:dyDescent="0.2">
      <c r="A5989" s="20">
        <v>45043</v>
      </c>
      <c r="B5989">
        <v>235.5</v>
      </c>
      <c r="E5989">
        <f t="shared" si="186"/>
        <v>4</v>
      </c>
      <c r="F5989">
        <f t="shared" si="187"/>
        <v>2023</v>
      </c>
    </row>
    <row r="5990" spans="1:6" x14ac:dyDescent="0.2">
      <c r="A5990" s="20">
        <v>45044</v>
      </c>
      <c r="B5990">
        <v>233.5</v>
      </c>
      <c r="E5990">
        <f t="shared" si="186"/>
        <v>4</v>
      </c>
      <c r="F5990">
        <f t="shared" si="187"/>
        <v>2023</v>
      </c>
    </row>
    <row r="5991" spans="1:6" x14ac:dyDescent="0.2">
      <c r="A5991" s="20">
        <v>45048</v>
      </c>
      <c r="B5991">
        <v>227.75</v>
      </c>
      <c r="E5991">
        <f t="shared" si="186"/>
        <v>5</v>
      </c>
      <c r="F5991">
        <f t="shared" si="187"/>
        <v>2023</v>
      </c>
    </row>
    <row r="5992" spans="1:6" x14ac:dyDescent="0.2">
      <c r="A5992" s="20">
        <v>45049</v>
      </c>
      <c r="B5992">
        <v>226.5</v>
      </c>
      <c r="E5992">
        <f t="shared" si="186"/>
        <v>5</v>
      </c>
      <c r="F5992">
        <f t="shared" si="187"/>
        <v>2023</v>
      </c>
    </row>
    <row r="5993" spans="1:6" x14ac:dyDescent="0.2">
      <c r="A5993" s="20">
        <v>45050</v>
      </c>
      <c r="B5993">
        <v>229.25</v>
      </c>
      <c r="E5993">
        <f t="shared" si="186"/>
        <v>5</v>
      </c>
      <c r="F5993">
        <f t="shared" si="187"/>
        <v>2023</v>
      </c>
    </row>
    <row r="5994" spans="1:6" x14ac:dyDescent="0.2">
      <c r="A5994" s="20">
        <v>45051</v>
      </c>
      <c r="B5994">
        <v>230.75</v>
      </c>
      <c r="E5994">
        <f t="shared" si="186"/>
        <v>5</v>
      </c>
      <c r="F5994">
        <f t="shared" si="187"/>
        <v>2023</v>
      </c>
    </row>
    <row r="5995" spans="1:6" x14ac:dyDescent="0.2">
      <c r="A5995" s="20">
        <v>45054</v>
      </c>
      <c r="B5995">
        <v>229.25</v>
      </c>
      <c r="E5995">
        <f t="shared" si="186"/>
        <v>5</v>
      </c>
      <c r="F5995">
        <f t="shared" si="187"/>
        <v>2023</v>
      </c>
    </row>
    <row r="5996" spans="1:6" x14ac:dyDescent="0.2">
      <c r="A5996" s="20">
        <v>45055</v>
      </c>
      <c r="B5996">
        <v>228.25</v>
      </c>
      <c r="E5996">
        <f t="shared" si="186"/>
        <v>5</v>
      </c>
      <c r="F5996">
        <f t="shared" si="187"/>
        <v>2023</v>
      </c>
    </row>
    <row r="5997" spans="1:6" x14ac:dyDescent="0.2">
      <c r="A5997" s="20">
        <v>45056</v>
      </c>
      <c r="B5997">
        <v>227.75</v>
      </c>
      <c r="E5997">
        <f t="shared" si="186"/>
        <v>5</v>
      </c>
      <c r="F5997">
        <f t="shared" si="187"/>
        <v>2023</v>
      </c>
    </row>
    <row r="5998" spans="1:6" x14ac:dyDescent="0.2">
      <c r="A5998" s="20">
        <v>45057</v>
      </c>
      <c r="B5998">
        <v>227</v>
      </c>
      <c r="E5998">
        <f t="shared" si="186"/>
        <v>5</v>
      </c>
      <c r="F5998">
        <f t="shared" si="187"/>
        <v>2023</v>
      </c>
    </row>
    <row r="5999" spans="1:6" x14ac:dyDescent="0.2">
      <c r="A5999" s="20">
        <v>45058</v>
      </c>
      <c r="B5999">
        <v>226.5</v>
      </c>
      <c r="E5999">
        <f t="shared" si="186"/>
        <v>5</v>
      </c>
      <c r="F5999">
        <f t="shared" si="187"/>
        <v>2023</v>
      </c>
    </row>
    <row r="6000" spans="1:6" x14ac:dyDescent="0.2">
      <c r="A6000" s="20">
        <v>45061</v>
      </c>
      <c r="B6000">
        <v>229.25</v>
      </c>
      <c r="E6000">
        <f t="shared" si="186"/>
        <v>5</v>
      </c>
      <c r="F6000">
        <f t="shared" si="187"/>
        <v>2023</v>
      </c>
    </row>
    <row r="6001" spans="1:6" x14ac:dyDescent="0.2">
      <c r="A6001" s="20">
        <v>45062</v>
      </c>
      <c r="B6001">
        <v>226.75</v>
      </c>
      <c r="E6001">
        <f t="shared" si="186"/>
        <v>5</v>
      </c>
      <c r="F6001">
        <f t="shared" si="187"/>
        <v>2023</v>
      </c>
    </row>
    <row r="6002" spans="1:6" x14ac:dyDescent="0.2">
      <c r="A6002" s="20">
        <v>45063</v>
      </c>
      <c r="B6002">
        <v>219.25</v>
      </c>
      <c r="E6002">
        <f t="shared" si="186"/>
        <v>5</v>
      </c>
      <c r="F6002">
        <f t="shared" si="187"/>
        <v>2023</v>
      </c>
    </row>
    <row r="6003" spans="1:6" x14ac:dyDescent="0.2">
      <c r="A6003" s="20">
        <v>45064</v>
      </c>
      <c r="B6003">
        <v>219.25</v>
      </c>
      <c r="E6003">
        <f t="shared" si="186"/>
        <v>5</v>
      </c>
      <c r="F6003">
        <f t="shared" si="187"/>
        <v>2023</v>
      </c>
    </row>
    <row r="6004" spans="1:6" x14ac:dyDescent="0.2">
      <c r="A6004" s="20">
        <v>45065</v>
      </c>
      <c r="B6004">
        <v>220.75</v>
      </c>
      <c r="E6004">
        <f t="shared" si="186"/>
        <v>5</v>
      </c>
      <c r="F6004">
        <f t="shared" si="187"/>
        <v>2023</v>
      </c>
    </row>
    <row r="6005" spans="1:6" x14ac:dyDescent="0.2">
      <c r="A6005" s="20">
        <v>45068</v>
      </c>
      <c r="B6005">
        <v>217.5</v>
      </c>
      <c r="E6005">
        <f t="shared" si="186"/>
        <v>5</v>
      </c>
      <c r="F6005">
        <f t="shared" si="187"/>
        <v>2023</v>
      </c>
    </row>
    <row r="6006" spans="1:6" x14ac:dyDescent="0.2">
      <c r="A6006" s="20">
        <v>45069</v>
      </c>
      <c r="B6006">
        <v>218.25</v>
      </c>
      <c r="E6006">
        <f t="shared" si="186"/>
        <v>5</v>
      </c>
      <c r="F6006">
        <f t="shared" si="187"/>
        <v>2023</v>
      </c>
    </row>
    <row r="6007" spans="1:6" x14ac:dyDescent="0.2">
      <c r="A6007" s="20">
        <v>45070</v>
      </c>
      <c r="B6007">
        <v>218.75</v>
      </c>
      <c r="E6007">
        <f t="shared" si="186"/>
        <v>5</v>
      </c>
      <c r="F6007">
        <f t="shared" si="187"/>
        <v>2023</v>
      </c>
    </row>
    <row r="6008" spans="1:6" x14ac:dyDescent="0.2">
      <c r="A6008" s="20">
        <v>45071</v>
      </c>
      <c r="B6008">
        <v>218.75</v>
      </c>
      <c r="E6008">
        <f t="shared" si="186"/>
        <v>5</v>
      </c>
      <c r="F6008">
        <f t="shared" si="187"/>
        <v>2023</v>
      </c>
    </row>
    <row r="6009" spans="1:6" x14ac:dyDescent="0.2">
      <c r="A6009" s="20">
        <v>45072</v>
      </c>
      <c r="B6009">
        <v>220.75</v>
      </c>
      <c r="E6009">
        <f t="shared" si="186"/>
        <v>5</v>
      </c>
      <c r="F6009">
        <f t="shared" si="187"/>
        <v>2023</v>
      </c>
    </row>
    <row r="6010" spans="1:6" x14ac:dyDescent="0.2">
      <c r="A6010" s="20">
        <v>45075</v>
      </c>
      <c r="B6010">
        <v>228</v>
      </c>
      <c r="E6010">
        <f t="shared" si="186"/>
        <v>5</v>
      </c>
      <c r="F6010">
        <f t="shared" si="187"/>
        <v>2023</v>
      </c>
    </row>
    <row r="6011" spans="1:6" x14ac:dyDescent="0.2">
      <c r="A6011" s="20">
        <v>45076</v>
      </c>
      <c r="B6011">
        <v>218.25</v>
      </c>
      <c r="E6011">
        <f t="shared" si="186"/>
        <v>5</v>
      </c>
      <c r="F6011">
        <f t="shared" si="187"/>
        <v>2023</v>
      </c>
    </row>
    <row r="6012" spans="1:6" x14ac:dyDescent="0.2">
      <c r="A6012" s="20">
        <v>45077</v>
      </c>
      <c r="B6012">
        <v>217</v>
      </c>
      <c r="E6012">
        <f t="shared" si="186"/>
        <v>5</v>
      </c>
      <c r="F6012">
        <f t="shared" si="187"/>
        <v>2023</v>
      </c>
    </row>
    <row r="6013" spans="1:6" x14ac:dyDescent="0.2">
      <c r="A6013" s="20">
        <v>45078</v>
      </c>
      <c r="B6013">
        <v>213.5</v>
      </c>
      <c r="E6013">
        <f t="shared" si="186"/>
        <v>6</v>
      </c>
      <c r="F6013">
        <f t="shared" si="187"/>
        <v>2023</v>
      </c>
    </row>
    <row r="6014" spans="1:6" x14ac:dyDescent="0.2">
      <c r="A6014" s="20">
        <v>45079</v>
      </c>
      <c r="B6014">
        <v>190</v>
      </c>
      <c r="E6014">
        <f t="shared" si="186"/>
        <v>6</v>
      </c>
      <c r="F6014">
        <f t="shared" si="187"/>
        <v>2023</v>
      </c>
    </row>
    <row r="6015" spans="1:6" x14ac:dyDescent="0.2">
      <c r="A6015" s="20">
        <v>45082</v>
      </c>
      <c r="B6015">
        <v>200</v>
      </c>
      <c r="E6015">
        <f t="shared" si="186"/>
        <v>6</v>
      </c>
      <c r="F6015">
        <f t="shared" si="187"/>
        <v>2023</v>
      </c>
    </row>
    <row r="6016" spans="1:6" x14ac:dyDescent="0.2">
      <c r="A6016" s="20">
        <v>45083</v>
      </c>
      <c r="B6016">
        <v>226</v>
      </c>
      <c r="E6016">
        <f t="shared" si="186"/>
        <v>6</v>
      </c>
      <c r="F6016">
        <f t="shared" si="187"/>
        <v>2023</v>
      </c>
    </row>
    <row r="6017" spans="1:6" x14ac:dyDescent="0.2">
      <c r="A6017" s="20">
        <v>45084</v>
      </c>
      <c r="B6017">
        <v>224.75</v>
      </c>
      <c r="E6017">
        <f t="shared" si="186"/>
        <v>6</v>
      </c>
      <c r="F6017">
        <f t="shared" si="187"/>
        <v>2023</v>
      </c>
    </row>
    <row r="6018" spans="1:6" x14ac:dyDescent="0.2">
      <c r="A6018" s="20">
        <v>45085</v>
      </c>
      <c r="B6018">
        <v>229.5</v>
      </c>
      <c r="E6018">
        <f t="shared" si="186"/>
        <v>6</v>
      </c>
      <c r="F6018">
        <f t="shared" si="187"/>
        <v>2023</v>
      </c>
    </row>
    <row r="6019" spans="1:6" x14ac:dyDescent="0.2">
      <c r="A6019" s="20">
        <v>45086</v>
      </c>
      <c r="B6019">
        <v>232.5</v>
      </c>
      <c r="E6019">
        <f t="shared" ref="E6019:E6082" si="188">MONTH(A6019)</f>
        <v>6</v>
      </c>
      <c r="F6019">
        <f t="shared" ref="F6019:F6082" si="189">YEAR(A6019)</f>
        <v>2023</v>
      </c>
    </row>
    <row r="6020" spans="1:6" x14ac:dyDescent="0.2">
      <c r="A6020" s="20">
        <v>45089</v>
      </c>
      <c r="B6020">
        <v>235</v>
      </c>
      <c r="E6020">
        <f t="shared" si="188"/>
        <v>6</v>
      </c>
      <c r="F6020">
        <f t="shared" si="189"/>
        <v>2023</v>
      </c>
    </row>
    <row r="6021" spans="1:6" x14ac:dyDescent="0.2">
      <c r="A6021" s="20">
        <v>45090</v>
      </c>
      <c r="B6021">
        <v>234.75</v>
      </c>
      <c r="E6021">
        <f t="shared" si="188"/>
        <v>6</v>
      </c>
      <c r="F6021">
        <f t="shared" si="189"/>
        <v>2023</v>
      </c>
    </row>
    <row r="6022" spans="1:6" x14ac:dyDescent="0.2">
      <c r="A6022" s="20">
        <v>45091</v>
      </c>
      <c r="B6022">
        <v>233.5</v>
      </c>
      <c r="E6022">
        <f t="shared" si="188"/>
        <v>6</v>
      </c>
      <c r="F6022">
        <f t="shared" si="189"/>
        <v>2023</v>
      </c>
    </row>
    <row r="6023" spans="1:6" x14ac:dyDescent="0.2">
      <c r="A6023" s="20">
        <v>45092</v>
      </c>
      <c r="B6023">
        <v>234.5</v>
      </c>
      <c r="E6023">
        <f t="shared" si="188"/>
        <v>6</v>
      </c>
      <c r="F6023">
        <f t="shared" si="189"/>
        <v>2023</v>
      </c>
    </row>
    <row r="6024" spans="1:6" x14ac:dyDescent="0.2">
      <c r="A6024" s="20">
        <v>45093</v>
      </c>
      <c r="B6024">
        <v>237.25</v>
      </c>
      <c r="E6024">
        <f t="shared" si="188"/>
        <v>6</v>
      </c>
      <c r="F6024">
        <f t="shared" si="189"/>
        <v>2023</v>
      </c>
    </row>
    <row r="6025" spans="1:6" x14ac:dyDescent="0.2">
      <c r="A6025" s="20">
        <v>45096</v>
      </c>
      <c r="B6025">
        <v>242.25</v>
      </c>
      <c r="E6025">
        <f t="shared" si="188"/>
        <v>6</v>
      </c>
      <c r="F6025">
        <f t="shared" si="189"/>
        <v>2023</v>
      </c>
    </row>
    <row r="6026" spans="1:6" x14ac:dyDescent="0.2">
      <c r="A6026" s="20">
        <v>45097</v>
      </c>
      <c r="B6026">
        <v>241.75</v>
      </c>
      <c r="E6026">
        <f t="shared" si="188"/>
        <v>6</v>
      </c>
      <c r="F6026">
        <f t="shared" si="189"/>
        <v>2023</v>
      </c>
    </row>
    <row r="6027" spans="1:6" x14ac:dyDescent="0.2">
      <c r="A6027" s="20">
        <v>45098</v>
      </c>
      <c r="B6027">
        <v>246.25</v>
      </c>
      <c r="E6027">
        <f t="shared" si="188"/>
        <v>6</v>
      </c>
      <c r="F6027">
        <f t="shared" si="189"/>
        <v>2023</v>
      </c>
    </row>
    <row r="6028" spans="1:6" x14ac:dyDescent="0.2">
      <c r="A6028" s="20">
        <v>45099</v>
      </c>
      <c r="B6028">
        <v>247.75</v>
      </c>
      <c r="E6028">
        <f t="shared" si="188"/>
        <v>6</v>
      </c>
      <c r="F6028">
        <f t="shared" si="189"/>
        <v>2023</v>
      </c>
    </row>
    <row r="6029" spans="1:6" x14ac:dyDescent="0.2">
      <c r="A6029" s="20">
        <v>45100</v>
      </c>
      <c r="B6029">
        <v>245.25</v>
      </c>
      <c r="E6029">
        <f t="shared" si="188"/>
        <v>6</v>
      </c>
      <c r="F6029">
        <f t="shared" si="189"/>
        <v>2023</v>
      </c>
    </row>
    <row r="6030" spans="1:6" x14ac:dyDescent="0.2">
      <c r="A6030" s="20">
        <v>45103</v>
      </c>
      <c r="B6030">
        <v>246.5</v>
      </c>
      <c r="E6030">
        <f t="shared" si="188"/>
        <v>6</v>
      </c>
      <c r="F6030">
        <f t="shared" si="189"/>
        <v>2023</v>
      </c>
    </row>
    <row r="6031" spans="1:6" x14ac:dyDescent="0.2">
      <c r="A6031" s="20">
        <v>45104</v>
      </c>
      <c r="B6031">
        <v>239</v>
      </c>
      <c r="E6031">
        <f t="shared" si="188"/>
        <v>6</v>
      </c>
      <c r="F6031">
        <f t="shared" si="189"/>
        <v>2023</v>
      </c>
    </row>
    <row r="6032" spans="1:6" x14ac:dyDescent="0.2">
      <c r="A6032" s="20">
        <v>45105</v>
      </c>
      <c r="B6032">
        <v>234</v>
      </c>
      <c r="E6032">
        <f t="shared" si="188"/>
        <v>6</v>
      </c>
      <c r="F6032">
        <f t="shared" si="189"/>
        <v>2023</v>
      </c>
    </row>
    <row r="6033" spans="1:6" x14ac:dyDescent="0.2">
      <c r="A6033" s="20">
        <v>45106</v>
      </c>
      <c r="B6033">
        <v>235.25</v>
      </c>
      <c r="E6033">
        <f t="shared" si="188"/>
        <v>6</v>
      </c>
      <c r="F6033">
        <f t="shared" si="189"/>
        <v>2023</v>
      </c>
    </row>
    <row r="6034" spans="1:6" x14ac:dyDescent="0.2">
      <c r="A6034" s="20">
        <v>45107</v>
      </c>
      <c r="B6034">
        <v>230.5</v>
      </c>
      <c r="E6034">
        <f t="shared" si="188"/>
        <v>6</v>
      </c>
      <c r="F6034">
        <f t="shared" si="189"/>
        <v>2023</v>
      </c>
    </row>
    <row r="6035" spans="1:6" x14ac:dyDescent="0.2">
      <c r="A6035" s="20">
        <v>45110</v>
      </c>
      <c r="B6035">
        <v>224.5</v>
      </c>
      <c r="E6035">
        <f t="shared" si="188"/>
        <v>7</v>
      </c>
      <c r="F6035">
        <f t="shared" si="189"/>
        <v>2023</v>
      </c>
    </row>
    <row r="6036" spans="1:6" x14ac:dyDescent="0.2">
      <c r="A6036" s="20">
        <v>45111</v>
      </c>
      <c r="B6036">
        <v>225.75</v>
      </c>
      <c r="E6036">
        <f t="shared" si="188"/>
        <v>7</v>
      </c>
      <c r="F6036">
        <f t="shared" si="189"/>
        <v>2023</v>
      </c>
    </row>
    <row r="6037" spans="1:6" x14ac:dyDescent="0.2">
      <c r="A6037" s="20">
        <v>45112</v>
      </c>
      <c r="B6037">
        <v>228.25</v>
      </c>
      <c r="E6037">
        <f t="shared" si="188"/>
        <v>7</v>
      </c>
      <c r="F6037">
        <f t="shared" si="189"/>
        <v>2023</v>
      </c>
    </row>
    <row r="6038" spans="1:6" x14ac:dyDescent="0.2">
      <c r="A6038" s="20">
        <v>45113</v>
      </c>
      <c r="B6038">
        <v>227.5</v>
      </c>
      <c r="E6038">
        <f t="shared" si="188"/>
        <v>7</v>
      </c>
      <c r="F6038">
        <f t="shared" si="189"/>
        <v>2023</v>
      </c>
    </row>
    <row r="6039" spans="1:6" x14ac:dyDescent="0.2">
      <c r="A6039" s="20">
        <v>45114</v>
      </c>
      <c r="B6039">
        <v>226.25</v>
      </c>
      <c r="E6039">
        <f t="shared" si="188"/>
        <v>7</v>
      </c>
      <c r="F6039">
        <f t="shared" si="189"/>
        <v>2023</v>
      </c>
    </row>
    <row r="6040" spans="1:6" x14ac:dyDescent="0.2">
      <c r="A6040" s="20">
        <v>45117</v>
      </c>
      <c r="B6040">
        <v>225.25</v>
      </c>
      <c r="E6040">
        <f t="shared" si="188"/>
        <v>7</v>
      </c>
      <c r="F6040">
        <f t="shared" si="189"/>
        <v>2023</v>
      </c>
    </row>
    <row r="6041" spans="1:6" x14ac:dyDescent="0.2">
      <c r="A6041" s="20">
        <v>45118</v>
      </c>
      <c r="B6041">
        <v>228</v>
      </c>
      <c r="E6041">
        <f t="shared" si="188"/>
        <v>7</v>
      </c>
      <c r="F6041">
        <f t="shared" si="189"/>
        <v>2023</v>
      </c>
    </row>
    <row r="6042" spans="1:6" x14ac:dyDescent="0.2">
      <c r="A6042" s="20">
        <v>45119</v>
      </c>
      <c r="B6042">
        <v>228.75</v>
      </c>
      <c r="E6042">
        <f t="shared" si="188"/>
        <v>7</v>
      </c>
      <c r="F6042">
        <f t="shared" si="189"/>
        <v>2023</v>
      </c>
    </row>
    <row r="6043" spans="1:6" x14ac:dyDescent="0.2">
      <c r="A6043" s="20">
        <v>45120</v>
      </c>
      <c r="B6043">
        <v>230.25</v>
      </c>
      <c r="E6043">
        <f t="shared" si="188"/>
        <v>7</v>
      </c>
      <c r="F6043">
        <f t="shared" si="189"/>
        <v>2023</v>
      </c>
    </row>
    <row r="6044" spans="1:6" x14ac:dyDescent="0.2">
      <c r="A6044" s="20">
        <v>45121</v>
      </c>
      <c r="B6044">
        <v>233.25</v>
      </c>
      <c r="E6044">
        <f t="shared" si="188"/>
        <v>7</v>
      </c>
      <c r="F6044">
        <f t="shared" si="189"/>
        <v>2023</v>
      </c>
    </row>
    <row r="6045" spans="1:6" x14ac:dyDescent="0.2">
      <c r="A6045" s="20">
        <v>45124</v>
      </c>
      <c r="B6045">
        <v>234.5</v>
      </c>
      <c r="E6045">
        <f t="shared" si="188"/>
        <v>7</v>
      </c>
      <c r="F6045">
        <f t="shared" si="189"/>
        <v>2023</v>
      </c>
    </row>
    <row r="6046" spans="1:6" x14ac:dyDescent="0.2">
      <c r="A6046" s="20">
        <v>45125</v>
      </c>
      <c r="B6046">
        <v>237</v>
      </c>
      <c r="E6046">
        <f t="shared" si="188"/>
        <v>7</v>
      </c>
      <c r="F6046">
        <f t="shared" si="189"/>
        <v>2023</v>
      </c>
    </row>
    <row r="6047" spans="1:6" x14ac:dyDescent="0.2">
      <c r="A6047" s="20">
        <v>45126</v>
      </c>
      <c r="B6047">
        <v>249.75</v>
      </c>
      <c r="E6047">
        <f t="shared" si="188"/>
        <v>7</v>
      </c>
      <c r="F6047">
        <f t="shared" si="189"/>
        <v>2023</v>
      </c>
    </row>
    <row r="6048" spans="1:6" x14ac:dyDescent="0.2">
      <c r="A6048" s="20">
        <v>45127</v>
      </c>
      <c r="B6048">
        <v>249</v>
      </c>
      <c r="E6048">
        <f t="shared" si="188"/>
        <v>7</v>
      </c>
      <c r="F6048">
        <f t="shared" si="189"/>
        <v>2023</v>
      </c>
    </row>
    <row r="6049" spans="1:6" x14ac:dyDescent="0.2">
      <c r="A6049" s="20">
        <v>45128</v>
      </c>
      <c r="B6049">
        <v>243</v>
      </c>
      <c r="E6049">
        <f t="shared" si="188"/>
        <v>7</v>
      </c>
      <c r="F6049">
        <f t="shared" si="189"/>
        <v>2023</v>
      </c>
    </row>
    <row r="6050" spans="1:6" x14ac:dyDescent="0.2">
      <c r="A6050" s="20">
        <v>45131</v>
      </c>
      <c r="B6050">
        <v>256.25</v>
      </c>
      <c r="E6050">
        <f t="shared" si="188"/>
        <v>7</v>
      </c>
      <c r="F6050">
        <f t="shared" si="189"/>
        <v>2023</v>
      </c>
    </row>
    <row r="6051" spans="1:6" x14ac:dyDescent="0.2">
      <c r="A6051" s="20">
        <v>45132</v>
      </c>
      <c r="B6051">
        <v>254</v>
      </c>
      <c r="E6051">
        <f t="shared" si="188"/>
        <v>7</v>
      </c>
      <c r="F6051">
        <f t="shared" si="189"/>
        <v>2023</v>
      </c>
    </row>
    <row r="6052" spans="1:6" x14ac:dyDescent="0.2">
      <c r="A6052" s="20">
        <v>45133</v>
      </c>
      <c r="B6052">
        <v>248.25</v>
      </c>
      <c r="E6052">
        <f t="shared" si="188"/>
        <v>7</v>
      </c>
      <c r="F6052">
        <f t="shared" si="189"/>
        <v>2023</v>
      </c>
    </row>
    <row r="6053" spans="1:6" x14ac:dyDescent="0.2">
      <c r="A6053" s="20">
        <v>45134</v>
      </c>
      <c r="B6053">
        <v>249.75</v>
      </c>
      <c r="E6053">
        <f t="shared" si="188"/>
        <v>7</v>
      </c>
      <c r="F6053">
        <f t="shared" si="189"/>
        <v>2023</v>
      </c>
    </row>
    <row r="6054" spans="1:6" x14ac:dyDescent="0.2">
      <c r="A6054" s="20">
        <v>45135</v>
      </c>
      <c r="B6054">
        <v>248</v>
      </c>
      <c r="E6054">
        <f t="shared" si="188"/>
        <v>7</v>
      </c>
      <c r="F6054">
        <f t="shared" si="189"/>
        <v>2023</v>
      </c>
    </row>
    <row r="6055" spans="1:6" x14ac:dyDescent="0.2">
      <c r="A6055" s="20">
        <v>45138</v>
      </c>
      <c r="B6055">
        <v>240.25</v>
      </c>
      <c r="E6055">
        <f t="shared" si="188"/>
        <v>7</v>
      </c>
      <c r="F6055">
        <f t="shared" si="189"/>
        <v>2023</v>
      </c>
    </row>
    <row r="6056" spans="1:6" x14ac:dyDescent="0.2">
      <c r="A6056" s="20">
        <v>45139</v>
      </c>
      <c r="B6056">
        <v>237.25</v>
      </c>
      <c r="E6056">
        <f t="shared" si="188"/>
        <v>8</v>
      </c>
      <c r="F6056">
        <f t="shared" si="189"/>
        <v>2023</v>
      </c>
    </row>
    <row r="6057" spans="1:6" x14ac:dyDescent="0.2">
      <c r="A6057" s="20">
        <v>45140</v>
      </c>
      <c r="B6057">
        <v>227</v>
      </c>
      <c r="E6057">
        <f t="shared" si="188"/>
        <v>8</v>
      </c>
      <c r="F6057">
        <f t="shared" si="189"/>
        <v>2023</v>
      </c>
    </row>
    <row r="6058" spans="1:6" x14ac:dyDescent="0.2">
      <c r="A6058" s="20">
        <v>45141</v>
      </c>
      <c r="B6058">
        <v>225.25</v>
      </c>
      <c r="E6058">
        <f t="shared" si="188"/>
        <v>8</v>
      </c>
      <c r="F6058">
        <f t="shared" si="189"/>
        <v>2023</v>
      </c>
    </row>
    <row r="6059" spans="1:6" x14ac:dyDescent="0.2">
      <c r="A6059" s="20">
        <v>45142</v>
      </c>
      <c r="B6059">
        <v>230</v>
      </c>
      <c r="E6059">
        <f t="shared" si="188"/>
        <v>8</v>
      </c>
      <c r="F6059">
        <f t="shared" si="189"/>
        <v>2023</v>
      </c>
    </row>
    <row r="6060" spans="1:6" x14ac:dyDescent="0.2">
      <c r="A6060" s="20">
        <v>45145</v>
      </c>
      <c r="B6060">
        <v>230</v>
      </c>
      <c r="E6060">
        <f t="shared" si="188"/>
        <v>8</v>
      </c>
      <c r="F6060">
        <f t="shared" si="189"/>
        <v>2023</v>
      </c>
    </row>
    <row r="6061" spans="1:6" x14ac:dyDescent="0.2">
      <c r="A6061" s="20">
        <v>45146</v>
      </c>
      <c r="B6061">
        <v>229</v>
      </c>
      <c r="E6061">
        <f t="shared" si="188"/>
        <v>8</v>
      </c>
      <c r="F6061">
        <f t="shared" si="189"/>
        <v>2023</v>
      </c>
    </row>
    <row r="6062" spans="1:6" x14ac:dyDescent="0.2">
      <c r="A6062" s="20">
        <v>45147</v>
      </c>
      <c r="B6062">
        <v>228.25</v>
      </c>
      <c r="E6062">
        <f t="shared" si="188"/>
        <v>8</v>
      </c>
      <c r="F6062">
        <f t="shared" si="189"/>
        <v>2023</v>
      </c>
    </row>
    <row r="6063" spans="1:6" x14ac:dyDescent="0.2">
      <c r="A6063" s="20">
        <v>45148</v>
      </c>
      <c r="B6063">
        <v>225.5</v>
      </c>
      <c r="E6063">
        <f t="shared" si="188"/>
        <v>8</v>
      </c>
      <c r="F6063">
        <f t="shared" si="189"/>
        <v>2023</v>
      </c>
    </row>
    <row r="6064" spans="1:6" x14ac:dyDescent="0.2">
      <c r="A6064" s="20">
        <v>45149</v>
      </c>
      <c r="B6064">
        <v>222.75</v>
      </c>
      <c r="E6064">
        <f t="shared" si="188"/>
        <v>8</v>
      </c>
      <c r="F6064">
        <f t="shared" si="189"/>
        <v>2023</v>
      </c>
    </row>
    <row r="6065" spans="1:6" x14ac:dyDescent="0.2">
      <c r="A6065" s="20">
        <v>45152</v>
      </c>
      <c r="B6065">
        <v>217</v>
      </c>
      <c r="E6065">
        <f t="shared" si="188"/>
        <v>8</v>
      </c>
      <c r="F6065">
        <f t="shared" si="189"/>
        <v>2023</v>
      </c>
    </row>
    <row r="6066" spans="1:6" x14ac:dyDescent="0.2">
      <c r="A6066" s="20">
        <v>45153</v>
      </c>
      <c r="B6066">
        <v>210.75</v>
      </c>
      <c r="E6066">
        <f t="shared" si="188"/>
        <v>8</v>
      </c>
      <c r="F6066">
        <f t="shared" si="189"/>
        <v>2023</v>
      </c>
    </row>
    <row r="6067" spans="1:6" x14ac:dyDescent="0.2">
      <c r="A6067" s="20">
        <v>45154</v>
      </c>
      <c r="B6067">
        <v>213.75</v>
      </c>
      <c r="E6067">
        <f t="shared" si="188"/>
        <v>8</v>
      </c>
      <c r="F6067">
        <f t="shared" si="189"/>
        <v>2023</v>
      </c>
    </row>
    <row r="6068" spans="1:6" x14ac:dyDescent="0.2">
      <c r="A6068" s="20">
        <v>45155</v>
      </c>
      <c r="B6068">
        <v>211.25</v>
      </c>
      <c r="E6068">
        <f t="shared" si="188"/>
        <v>8</v>
      </c>
      <c r="F6068">
        <f t="shared" si="189"/>
        <v>2023</v>
      </c>
    </row>
    <row r="6069" spans="1:6" x14ac:dyDescent="0.2">
      <c r="A6069" s="20">
        <v>45156</v>
      </c>
      <c r="B6069">
        <v>216</v>
      </c>
      <c r="E6069">
        <f t="shared" si="188"/>
        <v>8</v>
      </c>
      <c r="F6069">
        <f t="shared" si="189"/>
        <v>2023</v>
      </c>
    </row>
    <row r="6070" spans="1:6" x14ac:dyDescent="0.2">
      <c r="A6070" s="20">
        <v>45159</v>
      </c>
      <c r="B6070">
        <v>216.75</v>
      </c>
      <c r="E6070">
        <f t="shared" si="188"/>
        <v>8</v>
      </c>
      <c r="F6070">
        <f t="shared" si="189"/>
        <v>2023</v>
      </c>
    </row>
    <row r="6071" spans="1:6" x14ac:dyDescent="0.2">
      <c r="A6071" s="20">
        <v>45160</v>
      </c>
      <c r="B6071">
        <v>215.25</v>
      </c>
      <c r="E6071">
        <f t="shared" si="188"/>
        <v>8</v>
      </c>
      <c r="F6071">
        <f t="shared" si="189"/>
        <v>2023</v>
      </c>
    </row>
    <row r="6072" spans="1:6" x14ac:dyDescent="0.2">
      <c r="A6072" s="20">
        <v>45161</v>
      </c>
      <c r="B6072">
        <v>216.5</v>
      </c>
      <c r="E6072">
        <f t="shared" si="188"/>
        <v>8</v>
      </c>
      <c r="F6072">
        <f t="shared" si="189"/>
        <v>2023</v>
      </c>
    </row>
    <row r="6073" spans="1:6" x14ac:dyDescent="0.2">
      <c r="A6073" s="20">
        <v>45162</v>
      </c>
      <c r="B6073">
        <v>216</v>
      </c>
      <c r="E6073">
        <f t="shared" si="188"/>
        <v>8</v>
      </c>
      <c r="F6073">
        <f t="shared" si="189"/>
        <v>2023</v>
      </c>
    </row>
    <row r="6074" spans="1:6" x14ac:dyDescent="0.2">
      <c r="A6074" s="20">
        <v>45163</v>
      </c>
      <c r="B6074">
        <v>214.75</v>
      </c>
      <c r="E6074">
        <f t="shared" si="188"/>
        <v>8</v>
      </c>
      <c r="F6074">
        <f t="shared" si="189"/>
        <v>2023</v>
      </c>
    </row>
    <row r="6075" spans="1:6" x14ac:dyDescent="0.2">
      <c r="A6075" s="20">
        <v>45166</v>
      </c>
      <c r="B6075">
        <v>215.5</v>
      </c>
      <c r="E6075">
        <f t="shared" si="188"/>
        <v>8</v>
      </c>
      <c r="F6075">
        <f t="shared" si="189"/>
        <v>2023</v>
      </c>
    </row>
    <row r="6076" spans="1:6" x14ac:dyDescent="0.2">
      <c r="A6076" s="20">
        <v>45167</v>
      </c>
      <c r="B6076">
        <v>213.75</v>
      </c>
      <c r="E6076">
        <f t="shared" si="188"/>
        <v>8</v>
      </c>
      <c r="F6076">
        <f t="shared" si="189"/>
        <v>2023</v>
      </c>
    </row>
    <row r="6077" spans="1:6" x14ac:dyDescent="0.2">
      <c r="A6077" s="20">
        <v>45168</v>
      </c>
      <c r="B6077">
        <v>214</v>
      </c>
      <c r="E6077">
        <f t="shared" si="188"/>
        <v>8</v>
      </c>
      <c r="F6077">
        <f t="shared" si="189"/>
        <v>2023</v>
      </c>
    </row>
    <row r="6078" spans="1:6" x14ac:dyDescent="0.2">
      <c r="A6078" s="20">
        <v>45169</v>
      </c>
      <c r="B6078">
        <v>212</v>
      </c>
      <c r="E6078">
        <f t="shared" si="188"/>
        <v>8</v>
      </c>
      <c r="F6078">
        <f t="shared" si="189"/>
        <v>2023</v>
      </c>
    </row>
    <row r="6079" spans="1:6" x14ac:dyDescent="0.2">
      <c r="A6079" s="20">
        <v>45170</v>
      </c>
      <c r="B6079">
        <v>212.5</v>
      </c>
      <c r="E6079">
        <f t="shared" si="188"/>
        <v>9</v>
      </c>
      <c r="F6079">
        <f t="shared" si="189"/>
        <v>2023</v>
      </c>
    </row>
    <row r="6080" spans="1:6" x14ac:dyDescent="0.2">
      <c r="A6080" s="20">
        <v>45173</v>
      </c>
      <c r="B6080">
        <v>211.75</v>
      </c>
      <c r="E6080">
        <f t="shared" si="188"/>
        <v>9</v>
      </c>
      <c r="F6080">
        <f t="shared" si="189"/>
        <v>2023</v>
      </c>
    </row>
    <row r="6081" spans="1:6" x14ac:dyDescent="0.2">
      <c r="A6081" s="20">
        <v>45174</v>
      </c>
      <c r="B6081">
        <v>212</v>
      </c>
      <c r="E6081">
        <f t="shared" si="188"/>
        <v>9</v>
      </c>
      <c r="F6081">
        <f t="shared" si="189"/>
        <v>2023</v>
      </c>
    </row>
    <row r="6082" spans="1:6" x14ac:dyDescent="0.2">
      <c r="A6082" s="20">
        <v>45175</v>
      </c>
      <c r="B6082">
        <v>214</v>
      </c>
      <c r="E6082">
        <f t="shared" si="188"/>
        <v>9</v>
      </c>
      <c r="F6082">
        <f t="shared" si="189"/>
        <v>2023</v>
      </c>
    </row>
    <row r="6083" spans="1:6" x14ac:dyDescent="0.2">
      <c r="A6083" s="20">
        <v>45176</v>
      </c>
      <c r="B6083">
        <v>214</v>
      </c>
      <c r="E6083">
        <f t="shared" ref="E6083:E6146" si="190">MONTH(A6083)</f>
        <v>9</v>
      </c>
      <c r="F6083">
        <f t="shared" ref="F6083:F6146" si="191">YEAR(A6083)</f>
        <v>2023</v>
      </c>
    </row>
    <row r="6084" spans="1:6" x14ac:dyDescent="0.2">
      <c r="A6084" s="20">
        <v>45177</v>
      </c>
      <c r="B6084">
        <v>212.5</v>
      </c>
      <c r="E6084">
        <f t="shared" si="190"/>
        <v>9</v>
      </c>
      <c r="F6084">
        <f t="shared" si="191"/>
        <v>2023</v>
      </c>
    </row>
    <row r="6085" spans="1:6" x14ac:dyDescent="0.2">
      <c r="A6085" s="20">
        <v>45180</v>
      </c>
      <c r="B6085">
        <v>211.5</v>
      </c>
      <c r="E6085">
        <f t="shared" si="190"/>
        <v>9</v>
      </c>
      <c r="F6085">
        <f t="shared" si="191"/>
        <v>2023</v>
      </c>
    </row>
    <row r="6086" spans="1:6" x14ac:dyDescent="0.2">
      <c r="A6086" s="20">
        <v>45181</v>
      </c>
      <c r="B6086">
        <v>209.75</v>
      </c>
      <c r="E6086">
        <f t="shared" si="190"/>
        <v>9</v>
      </c>
      <c r="F6086">
        <f t="shared" si="191"/>
        <v>2023</v>
      </c>
    </row>
    <row r="6087" spans="1:6" x14ac:dyDescent="0.2">
      <c r="A6087" s="20">
        <v>45182</v>
      </c>
      <c r="B6087">
        <v>211</v>
      </c>
      <c r="E6087">
        <f t="shared" si="190"/>
        <v>9</v>
      </c>
      <c r="F6087">
        <f t="shared" si="191"/>
        <v>2023</v>
      </c>
    </row>
    <row r="6088" spans="1:6" x14ac:dyDescent="0.2">
      <c r="A6088" s="20">
        <v>45183</v>
      </c>
      <c r="B6088">
        <v>214</v>
      </c>
      <c r="E6088">
        <f t="shared" si="190"/>
        <v>9</v>
      </c>
      <c r="F6088">
        <f t="shared" si="191"/>
        <v>2023</v>
      </c>
    </row>
    <row r="6089" spans="1:6" x14ac:dyDescent="0.2">
      <c r="A6089" s="20">
        <v>45184</v>
      </c>
      <c r="B6089">
        <v>213</v>
      </c>
      <c r="E6089">
        <f t="shared" si="190"/>
        <v>9</v>
      </c>
      <c r="F6089">
        <f t="shared" si="191"/>
        <v>2023</v>
      </c>
    </row>
    <row r="6090" spans="1:6" x14ac:dyDescent="0.2">
      <c r="A6090" s="20">
        <v>45187</v>
      </c>
      <c r="B6090">
        <v>209.25</v>
      </c>
      <c r="E6090">
        <f t="shared" si="190"/>
        <v>9</v>
      </c>
      <c r="F6090">
        <f t="shared" si="191"/>
        <v>2023</v>
      </c>
    </row>
    <row r="6091" spans="1:6" x14ac:dyDescent="0.2">
      <c r="A6091" s="20">
        <v>45188</v>
      </c>
      <c r="B6091">
        <v>209</v>
      </c>
      <c r="E6091">
        <f t="shared" si="190"/>
        <v>9</v>
      </c>
      <c r="F6091">
        <f t="shared" si="191"/>
        <v>2023</v>
      </c>
    </row>
    <row r="6092" spans="1:6" x14ac:dyDescent="0.2">
      <c r="A6092" s="20">
        <v>45189</v>
      </c>
      <c r="B6092">
        <v>209</v>
      </c>
      <c r="E6092">
        <f t="shared" si="190"/>
        <v>9</v>
      </c>
      <c r="F6092">
        <f t="shared" si="191"/>
        <v>2023</v>
      </c>
    </row>
    <row r="6093" spans="1:6" x14ac:dyDescent="0.2">
      <c r="A6093" s="20">
        <v>45190</v>
      </c>
      <c r="B6093">
        <v>208.25</v>
      </c>
      <c r="E6093">
        <f t="shared" si="190"/>
        <v>9</v>
      </c>
      <c r="F6093">
        <f t="shared" si="191"/>
        <v>2023</v>
      </c>
    </row>
    <row r="6094" spans="1:6" x14ac:dyDescent="0.2">
      <c r="A6094" s="20">
        <v>45191</v>
      </c>
      <c r="B6094">
        <v>209.25</v>
      </c>
      <c r="E6094">
        <f t="shared" si="190"/>
        <v>9</v>
      </c>
      <c r="F6094">
        <f t="shared" si="191"/>
        <v>2023</v>
      </c>
    </row>
    <row r="6095" spans="1:6" x14ac:dyDescent="0.2">
      <c r="A6095" s="20">
        <v>45194</v>
      </c>
      <c r="B6095">
        <v>211</v>
      </c>
      <c r="E6095">
        <f t="shared" si="190"/>
        <v>9</v>
      </c>
      <c r="F6095">
        <f t="shared" si="191"/>
        <v>2023</v>
      </c>
    </row>
    <row r="6096" spans="1:6" x14ac:dyDescent="0.2">
      <c r="A6096" s="20">
        <v>45195</v>
      </c>
      <c r="B6096">
        <v>211.25</v>
      </c>
      <c r="E6096">
        <f t="shared" si="190"/>
        <v>9</v>
      </c>
      <c r="F6096">
        <f t="shared" si="191"/>
        <v>2023</v>
      </c>
    </row>
    <row r="6097" spans="1:6" x14ac:dyDescent="0.2">
      <c r="A6097" s="20">
        <v>45196</v>
      </c>
      <c r="B6097">
        <v>211.75</v>
      </c>
      <c r="E6097">
        <f t="shared" si="190"/>
        <v>9</v>
      </c>
      <c r="F6097">
        <f t="shared" si="191"/>
        <v>2023</v>
      </c>
    </row>
    <row r="6098" spans="1:6" x14ac:dyDescent="0.2">
      <c r="A6098" s="20">
        <v>45197</v>
      </c>
      <c r="B6098">
        <v>210.25</v>
      </c>
      <c r="E6098">
        <f t="shared" si="190"/>
        <v>9</v>
      </c>
      <c r="F6098">
        <f t="shared" si="191"/>
        <v>2023</v>
      </c>
    </row>
    <row r="6099" spans="1:6" x14ac:dyDescent="0.2">
      <c r="A6099" s="20">
        <v>45198</v>
      </c>
      <c r="B6099">
        <v>208.25</v>
      </c>
      <c r="E6099">
        <f t="shared" si="190"/>
        <v>9</v>
      </c>
      <c r="F6099">
        <f t="shared" si="191"/>
        <v>2023</v>
      </c>
    </row>
    <row r="6100" spans="1:6" x14ac:dyDescent="0.2">
      <c r="A6100" s="20">
        <v>45201</v>
      </c>
      <c r="B6100">
        <v>206.5</v>
      </c>
      <c r="E6100">
        <f t="shared" si="190"/>
        <v>10</v>
      </c>
      <c r="F6100">
        <f t="shared" si="191"/>
        <v>2023</v>
      </c>
    </row>
    <row r="6101" spans="1:6" x14ac:dyDescent="0.2">
      <c r="A6101" s="20">
        <v>45202</v>
      </c>
      <c r="B6101">
        <v>207</v>
      </c>
      <c r="E6101">
        <f t="shared" si="190"/>
        <v>10</v>
      </c>
      <c r="F6101">
        <f t="shared" si="191"/>
        <v>2023</v>
      </c>
    </row>
    <row r="6102" spans="1:6" x14ac:dyDescent="0.2">
      <c r="A6102" s="20">
        <v>45203</v>
      </c>
      <c r="B6102">
        <v>204.75</v>
      </c>
      <c r="E6102">
        <f t="shared" si="190"/>
        <v>10</v>
      </c>
      <c r="F6102">
        <f t="shared" si="191"/>
        <v>2023</v>
      </c>
    </row>
    <row r="6103" spans="1:6" x14ac:dyDescent="0.2">
      <c r="A6103" s="20">
        <v>45204</v>
      </c>
      <c r="B6103">
        <v>205</v>
      </c>
      <c r="E6103">
        <f t="shared" si="190"/>
        <v>10</v>
      </c>
      <c r="F6103">
        <f t="shared" si="191"/>
        <v>2023</v>
      </c>
    </row>
    <row r="6104" spans="1:6" x14ac:dyDescent="0.2">
      <c r="A6104" s="20">
        <v>45205</v>
      </c>
      <c r="B6104">
        <v>204.75</v>
      </c>
      <c r="E6104">
        <f t="shared" si="190"/>
        <v>10</v>
      </c>
      <c r="F6104">
        <f t="shared" si="191"/>
        <v>2023</v>
      </c>
    </row>
    <row r="6105" spans="1:6" x14ac:dyDescent="0.2">
      <c r="A6105" s="20">
        <v>45208</v>
      </c>
      <c r="B6105">
        <v>205.75</v>
      </c>
      <c r="E6105">
        <f t="shared" si="190"/>
        <v>10</v>
      </c>
      <c r="F6105">
        <f t="shared" si="191"/>
        <v>2023</v>
      </c>
    </row>
    <row r="6106" spans="1:6" x14ac:dyDescent="0.2">
      <c r="A6106" s="20">
        <v>45209</v>
      </c>
      <c r="B6106">
        <v>203.5</v>
      </c>
      <c r="E6106">
        <f t="shared" si="190"/>
        <v>10</v>
      </c>
      <c r="F6106">
        <f t="shared" si="191"/>
        <v>2023</v>
      </c>
    </row>
    <row r="6107" spans="1:6" x14ac:dyDescent="0.2">
      <c r="A6107" s="20">
        <v>45210</v>
      </c>
      <c r="B6107">
        <v>199.5</v>
      </c>
      <c r="E6107">
        <f t="shared" si="190"/>
        <v>10</v>
      </c>
      <c r="F6107">
        <f t="shared" si="191"/>
        <v>2023</v>
      </c>
    </row>
    <row r="6108" spans="1:6" x14ac:dyDescent="0.2">
      <c r="A6108" s="20">
        <v>45211</v>
      </c>
      <c r="B6108">
        <v>199.75</v>
      </c>
      <c r="E6108">
        <f t="shared" si="190"/>
        <v>10</v>
      </c>
      <c r="F6108">
        <f t="shared" si="191"/>
        <v>2023</v>
      </c>
    </row>
    <row r="6109" spans="1:6" x14ac:dyDescent="0.2">
      <c r="A6109" s="20">
        <v>45212</v>
      </c>
      <c r="B6109">
        <v>200.25</v>
      </c>
      <c r="E6109">
        <f t="shared" si="190"/>
        <v>10</v>
      </c>
      <c r="F6109">
        <f t="shared" si="191"/>
        <v>2023</v>
      </c>
    </row>
    <row r="6110" spans="1:6" x14ac:dyDescent="0.2">
      <c r="A6110" s="20">
        <v>45215</v>
      </c>
      <c r="B6110">
        <v>201.75</v>
      </c>
      <c r="E6110">
        <f t="shared" si="190"/>
        <v>10</v>
      </c>
      <c r="F6110">
        <f t="shared" si="191"/>
        <v>2023</v>
      </c>
    </row>
    <row r="6111" spans="1:6" x14ac:dyDescent="0.2">
      <c r="A6111" s="20">
        <v>45216</v>
      </c>
      <c r="B6111">
        <v>201.25</v>
      </c>
      <c r="E6111">
        <f t="shared" si="190"/>
        <v>10</v>
      </c>
      <c r="F6111">
        <f t="shared" si="191"/>
        <v>2023</v>
      </c>
    </row>
    <row r="6112" spans="1:6" x14ac:dyDescent="0.2">
      <c r="A6112" s="20">
        <v>45217</v>
      </c>
      <c r="B6112">
        <v>205.25</v>
      </c>
      <c r="E6112">
        <f t="shared" si="190"/>
        <v>10</v>
      </c>
      <c r="F6112">
        <f t="shared" si="191"/>
        <v>2023</v>
      </c>
    </row>
    <row r="6113" spans="1:6" x14ac:dyDescent="0.2">
      <c r="A6113" s="20">
        <v>45218</v>
      </c>
      <c r="B6113">
        <v>205.25</v>
      </c>
      <c r="E6113">
        <f t="shared" si="190"/>
        <v>10</v>
      </c>
      <c r="F6113">
        <f t="shared" si="191"/>
        <v>2023</v>
      </c>
    </row>
    <row r="6114" spans="1:6" x14ac:dyDescent="0.2">
      <c r="A6114" s="20">
        <v>45219</v>
      </c>
      <c r="B6114">
        <v>206.25</v>
      </c>
      <c r="E6114">
        <f t="shared" si="190"/>
        <v>10</v>
      </c>
      <c r="F6114">
        <f t="shared" si="191"/>
        <v>2023</v>
      </c>
    </row>
    <row r="6115" spans="1:6" x14ac:dyDescent="0.2">
      <c r="A6115" s="20">
        <v>45222</v>
      </c>
      <c r="B6115">
        <v>205.25</v>
      </c>
      <c r="E6115">
        <f t="shared" si="190"/>
        <v>10</v>
      </c>
      <c r="F6115">
        <f t="shared" si="191"/>
        <v>2023</v>
      </c>
    </row>
    <row r="6116" spans="1:6" x14ac:dyDescent="0.2">
      <c r="A6116" s="20">
        <v>45223</v>
      </c>
      <c r="B6116">
        <v>203.5</v>
      </c>
      <c r="E6116">
        <f t="shared" si="190"/>
        <v>10</v>
      </c>
      <c r="F6116">
        <f t="shared" si="191"/>
        <v>2023</v>
      </c>
    </row>
    <row r="6117" spans="1:6" x14ac:dyDescent="0.2">
      <c r="A6117" s="20">
        <v>45224</v>
      </c>
      <c r="B6117">
        <v>202.5</v>
      </c>
      <c r="E6117">
        <f t="shared" si="190"/>
        <v>10</v>
      </c>
      <c r="F6117">
        <f t="shared" si="191"/>
        <v>2023</v>
      </c>
    </row>
    <row r="6118" spans="1:6" x14ac:dyDescent="0.2">
      <c r="A6118" s="20">
        <v>45225</v>
      </c>
      <c r="B6118">
        <v>202</v>
      </c>
      <c r="E6118">
        <f t="shared" si="190"/>
        <v>10</v>
      </c>
      <c r="F6118">
        <f t="shared" si="191"/>
        <v>2023</v>
      </c>
    </row>
    <row r="6119" spans="1:6" x14ac:dyDescent="0.2">
      <c r="A6119" s="20">
        <v>45226</v>
      </c>
      <c r="B6119">
        <v>201.75</v>
      </c>
      <c r="E6119">
        <f t="shared" si="190"/>
        <v>10</v>
      </c>
      <c r="F6119">
        <f t="shared" si="191"/>
        <v>2023</v>
      </c>
    </row>
    <row r="6120" spans="1:6" x14ac:dyDescent="0.2">
      <c r="A6120" s="20">
        <v>45229</v>
      </c>
      <c r="B6120">
        <v>198</v>
      </c>
      <c r="E6120">
        <f t="shared" si="190"/>
        <v>10</v>
      </c>
      <c r="F6120">
        <f t="shared" si="191"/>
        <v>2023</v>
      </c>
    </row>
    <row r="6121" spans="1:6" x14ac:dyDescent="0.2">
      <c r="A6121" s="20">
        <v>45230</v>
      </c>
      <c r="B6121">
        <v>197</v>
      </c>
      <c r="E6121">
        <f t="shared" si="190"/>
        <v>10</v>
      </c>
      <c r="F6121">
        <f t="shared" si="191"/>
        <v>2023</v>
      </c>
    </row>
    <row r="6122" spans="1:6" x14ac:dyDescent="0.2">
      <c r="A6122" s="20">
        <v>45231</v>
      </c>
      <c r="B6122">
        <v>198.5</v>
      </c>
      <c r="E6122">
        <f t="shared" si="190"/>
        <v>11</v>
      </c>
      <c r="F6122">
        <f t="shared" si="191"/>
        <v>2023</v>
      </c>
    </row>
    <row r="6123" spans="1:6" x14ac:dyDescent="0.2">
      <c r="A6123" s="20">
        <v>45232</v>
      </c>
      <c r="B6123">
        <v>202</v>
      </c>
      <c r="E6123">
        <f t="shared" si="190"/>
        <v>11</v>
      </c>
      <c r="F6123">
        <f t="shared" si="191"/>
        <v>2023</v>
      </c>
    </row>
    <row r="6124" spans="1:6" x14ac:dyDescent="0.2">
      <c r="A6124" s="20">
        <v>45233</v>
      </c>
      <c r="B6124">
        <v>202.25</v>
      </c>
      <c r="E6124">
        <f t="shared" si="190"/>
        <v>11</v>
      </c>
      <c r="F6124">
        <f t="shared" si="191"/>
        <v>2023</v>
      </c>
    </row>
    <row r="6125" spans="1:6" x14ac:dyDescent="0.2">
      <c r="A6125" s="20">
        <v>45236</v>
      </c>
      <c r="B6125">
        <v>196.5</v>
      </c>
      <c r="E6125">
        <f t="shared" si="190"/>
        <v>11</v>
      </c>
      <c r="F6125">
        <f t="shared" si="191"/>
        <v>2023</v>
      </c>
    </row>
    <row r="6126" spans="1:6" x14ac:dyDescent="0.2">
      <c r="A6126" s="20">
        <v>45237</v>
      </c>
      <c r="B6126">
        <v>205.75</v>
      </c>
      <c r="E6126">
        <f t="shared" si="190"/>
        <v>11</v>
      </c>
      <c r="F6126">
        <f t="shared" si="191"/>
        <v>2023</v>
      </c>
    </row>
    <row r="6127" spans="1:6" x14ac:dyDescent="0.2">
      <c r="A6127" s="20">
        <v>45238</v>
      </c>
      <c r="B6127">
        <v>208.5</v>
      </c>
      <c r="E6127">
        <f t="shared" si="190"/>
        <v>11</v>
      </c>
      <c r="F6127">
        <f t="shared" si="191"/>
        <v>2023</v>
      </c>
    </row>
    <row r="6128" spans="1:6" x14ac:dyDescent="0.2">
      <c r="A6128" s="20">
        <v>45239</v>
      </c>
      <c r="B6128">
        <v>206.75</v>
      </c>
      <c r="E6128">
        <f t="shared" si="190"/>
        <v>11</v>
      </c>
      <c r="F6128">
        <f t="shared" si="191"/>
        <v>2023</v>
      </c>
    </row>
    <row r="6129" spans="1:6" x14ac:dyDescent="0.2">
      <c r="A6129" s="20">
        <v>45240</v>
      </c>
      <c r="B6129">
        <v>206</v>
      </c>
      <c r="E6129">
        <f t="shared" si="190"/>
        <v>11</v>
      </c>
      <c r="F6129">
        <f t="shared" si="191"/>
        <v>2023</v>
      </c>
    </row>
    <row r="6130" spans="1:6" x14ac:dyDescent="0.2">
      <c r="A6130" s="20">
        <v>45243</v>
      </c>
      <c r="B6130">
        <v>208.5</v>
      </c>
      <c r="E6130">
        <f t="shared" si="190"/>
        <v>11</v>
      </c>
      <c r="F6130">
        <f t="shared" si="191"/>
        <v>2023</v>
      </c>
    </row>
    <row r="6131" spans="1:6" x14ac:dyDescent="0.2">
      <c r="A6131" s="20">
        <v>45244</v>
      </c>
      <c r="B6131">
        <v>208.25</v>
      </c>
      <c r="E6131">
        <f t="shared" si="190"/>
        <v>11</v>
      </c>
      <c r="F6131">
        <f t="shared" si="191"/>
        <v>2023</v>
      </c>
    </row>
    <row r="6132" spans="1:6" x14ac:dyDescent="0.2">
      <c r="A6132" s="20">
        <v>45245</v>
      </c>
      <c r="B6132">
        <v>207.25</v>
      </c>
      <c r="E6132">
        <f t="shared" si="190"/>
        <v>11</v>
      </c>
      <c r="F6132">
        <f t="shared" si="191"/>
        <v>2023</v>
      </c>
    </row>
    <row r="6133" spans="1:6" x14ac:dyDescent="0.2">
      <c r="A6133" s="20">
        <v>45246</v>
      </c>
      <c r="B6133">
        <v>206</v>
      </c>
      <c r="E6133">
        <f t="shared" si="190"/>
        <v>11</v>
      </c>
      <c r="F6133">
        <f t="shared" si="191"/>
        <v>2023</v>
      </c>
    </row>
    <row r="6134" spans="1:6" x14ac:dyDescent="0.2">
      <c r="A6134" s="20">
        <v>45247</v>
      </c>
      <c r="B6134">
        <v>205.75</v>
      </c>
      <c r="E6134">
        <f t="shared" si="190"/>
        <v>11</v>
      </c>
      <c r="F6134">
        <f t="shared" si="191"/>
        <v>2023</v>
      </c>
    </row>
    <row r="6135" spans="1:6" x14ac:dyDescent="0.2">
      <c r="A6135" s="20">
        <v>45250</v>
      </c>
      <c r="B6135">
        <v>204.5</v>
      </c>
      <c r="E6135">
        <f t="shared" si="190"/>
        <v>11</v>
      </c>
      <c r="F6135">
        <f t="shared" si="191"/>
        <v>2023</v>
      </c>
    </row>
    <row r="6136" spans="1:6" x14ac:dyDescent="0.2">
      <c r="A6136" s="20">
        <v>45251</v>
      </c>
      <c r="B6136">
        <v>205.75</v>
      </c>
      <c r="E6136">
        <f t="shared" si="190"/>
        <v>11</v>
      </c>
      <c r="F6136">
        <f t="shared" si="191"/>
        <v>2023</v>
      </c>
    </row>
    <row r="6137" spans="1:6" x14ac:dyDescent="0.2">
      <c r="A6137" s="20">
        <v>45252</v>
      </c>
      <c r="B6137">
        <v>206</v>
      </c>
      <c r="E6137">
        <f t="shared" si="190"/>
        <v>11</v>
      </c>
      <c r="F6137">
        <f t="shared" si="191"/>
        <v>2023</v>
      </c>
    </row>
    <row r="6138" spans="1:6" x14ac:dyDescent="0.2">
      <c r="A6138" s="20">
        <v>45253</v>
      </c>
      <c r="B6138">
        <v>205.75</v>
      </c>
      <c r="E6138">
        <f t="shared" si="190"/>
        <v>11</v>
      </c>
      <c r="F6138">
        <f t="shared" si="191"/>
        <v>2023</v>
      </c>
    </row>
    <row r="6139" spans="1:6" x14ac:dyDescent="0.2">
      <c r="A6139" s="20">
        <v>45254</v>
      </c>
      <c r="B6139">
        <v>204.75</v>
      </c>
      <c r="E6139">
        <f t="shared" si="190"/>
        <v>11</v>
      </c>
      <c r="F6139">
        <f t="shared" si="191"/>
        <v>2023</v>
      </c>
    </row>
    <row r="6140" spans="1:6" x14ac:dyDescent="0.2">
      <c r="A6140" s="20">
        <v>45257</v>
      </c>
      <c r="B6140">
        <v>201</v>
      </c>
      <c r="E6140">
        <f t="shared" si="190"/>
        <v>11</v>
      </c>
      <c r="F6140">
        <f t="shared" si="191"/>
        <v>2023</v>
      </c>
    </row>
    <row r="6141" spans="1:6" x14ac:dyDescent="0.2">
      <c r="A6141" s="20">
        <v>45258</v>
      </c>
      <c r="B6141">
        <v>197.75</v>
      </c>
      <c r="E6141">
        <f t="shared" si="190"/>
        <v>11</v>
      </c>
      <c r="F6141">
        <f t="shared" si="191"/>
        <v>2023</v>
      </c>
    </row>
    <row r="6142" spans="1:6" x14ac:dyDescent="0.2">
      <c r="A6142" s="20">
        <v>45259</v>
      </c>
      <c r="B6142">
        <v>198.75</v>
      </c>
      <c r="E6142">
        <f t="shared" si="190"/>
        <v>11</v>
      </c>
      <c r="F6142">
        <f t="shared" si="191"/>
        <v>2023</v>
      </c>
    </row>
    <row r="6143" spans="1:6" x14ac:dyDescent="0.2">
      <c r="A6143" s="20">
        <v>45260</v>
      </c>
      <c r="B6143">
        <v>199.25</v>
      </c>
      <c r="E6143">
        <f t="shared" si="190"/>
        <v>11</v>
      </c>
      <c r="F6143">
        <f t="shared" si="191"/>
        <v>2023</v>
      </c>
    </row>
    <row r="6144" spans="1:6" x14ac:dyDescent="0.2">
      <c r="A6144" s="20">
        <v>45261</v>
      </c>
      <c r="B6144">
        <v>200</v>
      </c>
      <c r="E6144">
        <f t="shared" si="190"/>
        <v>12</v>
      </c>
      <c r="F6144">
        <f t="shared" si="191"/>
        <v>2023</v>
      </c>
    </row>
    <row r="6145" spans="1:6" x14ac:dyDescent="0.2">
      <c r="A6145" s="20">
        <v>45264</v>
      </c>
      <c r="B6145">
        <v>202.5</v>
      </c>
      <c r="E6145">
        <f t="shared" si="190"/>
        <v>12</v>
      </c>
      <c r="F6145">
        <f t="shared" si="191"/>
        <v>2023</v>
      </c>
    </row>
    <row r="6146" spans="1:6" x14ac:dyDescent="0.2">
      <c r="A6146" s="20">
        <v>45265</v>
      </c>
      <c r="B6146">
        <v>202.25</v>
      </c>
      <c r="E6146">
        <f t="shared" si="190"/>
        <v>12</v>
      </c>
      <c r="F6146">
        <f t="shared" si="191"/>
        <v>2023</v>
      </c>
    </row>
    <row r="6147" spans="1:6" x14ac:dyDescent="0.2">
      <c r="A6147" s="20">
        <v>45266</v>
      </c>
      <c r="B6147">
        <v>202.5</v>
      </c>
      <c r="E6147">
        <f t="shared" ref="E6147:E6210" si="192">MONTH(A6147)</f>
        <v>12</v>
      </c>
      <c r="F6147">
        <f t="shared" ref="F6147:F6210" si="193">YEAR(A6147)</f>
        <v>2023</v>
      </c>
    </row>
    <row r="6148" spans="1:6" x14ac:dyDescent="0.2">
      <c r="A6148" s="20">
        <v>45267</v>
      </c>
      <c r="B6148">
        <v>201.75</v>
      </c>
      <c r="E6148">
        <f t="shared" si="192"/>
        <v>12</v>
      </c>
      <c r="F6148">
        <f t="shared" si="193"/>
        <v>2023</v>
      </c>
    </row>
    <row r="6149" spans="1:6" x14ac:dyDescent="0.2">
      <c r="A6149" s="20">
        <v>45268</v>
      </c>
      <c r="B6149">
        <v>201.25</v>
      </c>
      <c r="E6149">
        <f t="shared" si="192"/>
        <v>12</v>
      </c>
      <c r="F6149">
        <f t="shared" si="193"/>
        <v>2023</v>
      </c>
    </row>
    <row r="6150" spans="1:6" x14ac:dyDescent="0.2">
      <c r="A6150" s="20">
        <v>45271</v>
      </c>
      <c r="B6150">
        <v>201</v>
      </c>
      <c r="E6150">
        <f t="shared" si="192"/>
        <v>12</v>
      </c>
      <c r="F6150">
        <f t="shared" si="193"/>
        <v>2023</v>
      </c>
    </row>
    <row r="6151" spans="1:6" x14ac:dyDescent="0.2">
      <c r="A6151" s="20">
        <v>45272</v>
      </c>
      <c r="B6151">
        <v>201.25</v>
      </c>
      <c r="E6151">
        <f t="shared" si="192"/>
        <v>12</v>
      </c>
      <c r="F6151">
        <f t="shared" si="193"/>
        <v>2023</v>
      </c>
    </row>
    <row r="6152" spans="1:6" x14ac:dyDescent="0.2">
      <c r="A6152" s="20">
        <v>45273</v>
      </c>
      <c r="B6152">
        <v>200.5</v>
      </c>
      <c r="E6152">
        <f t="shared" si="192"/>
        <v>12</v>
      </c>
      <c r="F6152">
        <f t="shared" si="193"/>
        <v>2023</v>
      </c>
    </row>
    <row r="6153" spans="1:6" x14ac:dyDescent="0.2">
      <c r="A6153" s="20">
        <v>45274</v>
      </c>
      <c r="B6153">
        <v>198.75</v>
      </c>
      <c r="E6153">
        <f t="shared" si="192"/>
        <v>12</v>
      </c>
      <c r="F6153">
        <f t="shared" si="193"/>
        <v>2023</v>
      </c>
    </row>
    <row r="6154" spans="1:6" x14ac:dyDescent="0.2">
      <c r="A6154" s="20">
        <v>45275</v>
      </c>
      <c r="B6154">
        <v>197.75</v>
      </c>
      <c r="E6154">
        <f t="shared" si="192"/>
        <v>12</v>
      </c>
      <c r="F6154">
        <f t="shared" si="193"/>
        <v>2023</v>
      </c>
    </row>
    <row r="6155" spans="1:6" x14ac:dyDescent="0.2">
      <c r="A6155" s="20">
        <v>45278</v>
      </c>
      <c r="B6155">
        <v>198.75</v>
      </c>
      <c r="E6155">
        <f t="shared" si="192"/>
        <v>12</v>
      </c>
      <c r="F6155">
        <f t="shared" si="193"/>
        <v>2023</v>
      </c>
    </row>
    <row r="6156" spans="1:6" x14ac:dyDescent="0.2">
      <c r="A6156" s="20">
        <v>45279</v>
      </c>
      <c r="B6156">
        <v>198.75</v>
      </c>
      <c r="E6156">
        <f t="shared" si="192"/>
        <v>12</v>
      </c>
      <c r="F6156">
        <f t="shared" si="193"/>
        <v>2023</v>
      </c>
    </row>
    <row r="6157" spans="1:6" x14ac:dyDescent="0.2">
      <c r="A6157" s="20">
        <v>45280</v>
      </c>
      <c r="B6157">
        <v>199.75</v>
      </c>
      <c r="E6157">
        <f t="shared" si="192"/>
        <v>12</v>
      </c>
      <c r="F6157">
        <f t="shared" si="193"/>
        <v>2023</v>
      </c>
    </row>
    <row r="6158" spans="1:6" x14ac:dyDescent="0.2">
      <c r="A6158" s="20">
        <v>45281</v>
      </c>
      <c r="B6158">
        <v>199.75</v>
      </c>
      <c r="E6158">
        <f t="shared" si="192"/>
        <v>12</v>
      </c>
      <c r="F6158">
        <f t="shared" si="193"/>
        <v>2023</v>
      </c>
    </row>
    <row r="6159" spans="1:6" x14ac:dyDescent="0.2">
      <c r="A6159" s="20">
        <v>45282</v>
      </c>
      <c r="B6159">
        <v>199.25</v>
      </c>
      <c r="E6159">
        <f t="shared" si="192"/>
        <v>12</v>
      </c>
      <c r="F6159">
        <f t="shared" si="193"/>
        <v>2023</v>
      </c>
    </row>
    <row r="6160" spans="1:6" x14ac:dyDescent="0.2">
      <c r="A6160" s="20">
        <v>45287</v>
      </c>
      <c r="B6160">
        <v>199</v>
      </c>
      <c r="E6160">
        <f t="shared" si="192"/>
        <v>12</v>
      </c>
      <c r="F6160">
        <f t="shared" si="193"/>
        <v>2023</v>
      </c>
    </row>
    <row r="6161" spans="1:6" x14ac:dyDescent="0.2">
      <c r="A6161" s="20">
        <v>45288</v>
      </c>
      <c r="B6161">
        <v>198.75</v>
      </c>
      <c r="E6161">
        <f t="shared" si="192"/>
        <v>12</v>
      </c>
      <c r="F6161">
        <f t="shared" si="193"/>
        <v>2023</v>
      </c>
    </row>
    <row r="6162" spans="1:6" x14ac:dyDescent="0.2">
      <c r="A6162" s="20">
        <v>45289</v>
      </c>
      <c r="B6162">
        <v>198.25</v>
      </c>
      <c r="E6162">
        <f t="shared" si="192"/>
        <v>12</v>
      </c>
      <c r="F6162">
        <f t="shared" si="193"/>
        <v>2023</v>
      </c>
    </row>
    <row r="6163" spans="1:6" x14ac:dyDescent="0.2">
      <c r="A6163" s="20">
        <v>45293</v>
      </c>
      <c r="B6163">
        <v>197.5</v>
      </c>
      <c r="E6163">
        <f t="shared" si="192"/>
        <v>1</v>
      </c>
      <c r="F6163">
        <f t="shared" si="193"/>
        <v>2024</v>
      </c>
    </row>
    <row r="6164" spans="1:6" x14ac:dyDescent="0.2">
      <c r="A6164" s="20">
        <v>45294</v>
      </c>
      <c r="B6164">
        <v>196.5</v>
      </c>
      <c r="E6164">
        <f t="shared" si="192"/>
        <v>1</v>
      </c>
      <c r="F6164">
        <f t="shared" si="193"/>
        <v>2024</v>
      </c>
    </row>
    <row r="6165" spans="1:6" x14ac:dyDescent="0.2">
      <c r="A6165" s="20">
        <v>45295</v>
      </c>
      <c r="B6165">
        <v>197.25</v>
      </c>
      <c r="E6165">
        <f t="shared" si="192"/>
        <v>1</v>
      </c>
      <c r="F6165">
        <f t="shared" si="193"/>
        <v>2024</v>
      </c>
    </row>
    <row r="6166" spans="1:6" x14ac:dyDescent="0.2">
      <c r="A6166" s="20">
        <v>45296</v>
      </c>
      <c r="B6166">
        <v>196</v>
      </c>
      <c r="E6166">
        <f t="shared" si="192"/>
        <v>1</v>
      </c>
      <c r="F6166">
        <f t="shared" si="193"/>
        <v>2024</v>
      </c>
    </row>
    <row r="6167" spans="1:6" x14ac:dyDescent="0.2">
      <c r="A6167" s="20">
        <v>45299</v>
      </c>
      <c r="B6167">
        <v>193.5</v>
      </c>
      <c r="E6167">
        <f t="shared" si="192"/>
        <v>1</v>
      </c>
      <c r="F6167">
        <f t="shared" si="193"/>
        <v>2024</v>
      </c>
    </row>
    <row r="6168" spans="1:6" x14ac:dyDescent="0.2">
      <c r="A6168" s="20">
        <v>45300</v>
      </c>
      <c r="B6168">
        <v>193.25</v>
      </c>
      <c r="E6168">
        <f t="shared" si="192"/>
        <v>1</v>
      </c>
      <c r="F6168">
        <f t="shared" si="193"/>
        <v>2024</v>
      </c>
    </row>
    <row r="6169" spans="1:6" x14ac:dyDescent="0.2">
      <c r="A6169" s="20">
        <v>45301</v>
      </c>
      <c r="B6169">
        <v>193.75</v>
      </c>
      <c r="E6169">
        <f t="shared" si="192"/>
        <v>1</v>
      </c>
      <c r="F6169">
        <f t="shared" si="193"/>
        <v>2024</v>
      </c>
    </row>
    <row r="6170" spans="1:6" x14ac:dyDescent="0.2">
      <c r="A6170" s="20">
        <v>45302</v>
      </c>
      <c r="B6170">
        <v>191.5</v>
      </c>
      <c r="E6170">
        <f t="shared" si="192"/>
        <v>1</v>
      </c>
      <c r="F6170">
        <f t="shared" si="193"/>
        <v>2024</v>
      </c>
    </row>
    <row r="6171" spans="1:6" x14ac:dyDescent="0.2">
      <c r="A6171" s="20">
        <v>45303</v>
      </c>
      <c r="B6171">
        <v>191</v>
      </c>
      <c r="E6171">
        <f t="shared" si="192"/>
        <v>1</v>
      </c>
      <c r="F6171">
        <f t="shared" si="193"/>
        <v>2024</v>
      </c>
    </row>
    <row r="6172" spans="1:6" x14ac:dyDescent="0.2">
      <c r="A6172" s="20">
        <v>45306</v>
      </c>
      <c r="B6172">
        <v>189</v>
      </c>
      <c r="E6172">
        <f t="shared" si="192"/>
        <v>1</v>
      </c>
      <c r="F6172">
        <f t="shared" si="193"/>
        <v>2024</v>
      </c>
    </row>
    <row r="6173" spans="1:6" x14ac:dyDescent="0.2">
      <c r="A6173" s="20">
        <v>45307</v>
      </c>
      <c r="B6173">
        <v>187.25</v>
      </c>
      <c r="E6173">
        <f t="shared" si="192"/>
        <v>1</v>
      </c>
      <c r="F6173">
        <f t="shared" si="193"/>
        <v>2024</v>
      </c>
    </row>
    <row r="6174" spans="1:6" x14ac:dyDescent="0.2">
      <c r="A6174" s="20">
        <v>45308</v>
      </c>
      <c r="B6174">
        <v>186.75</v>
      </c>
      <c r="E6174">
        <f t="shared" si="192"/>
        <v>1</v>
      </c>
      <c r="F6174">
        <f t="shared" si="193"/>
        <v>2024</v>
      </c>
    </row>
    <row r="6175" spans="1:6" x14ac:dyDescent="0.2">
      <c r="A6175" s="20">
        <v>45309</v>
      </c>
      <c r="B6175">
        <v>187</v>
      </c>
      <c r="E6175">
        <f t="shared" si="192"/>
        <v>1</v>
      </c>
      <c r="F6175">
        <f t="shared" si="193"/>
        <v>2024</v>
      </c>
    </row>
    <row r="6176" spans="1:6" x14ac:dyDescent="0.2">
      <c r="A6176" s="20">
        <v>45310</v>
      </c>
      <c r="B6176">
        <v>187</v>
      </c>
      <c r="E6176">
        <f t="shared" si="192"/>
        <v>1</v>
      </c>
      <c r="F6176">
        <f t="shared" si="193"/>
        <v>2024</v>
      </c>
    </row>
    <row r="6177" spans="1:6" x14ac:dyDescent="0.2">
      <c r="A6177" s="20">
        <v>45313</v>
      </c>
      <c r="B6177">
        <v>186</v>
      </c>
      <c r="E6177">
        <f t="shared" si="192"/>
        <v>1</v>
      </c>
      <c r="F6177">
        <f t="shared" si="193"/>
        <v>2024</v>
      </c>
    </row>
    <row r="6178" spans="1:6" x14ac:dyDescent="0.2">
      <c r="A6178" s="20">
        <v>45314</v>
      </c>
      <c r="B6178">
        <v>186.5</v>
      </c>
      <c r="E6178">
        <f t="shared" si="192"/>
        <v>1</v>
      </c>
      <c r="F6178">
        <f t="shared" si="193"/>
        <v>2024</v>
      </c>
    </row>
    <row r="6179" spans="1:6" x14ac:dyDescent="0.2">
      <c r="A6179" s="20">
        <v>45315</v>
      </c>
      <c r="B6179">
        <v>187.5</v>
      </c>
      <c r="E6179">
        <f t="shared" si="192"/>
        <v>1</v>
      </c>
      <c r="F6179">
        <f t="shared" si="193"/>
        <v>2024</v>
      </c>
    </row>
    <row r="6180" spans="1:6" x14ac:dyDescent="0.2">
      <c r="A6180" s="20">
        <v>45316</v>
      </c>
      <c r="B6180">
        <v>187.25</v>
      </c>
      <c r="E6180">
        <f t="shared" si="192"/>
        <v>1</v>
      </c>
      <c r="F6180">
        <f t="shared" si="193"/>
        <v>2024</v>
      </c>
    </row>
    <row r="6181" spans="1:6" x14ac:dyDescent="0.2">
      <c r="A6181" s="20">
        <v>45317</v>
      </c>
      <c r="B6181">
        <v>186.75</v>
      </c>
      <c r="E6181">
        <f t="shared" si="192"/>
        <v>1</v>
      </c>
      <c r="F6181">
        <f t="shared" si="193"/>
        <v>2024</v>
      </c>
    </row>
    <row r="6182" spans="1:6" x14ac:dyDescent="0.2">
      <c r="A6182" s="20">
        <v>45320</v>
      </c>
      <c r="B6182">
        <v>185.75</v>
      </c>
      <c r="E6182">
        <f t="shared" si="192"/>
        <v>1</v>
      </c>
      <c r="F6182">
        <f t="shared" si="193"/>
        <v>2024</v>
      </c>
    </row>
    <row r="6183" spans="1:6" x14ac:dyDescent="0.2">
      <c r="A6183" s="20">
        <v>45321</v>
      </c>
      <c r="B6183">
        <v>184.75</v>
      </c>
      <c r="E6183">
        <f t="shared" si="192"/>
        <v>1</v>
      </c>
      <c r="F6183">
        <f t="shared" si="193"/>
        <v>2024</v>
      </c>
    </row>
    <row r="6184" spans="1:6" x14ac:dyDescent="0.2">
      <c r="A6184" s="20">
        <v>45322</v>
      </c>
      <c r="B6184">
        <v>182.5</v>
      </c>
      <c r="E6184">
        <f t="shared" si="192"/>
        <v>1</v>
      </c>
      <c r="F6184">
        <f t="shared" si="193"/>
        <v>2024</v>
      </c>
    </row>
    <row r="6185" spans="1:6" x14ac:dyDescent="0.2">
      <c r="A6185" s="20">
        <v>45323</v>
      </c>
      <c r="B6185">
        <v>180.75</v>
      </c>
      <c r="E6185">
        <f t="shared" si="192"/>
        <v>2</v>
      </c>
      <c r="F6185">
        <f t="shared" si="193"/>
        <v>2024</v>
      </c>
    </row>
    <row r="6186" spans="1:6" x14ac:dyDescent="0.2">
      <c r="A6186" s="20">
        <v>45324</v>
      </c>
      <c r="B6186">
        <v>181.5</v>
      </c>
      <c r="E6186">
        <f t="shared" si="192"/>
        <v>2</v>
      </c>
      <c r="F6186">
        <f t="shared" si="193"/>
        <v>2024</v>
      </c>
    </row>
    <row r="6187" spans="1:6" x14ac:dyDescent="0.2">
      <c r="A6187" s="20">
        <v>45327</v>
      </c>
      <c r="B6187">
        <v>181</v>
      </c>
      <c r="E6187">
        <f t="shared" si="192"/>
        <v>2</v>
      </c>
      <c r="F6187">
        <f t="shared" si="193"/>
        <v>2024</v>
      </c>
    </row>
    <row r="6188" spans="1:6" x14ac:dyDescent="0.2">
      <c r="A6188" s="20">
        <v>45328</v>
      </c>
      <c r="B6188">
        <v>182</v>
      </c>
      <c r="E6188">
        <f t="shared" si="192"/>
        <v>2</v>
      </c>
      <c r="F6188">
        <f t="shared" si="193"/>
        <v>2024</v>
      </c>
    </row>
    <row r="6189" spans="1:6" x14ac:dyDescent="0.2">
      <c r="A6189" s="20">
        <v>45329</v>
      </c>
      <c r="B6189">
        <v>179</v>
      </c>
      <c r="E6189">
        <f t="shared" si="192"/>
        <v>2</v>
      </c>
      <c r="F6189">
        <f t="shared" si="193"/>
        <v>2024</v>
      </c>
    </row>
    <row r="6190" spans="1:6" x14ac:dyDescent="0.2">
      <c r="A6190" s="20">
        <v>45330</v>
      </c>
      <c r="B6190">
        <v>176.75</v>
      </c>
      <c r="E6190">
        <f t="shared" si="192"/>
        <v>2</v>
      </c>
      <c r="F6190">
        <f t="shared" si="193"/>
        <v>2024</v>
      </c>
    </row>
    <row r="6191" spans="1:6" x14ac:dyDescent="0.2">
      <c r="A6191" s="20">
        <v>45331</v>
      </c>
      <c r="B6191">
        <v>178.75</v>
      </c>
      <c r="E6191">
        <f t="shared" si="192"/>
        <v>2</v>
      </c>
      <c r="F6191">
        <f t="shared" si="193"/>
        <v>2024</v>
      </c>
    </row>
    <row r="6192" spans="1:6" x14ac:dyDescent="0.2">
      <c r="A6192" s="20">
        <v>45334</v>
      </c>
      <c r="B6192">
        <v>177.75</v>
      </c>
      <c r="E6192">
        <f t="shared" si="192"/>
        <v>2</v>
      </c>
      <c r="F6192">
        <f t="shared" si="193"/>
        <v>2024</v>
      </c>
    </row>
    <row r="6193" spans="1:6" x14ac:dyDescent="0.2">
      <c r="A6193" s="20">
        <v>45335</v>
      </c>
      <c r="B6193">
        <v>177.5</v>
      </c>
      <c r="E6193">
        <f t="shared" si="192"/>
        <v>2</v>
      </c>
      <c r="F6193">
        <f t="shared" si="193"/>
        <v>2024</v>
      </c>
    </row>
    <row r="6194" spans="1:6" x14ac:dyDescent="0.2">
      <c r="A6194" s="20">
        <v>45336</v>
      </c>
      <c r="B6194">
        <v>175.75</v>
      </c>
      <c r="E6194">
        <f t="shared" si="192"/>
        <v>2</v>
      </c>
      <c r="F6194">
        <f t="shared" si="193"/>
        <v>2024</v>
      </c>
    </row>
    <row r="6195" spans="1:6" x14ac:dyDescent="0.2">
      <c r="A6195" s="20">
        <v>45337</v>
      </c>
      <c r="B6195">
        <v>175</v>
      </c>
      <c r="E6195">
        <f t="shared" si="192"/>
        <v>2</v>
      </c>
      <c r="F6195">
        <f t="shared" si="193"/>
        <v>2024</v>
      </c>
    </row>
    <row r="6196" spans="1:6" x14ac:dyDescent="0.2">
      <c r="A6196" s="20">
        <v>45338</v>
      </c>
      <c r="B6196">
        <v>172.75</v>
      </c>
      <c r="E6196">
        <f t="shared" si="192"/>
        <v>2</v>
      </c>
      <c r="F6196">
        <f t="shared" si="193"/>
        <v>2024</v>
      </c>
    </row>
    <row r="6197" spans="1:6" x14ac:dyDescent="0.2">
      <c r="A6197" s="20">
        <v>45341</v>
      </c>
      <c r="B6197">
        <v>171</v>
      </c>
      <c r="E6197">
        <f t="shared" si="192"/>
        <v>2</v>
      </c>
      <c r="F6197">
        <f t="shared" si="193"/>
        <v>2024</v>
      </c>
    </row>
    <row r="6198" spans="1:6" x14ac:dyDescent="0.2">
      <c r="A6198" s="20">
        <v>45342</v>
      </c>
      <c r="B6198">
        <v>174.5</v>
      </c>
      <c r="E6198">
        <f t="shared" si="192"/>
        <v>2</v>
      </c>
      <c r="F6198">
        <f t="shared" si="193"/>
        <v>2024</v>
      </c>
    </row>
    <row r="6199" spans="1:6" x14ac:dyDescent="0.2">
      <c r="A6199" s="20">
        <v>45343</v>
      </c>
      <c r="B6199">
        <v>173.25</v>
      </c>
      <c r="E6199">
        <f t="shared" si="192"/>
        <v>2</v>
      </c>
      <c r="F6199">
        <f t="shared" si="193"/>
        <v>2024</v>
      </c>
    </row>
    <row r="6200" spans="1:6" x14ac:dyDescent="0.2">
      <c r="A6200" s="20">
        <v>45344</v>
      </c>
      <c r="B6200">
        <v>174</v>
      </c>
      <c r="E6200">
        <f t="shared" si="192"/>
        <v>2</v>
      </c>
      <c r="F6200">
        <f t="shared" si="193"/>
        <v>2024</v>
      </c>
    </row>
    <row r="6201" spans="1:6" x14ac:dyDescent="0.2">
      <c r="A6201" s="20">
        <v>45345</v>
      </c>
      <c r="B6201">
        <v>172</v>
      </c>
      <c r="E6201">
        <f t="shared" si="192"/>
        <v>2</v>
      </c>
      <c r="F6201">
        <f t="shared" si="193"/>
        <v>2024</v>
      </c>
    </row>
    <row r="6202" spans="1:6" x14ac:dyDescent="0.2">
      <c r="A6202" s="20">
        <v>45348</v>
      </c>
      <c r="B6202">
        <v>168.5</v>
      </c>
      <c r="E6202">
        <f t="shared" si="192"/>
        <v>2</v>
      </c>
      <c r="F6202">
        <f t="shared" si="193"/>
        <v>2024</v>
      </c>
    </row>
    <row r="6203" spans="1:6" x14ac:dyDescent="0.2">
      <c r="A6203" s="20">
        <v>45349</v>
      </c>
      <c r="B6203">
        <v>173</v>
      </c>
      <c r="E6203">
        <f t="shared" si="192"/>
        <v>2</v>
      </c>
      <c r="F6203">
        <f t="shared" si="193"/>
        <v>2024</v>
      </c>
    </row>
    <row r="6204" spans="1:6" x14ac:dyDescent="0.2">
      <c r="A6204" s="20">
        <v>45350</v>
      </c>
      <c r="B6204">
        <v>175</v>
      </c>
      <c r="E6204">
        <f t="shared" si="192"/>
        <v>2</v>
      </c>
      <c r="F6204">
        <f t="shared" si="193"/>
        <v>2024</v>
      </c>
    </row>
    <row r="6205" spans="1:6" x14ac:dyDescent="0.2">
      <c r="A6205" s="20">
        <v>45351</v>
      </c>
      <c r="B6205">
        <v>178</v>
      </c>
      <c r="E6205">
        <f t="shared" si="192"/>
        <v>2</v>
      </c>
      <c r="F6205">
        <f t="shared" si="193"/>
        <v>2024</v>
      </c>
    </row>
    <row r="6206" spans="1:6" x14ac:dyDescent="0.2">
      <c r="A6206" s="20">
        <v>45352</v>
      </c>
      <c r="B6206">
        <v>174</v>
      </c>
      <c r="E6206">
        <f t="shared" si="192"/>
        <v>3</v>
      </c>
      <c r="F6206">
        <f t="shared" si="193"/>
        <v>2024</v>
      </c>
    </row>
    <row r="6207" spans="1:6" x14ac:dyDescent="0.2">
      <c r="A6207" s="20">
        <v>45355</v>
      </c>
      <c r="B6207">
        <v>172.25</v>
      </c>
      <c r="E6207">
        <f t="shared" si="192"/>
        <v>3</v>
      </c>
      <c r="F6207">
        <f t="shared" si="193"/>
        <v>2024</v>
      </c>
    </row>
    <row r="6208" spans="1:6" x14ac:dyDescent="0.2">
      <c r="A6208" s="20">
        <v>45356</v>
      </c>
      <c r="B6208">
        <v>174</v>
      </c>
      <c r="E6208">
        <f t="shared" si="192"/>
        <v>3</v>
      </c>
      <c r="F6208">
        <f t="shared" si="193"/>
        <v>2024</v>
      </c>
    </row>
    <row r="6209" spans="1:6" x14ac:dyDescent="0.2">
      <c r="A6209" s="20">
        <v>45357</v>
      </c>
      <c r="B6209">
        <v>172.25</v>
      </c>
      <c r="E6209">
        <f t="shared" si="192"/>
        <v>3</v>
      </c>
      <c r="F6209">
        <f t="shared" si="193"/>
        <v>2024</v>
      </c>
    </row>
    <row r="6210" spans="1:6" x14ac:dyDescent="0.2">
      <c r="A6210" s="20">
        <v>45358</v>
      </c>
      <c r="B6210">
        <v>173.25</v>
      </c>
      <c r="E6210">
        <f t="shared" si="192"/>
        <v>3</v>
      </c>
      <c r="F6210">
        <f t="shared" si="193"/>
        <v>2024</v>
      </c>
    </row>
    <row r="6211" spans="1:6" x14ac:dyDescent="0.2">
      <c r="A6211" s="20">
        <v>45359</v>
      </c>
      <c r="B6211">
        <v>174.5</v>
      </c>
      <c r="E6211">
        <f t="shared" ref="E6211:E6274" si="194">MONTH(A6211)</f>
        <v>3</v>
      </c>
      <c r="F6211">
        <f t="shared" ref="F6211:F6274" si="195">YEAR(A6211)</f>
        <v>2024</v>
      </c>
    </row>
    <row r="6212" spans="1:6" x14ac:dyDescent="0.2">
      <c r="A6212" s="20">
        <v>45362</v>
      </c>
      <c r="B6212">
        <v>177.75</v>
      </c>
      <c r="E6212">
        <f t="shared" si="194"/>
        <v>3</v>
      </c>
      <c r="F6212">
        <f t="shared" si="195"/>
        <v>2024</v>
      </c>
    </row>
    <row r="6213" spans="1:6" x14ac:dyDescent="0.2">
      <c r="A6213" s="20">
        <v>45363</v>
      </c>
      <c r="B6213">
        <v>178.5</v>
      </c>
      <c r="E6213">
        <f t="shared" si="194"/>
        <v>3</v>
      </c>
      <c r="F6213">
        <f t="shared" si="195"/>
        <v>2024</v>
      </c>
    </row>
    <row r="6214" spans="1:6" x14ac:dyDescent="0.2">
      <c r="A6214" s="20">
        <v>45364</v>
      </c>
      <c r="B6214">
        <v>178.5</v>
      </c>
      <c r="E6214">
        <f t="shared" si="194"/>
        <v>3</v>
      </c>
      <c r="F6214">
        <f t="shared" si="195"/>
        <v>2024</v>
      </c>
    </row>
    <row r="6215" spans="1:6" x14ac:dyDescent="0.2">
      <c r="A6215" s="20">
        <v>45365</v>
      </c>
      <c r="B6215">
        <v>179.5</v>
      </c>
      <c r="E6215">
        <f t="shared" si="194"/>
        <v>3</v>
      </c>
      <c r="F6215">
        <f t="shared" si="195"/>
        <v>2024</v>
      </c>
    </row>
    <row r="6216" spans="1:6" x14ac:dyDescent="0.2">
      <c r="A6216" s="20">
        <v>45366</v>
      </c>
      <c r="B6216">
        <v>181.75</v>
      </c>
      <c r="E6216">
        <f t="shared" si="194"/>
        <v>3</v>
      </c>
      <c r="F6216">
        <f t="shared" si="195"/>
        <v>2024</v>
      </c>
    </row>
    <row r="6217" spans="1:6" x14ac:dyDescent="0.2">
      <c r="A6217" s="20">
        <v>45369</v>
      </c>
      <c r="B6217">
        <v>183.5</v>
      </c>
      <c r="E6217">
        <f t="shared" si="194"/>
        <v>3</v>
      </c>
      <c r="F6217">
        <f t="shared" si="195"/>
        <v>2024</v>
      </c>
    </row>
    <row r="6218" spans="1:6" x14ac:dyDescent="0.2">
      <c r="A6218" s="20">
        <v>45370</v>
      </c>
      <c r="B6218">
        <v>186.75</v>
      </c>
      <c r="E6218">
        <f t="shared" si="194"/>
        <v>3</v>
      </c>
      <c r="F6218">
        <f t="shared" si="195"/>
        <v>2024</v>
      </c>
    </row>
    <row r="6219" spans="1:6" x14ac:dyDescent="0.2">
      <c r="A6219" s="20">
        <v>45371</v>
      </c>
      <c r="B6219">
        <v>187.75</v>
      </c>
      <c r="E6219">
        <f t="shared" si="194"/>
        <v>3</v>
      </c>
      <c r="F6219">
        <f t="shared" si="195"/>
        <v>2024</v>
      </c>
    </row>
    <row r="6220" spans="1:6" x14ac:dyDescent="0.2">
      <c r="A6220" s="20">
        <v>45372</v>
      </c>
      <c r="B6220">
        <v>189.25</v>
      </c>
      <c r="E6220">
        <f t="shared" si="194"/>
        <v>3</v>
      </c>
      <c r="F6220">
        <f t="shared" si="195"/>
        <v>2024</v>
      </c>
    </row>
    <row r="6221" spans="1:6" x14ac:dyDescent="0.2">
      <c r="A6221" s="20">
        <v>45373</v>
      </c>
      <c r="B6221">
        <v>193.5</v>
      </c>
      <c r="E6221">
        <f t="shared" si="194"/>
        <v>3</v>
      </c>
      <c r="F6221">
        <f t="shared" si="195"/>
        <v>2024</v>
      </c>
    </row>
    <row r="6222" spans="1:6" x14ac:dyDescent="0.2">
      <c r="A6222" s="20">
        <v>45376</v>
      </c>
      <c r="B6222">
        <v>191.75</v>
      </c>
      <c r="E6222">
        <f t="shared" si="194"/>
        <v>3</v>
      </c>
      <c r="F6222">
        <f t="shared" si="195"/>
        <v>2024</v>
      </c>
    </row>
    <row r="6223" spans="1:6" x14ac:dyDescent="0.2">
      <c r="A6223" s="20">
        <v>45377</v>
      </c>
      <c r="B6223">
        <v>191.5</v>
      </c>
      <c r="E6223">
        <f t="shared" si="194"/>
        <v>3</v>
      </c>
      <c r="F6223">
        <f t="shared" si="195"/>
        <v>2024</v>
      </c>
    </row>
    <row r="6224" spans="1:6" x14ac:dyDescent="0.2">
      <c r="A6224" s="20">
        <v>45378</v>
      </c>
      <c r="B6224">
        <v>190.5</v>
      </c>
      <c r="E6224">
        <f t="shared" si="194"/>
        <v>3</v>
      </c>
      <c r="F6224">
        <f t="shared" si="195"/>
        <v>2024</v>
      </c>
    </row>
    <row r="6225" spans="1:6" x14ac:dyDescent="0.2">
      <c r="A6225" s="20">
        <v>45379</v>
      </c>
      <c r="B6225">
        <v>193.25</v>
      </c>
      <c r="E6225">
        <f t="shared" si="194"/>
        <v>3</v>
      </c>
      <c r="F6225">
        <f t="shared" si="195"/>
        <v>2024</v>
      </c>
    </row>
    <row r="6226" spans="1:6" x14ac:dyDescent="0.2">
      <c r="A6226" s="20">
        <v>45384</v>
      </c>
      <c r="B6226">
        <v>192.75</v>
      </c>
      <c r="E6226">
        <f t="shared" si="194"/>
        <v>4</v>
      </c>
      <c r="F6226">
        <f t="shared" si="195"/>
        <v>2024</v>
      </c>
    </row>
    <row r="6227" spans="1:6" x14ac:dyDescent="0.2">
      <c r="A6227" s="20">
        <v>45385</v>
      </c>
      <c r="B6227">
        <v>193</v>
      </c>
      <c r="E6227">
        <f t="shared" si="194"/>
        <v>4</v>
      </c>
      <c r="F6227">
        <f t="shared" si="195"/>
        <v>2024</v>
      </c>
    </row>
    <row r="6228" spans="1:6" x14ac:dyDescent="0.2">
      <c r="A6228" s="20">
        <v>45386</v>
      </c>
      <c r="B6228">
        <v>190.5</v>
      </c>
      <c r="E6228">
        <f t="shared" si="194"/>
        <v>4</v>
      </c>
      <c r="F6228">
        <f t="shared" si="195"/>
        <v>2024</v>
      </c>
    </row>
    <row r="6229" spans="1:6" x14ac:dyDescent="0.2">
      <c r="A6229" s="20">
        <v>45387</v>
      </c>
      <c r="B6229">
        <v>190.25</v>
      </c>
      <c r="E6229">
        <f t="shared" si="194"/>
        <v>4</v>
      </c>
      <c r="F6229">
        <f t="shared" si="195"/>
        <v>2024</v>
      </c>
    </row>
    <row r="6230" spans="1:6" x14ac:dyDescent="0.2">
      <c r="A6230" s="20">
        <v>45390</v>
      </c>
      <c r="B6230">
        <v>191.75</v>
      </c>
      <c r="E6230">
        <f t="shared" si="194"/>
        <v>4</v>
      </c>
      <c r="F6230">
        <f t="shared" si="195"/>
        <v>2024</v>
      </c>
    </row>
    <row r="6231" spans="1:6" x14ac:dyDescent="0.2">
      <c r="A6231" s="20">
        <v>45391</v>
      </c>
      <c r="B6231">
        <v>190.5</v>
      </c>
      <c r="E6231">
        <f t="shared" si="194"/>
        <v>4</v>
      </c>
      <c r="F6231">
        <f t="shared" si="195"/>
        <v>2024</v>
      </c>
    </row>
    <row r="6232" spans="1:6" x14ac:dyDescent="0.2">
      <c r="A6232" s="20">
        <v>45392</v>
      </c>
      <c r="B6232">
        <v>192.25</v>
      </c>
      <c r="E6232">
        <f t="shared" si="194"/>
        <v>4</v>
      </c>
      <c r="F6232">
        <f t="shared" si="195"/>
        <v>2024</v>
      </c>
    </row>
    <row r="6233" spans="1:6" x14ac:dyDescent="0.2">
      <c r="A6233" s="20">
        <v>45393</v>
      </c>
      <c r="B6233">
        <v>192</v>
      </c>
      <c r="E6233">
        <f t="shared" si="194"/>
        <v>4</v>
      </c>
      <c r="F6233">
        <f t="shared" si="195"/>
        <v>2024</v>
      </c>
    </row>
    <row r="6234" spans="1:6" x14ac:dyDescent="0.2">
      <c r="A6234" s="20">
        <v>45394</v>
      </c>
      <c r="B6234">
        <v>194.5</v>
      </c>
      <c r="E6234">
        <f t="shared" si="194"/>
        <v>4</v>
      </c>
      <c r="F6234">
        <f t="shared" si="195"/>
        <v>2024</v>
      </c>
    </row>
    <row r="6235" spans="1:6" x14ac:dyDescent="0.2">
      <c r="A6235" s="20">
        <v>45397</v>
      </c>
      <c r="B6235">
        <v>195.5</v>
      </c>
      <c r="E6235">
        <f t="shared" si="194"/>
        <v>4</v>
      </c>
      <c r="F6235">
        <f t="shared" si="195"/>
        <v>2024</v>
      </c>
    </row>
    <row r="6236" spans="1:6" x14ac:dyDescent="0.2">
      <c r="A6236" s="20">
        <v>45398</v>
      </c>
      <c r="B6236">
        <v>195.5</v>
      </c>
      <c r="E6236">
        <f t="shared" si="194"/>
        <v>4</v>
      </c>
      <c r="F6236">
        <f t="shared" si="195"/>
        <v>2024</v>
      </c>
    </row>
    <row r="6237" spans="1:6" x14ac:dyDescent="0.2">
      <c r="A6237" s="20">
        <v>45399</v>
      </c>
      <c r="B6237">
        <v>195.5</v>
      </c>
      <c r="E6237">
        <f t="shared" si="194"/>
        <v>4</v>
      </c>
      <c r="F6237">
        <f t="shared" si="195"/>
        <v>2024</v>
      </c>
    </row>
    <row r="6238" spans="1:6" x14ac:dyDescent="0.2">
      <c r="A6238" s="20">
        <v>45400</v>
      </c>
      <c r="B6238">
        <v>197.25</v>
      </c>
      <c r="E6238">
        <f t="shared" si="194"/>
        <v>4</v>
      </c>
      <c r="F6238">
        <f t="shared" si="195"/>
        <v>2024</v>
      </c>
    </row>
    <row r="6239" spans="1:6" x14ac:dyDescent="0.2">
      <c r="A6239" s="20">
        <v>45401</v>
      </c>
      <c r="B6239">
        <v>201.75</v>
      </c>
      <c r="E6239">
        <f t="shared" si="194"/>
        <v>4</v>
      </c>
      <c r="F6239">
        <f t="shared" si="195"/>
        <v>2024</v>
      </c>
    </row>
    <row r="6240" spans="1:6" x14ac:dyDescent="0.2">
      <c r="A6240" s="20">
        <v>45404</v>
      </c>
      <c r="B6240">
        <v>206.5</v>
      </c>
      <c r="E6240">
        <f t="shared" si="194"/>
        <v>4</v>
      </c>
      <c r="F6240">
        <f t="shared" si="195"/>
        <v>2024</v>
      </c>
    </row>
    <row r="6241" spans="1:6" x14ac:dyDescent="0.2">
      <c r="A6241" s="20">
        <v>45405</v>
      </c>
      <c r="B6241">
        <v>204.25</v>
      </c>
      <c r="E6241">
        <f t="shared" si="194"/>
        <v>4</v>
      </c>
      <c r="F6241">
        <f t="shared" si="195"/>
        <v>2024</v>
      </c>
    </row>
    <row r="6242" spans="1:6" x14ac:dyDescent="0.2">
      <c r="A6242" s="20">
        <v>45406</v>
      </c>
      <c r="B6242">
        <v>210.5</v>
      </c>
      <c r="E6242">
        <f t="shared" si="194"/>
        <v>4</v>
      </c>
      <c r="F6242">
        <f t="shared" si="195"/>
        <v>2024</v>
      </c>
    </row>
    <row r="6243" spans="1:6" x14ac:dyDescent="0.2">
      <c r="A6243" s="20">
        <v>45407</v>
      </c>
      <c r="B6243">
        <v>207.5</v>
      </c>
      <c r="E6243">
        <f t="shared" si="194"/>
        <v>4</v>
      </c>
      <c r="F6243">
        <f t="shared" si="195"/>
        <v>2024</v>
      </c>
    </row>
    <row r="6244" spans="1:6" x14ac:dyDescent="0.2">
      <c r="A6244" s="20">
        <v>45408</v>
      </c>
      <c r="B6244">
        <v>208.5</v>
      </c>
      <c r="E6244">
        <f t="shared" si="194"/>
        <v>4</v>
      </c>
      <c r="F6244">
        <f t="shared" si="195"/>
        <v>2024</v>
      </c>
    </row>
    <row r="6245" spans="1:6" x14ac:dyDescent="0.2">
      <c r="A6245" s="20">
        <v>45411</v>
      </c>
      <c r="B6245">
        <v>204</v>
      </c>
      <c r="E6245">
        <f t="shared" si="194"/>
        <v>4</v>
      </c>
      <c r="F6245">
        <f t="shared" si="195"/>
        <v>2024</v>
      </c>
    </row>
    <row r="6246" spans="1:6" x14ac:dyDescent="0.2">
      <c r="A6246" s="20">
        <v>45412</v>
      </c>
      <c r="B6246">
        <v>201</v>
      </c>
      <c r="E6246">
        <f t="shared" si="194"/>
        <v>4</v>
      </c>
      <c r="F6246">
        <f t="shared" si="195"/>
        <v>2024</v>
      </c>
    </row>
    <row r="6247" spans="1:6" x14ac:dyDescent="0.2">
      <c r="A6247" s="20">
        <v>45414</v>
      </c>
      <c r="B6247">
        <v>199</v>
      </c>
      <c r="E6247">
        <f t="shared" si="194"/>
        <v>5</v>
      </c>
      <c r="F6247">
        <f t="shared" si="195"/>
        <v>2024</v>
      </c>
    </row>
    <row r="6248" spans="1:6" x14ac:dyDescent="0.2">
      <c r="A6248" s="20">
        <v>45415</v>
      </c>
      <c r="B6248">
        <v>202</v>
      </c>
      <c r="E6248">
        <f t="shared" si="194"/>
        <v>5</v>
      </c>
      <c r="F6248">
        <f t="shared" si="195"/>
        <v>2024</v>
      </c>
    </row>
    <row r="6249" spans="1:6" x14ac:dyDescent="0.2">
      <c r="A6249" s="20">
        <v>45418</v>
      </c>
      <c r="B6249">
        <v>209.25</v>
      </c>
      <c r="E6249">
        <f t="shared" si="194"/>
        <v>5</v>
      </c>
      <c r="F6249">
        <f t="shared" si="195"/>
        <v>2024</v>
      </c>
    </row>
    <row r="6250" spans="1:6" x14ac:dyDescent="0.2">
      <c r="A6250" s="20">
        <v>45419</v>
      </c>
      <c r="B6250">
        <v>209.25</v>
      </c>
      <c r="E6250">
        <f t="shared" si="194"/>
        <v>5</v>
      </c>
      <c r="F6250">
        <f t="shared" si="195"/>
        <v>2024</v>
      </c>
    </row>
    <row r="6251" spans="1:6" x14ac:dyDescent="0.2">
      <c r="A6251" s="20">
        <v>45420</v>
      </c>
      <c r="B6251">
        <v>204</v>
      </c>
      <c r="E6251">
        <f t="shared" si="194"/>
        <v>5</v>
      </c>
      <c r="F6251">
        <f t="shared" si="195"/>
        <v>2024</v>
      </c>
    </row>
    <row r="6252" spans="1:6" x14ac:dyDescent="0.2">
      <c r="A6252" s="20">
        <v>45421</v>
      </c>
      <c r="B6252">
        <v>202.75</v>
      </c>
      <c r="E6252">
        <f t="shared" si="194"/>
        <v>5</v>
      </c>
      <c r="F6252">
        <f t="shared" si="195"/>
        <v>2024</v>
      </c>
    </row>
    <row r="6253" spans="1:6" x14ac:dyDescent="0.2">
      <c r="A6253" s="20">
        <v>45422</v>
      </c>
      <c r="B6253">
        <v>207.75</v>
      </c>
      <c r="E6253">
        <f t="shared" si="194"/>
        <v>5</v>
      </c>
      <c r="F6253">
        <f t="shared" si="195"/>
        <v>2024</v>
      </c>
    </row>
    <row r="6254" spans="1:6" x14ac:dyDescent="0.2">
      <c r="A6254" s="20">
        <v>45425</v>
      </c>
      <c r="B6254">
        <v>213</v>
      </c>
      <c r="E6254">
        <f t="shared" si="194"/>
        <v>5</v>
      </c>
      <c r="F6254">
        <f t="shared" si="195"/>
        <v>2024</v>
      </c>
    </row>
    <row r="6255" spans="1:6" x14ac:dyDescent="0.2">
      <c r="A6255" s="20">
        <v>45426</v>
      </c>
      <c r="B6255">
        <v>210.25</v>
      </c>
      <c r="E6255">
        <f t="shared" si="194"/>
        <v>5</v>
      </c>
      <c r="F6255">
        <f t="shared" si="195"/>
        <v>2024</v>
      </c>
    </row>
    <row r="6256" spans="1:6" x14ac:dyDescent="0.2">
      <c r="A6256" s="20">
        <v>45427</v>
      </c>
      <c r="B6256">
        <v>213.25</v>
      </c>
      <c r="E6256">
        <f t="shared" si="194"/>
        <v>5</v>
      </c>
      <c r="F6256">
        <f t="shared" si="195"/>
        <v>2024</v>
      </c>
    </row>
    <row r="6257" spans="1:6" x14ac:dyDescent="0.2">
      <c r="A6257" s="20">
        <v>45428</v>
      </c>
      <c r="B6257">
        <v>213.5</v>
      </c>
      <c r="E6257">
        <f t="shared" si="194"/>
        <v>5</v>
      </c>
      <c r="F6257">
        <f t="shared" si="195"/>
        <v>2024</v>
      </c>
    </row>
    <row r="6258" spans="1:6" x14ac:dyDescent="0.2">
      <c r="A6258" s="20">
        <v>45429</v>
      </c>
      <c r="B6258">
        <v>213.5</v>
      </c>
      <c r="E6258">
        <f t="shared" si="194"/>
        <v>5</v>
      </c>
      <c r="F6258">
        <f t="shared" si="195"/>
        <v>2024</v>
      </c>
    </row>
    <row r="6259" spans="1:6" x14ac:dyDescent="0.2">
      <c r="A6259" s="20">
        <v>45432</v>
      </c>
      <c r="B6259">
        <v>224.25</v>
      </c>
      <c r="E6259">
        <f t="shared" si="194"/>
        <v>5</v>
      </c>
      <c r="F6259">
        <f t="shared" si="195"/>
        <v>2024</v>
      </c>
    </row>
    <row r="6260" spans="1:6" x14ac:dyDescent="0.2">
      <c r="A6260" s="20">
        <v>45433</v>
      </c>
      <c r="B6260">
        <v>221.75</v>
      </c>
      <c r="E6260">
        <f t="shared" si="194"/>
        <v>5</v>
      </c>
      <c r="F6260">
        <f t="shared" si="195"/>
        <v>2024</v>
      </c>
    </row>
    <row r="6261" spans="1:6" x14ac:dyDescent="0.2">
      <c r="A6261" s="20">
        <v>45434</v>
      </c>
      <c r="B6261">
        <v>218</v>
      </c>
      <c r="E6261">
        <f t="shared" si="194"/>
        <v>5</v>
      </c>
      <c r="F6261">
        <f t="shared" si="195"/>
        <v>2024</v>
      </c>
    </row>
    <row r="6262" spans="1:6" x14ac:dyDescent="0.2">
      <c r="A6262" s="20">
        <v>45435</v>
      </c>
      <c r="B6262">
        <v>211.75</v>
      </c>
      <c r="E6262">
        <f t="shared" si="194"/>
        <v>5</v>
      </c>
      <c r="F6262">
        <f t="shared" si="195"/>
        <v>2024</v>
      </c>
    </row>
    <row r="6263" spans="1:6" x14ac:dyDescent="0.2">
      <c r="A6263" s="20">
        <v>45436</v>
      </c>
      <c r="B6263">
        <v>212.5</v>
      </c>
      <c r="E6263">
        <f t="shared" si="194"/>
        <v>5</v>
      </c>
      <c r="F6263">
        <f t="shared" si="195"/>
        <v>2024</v>
      </c>
    </row>
    <row r="6264" spans="1:6" x14ac:dyDescent="0.2">
      <c r="A6264" s="20">
        <v>45439</v>
      </c>
      <c r="B6264">
        <v>218.5</v>
      </c>
      <c r="E6264">
        <f t="shared" si="194"/>
        <v>5</v>
      </c>
      <c r="F6264">
        <f t="shared" si="195"/>
        <v>2024</v>
      </c>
    </row>
    <row r="6265" spans="1:6" x14ac:dyDescent="0.2">
      <c r="A6265" s="20">
        <v>45440</v>
      </c>
      <c r="B6265">
        <v>214.25</v>
      </c>
      <c r="E6265">
        <f t="shared" si="194"/>
        <v>5</v>
      </c>
      <c r="F6265">
        <f t="shared" si="195"/>
        <v>2024</v>
      </c>
    </row>
    <row r="6266" spans="1:6" x14ac:dyDescent="0.2">
      <c r="A6266" s="20">
        <v>45441</v>
      </c>
      <c r="B6266">
        <v>215</v>
      </c>
      <c r="E6266">
        <f t="shared" si="194"/>
        <v>5</v>
      </c>
      <c r="F6266">
        <f t="shared" si="195"/>
        <v>2024</v>
      </c>
    </row>
    <row r="6267" spans="1:6" x14ac:dyDescent="0.2">
      <c r="A6267" s="20">
        <v>45442</v>
      </c>
      <c r="B6267">
        <v>223.5</v>
      </c>
      <c r="E6267">
        <f t="shared" si="194"/>
        <v>5</v>
      </c>
      <c r="F6267">
        <f t="shared" si="195"/>
        <v>2024</v>
      </c>
    </row>
    <row r="6268" spans="1:6" x14ac:dyDescent="0.2">
      <c r="A6268" s="20">
        <v>45443</v>
      </c>
      <c r="B6268">
        <v>224</v>
      </c>
      <c r="E6268">
        <f t="shared" si="194"/>
        <v>5</v>
      </c>
      <c r="F6268">
        <f t="shared" si="195"/>
        <v>2024</v>
      </c>
    </row>
    <row r="6269" spans="1:6" x14ac:dyDescent="0.2">
      <c r="A6269" s="20">
        <v>45446</v>
      </c>
      <c r="B6269">
        <v>227.5</v>
      </c>
      <c r="E6269">
        <f t="shared" si="194"/>
        <v>6</v>
      </c>
      <c r="F6269">
        <f t="shared" si="195"/>
        <v>2024</v>
      </c>
    </row>
    <row r="6270" spans="1:6" x14ac:dyDescent="0.2">
      <c r="A6270" s="20">
        <v>45447</v>
      </c>
      <c r="B6270">
        <v>221</v>
      </c>
      <c r="E6270">
        <f t="shared" si="194"/>
        <v>6</v>
      </c>
      <c r="F6270">
        <f t="shared" si="195"/>
        <v>2024</v>
      </c>
    </row>
    <row r="6271" spans="1:6" x14ac:dyDescent="0.2">
      <c r="A6271" s="20">
        <v>45448</v>
      </c>
      <c r="B6271">
        <v>200</v>
      </c>
      <c r="E6271">
        <f t="shared" si="194"/>
        <v>6</v>
      </c>
      <c r="F6271">
        <f t="shared" si="195"/>
        <v>2024</v>
      </c>
    </row>
    <row r="6272" spans="1:6" x14ac:dyDescent="0.2">
      <c r="A6272" s="20">
        <v>45449</v>
      </c>
      <c r="B6272">
        <v>222.75</v>
      </c>
      <c r="E6272">
        <f t="shared" si="194"/>
        <v>6</v>
      </c>
      <c r="F6272">
        <f t="shared" si="195"/>
        <v>2024</v>
      </c>
    </row>
    <row r="6273" spans="1:6" x14ac:dyDescent="0.2">
      <c r="A6273" s="20">
        <v>45450</v>
      </c>
      <c r="B6273">
        <v>220</v>
      </c>
      <c r="E6273">
        <f t="shared" si="194"/>
        <v>6</v>
      </c>
      <c r="F6273">
        <f t="shared" si="195"/>
        <v>2024</v>
      </c>
    </row>
    <row r="6274" spans="1:6" x14ac:dyDescent="0.2">
      <c r="A6274" s="20">
        <v>45453</v>
      </c>
      <c r="B6274">
        <v>217</v>
      </c>
      <c r="E6274">
        <f t="shared" si="194"/>
        <v>6</v>
      </c>
      <c r="F6274">
        <f t="shared" si="195"/>
        <v>2024</v>
      </c>
    </row>
    <row r="6275" spans="1:6" x14ac:dyDescent="0.2">
      <c r="A6275" s="20">
        <v>45454</v>
      </c>
      <c r="B6275">
        <v>218</v>
      </c>
      <c r="E6275">
        <f t="shared" ref="E6275:E6338" si="196">MONTH(A6275)</f>
        <v>6</v>
      </c>
      <c r="F6275">
        <f t="shared" ref="F6275:F6338" si="197">YEAR(A6275)</f>
        <v>2024</v>
      </c>
    </row>
    <row r="6276" spans="1:6" x14ac:dyDescent="0.2">
      <c r="A6276" s="20">
        <v>45455</v>
      </c>
      <c r="B6276">
        <v>214.75</v>
      </c>
      <c r="E6276">
        <f t="shared" si="196"/>
        <v>6</v>
      </c>
      <c r="F6276">
        <f t="shared" si="197"/>
        <v>2024</v>
      </c>
    </row>
    <row r="6277" spans="1:6" x14ac:dyDescent="0.2">
      <c r="A6277" s="20">
        <v>45456</v>
      </c>
      <c r="B6277">
        <v>213.25</v>
      </c>
      <c r="E6277">
        <f t="shared" si="196"/>
        <v>6</v>
      </c>
      <c r="F6277">
        <f t="shared" si="197"/>
        <v>2024</v>
      </c>
    </row>
    <row r="6278" spans="1:6" x14ac:dyDescent="0.2">
      <c r="A6278" s="20">
        <v>45457</v>
      </c>
      <c r="B6278">
        <v>211.5</v>
      </c>
      <c r="E6278">
        <f t="shared" si="196"/>
        <v>6</v>
      </c>
      <c r="F6278">
        <f t="shared" si="197"/>
        <v>2024</v>
      </c>
    </row>
    <row r="6279" spans="1:6" x14ac:dyDescent="0.2">
      <c r="A6279" s="20">
        <v>45460</v>
      </c>
      <c r="B6279">
        <v>209</v>
      </c>
      <c r="E6279">
        <f t="shared" si="196"/>
        <v>6</v>
      </c>
      <c r="F6279">
        <f t="shared" si="197"/>
        <v>2024</v>
      </c>
    </row>
    <row r="6280" spans="1:6" x14ac:dyDescent="0.2">
      <c r="A6280" s="20">
        <v>45461</v>
      </c>
      <c r="B6280">
        <v>208.75</v>
      </c>
      <c r="E6280">
        <f t="shared" si="196"/>
        <v>6</v>
      </c>
      <c r="F6280">
        <f t="shared" si="197"/>
        <v>2024</v>
      </c>
    </row>
    <row r="6281" spans="1:6" x14ac:dyDescent="0.2">
      <c r="A6281" s="20">
        <v>45462</v>
      </c>
      <c r="B6281">
        <v>210</v>
      </c>
      <c r="E6281">
        <f t="shared" si="196"/>
        <v>6</v>
      </c>
      <c r="F6281">
        <f t="shared" si="197"/>
        <v>2024</v>
      </c>
    </row>
    <row r="6282" spans="1:6" x14ac:dyDescent="0.2">
      <c r="A6282" s="20">
        <v>45463</v>
      </c>
      <c r="B6282">
        <v>208</v>
      </c>
      <c r="E6282">
        <f t="shared" si="196"/>
        <v>6</v>
      </c>
      <c r="F6282">
        <f t="shared" si="197"/>
        <v>2024</v>
      </c>
    </row>
    <row r="6283" spans="1:6" x14ac:dyDescent="0.2">
      <c r="A6283" s="20">
        <v>45464</v>
      </c>
      <c r="B6283">
        <v>208.5</v>
      </c>
      <c r="E6283">
        <f t="shared" si="196"/>
        <v>6</v>
      </c>
      <c r="F6283">
        <f t="shared" si="197"/>
        <v>2024</v>
      </c>
    </row>
    <row r="6284" spans="1:6" x14ac:dyDescent="0.2">
      <c r="A6284" s="20">
        <v>45467</v>
      </c>
      <c r="B6284">
        <v>209</v>
      </c>
      <c r="E6284">
        <f t="shared" si="196"/>
        <v>6</v>
      </c>
      <c r="F6284">
        <f t="shared" si="197"/>
        <v>2024</v>
      </c>
    </row>
    <row r="6285" spans="1:6" x14ac:dyDescent="0.2">
      <c r="A6285" s="20">
        <v>45468</v>
      </c>
      <c r="B6285">
        <v>208</v>
      </c>
      <c r="E6285">
        <f t="shared" si="196"/>
        <v>6</v>
      </c>
      <c r="F6285">
        <f t="shared" si="197"/>
        <v>2024</v>
      </c>
    </row>
    <row r="6286" spans="1:6" x14ac:dyDescent="0.2">
      <c r="A6286" s="20">
        <v>45469</v>
      </c>
      <c r="B6286">
        <v>209.25</v>
      </c>
      <c r="E6286">
        <f t="shared" si="196"/>
        <v>6</v>
      </c>
      <c r="F6286">
        <f t="shared" si="197"/>
        <v>2024</v>
      </c>
    </row>
    <row r="6287" spans="1:6" x14ac:dyDescent="0.2">
      <c r="A6287" s="20">
        <v>45470</v>
      </c>
      <c r="B6287">
        <v>211</v>
      </c>
      <c r="E6287">
        <f t="shared" si="196"/>
        <v>6</v>
      </c>
      <c r="F6287">
        <f t="shared" si="197"/>
        <v>2024</v>
      </c>
    </row>
    <row r="6288" spans="1:6" x14ac:dyDescent="0.2">
      <c r="A6288" s="20">
        <v>45471</v>
      </c>
      <c r="B6288">
        <v>207.75</v>
      </c>
      <c r="E6288">
        <f t="shared" si="196"/>
        <v>6</v>
      </c>
      <c r="F6288">
        <f t="shared" si="197"/>
        <v>2024</v>
      </c>
    </row>
    <row r="6289" spans="1:6" x14ac:dyDescent="0.2">
      <c r="A6289" s="20">
        <v>45474</v>
      </c>
      <c r="B6289">
        <v>206</v>
      </c>
      <c r="E6289">
        <f t="shared" si="196"/>
        <v>7</v>
      </c>
      <c r="F6289">
        <f t="shared" si="197"/>
        <v>2024</v>
      </c>
    </row>
    <row r="6290" spans="1:6" x14ac:dyDescent="0.2">
      <c r="A6290" s="20">
        <v>45475</v>
      </c>
      <c r="B6290">
        <v>207.5</v>
      </c>
      <c r="E6290">
        <f t="shared" si="196"/>
        <v>7</v>
      </c>
      <c r="F6290">
        <f t="shared" si="197"/>
        <v>2024</v>
      </c>
    </row>
    <row r="6291" spans="1:6" x14ac:dyDescent="0.2">
      <c r="A6291" s="20">
        <v>45476</v>
      </c>
      <c r="B6291">
        <v>204.25</v>
      </c>
      <c r="E6291">
        <f t="shared" si="196"/>
        <v>7</v>
      </c>
      <c r="F6291">
        <f t="shared" si="197"/>
        <v>2024</v>
      </c>
    </row>
    <row r="6292" spans="1:6" x14ac:dyDescent="0.2">
      <c r="A6292" s="20">
        <v>45477</v>
      </c>
      <c r="B6292">
        <v>206</v>
      </c>
      <c r="E6292">
        <f t="shared" si="196"/>
        <v>7</v>
      </c>
      <c r="F6292">
        <f t="shared" si="197"/>
        <v>2024</v>
      </c>
    </row>
    <row r="6293" spans="1:6" x14ac:dyDescent="0.2">
      <c r="A6293" s="20">
        <v>45478</v>
      </c>
      <c r="B6293">
        <v>209.75</v>
      </c>
      <c r="E6293">
        <f t="shared" si="196"/>
        <v>7</v>
      </c>
      <c r="F6293">
        <f t="shared" si="197"/>
        <v>2024</v>
      </c>
    </row>
    <row r="6294" spans="1:6" x14ac:dyDescent="0.2">
      <c r="A6294" s="20">
        <v>45481</v>
      </c>
      <c r="B6294">
        <v>207.5</v>
      </c>
      <c r="E6294">
        <f t="shared" si="196"/>
        <v>7</v>
      </c>
      <c r="F6294">
        <f t="shared" si="197"/>
        <v>2024</v>
      </c>
    </row>
    <row r="6295" spans="1:6" x14ac:dyDescent="0.2">
      <c r="A6295" s="20">
        <v>45482</v>
      </c>
      <c r="B6295">
        <v>209</v>
      </c>
      <c r="E6295">
        <f t="shared" si="196"/>
        <v>7</v>
      </c>
      <c r="F6295">
        <f t="shared" si="197"/>
        <v>2024</v>
      </c>
    </row>
    <row r="6296" spans="1:6" x14ac:dyDescent="0.2">
      <c r="A6296" s="20">
        <v>45483</v>
      </c>
      <c r="B6296">
        <v>207.25</v>
      </c>
      <c r="E6296">
        <f t="shared" si="196"/>
        <v>7</v>
      </c>
      <c r="F6296">
        <f t="shared" si="197"/>
        <v>2024</v>
      </c>
    </row>
    <row r="6297" spans="1:6" x14ac:dyDescent="0.2">
      <c r="A6297" s="20">
        <v>45484</v>
      </c>
      <c r="B6297">
        <v>211.5</v>
      </c>
      <c r="E6297">
        <f t="shared" si="196"/>
        <v>7</v>
      </c>
      <c r="F6297">
        <f t="shared" si="197"/>
        <v>2024</v>
      </c>
    </row>
    <row r="6298" spans="1:6" x14ac:dyDescent="0.2">
      <c r="A6298" s="20">
        <v>45485</v>
      </c>
      <c r="B6298">
        <v>210</v>
      </c>
      <c r="E6298">
        <f t="shared" si="196"/>
        <v>7</v>
      </c>
      <c r="F6298">
        <f t="shared" si="197"/>
        <v>2024</v>
      </c>
    </row>
    <row r="6299" spans="1:6" x14ac:dyDescent="0.2">
      <c r="A6299" s="20">
        <v>45488</v>
      </c>
      <c r="B6299">
        <v>205.75</v>
      </c>
      <c r="E6299">
        <f t="shared" si="196"/>
        <v>7</v>
      </c>
      <c r="F6299">
        <f t="shared" si="197"/>
        <v>2024</v>
      </c>
    </row>
    <row r="6300" spans="1:6" x14ac:dyDescent="0.2">
      <c r="A6300" s="20">
        <v>45489</v>
      </c>
      <c r="B6300">
        <v>207.75</v>
      </c>
      <c r="E6300">
        <f t="shared" si="196"/>
        <v>7</v>
      </c>
      <c r="F6300">
        <f t="shared" si="197"/>
        <v>2024</v>
      </c>
    </row>
    <row r="6301" spans="1:6" x14ac:dyDescent="0.2">
      <c r="A6301" s="20">
        <v>45490</v>
      </c>
      <c r="B6301">
        <v>211.75</v>
      </c>
      <c r="E6301">
        <f t="shared" si="196"/>
        <v>7</v>
      </c>
      <c r="F6301">
        <f t="shared" si="197"/>
        <v>2024</v>
      </c>
    </row>
    <row r="6302" spans="1:6" x14ac:dyDescent="0.2">
      <c r="A6302" s="20">
        <v>45491</v>
      </c>
      <c r="B6302">
        <v>211.5</v>
      </c>
      <c r="E6302">
        <f t="shared" si="196"/>
        <v>7</v>
      </c>
      <c r="F6302">
        <f t="shared" si="197"/>
        <v>2024</v>
      </c>
    </row>
    <row r="6303" spans="1:6" x14ac:dyDescent="0.2">
      <c r="A6303" s="20">
        <v>45492</v>
      </c>
      <c r="B6303">
        <v>217</v>
      </c>
      <c r="E6303">
        <f t="shared" si="196"/>
        <v>7</v>
      </c>
      <c r="F6303">
        <f t="shared" si="197"/>
        <v>2024</v>
      </c>
    </row>
    <row r="6304" spans="1:6" x14ac:dyDescent="0.2">
      <c r="A6304" s="20">
        <v>45495</v>
      </c>
      <c r="B6304">
        <v>217</v>
      </c>
      <c r="E6304">
        <f t="shared" si="196"/>
        <v>7</v>
      </c>
      <c r="F6304">
        <f t="shared" si="197"/>
        <v>2024</v>
      </c>
    </row>
    <row r="6305" spans="1:6" x14ac:dyDescent="0.2">
      <c r="A6305" s="20">
        <v>45496</v>
      </c>
      <c r="B6305">
        <v>219.25</v>
      </c>
      <c r="E6305">
        <f t="shared" si="196"/>
        <v>7</v>
      </c>
      <c r="F6305">
        <f t="shared" si="197"/>
        <v>2024</v>
      </c>
    </row>
    <row r="6306" spans="1:6" x14ac:dyDescent="0.2">
      <c r="A6306" s="20">
        <v>45497</v>
      </c>
      <c r="B6306">
        <v>218.25</v>
      </c>
      <c r="E6306">
        <f t="shared" si="196"/>
        <v>7</v>
      </c>
      <c r="F6306">
        <f t="shared" si="197"/>
        <v>2024</v>
      </c>
    </row>
    <row r="6307" spans="1:6" x14ac:dyDescent="0.2">
      <c r="A6307" s="20">
        <v>45498</v>
      </c>
      <c r="B6307">
        <v>216</v>
      </c>
      <c r="E6307">
        <f t="shared" si="196"/>
        <v>7</v>
      </c>
      <c r="F6307">
        <f t="shared" si="197"/>
        <v>2024</v>
      </c>
    </row>
    <row r="6308" spans="1:6" x14ac:dyDescent="0.2">
      <c r="A6308" s="20">
        <v>45499</v>
      </c>
      <c r="B6308">
        <v>209.5</v>
      </c>
      <c r="E6308">
        <f t="shared" si="196"/>
        <v>7</v>
      </c>
      <c r="F6308">
        <f t="shared" si="197"/>
        <v>2024</v>
      </c>
    </row>
    <row r="6309" spans="1:6" x14ac:dyDescent="0.2">
      <c r="A6309" s="20">
        <v>45502</v>
      </c>
      <c r="B6309">
        <v>208</v>
      </c>
      <c r="E6309">
        <f t="shared" si="196"/>
        <v>7</v>
      </c>
      <c r="F6309">
        <f t="shared" si="197"/>
        <v>2024</v>
      </c>
    </row>
    <row r="6310" spans="1:6" x14ac:dyDescent="0.2">
      <c r="A6310" s="20">
        <v>45503</v>
      </c>
      <c r="B6310">
        <v>204.5</v>
      </c>
      <c r="E6310">
        <f t="shared" si="196"/>
        <v>7</v>
      </c>
      <c r="F6310">
        <f t="shared" si="197"/>
        <v>2024</v>
      </c>
    </row>
    <row r="6311" spans="1:6" x14ac:dyDescent="0.2">
      <c r="A6311" s="20">
        <v>45504</v>
      </c>
      <c r="B6311">
        <v>205.25</v>
      </c>
      <c r="E6311">
        <f t="shared" si="196"/>
        <v>7</v>
      </c>
      <c r="F6311">
        <f t="shared" si="197"/>
        <v>2024</v>
      </c>
    </row>
    <row r="6312" spans="1:6" x14ac:dyDescent="0.2">
      <c r="A6312" s="20">
        <v>45505</v>
      </c>
      <c r="B6312">
        <v>205.5</v>
      </c>
      <c r="E6312">
        <f t="shared" si="196"/>
        <v>8</v>
      </c>
      <c r="F6312">
        <f t="shared" si="197"/>
        <v>2024</v>
      </c>
    </row>
    <row r="6313" spans="1:6" x14ac:dyDescent="0.2">
      <c r="A6313" s="20">
        <v>45506</v>
      </c>
      <c r="B6313">
        <v>206</v>
      </c>
      <c r="E6313">
        <f t="shared" si="196"/>
        <v>8</v>
      </c>
      <c r="F6313">
        <f t="shared" si="197"/>
        <v>2024</v>
      </c>
    </row>
    <row r="6314" spans="1:6" x14ac:dyDescent="0.2">
      <c r="A6314" s="20">
        <v>45509</v>
      </c>
      <c r="B6314">
        <v>203</v>
      </c>
      <c r="E6314">
        <f t="shared" si="196"/>
        <v>8</v>
      </c>
      <c r="F6314">
        <f t="shared" si="197"/>
        <v>2024</v>
      </c>
    </row>
    <row r="6315" spans="1:6" x14ac:dyDescent="0.2">
      <c r="A6315" s="20">
        <v>45510</v>
      </c>
      <c r="B6315">
        <v>203.25</v>
      </c>
      <c r="E6315">
        <f t="shared" si="196"/>
        <v>8</v>
      </c>
      <c r="F6315">
        <f t="shared" si="197"/>
        <v>2024</v>
      </c>
    </row>
    <row r="6316" spans="1:6" x14ac:dyDescent="0.2">
      <c r="A6316" s="20">
        <v>45511</v>
      </c>
      <c r="B6316">
        <v>203.75</v>
      </c>
      <c r="E6316">
        <f t="shared" si="196"/>
        <v>8</v>
      </c>
      <c r="F6316">
        <f t="shared" si="197"/>
        <v>2024</v>
      </c>
    </row>
    <row r="6317" spans="1:6" x14ac:dyDescent="0.2">
      <c r="A6317" s="20">
        <v>45512</v>
      </c>
      <c r="B6317">
        <v>204.25</v>
      </c>
      <c r="E6317">
        <f t="shared" si="196"/>
        <v>8</v>
      </c>
      <c r="F6317">
        <f t="shared" si="197"/>
        <v>2024</v>
      </c>
    </row>
    <row r="6318" spans="1:6" x14ac:dyDescent="0.2">
      <c r="A6318" s="20">
        <v>45513</v>
      </c>
      <c r="B6318">
        <v>203.75</v>
      </c>
      <c r="E6318">
        <f t="shared" si="196"/>
        <v>8</v>
      </c>
      <c r="F6318">
        <f t="shared" si="197"/>
        <v>2024</v>
      </c>
    </row>
    <row r="6319" spans="1:6" x14ac:dyDescent="0.2">
      <c r="A6319" s="20">
        <v>45516</v>
      </c>
      <c r="B6319">
        <v>202.75</v>
      </c>
      <c r="E6319">
        <f t="shared" si="196"/>
        <v>8</v>
      </c>
      <c r="F6319">
        <f t="shared" si="197"/>
        <v>2024</v>
      </c>
    </row>
    <row r="6320" spans="1:6" x14ac:dyDescent="0.2">
      <c r="A6320" s="20">
        <v>45496</v>
      </c>
      <c r="B6320">
        <v>219.25</v>
      </c>
      <c r="E6320">
        <f t="shared" si="196"/>
        <v>7</v>
      </c>
      <c r="F6320">
        <f t="shared" si="197"/>
        <v>2024</v>
      </c>
    </row>
    <row r="6321" spans="1:6" x14ac:dyDescent="0.2">
      <c r="A6321" s="20">
        <v>45497</v>
      </c>
      <c r="B6321">
        <v>218.25</v>
      </c>
      <c r="E6321">
        <f t="shared" si="196"/>
        <v>7</v>
      </c>
      <c r="F6321">
        <f t="shared" si="197"/>
        <v>2024</v>
      </c>
    </row>
    <row r="6322" spans="1:6" x14ac:dyDescent="0.2">
      <c r="A6322" s="20">
        <v>45498</v>
      </c>
      <c r="B6322">
        <v>216</v>
      </c>
      <c r="E6322">
        <f t="shared" si="196"/>
        <v>7</v>
      </c>
      <c r="F6322">
        <f t="shared" si="197"/>
        <v>2024</v>
      </c>
    </row>
    <row r="6323" spans="1:6" x14ac:dyDescent="0.2">
      <c r="A6323" s="20">
        <v>45499</v>
      </c>
      <c r="B6323">
        <v>209.5</v>
      </c>
      <c r="E6323">
        <f t="shared" si="196"/>
        <v>7</v>
      </c>
      <c r="F6323">
        <f t="shared" si="197"/>
        <v>2024</v>
      </c>
    </row>
    <row r="6324" spans="1:6" x14ac:dyDescent="0.2">
      <c r="A6324" s="20">
        <v>45502</v>
      </c>
      <c r="B6324">
        <v>208</v>
      </c>
      <c r="E6324">
        <f t="shared" si="196"/>
        <v>7</v>
      </c>
      <c r="F6324">
        <f t="shared" si="197"/>
        <v>2024</v>
      </c>
    </row>
    <row r="6325" spans="1:6" x14ac:dyDescent="0.2">
      <c r="A6325" s="20">
        <v>45503</v>
      </c>
      <c r="B6325">
        <v>204.5</v>
      </c>
      <c r="E6325">
        <f t="shared" si="196"/>
        <v>7</v>
      </c>
      <c r="F6325">
        <f t="shared" si="197"/>
        <v>2024</v>
      </c>
    </row>
    <row r="6326" spans="1:6" x14ac:dyDescent="0.2">
      <c r="A6326" s="20">
        <v>45504</v>
      </c>
      <c r="B6326">
        <v>205.25</v>
      </c>
      <c r="E6326">
        <f t="shared" si="196"/>
        <v>7</v>
      </c>
      <c r="F6326">
        <f t="shared" si="197"/>
        <v>2024</v>
      </c>
    </row>
    <row r="6327" spans="1:6" x14ac:dyDescent="0.2">
      <c r="A6327" s="20">
        <v>45505</v>
      </c>
      <c r="B6327">
        <v>205.5</v>
      </c>
      <c r="E6327">
        <f t="shared" si="196"/>
        <v>8</v>
      </c>
      <c r="F6327">
        <f t="shared" si="197"/>
        <v>2024</v>
      </c>
    </row>
    <row r="6328" spans="1:6" x14ac:dyDescent="0.2">
      <c r="A6328" s="20">
        <v>45506</v>
      </c>
      <c r="B6328">
        <v>206</v>
      </c>
      <c r="E6328">
        <f t="shared" si="196"/>
        <v>8</v>
      </c>
      <c r="F6328">
        <f t="shared" si="197"/>
        <v>2024</v>
      </c>
    </row>
    <row r="6329" spans="1:6" x14ac:dyDescent="0.2">
      <c r="A6329" s="20">
        <v>45509</v>
      </c>
      <c r="B6329">
        <v>203</v>
      </c>
      <c r="E6329">
        <f t="shared" si="196"/>
        <v>8</v>
      </c>
      <c r="F6329">
        <f t="shared" si="197"/>
        <v>2024</v>
      </c>
    </row>
    <row r="6330" spans="1:6" x14ac:dyDescent="0.2">
      <c r="A6330" s="20">
        <v>45510</v>
      </c>
      <c r="B6330">
        <v>203.25</v>
      </c>
      <c r="E6330">
        <f t="shared" si="196"/>
        <v>8</v>
      </c>
      <c r="F6330">
        <f t="shared" si="197"/>
        <v>2024</v>
      </c>
    </row>
    <row r="6331" spans="1:6" x14ac:dyDescent="0.2">
      <c r="A6331" s="20">
        <v>45511</v>
      </c>
      <c r="B6331">
        <v>203.75</v>
      </c>
      <c r="E6331">
        <f t="shared" si="196"/>
        <v>8</v>
      </c>
      <c r="F6331">
        <f t="shared" si="197"/>
        <v>2024</v>
      </c>
    </row>
    <row r="6332" spans="1:6" x14ac:dyDescent="0.2">
      <c r="A6332" s="20">
        <v>45512</v>
      </c>
      <c r="B6332">
        <v>204.25</v>
      </c>
      <c r="E6332">
        <f t="shared" si="196"/>
        <v>8</v>
      </c>
      <c r="F6332">
        <f t="shared" si="197"/>
        <v>2024</v>
      </c>
    </row>
    <row r="6333" spans="1:6" x14ac:dyDescent="0.2">
      <c r="A6333" s="20">
        <v>45513</v>
      </c>
      <c r="B6333">
        <v>203.75</v>
      </c>
      <c r="E6333">
        <f t="shared" si="196"/>
        <v>8</v>
      </c>
      <c r="F6333">
        <f t="shared" si="197"/>
        <v>2024</v>
      </c>
    </row>
    <row r="6334" spans="1:6" x14ac:dyDescent="0.2">
      <c r="A6334" s="20">
        <v>45516</v>
      </c>
      <c r="B6334">
        <v>202.75</v>
      </c>
      <c r="E6334">
        <f t="shared" si="196"/>
        <v>8</v>
      </c>
      <c r="F6334">
        <f t="shared" si="197"/>
        <v>2024</v>
      </c>
    </row>
    <row r="6335" spans="1:6" x14ac:dyDescent="0.2">
      <c r="A6335" s="20">
        <v>45517</v>
      </c>
      <c r="B6335">
        <v>201.5</v>
      </c>
      <c r="E6335">
        <f t="shared" si="196"/>
        <v>8</v>
      </c>
      <c r="F6335">
        <f t="shared" si="197"/>
        <v>2024</v>
      </c>
    </row>
    <row r="6336" spans="1:6" x14ac:dyDescent="0.2">
      <c r="A6336" s="20">
        <v>45518</v>
      </c>
      <c r="B6336">
        <v>198.75</v>
      </c>
      <c r="E6336">
        <f t="shared" si="196"/>
        <v>8</v>
      </c>
      <c r="F6336">
        <f t="shared" si="197"/>
        <v>2024</v>
      </c>
    </row>
    <row r="6337" spans="1:6" x14ac:dyDescent="0.2">
      <c r="A6337" s="20">
        <v>45519</v>
      </c>
      <c r="B6337">
        <v>196.75</v>
      </c>
      <c r="E6337">
        <f t="shared" si="196"/>
        <v>8</v>
      </c>
      <c r="F6337">
        <f t="shared" si="197"/>
        <v>2024</v>
      </c>
    </row>
    <row r="6338" spans="1:6" x14ac:dyDescent="0.2">
      <c r="A6338" s="20">
        <v>45520</v>
      </c>
      <c r="B6338">
        <v>195.5</v>
      </c>
      <c r="E6338">
        <f t="shared" si="196"/>
        <v>8</v>
      </c>
      <c r="F6338">
        <f t="shared" si="197"/>
        <v>2024</v>
      </c>
    </row>
    <row r="6339" spans="1:6" x14ac:dyDescent="0.2">
      <c r="A6339" s="20">
        <v>45523</v>
      </c>
      <c r="B6339">
        <v>194.75</v>
      </c>
      <c r="E6339">
        <f t="shared" ref="E6339:E6383" si="198">MONTH(A6339)</f>
        <v>8</v>
      </c>
      <c r="F6339">
        <f t="shared" ref="F6339:F6383" si="199">YEAR(A6339)</f>
        <v>2024</v>
      </c>
    </row>
    <row r="6340" spans="1:6" x14ac:dyDescent="0.2">
      <c r="A6340" s="20">
        <v>45524</v>
      </c>
      <c r="B6340">
        <v>196.5</v>
      </c>
      <c r="E6340">
        <f t="shared" si="198"/>
        <v>8</v>
      </c>
      <c r="F6340">
        <f t="shared" si="199"/>
        <v>2024</v>
      </c>
    </row>
    <row r="6341" spans="1:6" x14ac:dyDescent="0.2">
      <c r="A6341" s="20">
        <v>45525</v>
      </c>
      <c r="B6341">
        <v>194.25</v>
      </c>
      <c r="E6341">
        <f t="shared" si="198"/>
        <v>8</v>
      </c>
      <c r="F6341">
        <f t="shared" si="199"/>
        <v>2024</v>
      </c>
    </row>
    <row r="6342" spans="1:6" x14ac:dyDescent="0.2">
      <c r="A6342" s="20">
        <v>45526</v>
      </c>
      <c r="B6342">
        <v>194</v>
      </c>
      <c r="E6342">
        <f t="shared" si="198"/>
        <v>8</v>
      </c>
      <c r="F6342">
        <f t="shared" si="199"/>
        <v>2024</v>
      </c>
    </row>
    <row r="6343" spans="1:6" x14ac:dyDescent="0.2">
      <c r="A6343" s="20">
        <v>45527</v>
      </c>
      <c r="B6343">
        <v>191.25</v>
      </c>
      <c r="E6343">
        <f t="shared" si="198"/>
        <v>8</v>
      </c>
      <c r="F6343">
        <f t="shared" si="199"/>
        <v>2024</v>
      </c>
    </row>
    <row r="6344" spans="1:6" x14ac:dyDescent="0.2">
      <c r="A6344" s="20">
        <v>45530</v>
      </c>
      <c r="B6344">
        <v>189</v>
      </c>
      <c r="E6344">
        <f t="shared" si="198"/>
        <v>8</v>
      </c>
      <c r="F6344">
        <f t="shared" si="199"/>
        <v>2024</v>
      </c>
    </row>
    <row r="6345" spans="1:6" x14ac:dyDescent="0.2">
      <c r="A6345" s="20">
        <v>45531</v>
      </c>
      <c r="B6345">
        <v>192</v>
      </c>
      <c r="E6345">
        <f t="shared" si="198"/>
        <v>8</v>
      </c>
      <c r="F6345">
        <f t="shared" si="199"/>
        <v>2024</v>
      </c>
    </row>
    <row r="6346" spans="1:6" x14ac:dyDescent="0.2">
      <c r="A6346" s="20">
        <v>45532</v>
      </c>
      <c r="B6346">
        <v>196.25</v>
      </c>
      <c r="E6346">
        <f t="shared" si="198"/>
        <v>8</v>
      </c>
      <c r="F6346">
        <f t="shared" si="199"/>
        <v>2024</v>
      </c>
    </row>
    <row r="6347" spans="1:6" x14ac:dyDescent="0.2">
      <c r="A6347" s="20">
        <v>45533</v>
      </c>
      <c r="B6347">
        <v>198.25</v>
      </c>
      <c r="E6347">
        <f t="shared" si="198"/>
        <v>8</v>
      </c>
      <c r="F6347">
        <f t="shared" si="199"/>
        <v>2024</v>
      </c>
    </row>
    <row r="6348" spans="1:6" x14ac:dyDescent="0.2">
      <c r="A6348" s="20">
        <v>45534</v>
      </c>
      <c r="B6348">
        <v>199.25</v>
      </c>
      <c r="E6348">
        <f t="shared" si="198"/>
        <v>8</v>
      </c>
      <c r="F6348">
        <f t="shared" si="199"/>
        <v>2024</v>
      </c>
    </row>
    <row r="6349" spans="1:6" x14ac:dyDescent="0.2">
      <c r="A6349" s="20">
        <v>45537</v>
      </c>
      <c r="B6349">
        <v>200.75</v>
      </c>
      <c r="E6349">
        <f t="shared" si="198"/>
        <v>9</v>
      </c>
      <c r="F6349">
        <f t="shared" si="199"/>
        <v>2024</v>
      </c>
    </row>
    <row r="6350" spans="1:6" x14ac:dyDescent="0.2">
      <c r="A6350" s="20">
        <v>45538</v>
      </c>
      <c r="B6350">
        <v>202.25</v>
      </c>
      <c r="E6350">
        <f t="shared" si="198"/>
        <v>9</v>
      </c>
      <c r="F6350">
        <f t="shared" si="199"/>
        <v>2024</v>
      </c>
    </row>
    <row r="6351" spans="1:6" x14ac:dyDescent="0.2">
      <c r="A6351" s="20">
        <v>45539</v>
      </c>
      <c r="B6351">
        <v>203.75</v>
      </c>
      <c r="E6351">
        <f t="shared" si="198"/>
        <v>9</v>
      </c>
      <c r="F6351">
        <f t="shared" si="199"/>
        <v>2024</v>
      </c>
    </row>
    <row r="6352" spans="1:6" x14ac:dyDescent="0.2">
      <c r="A6352" s="20">
        <v>45540</v>
      </c>
      <c r="B6352">
        <v>202.75</v>
      </c>
      <c r="E6352">
        <f t="shared" si="198"/>
        <v>9</v>
      </c>
      <c r="F6352">
        <f t="shared" si="199"/>
        <v>2024</v>
      </c>
    </row>
    <row r="6353" spans="1:6" x14ac:dyDescent="0.2">
      <c r="A6353" s="20">
        <v>45541</v>
      </c>
      <c r="B6353">
        <v>202</v>
      </c>
      <c r="E6353">
        <f t="shared" si="198"/>
        <v>9</v>
      </c>
      <c r="F6353">
        <f t="shared" si="199"/>
        <v>2024</v>
      </c>
    </row>
    <row r="6354" spans="1:6" x14ac:dyDescent="0.2">
      <c r="A6354" s="20">
        <v>45544</v>
      </c>
      <c r="B6354">
        <v>200.5</v>
      </c>
      <c r="E6354">
        <f t="shared" si="198"/>
        <v>9</v>
      </c>
      <c r="F6354">
        <f t="shared" si="199"/>
        <v>2024</v>
      </c>
    </row>
    <row r="6355" spans="1:6" x14ac:dyDescent="0.2">
      <c r="A6355" s="20">
        <v>45545</v>
      </c>
      <c r="B6355">
        <v>200</v>
      </c>
      <c r="E6355">
        <f t="shared" si="198"/>
        <v>9</v>
      </c>
      <c r="F6355">
        <f t="shared" si="199"/>
        <v>2024</v>
      </c>
    </row>
    <row r="6356" spans="1:6" x14ac:dyDescent="0.2">
      <c r="A6356" s="20">
        <v>45546</v>
      </c>
      <c r="B6356">
        <v>202.75</v>
      </c>
      <c r="E6356">
        <f t="shared" si="198"/>
        <v>9</v>
      </c>
      <c r="F6356">
        <f t="shared" si="199"/>
        <v>2024</v>
      </c>
    </row>
    <row r="6357" spans="1:6" x14ac:dyDescent="0.2">
      <c r="A6357" s="20">
        <v>45547</v>
      </c>
      <c r="B6357">
        <v>203.75</v>
      </c>
      <c r="E6357">
        <f t="shared" si="198"/>
        <v>9</v>
      </c>
      <c r="F6357">
        <f t="shared" si="199"/>
        <v>2024</v>
      </c>
    </row>
    <row r="6358" spans="1:6" x14ac:dyDescent="0.2">
      <c r="A6358" s="20">
        <v>45548</v>
      </c>
      <c r="B6358">
        <v>205.5</v>
      </c>
      <c r="E6358">
        <f t="shared" si="198"/>
        <v>9</v>
      </c>
      <c r="F6358">
        <f t="shared" si="199"/>
        <v>2024</v>
      </c>
    </row>
    <row r="6359" spans="1:6" x14ac:dyDescent="0.2">
      <c r="A6359" s="20">
        <v>45551</v>
      </c>
      <c r="B6359">
        <v>203</v>
      </c>
      <c r="E6359">
        <f t="shared" si="198"/>
        <v>9</v>
      </c>
      <c r="F6359">
        <f t="shared" si="199"/>
        <v>2024</v>
      </c>
    </row>
    <row r="6360" spans="1:6" x14ac:dyDescent="0.2">
      <c r="A6360" s="20">
        <v>45552</v>
      </c>
      <c r="B6360">
        <v>202.5</v>
      </c>
      <c r="E6360">
        <f t="shared" si="198"/>
        <v>9</v>
      </c>
      <c r="F6360">
        <f t="shared" si="199"/>
        <v>2024</v>
      </c>
    </row>
    <row r="6361" spans="1:6" x14ac:dyDescent="0.2">
      <c r="A6361" s="20">
        <v>45553</v>
      </c>
      <c r="B6361">
        <v>202</v>
      </c>
      <c r="E6361">
        <f t="shared" si="198"/>
        <v>9</v>
      </c>
      <c r="F6361">
        <f t="shared" si="199"/>
        <v>2024</v>
      </c>
    </row>
    <row r="6362" spans="1:6" x14ac:dyDescent="0.2">
      <c r="A6362" s="20">
        <v>45554</v>
      </c>
      <c r="B6362">
        <v>200.5</v>
      </c>
      <c r="E6362">
        <f t="shared" si="198"/>
        <v>9</v>
      </c>
      <c r="F6362">
        <f t="shared" si="199"/>
        <v>2024</v>
      </c>
    </row>
    <row r="6363" spans="1:6" x14ac:dyDescent="0.2">
      <c r="A6363" s="20">
        <v>45555</v>
      </c>
      <c r="B6363">
        <v>201.75</v>
      </c>
      <c r="E6363">
        <f t="shared" si="198"/>
        <v>9</v>
      </c>
      <c r="F6363">
        <f t="shared" si="199"/>
        <v>2024</v>
      </c>
    </row>
    <row r="6364" spans="1:6" x14ac:dyDescent="0.2">
      <c r="A6364" s="20">
        <v>45558</v>
      </c>
      <c r="B6364">
        <v>206</v>
      </c>
      <c r="E6364">
        <f t="shared" si="198"/>
        <v>9</v>
      </c>
      <c r="F6364">
        <f t="shared" si="199"/>
        <v>2024</v>
      </c>
    </row>
    <row r="6365" spans="1:6" x14ac:dyDescent="0.2">
      <c r="A6365" s="20">
        <v>45559</v>
      </c>
      <c r="B6365">
        <v>206.25</v>
      </c>
      <c r="E6365">
        <f t="shared" si="198"/>
        <v>9</v>
      </c>
      <c r="F6365">
        <f t="shared" si="199"/>
        <v>2024</v>
      </c>
    </row>
    <row r="6366" spans="1:6" x14ac:dyDescent="0.2">
      <c r="A6366" s="20">
        <v>45560</v>
      </c>
      <c r="B6366">
        <v>205.75</v>
      </c>
      <c r="E6366">
        <f t="shared" si="198"/>
        <v>9</v>
      </c>
      <c r="F6366">
        <f t="shared" si="199"/>
        <v>2024</v>
      </c>
    </row>
    <row r="6367" spans="1:6" x14ac:dyDescent="0.2">
      <c r="A6367" s="20">
        <v>45561</v>
      </c>
      <c r="B6367">
        <v>206.75</v>
      </c>
      <c r="E6367">
        <f t="shared" si="198"/>
        <v>9</v>
      </c>
      <c r="F6367">
        <f t="shared" si="199"/>
        <v>2024</v>
      </c>
    </row>
    <row r="6368" spans="1:6" x14ac:dyDescent="0.2">
      <c r="A6368" s="20">
        <v>45562</v>
      </c>
      <c r="B6368">
        <v>207.25</v>
      </c>
      <c r="E6368">
        <f t="shared" si="198"/>
        <v>9</v>
      </c>
      <c r="F6368">
        <f t="shared" si="199"/>
        <v>2024</v>
      </c>
    </row>
    <row r="6369" spans="1:6" x14ac:dyDescent="0.2">
      <c r="A6369" s="20">
        <v>45565</v>
      </c>
      <c r="B6369">
        <v>209.25</v>
      </c>
      <c r="E6369">
        <f t="shared" si="198"/>
        <v>9</v>
      </c>
      <c r="F6369">
        <f t="shared" si="199"/>
        <v>2024</v>
      </c>
    </row>
    <row r="6370" spans="1:6" x14ac:dyDescent="0.2">
      <c r="A6370" s="20">
        <v>45566</v>
      </c>
      <c r="B6370">
        <v>212.5</v>
      </c>
      <c r="E6370">
        <f t="shared" si="198"/>
        <v>10</v>
      </c>
      <c r="F6370">
        <f t="shared" si="199"/>
        <v>2024</v>
      </c>
    </row>
    <row r="6371" spans="1:6" x14ac:dyDescent="0.2">
      <c r="A6371" s="20">
        <v>45567</v>
      </c>
      <c r="B6371">
        <v>216.25</v>
      </c>
      <c r="E6371">
        <f t="shared" si="198"/>
        <v>10</v>
      </c>
      <c r="F6371">
        <f t="shared" si="199"/>
        <v>2024</v>
      </c>
    </row>
    <row r="6372" spans="1:6" x14ac:dyDescent="0.2">
      <c r="A6372" s="20">
        <v>45568</v>
      </c>
      <c r="B6372">
        <v>216.25</v>
      </c>
      <c r="E6372">
        <f t="shared" si="198"/>
        <v>10</v>
      </c>
      <c r="F6372">
        <f t="shared" si="199"/>
        <v>2024</v>
      </c>
    </row>
    <row r="6373" spans="1:6" x14ac:dyDescent="0.2">
      <c r="A6373" s="20">
        <v>45569</v>
      </c>
      <c r="B6373">
        <v>213.5</v>
      </c>
      <c r="E6373">
        <f t="shared" si="198"/>
        <v>10</v>
      </c>
      <c r="F6373">
        <f t="shared" si="199"/>
        <v>2024</v>
      </c>
    </row>
    <row r="6374" spans="1:6" x14ac:dyDescent="0.2">
      <c r="A6374" s="20">
        <v>45572</v>
      </c>
      <c r="B6374">
        <v>216.25</v>
      </c>
      <c r="E6374">
        <f t="shared" si="198"/>
        <v>10</v>
      </c>
      <c r="F6374">
        <f t="shared" si="199"/>
        <v>2024</v>
      </c>
    </row>
    <row r="6375" spans="1:6" x14ac:dyDescent="0.2">
      <c r="A6375" s="20">
        <v>45573</v>
      </c>
      <c r="B6375">
        <v>214</v>
      </c>
      <c r="E6375">
        <f t="shared" si="198"/>
        <v>10</v>
      </c>
      <c r="F6375">
        <f t="shared" si="199"/>
        <v>2024</v>
      </c>
    </row>
    <row r="6376" spans="1:6" x14ac:dyDescent="0.2">
      <c r="A6376" s="20">
        <v>45574</v>
      </c>
      <c r="B6376">
        <v>213.25</v>
      </c>
      <c r="E6376">
        <f t="shared" si="198"/>
        <v>10</v>
      </c>
      <c r="F6376">
        <f t="shared" si="199"/>
        <v>2024</v>
      </c>
    </row>
    <row r="6377" spans="1:6" x14ac:dyDescent="0.2">
      <c r="A6377" s="20">
        <v>45575</v>
      </c>
      <c r="B6377">
        <v>216</v>
      </c>
      <c r="E6377">
        <f t="shared" si="198"/>
        <v>10</v>
      </c>
      <c r="F6377">
        <f t="shared" si="199"/>
        <v>2024</v>
      </c>
    </row>
    <row r="6378" spans="1:6" x14ac:dyDescent="0.2">
      <c r="A6378" s="20">
        <v>45576</v>
      </c>
      <c r="B6378">
        <v>215</v>
      </c>
      <c r="E6378">
        <f t="shared" si="198"/>
        <v>10</v>
      </c>
      <c r="F6378">
        <f t="shared" si="199"/>
        <v>2024</v>
      </c>
    </row>
    <row r="6379" spans="1:6" x14ac:dyDescent="0.2">
      <c r="A6379" s="20">
        <v>45579</v>
      </c>
      <c r="B6379">
        <v>214.75</v>
      </c>
      <c r="E6379">
        <f t="shared" si="198"/>
        <v>10</v>
      </c>
      <c r="F6379">
        <f t="shared" si="199"/>
        <v>2024</v>
      </c>
    </row>
    <row r="6380" spans="1:6" x14ac:dyDescent="0.2">
      <c r="A6380" s="20">
        <v>45580</v>
      </c>
      <c r="B6380">
        <v>211.25</v>
      </c>
      <c r="E6380">
        <f t="shared" si="198"/>
        <v>10</v>
      </c>
      <c r="F6380">
        <f t="shared" si="199"/>
        <v>2024</v>
      </c>
    </row>
    <row r="6381" spans="1:6" x14ac:dyDescent="0.2">
      <c r="A6381" s="20">
        <v>45581</v>
      </c>
      <c r="B6381">
        <v>212</v>
      </c>
      <c r="E6381">
        <f t="shared" si="198"/>
        <v>10</v>
      </c>
      <c r="F6381">
        <f t="shared" si="199"/>
        <v>2024</v>
      </c>
    </row>
    <row r="6382" spans="1:6" x14ac:dyDescent="0.2">
      <c r="A6382" s="20">
        <v>45582</v>
      </c>
      <c r="B6382">
        <v>212.25</v>
      </c>
      <c r="E6382">
        <f t="shared" si="198"/>
        <v>10</v>
      </c>
      <c r="F6382">
        <f t="shared" si="199"/>
        <v>2024</v>
      </c>
    </row>
    <row r="6383" spans="1:6" x14ac:dyDescent="0.2">
      <c r="A6383" s="20">
        <v>45583</v>
      </c>
      <c r="B6383">
        <v>212.25</v>
      </c>
      <c r="E6383">
        <f t="shared" si="198"/>
        <v>10</v>
      </c>
      <c r="F6383">
        <f t="shared" si="199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BF75-C4FD-4A72-9B94-77D73B5DFEBD}">
  <dimension ref="A1:BU6382"/>
  <sheetViews>
    <sheetView zoomScale="120" zoomScaleNormal="120" workbookViewId="0">
      <pane xSplit="1" ySplit="2" topLeftCell="B662" activePane="bottomRight" state="frozen"/>
      <selection activeCell="U16" sqref="U16"/>
      <selection pane="topRight" activeCell="U16" sqref="U16"/>
      <selection pane="bottomLeft" activeCell="U16" sqref="U16"/>
      <selection pane="bottomRight" activeCell="U16" sqref="U16"/>
    </sheetView>
  </sheetViews>
  <sheetFormatPr defaultColWidth="9" defaultRowHeight="12.75" x14ac:dyDescent="0.2"/>
  <cols>
    <col min="1" max="1" width="11" bestFit="1" customWidth="1"/>
    <col min="2" max="8" width="9.33203125" bestFit="1" customWidth="1"/>
    <col min="53" max="54" width="9.33203125" bestFit="1" customWidth="1"/>
    <col min="55" max="55" width="11.83203125" style="21" bestFit="1" customWidth="1"/>
    <col min="58" max="59" width="9.33203125" bestFit="1" customWidth="1"/>
    <col min="62" max="62" width="10.6640625" style="21" bestFit="1" customWidth="1"/>
  </cols>
  <sheetData>
    <row r="1" spans="1:70" ht="15" x14ac:dyDescent="0.25">
      <c r="A1" s="7"/>
      <c r="B1" s="72" t="s">
        <v>50</v>
      </c>
      <c r="C1" s="72"/>
      <c r="D1" s="72"/>
      <c r="E1" s="72"/>
      <c r="F1" s="72"/>
      <c r="G1" s="73" t="s">
        <v>51</v>
      </c>
      <c r="H1" s="74"/>
      <c r="I1" s="74"/>
      <c r="J1" s="75"/>
      <c r="L1" s="70" t="s">
        <v>52</v>
      </c>
      <c r="M1" s="70"/>
      <c r="N1" s="70"/>
      <c r="O1" s="70"/>
      <c r="P1" s="70"/>
      <c r="R1" s="70" t="s">
        <v>53</v>
      </c>
      <c r="S1" s="70"/>
      <c r="T1" s="70"/>
      <c r="U1" s="70"/>
      <c r="V1" s="70"/>
      <c r="X1" s="70" t="s">
        <v>54</v>
      </c>
      <c r="Y1" s="70"/>
      <c r="Z1" s="70"/>
      <c r="AA1" s="70"/>
      <c r="AB1" s="70"/>
      <c r="AD1" s="70" t="s">
        <v>55</v>
      </c>
      <c r="AE1" s="70"/>
      <c r="AF1" s="70"/>
      <c r="AG1" s="70"/>
      <c r="AH1" s="70"/>
      <c r="AJ1" s="70" t="s">
        <v>56</v>
      </c>
      <c r="AK1" s="70"/>
      <c r="AL1" s="70"/>
      <c r="AM1" s="70"/>
      <c r="AN1" s="70"/>
      <c r="AP1" s="71" t="s">
        <v>57</v>
      </c>
      <c r="AQ1" s="71"/>
    </row>
    <row r="2" spans="1:70" ht="13.5" x14ac:dyDescent="0.25">
      <c r="A2" s="7" t="s">
        <v>20</v>
      </c>
      <c r="B2" s="12" t="s">
        <v>4</v>
      </c>
      <c r="C2" s="12" t="s">
        <v>3</v>
      </c>
      <c r="D2" s="12" t="s">
        <v>24</v>
      </c>
      <c r="E2" s="12" t="s">
        <v>39</v>
      </c>
      <c r="F2" s="12" t="s">
        <v>40</v>
      </c>
      <c r="G2" s="22" t="s">
        <v>58</v>
      </c>
      <c r="H2" s="23" t="s">
        <v>59</v>
      </c>
      <c r="I2" s="23" t="s">
        <v>60</v>
      </c>
      <c r="J2" s="24" t="s">
        <v>61</v>
      </c>
      <c r="L2" s="12" t="s">
        <v>4</v>
      </c>
      <c r="M2" s="12" t="s">
        <v>3</v>
      </c>
      <c r="N2" s="12" t="s">
        <v>24</v>
      </c>
      <c r="O2" s="12" t="s">
        <v>39</v>
      </c>
      <c r="P2" s="12" t="s">
        <v>40</v>
      </c>
      <c r="R2" s="12" t="s">
        <v>4</v>
      </c>
      <c r="S2" s="12" t="s">
        <v>3</v>
      </c>
      <c r="T2" s="12" t="s">
        <v>24</v>
      </c>
      <c r="U2" s="12" t="s">
        <v>39</v>
      </c>
      <c r="V2" s="12" t="s">
        <v>40</v>
      </c>
      <c r="X2" s="12" t="s">
        <v>4</v>
      </c>
      <c r="Y2" s="12" t="s">
        <v>3</v>
      </c>
      <c r="Z2" s="12" t="s">
        <v>24</v>
      </c>
      <c r="AA2" s="12" t="s">
        <v>39</v>
      </c>
      <c r="AB2" s="12" t="s">
        <v>40</v>
      </c>
      <c r="AD2" s="12" t="s">
        <v>4</v>
      </c>
      <c r="AE2" s="12" t="s">
        <v>3</v>
      </c>
      <c r="AF2" s="12" t="s">
        <v>24</v>
      </c>
      <c r="AG2" s="12" t="s">
        <v>39</v>
      </c>
      <c r="AH2" s="12" t="s">
        <v>40</v>
      </c>
      <c r="AJ2" s="12" t="s">
        <v>4</v>
      </c>
      <c r="AK2" s="12" t="s">
        <v>3</v>
      </c>
      <c r="AL2" s="12" t="s">
        <v>24</v>
      </c>
      <c r="AM2" s="12" t="s">
        <v>39</v>
      </c>
      <c r="AN2" s="12" t="s">
        <v>40</v>
      </c>
      <c r="AP2" s="71"/>
      <c r="AQ2" s="71"/>
      <c r="BA2" s="12" t="s">
        <v>20</v>
      </c>
      <c r="BB2" s="12" t="s">
        <v>42</v>
      </c>
      <c r="BC2" s="21" t="e" vm="1">
        <f t="array" ref="BC2:BD6382">[3]!'AFB@C[INTERVAL:DAILY,COMPRESSION:1,FILTER:USA,SORT:ASC,NDATE:10/11/2026,FDATE:1/1/2000,VERSION:1]?DATE,CLOSE'</f>
        <v>#REF!</v>
      </c>
      <c r="BD2" t="e" vm="1">
        <v>#REF!</v>
      </c>
      <c r="BF2" t="e" vm="2">
        <f>MONTH(BC2)</f>
        <v>#VALUE!</v>
      </c>
      <c r="BG2" t="e" vm="2">
        <f>YEAR(BC2)</f>
        <v>#VALUE!</v>
      </c>
    </row>
    <row r="3" spans="1:70" x14ac:dyDescent="0.2">
      <c r="BC3" s="21" t="e" vm="1">
        <v>#REF!</v>
      </c>
      <c r="BD3" t="e" vm="1">
        <v>#REF!</v>
      </c>
      <c r="BF3" t="e" vm="2">
        <f t="shared" ref="BF3:BF66" si="0">MONTH(BC3)</f>
        <v>#VALUE!</v>
      </c>
      <c r="BG3" t="e" vm="2">
        <f t="shared" ref="BG3:BG66" si="1">YEAR(BC3)</f>
        <v>#VALUE!</v>
      </c>
      <c r="BJ3" s="21" t="e" vm="1">
        <f t="array" ref="BJ3:BK3584">[3]!'@CD@C[INTERVAL:DAILY,COMPRESSION:1,FILTER:USA,SORT:ASC,NDATE:10/11/2024,FDATE:1/1/2016,VERSION:1]?DATE,CLOSE'</f>
        <v>#REF!</v>
      </c>
      <c r="BK3" t="e" vm="1">
        <v>#REF!</v>
      </c>
      <c r="BM3" t="e" vm="2">
        <f>MONTH(BJ3)</f>
        <v>#VALUE!</v>
      </c>
      <c r="BN3" t="e" vm="2">
        <f>YEAR(BJ3)</f>
        <v>#VALUE!</v>
      </c>
      <c r="BR3" t="s">
        <v>62</v>
      </c>
    </row>
    <row r="4" spans="1:70" x14ac:dyDescent="0.2">
      <c r="A4" s="21">
        <f>Prices!A3</f>
        <v>25812</v>
      </c>
      <c r="BC4" s="21" t="e" vm="1">
        <v>#REF!</v>
      </c>
      <c r="BD4" t="e" vm="1">
        <v>#REF!</v>
      </c>
      <c r="BF4" t="e" vm="2">
        <f t="shared" si="0"/>
        <v>#VALUE!</v>
      </c>
      <c r="BG4" t="e" vm="2">
        <f t="shared" si="1"/>
        <v>#VALUE!</v>
      </c>
      <c r="BJ4" s="21" t="e" vm="1">
        <v>#REF!</v>
      </c>
      <c r="BK4" t="e" vm="1">
        <v>#REF!</v>
      </c>
      <c r="BM4" t="e" vm="2">
        <f t="shared" ref="BM4:BM67" si="2">MONTH(BJ4)</f>
        <v>#VALUE!</v>
      </c>
      <c r="BN4" t="e" vm="2">
        <f t="shared" ref="BN4:BN67" si="3">YEAR(BJ4)</f>
        <v>#VALUE!</v>
      </c>
    </row>
    <row r="5" spans="1:70" x14ac:dyDescent="0.2">
      <c r="A5" s="21">
        <f>Prices!A4</f>
        <v>25842</v>
      </c>
      <c r="BC5" s="21" t="e" vm="1">
        <v>#REF!</v>
      </c>
      <c r="BD5" t="e" vm="1">
        <v>#REF!</v>
      </c>
      <c r="BF5" t="e" vm="2">
        <f t="shared" si="0"/>
        <v>#VALUE!</v>
      </c>
      <c r="BG5" t="e" vm="2">
        <f t="shared" si="1"/>
        <v>#VALUE!</v>
      </c>
      <c r="BJ5" s="21" t="e" vm="1">
        <v>#REF!</v>
      </c>
      <c r="BK5" t="e" vm="1">
        <v>#REF!</v>
      </c>
      <c r="BM5" t="e" vm="2">
        <f t="shared" si="2"/>
        <v>#VALUE!</v>
      </c>
      <c r="BN5" t="e" vm="2">
        <f t="shared" si="3"/>
        <v>#VALUE!</v>
      </c>
    </row>
    <row r="6" spans="1:70" x14ac:dyDescent="0.2">
      <c r="A6" s="21">
        <f>Prices!A5</f>
        <v>25873</v>
      </c>
      <c r="BC6" s="21" t="e" vm="1">
        <v>#REF!</v>
      </c>
      <c r="BD6" t="e" vm="1">
        <v>#REF!</v>
      </c>
      <c r="BF6" t="e" vm="2">
        <f t="shared" si="0"/>
        <v>#VALUE!</v>
      </c>
      <c r="BG6" t="e" vm="2">
        <f t="shared" si="1"/>
        <v>#VALUE!</v>
      </c>
      <c r="BJ6" s="21" t="e" vm="1">
        <v>#REF!</v>
      </c>
      <c r="BK6" t="e" vm="1">
        <v>#REF!</v>
      </c>
      <c r="BM6" t="e" vm="2">
        <f t="shared" si="2"/>
        <v>#VALUE!</v>
      </c>
      <c r="BN6" t="e" vm="2">
        <f t="shared" si="3"/>
        <v>#VALUE!</v>
      </c>
    </row>
    <row r="7" spans="1:70" x14ac:dyDescent="0.2">
      <c r="A7" s="21">
        <f>Prices!A6</f>
        <v>25903</v>
      </c>
      <c r="BC7" s="21" t="e" vm="1">
        <v>#REF!</v>
      </c>
      <c r="BD7" t="e" vm="1">
        <v>#REF!</v>
      </c>
      <c r="BF7" t="e" vm="2">
        <f t="shared" si="0"/>
        <v>#VALUE!</v>
      </c>
      <c r="BG7" t="e" vm="2">
        <f t="shared" si="1"/>
        <v>#VALUE!</v>
      </c>
      <c r="BJ7" s="21" t="e" vm="1">
        <v>#REF!</v>
      </c>
      <c r="BK7" t="e" vm="1">
        <v>#REF!</v>
      </c>
      <c r="BM7" t="e" vm="2">
        <f t="shared" si="2"/>
        <v>#VALUE!</v>
      </c>
      <c r="BN7" t="e" vm="2">
        <f t="shared" si="3"/>
        <v>#VALUE!</v>
      </c>
    </row>
    <row r="8" spans="1:70" x14ac:dyDescent="0.2">
      <c r="A8" s="21">
        <f>Prices!A7</f>
        <v>25934</v>
      </c>
      <c r="BC8" s="21" t="e" vm="1">
        <v>#REF!</v>
      </c>
      <c r="BD8" t="e" vm="1">
        <v>#REF!</v>
      </c>
      <c r="BF8" t="e" vm="2">
        <f t="shared" si="0"/>
        <v>#VALUE!</v>
      </c>
      <c r="BG8" t="e" vm="2">
        <f t="shared" si="1"/>
        <v>#VALUE!</v>
      </c>
      <c r="BJ8" s="21" t="e" vm="1">
        <v>#REF!</v>
      </c>
      <c r="BK8" t="e" vm="1">
        <v>#REF!</v>
      </c>
      <c r="BM8" t="e" vm="2">
        <f t="shared" si="2"/>
        <v>#VALUE!</v>
      </c>
      <c r="BN8" t="e" vm="2">
        <f t="shared" si="3"/>
        <v>#VALUE!</v>
      </c>
    </row>
    <row r="9" spans="1:70" x14ac:dyDescent="0.2">
      <c r="A9" s="21">
        <f>Prices!A8</f>
        <v>25965</v>
      </c>
      <c r="BC9" s="21" t="e" vm="1">
        <v>#REF!</v>
      </c>
      <c r="BD9" t="e" vm="1">
        <v>#REF!</v>
      </c>
      <c r="BF9" t="e" vm="2">
        <f t="shared" si="0"/>
        <v>#VALUE!</v>
      </c>
      <c r="BG9" t="e" vm="2">
        <f t="shared" si="1"/>
        <v>#VALUE!</v>
      </c>
      <c r="BJ9" s="21" t="e" vm="1">
        <v>#REF!</v>
      </c>
      <c r="BK9" t="e" vm="1">
        <v>#REF!</v>
      </c>
      <c r="BM9" t="e" vm="2">
        <f t="shared" si="2"/>
        <v>#VALUE!</v>
      </c>
      <c r="BN9" t="e" vm="2">
        <f t="shared" si="3"/>
        <v>#VALUE!</v>
      </c>
    </row>
    <row r="10" spans="1:70" x14ac:dyDescent="0.2">
      <c r="A10" s="21">
        <f>Prices!A9</f>
        <v>25993</v>
      </c>
      <c r="BC10" s="21" t="e" vm="1">
        <v>#REF!</v>
      </c>
      <c r="BD10" t="e" vm="1">
        <v>#REF!</v>
      </c>
      <c r="BF10" t="e" vm="2">
        <f t="shared" si="0"/>
        <v>#VALUE!</v>
      </c>
      <c r="BG10" t="e" vm="2">
        <f t="shared" si="1"/>
        <v>#VALUE!</v>
      </c>
      <c r="BJ10" s="21" t="e" vm="1">
        <v>#REF!</v>
      </c>
      <c r="BK10" t="e" vm="1">
        <v>#REF!</v>
      </c>
      <c r="BM10" t="e" vm="2">
        <f t="shared" si="2"/>
        <v>#VALUE!</v>
      </c>
      <c r="BN10" t="e" vm="2">
        <f t="shared" si="3"/>
        <v>#VALUE!</v>
      </c>
    </row>
    <row r="11" spans="1:70" x14ac:dyDescent="0.2">
      <c r="A11" s="21">
        <f>Prices!A10</f>
        <v>26024</v>
      </c>
      <c r="BC11" s="21" t="e" vm="1">
        <v>#REF!</v>
      </c>
      <c r="BD11" t="e" vm="1">
        <v>#REF!</v>
      </c>
      <c r="BF11" t="e" vm="2">
        <f t="shared" si="0"/>
        <v>#VALUE!</v>
      </c>
      <c r="BG11" t="e" vm="2">
        <f t="shared" si="1"/>
        <v>#VALUE!</v>
      </c>
      <c r="BJ11" s="21" t="e" vm="1">
        <v>#REF!</v>
      </c>
      <c r="BK11" t="e" vm="1">
        <v>#REF!</v>
      </c>
      <c r="BM11" t="e" vm="2">
        <f t="shared" si="2"/>
        <v>#VALUE!</v>
      </c>
      <c r="BN11" t="e" vm="2">
        <f t="shared" si="3"/>
        <v>#VALUE!</v>
      </c>
    </row>
    <row r="12" spans="1:70" x14ac:dyDescent="0.2">
      <c r="A12" s="21">
        <f>Prices!A11</f>
        <v>26054</v>
      </c>
      <c r="BC12" s="21" t="e" vm="1">
        <v>#REF!</v>
      </c>
      <c r="BD12" t="e" vm="1">
        <v>#REF!</v>
      </c>
      <c r="BF12" t="e" vm="2">
        <f t="shared" si="0"/>
        <v>#VALUE!</v>
      </c>
      <c r="BG12" t="e" vm="2">
        <f t="shared" si="1"/>
        <v>#VALUE!</v>
      </c>
      <c r="BJ12" s="21" t="e" vm="1">
        <v>#REF!</v>
      </c>
      <c r="BK12" t="e" vm="1">
        <v>#REF!</v>
      </c>
      <c r="BM12" t="e" vm="2">
        <f t="shared" si="2"/>
        <v>#VALUE!</v>
      </c>
      <c r="BN12" t="e" vm="2">
        <f t="shared" si="3"/>
        <v>#VALUE!</v>
      </c>
    </row>
    <row r="13" spans="1:70" x14ac:dyDescent="0.2">
      <c r="A13" s="21">
        <f>Prices!A12</f>
        <v>26085</v>
      </c>
      <c r="BC13" s="21" t="e" vm="1">
        <v>#REF!</v>
      </c>
      <c r="BD13" t="e" vm="1">
        <v>#REF!</v>
      </c>
      <c r="BF13" t="e" vm="2">
        <f t="shared" si="0"/>
        <v>#VALUE!</v>
      </c>
      <c r="BG13" t="e" vm="2">
        <f t="shared" si="1"/>
        <v>#VALUE!</v>
      </c>
      <c r="BJ13" s="21" t="e" vm="1">
        <v>#REF!</v>
      </c>
      <c r="BK13" t="e" vm="1">
        <v>#REF!</v>
      </c>
      <c r="BM13" t="e" vm="2">
        <f t="shared" si="2"/>
        <v>#VALUE!</v>
      </c>
      <c r="BN13" t="e" vm="2">
        <f t="shared" si="3"/>
        <v>#VALUE!</v>
      </c>
    </row>
    <row r="14" spans="1:70" x14ac:dyDescent="0.2">
      <c r="A14" s="21">
        <f>Prices!A13</f>
        <v>26115</v>
      </c>
      <c r="BC14" s="21" t="e" vm="1">
        <v>#REF!</v>
      </c>
      <c r="BD14" t="e" vm="1">
        <v>#REF!</v>
      </c>
      <c r="BF14" t="e" vm="2">
        <f t="shared" si="0"/>
        <v>#VALUE!</v>
      </c>
      <c r="BG14" t="e" vm="2">
        <f t="shared" si="1"/>
        <v>#VALUE!</v>
      </c>
      <c r="BJ14" s="21" t="e" vm="1">
        <v>#REF!</v>
      </c>
      <c r="BK14" t="e" vm="1">
        <v>#REF!</v>
      </c>
      <c r="BM14" t="e" vm="2">
        <f t="shared" si="2"/>
        <v>#VALUE!</v>
      </c>
      <c r="BN14" t="e" vm="2">
        <f t="shared" si="3"/>
        <v>#VALUE!</v>
      </c>
    </row>
    <row r="15" spans="1:70" x14ac:dyDescent="0.2">
      <c r="A15" s="21">
        <f>Prices!A14</f>
        <v>26146</v>
      </c>
      <c r="BC15" s="21" t="e" vm="1">
        <v>#REF!</v>
      </c>
      <c r="BD15" t="e" vm="1">
        <v>#REF!</v>
      </c>
      <c r="BF15" t="e" vm="2">
        <f t="shared" si="0"/>
        <v>#VALUE!</v>
      </c>
      <c r="BG15" t="e" vm="2">
        <f t="shared" si="1"/>
        <v>#VALUE!</v>
      </c>
      <c r="BJ15" s="21" t="e" vm="1">
        <v>#REF!</v>
      </c>
      <c r="BK15" t="e" vm="1">
        <v>#REF!</v>
      </c>
      <c r="BM15" t="e" vm="2">
        <f t="shared" si="2"/>
        <v>#VALUE!</v>
      </c>
      <c r="BN15" t="e" vm="2">
        <f t="shared" si="3"/>
        <v>#VALUE!</v>
      </c>
    </row>
    <row r="16" spans="1:70" x14ac:dyDescent="0.2">
      <c r="A16" s="21">
        <f>Prices!A15</f>
        <v>26177</v>
      </c>
      <c r="BC16" s="21" t="e" vm="1">
        <v>#REF!</v>
      </c>
      <c r="BD16" t="e" vm="1">
        <v>#REF!</v>
      </c>
      <c r="BF16" t="e" vm="2">
        <f t="shared" si="0"/>
        <v>#VALUE!</v>
      </c>
      <c r="BG16" t="e" vm="2">
        <f t="shared" si="1"/>
        <v>#VALUE!</v>
      </c>
      <c r="BJ16" s="21" t="e" vm="1">
        <v>#REF!</v>
      </c>
      <c r="BK16" t="e" vm="1">
        <v>#REF!</v>
      </c>
      <c r="BM16" t="e" vm="2">
        <f t="shared" si="2"/>
        <v>#VALUE!</v>
      </c>
      <c r="BN16" t="e" vm="2">
        <f t="shared" si="3"/>
        <v>#VALUE!</v>
      </c>
    </row>
    <row r="17" spans="1:66" x14ac:dyDescent="0.2">
      <c r="A17" s="21">
        <f>Prices!A16</f>
        <v>26207</v>
      </c>
      <c r="BC17" s="21" t="e" vm="1">
        <v>#REF!</v>
      </c>
      <c r="BD17" t="e" vm="1">
        <v>#REF!</v>
      </c>
      <c r="BF17" t="e" vm="2">
        <f t="shared" si="0"/>
        <v>#VALUE!</v>
      </c>
      <c r="BG17" t="e" vm="2">
        <f t="shared" si="1"/>
        <v>#VALUE!</v>
      </c>
      <c r="BJ17" s="21" t="e" vm="1">
        <v>#REF!</v>
      </c>
      <c r="BK17" t="e" vm="1">
        <v>#REF!</v>
      </c>
      <c r="BM17" t="e" vm="2">
        <f t="shared" si="2"/>
        <v>#VALUE!</v>
      </c>
      <c r="BN17" t="e" vm="2">
        <f t="shared" si="3"/>
        <v>#VALUE!</v>
      </c>
    </row>
    <row r="18" spans="1:66" x14ac:dyDescent="0.2">
      <c r="A18" s="21">
        <f>Prices!A17</f>
        <v>26238</v>
      </c>
      <c r="BC18" s="21" t="e" vm="1">
        <v>#REF!</v>
      </c>
      <c r="BD18" t="e" vm="1">
        <v>#REF!</v>
      </c>
      <c r="BF18" t="e" vm="2">
        <f t="shared" si="0"/>
        <v>#VALUE!</v>
      </c>
      <c r="BG18" t="e" vm="2">
        <f t="shared" si="1"/>
        <v>#VALUE!</v>
      </c>
      <c r="BJ18" s="21" t="e" vm="1">
        <v>#REF!</v>
      </c>
      <c r="BK18" t="e" vm="1">
        <v>#REF!</v>
      </c>
      <c r="BM18" t="e" vm="2">
        <f t="shared" si="2"/>
        <v>#VALUE!</v>
      </c>
      <c r="BN18" t="e" vm="2">
        <f t="shared" si="3"/>
        <v>#VALUE!</v>
      </c>
    </row>
    <row r="19" spans="1:66" x14ac:dyDescent="0.2">
      <c r="A19" s="21">
        <f>Prices!A18</f>
        <v>26268</v>
      </c>
      <c r="BC19" s="21" t="e" vm="1">
        <v>#REF!</v>
      </c>
      <c r="BD19" t="e" vm="1">
        <v>#REF!</v>
      </c>
      <c r="BF19" t="e" vm="2">
        <f t="shared" si="0"/>
        <v>#VALUE!</v>
      </c>
      <c r="BG19" t="e" vm="2">
        <f t="shared" si="1"/>
        <v>#VALUE!</v>
      </c>
      <c r="BJ19" s="21" t="e" vm="1">
        <v>#REF!</v>
      </c>
      <c r="BK19" t="e" vm="1">
        <v>#REF!</v>
      </c>
      <c r="BM19" t="e" vm="2">
        <f t="shared" si="2"/>
        <v>#VALUE!</v>
      </c>
      <c r="BN19" t="e" vm="2">
        <f t="shared" si="3"/>
        <v>#VALUE!</v>
      </c>
    </row>
    <row r="20" spans="1:66" x14ac:dyDescent="0.2">
      <c r="A20" s="21">
        <f>Prices!A19</f>
        <v>26299</v>
      </c>
      <c r="BC20" s="21" t="e" vm="1">
        <v>#REF!</v>
      </c>
      <c r="BD20" t="e" vm="1">
        <v>#REF!</v>
      </c>
      <c r="BF20" t="e" vm="2">
        <f t="shared" si="0"/>
        <v>#VALUE!</v>
      </c>
      <c r="BG20" t="e" vm="2">
        <f t="shared" si="1"/>
        <v>#VALUE!</v>
      </c>
      <c r="BJ20" s="21" t="e" vm="1">
        <v>#REF!</v>
      </c>
      <c r="BK20" t="e" vm="1">
        <v>#REF!</v>
      </c>
      <c r="BM20" t="e" vm="2">
        <f t="shared" si="2"/>
        <v>#VALUE!</v>
      </c>
      <c r="BN20" t="e" vm="2">
        <f t="shared" si="3"/>
        <v>#VALUE!</v>
      </c>
    </row>
    <row r="21" spans="1:66" x14ac:dyDescent="0.2">
      <c r="A21" s="21">
        <f>Prices!A20</f>
        <v>26330</v>
      </c>
      <c r="BC21" s="21" t="e" vm="1">
        <v>#REF!</v>
      </c>
      <c r="BD21" t="e" vm="1">
        <v>#REF!</v>
      </c>
      <c r="BF21" t="e" vm="2">
        <f t="shared" si="0"/>
        <v>#VALUE!</v>
      </c>
      <c r="BG21" t="e" vm="2">
        <f t="shared" si="1"/>
        <v>#VALUE!</v>
      </c>
      <c r="BJ21" s="21" t="e" vm="1">
        <v>#REF!</v>
      </c>
      <c r="BK21" t="e" vm="1">
        <v>#REF!</v>
      </c>
      <c r="BM21" t="e" vm="2">
        <f t="shared" si="2"/>
        <v>#VALUE!</v>
      </c>
      <c r="BN21" t="e" vm="2">
        <f t="shared" si="3"/>
        <v>#VALUE!</v>
      </c>
    </row>
    <row r="22" spans="1:66" x14ac:dyDescent="0.2">
      <c r="A22" s="21">
        <f>Prices!A21</f>
        <v>26359</v>
      </c>
      <c r="BC22" s="21" t="e" vm="1">
        <v>#REF!</v>
      </c>
      <c r="BD22" t="e" vm="1">
        <v>#REF!</v>
      </c>
      <c r="BF22" t="e" vm="2">
        <f t="shared" si="0"/>
        <v>#VALUE!</v>
      </c>
      <c r="BG22" t="e" vm="2">
        <f t="shared" si="1"/>
        <v>#VALUE!</v>
      </c>
      <c r="BJ22" s="21" t="e" vm="1">
        <v>#REF!</v>
      </c>
      <c r="BK22" t="e" vm="1">
        <v>#REF!</v>
      </c>
      <c r="BM22" t="e" vm="2">
        <f t="shared" si="2"/>
        <v>#VALUE!</v>
      </c>
      <c r="BN22" t="e" vm="2">
        <f t="shared" si="3"/>
        <v>#VALUE!</v>
      </c>
    </row>
    <row r="23" spans="1:66" x14ac:dyDescent="0.2">
      <c r="A23" s="21">
        <f>Prices!A22</f>
        <v>26390</v>
      </c>
      <c r="BC23" s="21" t="e" vm="1">
        <v>#REF!</v>
      </c>
      <c r="BD23" t="e" vm="1">
        <v>#REF!</v>
      </c>
      <c r="BF23" t="e" vm="2">
        <f t="shared" si="0"/>
        <v>#VALUE!</v>
      </c>
      <c r="BG23" t="e" vm="2">
        <f t="shared" si="1"/>
        <v>#VALUE!</v>
      </c>
      <c r="BJ23" s="21" t="e" vm="1">
        <v>#REF!</v>
      </c>
      <c r="BK23" t="e" vm="1">
        <v>#REF!</v>
      </c>
      <c r="BM23" t="e" vm="2">
        <f t="shared" si="2"/>
        <v>#VALUE!</v>
      </c>
      <c r="BN23" t="e" vm="2">
        <f t="shared" si="3"/>
        <v>#VALUE!</v>
      </c>
    </row>
    <row r="24" spans="1:66" x14ac:dyDescent="0.2">
      <c r="A24" s="21">
        <f>Prices!A23</f>
        <v>26420</v>
      </c>
      <c r="BC24" s="21" t="e" vm="1">
        <v>#REF!</v>
      </c>
      <c r="BD24" t="e" vm="1">
        <v>#REF!</v>
      </c>
      <c r="BF24" t="e" vm="2">
        <f t="shared" si="0"/>
        <v>#VALUE!</v>
      </c>
      <c r="BG24" t="e" vm="2">
        <f t="shared" si="1"/>
        <v>#VALUE!</v>
      </c>
      <c r="BJ24" s="21" t="e" vm="1">
        <v>#REF!</v>
      </c>
      <c r="BK24" t="e" vm="1">
        <v>#REF!</v>
      </c>
      <c r="BM24" t="e" vm="2">
        <f t="shared" si="2"/>
        <v>#VALUE!</v>
      </c>
      <c r="BN24" t="e" vm="2">
        <f t="shared" si="3"/>
        <v>#VALUE!</v>
      </c>
    </row>
    <row r="25" spans="1:66" x14ac:dyDescent="0.2">
      <c r="A25" s="21">
        <f>Prices!A24</f>
        <v>26451</v>
      </c>
      <c r="BC25" s="21" t="e" vm="1">
        <v>#REF!</v>
      </c>
      <c r="BD25" t="e" vm="1">
        <v>#REF!</v>
      </c>
      <c r="BF25" t="e" vm="2">
        <f t="shared" si="0"/>
        <v>#VALUE!</v>
      </c>
      <c r="BG25" t="e" vm="2">
        <f t="shared" si="1"/>
        <v>#VALUE!</v>
      </c>
      <c r="BJ25" s="21" t="e" vm="1">
        <v>#REF!</v>
      </c>
      <c r="BK25" t="e" vm="1">
        <v>#REF!</v>
      </c>
      <c r="BM25" t="e" vm="2">
        <f t="shared" si="2"/>
        <v>#VALUE!</v>
      </c>
      <c r="BN25" t="e" vm="2">
        <f t="shared" si="3"/>
        <v>#VALUE!</v>
      </c>
    </row>
    <row r="26" spans="1:66" x14ac:dyDescent="0.2">
      <c r="A26" s="21">
        <f>Prices!A25</f>
        <v>26481</v>
      </c>
      <c r="BC26" s="21" t="e" vm="1">
        <v>#REF!</v>
      </c>
      <c r="BD26" t="e" vm="1">
        <v>#REF!</v>
      </c>
      <c r="BF26" t="e" vm="2">
        <f t="shared" si="0"/>
        <v>#VALUE!</v>
      </c>
      <c r="BG26" t="e" vm="2">
        <f t="shared" si="1"/>
        <v>#VALUE!</v>
      </c>
      <c r="BJ26" s="21" t="e" vm="1">
        <v>#REF!</v>
      </c>
      <c r="BK26" t="e" vm="1">
        <v>#REF!</v>
      </c>
      <c r="BM26" t="e" vm="2">
        <f t="shared" si="2"/>
        <v>#VALUE!</v>
      </c>
      <c r="BN26" t="e" vm="2">
        <f t="shared" si="3"/>
        <v>#VALUE!</v>
      </c>
    </row>
    <row r="27" spans="1:66" x14ac:dyDescent="0.2">
      <c r="A27" s="21">
        <f>Prices!A26</f>
        <v>26512</v>
      </c>
      <c r="BC27" s="21" t="e" vm="1">
        <v>#REF!</v>
      </c>
      <c r="BD27" t="e" vm="1">
        <v>#REF!</v>
      </c>
      <c r="BF27" t="e" vm="2">
        <f t="shared" si="0"/>
        <v>#VALUE!</v>
      </c>
      <c r="BG27" t="e" vm="2">
        <f t="shared" si="1"/>
        <v>#VALUE!</v>
      </c>
      <c r="BJ27" s="21" t="e" vm="1">
        <v>#REF!</v>
      </c>
      <c r="BK27" t="e" vm="1">
        <v>#REF!</v>
      </c>
      <c r="BM27" t="e" vm="2">
        <f t="shared" si="2"/>
        <v>#VALUE!</v>
      </c>
      <c r="BN27" t="e" vm="2">
        <f t="shared" si="3"/>
        <v>#VALUE!</v>
      </c>
    </row>
    <row r="28" spans="1:66" x14ac:dyDescent="0.2">
      <c r="A28" s="21">
        <f>Prices!A27</f>
        <v>26543</v>
      </c>
      <c r="BC28" s="21" t="e" vm="1">
        <v>#REF!</v>
      </c>
      <c r="BD28" t="e" vm="1">
        <v>#REF!</v>
      </c>
      <c r="BF28" t="e" vm="2">
        <f t="shared" si="0"/>
        <v>#VALUE!</v>
      </c>
      <c r="BG28" t="e" vm="2">
        <f t="shared" si="1"/>
        <v>#VALUE!</v>
      </c>
      <c r="BJ28" s="21" t="e" vm="1">
        <v>#REF!</v>
      </c>
      <c r="BK28" t="e" vm="1">
        <v>#REF!</v>
      </c>
      <c r="BM28" t="e" vm="2">
        <f t="shared" si="2"/>
        <v>#VALUE!</v>
      </c>
      <c r="BN28" t="e" vm="2">
        <f t="shared" si="3"/>
        <v>#VALUE!</v>
      </c>
    </row>
    <row r="29" spans="1:66" x14ac:dyDescent="0.2">
      <c r="A29" s="21">
        <f>Prices!A28</f>
        <v>26573</v>
      </c>
      <c r="BC29" s="21" t="e" vm="1">
        <v>#REF!</v>
      </c>
      <c r="BD29" t="e" vm="1">
        <v>#REF!</v>
      </c>
      <c r="BF29" t="e" vm="2">
        <f t="shared" si="0"/>
        <v>#VALUE!</v>
      </c>
      <c r="BG29" t="e" vm="2">
        <f t="shared" si="1"/>
        <v>#VALUE!</v>
      </c>
      <c r="BJ29" s="21" t="e" vm="1">
        <v>#REF!</v>
      </c>
      <c r="BK29" t="e" vm="1">
        <v>#REF!</v>
      </c>
      <c r="BM29" t="e" vm="2">
        <f t="shared" si="2"/>
        <v>#VALUE!</v>
      </c>
      <c r="BN29" t="e" vm="2">
        <f t="shared" si="3"/>
        <v>#VALUE!</v>
      </c>
    </row>
    <row r="30" spans="1:66" x14ac:dyDescent="0.2">
      <c r="A30" s="21">
        <f>Prices!A29</f>
        <v>26604</v>
      </c>
      <c r="BC30" s="21" t="e" vm="1">
        <v>#REF!</v>
      </c>
      <c r="BD30" t="e" vm="1">
        <v>#REF!</v>
      </c>
      <c r="BF30" t="e" vm="2">
        <f t="shared" si="0"/>
        <v>#VALUE!</v>
      </c>
      <c r="BG30" t="e" vm="2">
        <f t="shared" si="1"/>
        <v>#VALUE!</v>
      </c>
      <c r="BJ30" s="21" t="e" vm="1">
        <v>#REF!</v>
      </c>
      <c r="BK30" t="e" vm="1">
        <v>#REF!</v>
      </c>
      <c r="BM30" t="e" vm="2">
        <f t="shared" si="2"/>
        <v>#VALUE!</v>
      </c>
      <c r="BN30" t="e" vm="2">
        <f t="shared" si="3"/>
        <v>#VALUE!</v>
      </c>
    </row>
    <row r="31" spans="1:66" x14ac:dyDescent="0.2">
      <c r="A31" s="21">
        <f>Prices!A30</f>
        <v>26634</v>
      </c>
      <c r="BC31" s="21" t="e" vm="1">
        <v>#REF!</v>
      </c>
      <c r="BD31" t="e" vm="1">
        <v>#REF!</v>
      </c>
      <c r="BF31" t="e" vm="2">
        <f t="shared" si="0"/>
        <v>#VALUE!</v>
      </c>
      <c r="BG31" t="e" vm="2">
        <f t="shared" si="1"/>
        <v>#VALUE!</v>
      </c>
      <c r="BJ31" s="21" t="e" vm="1">
        <v>#REF!</v>
      </c>
      <c r="BK31" t="e" vm="1">
        <v>#REF!</v>
      </c>
      <c r="BM31" t="e" vm="2">
        <f t="shared" si="2"/>
        <v>#VALUE!</v>
      </c>
      <c r="BN31" t="e" vm="2">
        <f t="shared" si="3"/>
        <v>#VALUE!</v>
      </c>
    </row>
    <row r="32" spans="1:66" x14ac:dyDescent="0.2">
      <c r="A32" s="21">
        <f>Prices!A31</f>
        <v>26665</v>
      </c>
      <c r="BC32" s="21" t="e" vm="1">
        <v>#REF!</v>
      </c>
      <c r="BD32" t="e" vm="1">
        <v>#REF!</v>
      </c>
      <c r="BF32" t="e" vm="2">
        <f t="shared" si="0"/>
        <v>#VALUE!</v>
      </c>
      <c r="BG32" t="e" vm="2">
        <f t="shared" si="1"/>
        <v>#VALUE!</v>
      </c>
      <c r="BJ32" s="21" t="e" vm="1">
        <v>#REF!</v>
      </c>
      <c r="BK32" t="e" vm="1">
        <v>#REF!</v>
      </c>
      <c r="BM32" t="e" vm="2">
        <f t="shared" si="2"/>
        <v>#VALUE!</v>
      </c>
      <c r="BN32" t="e" vm="2">
        <f t="shared" si="3"/>
        <v>#VALUE!</v>
      </c>
    </row>
    <row r="33" spans="1:66" x14ac:dyDescent="0.2">
      <c r="A33" s="21">
        <f>Prices!A32</f>
        <v>26696</v>
      </c>
      <c r="BC33" s="21" t="e" vm="1">
        <v>#REF!</v>
      </c>
      <c r="BD33" t="e" vm="1">
        <v>#REF!</v>
      </c>
      <c r="BF33" t="e" vm="2">
        <f t="shared" si="0"/>
        <v>#VALUE!</v>
      </c>
      <c r="BG33" t="e" vm="2">
        <f t="shared" si="1"/>
        <v>#VALUE!</v>
      </c>
      <c r="BJ33" s="21" t="e" vm="1">
        <v>#REF!</v>
      </c>
      <c r="BK33" t="e" vm="1">
        <v>#REF!</v>
      </c>
      <c r="BM33" t="e" vm="2">
        <f t="shared" si="2"/>
        <v>#VALUE!</v>
      </c>
      <c r="BN33" t="e" vm="2">
        <f t="shared" si="3"/>
        <v>#VALUE!</v>
      </c>
    </row>
    <row r="34" spans="1:66" x14ac:dyDescent="0.2">
      <c r="A34" s="21">
        <f>Prices!A33</f>
        <v>26724</v>
      </c>
      <c r="BC34" s="21" t="e" vm="1">
        <v>#REF!</v>
      </c>
      <c r="BD34" t="e" vm="1">
        <v>#REF!</v>
      </c>
      <c r="BF34" t="e" vm="2">
        <f t="shared" si="0"/>
        <v>#VALUE!</v>
      </c>
      <c r="BG34" t="e" vm="2">
        <f t="shared" si="1"/>
        <v>#VALUE!</v>
      </c>
      <c r="BJ34" s="21" t="e" vm="1">
        <v>#REF!</v>
      </c>
      <c r="BK34" t="e" vm="1">
        <v>#REF!</v>
      </c>
      <c r="BM34" t="e" vm="2">
        <f t="shared" si="2"/>
        <v>#VALUE!</v>
      </c>
      <c r="BN34" t="e" vm="2">
        <f t="shared" si="3"/>
        <v>#VALUE!</v>
      </c>
    </row>
    <row r="35" spans="1:66" x14ac:dyDescent="0.2">
      <c r="A35" s="21">
        <f>Prices!A34</f>
        <v>26755</v>
      </c>
      <c r="BC35" s="21" t="e" vm="1">
        <v>#REF!</v>
      </c>
      <c r="BD35" t="e" vm="1">
        <v>#REF!</v>
      </c>
      <c r="BF35" t="e" vm="2">
        <f t="shared" si="0"/>
        <v>#VALUE!</v>
      </c>
      <c r="BG35" t="e" vm="2">
        <f t="shared" si="1"/>
        <v>#VALUE!</v>
      </c>
      <c r="BJ35" s="21" t="e" vm="1">
        <v>#REF!</v>
      </c>
      <c r="BK35" t="e" vm="1">
        <v>#REF!</v>
      </c>
      <c r="BM35" t="e" vm="2">
        <f t="shared" si="2"/>
        <v>#VALUE!</v>
      </c>
      <c r="BN35" t="e" vm="2">
        <f t="shared" si="3"/>
        <v>#VALUE!</v>
      </c>
    </row>
    <row r="36" spans="1:66" x14ac:dyDescent="0.2">
      <c r="A36" s="21">
        <f>Prices!A35</f>
        <v>26785</v>
      </c>
      <c r="BC36" s="21" t="e" vm="1">
        <v>#REF!</v>
      </c>
      <c r="BD36" t="e" vm="1">
        <v>#REF!</v>
      </c>
      <c r="BF36" t="e" vm="2">
        <f t="shared" si="0"/>
        <v>#VALUE!</v>
      </c>
      <c r="BG36" t="e" vm="2">
        <f t="shared" si="1"/>
        <v>#VALUE!</v>
      </c>
      <c r="BJ36" s="21" t="e" vm="1">
        <v>#REF!</v>
      </c>
      <c r="BK36" t="e" vm="1">
        <v>#REF!</v>
      </c>
      <c r="BM36" t="e" vm="2">
        <f t="shared" si="2"/>
        <v>#VALUE!</v>
      </c>
      <c r="BN36" t="e" vm="2">
        <f t="shared" si="3"/>
        <v>#VALUE!</v>
      </c>
    </row>
    <row r="37" spans="1:66" x14ac:dyDescent="0.2">
      <c r="A37" s="21">
        <f>Prices!A36</f>
        <v>26816</v>
      </c>
      <c r="BC37" s="21" t="e" vm="1">
        <v>#REF!</v>
      </c>
      <c r="BD37" t="e" vm="1">
        <v>#REF!</v>
      </c>
      <c r="BF37" t="e" vm="2">
        <f t="shared" si="0"/>
        <v>#VALUE!</v>
      </c>
      <c r="BG37" t="e" vm="2">
        <f t="shared" si="1"/>
        <v>#VALUE!</v>
      </c>
      <c r="BJ37" s="21" t="e" vm="1">
        <v>#REF!</v>
      </c>
      <c r="BK37" t="e" vm="1">
        <v>#REF!</v>
      </c>
      <c r="BM37" t="e" vm="2">
        <f t="shared" si="2"/>
        <v>#VALUE!</v>
      </c>
      <c r="BN37" t="e" vm="2">
        <f t="shared" si="3"/>
        <v>#VALUE!</v>
      </c>
    </row>
    <row r="38" spans="1:66" x14ac:dyDescent="0.2">
      <c r="A38" s="21">
        <f>Prices!A37</f>
        <v>26846</v>
      </c>
      <c r="BC38" s="21" t="e" vm="1">
        <v>#REF!</v>
      </c>
      <c r="BD38" t="e" vm="1">
        <v>#REF!</v>
      </c>
      <c r="BF38" t="e" vm="2">
        <f t="shared" si="0"/>
        <v>#VALUE!</v>
      </c>
      <c r="BG38" t="e" vm="2">
        <f t="shared" si="1"/>
        <v>#VALUE!</v>
      </c>
      <c r="BJ38" s="21" t="e" vm="1">
        <v>#REF!</v>
      </c>
      <c r="BK38" t="e" vm="1">
        <v>#REF!</v>
      </c>
      <c r="BM38" t="e" vm="2">
        <f t="shared" si="2"/>
        <v>#VALUE!</v>
      </c>
      <c r="BN38" t="e" vm="2">
        <f t="shared" si="3"/>
        <v>#VALUE!</v>
      </c>
    </row>
    <row r="39" spans="1:66" x14ac:dyDescent="0.2">
      <c r="A39" s="21">
        <f>Prices!A38</f>
        <v>26877</v>
      </c>
      <c r="BC39" s="21" t="e" vm="1">
        <v>#REF!</v>
      </c>
      <c r="BD39" t="e" vm="1">
        <v>#REF!</v>
      </c>
      <c r="BF39" t="e" vm="2">
        <f t="shared" si="0"/>
        <v>#VALUE!</v>
      </c>
      <c r="BG39" t="e" vm="2">
        <f t="shared" si="1"/>
        <v>#VALUE!</v>
      </c>
      <c r="BJ39" s="21" t="e" vm="1">
        <v>#REF!</v>
      </c>
      <c r="BK39" t="e" vm="1">
        <v>#REF!</v>
      </c>
      <c r="BM39" t="e" vm="2">
        <f t="shared" si="2"/>
        <v>#VALUE!</v>
      </c>
      <c r="BN39" t="e" vm="2">
        <f t="shared" si="3"/>
        <v>#VALUE!</v>
      </c>
    </row>
    <row r="40" spans="1:66" x14ac:dyDescent="0.2">
      <c r="A40" s="21">
        <f>Prices!A39</f>
        <v>26908</v>
      </c>
      <c r="BC40" s="21" t="e" vm="1">
        <v>#REF!</v>
      </c>
      <c r="BD40" t="e" vm="1">
        <v>#REF!</v>
      </c>
      <c r="BF40" t="e" vm="2">
        <f t="shared" si="0"/>
        <v>#VALUE!</v>
      </c>
      <c r="BG40" t="e" vm="2">
        <f t="shared" si="1"/>
        <v>#VALUE!</v>
      </c>
      <c r="BJ40" s="21" t="e" vm="1">
        <v>#REF!</v>
      </c>
      <c r="BK40" t="e" vm="1">
        <v>#REF!</v>
      </c>
      <c r="BM40" t="e" vm="2">
        <f t="shared" si="2"/>
        <v>#VALUE!</v>
      </c>
      <c r="BN40" t="e" vm="2">
        <f t="shared" si="3"/>
        <v>#VALUE!</v>
      </c>
    </row>
    <row r="41" spans="1:66" x14ac:dyDescent="0.2">
      <c r="A41" s="21">
        <f>Prices!A40</f>
        <v>26938</v>
      </c>
      <c r="BC41" s="21" t="e" vm="1">
        <v>#REF!</v>
      </c>
      <c r="BD41" t="e" vm="1">
        <v>#REF!</v>
      </c>
      <c r="BF41" t="e" vm="2">
        <f t="shared" si="0"/>
        <v>#VALUE!</v>
      </c>
      <c r="BG41" t="e" vm="2">
        <f t="shared" si="1"/>
        <v>#VALUE!</v>
      </c>
      <c r="BJ41" s="21" t="e" vm="1">
        <v>#REF!</v>
      </c>
      <c r="BK41" t="e" vm="1">
        <v>#REF!</v>
      </c>
      <c r="BM41" t="e" vm="2">
        <f t="shared" si="2"/>
        <v>#VALUE!</v>
      </c>
      <c r="BN41" t="e" vm="2">
        <f t="shared" si="3"/>
        <v>#VALUE!</v>
      </c>
    </row>
    <row r="42" spans="1:66" x14ac:dyDescent="0.2">
      <c r="A42" s="21">
        <f>Prices!A41</f>
        <v>26969</v>
      </c>
      <c r="BC42" s="21" t="e" vm="1">
        <v>#REF!</v>
      </c>
      <c r="BD42" t="e" vm="1">
        <v>#REF!</v>
      </c>
      <c r="BF42" t="e" vm="2">
        <f t="shared" si="0"/>
        <v>#VALUE!</v>
      </c>
      <c r="BG42" t="e" vm="2">
        <f t="shared" si="1"/>
        <v>#VALUE!</v>
      </c>
      <c r="BJ42" s="21" t="e" vm="1">
        <v>#REF!</v>
      </c>
      <c r="BK42" t="e" vm="1">
        <v>#REF!</v>
      </c>
      <c r="BM42" t="e" vm="2">
        <f t="shared" si="2"/>
        <v>#VALUE!</v>
      </c>
      <c r="BN42" t="e" vm="2">
        <f t="shared" si="3"/>
        <v>#VALUE!</v>
      </c>
    </row>
    <row r="43" spans="1:66" x14ac:dyDescent="0.2">
      <c r="A43" s="21">
        <f>Prices!A42</f>
        <v>26999</v>
      </c>
      <c r="BC43" s="21" t="e" vm="1">
        <v>#REF!</v>
      </c>
      <c r="BD43" t="e" vm="1">
        <v>#REF!</v>
      </c>
      <c r="BF43" t="e" vm="2">
        <f t="shared" si="0"/>
        <v>#VALUE!</v>
      </c>
      <c r="BG43" t="e" vm="2">
        <f t="shared" si="1"/>
        <v>#VALUE!</v>
      </c>
      <c r="BJ43" s="21" t="e" vm="1">
        <v>#REF!</v>
      </c>
      <c r="BK43" t="e" vm="1">
        <v>#REF!</v>
      </c>
      <c r="BM43" t="e" vm="2">
        <f t="shared" si="2"/>
        <v>#VALUE!</v>
      </c>
      <c r="BN43" t="e" vm="2">
        <f t="shared" si="3"/>
        <v>#VALUE!</v>
      </c>
    </row>
    <row r="44" spans="1:66" x14ac:dyDescent="0.2">
      <c r="A44" s="21">
        <f>Prices!A43</f>
        <v>27030</v>
      </c>
      <c r="BC44" s="21" t="e" vm="1">
        <v>#REF!</v>
      </c>
      <c r="BD44" t="e" vm="1">
        <v>#REF!</v>
      </c>
      <c r="BF44" t="e" vm="2">
        <f t="shared" si="0"/>
        <v>#VALUE!</v>
      </c>
      <c r="BG44" t="e" vm="2">
        <f t="shared" si="1"/>
        <v>#VALUE!</v>
      </c>
      <c r="BJ44" s="21" t="e" vm="1">
        <v>#REF!</v>
      </c>
      <c r="BK44" t="e" vm="1">
        <v>#REF!</v>
      </c>
      <c r="BM44" t="e" vm="2">
        <f t="shared" si="2"/>
        <v>#VALUE!</v>
      </c>
      <c r="BN44" t="e" vm="2">
        <f t="shared" si="3"/>
        <v>#VALUE!</v>
      </c>
    </row>
    <row r="45" spans="1:66" x14ac:dyDescent="0.2">
      <c r="A45" s="21">
        <f>Prices!A44</f>
        <v>27061</v>
      </c>
      <c r="BC45" s="21" t="e" vm="1">
        <v>#REF!</v>
      </c>
      <c r="BD45" t="e" vm="1">
        <v>#REF!</v>
      </c>
      <c r="BF45" t="e" vm="2">
        <f t="shared" si="0"/>
        <v>#VALUE!</v>
      </c>
      <c r="BG45" t="e" vm="2">
        <f t="shared" si="1"/>
        <v>#VALUE!</v>
      </c>
      <c r="BJ45" s="21" t="e" vm="1">
        <v>#REF!</v>
      </c>
      <c r="BK45" t="e" vm="1">
        <v>#REF!</v>
      </c>
      <c r="BM45" t="e" vm="2">
        <f t="shared" si="2"/>
        <v>#VALUE!</v>
      </c>
      <c r="BN45" t="e" vm="2">
        <f t="shared" si="3"/>
        <v>#VALUE!</v>
      </c>
    </row>
    <row r="46" spans="1:66" x14ac:dyDescent="0.2">
      <c r="A46" s="21">
        <f>Prices!A45</f>
        <v>27089</v>
      </c>
      <c r="BC46" s="21" t="e" vm="1">
        <v>#REF!</v>
      </c>
      <c r="BD46" t="e" vm="1">
        <v>#REF!</v>
      </c>
      <c r="BF46" t="e" vm="2">
        <f t="shared" si="0"/>
        <v>#VALUE!</v>
      </c>
      <c r="BG46" t="e" vm="2">
        <f t="shared" si="1"/>
        <v>#VALUE!</v>
      </c>
      <c r="BJ46" s="21" t="e" vm="1">
        <v>#REF!</v>
      </c>
      <c r="BK46" t="e" vm="1">
        <v>#REF!</v>
      </c>
      <c r="BM46" t="e" vm="2">
        <f t="shared" si="2"/>
        <v>#VALUE!</v>
      </c>
      <c r="BN46" t="e" vm="2">
        <f t="shared" si="3"/>
        <v>#VALUE!</v>
      </c>
    </row>
    <row r="47" spans="1:66" x14ac:dyDescent="0.2">
      <c r="A47" s="21">
        <f>Prices!A46</f>
        <v>27120</v>
      </c>
      <c r="BC47" s="21" t="e" vm="1">
        <v>#REF!</v>
      </c>
      <c r="BD47" t="e" vm="1">
        <v>#REF!</v>
      </c>
      <c r="BF47" t="e" vm="2">
        <f t="shared" si="0"/>
        <v>#VALUE!</v>
      </c>
      <c r="BG47" t="e" vm="2">
        <f t="shared" si="1"/>
        <v>#VALUE!</v>
      </c>
      <c r="BJ47" s="21" t="e" vm="1">
        <v>#REF!</v>
      </c>
      <c r="BK47" t="e" vm="1">
        <v>#REF!</v>
      </c>
      <c r="BM47" t="e" vm="2">
        <f t="shared" si="2"/>
        <v>#VALUE!</v>
      </c>
      <c r="BN47" t="e" vm="2">
        <f t="shared" si="3"/>
        <v>#VALUE!</v>
      </c>
    </row>
    <row r="48" spans="1:66" x14ac:dyDescent="0.2">
      <c r="A48" s="21">
        <f>Prices!A47</f>
        <v>27150</v>
      </c>
      <c r="BC48" s="21" t="e" vm="1">
        <v>#REF!</v>
      </c>
      <c r="BD48" t="e" vm="1">
        <v>#REF!</v>
      </c>
      <c r="BF48" t="e" vm="2">
        <f t="shared" si="0"/>
        <v>#VALUE!</v>
      </c>
      <c r="BG48" t="e" vm="2">
        <f t="shared" si="1"/>
        <v>#VALUE!</v>
      </c>
      <c r="BJ48" s="21" t="e" vm="1">
        <v>#REF!</v>
      </c>
      <c r="BK48" t="e" vm="1">
        <v>#REF!</v>
      </c>
      <c r="BM48" t="e" vm="2">
        <f t="shared" si="2"/>
        <v>#VALUE!</v>
      </c>
      <c r="BN48" t="e" vm="2">
        <f t="shared" si="3"/>
        <v>#VALUE!</v>
      </c>
    </row>
    <row r="49" spans="1:66" x14ac:dyDescent="0.2">
      <c r="A49" s="21">
        <f>Prices!A48</f>
        <v>27181</v>
      </c>
      <c r="BC49" s="21" t="e" vm="1">
        <v>#REF!</v>
      </c>
      <c r="BD49" t="e" vm="1">
        <v>#REF!</v>
      </c>
      <c r="BF49" t="e" vm="2">
        <f t="shared" si="0"/>
        <v>#VALUE!</v>
      </c>
      <c r="BG49" t="e" vm="2">
        <f t="shared" si="1"/>
        <v>#VALUE!</v>
      </c>
      <c r="BJ49" s="21" t="e" vm="1">
        <v>#REF!</v>
      </c>
      <c r="BK49" t="e" vm="1">
        <v>#REF!</v>
      </c>
      <c r="BM49" t="e" vm="2">
        <f t="shared" si="2"/>
        <v>#VALUE!</v>
      </c>
      <c r="BN49" t="e" vm="2">
        <f t="shared" si="3"/>
        <v>#VALUE!</v>
      </c>
    </row>
    <row r="50" spans="1:66" x14ac:dyDescent="0.2">
      <c r="A50" s="21">
        <f>Prices!A49</f>
        <v>27211</v>
      </c>
      <c r="BC50" s="21" t="e" vm="1">
        <v>#REF!</v>
      </c>
      <c r="BD50" t="e" vm="1">
        <v>#REF!</v>
      </c>
      <c r="BF50" t="e" vm="2">
        <f t="shared" si="0"/>
        <v>#VALUE!</v>
      </c>
      <c r="BG50" t="e" vm="2">
        <f t="shared" si="1"/>
        <v>#VALUE!</v>
      </c>
      <c r="BJ50" s="21" t="e" vm="1">
        <v>#REF!</v>
      </c>
      <c r="BK50" t="e" vm="1">
        <v>#REF!</v>
      </c>
      <c r="BM50" t="e" vm="2">
        <f t="shared" si="2"/>
        <v>#VALUE!</v>
      </c>
      <c r="BN50" t="e" vm="2">
        <f t="shared" si="3"/>
        <v>#VALUE!</v>
      </c>
    </row>
    <row r="51" spans="1:66" x14ac:dyDescent="0.2">
      <c r="A51" s="21">
        <f>Prices!A50</f>
        <v>27242</v>
      </c>
      <c r="BC51" s="21" t="e" vm="1">
        <v>#REF!</v>
      </c>
      <c r="BD51" t="e" vm="1">
        <v>#REF!</v>
      </c>
      <c r="BF51" t="e" vm="2">
        <f t="shared" si="0"/>
        <v>#VALUE!</v>
      </c>
      <c r="BG51" t="e" vm="2">
        <f t="shared" si="1"/>
        <v>#VALUE!</v>
      </c>
      <c r="BJ51" s="21" t="e" vm="1">
        <v>#REF!</v>
      </c>
      <c r="BK51" t="e" vm="1">
        <v>#REF!</v>
      </c>
      <c r="BM51" t="e" vm="2">
        <f t="shared" si="2"/>
        <v>#VALUE!</v>
      </c>
      <c r="BN51" t="e" vm="2">
        <f t="shared" si="3"/>
        <v>#VALUE!</v>
      </c>
    </row>
    <row r="52" spans="1:66" x14ac:dyDescent="0.2">
      <c r="A52" s="21">
        <f>Prices!A51</f>
        <v>27273</v>
      </c>
      <c r="BC52" s="21" t="e" vm="1">
        <v>#REF!</v>
      </c>
      <c r="BD52" t="e" vm="1">
        <v>#REF!</v>
      </c>
      <c r="BF52" t="e" vm="2">
        <f t="shared" si="0"/>
        <v>#VALUE!</v>
      </c>
      <c r="BG52" t="e" vm="2">
        <f t="shared" si="1"/>
        <v>#VALUE!</v>
      </c>
      <c r="BJ52" s="21" t="e" vm="1">
        <v>#REF!</v>
      </c>
      <c r="BK52" t="e" vm="1">
        <v>#REF!</v>
      </c>
      <c r="BM52" t="e" vm="2">
        <f t="shared" si="2"/>
        <v>#VALUE!</v>
      </c>
      <c r="BN52" t="e" vm="2">
        <f t="shared" si="3"/>
        <v>#VALUE!</v>
      </c>
    </row>
    <row r="53" spans="1:66" x14ac:dyDescent="0.2">
      <c r="A53" s="21">
        <f>Prices!A52</f>
        <v>27303</v>
      </c>
      <c r="BC53" s="21" t="e" vm="1">
        <v>#REF!</v>
      </c>
      <c r="BD53" t="e" vm="1">
        <v>#REF!</v>
      </c>
      <c r="BF53" t="e" vm="2">
        <f t="shared" si="0"/>
        <v>#VALUE!</v>
      </c>
      <c r="BG53" t="e" vm="2">
        <f t="shared" si="1"/>
        <v>#VALUE!</v>
      </c>
      <c r="BJ53" s="21" t="e" vm="1">
        <v>#REF!</v>
      </c>
      <c r="BK53" t="e" vm="1">
        <v>#REF!</v>
      </c>
      <c r="BM53" t="e" vm="2">
        <f t="shared" si="2"/>
        <v>#VALUE!</v>
      </c>
      <c r="BN53" t="e" vm="2">
        <f t="shared" si="3"/>
        <v>#VALUE!</v>
      </c>
    </row>
    <row r="54" spans="1:66" x14ac:dyDescent="0.2">
      <c r="A54" s="21">
        <f>Prices!A53</f>
        <v>27334</v>
      </c>
      <c r="BC54" s="21" t="e" vm="1">
        <v>#REF!</v>
      </c>
      <c r="BD54" t="e" vm="1">
        <v>#REF!</v>
      </c>
      <c r="BF54" t="e" vm="2">
        <f t="shared" si="0"/>
        <v>#VALUE!</v>
      </c>
      <c r="BG54" t="e" vm="2">
        <f t="shared" si="1"/>
        <v>#VALUE!</v>
      </c>
      <c r="BJ54" s="21" t="e" vm="1">
        <v>#REF!</v>
      </c>
      <c r="BK54" t="e" vm="1">
        <v>#REF!</v>
      </c>
      <c r="BM54" t="e" vm="2">
        <f t="shared" si="2"/>
        <v>#VALUE!</v>
      </c>
      <c r="BN54" t="e" vm="2">
        <f t="shared" si="3"/>
        <v>#VALUE!</v>
      </c>
    </row>
    <row r="55" spans="1:66" x14ac:dyDescent="0.2">
      <c r="A55" s="21">
        <f>Prices!A54</f>
        <v>27364</v>
      </c>
      <c r="BC55" s="21" t="e" vm="1">
        <v>#REF!</v>
      </c>
      <c r="BD55" t="e" vm="1">
        <v>#REF!</v>
      </c>
      <c r="BF55" t="e" vm="2">
        <f t="shared" si="0"/>
        <v>#VALUE!</v>
      </c>
      <c r="BG55" t="e" vm="2">
        <f t="shared" si="1"/>
        <v>#VALUE!</v>
      </c>
      <c r="BJ55" s="21" t="e" vm="1">
        <v>#REF!</v>
      </c>
      <c r="BK55" t="e" vm="1">
        <v>#REF!</v>
      </c>
      <c r="BM55" t="e" vm="2">
        <f t="shared" si="2"/>
        <v>#VALUE!</v>
      </c>
      <c r="BN55" t="e" vm="2">
        <f t="shared" si="3"/>
        <v>#VALUE!</v>
      </c>
    </row>
    <row r="56" spans="1:66" x14ac:dyDescent="0.2">
      <c r="A56" s="21">
        <f>Prices!A55</f>
        <v>27395</v>
      </c>
      <c r="BC56" s="21" t="e" vm="1">
        <v>#REF!</v>
      </c>
      <c r="BD56" t="e" vm="1">
        <v>#REF!</v>
      </c>
      <c r="BF56" t="e" vm="2">
        <f t="shared" si="0"/>
        <v>#VALUE!</v>
      </c>
      <c r="BG56" t="e" vm="2">
        <f t="shared" si="1"/>
        <v>#VALUE!</v>
      </c>
      <c r="BJ56" s="21" t="e" vm="1">
        <v>#REF!</v>
      </c>
      <c r="BK56" t="e" vm="1">
        <v>#REF!</v>
      </c>
      <c r="BM56" t="e" vm="2">
        <f t="shared" si="2"/>
        <v>#VALUE!</v>
      </c>
      <c r="BN56" t="e" vm="2">
        <f t="shared" si="3"/>
        <v>#VALUE!</v>
      </c>
    </row>
    <row r="57" spans="1:66" x14ac:dyDescent="0.2">
      <c r="A57" s="21">
        <f>Prices!A56</f>
        <v>27426</v>
      </c>
      <c r="BC57" s="21" t="e" vm="1">
        <v>#REF!</v>
      </c>
      <c r="BD57" t="e" vm="1">
        <v>#REF!</v>
      </c>
      <c r="BF57" t="e" vm="2">
        <f t="shared" si="0"/>
        <v>#VALUE!</v>
      </c>
      <c r="BG57" t="e" vm="2">
        <f t="shared" si="1"/>
        <v>#VALUE!</v>
      </c>
      <c r="BJ57" s="21" t="e" vm="1">
        <v>#REF!</v>
      </c>
      <c r="BK57" t="e" vm="1">
        <v>#REF!</v>
      </c>
      <c r="BM57" t="e" vm="2">
        <f t="shared" si="2"/>
        <v>#VALUE!</v>
      </c>
      <c r="BN57" t="e" vm="2">
        <f t="shared" si="3"/>
        <v>#VALUE!</v>
      </c>
    </row>
    <row r="58" spans="1:66" x14ac:dyDescent="0.2">
      <c r="A58" s="21">
        <f>Prices!A57</f>
        <v>27454</v>
      </c>
      <c r="BC58" s="21" t="e" vm="1">
        <v>#REF!</v>
      </c>
      <c r="BD58" t="e" vm="1">
        <v>#REF!</v>
      </c>
      <c r="BF58" t="e" vm="2">
        <f t="shared" si="0"/>
        <v>#VALUE!</v>
      </c>
      <c r="BG58" t="e" vm="2">
        <f t="shared" si="1"/>
        <v>#VALUE!</v>
      </c>
      <c r="BJ58" s="21" t="e" vm="1">
        <v>#REF!</v>
      </c>
      <c r="BK58" t="e" vm="1">
        <v>#REF!</v>
      </c>
      <c r="BM58" t="e" vm="2">
        <f t="shared" si="2"/>
        <v>#VALUE!</v>
      </c>
      <c r="BN58" t="e" vm="2">
        <f t="shared" si="3"/>
        <v>#VALUE!</v>
      </c>
    </row>
    <row r="59" spans="1:66" x14ac:dyDescent="0.2">
      <c r="A59" s="21">
        <f>Prices!A58</f>
        <v>27485</v>
      </c>
      <c r="BC59" s="21" t="e" vm="1">
        <v>#REF!</v>
      </c>
      <c r="BD59" t="e" vm="1">
        <v>#REF!</v>
      </c>
      <c r="BF59" t="e" vm="2">
        <f t="shared" si="0"/>
        <v>#VALUE!</v>
      </c>
      <c r="BG59" t="e" vm="2">
        <f t="shared" si="1"/>
        <v>#VALUE!</v>
      </c>
      <c r="BJ59" s="21" t="e" vm="1">
        <v>#REF!</v>
      </c>
      <c r="BK59" t="e" vm="1">
        <v>#REF!</v>
      </c>
      <c r="BM59" t="e" vm="2">
        <f t="shared" si="2"/>
        <v>#VALUE!</v>
      </c>
      <c r="BN59" t="e" vm="2">
        <f t="shared" si="3"/>
        <v>#VALUE!</v>
      </c>
    </row>
    <row r="60" spans="1:66" x14ac:dyDescent="0.2">
      <c r="A60" s="21">
        <f>Prices!A59</f>
        <v>27515</v>
      </c>
      <c r="BC60" s="21" t="e" vm="1">
        <v>#REF!</v>
      </c>
      <c r="BD60" t="e" vm="1">
        <v>#REF!</v>
      </c>
      <c r="BF60" t="e" vm="2">
        <f t="shared" si="0"/>
        <v>#VALUE!</v>
      </c>
      <c r="BG60" t="e" vm="2">
        <f t="shared" si="1"/>
        <v>#VALUE!</v>
      </c>
      <c r="BJ60" s="21" t="e" vm="1">
        <v>#REF!</v>
      </c>
      <c r="BK60" t="e" vm="1">
        <v>#REF!</v>
      </c>
      <c r="BM60" t="e" vm="2">
        <f t="shared" si="2"/>
        <v>#VALUE!</v>
      </c>
      <c r="BN60" t="e" vm="2">
        <f t="shared" si="3"/>
        <v>#VALUE!</v>
      </c>
    </row>
    <row r="61" spans="1:66" x14ac:dyDescent="0.2">
      <c r="A61" s="21">
        <f>Prices!A60</f>
        <v>27546</v>
      </c>
      <c r="BC61" s="21" t="e" vm="1">
        <v>#REF!</v>
      </c>
      <c r="BD61" t="e" vm="1">
        <v>#REF!</v>
      </c>
      <c r="BF61" t="e" vm="2">
        <f t="shared" si="0"/>
        <v>#VALUE!</v>
      </c>
      <c r="BG61" t="e" vm="2">
        <f t="shared" si="1"/>
        <v>#VALUE!</v>
      </c>
      <c r="BJ61" s="21" t="e" vm="1">
        <v>#REF!</v>
      </c>
      <c r="BK61" t="e" vm="1">
        <v>#REF!</v>
      </c>
      <c r="BM61" t="e" vm="2">
        <f t="shared" si="2"/>
        <v>#VALUE!</v>
      </c>
      <c r="BN61" t="e" vm="2">
        <f t="shared" si="3"/>
        <v>#VALUE!</v>
      </c>
    </row>
    <row r="62" spans="1:66" x14ac:dyDescent="0.2">
      <c r="A62" s="21">
        <f>Prices!A61</f>
        <v>27576</v>
      </c>
      <c r="BC62" s="21" t="e" vm="1">
        <v>#REF!</v>
      </c>
      <c r="BD62" t="e" vm="1">
        <v>#REF!</v>
      </c>
      <c r="BF62" t="e" vm="2">
        <f t="shared" si="0"/>
        <v>#VALUE!</v>
      </c>
      <c r="BG62" t="e" vm="2">
        <f t="shared" si="1"/>
        <v>#VALUE!</v>
      </c>
      <c r="BJ62" s="21" t="e" vm="1">
        <v>#REF!</v>
      </c>
      <c r="BK62" t="e" vm="1">
        <v>#REF!</v>
      </c>
      <c r="BM62" t="e" vm="2">
        <f t="shared" si="2"/>
        <v>#VALUE!</v>
      </c>
      <c r="BN62" t="e" vm="2">
        <f t="shared" si="3"/>
        <v>#VALUE!</v>
      </c>
    </row>
    <row r="63" spans="1:66" x14ac:dyDescent="0.2">
      <c r="A63" s="21">
        <f>Prices!A62</f>
        <v>27607</v>
      </c>
      <c r="BC63" s="21" t="e" vm="1">
        <v>#REF!</v>
      </c>
      <c r="BD63" t="e" vm="1">
        <v>#REF!</v>
      </c>
      <c r="BF63" t="e" vm="2">
        <f t="shared" si="0"/>
        <v>#VALUE!</v>
      </c>
      <c r="BG63" t="e" vm="2">
        <f t="shared" si="1"/>
        <v>#VALUE!</v>
      </c>
      <c r="BJ63" s="21" t="e" vm="1">
        <v>#REF!</v>
      </c>
      <c r="BK63" t="e" vm="1">
        <v>#REF!</v>
      </c>
      <c r="BM63" t="e" vm="2">
        <f t="shared" si="2"/>
        <v>#VALUE!</v>
      </c>
      <c r="BN63" t="e" vm="2">
        <f t="shared" si="3"/>
        <v>#VALUE!</v>
      </c>
    </row>
    <row r="64" spans="1:66" x14ac:dyDescent="0.2">
      <c r="A64" s="21">
        <f>Prices!A63</f>
        <v>27638</v>
      </c>
      <c r="BC64" s="21" t="e" vm="1">
        <v>#REF!</v>
      </c>
      <c r="BD64" t="e" vm="1">
        <v>#REF!</v>
      </c>
      <c r="BF64" t="e" vm="2">
        <f t="shared" si="0"/>
        <v>#VALUE!</v>
      </c>
      <c r="BG64" t="e" vm="2">
        <f t="shared" si="1"/>
        <v>#VALUE!</v>
      </c>
      <c r="BJ64" s="21" t="e" vm="1">
        <v>#REF!</v>
      </c>
      <c r="BK64" t="e" vm="1">
        <v>#REF!</v>
      </c>
      <c r="BM64" t="e" vm="2">
        <f t="shared" si="2"/>
        <v>#VALUE!</v>
      </c>
      <c r="BN64" t="e" vm="2">
        <f t="shared" si="3"/>
        <v>#VALUE!</v>
      </c>
    </row>
    <row r="65" spans="1:66" x14ac:dyDescent="0.2">
      <c r="A65" s="21">
        <f>Prices!A64</f>
        <v>27668</v>
      </c>
      <c r="BC65" s="21" t="e" vm="1">
        <v>#REF!</v>
      </c>
      <c r="BD65" t="e" vm="1">
        <v>#REF!</v>
      </c>
      <c r="BF65" t="e" vm="2">
        <f t="shared" si="0"/>
        <v>#VALUE!</v>
      </c>
      <c r="BG65" t="e" vm="2">
        <f t="shared" si="1"/>
        <v>#VALUE!</v>
      </c>
      <c r="BJ65" s="21" t="e" vm="1">
        <v>#REF!</v>
      </c>
      <c r="BK65" t="e" vm="1">
        <v>#REF!</v>
      </c>
      <c r="BM65" t="e" vm="2">
        <f t="shared" si="2"/>
        <v>#VALUE!</v>
      </c>
      <c r="BN65" t="e" vm="2">
        <f t="shared" si="3"/>
        <v>#VALUE!</v>
      </c>
    </row>
    <row r="66" spans="1:66" x14ac:dyDescent="0.2">
      <c r="A66" s="21">
        <f>Prices!A65</f>
        <v>27699</v>
      </c>
      <c r="BC66" s="21" t="e" vm="1">
        <v>#REF!</v>
      </c>
      <c r="BD66" t="e" vm="1">
        <v>#REF!</v>
      </c>
      <c r="BF66" t="e" vm="2">
        <f t="shared" si="0"/>
        <v>#VALUE!</v>
      </c>
      <c r="BG66" t="e" vm="2">
        <f t="shared" si="1"/>
        <v>#VALUE!</v>
      </c>
      <c r="BJ66" s="21" t="e" vm="1">
        <v>#REF!</v>
      </c>
      <c r="BK66" t="e" vm="1">
        <v>#REF!</v>
      </c>
      <c r="BM66" t="e" vm="2">
        <f t="shared" si="2"/>
        <v>#VALUE!</v>
      </c>
      <c r="BN66" t="e" vm="2">
        <f t="shared" si="3"/>
        <v>#VALUE!</v>
      </c>
    </row>
    <row r="67" spans="1:66" x14ac:dyDescent="0.2">
      <c r="A67" s="21">
        <f>Prices!A66</f>
        <v>27729</v>
      </c>
      <c r="BC67" s="21" t="e" vm="1">
        <v>#REF!</v>
      </c>
      <c r="BD67" t="e" vm="1">
        <v>#REF!</v>
      </c>
      <c r="BF67" t="e" vm="2">
        <f t="shared" ref="BF67:BF130" si="4">MONTH(BC67)</f>
        <v>#VALUE!</v>
      </c>
      <c r="BG67" t="e" vm="2">
        <f t="shared" ref="BG67:BG130" si="5">YEAR(BC67)</f>
        <v>#VALUE!</v>
      </c>
      <c r="BJ67" s="21" t="e" vm="1">
        <v>#REF!</v>
      </c>
      <c r="BK67" t="e" vm="1">
        <v>#REF!</v>
      </c>
      <c r="BM67" t="e" vm="2">
        <f t="shared" si="2"/>
        <v>#VALUE!</v>
      </c>
      <c r="BN67" t="e" vm="2">
        <f t="shared" si="3"/>
        <v>#VALUE!</v>
      </c>
    </row>
    <row r="68" spans="1:66" x14ac:dyDescent="0.2">
      <c r="A68" s="21">
        <f>Prices!A67</f>
        <v>27760</v>
      </c>
      <c r="BC68" s="21" t="e" vm="1">
        <v>#REF!</v>
      </c>
      <c r="BD68" t="e" vm="1">
        <v>#REF!</v>
      </c>
      <c r="BF68" t="e" vm="2">
        <f t="shared" si="4"/>
        <v>#VALUE!</v>
      </c>
      <c r="BG68" t="e" vm="2">
        <f t="shared" si="5"/>
        <v>#VALUE!</v>
      </c>
      <c r="BJ68" s="21" t="e" vm="1">
        <v>#REF!</v>
      </c>
      <c r="BK68" t="e" vm="1">
        <v>#REF!</v>
      </c>
      <c r="BM68" t="e" vm="2">
        <f t="shared" ref="BM68:BM131" si="6">MONTH(BJ68)</f>
        <v>#VALUE!</v>
      </c>
      <c r="BN68" t="e" vm="2">
        <f t="shared" ref="BN68:BN131" si="7">YEAR(BJ68)</f>
        <v>#VALUE!</v>
      </c>
    </row>
    <row r="69" spans="1:66" x14ac:dyDescent="0.2">
      <c r="A69" s="21">
        <f>Prices!A68</f>
        <v>27791</v>
      </c>
      <c r="BC69" s="21" t="e" vm="1">
        <v>#REF!</v>
      </c>
      <c r="BD69" t="e" vm="1">
        <v>#REF!</v>
      </c>
      <c r="BF69" t="e" vm="2">
        <f t="shared" si="4"/>
        <v>#VALUE!</v>
      </c>
      <c r="BG69" t="e" vm="2">
        <f t="shared" si="5"/>
        <v>#VALUE!</v>
      </c>
      <c r="BJ69" s="21" t="e" vm="1">
        <v>#REF!</v>
      </c>
      <c r="BK69" t="e" vm="1">
        <v>#REF!</v>
      </c>
      <c r="BM69" t="e" vm="2">
        <f t="shared" si="6"/>
        <v>#VALUE!</v>
      </c>
      <c r="BN69" t="e" vm="2">
        <f t="shared" si="7"/>
        <v>#VALUE!</v>
      </c>
    </row>
    <row r="70" spans="1:66" x14ac:dyDescent="0.2">
      <c r="A70" s="21">
        <f>Prices!A69</f>
        <v>27820</v>
      </c>
      <c r="BC70" s="21" t="e" vm="1">
        <v>#REF!</v>
      </c>
      <c r="BD70" t="e" vm="1">
        <v>#REF!</v>
      </c>
      <c r="BF70" t="e" vm="2">
        <f t="shared" si="4"/>
        <v>#VALUE!</v>
      </c>
      <c r="BG70" t="e" vm="2">
        <f t="shared" si="5"/>
        <v>#VALUE!</v>
      </c>
      <c r="BJ70" s="21" t="e" vm="1">
        <v>#REF!</v>
      </c>
      <c r="BK70" t="e" vm="1">
        <v>#REF!</v>
      </c>
      <c r="BM70" t="e" vm="2">
        <f t="shared" si="6"/>
        <v>#VALUE!</v>
      </c>
      <c r="BN70" t="e" vm="2">
        <f t="shared" si="7"/>
        <v>#VALUE!</v>
      </c>
    </row>
    <row r="71" spans="1:66" x14ac:dyDescent="0.2">
      <c r="A71" s="21">
        <f>Prices!A70</f>
        <v>27851</v>
      </c>
      <c r="BC71" s="21" t="e" vm="1">
        <v>#REF!</v>
      </c>
      <c r="BD71" t="e" vm="1">
        <v>#REF!</v>
      </c>
      <c r="BF71" t="e" vm="2">
        <f t="shared" si="4"/>
        <v>#VALUE!</v>
      </c>
      <c r="BG71" t="e" vm="2">
        <f t="shared" si="5"/>
        <v>#VALUE!</v>
      </c>
      <c r="BJ71" s="21" t="e" vm="1">
        <v>#REF!</v>
      </c>
      <c r="BK71" t="e" vm="1">
        <v>#REF!</v>
      </c>
      <c r="BM71" t="e" vm="2">
        <f t="shared" si="6"/>
        <v>#VALUE!</v>
      </c>
      <c r="BN71" t="e" vm="2">
        <f t="shared" si="7"/>
        <v>#VALUE!</v>
      </c>
    </row>
    <row r="72" spans="1:66" x14ac:dyDescent="0.2">
      <c r="A72" s="21">
        <f>Prices!A71</f>
        <v>27881</v>
      </c>
      <c r="BC72" s="21" t="e" vm="1">
        <v>#REF!</v>
      </c>
      <c r="BD72" t="e" vm="1">
        <v>#REF!</v>
      </c>
      <c r="BF72" t="e" vm="2">
        <f t="shared" si="4"/>
        <v>#VALUE!</v>
      </c>
      <c r="BG72" t="e" vm="2">
        <f t="shared" si="5"/>
        <v>#VALUE!</v>
      </c>
      <c r="BJ72" s="21" t="e" vm="1">
        <v>#REF!</v>
      </c>
      <c r="BK72" t="e" vm="1">
        <v>#REF!</v>
      </c>
      <c r="BM72" t="e" vm="2">
        <f t="shared" si="6"/>
        <v>#VALUE!</v>
      </c>
      <c r="BN72" t="e" vm="2">
        <f t="shared" si="7"/>
        <v>#VALUE!</v>
      </c>
    </row>
    <row r="73" spans="1:66" x14ac:dyDescent="0.2">
      <c r="A73" s="21">
        <f>Prices!A72</f>
        <v>27912</v>
      </c>
      <c r="BC73" s="21" t="e" vm="1">
        <v>#REF!</v>
      </c>
      <c r="BD73" t="e" vm="1">
        <v>#REF!</v>
      </c>
      <c r="BF73" t="e" vm="2">
        <f t="shared" si="4"/>
        <v>#VALUE!</v>
      </c>
      <c r="BG73" t="e" vm="2">
        <f t="shared" si="5"/>
        <v>#VALUE!</v>
      </c>
      <c r="BJ73" s="21" t="e" vm="1">
        <v>#REF!</v>
      </c>
      <c r="BK73" t="e" vm="1">
        <v>#REF!</v>
      </c>
      <c r="BM73" t="e" vm="2">
        <f t="shared" si="6"/>
        <v>#VALUE!</v>
      </c>
      <c r="BN73" t="e" vm="2">
        <f t="shared" si="7"/>
        <v>#VALUE!</v>
      </c>
    </row>
    <row r="74" spans="1:66" x14ac:dyDescent="0.2">
      <c r="A74" s="21">
        <f>Prices!A73</f>
        <v>27942</v>
      </c>
      <c r="BC74" s="21" t="e" vm="1">
        <v>#REF!</v>
      </c>
      <c r="BD74" t="e" vm="1">
        <v>#REF!</v>
      </c>
      <c r="BF74" t="e" vm="2">
        <f t="shared" si="4"/>
        <v>#VALUE!</v>
      </c>
      <c r="BG74" t="e" vm="2">
        <f t="shared" si="5"/>
        <v>#VALUE!</v>
      </c>
      <c r="BJ74" s="21" t="e" vm="1">
        <v>#REF!</v>
      </c>
      <c r="BK74" t="e" vm="1">
        <v>#REF!</v>
      </c>
      <c r="BM74" t="e" vm="2">
        <f t="shared" si="6"/>
        <v>#VALUE!</v>
      </c>
      <c r="BN74" t="e" vm="2">
        <f t="shared" si="7"/>
        <v>#VALUE!</v>
      </c>
    </row>
    <row r="75" spans="1:66" x14ac:dyDescent="0.2">
      <c r="A75" s="21">
        <f>Prices!A74</f>
        <v>27973</v>
      </c>
      <c r="BC75" s="21" t="e" vm="1">
        <v>#REF!</v>
      </c>
      <c r="BD75" t="e" vm="1">
        <v>#REF!</v>
      </c>
      <c r="BF75" t="e" vm="2">
        <f t="shared" si="4"/>
        <v>#VALUE!</v>
      </c>
      <c r="BG75" t="e" vm="2">
        <f t="shared" si="5"/>
        <v>#VALUE!</v>
      </c>
      <c r="BJ75" s="21" t="e" vm="1">
        <v>#REF!</v>
      </c>
      <c r="BK75" t="e" vm="1">
        <v>#REF!</v>
      </c>
      <c r="BM75" t="e" vm="2">
        <f t="shared" si="6"/>
        <v>#VALUE!</v>
      </c>
      <c r="BN75" t="e" vm="2">
        <f t="shared" si="7"/>
        <v>#VALUE!</v>
      </c>
    </row>
    <row r="76" spans="1:66" x14ac:dyDescent="0.2">
      <c r="A76" s="21">
        <f>Prices!A75</f>
        <v>28004</v>
      </c>
      <c r="BC76" s="21" t="e" vm="1">
        <v>#REF!</v>
      </c>
      <c r="BD76" t="e" vm="1">
        <v>#REF!</v>
      </c>
      <c r="BF76" t="e" vm="2">
        <f t="shared" si="4"/>
        <v>#VALUE!</v>
      </c>
      <c r="BG76" t="e" vm="2">
        <f t="shared" si="5"/>
        <v>#VALUE!</v>
      </c>
      <c r="BJ76" s="21" t="e" vm="1">
        <v>#REF!</v>
      </c>
      <c r="BK76" t="e" vm="1">
        <v>#REF!</v>
      </c>
      <c r="BM76" t="e" vm="2">
        <f t="shared" si="6"/>
        <v>#VALUE!</v>
      </c>
      <c r="BN76" t="e" vm="2">
        <f t="shared" si="7"/>
        <v>#VALUE!</v>
      </c>
    </row>
    <row r="77" spans="1:66" x14ac:dyDescent="0.2">
      <c r="A77" s="21">
        <f>Prices!A76</f>
        <v>28034</v>
      </c>
      <c r="BC77" s="21" t="e" vm="1">
        <v>#REF!</v>
      </c>
      <c r="BD77" t="e" vm="1">
        <v>#REF!</v>
      </c>
      <c r="BF77" t="e" vm="2">
        <f t="shared" si="4"/>
        <v>#VALUE!</v>
      </c>
      <c r="BG77" t="e" vm="2">
        <f t="shared" si="5"/>
        <v>#VALUE!</v>
      </c>
      <c r="BJ77" s="21" t="e" vm="1">
        <v>#REF!</v>
      </c>
      <c r="BK77" t="e" vm="1">
        <v>#REF!</v>
      </c>
      <c r="BM77" t="e" vm="2">
        <f t="shared" si="6"/>
        <v>#VALUE!</v>
      </c>
      <c r="BN77" t="e" vm="2">
        <f t="shared" si="7"/>
        <v>#VALUE!</v>
      </c>
    </row>
    <row r="78" spans="1:66" x14ac:dyDescent="0.2">
      <c r="A78" s="21">
        <f>Prices!A77</f>
        <v>28065</v>
      </c>
      <c r="BC78" s="21" t="e" vm="1">
        <v>#REF!</v>
      </c>
      <c r="BD78" t="e" vm="1">
        <v>#REF!</v>
      </c>
      <c r="BF78" t="e" vm="2">
        <f t="shared" si="4"/>
        <v>#VALUE!</v>
      </c>
      <c r="BG78" t="e" vm="2">
        <f t="shared" si="5"/>
        <v>#VALUE!</v>
      </c>
      <c r="BJ78" s="21" t="e" vm="1">
        <v>#REF!</v>
      </c>
      <c r="BK78" t="e" vm="1">
        <v>#REF!</v>
      </c>
      <c r="BM78" t="e" vm="2">
        <f t="shared" si="6"/>
        <v>#VALUE!</v>
      </c>
      <c r="BN78" t="e" vm="2">
        <f t="shared" si="7"/>
        <v>#VALUE!</v>
      </c>
    </row>
    <row r="79" spans="1:66" x14ac:dyDescent="0.2">
      <c r="A79" s="21">
        <f>Prices!A78</f>
        <v>28095</v>
      </c>
      <c r="BC79" s="21" t="e" vm="1">
        <v>#REF!</v>
      </c>
      <c r="BD79" t="e" vm="1">
        <v>#REF!</v>
      </c>
      <c r="BF79" t="e" vm="2">
        <f t="shared" si="4"/>
        <v>#VALUE!</v>
      </c>
      <c r="BG79" t="e" vm="2">
        <f t="shared" si="5"/>
        <v>#VALUE!</v>
      </c>
      <c r="BJ79" s="21" t="e" vm="1">
        <v>#REF!</v>
      </c>
      <c r="BK79" t="e" vm="1">
        <v>#REF!</v>
      </c>
      <c r="BM79" t="e" vm="2">
        <f t="shared" si="6"/>
        <v>#VALUE!</v>
      </c>
      <c r="BN79" t="e" vm="2">
        <f t="shared" si="7"/>
        <v>#VALUE!</v>
      </c>
    </row>
    <row r="80" spans="1:66" x14ac:dyDescent="0.2">
      <c r="A80" s="21">
        <f>Prices!A79</f>
        <v>28126</v>
      </c>
      <c r="BC80" s="21" t="e" vm="1">
        <v>#REF!</v>
      </c>
      <c r="BD80" t="e" vm="1">
        <v>#REF!</v>
      </c>
      <c r="BF80" t="e" vm="2">
        <f t="shared" si="4"/>
        <v>#VALUE!</v>
      </c>
      <c r="BG80" t="e" vm="2">
        <f t="shared" si="5"/>
        <v>#VALUE!</v>
      </c>
      <c r="BJ80" s="21" t="e" vm="1">
        <v>#REF!</v>
      </c>
      <c r="BK80" t="e" vm="1">
        <v>#REF!</v>
      </c>
      <c r="BM80" t="e" vm="2">
        <f t="shared" si="6"/>
        <v>#VALUE!</v>
      </c>
      <c r="BN80" t="e" vm="2">
        <f t="shared" si="7"/>
        <v>#VALUE!</v>
      </c>
    </row>
    <row r="81" spans="1:66" x14ac:dyDescent="0.2">
      <c r="A81" s="21">
        <f>Prices!A80</f>
        <v>28157</v>
      </c>
      <c r="BC81" s="21" t="e" vm="1">
        <v>#REF!</v>
      </c>
      <c r="BD81" t="e" vm="1">
        <v>#REF!</v>
      </c>
      <c r="BF81" t="e" vm="2">
        <f t="shared" si="4"/>
        <v>#VALUE!</v>
      </c>
      <c r="BG81" t="e" vm="2">
        <f t="shared" si="5"/>
        <v>#VALUE!</v>
      </c>
      <c r="BJ81" s="21" t="e" vm="1">
        <v>#REF!</v>
      </c>
      <c r="BK81" t="e" vm="1">
        <v>#REF!</v>
      </c>
      <c r="BM81" t="e" vm="2">
        <f t="shared" si="6"/>
        <v>#VALUE!</v>
      </c>
      <c r="BN81" t="e" vm="2">
        <f t="shared" si="7"/>
        <v>#VALUE!</v>
      </c>
    </row>
    <row r="82" spans="1:66" x14ac:dyDescent="0.2">
      <c r="A82" s="21">
        <f>Prices!A81</f>
        <v>28185</v>
      </c>
      <c r="BC82" s="21" t="e" vm="1">
        <v>#REF!</v>
      </c>
      <c r="BD82" t="e" vm="1">
        <v>#REF!</v>
      </c>
      <c r="BF82" t="e" vm="2">
        <f t="shared" si="4"/>
        <v>#VALUE!</v>
      </c>
      <c r="BG82" t="e" vm="2">
        <f t="shared" si="5"/>
        <v>#VALUE!</v>
      </c>
      <c r="BJ82" s="21" t="e" vm="1">
        <v>#REF!</v>
      </c>
      <c r="BK82" t="e" vm="1">
        <v>#REF!</v>
      </c>
      <c r="BM82" t="e" vm="2">
        <f t="shared" si="6"/>
        <v>#VALUE!</v>
      </c>
      <c r="BN82" t="e" vm="2">
        <f t="shared" si="7"/>
        <v>#VALUE!</v>
      </c>
    </row>
    <row r="83" spans="1:66" x14ac:dyDescent="0.2">
      <c r="A83" s="21">
        <f>Prices!A82</f>
        <v>28216</v>
      </c>
      <c r="BC83" s="21" t="e" vm="1">
        <v>#REF!</v>
      </c>
      <c r="BD83" t="e" vm="1">
        <v>#REF!</v>
      </c>
      <c r="BF83" t="e" vm="2">
        <f t="shared" si="4"/>
        <v>#VALUE!</v>
      </c>
      <c r="BG83" t="e" vm="2">
        <f t="shared" si="5"/>
        <v>#VALUE!</v>
      </c>
      <c r="BJ83" s="21" t="e" vm="1">
        <v>#REF!</v>
      </c>
      <c r="BK83" t="e" vm="1">
        <v>#REF!</v>
      </c>
      <c r="BM83" t="e" vm="2">
        <f t="shared" si="6"/>
        <v>#VALUE!</v>
      </c>
      <c r="BN83" t="e" vm="2">
        <f t="shared" si="7"/>
        <v>#VALUE!</v>
      </c>
    </row>
    <row r="84" spans="1:66" x14ac:dyDescent="0.2">
      <c r="A84" s="21">
        <f>Prices!A83</f>
        <v>28246</v>
      </c>
      <c r="BC84" s="21" t="e" vm="1">
        <v>#REF!</v>
      </c>
      <c r="BD84" t="e" vm="1">
        <v>#REF!</v>
      </c>
      <c r="BF84" t="e" vm="2">
        <f t="shared" si="4"/>
        <v>#VALUE!</v>
      </c>
      <c r="BG84" t="e" vm="2">
        <f t="shared" si="5"/>
        <v>#VALUE!</v>
      </c>
      <c r="BJ84" s="21" t="e" vm="1">
        <v>#REF!</v>
      </c>
      <c r="BK84" t="e" vm="1">
        <v>#REF!</v>
      </c>
      <c r="BM84" t="e" vm="2">
        <f t="shared" si="6"/>
        <v>#VALUE!</v>
      </c>
      <c r="BN84" t="e" vm="2">
        <f t="shared" si="7"/>
        <v>#VALUE!</v>
      </c>
    </row>
    <row r="85" spans="1:66" x14ac:dyDescent="0.2">
      <c r="A85" s="21">
        <f>Prices!A84</f>
        <v>28277</v>
      </c>
      <c r="BC85" s="21" t="e" vm="1">
        <v>#REF!</v>
      </c>
      <c r="BD85" t="e" vm="1">
        <v>#REF!</v>
      </c>
      <c r="BF85" t="e" vm="2">
        <f t="shared" si="4"/>
        <v>#VALUE!</v>
      </c>
      <c r="BG85" t="e" vm="2">
        <f t="shared" si="5"/>
        <v>#VALUE!</v>
      </c>
      <c r="BJ85" s="21" t="e" vm="1">
        <v>#REF!</v>
      </c>
      <c r="BK85" t="e" vm="1">
        <v>#REF!</v>
      </c>
      <c r="BM85" t="e" vm="2">
        <f t="shared" si="6"/>
        <v>#VALUE!</v>
      </c>
      <c r="BN85" t="e" vm="2">
        <f t="shared" si="7"/>
        <v>#VALUE!</v>
      </c>
    </row>
    <row r="86" spans="1:66" x14ac:dyDescent="0.2">
      <c r="A86" s="21">
        <f>Prices!A85</f>
        <v>28307</v>
      </c>
      <c r="BC86" s="21" t="e" vm="1">
        <v>#REF!</v>
      </c>
      <c r="BD86" t="e" vm="1">
        <v>#REF!</v>
      </c>
      <c r="BF86" t="e" vm="2">
        <f t="shared" si="4"/>
        <v>#VALUE!</v>
      </c>
      <c r="BG86" t="e" vm="2">
        <f t="shared" si="5"/>
        <v>#VALUE!</v>
      </c>
      <c r="BJ86" s="21" t="e" vm="1">
        <v>#REF!</v>
      </c>
      <c r="BK86" t="e" vm="1">
        <v>#REF!</v>
      </c>
      <c r="BM86" t="e" vm="2">
        <f t="shared" si="6"/>
        <v>#VALUE!</v>
      </c>
      <c r="BN86" t="e" vm="2">
        <f t="shared" si="7"/>
        <v>#VALUE!</v>
      </c>
    </row>
    <row r="87" spans="1:66" x14ac:dyDescent="0.2">
      <c r="A87" s="21">
        <f>Prices!A86</f>
        <v>28338</v>
      </c>
      <c r="BC87" s="21" t="e" vm="1">
        <v>#REF!</v>
      </c>
      <c r="BD87" t="e" vm="1">
        <v>#REF!</v>
      </c>
      <c r="BF87" t="e" vm="2">
        <f t="shared" si="4"/>
        <v>#VALUE!</v>
      </c>
      <c r="BG87" t="e" vm="2">
        <f t="shared" si="5"/>
        <v>#VALUE!</v>
      </c>
      <c r="BJ87" s="21" t="e" vm="1">
        <v>#REF!</v>
      </c>
      <c r="BK87" t="e" vm="1">
        <v>#REF!</v>
      </c>
      <c r="BM87" t="e" vm="2">
        <f t="shared" si="6"/>
        <v>#VALUE!</v>
      </c>
      <c r="BN87" t="e" vm="2">
        <f t="shared" si="7"/>
        <v>#VALUE!</v>
      </c>
    </row>
    <row r="88" spans="1:66" x14ac:dyDescent="0.2">
      <c r="A88" s="21">
        <f>Prices!A87</f>
        <v>28369</v>
      </c>
      <c r="BC88" s="21" t="e" vm="1">
        <v>#REF!</v>
      </c>
      <c r="BD88" t="e" vm="1">
        <v>#REF!</v>
      </c>
      <c r="BF88" t="e" vm="2">
        <f t="shared" si="4"/>
        <v>#VALUE!</v>
      </c>
      <c r="BG88" t="e" vm="2">
        <f t="shared" si="5"/>
        <v>#VALUE!</v>
      </c>
      <c r="BJ88" s="21" t="e" vm="1">
        <v>#REF!</v>
      </c>
      <c r="BK88" t="e" vm="1">
        <v>#REF!</v>
      </c>
      <c r="BM88" t="e" vm="2">
        <f t="shared" si="6"/>
        <v>#VALUE!</v>
      </c>
      <c r="BN88" t="e" vm="2">
        <f t="shared" si="7"/>
        <v>#VALUE!</v>
      </c>
    </row>
    <row r="89" spans="1:66" x14ac:dyDescent="0.2">
      <c r="A89" s="21">
        <f>Prices!A88</f>
        <v>28399</v>
      </c>
      <c r="BC89" s="21" t="e" vm="1">
        <v>#REF!</v>
      </c>
      <c r="BD89" t="e" vm="1">
        <v>#REF!</v>
      </c>
      <c r="BF89" t="e" vm="2">
        <f t="shared" si="4"/>
        <v>#VALUE!</v>
      </c>
      <c r="BG89" t="e" vm="2">
        <f t="shared" si="5"/>
        <v>#VALUE!</v>
      </c>
      <c r="BJ89" s="21" t="e" vm="1">
        <v>#REF!</v>
      </c>
      <c r="BK89" t="e" vm="1">
        <v>#REF!</v>
      </c>
      <c r="BM89" t="e" vm="2">
        <f t="shared" si="6"/>
        <v>#VALUE!</v>
      </c>
      <c r="BN89" t="e" vm="2">
        <f t="shared" si="7"/>
        <v>#VALUE!</v>
      </c>
    </row>
    <row r="90" spans="1:66" x14ac:dyDescent="0.2">
      <c r="A90" s="21">
        <f>Prices!A89</f>
        <v>28430</v>
      </c>
      <c r="BC90" s="21" t="e" vm="1">
        <v>#REF!</v>
      </c>
      <c r="BD90" t="e" vm="1">
        <v>#REF!</v>
      </c>
      <c r="BF90" t="e" vm="2">
        <f t="shared" si="4"/>
        <v>#VALUE!</v>
      </c>
      <c r="BG90" t="e" vm="2">
        <f t="shared" si="5"/>
        <v>#VALUE!</v>
      </c>
      <c r="BJ90" s="21" t="e" vm="1">
        <v>#REF!</v>
      </c>
      <c r="BK90" t="e" vm="1">
        <v>#REF!</v>
      </c>
      <c r="BM90" t="e" vm="2">
        <f t="shared" si="6"/>
        <v>#VALUE!</v>
      </c>
      <c r="BN90" t="e" vm="2">
        <f t="shared" si="7"/>
        <v>#VALUE!</v>
      </c>
    </row>
    <row r="91" spans="1:66" x14ac:dyDescent="0.2">
      <c r="A91" s="21">
        <f>Prices!A90</f>
        <v>28460</v>
      </c>
      <c r="BC91" s="21" t="e" vm="1">
        <v>#REF!</v>
      </c>
      <c r="BD91" t="e" vm="1">
        <v>#REF!</v>
      </c>
      <c r="BF91" t="e" vm="2">
        <f t="shared" si="4"/>
        <v>#VALUE!</v>
      </c>
      <c r="BG91" t="e" vm="2">
        <f t="shared" si="5"/>
        <v>#VALUE!</v>
      </c>
      <c r="BJ91" s="21" t="e" vm="1">
        <v>#REF!</v>
      </c>
      <c r="BK91" t="e" vm="1">
        <v>#REF!</v>
      </c>
      <c r="BM91" t="e" vm="2">
        <f t="shared" si="6"/>
        <v>#VALUE!</v>
      </c>
      <c r="BN91" t="e" vm="2">
        <f t="shared" si="7"/>
        <v>#VALUE!</v>
      </c>
    </row>
    <row r="92" spans="1:66" x14ac:dyDescent="0.2">
      <c r="A92" s="21">
        <f>Prices!A91</f>
        <v>28491</v>
      </c>
      <c r="BC92" s="21" t="e" vm="1">
        <v>#REF!</v>
      </c>
      <c r="BD92" t="e" vm="1">
        <v>#REF!</v>
      </c>
      <c r="BF92" t="e" vm="2">
        <f t="shared" si="4"/>
        <v>#VALUE!</v>
      </c>
      <c r="BG92" t="e" vm="2">
        <f t="shared" si="5"/>
        <v>#VALUE!</v>
      </c>
      <c r="BJ92" s="21" t="e" vm="1">
        <v>#REF!</v>
      </c>
      <c r="BK92" t="e" vm="1">
        <v>#REF!</v>
      </c>
      <c r="BM92" t="e" vm="2">
        <f t="shared" si="6"/>
        <v>#VALUE!</v>
      </c>
      <c r="BN92" t="e" vm="2">
        <f t="shared" si="7"/>
        <v>#VALUE!</v>
      </c>
    </row>
    <row r="93" spans="1:66" x14ac:dyDescent="0.2">
      <c r="A93" s="21">
        <f>Prices!A92</f>
        <v>28522</v>
      </c>
      <c r="BC93" s="21" t="e" vm="1">
        <v>#REF!</v>
      </c>
      <c r="BD93" t="e" vm="1">
        <v>#REF!</v>
      </c>
      <c r="BF93" t="e" vm="2">
        <f t="shared" si="4"/>
        <v>#VALUE!</v>
      </c>
      <c r="BG93" t="e" vm="2">
        <f t="shared" si="5"/>
        <v>#VALUE!</v>
      </c>
      <c r="BJ93" s="21" t="e" vm="1">
        <v>#REF!</v>
      </c>
      <c r="BK93" t="e" vm="1">
        <v>#REF!</v>
      </c>
      <c r="BM93" t="e" vm="2">
        <f t="shared" si="6"/>
        <v>#VALUE!</v>
      </c>
      <c r="BN93" t="e" vm="2">
        <f t="shared" si="7"/>
        <v>#VALUE!</v>
      </c>
    </row>
    <row r="94" spans="1:66" x14ac:dyDescent="0.2">
      <c r="A94" s="21">
        <f>Prices!A93</f>
        <v>28550</v>
      </c>
      <c r="BC94" s="21" t="e" vm="1">
        <v>#REF!</v>
      </c>
      <c r="BD94" t="e" vm="1">
        <v>#REF!</v>
      </c>
      <c r="BF94" t="e" vm="2">
        <f t="shared" si="4"/>
        <v>#VALUE!</v>
      </c>
      <c r="BG94" t="e" vm="2">
        <f t="shared" si="5"/>
        <v>#VALUE!</v>
      </c>
      <c r="BJ94" s="21" t="e" vm="1">
        <v>#REF!</v>
      </c>
      <c r="BK94" t="e" vm="1">
        <v>#REF!</v>
      </c>
      <c r="BM94" t="e" vm="2">
        <f t="shared" si="6"/>
        <v>#VALUE!</v>
      </c>
      <c r="BN94" t="e" vm="2">
        <f t="shared" si="7"/>
        <v>#VALUE!</v>
      </c>
    </row>
    <row r="95" spans="1:66" x14ac:dyDescent="0.2">
      <c r="A95" s="21">
        <f>Prices!A94</f>
        <v>28581</v>
      </c>
      <c r="BC95" s="21" t="e" vm="1">
        <v>#REF!</v>
      </c>
      <c r="BD95" t="e" vm="1">
        <v>#REF!</v>
      </c>
      <c r="BF95" t="e" vm="2">
        <f t="shared" si="4"/>
        <v>#VALUE!</v>
      </c>
      <c r="BG95" t="e" vm="2">
        <f t="shared" si="5"/>
        <v>#VALUE!</v>
      </c>
      <c r="BJ95" s="21" t="e" vm="1">
        <v>#REF!</v>
      </c>
      <c r="BK95" t="e" vm="1">
        <v>#REF!</v>
      </c>
      <c r="BM95" t="e" vm="2">
        <f t="shared" si="6"/>
        <v>#VALUE!</v>
      </c>
      <c r="BN95" t="e" vm="2">
        <f t="shared" si="7"/>
        <v>#VALUE!</v>
      </c>
    </row>
    <row r="96" spans="1:66" x14ac:dyDescent="0.2">
      <c r="A96" s="21">
        <f>Prices!A95</f>
        <v>28611</v>
      </c>
      <c r="BC96" s="21" t="e" vm="1">
        <v>#REF!</v>
      </c>
      <c r="BD96" t="e" vm="1">
        <v>#REF!</v>
      </c>
      <c r="BF96" t="e" vm="2">
        <f t="shared" si="4"/>
        <v>#VALUE!</v>
      </c>
      <c r="BG96" t="e" vm="2">
        <f t="shared" si="5"/>
        <v>#VALUE!</v>
      </c>
      <c r="BJ96" s="21" t="e" vm="1">
        <v>#REF!</v>
      </c>
      <c r="BK96" t="e" vm="1">
        <v>#REF!</v>
      </c>
      <c r="BM96" t="e" vm="2">
        <f t="shared" si="6"/>
        <v>#VALUE!</v>
      </c>
      <c r="BN96" t="e" vm="2">
        <f t="shared" si="7"/>
        <v>#VALUE!</v>
      </c>
    </row>
    <row r="97" spans="1:66" x14ac:dyDescent="0.2">
      <c r="A97" s="21">
        <f>Prices!A96</f>
        <v>28642</v>
      </c>
      <c r="BC97" s="21" t="e" vm="1">
        <v>#REF!</v>
      </c>
      <c r="BD97" t="e" vm="1">
        <v>#REF!</v>
      </c>
      <c r="BF97" t="e" vm="2">
        <f t="shared" si="4"/>
        <v>#VALUE!</v>
      </c>
      <c r="BG97" t="e" vm="2">
        <f t="shared" si="5"/>
        <v>#VALUE!</v>
      </c>
      <c r="BJ97" s="21" t="e" vm="1">
        <v>#REF!</v>
      </c>
      <c r="BK97" t="e" vm="1">
        <v>#REF!</v>
      </c>
      <c r="BM97" t="e" vm="2">
        <f t="shared" si="6"/>
        <v>#VALUE!</v>
      </c>
      <c r="BN97" t="e" vm="2">
        <f t="shared" si="7"/>
        <v>#VALUE!</v>
      </c>
    </row>
    <row r="98" spans="1:66" x14ac:dyDescent="0.2">
      <c r="A98" s="21">
        <f>Prices!A97</f>
        <v>28672</v>
      </c>
      <c r="BC98" s="21" t="e" vm="1">
        <v>#REF!</v>
      </c>
      <c r="BD98" t="e" vm="1">
        <v>#REF!</v>
      </c>
      <c r="BF98" t="e" vm="2">
        <f t="shared" si="4"/>
        <v>#VALUE!</v>
      </c>
      <c r="BG98" t="e" vm="2">
        <f t="shared" si="5"/>
        <v>#VALUE!</v>
      </c>
      <c r="BJ98" s="21" t="e" vm="1">
        <v>#REF!</v>
      </c>
      <c r="BK98" t="e" vm="1">
        <v>#REF!</v>
      </c>
      <c r="BM98" t="e" vm="2">
        <f t="shared" si="6"/>
        <v>#VALUE!</v>
      </c>
      <c r="BN98" t="e" vm="2">
        <f t="shared" si="7"/>
        <v>#VALUE!</v>
      </c>
    </row>
    <row r="99" spans="1:66" x14ac:dyDescent="0.2">
      <c r="A99" s="21">
        <f>Prices!A98</f>
        <v>28703</v>
      </c>
      <c r="BC99" s="21" t="e" vm="1">
        <v>#REF!</v>
      </c>
      <c r="BD99" t="e" vm="1">
        <v>#REF!</v>
      </c>
      <c r="BF99" t="e" vm="2">
        <f t="shared" si="4"/>
        <v>#VALUE!</v>
      </c>
      <c r="BG99" t="e" vm="2">
        <f t="shared" si="5"/>
        <v>#VALUE!</v>
      </c>
      <c r="BJ99" s="21" t="e" vm="1">
        <v>#REF!</v>
      </c>
      <c r="BK99" t="e" vm="1">
        <v>#REF!</v>
      </c>
      <c r="BM99" t="e" vm="2">
        <f t="shared" si="6"/>
        <v>#VALUE!</v>
      </c>
      <c r="BN99" t="e" vm="2">
        <f t="shared" si="7"/>
        <v>#VALUE!</v>
      </c>
    </row>
    <row r="100" spans="1:66" x14ac:dyDescent="0.2">
      <c r="A100" s="21">
        <f>Prices!A99</f>
        <v>28734</v>
      </c>
      <c r="BC100" s="21" t="e" vm="1">
        <v>#REF!</v>
      </c>
      <c r="BD100" t="e" vm="1">
        <v>#REF!</v>
      </c>
      <c r="BF100" t="e" vm="2">
        <f t="shared" si="4"/>
        <v>#VALUE!</v>
      </c>
      <c r="BG100" t="e" vm="2">
        <f t="shared" si="5"/>
        <v>#VALUE!</v>
      </c>
      <c r="BJ100" s="21" t="e" vm="1">
        <v>#REF!</v>
      </c>
      <c r="BK100" t="e" vm="1">
        <v>#REF!</v>
      </c>
      <c r="BM100" t="e" vm="2">
        <f t="shared" si="6"/>
        <v>#VALUE!</v>
      </c>
      <c r="BN100" t="e" vm="2">
        <f t="shared" si="7"/>
        <v>#VALUE!</v>
      </c>
    </row>
    <row r="101" spans="1:66" x14ac:dyDescent="0.2">
      <c r="A101" s="21">
        <f>Prices!A100</f>
        <v>28764</v>
      </c>
      <c r="BC101" s="21" t="e" vm="1">
        <v>#REF!</v>
      </c>
      <c r="BD101" t="e" vm="1">
        <v>#REF!</v>
      </c>
      <c r="BF101" t="e" vm="2">
        <f t="shared" si="4"/>
        <v>#VALUE!</v>
      </c>
      <c r="BG101" t="e" vm="2">
        <f t="shared" si="5"/>
        <v>#VALUE!</v>
      </c>
      <c r="BJ101" s="21" t="e" vm="1">
        <v>#REF!</v>
      </c>
      <c r="BK101" t="e" vm="1">
        <v>#REF!</v>
      </c>
      <c r="BM101" t="e" vm="2">
        <f t="shared" si="6"/>
        <v>#VALUE!</v>
      </c>
      <c r="BN101" t="e" vm="2">
        <f t="shared" si="7"/>
        <v>#VALUE!</v>
      </c>
    </row>
    <row r="102" spans="1:66" x14ac:dyDescent="0.2">
      <c r="A102" s="21">
        <f>Prices!A101</f>
        <v>28795</v>
      </c>
      <c r="BC102" s="21" t="e" vm="1">
        <v>#REF!</v>
      </c>
      <c r="BD102" t="e" vm="1">
        <v>#REF!</v>
      </c>
      <c r="BF102" t="e" vm="2">
        <f t="shared" si="4"/>
        <v>#VALUE!</v>
      </c>
      <c r="BG102" t="e" vm="2">
        <f t="shared" si="5"/>
        <v>#VALUE!</v>
      </c>
      <c r="BJ102" s="21" t="e" vm="1">
        <v>#REF!</v>
      </c>
      <c r="BK102" t="e" vm="1">
        <v>#REF!</v>
      </c>
      <c r="BM102" t="e" vm="2">
        <f t="shared" si="6"/>
        <v>#VALUE!</v>
      </c>
      <c r="BN102" t="e" vm="2">
        <f t="shared" si="7"/>
        <v>#VALUE!</v>
      </c>
    </row>
    <row r="103" spans="1:66" x14ac:dyDescent="0.2">
      <c r="A103" s="21">
        <f>Prices!A102</f>
        <v>28825</v>
      </c>
      <c r="BC103" s="21" t="e" vm="1">
        <v>#REF!</v>
      </c>
      <c r="BD103" t="e" vm="1">
        <v>#REF!</v>
      </c>
      <c r="BF103" t="e" vm="2">
        <f t="shared" si="4"/>
        <v>#VALUE!</v>
      </c>
      <c r="BG103" t="e" vm="2">
        <f t="shared" si="5"/>
        <v>#VALUE!</v>
      </c>
      <c r="BJ103" s="21" t="e" vm="1">
        <v>#REF!</v>
      </c>
      <c r="BK103" t="e" vm="1">
        <v>#REF!</v>
      </c>
      <c r="BM103" t="e" vm="2">
        <f t="shared" si="6"/>
        <v>#VALUE!</v>
      </c>
      <c r="BN103" t="e" vm="2">
        <f t="shared" si="7"/>
        <v>#VALUE!</v>
      </c>
    </row>
    <row r="104" spans="1:66" x14ac:dyDescent="0.2">
      <c r="A104" s="21">
        <f>Prices!A103</f>
        <v>28856</v>
      </c>
      <c r="BC104" s="21" t="e" vm="1">
        <v>#REF!</v>
      </c>
      <c r="BD104" t="e" vm="1">
        <v>#REF!</v>
      </c>
      <c r="BF104" t="e" vm="2">
        <f t="shared" si="4"/>
        <v>#VALUE!</v>
      </c>
      <c r="BG104" t="e" vm="2">
        <f t="shared" si="5"/>
        <v>#VALUE!</v>
      </c>
      <c r="BJ104" s="21" t="e" vm="1">
        <v>#REF!</v>
      </c>
      <c r="BK104" t="e" vm="1">
        <v>#REF!</v>
      </c>
      <c r="BM104" t="e" vm="2">
        <f t="shared" si="6"/>
        <v>#VALUE!</v>
      </c>
      <c r="BN104" t="e" vm="2">
        <f t="shared" si="7"/>
        <v>#VALUE!</v>
      </c>
    </row>
    <row r="105" spans="1:66" x14ac:dyDescent="0.2">
      <c r="A105" s="21">
        <f>Prices!A104</f>
        <v>28887</v>
      </c>
      <c r="BC105" s="21" t="e" vm="1">
        <v>#REF!</v>
      </c>
      <c r="BD105" t="e" vm="1">
        <v>#REF!</v>
      </c>
      <c r="BF105" t="e" vm="2">
        <f t="shared" si="4"/>
        <v>#VALUE!</v>
      </c>
      <c r="BG105" t="e" vm="2">
        <f t="shared" si="5"/>
        <v>#VALUE!</v>
      </c>
      <c r="BJ105" s="21" t="e" vm="1">
        <v>#REF!</v>
      </c>
      <c r="BK105" t="e" vm="1">
        <v>#REF!</v>
      </c>
      <c r="BM105" t="e" vm="2">
        <f t="shared" si="6"/>
        <v>#VALUE!</v>
      </c>
      <c r="BN105" t="e" vm="2">
        <f t="shared" si="7"/>
        <v>#VALUE!</v>
      </c>
    </row>
    <row r="106" spans="1:66" x14ac:dyDescent="0.2">
      <c r="A106" s="21">
        <f>Prices!A105</f>
        <v>28915</v>
      </c>
      <c r="BC106" s="21" t="e" vm="1">
        <v>#REF!</v>
      </c>
      <c r="BD106" t="e" vm="1">
        <v>#REF!</v>
      </c>
      <c r="BF106" t="e" vm="2">
        <f t="shared" si="4"/>
        <v>#VALUE!</v>
      </c>
      <c r="BG106" t="e" vm="2">
        <f t="shared" si="5"/>
        <v>#VALUE!</v>
      </c>
      <c r="BJ106" s="21" t="e" vm="1">
        <v>#REF!</v>
      </c>
      <c r="BK106" t="e" vm="1">
        <v>#REF!</v>
      </c>
      <c r="BM106" t="e" vm="2">
        <f t="shared" si="6"/>
        <v>#VALUE!</v>
      </c>
      <c r="BN106" t="e" vm="2">
        <f t="shared" si="7"/>
        <v>#VALUE!</v>
      </c>
    </row>
    <row r="107" spans="1:66" x14ac:dyDescent="0.2">
      <c r="A107" s="21">
        <f>Prices!A106</f>
        <v>28946</v>
      </c>
      <c r="BC107" s="21" t="e" vm="1">
        <v>#REF!</v>
      </c>
      <c r="BD107" t="e" vm="1">
        <v>#REF!</v>
      </c>
      <c r="BF107" t="e" vm="2">
        <f t="shared" si="4"/>
        <v>#VALUE!</v>
      </c>
      <c r="BG107" t="e" vm="2">
        <f t="shared" si="5"/>
        <v>#VALUE!</v>
      </c>
      <c r="BJ107" s="21" t="e" vm="1">
        <v>#REF!</v>
      </c>
      <c r="BK107" t="e" vm="1">
        <v>#REF!</v>
      </c>
      <c r="BM107" t="e" vm="2">
        <f t="shared" si="6"/>
        <v>#VALUE!</v>
      </c>
      <c r="BN107" t="e" vm="2">
        <f t="shared" si="7"/>
        <v>#VALUE!</v>
      </c>
    </row>
    <row r="108" spans="1:66" x14ac:dyDescent="0.2">
      <c r="A108" s="21">
        <f>Prices!A107</f>
        <v>28976</v>
      </c>
      <c r="BC108" s="21" t="e" vm="1">
        <v>#REF!</v>
      </c>
      <c r="BD108" t="e" vm="1">
        <v>#REF!</v>
      </c>
      <c r="BF108" t="e" vm="2">
        <f t="shared" si="4"/>
        <v>#VALUE!</v>
      </c>
      <c r="BG108" t="e" vm="2">
        <f t="shared" si="5"/>
        <v>#VALUE!</v>
      </c>
      <c r="BJ108" s="21" t="e" vm="1">
        <v>#REF!</v>
      </c>
      <c r="BK108" t="e" vm="1">
        <v>#REF!</v>
      </c>
      <c r="BM108" t="e" vm="2">
        <f t="shared" si="6"/>
        <v>#VALUE!</v>
      </c>
      <c r="BN108" t="e" vm="2">
        <f t="shared" si="7"/>
        <v>#VALUE!</v>
      </c>
    </row>
    <row r="109" spans="1:66" x14ac:dyDescent="0.2">
      <c r="A109" s="21">
        <f>Prices!A108</f>
        <v>29007</v>
      </c>
      <c r="BC109" s="21" t="e" vm="1">
        <v>#REF!</v>
      </c>
      <c r="BD109" t="e" vm="1">
        <v>#REF!</v>
      </c>
      <c r="BF109" t="e" vm="2">
        <f t="shared" si="4"/>
        <v>#VALUE!</v>
      </c>
      <c r="BG109" t="e" vm="2">
        <f t="shared" si="5"/>
        <v>#VALUE!</v>
      </c>
      <c r="BJ109" s="21" t="e" vm="1">
        <v>#REF!</v>
      </c>
      <c r="BK109" t="e" vm="1">
        <v>#REF!</v>
      </c>
      <c r="BM109" t="e" vm="2">
        <f t="shared" si="6"/>
        <v>#VALUE!</v>
      </c>
      <c r="BN109" t="e" vm="2">
        <f t="shared" si="7"/>
        <v>#VALUE!</v>
      </c>
    </row>
    <row r="110" spans="1:66" x14ac:dyDescent="0.2">
      <c r="A110" s="21">
        <f>Prices!A109</f>
        <v>29037</v>
      </c>
      <c r="BC110" s="21" t="e" vm="1">
        <v>#REF!</v>
      </c>
      <c r="BD110" t="e" vm="1">
        <v>#REF!</v>
      </c>
      <c r="BF110" t="e" vm="2">
        <f t="shared" si="4"/>
        <v>#VALUE!</v>
      </c>
      <c r="BG110" t="e" vm="2">
        <f t="shared" si="5"/>
        <v>#VALUE!</v>
      </c>
      <c r="BJ110" s="21" t="e" vm="1">
        <v>#REF!</v>
      </c>
      <c r="BK110" t="e" vm="1">
        <v>#REF!</v>
      </c>
      <c r="BM110" t="e" vm="2">
        <f t="shared" si="6"/>
        <v>#VALUE!</v>
      </c>
      <c r="BN110" t="e" vm="2">
        <f t="shared" si="7"/>
        <v>#VALUE!</v>
      </c>
    </row>
    <row r="111" spans="1:66" x14ac:dyDescent="0.2">
      <c r="A111" s="21">
        <f>Prices!A110</f>
        <v>29068</v>
      </c>
      <c r="BC111" s="21" t="e" vm="1">
        <v>#REF!</v>
      </c>
      <c r="BD111" t="e" vm="1">
        <v>#REF!</v>
      </c>
      <c r="BF111" t="e" vm="2">
        <f t="shared" si="4"/>
        <v>#VALUE!</v>
      </c>
      <c r="BG111" t="e" vm="2">
        <f t="shared" si="5"/>
        <v>#VALUE!</v>
      </c>
      <c r="BJ111" s="21" t="e" vm="1">
        <v>#REF!</v>
      </c>
      <c r="BK111" t="e" vm="1">
        <v>#REF!</v>
      </c>
      <c r="BM111" t="e" vm="2">
        <f t="shared" si="6"/>
        <v>#VALUE!</v>
      </c>
      <c r="BN111" t="e" vm="2">
        <f t="shared" si="7"/>
        <v>#VALUE!</v>
      </c>
    </row>
    <row r="112" spans="1:66" x14ac:dyDescent="0.2">
      <c r="A112" s="21">
        <f>Prices!A111</f>
        <v>29099</v>
      </c>
      <c r="BC112" s="21" t="e" vm="1">
        <v>#REF!</v>
      </c>
      <c r="BD112" t="e" vm="1">
        <v>#REF!</v>
      </c>
      <c r="BF112" t="e" vm="2">
        <f t="shared" si="4"/>
        <v>#VALUE!</v>
      </c>
      <c r="BG112" t="e" vm="2">
        <f t="shared" si="5"/>
        <v>#VALUE!</v>
      </c>
      <c r="BJ112" s="21" t="e" vm="1">
        <v>#REF!</v>
      </c>
      <c r="BK112" t="e" vm="1">
        <v>#REF!</v>
      </c>
      <c r="BM112" t="e" vm="2">
        <f t="shared" si="6"/>
        <v>#VALUE!</v>
      </c>
      <c r="BN112" t="e" vm="2">
        <f t="shared" si="7"/>
        <v>#VALUE!</v>
      </c>
    </row>
    <row r="113" spans="1:66" x14ac:dyDescent="0.2">
      <c r="A113" s="21">
        <f>Prices!A112</f>
        <v>29129</v>
      </c>
      <c r="BC113" s="21" t="e" vm="1">
        <v>#REF!</v>
      </c>
      <c r="BD113" t="e" vm="1">
        <v>#REF!</v>
      </c>
      <c r="BF113" t="e" vm="2">
        <f t="shared" si="4"/>
        <v>#VALUE!</v>
      </c>
      <c r="BG113" t="e" vm="2">
        <f t="shared" si="5"/>
        <v>#VALUE!</v>
      </c>
      <c r="BJ113" s="21" t="e" vm="1">
        <v>#REF!</v>
      </c>
      <c r="BK113" t="e" vm="1">
        <v>#REF!</v>
      </c>
      <c r="BM113" t="e" vm="2">
        <f t="shared" si="6"/>
        <v>#VALUE!</v>
      </c>
      <c r="BN113" t="e" vm="2">
        <f t="shared" si="7"/>
        <v>#VALUE!</v>
      </c>
    </row>
    <row r="114" spans="1:66" x14ac:dyDescent="0.2">
      <c r="A114" s="21">
        <f>Prices!A113</f>
        <v>29160</v>
      </c>
      <c r="BC114" s="21" t="e" vm="1">
        <v>#REF!</v>
      </c>
      <c r="BD114" t="e" vm="1">
        <v>#REF!</v>
      </c>
      <c r="BF114" t="e" vm="2">
        <f t="shared" si="4"/>
        <v>#VALUE!</v>
      </c>
      <c r="BG114" t="e" vm="2">
        <f t="shared" si="5"/>
        <v>#VALUE!</v>
      </c>
      <c r="BJ114" s="21" t="e" vm="1">
        <v>#REF!</v>
      </c>
      <c r="BK114" t="e" vm="1">
        <v>#REF!</v>
      </c>
      <c r="BM114" t="e" vm="2">
        <f t="shared" si="6"/>
        <v>#VALUE!</v>
      </c>
      <c r="BN114" t="e" vm="2">
        <f t="shared" si="7"/>
        <v>#VALUE!</v>
      </c>
    </row>
    <row r="115" spans="1:66" x14ac:dyDescent="0.2">
      <c r="A115" s="21">
        <f>Prices!A114</f>
        <v>29190</v>
      </c>
      <c r="BC115" s="21" t="e" vm="1">
        <v>#REF!</v>
      </c>
      <c r="BD115" t="e" vm="1">
        <v>#REF!</v>
      </c>
      <c r="BF115" t="e" vm="2">
        <f t="shared" si="4"/>
        <v>#VALUE!</v>
      </c>
      <c r="BG115" t="e" vm="2">
        <f t="shared" si="5"/>
        <v>#VALUE!</v>
      </c>
      <c r="BJ115" s="21" t="e" vm="1">
        <v>#REF!</v>
      </c>
      <c r="BK115" t="e" vm="1">
        <v>#REF!</v>
      </c>
      <c r="BM115" t="e" vm="2">
        <f t="shared" si="6"/>
        <v>#VALUE!</v>
      </c>
      <c r="BN115" t="e" vm="2">
        <f t="shared" si="7"/>
        <v>#VALUE!</v>
      </c>
    </row>
    <row r="116" spans="1:66" x14ac:dyDescent="0.2">
      <c r="A116" s="21">
        <f>Prices!A115</f>
        <v>29221</v>
      </c>
      <c r="BC116" s="21" t="e" vm="1">
        <v>#REF!</v>
      </c>
      <c r="BD116" t="e" vm="1">
        <v>#REF!</v>
      </c>
      <c r="BF116" t="e" vm="2">
        <f t="shared" si="4"/>
        <v>#VALUE!</v>
      </c>
      <c r="BG116" t="e" vm="2">
        <f t="shared" si="5"/>
        <v>#VALUE!</v>
      </c>
      <c r="BJ116" s="21" t="e" vm="1">
        <v>#REF!</v>
      </c>
      <c r="BK116" t="e" vm="1">
        <v>#REF!</v>
      </c>
      <c r="BM116" t="e" vm="2">
        <f t="shared" si="6"/>
        <v>#VALUE!</v>
      </c>
      <c r="BN116" t="e" vm="2">
        <f t="shared" si="7"/>
        <v>#VALUE!</v>
      </c>
    </row>
    <row r="117" spans="1:66" x14ac:dyDescent="0.2">
      <c r="A117" s="21">
        <f>Prices!A116</f>
        <v>29252</v>
      </c>
      <c r="BC117" s="21" t="e" vm="1">
        <v>#REF!</v>
      </c>
      <c r="BD117" t="e" vm="1">
        <v>#REF!</v>
      </c>
      <c r="BF117" t="e" vm="2">
        <f t="shared" si="4"/>
        <v>#VALUE!</v>
      </c>
      <c r="BG117" t="e" vm="2">
        <f t="shared" si="5"/>
        <v>#VALUE!</v>
      </c>
      <c r="BJ117" s="21" t="e" vm="1">
        <v>#REF!</v>
      </c>
      <c r="BK117" t="e" vm="1">
        <v>#REF!</v>
      </c>
      <c r="BM117" t="e" vm="2">
        <f t="shared" si="6"/>
        <v>#VALUE!</v>
      </c>
      <c r="BN117" t="e" vm="2">
        <f t="shared" si="7"/>
        <v>#VALUE!</v>
      </c>
    </row>
    <row r="118" spans="1:66" x14ac:dyDescent="0.2">
      <c r="A118" s="21">
        <f>Prices!A117</f>
        <v>29281</v>
      </c>
      <c r="BC118" s="21" t="e" vm="1">
        <v>#REF!</v>
      </c>
      <c r="BD118" t="e" vm="1">
        <v>#REF!</v>
      </c>
      <c r="BF118" t="e" vm="2">
        <f t="shared" si="4"/>
        <v>#VALUE!</v>
      </c>
      <c r="BG118" t="e" vm="2">
        <f t="shared" si="5"/>
        <v>#VALUE!</v>
      </c>
      <c r="BJ118" s="21" t="e" vm="1">
        <v>#REF!</v>
      </c>
      <c r="BK118" t="e" vm="1">
        <v>#REF!</v>
      </c>
      <c r="BM118" t="e" vm="2">
        <f t="shared" si="6"/>
        <v>#VALUE!</v>
      </c>
      <c r="BN118" t="e" vm="2">
        <f t="shared" si="7"/>
        <v>#VALUE!</v>
      </c>
    </row>
    <row r="119" spans="1:66" x14ac:dyDescent="0.2">
      <c r="A119" s="21">
        <f>Prices!A118</f>
        <v>29312</v>
      </c>
      <c r="BC119" s="21" t="e" vm="1">
        <v>#REF!</v>
      </c>
      <c r="BD119" t="e" vm="1">
        <v>#REF!</v>
      </c>
      <c r="BF119" t="e" vm="2">
        <f t="shared" si="4"/>
        <v>#VALUE!</v>
      </c>
      <c r="BG119" t="e" vm="2">
        <f t="shared" si="5"/>
        <v>#VALUE!</v>
      </c>
      <c r="BJ119" s="21" t="e" vm="1">
        <v>#REF!</v>
      </c>
      <c r="BK119" t="e" vm="1">
        <v>#REF!</v>
      </c>
      <c r="BM119" t="e" vm="2">
        <f t="shared" si="6"/>
        <v>#VALUE!</v>
      </c>
      <c r="BN119" t="e" vm="2">
        <f t="shared" si="7"/>
        <v>#VALUE!</v>
      </c>
    </row>
    <row r="120" spans="1:66" x14ac:dyDescent="0.2">
      <c r="A120" s="21">
        <f>Prices!A119</f>
        <v>29342</v>
      </c>
      <c r="BC120" s="21" t="e" vm="1">
        <v>#REF!</v>
      </c>
      <c r="BD120" t="e" vm="1">
        <v>#REF!</v>
      </c>
      <c r="BF120" t="e" vm="2">
        <f t="shared" si="4"/>
        <v>#VALUE!</v>
      </c>
      <c r="BG120" t="e" vm="2">
        <f t="shared" si="5"/>
        <v>#VALUE!</v>
      </c>
      <c r="BJ120" s="21" t="e" vm="1">
        <v>#REF!</v>
      </c>
      <c r="BK120" t="e" vm="1">
        <v>#REF!</v>
      </c>
      <c r="BM120" t="e" vm="2">
        <f t="shared" si="6"/>
        <v>#VALUE!</v>
      </c>
      <c r="BN120" t="e" vm="2">
        <f t="shared" si="7"/>
        <v>#VALUE!</v>
      </c>
    </row>
    <row r="121" spans="1:66" x14ac:dyDescent="0.2">
      <c r="A121" s="21">
        <f>Prices!A120</f>
        <v>29373</v>
      </c>
      <c r="BC121" s="21" t="e" vm="1">
        <v>#REF!</v>
      </c>
      <c r="BD121" t="e" vm="1">
        <v>#REF!</v>
      </c>
      <c r="BF121" t="e" vm="2">
        <f t="shared" si="4"/>
        <v>#VALUE!</v>
      </c>
      <c r="BG121" t="e" vm="2">
        <f t="shared" si="5"/>
        <v>#VALUE!</v>
      </c>
      <c r="BJ121" s="21" t="e" vm="1">
        <v>#REF!</v>
      </c>
      <c r="BK121" t="e" vm="1">
        <v>#REF!</v>
      </c>
      <c r="BM121" t="e" vm="2">
        <f t="shared" si="6"/>
        <v>#VALUE!</v>
      </c>
      <c r="BN121" t="e" vm="2">
        <f t="shared" si="7"/>
        <v>#VALUE!</v>
      </c>
    </row>
    <row r="122" spans="1:66" x14ac:dyDescent="0.2">
      <c r="A122" s="21">
        <f>Prices!A121</f>
        <v>29403</v>
      </c>
      <c r="BC122" s="21" t="e" vm="1">
        <v>#REF!</v>
      </c>
      <c r="BD122" t="e" vm="1">
        <v>#REF!</v>
      </c>
      <c r="BF122" t="e" vm="2">
        <f t="shared" si="4"/>
        <v>#VALUE!</v>
      </c>
      <c r="BG122" t="e" vm="2">
        <f t="shared" si="5"/>
        <v>#VALUE!</v>
      </c>
      <c r="BJ122" s="21" t="e" vm="1">
        <v>#REF!</v>
      </c>
      <c r="BK122" t="e" vm="1">
        <v>#REF!</v>
      </c>
      <c r="BM122" t="e" vm="2">
        <f t="shared" si="6"/>
        <v>#VALUE!</v>
      </c>
      <c r="BN122" t="e" vm="2">
        <f t="shared" si="7"/>
        <v>#VALUE!</v>
      </c>
    </row>
    <row r="123" spans="1:66" x14ac:dyDescent="0.2">
      <c r="A123" s="21">
        <f>Prices!A122</f>
        <v>29434</v>
      </c>
      <c r="BC123" s="21" t="e" vm="1">
        <v>#REF!</v>
      </c>
      <c r="BD123" t="e" vm="1">
        <v>#REF!</v>
      </c>
      <c r="BF123" t="e" vm="2">
        <f t="shared" si="4"/>
        <v>#VALUE!</v>
      </c>
      <c r="BG123" t="e" vm="2">
        <f t="shared" si="5"/>
        <v>#VALUE!</v>
      </c>
      <c r="BJ123" s="21" t="e" vm="1">
        <v>#REF!</v>
      </c>
      <c r="BK123" t="e" vm="1">
        <v>#REF!</v>
      </c>
      <c r="BM123" t="e" vm="2">
        <f t="shared" si="6"/>
        <v>#VALUE!</v>
      </c>
      <c r="BN123" t="e" vm="2">
        <f t="shared" si="7"/>
        <v>#VALUE!</v>
      </c>
    </row>
    <row r="124" spans="1:66" x14ac:dyDescent="0.2">
      <c r="A124" s="21">
        <f>Prices!A123</f>
        <v>29465</v>
      </c>
      <c r="BC124" s="21" t="e" vm="1">
        <v>#REF!</v>
      </c>
      <c r="BD124" t="e" vm="1">
        <v>#REF!</v>
      </c>
      <c r="BF124" t="e" vm="2">
        <f t="shared" si="4"/>
        <v>#VALUE!</v>
      </c>
      <c r="BG124" t="e" vm="2">
        <f t="shared" si="5"/>
        <v>#VALUE!</v>
      </c>
      <c r="BJ124" s="21" t="e" vm="1">
        <v>#REF!</v>
      </c>
      <c r="BK124" t="e" vm="1">
        <v>#REF!</v>
      </c>
      <c r="BM124" t="e" vm="2">
        <f t="shared" si="6"/>
        <v>#VALUE!</v>
      </c>
      <c r="BN124" t="e" vm="2">
        <f t="shared" si="7"/>
        <v>#VALUE!</v>
      </c>
    </row>
    <row r="125" spans="1:66" x14ac:dyDescent="0.2">
      <c r="A125" s="21">
        <f>Prices!A124</f>
        <v>29495</v>
      </c>
      <c r="BC125" s="21" t="e" vm="1">
        <v>#REF!</v>
      </c>
      <c r="BD125" t="e" vm="1">
        <v>#REF!</v>
      </c>
      <c r="BF125" t="e" vm="2">
        <f t="shared" si="4"/>
        <v>#VALUE!</v>
      </c>
      <c r="BG125" t="e" vm="2">
        <f t="shared" si="5"/>
        <v>#VALUE!</v>
      </c>
      <c r="BJ125" s="21" t="e" vm="1">
        <v>#REF!</v>
      </c>
      <c r="BK125" t="e" vm="1">
        <v>#REF!</v>
      </c>
      <c r="BM125" t="e" vm="2">
        <f t="shared" si="6"/>
        <v>#VALUE!</v>
      </c>
      <c r="BN125" t="e" vm="2">
        <f t="shared" si="7"/>
        <v>#VALUE!</v>
      </c>
    </row>
    <row r="126" spans="1:66" x14ac:dyDescent="0.2">
      <c r="A126" s="21">
        <f>Prices!A125</f>
        <v>29526</v>
      </c>
      <c r="BC126" s="21" t="e" vm="1">
        <v>#REF!</v>
      </c>
      <c r="BD126" t="e" vm="1">
        <v>#REF!</v>
      </c>
      <c r="BF126" t="e" vm="2">
        <f t="shared" si="4"/>
        <v>#VALUE!</v>
      </c>
      <c r="BG126" t="e" vm="2">
        <f t="shared" si="5"/>
        <v>#VALUE!</v>
      </c>
      <c r="BJ126" s="21" t="e" vm="1">
        <v>#REF!</v>
      </c>
      <c r="BK126" t="e" vm="1">
        <v>#REF!</v>
      </c>
      <c r="BM126" t="e" vm="2">
        <f t="shared" si="6"/>
        <v>#VALUE!</v>
      </c>
      <c r="BN126" t="e" vm="2">
        <f t="shared" si="7"/>
        <v>#VALUE!</v>
      </c>
    </row>
    <row r="127" spans="1:66" x14ac:dyDescent="0.2">
      <c r="A127" s="21">
        <f>Prices!A126</f>
        <v>29556</v>
      </c>
      <c r="BC127" s="21" t="e" vm="1">
        <v>#REF!</v>
      </c>
      <c r="BD127" t="e" vm="1">
        <v>#REF!</v>
      </c>
      <c r="BF127" t="e" vm="2">
        <f t="shared" si="4"/>
        <v>#VALUE!</v>
      </c>
      <c r="BG127" t="e" vm="2">
        <f t="shared" si="5"/>
        <v>#VALUE!</v>
      </c>
      <c r="BJ127" s="21" t="e" vm="1">
        <v>#REF!</v>
      </c>
      <c r="BK127" t="e" vm="1">
        <v>#REF!</v>
      </c>
      <c r="BM127" t="e" vm="2">
        <f t="shared" si="6"/>
        <v>#VALUE!</v>
      </c>
      <c r="BN127" t="e" vm="2">
        <f t="shared" si="7"/>
        <v>#VALUE!</v>
      </c>
    </row>
    <row r="128" spans="1:66" x14ac:dyDescent="0.2">
      <c r="A128" s="21">
        <f>Prices!A127</f>
        <v>29587</v>
      </c>
      <c r="BC128" s="21" t="e" vm="1">
        <v>#REF!</v>
      </c>
      <c r="BD128" t="e" vm="1">
        <v>#REF!</v>
      </c>
      <c r="BF128" t="e" vm="2">
        <f t="shared" si="4"/>
        <v>#VALUE!</v>
      </c>
      <c r="BG128" t="e" vm="2">
        <f t="shared" si="5"/>
        <v>#VALUE!</v>
      </c>
      <c r="BJ128" s="21" t="e" vm="1">
        <v>#REF!</v>
      </c>
      <c r="BK128" t="e" vm="1">
        <v>#REF!</v>
      </c>
      <c r="BM128" t="e" vm="2">
        <f t="shared" si="6"/>
        <v>#VALUE!</v>
      </c>
      <c r="BN128" t="e" vm="2">
        <f t="shared" si="7"/>
        <v>#VALUE!</v>
      </c>
    </row>
    <row r="129" spans="1:66" x14ac:dyDescent="0.2">
      <c r="A129" s="21">
        <f>Prices!A128</f>
        <v>29618</v>
      </c>
      <c r="BC129" s="21" t="e" vm="1">
        <v>#REF!</v>
      </c>
      <c r="BD129" t="e" vm="1">
        <v>#REF!</v>
      </c>
      <c r="BF129" t="e" vm="2">
        <f t="shared" si="4"/>
        <v>#VALUE!</v>
      </c>
      <c r="BG129" t="e" vm="2">
        <f t="shared" si="5"/>
        <v>#VALUE!</v>
      </c>
      <c r="BJ129" s="21" t="e" vm="1">
        <v>#REF!</v>
      </c>
      <c r="BK129" t="e" vm="1">
        <v>#REF!</v>
      </c>
      <c r="BM129" t="e" vm="2">
        <f t="shared" si="6"/>
        <v>#VALUE!</v>
      </c>
      <c r="BN129" t="e" vm="2">
        <f t="shared" si="7"/>
        <v>#VALUE!</v>
      </c>
    </row>
    <row r="130" spans="1:66" x14ac:dyDescent="0.2">
      <c r="A130" s="21">
        <f>Prices!A129</f>
        <v>29646</v>
      </c>
      <c r="BC130" s="21" t="e" vm="1">
        <v>#REF!</v>
      </c>
      <c r="BD130" t="e" vm="1">
        <v>#REF!</v>
      </c>
      <c r="BF130" t="e" vm="2">
        <f t="shared" si="4"/>
        <v>#VALUE!</v>
      </c>
      <c r="BG130" t="e" vm="2">
        <f t="shared" si="5"/>
        <v>#VALUE!</v>
      </c>
      <c r="BJ130" s="21" t="e" vm="1">
        <v>#REF!</v>
      </c>
      <c r="BK130" t="e" vm="1">
        <v>#REF!</v>
      </c>
      <c r="BM130" t="e" vm="2">
        <f t="shared" si="6"/>
        <v>#VALUE!</v>
      </c>
      <c r="BN130" t="e" vm="2">
        <f t="shared" si="7"/>
        <v>#VALUE!</v>
      </c>
    </row>
    <row r="131" spans="1:66" x14ac:dyDescent="0.2">
      <c r="A131" s="21">
        <f>Prices!A130</f>
        <v>29677</v>
      </c>
      <c r="BC131" s="21" t="e" vm="1">
        <v>#REF!</v>
      </c>
      <c r="BD131" t="e" vm="1">
        <v>#REF!</v>
      </c>
      <c r="BF131" t="e" vm="2">
        <f t="shared" ref="BF131:BF194" si="8">MONTH(BC131)</f>
        <v>#VALUE!</v>
      </c>
      <c r="BG131" t="e" vm="2">
        <f t="shared" ref="BG131:BG194" si="9">YEAR(BC131)</f>
        <v>#VALUE!</v>
      </c>
      <c r="BJ131" s="21" t="e" vm="1">
        <v>#REF!</v>
      </c>
      <c r="BK131" t="e" vm="1">
        <v>#REF!</v>
      </c>
      <c r="BM131" t="e" vm="2">
        <f t="shared" si="6"/>
        <v>#VALUE!</v>
      </c>
      <c r="BN131" t="e" vm="2">
        <f t="shared" si="7"/>
        <v>#VALUE!</v>
      </c>
    </row>
    <row r="132" spans="1:66" x14ac:dyDescent="0.2">
      <c r="A132" s="21">
        <f>Prices!A131</f>
        <v>29707</v>
      </c>
      <c r="BC132" s="21" t="e" vm="1">
        <v>#REF!</v>
      </c>
      <c r="BD132" t="e" vm="1">
        <v>#REF!</v>
      </c>
      <c r="BF132" t="e" vm="2">
        <f t="shared" si="8"/>
        <v>#VALUE!</v>
      </c>
      <c r="BG132" t="e" vm="2">
        <f t="shared" si="9"/>
        <v>#VALUE!</v>
      </c>
      <c r="BJ132" s="21" t="e" vm="1">
        <v>#REF!</v>
      </c>
      <c r="BK132" t="e" vm="1">
        <v>#REF!</v>
      </c>
      <c r="BM132" t="e" vm="2">
        <f t="shared" ref="BM132:BM195" si="10">MONTH(BJ132)</f>
        <v>#VALUE!</v>
      </c>
      <c r="BN132" t="e" vm="2">
        <f t="shared" ref="BN132:BN195" si="11">YEAR(BJ132)</f>
        <v>#VALUE!</v>
      </c>
    </row>
    <row r="133" spans="1:66" x14ac:dyDescent="0.2">
      <c r="A133" s="21">
        <f>Prices!A132</f>
        <v>29738</v>
      </c>
      <c r="BC133" s="21" t="e" vm="1">
        <v>#REF!</v>
      </c>
      <c r="BD133" t="e" vm="1">
        <v>#REF!</v>
      </c>
      <c r="BF133" t="e" vm="2">
        <f t="shared" si="8"/>
        <v>#VALUE!</v>
      </c>
      <c r="BG133" t="e" vm="2">
        <f t="shared" si="9"/>
        <v>#VALUE!</v>
      </c>
      <c r="BJ133" s="21" t="e" vm="1">
        <v>#REF!</v>
      </c>
      <c r="BK133" t="e" vm="1">
        <v>#REF!</v>
      </c>
      <c r="BM133" t="e" vm="2">
        <f t="shared" si="10"/>
        <v>#VALUE!</v>
      </c>
      <c r="BN133" t="e" vm="2">
        <f t="shared" si="11"/>
        <v>#VALUE!</v>
      </c>
    </row>
    <row r="134" spans="1:66" x14ac:dyDescent="0.2">
      <c r="A134" s="21">
        <f>Prices!A133</f>
        <v>29768</v>
      </c>
      <c r="BC134" s="21" t="e" vm="1">
        <v>#REF!</v>
      </c>
      <c r="BD134" t="e" vm="1">
        <v>#REF!</v>
      </c>
      <c r="BF134" t="e" vm="2">
        <f t="shared" si="8"/>
        <v>#VALUE!</v>
      </c>
      <c r="BG134" t="e" vm="2">
        <f t="shared" si="9"/>
        <v>#VALUE!</v>
      </c>
      <c r="BJ134" s="21" t="e" vm="1">
        <v>#REF!</v>
      </c>
      <c r="BK134" t="e" vm="1">
        <v>#REF!</v>
      </c>
      <c r="BM134" t="e" vm="2">
        <f t="shared" si="10"/>
        <v>#VALUE!</v>
      </c>
      <c r="BN134" t="e" vm="2">
        <f t="shared" si="11"/>
        <v>#VALUE!</v>
      </c>
    </row>
    <row r="135" spans="1:66" x14ac:dyDescent="0.2">
      <c r="A135" s="21">
        <f>Prices!A134</f>
        <v>29799</v>
      </c>
      <c r="BC135" s="21" t="e" vm="1">
        <v>#REF!</v>
      </c>
      <c r="BD135" t="e" vm="1">
        <v>#REF!</v>
      </c>
      <c r="BF135" t="e" vm="2">
        <f t="shared" si="8"/>
        <v>#VALUE!</v>
      </c>
      <c r="BG135" t="e" vm="2">
        <f t="shared" si="9"/>
        <v>#VALUE!</v>
      </c>
      <c r="BJ135" s="21" t="e" vm="1">
        <v>#REF!</v>
      </c>
      <c r="BK135" t="e" vm="1">
        <v>#REF!</v>
      </c>
      <c r="BM135" t="e" vm="2">
        <f t="shared" si="10"/>
        <v>#VALUE!</v>
      </c>
      <c r="BN135" t="e" vm="2">
        <f t="shared" si="11"/>
        <v>#VALUE!</v>
      </c>
    </row>
    <row r="136" spans="1:66" x14ac:dyDescent="0.2">
      <c r="A136" s="21">
        <f>Prices!A135</f>
        <v>29830</v>
      </c>
      <c r="BC136" s="21" t="e" vm="1">
        <v>#REF!</v>
      </c>
      <c r="BD136" t="e" vm="1">
        <v>#REF!</v>
      </c>
      <c r="BF136" t="e" vm="2">
        <f t="shared" si="8"/>
        <v>#VALUE!</v>
      </c>
      <c r="BG136" t="e" vm="2">
        <f t="shared" si="9"/>
        <v>#VALUE!</v>
      </c>
      <c r="BJ136" s="21" t="e" vm="1">
        <v>#REF!</v>
      </c>
      <c r="BK136" t="e" vm="1">
        <v>#REF!</v>
      </c>
      <c r="BM136" t="e" vm="2">
        <f t="shared" si="10"/>
        <v>#VALUE!</v>
      </c>
      <c r="BN136" t="e" vm="2">
        <f t="shared" si="11"/>
        <v>#VALUE!</v>
      </c>
    </row>
    <row r="137" spans="1:66" x14ac:dyDescent="0.2">
      <c r="A137" s="21">
        <f>Prices!A136</f>
        <v>29860</v>
      </c>
      <c r="BC137" s="21" t="e" vm="1">
        <v>#REF!</v>
      </c>
      <c r="BD137" t="e" vm="1">
        <v>#REF!</v>
      </c>
      <c r="BF137" t="e" vm="2">
        <f t="shared" si="8"/>
        <v>#VALUE!</v>
      </c>
      <c r="BG137" t="e" vm="2">
        <f t="shared" si="9"/>
        <v>#VALUE!</v>
      </c>
      <c r="BJ137" s="21" t="e" vm="1">
        <v>#REF!</v>
      </c>
      <c r="BK137" t="e" vm="1">
        <v>#REF!</v>
      </c>
      <c r="BM137" t="e" vm="2">
        <f t="shared" si="10"/>
        <v>#VALUE!</v>
      </c>
      <c r="BN137" t="e" vm="2">
        <f t="shared" si="11"/>
        <v>#VALUE!</v>
      </c>
    </row>
    <row r="138" spans="1:66" x14ac:dyDescent="0.2">
      <c r="A138" s="21">
        <f>Prices!A137</f>
        <v>29891</v>
      </c>
      <c r="BC138" s="21" t="e" vm="1">
        <v>#REF!</v>
      </c>
      <c r="BD138" t="e" vm="1">
        <v>#REF!</v>
      </c>
      <c r="BF138" t="e" vm="2">
        <f t="shared" si="8"/>
        <v>#VALUE!</v>
      </c>
      <c r="BG138" t="e" vm="2">
        <f t="shared" si="9"/>
        <v>#VALUE!</v>
      </c>
      <c r="BJ138" s="21" t="e" vm="1">
        <v>#REF!</v>
      </c>
      <c r="BK138" t="e" vm="1">
        <v>#REF!</v>
      </c>
      <c r="BM138" t="e" vm="2">
        <f t="shared" si="10"/>
        <v>#VALUE!</v>
      </c>
      <c r="BN138" t="e" vm="2">
        <f t="shared" si="11"/>
        <v>#VALUE!</v>
      </c>
    </row>
    <row r="139" spans="1:66" x14ac:dyDescent="0.2">
      <c r="A139" s="21">
        <f>Prices!A138</f>
        <v>29921</v>
      </c>
      <c r="BC139" s="21" t="e" vm="1">
        <v>#REF!</v>
      </c>
      <c r="BD139" t="e" vm="1">
        <v>#REF!</v>
      </c>
      <c r="BF139" t="e" vm="2">
        <f t="shared" si="8"/>
        <v>#VALUE!</v>
      </c>
      <c r="BG139" t="e" vm="2">
        <f t="shared" si="9"/>
        <v>#VALUE!</v>
      </c>
      <c r="BJ139" s="21" t="e" vm="1">
        <v>#REF!</v>
      </c>
      <c r="BK139" t="e" vm="1">
        <v>#REF!</v>
      </c>
      <c r="BM139" t="e" vm="2">
        <f t="shared" si="10"/>
        <v>#VALUE!</v>
      </c>
      <c r="BN139" t="e" vm="2">
        <f t="shared" si="11"/>
        <v>#VALUE!</v>
      </c>
    </row>
    <row r="140" spans="1:66" x14ac:dyDescent="0.2">
      <c r="A140" s="21">
        <f>Prices!A139</f>
        <v>29952</v>
      </c>
      <c r="BC140" s="21" t="e" vm="1">
        <v>#REF!</v>
      </c>
      <c r="BD140" t="e" vm="1">
        <v>#REF!</v>
      </c>
      <c r="BF140" t="e" vm="2">
        <f t="shared" si="8"/>
        <v>#VALUE!</v>
      </c>
      <c r="BG140" t="e" vm="2">
        <f t="shared" si="9"/>
        <v>#VALUE!</v>
      </c>
      <c r="BJ140" s="21" t="e" vm="1">
        <v>#REF!</v>
      </c>
      <c r="BK140" t="e" vm="1">
        <v>#REF!</v>
      </c>
      <c r="BM140" t="e" vm="2">
        <f t="shared" si="10"/>
        <v>#VALUE!</v>
      </c>
      <c r="BN140" t="e" vm="2">
        <f t="shared" si="11"/>
        <v>#VALUE!</v>
      </c>
    </row>
    <row r="141" spans="1:66" x14ac:dyDescent="0.2">
      <c r="A141" s="21">
        <f>Prices!A140</f>
        <v>29983</v>
      </c>
      <c r="BC141" s="21" t="e" vm="1">
        <v>#REF!</v>
      </c>
      <c r="BD141" t="e" vm="1">
        <v>#REF!</v>
      </c>
      <c r="BF141" t="e" vm="2">
        <f t="shared" si="8"/>
        <v>#VALUE!</v>
      </c>
      <c r="BG141" t="e" vm="2">
        <f t="shared" si="9"/>
        <v>#VALUE!</v>
      </c>
      <c r="BJ141" s="21" t="e" vm="1">
        <v>#REF!</v>
      </c>
      <c r="BK141" t="e" vm="1">
        <v>#REF!</v>
      </c>
      <c r="BM141" t="e" vm="2">
        <f t="shared" si="10"/>
        <v>#VALUE!</v>
      </c>
      <c r="BN141" t="e" vm="2">
        <f t="shared" si="11"/>
        <v>#VALUE!</v>
      </c>
    </row>
    <row r="142" spans="1:66" x14ac:dyDescent="0.2">
      <c r="A142" s="21">
        <f>Prices!A141</f>
        <v>30011</v>
      </c>
      <c r="BC142" s="21" t="e" vm="1">
        <v>#REF!</v>
      </c>
      <c r="BD142" t="e" vm="1">
        <v>#REF!</v>
      </c>
      <c r="BF142" t="e" vm="2">
        <f t="shared" si="8"/>
        <v>#VALUE!</v>
      </c>
      <c r="BG142" t="e" vm="2">
        <f t="shared" si="9"/>
        <v>#VALUE!</v>
      </c>
      <c r="BJ142" s="21" t="e" vm="1">
        <v>#REF!</v>
      </c>
      <c r="BK142" t="e" vm="1">
        <v>#REF!</v>
      </c>
      <c r="BM142" t="e" vm="2">
        <f t="shared" si="10"/>
        <v>#VALUE!</v>
      </c>
      <c r="BN142" t="e" vm="2">
        <f t="shared" si="11"/>
        <v>#VALUE!</v>
      </c>
    </row>
    <row r="143" spans="1:66" x14ac:dyDescent="0.2">
      <c r="A143" s="21">
        <f>Prices!A142</f>
        <v>30042</v>
      </c>
      <c r="BC143" s="21" t="e" vm="1">
        <v>#REF!</v>
      </c>
      <c r="BD143" t="e" vm="1">
        <v>#REF!</v>
      </c>
      <c r="BF143" t="e" vm="2">
        <f t="shared" si="8"/>
        <v>#VALUE!</v>
      </c>
      <c r="BG143" t="e" vm="2">
        <f t="shared" si="9"/>
        <v>#VALUE!</v>
      </c>
      <c r="BJ143" s="21" t="e" vm="1">
        <v>#REF!</v>
      </c>
      <c r="BK143" t="e" vm="1">
        <v>#REF!</v>
      </c>
      <c r="BM143" t="e" vm="2">
        <f t="shared" si="10"/>
        <v>#VALUE!</v>
      </c>
      <c r="BN143" t="e" vm="2">
        <f t="shared" si="11"/>
        <v>#VALUE!</v>
      </c>
    </row>
    <row r="144" spans="1:66" x14ac:dyDescent="0.2">
      <c r="A144" s="21">
        <f>Prices!A143</f>
        <v>30072</v>
      </c>
      <c r="BC144" s="21" t="e" vm="1">
        <v>#REF!</v>
      </c>
      <c r="BD144" t="e" vm="1">
        <v>#REF!</v>
      </c>
      <c r="BF144" t="e" vm="2">
        <f t="shared" si="8"/>
        <v>#VALUE!</v>
      </c>
      <c r="BG144" t="e" vm="2">
        <f t="shared" si="9"/>
        <v>#VALUE!</v>
      </c>
      <c r="BJ144" s="21" t="e" vm="1">
        <v>#REF!</v>
      </c>
      <c r="BK144" t="e" vm="1">
        <v>#REF!</v>
      </c>
      <c r="BM144" t="e" vm="2">
        <f t="shared" si="10"/>
        <v>#VALUE!</v>
      </c>
      <c r="BN144" t="e" vm="2">
        <f t="shared" si="11"/>
        <v>#VALUE!</v>
      </c>
    </row>
    <row r="145" spans="1:66" x14ac:dyDescent="0.2">
      <c r="A145" s="21">
        <f>Prices!A144</f>
        <v>30103</v>
      </c>
      <c r="BC145" s="21" t="e" vm="1">
        <v>#REF!</v>
      </c>
      <c r="BD145" t="e" vm="1">
        <v>#REF!</v>
      </c>
      <c r="BF145" t="e" vm="2">
        <f t="shared" si="8"/>
        <v>#VALUE!</v>
      </c>
      <c r="BG145" t="e" vm="2">
        <f t="shared" si="9"/>
        <v>#VALUE!</v>
      </c>
      <c r="BJ145" s="21" t="e" vm="1">
        <v>#REF!</v>
      </c>
      <c r="BK145" t="e" vm="1">
        <v>#REF!</v>
      </c>
      <c r="BM145" t="e" vm="2">
        <f t="shared" si="10"/>
        <v>#VALUE!</v>
      </c>
      <c r="BN145" t="e" vm="2">
        <f t="shared" si="11"/>
        <v>#VALUE!</v>
      </c>
    </row>
    <row r="146" spans="1:66" x14ac:dyDescent="0.2">
      <c r="A146" s="21">
        <f>Prices!A145</f>
        <v>30133</v>
      </c>
      <c r="BC146" s="21" t="e" vm="1">
        <v>#REF!</v>
      </c>
      <c r="BD146" t="e" vm="1">
        <v>#REF!</v>
      </c>
      <c r="BF146" t="e" vm="2">
        <f t="shared" si="8"/>
        <v>#VALUE!</v>
      </c>
      <c r="BG146" t="e" vm="2">
        <f t="shared" si="9"/>
        <v>#VALUE!</v>
      </c>
      <c r="BJ146" s="21" t="e" vm="1">
        <v>#REF!</v>
      </c>
      <c r="BK146" t="e" vm="1">
        <v>#REF!</v>
      </c>
      <c r="BM146" t="e" vm="2">
        <f t="shared" si="10"/>
        <v>#VALUE!</v>
      </c>
      <c r="BN146" t="e" vm="2">
        <f t="shared" si="11"/>
        <v>#VALUE!</v>
      </c>
    </row>
    <row r="147" spans="1:66" x14ac:dyDescent="0.2">
      <c r="A147" s="21">
        <f>Prices!A146</f>
        <v>30164</v>
      </c>
      <c r="BC147" s="21" t="e" vm="1">
        <v>#REF!</v>
      </c>
      <c r="BD147" t="e" vm="1">
        <v>#REF!</v>
      </c>
      <c r="BF147" t="e" vm="2">
        <f t="shared" si="8"/>
        <v>#VALUE!</v>
      </c>
      <c r="BG147" t="e" vm="2">
        <f t="shared" si="9"/>
        <v>#VALUE!</v>
      </c>
      <c r="BJ147" s="21" t="e" vm="1">
        <v>#REF!</v>
      </c>
      <c r="BK147" t="e" vm="1">
        <v>#REF!</v>
      </c>
      <c r="BM147" t="e" vm="2">
        <f t="shared" si="10"/>
        <v>#VALUE!</v>
      </c>
      <c r="BN147" t="e" vm="2">
        <f t="shared" si="11"/>
        <v>#VALUE!</v>
      </c>
    </row>
    <row r="148" spans="1:66" x14ac:dyDescent="0.2">
      <c r="A148" s="21">
        <f>Prices!A147</f>
        <v>30195</v>
      </c>
      <c r="BC148" s="21" t="e" vm="1">
        <v>#REF!</v>
      </c>
      <c r="BD148" t="e" vm="1">
        <v>#REF!</v>
      </c>
      <c r="BF148" t="e" vm="2">
        <f t="shared" si="8"/>
        <v>#VALUE!</v>
      </c>
      <c r="BG148" t="e" vm="2">
        <f t="shared" si="9"/>
        <v>#VALUE!</v>
      </c>
      <c r="BJ148" s="21" t="e" vm="1">
        <v>#REF!</v>
      </c>
      <c r="BK148" t="e" vm="1">
        <v>#REF!</v>
      </c>
      <c r="BM148" t="e" vm="2">
        <f t="shared" si="10"/>
        <v>#VALUE!</v>
      </c>
      <c r="BN148" t="e" vm="2">
        <f t="shared" si="11"/>
        <v>#VALUE!</v>
      </c>
    </row>
    <row r="149" spans="1:66" x14ac:dyDescent="0.2">
      <c r="A149" s="21">
        <f>Prices!A148</f>
        <v>30225</v>
      </c>
      <c r="BC149" s="21" t="e" vm="1">
        <v>#REF!</v>
      </c>
      <c r="BD149" t="e" vm="1">
        <v>#REF!</v>
      </c>
      <c r="BF149" t="e" vm="2">
        <f t="shared" si="8"/>
        <v>#VALUE!</v>
      </c>
      <c r="BG149" t="e" vm="2">
        <f t="shared" si="9"/>
        <v>#VALUE!</v>
      </c>
      <c r="BJ149" s="21" t="e" vm="1">
        <v>#REF!</v>
      </c>
      <c r="BK149" t="e" vm="1">
        <v>#REF!</v>
      </c>
      <c r="BM149" t="e" vm="2">
        <f t="shared" si="10"/>
        <v>#VALUE!</v>
      </c>
      <c r="BN149" t="e" vm="2">
        <f t="shared" si="11"/>
        <v>#VALUE!</v>
      </c>
    </row>
    <row r="150" spans="1:66" x14ac:dyDescent="0.2">
      <c r="A150" s="21">
        <f>Prices!A149</f>
        <v>30256</v>
      </c>
      <c r="BC150" s="21" t="e" vm="1">
        <v>#REF!</v>
      </c>
      <c r="BD150" t="e" vm="1">
        <v>#REF!</v>
      </c>
      <c r="BF150" t="e" vm="2">
        <f t="shared" si="8"/>
        <v>#VALUE!</v>
      </c>
      <c r="BG150" t="e" vm="2">
        <f t="shared" si="9"/>
        <v>#VALUE!</v>
      </c>
      <c r="BJ150" s="21" t="e" vm="1">
        <v>#REF!</v>
      </c>
      <c r="BK150" t="e" vm="1">
        <v>#REF!</v>
      </c>
      <c r="BM150" t="e" vm="2">
        <f t="shared" si="10"/>
        <v>#VALUE!</v>
      </c>
      <c r="BN150" t="e" vm="2">
        <f t="shared" si="11"/>
        <v>#VALUE!</v>
      </c>
    </row>
    <row r="151" spans="1:66" x14ac:dyDescent="0.2">
      <c r="A151" s="21">
        <f>Prices!A150</f>
        <v>30286</v>
      </c>
      <c r="BC151" s="21" t="e" vm="1">
        <v>#REF!</v>
      </c>
      <c r="BD151" t="e" vm="1">
        <v>#REF!</v>
      </c>
      <c r="BF151" t="e" vm="2">
        <f t="shared" si="8"/>
        <v>#VALUE!</v>
      </c>
      <c r="BG151" t="e" vm="2">
        <f t="shared" si="9"/>
        <v>#VALUE!</v>
      </c>
      <c r="BJ151" s="21" t="e" vm="1">
        <v>#REF!</v>
      </c>
      <c r="BK151" t="e" vm="1">
        <v>#REF!</v>
      </c>
      <c r="BM151" t="e" vm="2">
        <f t="shared" si="10"/>
        <v>#VALUE!</v>
      </c>
      <c r="BN151" t="e" vm="2">
        <f t="shared" si="11"/>
        <v>#VALUE!</v>
      </c>
    </row>
    <row r="152" spans="1:66" x14ac:dyDescent="0.2">
      <c r="A152" s="21">
        <f>Prices!A151</f>
        <v>30317</v>
      </c>
      <c r="BC152" s="21" t="e" vm="1">
        <v>#REF!</v>
      </c>
      <c r="BD152" t="e" vm="1">
        <v>#REF!</v>
      </c>
      <c r="BF152" t="e" vm="2">
        <f t="shared" si="8"/>
        <v>#VALUE!</v>
      </c>
      <c r="BG152" t="e" vm="2">
        <f t="shared" si="9"/>
        <v>#VALUE!</v>
      </c>
      <c r="BJ152" s="21" t="e" vm="1">
        <v>#REF!</v>
      </c>
      <c r="BK152" t="e" vm="1">
        <v>#REF!</v>
      </c>
      <c r="BM152" t="e" vm="2">
        <f t="shared" si="10"/>
        <v>#VALUE!</v>
      </c>
      <c r="BN152" t="e" vm="2">
        <f t="shared" si="11"/>
        <v>#VALUE!</v>
      </c>
    </row>
    <row r="153" spans="1:66" x14ac:dyDescent="0.2">
      <c r="A153" s="21">
        <f>Prices!A152</f>
        <v>30348</v>
      </c>
      <c r="BC153" s="21" t="e" vm="1">
        <v>#REF!</v>
      </c>
      <c r="BD153" t="e" vm="1">
        <v>#REF!</v>
      </c>
      <c r="BF153" t="e" vm="2">
        <f t="shared" si="8"/>
        <v>#VALUE!</v>
      </c>
      <c r="BG153" t="e" vm="2">
        <f t="shared" si="9"/>
        <v>#VALUE!</v>
      </c>
      <c r="BJ153" s="21" t="e" vm="1">
        <v>#REF!</v>
      </c>
      <c r="BK153" t="e" vm="1">
        <v>#REF!</v>
      </c>
      <c r="BM153" t="e" vm="2">
        <f t="shared" si="10"/>
        <v>#VALUE!</v>
      </c>
      <c r="BN153" t="e" vm="2">
        <f t="shared" si="11"/>
        <v>#VALUE!</v>
      </c>
    </row>
    <row r="154" spans="1:66" x14ac:dyDescent="0.2">
      <c r="A154" s="21">
        <f>Prices!A153</f>
        <v>30376</v>
      </c>
      <c r="BC154" s="21" t="e" vm="1">
        <v>#REF!</v>
      </c>
      <c r="BD154" t="e" vm="1">
        <v>#REF!</v>
      </c>
      <c r="BF154" t="e" vm="2">
        <f t="shared" si="8"/>
        <v>#VALUE!</v>
      </c>
      <c r="BG154" t="e" vm="2">
        <f t="shared" si="9"/>
        <v>#VALUE!</v>
      </c>
      <c r="BJ154" s="21" t="e" vm="1">
        <v>#REF!</v>
      </c>
      <c r="BK154" t="e" vm="1">
        <v>#REF!</v>
      </c>
      <c r="BM154" t="e" vm="2">
        <f t="shared" si="10"/>
        <v>#VALUE!</v>
      </c>
      <c r="BN154" t="e" vm="2">
        <f t="shared" si="11"/>
        <v>#VALUE!</v>
      </c>
    </row>
    <row r="155" spans="1:66" x14ac:dyDescent="0.2">
      <c r="A155" s="21">
        <f>Prices!A154</f>
        <v>30407</v>
      </c>
      <c r="BC155" s="21" t="e" vm="1">
        <v>#REF!</v>
      </c>
      <c r="BD155" t="e" vm="1">
        <v>#REF!</v>
      </c>
      <c r="BF155" t="e" vm="2">
        <f t="shared" si="8"/>
        <v>#VALUE!</v>
      </c>
      <c r="BG155" t="e" vm="2">
        <f t="shared" si="9"/>
        <v>#VALUE!</v>
      </c>
      <c r="BJ155" s="21" t="e" vm="1">
        <v>#REF!</v>
      </c>
      <c r="BK155" t="e" vm="1">
        <v>#REF!</v>
      </c>
      <c r="BM155" t="e" vm="2">
        <f t="shared" si="10"/>
        <v>#VALUE!</v>
      </c>
      <c r="BN155" t="e" vm="2">
        <f t="shared" si="11"/>
        <v>#VALUE!</v>
      </c>
    </row>
    <row r="156" spans="1:66" x14ac:dyDescent="0.2">
      <c r="A156" s="21">
        <f>Prices!A155</f>
        <v>30437</v>
      </c>
      <c r="BC156" s="21" t="e" vm="1">
        <v>#REF!</v>
      </c>
      <c r="BD156" t="e" vm="1">
        <v>#REF!</v>
      </c>
      <c r="BF156" t="e" vm="2">
        <f t="shared" si="8"/>
        <v>#VALUE!</v>
      </c>
      <c r="BG156" t="e" vm="2">
        <f t="shared" si="9"/>
        <v>#VALUE!</v>
      </c>
      <c r="BJ156" s="21" t="e" vm="1">
        <v>#REF!</v>
      </c>
      <c r="BK156" t="e" vm="1">
        <v>#REF!</v>
      </c>
      <c r="BM156" t="e" vm="2">
        <f t="shared" si="10"/>
        <v>#VALUE!</v>
      </c>
      <c r="BN156" t="e" vm="2">
        <f t="shared" si="11"/>
        <v>#VALUE!</v>
      </c>
    </row>
    <row r="157" spans="1:66" x14ac:dyDescent="0.2">
      <c r="A157" s="21">
        <f>Prices!A156</f>
        <v>30468</v>
      </c>
      <c r="BC157" s="21" t="e" vm="1">
        <v>#REF!</v>
      </c>
      <c r="BD157" t="e" vm="1">
        <v>#REF!</v>
      </c>
      <c r="BF157" t="e" vm="2">
        <f t="shared" si="8"/>
        <v>#VALUE!</v>
      </c>
      <c r="BG157" t="e" vm="2">
        <f t="shared" si="9"/>
        <v>#VALUE!</v>
      </c>
      <c r="BJ157" s="21" t="e" vm="1">
        <v>#REF!</v>
      </c>
      <c r="BK157" t="e" vm="1">
        <v>#REF!</v>
      </c>
      <c r="BM157" t="e" vm="2">
        <f t="shared" si="10"/>
        <v>#VALUE!</v>
      </c>
      <c r="BN157" t="e" vm="2">
        <f t="shared" si="11"/>
        <v>#VALUE!</v>
      </c>
    </row>
    <row r="158" spans="1:66" x14ac:dyDescent="0.2">
      <c r="A158" s="21">
        <f>Prices!A157</f>
        <v>30498</v>
      </c>
      <c r="BC158" s="21" t="e" vm="1">
        <v>#REF!</v>
      </c>
      <c r="BD158" t="e" vm="1">
        <v>#REF!</v>
      </c>
      <c r="BF158" t="e" vm="2">
        <f t="shared" si="8"/>
        <v>#VALUE!</v>
      </c>
      <c r="BG158" t="e" vm="2">
        <f t="shared" si="9"/>
        <v>#VALUE!</v>
      </c>
      <c r="BJ158" s="21" t="e" vm="1">
        <v>#REF!</v>
      </c>
      <c r="BK158" t="e" vm="1">
        <v>#REF!</v>
      </c>
      <c r="BM158" t="e" vm="2">
        <f t="shared" si="10"/>
        <v>#VALUE!</v>
      </c>
      <c r="BN158" t="e" vm="2">
        <f t="shared" si="11"/>
        <v>#VALUE!</v>
      </c>
    </row>
    <row r="159" spans="1:66" x14ac:dyDescent="0.2">
      <c r="A159" s="21">
        <f>Prices!A158</f>
        <v>30529</v>
      </c>
      <c r="BC159" s="21" t="e" vm="1">
        <v>#REF!</v>
      </c>
      <c r="BD159" t="e" vm="1">
        <v>#REF!</v>
      </c>
      <c r="BF159" t="e" vm="2">
        <f t="shared" si="8"/>
        <v>#VALUE!</v>
      </c>
      <c r="BG159" t="e" vm="2">
        <f t="shared" si="9"/>
        <v>#VALUE!</v>
      </c>
      <c r="BJ159" s="21" t="e" vm="1">
        <v>#REF!</v>
      </c>
      <c r="BK159" t="e" vm="1">
        <v>#REF!</v>
      </c>
      <c r="BM159" t="e" vm="2">
        <f t="shared" si="10"/>
        <v>#VALUE!</v>
      </c>
      <c r="BN159" t="e" vm="2">
        <f t="shared" si="11"/>
        <v>#VALUE!</v>
      </c>
    </row>
    <row r="160" spans="1:66" x14ac:dyDescent="0.2">
      <c r="A160" s="21">
        <f>Prices!A159</f>
        <v>30560</v>
      </c>
      <c r="BC160" s="21" t="e" vm="1">
        <v>#REF!</v>
      </c>
      <c r="BD160" t="e" vm="1">
        <v>#REF!</v>
      </c>
      <c r="BF160" t="e" vm="2">
        <f t="shared" si="8"/>
        <v>#VALUE!</v>
      </c>
      <c r="BG160" t="e" vm="2">
        <f t="shared" si="9"/>
        <v>#VALUE!</v>
      </c>
      <c r="BJ160" s="21" t="e" vm="1">
        <v>#REF!</v>
      </c>
      <c r="BK160" t="e" vm="1">
        <v>#REF!</v>
      </c>
      <c r="BM160" t="e" vm="2">
        <f t="shared" si="10"/>
        <v>#VALUE!</v>
      </c>
      <c r="BN160" t="e" vm="2">
        <f t="shared" si="11"/>
        <v>#VALUE!</v>
      </c>
    </row>
    <row r="161" spans="1:66" x14ac:dyDescent="0.2">
      <c r="A161" s="21">
        <f>Prices!A160</f>
        <v>30590</v>
      </c>
      <c r="BC161" s="21" t="e" vm="1">
        <v>#REF!</v>
      </c>
      <c r="BD161" t="e" vm="1">
        <v>#REF!</v>
      </c>
      <c r="BF161" t="e" vm="2">
        <f t="shared" si="8"/>
        <v>#VALUE!</v>
      </c>
      <c r="BG161" t="e" vm="2">
        <f t="shared" si="9"/>
        <v>#VALUE!</v>
      </c>
      <c r="BJ161" s="21" t="e" vm="1">
        <v>#REF!</v>
      </c>
      <c r="BK161" t="e" vm="1">
        <v>#REF!</v>
      </c>
      <c r="BM161" t="e" vm="2">
        <f t="shared" si="10"/>
        <v>#VALUE!</v>
      </c>
      <c r="BN161" t="e" vm="2">
        <f t="shared" si="11"/>
        <v>#VALUE!</v>
      </c>
    </row>
    <row r="162" spans="1:66" x14ac:dyDescent="0.2">
      <c r="A162" s="21">
        <f>Prices!A161</f>
        <v>30621</v>
      </c>
      <c r="BC162" s="21" t="e" vm="1">
        <v>#REF!</v>
      </c>
      <c r="BD162" t="e" vm="1">
        <v>#REF!</v>
      </c>
      <c r="BF162" t="e" vm="2">
        <f t="shared" si="8"/>
        <v>#VALUE!</v>
      </c>
      <c r="BG162" t="e" vm="2">
        <f t="shared" si="9"/>
        <v>#VALUE!</v>
      </c>
      <c r="BJ162" s="21" t="e" vm="1">
        <v>#REF!</v>
      </c>
      <c r="BK162" t="e" vm="1">
        <v>#REF!</v>
      </c>
      <c r="BM162" t="e" vm="2">
        <f t="shared" si="10"/>
        <v>#VALUE!</v>
      </c>
      <c r="BN162" t="e" vm="2">
        <f t="shared" si="11"/>
        <v>#VALUE!</v>
      </c>
    </row>
    <row r="163" spans="1:66" x14ac:dyDescent="0.2">
      <c r="A163" s="21">
        <f>Prices!A162</f>
        <v>30651</v>
      </c>
      <c r="BC163" s="21" t="e" vm="1">
        <v>#REF!</v>
      </c>
      <c r="BD163" t="e" vm="1">
        <v>#REF!</v>
      </c>
      <c r="BF163" t="e" vm="2">
        <f t="shared" si="8"/>
        <v>#VALUE!</v>
      </c>
      <c r="BG163" t="e" vm="2">
        <f t="shared" si="9"/>
        <v>#VALUE!</v>
      </c>
      <c r="BJ163" s="21" t="e" vm="1">
        <v>#REF!</v>
      </c>
      <c r="BK163" t="e" vm="1">
        <v>#REF!</v>
      </c>
      <c r="BM163" t="e" vm="2">
        <f t="shared" si="10"/>
        <v>#VALUE!</v>
      </c>
      <c r="BN163" t="e" vm="2">
        <f t="shared" si="11"/>
        <v>#VALUE!</v>
      </c>
    </row>
    <row r="164" spans="1:66" x14ac:dyDescent="0.2">
      <c r="A164" s="21">
        <f>Prices!A163</f>
        <v>30682</v>
      </c>
      <c r="BC164" s="21" t="e" vm="1">
        <v>#REF!</v>
      </c>
      <c r="BD164" t="e" vm="1">
        <v>#REF!</v>
      </c>
      <c r="BF164" t="e" vm="2">
        <f t="shared" si="8"/>
        <v>#VALUE!</v>
      </c>
      <c r="BG164" t="e" vm="2">
        <f t="shared" si="9"/>
        <v>#VALUE!</v>
      </c>
      <c r="BJ164" s="21" t="e" vm="1">
        <v>#REF!</v>
      </c>
      <c r="BK164" t="e" vm="1">
        <v>#REF!</v>
      </c>
      <c r="BM164" t="e" vm="2">
        <f t="shared" si="10"/>
        <v>#VALUE!</v>
      </c>
      <c r="BN164" t="e" vm="2">
        <f t="shared" si="11"/>
        <v>#VALUE!</v>
      </c>
    </row>
    <row r="165" spans="1:66" x14ac:dyDescent="0.2">
      <c r="A165" s="21">
        <f>Prices!A164</f>
        <v>30713</v>
      </c>
      <c r="BC165" s="21" t="e" vm="1">
        <v>#REF!</v>
      </c>
      <c r="BD165" t="e" vm="1">
        <v>#REF!</v>
      </c>
      <c r="BF165" t="e" vm="2">
        <f t="shared" si="8"/>
        <v>#VALUE!</v>
      </c>
      <c r="BG165" t="e" vm="2">
        <f t="shared" si="9"/>
        <v>#VALUE!</v>
      </c>
      <c r="BJ165" s="21" t="e" vm="1">
        <v>#REF!</v>
      </c>
      <c r="BK165" t="e" vm="1">
        <v>#REF!</v>
      </c>
      <c r="BM165" t="e" vm="2">
        <f t="shared" si="10"/>
        <v>#VALUE!</v>
      </c>
      <c r="BN165" t="e" vm="2">
        <f t="shared" si="11"/>
        <v>#VALUE!</v>
      </c>
    </row>
    <row r="166" spans="1:66" x14ac:dyDescent="0.2">
      <c r="A166" s="21">
        <f>Prices!A165</f>
        <v>30742</v>
      </c>
      <c r="BC166" s="21" t="e" vm="1">
        <v>#REF!</v>
      </c>
      <c r="BD166" t="e" vm="1">
        <v>#REF!</v>
      </c>
      <c r="BF166" t="e" vm="2">
        <f t="shared" si="8"/>
        <v>#VALUE!</v>
      </c>
      <c r="BG166" t="e" vm="2">
        <f t="shared" si="9"/>
        <v>#VALUE!</v>
      </c>
      <c r="BJ166" s="21" t="e" vm="1">
        <v>#REF!</v>
      </c>
      <c r="BK166" t="e" vm="1">
        <v>#REF!</v>
      </c>
      <c r="BM166" t="e" vm="2">
        <f t="shared" si="10"/>
        <v>#VALUE!</v>
      </c>
      <c r="BN166" t="e" vm="2">
        <f t="shared" si="11"/>
        <v>#VALUE!</v>
      </c>
    </row>
    <row r="167" spans="1:66" x14ac:dyDescent="0.2">
      <c r="A167" s="21">
        <f>Prices!A166</f>
        <v>30773</v>
      </c>
      <c r="BC167" s="21" t="e" vm="1">
        <v>#REF!</v>
      </c>
      <c r="BD167" t="e" vm="1">
        <v>#REF!</v>
      </c>
      <c r="BF167" t="e" vm="2">
        <f t="shared" si="8"/>
        <v>#VALUE!</v>
      </c>
      <c r="BG167" t="e" vm="2">
        <f t="shared" si="9"/>
        <v>#VALUE!</v>
      </c>
      <c r="BJ167" s="21" t="e" vm="1">
        <v>#REF!</v>
      </c>
      <c r="BK167" t="e" vm="1">
        <v>#REF!</v>
      </c>
      <c r="BM167" t="e" vm="2">
        <f t="shared" si="10"/>
        <v>#VALUE!</v>
      </c>
      <c r="BN167" t="e" vm="2">
        <f t="shared" si="11"/>
        <v>#VALUE!</v>
      </c>
    </row>
    <row r="168" spans="1:66" x14ac:dyDescent="0.2">
      <c r="A168" s="21">
        <f>Prices!A167</f>
        <v>30803</v>
      </c>
      <c r="BC168" s="21" t="e" vm="1">
        <v>#REF!</v>
      </c>
      <c r="BD168" t="e" vm="1">
        <v>#REF!</v>
      </c>
      <c r="BF168" t="e" vm="2">
        <f t="shared" si="8"/>
        <v>#VALUE!</v>
      </c>
      <c r="BG168" t="e" vm="2">
        <f t="shared" si="9"/>
        <v>#VALUE!</v>
      </c>
      <c r="BJ168" s="21" t="e" vm="1">
        <v>#REF!</v>
      </c>
      <c r="BK168" t="e" vm="1">
        <v>#REF!</v>
      </c>
      <c r="BM168" t="e" vm="2">
        <f t="shared" si="10"/>
        <v>#VALUE!</v>
      </c>
      <c r="BN168" t="e" vm="2">
        <f t="shared" si="11"/>
        <v>#VALUE!</v>
      </c>
    </row>
    <row r="169" spans="1:66" x14ac:dyDescent="0.2">
      <c r="A169" s="21">
        <f>Prices!A168</f>
        <v>30834</v>
      </c>
      <c r="BC169" s="21" t="e" vm="1">
        <v>#REF!</v>
      </c>
      <c r="BD169" t="e" vm="1">
        <v>#REF!</v>
      </c>
      <c r="BF169" t="e" vm="2">
        <f t="shared" si="8"/>
        <v>#VALUE!</v>
      </c>
      <c r="BG169" t="e" vm="2">
        <f t="shared" si="9"/>
        <v>#VALUE!</v>
      </c>
      <c r="BJ169" s="21" t="e" vm="1">
        <v>#REF!</v>
      </c>
      <c r="BK169" t="e" vm="1">
        <v>#REF!</v>
      </c>
      <c r="BM169" t="e" vm="2">
        <f t="shared" si="10"/>
        <v>#VALUE!</v>
      </c>
      <c r="BN169" t="e" vm="2">
        <f t="shared" si="11"/>
        <v>#VALUE!</v>
      </c>
    </row>
    <row r="170" spans="1:66" x14ac:dyDescent="0.2">
      <c r="A170" s="21">
        <f>Prices!A169</f>
        <v>30864</v>
      </c>
      <c r="BC170" s="21" t="e" vm="1">
        <v>#REF!</v>
      </c>
      <c r="BD170" t="e" vm="1">
        <v>#REF!</v>
      </c>
      <c r="BF170" t="e" vm="2">
        <f t="shared" si="8"/>
        <v>#VALUE!</v>
      </c>
      <c r="BG170" t="e" vm="2">
        <f t="shared" si="9"/>
        <v>#VALUE!</v>
      </c>
      <c r="BJ170" s="21" t="e" vm="1">
        <v>#REF!</v>
      </c>
      <c r="BK170" t="e" vm="1">
        <v>#REF!</v>
      </c>
      <c r="BM170" t="e" vm="2">
        <f t="shared" si="10"/>
        <v>#VALUE!</v>
      </c>
      <c r="BN170" t="e" vm="2">
        <f t="shared" si="11"/>
        <v>#VALUE!</v>
      </c>
    </row>
    <row r="171" spans="1:66" x14ac:dyDescent="0.2">
      <c r="A171" s="21">
        <f>Prices!A170</f>
        <v>30895</v>
      </c>
      <c r="BC171" s="21" t="e" vm="1">
        <v>#REF!</v>
      </c>
      <c r="BD171" t="e" vm="1">
        <v>#REF!</v>
      </c>
      <c r="BF171" t="e" vm="2">
        <f t="shared" si="8"/>
        <v>#VALUE!</v>
      </c>
      <c r="BG171" t="e" vm="2">
        <f t="shared" si="9"/>
        <v>#VALUE!</v>
      </c>
      <c r="BJ171" s="21" t="e" vm="1">
        <v>#REF!</v>
      </c>
      <c r="BK171" t="e" vm="1">
        <v>#REF!</v>
      </c>
      <c r="BM171" t="e" vm="2">
        <f t="shared" si="10"/>
        <v>#VALUE!</v>
      </c>
      <c r="BN171" t="e" vm="2">
        <f t="shared" si="11"/>
        <v>#VALUE!</v>
      </c>
    </row>
    <row r="172" spans="1:66" x14ac:dyDescent="0.2">
      <c r="A172" s="21">
        <f>Prices!A171</f>
        <v>30926</v>
      </c>
      <c r="BC172" s="21" t="e" vm="1">
        <v>#REF!</v>
      </c>
      <c r="BD172" t="e" vm="1">
        <v>#REF!</v>
      </c>
      <c r="BF172" t="e" vm="2">
        <f t="shared" si="8"/>
        <v>#VALUE!</v>
      </c>
      <c r="BG172" t="e" vm="2">
        <f t="shared" si="9"/>
        <v>#VALUE!</v>
      </c>
      <c r="BJ172" s="21" t="e" vm="1">
        <v>#REF!</v>
      </c>
      <c r="BK172" t="e" vm="1">
        <v>#REF!</v>
      </c>
      <c r="BM172" t="e" vm="2">
        <f t="shared" si="10"/>
        <v>#VALUE!</v>
      </c>
      <c r="BN172" t="e" vm="2">
        <f t="shared" si="11"/>
        <v>#VALUE!</v>
      </c>
    </row>
    <row r="173" spans="1:66" x14ac:dyDescent="0.2">
      <c r="A173" s="21">
        <f>Prices!A172</f>
        <v>30956</v>
      </c>
      <c r="BC173" s="21" t="e" vm="1">
        <v>#REF!</v>
      </c>
      <c r="BD173" t="e" vm="1">
        <v>#REF!</v>
      </c>
      <c r="BF173" t="e" vm="2">
        <f t="shared" si="8"/>
        <v>#VALUE!</v>
      </c>
      <c r="BG173" t="e" vm="2">
        <f t="shared" si="9"/>
        <v>#VALUE!</v>
      </c>
      <c r="BJ173" s="21" t="e" vm="1">
        <v>#REF!</v>
      </c>
      <c r="BK173" t="e" vm="1">
        <v>#REF!</v>
      </c>
      <c r="BM173" t="e" vm="2">
        <f t="shared" si="10"/>
        <v>#VALUE!</v>
      </c>
      <c r="BN173" t="e" vm="2">
        <f t="shared" si="11"/>
        <v>#VALUE!</v>
      </c>
    </row>
    <row r="174" spans="1:66" x14ac:dyDescent="0.2">
      <c r="A174" s="21">
        <f>Prices!A173</f>
        <v>30987</v>
      </c>
      <c r="BC174" s="21" t="e" vm="1">
        <v>#REF!</v>
      </c>
      <c r="BD174" t="e" vm="1">
        <v>#REF!</v>
      </c>
      <c r="BF174" t="e" vm="2">
        <f t="shared" si="8"/>
        <v>#VALUE!</v>
      </c>
      <c r="BG174" t="e" vm="2">
        <f t="shared" si="9"/>
        <v>#VALUE!</v>
      </c>
      <c r="BJ174" s="21" t="e" vm="1">
        <v>#REF!</v>
      </c>
      <c r="BK174" t="e" vm="1">
        <v>#REF!</v>
      </c>
      <c r="BM174" t="e" vm="2">
        <f t="shared" si="10"/>
        <v>#VALUE!</v>
      </c>
      <c r="BN174" t="e" vm="2">
        <f t="shared" si="11"/>
        <v>#VALUE!</v>
      </c>
    </row>
    <row r="175" spans="1:66" x14ac:dyDescent="0.2">
      <c r="A175" s="21">
        <f>Prices!A174</f>
        <v>31017</v>
      </c>
      <c r="BC175" s="21" t="e" vm="1">
        <v>#REF!</v>
      </c>
      <c r="BD175" t="e" vm="1">
        <v>#REF!</v>
      </c>
      <c r="BF175" t="e" vm="2">
        <f t="shared" si="8"/>
        <v>#VALUE!</v>
      </c>
      <c r="BG175" t="e" vm="2">
        <f t="shared" si="9"/>
        <v>#VALUE!</v>
      </c>
      <c r="BJ175" s="21" t="e" vm="1">
        <v>#REF!</v>
      </c>
      <c r="BK175" t="e" vm="1">
        <v>#REF!</v>
      </c>
      <c r="BM175" t="e" vm="2">
        <f t="shared" si="10"/>
        <v>#VALUE!</v>
      </c>
      <c r="BN175" t="e" vm="2">
        <f t="shared" si="11"/>
        <v>#VALUE!</v>
      </c>
    </row>
    <row r="176" spans="1:66" x14ac:dyDescent="0.2">
      <c r="A176" s="21">
        <f>Prices!A175</f>
        <v>31048</v>
      </c>
      <c r="BC176" s="21" t="e" vm="1">
        <v>#REF!</v>
      </c>
      <c r="BD176" t="e" vm="1">
        <v>#REF!</v>
      </c>
      <c r="BF176" t="e" vm="2">
        <f t="shared" si="8"/>
        <v>#VALUE!</v>
      </c>
      <c r="BG176" t="e" vm="2">
        <f t="shared" si="9"/>
        <v>#VALUE!</v>
      </c>
      <c r="BJ176" s="21" t="e" vm="1">
        <v>#REF!</v>
      </c>
      <c r="BK176" t="e" vm="1">
        <v>#REF!</v>
      </c>
      <c r="BM176" t="e" vm="2">
        <f t="shared" si="10"/>
        <v>#VALUE!</v>
      </c>
      <c r="BN176" t="e" vm="2">
        <f t="shared" si="11"/>
        <v>#VALUE!</v>
      </c>
    </row>
    <row r="177" spans="1:66" x14ac:dyDescent="0.2">
      <c r="A177" s="21">
        <f>Prices!A176</f>
        <v>31079</v>
      </c>
      <c r="BC177" s="21" t="e" vm="1">
        <v>#REF!</v>
      </c>
      <c r="BD177" t="e" vm="1">
        <v>#REF!</v>
      </c>
      <c r="BF177" t="e" vm="2">
        <f t="shared" si="8"/>
        <v>#VALUE!</v>
      </c>
      <c r="BG177" t="e" vm="2">
        <f t="shared" si="9"/>
        <v>#VALUE!</v>
      </c>
      <c r="BJ177" s="21" t="e" vm="1">
        <v>#REF!</v>
      </c>
      <c r="BK177" t="e" vm="1">
        <v>#REF!</v>
      </c>
      <c r="BM177" t="e" vm="2">
        <f t="shared" si="10"/>
        <v>#VALUE!</v>
      </c>
      <c r="BN177" t="e" vm="2">
        <f t="shared" si="11"/>
        <v>#VALUE!</v>
      </c>
    </row>
    <row r="178" spans="1:66" x14ac:dyDescent="0.2">
      <c r="A178" s="21">
        <f>Prices!A177</f>
        <v>31107</v>
      </c>
      <c r="BC178" s="21" t="e" vm="1">
        <v>#REF!</v>
      </c>
      <c r="BD178" t="e" vm="1">
        <v>#REF!</v>
      </c>
      <c r="BF178" t="e" vm="2">
        <f t="shared" si="8"/>
        <v>#VALUE!</v>
      </c>
      <c r="BG178" t="e" vm="2">
        <f t="shared" si="9"/>
        <v>#VALUE!</v>
      </c>
      <c r="BJ178" s="21" t="e" vm="1">
        <v>#REF!</v>
      </c>
      <c r="BK178" t="e" vm="1">
        <v>#REF!</v>
      </c>
      <c r="BM178" t="e" vm="2">
        <f t="shared" si="10"/>
        <v>#VALUE!</v>
      </c>
      <c r="BN178" t="e" vm="2">
        <f t="shared" si="11"/>
        <v>#VALUE!</v>
      </c>
    </row>
    <row r="179" spans="1:66" x14ac:dyDescent="0.2">
      <c r="A179" s="21">
        <f>Prices!A178</f>
        <v>31138</v>
      </c>
      <c r="BC179" s="21" t="e" vm="1">
        <v>#REF!</v>
      </c>
      <c r="BD179" t="e" vm="1">
        <v>#REF!</v>
      </c>
      <c r="BF179" t="e" vm="2">
        <f t="shared" si="8"/>
        <v>#VALUE!</v>
      </c>
      <c r="BG179" t="e" vm="2">
        <f t="shared" si="9"/>
        <v>#VALUE!</v>
      </c>
      <c r="BJ179" s="21" t="e" vm="1">
        <v>#REF!</v>
      </c>
      <c r="BK179" t="e" vm="1">
        <v>#REF!</v>
      </c>
      <c r="BM179" t="e" vm="2">
        <f t="shared" si="10"/>
        <v>#VALUE!</v>
      </c>
      <c r="BN179" t="e" vm="2">
        <f t="shared" si="11"/>
        <v>#VALUE!</v>
      </c>
    </row>
    <row r="180" spans="1:66" x14ac:dyDescent="0.2">
      <c r="A180" s="21">
        <f>Prices!A179</f>
        <v>31168</v>
      </c>
      <c r="BC180" s="21" t="e" vm="1">
        <v>#REF!</v>
      </c>
      <c r="BD180" t="e" vm="1">
        <v>#REF!</v>
      </c>
      <c r="BF180" t="e" vm="2">
        <f t="shared" si="8"/>
        <v>#VALUE!</v>
      </c>
      <c r="BG180" t="e" vm="2">
        <f t="shared" si="9"/>
        <v>#VALUE!</v>
      </c>
      <c r="BJ180" s="21" t="e" vm="1">
        <v>#REF!</v>
      </c>
      <c r="BK180" t="e" vm="1">
        <v>#REF!</v>
      </c>
      <c r="BM180" t="e" vm="2">
        <f t="shared" si="10"/>
        <v>#VALUE!</v>
      </c>
      <c r="BN180" t="e" vm="2">
        <f t="shared" si="11"/>
        <v>#VALUE!</v>
      </c>
    </row>
    <row r="181" spans="1:66" x14ac:dyDescent="0.2">
      <c r="A181" s="21">
        <f>Prices!A180</f>
        <v>31199</v>
      </c>
      <c r="BC181" s="21" t="e" vm="1">
        <v>#REF!</v>
      </c>
      <c r="BD181" t="e" vm="1">
        <v>#REF!</v>
      </c>
      <c r="BF181" t="e" vm="2">
        <f t="shared" si="8"/>
        <v>#VALUE!</v>
      </c>
      <c r="BG181" t="e" vm="2">
        <f t="shared" si="9"/>
        <v>#VALUE!</v>
      </c>
      <c r="BJ181" s="21" t="e" vm="1">
        <v>#REF!</v>
      </c>
      <c r="BK181" t="e" vm="1">
        <v>#REF!</v>
      </c>
      <c r="BM181" t="e" vm="2">
        <f t="shared" si="10"/>
        <v>#VALUE!</v>
      </c>
      <c r="BN181" t="e" vm="2">
        <f t="shared" si="11"/>
        <v>#VALUE!</v>
      </c>
    </row>
    <row r="182" spans="1:66" x14ac:dyDescent="0.2">
      <c r="A182" s="21">
        <f>Prices!A181</f>
        <v>31229</v>
      </c>
      <c r="BC182" s="21" t="e" vm="1">
        <v>#REF!</v>
      </c>
      <c r="BD182" t="e" vm="1">
        <v>#REF!</v>
      </c>
      <c r="BF182" t="e" vm="2">
        <f t="shared" si="8"/>
        <v>#VALUE!</v>
      </c>
      <c r="BG182" t="e" vm="2">
        <f t="shared" si="9"/>
        <v>#VALUE!</v>
      </c>
      <c r="BJ182" s="21" t="e" vm="1">
        <v>#REF!</v>
      </c>
      <c r="BK182" t="e" vm="1">
        <v>#REF!</v>
      </c>
      <c r="BM182" t="e" vm="2">
        <f t="shared" si="10"/>
        <v>#VALUE!</v>
      </c>
      <c r="BN182" t="e" vm="2">
        <f t="shared" si="11"/>
        <v>#VALUE!</v>
      </c>
    </row>
    <row r="183" spans="1:66" x14ac:dyDescent="0.2">
      <c r="A183" s="21">
        <f>Prices!A182</f>
        <v>31260</v>
      </c>
      <c r="BC183" s="21" t="e" vm="1">
        <v>#REF!</v>
      </c>
      <c r="BD183" t="e" vm="1">
        <v>#REF!</v>
      </c>
      <c r="BF183" t="e" vm="2">
        <f t="shared" si="8"/>
        <v>#VALUE!</v>
      </c>
      <c r="BG183" t="e" vm="2">
        <f t="shared" si="9"/>
        <v>#VALUE!</v>
      </c>
      <c r="BJ183" s="21" t="e" vm="1">
        <v>#REF!</v>
      </c>
      <c r="BK183" t="e" vm="1">
        <v>#REF!</v>
      </c>
      <c r="BM183" t="e" vm="2">
        <f t="shared" si="10"/>
        <v>#VALUE!</v>
      </c>
      <c r="BN183" t="e" vm="2">
        <f t="shared" si="11"/>
        <v>#VALUE!</v>
      </c>
    </row>
    <row r="184" spans="1:66" x14ac:dyDescent="0.2">
      <c r="A184" s="21">
        <f>Prices!A183</f>
        <v>31291</v>
      </c>
      <c r="BC184" s="21" t="e" vm="1">
        <v>#REF!</v>
      </c>
      <c r="BD184" t="e" vm="1">
        <v>#REF!</v>
      </c>
      <c r="BF184" t="e" vm="2">
        <f t="shared" si="8"/>
        <v>#VALUE!</v>
      </c>
      <c r="BG184" t="e" vm="2">
        <f t="shared" si="9"/>
        <v>#VALUE!</v>
      </c>
      <c r="BJ184" s="21" t="e" vm="1">
        <v>#REF!</v>
      </c>
      <c r="BK184" t="e" vm="1">
        <v>#REF!</v>
      </c>
      <c r="BM184" t="e" vm="2">
        <f t="shared" si="10"/>
        <v>#VALUE!</v>
      </c>
      <c r="BN184" t="e" vm="2">
        <f t="shared" si="11"/>
        <v>#VALUE!</v>
      </c>
    </row>
    <row r="185" spans="1:66" x14ac:dyDescent="0.2">
      <c r="A185" s="21">
        <f>Prices!A184</f>
        <v>31321</v>
      </c>
      <c r="BC185" s="21" t="e" vm="1">
        <v>#REF!</v>
      </c>
      <c r="BD185" t="e" vm="1">
        <v>#REF!</v>
      </c>
      <c r="BF185" t="e" vm="2">
        <f t="shared" si="8"/>
        <v>#VALUE!</v>
      </c>
      <c r="BG185" t="e" vm="2">
        <f t="shared" si="9"/>
        <v>#VALUE!</v>
      </c>
      <c r="BJ185" s="21" t="e" vm="1">
        <v>#REF!</v>
      </c>
      <c r="BK185" t="e" vm="1">
        <v>#REF!</v>
      </c>
      <c r="BM185" t="e" vm="2">
        <f t="shared" si="10"/>
        <v>#VALUE!</v>
      </c>
      <c r="BN185" t="e" vm="2">
        <f t="shared" si="11"/>
        <v>#VALUE!</v>
      </c>
    </row>
    <row r="186" spans="1:66" x14ac:dyDescent="0.2">
      <c r="A186" s="21">
        <f>Prices!A185</f>
        <v>31352</v>
      </c>
      <c r="BC186" s="21" t="e" vm="1">
        <v>#REF!</v>
      </c>
      <c r="BD186" t="e" vm="1">
        <v>#REF!</v>
      </c>
      <c r="BF186" t="e" vm="2">
        <f t="shared" si="8"/>
        <v>#VALUE!</v>
      </c>
      <c r="BG186" t="e" vm="2">
        <f t="shared" si="9"/>
        <v>#VALUE!</v>
      </c>
      <c r="BJ186" s="21" t="e" vm="1">
        <v>#REF!</v>
      </c>
      <c r="BK186" t="e" vm="1">
        <v>#REF!</v>
      </c>
      <c r="BM186" t="e" vm="2">
        <f t="shared" si="10"/>
        <v>#VALUE!</v>
      </c>
      <c r="BN186" t="e" vm="2">
        <f t="shared" si="11"/>
        <v>#VALUE!</v>
      </c>
    </row>
    <row r="187" spans="1:66" x14ac:dyDescent="0.2">
      <c r="A187" s="21">
        <f>Prices!A186</f>
        <v>31382</v>
      </c>
      <c r="BC187" s="21" t="e" vm="1">
        <v>#REF!</v>
      </c>
      <c r="BD187" t="e" vm="1">
        <v>#REF!</v>
      </c>
      <c r="BF187" t="e" vm="2">
        <f t="shared" si="8"/>
        <v>#VALUE!</v>
      </c>
      <c r="BG187" t="e" vm="2">
        <f t="shared" si="9"/>
        <v>#VALUE!</v>
      </c>
      <c r="BJ187" s="21" t="e" vm="1">
        <v>#REF!</v>
      </c>
      <c r="BK187" t="e" vm="1">
        <v>#REF!</v>
      </c>
      <c r="BM187" t="e" vm="2">
        <f t="shared" si="10"/>
        <v>#VALUE!</v>
      </c>
      <c r="BN187" t="e" vm="2">
        <f t="shared" si="11"/>
        <v>#VALUE!</v>
      </c>
    </row>
    <row r="188" spans="1:66" x14ac:dyDescent="0.2">
      <c r="A188" s="21">
        <f>Prices!A187</f>
        <v>31413</v>
      </c>
      <c r="BC188" s="21" t="e" vm="1">
        <v>#REF!</v>
      </c>
      <c r="BD188" t="e" vm="1">
        <v>#REF!</v>
      </c>
      <c r="BF188" t="e" vm="2">
        <f t="shared" si="8"/>
        <v>#VALUE!</v>
      </c>
      <c r="BG188" t="e" vm="2">
        <f t="shared" si="9"/>
        <v>#VALUE!</v>
      </c>
      <c r="BJ188" s="21" t="e" vm="1">
        <v>#REF!</v>
      </c>
      <c r="BK188" t="e" vm="1">
        <v>#REF!</v>
      </c>
      <c r="BM188" t="e" vm="2">
        <f t="shared" si="10"/>
        <v>#VALUE!</v>
      </c>
      <c r="BN188" t="e" vm="2">
        <f t="shared" si="11"/>
        <v>#VALUE!</v>
      </c>
    </row>
    <row r="189" spans="1:66" x14ac:dyDescent="0.2">
      <c r="A189" s="21">
        <f>Prices!A188</f>
        <v>31444</v>
      </c>
      <c r="BC189" s="21" t="e" vm="1">
        <v>#REF!</v>
      </c>
      <c r="BD189" t="e" vm="1">
        <v>#REF!</v>
      </c>
      <c r="BF189" t="e" vm="2">
        <f t="shared" si="8"/>
        <v>#VALUE!</v>
      </c>
      <c r="BG189" t="e" vm="2">
        <f t="shared" si="9"/>
        <v>#VALUE!</v>
      </c>
      <c r="BJ189" s="21" t="e" vm="1">
        <v>#REF!</v>
      </c>
      <c r="BK189" t="e" vm="1">
        <v>#REF!</v>
      </c>
      <c r="BM189" t="e" vm="2">
        <f t="shared" si="10"/>
        <v>#VALUE!</v>
      </c>
      <c r="BN189" t="e" vm="2">
        <f t="shared" si="11"/>
        <v>#VALUE!</v>
      </c>
    </row>
    <row r="190" spans="1:66" x14ac:dyDescent="0.2">
      <c r="A190" s="21">
        <f>Prices!A189</f>
        <v>31472</v>
      </c>
      <c r="BC190" s="21" t="e" vm="1">
        <v>#REF!</v>
      </c>
      <c r="BD190" t="e" vm="1">
        <v>#REF!</v>
      </c>
      <c r="BF190" t="e" vm="2">
        <f t="shared" si="8"/>
        <v>#VALUE!</v>
      </c>
      <c r="BG190" t="e" vm="2">
        <f t="shared" si="9"/>
        <v>#VALUE!</v>
      </c>
      <c r="BJ190" s="21" t="e" vm="1">
        <v>#REF!</v>
      </c>
      <c r="BK190" t="e" vm="1">
        <v>#REF!</v>
      </c>
      <c r="BM190" t="e" vm="2">
        <f t="shared" si="10"/>
        <v>#VALUE!</v>
      </c>
      <c r="BN190" t="e" vm="2">
        <f t="shared" si="11"/>
        <v>#VALUE!</v>
      </c>
    </row>
    <row r="191" spans="1:66" x14ac:dyDescent="0.2">
      <c r="A191" s="21">
        <f>Prices!A190</f>
        <v>31503</v>
      </c>
      <c r="BC191" s="21" t="e" vm="1">
        <v>#REF!</v>
      </c>
      <c r="BD191" t="e" vm="1">
        <v>#REF!</v>
      </c>
      <c r="BF191" t="e" vm="2">
        <f t="shared" si="8"/>
        <v>#VALUE!</v>
      </c>
      <c r="BG191" t="e" vm="2">
        <f t="shared" si="9"/>
        <v>#VALUE!</v>
      </c>
      <c r="BJ191" s="21" t="e" vm="1">
        <v>#REF!</v>
      </c>
      <c r="BK191" t="e" vm="1">
        <v>#REF!</v>
      </c>
      <c r="BM191" t="e" vm="2">
        <f t="shared" si="10"/>
        <v>#VALUE!</v>
      </c>
      <c r="BN191" t="e" vm="2">
        <f t="shared" si="11"/>
        <v>#VALUE!</v>
      </c>
    </row>
    <row r="192" spans="1:66" x14ac:dyDescent="0.2">
      <c r="A192" s="21">
        <f>Prices!A191</f>
        <v>31533</v>
      </c>
      <c r="BC192" s="21" t="e" vm="1">
        <v>#REF!</v>
      </c>
      <c r="BD192" t="e" vm="1">
        <v>#REF!</v>
      </c>
      <c r="BF192" t="e" vm="2">
        <f t="shared" si="8"/>
        <v>#VALUE!</v>
      </c>
      <c r="BG192" t="e" vm="2">
        <f t="shared" si="9"/>
        <v>#VALUE!</v>
      </c>
      <c r="BJ192" s="21" t="e" vm="1">
        <v>#REF!</v>
      </c>
      <c r="BK192" t="e" vm="1">
        <v>#REF!</v>
      </c>
      <c r="BM192" t="e" vm="2">
        <f t="shared" si="10"/>
        <v>#VALUE!</v>
      </c>
      <c r="BN192" t="e" vm="2">
        <f t="shared" si="11"/>
        <v>#VALUE!</v>
      </c>
    </row>
    <row r="193" spans="1:66" x14ac:dyDescent="0.2">
      <c r="A193" s="21">
        <f>Prices!A192</f>
        <v>31564</v>
      </c>
      <c r="BC193" s="21" t="e" vm="1">
        <v>#REF!</v>
      </c>
      <c r="BD193" t="e" vm="1">
        <v>#REF!</v>
      </c>
      <c r="BF193" t="e" vm="2">
        <f t="shared" si="8"/>
        <v>#VALUE!</v>
      </c>
      <c r="BG193" t="e" vm="2">
        <f t="shared" si="9"/>
        <v>#VALUE!</v>
      </c>
      <c r="BJ193" s="21" t="e" vm="1">
        <v>#REF!</v>
      </c>
      <c r="BK193" t="e" vm="1">
        <v>#REF!</v>
      </c>
      <c r="BM193" t="e" vm="2">
        <f t="shared" si="10"/>
        <v>#VALUE!</v>
      </c>
      <c r="BN193" t="e" vm="2">
        <f t="shared" si="11"/>
        <v>#VALUE!</v>
      </c>
    </row>
    <row r="194" spans="1:66" x14ac:dyDescent="0.2">
      <c r="A194" s="21">
        <f>Prices!A193</f>
        <v>31594</v>
      </c>
      <c r="BC194" s="21" t="e" vm="1">
        <v>#REF!</v>
      </c>
      <c r="BD194" t="e" vm="1">
        <v>#REF!</v>
      </c>
      <c r="BF194" t="e" vm="2">
        <f t="shared" si="8"/>
        <v>#VALUE!</v>
      </c>
      <c r="BG194" t="e" vm="2">
        <f t="shared" si="9"/>
        <v>#VALUE!</v>
      </c>
      <c r="BJ194" s="21" t="e" vm="1">
        <v>#REF!</v>
      </c>
      <c r="BK194" t="e" vm="1">
        <v>#REF!</v>
      </c>
      <c r="BM194" t="e" vm="2">
        <f t="shared" si="10"/>
        <v>#VALUE!</v>
      </c>
      <c r="BN194" t="e" vm="2">
        <f t="shared" si="11"/>
        <v>#VALUE!</v>
      </c>
    </row>
    <row r="195" spans="1:66" x14ac:dyDescent="0.2">
      <c r="A195" s="21">
        <f>Prices!A194</f>
        <v>31625</v>
      </c>
      <c r="BC195" s="21" t="e" vm="1">
        <v>#REF!</v>
      </c>
      <c r="BD195" t="e" vm="1">
        <v>#REF!</v>
      </c>
      <c r="BF195" t="e" vm="2">
        <f t="shared" ref="BF195:BF258" si="12">MONTH(BC195)</f>
        <v>#VALUE!</v>
      </c>
      <c r="BG195" t="e" vm="2">
        <f t="shared" ref="BG195:BG258" si="13">YEAR(BC195)</f>
        <v>#VALUE!</v>
      </c>
      <c r="BJ195" s="21" t="e" vm="1">
        <v>#REF!</v>
      </c>
      <c r="BK195" t="e" vm="1">
        <v>#REF!</v>
      </c>
      <c r="BM195" t="e" vm="2">
        <f t="shared" si="10"/>
        <v>#VALUE!</v>
      </c>
      <c r="BN195" t="e" vm="2">
        <f t="shared" si="11"/>
        <v>#VALUE!</v>
      </c>
    </row>
    <row r="196" spans="1:66" x14ac:dyDescent="0.2">
      <c r="A196" s="21">
        <f>Prices!A195</f>
        <v>31656</v>
      </c>
      <c r="BC196" s="21" t="e" vm="1">
        <v>#REF!</v>
      </c>
      <c r="BD196" t="e" vm="1">
        <v>#REF!</v>
      </c>
      <c r="BF196" t="e" vm="2">
        <f t="shared" si="12"/>
        <v>#VALUE!</v>
      </c>
      <c r="BG196" t="e" vm="2">
        <f t="shared" si="13"/>
        <v>#VALUE!</v>
      </c>
      <c r="BJ196" s="21" t="e" vm="1">
        <v>#REF!</v>
      </c>
      <c r="BK196" t="e" vm="1">
        <v>#REF!</v>
      </c>
      <c r="BM196" t="e" vm="2">
        <f t="shared" ref="BM196:BM259" si="14">MONTH(BJ196)</f>
        <v>#VALUE!</v>
      </c>
      <c r="BN196" t="e" vm="2">
        <f t="shared" ref="BN196:BN259" si="15">YEAR(BJ196)</f>
        <v>#VALUE!</v>
      </c>
    </row>
    <row r="197" spans="1:66" x14ac:dyDescent="0.2">
      <c r="A197" s="21">
        <f>Prices!A196</f>
        <v>31686</v>
      </c>
      <c r="BC197" s="21" t="e" vm="1">
        <v>#REF!</v>
      </c>
      <c r="BD197" t="e" vm="1">
        <v>#REF!</v>
      </c>
      <c r="BF197" t="e" vm="2">
        <f t="shared" si="12"/>
        <v>#VALUE!</v>
      </c>
      <c r="BG197" t="e" vm="2">
        <f t="shared" si="13"/>
        <v>#VALUE!</v>
      </c>
      <c r="BJ197" s="21" t="e" vm="1">
        <v>#REF!</v>
      </c>
      <c r="BK197" t="e" vm="1">
        <v>#REF!</v>
      </c>
      <c r="BM197" t="e" vm="2">
        <f t="shared" si="14"/>
        <v>#VALUE!</v>
      </c>
      <c r="BN197" t="e" vm="2">
        <f t="shared" si="15"/>
        <v>#VALUE!</v>
      </c>
    </row>
    <row r="198" spans="1:66" x14ac:dyDescent="0.2">
      <c r="A198" s="21">
        <f>Prices!A197</f>
        <v>31717</v>
      </c>
      <c r="BC198" s="21" t="e" vm="1">
        <v>#REF!</v>
      </c>
      <c r="BD198" t="e" vm="1">
        <v>#REF!</v>
      </c>
      <c r="BF198" t="e" vm="2">
        <f t="shared" si="12"/>
        <v>#VALUE!</v>
      </c>
      <c r="BG198" t="e" vm="2">
        <f t="shared" si="13"/>
        <v>#VALUE!</v>
      </c>
      <c r="BJ198" s="21" t="e" vm="1">
        <v>#REF!</v>
      </c>
      <c r="BK198" t="e" vm="1">
        <v>#REF!</v>
      </c>
      <c r="BM198" t="e" vm="2">
        <f t="shared" si="14"/>
        <v>#VALUE!</v>
      </c>
      <c r="BN198" t="e" vm="2">
        <f t="shared" si="15"/>
        <v>#VALUE!</v>
      </c>
    </row>
    <row r="199" spans="1:66" x14ac:dyDescent="0.2">
      <c r="A199" s="21">
        <f>Prices!A198</f>
        <v>31747</v>
      </c>
      <c r="BC199" s="21" t="e" vm="1">
        <v>#REF!</v>
      </c>
      <c r="BD199" t="e" vm="1">
        <v>#REF!</v>
      </c>
      <c r="BF199" t="e" vm="2">
        <f t="shared" si="12"/>
        <v>#VALUE!</v>
      </c>
      <c r="BG199" t="e" vm="2">
        <f t="shared" si="13"/>
        <v>#VALUE!</v>
      </c>
      <c r="BJ199" s="21" t="e" vm="1">
        <v>#REF!</v>
      </c>
      <c r="BK199" t="e" vm="1">
        <v>#REF!</v>
      </c>
      <c r="BM199" t="e" vm="2">
        <f t="shared" si="14"/>
        <v>#VALUE!</v>
      </c>
      <c r="BN199" t="e" vm="2">
        <f t="shared" si="15"/>
        <v>#VALUE!</v>
      </c>
    </row>
    <row r="200" spans="1:66" x14ac:dyDescent="0.2">
      <c r="A200" s="21">
        <f>Prices!A199</f>
        <v>31778</v>
      </c>
      <c r="BC200" s="21" t="e" vm="1">
        <v>#REF!</v>
      </c>
      <c r="BD200" t="e" vm="1">
        <v>#REF!</v>
      </c>
      <c r="BF200" t="e" vm="2">
        <f t="shared" si="12"/>
        <v>#VALUE!</v>
      </c>
      <c r="BG200" t="e" vm="2">
        <f t="shared" si="13"/>
        <v>#VALUE!</v>
      </c>
      <c r="BJ200" s="21" t="e" vm="1">
        <v>#REF!</v>
      </c>
      <c r="BK200" t="e" vm="1">
        <v>#REF!</v>
      </c>
      <c r="BM200" t="e" vm="2">
        <f t="shared" si="14"/>
        <v>#VALUE!</v>
      </c>
      <c r="BN200" t="e" vm="2">
        <f t="shared" si="15"/>
        <v>#VALUE!</v>
      </c>
    </row>
    <row r="201" spans="1:66" x14ac:dyDescent="0.2">
      <c r="A201" s="21">
        <f>Prices!A200</f>
        <v>31809</v>
      </c>
      <c r="BC201" s="21" t="e" vm="1">
        <v>#REF!</v>
      </c>
      <c r="BD201" t="e" vm="1">
        <v>#REF!</v>
      </c>
      <c r="BF201" t="e" vm="2">
        <f t="shared" si="12"/>
        <v>#VALUE!</v>
      </c>
      <c r="BG201" t="e" vm="2">
        <f t="shared" si="13"/>
        <v>#VALUE!</v>
      </c>
      <c r="BJ201" s="21" t="e" vm="1">
        <v>#REF!</v>
      </c>
      <c r="BK201" t="e" vm="1">
        <v>#REF!</v>
      </c>
      <c r="BM201" t="e" vm="2">
        <f t="shared" si="14"/>
        <v>#VALUE!</v>
      </c>
      <c r="BN201" t="e" vm="2">
        <f t="shared" si="15"/>
        <v>#VALUE!</v>
      </c>
    </row>
    <row r="202" spans="1:66" x14ac:dyDescent="0.2">
      <c r="A202" s="21">
        <f>Prices!A201</f>
        <v>31837</v>
      </c>
      <c r="BC202" s="21" t="e" vm="1">
        <v>#REF!</v>
      </c>
      <c r="BD202" t="e" vm="1">
        <v>#REF!</v>
      </c>
      <c r="BF202" t="e" vm="2">
        <f t="shared" si="12"/>
        <v>#VALUE!</v>
      </c>
      <c r="BG202" t="e" vm="2">
        <f t="shared" si="13"/>
        <v>#VALUE!</v>
      </c>
      <c r="BJ202" s="21" t="e" vm="1">
        <v>#REF!</v>
      </c>
      <c r="BK202" t="e" vm="1">
        <v>#REF!</v>
      </c>
      <c r="BM202" t="e" vm="2">
        <f t="shared" si="14"/>
        <v>#VALUE!</v>
      </c>
      <c r="BN202" t="e" vm="2">
        <f t="shared" si="15"/>
        <v>#VALUE!</v>
      </c>
    </row>
    <row r="203" spans="1:66" x14ac:dyDescent="0.2">
      <c r="A203" s="21">
        <f>Prices!A202</f>
        <v>31868</v>
      </c>
      <c r="BC203" s="21" t="e" vm="1">
        <v>#REF!</v>
      </c>
      <c r="BD203" t="e" vm="1">
        <v>#REF!</v>
      </c>
      <c r="BF203" t="e" vm="2">
        <f t="shared" si="12"/>
        <v>#VALUE!</v>
      </c>
      <c r="BG203" t="e" vm="2">
        <f t="shared" si="13"/>
        <v>#VALUE!</v>
      </c>
      <c r="BJ203" s="21" t="e" vm="1">
        <v>#REF!</v>
      </c>
      <c r="BK203" t="e" vm="1">
        <v>#REF!</v>
      </c>
      <c r="BM203" t="e" vm="2">
        <f t="shared" si="14"/>
        <v>#VALUE!</v>
      </c>
      <c r="BN203" t="e" vm="2">
        <f t="shared" si="15"/>
        <v>#VALUE!</v>
      </c>
    </row>
    <row r="204" spans="1:66" x14ac:dyDescent="0.2">
      <c r="A204" s="21">
        <f>Prices!A203</f>
        <v>31898</v>
      </c>
      <c r="BC204" s="21" t="e" vm="1">
        <v>#REF!</v>
      </c>
      <c r="BD204" t="e" vm="1">
        <v>#REF!</v>
      </c>
      <c r="BF204" t="e" vm="2">
        <f t="shared" si="12"/>
        <v>#VALUE!</v>
      </c>
      <c r="BG204" t="e" vm="2">
        <f t="shared" si="13"/>
        <v>#VALUE!</v>
      </c>
      <c r="BJ204" s="21" t="e" vm="1">
        <v>#REF!</v>
      </c>
      <c r="BK204" t="e" vm="1">
        <v>#REF!</v>
      </c>
      <c r="BM204" t="e" vm="2">
        <f t="shared" si="14"/>
        <v>#VALUE!</v>
      </c>
      <c r="BN204" t="e" vm="2">
        <f t="shared" si="15"/>
        <v>#VALUE!</v>
      </c>
    </row>
    <row r="205" spans="1:66" x14ac:dyDescent="0.2">
      <c r="A205" s="21">
        <f>Prices!A204</f>
        <v>31929</v>
      </c>
      <c r="BC205" s="21" t="e" vm="1">
        <v>#REF!</v>
      </c>
      <c r="BD205" t="e" vm="1">
        <v>#REF!</v>
      </c>
      <c r="BF205" t="e" vm="2">
        <f t="shared" si="12"/>
        <v>#VALUE!</v>
      </c>
      <c r="BG205" t="e" vm="2">
        <f t="shared" si="13"/>
        <v>#VALUE!</v>
      </c>
      <c r="BJ205" s="21" t="e" vm="1">
        <v>#REF!</v>
      </c>
      <c r="BK205" t="e" vm="1">
        <v>#REF!</v>
      </c>
      <c r="BM205" t="e" vm="2">
        <f t="shared" si="14"/>
        <v>#VALUE!</v>
      </c>
      <c r="BN205" t="e" vm="2">
        <f t="shared" si="15"/>
        <v>#VALUE!</v>
      </c>
    </row>
    <row r="206" spans="1:66" x14ac:dyDescent="0.2">
      <c r="A206" s="21">
        <f>Prices!A205</f>
        <v>31959</v>
      </c>
      <c r="BC206" s="21" t="e" vm="1">
        <v>#REF!</v>
      </c>
      <c r="BD206" t="e" vm="1">
        <v>#REF!</v>
      </c>
      <c r="BF206" t="e" vm="2">
        <f t="shared" si="12"/>
        <v>#VALUE!</v>
      </c>
      <c r="BG206" t="e" vm="2">
        <f t="shared" si="13"/>
        <v>#VALUE!</v>
      </c>
      <c r="BJ206" s="21" t="e" vm="1">
        <v>#REF!</v>
      </c>
      <c r="BK206" t="e" vm="1">
        <v>#REF!</v>
      </c>
      <c r="BM206" t="e" vm="2">
        <f t="shared" si="14"/>
        <v>#VALUE!</v>
      </c>
      <c r="BN206" t="e" vm="2">
        <f t="shared" si="15"/>
        <v>#VALUE!</v>
      </c>
    </row>
    <row r="207" spans="1:66" x14ac:dyDescent="0.2">
      <c r="A207" s="21">
        <f>Prices!A206</f>
        <v>31990</v>
      </c>
      <c r="BC207" s="21" t="e" vm="1">
        <v>#REF!</v>
      </c>
      <c r="BD207" t="e" vm="1">
        <v>#REF!</v>
      </c>
      <c r="BF207" t="e" vm="2">
        <f t="shared" si="12"/>
        <v>#VALUE!</v>
      </c>
      <c r="BG207" t="e" vm="2">
        <f t="shared" si="13"/>
        <v>#VALUE!</v>
      </c>
      <c r="BJ207" s="21" t="e" vm="1">
        <v>#REF!</v>
      </c>
      <c r="BK207" t="e" vm="1">
        <v>#REF!</v>
      </c>
      <c r="BM207" t="e" vm="2">
        <f t="shared" si="14"/>
        <v>#VALUE!</v>
      </c>
      <c r="BN207" t="e" vm="2">
        <f t="shared" si="15"/>
        <v>#VALUE!</v>
      </c>
    </row>
    <row r="208" spans="1:66" x14ac:dyDescent="0.2">
      <c r="A208" s="21">
        <f>Prices!A207</f>
        <v>32021</v>
      </c>
      <c r="BC208" s="21" t="e" vm="1">
        <v>#REF!</v>
      </c>
      <c r="BD208" t="e" vm="1">
        <v>#REF!</v>
      </c>
      <c r="BF208" t="e" vm="2">
        <f t="shared" si="12"/>
        <v>#VALUE!</v>
      </c>
      <c r="BG208" t="e" vm="2">
        <f t="shared" si="13"/>
        <v>#VALUE!</v>
      </c>
      <c r="BJ208" s="21" t="e" vm="1">
        <v>#REF!</v>
      </c>
      <c r="BK208" t="e" vm="1">
        <v>#REF!</v>
      </c>
      <c r="BM208" t="e" vm="2">
        <f t="shared" si="14"/>
        <v>#VALUE!</v>
      </c>
      <c r="BN208" t="e" vm="2">
        <f t="shared" si="15"/>
        <v>#VALUE!</v>
      </c>
    </row>
    <row r="209" spans="1:66" x14ac:dyDescent="0.2">
      <c r="A209" s="21">
        <f>Prices!A208</f>
        <v>32051</v>
      </c>
      <c r="BC209" s="21" t="e" vm="1">
        <v>#REF!</v>
      </c>
      <c r="BD209" t="e" vm="1">
        <v>#REF!</v>
      </c>
      <c r="BF209" t="e" vm="2">
        <f t="shared" si="12"/>
        <v>#VALUE!</v>
      </c>
      <c r="BG209" t="e" vm="2">
        <f t="shared" si="13"/>
        <v>#VALUE!</v>
      </c>
      <c r="BJ209" s="21" t="e" vm="1">
        <v>#REF!</v>
      </c>
      <c r="BK209" t="e" vm="1">
        <v>#REF!</v>
      </c>
      <c r="BM209" t="e" vm="2">
        <f t="shared" si="14"/>
        <v>#VALUE!</v>
      </c>
      <c r="BN209" t="e" vm="2">
        <f t="shared" si="15"/>
        <v>#VALUE!</v>
      </c>
    </row>
    <row r="210" spans="1:66" x14ac:dyDescent="0.2">
      <c r="A210" s="21">
        <f>Prices!A209</f>
        <v>32082</v>
      </c>
      <c r="BC210" s="21" t="e" vm="1">
        <v>#REF!</v>
      </c>
      <c r="BD210" t="e" vm="1">
        <v>#REF!</v>
      </c>
      <c r="BF210" t="e" vm="2">
        <f t="shared" si="12"/>
        <v>#VALUE!</v>
      </c>
      <c r="BG210" t="e" vm="2">
        <f t="shared" si="13"/>
        <v>#VALUE!</v>
      </c>
      <c r="BJ210" s="21" t="e" vm="1">
        <v>#REF!</v>
      </c>
      <c r="BK210" t="e" vm="1">
        <v>#REF!</v>
      </c>
      <c r="BM210" t="e" vm="2">
        <f t="shared" si="14"/>
        <v>#VALUE!</v>
      </c>
      <c r="BN210" t="e" vm="2">
        <f t="shared" si="15"/>
        <v>#VALUE!</v>
      </c>
    </row>
    <row r="211" spans="1:66" x14ac:dyDescent="0.2">
      <c r="A211" s="21">
        <f>Prices!A210</f>
        <v>32112</v>
      </c>
      <c r="BC211" s="21" t="e" vm="1">
        <v>#REF!</v>
      </c>
      <c r="BD211" t="e" vm="1">
        <v>#REF!</v>
      </c>
      <c r="BF211" t="e" vm="2">
        <f t="shared" si="12"/>
        <v>#VALUE!</v>
      </c>
      <c r="BG211" t="e" vm="2">
        <f t="shared" si="13"/>
        <v>#VALUE!</v>
      </c>
      <c r="BJ211" s="21" t="e" vm="1">
        <v>#REF!</v>
      </c>
      <c r="BK211" t="e" vm="1">
        <v>#REF!</v>
      </c>
      <c r="BM211" t="e" vm="2">
        <f t="shared" si="14"/>
        <v>#VALUE!</v>
      </c>
      <c r="BN211" t="e" vm="2">
        <f t="shared" si="15"/>
        <v>#VALUE!</v>
      </c>
    </row>
    <row r="212" spans="1:66" x14ac:dyDescent="0.2">
      <c r="A212" s="21">
        <f>Prices!A211</f>
        <v>32143</v>
      </c>
      <c r="BC212" s="21" t="e" vm="1">
        <v>#REF!</v>
      </c>
      <c r="BD212" t="e" vm="1">
        <v>#REF!</v>
      </c>
      <c r="BF212" t="e" vm="2">
        <f t="shared" si="12"/>
        <v>#VALUE!</v>
      </c>
      <c r="BG212" t="e" vm="2">
        <f t="shared" si="13"/>
        <v>#VALUE!</v>
      </c>
      <c r="BJ212" s="21" t="e" vm="1">
        <v>#REF!</v>
      </c>
      <c r="BK212" t="e" vm="1">
        <v>#REF!</v>
      </c>
      <c r="BM212" t="e" vm="2">
        <f t="shared" si="14"/>
        <v>#VALUE!</v>
      </c>
      <c r="BN212" t="e" vm="2">
        <f t="shared" si="15"/>
        <v>#VALUE!</v>
      </c>
    </row>
    <row r="213" spans="1:66" x14ac:dyDescent="0.2">
      <c r="A213" s="21">
        <f>Prices!A212</f>
        <v>32174</v>
      </c>
      <c r="BC213" s="21" t="e" vm="1">
        <v>#REF!</v>
      </c>
      <c r="BD213" t="e" vm="1">
        <v>#REF!</v>
      </c>
      <c r="BF213" t="e" vm="2">
        <f t="shared" si="12"/>
        <v>#VALUE!</v>
      </c>
      <c r="BG213" t="e" vm="2">
        <f t="shared" si="13"/>
        <v>#VALUE!</v>
      </c>
      <c r="BJ213" s="21" t="e" vm="1">
        <v>#REF!</v>
      </c>
      <c r="BK213" t="e" vm="1">
        <v>#REF!</v>
      </c>
      <c r="BM213" t="e" vm="2">
        <f t="shared" si="14"/>
        <v>#VALUE!</v>
      </c>
      <c r="BN213" t="e" vm="2">
        <f t="shared" si="15"/>
        <v>#VALUE!</v>
      </c>
    </row>
    <row r="214" spans="1:66" x14ac:dyDescent="0.2">
      <c r="A214" s="21">
        <f>Prices!A213</f>
        <v>32203</v>
      </c>
      <c r="BC214" s="21" t="e" vm="1">
        <v>#REF!</v>
      </c>
      <c r="BD214" t="e" vm="1">
        <v>#REF!</v>
      </c>
      <c r="BF214" t="e" vm="2">
        <f t="shared" si="12"/>
        <v>#VALUE!</v>
      </c>
      <c r="BG214" t="e" vm="2">
        <f t="shared" si="13"/>
        <v>#VALUE!</v>
      </c>
      <c r="BJ214" s="21" t="e" vm="1">
        <v>#REF!</v>
      </c>
      <c r="BK214" t="e" vm="1">
        <v>#REF!</v>
      </c>
      <c r="BM214" t="e" vm="2">
        <f t="shared" si="14"/>
        <v>#VALUE!</v>
      </c>
      <c r="BN214" t="e" vm="2">
        <f t="shared" si="15"/>
        <v>#VALUE!</v>
      </c>
    </row>
    <row r="215" spans="1:66" x14ac:dyDescent="0.2">
      <c r="A215" s="21">
        <f>Prices!A214</f>
        <v>32234</v>
      </c>
      <c r="BC215" s="21" t="e" vm="1">
        <v>#REF!</v>
      </c>
      <c r="BD215" t="e" vm="1">
        <v>#REF!</v>
      </c>
      <c r="BF215" t="e" vm="2">
        <f t="shared" si="12"/>
        <v>#VALUE!</v>
      </c>
      <c r="BG215" t="e" vm="2">
        <f t="shared" si="13"/>
        <v>#VALUE!</v>
      </c>
      <c r="BJ215" s="21" t="e" vm="1">
        <v>#REF!</v>
      </c>
      <c r="BK215" t="e" vm="1">
        <v>#REF!</v>
      </c>
      <c r="BM215" t="e" vm="2">
        <f t="shared" si="14"/>
        <v>#VALUE!</v>
      </c>
      <c r="BN215" t="e" vm="2">
        <f t="shared" si="15"/>
        <v>#VALUE!</v>
      </c>
    </row>
    <row r="216" spans="1:66" x14ac:dyDescent="0.2">
      <c r="A216" s="21">
        <f>Prices!A215</f>
        <v>32264</v>
      </c>
      <c r="BC216" s="21" t="e" vm="1">
        <v>#REF!</v>
      </c>
      <c r="BD216" t="e" vm="1">
        <v>#REF!</v>
      </c>
      <c r="BF216" t="e" vm="2">
        <f t="shared" si="12"/>
        <v>#VALUE!</v>
      </c>
      <c r="BG216" t="e" vm="2">
        <f t="shared" si="13"/>
        <v>#VALUE!</v>
      </c>
      <c r="BJ216" s="21" t="e" vm="1">
        <v>#REF!</v>
      </c>
      <c r="BK216" t="e" vm="1">
        <v>#REF!</v>
      </c>
      <c r="BM216" t="e" vm="2">
        <f t="shared" si="14"/>
        <v>#VALUE!</v>
      </c>
      <c r="BN216" t="e" vm="2">
        <f t="shared" si="15"/>
        <v>#VALUE!</v>
      </c>
    </row>
    <row r="217" spans="1:66" x14ac:dyDescent="0.2">
      <c r="A217" s="21">
        <f>Prices!A216</f>
        <v>32295</v>
      </c>
      <c r="BC217" s="21" t="e" vm="1">
        <v>#REF!</v>
      </c>
      <c r="BD217" t="e" vm="1">
        <v>#REF!</v>
      </c>
      <c r="BF217" t="e" vm="2">
        <f t="shared" si="12"/>
        <v>#VALUE!</v>
      </c>
      <c r="BG217" t="e" vm="2">
        <f t="shared" si="13"/>
        <v>#VALUE!</v>
      </c>
      <c r="BJ217" s="21" t="e" vm="1">
        <v>#REF!</v>
      </c>
      <c r="BK217" t="e" vm="1">
        <v>#REF!</v>
      </c>
      <c r="BM217" t="e" vm="2">
        <f t="shared" si="14"/>
        <v>#VALUE!</v>
      </c>
      <c r="BN217" t="e" vm="2">
        <f t="shared" si="15"/>
        <v>#VALUE!</v>
      </c>
    </row>
    <row r="218" spans="1:66" x14ac:dyDescent="0.2">
      <c r="A218" s="21">
        <f>Prices!A217</f>
        <v>32325</v>
      </c>
      <c r="BC218" s="21" t="e" vm="1">
        <v>#REF!</v>
      </c>
      <c r="BD218" t="e" vm="1">
        <v>#REF!</v>
      </c>
      <c r="BF218" t="e" vm="2">
        <f t="shared" si="12"/>
        <v>#VALUE!</v>
      </c>
      <c r="BG218" t="e" vm="2">
        <f t="shared" si="13"/>
        <v>#VALUE!</v>
      </c>
      <c r="BJ218" s="21" t="e" vm="1">
        <v>#REF!</v>
      </c>
      <c r="BK218" t="e" vm="1">
        <v>#REF!</v>
      </c>
      <c r="BM218" t="e" vm="2">
        <f t="shared" si="14"/>
        <v>#VALUE!</v>
      </c>
      <c r="BN218" t="e" vm="2">
        <f t="shared" si="15"/>
        <v>#VALUE!</v>
      </c>
    </row>
    <row r="219" spans="1:66" x14ac:dyDescent="0.2">
      <c r="A219" s="21">
        <f>Prices!A218</f>
        <v>32356</v>
      </c>
      <c r="BC219" s="21" t="e" vm="1">
        <v>#REF!</v>
      </c>
      <c r="BD219" t="e" vm="1">
        <v>#REF!</v>
      </c>
      <c r="BF219" t="e" vm="2">
        <f t="shared" si="12"/>
        <v>#VALUE!</v>
      </c>
      <c r="BG219" t="e" vm="2">
        <f t="shared" si="13"/>
        <v>#VALUE!</v>
      </c>
      <c r="BJ219" s="21" t="e" vm="1">
        <v>#REF!</v>
      </c>
      <c r="BK219" t="e" vm="1">
        <v>#REF!</v>
      </c>
      <c r="BM219" t="e" vm="2">
        <f t="shared" si="14"/>
        <v>#VALUE!</v>
      </c>
      <c r="BN219" t="e" vm="2">
        <f t="shared" si="15"/>
        <v>#VALUE!</v>
      </c>
    </row>
    <row r="220" spans="1:66" x14ac:dyDescent="0.2">
      <c r="A220" s="21">
        <f>Prices!A219</f>
        <v>32387</v>
      </c>
      <c r="BC220" s="21" t="e" vm="1">
        <v>#REF!</v>
      </c>
      <c r="BD220" t="e" vm="1">
        <v>#REF!</v>
      </c>
      <c r="BF220" t="e" vm="2">
        <f t="shared" si="12"/>
        <v>#VALUE!</v>
      </c>
      <c r="BG220" t="e" vm="2">
        <f t="shared" si="13"/>
        <v>#VALUE!</v>
      </c>
      <c r="BJ220" s="21" t="e" vm="1">
        <v>#REF!</v>
      </c>
      <c r="BK220" t="e" vm="1">
        <v>#REF!</v>
      </c>
      <c r="BM220" t="e" vm="2">
        <f t="shared" si="14"/>
        <v>#VALUE!</v>
      </c>
      <c r="BN220" t="e" vm="2">
        <f t="shared" si="15"/>
        <v>#VALUE!</v>
      </c>
    </row>
    <row r="221" spans="1:66" x14ac:dyDescent="0.2">
      <c r="A221" s="21">
        <f>Prices!A220</f>
        <v>32417</v>
      </c>
      <c r="BC221" s="21" t="e" vm="1">
        <v>#REF!</v>
      </c>
      <c r="BD221" t="e" vm="1">
        <v>#REF!</v>
      </c>
      <c r="BF221" t="e" vm="2">
        <f t="shared" si="12"/>
        <v>#VALUE!</v>
      </c>
      <c r="BG221" t="e" vm="2">
        <f t="shared" si="13"/>
        <v>#VALUE!</v>
      </c>
      <c r="BJ221" s="21" t="e" vm="1">
        <v>#REF!</v>
      </c>
      <c r="BK221" t="e" vm="1">
        <v>#REF!</v>
      </c>
      <c r="BM221" t="e" vm="2">
        <f t="shared" si="14"/>
        <v>#VALUE!</v>
      </c>
      <c r="BN221" t="e" vm="2">
        <f t="shared" si="15"/>
        <v>#VALUE!</v>
      </c>
    </row>
    <row r="222" spans="1:66" x14ac:dyDescent="0.2">
      <c r="A222" s="21">
        <f>Prices!A221</f>
        <v>32448</v>
      </c>
      <c r="BC222" s="21" t="e" vm="1">
        <v>#REF!</v>
      </c>
      <c r="BD222" t="e" vm="1">
        <v>#REF!</v>
      </c>
      <c r="BF222" t="e" vm="2">
        <f t="shared" si="12"/>
        <v>#VALUE!</v>
      </c>
      <c r="BG222" t="e" vm="2">
        <f t="shared" si="13"/>
        <v>#VALUE!</v>
      </c>
      <c r="BJ222" s="21" t="e" vm="1">
        <v>#REF!</v>
      </c>
      <c r="BK222" t="e" vm="1">
        <v>#REF!</v>
      </c>
      <c r="BM222" t="e" vm="2">
        <f t="shared" si="14"/>
        <v>#VALUE!</v>
      </c>
      <c r="BN222" t="e" vm="2">
        <f t="shared" si="15"/>
        <v>#VALUE!</v>
      </c>
    </row>
    <row r="223" spans="1:66" x14ac:dyDescent="0.2">
      <c r="A223" s="21">
        <f>Prices!A222</f>
        <v>32478</v>
      </c>
      <c r="BC223" s="21" t="e" vm="1">
        <v>#REF!</v>
      </c>
      <c r="BD223" t="e" vm="1">
        <v>#REF!</v>
      </c>
      <c r="BF223" t="e" vm="2">
        <f t="shared" si="12"/>
        <v>#VALUE!</v>
      </c>
      <c r="BG223" t="e" vm="2">
        <f t="shared" si="13"/>
        <v>#VALUE!</v>
      </c>
      <c r="BJ223" s="21" t="e" vm="1">
        <v>#REF!</v>
      </c>
      <c r="BK223" t="e" vm="1">
        <v>#REF!</v>
      </c>
      <c r="BM223" t="e" vm="2">
        <f t="shared" si="14"/>
        <v>#VALUE!</v>
      </c>
      <c r="BN223" t="e" vm="2">
        <f t="shared" si="15"/>
        <v>#VALUE!</v>
      </c>
    </row>
    <row r="224" spans="1:66" x14ac:dyDescent="0.2">
      <c r="A224" s="21">
        <f>Prices!A223</f>
        <v>32509</v>
      </c>
      <c r="BC224" s="21" t="e" vm="1">
        <v>#REF!</v>
      </c>
      <c r="BD224" t="e" vm="1">
        <v>#REF!</v>
      </c>
      <c r="BF224" t="e" vm="2">
        <f t="shared" si="12"/>
        <v>#VALUE!</v>
      </c>
      <c r="BG224" t="e" vm="2">
        <f t="shared" si="13"/>
        <v>#VALUE!</v>
      </c>
      <c r="BJ224" s="21" t="e" vm="1">
        <v>#REF!</v>
      </c>
      <c r="BK224" t="e" vm="1">
        <v>#REF!</v>
      </c>
      <c r="BM224" t="e" vm="2">
        <f t="shared" si="14"/>
        <v>#VALUE!</v>
      </c>
      <c r="BN224" t="e" vm="2">
        <f t="shared" si="15"/>
        <v>#VALUE!</v>
      </c>
    </row>
    <row r="225" spans="1:66" x14ac:dyDescent="0.2">
      <c r="A225" s="21">
        <f>Prices!A224</f>
        <v>32540</v>
      </c>
      <c r="BC225" s="21" t="e" vm="1">
        <v>#REF!</v>
      </c>
      <c r="BD225" t="e" vm="1">
        <v>#REF!</v>
      </c>
      <c r="BF225" t="e" vm="2">
        <f t="shared" si="12"/>
        <v>#VALUE!</v>
      </c>
      <c r="BG225" t="e" vm="2">
        <f t="shared" si="13"/>
        <v>#VALUE!</v>
      </c>
      <c r="BJ225" s="21" t="e" vm="1">
        <v>#REF!</v>
      </c>
      <c r="BK225" t="e" vm="1">
        <v>#REF!</v>
      </c>
      <c r="BM225" t="e" vm="2">
        <f t="shared" si="14"/>
        <v>#VALUE!</v>
      </c>
      <c r="BN225" t="e" vm="2">
        <f t="shared" si="15"/>
        <v>#VALUE!</v>
      </c>
    </row>
    <row r="226" spans="1:66" x14ac:dyDescent="0.2">
      <c r="A226" s="21">
        <f>Prices!A225</f>
        <v>32568</v>
      </c>
      <c r="BC226" s="21" t="e" vm="1">
        <v>#REF!</v>
      </c>
      <c r="BD226" t="e" vm="1">
        <v>#REF!</v>
      </c>
      <c r="BF226" t="e" vm="2">
        <f t="shared" si="12"/>
        <v>#VALUE!</v>
      </c>
      <c r="BG226" t="e" vm="2">
        <f t="shared" si="13"/>
        <v>#VALUE!</v>
      </c>
      <c r="BJ226" s="21" t="e" vm="1">
        <v>#REF!</v>
      </c>
      <c r="BK226" t="e" vm="1">
        <v>#REF!</v>
      </c>
      <c r="BM226" t="e" vm="2">
        <f t="shared" si="14"/>
        <v>#VALUE!</v>
      </c>
      <c r="BN226" t="e" vm="2">
        <f t="shared" si="15"/>
        <v>#VALUE!</v>
      </c>
    </row>
    <row r="227" spans="1:66" x14ac:dyDescent="0.2">
      <c r="A227" s="21">
        <f>Prices!A226</f>
        <v>32599</v>
      </c>
      <c r="BC227" s="21" t="e" vm="1">
        <v>#REF!</v>
      </c>
      <c r="BD227" t="e" vm="1">
        <v>#REF!</v>
      </c>
      <c r="BF227" t="e" vm="2">
        <f t="shared" si="12"/>
        <v>#VALUE!</v>
      </c>
      <c r="BG227" t="e" vm="2">
        <f t="shared" si="13"/>
        <v>#VALUE!</v>
      </c>
      <c r="BJ227" s="21" t="e" vm="1">
        <v>#REF!</v>
      </c>
      <c r="BK227" t="e" vm="1">
        <v>#REF!</v>
      </c>
      <c r="BM227" t="e" vm="2">
        <f t="shared" si="14"/>
        <v>#VALUE!</v>
      </c>
      <c r="BN227" t="e" vm="2">
        <f t="shared" si="15"/>
        <v>#VALUE!</v>
      </c>
    </row>
    <row r="228" spans="1:66" x14ac:dyDescent="0.2">
      <c r="A228" s="21">
        <f>Prices!A227</f>
        <v>32629</v>
      </c>
      <c r="BC228" s="21" t="e" vm="1">
        <v>#REF!</v>
      </c>
      <c r="BD228" t="e" vm="1">
        <v>#REF!</v>
      </c>
      <c r="BF228" t="e" vm="2">
        <f t="shared" si="12"/>
        <v>#VALUE!</v>
      </c>
      <c r="BG228" t="e" vm="2">
        <f t="shared" si="13"/>
        <v>#VALUE!</v>
      </c>
      <c r="BJ228" s="21" t="e" vm="1">
        <v>#REF!</v>
      </c>
      <c r="BK228" t="e" vm="1">
        <v>#REF!</v>
      </c>
      <c r="BM228" t="e" vm="2">
        <f t="shared" si="14"/>
        <v>#VALUE!</v>
      </c>
      <c r="BN228" t="e" vm="2">
        <f t="shared" si="15"/>
        <v>#VALUE!</v>
      </c>
    </row>
    <row r="229" spans="1:66" x14ac:dyDescent="0.2">
      <c r="A229" s="21">
        <f>Prices!A228</f>
        <v>32660</v>
      </c>
      <c r="BC229" s="21" t="e" vm="1">
        <v>#REF!</v>
      </c>
      <c r="BD229" t="e" vm="1">
        <v>#REF!</v>
      </c>
      <c r="BF229" t="e" vm="2">
        <f t="shared" si="12"/>
        <v>#VALUE!</v>
      </c>
      <c r="BG229" t="e" vm="2">
        <f t="shared" si="13"/>
        <v>#VALUE!</v>
      </c>
      <c r="BJ229" s="21" t="e" vm="1">
        <v>#REF!</v>
      </c>
      <c r="BK229" t="e" vm="1">
        <v>#REF!</v>
      </c>
      <c r="BM229" t="e" vm="2">
        <f t="shared" si="14"/>
        <v>#VALUE!</v>
      </c>
      <c r="BN229" t="e" vm="2">
        <f t="shared" si="15"/>
        <v>#VALUE!</v>
      </c>
    </row>
    <row r="230" spans="1:66" x14ac:dyDescent="0.2">
      <c r="A230" s="21">
        <f>Prices!A229</f>
        <v>32690</v>
      </c>
      <c r="BC230" s="21" t="e" vm="1">
        <v>#REF!</v>
      </c>
      <c r="BD230" t="e" vm="1">
        <v>#REF!</v>
      </c>
      <c r="BF230" t="e" vm="2">
        <f t="shared" si="12"/>
        <v>#VALUE!</v>
      </c>
      <c r="BG230" t="e" vm="2">
        <f t="shared" si="13"/>
        <v>#VALUE!</v>
      </c>
      <c r="BJ230" s="21" t="e" vm="1">
        <v>#REF!</v>
      </c>
      <c r="BK230" t="e" vm="1">
        <v>#REF!</v>
      </c>
      <c r="BM230" t="e" vm="2">
        <f t="shared" si="14"/>
        <v>#VALUE!</v>
      </c>
      <c r="BN230" t="e" vm="2">
        <f t="shared" si="15"/>
        <v>#VALUE!</v>
      </c>
    </row>
    <row r="231" spans="1:66" x14ac:dyDescent="0.2">
      <c r="A231" s="21">
        <f>Prices!A230</f>
        <v>32721</v>
      </c>
      <c r="BC231" s="21" t="e" vm="1">
        <v>#REF!</v>
      </c>
      <c r="BD231" t="e" vm="1">
        <v>#REF!</v>
      </c>
      <c r="BF231" t="e" vm="2">
        <f t="shared" si="12"/>
        <v>#VALUE!</v>
      </c>
      <c r="BG231" t="e" vm="2">
        <f t="shared" si="13"/>
        <v>#VALUE!</v>
      </c>
      <c r="BJ231" s="21" t="e" vm="1">
        <v>#REF!</v>
      </c>
      <c r="BK231" t="e" vm="1">
        <v>#REF!</v>
      </c>
      <c r="BM231" t="e" vm="2">
        <f t="shared" si="14"/>
        <v>#VALUE!</v>
      </c>
      <c r="BN231" t="e" vm="2">
        <f t="shared" si="15"/>
        <v>#VALUE!</v>
      </c>
    </row>
    <row r="232" spans="1:66" x14ac:dyDescent="0.2">
      <c r="A232" s="21">
        <f>Prices!A231</f>
        <v>32752</v>
      </c>
      <c r="BC232" s="21" t="e" vm="1">
        <v>#REF!</v>
      </c>
      <c r="BD232" t="e" vm="1">
        <v>#REF!</v>
      </c>
      <c r="BF232" t="e" vm="2">
        <f t="shared" si="12"/>
        <v>#VALUE!</v>
      </c>
      <c r="BG232" t="e" vm="2">
        <f t="shared" si="13"/>
        <v>#VALUE!</v>
      </c>
      <c r="BJ232" s="21" t="e" vm="1">
        <v>#REF!</v>
      </c>
      <c r="BK232" t="e" vm="1">
        <v>#REF!</v>
      </c>
      <c r="BM232" t="e" vm="2">
        <f t="shared" si="14"/>
        <v>#VALUE!</v>
      </c>
      <c r="BN232" t="e" vm="2">
        <f t="shared" si="15"/>
        <v>#VALUE!</v>
      </c>
    </row>
    <row r="233" spans="1:66" x14ac:dyDescent="0.2">
      <c r="A233" s="21">
        <f>Prices!A232</f>
        <v>32782</v>
      </c>
      <c r="BC233" s="21" t="e" vm="1">
        <v>#REF!</v>
      </c>
      <c r="BD233" t="e" vm="1">
        <v>#REF!</v>
      </c>
      <c r="BF233" t="e" vm="2">
        <f t="shared" si="12"/>
        <v>#VALUE!</v>
      </c>
      <c r="BG233" t="e" vm="2">
        <f t="shared" si="13"/>
        <v>#VALUE!</v>
      </c>
      <c r="BJ233" s="21" t="e" vm="1">
        <v>#REF!</v>
      </c>
      <c r="BK233" t="e" vm="1">
        <v>#REF!</v>
      </c>
      <c r="BM233" t="e" vm="2">
        <f t="shared" si="14"/>
        <v>#VALUE!</v>
      </c>
      <c r="BN233" t="e" vm="2">
        <f t="shared" si="15"/>
        <v>#VALUE!</v>
      </c>
    </row>
    <row r="234" spans="1:66" x14ac:dyDescent="0.2">
      <c r="A234" s="21">
        <f>Prices!A233</f>
        <v>32813</v>
      </c>
      <c r="BC234" s="21" t="e" vm="1">
        <v>#REF!</v>
      </c>
      <c r="BD234" t="e" vm="1">
        <v>#REF!</v>
      </c>
      <c r="BF234" t="e" vm="2">
        <f t="shared" si="12"/>
        <v>#VALUE!</v>
      </c>
      <c r="BG234" t="e" vm="2">
        <f t="shared" si="13"/>
        <v>#VALUE!</v>
      </c>
      <c r="BJ234" s="21" t="e" vm="1">
        <v>#REF!</v>
      </c>
      <c r="BK234" t="e" vm="1">
        <v>#REF!</v>
      </c>
      <c r="BM234" t="e" vm="2">
        <f t="shared" si="14"/>
        <v>#VALUE!</v>
      </c>
      <c r="BN234" t="e" vm="2">
        <f t="shared" si="15"/>
        <v>#VALUE!</v>
      </c>
    </row>
    <row r="235" spans="1:66" x14ac:dyDescent="0.2">
      <c r="A235" s="21">
        <f>Prices!A234</f>
        <v>32843</v>
      </c>
      <c r="BC235" s="21" t="e" vm="1">
        <v>#REF!</v>
      </c>
      <c r="BD235" t="e" vm="1">
        <v>#REF!</v>
      </c>
      <c r="BF235" t="e" vm="2">
        <f t="shared" si="12"/>
        <v>#VALUE!</v>
      </c>
      <c r="BG235" t="e" vm="2">
        <f t="shared" si="13"/>
        <v>#VALUE!</v>
      </c>
      <c r="BJ235" s="21" t="e" vm="1">
        <v>#REF!</v>
      </c>
      <c r="BK235" t="e" vm="1">
        <v>#REF!</v>
      </c>
      <c r="BM235" t="e" vm="2">
        <f t="shared" si="14"/>
        <v>#VALUE!</v>
      </c>
      <c r="BN235" t="e" vm="2">
        <f t="shared" si="15"/>
        <v>#VALUE!</v>
      </c>
    </row>
    <row r="236" spans="1:66" x14ac:dyDescent="0.2">
      <c r="A236" s="21">
        <f>Prices!A235</f>
        <v>32874</v>
      </c>
      <c r="BC236" s="21" t="e" vm="1">
        <v>#REF!</v>
      </c>
      <c r="BD236" t="e" vm="1">
        <v>#REF!</v>
      </c>
      <c r="BF236" t="e" vm="2">
        <f t="shared" si="12"/>
        <v>#VALUE!</v>
      </c>
      <c r="BG236" t="e" vm="2">
        <f t="shared" si="13"/>
        <v>#VALUE!</v>
      </c>
      <c r="BJ236" s="21" t="e" vm="1">
        <v>#REF!</v>
      </c>
      <c r="BK236" t="e" vm="1">
        <v>#REF!</v>
      </c>
      <c r="BM236" t="e" vm="2">
        <f t="shared" si="14"/>
        <v>#VALUE!</v>
      </c>
      <c r="BN236" t="e" vm="2">
        <f t="shared" si="15"/>
        <v>#VALUE!</v>
      </c>
    </row>
    <row r="237" spans="1:66" x14ac:dyDescent="0.2">
      <c r="A237" s="21">
        <f>Prices!A236</f>
        <v>32905</v>
      </c>
      <c r="BC237" s="21" t="e" vm="1">
        <v>#REF!</v>
      </c>
      <c r="BD237" t="e" vm="1">
        <v>#REF!</v>
      </c>
      <c r="BF237" t="e" vm="2">
        <f t="shared" si="12"/>
        <v>#VALUE!</v>
      </c>
      <c r="BG237" t="e" vm="2">
        <f t="shared" si="13"/>
        <v>#VALUE!</v>
      </c>
      <c r="BJ237" s="21" t="e" vm="1">
        <v>#REF!</v>
      </c>
      <c r="BK237" t="e" vm="1">
        <v>#REF!</v>
      </c>
      <c r="BM237" t="e" vm="2">
        <f t="shared" si="14"/>
        <v>#VALUE!</v>
      </c>
      <c r="BN237" t="e" vm="2">
        <f t="shared" si="15"/>
        <v>#VALUE!</v>
      </c>
    </row>
    <row r="238" spans="1:66" x14ac:dyDescent="0.2">
      <c r="A238" s="21">
        <f>Prices!A237</f>
        <v>32933</v>
      </c>
      <c r="BC238" s="21" t="e" vm="1">
        <v>#REF!</v>
      </c>
      <c r="BD238" t="e" vm="1">
        <v>#REF!</v>
      </c>
      <c r="BF238" t="e" vm="2">
        <f t="shared" si="12"/>
        <v>#VALUE!</v>
      </c>
      <c r="BG238" t="e" vm="2">
        <f t="shared" si="13"/>
        <v>#VALUE!</v>
      </c>
      <c r="BJ238" s="21" t="e" vm="1">
        <v>#REF!</v>
      </c>
      <c r="BK238" t="e" vm="1">
        <v>#REF!</v>
      </c>
      <c r="BM238" t="e" vm="2">
        <f t="shared" si="14"/>
        <v>#VALUE!</v>
      </c>
      <c r="BN238" t="e" vm="2">
        <f t="shared" si="15"/>
        <v>#VALUE!</v>
      </c>
    </row>
    <row r="239" spans="1:66" x14ac:dyDescent="0.2">
      <c r="A239" s="21">
        <f>Prices!A238</f>
        <v>32964</v>
      </c>
      <c r="BC239" s="21" t="e" vm="1">
        <v>#REF!</v>
      </c>
      <c r="BD239" t="e" vm="1">
        <v>#REF!</v>
      </c>
      <c r="BF239" t="e" vm="2">
        <f t="shared" si="12"/>
        <v>#VALUE!</v>
      </c>
      <c r="BG239" t="e" vm="2">
        <f t="shared" si="13"/>
        <v>#VALUE!</v>
      </c>
      <c r="BJ239" s="21" t="e" vm="1">
        <v>#REF!</v>
      </c>
      <c r="BK239" t="e" vm="1">
        <v>#REF!</v>
      </c>
      <c r="BM239" t="e" vm="2">
        <f t="shared" si="14"/>
        <v>#VALUE!</v>
      </c>
      <c r="BN239" t="e" vm="2">
        <f t="shared" si="15"/>
        <v>#VALUE!</v>
      </c>
    </row>
    <row r="240" spans="1:66" x14ac:dyDescent="0.2">
      <c r="A240" s="21">
        <f>Prices!A239</f>
        <v>32994</v>
      </c>
      <c r="BC240" s="21" t="e" vm="1">
        <v>#REF!</v>
      </c>
      <c r="BD240" t="e" vm="1">
        <v>#REF!</v>
      </c>
      <c r="BF240" t="e" vm="2">
        <f t="shared" si="12"/>
        <v>#VALUE!</v>
      </c>
      <c r="BG240" t="e" vm="2">
        <f t="shared" si="13"/>
        <v>#VALUE!</v>
      </c>
      <c r="BJ240" s="21" t="e" vm="1">
        <v>#REF!</v>
      </c>
      <c r="BK240" t="e" vm="1">
        <v>#REF!</v>
      </c>
      <c r="BM240" t="e" vm="2">
        <f t="shared" si="14"/>
        <v>#VALUE!</v>
      </c>
      <c r="BN240" t="e" vm="2">
        <f t="shared" si="15"/>
        <v>#VALUE!</v>
      </c>
    </row>
    <row r="241" spans="1:66" x14ac:dyDescent="0.2">
      <c r="A241" s="21">
        <f>Prices!A240</f>
        <v>33025</v>
      </c>
      <c r="BC241" s="21" t="e" vm="1">
        <v>#REF!</v>
      </c>
      <c r="BD241" t="e" vm="1">
        <v>#REF!</v>
      </c>
      <c r="BF241" t="e" vm="2">
        <f t="shared" si="12"/>
        <v>#VALUE!</v>
      </c>
      <c r="BG241" t="e" vm="2">
        <f t="shared" si="13"/>
        <v>#VALUE!</v>
      </c>
      <c r="BJ241" s="21" t="e" vm="1">
        <v>#REF!</v>
      </c>
      <c r="BK241" t="e" vm="1">
        <v>#REF!</v>
      </c>
      <c r="BM241" t="e" vm="2">
        <f t="shared" si="14"/>
        <v>#VALUE!</v>
      </c>
      <c r="BN241" t="e" vm="2">
        <f t="shared" si="15"/>
        <v>#VALUE!</v>
      </c>
    </row>
    <row r="242" spans="1:66" x14ac:dyDescent="0.2">
      <c r="A242" s="21">
        <f>Prices!A241</f>
        <v>33055</v>
      </c>
      <c r="BC242" s="21" t="e" vm="1">
        <v>#REF!</v>
      </c>
      <c r="BD242" t="e" vm="1">
        <v>#REF!</v>
      </c>
      <c r="BF242" t="e" vm="2">
        <f t="shared" si="12"/>
        <v>#VALUE!</v>
      </c>
      <c r="BG242" t="e" vm="2">
        <f t="shared" si="13"/>
        <v>#VALUE!</v>
      </c>
      <c r="BJ242" s="21" t="e" vm="1">
        <v>#REF!</v>
      </c>
      <c r="BK242" t="e" vm="1">
        <v>#REF!</v>
      </c>
      <c r="BM242" t="e" vm="2">
        <f t="shared" si="14"/>
        <v>#VALUE!</v>
      </c>
      <c r="BN242" t="e" vm="2">
        <f t="shared" si="15"/>
        <v>#VALUE!</v>
      </c>
    </row>
    <row r="243" spans="1:66" x14ac:dyDescent="0.2">
      <c r="A243" s="21">
        <f>Prices!A242</f>
        <v>33086</v>
      </c>
      <c r="BC243" s="21" t="e" vm="1">
        <v>#REF!</v>
      </c>
      <c r="BD243" t="e" vm="1">
        <v>#REF!</v>
      </c>
      <c r="BF243" t="e" vm="2">
        <f t="shared" si="12"/>
        <v>#VALUE!</v>
      </c>
      <c r="BG243" t="e" vm="2">
        <f t="shared" si="13"/>
        <v>#VALUE!</v>
      </c>
      <c r="BJ243" s="21" t="e" vm="1">
        <v>#REF!</v>
      </c>
      <c r="BK243" t="e" vm="1">
        <v>#REF!</v>
      </c>
      <c r="BM243" t="e" vm="2">
        <f t="shared" si="14"/>
        <v>#VALUE!</v>
      </c>
      <c r="BN243" t="e" vm="2">
        <f t="shared" si="15"/>
        <v>#VALUE!</v>
      </c>
    </row>
    <row r="244" spans="1:66" x14ac:dyDescent="0.2">
      <c r="A244" s="21">
        <f>Prices!A243</f>
        <v>33117</v>
      </c>
      <c r="BC244" s="21" t="e" vm="1">
        <v>#REF!</v>
      </c>
      <c r="BD244" t="e" vm="1">
        <v>#REF!</v>
      </c>
      <c r="BF244" t="e" vm="2">
        <f t="shared" si="12"/>
        <v>#VALUE!</v>
      </c>
      <c r="BG244" t="e" vm="2">
        <f t="shared" si="13"/>
        <v>#VALUE!</v>
      </c>
      <c r="BJ244" s="21" t="e" vm="1">
        <v>#REF!</v>
      </c>
      <c r="BK244" t="e" vm="1">
        <v>#REF!</v>
      </c>
      <c r="BM244" t="e" vm="2">
        <f t="shared" si="14"/>
        <v>#VALUE!</v>
      </c>
      <c r="BN244" t="e" vm="2">
        <f t="shared" si="15"/>
        <v>#VALUE!</v>
      </c>
    </row>
    <row r="245" spans="1:66" x14ac:dyDescent="0.2">
      <c r="A245" s="21">
        <f>Prices!A244</f>
        <v>33147</v>
      </c>
      <c r="BC245" s="21" t="e" vm="1">
        <v>#REF!</v>
      </c>
      <c r="BD245" t="e" vm="1">
        <v>#REF!</v>
      </c>
      <c r="BF245" t="e" vm="2">
        <f t="shared" si="12"/>
        <v>#VALUE!</v>
      </c>
      <c r="BG245" t="e" vm="2">
        <f t="shared" si="13"/>
        <v>#VALUE!</v>
      </c>
      <c r="BJ245" s="21" t="e" vm="1">
        <v>#REF!</v>
      </c>
      <c r="BK245" t="e" vm="1">
        <v>#REF!</v>
      </c>
      <c r="BM245" t="e" vm="2">
        <f t="shared" si="14"/>
        <v>#VALUE!</v>
      </c>
      <c r="BN245" t="e" vm="2">
        <f t="shared" si="15"/>
        <v>#VALUE!</v>
      </c>
    </row>
    <row r="246" spans="1:66" x14ac:dyDescent="0.2">
      <c r="A246" s="21">
        <f>Prices!A245</f>
        <v>33178</v>
      </c>
      <c r="BC246" s="21" t="e" vm="1">
        <v>#REF!</v>
      </c>
      <c r="BD246" t="e" vm="1">
        <v>#REF!</v>
      </c>
      <c r="BF246" t="e" vm="2">
        <f t="shared" si="12"/>
        <v>#VALUE!</v>
      </c>
      <c r="BG246" t="e" vm="2">
        <f t="shared" si="13"/>
        <v>#VALUE!</v>
      </c>
      <c r="BJ246" s="21" t="e" vm="1">
        <v>#REF!</v>
      </c>
      <c r="BK246" t="e" vm="1">
        <v>#REF!</v>
      </c>
      <c r="BM246" t="e" vm="2">
        <f t="shared" si="14"/>
        <v>#VALUE!</v>
      </c>
      <c r="BN246" t="e" vm="2">
        <f t="shared" si="15"/>
        <v>#VALUE!</v>
      </c>
    </row>
    <row r="247" spans="1:66" x14ac:dyDescent="0.2">
      <c r="A247" s="21">
        <f>Prices!A246</f>
        <v>33208</v>
      </c>
      <c r="BC247" s="21" t="e" vm="1">
        <v>#REF!</v>
      </c>
      <c r="BD247" t="e" vm="1">
        <v>#REF!</v>
      </c>
      <c r="BF247" t="e" vm="2">
        <f t="shared" si="12"/>
        <v>#VALUE!</v>
      </c>
      <c r="BG247" t="e" vm="2">
        <f t="shared" si="13"/>
        <v>#VALUE!</v>
      </c>
      <c r="BJ247" s="21" t="e" vm="1">
        <v>#REF!</v>
      </c>
      <c r="BK247" t="e" vm="1">
        <v>#REF!</v>
      </c>
      <c r="BM247" t="e" vm="2">
        <f t="shared" si="14"/>
        <v>#VALUE!</v>
      </c>
      <c r="BN247" t="e" vm="2">
        <f t="shared" si="15"/>
        <v>#VALUE!</v>
      </c>
    </row>
    <row r="248" spans="1:66" x14ac:dyDescent="0.2">
      <c r="A248" s="21">
        <f>Prices!A247</f>
        <v>33239</v>
      </c>
      <c r="BC248" s="21" t="e" vm="1">
        <v>#REF!</v>
      </c>
      <c r="BD248" t="e" vm="1">
        <v>#REF!</v>
      </c>
      <c r="BF248" t="e" vm="2">
        <f t="shared" si="12"/>
        <v>#VALUE!</v>
      </c>
      <c r="BG248" t="e" vm="2">
        <f t="shared" si="13"/>
        <v>#VALUE!</v>
      </c>
      <c r="BJ248" s="21" t="e" vm="1">
        <v>#REF!</v>
      </c>
      <c r="BK248" t="e" vm="1">
        <v>#REF!</v>
      </c>
      <c r="BM248" t="e" vm="2">
        <f t="shared" si="14"/>
        <v>#VALUE!</v>
      </c>
      <c r="BN248" t="e" vm="2">
        <f t="shared" si="15"/>
        <v>#VALUE!</v>
      </c>
    </row>
    <row r="249" spans="1:66" x14ac:dyDescent="0.2">
      <c r="A249" s="21">
        <f>Prices!A248</f>
        <v>33270</v>
      </c>
      <c r="BC249" s="21" t="e" vm="1">
        <v>#REF!</v>
      </c>
      <c r="BD249" t="e" vm="1">
        <v>#REF!</v>
      </c>
      <c r="BF249" t="e" vm="2">
        <f t="shared" si="12"/>
        <v>#VALUE!</v>
      </c>
      <c r="BG249" t="e" vm="2">
        <f t="shared" si="13"/>
        <v>#VALUE!</v>
      </c>
      <c r="BJ249" s="21" t="e" vm="1">
        <v>#REF!</v>
      </c>
      <c r="BK249" t="e" vm="1">
        <v>#REF!</v>
      </c>
      <c r="BM249" t="e" vm="2">
        <f t="shared" si="14"/>
        <v>#VALUE!</v>
      </c>
      <c r="BN249" t="e" vm="2">
        <f t="shared" si="15"/>
        <v>#VALUE!</v>
      </c>
    </row>
    <row r="250" spans="1:66" x14ac:dyDescent="0.2">
      <c r="A250" s="21">
        <f>Prices!A249</f>
        <v>33298</v>
      </c>
      <c r="BC250" s="21" t="e" vm="1">
        <v>#REF!</v>
      </c>
      <c r="BD250" t="e" vm="1">
        <v>#REF!</v>
      </c>
      <c r="BF250" t="e" vm="2">
        <f t="shared" si="12"/>
        <v>#VALUE!</v>
      </c>
      <c r="BG250" t="e" vm="2">
        <f t="shared" si="13"/>
        <v>#VALUE!</v>
      </c>
      <c r="BJ250" s="21" t="e" vm="1">
        <v>#REF!</v>
      </c>
      <c r="BK250" t="e" vm="1">
        <v>#REF!</v>
      </c>
      <c r="BM250" t="e" vm="2">
        <f t="shared" si="14"/>
        <v>#VALUE!</v>
      </c>
      <c r="BN250" t="e" vm="2">
        <f t="shared" si="15"/>
        <v>#VALUE!</v>
      </c>
    </row>
    <row r="251" spans="1:66" x14ac:dyDescent="0.2">
      <c r="A251" s="21">
        <f>Prices!A250</f>
        <v>33329</v>
      </c>
      <c r="BC251" s="21" t="e" vm="1">
        <v>#REF!</v>
      </c>
      <c r="BD251" t="e" vm="1">
        <v>#REF!</v>
      </c>
      <c r="BF251" t="e" vm="2">
        <f t="shared" si="12"/>
        <v>#VALUE!</v>
      </c>
      <c r="BG251" t="e" vm="2">
        <f t="shared" si="13"/>
        <v>#VALUE!</v>
      </c>
      <c r="BJ251" s="21" t="e" vm="1">
        <v>#REF!</v>
      </c>
      <c r="BK251" t="e" vm="1">
        <v>#REF!</v>
      </c>
      <c r="BM251" t="e" vm="2">
        <f t="shared" si="14"/>
        <v>#VALUE!</v>
      </c>
      <c r="BN251" t="e" vm="2">
        <f t="shared" si="15"/>
        <v>#VALUE!</v>
      </c>
    </row>
    <row r="252" spans="1:66" x14ac:dyDescent="0.2">
      <c r="A252" s="21">
        <f>Prices!A251</f>
        <v>33359</v>
      </c>
      <c r="BC252" s="21" t="e" vm="1">
        <v>#REF!</v>
      </c>
      <c r="BD252" t="e" vm="1">
        <v>#REF!</v>
      </c>
      <c r="BF252" t="e" vm="2">
        <f t="shared" si="12"/>
        <v>#VALUE!</v>
      </c>
      <c r="BG252" t="e" vm="2">
        <f t="shared" si="13"/>
        <v>#VALUE!</v>
      </c>
      <c r="BJ252" s="21" t="e" vm="1">
        <v>#REF!</v>
      </c>
      <c r="BK252" t="e" vm="1">
        <v>#REF!</v>
      </c>
      <c r="BM252" t="e" vm="2">
        <f t="shared" si="14"/>
        <v>#VALUE!</v>
      </c>
      <c r="BN252" t="e" vm="2">
        <f t="shared" si="15"/>
        <v>#VALUE!</v>
      </c>
    </row>
    <row r="253" spans="1:66" x14ac:dyDescent="0.2">
      <c r="A253" s="21">
        <f>Prices!A252</f>
        <v>33390</v>
      </c>
      <c r="BC253" s="21" t="e" vm="1">
        <v>#REF!</v>
      </c>
      <c r="BD253" t="e" vm="1">
        <v>#REF!</v>
      </c>
      <c r="BF253" t="e" vm="2">
        <f t="shared" si="12"/>
        <v>#VALUE!</v>
      </c>
      <c r="BG253" t="e" vm="2">
        <f t="shared" si="13"/>
        <v>#VALUE!</v>
      </c>
      <c r="BJ253" s="21" t="e" vm="1">
        <v>#REF!</v>
      </c>
      <c r="BK253" t="e" vm="1">
        <v>#REF!</v>
      </c>
      <c r="BM253" t="e" vm="2">
        <f t="shared" si="14"/>
        <v>#VALUE!</v>
      </c>
      <c r="BN253" t="e" vm="2">
        <f t="shared" si="15"/>
        <v>#VALUE!</v>
      </c>
    </row>
    <row r="254" spans="1:66" x14ac:dyDescent="0.2">
      <c r="A254" s="21">
        <f>Prices!A253</f>
        <v>33420</v>
      </c>
      <c r="BC254" s="21" t="e" vm="1">
        <v>#REF!</v>
      </c>
      <c r="BD254" t="e" vm="1">
        <v>#REF!</v>
      </c>
      <c r="BF254" t="e" vm="2">
        <f t="shared" si="12"/>
        <v>#VALUE!</v>
      </c>
      <c r="BG254" t="e" vm="2">
        <f t="shared" si="13"/>
        <v>#VALUE!</v>
      </c>
      <c r="BJ254" s="21" t="e" vm="1">
        <v>#REF!</v>
      </c>
      <c r="BK254" t="e" vm="1">
        <v>#REF!</v>
      </c>
      <c r="BM254" t="e" vm="2">
        <f t="shared" si="14"/>
        <v>#VALUE!</v>
      </c>
      <c r="BN254" t="e" vm="2">
        <f t="shared" si="15"/>
        <v>#VALUE!</v>
      </c>
    </row>
    <row r="255" spans="1:66" x14ac:dyDescent="0.2">
      <c r="A255" s="21">
        <f>Prices!A254</f>
        <v>33451</v>
      </c>
      <c r="BC255" s="21" t="e" vm="1">
        <v>#REF!</v>
      </c>
      <c r="BD255" t="e" vm="1">
        <v>#REF!</v>
      </c>
      <c r="BF255" t="e" vm="2">
        <f t="shared" si="12"/>
        <v>#VALUE!</v>
      </c>
      <c r="BG255" t="e" vm="2">
        <f t="shared" si="13"/>
        <v>#VALUE!</v>
      </c>
      <c r="BJ255" s="21" t="e" vm="1">
        <v>#REF!</v>
      </c>
      <c r="BK255" t="e" vm="1">
        <v>#REF!</v>
      </c>
      <c r="BM255" t="e" vm="2">
        <f t="shared" si="14"/>
        <v>#VALUE!</v>
      </c>
      <c r="BN255" t="e" vm="2">
        <f t="shared" si="15"/>
        <v>#VALUE!</v>
      </c>
    </row>
    <row r="256" spans="1:66" x14ac:dyDescent="0.2">
      <c r="A256" s="21">
        <f>Prices!A255</f>
        <v>33482</v>
      </c>
      <c r="BC256" s="21" t="e" vm="1">
        <v>#REF!</v>
      </c>
      <c r="BD256" t="e" vm="1">
        <v>#REF!</v>
      </c>
      <c r="BF256" t="e" vm="2">
        <f t="shared" si="12"/>
        <v>#VALUE!</v>
      </c>
      <c r="BG256" t="e" vm="2">
        <f t="shared" si="13"/>
        <v>#VALUE!</v>
      </c>
      <c r="BJ256" s="21" t="e" vm="1">
        <v>#REF!</v>
      </c>
      <c r="BK256" t="e" vm="1">
        <v>#REF!</v>
      </c>
      <c r="BM256" t="e" vm="2">
        <f t="shared" si="14"/>
        <v>#VALUE!</v>
      </c>
      <c r="BN256" t="e" vm="2">
        <f t="shared" si="15"/>
        <v>#VALUE!</v>
      </c>
    </row>
    <row r="257" spans="1:66" x14ac:dyDescent="0.2">
      <c r="A257" s="21">
        <f>Prices!A256</f>
        <v>33512</v>
      </c>
      <c r="BC257" s="21" t="e" vm="1">
        <v>#REF!</v>
      </c>
      <c r="BD257" t="e" vm="1">
        <v>#REF!</v>
      </c>
      <c r="BF257" t="e" vm="2">
        <f t="shared" si="12"/>
        <v>#VALUE!</v>
      </c>
      <c r="BG257" t="e" vm="2">
        <f t="shared" si="13"/>
        <v>#VALUE!</v>
      </c>
      <c r="BJ257" s="21" t="e" vm="1">
        <v>#REF!</v>
      </c>
      <c r="BK257" t="e" vm="1">
        <v>#REF!</v>
      </c>
      <c r="BM257" t="e" vm="2">
        <f t="shared" si="14"/>
        <v>#VALUE!</v>
      </c>
      <c r="BN257" t="e" vm="2">
        <f t="shared" si="15"/>
        <v>#VALUE!</v>
      </c>
    </row>
    <row r="258" spans="1:66" x14ac:dyDescent="0.2">
      <c r="A258" s="21">
        <f>Prices!A257</f>
        <v>33543</v>
      </c>
      <c r="BC258" s="21" t="e" vm="1">
        <v>#REF!</v>
      </c>
      <c r="BD258" t="e" vm="1">
        <v>#REF!</v>
      </c>
      <c r="BF258" t="e" vm="2">
        <f t="shared" si="12"/>
        <v>#VALUE!</v>
      </c>
      <c r="BG258" t="e" vm="2">
        <f t="shared" si="13"/>
        <v>#VALUE!</v>
      </c>
      <c r="BJ258" s="21" t="e" vm="1">
        <v>#REF!</v>
      </c>
      <c r="BK258" t="e" vm="1">
        <v>#REF!</v>
      </c>
      <c r="BM258" t="e" vm="2">
        <f t="shared" si="14"/>
        <v>#VALUE!</v>
      </c>
      <c r="BN258" t="e" vm="2">
        <f t="shared" si="15"/>
        <v>#VALUE!</v>
      </c>
    </row>
    <row r="259" spans="1:66" x14ac:dyDescent="0.2">
      <c r="A259" s="21">
        <f>Prices!A258</f>
        <v>33573</v>
      </c>
      <c r="BC259" s="21" t="e" vm="1">
        <v>#REF!</v>
      </c>
      <c r="BD259" t="e" vm="1">
        <v>#REF!</v>
      </c>
      <c r="BF259" t="e" vm="2">
        <f t="shared" ref="BF259:BF322" si="16">MONTH(BC259)</f>
        <v>#VALUE!</v>
      </c>
      <c r="BG259" t="e" vm="2">
        <f t="shared" ref="BG259:BG322" si="17">YEAR(BC259)</f>
        <v>#VALUE!</v>
      </c>
      <c r="BJ259" s="21" t="e" vm="1">
        <v>#REF!</v>
      </c>
      <c r="BK259" t="e" vm="1">
        <v>#REF!</v>
      </c>
      <c r="BM259" t="e" vm="2">
        <f t="shared" si="14"/>
        <v>#VALUE!</v>
      </c>
      <c r="BN259" t="e" vm="2">
        <f t="shared" si="15"/>
        <v>#VALUE!</v>
      </c>
    </row>
    <row r="260" spans="1:66" x14ac:dyDescent="0.2">
      <c r="A260" s="21">
        <f>Prices!A259</f>
        <v>33604</v>
      </c>
      <c r="BC260" s="21" t="e" vm="1">
        <v>#REF!</v>
      </c>
      <c r="BD260" t="e" vm="1">
        <v>#REF!</v>
      </c>
      <c r="BF260" t="e" vm="2">
        <f t="shared" si="16"/>
        <v>#VALUE!</v>
      </c>
      <c r="BG260" t="e" vm="2">
        <f t="shared" si="17"/>
        <v>#VALUE!</v>
      </c>
      <c r="BJ260" s="21" t="e" vm="1">
        <v>#REF!</v>
      </c>
      <c r="BK260" t="e" vm="1">
        <v>#REF!</v>
      </c>
      <c r="BM260" t="e" vm="2">
        <f t="shared" ref="BM260:BM323" si="18">MONTH(BJ260)</f>
        <v>#VALUE!</v>
      </c>
      <c r="BN260" t="e" vm="2">
        <f t="shared" ref="BN260:BN323" si="19">YEAR(BJ260)</f>
        <v>#VALUE!</v>
      </c>
    </row>
    <row r="261" spans="1:66" x14ac:dyDescent="0.2">
      <c r="A261" s="21">
        <f>Prices!A260</f>
        <v>33635</v>
      </c>
      <c r="BC261" s="21" t="e" vm="1">
        <v>#REF!</v>
      </c>
      <c r="BD261" t="e" vm="1">
        <v>#REF!</v>
      </c>
      <c r="BF261" t="e" vm="2">
        <f t="shared" si="16"/>
        <v>#VALUE!</v>
      </c>
      <c r="BG261" t="e" vm="2">
        <f t="shared" si="17"/>
        <v>#VALUE!</v>
      </c>
      <c r="BJ261" s="21" t="e" vm="1">
        <v>#REF!</v>
      </c>
      <c r="BK261" t="e" vm="1">
        <v>#REF!</v>
      </c>
      <c r="BM261" t="e" vm="2">
        <f t="shared" si="18"/>
        <v>#VALUE!</v>
      </c>
      <c r="BN261" t="e" vm="2">
        <f t="shared" si="19"/>
        <v>#VALUE!</v>
      </c>
    </row>
    <row r="262" spans="1:66" x14ac:dyDescent="0.2">
      <c r="A262" s="21">
        <f>Prices!A261</f>
        <v>33664</v>
      </c>
      <c r="BC262" s="21" t="e" vm="1">
        <v>#REF!</v>
      </c>
      <c r="BD262" t="e" vm="1">
        <v>#REF!</v>
      </c>
      <c r="BF262" t="e" vm="2">
        <f t="shared" si="16"/>
        <v>#VALUE!</v>
      </c>
      <c r="BG262" t="e" vm="2">
        <f t="shared" si="17"/>
        <v>#VALUE!</v>
      </c>
      <c r="BJ262" s="21" t="e" vm="1">
        <v>#REF!</v>
      </c>
      <c r="BK262" t="e" vm="1">
        <v>#REF!</v>
      </c>
      <c r="BM262" t="e" vm="2">
        <f t="shared" si="18"/>
        <v>#VALUE!</v>
      </c>
      <c r="BN262" t="e" vm="2">
        <f t="shared" si="19"/>
        <v>#VALUE!</v>
      </c>
    </row>
    <row r="263" spans="1:66" x14ac:dyDescent="0.2">
      <c r="A263" s="21">
        <f>Prices!A262</f>
        <v>33695</v>
      </c>
      <c r="BC263" s="21" t="e" vm="1">
        <v>#REF!</v>
      </c>
      <c r="BD263" t="e" vm="1">
        <v>#REF!</v>
      </c>
      <c r="BF263" t="e" vm="2">
        <f t="shared" si="16"/>
        <v>#VALUE!</v>
      </c>
      <c r="BG263" t="e" vm="2">
        <f t="shared" si="17"/>
        <v>#VALUE!</v>
      </c>
      <c r="BJ263" s="21" t="e" vm="1">
        <v>#REF!</v>
      </c>
      <c r="BK263" t="e" vm="1">
        <v>#REF!</v>
      </c>
      <c r="BM263" t="e" vm="2">
        <f t="shared" si="18"/>
        <v>#VALUE!</v>
      </c>
      <c r="BN263" t="e" vm="2">
        <f t="shared" si="19"/>
        <v>#VALUE!</v>
      </c>
    </row>
    <row r="264" spans="1:66" x14ac:dyDescent="0.2">
      <c r="A264" s="21">
        <f>Prices!A263</f>
        <v>33725</v>
      </c>
      <c r="BC264" s="21" t="e" vm="1">
        <v>#REF!</v>
      </c>
      <c r="BD264" t="e" vm="1">
        <v>#REF!</v>
      </c>
      <c r="BF264" t="e" vm="2">
        <f t="shared" si="16"/>
        <v>#VALUE!</v>
      </c>
      <c r="BG264" t="e" vm="2">
        <f t="shared" si="17"/>
        <v>#VALUE!</v>
      </c>
      <c r="BJ264" s="21" t="e" vm="1">
        <v>#REF!</v>
      </c>
      <c r="BK264" t="e" vm="1">
        <v>#REF!</v>
      </c>
      <c r="BM264" t="e" vm="2">
        <f t="shared" si="18"/>
        <v>#VALUE!</v>
      </c>
      <c r="BN264" t="e" vm="2">
        <f t="shared" si="19"/>
        <v>#VALUE!</v>
      </c>
    </row>
    <row r="265" spans="1:66" x14ac:dyDescent="0.2">
      <c r="A265" s="21">
        <f>Prices!A264</f>
        <v>33756</v>
      </c>
      <c r="BC265" s="21" t="e" vm="1">
        <v>#REF!</v>
      </c>
      <c r="BD265" t="e" vm="1">
        <v>#REF!</v>
      </c>
      <c r="BF265" t="e" vm="2">
        <f t="shared" si="16"/>
        <v>#VALUE!</v>
      </c>
      <c r="BG265" t="e" vm="2">
        <f t="shared" si="17"/>
        <v>#VALUE!</v>
      </c>
      <c r="BJ265" s="21" t="e" vm="1">
        <v>#REF!</v>
      </c>
      <c r="BK265" t="e" vm="1">
        <v>#REF!</v>
      </c>
      <c r="BM265" t="e" vm="2">
        <f t="shared" si="18"/>
        <v>#VALUE!</v>
      </c>
      <c r="BN265" t="e" vm="2">
        <f t="shared" si="19"/>
        <v>#VALUE!</v>
      </c>
    </row>
    <row r="266" spans="1:66" x14ac:dyDescent="0.2">
      <c r="A266" s="21">
        <f>Prices!A265</f>
        <v>33786</v>
      </c>
      <c r="BC266" s="21" t="e" vm="1">
        <v>#REF!</v>
      </c>
      <c r="BD266" t="e" vm="1">
        <v>#REF!</v>
      </c>
      <c r="BF266" t="e" vm="2">
        <f t="shared" si="16"/>
        <v>#VALUE!</v>
      </c>
      <c r="BG266" t="e" vm="2">
        <f t="shared" si="17"/>
        <v>#VALUE!</v>
      </c>
      <c r="BJ266" s="21" t="e" vm="1">
        <v>#REF!</v>
      </c>
      <c r="BK266" t="e" vm="1">
        <v>#REF!</v>
      </c>
      <c r="BM266" t="e" vm="2">
        <f t="shared" si="18"/>
        <v>#VALUE!</v>
      </c>
      <c r="BN266" t="e" vm="2">
        <f t="shared" si="19"/>
        <v>#VALUE!</v>
      </c>
    </row>
    <row r="267" spans="1:66" x14ac:dyDescent="0.2">
      <c r="A267" s="21">
        <f>Prices!A266</f>
        <v>33817</v>
      </c>
      <c r="BC267" s="21" t="e" vm="1">
        <v>#REF!</v>
      </c>
      <c r="BD267" t="e" vm="1">
        <v>#REF!</v>
      </c>
      <c r="BF267" t="e" vm="2">
        <f t="shared" si="16"/>
        <v>#VALUE!</v>
      </c>
      <c r="BG267" t="e" vm="2">
        <f t="shared" si="17"/>
        <v>#VALUE!</v>
      </c>
      <c r="BJ267" s="21" t="e" vm="1">
        <v>#REF!</v>
      </c>
      <c r="BK267" t="e" vm="1">
        <v>#REF!</v>
      </c>
      <c r="BM267" t="e" vm="2">
        <f t="shared" si="18"/>
        <v>#VALUE!</v>
      </c>
      <c r="BN267" t="e" vm="2">
        <f t="shared" si="19"/>
        <v>#VALUE!</v>
      </c>
    </row>
    <row r="268" spans="1:66" x14ac:dyDescent="0.2">
      <c r="A268" s="21">
        <f>Prices!A267</f>
        <v>33848</v>
      </c>
      <c r="BC268" s="21" t="e" vm="1">
        <v>#REF!</v>
      </c>
      <c r="BD268" t="e" vm="1">
        <v>#REF!</v>
      </c>
      <c r="BF268" t="e" vm="2">
        <f t="shared" si="16"/>
        <v>#VALUE!</v>
      </c>
      <c r="BG268" t="e" vm="2">
        <f t="shared" si="17"/>
        <v>#VALUE!</v>
      </c>
      <c r="BJ268" s="21" t="e" vm="1">
        <v>#REF!</v>
      </c>
      <c r="BK268" t="e" vm="1">
        <v>#REF!</v>
      </c>
      <c r="BM268" t="e" vm="2">
        <f t="shared" si="18"/>
        <v>#VALUE!</v>
      </c>
      <c r="BN268" t="e" vm="2">
        <f t="shared" si="19"/>
        <v>#VALUE!</v>
      </c>
    </row>
    <row r="269" spans="1:66" x14ac:dyDescent="0.2">
      <c r="A269" s="21">
        <f>Prices!A268</f>
        <v>33878</v>
      </c>
      <c r="BC269" s="21" t="e" vm="1">
        <v>#REF!</v>
      </c>
      <c r="BD269" t="e" vm="1">
        <v>#REF!</v>
      </c>
      <c r="BF269" t="e" vm="2">
        <f t="shared" si="16"/>
        <v>#VALUE!</v>
      </c>
      <c r="BG269" t="e" vm="2">
        <f t="shared" si="17"/>
        <v>#VALUE!</v>
      </c>
      <c r="BJ269" s="21" t="e" vm="1">
        <v>#REF!</v>
      </c>
      <c r="BK269" t="e" vm="1">
        <v>#REF!</v>
      </c>
      <c r="BM269" t="e" vm="2">
        <f t="shared" si="18"/>
        <v>#VALUE!</v>
      </c>
      <c r="BN269" t="e" vm="2">
        <f t="shared" si="19"/>
        <v>#VALUE!</v>
      </c>
    </row>
    <row r="270" spans="1:66" x14ac:dyDescent="0.2">
      <c r="A270" s="21">
        <f>Prices!A269</f>
        <v>33909</v>
      </c>
      <c r="BC270" s="21" t="e" vm="1">
        <v>#REF!</v>
      </c>
      <c r="BD270" t="e" vm="1">
        <v>#REF!</v>
      </c>
      <c r="BF270" t="e" vm="2">
        <f t="shared" si="16"/>
        <v>#VALUE!</v>
      </c>
      <c r="BG270" t="e" vm="2">
        <f t="shared" si="17"/>
        <v>#VALUE!</v>
      </c>
      <c r="BJ270" s="21" t="e" vm="1">
        <v>#REF!</v>
      </c>
      <c r="BK270" t="e" vm="1">
        <v>#REF!</v>
      </c>
      <c r="BM270" t="e" vm="2">
        <f t="shared" si="18"/>
        <v>#VALUE!</v>
      </c>
      <c r="BN270" t="e" vm="2">
        <f t="shared" si="19"/>
        <v>#VALUE!</v>
      </c>
    </row>
    <row r="271" spans="1:66" x14ac:dyDescent="0.2">
      <c r="A271" s="21">
        <f>Prices!A270</f>
        <v>33939</v>
      </c>
      <c r="BC271" s="21" t="e" vm="1">
        <v>#REF!</v>
      </c>
      <c r="BD271" t="e" vm="1">
        <v>#REF!</v>
      </c>
      <c r="BF271" t="e" vm="2">
        <f t="shared" si="16"/>
        <v>#VALUE!</v>
      </c>
      <c r="BG271" t="e" vm="2">
        <f t="shared" si="17"/>
        <v>#VALUE!</v>
      </c>
      <c r="BJ271" s="21" t="e" vm="1">
        <v>#REF!</v>
      </c>
      <c r="BK271" t="e" vm="1">
        <v>#REF!</v>
      </c>
      <c r="BM271" t="e" vm="2">
        <f t="shared" si="18"/>
        <v>#VALUE!</v>
      </c>
      <c r="BN271" t="e" vm="2">
        <f t="shared" si="19"/>
        <v>#VALUE!</v>
      </c>
    </row>
    <row r="272" spans="1:66" x14ac:dyDescent="0.2">
      <c r="A272" s="21">
        <f>Prices!A271</f>
        <v>33970</v>
      </c>
      <c r="BC272" s="21" t="e" vm="1">
        <v>#REF!</v>
      </c>
      <c r="BD272" t="e" vm="1">
        <v>#REF!</v>
      </c>
      <c r="BF272" t="e" vm="2">
        <f t="shared" si="16"/>
        <v>#VALUE!</v>
      </c>
      <c r="BG272" t="e" vm="2">
        <f t="shared" si="17"/>
        <v>#VALUE!</v>
      </c>
      <c r="BJ272" s="21" t="e" vm="1">
        <v>#REF!</v>
      </c>
      <c r="BK272" t="e" vm="1">
        <v>#REF!</v>
      </c>
      <c r="BM272" t="e" vm="2">
        <f t="shared" si="18"/>
        <v>#VALUE!</v>
      </c>
      <c r="BN272" t="e" vm="2">
        <f t="shared" si="19"/>
        <v>#VALUE!</v>
      </c>
    </row>
    <row r="273" spans="1:66" x14ac:dyDescent="0.2">
      <c r="A273" s="21">
        <f>Prices!A272</f>
        <v>34001</v>
      </c>
      <c r="BC273" s="21" t="e" vm="1">
        <v>#REF!</v>
      </c>
      <c r="BD273" t="e" vm="1">
        <v>#REF!</v>
      </c>
      <c r="BF273" t="e" vm="2">
        <f t="shared" si="16"/>
        <v>#VALUE!</v>
      </c>
      <c r="BG273" t="e" vm="2">
        <f t="shared" si="17"/>
        <v>#VALUE!</v>
      </c>
      <c r="BJ273" s="21" t="e" vm="1">
        <v>#REF!</v>
      </c>
      <c r="BK273" t="e" vm="1">
        <v>#REF!</v>
      </c>
      <c r="BM273" t="e" vm="2">
        <f t="shared" si="18"/>
        <v>#VALUE!</v>
      </c>
      <c r="BN273" t="e" vm="2">
        <f t="shared" si="19"/>
        <v>#VALUE!</v>
      </c>
    </row>
    <row r="274" spans="1:66" x14ac:dyDescent="0.2">
      <c r="A274" s="21">
        <f>Prices!A273</f>
        <v>34029</v>
      </c>
      <c r="BC274" s="21" t="e" vm="1">
        <v>#REF!</v>
      </c>
      <c r="BD274" t="e" vm="1">
        <v>#REF!</v>
      </c>
      <c r="BF274" t="e" vm="2">
        <f t="shared" si="16"/>
        <v>#VALUE!</v>
      </c>
      <c r="BG274" t="e" vm="2">
        <f t="shared" si="17"/>
        <v>#VALUE!</v>
      </c>
      <c r="BJ274" s="21" t="e" vm="1">
        <v>#REF!</v>
      </c>
      <c r="BK274" t="e" vm="1">
        <v>#REF!</v>
      </c>
      <c r="BM274" t="e" vm="2">
        <f t="shared" si="18"/>
        <v>#VALUE!</v>
      </c>
      <c r="BN274" t="e" vm="2">
        <f t="shared" si="19"/>
        <v>#VALUE!</v>
      </c>
    </row>
    <row r="275" spans="1:66" x14ac:dyDescent="0.2">
      <c r="A275" s="21">
        <f>Prices!A274</f>
        <v>34060</v>
      </c>
      <c r="BC275" s="21" t="e" vm="1">
        <v>#REF!</v>
      </c>
      <c r="BD275" t="e" vm="1">
        <v>#REF!</v>
      </c>
      <c r="BF275" t="e" vm="2">
        <f t="shared" si="16"/>
        <v>#VALUE!</v>
      </c>
      <c r="BG275" t="e" vm="2">
        <f t="shared" si="17"/>
        <v>#VALUE!</v>
      </c>
      <c r="BJ275" s="21" t="e" vm="1">
        <v>#REF!</v>
      </c>
      <c r="BK275" t="e" vm="1">
        <v>#REF!</v>
      </c>
      <c r="BM275" t="e" vm="2">
        <f t="shared" si="18"/>
        <v>#VALUE!</v>
      </c>
      <c r="BN275" t="e" vm="2">
        <f t="shared" si="19"/>
        <v>#VALUE!</v>
      </c>
    </row>
    <row r="276" spans="1:66" x14ac:dyDescent="0.2">
      <c r="A276" s="21">
        <f>Prices!A275</f>
        <v>34090</v>
      </c>
      <c r="BC276" s="21" t="e" vm="1">
        <v>#REF!</v>
      </c>
      <c r="BD276" t="e" vm="1">
        <v>#REF!</v>
      </c>
      <c r="BF276" t="e" vm="2">
        <f t="shared" si="16"/>
        <v>#VALUE!</v>
      </c>
      <c r="BG276" t="e" vm="2">
        <f t="shared" si="17"/>
        <v>#VALUE!</v>
      </c>
      <c r="BJ276" s="21" t="e" vm="1">
        <v>#REF!</v>
      </c>
      <c r="BK276" t="e" vm="1">
        <v>#REF!</v>
      </c>
      <c r="BM276" t="e" vm="2">
        <f t="shared" si="18"/>
        <v>#VALUE!</v>
      </c>
      <c r="BN276" t="e" vm="2">
        <f t="shared" si="19"/>
        <v>#VALUE!</v>
      </c>
    </row>
    <row r="277" spans="1:66" x14ac:dyDescent="0.2">
      <c r="A277" s="21">
        <f>Prices!A276</f>
        <v>34121</v>
      </c>
      <c r="BC277" s="21" t="e" vm="1">
        <v>#REF!</v>
      </c>
      <c r="BD277" t="e" vm="1">
        <v>#REF!</v>
      </c>
      <c r="BF277" t="e" vm="2">
        <f t="shared" si="16"/>
        <v>#VALUE!</v>
      </c>
      <c r="BG277" t="e" vm="2">
        <f t="shared" si="17"/>
        <v>#VALUE!</v>
      </c>
      <c r="BJ277" s="21" t="e" vm="1">
        <v>#REF!</v>
      </c>
      <c r="BK277" t="e" vm="1">
        <v>#REF!</v>
      </c>
      <c r="BM277" t="e" vm="2">
        <f t="shared" si="18"/>
        <v>#VALUE!</v>
      </c>
      <c r="BN277" t="e" vm="2">
        <f t="shared" si="19"/>
        <v>#VALUE!</v>
      </c>
    </row>
    <row r="278" spans="1:66" x14ac:dyDescent="0.2">
      <c r="A278" s="21">
        <f>Prices!A277</f>
        <v>34151</v>
      </c>
      <c r="BC278" s="21" t="e" vm="1">
        <v>#REF!</v>
      </c>
      <c r="BD278" t="e" vm="1">
        <v>#REF!</v>
      </c>
      <c r="BF278" t="e" vm="2">
        <f t="shared" si="16"/>
        <v>#VALUE!</v>
      </c>
      <c r="BG278" t="e" vm="2">
        <f t="shared" si="17"/>
        <v>#VALUE!</v>
      </c>
      <c r="BJ278" s="21" t="e" vm="1">
        <v>#REF!</v>
      </c>
      <c r="BK278" t="e" vm="1">
        <v>#REF!</v>
      </c>
      <c r="BM278" t="e" vm="2">
        <f t="shared" si="18"/>
        <v>#VALUE!</v>
      </c>
      <c r="BN278" t="e" vm="2">
        <f t="shared" si="19"/>
        <v>#VALUE!</v>
      </c>
    </row>
    <row r="279" spans="1:66" x14ac:dyDescent="0.2">
      <c r="A279" s="21">
        <f>Prices!A278</f>
        <v>34182</v>
      </c>
      <c r="BC279" s="21" t="e" vm="1">
        <v>#REF!</v>
      </c>
      <c r="BD279" t="e" vm="1">
        <v>#REF!</v>
      </c>
      <c r="BF279" t="e" vm="2">
        <f t="shared" si="16"/>
        <v>#VALUE!</v>
      </c>
      <c r="BG279" t="e" vm="2">
        <f t="shared" si="17"/>
        <v>#VALUE!</v>
      </c>
      <c r="BJ279" s="21" t="e" vm="1">
        <v>#REF!</v>
      </c>
      <c r="BK279" t="e" vm="1">
        <v>#REF!</v>
      </c>
      <c r="BM279" t="e" vm="2">
        <f t="shared" si="18"/>
        <v>#VALUE!</v>
      </c>
      <c r="BN279" t="e" vm="2">
        <f t="shared" si="19"/>
        <v>#VALUE!</v>
      </c>
    </row>
    <row r="280" spans="1:66" x14ac:dyDescent="0.2">
      <c r="A280" s="21">
        <f>Prices!A279</f>
        <v>34213</v>
      </c>
      <c r="BC280" s="21" t="e" vm="1">
        <v>#REF!</v>
      </c>
      <c r="BD280" t="e" vm="1">
        <v>#REF!</v>
      </c>
      <c r="BF280" t="e" vm="2">
        <f t="shared" si="16"/>
        <v>#VALUE!</v>
      </c>
      <c r="BG280" t="e" vm="2">
        <f t="shared" si="17"/>
        <v>#VALUE!</v>
      </c>
      <c r="BJ280" s="21" t="e" vm="1">
        <v>#REF!</v>
      </c>
      <c r="BK280" t="e" vm="1">
        <v>#REF!</v>
      </c>
      <c r="BM280" t="e" vm="2">
        <f t="shared" si="18"/>
        <v>#VALUE!</v>
      </c>
      <c r="BN280" t="e" vm="2">
        <f t="shared" si="19"/>
        <v>#VALUE!</v>
      </c>
    </row>
    <row r="281" spans="1:66" x14ac:dyDescent="0.2">
      <c r="A281" s="21">
        <f>Prices!A280</f>
        <v>34243</v>
      </c>
      <c r="BC281" s="21" t="e" vm="1">
        <v>#REF!</v>
      </c>
      <c r="BD281" t="e" vm="1">
        <v>#REF!</v>
      </c>
      <c r="BF281" t="e" vm="2">
        <f t="shared" si="16"/>
        <v>#VALUE!</v>
      </c>
      <c r="BG281" t="e" vm="2">
        <f t="shared" si="17"/>
        <v>#VALUE!</v>
      </c>
      <c r="BJ281" s="21" t="e" vm="1">
        <v>#REF!</v>
      </c>
      <c r="BK281" t="e" vm="1">
        <v>#REF!</v>
      </c>
      <c r="BM281" t="e" vm="2">
        <f t="shared" si="18"/>
        <v>#VALUE!</v>
      </c>
      <c r="BN281" t="e" vm="2">
        <f t="shared" si="19"/>
        <v>#VALUE!</v>
      </c>
    </row>
    <row r="282" spans="1:66" x14ac:dyDescent="0.2">
      <c r="A282" s="21">
        <f>Prices!A281</f>
        <v>34274</v>
      </c>
      <c r="BC282" s="21" t="e" vm="1">
        <v>#REF!</v>
      </c>
      <c r="BD282" t="e" vm="1">
        <v>#REF!</v>
      </c>
      <c r="BF282" t="e" vm="2">
        <f t="shared" si="16"/>
        <v>#VALUE!</v>
      </c>
      <c r="BG282" t="e" vm="2">
        <f t="shared" si="17"/>
        <v>#VALUE!</v>
      </c>
      <c r="BJ282" s="21" t="e" vm="1">
        <v>#REF!</v>
      </c>
      <c r="BK282" t="e" vm="1">
        <v>#REF!</v>
      </c>
      <c r="BM282" t="e" vm="2">
        <f t="shared" si="18"/>
        <v>#VALUE!</v>
      </c>
      <c r="BN282" t="e" vm="2">
        <f t="shared" si="19"/>
        <v>#VALUE!</v>
      </c>
    </row>
    <row r="283" spans="1:66" x14ac:dyDescent="0.2">
      <c r="A283" s="21">
        <f>Prices!A282</f>
        <v>34304</v>
      </c>
      <c r="BC283" s="21" t="e" vm="1">
        <v>#REF!</v>
      </c>
      <c r="BD283" t="e" vm="1">
        <v>#REF!</v>
      </c>
      <c r="BF283" t="e" vm="2">
        <f t="shared" si="16"/>
        <v>#VALUE!</v>
      </c>
      <c r="BG283" t="e" vm="2">
        <f t="shared" si="17"/>
        <v>#VALUE!</v>
      </c>
      <c r="BJ283" s="21" t="e" vm="1">
        <v>#REF!</v>
      </c>
      <c r="BK283" t="e" vm="1">
        <v>#REF!</v>
      </c>
      <c r="BM283" t="e" vm="2">
        <f t="shared" si="18"/>
        <v>#VALUE!</v>
      </c>
      <c r="BN283" t="e" vm="2">
        <f t="shared" si="19"/>
        <v>#VALUE!</v>
      </c>
    </row>
    <row r="284" spans="1:66" x14ac:dyDescent="0.2">
      <c r="A284" s="21">
        <f>Prices!A283</f>
        <v>34335</v>
      </c>
      <c r="BC284" s="21" t="e" vm="1">
        <v>#REF!</v>
      </c>
      <c r="BD284" t="e" vm="1">
        <v>#REF!</v>
      </c>
      <c r="BF284" t="e" vm="2">
        <f t="shared" si="16"/>
        <v>#VALUE!</v>
      </c>
      <c r="BG284" t="e" vm="2">
        <f t="shared" si="17"/>
        <v>#VALUE!</v>
      </c>
      <c r="BJ284" s="21" t="e" vm="1">
        <v>#REF!</v>
      </c>
      <c r="BK284" t="e" vm="1">
        <v>#REF!</v>
      </c>
      <c r="BM284" t="e" vm="2">
        <f t="shared" si="18"/>
        <v>#VALUE!</v>
      </c>
      <c r="BN284" t="e" vm="2">
        <f t="shared" si="19"/>
        <v>#VALUE!</v>
      </c>
    </row>
    <row r="285" spans="1:66" x14ac:dyDescent="0.2">
      <c r="A285" s="21">
        <f>Prices!A284</f>
        <v>34366</v>
      </c>
      <c r="BC285" s="21" t="e" vm="1">
        <v>#REF!</v>
      </c>
      <c r="BD285" t="e" vm="1">
        <v>#REF!</v>
      </c>
      <c r="BF285" t="e" vm="2">
        <f t="shared" si="16"/>
        <v>#VALUE!</v>
      </c>
      <c r="BG285" t="e" vm="2">
        <f t="shared" si="17"/>
        <v>#VALUE!</v>
      </c>
      <c r="BJ285" s="21" t="e" vm="1">
        <v>#REF!</v>
      </c>
      <c r="BK285" t="e" vm="1">
        <v>#REF!</v>
      </c>
      <c r="BM285" t="e" vm="2">
        <f t="shared" si="18"/>
        <v>#VALUE!</v>
      </c>
      <c r="BN285" t="e" vm="2">
        <f t="shared" si="19"/>
        <v>#VALUE!</v>
      </c>
    </row>
    <row r="286" spans="1:66" x14ac:dyDescent="0.2">
      <c r="A286" s="21">
        <f>Prices!A285</f>
        <v>34394</v>
      </c>
      <c r="BC286" s="21" t="e" vm="1">
        <v>#REF!</v>
      </c>
      <c r="BD286" t="e" vm="1">
        <v>#REF!</v>
      </c>
      <c r="BF286" t="e" vm="2">
        <f t="shared" si="16"/>
        <v>#VALUE!</v>
      </c>
      <c r="BG286" t="e" vm="2">
        <f t="shared" si="17"/>
        <v>#VALUE!</v>
      </c>
      <c r="BJ286" s="21" t="e" vm="1">
        <v>#REF!</v>
      </c>
      <c r="BK286" t="e" vm="1">
        <v>#REF!</v>
      </c>
      <c r="BM286" t="e" vm="2">
        <f t="shared" si="18"/>
        <v>#VALUE!</v>
      </c>
      <c r="BN286" t="e" vm="2">
        <f t="shared" si="19"/>
        <v>#VALUE!</v>
      </c>
    </row>
    <row r="287" spans="1:66" x14ac:dyDescent="0.2">
      <c r="A287" s="21">
        <f>Prices!A286</f>
        <v>34425</v>
      </c>
      <c r="BC287" s="21" t="e" vm="1">
        <v>#REF!</v>
      </c>
      <c r="BD287" t="e" vm="1">
        <v>#REF!</v>
      </c>
      <c r="BF287" t="e" vm="2">
        <f t="shared" si="16"/>
        <v>#VALUE!</v>
      </c>
      <c r="BG287" t="e" vm="2">
        <f t="shared" si="17"/>
        <v>#VALUE!</v>
      </c>
      <c r="BJ287" s="21" t="e" vm="1">
        <v>#REF!</v>
      </c>
      <c r="BK287" t="e" vm="1">
        <v>#REF!</v>
      </c>
      <c r="BM287" t="e" vm="2">
        <f t="shared" si="18"/>
        <v>#VALUE!</v>
      </c>
      <c r="BN287" t="e" vm="2">
        <f t="shared" si="19"/>
        <v>#VALUE!</v>
      </c>
    </row>
    <row r="288" spans="1:66" x14ac:dyDescent="0.2">
      <c r="A288" s="21">
        <f>Prices!A287</f>
        <v>34455</v>
      </c>
      <c r="BC288" s="21" t="e" vm="1">
        <v>#REF!</v>
      </c>
      <c r="BD288" t="e" vm="1">
        <v>#REF!</v>
      </c>
      <c r="BF288" t="e" vm="2">
        <f t="shared" si="16"/>
        <v>#VALUE!</v>
      </c>
      <c r="BG288" t="e" vm="2">
        <f t="shared" si="17"/>
        <v>#VALUE!</v>
      </c>
      <c r="BJ288" s="21" t="e" vm="1">
        <v>#REF!</v>
      </c>
      <c r="BK288" t="e" vm="1">
        <v>#REF!</v>
      </c>
      <c r="BM288" t="e" vm="2">
        <f t="shared" si="18"/>
        <v>#VALUE!</v>
      </c>
      <c r="BN288" t="e" vm="2">
        <f t="shared" si="19"/>
        <v>#VALUE!</v>
      </c>
    </row>
    <row r="289" spans="1:66" x14ac:dyDescent="0.2">
      <c r="A289" s="21">
        <f>Prices!A288</f>
        <v>34486</v>
      </c>
      <c r="BC289" s="21" t="e" vm="1">
        <v>#REF!</v>
      </c>
      <c r="BD289" t="e" vm="1">
        <v>#REF!</v>
      </c>
      <c r="BF289" t="e" vm="2">
        <f t="shared" si="16"/>
        <v>#VALUE!</v>
      </c>
      <c r="BG289" t="e" vm="2">
        <f t="shared" si="17"/>
        <v>#VALUE!</v>
      </c>
      <c r="BJ289" s="21" t="e" vm="1">
        <v>#REF!</v>
      </c>
      <c r="BK289" t="e" vm="1">
        <v>#REF!</v>
      </c>
      <c r="BM289" t="e" vm="2">
        <f t="shared" si="18"/>
        <v>#VALUE!</v>
      </c>
      <c r="BN289" t="e" vm="2">
        <f t="shared" si="19"/>
        <v>#VALUE!</v>
      </c>
    </row>
    <row r="290" spans="1:66" x14ac:dyDescent="0.2">
      <c r="A290" s="21">
        <f>Prices!A289</f>
        <v>34516</v>
      </c>
      <c r="BC290" s="21" t="e" vm="1">
        <v>#REF!</v>
      </c>
      <c r="BD290" t="e" vm="1">
        <v>#REF!</v>
      </c>
      <c r="BF290" t="e" vm="2">
        <f t="shared" si="16"/>
        <v>#VALUE!</v>
      </c>
      <c r="BG290" t="e" vm="2">
        <f t="shared" si="17"/>
        <v>#VALUE!</v>
      </c>
      <c r="BJ290" s="21" t="e" vm="1">
        <v>#REF!</v>
      </c>
      <c r="BK290" t="e" vm="1">
        <v>#REF!</v>
      </c>
      <c r="BM290" t="e" vm="2">
        <f t="shared" si="18"/>
        <v>#VALUE!</v>
      </c>
      <c r="BN290" t="e" vm="2">
        <f t="shared" si="19"/>
        <v>#VALUE!</v>
      </c>
    </row>
    <row r="291" spans="1:66" x14ac:dyDescent="0.2">
      <c r="A291" s="21">
        <f>Prices!A290</f>
        <v>34547</v>
      </c>
      <c r="BC291" s="21" t="e" vm="1">
        <v>#REF!</v>
      </c>
      <c r="BD291" t="e" vm="1">
        <v>#REF!</v>
      </c>
      <c r="BF291" t="e" vm="2">
        <f t="shared" si="16"/>
        <v>#VALUE!</v>
      </c>
      <c r="BG291" t="e" vm="2">
        <f t="shared" si="17"/>
        <v>#VALUE!</v>
      </c>
      <c r="BJ291" s="21" t="e" vm="1">
        <v>#REF!</v>
      </c>
      <c r="BK291" t="e" vm="1">
        <v>#REF!</v>
      </c>
      <c r="BM291" t="e" vm="2">
        <f t="shared" si="18"/>
        <v>#VALUE!</v>
      </c>
      <c r="BN291" t="e" vm="2">
        <f t="shared" si="19"/>
        <v>#VALUE!</v>
      </c>
    </row>
    <row r="292" spans="1:66" x14ac:dyDescent="0.2">
      <c r="A292" s="21">
        <f>Prices!A291</f>
        <v>34578</v>
      </c>
      <c r="BC292" s="21" t="e" vm="1">
        <v>#REF!</v>
      </c>
      <c r="BD292" t="e" vm="1">
        <v>#REF!</v>
      </c>
      <c r="BF292" t="e" vm="2">
        <f t="shared" si="16"/>
        <v>#VALUE!</v>
      </c>
      <c r="BG292" t="e" vm="2">
        <f t="shared" si="17"/>
        <v>#VALUE!</v>
      </c>
      <c r="BJ292" s="21" t="e" vm="1">
        <v>#REF!</v>
      </c>
      <c r="BK292" t="e" vm="1">
        <v>#REF!</v>
      </c>
      <c r="BM292" t="e" vm="2">
        <f t="shared" si="18"/>
        <v>#VALUE!</v>
      </c>
      <c r="BN292" t="e" vm="2">
        <f t="shared" si="19"/>
        <v>#VALUE!</v>
      </c>
    </row>
    <row r="293" spans="1:66" x14ac:dyDescent="0.2">
      <c r="A293" s="21">
        <f>Prices!A292</f>
        <v>34608</v>
      </c>
      <c r="BC293" s="21" t="e" vm="1">
        <v>#REF!</v>
      </c>
      <c r="BD293" t="e" vm="1">
        <v>#REF!</v>
      </c>
      <c r="BF293" t="e" vm="2">
        <f t="shared" si="16"/>
        <v>#VALUE!</v>
      </c>
      <c r="BG293" t="e" vm="2">
        <f t="shared" si="17"/>
        <v>#VALUE!</v>
      </c>
      <c r="BJ293" s="21" t="e" vm="1">
        <v>#REF!</v>
      </c>
      <c r="BK293" t="e" vm="1">
        <v>#REF!</v>
      </c>
      <c r="BM293" t="e" vm="2">
        <f t="shared" si="18"/>
        <v>#VALUE!</v>
      </c>
      <c r="BN293" t="e" vm="2">
        <f t="shared" si="19"/>
        <v>#VALUE!</v>
      </c>
    </row>
    <row r="294" spans="1:66" x14ac:dyDescent="0.2">
      <c r="A294" s="21">
        <f>Prices!A293</f>
        <v>34639</v>
      </c>
      <c r="BC294" s="21" t="e" vm="1">
        <v>#REF!</v>
      </c>
      <c r="BD294" t="e" vm="1">
        <v>#REF!</v>
      </c>
      <c r="BF294" t="e" vm="2">
        <f t="shared" si="16"/>
        <v>#VALUE!</v>
      </c>
      <c r="BG294" t="e" vm="2">
        <f t="shared" si="17"/>
        <v>#VALUE!</v>
      </c>
      <c r="BJ294" s="21" t="e" vm="1">
        <v>#REF!</v>
      </c>
      <c r="BK294" t="e" vm="1">
        <v>#REF!</v>
      </c>
      <c r="BM294" t="e" vm="2">
        <f t="shared" si="18"/>
        <v>#VALUE!</v>
      </c>
      <c r="BN294" t="e" vm="2">
        <f t="shared" si="19"/>
        <v>#VALUE!</v>
      </c>
    </row>
    <row r="295" spans="1:66" x14ac:dyDescent="0.2">
      <c r="A295" s="21">
        <f>Prices!A294</f>
        <v>34669</v>
      </c>
      <c r="BC295" s="21" t="e" vm="1">
        <v>#REF!</v>
      </c>
      <c r="BD295" t="e" vm="1">
        <v>#REF!</v>
      </c>
      <c r="BF295" t="e" vm="2">
        <f t="shared" si="16"/>
        <v>#VALUE!</v>
      </c>
      <c r="BG295" t="e" vm="2">
        <f t="shared" si="17"/>
        <v>#VALUE!</v>
      </c>
      <c r="BJ295" s="21" t="e" vm="1">
        <v>#REF!</v>
      </c>
      <c r="BK295" t="e" vm="1">
        <v>#REF!</v>
      </c>
      <c r="BM295" t="e" vm="2">
        <f t="shared" si="18"/>
        <v>#VALUE!</v>
      </c>
      <c r="BN295" t="e" vm="2">
        <f t="shared" si="19"/>
        <v>#VALUE!</v>
      </c>
    </row>
    <row r="296" spans="1:66" x14ac:dyDescent="0.2">
      <c r="A296" s="21">
        <f>Prices!A295</f>
        <v>34700</v>
      </c>
      <c r="BC296" s="21" t="e" vm="1">
        <v>#REF!</v>
      </c>
      <c r="BD296" t="e" vm="1">
        <v>#REF!</v>
      </c>
      <c r="BF296" t="e" vm="2">
        <f t="shared" si="16"/>
        <v>#VALUE!</v>
      </c>
      <c r="BG296" t="e" vm="2">
        <f t="shared" si="17"/>
        <v>#VALUE!</v>
      </c>
      <c r="BJ296" s="21" t="e" vm="1">
        <v>#REF!</v>
      </c>
      <c r="BK296" t="e" vm="1">
        <v>#REF!</v>
      </c>
      <c r="BM296" t="e" vm="2">
        <f t="shared" si="18"/>
        <v>#VALUE!</v>
      </c>
      <c r="BN296" t="e" vm="2">
        <f t="shared" si="19"/>
        <v>#VALUE!</v>
      </c>
    </row>
    <row r="297" spans="1:66" x14ac:dyDescent="0.2">
      <c r="A297" s="21">
        <f>Prices!A296</f>
        <v>34731</v>
      </c>
      <c r="BC297" s="21" t="e" vm="1">
        <v>#REF!</v>
      </c>
      <c r="BD297" t="e" vm="1">
        <v>#REF!</v>
      </c>
      <c r="BF297" t="e" vm="2">
        <f t="shared" si="16"/>
        <v>#VALUE!</v>
      </c>
      <c r="BG297" t="e" vm="2">
        <f t="shared" si="17"/>
        <v>#VALUE!</v>
      </c>
      <c r="BJ297" s="21" t="e" vm="1">
        <v>#REF!</v>
      </c>
      <c r="BK297" t="e" vm="1">
        <v>#REF!</v>
      </c>
      <c r="BM297" t="e" vm="2">
        <f t="shared" si="18"/>
        <v>#VALUE!</v>
      </c>
      <c r="BN297" t="e" vm="2">
        <f t="shared" si="19"/>
        <v>#VALUE!</v>
      </c>
    </row>
    <row r="298" spans="1:66" x14ac:dyDescent="0.2">
      <c r="A298" s="21">
        <f>Prices!A297</f>
        <v>34759</v>
      </c>
      <c r="BC298" s="21" t="e" vm="1">
        <v>#REF!</v>
      </c>
      <c r="BD298" t="e" vm="1">
        <v>#REF!</v>
      </c>
      <c r="BF298" t="e" vm="2">
        <f t="shared" si="16"/>
        <v>#VALUE!</v>
      </c>
      <c r="BG298" t="e" vm="2">
        <f t="shared" si="17"/>
        <v>#VALUE!</v>
      </c>
      <c r="BJ298" s="21" t="e" vm="1">
        <v>#REF!</v>
      </c>
      <c r="BK298" t="e" vm="1">
        <v>#REF!</v>
      </c>
      <c r="BM298" t="e" vm="2">
        <f t="shared" si="18"/>
        <v>#VALUE!</v>
      </c>
      <c r="BN298" t="e" vm="2">
        <f t="shared" si="19"/>
        <v>#VALUE!</v>
      </c>
    </row>
    <row r="299" spans="1:66" x14ac:dyDescent="0.2">
      <c r="A299" s="21">
        <f>Prices!A298</f>
        <v>34790</v>
      </c>
      <c r="BC299" s="21" t="e" vm="1">
        <v>#REF!</v>
      </c>
      <c r="BD299" t="e" vm="1">
        <v>#REF!</v>
      </c>
      <c r="BF299" t="e" vm="2">
        <f t="shared" si="16"/>
        <v>#VALUE!</v>
      </c>
      <c r="BG299" t="e" vm="2">
        <f t="shared" si="17"/>
        <v>#VALUE!</v>
      </c>
      <c r="BJ299" s="21" t="e" vm="1">
        <v>#REF!</v>
      </c>
      <c r="BK299" t="e" vm="1">
        <v>#REF!</v>
      </c>
      <c r="BM299" t="e" vm="2">
        <f t="shared" si="18"/>
        <v>#VALUE!</v>
      </c>
      <c r="BN299" t="e" vm="2">
        <f t="shared" si="19"/>
        <v>#VALUE!</v>
      </c>
    </row>
    <row r="300" spans="1:66" x14ac:dyDescent="0.2">
      <c r="A300" s="21">
        <f>Prices!A299</f>
        <v>34820</v>
      </c>
      <c r="BC300" s="21" t="e" vm="1">
        <v>#REF!</v>
      </c>
      <c r="BD300" t="e" vm="1">
        <v>#REF!</v>
      </c>
      <c r="BF300" t="e" vm="2">
        <f t="shared" si="16"/>
        <v>#VALUE!</v>
      </c>
      <c r="BG300" t="e" vm="2">
        <f t="shared" si="17"/>
        <v>#VALUE!</v>
      </c>
      <c r="BJ300" s="21" t="e" vm="1">
        <v>#REF!</v>
      </c>
      <c r="BK300" t="e" vm="1">
        <v>#REF!</v>
      </c>
      <c r="BM300" t="e" vm="2">
        <f t="shared" si="18"/>
        <v>#VALUE!</v>
      </c>
      <c r="BN300" t="e" vm="2">
        <f t="shared" si="19"/>
        <v>#VALUE!</v>
      </c>
    </row>
    <row r="301" spans="1:66" x14ac:dyDescent="0.2">
      <c r="A301" s="21">
        <f>Prices!A300</f>
        <v>34851</v>
      </c>
      <c r="BC301" s="21" t="e" vm="1">
        <v>#REF!</v>
      </c>
      <c r="BD301" t="e" vm="1">
        <v>#REF!</v>
      </c>
      <c r="BF301" t="e" vm="2">
        <f t="shared" si="16"/>
        <v>#VALUE!</v>
      </c>
      <c r="BG301" t="e" vm="2">
        <f t="shared" si="17"/>
        <v>#VALUE!</v>
      </c>
      <c r="BJ301" s="21" t="e" vm="1">
        <v>#REF!</v>
      </c>
      <c r="BK301" t="e" vm="1">
        <v>#REF!</v>
      </c>
      <c r="BM301" t="e" vm="2">
        <f t="shared" si="18"/>
        <v>#VALUE!</v>
      </c>
      <c r="BN301" t="e" vm="2">
        <f t="shared" si="19"/>
        <v>#VALUE!</v>
      </c>
    </row>
    <row r="302" spans="1:66" x14ac:dyDescent="0.2">
      <c r="A302" s="21">
        <f>Prices!A301</f>
        <v>34881</v>
      </c>
      <c r="BC302" s="21" t="e" vm="1">
        <v>#REF!</v>
      </c>
      <c r="BD302" t="e" vm="1">
        <v>#REF!</v>
      </c>
      <c r="BF302" t="e" vm="2">
        <f t="shared" si="16"/>
        <v>#VALUE!</v>
      </c>
      <c r="BG302" t="e" vm="2">
        <f t="shared" si="17"/>
        <v>#VALUE!</v>
      </c>
      <c r="BJ302" s="21" t="e" vm="1">
        <v>#REF!</v>
      </c>
      <c r="BK302" t="e" vm="1">
        <v>#REF!</v>
      </c>
      <c r="BM302" t="e" vm="2">
        <f t="shared" si="18"/>
        <v>#VALUE!</v>
      </c>
      <c r="BN302" t="e" vm="2">
        <f t="shared" si="19"/>
        <v>#VALUE!</v>
      </c>
    </row>
    <row r="303" spans="1:66" x14ac:dyDescent="0.2">
      <c r="A303" s="21">
        <f>Prices!A302</f>
        <v>34912</v>
      </c>
      <c r="BC303" s="21" t="e" vm="1">
        <v>#REF!</v>
      </c>
      <c r="BD303" t="e" vm="1">
        <v>#REF!</v>
      </c>
      <c r="BF303" t="e" vm="2">
        <f t="shared" si="16"/>
        <v>#VALUE!</v>
      </c>
      <c r="BG303" t="e" vm="2">
        <f t="shared" si="17"/>
        <v>#VALUE!</v>
      </c>
      <c r="BJ303" s="21" t="e" vm="1">
        <v>#REF!</v>
      </c>
      <c r="BK303" t="e" vm="1">
        <v>#REF!</v>
      </c>
      <c r="BM303" t="e" vm="2">
        <f t="shared" si="18"/>
        <v>#VALUE!</v>
      </c>
      <c r="BN303" t="e" vm="2">
        <f t="shared" si="19"/>
        <v>#VALUE!</v>
      </c>
    </row>
    <row r="304" spans="1:66" x14ac:dyDescent="0.2">
      <c r="A304" s="21">
        <f>Prices!A303</f>
        <v>34943</v>
      </c>
      <c r="BC304" s="21" t="e" vm="1">
        <v>#REF!</v>
      </c>
      <c r="BD304" t="e" vm="1">
        <v>#REF!</v>
      </c>
      <c r="BF304" t="e" vm="2">
        <f t="shared" si="16"/>
        <v>#VALUE!</v>
      </c>
      <c r="BG304" t="e" vm="2">
        <f t="shared" si="17"/>
        <v>#VALUE!</v>
      </c>
      <c r="BJ304" s="21" t="e" vm="1">
        <v>#REF!</v>
      </c>
      <c r="BK304" t="e" vm="1">
        <v>#REF!</v>
      </c>
      <c r="BM304" t="e" vm="2">
        <f t="shared" si="18"/>
        <v>#VALUE!</v>
      </c>
      <c r="BN304" t="e" vm="2">
        <f t="shared" si="19"/>
        <v>#VALUE!</v>
      </c>
    </row>
    <row r="305" spans="1:66" x14ac:dyDescent="0.2">
      <c r="A305" s="21">
        <f>Prices!A304</f>
        <v>34973</v>
      </c>
      <c r="BC305" s="21" t="e" vm="1">
        <v>#REF!</v>
      </c>
      <c r="BD305" t="e" vm="1">
        <v>#REF!</v>
      </c>
      <c r="BF305" t="e" vm="2">
        <f t="shared" si="16"/>
        <v>#VALUE!</v>
      </c>
      <c r="BG305" t="e" vm="2">
        <f t="shared" si="17"/>
        <v>#VALUE!</v>
      </c>
      <c r="BJ305" s="21" t="e" vm="1">
        <v>#REF!</v>
      </c>
      <c r="BK305" t="e" vm="1">
        <v>#REF!</v>
      </c>
      <c r="BM305" t="e" vm="2">
        <f t="shared" si="18"/>
        <v>#VALUE!</v>
      </c>
      <c r="BN305" t="e" vm="2">
        <f t="shared" si="19"/>
        <v>#VALUE!</v>
      </c>
    </row>
    <row r="306" spans="1:66" x14ac:dyDescent="0.2">
      <c r="A306" s="21">
        <f>Prices!A305</f>
        <v>35004</v>
      </c>
      <c r="BC306" s="21" t="e" vm="1">
        <v>#REF!</v>
      </c>
      <c r="BD306" t="e" vm="1">
        <v>#REF!</v>
      </c>
      <c r="BF306" t="e" vm="2">
        <f t="shared" si="16"/>
        <v>#VALUE!</v>
      </c>
      <c r="BG306" t="e" vm="2">
        <f t="shared" si="17"/>
        <v>#VALUE!</v>
      </c>
      <c r="BJ306" s="21" t="e" vm="1">
        <v>#REF!</v>
      </c>
      <c r="BK306" t="e" vm="1">
        <v>#REF!</v>
      </c>
      <c r="BM306" t="e" vm="2">
        <f t="shared" si="18"/>
        <v>#VALUE!</v>
      </c>
      <c r="BN306" t="e" vm="2">
        <f t="shared" si="19"/>
        <v>#VALUE!</v>
      </c>
    </row>
    <row r="307" spans="1:66" x14ac:dyDescent="0.2">
      <c r="A307" s="21">
        <f>Prices!A306</f>
        <v>35034</v>
      </c>
      <c r="BC307" s="21" t="e" vm="1">
        <v>#REF!</v>
      </c>
      <c r="BD307" t="e" vm="1">
        <v>#REF!</v>
      </c>
      <c r="BF307" t="e" vm="2">
        <f t="shared" si="16"/>
        <v>#VALUE!</v>
      </c>
      <c r="BG307" t="e" vm="2">
        <f t="shared" si="17"/>
        <v>#VALUE!</v>
      </c>
      <c r="BJ307" s="21" t="e" vm="1">
        <v>#REF!</v>
      </c>
      <c r="BK307" t="e" vm="1">
        <v>#REF!</v>
      </c>
      <c r="BM307" t="e" vm="2">
        <f t="shared" si="18"/>
        <v>#VALUE!</v>
      </c>
      <c r="BN307" t="e" vm="2">
        <f t="shared" si="19"/>
        <v>#VALUE!</v>
      </c>
    </row>
    <row r="308" spans="1:66" x14ac:dyDescent="0.2">
      <c r="A308" s="21">
        <f>Prices!A307</f>
        <v>35065</v>
      </c>
      <c r="BC308" s="21" t="e" vm="1">
        <v>#REF!</v>
      </c>
      <c r="BD308" t="e" vm="1">
        <v>#REF!</v>
      </c>
      <c r="BF308" t="e" vm="2">
        <f t="shared" si="16"/>
        <v>#VALUE!</v>
      </c>
      <c r="BG308" t="e" vm="2">
        <f t="shared" si="17"/>
        <v>#VALUE!</v>
      </c>
      <c r="BJ308" s="21" t="e" vm="1">
        <v>#REF!</v>
      </c>
      <c r="BK308" t="e" vm="1">
        <v>#REF!</v>
      </c>
      <c r="BM308" t="e" vm="2">
        <f t="shared" si="18"/>
        <v>#VALUE!</v>
      </c>
      <c r="BN308" t="e" vm="2">
        <f t="shared" si="19"/>
        <v>#VALUE!</v>
      </c>
    </row>
    <row r="309" spans="1:66" x14ac:dyDescent="0.2">
      <c r="A309" s="21">
        <f>Prices!A308</f>
        <v>35096</v>
      </c>
      <c r="BC309" s="21" t="e" vm="1">
        <v>#REF!</v>
      </c>
      <c r="BD309" t="e" vm="1">
        <v>#REF!</v>
      </c>
      <c r="BF309" t="e" vm="2">
        <f t="shared" si="16"/>
        <v>#VALUE!</v>
      </c>
      <c r="BG309" t="e" vm="2">
        <f t="shared" si="17"/>
        <v>#VALUE!</v>
      </c>
      <c r="BJ309" s="21" t="e" vm="1">
        <v>#REF!</v>
      </c>
      <c r="BK309" t="e" vm="1">
        <v>#REF!</v>
      </c>
      <c r="BM309" t="e" vm="2">
        <f t="shared" si="18"/>
        <v>#VALUE!</v>
      </c>
      <c r="BN309" t="e" vm="2">
        <f t="shared" si="19"/>
        <v>#VALUE!</v>
      </c>
    </row>
    <row r="310" spans="1:66" x14ac:dyDescent="0.2">
      <c r="A310" s="21">
        <f>Prices!A309</f>
        <v>35125</v>
      </c>
      <c r="BC310" s="21" t="e" vm="1">
        <v>#REF!</v>
      </c>
      <c r="BD310" t="e" vm="1">
        <v>#REF!</v>
      </c>
      <c r="BF310" t="e" vm="2">
        <f t="shared" si="16"/>
        <v>#VALUE!</v>
      </c>
      <c r="BG310" t="e" vm="2">
        <f t="shared" si="17"/>
        <v>#VALUE!</v>
      </c>
      <c r="BJ310" s="21" t="e" vm="1">
        <v>#REF!</v>
      </c>
      <c r="BK310" t="e" vm="1">
        <v>#REF!</v>
      </c>
      <c r="BM310" t="e" vm="2">
        <f t="shared" si="18"/>
        <v>#VALUE!</v>
      </c>
      <c r="BN310" t="e" vm="2">
        <f t="shared" si="19"/>
        <v>#VALUE!</v>
      </c>
    </row>
    <row r="311" spans="1:66" x14ac:dyDescent="0.2">
      <c r="A311" s="21">
        <f>Prices!A310</f>
        <v>35156</v>
      </c>
      <c r="BC311" s="21" t="e" vm="1">
        <v>#REF!</v>
      </c>
      <c r="BD311" t="e" vm="1">
        <v>#REF!</v>
      </c>
      <c r="BF311" t="e" vm="2">
        <f t="shared" si="16"/>
        <v>#VALUE!</v>
      </c>
      <c r="BG311" t="e" vm="2">
        <f t="shared" si="17"/>
        <v>#VALUE!</v>
      </c>
      <c r="BJ311" s="21" t="e" vm="1">
        <v>#REF!</v>
      </c>
      <c r="BK311" t="e" vm="1">
        <v>#REF!</v>
      </c>
      <c r="BM311" t="e" vm="2">
        <f t="shared" si="18"/>
        <v>#VALUE!</v>
      </c>
      <c r="BN311" t="e" vm="2">
        <f t="shared" si="19"/>
        <v>#VALUE!</v>
      </c>
    </row>
    <row r="312" spans="1:66" x14ac:dyDescent="0.2">
      <c r="A312" s="21">
        <f>Prices!A311</f>
        <v>35186</v>
      </c>
      <c r="BC312" s="21" t="e" vm="1">
        <v>#REF!</v>
      </c>
      <c r="BD312" t="e" vm="1">
        <v>#REF!</v>
      </c>
      <c r="BF312" t="e" vm="2">
        <f t="shared" si="16"/>
        <v>#VALUE!</v>
      </c>
      <c r="BG312" t="e" vm="2">
        <f t="shared" si="17"/>
        <v>#VALUE!</v>
      </c>
      <c r="BJ312" s="21" t="e" vm="1">
        <v>#REF!</v>
      </c>
      <c r="BK312" t="e" vm="1">
        <v>#REF!</v>
      </c>
      <c r="BM312" t="e" vm="2">
        <f t="shared" si="18"/>
        <v>#VALUE!</v>
      </c>
      <c r="BN312" t="e" vm="2">
        <f t="shared" si="19"/>
        <v>#VALUE!</v>
      </c>
    </row>
    <row r="313" spans="1:66" x14ac:dyDescent="0.2">
      <c r="A313" s="21">
        <f>Prices!A312</f>
        <v>35217</v>
      </c>
      <c r="BC313" s="21" t="e" vm="1">
        <v>#REF!</v>
      </c>
      <c r="BD313" t="e" vm="1">
        <v>#REF!</v>
      </c>
      <c r="BF313" t="e" vm="2">
        <f t="shared" si="16"/>
        <v>#VALUE!</v>
      </c>
      <c r="BG313" t="e" vm="2">
        <f t="shared" si="17"/>
        <v>#VALUE!</v>
      </c>
      <c r="BJ313" s="21" t="e" vm="1">
        <v>#REF!</v>
      </c>
      <c r="BK313" t="e" vm="1">
        <v>#REF!</v>
      </c>
      <c r="BM313" t="e" vm="2">
        <f t="shared" si="18"/>
        <v>#VALUE!</v>
      </c>
      <c r="BN313" t="e" vm="2">
        <f t="shared" si="19"/>
        <v>#VALUE!</v>
      </c>
    </row>
    <row r="314" spans="1:66" x14ac:dyDescent="0.2">
      <c r="A314" s="21">
        <f>Prices!A313</f>
        <v>35247</v>
      </c>
      <c r="BC314" s="21" t="e" vm="1">
        <v>#REF!</v>
      </c>
      <c r="BD314" t="e" vm="1">
        <v>#REF!</v>
      </c>
      <c r="BF314" t="e" vm="2">
        <f t="shared" si="16"/>
        <v>#VALUE!</v>
      </c>
      <c r="BG314" t="e" vm="2">
        <f t="shared" si="17"/>
        <v>#VALUE!</v>
      </c>
      <c r="BJ314" s="21" t="e" vm="1">
        <v>#REF!</v>
      </c>
      <c r="BK314" t="e" vm="1">
        <v>#REF!</v>
      </c>
      <c r="BM314" t="e" vm="2">
        <f t="shared" si="18"/>
        <v>#VALUE!</v>
      </c>
      <c r="BN314" t="e" vm="2">
        <f t="shared" si="19"/>
        <v>#VALUE!</v>
      </c>
    </row>
    <row r="315" spans="1:66" x14ac:dyDescent="0.2">
      <c r="A315" s="21">
        <f>Prices!A314</f>
        <v>35278</v>
      </c>
      <c r="BC315" s="21" t="e" vm="1">
        <v>#REF!</v>
      </c>
      <c r="BD315" t="e" vm="1">
        <v>#REF!</v>
      </c>
      <c r="BF315" t="e" vm="2">
        <f t="shared" si="16"/>
        <v>#VALUE!</v>
      </c>
      <c r="BG315" t="e" vm="2">
        <f t="shared" si="17"/>
        <v>#VALUE!</v>
      </c>
      <c r="BJ315" s="21" t="e" vm="1">
        <v>#REF!</v>
      </c>
      <c r="BK315" t="e" vm="1">
        <v>#REF!</v>
      </c>
      <c r="BM315" t="e" vm="2">
        <f t="shared" si="18"/>
        <v>#VALUE!</v>
      </c>
      <c r="BN315" t="e" vm="2">
        <f t="shared" si="19"/>
        <v>#VALUE!</v>
      </c>
    </row>
    <row r="316" spans="1:66" x14ac:dyDescent="0.2">
      <c r="A316" s="21">
        <f>Prices!A315</f>
        <v>35309</v>
      </c>
      <c r="BC316" s="21" t="e" vm="1">
        <v>#REF!</v>
      </c>
      <c r="BD316" t="e" vm="1">
        <v>#REF!</v>
      </c>
      <c r="BF316" t="e" vm="2">
        <f t="shared" si="16"/>
        <v>#VALUE!</v>
      </c>
      <c r="BG316" t="e" vm="2">
        <f t="shared" si="17"/>
        <v>#VALUE!</v>
      </c>
      <c r="BJ316" s="21" t="e" vm="1">
        <v>#REF!</v>
      </c>
      <c r="BK316" t="e" vm="1">
        <v>#REF!</v>
      </c>
      <c r="BM316" t="e" vm="2">
        <f t="shared" si="18"/>
        <v>#VALUE!</v>
      </c>
      <c r="BN316" t="e" vm="2">
        <f t="shared" si="19"/>
        <v>#VALUE!</v>
      </c>
    </row>
    <row r="317" spans="1:66" x14ac:dyDescent="0.2">
      <c r="A317" s="21">
        <f>Prices!A316</f>
        <v>35339</v>
      </c>
      <c r="BC317" s="21" t="e" vm="1">
        <v>#REF!</v>
      </c>
      <c r="BD317" t="e" vm="1">
        <v>#REF!</v>
      </c>
      <c r="BF317" t="e" vm="2">
        <f t="shared" si="16"/>
        <v>#VALUE!</v>
      </c>
      <c r="BG317" t="e" vm="2">
        <f t="shared" si="17"/>
        <v>#VALUE!</v>
      </c>
      <c r="BJ317" s="21" t="e" vm="1">
        <v>#REF!</v>
      </c>
      <c r="BK317" t="e" vm="1">
        <v>#REF!</v>
      </c>
      <c r="BM317" t="e" vm="2">
        <f t="shared" si="18"/>
        <v>#VALUE!</v>
      </c>
      <c r="BN317" t="e" vm="2">
        <f t="shared" si="19"/>
        <v>#VALUE!</v>
      </c>
    </row>
    <row r="318" spans="1:66" x14ac:dyDescent="0.2">
      <c r="A318" s="21">
        <f>Prices!A317</f>
        <v>35370</v>
      </c>
      <c r="BC318" s="21" t="e" vm="1">
        <v>#REF!</v>
      </c>
      <c r="BD318" t="e" vm="1">
        <v>#REF!</v>
      </c>
      <c r="BF318" t="e" vm="2">
        <f t="shared" si="16"/>
        <v>#VALUE!</v>
      </c>
      <c r="BG318" t="e" vm="2">
        <f t="shared" si="17"/>
        <v>#VALUE!</v>
      </c>
      <c r="BJ318" s="21" t="e" vm="1">
        <v>#REF!</v>
      </c>
      <c r="BK318" t="e" vm="1">
        <v>#REF!</v>
      </c>
      <c r="BM318" t="e" vm="2">
        <f t="shared" si="18"/>
        <v>#VALUE!</v>
      </c>
      <c r="BN318" t="e" vm="2">
        <f t="shared" si="19"/>
        <v>#VALUE!</v>
      </c>
    </row>
    <row r="319" spans="1:66" x14ac:dyDescent="0.2">
      <c r="A319" s="21">
        <f>Prices!A318</f>
        <v>35400</v>
      </c>
      <c r="BC319" s="21" t="e" vm="1">
        <v>#REF!</v>
      </c>
      <c r="BD319" t="e" vm="1">
        <v>#REF!</v>
      </c>
      <c r="BF319" t="e" vm="2">
        <f t="shared" si="16"/>
        <v>#VALUE!</v>
      </c>
      <c r="BG319" t="e" vm="2">
        <f t="shared" si="17"/>
        <v>#VALUE!</v>
      </c>
      <c r="BJ319" s="21" t="e" vm="1">
        <v>#REF!</v>
      </c>
      <c r="BK319" t="e" vm="1">
        <v>#REF!</v>
      </c>
      <c r="BM319" t="e" vm="2">
        <f t="shared" si="18"/>
        <v>#VALUE!</v>
      </c>
      <c r="BN319" t="e" vm="2">
        <f t="shared" si="19"/>
        <v>#VALUE!</v>
      </c>
    </row>
    <row r="320" spans="1:66" x14ac:dyDescent="0.2">
      <c r="A320" s="21">
        <f>Prices!A319</f>
        <v>35431</v>
      </c>
      <c r="BC320" s="21" t="e" vm="1">
        <v>#REF!</v>
      </c>
      <c r="BD320" t="e" vm="1">
        <v>#REF!</v>
      </c>
      <c r="BF320" t="e" vm="2">
        <f t="shared" si="16"/>
        <v>#VALUE!</v>
      </c>
      <c r="BG320" t="e" vm="2">
        <f t="shared" si="17"/>
        <v>#VALUE!</v>
      </c>
      <c r="BJ320" s="21" t="e" vm="1">
        <v>#REF!</v>
      </c>
      <c r="BK320" t="e" vm="1">
        <v>#REF!</v>
      </c>
      <c r="BM320" t="e" vm="2">
        <f t="shared" si="18"/>
        <v>#VALUE!</v>
      </c>
      <c r="BN320" t="e" vm="2">
        <f t="shared" si="19"/>
        <v>#VALUE!</v>
      </c>
    </row>
    <row r="321" spans="1:66" x14ac:dyDescent="0.2">
      <c r="A321" s="21">
        <f>Prices!A320</f>
        <v>35462</v>
      </c>
      <c r="BC321" s="21" t="e" vm="1">
        <v>#REF!</v>
      </c>
      <c r="BD321" t="e" vm="1">
        <v>#REF!</v>
      </c>
      <c r="BF321" t="e" vm="2">
        <f t="shared" si="16"/>
        <v>#VALUE!</v>
      </c>
      <c r="BG321" t="e" vm="2">
        <f t="shared" si="17"/>
        <v>#VALUE!</v>
      </c>
      <c r="BJ321" s="21" t="e" vm="1">
        <v>#REF!</v>
      </c>
      <c r="BK321" t="e" vm="1">
        <v>#REF!</v>
      </c>
      <c r="BM321" t="e" vm="2">
        <f t="shared" si="18"/>
        <v>#VALUE!</v>
      </c>
      <c r="BN321" t="e" vm="2">
        <f t="shared" si="19"/>
        <v>#VALUE!</v>
      </c>
    </row>
    <row r="322" spans="1:66" x14ac:dyDescent="0.2">
      <c r="A322" s="21">
        <f>Prices!A321</f>
        <v>35490</v>
      </c>
      <c r="BC322" s="21" t="e" vm="1">
        <v>#REF!</v>
      </c>
      <c r="BD322" t="e" vm="1">
        <v>#REF!</v>
      </c>
      <c r="BF322" t="e" vm="2">
        <f t="shared" si="16"/>
        <v>#VALUE!</v>
      </c>
      <c r="BG322" t="e" vm="2">
        <f t="shared" si="17"/>
        <v>#VALUE!</v>
      </c>
      <c r="BJ322" s="21" t="e" vm="1">
        <v>#REF!</v>
      </c>
      <c r="BK322" t="e" vm="1">
        <v>#REF!</v>
      </c>
      <c r="BM322" t="e" vm="2">
        <f t="shared" si="18"/>
        <v>#VALUE!</v>
      </c>
      <c r="BN322" t="e" vm="2">
        <f t="shared" si="19"/>
        <v>#VALUE!</v>
      </c>
    </row>
    <row r="323" spans="1:66" x14ac:dyDescent="0.2">
      <c r="A323" s="21">
        <f>Prices!A322</f>
        <v>35521</v>
      </c>
      <c r="BC323" s="21" t="e" vm="1">
        <v>#REF!</v>
      </c>
      <c r="BD323" t="e" vm="1">
        <v>#REF!</v>
      </c>
      <c r="BF323" t="e" vm="2">
        <f t="shared" ref="BF323:BF386" si="20">MONTH(BC323)</f>
        <v>#VALUE!</v>
      </c>
      <c r="BG323" t="e" vm="2">
        <f t="shared" ref="BG323:BG386" si="21">YEAR(BC323)</f>
        <v>#VALUE!</v>
      </c>
      <c r="BJ323" s="21" t="e" vm="1">
        <v>#REF!</v>
      </c>
      <c r="BK323" t="e" vm="1">
        <v>#REF!</v>
      </c>
      <c r="BM323" t="e" vm="2">
        <f t="shared" si="18"/>
        <v>#VALUE!</v>
      </c>
      <c r="BN323" t="e" vm="2">
        <f t="shared" si="19"/>
        <v>#VALUE!</v>
      </c>
    </row>
    <row r="324" spans="1:66" x14ac:dyDescent="0.2">
      <c r="A324" s="21">
        <f>Prices!A323</f>
        <v>35551</v>
      </c>
      <c r="BC324" s="21" t="e" vm="1">
        <v>#REF!</v>
      </c>
      <c r="BD324" t="e" vm="1">
        <v>#REF!</v>
      </c>
      <c r="BF324" t="e" vm="2">
        <f t="shared" si="20"/>
        <v>#VALUE!</v>
      </c>
      <c r="BG324" t="e" vm="2">
        <f t="shared" si="21"/>
        <v>#VALUE!</v>
      </c>
      <c r="BJ324" s="21" t="e" vm="1">
        <v>#REF!</v>
      </c>
      <c r="BK324" t="e" vm="1">
        <v>#REF!</v>
      </c>
      <c r="BM324" t="e" vm="2">
        <f t="shared" ref="BM324:BM387" si="22">MONTH(BJ324)</f>
        <v>#VALUE!</v>
      </c>
      <c r="BN324" t="e" vm="2">
        <f t="shared" ref="BN324:BN387" si="23">YEAR(BJ324)</f>
        <v>#VALUE!</v>
      </c>
    </row>
    <row r="325" spans="1:66" x14ac:dyDescent="0.2">
      <c r="A325" s="21">
        <f>Prices!A324</f>
        <v>35582</v>
      </c>
      <c r="BC325" s="21" t="e" vm="1">
        <v>#REF!</v>
      </c>
      <c r="BD325" t="e" vm="1">
        <v>#REF!</v>
      </c>
      <c r="BF325" t="e" vm="2">
        <f t="shared" si="20"/>
        <v>#VALUE!</v>
      </c>
      <c r="BG325" t="e" vm="2">
        <f t="shared" si="21"/>
        <v>#VALUE!</v>
      </c>
      <c r="BJ325" s="21" t="e" vm="1">
        <v>#REF!</v>
      </c>
      <c r="BK325" t="e" vm="1">
        <v>#REF!</v>
      </c>
      <c r="BM325" t="e" vm="2">
        <f t="shared" si="22"/>
        <v>#VALUE!</v>
      </c>
      <c r="BN325" t="e" vm="2">
        <f t="shared" si="23"/>
        <v>#VALUE!</v>
      </c>
    </row>
    <row r="326" spans="1:66" x14ac:dyDescent="0.2">
      <c r="A326" s="21">
        <f>Prices!A325</f>
        <v>35612</v>
      </c>
      <c r="BC326" s="21" t="e" vm="1">
        <v>#REF!</v>
      </c>
      <c r="BD326" t="e" vm="1">
        <v>#REF!</v>
      </c>
      <c r="BF326" t="e" vm="2">
        <f t="shared" si="20"/>
        <v>#VALUE!</v>
      </c>
      <c r="BG326" t="e" vm="2">
        <f t="shared" si="21"/>
        <v>#VALUE!</v>
      </c>
      <c r="BJ326" s="21" t="e" vm="1">
        <v>#REF!</v>
      </c>
      <c r="BK326" t="e" vm="1">
        <v>#REF!</v>
      </c>
      <c r="BM326" t="e" vm="2">
        <f t="shared" si="22"/>
        <v>#VALUE!</v>
      </c>
      <c r="BN326" t="e" vm="2">
        <f t="shared" si="23"/>
        <v>#VALUE!</v>
      </c>
    </row>
    <row r="327" spans="1:66" x14ac:dyDescent="0.2">
      <c r="A327" s="21">
        <f>Prices!A326</f>
        <v>35643</v>
      </c>
      <c r="BC327" s="21" t="e" vm="1">
        <v>#REF!</v>
      </c>
      <c r="BD327" t="e" vm="1">
        <v>#REF!</v>
      </c>
      <c r="BF327" t="e" vm="2">
        <f t="shared" si="20"/>
        <v>#VALUE!</v>
      </c>
      <c r="BG327" t="e" vm="2">
        <f t="shared" si="21"/>
        <v>#VALUE!</v>
      </c>
      <c r="BJ327" s="21" t="e" vm="1">
        <v>#REF!</v>
      </c>
      <c r="BK327" t="e" vm="1">
        <v>#REF!</v>
      </c>
      <c r="BM327" t="e" vm="2">
        <f t="shared" si="22"/>
        <v>#VALUE!</v>
      </c>
      <c r="BN327" t="e" vm="2">
        <f t="shared" si="23"/>
        <v>#VALUE!</v>
      </c>
    </row>
    <row r="328" spans="1:66" x14ac:dyDescent="0.2">
      <c r="A328" s="21">
        <f>Prices!A327</f>
        <v>35674</v>
      </c>
      <c r="BC328" s="21" t="e" vm="1">
        <v>#REF!</v>
      </c>
      <c r="BD328" t="e" vm="1">
        <v>#REF!</v>
      </c>
      <c r="BF328" t="e" vm="2">
        <f t="shared" si="20"/>
        <v>#VALUE!</v>
      </c>
      <c r="BG328" t="e" vm="2">
        <f t="shared" si="21"/>
        <v>#VALUE!</v>
      </c>
      <c r="BJ328" s="21" t="e" vm="1">
        <v>#REF!</v>
      </c>
      <c r="BK328" t="e" vm="1">
        <v>#REF!</v>
      </c>
      <c r="BM328" t="e" vm="2">
        <f t="shared" si="22"/>
        <v>#VALUE!</v>
      </c>
      <c r="BN328" t="e" vm="2">
        <f t="shared" si="23"/>
        <v>#VALUE!</v>
      </c>
    </row>
    <row r="329" spans="1:66" x14ac:dyDescent="0.2">
      <c r="A329" s="21">
        <f>Prices!A328</f>
        <v>35704</v>
      </c>
      <c r="BC329" s="21" t="e" vm="1">
        <v>#REF!</v>
      </c>
      <c r="BD329" t="e" vm="1">
        <v>#REF!</v>
      </c>
      <c r="BF329" t="e" vm="2">
        <f t="shared" si="20"/>
        <v>#VALUE!</v>
      </c>
      <c r="BG329" t="e" vm="2">
        <f t="shared" si="21"/>
        <v>#VALUE!</v>
      </c>
      <c r="BJ329" s="21" t="e" vm="1">
        <v>#REF!</v>
      </c>
      <c r="BK329" t="e" vm="1">
        <v>#REF!</v>
      </c>
      <c r="BM329" t="e" vm="2">
        <f t="shared" si="22"/>
        <v>#VALUE!</v>
      </c>
      <c r="BN329" t="e" vm="2">
        <f t="shared" si="23"/>
        <v>#VALUE!</v>
      </c>
    </row>
    <row r="330" spans="1:66" x14ac:dyDescent="0.2">
      <c r="A330" s="21">
        <f>Prices!A329</f>
        <v>35735</v>
      </c>
      <c r="BC330" s="21" t="e" vm="1">
        <v>#REF!</v>
      </c>
      <c r="BD330" t="e" vm="1">
        <v>#REF!</v>
      </c>
      <c r="BF330" t="e" vm="2">
        <f t="shared" si="20"/>
        <v>#VALUE!</v>
      </c>
      <c r="BG330" t="e" vm="2">
        <f t="shared" si="21"/>
        <v>#VALUE!</v>
      </c>
      <c r="BJ330" s="21" t="e" vm="1">
        <v>#REF!</v>
      </c>
      <c r="BK330" t="e" vm="1">
        <v>#REF!</v>
      </c>
      <c r="BM330" t="e" vm="2">
        <f t="shared" si="22"/>
        <v>#VALUE!</v>
      </c>
      <c r="BN330" t="e" vm="2">
        <f t="shared" si="23"/>
        <v>#VALUE!</v>
      </c>
    </row>
    <row r="331" spans="1:66" x14ac:dyDescent="0.2">
      <c r="A331" s="21">
        <f>Prices!A330</f>
        <v>35765</v>
      </c>
      <c r="BC331" s="21" t="e" vm="1">
        <v>#REF!</v>
      </c>
      <c r="BD331" t="e" vm="1">
        <v>#REF!</v>
      </c>
      <c r="BF331" t="e" vm="2">
        <f t="shared" si="20"/>
        <v>#VALUE!</v>
      </c>
      <c r="BG331" t="e" vm="2">
        <f t="shared" si="21"/>
        <v>#VALUE!</v>
      </c>
      <c r="BJ331" s="21" t="e" vm="1">
        <v>#REF!</v>
      </c>
      <c r="BK331" t="e" vm="1">
        <v>#REF!</v>
      </c>
      <c r="BM331" t="e" vm="2">
        <f t="shared" si="22"/>
        <v>#VALUE!</v>
      </c>
      <c r="BN331" t="e" vm="2">
        <f t="shared" si="23"/>
        <v>#VALUE!</v>
      </c>
    </row>
    <row r="332" spans="1:66" x14ac:dyDescent="0.2">
      <c r="A332" s="21">
        <f>Prices!A331</f>
        <v>35796</v>
      </c>
      <c r="BC332" s="21" t="e" vm="1">
        <v>#REF!</v>
      </c>
      <c r="BD332" t="e" vm="1">
        <v>#REF!</v>
      </c>
      <c r="BF332" t="e" vm="2">
        <f t="shared" si="20"/>
        <v>#VALUE!</v>
      </c>
      <c r="BG332" t="e" vm="2">
        <f t="shared" si="21"/>
        <v>#VALUE!</v>
      </c>
      <c r="BJ332" s="21" t="e" vm="1">
        <v>#REF!</v>
      </c>
      <c r="BK332" t="e" vm="1">
        <v>#REF!</v>
      </c>
      <c r="BM332" t="e" vm="2">
        <f t="shared" si="22"/>
        <v>#VALUE!</v>
      </c>
      <c r="BN332" t="e" vm="2">
        <f t="shared" si="23"/>
        <v>#VALUE!</v>
      </c>
    </row>
    <row r="333" spans="1:66" x14ac:dyDescent="0.2">
      <c r="A333" s="21">
        <f>Prices!A332</f>
        <v>35827</v>
      </c>
      <c r="BC333" s="21" t="e" vm="1">
        <v>#REF!</v>
      </c>
      <c r="BD333" t="e" vm="1">
        <v>#REF!</v>
      </c>
      <c r="BF333" t="e" vm="2">
        <f t="shared" si="20"/>
        <v>#VALUE!</v>
      </c>
      <c r="BG333" t="e" vm="2">
        <f t="shared" si="21"/>
        <v>#VALUE!</v>
      </c>
      <c r="BJ333" s="21" t="e" vm="1">
        <v>#REF!</v>
      </c>
      <c r="BK333" t="e" vm="1">
        <v>#REF!</v>
      </c>
      <c r="BM333" t="e" vm="2">
        <f t="shared" si="22"/>
        <v>#VALUE!</v>
      </c>
      <c r="BN333" t="e" vm="2">
        <f t="shared" si="23"/>
        <v>#VALUE!</v>
      </c>
    </row>
    <row r="334" spans="1:66" x14ac:dyDescent="0.2">
      <c r="A334" s="21">
        <f>Prices!A333</f>
        <v>35855</v>
      </c>
      <c r="BC334" s="21" t="e" vm="1">
        <v>#REF!</v>
      </c>
      <c r="BD334" t="e" vm="1">
        <v>#REF!</v>
      </c>
      <c r="BF334" t="e" vm="2">
        <f t="shared" si="20"/>
        <v>#VALUE!</v>
      </c>
      <c r="BG334" t="e" vm="2">
        <f t="shared" si="21"/>
        <v>#VALUE!</v>
      </c>
      <c r="BJ334" s="21" t="e" vm="1">
        <v>#REF!</v>
      </c>
      <c r="BK334" t="e" vm="1">
        <v>#REF!</v>
      </c>
      <c r="BM334" t="e" vm="2">
        <f t="shared" si="22"/>
        <v>#VALUE!</v>
      </c>
      <c r="BN334" t="e" vm="2">
        <f t="shared" si="23"/>
        <v>#VALUE!</v>
      </c>
    </row>
    <row r="335" spans="1:66" x14ac:dyDescent="0.2">
      <c r="A335" s="21">
        <f>Prices!A334</f>
        <v>35886</v>
      </c>
      <c r="BC335" s="21" t="e" vm="1">
        <v>#REF!</v>
      </c>
      <c r="BD335" t="e" vm="1">
        <v>#REF!</v>
      </c>
      <c r="BF335" t="e" vm="2">
        <f t="shared" si="20"/>
        <v>#VALUE!</v>
      </c>
      <c r="BG335" t="e" vm="2">
        <f t="shared" si="21"/>
        <v>#VALUE!</v>
      </c>
      <c r="BJ335" s="21" t="e" vm="1">
        <v>#REF!</v>
      </c>
      <c r="BK335" t="e" vm="1">
        <v>#REF!</v>
      </c>
      <c r="BM335" t="e" vm="2">
        <f t="shared" si="22"/>
        <v>#VALUE!</v>
      </c>
      <c r="BN335" t="e" vm="2">
        <f t="shared" si="23"/>
        <v>#VALUE!</v>
      </c>
    </row>
    <row r="336" spans="1:66" x14ac:dyDescent="0.2">
      <c r="A336" s="21">
        <f>Prices!A335</f>
        <v>35916</v>
      </c>
      <c r="BC336" s="21" t="e" vm="1">
        <v>#REF!</v>
      </c>
      <c r="BD336" t="e" vm="1">
        <v>#REF!</v>
      </c>
      <c r="BF336" t="e" vm="2">
        <f t="shared" si="20"/>
        <v>#VALUE!</v>
      </c>
      <c r="BG336" t="e" vm="2">
        <f t="shared" si="21"/>
        <v>#VALUE!</v>
      </c>
      <c r="BJ336" s="21" t="e" vm="1">
        <v>#REF!</v>
      </c>
      <c r="BK336" t="e" vm="1">
        <v>#REF!</v>
      </c>
      <c r="BM336" t="e" vm="2">
        <f t="shared" si="22"/>
        <v>#VALUE!</v>
      </c>
      <c r="BN336" t="e" vm="2">
        <f t="shared" si="23"/>
        <v>#VALUE!</v>
      </c>
    </row>
    <row r="337" spans="1:66" x14ac:dyDescent="0.2">
      <c r="A337" s="21">
        <f>Prices!A336</f>
        <v>35947</v>
      </c>
      <c r="BC337" s="21" t="e" vm="1">
        <v>#REF!</v>
      </c>
      <c r="BD337" t="e" vm="1">
        <v>#REF!</v>
      </c>
      <c r="BF337" t="e" vm="2">
        <f t="shared" si="20"/>
        <v>#VALUE!</v>
      </c>
      <c r="BG337" t="e" vm="2">
        <f t="shared" si="21"/>
        <v>#VALUE!</v>
      </c>
      <c r="BJ337" s="21" t="e" vm="1">
        <v>#REF!</v>
      </c>
      <c r="BK337" t="e" vm="1">
        <v>#REF!</v>
      </c>
      <c r="BM337" t="e" vm="2">
        <f t="shared" si="22"/>
        <v>#VALUE!</v>
      </c>
      <c r="BN337" t="e" vm="2">
        <f t="shared" si="23"/>
        <v>#VALUE!</v>
      </c>
    </row>
    <row r="338" spans="1:66" x14ac:dyDescent="0.2">
      <c r="A338" s="21">
        <f>Prices!A337</f>
        <v>35977</v>
      </c>
      <c r="BC338" s="21" t="e" vm="1">
        <v>#REF!</v>
      </c>
      <c r="BD338" t="e" vm="1">
        <v>#REF!</v>
      </c>
      <c r="BF338" t="e" vm="2">
        <f t="shared" si="20"/>
        <v>#VALUE!</v>
      </c>
      <c r="BG338" t="e" vm="2">
        <f t="shared" si="21"/>
        <v>#VALUE!</v>
      </c>
      <c r="BJ338" s="21" t="e" vm="1">
        <v>#REF!</v>
      </c>
      <c r="BK338" t="e" vm="1">
        <v>#REF!</v>
      </c>
      <c r="BM338" t="e" vm="2">
        <f t="shared" si="22"/>
        <v>#VALUE!</v>
      </c>
      <c r="BN338" t="e" vm="2">
        <f t="shared" si="23"/>
        <v>#VALUE!</v>
      </c>
    </row>
    <row r="339" spans="1:66" x14ac:dyDescent="0.2">
      <c r="A339" s="21">
        <f>Prices!A338</f>
        <v>36008</v>
      </c>
      <c r="BC339" s="21" t="e" vm="1">
        <v>#REF!</v>
      </c>
      <c r="BD339" t="e" vm="1">
        <v>#REF!</v>
      </c>
      <c r="BF339" t="e" vm="2">
        <f t="shared" si="20"/>
        <v>#VALUE!</v>
      </c>
      <c r="BG339" t="e" vm="2">
        <f t="shared" si="21"/>
        <v>#VALUE!</v>
      </c>
      <c r="BJ339" s="21" t="e" vm="1">
        <v>#REF!</v>
      </c>
      <c r="BK339" t="e" vm="1">
        <v>#REF!</v>
      </c>
      <c r="BM339" t="e" vm="2">
        <f t="shared" si="22"/>
        <v>#VALUE!</v>
      </c>
      <c r="BN339" t="e" vm="2">
        <f t="shared" si="23"/>
        <v>#VALUE!</v>
      </c>
    </row>
    <row r="340" spans="1:66" x14ac:dyDescent="0.2">
      <c r="A340" s="21">
        <f>Prices!A339</f>
        <v>36039</v>
      </c>
      <c r="BC340" s="21" t="e" vm="1">
        <v>#REF!</v>
      </c>
      <c r="BD340" t="e" vm="1">
        <v>#REF!</v>
      </c>
      <c r="BF340" t="e" vm="2">
        <f t="shared" si="20"/>
        <v>#VALUE!</v>
      </c>
      <c r="BG340" t="e" vm="2">
        <f t="shared" si="21"/>
        <v>#VALUE!</v>
      </c>
      <c r="BJ340" s="21" t="e" vm="1">
        <v>#REF!</v>
      </c>
      <c r="BK340" t="e" vm="1">
        <v>#REF!</v>
      </c>
      <c r="BM340" t="e" vm="2">
        <f t="shared" si="22"/>
        <v>#VALUE!</v>
      </c>
      <c r="BN340" t="e" vm="2">
        <f t="shared" si="23"/>
        <v>#VALUE!</v>
      </c>
    </row>
    <row r="341" spans="1:66" x14ac:dyDescent="0.2">
      <c r="A341" s="21">
        <f>Prices!A340</f>
        <v>36069</v>
      </c>
      <c r="BC341" s="21" t="e" vm="1">
        <v>#REF!</v>
      </c>
      <c r="BD341" t="e" vm="1">
        <v>#REF!</v>
      </c>
      <c r="BF341" t="e" vm="2">
        <f t="shared" si="20"/>
        <v>#VALUE!</v>
      </c>
      <c r="BG341" t="e" vm="2">
        <f t="shared" si="21"/>
        <v>#VALUE!</v>
      </c>
      <c r="BJ341" s="21" t="e" vm="1">
        <v>#REF!</v>
      </c>
      <c r="BK341" t="e" vm="1">
        <v>#REF!</v>
      </c>
      <c r="BM341" t="e" vm="2">
        <f t="shared" si="22"/>
        <v>#VALUE!</v>
      </c>
      <c r="BN341" t="e" vm="2">
        <f t="shared" si="23"/>
        <v>#VALUE!</v>
      </c>
    </row>
    <row r="342" spans="1:66" x14ac:dyDescent="0.2">
      <c r="A342" s="21">
        <f>Prices!A341</f>
        <v>36100</v>
      </c>
      <c r="BC342" s="21" t="e" vm="1">
        <v>#REF!</v>
      </c>
      <c r="BD342" t="e" vm="1">
        <v>#REF!</v>
      </c>
      <c r="BF342" t="e" vm="2">
        <f t="shared" si="20"/>
        <v>#VALUE!</v>
      </c>
      <c r="BG342" t="e" vm="2">
        <f t="shared" si="21"/>
        <v>#VALUE!</v>
      </c>
      <c r="BJ342" s="21" t="e" vm="1">
        <v>#REF!</v>
      </c>
      <c r="BK342" t="e" vm="1">
        <v>#REF!</v>
      </c>
      <c r="BM342" t="e" vm="2">
        <f t="shared" si="22"/>
        <v>#VALUE!</v>
      </c>
      <c r="BN342" t="e" vm="2">
        <f t="shared" si="23"/>
        <v>#VALUE!</v>
      </c>
    </row>
    <row r="343" spans="1:66" x14ac:dyDescent="0.2">
      <c r="A343" s="21">
        <f>Prices!A342</f>
        <v>36130</v>
      </c>
      <c r="BC343" s="21" t="e" vm="1">
        <v>#REF!</v>
      </c>
      <c r="BD343" t="e" vm="1">
        <v>#REF!</v>
      </c>
      <c r="BF343" t="e" vm="2">
        <f t="shared" si="20"/>
        <v>#VALUE!</v>
      </c>
      <c r="BG343" t="e" vm="2">
        <f t="shared" si="21"/>
        <v>#VALUE!</v>
      </c>
      <c r="BJ343" s="21" t="e" vm="1">
        <v>#REF!</v>
      </c>
      <c r="BK343" t="e" vm="1">
        <v>#REF!</v>
      </c>
      <c r="BM343" t="e" vm="2">
        <f t="shared" si="22"/>
        <v>#VALUE!</v>
      </c>
      <c r="BN343" t="e" vm="2">
        <f t="shared" si="23"/>
        <v>#VALUE!</v>
      </c>
    </row>
    <row r="344" spans="1:66" x14ac:dyDescent="0.2">
      <c r="A344" s="21">
        <f>Prices!A343</f>
        <v>36161</v>
      </c>
      <c r="BC344" s="21" t="e" vm="1">
        <v>#REF!</v>
      </c>
      <c r="BD344" t="e" vm="1">
        <v>#REF!</v>
      </c>
      <c r="BF344" t="e" vm="2">
        <f t="shared" si="20"/>
        <v>#VALUE!</v>
      </c>
      <c r="BG344" t="e" vm="2">
        <f t="shared" si="21"/>
        <v>#VALUE!</v>
      </c>
      <c r="BJ344" s="21" t="e" vm="1">
        <v>#REF!</v>
      </c>
      <c r="BK344" t="e" vm="1">
        <v>#REF!</v>
      </c>
      <c r="BM344" t="e" vm="2">
        <f t="shared" si="22"/>
        <v>#VALUE!</v>
      </c>
      <c r="BN344" t="e" vm="2">
        <f t="shared" si="23"/>
        <v>#VALUE!</v>
      </c>
    </row>
    <row r="345" spans="1:66" x14ac:dyDescent="0.2">
      <c r="A345" s="21">
        <f>Prices!A344</f>
        <v>36192</v>
      </c>
      <c r="BC345" s="21" t="e" vm="1">
        <v>#REF!</v>
      </c>
      <c r="BD345" t="e" vm="1">
        <v>#REF!</v>
      </c>
      <c r="BF345" t="e" vm="2">
        <f t="shared" si="20"/>
        <v>#VALUE!</v>
      </c>
      <c r="BG345" t="e" vm="2">
        <f t="shared" si="21"/>
        <v>#VALUE!</v>
      </c>
      <c r="BJ345" s="21" t="e" vm="1">
        <v>#REF!</v>
      </c>
      <c r="BK345" t="e" vm="1">
        <v>#REF!</v>
      </c>
      <c r="BM345" t="e" vm="2">
        <f t="shared" si="22"/>
        <v>#VALUE!</v>
      </c>
      <c r="BN345" t="e" vm="2">
        <f t="shared" si="23"/>
        <v>#VALUE!</v>
      </c>
    </row>
    <row r="346" spans="1:66" x14ac:dyDescent="0.2">
      <c r="A346" s="21">
        <f>Prices!A345</f>
        <v>36220</v>
      </c>
      <c r="BC346" s="21" t="e" vm="1">
        <v>#REF!</v>
      </c>
      <c r="BD346" t="e" vm="1">
        <v>#REF!</v>
      </c>
      <c r="BF346" t="e" vm="2">
        <f t="shared" si="20"/>
        <v>#VALUE!</v>
      </c>
      <c r="BG346" t="e" vm="2">
        <f t="shared" si="21"/>
        <v>#VALUE!</v>
      </c>
      <c r="BJ346" s="21" t="e" vm="1">
        <v>#REF!</v>
      </c>
      <c r="BK346" t="e" vm="1">
        <v>#REF!</v>
      </c>
      <c r="BM346" t="e" vm="2">
        <f t="shared" si="22"/>
        <v>#VALUE!</v>
      </c>
      <c r="BN346" t="e" vm="2">
        <f t="shared" si="23"/>
        <v>#VALUE!</v>
      </c>
    </row>
    <row r="347" spans="1:66" x14ac:dyDescent="0.2">
      <c r="A347" s="21">
        <f>Prices!A346</f>
        <v>36251</v>
      </c>
      <c r="BC347" s="21" t="e" vm="1">
        <v>#REF!</v>
      </c>
      <c r="BD347" t="e" vm="1">
        <v>#REF!</v>
      </c>
      <c r="BF347" t="e" vm="2">
        <f t="shared" si="20"/>
        <v>#VALUE!</v>
      </c>
      <c r="BG347" t="e" vm="2">
        <f t="shared" si="21"/>
        <v>#VALUE!</v>
      </c>
      <c r="BJ347" s="21" t="e" vm="1">
        <v>#REF!</v>
      </c>
      <c r="BK347" t="e" vm="1">
        <v>#REF!</v>
      </c>
      <c r="BM347" t="e" vm="2">
        <f t="shared" si="22"/>
        <v>#VALUE!</v>
      </c>
      <c r="BN347" t="e" vm="2">
        <f t="shared" si="23"/>
        <v>#VALUE!</v>
      </c>
    </row>
    <row r="348" spans="1:66" x14ac:dyDescent="0.2">
      <c r="A348" s="21">
        <f>Prices!A347</f>
        <v>36281</v>
      </c>
      <c r="BC348" s="21" t="e" vm="1">
        <v>#REF!</v>
      </c>
      <c r="BD348" t="e" vm="1">
        <v>#REF!</v>
      </c>
      <c r="BF348" t="e" vm="2">
        <f t="shared" si="20"/>
        <v>#VALUE!</v>
      </c>
      <c r="BG348" t="e" vm="2">
        <f t="shared" si="21"/>
        <v>#VALUE!</v>
      </c>
      <c r="BJ348" s="21" t="e" vm="1">
        <v>#REF!</v>
      </c>
      <c r="BK348" t="e" vm="1">
        <v>#REF!</v>
      </c>
      <c r="BM348" t="e" vm="2">
        <f t="shared" si="22"/>
        <v>#VALUE!</v>
      </c>
      <c r="BN348" t="e" vm="2">
        <f t="shared" si="23"/>
        <v>#VALUE!</v>
      </c>
    </row>
    <row r="349" spans="1:66" x14ac:dyDescent="0.2">
      <c r="A349" s="21">
        <f>Prices!A348</f>
        <v>36312</v>
      </c>
      <c r="BC349" s="21" t="e" vm="1">
        <v>#REF!</v>
      </c>
      <c r="BD349" t="e" vm="1">
        <v>#REF!</v>
      </c>
      <c r="BF349" t="e" vm="2">
        <f t="shared" si="20"/>
        <v>#VALUE!</v>
      </c>
      <c r="BG349" t="e" vm="2">
        <f t="shared" si="21"/>
        <v>#VALUE!</v>
      </c>
      <c r="BJ349" s="21" t="e" vm="1">
        <v>#REF!</v>
      </c>
      <c r="BK349" t="e" vm="1">
        <v>#REF!</v>
      </c>
      <c r="BM349" t="e" vm="2">
        <f t="shared" si="22"/>
        <v>#VALUE!</v>
      </c>
      <c r="BN349" t="e" vm="2">
        <f t="shared" si="23"/>
        <v>#VALUE!</v>
      </c>
    </row>
    <row r="350" spans="1:66" x14ac:dyDescent="0.2">
      <c r="A350" s="21">
        <f>Prices!A349</f>
        <v>36342</v>
      </c>
      <c r="BC350" s="21" t="e" vm="1">
        <v>#REF!</v>
      </c>
      <c r="BD350" t="e" vm="1">
        <v>#REF!</v>
      </c>
      <c r="BF350" t="e" vm="2">
        <f t="shared" si="20"/>
        <v>#VALUE!</v>
      </c>
      <c r="BG350" t="e" vm="2">
        <f t="shared" si="21"/>
        <v>#VALUE!</v>
      </c>
      <c r="BJ350" s="21" t="e" vm="1">
        <v>#REF!</v>
      </c>
      <c r="BK350" t="e" vm="1">
        <v>#REF!</v>
      </c>
      <c r="BM350" t="e" vm="2">
        <f t="shared" si="22"/>
        <v>#VALUE!</v>
      </c>
      <c r="BN350" t="e" vm="2">
        <f t="shared" si="23"/>
        <v>#VALUE!</v>
      </c>
    </row>
    <row r="351" spans="1:66" x14ac:dyDescent="0.2">
      <c r="A351" s="21">
        <f>Prices!A350</f>
        <v>36373</v>
      </c>
      <c r="BC351" s="21" t="e" vm="1">
        <v>#REF!</v>
      </c>
      <c r="BD351" t="e" vm="1">
        <v>#REF!</v>
      </c>
      <c r="BF351" t="e" vm="2">
        <f t="shared" si="20"/>
        <v>#VALUE!</v>
      </c>
      <c r="BG351" t="e" vm="2">
        <f t="shared" si="21"/>
        <v>#VALUE!</v>
      </c>
      <c r="BJ351" s="21" t="e" vm="1">
        <v>#REF!</v>
      </c>
      <c r="BK351" t="e" vm="1">
        <v>#REF!</v>
      </c>
      <c r="BM351" t="e" vm="2">
        <f t="shared" si="22"/>
        <v>#VALUE!</v>
      </c>
      <c r="BN351" t="e" vm="2">
        <f t="shared" si="23"/>
        <v>#VALUE!</v>
      </c>
    </row>
    <row r="352" spans="1:66" x14ac:dyDescent="0.2">
      <c r="A352" s="21">
        <f>Prices!A351</f>
        <v>36404</v>
      </c>
      <c r="BC352" s="21" t="e" vm="1">
        <v>#REF!</v>
      </c>
      <c r="BD352" t="e" vm="1">
        <v>#REF!</v>
      </c>
      <c r="BF352" t="e" vm="2">
        <f t="shared" si="20"/>
        <v>#VALUE!</v>
      </c>
      <c r="BG352" t="e" vm="2">
        <f t="shared" si="21"/>
        <v>#VALUE!</v>
      </c>
      <c r="BJ352" s="21" t="e" vm="1">
        <v>#REF!</v>
      </c>
      <c r="BK352" t="e" vm="1">
        <v>#REF!</v>
      </c>
      <c r="BM352" t="e" vm="2">
        <f t="shared" si="22"/>
        <v>#VALUE!</v>
      </c>
      <c r="BN352" t="e" vm="2">
        <f t="shared" si="23"/>
        <v>#VALUE!</v>
      </c>
    </row>
    <row r="353" spans="1:66" x14ac:dyDescent="0.2">
      <c r="A353" s="21">
        <f>Prices!A352</f>
        <v>36434</v>
      </c>
      <c r="BC353" s="21" t="e" vm="1">
        <v>#REF!</v>
      </c>
      <c r="BD353" t="e" vm="1">
        <v>#REF!</v>
      </c>
      <c r="BF353" t="e" vm="2">
        <f t="shared" si="20"/>
        <v>#VALUE!</v>
      </c>
      <c r="BG353" t="e" vm="2">
        <f t="shared" si="21"/>
        <v>#VALUE!</v>
      </c>
      <c r="BJ353" s="21" t="e" vm="1">
        <v>#REF!</v>
      </c>
      <c r="BK353" t="e" vm="1">
        <v>#REF!</v>
      </c>
      <c r="BM353" t="e" vm="2">
        <f t="shared" si="22"/>
        <v>#VALUE!</v>
      </c>
      <c r="BN353" t="e" vm="2">
        <f t="shared" si="23"/>
        <v>#VALUE!</v>
      </c>
    </row>
    <row r="354" spans="1:66" x14ac:dyDescent="0.2">
      <c r="A354" s="21">
        <f>Prices!A353</f>
        <v>36465</v>
      </c>
      <c r="BC354" s="21" t="e" vm="1">
        <v>#REF!</v>
      </c>
      <c r="BD354" t="e" vm="1">
        <v>#REF!</v>
      </c>
      <c r="BF354" t="e" vm="2">
        <f t="shared" si="20"/>
        <v>#VALUE!</v>
      </c>
      <c r="BG354" t="e" vm="2">
        <f t="shared" si="21"/>
        <v>#VALUE!</v>
      </c>
      <c r="BJ354" s="21" t="e" vm="1">
        <v>#REF!</v>
      </c>
      <c r="BK354" t="e" vm="1">
        <v>#REF!</v>
      </c>
      <c r="BM354" t="e" vm="2">
        <f t="shared" si="22"/>
        <v>#VALUE!</v>
      </c>
      <c r="BN354" t="e" vm="2">
        <f t="shared" si="23"/>
        <v>#VALUE!</v>
      </c>
    </row>
    <row r="355" spans="1:66" x14ac:dyDescent="0.2">
      <c r="A355" s="21">
        <f>Prices!A354</f>
        <v>36495</v>
      </c>
      <c r="BC355" s="21" t="e" vm="1">
        <v>#REF!</v>
      </c>
      <c r="BD355" t="e" vm="1">
        <v>#REF!</v>
      </c>
      <c r="BF355" t="e" vm="2">
        <f t="shared" si="20"/>
        <v>#VALUE!</v>
      </c>
      <c r="BG355" t="e" vm="2">
        <f t="shared" si="21"/>
        <v>#VALUE!</v>
      </c>
      <c r="BJ355" s="21" t="e" vm="1">
        <v>#REF!</v>
      </c>
      <c r="BK355" t="e" vm="1">
        <v>#REF!</v>
      </c>
      <c r="BM355" t="e" vm="2">
        <f t="shared" si="22"/>
        <v>#VALUE!</v>
      </c>
      <c r="BN355" t="e" vm="2">
        <f t="shared" si="23"/>
        <v>#VALUE!</v>
      </c>
    </row>
    <row r="356" spans="1:66" x14ac:dyDescent="0.2">
      <c r="A356" s="21">
        <f>Prices!A355</f>
        <v>36526</v>
      </c>
      <c r="BC356" s="21" t="e" vm="1">
        <v>#REF!</v>
      </c>
      <c r="BD356" t="e" vm="1">
        <v>#REF!</v>
      </c>
      <c r="BF356" t="e" vm="2">
        <f t="shared" si="20"/>
        <v>#VALUE!</v>
      </c>
      <c r="BG356" t="e" vm="2">
        <f t="shared" si="21"/>
        <v>#VALUE!</v>
      </c>
      <c r="BJ356" s="21" t="e" vm="1">
        <v>#REF!</v>
      </c>
      <c r="BK356" t="e" vm="1">
        <v>#REF!</v>
      </c>
      <c r="BM356" t="e" vm="2">
        <f t="shared" si="22"/>
        <v>#VALUE!</v>
      </c>
      <c r="BN356" t="e" vm="2">
        <f t="shared" si="23"/>
        <v>#VALUE!</v>
      </c>
    </row>
    <row r="357" spans="1:66" x14ac:dyDescent="0.2">
      <c r="A357" s="21">
        <f>Prices!A356</f>
        <v>36557</v>
      </c>
      <c r="BC357" s="21" t="e" vm="1">
        <v>#REF!</v>
      </c>
      <c r="BD357" t="e" vm="1">
        <v>#REF!</v>
      </c>
      <c r="BF357" t="e" vm="2">
        <f t="shared" si="20"/>
        <v>#VALUE!</v>
      </c>
      <c r="BG357" t="e" vm="2">
        <f t="shared" si="21"/>
        <v>#VALUE!</v>
      </c>
      <c r="BJ357" s="21" t="e" vm="1">
        <v>#REF!</v>
      </c>
      <c r="BK357" t="e" vm="1">
        <v>#REF!</v>
      </c>
      <c r="BM357" t="e" vm="2">
        <f t="shared" si="22"/>
        <v>#VALUE!</v>
      </c>
      <c r="BN357" t="e" vm="2">
        <f t="shared" si="23"/>
        <v>#VALUE!</v>
      </c>
    </row>
    <row r="358" spans="1:66" x14ac:dyDescent="0.2">
      <c r="A358" s="21">
        <f>Prices!A357</f>
        <v>36586</v>
      </c>
      <c r="BC358" s="21" t="e" vm="1">
        <v>#REF!</v>
      </c>
      <c r="BD358" t="e" vm="1">
        <v>#REF!</v>
      </c>
      <c r="BF358" t="e" vm="2">
        <f t="shared" si="20"/>
        <v>#VALUE!</v>
      </c>
      <c r="BG358" t="e" vm="2">
        <f t="shared" si="21"/>
        <v>#VALUE!</v>
      </c>
      <c r="BJ358" s="21" t="e" vm="1">
        <v>#REF!</v>
      </c>
      <c r="BK358" t="e" vm="1">
        <v>#REF!</v>
      </c>
      <c r="BM358" t="e" vm="2">
        <f t="shared" si="22"/>
        <v>#VALUE!</v>
      </c>
      <c r="BN358" t="e" vm="2">
        <f t="shared" si="23"/>
        <v>#VALUE!</v>
      </c>
    </row>
    <row r="359" spans="1:66" x14ac:dyDescent="0.2">
      <c r="A359" s="21">
        <f>Prices!A358</f>
        <v>36617</v>
      </c>
      <c r="BC359" s="21" t="e" vm="1">
        <v>#REF!</v>
      </c>
      <c r="BD359" t="e" vm="1">
        <v>#REF!</v>
      </c>
      <c r="BF359" t="e" vm="2">
        <f t="shared" si="20"/>
        <v>#VALUE!</v>
      </c>
      <c r="BG359" t="e" vm="2">
        <f t="shared" si="21"/>
        <v>#VALUE!</v>
      </c>
      <c r="BJ359" s="21" t="e" vm="1">
        <v>#REF!</v>
      </c>
      <c r="BK359" t="e" vm="1">
        <v>#REF!</v>
      </c>
      <c r="BM359" t="e" vm="2">
        <f t="shared" si="22"/>
        <v>#VALUE!</v>
      </c>
      <c r="BN359" t="e" vm="2">
        <f t="shared" si="23"/>
        <v>#VALUE!</v>
      </c>
    </row>
    <row r="360" spans="1:66" x14ac:dyDescent="0.2">
      <c r="A360" s="21">
        <f>Prices!A359</f>
        <v>36647</v>
      </c>
      <c r="BC360" s="21" t="e" vm="1">
        <v>#REF!</v>
      </c>
      <c r="BD360" t="e" vm="1">
        <v>#REF!</v>
      </c>
      <c r="BF360" t="e" vm="2">
        <f t="shared" si="20"/>
        <v>#VALUE!</v>
      </c>
      <c r="BG360" t="e" vm="2">
        <f t="shared" si="21"/>
        <v>#VALUE!</v>
      </c>
      <c r="BJ360" s="21" t="e" vm="1">
        <v>#REF!</v>
      </c>
      <c r="BK360" t="e" vm="1">
        <v>#REF!</v>
      </c>
      <c r="BM360" t="e" vm="2">
        <f t="shared" si="22"/>
        <v>#VALUE!</v>
      </c>
      <c r="BN360" t="e" vm="2">
        <f t="shared" si="23"/>
        <v>#VALUE!</v>
      </c>
    </row>
    <row r="361" spans="1:66" x14ac:dyDescent="0.2">
      <c r="A361" s="21">
        <f>Prices!A360</f>
        <v>36678</v>
      </c>
      <c r="BC361" s="21" t="e" vm="1">
        <v>#REF!</v>
      </c>
      <c r="BD361" t="e" vm="1">
        <v>#REF!</v>
      </c>
      <c r="BF361" t="e" vm="2">
        <f t="shared" si="20"/>
        <v>#VALUE!</v>
      </c>
      <c r="BG361" t="e" vm="2">
        <f t="shared" si="21"/>
        <v>#VALUE!</v>
      </c>
      <c r="BJ361" s="21" t="e" vm="1">
        <v>#REF!</v>
      </c>
      <c r="BK361" t="e" vm="1">
        <v>#REF!</v>
      </c>
      <c r="BM361" t="e" vm="2">
        <f t="shared" si="22"/>
        <v>#VALUE!</v>
      </c>
      <c r="BN361" t="e" vm="2">
        <f t="shared" si="23"/>
        <v>#VALUE!</v>
      </c>
    </row>
    <row r="362" spans="1:66" x14ac:dyDescent="0.2">
      <c r="A362" s="21">
        <f>Prices!A361</f>
        <v>36708</v>
      </c>
      <c r="BC362" s="21" t="e" vm="1">
        <v>#REF!</v>
      </c>
      <c r="BD362" t="e" vm="1">
        <v>#REF!</v>
      </c>
      <c r="BF362" t="e" vm="2">
        <f t="shared" si="20"/>
        <v>#VALUE!</v>
      </c>
      <c r="BG362" t="e" vm="2">
        <f t="shared" si="21"/>
        <v>#VALUE!</v>
      </c>
      <c r="BJ362" s="21" t="e" vm="1">
        <v>#REF!</v>
      </c>
      <c r="BK362" t="e" vm="1">
        <v>#REF!</v>
      </c>
      <c r="BM362" t="e" vm="2">
        <f t="shared" si="22"/>
        <v>#VALUE!</v>
      </c>
      <c r="BN362" t="e" vm="2">
        <f t="shared" si="23"/>
        <v>#VALUE!</v>
      </c>
    </row>
    <row r="363" spans="1:66" x14ac:dyDescent="0.2">
      <c r="A363" s="21">
        <f>Prices!A362</f>
        <v>36739</v>
      </c>
      <c r="BC363" s="21" t="e" vm="1">
        <v>#REF!</v>
      </c>
      <c r="BD363" t="e" vm="1">
        <v>#REF!</v>
      </c>
      <c r="BF363" t="e" vm="2">
        <f t="shared" si="20"/>
        <v>#VALUE!</v>
      </c>
      <c r="BG363" t="e" vm="2">
        <f t="shared" si="21"/>
        <v>#VALUE!</v>
      </c>
      <c r="BJ363" s="21" t="e" vm="1">
        <v>#REF!</v>
      </c>
      <c r="BK363" t="e" vm="1">
        <v>#REF!</v>
      </c>
      <c r="BM363" t="e" vm="2">
        <f t="shared" si="22"/>
        <v>#VALUE!</v>
      </c>
      <c r="BN363" t="e" vm="2">
        <f t="shared" si="23"/>
        <v>#VALUE!</v>
      </c>
    </row>
    <row r="364" spans="1:66" x14ac:dyDescent="0.2">
      <c r="A364" s="21">
        <f>Prices!A363</f>
        <v>36770</v>
      </c>
      <c r="BC364" s="21" t="e" vm="1">
        <v>#REF!</v>
      </c>
      <c r="BD364" t="e" vm="1">
        <v>#REF!</v>
      </c>
      <c r="BF364" t="e" vm="2">
        <f t="shared" si="20"/>
        <v>#VALUE!</v>
      </c>
      <c r="BG364" t="e" vm="2">
        <f t="shared" si="21"/>
        <v>#VALUE!</v>
      </c>
      <c r="BJ364" s="21" t="e" vm="1">
        <v>#REF!</v>
      </c>
      <c r="BK364" t="e" vm="1">
        <v>#REF!</v>
      </c>
      <c r="BM364" t="e" vm="2">
        <f t="shared" si="22"/>
        <v>#VALUE!</v>
      </c>
      <c r="BN364" t="e" vm="2">
        <f t="shared" si="23"/>
        <v>#VALUE!</v>
      </c>
    </row>
    <row r="365" spans="1:66" x14ac:dyDescent="0.2">
      <c r="A365" s="21">
        <f>Prices!A364</f>
        <v>36800</v>
      </c>
      <c r="BC365" s="21" t="e" vm="1">
        <v>#REF!</v>
      </c>
      <c r="BD365" t="e" vm="1">
        <v>#REF!</v>
      </c>
      <c r="BF365" t="e" vm="2">
        <f t="shared" si="20"/>
        <v>#VALUE!</v>
      </c>
      <c r="BG365" t="e" vm="2">
        <f t="shared" si="21"/>
        <v>#VALUE!</v>
      </c>
      <c r="BJ365" s="21" t="e" vm="1">
        <v>#REF!</v>
      </c>
      <c r="BK365" t="e" vm="1">
        <v>#REF!</v>
      </c>
      <c r="BM365" t="e" vm="2">
        <f t="shared" si="22"/>
        <v>#VALUE!</v>
      </c>
      <c r="BN365" t="e" vm="2">
        <f t="shared" si="23"/>
        <v>#VALUE!</v>
      </c>
    </row>
    <row r="366" spans="1:66" x14ac:dyDescent="0.2">
      <c r="A366" s="21">
        <f>Prices!A365</f>
        <v>36831</v>
      </c>
      <c r="BC366" s="21" t="e" vm="1">
        <v>#REF!</v>
      </c>
      <c r="BD366" t="e" vm="1">
        <v>#REF!</v>
      </c>
      <c r="BF366" t="e" vm="2">
        <f t="shared" si="20"/>
        <v>#VALUE!</v>
      </c>
      <c r="BG366" t="e" vm="2">
        <f t="shared" si="21"/>
        <v>#VALUE!</v>
      </c>
      <c r="BJ366" s="21" t="e" vm="1">
        <v>#REF!</v>
      </c>
      <c r="BK366" t="e" vm="1">
        <v>#REF!</v>
      </c>
      <c r="BM366" t="e" vm="2">
        <f t="shared" si="22"/>
        <v>#VALUE!</v>
      </c>
      <c r="BN366" t="e" vm="2">
        <f t="shared" si="23"/>
        <v>#VALUE!</v>
      </c>
    </row>
    <row r="367" spans="1:66" x14ac:dyDescent="0.2">
      <c r="A367" s="21">
        <f>Prices!A366</f>
        <v>36861</v>
      </c>
      <c r="BC367" s="21" t="e" vm="1">
        <v>#REF!</v>
      </c>
      <c r="BD367" t="e" vm="1">
        <v>#REF!</v>
      </c>
      <c r="BF367" t="e" vm="2">
        <f t="shared" si="20"/>
        <v>#VALUE!</v>
      </c>
      <c r="BG367" t="e" vm="2">
        <f t="shared" si="21"/>
        <v>#VALUE!</v>
      </c>
      <c r="BJ367" s="21" t="e" vm="1">
        <v>#REF!</v>
      </c>
      <c r="BK367" t="e" vm="1">
        <v>#REF!</v>
      </c>
      <c r="BM367" t="e" vm="2">
        <f t="shared" si="22"/>
        <v>#VALUE!</v>
      </c>
      <c r="BN367" t="e" vm="2">
        <f t="shared" si="23"/>
        <v>#VALUE!</v>
      </c>
    </row>
    <row r="368" spans="1:66" x14ac:dyDescent="0.2">
      <c r="A368" s="21">
        <f>Prices!A367</f>
        <v>36892</v>
      </c>
      <c r="BC368" s="21" t="e" vm="1">
        <v>#REF!</v>
      </c>
      <c r="BD368" t="e" vm="1">
        <v>#REF!</v>
      </c>
      <c r="BF368" t="e" vm="2">
        <f t="shared" si="20"/>
        <v>#VALUE!</v>
      </c>
      <c r="BG368" t="e" vm="2">
        <f t="shared" si="21"/>
        <v>#VALUE!</v>
      </c>
      <c r="BJ368" s="21" t="e" vm="1">
        <v>#REF!</v>
      </c>
      <c r="BK368" t="e" vm="1">
        <v>#REF!</v>
      </c>
      <c r="BM368" t="e" vm="2">
        <f t="shared" si="22"/>
        <v>#VALUE!</v>
      </c>
      <c r="BN368" t="e" vm="2">
        <f t="shared" si="23"/>
        <v>#VALUE!</v>
      </c>
    </row>
    <row r="369" spans="1:66" x14ac:dyDescent="0.2">
      <c r="A369" s="21">
        <f>Prices!A368</f>
        <v>36923</v>
      </c>
      <c r="BC369" s="21" t="e" vm="1">
        <v>#REF!</v>
      </c>
      <c r="BD369" t="e" vm="1">
        <v>#REF!</v>
      </c>
      <c r="BF369" t="e" vm="2">
        <f t="shared" si="20"/>
        <v>#VALUE!</v>
      </c>
      <c r="BG369" t="e" vm="2">
        <f t="shared" si="21"/>
        <v>#VALUE!</v>
      </c>
      <c r="BJ369" s="21" t="e" vm="1">
        <v>#REF!</v>
      </c>
      <c r="BK369" t="e" vm="1">
        <v>#REF!</v>
      </c>
      <c r="BM369" t="e" vm="2">
        <f t="shared" si="22"/>
        <v>#VALUE!</v>
      </c>
      <c r="BN369" t="e" vm="2">
        <f t="shared" si="23"/>
        <v>#VALUE!</v>
      </c>
    </row>
    <row r="370" spans="1:66" x14ac:dyDescent="0.2">
      <c r="A370" s="21">
        <f>Prices!A369</f>
        <v>36951</v>
      </c>
      <c r="BC370" s="21" t="e" vm="1">
        <v>#REF!</v>
      </c>
      <c r="BD370" t="e" vm="1">
        <v>#REF!</v>
      </c>
      <c r="BF370" t="e" vm="2">
        <f t="shared" si="20"/>
        <v>#VALUE!</v>
      </c>
      <c r="BG370" t="e" vm="2">
        <f t="shared" si="21"/>
        <v>#VALUE!</v>
      </c>
      <c r="BJ370" s="21" t="e" vm="1">
        <v>#REF!</v>
      </c>
      <c r="BK370" t="e" vm="1">
        <v>#REF!</v>
      </c>
      <c r="BM370" t="e" vm="2">
        <f t="shared" si="22"/>
        <v>#VALUE!</v>
      </c>
      <c r="BN370" t="e" vm="2">
        <f t="shared" si="23"/>
        <v>#VALUE!</v>
      </c>
    </row>
    <row r="371" spans="1:66" x14ac:dyDescent="0.2">
      <c r="A371" s="21">
        <f>Prices!A370</f>
        <v>36982</v>
      </c>
      <c r="BC371" s="21" t="e" vm="1">
        <v>#REF!</v>
      </c>
      <c r="BD371" t="e" vm="1">
        <v>#REF!</v>
      </c>
      <c r="BF371" t="e" vm="2">
        <f t="shared" si="20"/>
        <v>#VALUE!</v>
      </c>
      <c r="BG371" t="e" vm="2">
        <f t="shared" si="21"/>
        <v>#VALUE!</v>
      </c>
      <c r="BJ371" s="21" t="e" vm="1">
        <v>#REF!</v>
      </c>
      <c r="BK371" t="e" vm="1">
        <v>#REF!</v>
      </c>
      <c r="BM371" t="e" vm="2">
        <f t="shared" si="22"/>
        <v>#VALUE!</v>
      </c>
      <c r="BN371" t="e" vm="2">
        <f t="shared" si="23"/>
        <v>#VALUE!</v>
      </c>
    </row>
    <row r="372" spans="1:66" x14ac:dyDescent="0.2">
      <c r="A372" s="21">
        <f>Prices!A371</f>
        <v>37012</v>
      </c>
      <c r="BC372" s="21" t="e" vm="1">
        <v>#REF!</v>
      </c>
      <c r="BD372" t="e" vm="1">
        <v>#REF!</v>
      </c>
      <c r="BF372" t="e" vm="2">
        <f t="shared" si="20"/>
        <v>#VALUE!</v>
      </c>
      <c r="BG372" t="e" vm="2">
        <f t="shared" si="21"/>
        <v>#VALUE!</v>
      </c>
      <c r="BJ372" s="21" t="e" vm="1">
        <v>#REF!</v>
      </c>
      <c r="BK372" t="e" vm="1">
        <v>#REF!</v>
      </c>
      <c r="BM372" t="e" vm="2">
        <f t="shared" si="22"/>
        <v>#VALUE!</v>
      </c>
      <c r="BN372" t="e" vm="2">
        <f t="shared" si="23"/>
        <v>#VALUE!</v>
      </c>
    </row>
    <row r="373" spans="1:66" x14ac:dyDescent="0.2">
      <c r="A373" s="21">
        <f>Prices!A372</f>
        <v>37043</v>
      </c>
      <c r="BC373" s="21" t="e" vm="1">
        <v>#REF!</v>
      </c>
      <c r="BD373" t="e" vm="1">
        <v>#REF!</v>
      </c>
      <c r="BF373" t="e" vm="2">
        <f t="shared" si="20"/>
        <v>#VALUE!</v>
      </c>
      <c r="BG373" t="e" vm="2">
        <f t="shared" si="21"/>
        <v>#VALUE!</v>
      </c>
      <c r="BJ373" s="21" t="e" vm="1">
        <v>#REF!</v>
      </c>
      <c r="BK373" t="e" vm="1">
        <v>#REF!</v>
      </c>
      <c r="BM373" t="e" vm="2">
        <f t="shared" si="22"/>
        <v>#VALUE!</v>
      </c>
      <c r="BN373" t="e" vm="2">
        <f t="shared" si="23"/>
        <v>#VALUE!</v>
      </c>
    </row>
    <row r="374" spans="1:66" x14ac:dyDescent="0.2">
      <c r="A374" s="21">
        <f>Prices!A373</f>
        <v>37073</v>
      </c>
      <c r="BC374" s="21" t="e" vm="1">
        <v>#REF!</v>
      </c>
      <c r="BD374" t="e" vm="1">
        <v>#REF!</v>
      </c>
      <c r="BF374" t="e" vm="2">
        <f t="shared" si="20"/>
        <v>#VALUE!</v>
      </c>
      <c r="BG374" t="e" vm="2">
        <f t="shared" si="21"/>
        <v>#VALUE!</v>
      </c>
      <c r="BJ374" s="21" t="e" vm="1">
        <v>#REF!</v>
      </c>
      <c r="BK374" t="e" vm="1">
        <v>#REF!</v>
      </c>
      <c r="BM374" t="e" vm="2">
        <f t="shared" si="22"/>
        <v>#VALUE!</v>
      </c>
      <c r="BN374" t="e" vm="2">
        <f t="shared" si="23"/>
        <v>#VALUE!</v>
      </c>
    </row>
    <row r="375" spans="1:66" x14ac:dyDescent="0.2">
      <c r="A375" s="21">
        <f>Prices!A374</f>
        <v>37104</v>
      </c>
      <c r="BC375" s="21" t="e" vm="1">
        <v>#REF!</v>
      </c>
      <c r="BD375" t="e" vm="1">
        <v>#REF!</v>
      </c>
      <c r="BF375" t="e" vm="2">
        <f t="shared" si="20"/>
        <v>#VALUE!</v>
      </c>
      <c r="BG375" t="e" vm="2">
        <f t="shared" si="21"/>
        <v>#VALUE!</v>
      </c>
      <c r="BJ375" s="21" t="e" vm="1">
        <v>#REF!</v>
      </c>
      <c r="BK375" t="e" vm="1">
        <v>#REF!</v>
      </c>
      <c r="BM375" t="e" vm="2">
        <f t="shared" si="22"/>
        <v>#VALUE!</v>
      </c>
      <c r="BN375" t="e" vm="2">
        <f t="shared" si="23"/>
        <v>#VALUE!</v>
      </c>
    </row>
    <row r="376" spans="1:66" x14ac:dyDescent="0.2">
      <c r="A376" s="21">
        <f>Prices!A375</f>
        <v>37135</v>
      </c>
      <c r="BC376" s="21" t="e" vm="1">
        <v>#REF!</v>
      </c>
      <c r="BD376" t="e" vm="1">
        <v>#REF!</v>
      </c>
      <c r="BF376" t="e" vm="2">
        <f t="shared" si="20"/>
        <v>#VALUE!</v>
      </c>
      <c r="BG376" t="e" vm="2">
        <f t="shared" si="21"/>
        <v>#VALUE!</v>
      </c>
      <c r="BJ376" s="21" t="e" vm="1">
        <v>#REF!</v>
      </c>
      <c r="BK376" t="e" vm="1">
        <v>#REF!</v>
      </c>
      <c r="BM376" t="e" vm="2">
        <f t="shared" si="22"/>
        <v>#VALUE!</v>
      </c>
      <c r="BN376" t="e" vm="2">
        <f t="shared" si="23"/>
        <v>#VALUE!</v>
      </c>
    </row>
    <row r="377" spans="1:66" x14ac:dyDescent="0.2">
      <c r="A377" s="21">
        <f>Prices!A376</f>
        <v>37165</v>
      </c>
      <c r="BC377" s="21" t="e" vm="1">
        <v>#REF!</v>
      </c>
      <c r="BD377" t="e" vm="1">
        <v>#REF!</v>
      </c>
      <c r="BF377" t="e" vm="2">
        <f t="shared" si="20"/>
        <v>#VALUE!</v>
      </c>
      <c r="BG377" t="e" vm="2">
        <f t="shared" si="21"/>
        <v>#VALUE!</v>
      </c>
      <c r="BJ377" s="21" t="e" vm="1">
        <v>#REF!</v>
      </c>
      <c r="BK377" t="e" vm="1">
        <v>#REF!</v>
      </c>
      <c r="BM377" t="e" vm="2">
        <f t="shared" si="22"/>
        <v>#VALUE!</v>
      </c>
      <c r="BN377" t="e" vm="2">
        <f t="shared" si="23"/>
        <v>#VALUE!</v>
      </c>
    </row>
    <row r="378" spans="1:66" x14ac:dyDescent="0.2">
      <c r="A378" s="21">
        <f>Prices!A377</f>
        <v>37196</v>
      </c>
      <c r="BC378" s="21" t="e" vm="1">
        <v>#REF!</v>
      </c>
      <c r="BD378" t="e" vm="1">
        <v>#REF!</v>
      </c>
      <c r="BF378" t="e" vm="2">
        <f t="shared" si="20"/>
        <v>#VALUE!</v>
      </c>
      <c r="BG378" t="e" vm="2">
        <f t="shared" si="21"/>
        <v>#VALUE!</v>
      </c>
      <c r="BJ378" s="21" t="e" vm="1">
        <v>#REF!</v>
      </c>
      <c r="BK378" t="e" vm="1">
        <v>#REF!</v>
      </c>
      <c r="BM378" t="e" vm="2">
        <f t="shared" si="22"/>
        <v>#VALUE!</v>
      </c>
      <c r="BN378" t="e" vm="2">
        <f t="shared" si="23"/>
        <v>#VALUE!</v>
      </c>
    </row>
    <row r="379" spans="1:66" x14ac:dyDescent="0.2">
      <c r="A379" s="21">
        <f>Prices!A378</f>
        <v>37226</v>
      </c>
      <c r="BC379" s="21" t="e" vm="1">
        <v>#REF!</v>
      </c>
      <c r="BD379" t="e" vm="1">
        <v>#REF!</v>
      </c>
      <c r="BF379" t="e" vm="2">
        <f t="shared" si="20"/>
        <v>#VALUE!</v>
      </c>
      <c r="BG379" t="e" vm="2">
        <f t="shared" si="21"/>
        <v>#VALUE!</v>
      </c>
      <c r="BJ379" s="21" t="e" vm="1">
        <v>#REF!</v>
      </c>
      <c r="BK379" t="e" vm="1">
        <v>#REF!</v>
      </c>
      <c r="BM379" t="e" vm="2">
        <f t="shared" si="22"/>
        <v>#VALUE!</v>
      </c>
      <c r="BN379" t="e" vm="2">
        <f t="shared" si="23"/>
        <v>#VALUE!</v>
      </c>
    </row>
    <row r="380" spans="1:66" x14ac:dyDescent="0.2">
      <c r="A380" s="21">
        <f>Prices!A379</f>
        <v>37257</v>
      </c>
      <c r="BC380" s="21" t="e" vm="1">
        <v>#REF!</v>
      </c>
      <c r="BD380" t="e" vm="1">
        <v>#REF!</v>
      </c>
      <c r="BF380" t="e" vm="2">
        <f t="shared" si="20"/>
        <v>#VALUE!</v>
      </c>
      <c r="BG380" t="e" vm="2">
        <f t="shared" si="21"/>
        <v>#VALUE!</v>
      </c>
      <c r="BJ380" s="21" t="e" vm="1">
        <v>#REF!</v>
      </c>
      <c r="BK380" t="e" vm="1">
        <v>#REF!</v>
      </c>
      <c r="BM380" t="e" vm="2">
        <f t="shared" si="22"/>
        <v>#VALUE!</v>
      </c>
      <c r="BN380" t="e" vm="2">
        <f t="shared" si="23"/>
        <v>#VALUE!</v>
      </c>
    </row>
    <row r="381" spans="1:66" x14ac:dyDescent="0.2">
      <c r="A381" s="21">
        <f>Prices!A380</f>
        <v>37288</v>
      </c>
      <c r="BC381" s="21" t="e" vm="1">
        <v>#REF!</v>
      </c>
      <c r="BD381" t="e" vm="1">
        <v>#REF!</v>
      </c>
      <c r="BF381" t="e" vm="2">
        <f t="shared" si="20"/>
        <v>#VALUE!</v>
      </c>
      <c r="BG381" t="e" vm="2">
        <f t="shared" si="21"/>
        <v>#VALUE!</v>
      </c>
      <c r="BJ381" s="21" t="e" vm="1">
        <v>#REF!</v>
      </c>
      <c r="BK381" t="e" vm="1">
        <v>#REF!</v>
      </c>
      <c r="BM381" t="e" vm="2">
        <f t="shared" si="22"/>
        <v>#VALUE!</v>
      </c>
      <c r="BN381" t="e" vm="2">
        <f t="shared" si="23"/>
        <v>#VALUE!</v>
      </c>
    </row>
    <row r="382" spans="1:66" x14ac:dyDescent="0.2">
      <c r="A382" s="21">
        <f>Prices!A381</f>
        <v>37316</v>
      </c>
      <c r="BC382" s="21" t="e" vm="1">
        <v>#REF!</v>
      </c>
      <c r="BD382" t="e" vm="1">
        <v>#REF!</v>
      </c>
      <c r="BF382" t="e" vm="2">
        <f t="shared" si="20"/>
        <v>#VALUE!</v>
      </c>
      <c r="BG382" t="e" vm="2">
        <f t="shared" si="21"/>
        <v>#VALUE!</v>
      </c>
      <c r="BJ382" s="21" t="e" vm="1">
        <v>#REF!</v>
      </c>
      <c r="BK382" t="e" vm="1">
        <v>#REF!</v>
      </c>
      <c r="BM382" t="e" vm="2">
        <f t="shared" si="22"/>
        <v>#VALUE!</v>
      </c>
      <c r="BN382" t="e" vm="2">
        <f t="shared" si="23"/>
        <v>#VALUE!</v>
      </c>
    </row>
    <row r="383" spans="1:66" x14ac:dyDescent="0.2">
      <c r="A383" s="21">
        <f>Prices!A382</f>
        <v>37347</v>
      </c>
      <c r="BC383" s="21" t="e" vm="1">
        <v>#REF!</v>
      </c>
      <c r="BD383" t="e" vm="1">
        <v>#REF!</v>
      </c>
      <c r="BF383" t="e" vm="2">
        <f t="shared" si="20"/>
        <v>#VALUE!</v>
      </c>
      <c r="BG383" t="e" vm="2">
        <f t="shared" si="21"/>
        <v>#VALUE!</v>
      </c>
      <c r="BJ383" s="21" t="e" vm="1">
        <v>#REF!</v>
      </c>
      <c r="BK383" t="e" vm="1">
        <v>#REF!</v>
      </c>
      <c r="BM383" t="e" vm="2">
        <f t="shared" si="22"/>
        <v>#VALUE!</v>
      </c>
      <c r="BN383" t="e" vm="2">
        <f t="shared" si="23"/>
        <v>#VALUE!</v>
      </c>
    </row>
    <row r="384" spans="1:66" x14ac:dyDescent="0.2">
      <c r="A384" s="21">
        <f>Prices!A383</f>
        <v>37377</v>
      </c>
      <c r="BC384" s="21" t="e" vm="1">
        <v>#REF!</v>
      </c>
      <c r="BD384" t="e" vm="1">
        <v>#REF!</v>
      </c>
      <c r="BF384" t="e" vm="2">
        <f t="shared" si="20"/>
        <v>#VALUE!</v>
      </c>
      <c r="BG384" t="e" vm="2">
        <f t="shared" si="21"/>
        <v>#VALUE!</v>
      </c>
      <c r="BJ384" s="21" t="e" vm="1">
        <v>#REF!</v>
      </c>
      <c r="BK384" t="e" vm="1">
        <v>#REF!</v>
      </c>
      <c r="BM384" t="e" vm="2">
        <f t="shared" si="22"/>
        <v>#VALUE!</v>
      </c>
      <c r="BN384" t="e" vm="2">
        <f t="shared" si="23"/>
        <v>#VALUE!</v>
      </c>
    </row>
    <row r="385" spans="1:73" x14ac:dyDescent="0.2">
      <c r="A385" s="21">
        <f>Prices!A384</f>
        <v>37408</v>
      </c>
      <c r="BC385" s="21" t="e" vm="1">
        <v>#REF!</v>
      </c>
      <c r="BD385" t="e" vm="1">
        <v>#REF!</v>
      </c>
      <c r="BF385" t="e" vm="2">
        <f t="shared" si="20"/>
        <v>#VALUE!</v>
      </c>
      <c r="BG385" t="e" vm="2">
        <f t="shared" si="21"/>
        <v>#VALUE!</v>
      </c>
      <c r="BJ385" s="21" t="e" vm="1">
        <v>#REF!</v>
      </c>
      <c r="BK385" t="e" vm="1">
        <v>#REF!</v>
      </c>
      <c r="BM385" t="e" vm="2">
        <f t="shared" si="22"/>
        <v>#VALUE!</v>
      </c>
      <c r="BN385" t="e" vm="2">
        <f t="shared" si="23"/>
        <v>#VALUE!</v>
      </c>
    </row>
    <row r="386" spans="1:73" x14ac:dyDescent="0.2">
      <c r="A386" s="21">
        <f>Prices!A385</f>
        <v>37438</v>
      </c>
      <c r="BC386" s="21" t="e" vm="1">
        <v>#REF!</v>
      </c>
      <c r="BD386" t="e" vm="1">
        <v>#REF!</v>
      </c>
      <c r="BF386" t="e" vm="2">
        <f t="shared" si="20"/>
        <v>#VALUE!</v>
      </c>
      <c r="BG386" t="e" vm="2">
        <f t="shared" si="21"/>
        <v>#VALUE!</v>
      </c>
      <c r="BJ386" s="21" t="e" vm="1">
        <v>#REF!</v>
      </c>
      <c r="BK386" t="e" vm="1">
        <v>#REF!</v>
      </c>
      <c r="BM386" t="e" vm="2">
        <f t="shared" si="22"/>
        <v>#VALUE!</v>
      </c>
      <c r="BN386" t="e" vm="2">
        <f t="shared" si="23"/>
        <v>#VALUE!</v>
      </c>
    </row>
    <row r="387" spans="1:73" x14ac:dyDescent="0.2">
      <c r="A387" s="21">
        <f>Prices!A386</f>
        <v>37469</v>
      </c>
      <c r="BC387" s="21" t="e" vm="1">
        <v>#REF!</v>
      </c>
      <c r="BD387" t="e" vm="1">
        <v>#REF!</v>
      </c>
      <c r="BF387" t="e" vm="2">
        <f t="shared" ref="BF387:BF450" si="24">MONTH(BC387)</f>
        <v>#VALUE!</v>
      </c>
      <c r="BG387" t="e" vm="2">
        <f t="shared" ref="BG387:BG450" si="25">YEAR(BC387)</f>
        <v>#VALUE!</v>
      </c>
      <c r="BJ387" s="21" t="e" vm="1">
        <v>#REF!</v>
      </c>
      <c r="BK387" t="e" vm="1">
        <v>#REF!</v>
      </c>
      <c r="BM387" t="e" vm="2">
        <f t="shared" si="22"/>
        <v>#VALUE!</v>
      </c>
      <c r="BN387" t="e" vm="2">
        <f t="shared" si="23"/>
        <v>#VALUE!</v>
      </c>
    </row>
    <row r="388" spans="1:73" x14ac:dyDescent="0.2">
      <c r="A388" s="21">
        <f>Prices!A387</f>
        <v>37500</v>
      </c>
      <c r="AQ388" s="27"/>
      <c r="BC388" s="21" t="e" vm="1">
        <v>#REF!</v>
      </c>
      <c r="BD388" t="e" vm="1">
        <v>#REF!</v>
      </c>
      <c r="BF388" t="e" vm="2">
        <f t="shared" si="24"/>
        <v>#VALUE!</v>
      </c>
      <c r="BG388" t="e" vm="2">
        <f t="shared" si="25"/>
        <v>#VALUE!</v>
      </c>
      <c r="BJ388" s="21" t="e" vm="1">
        <v>#REF!</v>
      </c>
      <c r="BK388" t="e" vm="1">
        <v>#REF!</v>
      </c>
      <c r="BM388" t="e" vm="2">
        <f t="shared" ref="BM388:BM451" si="26">MONTH(BJ388)</f>
        <v>#VALUE!</v>
      </c>
      <c r="BN388" t="e" vm="2">
        <f t="shared" ref="BN388:BN451" si="27">YEAR(BJ388)</f>
        <v>#VALUE!</v>
      </c>
    </row>
    <row r="389" spans="1:73" x14ac:dyDescent="0.2">
      <c r="A389" s="21">
        <f>Prices!A388</f>
        <v>37530</v>
      </c>
      <c r="AQ389" s="27"/>
      <c r="BC389" s="21" t="e" vm="1">
        <v>#REF!</v>
      </c>
      <c r="BD389" t="e" vm="1">
        <v>#REF!</v>
      </c>
      <c r="BF389" t="e" vm="2">
        <f t="shared" si="24"/>
        <v>#VALUE!</v>
      </c>
      <c r="BG389" t="e" vm="2">
        <f t="shared" si="25"/>
        <v>#VALUE!</v>
      </c>
      <c r="BJ389" s="21" t="e" vm="1">
        <v>#REF!</v>
      </c>
      <c r="BK389" t="e" vm="1">
        <v>#REF!</v>
      </c>
      <c r="BM389" t="e" vm="2">
        <f t="shared" si="26"/>
        <v>#VALUE!</v>
      </c>
      <c r="BN389" t="e" vm="2">
        <f t="shared" si="27"/>
        <v>#VALUE!</v>
      </c>
    </row>
    <row r="390" spans="1:73" x14ac:dyDescent="0.2">
      <c r="A390" s="21">
        <f>Prices!A389</f>
        <v>37561</v>
      </c>
      <c r="AQ390" s="27"/>
      <c r="BC390" s="21" t="e" vm="1">
        <v>#REF!</v>
      </c>
      <c r="BD390" t="e" vm="1">
        <v>#REF!</v>
      </c>
      <c r="BF390" t="e" vm="2">
        <f t="shared" si="24"/>
        <v>#VALUE!</v>
      </c>
      <c r="BG390" t="e" vm="2">
        <f t="shared" si="25"/>
        <v>#VALUE!</v>
      </c>
      <c r="BJ390" s="21" t="e" vm="1">
        <v>#REF!</v>
      </c>
      <c r="BK390" t="e" vm="1">
        <v>#REF!</v>
      </c>
      <c r="BM390" t="e" vm="2">
        <f t="shared" si="26"/>
        <v>#VALUE!</v>
      </c>
      <c r="BN390" t="e" vm="2">
        <f t="shared" si="27"/>
        <v>#VALUE!</v>
      </c>
    </row>
    <row r="391" spans="1:73" x14ac:dyDescent="0.2">
      <c r="A391" s="21">
        <f>Prices!A390</f>
        <v>37591</v>
      </c>
      <c r="AQ391" s="27"/>
      <c r="BC391" s="21" t="e" vm="1">
        <v>#REF!</v>
      </c>
      <c r="BD391" t="e" vm="1">
        <v>#REF!</v>
      </c>
      <c r="BF391" t="e" vm="2">
        <f t="shared" si="24"/>
        <v>#VALUE!</v>
      </c>
      <c r="BG391" t="e" vm="2">
        <f t="shared" si="25"/>
        <v>#VALUE!</v>
      </c>
      <c r="BJ391" s="21" t="e" vm="1">
        <v>#REF!</v>
      </c>
      <c r="BK391" t="e" vm="1">
        <v>#REF!</v>
      </c>
      <c r="BM391" t="e" vm="2">
        <f t="shared" si="26"/>
        <v>#VALUE!</v>
      </c>
      <c r="BN391" t="e" vm="2">
        <f t="shared" si="27"/>
        <v>#VALUE!</v>
      </c>
    </row>
    <row r="392" spans="1:73" x14ac:dyDescent="0.2">
      <c r="A392" s="25">
        <f>Prices!A391</f>
        <v>37622</v>
      </c>
      <c r="B392" s="26"/>
      <c r="C392" s="26"/>
      <c r="D392" s="26"/>
      <c r="E392" s="26"/>
      <c r="F392" s="26"/>
      <c r="G392" s="26"/>
      <c r="H392" s="26"/>
      <c r="I392" s="26"/>
      <c r="J392" s="26"/>
      <c r="AI392" s="26"/>
      <c r="AJ392" s="26"/>
      <c r="AK392" s="26"/>
      <c r="AL392" s="26"/>
      <c r="AM392" s="26"/>
      <c r="AN392" s="26"/>
      <c r="AO392" s="26"/>
      <c r="AR392" s="26"/>
      <c r="AS392" s="26"/>
      <c r="AT392" s="26"/>
      <c r="AU392" s="26"/>
      <c r="AV392" s="26"/>
      <c r="BA392" s="26"/>
      <c r="BB392" s="26"/>
      <c r="BC392" s="25" t="e" vm="1">
        <v>#REF!</v>
      </c>
      <c r="BD392" s="26" t="e" vm="1">
        <v>#REF!</v>
      </c>
      <c r="BE392" s="26"/>
      <c r="BF392" s="26" t="e" vm="2">
        <f t="shared" si="24"/>
        <v>#VALUE!</v>
      </c>
      <c r="BG392" s="26" t="e" vm="2">
        <f t="shared" si="25"/>
        <v>#VALUE!</v>
      </c>
      <c r="BH392" s="26"/>
      <c r="BI392" s="26"/>
      <c r="BJ392" s="21" t="e" vm="1">
        <v>#REF!</v>
      </c>
      <c r="BK392" s="26" t="e" vm="1">
        <v>#REF!</v>
      </c>
      <c r="BL392" s="26"/>
      <c r="BM392" t="e" vm="2">
        <f t="shared" si="26"/>
        <v>#VALUE!</v>
      </c>
      <c r="BN392" t="e" vm="2">
        <f t="shared" si="27"/>
        <v>#VALUE!</v>
      </c>
      <c r="BO392" s="26"/>
      <c r="BP392" s="26"/>
      <c r="BQ392" s="26"/>
      <c r="BR392" s="25">
        <v>36526</v>
      </c>
      <c r="BS392" s="26">
        <f>MONTH(BR392)</f>
        <v>1</v>
      </c>
      <c r="BT392" s="26">
        <f>YEAR(BR392)</f>
        <v>2000</v>
      </c>
      <c r="BU392" s="26" t="e">
        <f t="shared" ref="BU392:BU455" si="28">AVERAGEIFS($BK$3:$BK$5500,$BM$3:$BM$5500,BS392,$BN$3:$BN$5500,BT392)</f>
        <v>#DIV/0!</v>
      </c>
    </row>
    <row r="393" spans="1:73" x14ac:dyDescent="0.2">
      <c r="A393" s="25">
        <f>Prices!A392</f>
        <v>37653</v>
      </c>
      <c r="B393" s="26"/>
      <c r="C393" s="26"/>
      <c r="D393" s="26"/>
      <c r="E393" s="26"/>
      <c r="F393" s="26"/>
      <c r="G393" s="26"/>
      <c r="H393" s="26"/>
      <c r="I393" s="26"/>
      <c r="J393" s="26"/>
      <c r="AI393" s="26"/>
      <c r="AJ393" s="26"/>
      <c r="AK393" s="26"/>
      <c r="AL393" s="26"/>
      <c r="AM393" s="26"/>
      <c r="AN393" s="26"/>
      <c r="AO393" s="26"/>
      <c r="AR393" s="26"/>
      <c r="AS393" s="26"/>
      <c r="AT393" s="26"/>
      <c r="AU393" s="26"/>
      <c r="AV393" s="26"/>
      <c r="BA393" s="26"/>
      <c r="BB393" s="26"/>
      <c r="BC393" s="25" t="e" vm="1">
        <v>#REF!</v>
      </c>
      <c r="BD393" s="26" t="e" vm="1">
        <v>#REF!</v>
      </c>
      <c r="BE393" s="26"/>
      <c r="BF393" s="26" t="e" vm="2">
        <f t="shared" si="24"/>
        <v>#VALUE!</v>
      </c>
      <c r="BG393" s="26" t="e" vm="2">
        <f t="shared" si="25"/>
        <v>#VALUE!</v>
      </c>
      <c r="BH393" s="26"/>
      <c r="BI393" s="26"/>
      <c r="BJ393" s="21" t="e" vm="1">
        <v>#REF!</v>
      </c>
      <c r="BK393" s="26" t="e" vm="1">
        <v>#REF!</v>
      </c>
      <c r="BL393" s="26"/>
      <c r="BM393" t="e" vm="2">
        <f t="shared" si="26"/>
        <v>#VALUE!</v>
      </c>
      <c r="BN393" t="e" vm="2">
        <f t="shared" si="27"/>
        <v>#VALUE!</v>
      </c>
      <c r="BO393" s="26"/>
      <c r="BP393" s="26"/>
      <c r="BQ393" s="26"/>
      <c r="BR393" s="25">
        <v>36557</v>
      </c>
      <c r="BS393" s="26">
        <f t="shared" ref="BS393:BS456" si="29">MONTH(BR393)</f>
        <v>2</v>
      </c>
      <c r="BT393" s="26">
        <f t="shared" ref="BT393:BT456" si="30">YEAR(BR393)</f>
        <v>2000</v>
      </c>
      <c r="BU393" s="26" t="e">
        <f t="shared" si="28"/>
        <v>#DIV/0!</v>
      </c>
    </row>
    <row r="394" spans="1:73" x14ac:dyDescent="0.2">
      <c r="A394" s="25">
        <f>Prices!A393</f>
        <v>37681</v>
      </c>
      <c r="B394" s="26"/>
      <c r="C394" s="26"/>
      <c r="D394" s="26"/>
      <c r="E394" s="26"/>
      <c r="F394" s="26"/>
      <c r="G394" s="26"/>
      <c r="H394" s="26"/>
      <c r="I394" s="26"/>
      <c r="J394" s="26"/>
      <c r="AI394" s="26"/>
      <c r="AJ394" s="26"/>
      <c r="AK394" s="26"/>
      <c r="AL394" s="26"/>
      <c r="AM394" s="26"/>
      <c r="AN394" s="26"/>
      <c r="AO394" s="26"/>
      <c r="AR394" s="26"/>
      <c r="AS394" s="26"/>
      <c r="AT394" s="26"/>
      <c r="AU394" s="26"/>
      <c r="AV394" s="26"/>
      <c r="BA394" s="26"/>
      <c r="BB394" s="26"/>
      <c r="BC394" s="25" t="e" vm="1">
        <v>#REF!</v>
      </c>
      <c r="BD394" s="26" t="e" vm="1">
        <v>#REF!</v>
      </c>
      <c r="BE394" s="26"/>
      <c r="BF394" s="26" t="e" vm="2">
        <f t="shared" si="24"/>
        <v>#VALUE!</v>
      </c>
      <c r="BG394" s="26" t="e" vm="2">
        <f t="shared" si="25"/>
        <v>#VALUE!</v>
      </c>
      <c r="BH394" s="26"/>
      <c r="BI394" s="26"/>
      <c r="BJ394" s="21" t="e" vm="1">
        <v>#REF!</v>
      </c>
      <c r="BK394" s="26" t="e" vm="1">
        <v>#REF!</v>
      </c>
      <c r="BL394" s="26"/>
      <c r="BM394" t="e" vm="2">
        <f t="shared" si="26"/>
        <v>#VALUE!</v>
      </c>
      <c r="BN394" t="e" vm="2">
        <f t="shared" si="27"/>
        <v>#VALUE!</v>
      </c>
      <c r="BO394" s="26"/>
      <c r="BP394" s="26"/>
      <c r="BQ394" s="26"/>
      <c r="BR394" s="25">
        <v>36586</v>
      </c>
      <c r="BS394" s="26">
        <f t="shared" si="29"/>
        <v>3</v>
      </c>
      <c r="BT394" s="26">
        <f t="shared" si="30"/>
        <v>2000</v>
      </c>
      <c r="BU394" s="26" t="e">
        <f t="shared" si="28"/>
        <v>#DIV/0!</v>
      </c>
    </row>
    <row r="395" spans="1:73" x14ac:dyDescent="0.2">
      <c r="A395" s="25">
        <f>Prices!A394</f>
        <v>37712</v>
      </c>
      <c r="B395" s="26"/>
      <c r="C395" s="26"/>
      <c r="D395" s="26"/>
      <c r="E395" s="26"/>
      <c r="F395" s="26"/>
      <c r="G395" s="26"/>
      <c r="H395" s="26"/>
      <c r="I395" s="26"/>
      <c r="J395" s="26"/>
      <c r="AI395" s="26"/>
      <c r="AJ395" s="26"/>
      <c r="AK395" s="26"/>
      <c r="AL395" s="26"/>
      <c r="AM395" s="26"/>
      <c r="AN395" s="26"/>
      <c r="AO395" s="26"/>
      <c r="AR395" s="26"/>
      <c r="AS395" s="26"/>
      <c r="AT395" s="26"/>
      <c r="AU395" s="26"/>
      <c r="AV395" s="26"/>
      <c r="BA395" s="26"/>
      <c r="BB395" s="26"/>
      <c r="BC395" s="25" t="e" vm="1">
        <v>#REF!</v>
      </c>
      <c r="BD395" s="26" t="e" vm="1">
        <v>#REF!</v>
      </c>
      <c r="BE395" s="26"/>
      <c r="BF395" s="26" t="e" vm="2">
        <f t="shared" si="24"/>
        <v>#VALUE!</v>
      </c>
      <c r="BG395" s="26" t="e" vm="2">
        <f t="shared" si="25"/>
        <v>#VALUE!</v>
      </c>
      <c r="BH395" s="26"/>
      <c r="BI395" s="26"/>
      <c r="BJ395" s="21" t="e" vm="1">
        <v>#REF!</v>
      </c>
      <c r="BK395" s="26" t="e" vm="1">
        <v>#REF!</v>
      </c>
      <c r="BL395" s="26"/>
      <c r="BM395" t="e" vm="2">
        <f t="shared" si="26"/>
        <v>#VALUE!</v>
      </c>
      <c r="BN395" t="e" vm="2">
        <f t="shared" si="27"/>
        <v>#VALUE!</v>
      </c>
      <c r="BO395" s="26"/>
      <c r="BP395" s="26"/>
      <c r="BQ395" s="26"/>
      <c r="BR395" s="25">
        <v>36617</v>
      </c>
      <c r="BS395" s="26">
        <f t="shared" si="29"/>
        <v>4</v>
      </c>
      <c r="BT395" s="26">
        <f t="shared" si="30"/>
        <v>2000</v>
      </c>
      <c r="BU395" s="26" t="e">
        <f t="shared" si="28"/>
        <v>#DIV/0!</v>
      </c>
    </row>
    <row r="396" spans="1:73" x14ac:dyDescent="0.2">
      <c r="A396" s="25">
        <f>Prices!A395</f>
        <v>37742</v>
      </c>
      <c r="B396" s="26"/>
      <c r="C396" s="26"/>
      <c r="D396" s="26"/>
      <c r="E396" s="26"/>
      <c r="F396" s="26"/>
      <c r="G396" s="26"/>
      <c r="H396" s="26"/>
      <c r="I396" s="26"/>
      <c r="J396" s="26"/>
      <c r="AI396" s="26"/>
      <c r="AJ396" s="26"/>
      <c r="AK396" s="26"/>
      <c r="AL396" s="26"/>
      <c r="AM396" s="26"/>
      <c r="AN396" s="26"/>
      <c r="AO396" s="26"/>
      <c r="AR396" s="26"/>
      <c r="AS396" s="26"/>
      <c r="AT396" s="26"/>
      <c r="AU396" s="26"/>
      <c r="AV396" s="26"/>
      <c r="BA396" s="26"/>
      <c r="BB396" s="26"/>
      <c r="BC396" s="25" t="e" vm="1">
        <v>#REF!</v>
      </c>
      <c r="BD396" s="26" t="e" vm="1">
        <v>#REF!</v>
      </c>
      <c r="BE396" s="26"/>
      <c r="BF396" s="26" t="e" vm="2">
        <f t="shared" si="24"/>
        <v>#VALUE!</v>
      </c>
      <c r="BG396" s="26" t="e" vm="2">
        <f t="shared" si="25"/>
        <v>#VALUE!</v>
      </c>
      <c r="BH396" s="26"/>
      <c r="BI396" s="26"/>
      <c r="BJ396" s="21" t="e" vm="1">
        <v>#REF!</v>
      </c>
      <c r="BK396" s="26" t="e" vm="1">
        <v>#REF!</v>
      </c>
      <c r="BL396" s="26"/>
      <c r="BM396" t="e" vm="2">
        <f t="shared" si="26"/>
        <v>#VALUE!</v>
      </c>
      <c r="BN396" t="e" vm="2">
        <f t="shared" si="27"/>
        <v>#VALUE!</v>
      </c>
      <c r="BO396" s="26"/>
      <c r="BP396" s="26"/>
      <c r="BQ396" s="26"/>
      <c r="BR396" s="25">
        <v>36647</v>
      </c>
      <c r="BS396" s="26">
        <f t="shared" si="29"/>
        <v>5</v>
      </c>
      <c r="BT396" s="26">
        <f t="shared" si="30"/>
        <v>2000</v>
      </c>
      <c r="BU396" s="26" t="e">
        <f t="shared" si="28"/>
        <v>#DIV/0!</v>
      </c>
    </row>
    <row r="397" spans="1:73" x14ac:dyDescent="0.2">
      <c r="A397" s="25">
        <f>Prices!A396</f>
        <v>37773</v>
      </c>
      <c r="B397" s="26"/>
      <c r="C397" s="26"/>
      <c r="D397" s="26"/>
      <c r="E397" s="26"/>
      <c r="F397" s="26"/>
      <c r="G397" s="26"/>
      <c r="H397" s="26"/>
      <c r="I397" s="26"/>
      <c r="J397" s="26"/>
      <c r="AI397" s="26"/>
      <c r="AJ397" s="26"/>
      <c r="AK397" s="26"/>
      <c r="AL397" s="26"/>
      <c r="AM397" s="26"/>
      <c r="AN397" s="26"/>
      <c r="AO397" s="26"/>
      <c r="AR397" s="26"/>
      <c r="AS397" s="26"/>
      <c r="AT397" s="26"/>
      <c r="AU397" s="26"/>
      <c r="AV397" s="26"/>
      <c r="BA397" s="26"/>
      <c r="BB397" s="26"/>
      <c r="BC397" s="25" t="e" vm="1">
        <v>#REF!</v>
      </c>
      <c r="BD397" s="26" t="e" vm="1">
        <v>#REF!</v>
      </c>
      <c r="BE397" s="26"/>
      <c r="BF397" s="26" t="e" vm="2">
        <f t="shared" si="24"/>
        <v>#VALUE!</v>
      </c>
      <c r="BG397" s="26" t="e" vm="2">
        <f t="shared" si="25"/>
        <v>#VALUE!</v>
      </c>
      <c r="BH397" s="26"/>
      <c r="BI397" s="26"/>
      <c r="BJ397" s="21" t="e" vm="1">
        <v>#REF!</v>
      </c>
      <c r="BK397" s="26" t="e" vm="1">
        <v>#REF!</v>
      </c>
      <c r="BL397" s="26"/>
      <c r="BM397" t="e" vm="2">
        <f t="shared" si="26"/>
        <v>#VALUE!</v>
      </c>
      <c r="BN397" t="e" vm="2">
        <f t="shared" si="27"/>
        <v>#VALUE!</v>
      </c>
      <c r="BO397" s="26"/>
      <c r="BP397" s="26"/>
      <c r="BQ397" s="26"/>
      <c r="BR397" s="25">
        <v>36678</v>
      </c>
      <c r="BS397" s="26">
        <f t="shared" si="29"/>
        <v>6</v>
      </c>
      <c r="BT397" s="26">
        <f t="shared" si="30"/>
        <v>2000</v>
      </c>
      <c r="BU397" s="26" t="e">
        <f t="shared" si="28"/>
        <v>#DIV/0!</v>
      </c>
    </row>
    <row r="398" spans="1:73" x14ac:dyDescent="0.2">
      <c r="A398" s="25">
        <f>Prices!A397</f>
        <v>37803</v>
      </c>
      <c r="B398" s="26"/>
      <c r="C398" s="26"/>
      <c r="D398" s="26"/>
      <c r="E398" s="26"/>
      <c r="F398" s="26"/>
      <c r="G398" s="26"/>
      <c r="H398" s="26"/>
      <c r="I398" s="26"/>
      <c r="J398" s="26"/>
      <c r="AI398" s="26"/>
      <c r="AJ398" s="26"/>
      <c r="AK398" s="26"/>
      <c r="AL398" s="26"/>
      <c r="AM398" s="26"/>
      <c r="AN398" s="26"/>
      <c r="AO398" s="26"/>
      <c r="AQ398" s="71" t="s">
        <v>63</v>
      </c>
      <c r="AR398" s="26"/>
      <c r="AS398" s="26"/>
      <c r="AT398" s="26"/>
      <c r="AU398" s="26"/>
      <c r="AV398" s="26"/>
      <c r="BA398" s="26"/>
      <c r="BB398" s="26"/>
      <c r="BC398" s="25" t="e" vm="1">
        <v>#REF!</v>
      </c>
      <c r="BD398" s="26" t="e" vm="1">
        <v>#REF!</v>
      </c>
      <c r="BE398" s="26"/>
      <c r="BF398" s="26" t="e" vm="2">
        <f t="shared" si="24"/>
        <v>#VALUE!</v>
      </c>
      <c r="BG398" s="26" t="e" vm="2">
        <f t="shared" si="25"/>
        <v>#VALUE!</v>
      </c>
      <c r="BH398" s="26"/>
      <c r="BI398" s="26"/>
      <c r="BJ398" s="21" t="e" vm="1">
        <v>#REF!</v>
      </c>
      <c r="BK398" s="26" t="e" vm="1">
        <v>#REF!</v>
      </c>
      <c r="BL398" s="26"/>
      <c r="BM398" t="e" vm="2">
        <f t="shared" si="26"/>
        <v>#VALUE!</v>
      </c>
      <c r="BN398" t="e" vm="2">
        <f t="shared" si="27"/>
        <v>#VALUE!</v>
      </c>
      <c r="BO398" s="26"/>
      <c r="BP398" s="26"/>
      <c r="BQ398" s="26"/>
      <c r="BR398" s="25">
        <v>36708</v>
      </c>
      <c r="BS398" s="26">
        <f t="shared" si="29"/>
        <v>7</v>
      </c>
      <c r="BT398" s="26">
        <f t="shared" si="30"/>
        <v>2000</v>
      </c>
      <c r="BU398" s="26" t="e">
        <f t="shared" si="28"/>
        <v>#DIV/0!</v>
      </c>
    </row>
    <row r="399" spans="1:73" x14ac:dyDescent="0.2">
      <c r="A399" s="25">
        <f>Prices!A398</f>
        <v>37834</v>
      </c>
      <c r="B399" s="26"/>
      <c r="C399" s="26"/>
      <c r="D399" s="26"/>
      <c r="E399" s="26"/>
      <c r="F399" s="26"/>
      <c r="G399" s="26"/>
      <c r="H399" s="26"/>
      <c r="I399" s="26"/>
      <c r="J399" s="26"/>
      <c r="AI399" s="26"/>
      <c r="AJ399" s="26"/>
      <c r="AK399" s="26"/>
      <c r="AL399" s="26"/>
      <c r="AM399" s="26"/>
      <c r="AN399" s="26"/>
      <c r="AO399" s="26"/>
      <c r="AQ399" s="71"/>
      <c r="AR399" s="26"/>
      <c r="AS399" s="26"/>
      <c r="AT399" s="26"/>
      <c r="AU399" s="26"/>
      <c r="AV399" s="26"/>
      <c r="BA399" s="26"/>
      <c r="BB399" s="26"/>
      <c r="BC399" s="25" t="e" vm="1">
        <v>#REF!</v>
      </c>
      <c r="BD399" s="26" t="e" vm="1">
        <v>#REF!</v>
      </c>
      <c r="BE399" s="26"/>
      <c r="BF399" s="26" t="e" vm="2">
        <f t="shared" si="24"/>
        <v>#VALUE!</v>
      </c>
      <c r="BG399" s="26" t="e" vm="2">
        <f t="shared" si="25"/>
        <v>#VALUE!</v>
      </c>
      <c r="BH399" s="26"/>
      <c r="BI399" s="26"/>
      <c r="BJ399" s="21" t="e" vm="1">
        <v>#REF!</v>
      </c>
      <c r="BK399" s="26" t="e" vm="1">
        <v>#REF!</v>
      </c>
      <c r="BL399" s="26"/>
      <c r="BM399" t="e" vm="2">
        <f t="shared" si="26"/>
        <v>#VALUE!</v>
      </c>
      <c r="BN399" t="e" vm="2">
        <f t="shared" si="27"/>
        <v>#VALUE!</v>
      </c>
      <c r="BO399" s="26"/>
      <c r="BP399" s="26"/>
      <c r="BQ399" s="26"/>
      <c r="BR399" s="25">
        <v>36739</v>
      </c>
      <c r="BS399" s="26">
        <f t="shared" si="29"/>
        <v>8</v>
      </c>
      <c r="BT399" s="26">
        <f t="shared" si="30"/>
        <v>2000</v>
      </c>
      <c r="BU399" s="26" t="e">
        <f t="shared" si="28"/>
        <v>#DIV/0!</v>
      </c>
    </row>
    <row r="400" spans="1:73" x14ac:dyDescent="0.2">
      <c r="A400" s="25">
        <f>Prices!A399</f>
        <v>37865</v>
      </c>
      <c r="B400" s="26"/>
      <c r="C400" s="26"/>
      <c r="D400" s="26"/>
      <c r="E400" s="26"/>
      <c r="F400" s="26"/>
      <c r="G400" s="26"/>
      <c r="H400" s="26"/>
      <c r="I400" s="26"/>
      <c r="J400" s="26"/>
      <c r="AI400" s="26"/>
      <c r="AJ400" s="26"/>
      <c r="AK400" s="26"/>
      <c r="AL400" s="26"/>
      <c r="AM400" s="26"/>
      <c r="AN400" s="26"/>
      <c r="AO400" s="26"/>
      <c r="AQ400" s="71"/>
      <c r="AR400" s="26"/>
      <c r="AS400" s="26"/>
      <c r="AT400" s="26"/>
      <c r="AU400" s="26"/>
      <c r="AV400" s="26"/>
      <c r="BA400" s="26"/>
      <c r="BB400" s="26"/>
      <c r="BC400" s="25" t="e" vm="1">
        <v>#REF!</v>
      </c>
      <c r="BD400" s="26" t="e" vm="1">
        <v>#REF!</v>
      </c>
      <c r="BE400" s="26"/>
      <c r="BF400" s="26" t="e" vm="2">
        <f t="shared" si="24"/>
        <v>#VALUE!</v>
      </c>
      <c r="BG400" s="26" t="e" vm="2">
        <f t="shared" si="25"/>
        <v>#VALUE!</v>
      </c>
      <c r="BH400" s="26"/>
      <c r="BI400" s="26"/>
      <c r="BJ400" s="21" t="e" vm="1">
        <v>#REF!</v>
      </c>
      <c r="BK400" s="26" t="e" vm="1">
        <v>#REF!</v>
      </c>
      <c r="BL400" s="26"/>
      <c r="BM400" t="e" vm="2">
        <f t="shared" si="26"/>
        <v>#VALUE!</v>
      </c>
      <c r="BN400" t="e" vm="2">
        <f t="shared" si="27"/>
        <v>#VALUE!</v>
      </c>
      <c r="BO400" s="26"/>
      <c r="BP400" s="26"/>
      <c r="BQ400" s="26"/>
      <c r="BR400" s="25">
        <v>36770</v>
      </c>
      <c r="BS400" s="26">
        <f t="shared" si="29"/>
        <v>9</v>
      </c>
      <c r="BT400" s="26">
        <f t="shared" si="30"/>
        <v>2000</v>
      </c>
      <c r="BU400" s="26" t="e">
        <f t="shared" si="28"/>
        <v>#DIV/0!</v>
      </c>
    </row>
    <row r="401" spans="1:73" x14ac:dyDescent="0.2">
      <c r="A401" s="25">
        <f>Prices!A400</f>
        <v>37895</v>
      </c>
      <c r="B401" s="26"/>
      <c r="C401" s="26"/>
      <c r="D401" s="26"/>
      <c r="E401" s="26"/>
      <c r="F401" s="26"/>
      <c r="G401" s="26"/>
      <c r="H401" s="26"/>
      <c r="I401" s="26"/>
      <c r="J401" s="26"/>
      <c r="AI401" s="26"/>
      <c r="AJ401" s="26"/>
      <c r="AK401" s="26"/>
      <c r="AL401" s="26"/>
      <c r="AM401" s="26"/>
      <c r="AN401" s="26"/>
      <c r="AO401" s="26"/>
      <c r="AQ401" s="71"/>
      <c r="AR401" s="26"/>
      <c r="AS401" s="26"/>
      <c r="AT401" s="26"/>
      <c r="AU401" s="26"/>
      <c r="AV401" s="26"/>
      <c r="BA401" s="26"/>
      <c r="BB401" s="26"/>
      <c r="BC401" s="25" t="e" vm="1">
        <v>#REF!</v>
      </c>
      <c r="BD401" s="26" t="e" vm="1">
        <v>#REF!</v>
      </c>
      <c r="BE401" s="26"/>
      <c r="BF401" s="26" t="e" vm="2">
        <f t="shared" si="24"/>
        <v>#VALUE!</v>
      </c>
      <c r="BG401" s="26" t="e" vm="2">
        <f t="shared" si="25"/>
        <v>#VALUE!</v>
      </c>
      <c r="BH401" s="26"/>
      <c r="BI401" s="26"/>
      <c r="BJ401" s="21" t="e" vm="1">
        <v>#REF!</v>
      </c>
      <c r="BK401" s="26" t="e" vm="1">
        <v>#REF!</v>
      </c>
      <c r="BL401" s="26"/>
      <c r="BM401" t="e" vm="2">
        <f t="shared" si="26"/>
        <v>#VALUE!</v>
      </c>
      <c r="BN401" t="e" vm="2">
        <f t="shared" si="27"/>
        <v>#VALUE!</v>
      </c>
      <c r="BO401" s="26"/>
      <c r="BP401" s="26"/>
      <c r="BQ401" s="26"/>
      <c r="BR401" s="25">
        <v>36800</v>
      </c>
      <c r="BS401" s="26">
        <f t="shared" si="29"/>
        <v>10</v>
      </c>
      <c r="BT401" s="26">
        <f t="shared" si="30"/>
        <v>2000</v>
      </c>
      <c r="BU401" s="26" t="e">
        <f t="shared" si="28"/>
        <v>#DIV/0!</v>
      </c>
    </row>
    <row r="402" spans="1:73" x14ac:dyDescent="0.2">
      <c r="A402" s="25">
        <f>Prices!A401</f>
        <v>37926</v>
      </c>
      <c r="B402" s="28">
        <f t="shared" ref="B402:B416" si="31">_xlfn.MAXIFS($BD$2:$BD$5500,$BF$2:$BF$5500,$BA402,$BG$2:$BG$5500,$BB402)</f>
        <v>0</v>
      </c>
      <c r="C402" s="28">
        <f t="shared" ref="C402:C416" si="32">_xlfn.MINIFS($BD$2:$BD$5500,$BF$2:$BF$5500,$BA402,$BG$2:$BG$5500,$BB402)</f>
        <v>0</v>
      </c>
      <c r="D402" s="28" t="e">
        <f t="shared" ref="D402:D416" si="33">AVERAGEIFS($BD$2:$BD$5500,$BF$2:$BF$5500,$BA402,$BG$2:$BG$5500,$BB402)</f>
        <v>#DIV/0!</v>
      </c>
      <c r="E402" s="28" t="e">
        <f>B402-D402</f>
        <v>#DIV/0!</v>
      </c>
      <c r="F402" s="28" t="e">
        <f t="shared" ref="F402:F465" si="34">C402-D402</f>
        <v>#DIV/0!</v>
      </c>
      <c r="G402" s="28" t="e">
        <f>Prices!P401-D402</f>
        <v>#DIV/0!</v>
      </c>
      <c r="H402" s="28" t="e">
        <f>(G402/45.9296)*100</f>
        <v>#DIV/0!</v>
      </c>
      <c r="I402" s="28" t="e">
        <f t="shared" ref="I402:I416" si="35">D402*AQ402</f>
        <v>#DIV/0!</v>
      </c>
      <c r="J402" s="28" t="e">
        <f>(I402/45.9296)*100</f>
        <v>#DIV/0!</v>
      </c>
      <c r="AI402" s="26"/>
      <c r="AJ402" s="26"/>
      <c r="AK402" s="26"/>
      <c r="AL402" s="26"/>
      <c r="AM402" s="26"/>
      <c r="AN402" s="26"/>
      <c r="AO402" s="26"/>
      <c r="AP402" s="25">
        <v>37926</v>
      </c>
      <c r="AQ402" s="29">
        <v>0.76066842105263155</v>
      </c>
      <c r="AR402" s="26"/>
      <c r="AS402" s="26"/>
      <c r="AT402" s="26"/>
      <c r="AU402" s="26"/>
      <c r="AV402" s="26"/>
      <c r="BA402" s="26">
        <f t="shared" ref="BA402:BA465" si="36">MONTH(A402)</f>
        <v>11</v>
      </c>
      <c r="BB402" s="26">
        <f t="shared" ref="BB402:BB465" si="37">YEAR(A402)</f>
        <v>2003</v>
      </c>
      <c r="BC402" s="25" t="e" vm="1">
        <v>#REF!</v>
      </c>
      <c r="BD402" s="26" t="e" vm="1">
        <v>#REF!</v>
      </c>
      <c r="BE402" s="26"/>
      <c r="BF402" s="26" t="e" vm="2">
        <f t="shared" si="24"/>
        <v>#VALUE!</v>
      </c>
      <c r="BG402" s="26" t="e" vm="2">
        <f t="shared" si="25"/>
        <v>#VALUE!</v>
      </c>
      <c r="BH402" s="26"/>
      <c r="BI402" s="26"/>
      <c r="BJ402" s="21" t="e" vm="1">
        <v>#REF!</v>
      </c>
      <c r="BK402" s="26" t="e" vm="1">
        <v>#REF!</v>
      </c>
      <c r="BL402" s="26"/>
      <c r="BM402" t="e" vm="2">
        <f t="shared" si="26"/>
        <v>#VALUE!</v>
      </c>
      <c r="BN402" t="e" vm="2">
        <f t="shared" si="27"/>
        <v>#VALUE!</v>
      </c>
      <c r="BO402" s="26"/>
      <c r="BP402" s="26"/>
      <c r="BQ402" s="26"/>
      <c r="BR402" s="25">
        <v>36831</v>
      </c>
      <c r="BS402" s="26">
        <f t="shared" si="29"/>
        <v>11</v>
      </c>
      <c r="BT402" s="26">
        <f t="shared" si="30"/>
        <v>2000</v>
      </c>
      <c r="BU402" s="26" t="e">
        <f t="shared" si="28"/>
        <v>#DIV/0!</v>
      </c>
    </row>
    <row r="403" spans="1:73" x14ac:dyDescent="0.2">
      <c r="A403" s="25">
        <f>Prices!A402</f>
        <v>37956</v>
      </c>
      <c r="B403" s="28">
        <f t="shared" si="31"/>
        <v>0</v>
      </c>
      <c r="C403" s="28">
        <f t="shared" si="32"/>
        <v>0</v>
      </c>
      <c r="D403" s="28" t="e">
        <f t="shared" si="33"/>
        <v>#DIV/0!</v>
      </c>
      <c r="E403" s="28" t="e">
        <f t="shared" ref="E403:E466" si="38">B403-D403</f>
        <v>#DIV/0!</v>
      </c>
      <c r="F403" s="28" t="e">
        <f t="shared" si="34"/>
        <v>#DIV/0!</v>
      </c>
      <c r="G403" s="28" t="e">
        <f>Prices!P402-D403</f>
        <v>#DIV/0!</v>
      </c>
      <c r="H403" s="28" t="e">
        <f t="shared" ref="H403:H416" si="39">(G403/45.9296)*100</f>
        <v>#DIV/0!</v>
      </c>
      <c r="I403" s="28" t="e">
        <f t="shared" si="35"/>
        <v>#DIV/0!</v>
      </c>
      <c r="J403" s="28" t="e">
        <f t="shared" ref="J403:J416" si="40">(I403/45.9296)*100</f>
        <v>#DIV/0!</v>
      </c>
      <c r="AI403" s="26"/>
      <c r="AJ403" s="26"/>
      <c r="AK403" s="26"/>
      <c r="AL403" s="26"/>
      <c r="AM403" s="26"/>
      <c r="AN403" s="26"/>
      <c r="AO403" s="26"/>
      <c r="AP403" s="25">
        <v>37956</v>
      </c>
      <c r="AQ403" s="29">
        <v>0.76079090909090918</v>
      </c>
      <c r="AR403" s="26"/>
      <c r="AS403" s="26"/>
      <c r="AT403" s="26"/>
      <c r="AU403" s="26"/>
      <c r="AV403" s="26"/>
      <c r="BA403" s="26">
        <f t="shared" si="36"/>
        <v>12</v>
      </c>
      <c r="BB403" s="26">
        <f t="shared" si="37"/>
        <v>2003</v>
      </c>
      <c r="BC403" s="25" t="e" vm="1">
        <v>#REF!</v>
      </c>
      <c r="BD403" s="26" t="e" vm="1">
        <v>#REF!</v>
      </c>
      <c r="BE403" s="26"/>
      <c r="BF403" s="26" t="e" vm="2">
        <f t="shared" si="24"/>
        <v>#VALUE!</v>
      </c>
      <c r="BG403" s="26" t="e" vm="2">
        <f t="shared" si="25"/>
        <v>#VALUE!</v>
      </c>
      <c r="BH403" s="26"/>
      <c r="BI403" s="26"/>
      <c r="BJ403" s="21" t="e" vm="1">
        <v>#REF!</v>
      </c>
      <c r="BK403" s="26" t="e" vm="1">
        <v>#REF!</v>
      </c>
      <c r="BL403" s="26"/>
      <c r="BM403" t="e" vm="2">
        <f t="shared" si="26"/>
        <v>#VALUE!</v>
      </c>
      <c r="BN403" t="e" vm="2">
        <f t="shared" si="27"/>
        <v>#VALUE!</v>
      </c>
      <c r="BO403" s="26"/>
      <c r="BP403" s="26"/>
      <c r="BQ403" s="26"/>
      <c r="BR403" s="25">
        <v>36861</v>
      </c>
      <c r="BS403" s="26">
        <f t="shared" si="29"/>
        <v>12</v>
      </c>
      <c r="BT403" s="26">
        <f t="shared" si="30"/>
        <v>2000</v>
      </c>
      <c r="BU403" s="26" t="e">
        <f t="shared" si="28"/>
        <v>#DIV/0!</v>
      </c>
    </row>
    <row r="404" spans="1:73" x14ac:dyDescent="0.2">
      <c r="A404" s="25">
        <f>Prices!A403</f>
        <v>37987</v>
      </c>
      <c r="B404" s="28">
        <f t="shared" si="31"/>
        <v>0</v>
      </c>
      <c r="C404" s="28">
        <f t="shared" si="32"/>
        <v>0</v>
      </c>
      <c r="D404" s="28" t="e">
        <f t="shared" si="33"/>
        <v>#DIV/0!</v>
      </c>
      <c r="E404" s="28" t="e">
        <f t="shared" si="38"/>
        <v>#DIV/0!</v>
      </c>
      <c r="F404" s="28" t="e">
        <f t="shared" si="34"/>
        <v>#DIV/0!</v>
      </c>
      <c r="G404" s="28" t="e">
        <f>Prices!P403-D404</f>
        <v>#DIV/0!</v>
      </c>
      <c r="H404" s="28" t="e">
        <f t="shared" si="39"/>
        <v>#DIV/0!</v>
      </c>
      <c r="I404" s="28" t="e">
        <f t="shared" si="35"/>
        <v>#DIV/0!</v>
      </c>
      <c r="J404" s="28" t="e">
        <f t="shared" si="40"/>
        <v>#DIV/0!</v>
      </c>
      <c r="AI404" s="26"/>
      <c r="AJ404" s="26"/>
      <c r="AK404" s="26"/>
      <c r="AL404" s="26"/>
      <c r="AM404" s="26"/>
      <c r="AN404" s="26"/>
      <c r="AO404" s="26"/>
      <c r="AP404" s="25">
        <v>37987</v>
      </c>
      <c r="AQ404" s="29">
        <v>0.76957500000000012</v>
      </c>
      <c r="AR404" s="26"/>
      <c r="AS404" s="26"/>
      <c r="AT404" s="26"/>
      <c r="AU404" s="26"/>
      <c r="AV404" s="26"/>
      <c r="BA404" s="26">
        <f t="shared" si="36"/>
        <v>1</v>
      </c>
      <c r="BB404" s="26">
        <f t="shared" si="37"/>
        <v>2004</v>
      </c>
      <c r="BC404" s="25" t="e" vm="1">
        <v>#REF!</v>
      </c>
      <c r="BD404" s="26" t="e" vm="1">
        <v>#REF!</v>
      </c>
      <c r="BE404" s="26"/>
      <c r="BF404" s="26" t="e" vm="2">
        <f t="shared" si="24"/>
        <v>#VALUE!</v>
      </c>
      <c r="BG404" s="26" t="e" vm="2">
        <f t="shared" si="25"/>
        <v>#VALUE!</v>
      </c>
      <c r="BH404" s="26"/>
      <c r="BI404" s="26"/>
      <c r="BJ404" s="21" t="e" vm="1">
        <v>#REF!</v>
      </c>
      <c r="BK404" s="26" t="e" vm="1">
        <v>#REF!</v>
      </c>
      <c r="BL404" s="26"/>
      <c r="BM404" t="e" vm="2">
        <f t="shared" si="26"/>
        <v>#VALUE!</v>
      </c>
      <c r="BN404" t="e" vm="2">
        <f t="shared" si="27"/>
        <v>#VALUE!</v>
      </c>
      <c r="BO404" s="26"/>
      <c r="BP404" s="26"/>
      <c r="BQ404" s="26"/>
      <c r="BR404" s="25">
        <v>36892</v>
      </c>
      <c r="BS404" s="26">
        <f t="shared" si="29"/>
        <v>1</v>
      </c>
      <c r="BT404" s="26">
        <f t="shared" si="30"/>
        <v>2001</v>
      </c>
      <c r="BU404" s="26" t="e">
        <f t="shared" si="28"/>
        <v>#DIV/0!</v>
      </c>
    </row>
    <row r="405" spans="1:73" x14ac:dyDescent="0.2">
      <c r="A405" s="25">
        <f>Prices!A404</f>
        <v>38018</v>
      </c>
      <c r="B405" s="28">
        <f t="shared" si="31"/>
        <v>0</v>
      </c>
      <c r="C405" s="28">
        <f t="shared" si="32"/>
        <v>0</v>
      </c>
      <c r="D405" s="28" t="e">
        <f t="shared" si="33"/>
        <v>#DIV/0!</v>
      </c>
      <c r="E405" s="28" t="e">
        <f t="shared" si="38"/>
        <v>#DIV/0!</v>
      </c>
      <c r="F405" s="28" t="e">
        <f t="shared" si="34"/>
        <v>#DIV/0!</v>
      </c>
      <c r="G405" s="28" t="e">
        <f>Prices!P404-D405</f>
        <v>#DIV/0!</v>
      </c>
      <c r="H405" s="28" t="e">
        <f t="shared" si="39"/>
        <v>#DIV/0!</v>
      </c>
      <c r="I405" s="28" t="e">
        <f t="shared" si="35"/>
        <v>#DIV/0!</v>
      </c>
      <c r="J405" s="28" t="e">
        <f t="shared" si="40"/>
        <v>#DIV/0!</v>
      </c>
      <c r="AI405" s="26"/>
      <c r="AJ405" s="26"/>
      <c r="AK405" s="26"/>
      <c r="AL405" s="26"/>
      <c r="AM405" s="26"/>
      <c r="AN405" s="26"/>
      <c r="AO405" s="26"/>
      <c r="AP405" s="25">
        <v>38018</v>
      </c>
      <c r="AQ405" s="29">
        <v>0.75115263157894741</v>
      </c>
      <c r="AR405" s="26"/>
      <c r="AS405" s="26"/>
      <c r="AT405" s="26"/>
      <c r="AU405" s="26"/>
      <c r="AV405" s="26"/>
      <c r="BA405" s="26">
        <f t="shared" si="36"/>
        <v>2</v>
      </c>
      <c r="BB405" s="26">
        <f t="shared" si="37"/>
        <v>2004</v>
      </c>
      <c r="BC405" s="25" t="e" vm="1">
        <v>#REF!</v>
      </c>
      <c r="BD405" s="26" t="e" vm="1">
        <v>#REF!</v>
      </c>
      <c r="BE405" s="26"/>
      <c r="BF405" s="26" t="e" vm="2">
        <f t="shared" si="24"/>
        <v>#VALUE!</v>
      </c>
      <c r="BG405" s="26" t="e" vm="2">
        <f t="shared" si="25"/>
        <v>#VALUE!</v>
      </c>
      <c r="BH405" s="26"/>
      <c r="BI405" s="26"/>
      <c r="BJ405" s="21" t="e" vm="1">
        <v>#REF!</v>
      </c>
      <c r="BK405" s="26" t="e" vm="1">
        <v>#REF!</v>
      </c>
      <c r="BL405" s="26"/>
      <c r="BM405" t="e" vm="2">
        <f t="shared" si="26"/>
        <v>#VALUE!</v>
      </c>
      <c r="BN405" t="e" vm="2">
        <f t="shared" si="27"/>
        <v>#VALUE!</v>
      </c>
      <c r="BO405" s="26"/>
      <c r="BP405" s="26"/>
      <c r="BQ405" s="26"/>
      <c r="BR405" s="25">
        <v>36923</v>
      </c>
      <c r="BS405" s="26">
        <f t="shared" si="29"/>
        <v>2</v>
      </c>
      <c r="BT405" s="26">
        <f t="shared" si="30"/>
        <v>2001</v>
      </c>
      <c r="BU405" s="26" t="e">
        <f t="shared" si="28"/>
        <v>#DIV/0!</v>
      </c>
    </row>
    <row r="406" spans="1:73" x14ac:dyDescent="0.2">
      <c r="A406" s="25">
        <f>Prices!A405</f>
        <v>38047</v>
      </c>
      <c r="B406" s="28">
        <f t="shared" si="31"/>
        <v>0</v>
      </c>
      <c r="C406" s="28">
        <f t="shared" si="32"/>
        <v>0</v>
      </c>
      <c r="D406" s="28" t="e">
        <f t="shared" si="33"/>
        <v>#DIV/0!</v>
      </c>
      <c r="E406" s="28" t="e">
        <f t="shared" si="38"/>
        <v>#DIV/0!</v>
      </c>
      <c r="F406" s="28" t="e">
        <f t="shared" si="34"/>
        <v>#DIV/0!</v>
      </c>
      <c r="G406" s="28" t="e">
        <f>Prices!P405-D406</f>
        <v>#DIV/0!</v>
      </c>
      <c r="H406" s="28" t="e">
        <f t="shared" si="39"/>
        <v>#DIV/0!</v>
      </c>
      <c r="I406" s="28" t="e">
        <f t="shared" si="35"/>
        <v>#DIV/0!</v>
      </c>
      <c r="J406" s="28" t="e">
        <f t="shared" si="40"/>
        <v>#DIV/0!</v>
      </c>
      <c r="AI406" s="26"/>
      <c r="AJ406" s="26"/>
      <c r="AK406" s="26"/>
      <c r="AL406" s="26"/>
      <c r="AM406" s="26"/>
      <c r="AN406" s="26"/>
      <c r="AO406" s="26"/>
      <c r="AP406" s="25">
        <v>38047</v>
      </c>
      <c r="AQ406" s="29">
        <v>0.75211739130434785</v>
      </c>
      <c r="AR406" s="26"/>
      <c r="AS406" s="26"/>
      <c r="AT406" s="26"/>
      <c r="AU406" s="26"/>
      <c r="AV406" s="26"/>
      <c r="BA406" s="26">
        <f t="shared" si="36"/>
        <v>3</v>
      </c>
      <c r="BB406" s="26">
        <f t="shared" si="37"/>
        <v>2004</v>
      </c>
      <c r="BC406" s="25" t="e" vm="1">
        <v>#REF!</v>
      </c>
      <c r="BD406" s="26" t="e" vm="1">
        <v>#REF!</v>
      </c>
      <c r="BE406" s="26"/>
      <c r="BF406" s="26" t="e" vm="2">
        <f t="shared" si="24"/>
        <v>#VALUE!</v>
      </c>
      <c r="BG406" s="26" t="e" vm="2">
        <f t="shared" si="25"/>
        <v>#VALUE!</v>
      </c>
      <c r="BH406" s="26"/>
      <c r="BI406" s="26"/>
      <c r="BJ406" s="21" t="e" vm="1">
        <v>#REF!</v>
      </c>
      <c r="BK406" s="26" t="e" vm="1">
        <v>#REF!</v>
      </c>
      <c r="BL406" s="26"/>
      <c r="BM406" t="e" vm="2">
        <f t="shared" si="26"/>
        <v>#VALUE!</v>
      </c>
      <c r="BN406" t="e" vm="2">
        <f t="shared" si="27"/>
        <v>#VALUE!</v>
      </c>
      <c r="BO406" s="26"/>
      <c r="BP406" s="26"/>
      <c r="BQ406" s="26"/>
      <c r="BR406" s="25">
        <v>36951</v>
      </c>
      <c r="BS406" s="26">
        <f t="shared" si="29"/>
        <v>3</v>
      </c>
      <c r="BT406" s="26">
        <f t="shared" si="30"/>
        <v>2001</v>
      </c>
      <c r="BU406" s="26" t="e">
        <f t="shared" si="28"/>
        <v>#DIV/0!</v>
      </c>
    </row>
    <row r="407" spans="1:73" x14ac:dyDescent="0.2">
      <c r="A407" s="25">
        <f>Prices!A406</f>
        <v>38078</v>
      </c>
      <c r="B407" s="28">
        <f t="shared" si="31"/>
        <v>0</v>
      </c>
      <c r="C407" s="28">
        <f t="shared" si="32"/>
        <v>0</v>
      </c>
      <c r="D407" s="28" t="e">
        <f t="shared" si="33"/>
        <v>#DIV/0!</v>
      </c>
      <c r="E407" s="28" t="e">
        <f t="shared" si="38"/>
        <v>#DIV/0!</v>
      </c>
      <c r="F407" s="28" t="e">
        <f t="shared" si="34"/>
        <v>#DIV/0!</v>
      </c>
      <c r="G407" s="28" t="e">
        <f>Prices!P406-D407</f>
        <v>#DIV/0!</v>
      </c>
      <c r="H407" s="28" t="e">
        <f t="shared" si="39"/>
        <v>#DIV/0!</v>
      </c>
      <c r="I407" s="28" t="e">
        <f t="shared" si="35"/>
        <v>#DIV/0!</v>
      </c>
      <c r="J407" s="28" t="e">
        <f t="shared" si="40"/>
        <v>#DIV/0!</v>
      </c>
      <c r="AI407" s="26"/>
      <c r="AJ407" s="26"/>
      <c r="AK407" s="26"/>
      <c r="AL407" s="26"/>
      <c r="AM407" s="26"/>
      <c r="AN407" s="26"/>
      <c r="AO407" s="26"/>
      <c r="AP407" s="25">
        <v>38078</v>
      </c>
      <c r="AQ407" s="29">
        <v>0.74424285714285698</v>
      </c>
      <c r="AR407" s="26"/>
      <c r="AS407" s="26"/>
      <c r="AT407" s="26"/>
      <c r="AU407" s="26"/>
      <c r="AV407" s="26"/>
      <c r="BA407" s="26">
        <f t="shared" si="36"/>
        <v>4</v>
      </c>
      <c r="BB407" s="26">
        <f t="shared" si="37"/>
        <v>2004</v>
      </c>
      <c r="BC407" s="25" t="e" vm="1">
        <v>#REF!</v>
      </c>
      <c r="BD407" s="26" t="e" vm="1">
        <v>#REF!</v>
      </c>
      <c r="BE407" s="26"/>
      <c r="BF407" s="26" t="e" vm="2">
        <f t="shared" si="24"/>
        <v>#VALUE!</v>
      </c>
      <c r="BG407" s="26" t="e" vm="2">
        <f t="shared" si="25"/>
        <v>#VALUE!</v>
      </c>
      <c r="BH407" s="26"/>
      <c r="BI407" s="26"/>
      <c r="BJ407" s="21" t="e" vm="1">
        <v>#REF!</v>
      </c>
      <c r="BK407" s="26" t="e" vm="1">
        <v>#REF!</v>
      </c>
      <c r="BL407" s="26"/>
      <c r="BM407" t="e" vm="2">
        <f t="shared" si="26"/>
        <v>#VALUE!</v>
      </c>
      <c r="BN407" t="e" vm="2">
        <f t="shared" si="27"/>
        <v>#VALUE!</v>
      </c>
      <c r="BO407" s="26"/>
      <c r="BP407" s="26"/>
      <c r="BQ407" s="26"/>
      <c r="BR407" s="25">
        <v>36982</v>
      </c>
      <c r="BS407" s="26">
        <f t="shared" si="29"/>
        <v>4</v>
      </c>
      <c r="BT407" s="26">
        <f t="shared" si="30"/>
        <v>2001</v>
      </c>
      <c r="BU407" s="26" t="e">
        <f t="shared" si="28"/>
        <v>#DIV/0!</v>
      </c>
    </row>
    <row r="408" spans="1:73" x14ac:dyDescent="0.2">
      <c r="A408" s="25">
        <f>Prices!A407</f>
        <v>38108</v>
      </c>
      <c r="B408" s="28">
        <f t="shared" si="31"/>
        <v>0</v>
      </c>
      <c r="C408" s="28">
        <f t="shared" si="32"/>
        <v>0</v>
      </c>
      <c r="D408" s="28" t="e">
        <f t="shared" si="33"/>
        <v>#DIV/0!</v>
      </c>
      <c r="E408" s="28" t="e">
        <f t="shared" si="38"/>
        <v>#DIV/0!</v>
      </c>
      <c r="F408" s="28" t="e">
        <f t="shared" si="34"/>
        <v>#DIV/0!</v>
      </c>
      <c r="G408" s="28" t="e">
        <f>Prices!P407-D408</f>
        <v>#DIV/0!</v>
      </c>
      <c r="H408" s="28" t="e">
        <f t="shared" si="39"/>
        <v>#DIV/0!</v>
      </c>
      <c r="I408" s="28" t="e">
        <f t="shared" si="35"/>
        <v>#DIV/0!</v>
      </c>
      <c r="J408" s="28" t="e">
        <f t="shared" si="40"/>
        <v>#DIV/0!</v>
      </c>
      <c r="AI408" s="26"/>
      <c r="AJ408" s="26"/>
      <c r="AK408" s="26"/>
      <c r="AL408" s="26"/>
      <c r="AM408" s="26"/>
      <c r="AN408" s="26"/>
      <c r="AO408" s="26"/>
      <c r="AP408" s="25">
        <v>38108</v>
      </c>
      <c r="AQ408" s="29">
        <v>0.72472499999999984</v>
      </c>
      <c r="AR408" s="26"/>
      <c r="AS408" s="26"/>
      <c r="AT408" s="26"/>
      <c r="AU408" s="26"/>
      <c r="AV408" s="26"/>
      <c r="BA408" s="26">
        <f t="shared" si="36"/>
        <v>5</v>
      </c>
      <c r="BB408" s="26">
        <f t="shared" si="37"/>
        <v>2004</v>
      </c>
      <c r="BC408" s="25" t="e" vm="1">
        <v>#REF!</v>
      </c>
      <c r="BD408" s="26" t="e" vm="1">
        <v>#REF!</v>
      </c>
      <c r="BE408" s="26"/>
      <c r="BF408" s="26" t="e" vm="2">
        <f t="shared" si="24"/>
        <v>#VALUE!</v>
      </c>
      <c r="BG408" s="26" t="e" vm="2">
        <f t="shared" si="25"/>
        <v>#VALUE!</v>
      </c>
      <c r="BH408" s="26"/>
      <c r="BI408" s="26"/>
      <c r="BJ408" s="21" t="e" vm="1">
        <v>#REF!</v>
      </c>
      <c r="BK408" s="26" t="e" vm="1">
        <v>#REF!</v>
      </c>
      <c r="BL408" s="26"/>
      <c r="BM408" t="e" vm="2">
        <f t="shared" si="26"/>
        <v>#VALUE!</v>
      </c>
      <c r="BN408" t="e" vm="2">
        <f t="shared" si="27"/>
        <v>#VALUE!</v>
      </c>
      <c r="BO408" s="26"/>
      <c r="BP408" s="26"/>
      <c r="BQ408" s="26"/>
      <c r="BR408" s="25">
        <v>37012</v>
      </c>
      <c r="BS408" s="26">
        <f t="shared" si="29"/>
        <v>5</v>
      </c>
      <c r="BT408" s="26">
        <f t="shared" si="30"/>
        <v>2001</v>
      </c>
      <c r="BU408" s="26" t="e">
        <f t="shared" si="28"/>
        <v>#DIV/0!</v>
      </c>
    </row>
    <row r="409" spans="1:73" x14ac:dyDescent="0.2">
      <c r="A409" s="25">
        <f>Prices!A408</f>
        <v>38139</v>
      </c>
      <c r="B409" s="28">
        <f t="shared" si="31"/>
        <v>0</v>
      </c>
      <c r="C409" s="28">
        <f t="shared" si="32"/>
        <v>0</v>
      </c>
      <c r="D409" s="28" t="e">
        <f t="shared" si="33"/>
        <v>#DIV/0!</v>
      </c>
      <c r="E409" s="28" t="e">
        <f t="shared" si="38"/>
        <v>#DIV/0!</v>
      </c>
      <c r="F409" s="28" t="e">
        <f t="shared" si="34"/>
        <v>#DIV/0!</v>
      </c>
      <c r="G409" s="28" t="e">
        <f>Prices!P408-D409</f>
        <v>#DIV/0!</v>
      </c>
      <c r="H409" s="28" t="e">
        <f t="shared" si="39"/>
        <v>#DIV/0!</v>
      </c>
      <c r="I409" s="28" t="e">
        <f t="shared" si="35"/>
        <v>#DIV/0!</v>
      </c>
      <c r="J409" s="28" t="e">
        <f t="shared" si="40"/>
        <v>#DIV/0!</v>
      </c>
      <c r="AI409" s="26"/>
      <c r="AJ409" s="26"/>
      <c r="AK409" s="26"/>
      <c r="AL409" s="26"/>
      <c r="AM409" s="26"/>
      <c r="AN409" s="26"/>
      <c r="AO409" s="26"/>
      <c r="AP409" s="25">
        <v>38139</v>
      </c>
      <c r="AQ409" s="29">
        <v>0.7358454545454548</v>
      </c>
      <c r="AR409" s="26"/>
      <c r="AS409" s="26"/>
      <c r="AT409" s="26"/>
      <c r="AU409" s="26"/>
      <c r="AV409" s="26"/>
      <c r="BA409" s="26">
        <f t="shared" si="36"/>
        <v>6</v>
      </c>
      <c r="BB409" s="26">
        <f t="shared" si="37"/>
        <v>2004</v>
      </c>
      <c r="BC409" s="25" t="e" vm="1">
        <v>#REF!</v>
      </c>
      <c r="BD409" s="26" t="e" vm="1">
        <v>#REF!</v>
      </c>
      <c r="BE409" s="26"/>
      <c r="BF409" s="26" t="e" vm="2">
        <f t="shared" si="24"/>
        <v>#VALUE!</v>
      </c>
      <c r="BG409" s="26" t="e" vm="2">
        <f t="shared" si="25"/>
        <v>#VALUE!</v>
      </c>
      <c r="BH409" s="26"/>
      <c r="BI409" s="26"/>
      <c r="BJ409" s="21" t="e" vm="1">
        <v>#REF!</v>
      </c>
      <c r="BK409" s="26" t="e" vm="1">
        <v>#REF!</v>
      </c>
      <c r="BL409" s="26"/>
      <c r="BM409" t="e" vm="2">
        <f t="shared" si="26"/>
        <v>#VALUE!</v>
      </c>
      <c r="BN409" t="e" vm="2">
        <f t="shared" si="27"/>
        <v>#VALUE!</v>
      </c>
      <c r="BO409" s="26"/>
      <c r="BP409" s="26"/>
      <c r="BQ409" s="26"/>
      <c r="BR409" s="25">
        <v>37043</v>
      </c>
      <c r="BS409" s="26">
        <f t="shared" si="29"/>
        <v>6</v>
      </c>
      <c r="BT409" s="26">
        <f t="shared" si="30"/>
        <v>2001</v>
      </c>
      <c r="BU409" s="26" t="e">
        <f t="shared" si="28"/>
        <v>#DIV/0!</v>
      </c>
    </row>
    <row r="410" spans="1:73" x14ac:dyDescent="0.2">
      <c r="A410" s="25">
        <f>Prices!A409</f>
        <v>38169</v>
      </c>
      <c r="B410" s="28">
        <f t="shared" si="31"/>
        <v>0</v>
      </c>
      <c r="C410" s="28">
        <f t="shared" si="32"/>
        <v>0</v>
      </c>
      <c r="D410" s="28" t="e">
        <f t="shared" si="33"/>
        <v>#DIV/0!</v>
      </c>
      <c r="E410" s="28" t="e">
        <f t="shared" si="38"/>
        <v>#DIV/0!</v>
      </c>
      <c r="F410" s="28" t="e">
        <f t="shared" si="34"/>
        <v>#DIV/0!</v>
      </c>
      <c r="G410" s="28" t="e">
        <f>Prices!P409-D410</f>
        <v>#DIV/0!</v>
      </c>
      <c r="H410" s="28" t="e">
        <f t="shared" si="39"/>
        <v>#DIV/0!</v>
      </c>
      <c r="I410" s="28" t="e">
        <f t="shared" si="35"/>
        <v>#DIV/0!</v>
      </c>
      <c r="J410" s="28" t="e">
        <f t="shared" si="40"/>
        <v>#DIV/0!</v>
      </c>
      <c r="AI410" s="26"/>
      <c r="AJ410" s="26"/>
      <c r="AK410" s="26"/>
      <c r="AL410" s="26"/>
      <c r="AM410" s="26"/>
      <c r="AN410" s="26"/>
      <c r="AO410" s="26"/>
      <c r="AP410" s="25">
        <v>38169</v>
      </c>
      <c r="AQ410" s="29">
        <v>0.75573333333333337</v>
      </c>
      <c r="AR410" s="26"/>
      <c r="AS410" s="26"/>
      <c r="AT410" s="26"/>
      <c r="AU410" s="26"/>
      <c r="AV410" s="26"/>
      <c r="BA410" s="26">
        <f t="shared" si="36"/>
        <v>7</v>
      </c>
      <c r="BB410" s="26">
        <f t="shared" si="37"/>
        <v>2004</v>
      </c>
      <c r="BC410" s="25" t="e" vm="1">
        <v>#REF!</v>
      </c>
      <c r="BD410" s="26" t="e" vm="1">
        <v>#REF!</v>
      </c>
      <c r="BE410" s="26"/>
      <c r="BF410" s="26" t="e" vm="2">
        <f t="shared" si="24"/>
        <v>#VALUE!</v>
      </c>
      <c r="BG410" s="26" t="e" vm="2">
        <f t="shared" si="25"/>
        <v>#VALUE!</v>
      </c>
      <c r="BH410" s="26"/>
      <c r="BI410" s="26"/>
      <c r="BJ410" s="21" t="e" vm="1">
        <v>#REF!</v>
      </c>
      <c r="BK410" s="26" t="e" vm="1">
        <v>#REF!</v>
      </c>
      <c r="BL410" s="26"/>
      <c r="BM410" t="e" vm="2">
        <f t="shared" si="26"/>
        <v>#VALUE!</v>
      </c>
      <c r="BN410" t="e" vm="2">
        <f t="shared" si="27"/>
        <v>#VALUE!</v>
      </c>
      <c r="BO410" s="26"/>
      <c r="BP410" s="26"/>
      <c r="BQ410" s="26"/>
      <c r="BR410" s="25">
        <v>37073</v>
      </c>
      <c r="BS410" s="26">
        <f t="shared" si="29"/>
        <v>7</v>
      </c>
      <c r="BT410" s="26">
        <f t="shared" si="30"/>
        <v>2001</v>
      </c>
      <c r="BU410" s="26" t="e">
        <f t="shared" si="28"/>
        <v>#DIV/0!</v>
      </c>
    </row>
    <row r="411" spans="1:73" x14ac:dyDescent="0.2">
      <c r="A411" s="25">
        <f>Prices!A410</f>
        <v>38200</v>
      </c>
      <c r="B411" s="28">
        <f t="shared" si="31"/>
        <v>0</v>
      </c>
      <c r="C411" s="28">
        <f t="shared" si="32"/>
        <v>0</v>
      </c>
      <c r="D411" s="28" t="e">
        <f t="shared" si="33"/>
        <v>#DIV/0!</v>
      </c>
      <c r="E411" s="28" t="e">
        <f t="shared" si="38"/>
        <v>#DIV/0!</v>
      </c>
      <c r="F411" s="28" t="e">
        <f t="shared" si="34"/>
        <v>#DIV/0!</v>
      </c>
      <c r="G411" s="28" t="e">
        <f>Prices!P410-D411</f>
        <v>#DIV/0!</v>
      </c>
      <c r="H411" s="28" t="e">
        <f t="shared" si="39"/>
        <v>#DIV/0!</v>
      </c>
      <c r="I411" s="28" t="e">
        <f t="shared" si="35"/>
        <v>#DIV/0!</v>
      </c>
      <c r="J411" s="28" t="e">
        <f t="shared" si="40"/>
        <v>#DIV/0!</v>
      </c>
      <c r="AI411" s="26"/>
      <c r="AJ411" s="26"/>
      <c r="AK411" s="26"/>
      <c r="AL411" s="26"/>
      <c r="AM411" s="26"/>
      <c r="AN411" s="26"/>
      <c r="AO411" s="26"/>
      <c r="AP411" s="25">
        <v>38200</v>
      </c>
      <c r="AQ411" s="29">
        <v>0.761490909090909</v>
      </c>
      <c r="AR411" s="26"/>
      <c r="AS411" s="26"/>
      <c r="AT411" s="26"/>
      <c r="AU411" s="26"/>
      <c r="AV411" s="26"/>
      <c r="BA411" s="26">
        <f t="shared" si="36"/>
        <v>8</v>
      </c>
      <c r="BB411" s="26">
        <f t="shared" si="37"/>
        <v>2004</v>
      </c>
      <c r="BC411" s="25" t="e" vm="1">
        <v>#REF!</v>
      </c>
      <c r="BD411" s="26" t="e" vm="1">
        <v>#REF!</v>
      </c>
      <c r="BE411" s="26"/>
      <c r="BF411" s="26" t="e" vm="2">
        <f t="shared" si="24"/>
        <v>#VALUE!</v>
      </c>
      <c r="BG411" s="26" t="e" vm="2">
        <f t="shared" si="25"/>
        <v>#VALUE!</v>
      </c>
      <c r="BH411" s="26"/>
      <c r="BI411" s="26"/>
      <c r="BJ411" s="21" t="e" vm="1">
        <v>#REF!</v>
      </c>
      <c r="BK411" s="26" t="e" vm="1">
        <v>#REF!</v>
      </c>
      <c r="BL411" s="26"/>
      <c r="BM411" t="e" vm="2">
        <f t="shared" si="26"/>
        <v>#VALUE!</v>
      </c>
      <c r="BN411" t="e" vm="2">
        <f t="shared" si="27"/>
        <v>#VALUE!</v>
      </c>
      <c r="BO411" s="26"/>
      <c r="BP411" s="26"/>
      <c r="BQ411" s="26"/>
      <c r="BR411" s="25">
        <v>37104</v>
      </c>
      <c r="BS411" s="26">
        <f t="shared" si="29"/>
        <v>8</v>
      </c>
      <c r="BT411" s="26">
        <f t="shared" si="30"/>
        <v>2001</v>
      </c>
      <c r="BU411" s="26" t="e">
        <f t="shared" si="28"/>
        <v>#DIV/0!</v>
      </c>
    </row>
    <row r="412" spans="1:73" x14ac:dyDescent="0.2">
      <c r="A412" s="25">
        <f>Prices!A411</f>
        <v>38231</v>
      </c>
      <c r="B412" s="28">
        <f t="shared" si="31"/>
        <v>0</v>
      </c>
      <c r="C412" s="28">
        <f t="shared" si="32"/>
        <v>0</v>
      </c>
      <c r="D412" s="28" t="e">
        <f t="shared" si="33"/>
        <v>#DIV/0!</v>
      </c>
      <c r="E412" s="28" t="e">
        <f t="shared" si="38"/>
        <v>#DIV/0!</v>
      </c>
      <c r="F412" s="28" t="e">
        <f t="shared" si="34"/>
        <v>#DIV/0!</v>
      </c>
      <c r="G412" s="28" t="e">
        <f>Prices!P411-D412</f>
        <v>#DIV/0!</v>
      </c>
      <c r="H412" s="28" t="e">
        <f t="shared" si="39"/>
        <v>#DIV/0!</v>
      </c>
      <c r="I412" s="28" t="e">
        <f t="shared" si="35"/>
        <v>#DIV/0!</v>
      </c>
      <c r="J412" s="28" t="e">
        <f t="shared" si="40"/>
        <v>#DIV/0!</v>
      </c>
      <c r="AI412" s="26"/>
      <c r="AJ412" s="26"/>
      <c r="AK412" s="26"/>
      <c r="AL412" s="26"/>
      <c r="AM412" s="26"/>
      <c r="AN412" s="26"/>
      <c r="AO412" s="26"/>
      <c r="AP412" s="25">
        <v>38231</v>
      </c>
      <c r="AQ412" s="29">
        <v>0.77606190476190495</v>
      </c>
      <c r="AR412" s="26"/>
      <c r="AS412" s="26"/>
      <c r="AT412" s="26"/>
      <c r="AU412" s="26"/>
      <c r="AV412" s="26"/>
      <c r="BA412" s="26">
        <f t="shared" si="36"/>
        <v>9</v>
      </c>
      <c r="BB412" s="26">
        <f t="shared" si="37"/>
        <v>2004</v>
      </c>
      <c r="BC412" s="25" t="e" vm="1">
        <v>#REF!</v>
      </c>
      <c r="BD412" s="26" t="e" vm="1">
        <v>#REF!</v>
      </c>
      <c r="BE412" s="26"/>
      <c r="BF412" s="26" t="e" vm="2">
        <f t="shared" si="24"/>
        <v>#VALUE!</v>
      </c>
      <c r="BG412" s="26" t="e" vm="2">
        <f t="shared" si="25"/>
        <v>#VALUE!</v>
      </c>
      <c r="BH412" s="26"/>
      <c r="BI412" s="26"/>
      <c r="BJ412" s="21" t="e" vm="1">
        <v>#REF!</v>
      </c>
      <c r="BK412" s="26" t="e" vm="1">
        <v>#REF!</v>
      </c>
      <c r="BL412" s="26"/>
      <c r="BM412" t="e" vm="2">
        <f t="shared" si="26"/>
        <v>#VALUE!</v>
      </c>
      <c r="BN412" t="e" vm="2">
        <f t="shared" si="27"/>
        <v>#VALUE!</v>
      </c>
      <c r="BO412" s="26"/>
      <c r="BP412" s="26"/>
      <c r="BQ412" s="26"/>
      <c r="BR412" s="25">
        <v>37135</v>
      </c>
      <c r="BS412" s="26">
        <f t="shared" si="29"/>
        <v>9</v>
      </c>
      <c r="BT412" s="26">
        <f t="shared" si="30"/>
        <v>2001</v>
      </c>
      <c r="BU412" s="26" t="e">
        <f t="shared" si="28"/>
        <v>#DIV/0!</v>
      </c>
    </row>
    <row r="413" spans="1:73" x14ac:dyDescent="0.2">
      <c r="A413" s="25">
        <f>Prices!A412</f>
        <v>38261</v>
      </c>
      <c r="B413" s="28">
        <f t="shared" si="31"/>
        <v>0</v>
      </c>
      <c r="C413" s="28">
        <f t="shared" si="32"/>
        <v>0</v>
      </c>
      <c r="D413" s="28" t="e">
        <f t="shared" si="33"/>
        <v>#DIV/0!</v>
      </c>
      <c r="E413" s="28" t="e">
        <f t="shared" si="38"/>
        <v>#DIV/0!</v>
      </c>
      <c r="F413" s="28" t="e">
        <f t="shared" si="34"/>
        <v>#DIV/0!</v>
      </c>
      <c r="G413" s="28" t="e">
        <f>Prices!P412-D413</f>
        <v>#DIV/0!</v>
      </c>
      <c r="H413" s="28" t="e">
        <f t="shared" si="39"/>
        <v>#DIV/0!</v>
      </c>
      <c r="I413" s="28" t="e">
        <f t="shared" si="35"/>
        <v>#DIV/0!</v>
      </c>
      <c r="J413" s="28" t="e">
        <f t="shared" si="40"/>
        <v>#DIV/0!</v>
      </c>
      <c r="AI413" s="26"/>
      <c r="AJ413" s="26"/>
      <c r="AK413" s="26"/>
      <c r="AL413" s="26"/>
      <c r="AM413" s="26"/>
      <c r="AN413" s="26"/>
      <c r="AO413" s="26"/>
      <c r="AP413" s="25">
        <v>38261</v>
      </c>
      <c r="AQ413" s="29">
        <v>0.8011761904761906</v>
      </c>
      <c r="AR413" s="26"/>
      <c r="AS413" s="26"/>
      <c r="AT413" s="26"/>
      <c r="AU413" s="26"/>
      <c r="AV413" s="26"/>
      <c r="BA413" s="26">
        <f t="shared" si="36"/>
        <v>10</v>
      </c>
      <c r="BB413" s="26">
        <f t="shared" si="37"/>
        <v>2004</v>
      </c>
      <c r="BC413" s="25" t="e" vm="1">
        <v>#REF!</v>
      </c>
      <c r="BD413" s="26" t="e" vm="1">
        <v>#REF!</v>
      </c>
      <c r="BE413" s="26"/>
      <c r="BF413" s="26" t="e" vm="2">
        <f t="shared" si="24"/>
        <v>#VALUE!</v>
      </c>
      <c r="BG413" s="26" t="e" vm="2">
        <f t="shared" si="25"/>
        <v>#VALUE!</v>
      </c>
      <c r="BH413" s="26"/>
      <c r="BI413" s="26"/>
      <c r="BJ413" s="21" t="e" vm="1">
        <v>#REF!</v>
      </c>
      <c r="BK413" s="26" t="e" vm="1">
        <v>#REF!</v>
      </c>
      <c r="BL413" s="26"/>
      <c r="BM413" t="e" vm="2">
        <f t="shared" si="26"/>
        <v>#VALUE!</v>
      </c>
      <c r="BN413" t="e" vm="2">
        <f t="shared" si="27"/>
        <v>#VALUE!</v>
      </c>
      <c r="BO413" s="26"/>
      <c r="BP413" s="26"/>
      <c r="BQ413" s="26"/>
      <c r="BR413" s="25">
        <v>37165</v>
      </c>
      <c r="BS413" s="26">
        <f t="shared" si="29"/>
        <v>10</v>
      </c>
      <c r="BT413" s="26">
        <f t="shared" si="30"/>
        <v>2001</v>
      </c>
      <c r="BU413" s="26" t="e">
        <f t="shared" si="28"/>
        <v>#DIV/0!</v>
      </c>
    </row>
    <row r="414" spans="1:73" x14ac:dyDescent="0.2">
      <c r="A414" s="25">
        <f>Prices!A413</f>
        <v>38292</v>
      </c>
      <c r="B414" s="28">
        <f t="shared" si="31"/>
        <v>0</v>
      </c>
      <c r="C414" s="28">
        <f t="shared" si="32"/>
        <v>0</v>
      </c>
      <c r="D414" s="28" t="e">
        <f t="shared" si="33"/>
        <v>#DIV/0!</v>
      </c>
      <c r="E414" s="28" t="e">
        <f t="shared" si="38"/>
        <v>#DIV/0!</v>
      </c>
      <c r="F414" s="28" t="e">
        <f t="shared" si="34"/>
        <v>#DIV/0!</v>
      </c>
      <c r="G414" s="28" t="e">
        <f>Prices!P413-D414</f>
        <v>#DIV/0!</v>
      </c>
      <c r="H414" s="28" t="e">
        <f t="shared" si="39"/>
        <v>#DIV/0!</v>
      </c>
      <c r="I414" s="28" t="e">
        <f t="shared" si="35"/>
        <v>#DIV/0!</v>
      </c>
      <c r="J414" s="28" t="e">
        <f t="shared" si="40"/>
        <v>#DIV/0!</v>
      </c>
      <c r="AI414" s="26"/>
      <c r="AJ414" s="26"/>
      <c r="AK414" s="26"/>
      <c r="AL414" s="26"/>
      <c r="AM414" s="26"/>
      <c r="AN414" s="26"/>
      <c r="AO414" s="26"/>
      <c r="AP414" s="25">
        <v>38292</v>
      </c>
      <c r="AQ414" s="29">
        <v>0.83605454545454549</v>
      </c>
      <c r="AR414" s="26"/>
      <c r="AS414" s="26"/>
      <c r="AT414" s="26"/>
      <c r="AU414" s="26"/>
      <c r="AV414" s="26"/>
      <c r="BA414" s="26">
        <f t="shared" si="36"/>
        <v>11</v>
      </c>
      <c r="BB414" s="26">
        <f t="shared" si="37"/>
        <v>2004</v>
      </c>
      <c r="BC414" s="25" t="e" vm="1">
        <v>#REF!</v>
      </c>
      <c r="BD414" s="26" t="e" vm="1">
        <v>#REF!</v>
      </c>
      <c r="BE414" s="26"/>
      <c r="BF414" s="26" t="e" vm="2">
        <f t="shared" si="24"/>
        <v>#VALUE!</v>
      </c>
      <c r="BG414" s="26" t="e" vm="2">
        <f t="shared" si="25"/>
        <v>#VALUE!</v>
      </c>
      <c r="BH414" s="26"/>
      <c r="BI414" s="26"/>
      <c r="BJ414" s="21" t="e" vm="1">
        <v>#REF!</v>
      </c>
      <c r="BK414" s="26" t="e" vm="1">
        <v>#REF!</v>
      </c>
      <c r="BL414" s="26"/>
      <c r="BM414" t="e" vm="2">
        <f t="shared" si="26"/>
        <v>#VALUE!</v>
      </c>
      <c r="BN414" t="e" vm="2">
        <f t="shared" si="27"/>
        <v>#VALUE!</v>
      </c>
      <c r="BO414" s="26"/>
      <c r="BP414" s="26"/>
      <c r="BQ414" s="26"/>
      <c r="BR414" s="25">
        <v>37196</v>
      </c>
      <c r="BS414" s="26">
        <f t="shared" si="29"/>
        <v>11</v>
      </c>
      <c r="BT414" s="26">
        <f t="shared" si="30"/>
        <v>2001</v>
      </c>
      <c r="BU414" s="26" t="e">
        <f t="shared" si="28"/>
        <v>#DIV/0!</v>
      </c>
    </row>
    <row r="415" spans="1:73" x14ac:dyDescent="0.2">
      <c r="A415" s="25">
        <f>Prices!A414</f>
        <v>38322</v>
      </c>
      <c r="B415" s="28">
        <f t="shared" si="31"/>
        <v>0</v>
      </c>
      <c r="C415" s="28">
        <f t="shared" si="32"/>
        <v>0</v>
      </c>
      <c r="D415" s="28" t="e">
        <f t="shared" si="33"/>
        <v>#DIV/0!</v>
      </c>
      <c r="E415" s="28" t="e">
        <f t="shared" si="38"/>
        <v>#DIV/0!</v>
      </c>
      <c r="F415" s="28" t="e">
        <f t="shared" si="34"/>
        <v>#DIV/0!</v>
      </c>
      <c r="G415" s="28" t="e">
        <f>Prices!P414-D415</f>
        <v>#DIV/0!</v>
      </c>
      <c r="H415" s="28" t="e">
        <f t="shared" si="39"/>
        <v>#DIV/0!</v>
      </c>
      <c r="I415" s="28" t="e">
        <f t="shared" si="35"/>
        <v>#DIV/0!</v>
      </c>
      <c r="J415" s="28" t="e">
        <f t="shared" si="40"/>
        <v>#DIV/0!</v>
      </c>
      <c r="AI415" s="26"/>
      <c r="AJ415" s="26"/>
      <c r="AK415" s="26"/>
      <c r="AL415" s="26"/>
      <c r="AM415" s="26"/>
      <c r="AN415" s="26"/>
      <c r="AO415" s="26"/>
      <c r="AP415" s="25">
        <v>38322</v>
      </c>
      <c r="AQ415" s="29">
        <v>0.82129545454545461</v>
      </c>
      <c r="AR415" s="26"/>
      <c r="AS415" s="26"/>
      <c r="AT415" s="26"/>
      <c r="AU415" s="26"/>
      <c r="AV415" s="26"/>
      <c r="BA415" s="26">
        <f t="shared" si="36"/>
        <v>12</v>
      </c>
      <c r="BB415" s="26">
        <f t="shared" si="37"/>
        <v>2004</v>
      </c>
      <c r="BC415" s="25" t="e" vm="1">
        <v>#REF!</v>
      </c>
      <c r="BD415" s="26" t="e" vm="1">
        <v>#REF!</v>
      </c>
      <c r="BE415" s="26"/>
      <c r="BF415" s="26" t="e" vm="2">
        <f t="shared" si="24"/>
        <v>#VALUE!</v>
      </c>
      <c r="BG415" s="26" t="e" vm="2">
        <f t="shared" si="25"/>
        <v>#VALUE!</v>
      </c>
      <c r="BH415" s="26"/>
      <c r="BI415" s="26"/>
      <c r="BJ415" s="21" t="e" vm="1">
        <v>#REF!</v>
      </c>
      <c r="BK415" s="26" t="e" vm="1">
        <v>#REF!</v>
      </c>
      <c r="BL415" s="26"/>
      <c r="BM415" t="e" vm="2">
        <f t="shared" si="26"/>
        <v>#VALUE!</v>
      </c>
      <c r="BN415" t="e" vm="2">
        <f t="shared" si="27"/>
        <v>#VALUE!</v>
      </c>
      <c r="BO415" s="26"/>
      <c r="BP415" s="26"/>
      <c r="BQ415" s="26"/>
      <c r="BR415" s="25">
        <v>37226</v>
      </c>
      <c r="BS415" s="26">
        <f t="shared" si="29"/>
        <v>12</v>
      </c>
      <c r="BT415" s="26">
        <f t="shared" si="30"/>
        <v>2001</v>
      </c>
      <c r="BU415" s="26" t="e">
        <f t="shared" si="28"/>
        <v>#DIV/0!</v>
      </c>
    </row>
    <row r="416" spans="1:73" x14ac:dyDescent="0.2">
      <c r="A416" s="25">
        <f>Prices!A415</f>
        <v>38353</v>
      </c>
      <c r="B416" s="28">
        <f t="shared" si="31"/>
        <v>0</v>
      </c>
      <c r="C416" s="28">
        <f t="shared" si="32"/>
        <v>0</v>
      </c>
      <c r="D416" s="28" t="e">
        <f t="shared" si="33"/>
        <v>#DIV/0!</v>
      </c>
      <c r="E416" s="28" t="e">
        <f t="shared" si="38"/>
        <v>#DIV/0!</v>
      </c>
      <c r="F416" s="28" t="e">
        <f t="shared" si="34"/>
        <v>#DIV/0!</v>
      </c>
      <c r="G416" s="28" t="e">
        <f>Prices!P415-D416</f>
        <v>#DIV/0!</v>
      </c>
      <c r="H416" s="28" t="e">
        <f t="shared" si="39"/>
        <v>#DIV/0!</v>
      </c>
      <c r="I416" s="28" t="e">
        <f t="shared" si="35"/>
        <v>#DIV/0!</v>
      </c>
      <c r="J416" s="28" t="e">
        <f t="shared" si="40"/>
        <v>#DIV/0!</v>
      </c>
      <c r="AI416" s="26"/>
      <c r="AJ416" s="26"/>
      <c r="AK416" s="26"/>
      <c r="AL416" s="26"/>
      <c r="AM416" s="26"/>
      <c r="AN416" s="26"/>
      <c r="AO416" s="26"/>
      <c r="AP416" s="25">
        <v>38353</v>
      </c>
      <c r="AQ416" s="29">
        <v>0.81633333333333336</v>
      </c>
      <c r="AR416" s="26"/>
      <c r="AS416" s="26"/>
      <c r="AT416" s="26"/>
      <c r="AU416" s="26"/>
      <c r="AV416" s="26"/>
      <c r="BA416" s="26">
        <f t="shared" si="36"/>
        <v>1</v>
      </c>
      <c r="BB416" s="26">
        <f t="shared" si="37"/>
        <v>2005</v>
      </c>
      <c r="BC416" s="25" t="e" vm="1">
        <v>#REF!</v>
      </c>
      <c r="BD416" s="26" t="e" vm="1">
        <v>#REF!</v>
      </c>
      <c r="BE416" s="26"/>
      <c r="BF416" s="26" t="e" vm="2">
        <f t="shared" si="24"/>
        <v>#VALUE!</v>
      </c>
      <c r="BG416" s="26" t="e" vm="2">
        <f t="shared" si="25"/>
        <v>#VALUE!</v>
      </c>
      <c r="BH416" s="26"/>
      <c r="BI416" s="26"/>
      <c r="BJ416" s="21" t="e" vm="1">
        <v>#REF!</v>
      </c>
      <c r="BK416" s="26" t="e" vm="1">
        <v>#REF!</v>
      </c>
      <c r="BL416" s="26"/>
      <c r="BM416" t="e" vm="2">
        <f t="shared" si="26"/>
        <v>#VALUE!</v>
      </c>
      <c r="BN416" t="e" vm="2">
        <f t="shared" si="27"/>
        <v>#VALUE!</v>
      </c>
      <c r="BO416" s="26"/>
      <c r="BP416" s="26"/>
      <c r="BQ416" s="26"/>
      <c r="BR416" s="25">
        <v>37257</v>
      </c>
      <c r="BS416" s="26">
        <f t="shared" si="29"/>
        <v>1</v>
      </c>
      <c r="BT416" s="26">
        <f t="shared" si="30"/>
        <v>2002</v>
      </c>
      <c r="BU416" s="26" t="e">
        <f t="shared" si="28"/>
        <v>#DIV/0!</v>
      </c>
    </row>
    <row r="417" spans="1:73" x14ac:dyDescent="0.2">
      <c r="A417" s="25">
        <f>Prices!A416</f>
        <v>38384</v>
      </c>
      <c r="B417" s="28"/>
      <c r="C417" s="28"/>
      <c r="D417" s="28"/>
      <c r="E417" s="28"/>
      <c r="F417" s="28"/>
      <c r="G417" s="28"/>
      <c r="H417" s="28"/>
      <c r="I417" s="26"/>
      <c r="J417" s="26"/>
      <c r="AI417" s="26"/>
      <c r="AJ417" s="26"/>
      <c r="AK417" s="26"/>
      <c r="AL417" s="26"/>
      <c r="AM417" s="26"/>
      <c r="AN417" s="26"/>
      <c r="AO417" s="26"/>
      <c r="AP417" s="25">
        <v>38384</v>
      </c>
      <c r="AQ417" s="29">
        <v>0.8072789473684211</v>
      </c>
      <c r="AR417" s="26"/>
      <c r="AS417" s="26"/>
      <c r="AT417" s="26"/>
      <c r="AU417" s="26"/>
      <c r="AV417" s="26"/>
      <c r="BA417" s="26">
        <f t="shared" si="36"/>
        <v>2</v>
      </c>
      <c r="BB417" s="26">
        <f t="shared" si="37"/>
        <v>2005</v>
      </c>
      <c r="BC417" s="25" t="e" vm="1">
        <v>#REF!</v>
      </c>
      <c r="BD417" s="26" t="e" vm="1">
        <v>#REF!</v>
      </c>
      <c r="BE417" s="26"/>
      <c r="BF417" s="26" t="e" vm="2">
        <f t="shared" si="24"/>
        <v>#VALUE!</v>
      </c>
      <c r="BG417" s="26" t="e" vm="2">
        <f t="shared" si="25"/>
        <v>#VALUE!</v>
      </c>
      <c r="BH417" s="26"/>
      <c r="BI417" s="26"/>
      <c r="BJ417" s="21" t="e" vm="1">
        <v>#REF!</v>
      </c>
      <c r="BK417" s="26" t="e" vm="1">
        <v>#REF!</v>
      </c>
      <c r="BL417" s="26"/>
      <c r="BM417" t="e" vm="2">
        <f t="shared" si="26"/>
        <v>#VALUE!</v>
      </c>
      <c r="BN417" t="e" vm="2">
        <f t="shared" si="27"/>
        <v>#VALUE!</v>
      </c>
      <c r="BO417" s="26"/>
      <c r="BP417" s="26"/>
      <c r="BQ417" s="26"/>
      <c r="BR417" s="25">
        <v>37288</v>
      </c>
      <c r="BS417" s="26">
        <f t="shared" si="29"/>
        <v>2</v>
      </c>
      <c r="BT417" s="26">
        <f t="shared" si="30"/>
        <v>2002</v>
      </c>
      <c r="BU417" s="26" t="e">
        <f t="shared" si="28"/>
        <v>#DIV/0!</v>
      </c>
    </row>
    <row r="418" spans="1:73" x14ac:dyDescent="0.2">
      <c r="A418" s="25">
        <f>Prices!A417</f>
        <v>38412</v>
      </c>
      <c r="B418" s="28"/>
      <c r="C418" s="28"/>
      <c r="D418" s="28"/>
      <c r="E418" s="28"/>
      <c r="F418" s="28"/>
      <c r="G418" s="28"/>
      <c r="H418" s="28"/>
      <c r="I418" s="26"/>
      <c r="J418" s="26"/>
      <c r="AI418" s="26"/>
      <c r="AJ418" s="26"/>
      <c r="AK418" s="26"/>
      <c r="AL418" s="26"/>
      <c r="AM418" s="26"/>
      <c r="AN418" s="26"/>
      <c r="AO418" s="26"/>
      <c r="AP418" s="25">
        <v>38412</v>
      </c>
      <c r="AQ418" s="29">
        <v>0.82319090909090886</v>
      </c>
      <c r="AR418" s="26"/>
      <c r="AS418" s="26"/>
      <c r="AT418" s="26"/>
      <c r="AU418" s="26"/>
      <c r="AV418" s="26"/>
      <c r="BA418" s="26">
        <f t="shared" si="36"/>
        <v>3</v>
      </c>
      <c r="BB418" s="26">
        <f t="shared" si="37"/>
        <v>2005</v>
      </c>
      <c r="BC418" s="25" t="e" vm="1">
        <v>#REF!</v>
      </c>
      <c r="BD418" s="26" t="e" vm="1">
        <v>#REF!</v>
      </c>
      <c r="BE418" s="26"/>
      <c r="BF418" s="26" t="e" vm="2">
        <f t="shared" si="24"/>
        <v>#VALUE!</v>
      </c>
      <c r="BG418" s="26" t="e" vm="2">
        <f t="shared" si="25"/>
        <v>#VALUE!</v>
      </c>
      <c r="BH418" s="26"/>
      <c r="BI418" s="26"/>
      <c r="BJ418" s="21" t="e" vm="1">
        <v>#REF!</v>
      </c>
      <c r="BK418" s="26" t="e" vm="1">
        <v>#REF!</v>
      </c>
      <c r="BL418" s="26"/>
      <c r="BM418" t="e" vm="2">
        <f t="shared" si="26"/>
        <v>#VALUE!</v>
      </c>
      <c r="BN418" t="e" vm="2">
        <f t="shared" si="27"/>
        <v>#VALUE!</v>
      </c>
      <c r="BO418" s="26"/>
      <c r="BP418" s="26"/>
      <c r="BQ418" s="26"/>
      <c r="BR418" s="25">
        <v>37316</v>
      </c>
      <c r="BS418" s="26">
        <f t="shared" si="29"/>
        <v>3</v>
      </c>
      <c r="BT418" s="26">
        <f t="shared" si="30"/>
        <v>2002</v>
      </c>
      <c r="BU418" s="26" t="e">
        <f t="shared" si="28"/>
        <v>#DIV/0!</v>
      </c>
    </row>
    <row r="419" spans="1:73" x14ac:dyDescent="0.2">
      <c r="A419" s="25">
        <f>Prices!A418</f>
        <v>38443</v>
      </c>
      <c r="B419" s="28">
        <f>_xlfn.MAXIFS($BD$2:$BD$5500,$BF$2:$BF$5500,$BA419,$BG$2:$BG$5500,$BB419)</f>
        <v>0</v>
      </c>
      <c r="C419" s="28">
        <f>_xlfn.MINIFS($BD$2:$BD$5500,$BF$2:$BF$5500,$BA419,$BG$2:$BG$5500,$BB419)</f>
        <v>0</v>
      </c>
      <c r="D419" s="28" t="e">
        <f>AVERAGEIFS($BD$2:$BD$5500,$BF$2:$BF$5500,$BA419,$BG$2:$BG$5500,$BB419)</f>
        <v>#DIV/0!</v>
      </c>
      <c r="E419" s="28" t="e">
        <f t="shared" si="38"/>
        <v>#DIV/0!</v>
      </c>
      <c r="F419" s="28" t="e">
        <f t="shared" si="34"/>
        <v>#DIV/0!</v>
      </c>
      <c r="G419" s="28" t="e">
        <f>Prices!P418-D419</f>
        <v>#DIV/0!</v>
      </c>
      <c r="H419" s="28" t="e">
        <f t="shared" ref="H419" si="41">(G419/45.9296)*100</f>
        <v>#DIV/0!</v>
      </c>
      <c r="I419" s="28" t="e">
        <f t="shared" ref="I419" si="42">D419*AQ419</f>
        <v>#DIV/0!</v>
      </c>
      <c r="J419" s="28" t="e">
        <f t="shared" ref="J419" si="43">(I419/45.9296)*100</f>
        <v>#DIV/0!</v>
      </c>
      <c r="AI419" s="26"/>
      <c r="AJ419" s="26"/>
      <c r="AK419" s="26"/>
      <c r="AL419" s="26"/>
      <c r="AM419" s="26"/>
      <c r="AN419" s="26"/>
      <c r="AO419" s="26"/>
      <c r="AP419" s="25">
        <v>38443</v>
      </c>
      <c r="AQ419" s="29">
        <v>0.80915714285714269</v>
      </c>
      <c r="AR419" s="26"/>
      <c r="AS419" s="26"/>
      <c r="AT419" s="26"/>
      <c r="AU419" s="26"/>
      <c r="AV419" s="26"/>
      <c r="BA419" s="26">
        <f t="shared" si="36"/>
        <v>4</v>
      </c>
      <c r="BB419" s="26">
        <f t="shared" si="37"/>
        <v>2005</v>
      </c>
      <c r="BC419" s="25" t="e" vm="1">
        <v>#REF!</v>
      </c>
      <c r="BD419" s="26" t="e" vm="1">
        <v>#REF!</v>
      </c>
      <c r="BE419" s="26"/>
      <c r="BF419" s="26" t="e" vm="2">
        <f t="shared" si="24"/>
        <v>#VALUE!</v>
      </c>
      <c r="BG419" s="26" t="e" vm="2">
        <f t="shared" si="25"/>
        <v>#VALUE!</v>
      </c>
      <c r="BH419" s="26"/>
      <c r="BI419" s="26"/>
      <c r="BJ419" s="21" t="e" vm="1">
        <v>#REF!</v>
      </c>
      <c r="BK419" s="26" t="e" vm="1">
        <v>#REF!</v>
      </c>
      <c r="BL419" s="26"/>
      <c r="BM419" t="e" vm="2">
        <f t="shared" si="26"/>
        <v>#VALUE!</v>
      </c>
      <c r="BN419" t="e" vm="2">
        <f t="shared" si="27"/>
        <v>#VALUE!</v>
      </c>
      <c r="BO419" s="26"/>
      <c r="BP419" s="26"/>
      <c r="BQ419" s="26"/>
      <c r="BR419" s="25">
        <v>37347</v>
      </c>
      <c r="BS419" s="26">
        <f t="shared" si="29"/>
        <v>4</v>
      </c>
      <c r="BT419" s="26">
        <f t="shared" si="30"/>
        <v>2002</v>
      </c>
      <c r="BU419" s="26" t="e">
        <f t="shared" si="28"/>
        <v>#DIV/0!</v>
      </c>
    </row>
    <row r="420" spans="1:73" x14ac:dyDescent="0.2">
      <c r="A420" s="25">
        <f>Prices!A419</f>
        <v>38473</v>
      </c>
      <c r="B420" s="28"/>
      <c r="C420" s="28"/>
      <c r="D420" s="28"/>
      <c r="E420" s="28"/>
      <c r="F420" s="28"/>
      <c r="G420" s="28"/>
      <c r="H420" s="28"/>
      <c r="I420" s="26"/>
      <c r="J420" s="26"/>
      <c r="AI420" s="26"/>
      <c r="AJ420" s="26"/>
      <c r="AK420" s="26"/>
      <c r="AL420" s="26"/>
      <c r="AM420" s="26"/>
      <c r="AN420" s="26"/>
      <c r="AO420" s="26"/>
      <c r="AP420" s="25">
        <v>38473</v>
      </c>
      <c r="AQ420" s="29">
        <v>0.79704285714285716</v>
      </c>
      <c r="AR420" s="26"/>
      <c r="AS420" s="26"/>
      <c r="AT420" s="26"/>
      <c r="AU420" s="26"/>
      <c r="AV420" s="26"/>
      <c r="BA420" s="26">
        <f t="shared" si="36"/>
        <v>5</v>
      </c>
      <c r="BB420" s="26">
        <f t="shared" si="37"/>
        <v>2005</v>
      </c>
      <c r="BC420" s="25" t="e" vm="1">
        <v>#REF!</v>
      </c>
      <c r="BD420" s="26" t="e" vm="1">
        <v>#REF!</v>
      </c>
      <c r="BE420" s="26"/>
      <c r="BF420" s="26" t="e" vm="2">
        <f t="shared" si="24"/>
        <v>#VALUE!</v>
      </c>
      <c r="BG420" s="26" t="e" vm="2">
        <f t="shared" si="25"/>
        <v>#VALUE!</v>
      </c>
      <c r="BH420" s="26"/>
      <c r="BI420" s="26"/>
      <c r="BJ420" s="21" t="e" vm="1">
        <v>#REF!</v>
      </c>
      <c r="BK420" s="26" t="e" vm="1">
        <v>#REF!</v>
      </c>
      <c r="BL420" s="26"/>
      <c r="BM420" t="e" vm="2">
        <f t="shared" si="26"/>
        <v>#VALUE!</v>
      </c>
      <c r="BN420" t="e" vm="2">
        <f t="shared" si="27"/>
        <v>#VALUE!</v>
      </c>
      <c r="BO420" s="26"/>
      <c r="BP420" s="26"/>
      <c r="BQ420" s="26"/>
      <c r="BR420" s="25">
        <v>37377</v>
      </c>
      <c r="BS420" s="26">
        <f t="shared" si="29"/>
        <v>5</v>
      </c>
      <c r="BT420" s="26">
        <f t="shared" si="30"/>
        <v>2002</v>
      </c>
      <c r="BU420" s="26" t="e">
        <f t="shared" si="28"/>
        <v>#DIV/0!</v>
      </c>
    </row>
    <row r="421" spans="1:73" x14ac:dyDescent="0.2">
      <c r="A421" s="25">
        <f>Prices!A420</f>
        <v>38504</v>
      </c>
      <c r="B421" s="28"/>
      <c r="C421" s="28"/>
      <c r="D421" s="28"/>
      <c r="E421" s="28"/>
      <c r="F421" s="28"/>
      <c r="G421" s="28"/>
      <c r="H421" s="28"/>
      <c r="I421" s="26"/>
      <c r="J421" s="26"/>
      <c r="AI421" s="26"/>
      <c r="AJ421" s="26"/>
      <c r="AK421" s="26"/>
      <c r="AL421" s="26"/>
      <c r="AM421" s="26"/>
      <c r="AN421" s="26"/>
      <c r="AO421" s="26"/>
      <c r="AP421" s="25">
        <v>38504</v>
      </c>
      <c r="AQ421" s="29">
        <v>0.80715909090909088</v>
      </c>
      <c r="AR421" s="26"/>
      <c r="AS421" s="26"/>
      <c r="AT421" s="26"/>
      <c r="AU421" s="26"/>
      <c r="AV421" s="26"/>
      <c r="BA421" s="26">
        <f t="shared" si="36"/>
        <v>6</v>
      </c>
      <c r="BB421" s="26">
        <f t="shared" si="37"/>
        <v>2005</v>
      </c>
      <c r="BC421" s="25" t="e" vm="1">
        <v>#REF!</v>
      </c>
      <c r="BD421" s="26" t="e" vm="1">
        <v>#REF!</v>
      </c>
      <c r="BE421" s="26"/>
      <c r="BF421" s="26" t="e" vm="2">
        <f t="shared" si="24"/>
        <v>#VALUE!</v>
      </c>
      <c r="BG421" s="26" t="e" vm="2">
        <f t="shared" si="25"/>
        <v>#VALUE!</v>
      </c>
      <c r="BH421" s="26"/>
      <c r="BI421" s="26"/>
      <c r="BJ421" s="21" t="e" vm="1">
        <v>#REF!</v>
      </c>
      <c r="BK421" s="26" t="e" vm="1">
        <v>#REF!</v>
      </c>
      <c r="BL421" s="26"/>
      <c r="BM421" t="e" vm="2">
        <f t="shared" si="26"/>
        <v>#VALUE!</v>
      </c>
      <c r="BN421" t="e" vm="2">
        <f t="shared" si="27"/>
        <v>#VALUE!</v>
      </c>
      <c r="BO421" s="26"/>
      <c r="BP421" s="26"/>
      <c r="BQ421" s="26"/>
      <c r="BR421" s="25">
        <v>37408</v>
      </c>
      <c r="BS421" s="26">
        <f t="shared" si="29"/>
        <v>6</v>
      </c>
      <c r="BT421" s="26">
        <f t="shared" si="30"/>
        <v>2002</v>
      </c>
      <c r="BU421" s="26" t="e">
        <f t="shared" si="28"/>
        <v>#DIV/0!</v>
      </c>
    </row>
    <row r="422" spans="1:73" x14ac:dyDescent="0.2">
      <c r="A422" s="25">
        <f>Prices!A421</f>
        <v>38534</v>
      </c>
      <c r="B422" s="28"/>
      <c r="C422" s="28"/>
      <c r="D422" s="28"/>
      <c r="E422" s="28"/>
      <c r="F422" s="28"/>
      <c r="G422" s="28"/>
      <c r="H422" s="28"/>
      <c r="I422" s="26"/>
      <c r="J422" s="26"/>
      <c r="AI422" s="26"/>
      <c r="AJ422" s="26"/>
      <c r="AK422" s="26"/>
      <c r="AL422" s="26"/>
      <c r="AM422" s="26"/>
      <c r="AN422" s="26"/>
      <c r="AO422" s="26"/>
      <c r="AP422" s="25">
        <v>38534</v>
      </c>
      <c r="AQ422" s="29">
        <v>0.81901499999999994</v>
      </c>
      <c r="AR422" s="26"/>
      <c r="AS422" s="26"/>
      <c r="AT422" s="26"/>
      <c r="AU422" s="26"/>
      <c r="AV422" s="26"/>
      <c r="BA422" s="26">
        <f t="shared" si="36"/>
        <v>7</v>
      </c>
      <c r="BB422" s="26">
        <f t="shared" si="37"/>
        <v>2005</v>
      </c>
      <c r="BC422" s="25" t="e" vm="1">
        <v>#REF!</v>
      </c>
      <c r="BD422" s="26" t="e" vm="1">
        <v>#REF!</v>
      </c>
      <c r="BE422" s="26"/>
      <c r="BF422" s="26" t="e" vm="2">
        <f t="shared" si="24"/>
        <v>#VALUE!</v>
      </c>
      <c r="BG422" s="26" t="e" vm="2">
        <f t="shared" si="25"/>
        <v>#VALUE!</v>
      </c>
      <c r="BH422" s="26"/>
      <c r="BI422" s="26"/>
      <c r="BJ422" s="21" t="e" vm="1">
        <v>#REF!</v>
      </c>
      <c r="BK422" s="26" t="e" vm="1">
        <v>#REF!</v>
      </c>
      <c r="BL422" s="26"/>
      <c r="BM422" t="e" vm="2">
        <f t="shared" si="26"/>
        <v>#VALUE!</v>
      </c>
      <c r="BN422" t="e" vm="2">
        <f t="shared" si="27"/>
        <v>#VALUE!</v>
      </c>
      <c r="BO422" s="26"/>
      <c r="BP422" s="26"/>
      <c r="BQ422" s="26"/>
      <c r="BR422" s="25">
        <v>37438</v>
      </c>
      <c r="BS422" s="26">
        <f t="shared" si="29"/>
        <v>7</v>
      </c>
      <c r="BT422" s="26">
        <f t="shared" si="30"/>
        <v>2002</v>
      </c>
      <c r="BU422" s="26" t="e">
        <f t="shared" si="28"/>
        <v>#DIV/0!</v>
      </c>
    </row>
    <row r="423" spans="1:73" x14ac:dyDescent="0.2">
      <c r="A423" s="25">
        <f>Prices!A422</f>
        <v>38565</v>
      </c>
      <c r="B423" s="28"/>
      <c r="C423" s="28"/>
      <c r="D423" s="28"/>
      <c r="E423" s="28"/>
      <c r="F423" s="28"/>
      <c r="G423" s="28"/>
      <c r="H423" s="28"/>
      <c r="I423" s="26"/>
      <c r="J423" s="26"/>
      <c r="AI423" s="26"/>
      <c r="AJ423" s="26"/>
      <c r="AK423" s="26"/>
      <c r="AL423" s="26"/>
      <c r="AM423" s="26"/>
      <c r="AN423" s="26"/>
      <c r="AO423" s="26"/>
      <c r="AP423" s="25">
        <v>38565</v>
      </c>
      <c r="AQ423" s="29">
        <v>0.83083043478260865</v>
      </c>
      <c r="AR423" s="26"/>
      <c r="AS423" s="26"/>
      <c r="AT423" s="26"/>
      <c r="AU423" s="26"/>
      <c r="AV423" s="26"/>
      <c r="BA423" s="26">
        <f t="shared" si="36"/>
        <v>8</v>
      </c>
      <c r="BB423" s="26">
        <f t="shared" si="37"/>
        <v>2005</v>
      </c>
      <c r="BC423" s="25" t="e" vm="1">
        <v>#REF!</v>
      </c>
      <c r="BD423" s="26" t="e" vm="1">
        <v>#REF!</v>
      </c>
      <c r="BE423" s="26"/>
      <c r="BF423" s="26" t="e" vm="2">
        <f t="shared" si="24"/>
        <v>#VALUE!</v>
      </c>
      <c r="BG423" s="26" t="e" vm="2">
        <f t="shared" si="25"/>
        <v>#VALUE!</v>
      </c>
      <c r="BH423" s="26"/>
      <c r="BI423" s="26"/>
      <c r="BJ423" s="21" t="e" vm="1">
        <v>#REF!</v>
      </c>
      <c r="BK423" s="26" t="e" vm="1">
        <v>#REF!</v>
      </c>
      <c r="BL423" s="26"/>
      <c r="BM423" t="e" vm="2">
        <f t="shared" si="26"/>
        <v>#VALUE!</v>
      </c>
      <c r="BN423" t="e" vm="2">
        <f t="shared" si="27"/>
        <v>#VALUE!</v>
      </c>
      <c r="BO423" s="26"/>
      <c r="BP423" s="26"/>
      <c r="BQ423" s="26"/>
      <c r="BR423" s="25">
        <v>37469</v>
      </c>
      <c r="BS423" s="26">
        <f t="shared" si="29"/>
        <v>8</v>
      </c>
      <c r="BT423" s="26">
        <f t="shared" si="30"/>
        <v>2002</v>
      </c>
      <c r="BU423" s="26" t="e">
        <f t="shared" si="28"/>
        <v>#DIV/0!</v>
      </c>
    </row>
    <row r="424" spans="1:73" x14ac:dyDescent="0.2">
      <c r="A424" s="25">
        <f>Prices!A423</f>
        <v>38596</v>
      </c>
      <c r="B424" s="28"/>
      <c r="C424" s="28"/>
      <c r="D424" s="28"/>
      <c r="E424" s="28"/>
      <c r="F424" s="28"/>
      <c r="G424" s="28"/>
      <c r="H424" s="28"/>
      <c r="I424" s="26"/>
      <c r="J424" s="26"/>
      <c r="AI424" s="26"/>
      <c r="AJ424" s="26"/>
      <c r="AK424" s="26"/>
      <c r="AL424" s="26"/>
      <c r="AM424" s="26"/>
      <c r="AN424" s="26"/>
      <c r="AO424" s="26"/>
      <c r="AP424" s="25">
        <v>38596</v>
      </c>
      <c r="AQ424" s="29">
        <v>0.8501428571428572</v>
      </c>
      <c r="AR424" s="26"/>
      <c r="AS424" s="26"/>
      <c r="AT424" s="26"/>
      <c r="AU424" s="26"/>
      <c r="AV424" s="26"/>
      <c r="BA424" s="26">
        <f t="shared" si="36"/>
        <v>9</v>
      </c>
      <c r="BB424" s="26">
        <f t="shared" si="37"/>
        <v>2005</v>
      </c>
      <c r="BC424" s="25" t="e" vm="1">
        <v>#REF!</v>
      </c>
      <c r="BD424" s="26" t="e" vm="1">
        <v>#REF!</v>
      </c>
      <c r="BE424" s="26"/>
      <c r="BF424" s="26" t="e" vm="2">
        <f t="shared" si="24"/>
        <v>#VALUE!</v>
      </c>
      <c r="BG424" s="26" t="e" vm="2">
        <f t="shared" si="25"/>
        <v>#VALUE!</v>
      </c>
      <c r="BH424" s="26"/>
      <c r="BI424" s="26"/>
      <c r="BJ424" s="21" t="e" vm="1">
        <v>#REF!</v>
      </c>
      <c r="BK424" s="26" t="e" vm="1">
        <v>#REF!</v>
      </c>
      <c r="BL424" s="26"/>
      <c r="BM424" t="e" vm="2">
        <f t="shared" si="26"/>
        <v>#VALUE!</v>
      </c>
      <c r="BN424" t="e" vm="2">
        <f t="shared" si="27"/>
        <v>#VALUE!</v>
      </c>
      <c r="BO424" s="26"/>
      <c r="BP424" s="26"/>
      <c r="BQ424" s="26"/>
      <c r="BR424" s="25">
        <v>37500</v>
      </c>
      <c r="BS424" s="26">
        <f t="shared" si="29"/>
        <v>9</v>
      </c>
      <c r="BT424" s="26">
        <f t="shared" si="30"/>
        <v>2002</v>
      </c>
      <c r="BU424" s="26" t="e">
        <f t="shared" si="28"/>
        <v>#DIV/0!</v>
      </c>
    </row>
    <row r="425" spans="1:73" x14ac:dyDescent="0.2">
      <c r="A425" s="25">
        <f>Prices!A424</f>
        <v>38626</v>
      </c>
      <c r="B425" s="28"/>
      <c r="C425" s="28"/>
      <c r="D425" s="28"/>
      <c r="E425" s="28"/>
      <c r="F425" s="28"/>
      <c r="G425" s="28"/>
      <c r="H425" s="28"/>
      <c r="I425" s="26"/>
      <c r="J425" s="26"/>
      <c r="AI425" s="26"/>
      <c r="AJ425" s="26"/>
      <c r="AK425" s="26"/>
      <c r="AL425" s="26"/>
      <c r="AM425" s="26"/>
      <c r="AN425" s="26"/>
      <c r="AO425" s="26"/>
      <c r="AP425" s="25">
        <v>38626</v>
      </c>
      <c r="AQ425" s="29">
        <v>0.85059047619047623</v>
      </c>
      <c r="AR425" s="26"/>
      <c r="AS425" s="26"/>
      <c r="AT425" s="26"/>
      <c r="AU425" s="26"/>
      <c r="AV425" s="26"/>
      <c r="BA425" s="26">
        <f t="shared" si="36"/>
        <v>10</v>
      </c>
      <c r="BB425" s="26">
        <f t="shared" si="37"/>
        <v>2005</v>
      </c>
      <c r="BC425" s="25" t="e" vm="1">
        <v>#REF!</v>
      </c>
      <c r="BD425" s="26" t="e" vm="1">
        <v>#REF!</v>
      </c>
      <c r="BE425" s="26"/>
      <c r="BF425" s="26" t="e" vm="2">
        <f t="shared" si="24"/>
        <v>#VALUE!</v>
      </c>
      <c r="BG425" s="26" t="e" vm="2">
        <f t="shared" si="25"/>
        <v>#VALUE!</v>
      </c>
      <c r="BH425" s="26"/>
      <c r="BI425" s="26"/>
      <c r="BJ425" s="21" t="e" vm="1">
        <v>#REF!</v>
      </c>
      <c r="BK425" s="26" t="e" vm="1">
        <v>#REF!</v>
      </c>
      <c r="BL425" s="26"/>
      <c r="BM425" t="e" vm="2">
        <f t="shared" si="26"/>
        <v>#VALUE!</v>
      </c>
      <c r="BN425" t="e" vm="2">
        <f t="shared" si="27"/>
        <v>#VALUE!</v>
      </c>
      <c r="BO425" s="26"/>
      <c r="BP425" s="26"/>
      <c r="BQ425" s="26"/>
      <c r="BR425" s="25">
        <v>37530</v>
      </c>
      <c r="BS425" s="26">
        <f t="shared" si="29"/>
        <v>10</v>
      </c>
      <c r="BT425" s="26">
        <f t="shared" si="30"/>
        <v>2002</v>
      </c>
      <c r="BU425" s="26" t="e">
        <f t="shared" si="28"/>
        <v>#DIV/0!</v>
      </c>
    </row>
    <row r="426" spans="1:73" x14ac:dyDescent="0.2">
      <c r="A426" s="25">
        <f>Prices!A425</f>
        <v>38657</v>
      </c>
      <c r="B426" s="28"/>
      <c r="C426" s="28"/>
      <c r="D426" s="28"/>
      <c r="E426" s="28"/>
      <c r="F426" s="28"/>
      <c r="G426" s="28"/>
      <c r="H426" s="28"/>
      <c r="I426" s="26"/>
      <c r="J426" s="26"/>
      <c r="AI426" s="26"/>
      <c r="AJ426" s="26"/>
      <c r="AK426" s="26"/>
      <c r="AL426" s="26"/>
      <c r="AM426" s="26"/>
      <c r="AN426" s="26"/>
      <c r="AO426" s="26"/>
      <c r="AP426" s="25">
        <v>38657</v>
      </c>
      <c r="AQ426" s="29">
        <v>0.84729523809523821</v>
      </c>
      <c r="AR426" s="26"/>
      <c r="AS426" s="26"/>
      <c r="AT426" s="26"/>
      <c r="AU426" s="26"/>
      <c r="AV426" s="26"/>
      <c r="BA426" s="26">
        <f t="shared" si="36"/>
        <v>11</v>
      </c>
      <c r="BB426" s="26">
        <f t="shared" si="37"/>
        <v>2005</v>
      </c>
      <c r="BC426" s="25" t="e" vm="1">
        <v>#REF!</v>
      </c>
      <c r="BD426" s="26" t="e" vm="1">
        <v>#REF!</v>
      </c>
      <c r="BE426" s="26"/>
      <c r="BF426" s="26" t="e" vm="2">
        <f t="shared" si="24"/>
        <v>#VALUE!</v>
      </c>
      <c r="BG426" s="26" t="e" vm="2">
        <f t="shared" si="25"/>
        <v>#VALUE!</v>
      </c>
      <c r="BH426" s="26"/>
      <c r="BI426" s="26"/>
      <c r="BJ426" s="21" t="e" vm="1">
        <v>#REF!</v>
      </c>
      <c r="BK426" s="26" t="e" vm="1">
        <v>#REF!</v>
      </c>
      <c r="BL426" s="26"/>
      <c r="BM426" t="e" vm="2">
        <f t="shared" si="26"/>
        <v>#VALUE!</v>
      </c>
      <c r="BN426" t="e" vm="2">
        <f t="shared" si="27"/>
        <v>#VALUE!</v>
      </c>
      <c r="BO426" s="26"/>
      <c r="BP426" s="26"/>
      <c r="BQ426" s="26"/>
      <c r="BR426" s="25">
        <v>37561</v>
      </c>
      <c r="BS426" s="26">
        <f t="shared" si="29"/>
        <v>11</v>
      </c>
      <c r="BT426" s="26">
        <f t="shared" si="30"/>
        <v>2002</v>
      </c>
      <c r="BU426" s="26" t="e">
        <f t="shared" si="28"/>
        <v>#DIV/0!</v>
      </c>
    </row>
    <row r="427" spans="1:73" x14ac:dyDescent="0.2">
      <c r="A427" s="25">
        <f>Prices!A426</f>
        <v>38687</v>
      </c>
      <c r="B427" s="28"/>
      <c r="C427" s="28"/>
      <c r="D427" s="28"/>
      <c r="E427" s="28"/>
      <c r="F427" s="28"/>
      <c r="G427" s="28"/>
      <c r="H427" s="28"/>
      <c r="I427" s="26"/>
      <c r="J427" s="26"/>
      <c r="AI427" s="26"/>
      <c r="AJ427" s="26"/>
      <c r="AK427" s="26"/>
      <c r="AL427" s="26"/>
      <c r="AM427" s="26"/>
      <c r="AN427" s="26"/>
      <c r="AO427" s="26"/>
      <c r="AP427" s="25">
        <v>38687</v>
      </c>
      <c r="AQ427" s="29">
        <v>0.86190476190476184</v>
      </c>
      <c r="AR427" s="26"/>
      <c r="AS427" s="26"/>
      <c r="AT427" s="26"/>
      <c r="AU427" s="26"/>
      <c r="AV427" s="26"/>
      <c r="BA427" s="26">
        <f t="shared" si="36"/>
        <v>12</v>
      </c>
      <c r="BB427" s="26">
        <f t="shared" si="37"/>
        <v>2005</v>
      </c>
      <c r="BC427" s="25" t="e" vm="1">
        <v>#REF!</v>
      </c>
      <c r="BD427" s="26" t="e" vm="1">
        <v>#REF!</v>
      </c>
      <c r="BE427" s="26"/>
      <c r="BF427" s="26" t="e" vm="2">
        <f t="shared" si="24"/>
        <v>#VALUE!</v>
      </c>
      <c r="BG427" s="26" t="e" vm="2">
        <f t="shared" si="25"/>
        <v>#VALUE!</v>
      </c>
      <c r="BH427" s="26"/>
      <c r="BI427" s="26"/>
      <c r="BJ427" s="21" t="e" vm="1">
        <v>#REF!</v>
      </c>
      <c r="BK427" s="26" t="e" vm="1">
        <v>#REF!</v>
      </c>
      <c r="BL427" s="26"/>
      <c r="BM427" t="e" vm="2">
        <f t="shared" si="26"/>
        <v>#VALUE!</v>
      </c>
      <c r="BN427" t="e" vm="2">
        <f t="shared" si="27"/>
        <v>#VALUE!</v>
      </c>
      <c r="BO427" s="26"/>
      <c r="BP427" s="26"/>
      <c r="BQ427" s="26"/>
      <c r="BR427" s="25">
        <v>37591</v>
      </c>
      <c r="BS427" s="26">
        <f t="shared" si="29"/>
        <v>12</v>
      </c>
      <c r="BT427" s="26">
        <f t="shared" si="30"/>
        <v>2002</v>
      </c>
      <c r="BU427" s="26" t="e">
        <f t="shared" si="28"/>
        <v>#DIV/0!</v>
      </c>
    </row>
    <row r="428" spans="1:73" x14ac:dyDescent="0.2">
      <c r="A428" s="25">
        <f>Prices!A427</f>
        <v>38718</v>
      </c>
      <c r="B428" s="28"/>
      <c r="C428" s="28"/>
      <c r="D428" s="28"/>
      <c r="E428" s="28"/>
      <c r="F428" s="28"/>
      <c r="G428" s="28"/>
      <c r="H428" s="28"/>
      <c r="I428" s="26"/>
      <c r="J428" s="26"/>
      <c r="AI428" s="26"/>
      <c r="AJ428" s="26"/>
      <c r="AK428" s="26"/>
      <c r="AL428" s="26"/>
      <c r="AM428" s="26"/>
      <c r="AN428" s="26"/>
      <c r="AO428" s="26"/>
      <c r="AP428" s="25">
        <v>38718</v>
      </c>
      <c r="AQ428" s="29">
        <v>0.86591499999999999</v>
      </c>
      <c r="AR428" s="26"/>
      <c r="AS428" s="26"/>
      <c r="AT428" s="26"/>
      <c r="AU428" s="26"/>
      <c r="AV428" s="26"/>
      <c r="BA428" s="26">
        <f t="shared" si="36"/>
        <v>1</v>
      </c>
      <c r="BB428" s="26">
        <f t="shared" si="37"/>
        <v>2006</v>
      </c>
      <c r="BC428" s="25" t="e" vm="1">
        <v>#REF!</v>
      </c>
      <c r="BD428" s="26" t="e" vm="1">
        <v>#REF!</v>
      </c>
      <c r="BE428" s="26"/>
      <c r="BF428" s="26" t="e" vm="2">
        <f t="shared" si="24"/>
        <v>#VALUE!</v>
      </c>
      <c r="BG428" s="26" t="e" vm="2">
        <f t="shared" si="25"/>
        <v>#VALUE!</v>
      </c>
      <c r="BH428" s="26"/>
      <c r="BI428" s="26"/>
      <c r="BJ428" s="21" t="e" vm="1">
        <v>#REF!</v>
      </c>
      <c r="BK428" s="26" t="e" vm="1">
        <v>#REF!</v>
      </c>
      <c r="BL428" s="26"/>
      <c r="BM428" t="e" vm="2">
        <f t="shared" si="26"/>
        <v>#VALUE!</v>
      </c>
      <c r="BN428" t="e" vm="2">
        <f t="shared" si="27"/>
        <v>#VALUE!</v>
      </c>
      <c r="BO428" s="26"/>
      <c r="BP428" s="26"/>
      <c r="BQ428" s="26"/>
      <c r="BR428" s="25">
        <v>37622</v>
      </c>
      <c r="BS428" s="26">
        <f t="shared" si="29"/>
        <v>1</v>
      </c>
      <c r="BT428" s="26">
        <f t="shared" si="30"/>
        <v>2003</v>
      </c>
      <c r="BU428" s="26" t="e">
        <f t="shared" si="28"/>
        <v>#DIV/0!</v>
      </c>
    </row>
    <row r="429" spans="1:73" x14ac:dyDescent="0.2">
      <c r="A429" s="25">
        <f>Prices!A428</f>
        <v>38749</v>
      </c>
      <c r="B429" s="28"/>
      <c r="C429" s="28"/>
      <c r="D429" s="28"/>
      <c r="E429" s="28"/>
      <c r="F429" s="28"/>
      <c r="G429" s="28"/>
      <c r="H429" s="28"/>
      <c r="I429" s="26"/>
      <c r="J429" s="26"/>
      <c r="AI429" s="26"/>
      <c r="AJ429" s="26"/>
      <c r="AK429" s="26"/>
      <c r="AL429" s="26"/>
      <c r="AM429" s="26"/>
      <c r="AN429" s="26"/>
      <c r="AO429" s="26"/>
      <c r="AP429" s="25">
        <v>38749</v>
      </c>
      <c r="AQ429" s="29">
        <v>0.87109999999999987</v>
      </c>
      <c r="AR429" s="26"/>
      <c r="AS429" s="26"/>
      <c r="AT429" s="26"/>
      <c r="AU429" s="26"/>
      <c r="AV429" s="26"/>
      <c r="BA429" s="26">
        <f t="shared" si="36"/>
        <v>2</v>
      </c>
      <c r="BB429" s="26">
        <f t="shared" si="37"/>
        <v>2006</v>
      </c>
      <c r="BC429" s="25" t="e" vm="1">
        <v>#REF!</v>
      </c>
      <c r="BD429" s="26" t="e" vm="1">
        <v>#REF!</v>
      </c>
      <c r="BE429" s="26"/>
      <c r="BF429" s="26" t="e" vm="2">
        <f t="shared" si="24"/>
        <v>#VALUE!</v>
      </c>
      <c r="BG429" s="26" t="e" vm="2">
        <f t="shared" si="25"/>
        <v>#VALUE!</v>
      </c>
      <c r="BH429" s="26"/>
      <c r="BI429" s="26"/>
      <c r="BJ429" s="21" t="e" vm="1">
        <v>#REF!</v>
      </c>
      <c r="BK429" s="26" t="e" vm="1">
        <v>#REF!</v>
      </c>
      <c r="BL429" s="26"/>
      <c r="BM429" t="e" vm="2">
        <f t="shared" si="26"/>
        <v>#VALUE!</v>
      </c>
      <c r="BN429" t="e" vm="2">
        <f t="shared" si="27"/>
        <v>#VALUE!</v>
      </c>
      <c r="BO429" s="26"/>
      <c r="BP429" s="26"/>
      <c r="BQ429" s="26"/>
      <c r="BR429" s="25">
        <v>37653</v>
      </c>
      <c r="BS429" s="26">
        <f t="shared" si="29"/>
        <v>2</v>
      </c>
      <c r="BT429" s="26">
        <f t="shared" si="30"/>
        <v>2003</v>
      </c>
      <c r="BU429" s="26" t="e">
        <f t="shared" si="28"/>
        <v>#DIV/0!</v>
      </c>
    </row>
    <row r="430" spans="1:73" x14ac:dyDescent="0.2">
      <c r="A430" s="25">
        <f>Prices!A429</f>
        <v>38777</v>
      </c>
      <c r="B430" s="28"/>
      <c r="C430" s="28"/>
      <c r="D430" s="28"/>
      <c r="E430" s="28"/>
      <c r="F430" s="28"/>
      <c r="G430" s="28"/>
      <c r="H430" s="28"/>
      <c r="I430" s="26"/>
      <c r="J430" s="26"/>
      <c r="AI430" s="26"/>
      <c r="AJ430" s="26"/>
      <c r="AK430" s="26"/>
      <c r="AL430" s="26"/>
      <c r="AM430" s="26"/>
      <c r="AN430" s="26"/>
      <c r="AO430" s="26"/>
      <c r="AP430" s="25">
        <v>38777</v>
      </c>
      <c r="AQ430" s="29">
        <v>0.87064999999999981</v>
      </c>
      <c r="AR430" s="26"/>
      <c r="AS430" s="26"/>
      <c r="AT430" s="26"/>
      <c r="AU430" s="26"/>
      <c r="AV430" s="26"/>
      <c r="BA430" s="26">
        <f t="shared" si="36"/>
        <v>3</v>
      </c>
      <c r="BB430" s="26">
        <f t="shared" si="37"/>
        <v>2006</v>
      </c>
      <c r="BC430" s="25" t="e" vm="1">
        <v>#REF!</v>
      </c>
      <c r="BD430" s="26" t="e" vm="1">
        <v>#REF!</v>
      </c>
      <c r="BE430" s="26"/>
      <c r="BF430" s="26" t="e" vm="2">
        <f t="shared" si="24"/>
        <v>#VALUE!</v>
      </c>
      <c r="BG430" s="26" t="e" vm="2">
        <f t="shared" si="25"/>
        <v>#VALUE!</v>
      </c>
      <c r="BH430" s="26"/>
      <c r="BI430" s="26"/>
      <c r="BJ430" s="21" t="e" vm="1">
        <v>#REF!</v>
      </c>
      <c r="BK430" s="26" t="e" vm="1">
        <v>#REF!</v>
      </c>
      <c r="BL430" s="26"/>
      <c r="BM430" t="e" vm="2">
        <f t="shared" si="26"/>
        <v>#VALUE!</v>
      </c>
      <c r="BN430" t="e" vm="2">
        <f t="shared" si="27"/>
        <v>#VALUE!</v>
      </c>
      <c r="BO430" s="26"/>
      <c r="BP430" s="26"/>
      <c r="BQ430" s="26"/>
      <c r="BR430" s="25">
        <v>37681</v>
      </c>
      <c r="BS430" s="26">
        <f t="shared" si="29"/>
        <v>3</v>
      </c>
      <c r="BT430" s="26">
        <f t="shared" si="30"/>
        <v>2003</v>
      </c>
      <c r="BU430" s="26" t="e">
        <f t="shared" si="28"/>
        <v>#DIV/0!</v>
      </c>
    </row>
    <row r="431" spans="1:73" x14ac:dyDescent="0.2">
      <c r="A431" s="25">
        <f>Prices!A430</f>
        <v>38808</v>
      </c>
      <c r="B431" s="28"/>
      <c r="C431" s="28"/>
      <c r="D431" s="28"/>
      <c r="E431" s="28"/>
      <c r="F431" s="28"/>
      <c r="G431" s="28"/>
      <c r="H431" s="28"/>
      <c r="I431" s="26"/>
      <c r="J431" s="26"/>
      <c r="AI431" s="26"/>
      <c r="AJ431" s="26"/>
      <c r="AK431" s="26"/>
      <c r="AL431" s="26"/>
      <c r="AM431" s="26"/>
      <c r="AN431" s="26"/>
      <c r="AO431" s="26"/>
      <c r="AP431" s="25">
        <v>38808</v>
      </c>
      <c r="AQ431" s="29">
        <f>AQ430</f>
        <v>0.87064999999999981</v>
      </c>
      <c r="AR431" s="26"/>
      <c r="AS431" s="26"/>
      <c r="AT431" s="26"/>
      <c r="AU431" s="26"/>
      <c r="AV431" s="26"/>
      <c r="BA431" s="26">
        <f t="shared" si="36"/>
        <v>4</v>
      </c>
      <c r="BB431" s="26">
        <f t="shared" si="37"/>
        <v>2006</v>
      </c>
      <c r="BC431" s="25" t="e" vm="1">
        <v>#REF!</v>
      </c>
      <c r="BD431" s="26" t="e" vm="1">
        <v>#REF!</v>
      </c>
      <c r="BE431" s="26"/>
      <c r="BF431" s="26" t="e" vm="2">
        <f t="shared" si="24"/>
        <v>#VALUE!</v>
      </c>
      <c r="BG431" s="26" t="e" vm="2">
        <f t="shared" si="25"/>
        <v>#VALUE!</v>
      </c>
      <c r="BH431" s="26"/>
      <c r="BI431" s="26"/>
      <c r="BJ431" s="21" t="e" vm="1">
        <v>#REF!</v>
      </c>
      <c r="BK431" s="26" t="e" vm="1">
        <v>#REF!</v>
      </c>
      <c r="BL431" s="26"/>
      <c r="BM431" t="e" vm="2">
        <f t="shared" si="26"/>
        <v>#VALUE!</v>
      </c>
      <c r="BN431" t="e" vm="2">
        <f t="shared" si="27"/>
        <v>#VALUE!</v>
      </c>
      <c r="BO431" s="26"/>
      <c r="BP431" s="26"/>
      <c r="BQ431" s="26"/>
      <c r="BR431" s="25">
        <v>37712</v>
      </c>
      <c r="BS431" s="26">
        <f t="shared" si="29"/>
        <v>4</v>
      </c>
      <c r="BT431" s="26">
        <f t="shared" si="30"/>
        <v>2003</v>
      </c>
      <c r="BU431" s="26" t="e">
        <f t="shared" si="28"/>
        <v>#DIV/0!</v>
      </c>
    </row>
    <row r="432" spans="1:73" x14ac:dyDescent="0.2">
      <c r="A432" s="25">
        <f>Prices!A431</f>
        <v>38838</v>
      </c>
      <c r="B432" s="28"/>
      <c r="C432" s="28"/>
      <c r="D432" s="28"/>
      <c r="E432" s="28"/>
      <c r="F432" s="28"/>
      <c r="G432" s="28"/>
      <c r="H432" s="28"/>
      <c r="I432" s="26"/>
      <c r="J432" s="26"/>
      <c r="AI432" s="26"/>
      <c r="AJ432" s="26"/>
      <c r="AK432" s="26"/>
      <c r="AL432" s="26"/>
      <c r="AM432" s="26"/>
      <c r="AN432" s="26"/>
      <c r="AO432" s="26"/>
      <c r="AP432" s="25">
        <v>38838</v>
      </c>
      <c r="AQ432" s="29">
        <v>0.90085000000000004</v>
      </c>
      <c r="AR432" s="26"/>
      <c r="AS432" s="26"/>
      <c r="AT432" s="26"/>
      <c r="AU432" s="26"/>
      <c r="AV432" s="26"/>
      <c r="BA432" s="26">
        <f t="shared" si="36"/>
        <v>5</v>
      </c>
      <c r="BB432" s="26">
        <f t="shared" si="37"/>
        <v>2006</v>
      </c>
      <c r="BC432" s="25" t="e" vm="1">
        <v>#REF!</v>
      </c>
      <c r="BD432" s="26" t="e" vm="1">
        <v>#REF!</v>
      </c>
      <c r="BE432" s="26"/>
      <c r="BF432" s="26" t="e" vm="2">
        <f t="shared" si="24"/>
        <v>#VALUE!</v>
      </c>
      <c r="BG432" s="26" t="e" vm="2">
        <f t="shared" si="25"/>
        <v>#VALUE!</v>
      </c>
      <c r="BH432" s="26"/>
      <c r="BI432" s="26"/>
      <c r="BJ432" s="21" t="e" vm="1">
        <v>#REF!</v>
      </c>
      <c r="BK432" s="26" t="e" vm="1">
        <v>#REF!</v>
      </c>
      <c r="BL432" s="26"/>
      <c r="BM432" t="e" vm="2">
        <f t="shared" si="26"/>
        <v>#VALUE!</v>
      </c>
      <c r="BN432" t="e" vm="2">
        <f t="shared" si="27"/>
        <v>#VALUE!</v>
      </c>
      <c r="BO432" s="26"/>
      <c r="BP432" s="26"/>
      <c r="BQ432" s="26"/>
      <c r="BR432" s="25">
        <v>37742</v>
      </c>
      <c r="BS432" s="26">
        <f t="shared" si="29"/>
        <v>5</v>
      </c>
      <c r="BT432" s="26">
        <f t="shared" si="30"/>
        <v>2003</v>
      </c>
      <c r="BU432" s="26" t="e">
        <f t="shared" si="28"/>
        <v>#DIV/0!</v>
      </c>
    </row>
    <row r="433" spans="1:73" x14ac:dyDescent="0.2">
      <c r="A433" s="25">
        <f>Prices!A432</f>
        <v>38869</v>
      </c>
      <c r="B433" s="28"/>
      <c r="C433" s="28"/>
      <c r="D433" s="28"/>
      <c r="E433" s="28"/>
      <c r="F433" s="28"/>
      <c r="G433" s="28"/>
      <c r="H433" s="28"/>
      <c r="I433" s="26"/>
      <c r="J433" s="26"/>
      <c r="AI433" s="26"/>
      <c r="AJ433" s="26"/>
      <c r="AK433" s="26"/>
      <c r="AL433" s="26"/>
      <c r="AM433" s="26"/>
      <c r="AN433" s="26"/>
      <c r="AO433" s="26"/>
      <c r="AP433" s="25">
        <v>38869</v>
      </c>
      <c r="AQ433" s="29">
        <v>0.89871363636363621</v>
      </c>
      <c r="AR433" s="26"/>
      <c r="AS433" s="26"/>
      <c r="AT433" s="26"/>
      <c r="AU433" s="26"/>
      <c r="AV433" s="26"/>
      <c r="BA433" s="26">
        <f t="shared" si="36"/>
        <v>6</v>
      </c>
      <c r="BB433" s="26">
        <f t="shared" si="37"/>
        <v>2006</v>
      </c>
      <c r="BC433" s="25" t="e" vm="1">
        <v>#REF!</v>
      </c>
      <c r="BD433" s="26" t="e" vm="1">
        <v>#REF!</v>
      </c>
      <c r="BE433" s="26"/>
      <c r="BF433" s="26" t="e" vm="2">
        <f t="shared" si="24"/>
        <v>#VALUE!</v>
      </c>
      <c r="BG433" s="26" t="e" vm="2">
        <f t="shared" si="25"/>
        <v>#VALUE!</v>
      </c>
      <c r="BH433" s="26"/>
      <c r="BI433" s="26"/>
      <c r="BJ433" s="21" t="e" vm="1">
        <v>#REF!</v>
      </c>
      <c r="BK433" s="26" t="e" vm="1">
        <v>#REF!</v>
      </c>
      <c r="BL433" s="26"/>
      <c r="BM433" t="e" vm="2">
        <f t="shared" si="26"/>
        <v>#VALUE!</v>
      </c>
      <c r="BN433" t="e" vm="2">
        <f t="shared" si="27"/>
        <v>#VALUE!</v>
      </c>
      <c r="BO433" s="26"/>
      <c r="BP433" s="26"/>
      <c r="BQ433" s="26"/>
      <c r="BR433" s="25">
        <v>37773</v>
      </c>
      <c r="BS433" s="26">
        <f t="shared" si="29"/>
        <v>6</v>
      </c>
      <c r="BT433" s="26">
        <f t="shared" si="30"/>
        <v>2003</v>
      </c>
      <c r="BU433" s="26" t="e">
        <f t="shared" si="28"/>
        <v>#DIV/0!</v>
      </c>
    </row>
    <row r="434" spans="1:73" x14ac:dyDescent="0.2">
      <c r="A434" s="25">
        <f>Prices!A433</f>
        <v>38899</v>
      </c>
      <c r="B434" s="28"/>
      <c r="C434" s="28"/>
      <c r="D434" s="28"/>
      <c r="E434" s="28"/>
      <c r="F434" s="28"/>
      <c r="G434" s="28"/>
      <c r="H434" s="28"/>
      <c r="I434" s="26"/>
      <c r="J434" s="26"/>
      <c r="AI434" s="26"/>
      <c r="AJ434" s="26"/>
      <c r="AK434" s="26"/>
      <c r="AL434" s="26"/>
      <c r="AM434" s="26"/>
      <c r="AN434" s="26"/>
      <c r="AO434" s="26"/>
      <c r="AP434" s="25">
        <v>38899</v>
      </c>
      <c r="AQ434" s="29">
        <v>0.88700499999999993</v>
      </c>
      <c r="AR434" s="26"/>
      <c r="AS434" s="26"/>
      <c r="AT434" s="26"/>
      <c r="AU434" s="26"/>
      <c r="AV434" s="26"/>
      <c r="BA434" s="26">
        <f t="shared" si="36"/>
        <v>7</v>
      </c>
      <c r="BB434" s="26">
        <f t="shared" si="37"/>
        <v>2006</v>
      </c>
      <c r="BC434" s="25" t="e" vm="1">
        <v>#REF!</v>
      </c>
      <c r="BD434" s="26" t="e" vm="1">
        <v>#REF!</v>
      </c>
      <c r="BE434" s="26"/>
      <c r="BF434" s="26" t="e" vm="2">
        <f t="shared" si="24"/>
        <v>#VALUE!</v>
      </c>
      <c r="BG434" s="26" t="e" vm="2">
        <f t="shared" si="25"/>
        <v>#VALUE!</v>
      </c>
      <c r="BH434" s="26"/>
      <c r="BI434" s="26"/>
      <c r="BJ434" s="21" t="e" vm="1">
        <v>#REF!</v>
      </c>
      <c r="BK434" s="26" t="e" vm="1">
        <v>#REF!</v>
      </c>
      <c r="BL434" s="26"/>
      <c r="BM434" t="e" vm="2">
        <f t="shared" si="26"/>
        <v>#VALUE!</v>
      </c>
      <c r="BN434" t="e" vm="2">
        <f t="shared" si="27"/>
        <v>#VALUE!</v>
      </c>
      <c r="BO434" s="26"/>
      <c r="BP434" s="26"/>
      <c r="BQ434" s="26"/>
      <c r="BR434" s="25">
        <v>37803</v>
      </c>
      <c r="BS434" s="26">
        <f t="shared" si="29"/>
        <v>7</v>
      </c>
      <c r="BT434" s="26">
        <f t="shared" si="30"/>
        <v>2003</v>
      </c>
      <c r="BU434" s="26" t="e">
        <f t="shared" si="28"/>
        <v>#DIV/0!</v>
      </c>
    </row>
    <row r="435" spans="1:73" x14ac:dyDescent="0.2">
      <c r="A435" s="25">
        <f>Prices!A434</f>
        <v>38930</v>
      </c>
      <c r="B435" s="28"/>
      <c r="C435" s="28"/>
      <c r="D435" s="28"/>
      <c r="E435" s="28"/>
      <c r="F435" s="28"/>
      <c r="G435" s="28"/>
      <c r="H435" s="28"/>
      <c r="I435" s="26"/>
      <c r="J435" s="26"/>
      <c r="AI435" s="26"/>
      <c r="AJ435" s="26"/>
      <c r="AK435" s="26"/>
      <c r="AL435" s="26"/>
      <c r="AM435" s="26"/>
      <c r="AN435" s="26"/>
      <c r="AO435" s="26"/>
      <c r="AP435" s="25">
        <v>38930</v>
      </c>
      <c r="AQ435" s="29">
        <v>0.89472608695652167</v>
      </c>
      <c r="AR435" s="26"/>
      <c r="AS435" s="26"/>
      <c r="AT435" s="26"/>
      <c r="AU435" s="26"/>
      <c r="AV435" s="26"/>
      <c r="BA435" s="26">
        <f t="shared" si="36"/>
        <v>8</v>
      </c>
      <c r="BB435" s="26">
        <f t="shared" si="37"/>
        <v>2006</v>
      </c>
      <c r="BC435" s="25" t="e" vm="1">
        <v>#REF!</v>
      </c>
      <c r="BD435" s="26" t="e" vm="1">
        <v>#REF!</v>
      </c>
      <c r="BE435" s="26"/>
      <c r="BF435" s="26" t="e" vm="2">
        <f t="shared" si="24"/>
        <v>#VALUE!</v>
      </c>
      <c r="BG435" s="26" t="e" vm="2">
        <f t="shared" si="25"/>
        <v>#VALUE!</v>
      </c>
      <c r="BH435" s="26"/>
      <c r="BI435" s="26"/>
      <c r="BJ435" s="21" t="e" vm="1">
        <v>#REF!</v>
      </c>
      <c r="BK435" s="26" t="e" vm="1">
        <v>#REF!</v>
      </c>
      <c r="BL435" s="26"/>
      <c r="BM435" t="e" vm="2">
        <f t="shared" si="26"/>
        <v>#VALUE!</v>
      </c>
      <c r="BN435" t="e" vm="2">
        <f t="shared" si="27"/>
        <v>#VALUE!</v>
      </c>
      <c r="BO435" s="26"/>
      <c r="BP435" s="26"/>
      <c r="BQ435" s="26"/>
      <c r="BR435" s="25">
        <v>37834</v>
      </c>
      <c r="BS435" s="26">
        <f t="shared" si="29"/>
        <v>8</v>
      </c>
      <c r="BT435" s="26">
        <f t="shared" si="30"/>
        <v>2003</v>
      </c>
      <c r="BU435" s="26" t="e">
        <f t="shared" si="28"/>
        <v>#DIV/0!</v>
      </c>
    </row>
    <row r="436" spans="1:73" x14ac:dyDescent="0.2">
      <c r="A436" s="25">
        <f>Prices!A435</f>
        <v>38961</v>
      </c>
      <c r="B436" s="28"/>
      <c r="C436" s="28"/>
      <c r="D436" s="28"/>
      <c r="E436" s="28"/>
      <c r="F436" s="28"/>
      <c r="G436" s="28"/>
      <c r="H436" s="28"/>
      <c r="I436" s="26"/>
      <c r="J436" s="26"/>
      <c r="AI436" s="26"/>
      <c r="AJ436" s="26"/>
      <c r="AK436" s="26"/>
      <c r="AL436" s="26"/>
      <c r="AM436" s="26"/>
      <c r="AN436" s="26"/>
      <c r="AO436" s="26"/>
      <c r="AP436" s="25">
        <v>38961</v>
      </c>
      <c r="AQ436" s="29">
        <v>0.89697499999999997</v>
      </c>
      <c r="AR436" s="26"/>
      <c r="AS436" s="26"/>
      <c r="AT436" s="26"/>
      <c r="AU436" s="26"/>
      <c r="AV436" s="26"/>
      <c r="BA436" s="26">
        <f t="shared" si="36"/>
        <v>9</v>
      </c>
      <c r="BB436" s="26">
        <f t="shared" si="37"/>
        <v>2006</v>
      </c>
      <c r="BC436" s="25" t="e" vm="1">
        <v>#REF!</v>
      </c>
      <c r="BD436" s="26" t="e" vm="1">
        <v>#REF!</v>
      </c>
      <c r="BE436" s="26"/>
      <c r="BF436" s="26" t="e" vm="2">
        <f t="shared" si="24"/>
        <v>#VALUE!</v>
      </c>
      <c r="BG436" s="26" t="e" vm="2">
        <f t="shared" si="25"/>
        <v>#VALUE!</v>
      </c>
      <c r="BH436" s="26"/>
      <c r="BI436" s="26"/>
      <c r="BJ436" s="21" t="e" vm="1">
        <v>#REF!</v>
      </c>
      <c r="BK436" s="26" t="e" vm="1">
        <v>#REF!</v>
      </c>
      <c r="BL436" s="26"/>
      <c r="BM436" t="e" vm="2">
        <f t="shared" si="26"/>
        <v>#VALUE!</v>
      </c>
      <c r="BN436" t="e" vm="2">
        <f t="shared" si="27"/>
        <v>#VALUE!</v>
      </c>
      <c r="BO436" s="26"/>
      <c r="BP436" s="26"/>
      <c r="BQ436" s="26"/>
      <c r="BR436" s="25">
        <v>37865</v>
      </c>
      <c r="BS436" s="26">
        <f t="shared" si="29"/>
        <v>9</v>
      </c>
      <c r="BT436" s="26">
        <f t="shared" si="30"/>
        <v>2003</v>
      </c>
      <c r="BU436" s="26" t="e">
        <f t="shared" si="28"/>
        <v>#DIV/0!</v>
      </c>
    </row>
    <row r="437" spans="1:73" x14ac:dyDescent="0.2">
      <c r="A437" s="25">
        <f>Prices!A436</f>
        <v>38991</v>
      </c>
      <c r="B437" s="28">
        <f>_xlfn.MAXIFS($BD$2:$BD$5500,$BF$2:$BF$5500,$BA437,$BG$2:$BG$5500,$BB437)</f>
        <v>0</v>
      </c>
      <c r="C437" s="28">
        <f t="shared" ref="C437:C500" si="44">_xlfn.MINIFS($BD$2:$BD$5500,$BF$2:$BF$5500,$BA437,$BG$2:$BG$5500,$BB437)</f>
        <v>0</v>
      </c>
      <c r="D437" s="28" t="e">
        <f>AVERAGEIFS($BD$2:$BD$5500,$BF$2:$BF$5500,$BA437,$BG$2:$BG$5500,$BB437)</f>
        <v>#DIV/0!</v>
      </c>
      <c r="E437" s="28" t="e">
        <f t="shared" si="38"/>
        <v>#DIV/0!</v>
      </c>
      <c r="F437" s="28" t="e">
        <f t="shared" si="34"/>
        <v>#DIV/0!</v>
      </c>
      <c r="G437" s="28" t="e">
        <f>Prices!P436-D437</f>
        <v>#DIV/0!</v>
      </c>
      <c r="H437" s="28" t="e">
        <f t="shared" ref="H437:H500" si="45">(G437/45.9296)*100</f>
        <v>#DIV/0!</v>
      </c>
      <c r="I437" s="28" t="e">
        <f t="shared" ref="I437:I500" si="46">D437*AQ437</f>
        <v>#DIV/0!</v>
      </c>
      <c r="J437" s="28" t="e">
        <f t="shared" ref="J437:J500" si="47">(I437/45.9296)*100</f>
        <v>#DIV/0!</v>
      </c>
      <c r="AI437" s="26"/>
      <c r="AJ437" s="26"/>
      <c r="AK437" s="26"/>
      <c r="AL437" s="26"/>
      <c r="AM437" s="26"/>
      <c r="AN437" s="26"/>
      <c r="AO437" s="26"/>
      <c r="AP437" s="25">
        <v>38991</v>
      </c>
      <c r="AQ437" s="29">
        <v>0.88808636363636384</v>
      </c>
      <c r="AR437" s="26"/>
      <c r="AS437" s="26"/>
      <c r="AT437" s="26"/>
      <c r="AU437" s="26"/>
      <c r="AV437" s="26"/>
      <c r="BA437" s="26">
        <f t="shared" si="36"/>
        <v>10</v>
      </c>
      <c r="BB437" s="26">
        <f t="shared" si="37"/>
        <v>2006</v>
      </c>
      <c r="BC437" s="25" t="e" vm="1">
        <v>#REF!</v>
      </c>
      <c r="BD437" s="26" t="e" vm="1">
        <v>#REF!</v>
      </c>
      <c r="BE437" s="26"/>
      <c r="BF437" s="26" t="e" vm="2">
        <f t="shared" si="24"/>
        <v>#VALUE!</v>
      </c>
      <c r="BG437" s="26" t="e" vm="2">
        <f t="shared" si="25"/>
        <v>#VALUE!</v>
      </c>
      <c r="BH437" s="26"/>
      <c r="BI437" s="26"/>
      <c r="BJ437" s="21" t="e" vm="1">
        <v>#REF!</v>
      </c>
      <c r="BK437" s="26" t="e" vm="1">
        <v>#REF!</v>
      </c>
      <c r="BL437" s="26"/>
      <c r="BM437" t="e" vm="2">
        <f t="shared" si="26"/>
        <v>#VALUE!</v>
      </c>
      <c r="BN437" t="e" vm="2">
        <f t="shared" si="27"/>
        <v>#VALUE!</v>
      </c>
      <c r="BO437" s="26"/>
      <c r="BP437" s="26"/>
      <c r="BQ437" s="26"/>
      <c r="BR437" s="25">
        <v>37895</v>
      </c>
      <c r="BS437" s="26">
        <f t="shared" si="29"/>
        <v>10</v>
      </c>
      <c r="BT437" s="26">
        <f t="shared" si="30"/>
        <v>2003</v>
      </c>
      <c r="BU437" s="26" t="e">
        <f t="shared" si="28"/>
        <v>#DIV/0!</v>
      </c>
    </row>
    <row r="438" spans="1:73" x14ac:dyDescent="0.2">
      <c r="A438" s="25">
        <f>Prices!A437</f>
        <v>39022</v>
      </c>
      <c r="B438" s="28">
        <f t="shared" ref="B438:B501" si="48">_xlfn.MAXIFS($BD$2:$BD$5500,$BF$2:$BF$5500,$BA438,$BG$2:$BG$5500,$BB438)</f>
        <v>0</v>
      </c>
      <c r="C438" s="28">
        <f t="shared" si="44"/>
        <v>0</v>
      </c>
      <c r="D438" s="28" t="e">
        <f t="shared" ref="D438:D501" si="49">AVERAGEIFS($BD$2:$BD$5500,$BF$2:$BF$5500,$BA438,$BG$2:$BG$5500,$BB438)</f>
        <v>#DIV/0!</v>
      </c>
      <c r="E438" s="28" t="e">
        <f t="shared" si="38"/>
        <v>#DIV/0!</v>
      </c>
      <c r="F438" s="28" t="e">
        <f t="shared" si="34"/>
        <v>#DIV/0!</v>
      </c>
      <c r="G438" s="28" t="e">
        <f>Prices!P437-D438</f>
        <v>#DIV/0!</v>
      </c>
      <c r="H438" s="28" t="e">
        <f t="shared" si="45"/>
        <v>#DIV/0!</v>
      </c>
      <c r="I438" s="28" t="e">
        <f t="shared" si="46"/>
        <v>#DIV/0!</v>
      </c>
      <c r="J438" s="28" t="e">
        <f t="shared" si="47"/>
        <v>#DIV/0!</v>
      </c>
      <c r="AI438" s="26"/>
      <c r="AJ438" s="26"/>
      <c r="AK438" s="26"/>
      <c r="AL438" s="26"/>
      <c r="AM438" s="26"/>
      <c r="AN438" s="26"/>
      <c r="AO438" s="26"/>
      <c r="AP438" s="25">
        <v>39022</v>
      </c>
      <c r="AQ438" s="29">
        <v>0.8809095238095237</v>
      </c>
      <c r="AU438" s="26"/>
      <c r="AV438" s="26"/>
      <c r="BA438" s="26">
        <f t="shared" si="36"/>
        <v>11</v>
      </c>
      <c r="BB438" s="26">
        <f t="shared" si="37"/>
        <v>2006</v>
      </c>
      <c r="BC438" s="25" t="e" vm="1">
        <v>#REF!</v>
      </c>
      <c r="BD438" s="26" t="e" vm="1">
        <v>#REF!</v>
      </c>
      <c r="BE438" s="26"/>
      <c r="BF438" s="26" t="e" vm="2">
        <f t="shared" si="24"/>
        <v>#VALUE!</v>
      </c>
      <c r="BG438" s="26" t="e" vm="2">
        <f t="shared" si="25"/>
        <v>#VALUE!</v>
      </c>
      <c r="BH438" s="26"/>
      <c r="BI438" s="26"/>
      <c r="BJ438" s="21" t="e" vm="1">
        <v>#REF!</v>
      </c>
      <c r="BK438" s="26" t="e" vm="1">
        <v>#REF!</v>
      </c>
      <c r="BL438" s="26"/>
      <c r="BM438" t="e" vm="2">
        <f t="shared" si="26"/>
        <v>#VALUE!</v>
      </c>
      <c r="BN438" t="e" vm="2">
        <f t="shared" si="27"/>
        <v>#VALUE!</v>
      </c>
      <c r="BO438" s="26"/>
      <c r="BP438" s="26"/>
      <c r="BQ438" s="26"/>
      <c r="BR438" s="25">
        <v>37926</v>
      </c>
      <c r="BS438" s="26">
        <f t="shared" si="29"/>
        <v>11</v>
      </c>
      <c r="BT438" s="26">
        <f t="shared" si="30"/>
        <v>2003</v>
      </c>
      <c r="BU438" s="26" t="e">
        <f t="shared" si="28"/>
        <v>#DIV/0!</v>
      </c>
    </row>
    <row r="439" spans="1:73" x14ac:dyDescent="0.2">
      <c r="A439" s="25">
        <f>Prices!A438</f>
        <v>39052</v>
      </c>
      <c r="B439" s="28">
        <f t="shared" si="48"/>
        <v>0</v>
      </c>
      <c r="C439" s="28">
        <f t="shared" si="44"/>
        <v>0</v>
      </c>
      <c r="D439" s="28" t="e">
        <f t="shared" si="49"/>
        <v>#DIV/0!</v>
      </c>
      <c r="E439" s="28" t="e">
        <f t="shared" si="38"/>
        <v>#DIV/0!</v>
      </c>
      <c r="F439" s="28" t="e">
        <f t="shared" si="34"/>
        <v>#DIV/0!</v>
      </c>
      <c r="G439" s="28" t="e">
        <f>Prices!P438-D439</f>
        <v>#DIV/0!</v>
      </c>
      <c r="H439" s="28" t="e">
        <f t="shared" si="45"/>
        <v>#DIV/0!</v>
      </c>
      <c r="I439" s="28" t="e">
        <f t="shared" si="46"/>
        <v>#DIV/0!</v>
      </c>
      <c r="J439" s="28" t="e">
        <f t="shared" si="47"/>
        <v>#DIV/0!</v>
      </c>
      <c r="AI439" s="26"/>
      <c r="AJ439" s="26"/>
      <c r="AK439" s="26"/>
      <c r="AL439" s="26"/>
      <c r="AM439" s="26"/>
      <c r="AN439" s="26"/>
      <c r="AO439" s="26"/>
      <c r="AP439" s="25">
        <v>39052</v>
      </c>
      <c r="AQ439" s="29">
        <v>0.86788499999999991</v>
      </c>
      <c r="BA439" s="26">
        <f t="shared" si="36"/>
        <v>12</v>
      </c>
      <c r="BB439" s="26">
        <f t="shared" si="37"/>
        <v>2006</v>
      </c>
      <c r="BC439" s="25" t="e" vm="1">
        <v>#REF!</v>
      </c>
      <c r="BD439" s="26" t="e" vm="1">
        <v>#REF!</v>
      </c>
      <c r="BE439" s="26"/>
      <c r="BF439" s="26" t="e" vm="2">
        <f t="shared" si="24"/>
        <v>#VALUE!</v>
      </c>
      <c r="BG439" s="26" t="e" vm="2">
        <f t="shared" si="25"/>
        <v>#VALUE!</v>
      </c>
      <c r="BH439" s="26"/>
      <c r="BI439" s="26"/>
      <c r="BJ439" s="21" t="e" vm="1">
        <v>#REF!</v>
      </c>
      <c r="BK439" s="26" t="e" vm="1">
        <v>#REF!</v>
      </c>
      <c r="BL439" s="26"/>
      <c r="BM439" t="e" vm="2">
        <f t="shared" si="26"/>
        <v>#VALUE!</v>
      </c>
      <c r="BN439" t="e" vm="2">
        <f t="shared" si="27"/>
        <v>#VALUE!</v>
      </c>
      <c r="BO439" s="26"/>
      <c r="BP439" s="26"/>
      <c r="BQ439" s="26"/>
      <c r="BR439" s="25">
        <v>37956</v>
      </c>
      <c r="BS439" s="26">
        <f t="shared" si="29"/>
        <v>12</v>
      </c>
      <c r="BT439" s="26">
        <f t="shared" si="30"/>
        <v>2003</v>
      </c>
      <c r="BU439" s="26" t="e">
        <f t="shared" si="28"/>
        <v>#DIV/0!</v>
      </c>
    </row>
    <row r="440" spans="1:73" x14ac:dyDescent="0.2">
      <c r="A440" s="25">
        <f>Prices!A439</f>
        <v>39083</v>
      </c>
      <c r="B440" s="28">
        <f t="shared" si="48"/>
        <v>0</v>
      </c>
      <c r="C440" s="28">
        <f t="shared" si="44"/>
        <v>0</v>
      </c>
      <c r="D440" s="28" t="e">
        <f t="shared" si="49"/>
        <v>#DIV/0!</v>
      </c>
      <c r="E440" s="28" t="e">
        <f t="shared" si="38"/>
        <v>#DIV/0!</v>
      </c>
      <c r="F440" s="28" t="e">
        <f t="shared" si="34"/>
        <v>#DIV/0!</v>
      </c>
      <c r="G440" s="28" t="e">
        <f>Prices!P439-D440</f>
        <v>#DIV/0!</v>
      </c>
      <c r="H440" s="28" t="e">
        <f t="shared" si="45"/>
        <v>#DIV/0!</v>
      </c>
      <c r="I440" s="28" t="e">
        <f t="shared" si="46"/>
        <v>#DIV/0!</v>
      </c>
      <c r="J440" s="28" t="e">
        <f t="shared" si="47"/>
        <v>#DIV/0!</v>
      </c>
      <c r="AI440" s="26"/>
      <c r="AJ440" s="26"/>
      <c r="AK440" s="26"/>
      <c r="AL440" s="26"/>
      <c r="AM440" s="26"/>
      <c r="AN440" s="26"/>
      <c r="AO440" s="26"/>
      <c r="AP440" s="25">
        <v>39083</v>
      </c>
      <c r="AQ440" s="29">
        <v>0.85184285714285735</v>
      </c>
      <c r="BA440" s="26">
        <f t="shared" si="36"/>
        <v>1</v>
      </c>
      <c r="BB440" s="26">
        <f t="shared" si="37"/>
        <v>2007</v>
      </c>
      <c r="BC440" s="25" t="e" vm="1">
        <v>#REF!</v>
      </c>
      <c r="BD440" s="26" t="e" vm="1">
        <v>#REF!</v>
      </c>
      <c r="BE440" s="26"/>
      <c r="BF440" s="26" t="e" vm="2">
        <f t="shared" si="24"/>
        <v>#VALUE!</v>
      </c>
      <c r="BG440" s="26" t="e" vm="2">
        <f t="shared" si="25"/>
        <v>#VALUE!</v>
      </c>
      <c r="BH440" s="26"/>
      <c r="BI440" s="26"/>
      <c r="BJ440" s="21" t="e" vm="1">
        <v>#REF!</v>
      </c>
      <c r="BK440" s="26" t="e" vm="1">
        <v>#REF!</v>
      </c>
      <c r="BL440" s="26"/>
      <c r="BM440" t="e" vm="2">
        <f t="shared" si="26"/>
        <v>#VALUE!</v>
      </c>
      <c r="BN440" t="e" vm="2">
        <f t="shared" si="27"/>
        <v>#VALUE!</v>
      </c>
      <c r="BO440" s="26"/>
      <c r="BP440" s="26"/>
      <c r="BQ440" s="26"/>
      <c r="BR440" s="25">
        <v>37987</v>
      </c>
      <c r="BS440" s="26">
        <f t="shared" si="29"/>
        <v>1</v>
      </c>
      <c r="BT440" s="26">
        <f t="shared" si="30"/>
        <v>2004</v>
      </c>
      <c r="BU440" s="26" t="e">
        <f t="shared" si="28"/>
        <v>#DIV/0!</v>
      </c>
    </row>
    <row r="441" spans="1:73" x14ac:dyDescent="0.2">
      <c r="A441" s="25">
        <f>Prices!A440</f>
        <v>39114</v>
      </c>
      <c r="B441" s="28">
        <f t="shared" si="48"/>
        <v>0</v>
      </c>
      <c r="C441" s="28">
        <f t="shared" si="44"/>
        <v>0</v>
      </c>
      <c r="D441" s="28" t="e">
        <f t="shared" si="49"/>
        <v>#DIV/0!</v>
      </c>
      <c r="E441" s="28" t="e">
        <f t="shared" si="38"/>
        <v>#DIV/0!</v>
      </c>
      <c r="F441" s="28" t="e">
        <f t="shared" si="34"/>
        <v>#DIV/0!</v>
      </c>
      <c r="G441" s="28" t="e">
        <f>Prices!P440-D441</f>
        <v>#DIV/0!</v>
      </c>
      <c r="H441" s="28" t="e">
        <f t="shared" si="45"/>
        <v>#DIV/0!</v>
      </c>
      <c r="I441" s="28" t="e">
        <f t="shared" si="46"/>
        <v>#DIV/0!</v>
      </c>
      <c r="J441" s="28" t="e">
        <f t="shared" si="47"/>
        <v>#DIV/0!</v>
      </c>
      <c r="AI441" s="26"/>
      <c r="AJ441" s="26"/>
      <c r="AK441" s="26"/>
      <c r="AL441" s="26"/>
      <c r="AM441" s="26"/>
      <c r="AN441" s="26"/>
      <c r="AO441" s="26"/>
      <c r="AP441" s="25">
        <v>39114</v>
      </c>
      <c r="AQ441" s="29">
        <v>0.85481578947368408</v>
      </c>
      <c r="BA441" s="26">
        <f t="shared" si="36"/>
        <v>2</v>
      </c>
      <c r="BB441" s="26">
        <f t="shared" si="37"/>
        <v>2007</v>
      </c>
      <c r="BC441" s="25" t="e" vm="1">
        <v>#REF!</v>
      </c>
      <c r="BD441" s="26" t="e" vm="1">
        <v>#REF!</v>
      </c>
      <c r="BE441" s="26"/>
      <c r="BF441" s="26" t="e" vm="2">
        <f t="shared" si="24"/>
        <v>#VALUE!</v>
      </c>
      <c r="BG441" s="26" t="e" vm="2">
        <f t="shared" si="25"/>
        <v>#VALUE!</v>
      </c>
      <c r="BH441" s="26"/>
      <c r="BI441" s="26"/>
      <c r="BJ441" s="21" t="e" vm="1">
        <v>#REF!</v>
      </c>
      <c r="BK441" s="26" t="e" vm="1">
        <v>#REF!</v>
      </c>
      <c r="BL441" s="26"/>
      <c r="BM441" t="e" vm="2">
        <f t="shared" si="26"/>
        <v>#VALUE!</v>
      </c>
      <c r="BN441" t="e" vm="2">
        <f t="shared" si="27"/>
        <v>#VALUE!</v>
      </c>
      <c r="BO441" s="26"/>
      <c r="BP441" s="26"/>
      <c r="BQ441" s="26"/>
      <c r="BR441" s="25">
        <v>38018</v>
      </c>
      <c r="BS441" s="26">
        <f t="shared" si="29"/>
        <v>2</v>
      </c>
      <c r="BT441" s="26">
        <f t="shared" si="30"/>
        <v>2004</v>
      </c>
      <c r="BU441" s="26" t="e">
        <f t="shared" si="28"/>
        <v>#DIV/0!</v>
      </c>
    </row>
    <row r="442" spans="1:73" x14ac:dyDescent="0.2">
      <c r="A442" s="25">
        <f>Prices!A441</f>
        <v>39142</v>
      </c>
      <c r="B442" s="28">
        <f t="shared" si="48"/>
        <v>0</v>
      </c>
      <c r="C442" s="28">
        <f t="shared" si="44"/>
        <v>0</v>
      </c>
      <c r="D442" s="28" t="e">
        <f t="shared" si="49"/>
        <v>#DIV/0!</v>
      </c>
      <c r="E442" s="28" t="e">
        <f t="shared" si="38"/>
        <v>#DIV/0!</v>
      </c>
      <c r="F442" s="28" t="e">
        <f t="shared" si="34"/>
        <v>#DIV/0!</v>
      </c>
      <c r="G442" s="28" t="e">
        <f>Prices!P441-D442</f>
        <v>#DIV/0!</v>
      </c>
      <c r="H442" s="28" t="e">
        <f t="shared" si="45"/>
        <v>#DIV/0!</v>
      </c>
      <c r="I442" s="28" t="e">
        <f t="shared" si="46"/>
        <v>#DIV/0!</v>
      </c>
      <c r="J442" s="28" t="e">
        <f t="shared" si="47"/>
        <v>#DIV/0!</v>
      </c>
      <c r="AI442" s="26"/>
      <c r="AJ442" s="26"/>
      <c r="AK442" s="26"/>
      <c r="AL442" s="26"/>
      <c r="AM442" s="26"/>
      <c r="AN442" s="26"/>
      <c r="AO442" s="26"/>
      <c r="AP442" s="25">
        <v>39142</v>
      </c>
      <c r="AQ442" s="29">
        <v>0.85651818181818162</v>
      </c>
      <c r="BA442" s="26">
        <f t="shared" si="36"/>
        <v>3</v>
      </c>
      <c r="BB442" s="26">
        <f t="shared" si="37"/>
        <v>2007</v>
      </c>
      <c r="BC442" s="25" t="e" vm="1">
        <v>#REF!</v>
      </c>
      <c r="BD442" s="26" t="e" vm="1">
        <v>#REF!</v>
      </c>
      <c r="BE442" s="26"/>
      <c r="BF442" s="26" t="e" vm="2">
        <f t="shared" si="24"/>
        <v>#VALUE!</v>
      </c>
      <c r="BG442" s="26" t="e" vm="2">
        <f t="shared" si="25"/>
        <v>#VALUE!</v>
      </c>
      <c r="BH442" s="26"/>
      <c r="BI442" s="26"/>
      <c r="BJ442" s="21" t="e" vm="1">
        <v>#REF!</v>
      </c>
      <c r="BK442" s="26" t="e" vm="1">
        <v>#REF!</v>
      </c>
      <c r="BL442" s="26"/>
      <c r="BM442" t="e" vm="2">
        <f t="shared" si="26"/>
        <v>#VALUE!</v>
      </c>
      <c r="BN442" t="e" vm="2">
        <f t="shared" si="27"/>
        <v>#VALUE!</v>
      </c>
      <c r="BO442" s="26"/>
      <c r="BP442" s="26"/>
      <c r="BQ442" s="26"/>
      <c r="BR442" s="25">
        <v>38047</v>
      </c>
      <c r="BS442" s="26">
        <f t="shared" si="29"/>
        <v>3</v>
      </c>
      <c r="BT442" s="26">
        <f t="shared" si="30"/>
        <v>2004</v>
      </c>
      <c r="BU442" s="26" t="e">
        <f t="shared" si="28"/>
        <v>#DIV/0!</v>
      </c>
    </row>
    <row r="443" spans="1:73" x14ac:dyDescent="0.2">
      <c r="A443" s="25">
        <f>Prices!A442</f>
        <v>39173</v>
      </c>
      <c r="B443" s="28">
        <f t="shared" si="48"/>
        <v>0</v>
      </c>
      <c r="C443" s="28">
        <f t="shared" si="44"/>
        <v>0</v>
      </c>
      <c r="D443" s="28" t="e">
        <f t="shared" si="49"/>
        <v>#DIV/0!</v>
      </c>
      <c r="E443" s="28" t="e">
        <f t="shared" si="38"/>
        <v>#DIV/0!</v>
      </c>
      <c r="F443" s="28" t="e">
        <f t="shared" si="34"/>
        <v>#DIV/0!</v>
      </c>
      <c r="G443" s="28" t="e">
        <f>Prices!P442-D443</f>
        <v>#DIV/0!</v>
      </c>
      <c r="H443" s="28" t="e">
        <f t="shared" si="45"/>
        <v>#DIV/0!</v>
      </c>
      <c r="I443" s="28" t="e">
        <f t="shared" si="46"/>
        <v>#DIV/0!</v>
      </c>
      <c r="J443" s="28" t="e">
        <f t="shared" si="47"/>
        <v>#DIV/0!</v>
      </c>
      <c r="AI443" s="26"/>
      <c r="AJ443" s="26"/>
      <c r="AK443" s="26"/>
      <c r="AL443" s="26"/>
      <c r="AM443" s="26"/>
      <c r="AN443" s="26"/>
      <c r="AO443" s="26"/>
      <c r="AP443" s="25">
        <v>39173</v>
      </c>
      <c r="AQ443" s="29">
        <v>0.88289523809523796</v>
      </c>
      <c r="BA443" s="26">
        <f t="shared" si="36"/>
        <v>4</v>
      </c>
      <c r="BB443" s="26">
        <f t="shared" si="37"/>
        <v>2007</v>
      </c>
      <c r="BC443" s="25" t="e" vm="1">
        <v>#REF!</v>
      </c>
      <c r="BD443" s="26" t="e" vm="1">
        <v>#REF!</v>
      </c>
      <c r="BE443" s="26"/>
      <c r="BF443" s="26" t="e" vm="2">
        <f t="shared" si="24"/>
        <v>#VALUE!</v>
      </c>
      <c r="BG443" s="26" t="e" vm="2">
        <f t="shared" si="25"/>
        <v>#VALUE!</v>
      </c>
      <c r="BH443" s="26"/>
      <c r="BI443" s="26"/>
      <c r="BJ443" s="21" t="e" vm="1">
        <v>#REF!</v>
      </c>
      <c r="BK443" s="26" t="e" vm="1">
        <v>#REF!</v>
      </c>
      <c r="BL443" s="26"/>
      <c r="BM443" t="e" vm="2">
        <f t="shared" si="26"/>
        <v>#VALUE!</v>
      </c>
      <c r="BN443" t="e" vm="2">
        <f t="shared" si="27"/>
        <v>#VALUE!</v>
      </c>
      <c r="BO443" s="26"/>
      <c r="BP443" s="26"/>
      <c r="BQ443" s="26"/>
      <c r="BR443" s="25">
        <v>38078</v>
      </c>
      <c r="BS443" s="26">
        <f t="shared" si="29"/>
        <v>4</v>
      </c>
      <c r="BT443" s="26">
        <f t="shared" si="30"/>
        <v>2004</v>
      </c>
      <c r="BU443" s="26" t="e">
        <f t="shared" si="28"/>
        <v>#DIV/0!</v>
      </c>
    </row>
    <row r="444" spans="1:73" x14ac:dyDescent="0.2">
      <c r="A444" s="25">
        <f>Prices!A443</f>
        <v>39203</v>
      </c>
      <c r="B444" s="28">
        <f t="shared" si="48"/>
        <v>0</v>
      </c>
      <c r="C444" s="28">
        <f t="shared" si="44"/>
        <v>0</v>
      </c>
      <c r="D444" s="28" t="e">
        <f t="shared" si="49"/>
        <v>#DIV/0!</v>
      </c>
      <c r="E444" s="28" t="e">
        <f t="shared" si="38"/>
        <v>#DIV/0!</v>
      </c>
      <c r="F444" s="28" t="e">
        <f t="shared" si="34"/>
        <v>#DIV/0!</v>
      </c>
      <c r="G444" s="28" t="e">
        <f>Prices!P443-D444</f>
        <v>#DIV/0!</v>
      </c>
      <c r="H444" s="28" t="e">
        <f t="shared" si="45"/>
        <v>#DIV/0!</v>
      </c>
      <c r="I444" s="28" t="e">
        <f t="shared" si="46"/>
        <v>#DIV/0!</v>
      </c>
      <c r="J444" s="28" t="e">
        <f t="shared" si="47"/>
        <v>#DIV/0!</v>
      </c>
      <c r="AI444" s="26"/>
      <c r="AJ444" s="26"/>
      <c r="AK444" s="26"/>
      <c r="AL444" s="26"/>
      <c r="AM444" s="26"/>
      <c r="AN444" s="26"/>
      <c r="AO444" s="26"/>
      <c r="AP444" s="25">
        <v>39203</v>
      </c>
      <c r="AQ444" s="29">
        <v>0.91392727272727292</v>
      </c>
      <c r="BA444" s="26">
        <f t="shared" si="36"/>
        <v>5</v>
      </c>
      <c r="BB444" s="26">
        <f t="shared" si="37"/>
        <v>2007</v>
      </c>
      <c r="BC444" s="25" t="e" vm="1">
        <v>#REF!</v>
      </c>
      <c r="BD444" s="26" t="e" vm="1">
        <v>#REF!</v>
      </c>
      <c r="BE444" s="26"/>
      <c r="BF444" s="26" t="e" vm="2">
        <f t="shared" si="24"/>
        <v>#VALUE!</v>
      </c>
      <c r="BG444" s="26" t="e" vm="2">
        <f t="shared" si="25"/>
        <v>#VALUE!</v>
      </c>
      <c r="BH444" s="26"/>
      <c r="BI444" s="26"/>
      <c r="BJ444" s="21" t="e" vm="1">
        <v>#REF!</v>
      </c>
      <c r="BK444" s="26" t="e" vm="1">
        <v>#REF!</v>
      </c>
      <c r="BL444" s="26"/>
      <c r="BM444" t="e" vm="2">
        <f t="shared" si="26"/>
        <v>#VALUE!</v>
      </c>
      <c r="BN444" t="e" vm="2">
        <f t="shared" si="27"/>
        <v>#VALUE!</v>
      </c>
      <c r="BO444" s="26"/>
      <c r="BP444" s="26"/>
      <c r="BQ444" s="26"/>
      <c r="BR444" s="25">
        <v>38108</v>
      </c>
      <c r="BS444" s="26">
        <f t="shared" si="29"/>
        <v>5</v>
      </c>
      <c r="BT444" s="26">
        <f t="shared" si="30"/>
        <v>2004</v>
      </c>
      <c r="BU444" s="26" t="e">
        <f t="shared" si="28"/>
        <v>#DIV/0!</v>
      </c>
    </row>
    <row r="445" spans="1:73" x14ac:dyDescent="0.2">
      <c r="A445" s="25">
        <f>Prices!A444</f>
        <v>39234</v>
      </c>
      <c r="B445" s="28">
        <f t="shared" si="48"/>
        <v>0</v>
      </c>
      <c r="C445" s="28">
        <f t="shared" si="44"/>
        <v>0</v>
      </c>
      <c r="D445" s="28" t="e">
        <f t="shared" si="49"/>
        <v>#DIV/0!</v>
      </c>
      <c r="E445" s="28" t="e">
        <f t="shared" si="38"/>
        <v>#DIV/0!</v>
      </c>
      <c r="F445" s="28" t="e">
        <f t="shared" si="34"/>
        <v>#DIV/0!</v>
      </c>
      <c r="G445" s="28" t="e">
        <f>Prices!P444-D445</f>
        <v>#DIV/0!</v>
      </c>
      <c r="H445" s="28" t="e">
        <f t="shared" si="45"/>
        <v>#DIV/0!</v>
      </c>
      <c r="I445" s="28" t="e">
        <f t="shared" si="46"/>
        <v>#DIV/0!</v>
      </c>
      <c r="J445" s="28" t="e">
        <f t="shared" si="47"/>
        <v>#DIV/0!</v>
      </c>
      <c r="AI445" s="26"/>
      <c r="AJ445" s="26"/>
      <c r="AK445" s="26"/>
      <c r="AL445" s="26"/>
      <c r="AM445" s="26"/>
      <c r="AN445" s="26"/>
      <c r="AO445" s="26"/>
      <c r="AP445" s="25">
        <v>39234</v>
      </c>
      <c r="AQ445" s="29">
        <v>0.93921428571428556</v>
      </c>
      <c r="BA445" s="26">
        <f t="shared" si="36"/>
        <v>6</v>
      </c>
      <c r="BB445" s="26">
        <f t="shared" si="37"/>
        <v>2007</v>
      </c>
      <c r="BC445" s="25" t="e" vm="1">
        <v>#REF!</v>
      </c>
      <c r="BD445" s="26" t="e" vm="1">
        <v>#REF!</v>
      </c>
      <c r="BE445" s="26"/>
      <c r="BF445" s="26" t="e" vm="2">
        <f t="shared" si="24"/>
        <v>#VALUE!</v>
      </c>
      <c r="BG445" s="26" t="e" vm="2">
        <f t="shared" si="25"/>
        <v>#VALUE!</v>
      </c>
      <c r="BH445" s="26"/>
      <c r="BI445" s="26"/>
      <c r="BJ445" s="21" t="e" vm="1">
        <v>#REF!</v>
      </c>
      <c r="BK445" s="26" t="e" vm="1">
        <v>#REF!</v>
      </c>
      <c r="BL445" s="26"/>
      <c r="BM445" t="e" vm="2">
        <f t="shared" si="26"/>
        <v>#VALUE!</v>
      </c>
      <c r="BN445" t="e" vm="2">
        <f t="shared" si="27"/>
        <v>#VALUE!</v>
      </c>
      <c r="BO445" s="26"/>
      <c r="BP445" s="26"/>
      <c r="BQ445" s="26"/>
      <c r="BR445" s="25">
        <v>38139</v>
      </c>
      <c r="BS445" s="26">
        <f t="shared" si="29"/>
        <v>6</v>
      </c>
      <c r="BT445" s="26">
        <f t="shared" si="30"/>
        <v>2004</v>
      </c>
      <c r="BU445" s="26" t="e">
        <f t="shared" si="28"/>
        <v>#DIV/0!</v>
      </c>
    </row>
    <row r="446" spans="1:73" x14ac:dyDescent="0.2">
      <c r="A446" s="25">
        <f>Prices!A445</f>
        <v>39264</v>
      </c>
      <c r="B446" s="28">
        <f t="shared" si="48"/>
        <v>0</v>
      </c>
      <c r="C446" s="28">
        <f t="shared" si="44"/>
        <v>0</v>
      </c>
      <c r="D446" s="28" t="e">
        <f t="shared" si="49"/>
        <v>#DIV/0!</v>
      </c>
      <c r="E446" s="28" t="e">
        <f t="shared" si="38"/>
        <v>#DIV/0!</v>
      </c>
      <c r="F446" s="28" t="e">
        <f t="shared" si="34"/>
        <v>#DIV/0!</v>
      </c>
      <c r="G446" s="28" t="e">
        <f>Prices!P445-D446</f>
        <v>#DIV/0!</v>
      </c>
      <c r="H446" s="28" t="e">
        <f t="shared" si="45"/>
        <v>#DIV/0!</v>
      </c>
      <c r="I446" s="28" t="e">
        <f t="shared" si="46"/>
        <v>#DIV/0!</v>
      </c>
      <c r="J446" s="28" t="e">
        <f t="shared" si="47"/>
        <v>#DIV/0!</v>
      </c>
      <c r="AI446" s="26"/>
      <c r="AJ446" s="26"/>
      <c r="AK446" s="26"/>
      <c r="AL446" s="26"/>
      <c r="AM446" s="26"/>
      <c r="AN446" s="26"/>
      <c r="AO446" s="26"/>
      <c r="AP446" s="25">
        <v>39264</v>
      </c>
      <c r="AQ446" s="29">
        <v>0.95298095238095215</v>
      </c>
      <c r="BA446" s="26">
        <f t="shared" si="36"/>
        <v>7</v>
      </c>
      <c r="BB446" s="26">
        <f t="shared" si="37"/>
        <v>2007</v>
      </c>
      <c r="BC446" s="25" t="e" vm="1">
        <v>#REF!</v>
      </c>
      <c r="BD446" s="26" t="e" vm="1">
        <v>#REF!</v>
      </c>
      <c r="BE446" s="26"/>
      <c r="BF446" s="26" t="e" vm="2">
        <f t="shared" si="24"/>
        <v>#VALUE!</v>
      </c>
      <c r="BG446" s="26" t="e" vm="2">
        <f t="shared" si="25"/>
        <v>#VALUE!</v>
      </c>
      <c r="BH446" s="26"/>
      <c r="BI446" s="26"/>
      <c r="BJ446" s="21" t="e" vm="1">
        <v>#REF!</v>
      </c>
      <c r="BK446" s="26" t="e" vm="1">
        <v>#REF!</v>
      </c>
      <c r="BL446" s="26"/>
      <c r="BM446" t="e" vm="2">
        <f t="shared" si="26"/>
        <v>#VALUE!</v>
      </c>
      <c r="BN446" t="e" vm="2">
        <f t="shared" si="27"/>
        <v>#VALUE!</v>
      </c>
      <c r="BO446" s="26"/>
      <c r="BP446" s="26"/>
      <c r="BQ446" s="26"/>
      <c r="BR446" s="25">
        <v>38169</v>
      </c>
      <c r="BS446" s="26">
        <f t="shared" si="29"/>
        <v>7</v>
      </c>
      <c r="BT446" s="26">
        <f t="shared" si="30"/>
        <v>2004</v>
      </c>
      <c r="BU446" s="26" t="e">
        <f t="shared" si="28"/>
        <v>#DIV/0!</v>
      </c>
    </row>
    <row r="447" spans="1:73" x14ac:dyDescent="0.2">
      <c r="A447" s="25">
        <f>Prices!A446</f>
        <v>39295</v>
      </c>
      <c r="B447" s="28">
        <f t="shared" si="48"/>
        <v>0</v>
      </c>
      <c r="C447" s="28">
        <f t="shared" si="44"/>
        <v>0</v>
      </c>
      <c r="D447" s="28" t="e">
        <f t="shared" si="49"/>
        <v>#DIV/0!</v>
      </c>
      <c r="E447" s="28" t="e">
        <f t="shared" si="38"/>
        <v>#DIV/0!</v>
      </c>
      <c r="F447" s="28" t="e">
        <f t="shared" si="34"/>
        <v>#DIV/0!</v>
      </c>
      <c r="G447" s="28" t="e">
        <f>Prices!P446-D447</f>
        <v>#DIV/0!</v>
      </c>
      <c r="H447" s="28" t="e">
        <f t="shared" si="45"/>
        <v>#DIV/0!</v>
      </c>
      <c r="I447" s="28" t="e">
        <f t="shared" si="46"/>
        <v>#DIV/0!</v>
      </c>
      <c r="J447" s="28" t="e">
        <f t="shared" si="47"/>
        <v>#DIV/0!</v>
      </c>
      <c r="AI447" s="26"/>
      <c r="AJ447" s="26"/>
      <c r="AK447" s="26"/>
      <c r="AL447" s="26"/>
      <c r="AM447" s="26"/>
      <c r="AN447" s="26"/>
      <c r="AO447" s="26"/>
      <c r="AP447" s="25">
        <v>39295</v>
      </c>
      <c r="AQ447" s="29">
        <v>0.94521739130434779</v>
      </c>
      <c r="BA447" s="26">
        <f t="shared" si="36"/>
        <v>8</v>
      </c>
      <c r="BB447" s="26">
        <f t="shared" si="37"/>
        <v>2007</v>
      </c>
      <c r="BC447" s="25" t="e" vm="1">
        <v>#REF!</v>
      </c>
      <c r="BD447" s="26" t="e" vm="1">
        <v>#REF!</v>
      </c>
      <c r="BE447" s="26"/>
      <c r="BF447" s="26" t="e" vm="2">
        <f t="shared" si="24"/>
        <v>#VALUE!</v>
      </c>
      <c r="BG447" s="26" t="e" vm="2">
        <f t="shared" si="25"/>
        <v>#VALUE!</v>
      </c>
      <c r="BH447" s="26"/>
      <c r="BI447" s="26"/>
      <c r="BJ447" s="21" t="e" vm="1">
        <v>#REF!</v>
      </c>
      <c r="BK447" s="26" t="e" vm="1">
        <v>#REF!</v>
      </c>
      <c r="BL447" s="26"/>
      <c r="BM447" t="e" vm="2">
        <f t="shared" si="26"/>
        <v>#VALUE!</v>
      </c>
      <c r="BN447" t="e" vm="2">
        <f t="shared" si="27"/>
        <v>#VALUE!</v>
      </c>
      <c r="BO447" s="26"/>
      <c r="BP447" s="26"/>
      <c r="BQ447" s="26"/>
      <c r="BR447" s="25">
        <v>38200</v>
      </c>
      <c r="BS447" s="26">
        <f t="shared" si="29"/>
        <v>8</v>
      </c>
      <c r="BT447" s="26">
        <f t="shared" si="30"/>
        <v>2004</v>
      </c>
      <c r="BU447" s="26" t="e">
        <f t="shared" si="28"/>
        <v>#DIV/0!</v>
      </c>
    </row>
    <row r="448" spans="1:73" x14ac:dyDescent="0.2">
      <c r="A448" s="25">
        <f>Prices!A447</f>
        <v>39326</v>
      </c>
      <c r="B448" s="28">
        <f t="shared" si="48"/>
        <v>0</v>
      </c>
      <c r="C448" s="28">
        <f t="shared" si="44"/>
        <v>0</v>
      </c>
      <c r="D448" s="28" t="e">
        <f t="shared" si="49"/>
        <v>#DIV/0!</v>
      </c>
      <c r="E448" s="28" t="e">
        <f t="shared" si="38"/>
        <v>#DIV/0!</v>
      </c>
      <c r="F448" s="28" t="e">
        <f t="shared" si="34"/>
        <v>#DIV/0!</v>
      </c>
      <c r="G448" s="28" t="e">
        <f>Prices!P447-D448</f>
        <v>#DIV/0!</v>
      </c>
      <c r="H448" s="28" t="e">
        <f t="shared" si="45"/>
        <v>#DIV/0!</v>
      </c>
      <c r="I448" s="28" t="e">
        <f t="shared" si="46"/>
        <v>#DIV/0!</v>
      </c>
      <c r="J448" s="28" t="e">
        <f t="shared" si="47"/>
        <v>#DIV/0!</v>
      </c>
      <c r="AI448" s="26"/>
      <c r="AJ448" s="26"/>
      <c r="AK448" s="26"/>
      <c r="AL448" s="26"/>
      <c r="AM448" s="26"/>
      <c r="AN448" s="26"/>
      <c r="AO448" s="26"/>
      <c r="AP448" s="25">
        <v>39326</v>
      </c>
      <c r="AQ448" s="27">
        <v>0.97664736842105282</v>
      </c>
      <c r="BA448" s="26">
        <f t="shared" si="36"/>
        <v>9</v>
      </c>
      <c r="BB448" s="26">
        <f t="shared" si="37"/>
        <v>2007</v>
      </c>
      <c r="BC448" s="25" t="e" vm="1">
        <v>#REF!</v>
      </c>
      <c r="BD448" s="26" t="e" vm="1">
        <v>#REF!</v>
      </c>
      <c r="BE448" s="26"/>
      <c r="BF448" s="26" t="e" vm="2">
        <f t="shared" si="24"/>
        <v>#VALUE!</v>
      </c>
      <c r="BG448" s="26" t="e" vm="2">
        <f t="shared" si="25"/>
        <v>#VALUE!</v>
      </c>
      <c r="BH448" s="26"/>
      <c r="BI448" s="26"/>
      <c r="BJ448" s="21" t="e" vm="1">
        <v>#REF!</v>
      </c>
      <c r="BK448" s="26" t="e" vm="1">
        <v>#REF!</v>
      </c>
      <c r="BL448" s="26"/>
      <c r="BM448" t="e" vm="2">
        <f t="shared" si="26"/>
        <v>#VALUE!</v>
      </c>
      <c r="BN448" t="e" vm="2">
        <f t="shared" si="27"/>
        <v>#VALUE!</v>
      </c>
      <c r="BO448" s="26"/>
      <c r="BP448" s="26"/>
      <c r="BQ448" s="26"/>
      <c r="BR448" s="25">
        <v>38231</v>
      </c>
      <c r="BS448" s="26">
        <f t="shared" si="29"/>
        <v>9</v>
      </c>
      <c r="BT448" s="26">
        <f t="shared" si="30"/>
        <v>2004</v>
      </c>
      <c r="BU448" s="26" t="e">
        <f t="shared" si="28"/>
        <v>#DIV/0!</v>
      </c>
    </row>
    <row r="449" spans="1:73" x14ac:dyDescent="0.2">
      <c r="A449" s="25">
        <f>Prices!A448</f>
        <v>39356</v>
      </c>
      <c r="B449" s="28">
        <f t="shared" si="48"/>
        <v>0</v>
      </c>
      <c r="C449" s="28">
        <f t="shared" si="44"/>
        <v>0</v>
      </c>
      <c r="D449" s="28" t="e">
        <f t="shared" si="49"/>
        <v>#DIV/0!</v>
      </c>
      <c r="E449" s="28" t="e">
        <f t="shared" si="38"/>
        <v>#DIV/0!</v>
      </c>
      <c r="F449" s="28" t="e">
        <f t="shared" si="34"/>
        <v>#DIV/0!</v>
      </c>
      <c r="G449" s="28" t="e">
        <f>Prices!P448-D449</f>
        <v>#DIV/0!</v>
      </c>
      <c r="H449" s="28" t="e">
        <f t="shared" si="45"/>
        <v>#DIV/0!</v>
      </c>
      <c r="I449" s="28" t="e">
        <f t="shared" si="46"/>
        <v>#DIV/0!</v>
      </c>
      <c r="J449" s="28" t="e">
        <f t="shared" si="47"/>
        <v>#DIV/0!</v>
      </c>
      <c r="AI449" s="26"/>
      <c r="AJ449" s="26"/>
      <c r="AK449" s="26"/>
      <c r="AL449" s="26"/>
      <c r="AM449" s="26"/>
      <c r="AN449" s="26"/>
      <c r="AO449" s="26"/>
      <c r="AP449" s="25">
        <v>39356</v>
      </c>
      <c r="AQ449" s="27">
        <v>1.0260173913043478</v>
      </c>
      <c r="BA449" s="26">
        <f t="shared" si="36"/>
        <v>10</v>
      </c>
      <c r="BB449" s="26">
        <f t="shared" si="37"/>
        <v>2007</v>
      </c>
      <c r="BC449" s="25" t="e" vm="1">
        <v>#REF!</v>
      </c>
      <c r="BD449" s="26" t="e" vm="1">
        <v>#REF!</v>
      </c>
      <c r="BE449" s="26"/>
      <c r="BF449" s="26" t="e" vm="2">
        <f t="shared" si="24"/>
        <v>#VALUE!</v>
      </c>
      <c r="BG449" s="26" t="e" vm="2">
        <f t="shared" si="25"/>
        <v>#VALUE!</v>
      </c>
      <c r="BH449" s="26"/>
      <c r="BI449" s="26"/>
      <c r="BJ449" s="21" t="e" vm="1">
        <v>#REF!</v>
      </c>
      <c r="BK449" s="26" t="e" vm="1">
        <v>#REF!</v>
      </c>
      <c r="BL449" s="26"/>
      <c r="BM449" t="e" vm="2">
        <f t="shared" si="26"/>
        <v>#VALUE!</v>
      </c>
      <c r="BN449" t="e" vm="2">
        <f t="shared" si="27"/>
        <v>#VALUE!</v>
      </c>
      <c r="BO449" s="26"/>
      <c r="BP449" s="26"/>
      <c r="BQ449" s="26"/>
      <c r="BR449" s="25">
        <v>38261</v>
      </c>
      <c r="BS449" s="26">
        <f t="shared" si="29"/>
        <v>10</v>
      </c>
      <c r="BT449" s="26">
        <f t="shared" si="30"/>
        <v>2004</v>
      </c>
      <c r="BU449" s="26" t="e">
        <f t="shared" si="28"/>
        <v>#DIV/0!</v>
      </c>
    </row>
    <row r="450" spans="1:73" x14ac:dyDescent="0.2">
      <c r="A450" s="25">
        <f>Prices!A449</f>
        <v>39387</v>
      </c>
      <c r="B450" s="28">
        <f t="shared" si="48"/>
        <v>0</v>
      </c>
      <c r="C450" s="28">
        <f t="shared" si="44"/>
        <v>0</v>
      </c>
      <c r="D450" s="28" t="e">
        <f t="shared" si="49"/>
        <v>#DIV/0!</v>
      </c>
      <c r="E450" s="28" t="e">
        <f t="shared" si="38"/>
        <v>#DIV/0!</v>
      </c>
      <c r="F450" s="28" t="e">
        <f t="shared" si="34"/>
        <v>#DIV/0!</v>
      </c>
      <c r="G450" s="28" t="e">
        <f>Prices!P449-D450</f>
        <v>#DIV/0!</v>
      </c>
      <c r="H450" s="28" t="e">
        <f t="shared" si="45"/>
        <v>#DIV/0!</v>
      </c>
      <c r="I450" s="28" t="e">
        <f t="shared" si="46"/>
        <v>#DIV/0!</v>
      </c>
      <c r="J450" s="28" t="e">
        <f t="shared" si="47"/>
        <v>#DIV/0!</v>
      </c>
      <c r="AI450" s="26"/>
      <c r="AJ450" s="26"/>
      <c r="AK450" s="26"/>
      <c r="AL450" s="26"/>
      <c r="AM450" s="26"/>
      <c r="AN450" s="26"/>
      <c r="AO450" s="26"/>
      <c r="AP450" s="25">
        <v>39387</v>
      </c>
      <c r="AQ450" s="27">
        <v>1.0353761904761904</v>
      </c>
      <c r="BA450" s="26">
        <f t="shared" si="36"/>
        <v>11</v>
      </c>
      <c r="BB450" s="26">
        <f t="shared" si="37"/>
        <v>2007</v>
      </c>
      <c r="BC450" s="25" t="e" vm="1">
        <v>#REF!</v>
      </c>
      <c r="BD450" s="26" t="e" vm="1">
        <v>#REF!</v>
      </c>
      <c r="BE450" s="26"/>
      <c r="BF450" s="26" t="e" vm="2">
        <f t="shared" si="24"/>
        <v>#VALUE!</v>
      </c>
      <c r="BG450" s="26" t="e" vm="2">
        <f t="shared" si="25"/>
        <v>#VALUE!</v>
      </c>
      <c r="BH450" s="26"/>
      <c r="BI450" s="26"/>
      <c r="BJ450" s="21" t="e" vm="1">
        <v>#REF!</v>
      </c>
      <c r="BK450" s="26" t="e" vm="1">
        <v>#REF!</v>
      </c>
      <c r="BL450" s="26"/>
      <c r="BM450" t="e" vm="2">
        <f t="shared" si="26"/>
        <v>#VALUE!</v>
      </c>
      <c r="BN450" t="e" vm="2">
        <f t="shared" si="27"/>
        <v>#VALUE!</v>
      </c>
      <c r="BO450" s="26"/>
      <c r="BP450" s="26"/>
      <c r="BQ450" s="26"/>
      <c r="BR450" s="25">
        <v>38292</v>
      </c>
      <c r="BS450" s="26">
        <f t="shared" si="29"/>
        <v>11</v>
      </c>
      <c r="BT450" s="26">
        <f t="shared" si="30"/>
        <v>2004</v>
      </c>
      <c r="BU450" s="26" t="e">
        <f t="shared" si="28"/>
        <v>#DIV/0!</v>
      </c>
    </row>
    <row r="451" spans="1:73" x14ac:dyDescent="0.2">
      <c r="A451" s="25">
        <f>Prices!A450</f>
        <v>39417</v>
      </c>
      <c r="B451" s="28">
        <f t="shared" si="48"/>
        <v>0</v>
      </c>
      <c r="C451" s="28">
        <f t="shared" si="44"/>
        <v>0</v>
      </c>
      <c r="D451" s="28" t="e">
        <f t="shared" si="49"/>
        <v>#DIV/0!</v>
      </c>
      <c r="E451" s="28" t="e">
        <f t="shared" si="38"/>
        <v>#DIV/0!</v>
      </c>
      <c r="F451" s="28" t="e">
        <f t="shared" si="34"/>
        <v>#DIV/0!</v>
      </c>
      <c r="G451" s="28" t="e">
        <f>Prices!P450-D451</f>
        <v>#DIV/0!</v>
      </c>
      <c r="H451" s="28" t="e">
        <f t="shared" si="45"/>
        <v>#DIV/0!</v>
      </c>
      <c r="I451" s="28" t="e">
        <f t="shared" si="46"/>
        <v>#DIV/0!</v>
      </c>
      <c r="J451" s="28" t="e">
        <f t="shared" si="47"/>
        <v>#DIV/0!</v>
      </c>
      <c r="AI451" s="26"/>
      <c r="AJ451" s="26"/>
      <c r="AK451" s="26"/>
      <c r="AL451" s="26"/>
      <c r="AM451" s="26"/>
      <c r="AN451" s="26"/>
      <c r="AO451" s="26"/>
      <c r="AP451" s="25">
        <v>39417</v>
      </c>
      <c r="AQ451" s="27">
        <v>0.99821500000000007</v>
      </c>
      <c r="AR451" s="26"/>
      <c r="AS451" s="26"/>
      <c r="BA451" s="26">
        <f t="shared" si="36"/>
        <v>12</v>
      </c>
      <c r="BB451" s="26">
        <f t="shared" si="37"/>
        <v>2007</v>
      </c>
      <c r="BC451" s="25" t="e" vm="1">
        <v>#REF!</v>
      </c>
      <c r="BD451" s="26" t="e" vm="1">
        <v>#REF!</v>
      </c>
      <c r="BE451" s="26"/>
      <c r="BF451" s="26" t="e" vm="2">
        <f t="shared" ref="BF451:BF514" si="50">MONTH(BC451)</f>
        <v>#VALUE!</v>
      </c>
      <c r="BG451" s="26" t="e" vm="2">
        <f t="shared" ref="BG451:BG514" si="51">YEAR(BC451)</f>
        <v>#VALUE!</v>
      </c>
      <c r="BH451" s="26"/>
      <c r="BI451" s="26"/>
      <c r="BJ451" s="21" t="e" vm="1">
        <v>#REF!</v>
      </c>
      <c r="BK451" s="26" t="e" vm="1">
        <v>#REF!</v>
      </c>
      <c r="BL451" s="26"/>
      <c r="BM451" t="e" vm="2">
        <f t="shared" si="26"/>
        <v>#VALUE!</v>
      </c>
      <c r="BN451" t="e" vm="2">
        <f t="shared" si="27"/>
        <v>#VALUE!</v>
      </c>
      <c r="BO451" s="26"/>
      <c r="BP451" s="26"/>
      <c r="BQ451" s="26"/>
      <c r="BR451" s="25">
        <v>38322</v>
      </c>
      <c r="BS451" s="26">
        <f t="shared" si="29"/>
        <v>12</v>
      </c>
      <c r="BT451" s="26">
        <f t="shared" si="30"/>
        <v>2004</v>
      </c>
      <c r="BU451" s="26" t="e">
        <f t="shared" si="28"/>
        <v>#DIV/0!</v>
      </c>
    </row>
    <row r="452" spans="1:73" x14ac:dyDescent="0.2">
      <c r="A452" s="25">
        <f>Prices!A451</f>
        <v>39448</v>
      </c>
      <c r="B452" s="28">
        <f t="shared" si="48"/>
        <v>0</v>
      </c>
      <c r="C452" s="28">
        <f t="shared" si="44"/>
        <v>0</v>
      </c>
      <c r="D452" s="28" t="e">
        <f t="shared" si="49"/>
        <v>#DIV/0!</v>
      </c>
      <c r="E452" s="28" t="e">
        <f t="shared" si="38"/>
        <v>#DIV/0!</v>
      </c>
      <c r="F452" s="28" t="e">
        <f t="shared" si="34"/>
        <v>#DIV/0!</v>
      </c>
      <c r="G452" s="28" t="e">
        <f>Prices!P451-D452</f>
        <v>#DIV/0!</v>
      </c>
      <c r="H452" s="28" t="e">
        <f t="shared" si="45"/>
        <v>#DIV/0!</v>
      </c>
      <c r="I452" s="28" t="e">
        <f t="shared" si="46"/>
        <v>#DIV/0!</v>
      </c>
      <c r="J452" s="28" t="e">
        <f t="shared" si="47"/>
        <v>#DIV/0!</v>
      </c>
      <c r="AI452" s="26"/>
      <c r="AJ452" s="26"/>
      <c r="AK452" s="26"/>
      <c r="AL452" s="26"/>
      <c r="AM452" s="26"/>
      <c r="AN452" s="26"/>
      <c r="AO452" s="26"/>
      <c r="AP452" s="25">
        <v>39448</v>
      </c>
      <c r="AQ452" s="27">
        <v>0.98985238095238093</v>
      </c>
      <c r="AR452" s="26"/>
      <c r="AS452" s="26"/>
      <c r="AT452" s="26"/>
      <c r="AU452" s="26"/>
      <c r="AV452" s="26"/>
      <c r="BA452" s="26">
        <f t="shared" si="36"/>
        <v>1</v>
      </c>
      <c r="BB452" s="26">
        <f t="shared" si="37"/>
        <v>2008</v>
      </c>
      <c r="BC452" s="25" t="e" vm="1">
        <v>#REF!</v>
      </c>
      <c r="BD452" s="26" t="e" vm="1">
        <v>#REF!</v>
      </c>
      <c r="BE452" s="26"/>
      <c r="BF452" s="26" t="e" vm="2">
        <f t="shared" si="50"/>
        <v>#VALUE!</v>
      </c>
      <c r="BG452" s="26" t="e" vm="2">
        <f t="shared" si="51"/>
        <v>#VALUE!</v>
      </c>
      <c r="BH452" s="26"/>
      <c r="BI452" s="26"/>
      <c r="BJ452" s="21" t="e" vm="1">
        <v>#REF!</v>
      </c>
      <c r="BK452" s="26" t="e" vm="1">
        <v>#REF!</v>
      </c>
      <c r="BL452" s="26"/>
      <c r="BM452" t="e" vm="2">
        <f t="shared" ref="BM452:BM515" si="52">MONTH(BJ452)</f>
        <v>#VALUE!</v>
      </c>
      <c r="BN452" t="e" vm="2">
        <f t="shared" ref="BN452:BN515" si="53">YEAR(BJ452)</f>
        <v>#VALUE!</v>
      </c>
      <c r="BO452" s="26"/>
      <c r="BP452" s="26"/>
      <c r="BQ452" s="26"/>
      <c r="BR452" s="25">
        <v>38353</v>
      </c>
      <c r="BS452" s="26">
        <f t="shared" si="29"/>
        <v>1</v>
      </c>
      <c r="BT452" s="26">
        <f t="shared" si="30"/>
        <v>2005</v>
      </c>
      <c r="BU452" s="26" t="e">
        <f t="shared" si="28"/>
        <v>#DIV/0!</v>
      </c>
    </row>
    <row r="453" spans="1:73" x14ac:dyDescent="0.2">
      <c r="A453" s="25">
        <f>Prices!A452</f>
        <v>39479</v>
      </c>
      <c r="B453" s="28">
        <f t="shared" si="48"/>
        <v>0</v>
      </c>
      <c r="C453" s="28">
        <f t="shared" si="44"/>
        <v>0</v>
      </c>
      <c r="D453" s="28" t="e">
        <f t="shared" si="49"/>
        <v>#DIV/0!</v>
      </c>
      <c r="E453" s="28" t="e">
        <f t="shared" si="38"/>
        <v>#DIV/0!</v>
      </c>
      <c r="F453" s="28" t="e">
        <f t="shared" si="34"/>
        <v>#DIV/0!</v>
      </c>
      <c r="G453" s="28" t="e">
        <f>Prices!P452-D453</f>
        <v>#DIV/0!</v>
      </c>
      <c r="H453" s="28" t="e">
        <f t="shared" si="45"/>
        <v>#DIV/0!</v>
      </c>
      <c r="I453" s="28" t="e">
        <f t="shared" si="46"/>
        <v>#DIV/0!</v>
      </c>
      <c r="J453" s="28" t="e">
        <f t="shared" si="47"/>
        <v>#DIV/0!</v>
      </c>
      <c r="AI453" s="26"/>
      <c r="AJ453" s="26"/>
      <c r="AK453" s="26"/>
      <c r="AL453" s="26"/>
      <c r="AM453" s="26"/>
      <c r="AN453" s="26"/>
      <c r="AO453" s="26"/>
      <c r="AP453" s="25">
        <v>39479</v>
      </c>
      <c r="AQ453" s="27">
        <v>1.0000199999999999</v>
      </c>
      <c r="AR453" s="26"/>
      <c r="AS453" s="26"/>
      <c r="AT453" s="26"/>
      <c r="AU453" s="26"/>
      <c r="AV453" s="26"/>
      <c r="BA453" s="26">
        <f t="shared" si="36"/>
        <v>2</v>
      </c>
      <c r="BB453" s="26">
        <f t="shared" si="37"/>
        <v>2008</v>
      </c>
      <c r="BC453" s="25" t="e" vm="1">
        <v>#REF!</v>
      </c>
      <c r="BD453" s="26" t="e" vm="1">
        <v>#REF!</v>
      </c>
      <c r="BE453" s="26"/>
      <c r="BF453" s="26" t="e" vm="2">
        <f t="shared" si="50"/>
        <v>#VALUE!</v>
      </c>
      <c r="BG453" s="26" t="e" vm="2">
        <f t="shared" si="51"/>
        <v>#VALUE!</v>
      </c>
      <c r="BH453" s="26"/>
      <c r="BI453" s="26"/>
      <c r="BJ453" s="21" t="e" vm="1">
        <v>#REF!</v>
      </c>
      <c r="BK453" s="26" t="e" vm="1">
        <v>#REF!</v>
      </c>
      <c r="BL453" s="26"/>
      <c r="BM453" t="e" vm="2">
        <f t="shared" si="52"/>
        <v>#VALUE!</v>
      </c>
      <c r="BN453" t="e" vm="2">
        <f t="shared" si="53"/>
        <v>#VALUE!</v>
      </c>
      <c r="BO453" s="26"/>
      <c r="BP453" s="26"/>
      <c r="BQ453" s="26"/>
      <c r="BR453" s="25">
        <v>38384</v>
      </c>
      <c r="BS453" s="26">
        <f t="shared" si="29"/>
        <v>2</v>
      </c>
      <c r="BT453" s="26">
        <f t="shared" si="30"/>
        <v>2005</v>
      </c>
      <c r="BU453" s="26" t="e">
        <f t="shared" si="28"/>
        <v>#DIV/0!</v>
      </c>
    </row>
    <row r="454" spans="1:73" x14ac:dyDescent="0.2">
      <c r="A454" s="25">
        <f>Prices!A453</f>
        <v>39508</v>
      </c>
      <c r="B454" s="28">
        <f t="shared" si="48"/>
        <v>0</v>
      </c>
      <c r="C454" s="28">
        <f t="shared" si="44"/>
        <v>0</v>
      </c>
      <c r="D454" s="28" t="e">
        <f t="shared" si="49"/>
        <v>#DIV/0!</v>
      </c>
      <c r="E454" s="28" t="e">
        <f t="shared" si="38"/>
        <v>#DIV/0!</v>
      </c>
      <c r="F454" s="28" t="e">
        <f t="shared" si="34"/>
        <v>#DIV/0!</v>
      </c>
      <c r="G454" s="28" t="e">
        <f>Prices!P453-D454</f>
        <v>#DIV/0!</v>
      </c>
      <c r="H454" s="28" t="e">
        <f t="shared" si="45"/>
        <v>#DIV/0!</v>
      </c>
      <c r="I454" s="28" t="e">
        <f t="shared" si="46"/>
        <v>#DIV/0!</v>
      </c>
      <c r="J454" s="28" t="e">
        <f t="shared" si="47"/>
        <v>#DIV/0!</v>
      </c>
      <c r="AI454" s="26"/>
      <c r="AJ454" s="26"/>
      <c r="AK454" s="26"/>
      <c r="AL454" s="26"/>
      <c r="AM454" s="26"/>
      <c r="AN454" s="26"/>
      <c r="AO454" s="26"/>
      <c r="AP454" s="25">
        <v>39508</v>
      </c>
      <c r="AQ454" s="27">
        <v>0.99661000000000011</v>
      </c>
      <c r="AR454" s="26"/>
      <c r="AS454" s="26"/>
      <c r="AT454" s="26"/>
      <c r="AU454" s="26"/>
      <c r="AV454" s="26"/>
      <c r="BA454" s="26">
        <f t="shared" si="36"/>
        <v>3</v>
      </c>
      <c r="BB454" s="26">
        <f t="shared" si="37"/>
        <v>2008</v>
      </c>
      <c r="BC454" s="25" t="e" vm="1">
        <v>#REF!</v>
      </c>
      <c r="BD454" s="26" t="e" vm="1">
        <v>#REF!</v>
      </c>
      <c r="BE454" s="26"/>
      <c r="BF454" s="26" t="e" vm="2">
        <f t="shared" si="50"/>
        <v>#VALUE!</v>
      </c>
      <c r="BG454" s="26" t="e" vm="2">
        <f t="shared" si="51"/>
        <v>#VALUE!</v>
      </c>
      <c r="BH454" s="26"/>
      <c r="BI454" s="26"/>
      <c r="BJ454" s="21" t="e" vm="1">
        <v>#REF!</v>
      </c>
      <c r="BK454" s="26" t="e" vm="1">
        <v>#REF!</v>
      </c>
      <c r="BL454" s="26"/>
      <c r="BM454" t="e" vm="2">
        <f t="shared" si="52"/>
        <v>#VALUE!</v>
      </c>
      <c r="BN454" t="e" vm="2">
        <f t="shared" si="53"/>
        <v>#VALUE!</v>
      </c>
      <c r="BO454" s="26"/>
      <c r="BP454" s="26"/>
      <c r="BQ454" s="26"/>
      <c r="BR454" s="25">
        <v>38412</v>
      </c>
      <c r="BS454" s="26">
        <f t="shared" si="29"/>
        <v>3</v>
      </c>
      <c r="BT454" s="26">
        <f t="shared" si="30"/>
        <v>2005</v>
      </c>
      <c r="BU454" s="26" t="e">
        <f t="shared" si="28"/>
        <v>#DIV/0!</v>
      </c>
    </row>
    <row r="455" spans="1:73" x14ac:dyDescent="0.2">
      <c r="A455" s="25">
        <f>Prices!A454</f>
        <v>39539</v>
      </c>
      <c r="B455" s="28">
        <f t="shared" si="48"/>
        <v>0</v>
      </c>
      <c r="C455" s="28">
        <f t="shared" si="44"/>
        <v>0</v>
      </c>
      <c r="D455" s="28" t="e">
        <f t="shared" si="49"/>
        <v>#DIV/0!</v>
      </c>
      <c r="E455" s="28" t="e">
        <f t="shared" si="38"/>
        <v>#DIV/0!</v>
      </c>
      <c r="F455" s="28" t="e">
        <f t="shared" si="34"/>
        <v>#DIV/0!</v>
      </c>
      <c r="G455" s="28" t="e">
        <f>Prices!P454-D455</f>
        <v>#DIV/0!</v>
      </c>
      <c r="H455" s="28" t="e">
        <f t="shared" si="45"/>
        <v>#DIV/0!</v>
      </c>
      <c r="I455" s="28" t="e">
        <f t="shared" si="46"/>
        <v>#DIV/0!</v>
      </c>
      <c r="J455" s="28" t="e">
        <f t="shared" si="47"/>
        <v>#DIV/0!</v>
      </c>
      <c r="AI455" s="26"/>
      <c r="AJ455" s="26"/>
      <c r="AK455" s="26"/>
      <c r="AL455" s="26"/>
      <c r="AM455" s="26"/>
      <c r="AN455" s="26"/>
      <c r="AO455" s="26"/>
      <c r="AP455" s="25">
        <v>39539</v>
      </c>
      <c r="AQ455" s="27">
        <v>0.98630454545454538</v>
      </c>
      <c r="AR455" s="26"/>
      <c r="AS455" s="26"/>
      <c r="AT455" s="26"/>
      <c r="AU455" s="26"/>
      <c r="AV455" s="26"/>
      <c r="BA455" s="26">
        <f t="shared" si="36"/>
        <v>4</v>
      </c>
      <c r="BB455" s="26">
        <f t="shared" si="37"/>
        <v>2008</v>
      </c>
      <c r="BC455" s="25" t="e" vm="1">
        <v>#REF!</v>
      </c>
      <c r="BD455" s="26" t="e" vm="1">
        <v>#REF!</v>
      </c>
      <c r="BE455" s="26"/>
      <c r="BF455" s="26" t="e" vm="2">
        <f t="shared" si="50"/>
        <v>#VALUE!</v>
      </c>
      <c r="BG455" s="26" t="e" vm="2">
        <f t="shared" si="51"/>
        <v>#VALUE!</v>
      </c>
      <c r="BH455" s="26"/>
      <c r="BI455" s="26"/>
      <c r="BJ455" s="21" t="e" vm="1">
        <v>#REF!</v>
      </c>
      <c r="BK455" s="26" t="e" vm="1">
        <v>#REF!</v>
      </c>
      <c r="BL455" s="26"/>
      <c r="BM455" t="e" vm="2">
        <f t="shared" si="52"/>
        <v>#VALUE!</v>
      </c>
      <c r="BN455" t="e" vm="2">
        <f t="shared" si="53"/>
        <v>#VALUE!</v>
      </c>
      <c r="BO455" s="26"/>
      <c r="BP455" s="26"/>
      <c r="BQ455" s="26"/>
      <c r="BR455" s="25">
        <v>38443</v>
      </c>
      <c r="BS455" s="26">
        <f t="shared" si="29"/>
        <v>4</v>
      </c>
      <c r="BT455" s="26">
        <f t="shared" si="30"/>
        <v>2005</v>
      </c>
      <c r="BU455" s="26" t="e">
        <f t="shared" si="28"/>
        <v>#DIV/0!</v>
      </c>
    </row>
    <row r="456" spans="1:73" x14ac:dyDescent="0.2">
      <c r="A456" s="25">
        <f>Prices!A455</f>
        <v>39569</v>
      </c>
      <c r="B456" s="28">
        <f t="shared" si="48"/>
        <v>0</v>
      </c>
      <c r="C456" s="28">
        <f t="shared" si="44"/>
        <v>0</v>
      </c>
      <c r="D456" s="28" t="e">
        <f t="shared" si="49"/>
        <v>#DIV/0!</v>
      </c>
      <c r="E456" s="28" t="e">
        <f t="shared" si="38"/>
        <v>#DIV/0!</v>
      </c>
      <c r="F456" s="28" t="e">
        <f t="shared" si="34"/>
        <v>#DIV/0!</v>
      </c>
      <c r="G456" s="28" t="e">
        <f>Prices!P455-D456</f>
        <v>#DIV/0!</v>
      </c>
      <c r="H456" s="28" t="e">
        <f t="shared" si="45"/>
        <v>#DIV/0!</v>
      </c>
      <c r="I456" s="28" t="e">
        <f t="shared" si="46"/>
        <v>#DIV/0!</v>
      </c>
      <c r="J456" s="28" t="e">
        <f t="shared" si="47"/>
        <v>#DIV/0!</v>
      </c>
      <c r="AI456" s="26"/>
      <c r="AJ456" s="26"/>
      <c r="AK456" s="26"/>
      <c r="AL456" s="26"/>
      <c r="AM456" s="26"/>
      <c r="AN456" s="26"/>
      <c r="AO456" s="26"/>
      <c r="AP456" s="25">
        <v>39569</v>
      </c>
      <c r="AQ456" s="27">
        <v>0.99937619047619042</v>
      </c>
      <c r="AR456" s="26"/>
      <c r="AS456" s="26"/>
      <c r="AT456" s="26"/>
      <c r="AU456" s="26"/>
      <c r="AV456" s="26"/>
      <c r="BA456" s="26">
        <f t="shared" si="36"/>
        <v>5</v>
      </c>
      <c r="BB456" s="26">
        <f t="shared" si="37"/>
        <v>2008</v>
      </c>
      <c r="BC456" s="25" t="e" vm="1">
        <v>#REF!</v>
      </c>
      <c r="BD456" s="26" t="e" vm="1">
        <v>#REF!</v>
      </c>
      <c r="BE456" s="26"/>
      <c r="BF456" s="26" t="e" vm="2">
        <f t="shared" si="50"/>
        <v>#VALUE!</v>
      </c>
      <c r="BG456" s="26" t="e" vm="2">
        <f t="shared" si="51"/>
        <v>#VALUE!</v>
      </c>
      <c r="BH456" s="26"/>
      <c r="BI456" s="26"/>
      <c r="BJ456" s="21" t="e" vm="1">
        <v>#REF!</v>
      </c>
      <c r="BK456" s="26" t="e" vm="1">
        <v>#REF!</v>
      </c>
      <c r="BL456" s="26"/>
      <c r="BM456" t="e" vm="2">
        <f t="shared" si="52"/>
        <v>#VALUE!</v>
      </c>
      <c r="BN456" t="e" vm="2">
        <f t="shared" si="53"/>
        <v>#VALUE!</v>
      </c>
      <c r="BO456" s="26"/>
      <c r="BP456" s="26"/>
      <c r="BQ456" s="26"/>
      <c r="BR456" s="25">
        <v>38473</v>
      </c>
      <c r="BS456" s="26">
        <f t="shared" si="29"/>
        <v>5</v>
      </c>
      <c r="BT456" s="26">
        <f t="shared" si="30"/>
        <v>2005</v>
      </c>
      <c r="BU456" s="26" t="e">
        <f t="shared" ref="BU456:BU519" si="54">AVERAGEIFS($BK$3:$BK$5500,$BM$3:$BM$5500,BS456,$BN$3:$BN$5500,BT456)</f>
        <v>#DIV/0!</v>
      </c>
    </row>
    <row r="457" spans="1:73" x14ac:dyDescent="0.2">
      <c r="A457" s="25">
        <f>Prices!A456</f>
        <v>39600</v>
      </c>
      <c r="B457" s="28">
        <f t="shared" si="48"/>
        <v>0</v>
      </c>
      <c r="C457" s="28">
        <f t="shared" si="44"/>
        <v>0</v>
      </c>
      <c r="D457" s="28" t="e">
        <f t="shared" si="49"/>
        <v>#DIV/0!</v>
      </c>
      <c r="E457" s="28" t="e">
        <f t="shared" si="38"/>
        <v>#DIV/0!</v>
      </c>
      <c r="F457" s="28" t="e">
        <f t="shared" si="34"/>
        <v>#DIV/0!</v>
      </c>
      <c r="G457" s="28" t="e">
        <f>Prices!P456-D457</f>
        <v>#DIV/0!</v>
      </c>
      <c r="H457" s="28" t="e">
        <f t="shared" si="45"/>
        <v>#DIV/0!</v>
      </c>
      <c r="I457" s="28" t="e">
        <f t="shared" si="46"/>
        <v>#DIV/0!</v>
      </c>
      <c r="J457" s="28" t="e">
        <f t="shared" si="47"/>
        <v>#DIV/0!</v>
      </c>
      <c r="AI457" s="26"/>
      <c r="AJ457" s="26"/>
      <c r="AK457" s="26"/>
      <c r="AL457" s="26"/>
      <c r="AM457" s="26"/>
      <c r="AN457" s="26"/>
      <c r="AO457" s="26"/>
      <c r="AP457" s="25">
        <v>39600</v>
      </c>
      <c r="AQ457" s="27">
        <v>0.98290000000000011</v>
      </c>
      <c r="AR457" s="26"/>
      <c r="AS457" s="26"/>
      <c r="AT457" s="26"/>
      <c r="AU457" s="26"/>
      <c r="AV457" s="26"/>
      <c r="BA457" s="26">
        <f t="shared" si="36"/>
        <v>6</v>
      </c>
      <c r="BB457" s="26">
        <f t="shared" si="37"/>
        <v>2008</v>
      </c>
      <c r="BC457" s="25" t="e" vm="1">
        <v>#REF!</v>
      </c>
      <c r="BD457" s="26" t="e" vm="1">
        <v>#REF!</v>
      </c>
      <c r="BE457" s="26"/>
      <c r="BF457" s="26" t="e" vm="2">
        <f t="shared" si="50"/>
        <v>#VALUE!</v>
      </c>
      <c r="BG457" s="26" t="e" vm="2">
        <f t="shared" si="51"/>
        <v>#VALUE!</v>
      </c>
      <c r="BH457" s="26"/>
      <c r="BI457" s="26"/>
      <c r="BJ457" s="21" t="e" vm="1">
        <v>#REF!</v>
      </c>
      <c r="BK457" s="26" t="e" vm="1">
        <v>#REF!</v>
      </c>
      <c r="BL457" s="26"/>
      <c r="BM457" t="e" vm="2">
        <f t="shared" si="52"/>
        <v>#VALUE!</v>
      </c>
      <c r="BN457" t="e" vm="2">
        <f t="shared" si="53"/>
        <v>#VALUE!</v>
      </c>
      <c r="BO457" s="26"/>
      <c r="BP457" s="26"/>
      <c r="BQ457" s="26"/>
      <c r="BR457" s="25">
        <v>38504</v>
      </c>
      <c r="BS457" s="26">
        <f t="shared" ref="BS457:BS520" si="55">MONTH(BR457)</f>
        <v>6</v>
      </c>
      <c r="BT457" s="26">
        <f t="shared" ref="BT457:BT520" si="56">YEAR(BR457)</f>
        <v>2005</v>
      </c>
      <c r="BU457" s="26" t="e">
        <f t="shared" si="54"/>
        <v>#DIV/0!</v>
      </c>
    </row>
    <row r="458" spans="1:73" x14ac:dyDescent="0.2">
      <c r="A458" s="25">
        <f>Prices!A457</f>
        <v>39630</v>
      </c>
      <c r="B458" s="28">
        <f t="shared" si="48"/>
        <v>0</v>
      </c>
      <c r="C458" s="28">
        <f t="shared" si="44"/>
        <v>0</v>
      </c>
      <c r="D458" s="28" t="e">
        <f t="shared" si="49"/>
        <v>#DIV/0!</v>
      </c>
      <c r="E458" s="28" t="e">
        <f t="shared" si="38"/>
        <v>#DIV/0!</v>
      </c>
      <c r="F458" s="28" t="e">
        <f t="shared" si="34"/>
        <v>#DIV/0!</v>
      </c>
      <c r="G458" s="28" t="e">
        <f>Prices!P457-D458</f>
        <v>#DIV/0!</v>
      </c>
      <c r="H458" s="28" t="e">
        <f t="shared" si="45"/>
        <v>#DIV/0!</v>
      </c>
      <c r="I458" s="28" t="e">
        <f t="shared" si="46"/>
        <v>#DIV/0!</v>
      </c>
      <c r="J458" s="28" t="e">
        <f t="shared" si="47"/>
        <v>#DIV/0!</v>
      </c>
      <c r="AI458" s="26"/>
      <c r="AJ458" s="26"/>
      <c r="AK458" s="26"/>
      <c r="AL458" s="26"/>
      <c r="AM458" s="26"/>
      <c r="AN458" s="26"/>
      <c r="AO458" s="26"/>
      <c r="AP458" s="25">
        <v>39630</v>
      </c>
      <c r="AQ458" s="27">
        <v>0.98612272727272743</v>
      </c>
      <c r="AR458" s="26"/>
      <c r="AS458" s="26"/>
      <c r="AT458" s="26"/>
      <c r="AU458" s="26"/>
      <c r="AV458" s="26"/>
      <c r="BA458" s="26">
        <f t="shared" si="36"/>
        <v>7</v>
      </c>
      <c r="BB458" s="26">
        <f t="shared" si="37"/>
        <v>2008</v>
      </c>
      <c r="BC458" s="25" t="e" vm="1">
        <v>#REF!</v>
      </c>
      <c r="BD458" s="26" t="e" vm="1">
        <v>#REF!</v>
      </c>
      <c r="BE458" s="26"/>
      <c r="BF458" s="26" t="e" vm="2">
        <f t="shared" si="50"/>
        <v>#VALUE!</v>
      </c>
      <c r="BG458" s="26" t="e" vm="2">
        <f t="shared" si="51"/>
        <v>#VALUE!</v>
      </c>
      <c r="BH458" s="26"/>
      <c r="BI458" s="26"/>
      <c r="BJ458" s="21" t="e" vm="1">
        <v>#REF!</v>
      </c>
      <c r="BK458" s="26" t="e" vm="1">
        <v>#REF!</v>
      </c>
      <c r="BL458" s="26"/>
      <c r="BM458" t="e" vm="2">
        <f t="shared" si="52"/>
        <v>#VALUE!</v>
      </c>
      <c r="BN458" t="e" vm="2">
        <f t="shared" si="53"/>
        <v>#VALUE!</v>
      </c>
      <c r="BO458" s="26"/>
      <c r="BP458" s="26"/>
      <c r="BQ458" s="26"/>
      <c r="BR458" s="25">
        <v>38534</v>
      </c>
      <c r="BS458" s="26">
        <f t="shared" si="55"/>
        <v>7</v>
      </c>
      <c r="BT458" s="26">
        <f t="shared" si="56"/>
        <v>2005</v>
      </c>
      <c r="BU458" s="26" t="e">
        <f t="shared" si="54"/>
        <v>#DIV/0!</v>
      </c>
    </row>
    <row r="459" spans="1:73" x14ac:dyDescent="0.2">
      <c r="A459" s="25">
        <f>Prices!A458</f>
        <v>39661</v>
      </c>
      <c r="B459" s="28">
        <f t="shared" si="48"/>
        <v>0</v>
      </c>
      <c r="C459" s="28">
        <f t="shared" si="44"/>
        <v>0</v>
      </c>
      <c r="D459" s="28" t="e">
        <f t="shared" si="49"/>
        <v>#DIV/0!</v>
      </c>
      <c r="E459" s="28" t="e">
        <f t="shared" si="38"/>
        <v>#DIV/0!</v>
      </c>
      <c r="F459" s="28" t="e">
        <f t="shared" si="34"/>
        <v>#DIV/0!</v>
      </c>
      <c r="G459" s="28" t="e">
        <f>Prices!P458-D459</f>
        <v>#DIV/0!</v>
      </c>
      <c r="H459" s="28" t="e">
        <f t="shared" si="45"/>
        <v>#DIV/0!</v>
      </c>
      <c r="I459" s="28" t="e">
        <f t="shared" si="46"/>
        <v>#DIV/0!</v>
      </c>
      <c r="J459" s="28" t="e">
        <f t="shared" si="47"/>
        <v>#DIV/0!</v>
      </c>
      <c r="AI459" s="26"/>
      <c r="AJ459" s="26"/>
      <c r="AK459" s="26"/>
      <c r="AL459" s="26"/>
      <c r="AM459" s="26"/>
      <c r="AN459" s="26"/>
      <c r="AO459" s="26"/>
      <c r="AP459" s="25">
        <v>39661</v>
      </c>
      <c r="AQ459" s="27">
        <v>0.94839523809523807</v>
      </c>
      <c r="AR459" s="26"/>
      <c r="AS459" s="26"/>
      <c r="AT459" s="26"/>
      <c r="AU459" s="26"/>
      <c r="AV459" s="26"/>
      <c r="BA459" s="26">
        <f t="shared" si="36"/>
        <v>8</v>
      </c>
      <c r="BB459" s="26">
        <f t="shared" si="37"/>
        <v>2008</v>
      </c>
      <c r="BC459" s="25" t="e" vm="1">
        <v>#REF!</v>
      </c>
      <c r="BD459" s="26" t="e" vm="1">
        <v>#REF!</v>
      </c>
      <c r="BE459" s="26"/>
      <c r="BF459" s="26" t="e" vm="2">
        <f t="shared" si="50"/>
        <v>#VALUE!</v>
      </c>
      <c r="BG459" s="26" t="e" vm="2">
        <f t="shared" si="51"/>
        <v>#VALUE!</v>
      </c>
      <c r="BH459" s="26"/>
      <c r="BI459" s="26"/>
      <c r="BJ459" s="21" t="e" vm="1">
        <v>#REF!</v>
      </c>
      <c r="BK459" s="26" t="e" vm="1">
        <v>#REF!</v>
      </c>
      <c r="BL459" s="26"/>
      <c r="BM459" t="e" vm="2">
        <f t="shared" si="52"/>
        <v>#VALUE!</v>
      </c>
      <c r="BN459" t="e" vm="2">
        <f t="shared" si="53"/>
        <v>#VALUE!</v>
      </c>
      <c r="BO459" s="26"/>
      <c r="BP459" s="26"/>
      <c r="BQ459" s="26"/>
      <c r="BR459" s="25">
        <v>38565</v>
      </c>
      <c r="BS459" s="26">
        <f t="shared" si="55"/>
        <v>8</v>
      </c>
      <c r="BT459" s="26">
        <f t="shared" si="56"/>
        <v>2005</v>
      </c>
      <c r="BU459" s="26" t="e">
        <f t="shared" si="54"/>
        <v>#DIV/0!</v>
      </c>
    </row>
    <row r="460" spans="1:73" x14ac:dyDescent="0.2">
      <c r="A460" s="25">
        <f>Prices!A459</f>
        <v>39692</v>
      </c>
      <c r="B460" s="28">
        <f t="shared" si="48"/>
        <v>0</v>
      </c>
      <c r="C460" s="28">
        <f t="shared" si="44"/>
        <v>0</v>
      </c>
      <c r="D460" s="28" t="e">
        <f t="shared" si="49"/>
        <v>#DIV/0!</v>
      </c>
      <c r="E460" s="28" t="e">
        <f t="shared" si="38"/>
        <v>#DIV/0!</v>
      </c>
      <c r="F460" s="28" t="e">
        <f t="shared" si="34"/>
        <v>#DIV/0!</v>
      </c>
      <c r="G460" s="28" t="e">
        <f>Prices!P459-D460</f>
        <v>#DIV/0!</v>
      </c>
      <c r="H460" s="28" t="e">
        <f t="shared" si="45"/>
        <v>#DIV/0!</v>
      </c>
      <c r="I460" s="28" t="e">
        <f t="shared" si="46"/>
        <v>#DIV/0!</v>
      </c>
      <c r="J460" s="28" t="e">
        <f t="shared" si="47"/>
        <v>#DIV/0!</v>
      </c>
      <c r="AI460" s="26"/>
      <c r="AJ460" s="26"/>
      <c r="AK460" s="26"/>
      <c r="AL460" s="26"/>
      <c r="AM460" s="26"/>
      <c r="AN460" s="26"/>
      <c r="AO460" s="26"/>
      <c r="AP460" s="25">
        <v>39692</v>
      </c>
      <c r="AQ460" s="27">
        <v>0.94647619047619036</v>
      </c>
      <c r="AR460" s="26"/>
      <c r="AS460" s="26"/>
      <c r="AT460" s="26"/>
      <c r="AU460" s="26"/>
      <c r="AV460" s="26"/>
      <c r="BA460" s="26">
        <f t="shared" si="36"/>
        <v>9</v>
      </c>
      <c r="BB460" s="26">
        <f t="shared" si="37"/>
        <v>2008</v>
      </c>
      <c r="BC460" s="25" t="e" vm="1">
        <v>#REF!</v>
      </c>
      <c r="BD460" s="26" t="e" vm="1">
        <v>#REF!</v>
      </c>
      <c r="BE460" s="26"/>
      <c r="BF460" s="26" t="e" vm="2">
        <f t="shared" si="50"/>
        <v>#VALUE!</v>
      </c>
      <c r="BG460" s="26" t="e" vm="2">
        <f t="shared" si="51"/>
        <v>#VALUE!</v>
      </c>
      <c r="BH460" s="26"/>
      <c r="BI460" s="26"/>
      <c r="BJ460" s="21" t="e" vm="1">
        <v>#REF!</v>
      </c>
      <c r="BK460" s="26" t="e" vm="1">
        <v>#REF!</v>
      </c>
      <c r="BL460" s="26"/>
      <c r="BM460" t="e" vm="2">
        <f t="shared" si="52"/>
        <v>#VALUE!</v>
      </c>
      <c r="BN460" t="e" vm="2">
        <f t="shared" si="53"/>
        <v>#VALUE!</v>
      </c>
      <c r="BO460" s="26"/>
      <c r="BP460" s="26"/>
      <c r="BQ460" s="26"/>
      <c r="BR460" s="25">
        <v>38596</v>
      </c>
      <c r="BS460" s="26">
        <f t="shared" si="55"/>
        <v>9</v>
      </c>
      <c r="BT460" s="26">
        <f t="shared" si="56"/>
        <v>2005</v>
      </c>
      <c r="BU460" s="26" t="e">
        <f t="shared" si="54"/>
        <v>#DIV/0!</v>
      </c>
    </row>
    <row r="461" spans="1:73" x14ac:dyDescent="0.2">
      <c r="A461" s="25">
        <f>Prices!A460</f>
        <v>39722</v>
      </c>
      <c r="B461" s="28">
        <f t="shared" si="48"/>
        <v>0</v>
      </c>
      <c r="C461" s="28">
        <f t="shared" si="44"/>
        <v>0</v>
      </c>
      <c r="D461" s="28" t="e">
        <f t="shared" si="49"/>
        <v>#DIV/0!</v>
      </c>
      <c r="E461" s="28" t="e">
        <f t="shared" si="38"/>
        <v>#DIV/0!</v>
      </c>
      <c r="F461" s="28" t="e">
        <f t="shared" si="34"/>
        <v>#DIV/0!</v>
      </c>
      <c r="G461" s="28" t="e">
        <f>Prices!P460-D461</f>
        <v>#DIV/0!</v>
      </c>
      <c r="H461" s="28" t="e">
        <f t="shared" si="45"/>
        <v>#DIV/0!</v>
      </c>
      <c r="I461" s="28" t="e">
        <f t="shared" si="46"/>
        <v>#DIV/0!</v>
      </c>
      <c r="J461" s="28" t="e">
        <f t="shared" si="47"/>
        <v>#DIV/0!</v>
      </c>
      <c r="AI461" s="26"/>
      <c r="AJ461" s="26"/>
      <c r="AK461" s="26"/>
      <c r="AL461" s="26"/>
      <c r="AM461" s="26"/>
      <c r="AN461" s="26"/>
      <c r="AO461" s="26"/>
      <c r="AP461" s="25">
        <v>39722</v>
      </c>
      <c r="AQ461" s="29">
        <v>0.85013913043478251</v>
      </c>
      <c r="AR461" s="26"/>
      <c r="AS461" s="26"/>
      <c r="AT461" s="26"/>
      <c r="AU461" s="26"/>
      <c r="AV461" s="26"/>
      <c r="BA461" s="26">
        <f t="shared" si="36"/>
        <v>10</v>
      </c>
      <c r="BB461" s="26">
        <f t="shared" si="37"/>
        <v>2008</v>
      </c>
      <c r="BC461" s="25" t="e" vm="1">
        <v>#REF!</v>
      </c>
      <c r="BD461" s="26" t="e" vm="1">
        <v>#REF!</v>
      </c>
      <c r="BE461" s="26"/>
      <c r="BF461" s="26" t="e" vm="2">
        <f t="shared" si="50"/>
        <v>#VALUE!</v>
      </c>
      <c r="BG461" s="26" t="e" vm="2">
        <f t="shared" si="51"/>
        <v>#VALUE!</v>
      </c>
      <c r="BH461" s="26"/>
      <c r="BI461" s="26"/>
      <c r="BJ461" s="21" t="e" vm="1">
        <v>#REF!</v>
      </c>
      <c r="BK461" s="26" t="e" vm="1">
        <v>#REF!</v>
      </c>
      <c r="BL461" s="26"/>
      <c r="BM461" t="e" vm="2">
        <f t="shared" si="52"/>
        <v>#VALUE!</v>
      </c>
      <c r="BN461" t="e" vm="2">
        <f t="shared" si="53"/>
        <v>#VALUE!</v>
      </c>
      <c r="BO461" s="26"/>
      <c r="BP461" s="26"/>
      <c r="BQ461" s="26"/>
      <c r="BR461" s="25">
        <v>38626</v>
      </c>
      <c r="BS461" s="26">
        <f t="shared" si="55"/>
        <v>10</v>
      </c>
      <c r="BT461" s="26">
        <f t="shared" si="56"/>
        <v>2005</v>
      </c>
      <c r="BU461" s="26" t="e">
        <f t="shared" si="54"/>
        <v>#DIV/0!</v>
      </c>
    </row>
    <row r="462" spans="1:73" x14ac:dyDescent="0.2">
      <c r="A462" s="25">
        <f>Prices!A461</f>
        <v>39753</v>
      </c>
      <c r="B462" s="28">
        <f t="shared" si="48"/>
        <v>0</v>
      </c>
      <c r="C462" s="28">
        <f t="shared" si="44"/>
        <v>0</v>
      </c>
      <c r="D462" s="28" t="e">
        <f t="shared" si="49"/>
        <v>#DIV/0!</v>
      </c>
      <c r="E462" s="28" t="e">
        <f t="shared" si="38"/>
        <v>#DIV/0!</v>
      </c>
      <c r="F462" s="28" t="e">
        <f t="shared" si="34"/>
        <v>#DIV/0!</v>
      </c>
      <c r="G462" s="28" t="e">
        <f>Prices!P461-D462</f>
        <v>#DIV/0!</v>
      </c>
      <c r="H462" s="28" t="e">
        <f t="shared" si="45"/>
        <v>#DIV/0!</v>
      </c>
      <c r="I462" s="28" t="e">
        <f t="shared" si="46"/>
        <v>#DIV/0!</v>
      </c>
      <c r="J462" s="28" t="e">
        <f t="shared" si="47"/>
        <v>#DIV/0!</v>
      </c>
      <c r="AI462" s="26"/>
      <c r="AJ462" s="26"/>
      <c r="AK462" s="26"/>
      <c r="AL462" s="26"/>
      <c r="AM462" s="26"/>
      <c r="AN462" s="26"/>
      <c r="AO462" s="26"/>
      <c r="AP462" s="25">
        <v>39753</v>
      </c>
      <c r="AQ462" s="29">
        <v>0.8200736842105264</v>
      </c>
      <c r="AR462" s="26"/>
      <c r="AS462" s="26"/>
      <c r="AT462" s="26"/>
      <c r="AU462" s="26"/>
      <c r="AV462" s="26"/>
      <c r="BA462" s="26">
        <f t="shared" si="36"/>
        <v>11</v>
      </c>
      <c r="BB462" s="26">
        <f t="shared" si="37"/>
        <v>2008</v>
      </c>
      <c r="BC462" s="25" t="e" vm="1">
        <v>#REF!</v>
      </c>
      <c r="BD462" s="26" t="e" vm="1">
        <v>#REF!</v>
      </c>
      <c r="BE462" s="26"/>
      <c r="BF462" s="26" t="e" vm="2">
        <f t="shared" si="50"/>
        <v>#VALUE!</v>
      </c>
      <c r="BG462" s="26" t="e" vm="2">
        <f t="shared" si="51"/>
        <v>#VALUE!</v>
      </c>
      <c r="BH462" s="26"/>
      <c r="BI462" s="26"/>
      <c r="BJ462" s="21" t="e" vm="1">
        <v>#REF!</v>
      </c>
      <c r="BK462" s="26" t="e" vm="1">
        <v>#REF!</v>
      </c>
      <c r="BL462" s="26"/>
      <c r="BM462" t="e" vm="2">
        <f t="shared" si="52"/>
        <v>#VALUE!</v>
      </c>
      <c r="BN462" t="e" vm="2">
        <f t="shared" si="53"/>
        <v>#VALUE!</v>
      </c>
      <c r="BO462" s="26"/>
      <c r="BP462" s="26"/>
      <c r="BQ462" s="26"/>
      <c r="BR462" s="25">
        <v>38657</v>
      </c>
      <c r="BS462" s="26">
        <f t="shared" si="55"/>
        <v>11</v>
      </c>
      <c r="BT462" s="26">
        <f t="shared" si="56"/>
        <v>2005</v>
      </c>
      <c r="BU462" s="26" t="e">
        <f t="shared" si="54"/>
        <v>#DIV/0!</v>
      </c>
    </row>
    <row r="463" spans="1:73" x14ac:dyDescent="0.2">
      <c r="A463" s="25">
        <f>Prices!A462</f>
        <v>39783</v>
      </c>
      <c r="B463" s="28">
        <f t="shared" si="48"/>
        <v>0</v>
      </c>
      <c r="C463" s="28">
        <f t="shared" si="44"/>
        <v>0</v>
      </c>
      <c r="D463" s="28" t="e">
        <f t="shared" si="49"/>
        <v>#DIV/0!</v>
      </c>
      <c r="E463" s="28" t="e">
        <f t="shared" si="38"/>
        <v>#DIV/0!</v>
      </c>
      <c r="F463" s="28" t="e">
        <f t="shared" si="34"/>
        <v>#DIV/0!</v>
      </c>
      <c r="G463" s="28" t="e">
        <f>Prices!P462-D463</f>
        <v>#DIV/0!</v>
      </c>
      <c r="H463" s="28" t="e">
        <f t="shared" si="45"/>
        <v>#DIV/0!</v>
      </c>
      <c r="I463" s="28" t="e">
        <f t="shared" si="46"/>
        <v>#DIV/0!</v>
      </c>
      <c r="J463" s="28" t="e">
        <f t="shared" si="47"/>
        <v>#DIV/0!</v>
      </c>
      <c r="AI463" s="26"/>
      <c r="AJ463" s="26"/>
      <c r="AK463" s="26"/>
      <c r="AL463" s="26"/>
      <c r="AM463" s="26"/>
      <c r="AN463" s="26"/>
      <c r="AO463" s="26"/>
      <c r="AP463" s="25">
        <v>39783</v>
      </c>
      <c r="AQ463" s="29">
        <v>0.80978636363636369</v>
      </c>
      <c r="AR463" s="26"/>
      <c r="AS463" s="26"/>
      <c r="AT463" s="26"/>
      <c r="AU463" s="26"/>
      <c r="AV463" s="26"/>
      <c r="BA463" s="26">
        <f t="shared" si="36"/>
        <v>12</v>
      </c>
      <c r="BB463" s="26">
        <f t="shared" si="37"/>
        <v>2008</v>
      </c>
      <c r="BC463" s="25" t="e" vm="1">
        <v>#REF!</v>
      </c>
      <c r="BD463" s="26" t="e" vm="1">
        <v>#REF!</v>
      </c>
      <c r="BE463" s="26"/>
      <c r="BF463" s="26" t="e" vm="2">
        <f t="shared" si="50"/>
        <v>#VALUE!</v>
      </c>
      <c r="BG463" s="26" t="e" vm="2">
        <f t="shared" si="51"/>
        <v>#VALUE!</v>
      </c>
      <c r="BH463" s="26"/>
      <c r="BI463" s="26"/>
      <c r="BJ463" s="21" t="e" vm="1">
        <v>#REF!</v>
      </c>
      <c r="BK463" s="26" t="e" vm="1">
        <v>#REF!</v>
      </c>
      <c r="BL463" s="26"/>
      <c r="BM463" t="e" vm="2">
        <f t="shared" si="52"/>
        <v>#VALUE!</v>
      </c>
      <c r="BN463" t="e" vm="2">
        <f t="shared" si="53"/>
        <v>#VALUE!</v>
      </c>
      <c r="BO463" s="26"/>
      <c r="BP463" s="26"/>
      <c r="BQ463" s="26"/>
      <c r="BR463" s="25">
        <v>38687</v>
      </c>
      <c r="BS463" s="26">
        <f t="shared" si="55"/>
        <v>12</v>
      </c>
      <c r="BT463" s="26">
        <f t="shared" si="56"/>
        <v>2005</v>
      </c>
      <c r="BU463" s="26" t="e">
        <f t="shared" si="54"/>
        <v>#DIV/0!</v>
      </c>
    </row>
    <row r="464" spans="1:73" x14ac:dyDescent="0.2">
      <c r="A464" s="25">
        <f>Prices!A463</f>
        <v>39814</v>
      </c>
      <c r="B464" s="28">
        <f t="shared" si="48"/>
        <v>0</v>
      </c>
      <c r="C464" s="28">
        <f t="shared" si="44"/>
        <v>0</v>
      </c>
      <c r="D464" s="28" t="e">
        <f t="shared" si="49"/>
        <v>#DIV/0!</v>
      </c>
      <c r="E464" s="28" t="e">
        <f t="shared" si="38"/>
        <v>#DIV/0!</v>
      </c>
      <c r="F464" s="28" t="e">
        <f t="shared" si="34"/>
        <v>#DIV/0!</v>
      </c>
      <c r="G464" s="28" t="e">
        <f>Prices!P463-D464</f>
        <v>#DIV/0!</v>
      </c>
      <c r="H464" s="28" t="e">
        <f t="shared" si="45"/>
        <v>#DIV/0!</v>
      </c>
      <c r="I464" s="28" t="e">
        <f t="shared" si="46"/>
        <v>#DIV/0!</v>
      </c>
      <c r="J464" s="28" t="e">
        <f t="shared" si="47"/>
        <v>#DIV/0!</v>
      </c>
      <c r="AI464" s="26"/>
      <c r="AJ464" s="26"/>
      <c r="AK464" s="26"/>
      <c r="AL464" s="26"/>
      <c r="AM464" s="26"/>
      <c r="AN464" s="26"/>
      <c r="AO464" s="26"/>
      <c r="AP464" s="25">
        <v>39814</v>
      </c>
      <c r="AQ464" s="29">
        <v>0.81735000000000002</v>
      </c>
      <c r="AR464" s="26"/>
      <c r="AS464" s="26"/>
      <c r="AT464" s="26"/>
      <c r="AU464" s="26"/>
      <c r="AV464" s="26"/>
      <c r="BA464" s="26">
        <f t="shared" si="36"/>
        <v>1</v>
      </c>
      <c r="BB464" s="26">
        <f t="shared" si="37"/>
        <v>2009</v>
      </c>
      <c r="BC464" s="25" t="e" vm="1">
        <v>#REF!</v>
      </c>
      <c r="BD464" s="26" t="e" vm="1">
        <v>#REF!</v>
      </c>
      <c r="BE464" s="26"/>
      <c r="BF464" s="26" t="e" vm="2">
        <f t="shared" si="50"/>
        <v>#VALUE!</v>
      </c>
      <c r="BG464" s="26" t="e" vm="2">
        <f t="shared" si="51"/>
        <v>#VALUE!</v>
      </c>
      <c r="BH464" s="26"/>
      <c r="BI464" s="26"/>
      <c r="BJ464" s="21" t="e" vm="1">
        <v>#REF!</v>
      </c>
      <c r="BK464" s="26" t="e" vm="1">
        <v>#REF!</v>
      </c>
      <c r="BL464" s="26"/>
      <c r="BM464" t="e" vm="2">
        <f t="shared" si="52"/>
        <v>#VALUE!</v>
      </c>
      <c r="BN464" t="e" vm="2">
        <f t="shared" si="53"/>
        <v>#VALUE!</v>
      </c>
      <c r="BO464" s="26"/>
      <c r="BP464" s="26"/>
      <c r="BQ464" s="26"/>
      <c r="BR464" s="25">
        <v>38718</v>
      </c>
      <c r="BS464" s="26">
        <f t="shared" si="55"/>
        <v>1</v>
      </c>
      <c r="BT464" s="26">
        <f t="shared" si="56"/>
        <v>2006</v>
      </c>
      <c r="BU464" s="26" t="e">
        <f t="shared" si="54"/>
        <v>#DIV/0!</v>
      </c>
    </row>
    <row r="465" spans="1:73" x14ac:dyDescent="0.2">
      <c r="A465" s="25">
        <f>Prices!A464</f>
        <v>39845</v>
      </c>
      <c r="B465" s="28">
        <f t="shared" si="48"/>
        <v>0</v>
      </c>
      <c r="C465" s="28">
        <f t="shared" si="44"/>
        <v>0</v>
      </c>
      <c r="D465" s="28" t="e">
        <f t="shared" si="49"/>
        <v>#DIV/0!</v>
      </c>
      <c r="E465" s="28" t="e">
        <f t="shared" si="38"/>
        <v>#DIV/0!</v>
      </c>
      <c r="F465" s="28" t="e">
        <f t="shared" si="34"/>
        <v>#DIV/0!</v>
      </c>
      <c r="G465" s="28" t="e">
        <f>Prices!P464-D465</f>
        <v>#DIV/0!</v>
      </c>
      <c r="H465" s="28" t="e">
        <f t="shared" si="45"/>
        <v>#DIV/0!</v>
      </c>
      <c r="I465" s="28" t="e">
        <f t="shared" si="46"/>
        <v>#DIV/0!</v>
      </c>
      <c r="J465" s="28" t="e">
        <f t="shared" si="47"/>
        <v>#DIV/0!</v>
      </c>
      <c r="AI465" s="26"/>
      <c r="AJ465" s="26"/>
      <c r="AK465" s="26"/>
      <c r="AL465" s="26"/>
      <c r="AM465" s="26"/>
      <c r="AN465" s="26"/>
      <c r="AO465" s="26"/>
      <c r="AP465" s="25">
        <v>39845</v>
      </c>
      <c r="AQ465" s="29">
        <v>0.80285263157894737</v>
      </c>
      <c r="AR465" s="26"/>
      <c r="AS465" s="26"/>
      <c r="AT465" s="26"/>
      <c r="AU465" s="26"/>
      <c r="AV465" s="26"/>
      <c r="BA465" s="26">
        <f t="shared" si="36"/>
        <v>2</v>
      </c>
      <c r="BB465" s="26">
        <f t="shared" si="37"/>
        <v>2009</v>
      </c>
      <c r="BC465" s="25" t="e" vm="1">
        <v>#REF!</v>
      </c>
      <c r="BD465" s="26" t="e" vm="1">
        <v>#REF!</v>
      </c>
      <c r="BE465" s="26"/>
      <c r="BF465" s="26" t="e" vm="2">
        <f t="shared" si="50"/>
        <v>#VALUE!</v>
      </c>
      <c r="BG465" s="26" t="e" vm="2">
        <f t="shared" si="51"/>
        <v>#VALUE!</v>
      </c>
      <c r="BH465" s="26"/>
      <c r="BI465" s="26"/>
      <c r="BJ465" s="21" t="e" vm="1">
        <v>#REF!</v>
      </c>
      <c r="BK465" s="26" t="e" vm="1">
        <v>#REF!</v>
      </c>
      <c r="BL465" s="26"/>
      <c r="BM465" t="e" vm="2">
        <f t="shared" si="52"/>
        <v>#VALUE!</v>
      </c>
      <c r="BN465" t="e" vm="2">
        <f t="shared" si="53"/>
        <v>#VALUE!</v>
      </c>
      <c r="BO465" s="26"/>
      <c r="BP465" s="26"/>
      <c r="BQ465" s="26"/>
      <c r="BR465" s="25">
        <v>38749</v>
      </c>
      <c r="BS465" s="26">
        <f t="shared" si="55"/>
        <v>2</v>
      </c>
      <c r="BT465" s="26">
        <f t="shared" si="56"/>
        <v>2006</v>
      </c>
      <c r="BU465" s="26" t="e">
        <f t="shared" si="54"/>
        <v>#DIV/0!</v>
      </c>
    </row>
    <row r="466" spans="1:73" x14ac:dyDescent="0.2">
      <c r="A466" s="25">
        <f>Prices!A465</f>
        <v>39873</v>
      </c>
      <c r="B466" s="28">
        <f t="shared" si="48"/>
        <v>0</v>
      </c>
      <c r="C466" s="28">
        <f t="shared" si="44"/>
        <v>0</v>
      </c>
      <c r="D466" s="28" t="e">
        <f t="shared" si="49"/>
        <v>#DIV/0!</v>
      </c>
      <c r="E466" s="28" t="e">
        <f t="shared" si="38"/>
        <v>#DIV/0!</v>
      </c>
      <c r="F466" s="28" t="e">
        <f t="shared" ref="F466:F529" si="57">C466-D466</f>
        <v>#DIV/0!</v>
      </c>
      <c r="G466" s="28" t="e">
        <f>Prices!P465-D466</f>
        <v>#DIV/0!</v>
      </c>
      <c r="H466" s="28" t="e">
        <f t="shared" si="45"/>
        <v>#DIV/0!</v>
      </c>
      <c r="I466" s="28" t="e">
        <f t="shared" si="46"/>
        <v>#DIV/0!</v>
      </c>
      <c r="J466" s="28" t="e">
        <f t="shared" si="47"/>
        <v>#DIV/0!</v>
      </c>
      <c r="AI466" s="26"/>
      <c r="AJ466" s="26"/>
      <c r="AK466" s="26"/>
      <c r="AL466" s="26"/>
      <c r="AM466" s="26"/>
      <c r="AN466" s="26"/>
      <c r="AO466" s="26"/>
      <c r="AP466" s="25">
        <v>39873</v>
      </c>
      <c r="AQ466" s="29">
        <v>0.79190454545454547</v>
      </c>
      <c r="AR466" s="26"/>
      <c r="AS466" s="26"/>
      <c r="AT466" s="26"/>
      <c r="AU466" s="26"/>
      <c r="AV466" s="26"/>
      <c r="BA466" s="26">
        <f t="shared" ref="BA466:BA529" si="58">MONTH(A466)</f>
        <v>3</v>
      </c>
      <c r="BB466" s="26">
        <f t="shared" ref="BB466:BB529" si="59">YEAR(A466)</f>
        <v>2009</v>
      </c>
      <c r="BC466" s="25" t="e" vm="1">
        <v>#REF!</v>
      </c>
      <c r="BD466" s="26" t="e" vm="1">
        <v>#REF!</v>
      </c>
      <c r="BE466" s="26"/>
      <c r="BF466" s="26" t="e" vm="2">
        <f t="shared" si="50"/>
        <v>#VALUE!</v>
      </c>
      <c r="BG466" s="26" t="e" vm="2">
        <f t="shared" si="51"/>
        <v>#VALUE!</v>
      </c>
      <c r="BH466" s="26"/>
      <c r="BI466" s="26"/>
      <c r="BJ466" s="21" t="e" vm="1">
        <v>#REF!</v>
      </c>
      <c r="BK466" s="26" t="e" vm="1">
        <v>#REF!</v>
      </c>
      <c r="BL466" s="26"/>
      <c r="BM466" t="e" vm="2">
        <f t="shared" si="52"/>
        <v>#VALUE!</v>
      </c>
      <c r="BN466" t="e" vm="2">
        <f t="shared" si="53"/>
        <v>#VALUE!</v>
      </c>
      <c r="BO466" s="26"/>
      <c r="BP466" s="26"/>
      <c r="BQ466" s="26"/>
      <c r="BR466" s="25">
        <v>38777</v>
      </c>
      <c r="BS466" s="26">
        <f t="shared" si="55"/>
        <v>3</v>
      </c>
      <c r="BT466" s="26">
        <f t="shared" si="56"/>
        <v>2006</v>
      </c>
      <c r="BU466" s="26" t="e">
        <f t="shared" si="54"/>
        <v>#DIV/0!</v>
      </c>
    </row>
    <row r="467" spans="1:73" x14ac:dyDescent="0.2">
      <c r="A467" s="25">
        <f>Prices!A466</f>
        <v>39904</v>
      </c>
      <c r="B467" s="28">
        <f t="shared" si="48"/>
        <v>0</v>
      </c>
      <c r="C467" s="28">
        <f t="shared" si="44"/>
        <v>0</v>
      </c>
      <c r="D467" s="28" t="e">
        <f t="shared" si="49"/>
        <v>#DIV/0!</v>
      </c>
      <c r="E467" s="28" t="e">
        <f t="shared" ref="E467:E530" si="60">B467-D467</f>
        <v>#DIV/0!</v>
      </c>
      <c r="F467" s="28" t="e">
        <f t="shared" si="57"/>
        <v>#DIV/0!</v>
      </c>
      <c r="G467" s="28" t="e">
        <f>Prices!P466-D467</f>
        <v>#DIV/0!</v>
      </c>
      <c r="H467" s="28" t="e">
        <f t="shared" si="45"/>
        <v>#DIV/0!</v>
      </c>
      <c r="I467" s="28" t="e">
        <f t="shared" si="46"/>
        <v>#DIV/0!</v>
      </c>
      <c r="J467" s="28" t="e">
        <f t="shared" si="47"/>
        <v>#DIV/0!</v>
      </c>
      <c r="AI467" s="26"/>
      <c r="AJ467" s="26"/>
      <c r="AK467" s="26"/>
      <c r="AL467" s="26"/>
      <c r="AM467" s="26"/>
      <c r="AN467" s="26"/>
      <c r="AO467" s="26"/>
      <c r="AP467" s="25">
        <v>39904</v>
      </c>
      <c r="AQ467" s="29">
        <v>0.81715238095238107</v>
      </c>
      <c r="AR467" s="26"/>
      <c r="AS467" s="26"/>
      <c r="AT467" s="26"/>
      <c r="AU467" s="26"/>
      <c r="AV467" s="26"/>
      <c r="BA467" s="26">
        <f t="shared" si="58"/>
        <v>4</v>
      </c>
      <c r="BB467" s="26">
        <f t="shared" si="59"/>
        <v>2009</v>
      </c>
      <c r="BC467" s="25" t="e" vm="1">
        <v>#REF!</v>
      </c>
      <c r="BD467" s="26" t="e" vm="1">
        <v>#REF!</v>
      </c>
      <c r="BE467" s="26"/>
      <c r="BF467" s="26" t="e" vm="2">
        <f t="shared" si="50"/>
        <v>#VALUE!</v>
      </c>
      <c r="BG467" s="26" t="e" vm="2">
        <f t="shared" si="51"/>
        <v>#VALUE!</v>
      </c>
      <c r="BH467" s="26"/>
      <c r="BI467" s="26"/>
      <c r="BJ467" s="21" t="e" vm="1">
        <v>#REF!</v>
      </c>
      <c r="BK467" s="26" t="e" vm="1">
        <v>#REF!</v>
      </c>
      <c r="BL467" s="26"/>
      <c r="BM467" t="e" vm="2">
        <f t="shared" si="52"/>
        <v>#VALUE!</v>
      </c>
      <c r="BN467" t="e" vm="2">
        <f t="shared" si="53"/>
        <v>#VALUE!</v>
      </c>
      <c r="BO467" s="26"/>
      <c r="BP467" s="26"/>
      <c r="BQ467" s="26"/>
      <c r="BR467" s="25">
        <v>38808</v>
      </c>
      <c r="BS467" s="26">
        <f t="shared" si="55"/>
        <v>4</v>
      </c>
      <c r="BT467" s="26">
        <f t="shared" si="56"/>
        <v>2006</v>
      </c>
      <c r="BU467" s="26" t="e">
        <f t="shared" si="54"/>
        <v>#DIV/0!</v>
      </c>
    </row>
    <row r="468" spans="1:73" x14ac:dyDescent="0.2">
      <c r="A468" s="25">
        <f>Prices!A467</f>
        <v>39934</v>
      </c>
      <c r="B468" s="28">
        <f t="shared" si="48"/>
        <v>0</v>
      </c>
      <c r="C468" s="28">
        <f t="shared" si="44"/>
        <v>0</v>
      </c>
      <c r="D468" s="28" t="e">
        <f t="shared" si="49"/>
        <v>#DIV/0!</v>
      </c>
      <c r="E468" s="28" t="e">
        <f t="shared" si="60"/>
        <v>#DIV/0!</v>
      </c>
      <c r="F468" s="28" t="e">
        <f t="shared" si="57"/>
        <v>#DIV/0!</v>
      </c>
      <c r="G468" s="28" t="e">
        <f>Prices!P467-D468</f>
        <v>#DIV/0!</v>
      </c>
      <c r="H468" s="28" t="e">
        <f t="shared" si="45"/>
        <v>#DIV/0!</v>
      </c>
      <c r="I468" s="28" t="e">
        <f t="shared" si="46"/>
        <v>#DIV/0!</v>
      </c>
      <c r="J468" s="28" t="e">
        <f t="shared" si="47"/>
        <v>#DIV/0!</v>
      </c>
      <c r="AI468" s="26"/>
      <c r="AJ468" s="26"/>
      <c r="AK468" s="26"/>
      <c r="AL468" s="26"/>
      <c r="AM468" s="26"/>
      <c r="AN468" s="26"/>
      <c r="AO468" s="26"/>
      <c r="AP468" s="25">
        <v>39934</v>
      </c>
      <c r="AQ468" s="29">
        <v>0.86895000000000011</v>
      </c>
      <c r="AR468" s="26"/>
      <c r="AS468" s="26"/>
      <c r="AT468" s="26"/>
      <c r="AU468" s="26"/>
      <c r="AV468" s="26"/>
      <c r="BA468" s="26">
        <f t="shared" si="58"/>
        <v>5</v>
      </c>
      <c r="BB468" s="26">
        <f t="shared" si="59"/>
        <v>2009</v>
      </c>
      <c r="BC468" s="25" t="e" vm="1">
        <v>#REF!</v>
      </c>
      <c r="BD468" s="26" t="e" vm="1">
        <v>#REF!</v>
      </c>
      <c r="BE468" s="26"/>
      <c r="BF468" s="26" t="e" vm="2">
        <f t="shared" si="50"/>
        <v>#VALUE!</v>
      </c>
      <c r="BG468" s="26" t="e" vm="2">
        <f t="shared" si="51"/>
        <v>#VALUE!</v>
      </c>
      <c r="BH468" s="26"/>
      <c r="BI468" s="26"/>
      <c r="BJ468" s="21" t="e" vm="1">
        <v>#REF!</v>
      </c>
      <c r="BK468" s="26" t="e" vm="1">
        <v>#REF!</v>
      </c>
      <c r="BL468" s="26"/>
      <c r="BM468" t="e" vm="2">
        <f t="shared" si="52"/>
        <v>#VALUE!</v>
      </c>
      <c r="BN468" t="e" vm="2">
        <f t="shared" si="53"/>
        <v>#VALUE!</v>
      </c>
      <c r="BO468" s="26"/>
      <c r="BP468" s="26"/>
      <c r="BQ468" s="26"/>
      <c r="BR468" s="25">
        <v>38838</v>
      </c>
      <c r="BS468" s="26">
        <f t="shared" si="55"/>
        <v>5</v>
      </c>
      <c r="BT468" s="26">
        <f t="shared" si="56"/>
        <v>2006</v>
      </c>
      <c r="BU468" s="26" t="e">
        <f t="shared" si="54"/>
        <v>#DIV/0!</v>
      </c>
    </row>
    <row r="469" spans="1:73" x14ac:dyDescent="0.2">
      <c r="A469" s="25">
        <f>Prices!A468</f>
        <v>39965</v>
      </c>
      <c r="B469" s="28">
        <f t="shared" si="48"/>
        <v>0</v>
      </c>
      <c r="C469" s="28">
        <f t="shared" si="44"/>
        <v>0</v>
      </c>
      <c r="D469" s="28" t="e">
        <f t="shared" si="49"/>
        <v>#DIV/0!</v>
      </c>
      <c r="E469" s="28" t="e">
        <f t="shared" si="60"/>
        <v>#DIV/0!</v>
      </c>
      <c r="F469" s="28" t="e">
        <f t="shared" si="57"/>
        <v>#DIV/0!</v>
      </c>
      <c r="G469" s="28" t="e">
        <f>Prices!P468-D469</f>
        <v>#DIV/0!</v>
      </c>
      <c r="H469" s="28" t="e">
        <f t="shared" si="45"/>
        <v>#DIV/0!</v>
      </c>
      <c r="I469" s="28" t="e">
        <f t="shared" si="46"/>
        <v>#DIV/0!</v>
      </c>
      <c r="J469" s="28" t="e">
        <f t="shared" si="47"/>
        <v>#DIV/0!</v>
      </c>
      <c r="AI469" s="26"/>
      <c r="AJ469" s="26"/>
      <c r="AK469" s="26"/>
      <c r="AL469" s="26"/>
      <c r="AM469" s="26"/>
      <c r="AN469" s="26"/>
      <c r="AO469" s="26"/>
      <c r="AP469" s="25">
        <v>39965</v>
      </c>
      <c r="AQ469" s="29">
        <v>0.88818636363636361</v>
      </c>
      <c r="AR469" s="26"/>
      <c r="AS469" s="26"/>
      <c r="AT469" s="26"/>
      <c r="AU469" s="26"/>
      <c r="AV469" s="26"/>
      <c r="BA469" s="26">
        <f t="shared" si="58"/>
        <v>6</v>
      </c>
      <c r="BB469" s="26">
        <f t="shared" si="59"/>
        <v>2009</v>
      </c>
      <c r="BC469" s="25" t="e" vm="1">
        <v>#REF!</v>
      </c>
      <c r="BD469" s="26" t="e" vm="1">
        <v>#REF!</v>
      </c>
      <c r="BE469" s="26"/>
      <c r="BF469" s="26" t="e" vm="2">
        <f t="shared" si="50"/>
        <v>#VALUE!</v>
      </c>
      <c r="BG469" s="26" t="e" vm="2">
        <f t="shared" si="51"/>
        <v>#VALUE!</v>
      </c>
      <c r="BH469" s="26"/>
      <c r="BI469" s="26"/>
      <c r="BJ469" s="21" t="e" vm="1">
        <v>#REF!</v>
      </c>
      <c r="BK469" s="26" t="e" vm="1">
        <v>#REF!</v>
      </c>
      <c r="BL469" s="26"/>
      <c r="BM469" t="e" vm="2">
        <f t="shared" si="52"/>
        <v>#VALUE!</v>
      </c>
      <c r="BN469" t="e" vm="2">
        <f t="shared" si="53"/>
        <v>#VALUE!</v>
      </c>
      <c r="BO469" s="26"/>
      <c r="BP469" s="26"/>
      <c r="BQ469" s="26"/>
      <c r="BR469" s="25">
        <v>38869</v>
      </c>
      <c r="BS469" s="26">
        <f t="shared" si="55"/>
        <v>6</v>
      </c>
      <c r="BT469" s="26">
        <f t="shared" si="56"/>
        <v>2006</v>
      </c>
      <c r="BU469" s="26" t="e">
        <f t="shared" si="54"/>
        <v>#DIV/0!</v>
      </c>
    </row>
    <row r="470" spans="1:73" x14ac:dyDescent="0.2">
      <c r="A470" s="25">
        <f>Prices!A469</f>
        <v>39995</v>
      </c>
      <c r="B470" s="28">
        <f t="shared" si="48"/>
        <v>0</v>
      </c>
      <c r="C470" s="28">
        <f t="shared" si="44"/>
        <v>0</v>
      </c>
      <c r="D470" s="28" t="e">
        <f t="shared" si="49"/>
        <v>#DIV/0!</v>
      </c>
      <c r="E470" s="28" t="e">
        <f t="shared" si="60"/>
        <v>#DIV/0!</v>
      </c>
      <c r="F470" s="28" t="e">
        <f t="shared" si="57"/>
        <v>#DIV/0!</v>
      </c>
      <c r="G470" s="28" t="e">
        <f>Prices!P469-D470</f>
        <v>#DIV/0!</v>
      </c>
      <c r="H470" s="28" t="e">
        <f t="shared" si="45"/>
        <v>#DIV/0!</v>
      </c>
      <c r="I470" s="28" t="e">
        <f t="shared" si="46"/>
        <v>#DIV/0!</v>
      </c>
      <c r="J470" s="28" t="e">
        <f t="shared" si="47"/>
        <v>#DIV/0!</v>
      </c>
      <c r="AI470" s="26"/>
      <c r="AJ470" s="26"/>
      <c r="AK470" s="26"/>
      <c r="AL470" s="26"/>
      <c r="AM470" s="26"/>
      <c r="AN470" s="26"/>
      <c r="AO470" s="26"/>
      <c r="AP470" s="25">
        <v>39995</v>
      </c>
      <c r="AQ470" s="29">
        <v>0.89158260869565209</v>
      </c>
      <c r="AR470" s="26"/>
      <c r="AS470" s="26"/>
      <c r="AT470" s="26"/>
      <c r="AU470" s="26"/>
      <c r="AV470" s="26"/>
      <c r="BA470" s="26">
        <f t="shared" si="58"/>
        <v>7</v>
      </c>
      <c r="BB470" s="26">
        <f t="shared" si="59"/>
        <v>2009</v>
      </c>
      <c r="BC470" s="25" t="e" vm="1">
        <v>#REF!</v>
      </c>
      <c r="BD470" s="26" t="e" vm="1">
        <v>#REF!</v>
      </c>
      <c r="BE470" s="26"/>
      <c r="BF470" s="26" t="e" vm="2">
        <f t="shared" si="50"/>
        <v>#VALUE!</v>
      </c>
      <c r="BG470" s="26" t="e" vm="2">
        <f t="shared" si="51"/>
        <v>#VALUE!</v>
      </c>
      <c r="BH470" s="26"/>
      <c r="BI470" s="26"/>
      <c r="BJ470" s="21" t="e" vm="1">
        <v>#REF!</v>
      </c>
      <c r="BK470" s="26" t="e" vm="1">
        <v>#REF!</v>
      </c>
      <c r="BL470" s="26"/>
      <c r="BM470" t="e" vm="2">
        <f t="shared" si="52"/>
        <v>#VALUE!</v>
      </c>
      <c r="BN470" t="e" vm="2">
        <f t="shared" si="53"/>
        <v>#VALUE!</v>
      </c>
      <c r="BO470" s="26"/>
      <c r="BP470" s="26"/>
      <c r="BQ470" s="26"/>
      <c r="BR470" s="25">
        <v>38899</v>
      </c>
      <c r="BS470" s="26">
        <f t="shared" si="55"/>
        <v>7</v>
      </c>
      <c r="BT470" s="26">
        <f t="shared" si="56"/>
        <v>2006</v>
      </c>
      <c r="BU470" s="26" t="e">
        <f t="shared" si="54"/>
        <v>#DIV/0!</v>
      </c>
    </row>
    <row r="471" spans="1:73" x14ac:dyDescent="0.2">
      <c r="A471" s="25">
        <f>Prices!A470</f>
        <v>40026</v>
      </c>
      <c r="B471" s="28">
        <f t="shared" si="48"/>
        <v>0</v>
      </c>
      <c r="C471" s="28">
        <f t="shared" si="44"/>
        <v>0</v>
      </c>
      <c r="D471" s="28" t="e">
        <f t="shared" si="49"/>
        <v>#DIV/0!</v>
      </c>
      <c r="E471" s="28" t="e">
        <f t="shared" si="60"/>
        <v>#DIV/0!</v>
      </c>
      <c r="F471" s="28" t="e">
        <f t="shared" si="57"/>
        <v>#DIV/0!</v>
      </c>
      <c r="G471" s="28" t="e">
        <f>Prices!P470-D471</f>
        <v>#DIV/0!</v>
      </c>
      <c r="H471" s="28" t="e">
        <f t="shared" si="45"/>
        <v>#DIV/0!</v>
      </c>
      <c r="I471" s="28" t="e">
        <f t="shared" si="46"/>
        <v>#DIV/0!</v>
      </c>
      <c r="J471" s="28" t="e">
        <f t="shared" si="47"/>
        <v>#DIV/0!</v>
      </c>
      <c r="AI471" s="26"/>
      <c r="AJ471" s="26"/>
      <c r="AK471" s="26"/>
      <c r="AL471" s="26"/>
      <c r="AM471" s="26"/>
      <c r="AN471" s="26"/>
      <c r="AO471" s="26"/>
      <c r="AP471" s="25">
        <v>40026</v>
      </c>
      <c r="AQ471" s="29">
        <v>0.91919047619047611</v>
      </c>
      <c r="AR471" s="26"/>
      <c r="AS471" s="26"/>
      <c r="AT471" s="26"/>
      <c r="AU471" s="26"/>
      <c r="AV471" s="26"/>
      <c r="BA471" s="26">
        <f t="shared" si="58"/>
        <v>8</v>
      </c>
      <c r="BB471" s="26">
        <f t="shared" si="59"/>
        <v>2009</v>
      </c>
      <c r="BC471" s="25" t="e" vm="1">
        <v>#REF!</v>
      </c>
      <c r="BD471" s="26" t="e" vm="1">
        <v>#REF!</v>
      </c>
      <c r="BE471" s="26"/>
      <c r="BF471" s="26" t="e" vm="2">
        <f t="shared" si="50"/>
        <v>#VALUE!</v>
      </c>
      <c r="BG471" s="26" t="e" vm="2">
        <f t="shared" si="51"/>
        <v>#VALUE!</v>
      </c>
      <c r="BH471" s="26"/>
      <c r="BI471" s="26"/>
      <c r="BJ471" s="21" t="e" vm="1">
        <v>#REF!</v>
      </c>
      <c r="BK471" s="26" t="e" vm="1">
        <v>#REF!</v>
      </c>
      <c r="BL471" s="26"/>
      <c r="BM471" t="e" vm="2">
        <f t="shared" si="52"/>
        <v>#VALUE!</v>
      </c>
      <c r="BN471" t="e" vm="2">
        <f t="shared" si="53"/>
        <v>#VALUE!</v>
      </c>
      <c r="BO471" s="26"/>
      <c r="BP471" s="26"/>
      <c r="BQ471" s="26"/>
      <c r="BR471" s="25">
        <v>38930</v>
      </c>
      <c r="BS471" s="26">
        <f t="shared" si="55"/>
        <v>8</v>
      </c>
      <c r="BT471" s="26">
        <f t="shared" si="56"/>
        <v>2006</v>
      </c>
      <c r="BU471" s="26" t="e">
        <f t="shared" si="54"/>
        <v>#DIV/0!</v>
      </c>
    </row>
    <row r="472" spans="1:73" x14ac:dyDescent="0.2">
      <c r="A472" s="25">
        <f>Prices!A471</f>
        <v>40057</v>
      </c>
      <c r="B472" s="28">
        <f t="shared" si="48"/>
        <v>0</v>
      </c>
      <c r="C472" s="28">
        <f t="shared" si="44"/>
        <v>0</v>
      </c>
      <c r="D472" s="28" t="e">
        <f t="shared" si="49"/>
        <v>#DIV/0!</v>
      </c>
      <c r="E472" s="28" t="e">
        <f t="shared" si="60"/>
        <v>#DIV/0!</v>
      </c>
      <c r="F472" s="28" t="e">
        <f t="shared" si="57"/>
        <v>#DIV/0!</v>
      </c>
      <c r="G472" s="28" t="e">
        <f>Prices!P471-D472</f>
        <v>#DIV/0!</v>
      </c>
      <c r="H472" s="28" t="e">
        <f t="shared" si="45"/>
        <v>#DIV/0!</v>
      </c>
      <c r="I472" s="28" t="e">
        <f t="shared" si="46"/>
        <v>#DIV/0!</v>
      </c>
      <c r="J472" s="28" t="e">
        <f t="shared" si="47"/>
        <v>#DIV/0!</v>
      </c>
      <c r="AI472" s="26"/>
      <c r="AJ472" s="26"/>
      <c r="AK472" s="26"/>
      <c r="AL472" s="26"/>
      <c r="AM472" s="26"/>
      <c r="AN472" s="26"/>
      <c r="AO472" s="26"/>
      <c r="AP472" s="25">
        <v>40057</v>
      </c>
      <c r="AQ472" s="29">
        <v>0.9228052631578948</v>
      </c>
      <c r="AR472" s="26"/>
      <c r="AS472" s="26"/>
      <c r="AT472" s="26"/>
      <c r="AU472" s="26"/>
      <c r="AV472" s="26"/>
      <c r="BA472" s="26">
        <f t="shared" si="58"/>
        <v>9</v>
      </c>
      <c r="BB472" s="26">
        <f t="shared" si="59"/>
        <v>2009</v>
      </c>
      <c r="BC472" s="25" t="e" vm="1">
        <v>#REF!</v>
      </c>
      <c r="BD472" s="26" t="e" vm="1">
        <v>#REF!</v>
      </c>
      <c r="BE472" s="26"/>
      <c r="BF472" s="26" t="e" vm="2">
        <f t="shared" si="50"/>
        <v>#VALUE!</v>
      </c>
      <c r="BG472" s="26" t="e" vm="2">
        <f t="shared" si="51"/>
        <v>#VALUE!</v>
      </c>
      <c r="BH472" s="26"/>
      <c r="BI472" s="26"/>
      <c r="BJ472" s="21" t="e" vm="1">
        <v>#REF!</v>
      </c>
      <c r="BK472" s="26" t="e" vm="1">
        <v>#REF!</v>
      </c>
      <c r="BL472" s="26"/>
      <c r="BM472" t="e" vm="2">
        <f t="shared" si="52"/>
        <v>#VALUE!</v>
      </c>
      <c r="BN472" t="e" vm="2">
        <f t="shared" si="53"/>
        <v>#VALUE!</v>
      </c>
      <c r="BO472" s="26"/>
      <c r="BP472" s="26"/>
      <c r="BQ472" s="26"/>
      <c r="BR472" s="25">
        <v>38961</v>
      </c>
      <c r="BS472" s="26">
        <f t="shared" si="55"/>
        <v>9</v>
      </c>
      <c r="BT472" s="26">
        <f t="shared" si="56"/>
        <v>2006</v>
      </c>
      <c r="BU472" s="26" t="e">
        <f t="shared" si="54"/>
        <v>#DIV/0!</v>
      </c>
    </row>
    <row r="473" spans="1:73" x14ac:dyDescent="0.2">
      <c r="A473" s="25">
        <f>Prices!A472</f>
        <v>40087</v>
      </c>
      <c r="B473" s="28">
        <f t="shared" si="48"/>
        <v>0</v>
      </c>
      <c r="C473" s="28">
        <f t="shared" si="44"/>
        <v>0</v>
      </c>
      <c r="D473" s="28" t="e">
        <f t="shared" si="49"/>
        <v>#DIV/0!</v>
      </c>
      <c r="E473" s="28" t="e">
        <f t="shared" si="60"/>
        <v>#DIV/0!</v>
      </c>
      <c r="F473" s="28" t="e">
        <f t="shared" si="57"/>
        <v>#DIV/0!</v>
      </c>
      <c r="G473" s="28" t="e">
        <f>Prices!P472-D473</f>
        <v>#DIV/0!</v>
      </c>
      <c r="H473" s="28" t="e">
        <f t="shared" si="45"/>
        <v>#DIV/0!</v>
      </c>
      <c r="I473" s="28" t="e">
        <f t="shared" si="46"/>
        <v>#DIV/0!</v>
      </c>
      <c r="J473" s="28" t="e">
        <f t="shared" si="47"/>
        <v>#DIV/0!</v>
      </c>
      <c r="AI473" s="26"/>
      <c r="AJ473" s="26"/>
      <c r="AK473" s="26"/>
      <c r="AL473" s="26"/>
      <c r="AM473" s="26"/>
      <c r="AN473" s="26"/>
      <c r="AO473" s="26"/>
      <c r="AP473" s="25">
        <v>40087</v>
      </c>
      <c r="AQ473" s="29">
        <v>0.94858636363636362</v>
      </c>
      <c r="AR473" s="26"/>
      <c r="AS473" s="26"/>
      <c r="AT473" s="26"/>
      <c r="AU473" s="26"/>
      <c r="AV473" s="26"/>
      <c r="BA473" s="26">
        <f t="shared" si="58"/>
        <v>10</v>
      </c>
      <c r="BB473" s="26">
        <f t="shared" si="59"/>
        <v>2009</v>
      </c>
      <c r="BC473" s="25" t="e" vm="1">
        <v>#REF!</v>
      </c>
      <c r="BD473" s="26" t="e" vm="1">
        <v>#REF!</v>
      </c>
      <c r="BE473" s="26"/>
      <c r="BF473" s="26" t="e" vm="2">
        <f t="shared" si="50"/>
        <v>#VALUE!</v>
      </c>
      <c r="BG473" s="26" t="e" vm="2">
        <f t="shared" si="51"/>
        <v>#VALUE!</v>
      </c>
      <c r="BH473" s="26"/>
      <c r="BI473" s="26"/>
      <c r="BJ473" s="21" t="e" vm="1">
        <v>#REF!</v>
      </c>
      <c r="BK473" s="26" t="e" vm="1">
        <v>#REF!</v>
      </c>
      <c r="BL473" s="26"/>
      <c r="BM473" t="e" vm="2">
        <f t="shared" si="52"/>
        <v>#VALUE!</v>
      </c>
      <c r="BN473" t="e" vm="2">
        <f t="shared" si="53"/>
        <v>#VALUE!</v>
      </c>
      <c r="BO473" s="26"/>
      <c r="BP473" s="26"/>
      <c r="BQ473" s="26"/>
      <c r="BR473" s="25">
        <v>38991</v>
      </c>
      <c r="BS473" s="26">
        <f t="shared" si="55"/>
        <v>10</v>
      </c>
      <c r="BT473" s="26">
        <f t="shared" si="56"/>
        <v>2006</v>
      </c>
      <c r="BU473" s="26" t="e">
        <f t="shared" si="54"/>
        <v>#DIV/0!</v>
      </c>
    </row>
    <row r="474" spans="1:73" x14ac:dyDescent="0.2">
      <c r="A474" s="25">
        <f>Prices!A473</f>
        <v>40118</v>
      </c>
      <c r="B474" s="28">
        <f t="shared" si="48"/>
        <v>0</v>
      </c>
      <c r="C474" s="28">
        <f t="shared" si="44"/>
        <v>0</v>
      </c>
      <c r="D474" s="28" t="e">
        <f t="shared" si="49"/>
        <v>#DIV/0!</v>
      </c>
      <c r="E474" s="28" t="e">
        <f t="shared" si="60"/>
        <v>#DIV/0!</v>
      </c>
      <c r="F474" s="28" t="e">
        <f t="shared" si="57"/>
        <v>#DIV/0!</v>
      </c>
      <c r="G474" s="28" t="e">
        <f>Prices!P473-D474</f>
        <v>#DIV/0!</v>
      </c>
      <c r="H474" s="28" t="e">
        <f t="shared" si="45"/>
        <v>#DIV/0!</v>
      </c>
      <c r="I474" s="28" t="e">
        <f t="shared" si="46"/>
        <v>#DIV/0!</v>
      </c>
      <c r="J474" s="28" t="e">
        <f t="shared" si="47"/>
        <v>#DIV/0!</v>
      </c>
      <c r="AI474" s="26"/>
      <c r="AJ474" s="26"/>
      <c r="AK474" s="26"/>
      <c r="AL474" s="26"/>
      <c r="AM474" s="26"/>
      <c r="AN474" s="26"/>
      <c r="AO474" s="26"/>
      <c r="AP474" s="25">
        <v>40118</v>
      </c>
      <c r="AQ474" s="29">
        <v>0.94463500000000011</v>
      </c>
      <c r="AR474" s="26"/>
      <c r="AS474" s="26"/>
      <c r="AT474" s="26"/>
      <c r="AU474" s="26"/>
      <c r="AV474" s="26"/>
      <c r="BA474" s="26">
        <f t="shared" si="58"/>
        <v>11</v>
      </c>
      <c r="BB474" s="26">
        <f t="shared" si="59"/>
        <v>2009</v>
      </c>
      <c r="BC474" s="25" t="e" vm="1">
        <v>#REF!</v>
      </c>
      <c r="BD474" s="26" t="e" vm="1">
        <v>#REF!</v>
      </c>
      <c r="BE474" s="26"/>
      <c r="BF474" s="26" t="e" vm="2">
        <f t="shared" si="50"/>
        <v>#VALUE!</v>
      </c>
      <c r="BG474" s="26" t="e" vm="2">
        <f t="shared" si="51"/>
        <v>#VALUE!</v>
      </c>
      <c r="BH474" s="26"/>
      <c r="BI474" s="26"/>
      <c r="BJ474" s="21" t="e" vm="1">
        <v>#REF!</v>
      </c>
      <c r="BK474" s="26" t="e" vm="1">
        <v>#REF!</v>
      </c>
      <c r="BL474" s="26"/>
      <c r="BM474" t="e" vm="2">
        <f t="shared" si="52"/>
        <v>#VALUE!</v>
      </c>
      <c r="BN474" t="e" vm="2">
        <f t="shared" si="53"/>
        <v>#VALUE!</v>
      </c>
      <c r="BO474" s="26"/>
      <c r="BP474" s="26"/>
      <c r="BQ474" s="26"/>
      <c r="BR474" s="25">
        <v>39022</v>
      </c>
      <c r="BS474" s="26">
        <f t="shared" si="55"/>
        <v>11</v>
      </c>
      <c r="BT474" s="26">
        <f t="shared" si="56"/>
        <v>2006</v>
      </c>
      <c r="BU474" s="26" t="e">
        <f t="shared" si="54"/>
        <v>#DIV/0!</v>
      </c>
    </row>
    <row r="475" spans="1:73" x14ac:dyDescent="0.2">
      <c r="A475" s="25">
        <f>Prices!A474</f>
        <v>40148</v>
      </c>
      <c r="B475" s="28">
        <f t="shared" si="48"/>
        <v>0</v>
      </c>
      <c r="C475" s="28">
        <f t="shared" si="44"/>
        <v>0</v>
      </c>
      <c r="D475" s="28" t="e">
        <f t="shared" si="49"/>
        <v>#DIV/0!</v>
      </c>
      <c r="E475" s="28" t="e">
        <f t="shared" si="60"/>
        <v>#DIV/0!</v>
      </c>
      <c r="F475" s="28" t="e">
        <f t="shared" si="57"/>
        <v>#DIV/0!</v>
      </c>
      <c r="G475" s="28" t="e">
        <f>Prices!P474-D475</f>
        <v>#DIV/0!</v>
      </c>
      <c r="H475" s="28" t="e">
        <f t="shared" si="45"/>
        <v>#DIV/0!</v>
      </c>
      <c r="I475" s="28" t="e">
        <f t="shared" si="46"/>
        <v>#DIV/0!</v>
      </c>
      <c r="J475" s="28" t="e">
        <f t="shared" si="47"/>
        <v>#DIV/0!</v>
      </c>
      <c r="AI475" s="26"/>
      <c r="AJ475" s="26"/>
      <c r="AK475" s="26"/>
      <c r="AL475" s="26"/>
      <c r="AM475" s="26"/>
      <c r="AN475" s="26"/>
      <c r="AO475" s="26"/>
      <c r="AP475" s="25">
        <v>40148</v>
      </c>
      <c r="AQ475" s="29">
        <v>0.94774545454545456</v>
      </c>
      <c r="AR475" s="26"/>
      <c r="AS475" s="26"/>
      <c r="AT475" s="26"/>
      <c r="AU475" s="26"/>
      <c r="AV475" s="26"/>
      <c r="BA475" s="26">
        <f t="shared" si="58"/>
        <v>12</v>
      </c>
      <c r="BB475" s="26">
        <f t="shared" si="59"/>
        <v>2009</v>
      </c>
      <c r="BC475" s="25" t="e" vm="1">
        <v>#REF!</v>
      </c>
      <c r="BD475" s="26" t="e" vm="1">
        <v>#REF!</v>
      </c>
      <c r="BE475" s="26"/>
      <c r="BF475" s="26" t="e" vm="2">
        <f t="shared" si="50"/>
        <v>#VALUE!</v>
      </c>
      <c r="BG475" s="26" t="e" vm="2">
        <f t="shared" si="51"/>
        <v>#VALUE!</v>
      </c>
      <c r="BH475" s="26"/>
      <c r="BI475" s="26"/>
      <c r="BJ475" s="21" t="e" vm="1">
        <v>#REF!</v>
      </c>
      <c r="BK475" s="26" t="e" vm="1">
        <v>#REF!</v>
      </c>
      <c r="BL475" s="26"/>
      <c r="BM475" t="e" vm="2">
        <f t="shared" si="52"/>
        <v>#VALUE!</v>
      </c>
      <c r="BN475" t="e" vm="2">
        <f t="shared" si="53"/>
        <v>#VALUE!</v>
      </c>
      <c r="BO475" s="26"/>
      <c r="BP475" s="26"/>
      <c r="BQ475" s="26"/>
      <c r="BR475" s="25">
        <v>39052</v>
      </c>
      <c r="BS475" s="26">
        <f t="shared" si="55"/>
        <v>12</v>
      </c>
      <c r="BT475" s="26">
        <f t="shared" si="56"/>
        <v>2006</v>
      </c>
      <c r="BU475" s="26" t="e">
        <f t="shared" si="54"/>
        <v>#DIV/0!</v>
      </c>
    </row>
    <row r="476" spans="1:73" x14ac:dyDescent="0.2">
      <c r="A476" s="25">
        <f>Prices!A475</f>
        <v>40179</v>
      </c>
      <c r="B476" s="28">
        <f t="shared" si="48"/>
        <v>0</v>
      </c>
      <c r="C476" s="28">
        <f t="shared" si="44"/>
        <v>0</v>
      </c>
      <c r="D476" s="28" t="e">
        <f t="shared" si="49"/>
        <v>#DIV/0!</v>
      </c>
      <c r="E476" s="28" t="e">
        <f t="shared" si="60"/>
        <v>#DIV/0!</v>
      </c>
      <c r="F476" s="28" t="e">
        <f t="shared" si="57"/>
        <v>#DIV/0!</v>
      </c>
      <c r="G476" s="28" t="e">
        <f>Prices!P475-D476</f>
        <v>#DIV/0!</v>
      </c>
      <c r="H476" s="28" t="e">
        <f t="shared" si="45"/>
        <v>#DIV/0!</v>
      </c>
      <c r="I476" s="28" t="e">
        <f t="shared" si="46"/>
        <v>#DIV/0!</v>
      </c>
      <c r="J476" s="28" t="e">
        <f t="shared" si="47"/>
        <v>#DIV/0!</v>
      </c>
      <c r="AI476" s="26"/>
      <c r="AJ476" s="26"/>
      <c r="AK476" s="26"/>
      <c r="AL476" s="26"/>
      <c r="AM476" s="26"/>
      <c r="AN476" s="26"/>
      <c r="AO476" s="26"/>
      <c r="AP476" s="25">
        <v>40179</v>
      </c>
      <c r="AQ476" s="29">
        <v>0.95773157894736838</v>
      </c>
      <c r="AR476" s="26"/>
      <c r="AS476" s="26"/>
      <c r="AT476" s="26"/>
      <c r="AU476" s="26"/>
      <c r="AV476" s="26"/>
      <c r="BA476" s="26">
        <f t="shared" si="58"/>
        <v>1</v>
      </c>
      <c r="BB476" s="26">
        <f t="shared" si="59"/>
        <v>2010</v>
      </c>
      <c r="BC476" s="25" t="e" vm="1">
        <v>#REF!</v>
      </c>
      <c r="BD476" s="26" t="e" vm="1">
        <v>#REF!</v>
      </c>
      <c r="BE476" s="26"/>
      <c r="BF476" s="26" t="e" vm="2">
        <f t="shared" si="50"/>
        <v>#VALUE!</v>
      </c>
      <c r="BG476" s="26" t="e" vm="2">
        <f t="shared" si="51"/>
        <v>#VALUE!</v>
      </c>
      <c r="BH476" s="26"/>
      <c r="BI476" s="26"/>
      <c r="BJ476" s="21" t="e" vm="1">
        <v>#REF!</v>
      </c>
      <c r="BK476" s="26" t="e" vm="1">
        <v>#REF!</v>
      </c>
      <c r="BL476" s="26"/>
      <c r="BM476" t="e" vm="2">
        <f t="shared" si="52"/>
        <v>#VALUE!</v>
      </c>
      <c r="BN476" t="e" vm="2">
        <f t="shared" si="53"/>
        <v>#VALUE!</v>
      </c>
      <c r="BO476" s="26"/>
      <c r="BP476" s="26"/>
      <c r="BQ476" s="26"/>
      <c r="BR476" s="25">
        <v>39083</v>
      </c>
      <c r="BS476" s="26">
        <f t="shared" si="55"/>
        <v>1</v>
      </c>
      <c r="BT476" s="26">
        <f t="shared" si="56"/>
        <v>2007</v>
      </c>
      <c r="BU476" s="26" t="e">
        <f t="shared" si="54"/>
        <v>#DIV/0!</v>
      </c>
    </row>
    <row r="477" spans="1:73" x14ac:dyDescent="0.2">
      <c r="A477" s="25">
        <f>Prices!A476</f>
        <v>40210</v>
      </c>
      <c r="B477" s="28">
        <f t="shared" si="48"/>
        <v>0</v>
      </c>
      <c r="C477" s="28">
        <f t="shared" si="44"/>
        <v>0</v>
      </c>
      <c r="D477" s="28" t="e">
        <f t="shared" si="49"/>
        <v>#DIV/0!</v>
      </c>
      <c r="E477" s="28" t="e">
        <f t="shared" si="60"/>
        <v>#DIV/0!</v>
      </c>
      <c r="F477" s="28" t="e">
        <f t="shared" si="57"/>
        <v>#DIV/0!</v>
      </c>
      <c r="G477" s="28" t="e">
        <f>Prices!P476-D477</f>
        <v>#DIV/0!</v>
      </c>
      <c r="H477" s="28" t="e">
        <f t="shared" si="45"/>
        <v>#DIV/0!</v>
      </c>
      <c r="I477" s="28" t="e">
        <f t="shared" si="46"/>
        <v>#DIV/0!</v>
      </c>
      <c r="J477" s="28" t="e">
        <f t="shared" si="47"/>
        <v>#DIV/0!</v>
      </c>
      <c r="AI477" s="26"/>
      <c r="AJ477" s="26"/>
      <c r="AK477" s="26"/>
      <c r="AL477" s="26"/>
      <c r="AM477" s="26"/>
      <c r="AN477" s="26"/>
      <c r="AO477" s="26"/>
      <c r="AP477" s="25">
        <v>40210</v>
      </c>
      <c r="AQ477" s="29">
        <v>0.9467368421052631</v>
      </c>
      <c r="AR477" s="26"/>
      <c r="AS477" s="26"/>
      <c r="AT477" s="26"/>
      <c r="AU477" s="26"/>
      <c r="AV477" s="26"/>
      <c r="BA477" s="26">
        <f t="shared" si="58"/>
        <v>2</v>
      </c>
      <c r="BB477" s="26">
        <f t="shared" si="59"/>
        <v>2010</v>
      </c>
      <c r="BC477" s="25" t="e" vm="1">
        <v>#REF!</v>
      </c>
      <c r="BD477" s="26" t="e" vm="1">
        <v>#REF!</v>
      </c>
      <c r="BE477" s="26"/>
      <c r="BF477" s="26" t="e" vm="2">
        <f t="shared" si="50"/>
        <v>#VALUE!</v>
      </c>
      <c r="BG477" s="26" t="e" vm="2">
        <f t="shared" si="51"/>
        <v>#VALUE!</v>
      </c>
      <c r="BH477" s="26"/>
      <c r="BI477" s="26"/>
      <c r="BJ477" s="21" t="e" vm="1">
        <v>#REF!</v>
      </c>
      <c r="BK477" s="26" t="e" vm="1">
        <v>#REF!</v>
      </c>
      <c r="BL477" s="26"/>
      <c r="BM477" t="e" vm="2">
        <f t="shared" si="52"/>
        <v>#VALUE!</v>
      </c>
      <c r="BN477" t="e" vm="2">
        <f t="shared" si="53"/>
        <v>#VALUE!</v>
      </c>
      <c r="BO477" s="26"/>
      <c r="BP477" s="26"/>
      <c r="BQ477" s="26"/>
      <c r="BR477" s="25">
        <v>39114</v>
      </c>
      <c r="BS477" s="26">
        <f t="shared" si="55"/>
        <v>2</v>
      </c>
      <c r="BT477" s="26">
        <f t="shared" si="56"/>
        <v>2007</v>
      </c>
      <c r="BU477" s="26" t="e">
        <f t="shared" si="54"/>
        <v>#DIV/0!</v>
      </c>
    </row>
    <row r="478" spans="1:73" x14ac:dyDescent="0.2">
      <c r="A478" s="25">
        <f>Prices!A477</f>
        <v>40238</v>
      </c>
      <c r="B478" s="28">
        <f t="shared" si="48"/>
        <v>0</v>
      </c>
      <c r="C478" s="28">
        <f t="shared" si="44"/>
        <v>0</v>
      </c>
      <c r="D478" s="28" t="e">
        <f t="shared" si="49"/>
        <v>#DIV/0!</v>
      </c>
      <c r="E478" s="28" t="e">
        <f t="shared" si="60"/>
        <v>#DIV/0!</v>
      </c>
      <c r="F478" s="28" t="e">
        <f t="shared" si="57"/>
        <v>#DIV/0!</v>
      </c>
      <c r="G478" s="28" t="e">
        <f>Prices!P477-D478</f>
        <v>#DIV/0!</v>
      </c>
      <c r="H478" s="28" t="e">
        <f t="shared" si="45"/>
        <v>#DIV/0!</v>
      </c>
      <c r="I478" s="28" t="e">
        <f t="shared" si="46"/>
        <v>#DIV/0!</v>
      </c>
      <c r="J478" s="28" t="e">
        <f t="shared" si="47"/>
        <v>#DIV/0!</v>
      </c>
      <c r="AI478" s="26"/>
      <c r="AJ478" s="26"/>
      <c r="AK478" s="26"/>
      <c r="AL478" s="26"/>
      <c r="AM478" s="26"/>
      <c r="AN478" s="26"/>
      <c r="AO478" s="26"/>
      <c r="AP478" s="25">
        <v>40238</v>
      </c>
      <c r="AQ478" s="29">
        <v>0.97729565217391301</v>
      </c>
      <c r="AR478" s="26"/>
      <c r="AS478" s="26"/>
      <c r="AT478" s="26"/>
      <c r="AU478" s="26"/>
      <c r="AV478" s="26"/>
      <c r="BA478" s="26">
        <f t="shared" si="58"/>
        <v>3</v>
      </c>
      <c r="BB478" s="26">
        <f t="shared" si="59"/>
        <v>2010</v>
      </c>
      <c r="BC478" s="25" t="e" vm="1">
        <v>#REF!</v>
      </c>
      <c r="BD478" s="26" t="e" vm="1">
        <v>#REF!</v>
      </c>
      <c r="BE478" s="26"/>
      <c r="BF478" s="26" t="e" vm="2">
        <f t="shared" si="50"/>
        <v>#VALUE!</v>
      </c>
      <c r="BG478" s="26" t="e" vm="2">
        <f t="shared" si="51"/>
        <v>#VALUE!</v>
      </c>
      <c r="BH478" s="26"/>
      <c r="BI478" s="26"/>
      <c r="BJ478" s="21" t="e" vm="1">
        <v>#REF!</v>
      </c>
      <c r="BK478" s="26" t="e" vm="1">
        <v>#REF!</v>
      </c>
      <c r="BL478" s="26"/>
      <c r="BM478" t="e" vm="2">
        <f t="shared" si="52"/>
        <v>#VALUE!</v>
      </c>
      <c r="BN478" t="e" vm="2">
        <f t="shared" si="53"/>
        <v>#VALUE!</v>
      </c>
      <c r="BO478" s="26"/>
      <c r="BP478" s="26"/>
      <c r="BQ478" s="26"/>
      <c r="BR478" s="25">
        <v>39142</v>
      </c>
      <c r="BS478" s="26">
        <f t="shared" si="55"/>
        <v>3</v>
      </c>
      <c r="BT478" s="26">
        <f t="shared" si="56"/>
        <v>2007</v>
      </c>
      <c r="BU478" s="26" t="e">
        <f t="shared" si="54"/>
        <v>#DIV/0!</v>
      </c>
    </row>
    <row r="479" spans="1:73" x14ac:dyDescent="0.2">
      <c r="A479" s="25">
        <f>Prices!A478</f>
        <v>40269</v>
      </c>
      <c r="B479" s="28">
        <f t="shared" si="48"/>
        <v>0</v>
      </c>
      <c r="C479" s="28">
        <f t="shared" si="44"/>
        <v>0</v>
      </c>
      <c r="D479" s="28" t="e">
        <f t="shared" si="49"/>
        <v>#DIV/0!</v>
      </c>
      <c r="E479" s="28" t="e">
        <f t="shared" si="60"/>
        <v>#DIV/0!</v>
      </c>
      <c r="F479" s="28" t="e">
        <f t="shared" si="57"/>
        <v>#DIV/0!</v>
      </c>
      <c r="G479" s="28" t="e">
        <f>Prices!P478-D479</f>
        <v>#DIV/0!</v>
      </c>
      <c r="H479" s="28" t="e">
        <f t="shared" si="45"/>
        <v>#DIV/0!</v>
      </c>
      <c r="I479" s="28" t="e">
        <f t="shared" si="46"/>
        <v>#DIV/0!</v>
      </c>
      <c r="J479" s="28" t="e">
        <f t="shared" si="47"/>
        <v>#DIV/0!</v>
      </c>
      <c r="AI479" s="26"/>
      <c r="AJ479" s="26"/>
      <c r="AK479" s="26"/>
      <c r="AL479" s="26"/>
      <c r="AM479" s="26"/>
      <c r="AN479" s="26"/>
      <c r="AO479" s="26"/>
      <c r="AP479" s="25">
        <v>40269</v>
      </c>
      <c r="AQ479" s="29">
        <v>0.99471363636363641</v>
      </c>
      <c r="AR479" s="26"/>
      <c r="AS479" s="26"/>
      <c r="AT479" s="26"/>
      <c r="AU479" s="26"/>
      <c r="AV479" s="26"/>
      <c r="BA479" s="26">
        <f t="shared" si="58"/>
        <v>4</v>
      </c>
      <c r="BB479" s="26">
        <f t="shared" si="59"/>
        <v>2010</v>
      </c>
      <c r="BC479" s="25" t="e" vm="1">
        <v>#REF!</v>
      </c>
      <c r="BD479" s="26" t="e" vm="1">
        <v>#REF!</v>
      </c>
      <c r="BE479" s="26"/>
      <c r="BF479" s="26" t="e" vm="2">
        <f t="shared" si="50"/>
        <v>#VALUE!</v>
      </c>
      <c r="BG479" s="26" t="e" vm="2">
        <f t="shared" si="51"/>
        <v>#VALUE!</v>
      </c>
      <c r="BH479" s="26"/>
      <c r="BI479" s="26"/>
      <c r="BJ479" s="21" t="e" vm="1">
        <v>#REF!</v>
      </c>
      <c r="BK479" s="26" t="e" vm="1">
        <v>#REF!</v>
      </c>
      <c r="BL479" s="26"/>
      <c r="BM479" t="e" vm="2">
        <f t="shared" si="52"/>
        <v>#VALUE!</v>
      </c>
      <c r="BN479" t="e" vm="2">
        <f t="shared" si="53"/>
        <v>#VALUE!</v>
      </c>
      <c r="BO479" s="26"/>
      <c r="BP479" s="26"/>
      <c r="BQ479" s="26"/>
      <c r="BR479" s="25">
        <v>39173</v>
      </c>
      <c r="BS479" s="26">
        <f t="shared" si="55"/>
        <v>4</v>
      </c>
      <c r="BT479" s="26">
        <f t="shared" si="56"/>
        <v>2007</v>
      </c>
      <c r="BU479" s="26" t="e">
        <f t="shared" si="54"/>
        <v>#DIV/0!</v>
      </c>
    </row>
    <row r="480" spans="1:73" x14ac:dyDescent="0.2">
      <c r="A480" s="25">
        <f>Prices!A479</f>
        <v>40299</v>
      </c>
      <c r="B480" s="28">
        <f t="shared" si="48"/>
        <v>0</v>
      </c>
      <c r="C480" s="28">
        <f t="shared" si="44"/>
        <v>0</v>
      </c>
      <c r="D480" s="28" t="e">
        <f t="shared" si="49"/>
        <v>#DIV/0!</v>
      </c>
      <c r="E480" s="28" t="e">
        <f t="shared" si="60"/>
        <v>#DIV/0!</v>
      </c>
      <c r="F480" s="28" t="e">
        <f t="shared" si="57"/>
        <v>#DIV/0!</v>
      </c>
      <c r="G480" s="28" t="e">
        <f>Prices!P479-D480</f>
        <v>#DIV/0!</v>
      </c>
      <c r="H480" s="28" t="e">
        <f t="shared" si="45"/>
        <v>#DIV/0!</v>
      </c>
      <c r="I480" s="28" t="e">
        <f t="shared" si="46"/>
        <v>#DIV/0!</v>
      </c>
      <c r="J480" s="28" t="e">
        <f t="shared" si="47"/>
        <v>#DIV/0!</v>
      </c>
      <c r="AI480" s="26"/>
      <c r="AJ480" s="26"/>
      <c r="AK480" s="26"/>
      <c r="AL480" s="26"/>
      <c r="AM480" s="26"/>
      <c r="AN480" s="26"/>
      <c r="AO480" s="26"/>
      <c r="AP480" s="25">
        <v>40299</v>
      </c>
      <c r="AQ480" s="29">
        <v>0.96018500000000007</v>
      </c>
      <c r="AR480" s="26"/>
      <c r="AS480" s="26"/>
      <c r="AT480" s="26"/>
      <c r="AU480" s="26"/>
      <c r="AV480" s="26"/>
      <c r="BA480" s="26">
        <f t="shared" si="58"/>
        <v>5</v>
      </c>
      <c r="BB480" s="26">
        <f t="shared" si="59"/>
        <v>2010</v>
      </c>
      <c r="BC480" s="25" t="e" vm="1">
        <v>#REF!</v>
      </c>
      <c r="BD480" s="26" t="e" vm="1">
        <v>#REF!</v>
      </c>
      <c r="BE480" s="26"/>
      <c r="BF480" s="26" t="e" vm="2">
        <f t="shared" si="50"/>
        <v>#VALUE!</v>
      </c>
      <c r="BG480" s="26" t="e" vm="2">
        <f t="shared" si="51"/>
        <v>#VALUE!</v>
      </c>
      <c r="BH480" s="26"/>
      <c r="BI480" s="26"/>
      <c r="BJ480" s="21" t="e" vm="1">
        <v>#REF!</v>
      </c>
      <c r="BK480" s="26" t="e" vm="1">
        <v>#REF!</v>
      </c>
      <c r="BL480" s="26"/>
      <c r="BM480" t="e" vm="2">
        <f t="shared" si="52"/>
        <v>#VALUE!</v>
      </c>
      <c r="BN480" t="e" vm="2">
        <f t="shared" si="53"/>
        <v>#VALUE!</v>
      </c>
      <c r="BO480" s="26"/>
      <c r="BP480" s="26"/>
      <c r="BQ480" s="26"/>
      <c r="BR480" s="25">
        <v>39203</v>
      </c>
      <c r="BS480" s="26">
        <f t="shared" si="55"/>
        <v>5</v>
      </c>
      <c r="BT480" s="26">
        <f t="shared" si="56"/>
        <v>2007</v>
      </c>
      <c r="BU480" s="26" t="e">
        <f t="shared" si="54"/>
        <v>#DIV/0!</v>
      </c>
    </row>
    <row r="481" spans="1:73" x14ac:dyDescent="0.2">
      <c r="A481" s="25">
        <f>Prices!A480</f>
        <v>40330</v>
      </c>
      <c r="B481" s="28">
        <f t="shared" si="48"/>
        <v>0</v>
      </c>
      <c r="C481" s="28">
        <f t="shared" si="44"/>
        <v>0</v>
      </c>
      <c r="D481" s="28" t="e">
        <f t="shared" si="49"/>
        <v>#DIV/0!</v>
      </c>
      <c r="E481" s="28" t="e">
        <f t="shared" si="60"/>
        <v>#DIV/0!</v>
      </c>
      <c r="F481" s="28" t="e">
        <f t="shared" si="57"/>
        <v>#DIV/0!</v>
      </c>
      <c r="G481" s="28" t="e">
        <f>Prices!P480-D481</f>
        <v>#DIV/0!</v>
      </c>
      <c r="H481" s="28" t="e">
        <f t="shared" si="45"/>
        <v>#DIV/0!</v>
      </c>
      <c r="I481" s="28" t="e">
        <f t="shared" si="46"/>
        <v>#DIV/0!</v>
      </c>
      <c r="J481" s="28" t="e">
        <f t="shared" si="47"/>
        <v>#DIV/0!</v>
      </c>
      <c r="AI481" s="26"/>
      <c r="AJ481" s="26"/>
      <c r="AK481" s="26"/>
      <c r="AL481" s="26"/>
      <c r="AM481" s="26"/>
      <c r="AN481" s="26"/>
      <c r="AO481" s="26"/>
      <c r="AP481" s="25">
        <v>40330</v>
      </c>
      <c r="AQ481" s="29">
        <v>0.96182727272727286</v>
      </c>
      <c r="AR481" s="26"/>
      <c r="AS481" s="26"/>
      <c r="AT481" s="26"/>
      <c r="AU481" s="26"/>
      <c r="AV481" s="26"/>
      <c r="BA481" s="26">
        <f t="shared" si="58"/>
        <v>6</v>
      </c>
      <c r="BB481" s="26">
        <f t="shared" si="59"/>
        <v>2010</v>
      </c>
      <c r="BC481" s="25" t="e" vm="1">
        <v>#REF!</v>
      </c>
      <c r="BD481" s="26" t="e" vm="1">
        <v>#REF!</v>
      </c>
      <c r="BE481" s="26"/>
      <c r="BF481" s="26" t="e" vm="2">
        <f t="shared" si="50"/>
        <v>#VALUE!</v>
      </c>
      <c r="BG481" s="26" t="e" vm="2">
        <f t="shared" si="51"/>
        <v>#VALUE!</v>
      </c>
      <c r="BH481" s="26"/>
      <c r="BI481" s="26"/>
      <c r="BJ481" s="21" t="e" vm="1">
        <v>#REF!</v>
      </c>
      <c r="BK481" s="26" t="e" vm="1">
        <v>#REF!</v>
      </c>
      <c r="BL481" s="26"/>
      <c r="BM481" t="e" vm="2">
        <f t="shared" si="52"/>
        <v>#VALUE!</v>
      </c>
      <c r="BN481" t="e" vm="2">
        <f t="shared" si="53"/>
        <v>#VALUE!</v>
      </c>
      <c r="BO481" s="26"/>
      <c r="BP481" s="26"/>
      <c r="BQ481" s="26"/>
      <c r="BR481" s="25">
        <v>39234</v>
      </c>
      <c r="BS481" s="26">
        <f t="shared" si="55"/>
        <v>6</v>
      </c>
      <c r="BT481" s="26">
        <f t="shared" si="56"/>
        <v>2007</v>
      </c>
      <c r="BU481" s="26" t="e">
        <f t="shared" si="54"/>
        <v>#DIV/0!</v>
      </c>
    </row>
    <row r="482" spans="1:73" x14ac:dyDescent="0.2">
      <c r="A482" s="25">
        <f>Prices!A481</f>
        <v>40360</v>
      </c>
      <c r="B482" s="28">
        <f t="shared" si="48"/>
        <v>0</v>
      </c>
      <c r="C482" s="28">
        <f t="shared" si="44"/>
        <v>0</v>
      </c>
      <c r="D482" s="28" t="e">
        <f t="shared" si="49"/>
        <v>#DIV/0!</v>
      </c>
      <c r="E482" s="28" t="e">
        <f t="shared" si="60"/>
        <v>#DIV/0!</v>
      </c>
      <c r="F482" s="28" t="e">
        <f t="shared" si="57"/>
        <v>#DIV/0!</v>
      </c>
      <c r="G482" s="28" t="e">
        <f>Prices!P481-D482</f>
        <v>#DIV/0!</v>
      </c>
      <c r="H482" s="28" t="e">
        <f t="shared" si="45"/>
        <v>#DIV/0!</v>
      </c>
      <c r="I482" s="28" t="e">
        <f t="shared" si="46"/>
        <v>#DIV/0!</v>
      </c>
      <c r="J482" s="28" t="e">
        <f t="shared" si="47"/>
        <v>#DIV/0!</v>
      </c>
      <c r="AI482" s="26"/>
      <c r="AJ482" s="26"/>
      <c r="AK482" s="26"/>
      <c r="AL482" s="26"/>
      <c r="AM482" s="26"/>
      <c r="AN482" s="26"/>
      <c r="AO482" s="26"/>
      <c r="AP482" s="25">
        <v>40360</v>
      </c>
      <c r="AQ482" s="29">
        <v>0.95839047619047635</v>
      </c>
      <c r="AR482" s="26"/>
      <c r="AS482" s="26"/>
      <c r="AT482" s="26"/>
      <c r="AU482" s="26"/>
      <c r="AV482" s="26"/>
      <c r="BA482" s="26">
        <f t="shared" si="58"/>
        <v>7</v>
      </c>
      <c r="BB482" s="26">
        <f t="shared" si="59"/>
        <v>2010</v>
      </c>
      <c r="BC482" s="25" t="e" vm="1">
        <v>#REF!</v>
      </c>
      <c r="BD482" s="26" t="e" vm="1">
        <v>#REF!</v>
      </c>
      <c r="BE482" s="26"/>
      <c r="BF482" s="26" t="e" vm="2">
        <f t="shared" si="50"/>
        <v>#VALUE!</v>
      </c>
      <c r="BG482" s="26" t="e" vm="2">
        <f t="shared" si="51"/>
        <v>#VALUE!</v>
      </c>
      <c r="BH482" s="26"/>
      <c r="BI482" s="26"/>
      <c r="BJ482" s="21" t="e" vm="1">
        <v>#REF!</v>
      </c>
      <c r="BK482" s="26" t="e" vm="1">
        <v>#REF!</v>
      </c>
      <c r="BL482" s="26"/>
      <c r="BM482" t="e" vm="2">
        <f t="shared" si="52"/>
        <v>#VALUE!</v>
      </c>
      <c r="BN482" t="e" vm="2">
        <f t="shared" si="53"/>
        <v>#VALUE!</v>
      </c>
      <c r="BO482" s="26"/>
      <c r="BP482" s="26"/>
      <c r="BQ482" s="26"/>
      <c r="BR482" s="25">
        <v>39264</v>
      </c>
      <c r="BS482" s="26">
        <f t="shared" si="55"/>
        <v>7</v>
      </c>
      <c r="BT482" s="26">
        <f t="shared" si="56"/>
        <v>2007</v>
      </c>
      <c r="BU482" s="26" t="e">
        <f t="shared" si="54"/>
        <v>#DIV/0!</v>
      </c>
    </row>
    <row r="483" spans="1:73" x14ac:dyDescent="0.2">
      <c r="A483" s="25">
        <f>Prices!A482</f>
        <v>40391</v>
      </c>
      <c r="B483" s="28">
        <f t="shared" si="48"/>
        <v>0</v>
      </c>
      <c r="C483" s="28">
        <f t="shared" si="44"/>
        <v>0</v>
      </c>
      <c r="D483" s="28" t="e">
        <f t="shared" si="49"/>
        <v>#DIV/0!</v>
      </c>
      <c r="E483" s="28" t="e">
        <f t="shared" si="60"/>
        <v>#DIV/0!</v>
      </c>
      <c r="F483" s="28" t="e">
        <f t="shared" si="57"/>
        <v>#DIV/0!</v>
      </c>
      <c r="G483" s="28" t="e">
        <f>Prices!P482-D483</f>
        <v>#DIV/0!</v>
      </c>
      <c r="H483" s="28" t="e">
        <f t="shared" si="45"/>
        <v>#DIV/0!</v>
      </c>
      <c r="I483" s="28" t="e">
        <f t="shared" si="46"/>
        <v>#DIV/0!</v>
      </c>
      <c r="J483" s="28" t="e">
        <f t="shared" si="47"/>
        <v>#DIV/0!</v>
      </c>
      <c r="AI483" s="26"/>
      <c r="AJ483" s="26"/>
      <c r="AK483" s="26"/>
      <c r="AL483" s="26"/>
      <c r="AM483" s="26"/>
      <c r="AN483" s="26"/>
      <c r="AO483" s="26"/>
      <c r="AP483" s="25">
        <v>40391</v>
      </c>
      <c r="AQ483" s="29">
        <v>0.96037727272727269</v>
      </c>
      <c r="AR483" s="26"/>
      <c r="AS483" s="26"/>
      <c r="AT483" s="26"/>
      <c r="AU483" s="26"/>
      <c r="AV483" s="26"/>
      <c r="BA483" s="26">
        <f t="shared" si="58"/>
        <v>8</v>
      </c>
      <c r="BB483" s="26">
        <f t="shared" si="59"/>
        <v>2010</v>
      </c>
      <c r="BC483" s="25" t="e" vm="1">
        <v>#REF!</v>
      </c>
      <c r="BD483" s="26" t="e" vm="1">
        <v>#REF!</v>
      </c>
      <c r="BE483" s="26"/>
      <c r="BF483" s="26" t="e" vm="2">
        <f t="shared" si="50"/>
        <v>#VALUE!</v>
      </c>
      <c r="BG483" s="26" t="e" vm="2">
        <f t="shared" si="51"/>
        <v>#VALUE!</v>
      </c>
      <c r="BH483" s="26"/>
      <c r="BI483" s="26"/>
      <c r="BJ483" s="21" t="e" vm="1">
        <v>#REF!</v>
      </c>
      <c r="BK483" s="26" t="e" vm="1">
        <v>#REF!</v>
      </c>
      <c r="BL483" s="26"/>
      <c r="BM483" t="e" vm="2">
        <f t="shared" si="52"/>
        <v>#VALUE!</v>
      </c>
      <c r="BN483" t="e" vm="2">
        <f t="shared" si="53"/>
        <v>#VALUE!</v>
      </c>
      <c r="BO483" s="26"/>
      <c r="BP483" s="26"/>
      <c r="BQ483" s="26"/>
      <c r="BR483" s="25">
        <v>39295</v>
      </c>
      <c r="BS483" s="26">
        <f t="shared" si="55"/>
        <v>8</v>
      </c>
      <c r="BT483" s="26">
        <f t="shared" si="56"/>
        <v>2007</v>
      </c>
      <c r="BU483" s="26" t="e">
        <f t="shared" si="54"/>
        <v>#DIV/0!</v>
      </c>
    </row>
    <row r="484" spans="1:73" x14ac:dyDescent="0.2">
      <c r="A484" s="25">
        <f>Prices!A483</f>
        <v>40422</v>
      </c>
      <c r="B484" s="28">
        <f t="shared" si="48"/>
        <v>0</v>
      </c>
      <c r="C484" s="28">
        <f t="shared" si="44"/>
        <v>0</v>
      </c>
      <c r="D484" s="28" t="e">
        <f t="shared" si="49"/>
        <v>#DIV/0!</v>
      </c>
      <c r="E484" s="28" t="e">
        <f t="shared" si="60"/>
        <v>#DIV/0!</v>
      </c>
      <c r="F484" s="28" t="e">
        <f t="shared" si="57"/>
        <v>#DIV/0!</v>
      </c>
      <c r="G484" s="28" t="e">
        <f>Prices!P483-D484</f>
        <v>#DIV/0!</v>
      </c>
      <c r="H484" s="28" t="e">
        <f t="shared" si="45"/>
        <v>#DIV/0!</v>
      </c>
      <c r="I484" s="28" t="e">
        <f t="shared" si="46"/>
        <v>#DIV/0!</v>
      </c>
      <c r="J484" s="28" t="e">
        <f t="shared" si="47"/>
        <v>#DIV/0!</v>
      </c>
      <c r="AI484" s="26"/>
      <c r="AJ484" s="26"/>
      <c r="AK484" s="26"/>
      <c r="AL484" s="26"/>
      <c r="AM484" s="26"/>
      <c r="AN484" s="26"/>
      <c r="AO484" s="26"/>
      <c r="AP484" s="25">
        <v>40422</v>
      </c>
      <c r="AQ484" s="29">
        <v>0.96693809523809515</v>
      </c>
      <c r="AR484" s="26"/>
      <c r="AS484" s="26"/>
      <c r="AT484" s="26"/>
      <c r="AU484" s="26"/>
      <c r="AV484" s="26"/>
      <c r="BA484" s="26">
        <f t="shared" si="58"/>
        <v>9</v>
      </c>
      <c r="BB484" s="26">
        <f t="shared" si="59"/>
        <v>2010</v>
      </c>
      <c r="BC484" s="25" t="e" vm="1">
        <v>#REF!</v>
      </c>
      <c r="BD484" s="26" t="e" vm="1">
        <v>#REF!</v>
      </c>
      <c r="BE484" s="26"/>
      <c r="BF484" s="26" t="e" vm="2">
        <f t="shared" si="50"/>
        <v>#VALUE!</v>
      </c>
      <c r="BG484" s="26" t="e" vm="2">
        <f t="shared" si="51"/>
        <v>#VALUE!</v>
      </c>
      <c r="BH484" s="26"/>
      <c r="BI484" s="26"/>
      <c r="BJ484" s="21" t="e" vm="1">
        <v>#REF!</v>
      </c>
      <c r="BK484" s="26" t="e" vm="1">
        <v>#REF!</v>
      </c>
      <c r="BL484" s="26"/>
      <c r="BM484" t="e" vm="2">
        <f t="shared" si="52"/>
        <v>#VALUE!</v>
      </c>
      <c r="BN484" t="e" vm="2">
        <f t="shared" si="53"/>
        <v>#VALUE!</v>
      </c>
      <c r="BO484" s="26"/>
      <c r="BP484" s="26"/>
      <c r="BQ484" s="26"/>
      <c r="BR484" s="25">
        <v>39326</v>
      </c>
      <c r="BS484" s="26">
        <f t="shared" si="55"/>
        <v>9</v>
      </c>
      <c r="BT484" s="26">
        <f t="shared" si="56"/>
        <v>2007</v>
      </c>
      <c r="BU484" s="26" t="e">
        <f t="shared" si="54"/>
        <v>#DIV/0!</v>
      </c>
    </row>
    <row r="485" spans="1:73" x14ac:dyDescent="0.2">
      <c r="A485" s="25">
        <f>Prices!A484</f>
        <v>40452</v>
      </c>
      <c r="B485" s="28">
        <f t="shared" si="48"/>
        <v>0</v>
      </c>
      <c r="C485" s="28">
        <f t="shared" si="44"/>
        <v>0</v>
      </c>
      <c r="D485" s="28" t="e">
        <f t="shared" si="49"/>
        <v>#DIV/0!</v>
      </c>
      <c r="E485" s="28" t="e">
        <f t="shared" si="60"/>
        <v>#DIV/0!</v>
      </c>
      <c r="F485" s="28" t="e">
        <f t="shared" si="57"/>
        <v>#DIV/0!</v>
      </c>
      <c r="G485" s="28" t="e">
        <f>Prices!P484-D485</f>
        <v>#DIV/0!</v>
      </c>
      <c r="H485" s="28" t="e">
        <f t="shared" si="45"/>
        <v>#DIV/0!</v>
      </c>
      <c r="I485" s="28" t="e">
        <f t="shared" si="46"/>
        <v>#DIV/0!</v>
      </c>
      <c r="J485" s="28" t="e">
        <f t="shared" si="47"/>
        <v>#DIV/0!</v>
      </c>
      <c r="AI485" s="26"/>
      <c r="AJ485" s="26"/>
      <c r="AK485" s="26"/>
      <c r="AL485" s="26"/>
      <c r="AM485" s="26"/>
      <c r="AN485" s="26"/>
      <c r="AO485" s="26"/>
      <c r="AP485" s="25">
        <v>40452</v>
      </c>
      <c r="AQ485" s="29">
        <v>0.98067619047619037</v>
      </c>
      <c r="AR485" s="26"/>
      <c r="AS485" s="26"/>
      <c r="AT485" s="26"/>
      <c r="AU485" s="26"/>
      <c r="AV485" s="26"/>
      <c r="BA485" s="26">
        <f t="shared" si="58"/>
        <v>10</v>
      </c>
      <c r="BB485" s="26">
        <f t="shared" si="59"/>
        <v>2010</v>
      </c>
      <c r="BC485" s="25" t="e" vm="1">
        <v>#REF!</v>
      </c>
      <c r="BD485" s="26" t="e" vm="1">
        <v>#REF!</v>
      </c>
      <c r="BE485" s="26"/>
      <c r="BF485" s="26" t="e" vm="2">
        <f t="shared" si="50"/>
        <v>#VALUE!</v>
      </c>
      <c r="BG485" s="26" t="e" vm="2">
        <f t="shared" si="51"/>
        <v>#VALUE!</v>
      </c>
      <c r="BH485" s="26"/>
      <c r="BI485" s="26"/>
      <c r="BJ485" s="21" t="e" vm="1">
        <v>#REF!</v>
      </c>
      <c r="BK485" s="26" t="e" vm="1">
        <v>#REF!</v>
      </c>
      <c r="BL485" s="26"/>
      <c r="BM485" t="e" vm="2">
        <f t="shared" si="52"/>
        <v>#VALUE!</v>
      </c>
      <c r="BN485" t="e" vm="2">
        <f t="shared" si="53"/>
        <v>#VALUE!</v>
      </c>
      <c r="BO485" s="26"/>
      <c r="BP485" s="26"/>
      <c r="BQ485" s="26"/>
      <c r="BR485" s="25">
        <v>39356</v>
      </c>
      <c r="BS485" s="26">
        <f t="shared" si="55"/>
        <v>10</v>
      </c>
      <c r="BT485" s="26">
        <f t="shared" si="56"/>
        <v>2007</v>
      </c>
      <c r="BU485" s="26" t="e">
        <f t="shared" si="54"/>
        <v>#DIV/0!</v>
      </c>
    </row>
    <row r="486" spans="1:73" x14ac:dyDescent="0.2">
      <c r="A486" s="25">
        <f>Prices!A485</f>
        <v>40483</v>
      </c>
      <c r="B486" s="28">
        <f t="shared" si="48"/>
        <v>0</v>
      </c>
      <c r="C486" s="28">
        <f t="shared" si="44"/>
        <v>0</v>
      </c>
      <c r="D486" s="28" t="e">
        <f t="shared" si="49"/>
        <v>#DIV/0!</v>
      </c>
      <c r="E486" s="28" t="e">
        <f t="shared" si="60"/>
        <v>#DIV/0!</v>
      </c>
      <c r="F486" s="28" t="e">
        <f t="shared" si="57"/>
        <v>#DIV/0!</v>
      </c>
      <c r="G486" s="28" t="e">
        <f>Prices!P485-D486</f>
        <v>#DIV/0!</v>
      </c>
      <c r="H486" s="28" t="e">
        <f t="shared" si="45"/>
        <v>#DIV/0!</v>
      </c>
      <c r="I486" s="28" t="e">
        <f t="shared" si="46"/>
        <v>#DIV/0!</v>
      </c>
      <c r="J486" s="28" t="e">
        <f t="shared" si="47"/>
        <v>#DIV/0!</v>
      </c>
      <c r="AI486" s="26"/>
      <c r="AJ486" s="26"/>
      <c r="AK486" s="26"/>
      <c r="AL486" s="26"/>
      <c r="AM486" s="26"/>
      <c r="AN486" s="26"/>
      <c r="AO486" s="26"/>
      <c r="AP486" s="25">
        <v>40483</v>
      </c>
      <c r="AQ486" s="29">
        <v>0.98681904761904737</v>
      </c>
      <c r="AR486" s="26"/>
      <c r="AS486" s="26"/>
      <c r="AT486" s="26"/>
      <c r="AU486" s="26"/>
      <c r="AV486" s="26"/>
      <c r="BA486" s="26">
        <f t="shared" si="58"/>
        <v>11</v>
      </c>
      <c r="BB486" s="26">
        <f t="shared" si="59"/>
        <v>2010</v>
      </c>
      <c r="BC486" s="25" t="e" vm="1">
        <v>#REF!</v>
      </c>
      <c r="BD486" s="26" t="e" vm="1">
        <v>#REF!</v>
      </c>
      <c r="BE486" s="26"/>
      <c r="BF486" s="26" t="e" vm="2">
        <f t="shared" si="50"/>
        <v>#VALUE!</v>
      </c>
      <c r="BG486" s="26" t="e" vm="2">
        <f t="shared" si="51"/>
        <v>#VALUE!</v>
      </c>
      <c r="BH486" s="26"/>
      <c r="BI486" s="26"/>
      <c r="BJ486" s="21" t="e" vm="1">
        <v>#REF!</v>
      </c>
      <c r="BK486" s="26" t="e" vm="1">
        <v>#REF!</v>
      </c>
      <c r="BL486" s="26"/>
      <c r="BM486" t="e" vm="2">
        <f t="shared" si="52"/>
        <v>#VALUE!</v>
      </c>
      <c r="BN486" t="e" vm="2">
        <f t="shared" si="53"/>
        <v>#VALUE!</v>
      </c>
      <c r="BO486" s="26"/>
      <c r="BP486" s="26"/>
      <c r="BQ486" s="26"/>
      <c r="BR486" s="25">
        <v>39387</v>
      </c>
      <c r="BS486" s="26">
        <f t="shared" si="55"/>
        <v>11</v>
      </c>
      <c r="BT486" s="26">
        <f t="shared" si="56"/>
        <v>2007</v>
      </c>
      <c r="BU486" s="26" t="e">
        <f t="shared" si="54"/>
        <v>#DIV/0!</v>
      </c>
    </row>
    <row r="487" spans="1:73" x14ac:dyDescent="0.2">
      <c r="A487" s="25">
        <f>Prices!A486</f>
        <v>40513</v>
      </c>
      <c r="B487" s="28">
        <f t="shared" si="48"/>
        <v>0</v>
      </c>
      <c r="C487" s="28">
        <f t="shared" si="44"/>
        <v>0</v>
      </c>
      <c r="D487" s="28" t="e">
        <f t="shared" si="49"/>
        <v>#DIV/0!</v>
      </c>
      <c r="E487" s="28" t="e">
        <f t="shared" si="60"/>
        <v>#DIV/0!</v>
      </c>
      <c r="F487" s="28" t="e">
        <f t="shared" si="57"/>
        <v>#DIV/0!</v>
      </c>
      <c r="G487" s="28" t="e">
        <f>Prices!P486-D487</f>
        <v>#DIV/0!</v>
      </c>
      <c r="H487" s="28" t="e">
        <f t="shared" si="45"/>
        <v>#DIV/0!</v>
      </c>
      <c r="I487" s="28" t="e">
        <f t="shared" si="46"/>
        <v>#DIV/0!</v>
      </c>
      <c r="J487" s="28" t="e">
        <f t="shared" si="47"/>
        <v>#DIV/0!</v>
      </c>
      <c r="AI487" s="26"/>
      <c r="AJ487" s="26"/>
      <c r="AK487" s="26"/>
      <c r="AL487" s="26"/>
      <c r="AM487" s="26"/>
      <c r="AN487" s="26"/>
      <c r="AO487" s="26"/>
      <c r="AP487" s="25">
        <v>40513</v>
      </c>
      <c r="AQ487" s="29">
        <v>0.99162727272727269</v>
      </c>
      <c r="AR487" s="26"/>
      <c r="AS487" s="26"/>
      <c r="AT487" s="26"/>
      <c r="AU487" s="26"/>
      <c r="AV487" s="26"/>
      <c r="BA487" s="26">
        <f t="shared" si="58"/>
        <v>12</v>
      </c>
      <c r="BB487" s="26">
        <f t="shared" si="59"/>
        <v>2010</v>
      </c>
      <c r="BC487" s="25" t="e" vm="1">
        <v>#REF!</v>
      </c>
      <c r="BD487" s="26" t="e" vm="1">
        <v>#REF!</v>
      </c>
      <c r="BE487" s="26"/>
      <c r="BF487" s="26" t="e" vm="2">
        <f t="shared" si="50"/>
        <v>#VALUE!</v>
      </c>
      <c r="BG487" s="26" t="e" vm="2">
        <f t="shared" si="51"/>
        <v>#VALUE!</v>
      </c>
      <c r="BH487" s="26"/>
      <c r="BI487" s="26"/>
      <c r="BJ487" s="21" t="e" vm="1">
        <v>#REF!</v>
      </c>
      <c r="BK487" s="26" t="e" vm="1">
        <v>#REF!</v>
      </c>
      <c r="BL487" s="26"/>
      <c r="BM487" t="e" vm="2">
        <f t="shared" si="52"/>
        <v>#VALUE!</v>
      </c>
      <c r="BN487" t="e" vm="2">
        <f t="shared" si="53"/>
        <v>#VALUE!</v>
      </c>
      <c r="BO487" s="26"/>
      <c r="BP487" s="26"/>
      <c r="BQ487" s="26"/>
      <c r="BR487" s="25">
        <v>39417</v>
      </c>
      <c r="BS487" s="26">
        <f t="shared" si="55"/>
        <v>12</v>
      </c>
      <c r="BT487" s="26">
        <f t="shared" si="56"/>
        <v>2007</v>
      </c>
      <c r="BU487" s="26" t="e">
        <f t="shared" si="54"/>
        <v>#DIV/0!</v>
      </c>
    </row>
    <row r="488" spans="1:73" x14ac:dyDescent="0.2">
      <c r="A488" s="25">
        <f>Prices!A487</f>
        <v>40544</v>
      </c>
      <c r="B488" s="28">
        <f t="shared" si="48"/>
        <v>0</v>
      </c>
      <c r="C488" s="28">
        <f t="shared" si="44"/>
        <v>0</v>
      </c>
      <c r="D488" s="28" t="e">
        <f t="shared" si="49"/>
        <v>#DIV/0!</v>
      </c>
      <c r="E488" s="28" t="e">
        <f t="shared" si="60"/>
        <v>#DIV/0!</v>
      </c>
      <c r="F488" s="28" t="e">
        <f t="shared" si="57"/>
        <v>#DIV/0!</v>
      </c>
      <c r="G488" s="28" t="e">
        <f>Prices!P487-D488</f>
        <v>#DIV/0!</v>
      </c>
      <c r="H488" s="28" t="e">
        <f t="shared" si="45"/>
        <v>#DIV/0!</v>
      </c>
      <c r="I488" s="28" t="e">
        <f t="shared" si="46"/>
        <v>#DIV/0!</v>
      </c>
      <c r="J488" s="28" t="e">
        <f t="shared" si="47"/>
        <v>#DIV/0!</v>
      </c>
      <c r="AI488" s="26"/>
      <c r="AJ488" s="26"/>
      <c r="AK488" s="26"/>
      <c r="AL488" s="26"/>
      <c r="AM488" s="26"/>
      <c r="AN488" s="26"/>
      <c r="AO488" s="26"/>
      <c r="AP488" s="25">
        <v>40544</v>
      </c>
      <c r="AQ488" s="29">
        <v>1.0042</v>
      </c>
      <c r="AR488" s="26"/>
      <c r="AS488" s="26"/>
      <c r="AT488" s="26"/>
      <c r="AU488" s="26"/>
      <c r="AV488" s="26"/>
      <c r="BA488" s="26">
        <f t="shared" si="58"/>
        <v>1</v>
      </c>
      <c r="BB488" s="26">
        <f t="shared" si="59"/>
        <v>2011</v>
      </c>
      <c r="BC488" s="25" t="e" vm="1">
        <v>#REF!</v>
      </c>
      <c r="BD488" s="26" t="e" vm="1">
        <v>#REF!</v>
      </c>
      <c r="BE488" s="26"/>
      <c r="BF488" s="26" t="e" vm="2">
        <f t="shared" si="50"/>
        <v>#VALUE!</v>
      </c>
      <c r="BG488" s="26" t="e" vm="2">
        <f t="shared" si="51"/>
        <v>#VALUE!</v>
      </c>
      <c r="BH488" s="26"/>
      <c r="BI488" s="26"/>
      <c r="BJ488" s="21" t="e" vm="1">
        <v>#REF!</v>
      </c>
      <c r="BK488" s="26" t="e" vm="1">
        <v>#REF!</v>
      </c>
      <c r="BL488" s="26"/>
      <c r="BM488" t="e" vm="2">
        <f t="shared" si="52"/>
        <v>#VALUE!</v>
      </c>
      <c r="BN488" t="e" vm="2">
        <f t="shared" si="53"/>
        <v>#VALUE!</v>
      </c>
      <c r="BO488" s="26"/>
      <c r="BP488" s="26"/>
      <c r="BQ488" s="26"/>
      <c r="BR488" s="25">
        <v>39448</v>
      </c>
      <c r="BS488" s="26">
        <f t="shared" si="55"/>
        <v>1</v>
      </c>
      <c r="BT488" s="26">
        <f t="shared" si="56"/>
        <v>2008</v>
      </c>
      <c r="BU488" s="26" t="e">
        <f t="shared" si="54"/>
        <v>#DIV/0!</v>
      </c>
    </row>
    <row r="489" spans="1:73" x14ac:dyDescent="0.2">
      <c r="A489" s="25">
        <f>Prices!A488</f>
        <v>40575</v>
      </c>
      <c r="B489" s="28">
        <f t="shared" si="48"/>
        <v>0</v>
      </c>
      <c r="C489" s="28">
        <f t="shared" si="44"/>
        <v>0</v>
      </c>
      <c r="D489" s="28" t="e">
        <f t="shared" si="49"/>
        <v>#DIV/0!</v>
      </c>
      <c r="E489" s="28" t="e">
        <f t="shared" si="60"/>
        <v>#DIV/0!</v>
      </c>
      <c r="F489" s="28" t="e">
        <f t="shared" si="57"/>
        <v>#DIV/0!</v>
      </c>
      <c r="G489" s="28" t="e">
        <f>Prices!P488-D489</f>
        <v>#DIV/0!</v>
      </c>
      <c r="H489" s="28" t="e">
        <f t="shared" si="45"/>
        <v>#DIV/0!</v>
      </c>
      <c r="I489" s="28" t="e">
        <f t="shared" si="46"/>
        <v>#DIV/0!</v>
      </c>
      <c r="J489" s="28" t="e">
        <f t="shared" si="47"/>
        <v>#DIV/0!</v>
      </c>
      <c r="AI489" s="26"/>
      <c r="AJ489" s="26"/>
      <c r="AK489" s="26"/>
      <c r="AL489" s="26"/>
      <c r="AM489" s="26"/>
      <c r="AN489" s="26"/>
      <c r="AO489" s="26"/>
      <c r="AP489" s="25">
        <v>40575</v>
      </c>
      <c r="AQ489" s="29">
        <v>1.0116421052631579</v>
      </c>
      <c r="AR489" s="26"/>
      <c r="AS489" s="26"/>
      <c r="AT489" s="26"/>
      <c r="AU489" s="26"/>
      <c r="AV489" s="26"/>
      <c r="BA489" s="26">
        <f t="shared" si="58"/>
        <v>2</v>
      </c>
      <c r="BB489" s="26">
        <f t="shared" si="59"/>
        <v>2011</v>
      </c>
      <c r="BC489" s="25" t="e" vm="1">
        <v>#REF!</v>
      </c>
      <c r="BD489" s="26" t="e" vm="1">
        <v>#REF!</v>
      </c>
      <c r="BE489" s="26"/>
      <c r="BF489" s="26" t="e" vm="2">
        <f t="shared" si="50"/>
        <v>#VALUE!</v>
      </c>
      <c r="BG489" s="26" t="e" vm="2">
        <f t="shared" si="51"/>
        <v>#VALUE!</v>
      </c>
      <c r="BH489" s="26"/>
      <c r="BI489" s="26"/>
      <c r="BJ489" s="21" t="e" vm="1">
        <v>#REF!</v>
      </c>
      <c r="BK489" s="26" t="e" vm="1">
        <v>#REF!</v>
      </c>
      <c r="BL489" s="26"/>
      <c r="BM489" t="e" vm="2">
        <f t="shared" si="52"/>
        <v>#VALUE!</v>
      </c>
      <c r="BN489" t="e" vm="2">
        <f t="shared" si="53"/>
        <v>#VALUE!</v>
      </c>
      <c r="BO489" s="26"/>
      <c r="BP489" s="26"/>
      <c r="BQ489" s="26"/>
      <c r="BR489" s="25">
        <v>39479</v>
      </c>
      <c r="BS489" s="26">
        <f t="shared" si="55"/>
        <v>2</v>
      </c>
      <c r="BT489" s="26">
        <f t="shared" si="56"/>
        <v>2008</v>
      </c>
      <c r="BU489" s="26" t="e">
        <f t="shared" si="54"/>
        <v>#DIV/0!</v>
      </c>
    </row>
    <row r="490" spans="1:73" x14ac:dyDescent="0.2">
      <c r="A490" s="25">
        <f>Prices!A489</f>
        <v>40603</v>
      </c>
      <c r="B490" s="28">
        <f t="shared" si="48"/>
        <v>0</v>
      </c>
      <c r="C490" s="28">
        <f t="shared" si="44"/>
        <v>0</v>
      </c>
      <c r="D490" s="28" t="e">
        <f t="shared" si="49"/>
        <v>#DIV/0!</v>
      </c>
      <c r="E490" s="28" t="e">
        <f t="shared" si="60"/>
        <v>#DIV/0!</v>
      </c>
      <c r="F490" s="28" t="e">
        <f t="shared" si="57"/>
        <v>#DIV/0!</v>
      </c>
      <c r="G490" s="28" t="e">
        <f>Prices!P489-D490</f>
        <v>#DIV/0!</v>
      </c>
      <c r="H490" s="28" t="e">
        <f t="shared" si="45"/>
        <v>#DIV/0!</v>
      </c>
      <c r="I490" s="28" t="e">
        <f t="shared" si="46"/>
        <v>#DIV/0!</v>
      </c>
      <c r="J490" s="28" t="e">
        <f t="shared" si="47"/>
        <v>#DIV/0!</v>
      </c>
      <c r="AI490" s="26"/>
      <c r="AJ490" s="26"/>
      <c r="AK490" s="26"/>
      <c r="AL490" s="26"/>
      <c r="AM490" s="26"/>
      <c r="AN490" s="26"/>
      <c r="AO490" s="26"/>
      <c r="AP490" s="25">
        <v>40603</v>
      </c>
      <c r="AQ490" s="29">
        <v>1.0228173913043479</v>
      </c>
      <c r="AR490" s="26"/>
      <c r="AS490" s="26"/>
      <c r="AT490" s="26"/>
      <c r="AU490" s="26"/>
      <c r="AV490" s="26"/>
      <c r="BA490" s="26">
        <f t="shared" si="58"/>
        <v>3</v>
      </c>
      <c r="BB490" s="26">
        <f t="shared" si="59"/>
        <v>2011</v>
      </c>
      <c r="BC490" s="25" t="e" vm="1">
        <v>#REF!</v>
      </c>
      <c r="BD490" s="26" t="e" vm="1">
        <v>#REF!</v>
      </c>
      <c r="BE490" s="26"/>
      <c r="BF490" s="26" t="e" vm="2">
        <f t="shared" si="50"/>
        <v>#VALUE!</v>
      </c>
      <c r="BG490" s="26" t="e" vm="2">
        <f t="shared" si="51"/>
        <v>#VALUE!</v>
      </c>
      <c r="BH490" s="26"/>
      <c r="BI490" s="26"/>
      <c r="BJ490" s="21" t="e" vm="1">
        <v>#REF!</v>
      </c>
      <c r="BK490" s="26" t="e" vm="1">
        <v>#REF!</v>
      </c>
      <c r="BL490" s="26"/>
      <c r="BM490" t="e" vm="2">
        <f t="shared" si="52"/>
        <v>#VALUE!</v>
      </c>
      <c r="BN490" t="e" vm="2">
        <f t="shared" si="53"/>
        <v>#VALUE!</v>
      </c>
      <c r="BO490" s="26"/>
      <c r="BP490" s="26"/>
      <c r="BQ490" s="26"/>
      <c r="BR490" s="25">
        <v>39508</v>
      </c>
      <c r="BS490" s="26">
        <f t="shared" si="55"/>
        <v>3</v>
      </c>
      <c r="BT490" s="26">
        <f t="shared" si="56"/>
        <v>2008</v>
      </c>
      <c r="BU490" s="26" t="e">
        <f t="shared" si="54"/>
        <v>#DIV/0!</v>
      </c>
    </row>
    <row r="491" spans="1:73" x14ac:dyDescent="0.2">
      <c r="A491" s="25">
        <f>Prices!A490</f>
        <v>40634</v>
      </c>
      <c r="B491" s="28">
        <f t="shared" si="48"/>
        <v>0</v>
      </c>
      <c r="C491" s="28">
        <f t="shared" si="44"/>
        <v>0</v>
      </c>
      <c r="D491" s="28" t="e">
        <f t="shared" si="49"/>
        <v>#DIV/0!</v>
      </c>
      <c r="E491" s="28" t="e">
        <f t="shared" si="60"/>
        <v>#DIV/0!</v>
      </c>
      <c r="F491" s="28" t="e">
        <f t="shared" si="57"/>
        <v>#DIV/0!</v>
      </c>
      <c r="G491" s="28" t="e">
        <f>Prices!P490-D491</f>
        <v>#DIV/0!</v>
      </c>
      <c r="H491" s="28" t="e">
        <f t="shared" si="45"/>
        <v>#DIV/0!</v>
      </c>
      <c r="I491" s="28" t="e">
        <f t="shared" si="46"/>
        <v>#DIV/0!</v>
      </c>
      <c r="J491" s="28" t="e">
        <f t="shared" si="47"/>
        <v>#DIV/0!</v>
      </c>
      <c r="AI491" s="26"/>
      <c r="AJ491" s="26"/>
      <c r="AK491" s="26"/>
      <c r="AL491" s="26"/>
      <c r="AM491" s="26"/>
      <c r="AN491" s="26"/>
      <c r="AO491" s="26"/>
      <c r="AP491" s="25">
        <v>40634</v>
      </c>
      <c r="AQ491" s="29">
        <v>1.0426150000000001</v>
      </c>
      <c r="AR491" s="26"/>
      <c r="AS491" s="26"/>
      <c r="AT491" s="26"/>
      <c r="AU491" s="26"/>
      <c r="AV491" s="26"/>
      <c r="BA491" s="26">
        <f t="shared" si="58"/>
        <v>4</v>
      </c>
      <c r="BB491" s="26">
        <f t="shared" si="59"/>
        <v>2011</v>
      </c>
      <c r="BC491" s="25" t="e" vm="1">
        <v>#REF!</v>
      </c>
      <c r="BD491" s="26" t="e" vm="1">
        <v>#REF!</v>
      </c>
      <c r="BE491" s="26"/>
      <c r="BF491" s="26" t="e" vm="2">
        <f t="shared" si="50"/>
        <v>#VALUE!</v>
      </c>
      <c r="BG491" s="26" t="e" vm="2">
        <f t="shared" si="51"/>
        <v>#VALUE!</v>
      </c>
      <c r="BH491" s="26"/>
      <c r="BI491" s="26"/>
      <c r="BJ491" s="21" t="e" vm="1">
        <v>#REF!</v>
      </c>
      <c r="BK491" s="26" t="e" vm="1">
        <v>#REF!</v>
      </c>
      <c r="BL491" s="26"/>
      <c r="BM491" t="e" vm="2">
        <f t="shared" si="52"/>
        <v>#VALUE!</v>
      </c>
      <c r="BN491" t="e" vm="2">
        <f t="shared" si="53"/>
        <v>#VALUE!</v>
      </c>
      <c r="BO491" s="26"/>
      <c r="BP491" s="26"/>
      <c r="BQ491" s="26"/>
      <c r="BR491" s="25">
        <v>39539</v>
      </c>
      <c r="BS491" s="26">
        <f t="shared" si="55"/>
        <v>4</v>
      </c>
      <c r="BT491" s="26">
        <f t="shared" si="56"/>
        <v>2008</v>
      </c>
      <c r="BU491" s="26" t="e">
        <f t="shared" si="54"/>
        <v>#DIV/0!</v>
      </c>
    </row>
    <row r="492" spans="1:73" x14ac:dyDescent="0.2">
      <c r="A492" s="25">
        <f>Prices!A491</f>
        <v>40664</v>
      </c>
      <c r="B492" s="28">
        <f t="shared" si="48"/>
        <v>0</v>
      </c>
      <c r="C492" s="28">
        <f t="shared" si="44"/>
        <v>0</v>
      </c>
      <c r="D492" s="28" t="e">
        <f t="shared" si="49"/>
        <v>#DIV/0!</v>
      </c>
      <c r="E492" s="28" t="e">
        <f t="shared" si="60"/>
        <v>#DIV/0!</v>
      </c>
      <c r="F492" s="28" t="e">
        <f t="shared" si="57"/>
        <v>#DIV/0!</v>
      </c>
      <c r="G492" s="28" t="e">
        <f>Prices!P491-D492</f>
        <v>#DIV/0!</v>
      </c>
      <c r="H492" s="28" t="e">
        <f t="shared" si="45"/>
        <v>#DIV/0!</v>
      </c>
      <c r="I492" s="28" t="e">
        <f t="shared" si="46"/>
        <v>#DIV/0!</v>
      </c>
      <c r="J492" s="28" t="e">
        <f t="shared" si="47"/>
        <v>#DIV/0!</v>
      </c>
      <c r="AI492" s="26"/>
      <c r="AJ492" s="26"/>
      <c r="AK492" s="26"/>
      <c r="AL492" s="26"/>
      <c r="AM492" s="26"/>
      <c r="AN492" s="26"/>
      <c r="AO492" s="26"/>
      <c r="AP492" s="25">
        <v>40664</v>
      </c>
      <c r="AQ492" s="29">
        <v>1.0322761904761903</v>
      </c>
      <c r="AR492" s="26"/>
      <c r="AS492" s="26"/>
      <c r="AT492" s="26"/>
      <c r="AU492" s="26"/>
      <c r="AV492" s="26"/>
      <c r="BA492" s="26">
        <f t="shared" si="58"/>
        <v>5</v>
      </c>
      <c r="BB492" s="26">
        <f t="shared" si="59"/>
        <v>2011</v>
      </c>
      <c r="BC492" s="25" t="e" vm="1">
        <v>#REF!</v>
      </c>
      <c r="BD492" s="26" t="e" vm="1">
        <v>#REF!</v>
      </c>
      <c r="BE492" s="26"/>
      <c r="BF492" s="26" t="e" vm="2">
        <f t="shared" si="50"/>
        <v>#VALUE!</v>
      </c>
      <c r="BG492" s="26" t="e" vm="2">
        <f t="shared" si="51"/>
        <v>#VALUE!</v>
      </c>
      <c r="BH492" s="26"/>
      <c r="BI492" s="26"/>
      <c r="BJ492" s="21" t="e" vm="1">
        <v>#REF!</v>
      </c>
      <c r="BK492" s="26" t="e" vm="1">
        <v>#REF!</v>
      </c>
      <c r="BL492" s="26"/>
      <c r="BM492" t="e" vm="2">
        <f t="shared" si="52"/>
        <v>#VALUE!</v>
      </c>
      <c r="BN492" t="e" vm="2">
        <f t="shared" si="53"/>
        <v>#VALUE!</v>
      </c>
      <c r="BO492" s="26"/>
      <c r="BP492" s="26"/>
      <c r="BQ492" s="26"/>
      <c r="BR492" s="25">
        <v>39569</v>
      </c>
      <c r="BS492" s="26">
        <f t="shared" si="55"/>
        <v>5</v>
      </c>
      <c r="BT492" s="26">
        <f t="shared" si="56"/>
        <v>2008</v>
      </c>
      <c r="BU492" s="26" t="e">
        <f t="shared" si="54"/>
        <v>#DIV/0!</v>
      </c>
    </row>
    <row r="493" spans="1:73" x14ac:dyDescent="0.2">
      <c r="A493" s="25">
        <f>Prices!A492</f>
        <v>40695</v>
      </c>
      <c r="B493" s="28">
        <f t="shared" si="48"/>
        <v>0</v>
      </c>
      <c r="C493" s="28">
        <f t="shared" si="44"/>
        <v>0</v>
      </c>
      <c r="D493" s="28" t="e">
        <f t="shared" si="49"/>
        <v>#DIV/0!</v>
      </c>
      <c r="E493" s="28" t="e">
        <f t="shared" si="60"/>
        <v>#DIV/0!</v>
      </c>
      <c r="F493" s="28" t="e">
        <f t="shared" si="57"/>
        <v>#DIV/0!</v>
      </c>
      <c r="G493" s="28" t="e">
        <f>Prices!P492-D493</f>
        <v>#DIV/0!</v>
      </c>
      <c r="H493" s="28" t="e">
        <f t="shared" si="45"/>
        <v>#DIV/0!</v>
      </c>
      <c r="I493" s="28" t="e">
        <f t="shared" si="46"/>
        <v>#DIV/0!</v>
      </c>
      <c r="J493" s="28" t="e">
        <f t="shared" si="47"/>
        <v>#DIV/0!</v>
      </c>
      <c r="AI493" s="26"/>
      <c r="AJ493" s="26"/>
      <c r="AK493" s="26"/>
      <c r="AL493" s="26"/>
      <c r="AM493" s="26"/>
      <c r="AN493" s="26"/>
      <c r="AO493" s="26"/>
      <c r="AP493" s="25">
        <v>40695</v>
      </c>
      <c r="AQ493" s="29">
        <v>1.0220181818181815</v>
      </c>
      <c r="AR493" s="26"/>
      <c r="AS493" s="26"/>
      <c r="AT493" s="26"/>
      <c r="AU493" s="26"/>
      <c r="AV493" s="26"/>
      <c r="BA493" s="26">
        <f t="shared" si="58"/>
        <v>6</v>
      </c>
      <c r="BB493" s="26">
        <f t="shared" si="59"/>
        <v>2011</v>
      </c>
      <c r="BC493" s="25" t="e" vm="1">
        <v>#REF!</v>
      </c>
      <c r="BD493" s="26" t="e" vm="1">
        <v>#REF!</v>
      </c>
      <c r="BE493" s="26"/>
      <c r="BF493" s="26" t="e" vm="2">
        <f t="shared" si="50"/>
        <v>#VALUE!</v>
      </c>
      <c r="BG493" s="26" t="e" vm="2">
        <f t="shared" si="51"/>
        <v>#VALUE!</v>
      </c>
      <c r="BH493" s="26"/>
      <c r="BI493" s="26"/>
      <c r="BJ493" s="21" t="e" vm="1">
        <v>#REF!</v>
      </c>
      <c r="BK493" s="26" t="e" vm="1">
        <v>#REF!</v>
      </c>
      <c r="BL493" s="26"/>
      <c r="BM493" t="e" vm="2">
        <f t="shared" si="52"/>
        <v>#VALUE!</v>
      </c>
      <c r="BN493" t="e" vm="2">
        <f t="shared" si="53"/>
        <v>#VALUE!</v>
      </c>
      <c r="BO493" s="26"/>
      <c r="BP493" s="26"/>
      <c r="BQ493" s="26"/>
      <c r="BR493" s="25">
        <v>39600</v>
      </c>
      <c r="BS493" s="26">
        <f t="shared" si="55"/>
        <v>6</v>
      </c>
      <c r="BT493" s="26">
        <f t="shared" si="56"/>
        <v>2008</v>
      </c>
      <c r="BU493" s="26" t="e">
        <f t="shared" si="54"/>
        <v>#DIV/0!</v>
      </c>
    </row>
    <row r="494" spans="1:73" x14ac:dyDescent="0.2">
      <c r="A494" s="25">
        <f>Prices!A493</f>
        <v>40725</v>
      </c>
      <c r="B494" s="28">
        <f t="shared" si="48"/>
        <v>0</v>
      </c>
      <c r="C494" s="28">
        <f t="shared" si="44"/>
        <v>0</v>
      </c>
      <c r="D494" s="28" t="e">
        <f t="shared" si="49"/>
        <v>#DIV/0!</v>
      </c>
      <c r="E494" s="28" t="e">
        <f t="shared" si="60"/>
        <v>#DIV/0!</v>
      </c>
      <c r="F494" s="28" t="e">
        <f t="shared" si="57"/>
        <v>#DIV/0!</v>
      </c>
      <c r="G494" s="28" t="e">
        <f>Prices!P493-D494</f>
        <v>#DIV/0!</v>
      </c>
      <c r="H494" s="28" t="e">
        <f t="shared" si="45"/>
        <v>#DIV/0!</v>
      </c>
      <c r="I494" s="28" t="e">
        <f t="shared" si="46"/>
        <v>#DIV/0!</v>
      </c>
      <c r="J494" s="28" t="e">
        <f t="shared" si="47"/>
        <v>#DIV/0!</v>
      </c>
      <c r="AI494" s="26"/>
      <c r="AJ494" s="26"/>
      <c r="AK494" s="26"/>
      <c r="AL494" s="26"/>
      <c r="AM494" s="26"/>
      <c r="AN494" s="26"/>
      <c r="AO494" s="26"/>
      <c r="AP494" s="25">
        <v>40725</v>
      </c>
      <c r="AQ494" s="29">
        <v>1.04511</v>
      </c>
      <c r="AR494" s="26"/>
      <c r="AS494" s="26"/>
      <c r="AT494" s="26"/>
      <c r="AU494" s="26"/>
      <c r="AV494" s="26"/>
      <c r="BA494" s="26">
        <f t="shared" si="58"/>
        <v>7</v>
      </c>
      <c r="BB494" s="26">
        <f t="shared" si="59"/>
        <v>2011</v>
      </c>
      <c r="BC494" s="25" t="e" vm="1">
        <v>#REF!</v>
      </c>
      <c r="BD494" s="26" t="e" vm="1">
        <v>#REF!</v>
      </c>
      <c r="BE494" s="26"/>
      <c r="BF494" s="26" t="e" vm="2">
        <f t="shared" si="50"/>
        <v>#VALUE!</v>
      </c>
      <c r="BG494" s="26" t="e" vm="2">
        <f t="shared" si="51"/>
        <v>#VALUE!</v>
      </c>
      <c r="BH494" s="26"/>
      <c r="BI494" s="26"/>
      <c r="BJ494" s="21" t="e" vm="1">
        <v>#REF!</v>
      </c>
      <c r="BK494" s="26" t="e" vm="1">
        <v>#REF!</v>
      </c>
      <c r="BL494" s="26"/>
      <c r="BM494" t="e" vm="2">
        <f t="shared" si="52"/>
        <v>#VALUE!</v>
      </c>
      <c r="BN494" t="e" vm="2">
        <f t="shared" si="53"/>
        <v>#VALUE!</v>
      </c>
      <c r="BO494" s="26"/>
      <c r="BP494" s="26"/>
      <c r="BQ494" s="26"/>
      <c r="BR494" s="25">
        <v>39630</v>
      </c>
      <c r="BS494" s="26">
        <f t="shared" si="55"/>
        <v>7</v>
      </c>
      <c r="BT494" s="26">
        <f t="shared" si="56"/>
        <v>2008</v>
      </c>
      <c r="BU494" s="26" t="e">
        <f t="shared" si="54"/>
        <v>#DIV/0!</v>
      </c>
    </row>
    <row r="495" spans="1:73" x14ac:dyDescent="0.2">
      <c r="A495" s="25">
        <f>Prices!A494</f>
        <v>40756</v>
      </c>
      <c r="B495" s="28">
        <f t="shared" si="48"/>
        <v>0</v>
      </c>
      <c r="C495" s="28">
        <f t="shared" si="44"/>
        <v>0</v>
      </c>
      <c r="D495" s="28" t="e">
        <f t="shared" si="49"/>
        <v>#DIV/0!</v>
      </c>
      <c r="E495" s="28" t="e">
        <f t="shared" si="60"/>
        <v>#DIV/0!</v>
      </c>
      <c r="F495" s="28" t="e">
        <f t="shared" si="57"/>
        <v>#DIV/0!</v>
      </c>
      <c r="G495" s="28" t="e">
        <f>Prices!P494-D495</f>
        <v>#DIV/0!</v>
      </c>
      <c r="H495" s="28" t="e">
        <f t="shared" si="45"/>
        <v>#DIV/0!</v>
      </c>
      <c r="I495" s="28" t="e">
        <f t="shared" si="46"/>
        <v>#DIV/0!</v>
      </c>
      <c r="J495" s="28" t="e">
        <f t="shared" si="47"/>
        <v>#DIV/0!</v>
      </c>
      <c r="AI495" s="26"/>
      <c r="AJ495" s="26"/>
      <c r="AK495" s="26"/>
      <c r="AL495" s="26"/>
      <c r="AM495" s="26"/>
      <c r="AN495" s="26"/>
      <c r="AO495" s="26"/>
      <c r="AP495" s="25">
        <v>40756</v>
      </c>
      <c r="AQ495" s="29">
        <v>1.0174565217391307</v>
      </c>
      <c r="AR495" s="26"/>
      <c r="AS495" s="26"/>
      <c r="AT495" s="26"/>
      <c r="AU495" s="26"/>
      <c r="AV495" s="26"/>
      <c r="BA495" s="26">
        <f t="shared" si="58"/>
        <v>8</v>
      </c>
      <c r="BB495" s="26">
        <f t="shared" si="59"/>
        <v>2011</v>
      </c>
      <c r="BC495" s="25" t="e" vm="1">
        <v>#REF!</v>
      </c>
      <c r="BD495" s="26" t="e" vm="1">
        <v>#REF!</v>
      </c>
      <c r="BE495" s="26"/>
      <c r="BF495" s="26" t="e" vm="2">
        <f t="shared" si="50"/>
        <v>#VALUE!</v>
      </c>
      <c r="BG495" s="26" t="e" vm="2">
        <f t="shared" si="51"/>
        <v>#VALUE!</v>
      </c>
      <c r="BH495" s="26"/>
      <c r="BI495" s="26"/>
      <c r="BJ495" s="21" t="e" vm="1">
        <v>#REF!</v>
      </c>
      <c r="BK495" s="26" t="e" vm="1">
        <v>#REF!</v>
      </c>
      <c r="BL495" s="26"/>
      <c r="BM495" t="e" vm="2">
        <f t="shared" si="52"/>
        <v>#VALUE!</v>
      </c>
      <c r="BN495" t="e" vm="2">
        <f t="shared" si="53"/>
        <v>#VALUE!</v>
      </c>
      <c r="BO495" s="26"/>
      <c r="BP495" s="26"/>
      <c r="BQ495" s="26"/>
      <c r="BR495" s="25">
        <v>39661</v>
      </c>
      <c r="BS495" s="26">
        <f t="shared" si="55"/>
        <v>8</v>
      </c>
      <c r="BT495" s="26">
        <f t="shared" si="56"/>
        <v>2008</v>
      </c>
      <c r="BU495" s="26" t="e">
        <f t="shared" si="54"/>
        <v>#DIV/0!</v>
      </c>
    </row>
    <row r="496" spans="1:73" x14ac:dyDescent="0.2">
      <c r="A496" s="25">
        <f>Prices!A495</f>
        <v>40787</v>
      </c>
      <c r="B496" s="28">
        <f t="shared" si="48"/>
        <v>0</v>
      </c>
      <c r="C496" s="28">
        <f t="shared" si="44"/>
        <v>0</v>
      </c>
      <c r="D496" s="28" t="e">
        <f t="shared" si="49"/>
        <v>#DIV/0!</v>
      </c>
      <c r="E496" s="28" t="e">
        <f t="shared" si="60"/>
        <v>#DIV/0!</v>
      </c>
      <c r="F496" s="28" t="e">
        <f t="shared" si="57"/>
        <v>#DIV/0!</v>
      </c>
      <c r="G496" s="28" t="e">
        <f>Prices!P495-D496</f>
        <v>#DIV/0!</v>
      </c>
      <c r="H496" s="28" t="e">
        <f t="shared" si="45"/>
        <v>#DIV/0!</v>
      </c>
      <c r="I496" s="28" t="e">
        <f t="shared" si="46"/>
        <v>#DIV/0!</v>
      </c>
      <c r="J496" s="28" t="e">
        <f t="shared" si="47"/>
        <v>#DIV/0!</v>
      </c>
      <c r="AI496" s="26"/>
      <c r="AJ496" s="26"/>
      <c r="AK496" s="26"/>
      <c r="AL496" s="26"/>
      <c r="AM496" s="26"/>
      <c r="AN496" s="26"/>
      <c r="AO496" s="26"/>
      <c r="AP496" s="25">
        <v>40787</v>
      </c>
      <c r="AQ496" s="29">
        <v>0.99630476190476169</v>
      </c>
      <c r="AR496" s="26"/>
      <c r="AS496" s="26"/>
      <c r="AT496" s="26"/>
      <c r="AU496" s="26"/>
      <c r="AV496" s="26"/>
      <c r="BA496" s="26">
        <f t="shared" si="58"/>
        <v>9</v>
      </c>
      <c r="BB496" s="26">
        <f t="shared" si="59"/>
        <v>2011</v>
      </c>
      <c r="BC496" s="25" t="e" vm="1">
        <v>#REF!</v>
      </c>
      <c r="BD496" s="26" t="e" vm="1">
        <v>#REF!</v>
      </c>
      <c r="BE496" s="26"/>
      <c r="BF496" s="26" t="e" vm="2">
        <f t="shared" si="50"/>
        <v>#VALUE!</v>
      </c>
      <c r="BG496" s="26" t="e" vm="2">
        <f t="shared" si="51"/>
        <v>#VALUE!</v>
      </c>
      <c r="BH496" s="26"/>
      <c r="BI496" s="26"/>
      <c r="BJ496" s="21" t="e" vm="1">
        <v>#REF!</v>
      </c>
      <c r="BK496" s="26" t="e" vm="1">
        <v>#REF!</v>
      </c>
      <c r="BL496" s="26"/>
      <c r="BM496" t="e" vm="2">
        <f t="shared" si="52"/>
        <v>#VALUE!</v>
      </c>
      <c r="BN496" t="e" vm="2">
        <f t="shared" si="53"/>
        <v>#VALUE!</v>
      </c>
      <c r="BO496" s="26"/>
      <c r="BP496" s="26"/>
      <c r="BQ496" s="26"/>
      <c r="BR496" s="25">
        <v>39692</v>
      </c>
      <c r="BS496" s="26">
        <f t="shared" si="55"/>
        <v>9</v>
      </c>
      <c r="BT496" s="26">
        <f t="shared" si="56"/>
        <v>2008</v>
      </c>
      <c r="BU496" s="26" t="e">
        <f t="shared" si="54"/>
        <v>#DIV/0!</v>
      </c>
    </row>
    <row r="497" spans="1:73" x14ac:dyDescent="0.2">
      <c r="A497" s="25">
        <f>Prices!A496</f>
        <v>40817</v>
      </c>
      <c r="B497" s="28">
        <f t="shared" si="48"/>
        <v>0</v>
      </c>
      <c r="C497" s="28">
        <f t="shared" si="44"/>
        <v>0</v>
      </c>
      <c r="D497" s="28" t="e">
        <f t="shared" si="49"/>
        <v>#DIV/0!</v>
      </c>
      <c r="E497" s="28" t="e">
        <f t="shared" si="60"/>
        <v>#DIV/0!</v>
      </c>
      <c r="F497" s="28" t="e">
        <f t="shared" si="57"/>
        <v>#DIV/0!</v>
      </c>
      <c r="G497" s="28" t="e">
        <f>Prices!P496-D497</f>
        <v>#DIV/0!</v>
      </c>
      <c r="H497" s="28" t="e">
        <f t="shared" si="45"/>
        <v>#DIV/0!</v>
      </c>
      <c r="I497" s="28" t="e">
        <f t="shared" si="46"/>
        <v>#DIV/0!</v>
      </c>
      <c r="J497" s="28" t="e">
        <f t="shared" si="47"/>
        <v>#DIV/0!</v>
      </c>
      <c r="AI497" s="26"/>
      <c r="AJ497" s="26"/>
      <c r="AK497" s="26"/>
      <c r="AL497" s="26"/>
      <c r="AM497" s="26"/>
      <c r="AN497" s="26"/>
      <c r="AO497" s="26"/>
      <c r="AP497" s="25">
        <v>40817</v>
      </c>
      <c r="AQ497" s="29">
        <v>0.97922857142857134</v>
      </c>
      <c r="AR497" s="26"/>
      <c r="AS497" s="26"/>
      <c r="AT497" s="26"/>
      <c r="AU497" s="26"/>
      <c r="AV497" s="26"/>
      <c r="BA497" s="26">
        <f t="shared" si="58"/>
        <v>10</v>
      </c>
      <c r="BB497" s="26">
        <f t="shared" si="59"/>
        <v>2011</v>
      </c>
      <c r="BC497" s="25" t="e" vm="1">
        <v>#REF!</v>
      </c>
      <c r="BD497" s="26" t="e" vm="1">
        <v>#REF!</v>
      </c>
      <c r="BE497" s="26"/>
      <c r="BF497" s="26" t="e" vm="2">
        <f t="shared" si="50"/>
        <v>#VALUE!</v>
      </c>
      <c r="BG497" s="26" t="e" vm="2">
        <f t="shared" si="51"/>
        <v>#VALUE!</v>
      </c>
      <c r="BH497" s="26"/>
      <c r="BI497" s="26"/>
      <c r="BJ497" s="21" t="e" vm="1">
        <v>#REF!</v>
      </c>
      <c r="BK497" s="26" t="e" vm="1">
        <v>#REF!</v>
      </c>
      <c r="BL497" s="26"/>
      <c r="BM497" t="e" vm="2">
        <f t="shared" si="52"/>
        <v>#VALUE!</v>
      </c>
      <c r="BN497" t="e" vm="2">
        <f t="shared" si="53"/>
        <v>#VALUE!</v>
      </c>
      <c r="BO497" s="26"/>
      <c r="BP497" s="26"/>
      <c r="BQ497" s="26"/>
      <c r="BR497" s="25">
        <v>39722</v>
      </c>
      <c r="BS497" s="26">
        <f t="shared" si="55"/>
        <v>10</v>
      </c>
      <c r="BT497" s="26">
        <f t="shared" si="56"/>
        <v>2008</v>
      </c>
      <c r="BU497" s="26" t="e">
        <f t="shared" si="54"/>
        <v>#DIV/0!</v>
      </c>
    </row>
    <row r="498" spans="1:73" x14ac:dyDescent="0.2">
      <c r="A498" s="25">
        <f>Prices!A497</f>
        <v>40848</v>
      </c>
      <c r="B498" s="28">
        <f t="shared" si="48"/>
        <v>0</v>
      </c>
      <c r="C498" s="28">
        <f t="shared" si="44"/>
        <v>0</v>
      </c>
      <c r="D498" s="28" t="e">
        <f t="shared" si="49"/>
        <v>#DIV/0!</v>
      </c>
      <c r="E498" s="28" t="e">
        <f t="shared" si="60"/>
        <v>#DIV/0!</v>
      </c>
      <c r="F498" s="28" t="e">
        <f t="shared" si="57"/>
        <v>#DIV/0!</v>
      </c>
      <c r="G498" s="28" t="e">
        <f>Prices!P497-D498</f>
        <v>#DIV/0!</v>
      </c>
      <c r="H498" s="28" t="e">
        <f t="shared" si="45"/>
        <v>#DIV/0!</v>
      </c>
      <c r="I498" s="28" t="e">
        <f t="shared" si="46"/>
        <v>#DIV/0!</v>
      </c>
      <c r="J498" s="28" t="e">
        <f t="shared" si="47"/>
        <v>#DIV/0!</v>
      </c>
      <c r="AI498" s="26"/>
      <c r="AJ498" s="26"/>
      <c r="AK498" s="26"/>
      <c r="AL498" s="26"/>
      <c r="AM498" s="26"/>
      <c r="AN498" s="26"/>
      <c r="AO498" s="26"/>
      <c r="AP498" s="25">
        <v>40848</v>
      </c>
      <c r="AQ498" s="29">
        <v>0.97585238095238092</v>
      </c>
      <c r="AR498" s="26"/>
      <c r="AS498" s="26"/>
      <c r="AT498" s="26"/>
      <c r="AU498" s="26"/>
      <c r="AV498" s="26"/>
      <c r="BA498" s="26">
        <f t="shared" si="58"/>
        <v>11</v>
      </c>
      <c r="BB498" s="26">
        <f t="shared" si="59"/>
        <v>2011</v>
      </c>
      <c r="BC498" s="25" t="e" vm="1">
        <v>#REF!</v>
      </c>
      <c r="BD498" s="26" t="e" vm="1">
        <v>#REF!</v>
      </c>
      <c r="BE498" s="26"/>
      <c r="BF498" s="26" t="e" vm="2">
        <f t="shared" si="50"/>
        <v>#VALUE!</v>
      </c>
      <c r="BG498" s="26" t="e" vm="2">
        <f t="shared" si="51"/>
        <v>#VALUE!</v>
      </c>
      <c r="BH498" s="26"/>
      <c r="BI498" s="26"/>
      <c r="BJ498" s="21" t="e" vm="1">
        <v>#REF!</v>
      </c>
      <c r="BK498" s="26" t="e" vm="1">
        <v>#REF!</v>
      </c>
      <c r="BL498" s="26"/>
      <c r="BM498" t="e" vm="2">
        <f t="shared" si="52"/>
        <v>#VALUE!</v>
      </c>
      <c r="BN498" t="e" vm="2">
        <f t="shared" si="53"/>
        <v>#VALUE!</v>
      </c>
      <c r="BO498" s="26"/>
      <c r="BP498" s="26"/>
      <c r="BQ498" s="26"/>
      <c r="BR498" s="25">
        <v>39753</v>
      </c>
      <c r="BS498" s="26">
        <f t="shared" si="55"/>
        <v>11</v>
      </c>
      <c r="BT498" s="26">
        <f t="shared" si="56"/>
        <v>2008</v>
      </c>
      <c r="BU498" s="26" t="e">
        <f t="shared" si="54"/>
        <v>#DIV/0!</v>
      </c>
    </row>
    <row r="499" spans="1:73" x14ac:dyDescent="0.2">
      <c r="A499" s="25">
        <f>Prices!A498</f>
        <v>40878</v>
      </c>
      <c r="B499" s="28">
        <f t="shared" si="48"/>
        <v>0</v>
      </c>
      <c r="C499" s="28">
        <f t="shared" si="44"/>
        <v>0</v>
      </c>
      <c r="D499" s="28" t="e">
        <f t="shared" si="49"/>
        <v>#DIV/0!</v>
      </c>
      <c r="E499" s="28" t="e">
        <f t="shared" si="60"/>
        <v>#DIV/0!</v>
      </c>
      <c r="F499" s="28" t="e">
        <f t="shared" si="57"/>
        <v>#DIV/0!</v>
      </c>
      <c r="G499" s="28" t="e">
        <f>Prices!P498-D499</f>
        <v>#DIV/0!</v>
      </c>
      <c r="H499" s="28" t="e">
        <f t="shared" si="45"/>
        <v>#DIV/0!</v>
      </c>
      <c r="I499" s="28" t="e">
        <f t="shared" si="46"/>
        <v>#DIV/0!</v>
      </c>
      <c r="J499" s="28" t="e">
        <f t="shared" si="47"/>
        <v>#DIV/0!</v>
      </c>
      <c r="AI499" s="26"/>
      <c r="AJ499" s="26"/>
      <c r="AK499" s="26"/>
      <c r="AL499" s="26"/>
      <c r="AM499" s="26"/>
      <c r="AN499" s="26"/>
      <c r="AO499" s="26"/>
      <c r="AP499" s="25">
        <v>40878</v>
      </c>
      <c r="AQ499" s="29">
        <v>0.97646190476190475</v>
      </c>
      <c r="AR499" s="26"/>
      <c r="AS499" s="26"/>
      <c r="AT499" s="26"/>
      <c r="AU499" s="26"/>
      <c r="AV499" s="26"/>
      <c r="BA499" s="26">
        <f t="shared" si="58"/>
        <v>12</v>
      </c>
      <c r="BB499" s="26">
        <f t="shared" si="59"/>
        <v>2011</v>
      </c>
      <c r="BC499" s="25" t="e" vm="1">
        <v>#REF!</v>
      </c>
      <c r="BD499" s="26" t="e" vm="1">
        <v>#REF!</v>
      </c>
      <c r="BE499" s="26"/>
      <c r="BF499" s="26" t="e" vm="2">
        <f t="shared" si="50"/>
        <v>#VALUE!</v>
      </c>
      <c r="BG499" s="26" t="e" vm="2">
        <f t="shared" si="51"/>
        <v>#VALUE!</v>
      </c>
      <c r="BH499" s="26"/>
      <c r="BI499" s="26"/>
      <c r="BJ499" s="21" t="e" vm="1">
        <v>#REF!</v>
      </c>
      <c r="BK499" s="26" t="e" vm="1">
        <v>#REF!</v>
      </c>
      <c r="BL499" s="26"/>
      <c r="BM499" t="e" vm="2">
        <f t="shared" si="52"/>
        <v>#VALUE!</v>
      </c>
      <c r="BN499" t="e" vm="2">
        <f t="shared" si="53"/>
        <v>#VALUE!</v>
      </c>
      <c r="BO499" s="26"/>
      <c r="BP499" s="26"/>
      <c r="BQ499" s="26"/>
      <c r="BR499" s="25">
        <v>39783</v>
      </c>
      <c r="BS499" s="26">
        <f t="shared" si="55"/>
        <v>12</v>
      </c>
      <c r="BT499" s="26">
        <f t="shared" si="56"/>
        <v>2008</v>
      </c>
      <c r="BU499" s="26" t="e">
        <f t="shared" si="54"/>
        <v>#DIV/0!</v>
      </c>
    </row>
    <row r="500" spans="1:73" x14ac:dyDescent="0.2">
      <c r="A500" s="25">
        <f>Prices!A499</f>
        <v>40909</v>
      </c>
      <c r="B500" s="28">
        <f t="shared" si="48"/>
        <v>0</v>
      </c>
      <c r="C500" s="28">
        <f t="shared" si="44"/>
        <v>0</v>
      </c>
      <c r="D500" s="28" t="e">
        <f t="shared" si="49"/>
        <v>#DIV/0!</v>
      </c>
      <c r="E500" s="28" t="e">
        <f t="shared" si="60"/>
        <v>#DIV/0!</v>
      </c>
      <c r="F500" s="28" t="e">
        <f t="shared" si="57"/>
        <v>#DIV/0!</v>
      </c>
      <c r="G500" s="28" t="e">
        <f>Prices!P499-D500</f>
        <v>#DIV/0!</v>
      </c>
      <c r="H500" s="28" t="e">
        <f t="shared" si="45"/>
        <v>#DIV/0!</v>
      </c>
      <c r="I500" s="28" t="e">
        <f t="shared" si="46"/>
        <v>#DIV/0!</v>
      </c>
      <c r="J500" s="28" t="e">
        <f t="shared" si="47"/>
        <v>#DIV/0!</v>
      </c>
      <c r="AI500" s="26"/>
      <c r="AJ500" s="26"/>
      <c r="AK500" s="26"/>
      <c r="AL500" s="26"/>
      <c r="AM500" s="26"/>
      <c r="AN500" s="26"/>
      <c r="AO500" s="26"/>
      <c r="AP500" s="25">
        <v>40909</v>
      </c>
      <c r="AQ500" s="29">
        <v>0.98600499999999991</v>
      </c>
      <c r="AR500" s="26"/>
      <c r="AS500" s="26"/>
      <c r="AT500" s="26"/>
      <c r="AU500" s="26"/>
      <c r="AV500" s="26"/>
      <c r="BA500" s="26">
        <f t="shared" si="58"/>
        <v>1</v>
      </c>
      <c r="BB500" s="26">
        <f t="shared" si="59"/>
        <v>2012</v>
      </c>
      <c r="BC500" s="25" t="e" vm="1">
        <v>#REF!</v>
      </c>
      <c r="BD500" s="26" t="e" vm="1">
        <v>#REF!</v>
      </c>
      <c r="BE500" s="26"/>
      <c r="BF500" s="26" t="e" vm="2">
        <f t="shared" si="50"/>
        <v>#VALUE!</v>
      </c>
      <c r="BG500" s="26" t="e" vm="2">
        <f t="shared" si="51"/>
        <v>#VALUE!</v>
      </c>
      <c r="BH500" s="26"/>
      <c r="BI500" s="26"/>
      <c r="BJ500" s="21" t="e" vm="1">
        <v>#REF!</v>
      </c>
      <c r="BK500" s="26" t="e" vm="1">
        <v>#REF!</v>
      </c>
      <c r="BL500" s="26"/>
      <c r="BM500" t="e" vm="2">
        <f t="shared" si="52"/>
        <v>#VALUE!</v>
      </c>
      <c r="BN500" t="e" vm="2">
        <f t="shared" si="53"/>
        <v>#VALUE!</v>
      </c>
      <c r="BO500" s="26"/>
      <c r="BP500" s="26"/>
      <c r="BQ500" s="26"/>
      <c r="BR500" s="25">
        <v>39814</v>
      </c>
      <c r="BS500" s="26">
        <f t="shared" si="55"/>
        <v>1</v>
      </c>
      <c r="BT500" s="26">
        <f t="shared" si="56"/>
        <v>2009</v>
      </c>
      <c r="BU500" s="26" t="e">
        <f t="shared" si="54"/>
        <v>#DIV/0!</v>
      </c>
    </row>
    <row r="501" spans="1:73" x14ac:dyDescent="0.2">
      <c r="A501" s="25">
        <f>Prices!A500</f>
        <v>40940</v>
      </c>
      <c r="B501" s="28">
        <f t="shared" si="48"/>
        <v>0</v>
      </c>
      <c r="C501" s="28">
        <f t="shared" ref="C501:C564" si="61">_xlfn.MINIFS($BD$2:$BD$5500,$BF$2:$BF$5500,$BA501,$BG$2:$BG$5500,$BB501)</f>
        <v>0</v>
      </c>
      <c r="D501" s="28" t="e">
        <f t="shared" si="49"/>
        <v>#DIV/0!</v>
      </c>
      <c r="E501" s="28" t="e">
        <f t="shared" si="60"/>
        <v>#DIV/0!</v>
      </c>
      <c r="F501" s="28" t="e">
        <f t="shared" si="57"/>
        <v>#DIV/0!</v>
      </c>
      <c r="G501" s="28" t="e">
        <f>Prices!P500-D501</f>
        <v>#DIV/0!</v>
      </c>
      <c r="H501" s="28" t="e">
        <f t="shared" ref="H501:H564" si="62">(G501/45.9296)*100</f>
        <v>#DIV/0!</v>
      </c>
      <c r="I501" s="28" t="e">
        <f t="shared" ref="I501:I564" si="63">D501*AQ501</f>
        <v>#DIV/0!</v>
      </c>
      <c r="J501" s="28" t="e">
        <f t="shared" ref="J501:J564" si="64">(I501/45.9296)*100</f>
        <v>#DIV/0!</v>
      </c>
      <c r="AI501" s="26"/>
      <c r="AJ501" s="26"/>
      <c r="AK501" s="26"/>
      <c r="AL501" s="26"/>
      <c r="AM501" s="26"/>
      <c r="AN501" s="26"/>
      <c r="AO501" s="26"/>
      <c r="AP501" s="25">
        <v>40940</v>
      </c>
      <c r="AQ501" s="29">
        <v>1.0019799999999996</v>
      </c>
      <c r="AR501" s="26"/>
      <c r="AS501" s="26"/>
      <c r="AT501" s="26"/>
      <c r="AU501" s="26"/>
      <c r="AV501" s="26"/>
      <c r="BA501" s="26">
        <f t="shared" si="58"/>
        <v>2</v>
      </c>
      <c r="BB501" s="26">
        <f t="shared" si="59"/>
        <v>2012</v>
      </c>
      <c r="BC501" s="25" t="e" vm="1">
        <v>#REF!</v>
      </c>
      <c r="BD501" s="26" t="e" vm="1">
        <v>#REF!</v>
      </c>
      <c r="BE501" s="26"/>
      <c r="BF501" s="26" t="e" vm="2">
        <f t="shared" si="50"/>
        <v>#VALUE!</v>
      </c>
      <c r="BG501" s="26" t="e" vm="2">
        <f t="shared" si="51"/>
        <v>#VALUE!</v>
      </c>
      <c r="BH501" s="26"/>
      <c r="BI501" s="26"/>
      <c r="BJ501" s="21" t="e" vm="1">
        <v>#REF!</v>
      </c>
      <c r="BK501" s="26" t="e" vm="1">
        <v>#REF!</v>
      </c>
      <c r="BL501" s="26"/>
      <c r="BM501" t="e" vm="2">
        <f t="shared" si="52"/>
        <v>#VALUE!</v>
      </c>
      <c r="BN501" t="e" vm="2">
        <f t="shared" si="53"/>
        <v>#VALUE!</v>
      </c>
      <c r="BO501" s="26"/>
      <c r="BP501" s="26"/>
      <c r="BQ501" s="26"/>
      <c r="BR501" s="25">
        <v>39845</v>
      </c>
      <c r="BS501" s="26">
        <f t="shared" si="55"/>
        <v>2</v>
      </c>
      <c r="BT501" s="26">
        <f t="shared" si="56"/>
        <v>2009</v>
      </c>
      <c r="BU501" s="26" t="e">
        <f t="shared" si="54"/>
        <v>#DIV/0!</v>
      </c>
    </row>
    <row r="502" spans="1:73" x14ac:dyDescent="0.2">
      <c r="A502" s="25">
        <f>Prices!A501</f>
        <v>40969</v>
      </c>
      <c r="B502" s="28">
        <f t="shared" ref="B502:B565" si="65">_xlfn.MAXIFS($BD$2:$BD$5500,$BF$2:$BF$5500,$BA502,$BG$2:$BG$5500,$BB502)</f>
        <v>0</v>
      </c>
      <c r="C502" s="28">
        <f t="shared" si="61"/>
        <v>0</v>
      </c>
      <c r="D502" s="28" t="e">
        <f t="shared" ref="D502:D565" si="66">AVERAGEIFS($BD$2:$BD$5500,$BF$2:$BF$5500,$BA502,$BG$2:$BG$5500,$BB502)</f>
        <v>#DIV/0!</v>
      </c>
      <c r="E502" s="28" t="e">
        <f t="shared" si="60"/>
        <v>#DIV/0!</v>
      </c>
      <c r="F502" s="28" t="e">
        <f t="shared" si="57"/>
        <v>#DIV/0!</v>
      </c>
      <c r="G502" s="28" t="e">
        <f>Prices!P501-D502</f>
        <v>#DIV/0!</v>
      </c>
      <c r="H502" s="28" t="e">
        <f t="shared" si="62"/>
        <v>#DIV/0!</v>
      </c>
      <c r="I502" s="28" t="e">
        <f t="shared" si="63"/>
        <v>#DIV/0!</v>
      </c>
      <c r="J502" s="28" t="e">
        <f t="shared" si="64"/>
        <v>#DIV/0!</v>
      </c>
      <c r="AI502" s="26"/>
      <c r="AJ502" s="26"/>
      <c r="AK502" s="26"/>
      <c r="AL502" s="26"/>
      <c r="AM502" s="26"/>
      <c r="AN502" s="26"/>
      <c r="AO502" s="26"/>
      <c r="AP502" s="25">
        <v>40969</v>
      </c>
      <c r="AQ502" s="29">
        <v>1.0055090909090909</v>
      </c>
      <c r="AR502" s="26"/>
      <c r="AS502" s="26"/>
      <c r="AT502" s="26"/>
      <c r="AU502" s="26"/>
      <c r="AV502" s="26"/>
      <c r="BA502" s="26">
        <f t="shared" si="58"/>
        <v>3</v>
      </c>
      <c r="BB502" s="26">
        <f t="shared" si="59"/>
        <v>2012</v>
      </c>
      <c r="BC502" s="25" t="e" vm="1">
        <v>#REF!</v>
      </c>
      <c r="BD502" s="26" t="e" vm="1">
        <v>#REF!</v>
      </c>
      <c r="BE502" s="26"/>
      <c r="BF502" s="26" t="e" vm="2">
        <f t="shared" si="50"/>
        <v>#VALUE!</v>
      </c>
      <c r="BG502" s="26" t="e" vm="2">
        <f t="shared" si="51"/>
        <v>#VALUE!</v>
      </c>
      <c r="BH502" s="26"/>
      <c r="BI502" s="26"/>
      <c r="BJ502" s="21" t="e" vm="1">
        <v>#REF!</v>
      </c>
      <c r="BK502" s="26" t="e" vm="1">
        <v>#REF!</v>
      </c>
      <c r="BL502" s="26"/>
      <c r="BM502" t="e" vm="2">
        <f t="shared" si="52"/>
        <v>#VALUE!</v>
      </c>
      <c r="BN502" t="e" vm="2">
        <f t="shared" si="53"/>
        <v>#VALUE!</v>
      </c>
      <c r="BO502" s="26"/>
      <c r="BP502" s="26"/>
      <c r="BQ502" s="26"/>
      <c r="BR502" s="25">
        <v>39873</v>
      </c>
      <c r="BS502" s="26">
        <f t="shared" si="55"/>
        <v>3</v>
      </c>
      <c r="BT502" s="26">
        <f t="shared" si="56"/>
        <v>2009</v>
      </c>
      <c r="BU502" s="26" t="e">
        <f t="shared" si="54"/>
        <v>#DIV/0!</v>
      </c>
    </row>
    <row r="503" spans="1:73" x14ac:dyDescent="0.2">
      <c r="A503" s="25">
        <f>Prices!A502</f>
        <v>41000</v>
      </c>
      <c r="B503" s="28">
        <f t="shared" si="65"/>
        <v>0</v>
      </c>
      <c r="C503" s="28">
        <f t="shared" si="61"/>
        <v>0</v>
      </c>
      <c r="D503" s="28" t="e">
        <f t="shared" si="66"/>
        <v>#DIV/0!</v>
      </c>
      <c r="E503" s="28" t="e">
        <f t="shared" si="60"/>
        <v>#DIV/0!</v>
      </c>
      <c r="F503" s="28" t="e">
        <f t="shared" si="57"/>
        <v>#DIV/0!</v>
      </c>
      <c r="G503" s="28" t="e">
        <f>Prices!P502-D503</f>
        <v>#DIV/0!</v>
      </c>
      <c r="H503" s="28" t="e">
        <f t="shared" si="62"/>
        <v>#DIV/0!</v>
      </c>
      <c r="I503" s="28" t="e">
        <f t="shared" si="63"/>
        <v>#DIV/0!</v>
      </c>
      <c r="J503" s="28" t="e">
        <f t="shared" si="64"/>
        <v>#DIV/0!</v>
      </c>
      <c r="AI503" s="26"/>
      <c r="AJ503" s="26"/>
      <c r="AK503" s="26"/>
      <c r="AL503" s="26"/>
      <c r="AM503" s="26"/>
      <c r="AN503" s="26"/>
      <c r="AO503" s="26"/>
      <c r="AP503" s="25">
        <v>41000</v>
      </c>
      <c r="AQ503" s="29">
        <v>1.0058809523809524</v>
      </c>
      <c r="AR503" s="26"/>
      <c r="AS503" s="26"/>
      <c r="AT503" s="26"/>
      <c r="AU503" s="26"/>
      <c r="AV503" s="26"/>
      <c r="BA503" s="26">
        <f t="shared" si="58"/>
        <v>4</v>
      </c>
      <c r="BB503" s="26">
        <f t="shared" si="59"/>
        <v>2012</v>
      </c>
      <c r="BC503" s="25" t="e" vm="1">
        <v>#REF!</v>
      </c>
      <c r="BD503" s="26" t="e" vm="1">
        <v>#REF!</v>
      </c>
      <c r="BE503" s="26"/>
      <c r="BF503" s="26" t="e" vm="2">
        <f t="shared" si="50"/>
        <v>#VALUE!</v>
      </c>
      <c r="BG503" s="26" t="e" vm="2">
        <f t="shared" si="51"/>
        <v>#VALUE!</v>
      </c>
      <c r="BH503" s="26"/>
      <c r="BI503" s="26"/>
      <c r="BJ503" s="21" t="e" vm="1">
        <v>#REF!</v>
      </c>
      <c r="BK503" s="26" t="e" vm="1">
        <v>#REF!</v>
      </c>
      <c r="BL503" s="26"/>
      <c r="BM503" t="e" vm="2">
        <f t="shared" si="52"/>
        <v>#VALUE!</v>
      </c>
      <c r="BN503" t="e" vm="2">
        <f t="shared" si="53"/>
        <v>#VALUE!</v>
      </c>
      <c r="BO503" s="26"/>
      <c r="BP503" s="26"/>
      <c r="BQ503" s="26"/>
      <c r="BR503" s="25">
        <v>39904</v>
      </c>
      <c r="BS503" s="26">
        <f t="shared" si="55"/>
        <v>4</v>
      </c>
      <c r="BT503" s="26">
        <f t="shared" si="56"/>
        <v>2009</v>
      </c>
      <c r="BU503" s="26" t="e">
        <f t="shared" si="54"/>
        <v>#DIV/0!</v>
      </c>
    </row>
    <row r="504" spans="1:73" x14ac:dyDescent="0.2">
      <c r="A504" s="25">
        <f>Prices!A503</f>
        <v>41030</v>
      </c>
      <c r="B504" s="28">
        <f t="shared" si="65"/>
        <v>0</v>
      </c>
      <c r="C504" s="28">
        <f t="shared" si="61"/>
        <v>0</v>
      </c>
      <c r="D504" s="28" t="e">
        <f t="shared" si="66"/>
        <v>#DIV/0!</v>
      </c>
      <c r="E504" s="28" t="e">
        <f t="shared" si="60"/>
        <v>#DIV/0!</v>
      </c>
      <c r="F504" s="28" t="e">
        <f t="shared" si="57"/>
        <v>#DIV/0!</v>
      </c>
      <c r="G504" s="28" t="e">
        <f>Prices!P503-D504</f>
        <v>#DIV/0!</v>
      </c>
      <c r="H504" s="28" t="e">
        <f t="shared" si="62"/>
        <v>#DIV/0!</v>
      </c>
      <c r="I504" s="28" t="e">
        <f t="shared" si="63"/>
        <v>#DIV/0!</v>
      </c>
      <c r="J504" s="28" t="e">
        <f t="shared" si="64"/>
        <v>#DIV/0!</v>
      </c>
      <c r="AI504" s="26"/>
      <c r="AJ504" s="26"/>
      <c r="AK504" s="26"/>
      <c r="AL504" s="26"/>
      <c r="AM504" s="26"/>
      <c r="AN504" s="26"/>
      <c r="AO504" s="26"/>
      <c r="AP504" s="25">
        <v>41030</v>
      </c>
      <c r="AQ504" s="29">
        <v>0.98970454545454556</v>
      </c>
      <c r="AR504" s="26"/>
      <c r="AS504" s="26"/>
      <c r="AT504" s="26"/>
      <c r="AU504" s="26"/>
      <c r="AV504" s="26"/>
      <c r="BA504" s="26">
        <f t="shared" si="58"/>
        <v>5</v>
      </c>
      <c r="BB504" s="26">
        <f t="shared" si="59"/>
        <v>2012</v>
      </c>
      <c r="BC504" s="25" t="e" vm="1">
        <v>#REF!</v>
      </c>
      <c r="BD504" s="26" t="e" vm="1">
        <v>#REF!</v>
      </c>
      <c r="BE504" s="26"/>
      <c r="BF504" s="26" t="e" vm="2">
        <f t="shared" si="50"/>
        <v>#VALUE!</v>
      </c>
      <c r="BG504" s="26" t="e" vm="2">
        <f t="shared" si="51"/>
        <v>#VALUE!</v>
      </c>
      <c r="BH504" s="26"/>
      <c r="BI504" s="26"/>
      <c r="BJ504" s="21" t="e" vm="1">
        <v>#REF!</v>
      </c>
      <c r="BK504" s="26" t="e" vm="1">
        <v>#REF!</v>
      </c>
      <c r="BL504" s="26"/>
      <c r="BM504" t="e" vm="2">
        <f t="shared" si="52"/>
        <v>#VALUE!</v>
      </c>
      <c r="BN504" t="e" vm="2">
        <f t="shared" si="53"/>
        <v>#VALUE!</v>
      </c>
      <c r="BO504" s="26"/>
      <c r="BP504" s="26"/>
      <c r="BQ504" s="26"/>
      <c r="BR504" s="25">
        <v>39934</v>
      </c>
      <c r="BS504" s="26">
        <f t="shared" si="55"/>
        <v>5</v>
      </c>
      <c r="BT504" s="26">
        <f t="shared" si="56"/>
        <v>2009</v>
      </c>
      <c r="BU504" s="26" t="e">
        <f t="shared" si="54"/>
        <v>#DIV/0!</v>
      </c>
    </row>
    <row r="505" spans="1:73" x14ac:dyDescent="0.2">
      <c r="A505" s="25">
        <f>Prices!A504</f>
        <v>41061</v>
      </c>
      <c r="B505" s="28">
        <f t="shared" si="65"/>
        <v>0</v>
      </c>
      <c r="C505" s="28">
        <f t="shared" si="61"/>
        <v>0</v>
      </c>
      <c r="D505" s="28" t="e">
        <f t="shared" si="66"/>
        <v>#DIV/0!</v>
      </c>
      <c r="E505" s="28" t="e">
        <f t="shared" si="60"/>
        <v>#DIV/0!</v>
      </c>
      <c r="F505" s="28" t="e">
        <f t="shared" si="57"/>
        <v>#DIV/0!</v>
      </c>
      <c r="G505" s="28" t="e">
        <f>Prices!P504-D505</f>
        <v>#DIV/0!</v>
      </c>
      <c r="H505" s="28" t="e">
        <f t="shared" si="62"/>
        <v>#DIV/0!</v>
      </c>
      <c r="I505" s="28" t="e">
        <f t="shared" si="63"/>
        <v>#DIV/0!</v>
      </c>
      <c r="J505" s="28" t="e">
        <f t="shared" si="64"/>
        <v>#DIV/0!</v>
      </c>
      <c r="AI505" s="26"/>
      <c r="AJ505" s="26"/>
      <c r="AK505" s="26"/>
      <c r="AL505" s="26"/>
      <c r="AM505" s="26"/>
      <c r="AN505" s="26"/>
      <c r="AO505" s="26"/>
      <c r="AP505" s="25">
        <v>41061</v>
      </c>
      <c r="AQ505" s="29">
        <v>0.97158461538461516</v>
      </c>
      <c r="AR505" s="26"/>
      <c r="AS505" s="26"/>
      <c r="AT505" s="26"/>
      <c r="AU505" s="26"/>
      <c r="AV505" s="26"/>
      <c r="BA505" s="26">
        <f t="shared" si="58"/>
        <v>6</v>
      </c>
      <c r="BB505" s="26">
        <f t="shared" si="59"/>
        <v>2012</v>
      </c>
      <c r="BC505" s="25" t="e" vm="1">
        <v>#REF!</v>
      </c>
      <c r="BD505" s="26" t="e" vm="1">
        <v>#REF!</v>
      </c>
      <c r="BE505" s="26"/>
      <c r="BF505" s="26" t="e" vm="2">
        <f t="shared" si="50"/>
        <v>#VALUE!</v>
      </c>
      <c r="BG505" s="26" t="e" vm="2">
        <f t="shared" si="51"/>
        <v>#VALUE!</v>
      </c>
      <c r="BH505" s="26"/>
      <c r="BI505" s="26"/>
      <c r="BJ505" s="21" t="e" vm="1">
        <v>#REF!</v>
      </c>
      <c r="BK505" s="26" t="e" vm="1">
        <v>#REF!</v>
      </c>
      <c r="BL505" s="26"/>
      <c r="BM505" t="e" vm="2">
        <f t="shared" si="52"/>
        <v>#VALUE!</v>
      </c>
      <c r="BN505" t="e" vm="2">
        <f t="shared" si="53"/>
        <v>#VALUE!</v>
      </c>
      <c r="BO505" s="26"/>
      <c r="BP505" s="26"/>
      <c r="BQ505" s="26"/>
      <c r="BR505" s="25">
        <v>39965</v>
      </c>
      <c r="BS505" s="26">
        <f t="shared" si="55"/>
        <v>6</v>
      </c>
      <c r="BT505" s="26">
        <f t="shared" si="56"/>
        <v>2009</v>
      </c>
      <c r="BU505" s="26" t="e">
        <f t="shared" si="54"/>
        <v>#DIV/0!</v>
      </c>
    </row>
    <row r="506" spans="1:73" x14ac:dyDescent="0.2">
      <c r="A506" s="25">
        <f>Prices!A505</f>
        <v>41091</v>
      </c>
      <c r="B506" s="28">
        <f t="shared" si="65"/>
        <v>0</v>
      </c>
      <c r="C506" s="28">
        <f t="shared" si="61"/>
        <v>0</v>
      </c>
      <c r="D506" s="28" t="e">
        <f t="shared" si="66"/>
        <v>#DIV/0!</v>
      </c>
      <c r="E506" s="28" t="e">
        <f t="shared" si="60"/>
        <v>#DIV/0!</v>
      </c>
      <c r="F506" s="28" t="e">
        <f t="shared" si="57"/>
        <v>#DIV/0!</v>
      </c>
      <c r="G506" s="28" t="e">
        <f>Prices!P505-D506</f>
        <v>#DIV/0!</v>
      </c>
      <c r="H506" s="28" t="e">
        <f t="shared" si="62"/>
        <v>#DIV/0!</v>
      </c>
      <c r="I506" s="28" t="e">
        <f t="shared" si="63"/>
        <v>#DIV/0!</v>
      </c>
      <c r="J506" s="28" t="e">
        <f t="shared" si="64"/>
        <v>#DIV/0!</v>
      </c>
      <c r="AI506" s="26"/>
      <c r="AJ506" s="26"/>
      <c r="AK506" s="26"/>
      <c r="AL506" s="26"/>
      <c r="AM506" s="26"/>
      <c r="AN506" s="26"/>
      <c r="AO506" s="26"/>
      <c r="AP506" s="25">
        <v>41091</v>
      </c>
      <c r="AQ506" s="29">
        <f>AQ505</f>
        <v>0.97158461538461516</v>
      </c>
      <c r="AR506" s="26"/>
      <c r="AS506" s="26"/>
      <c r="AT506" s="26"/>
      <c r="AU506" s="26"/>
      <c r="AV506" s="26"/>
      <c r="BA506" s="26">
        <f t="shared" si="58"/>
        <v>7</v>
      </c>
      <c r="BB506" s="26">
        <f t="shared" si="59"/>
        <v>2012</v>
      </c>
      <c r="BC506" s="25" t="e" vm="1">
        <v>#REF!</v>
      </c>
      <c r="BD506" s="26" t="e" vm="1">
        <v>#REF!</v>
      </c>
      <c r="BE506" s="26"/>
      <c r="BF506" s="26" t="e" vm="2">
        <f t="shared" si="50"/>
        <v>#VALUE!</v>
      </c>
      <c r="BG506" s="26" t="e" vm="2">
        <f t="shared" si="51"/>
        <v>#VALUE!</v>
      </c>
      <c r="BH506" s="26"/>
      <c r="BI506" s="26"/>
      <c r="BJ506" s="21" t="e" vm="1">
        <v>#REF!</v>
      </c>
      <c r="BK506" s="26" t="e" vm="1">
        <v>#REF!</v>
      </c>
      <c r="BL506" s="26"/>
      <c r="BM506" t="e" vm="2">
        <f t="shared" si="52"/>
        <v>#VALUE!</v>
      </c>
      <c r="BN506" t="e" vm="2">
        <f t="shared" si="53"/>
        <v>#VALUE!</v>
      </c>
      <c r="BO506" s="26"/>
      <c r="BP506" s="26"/>
      <c r="BQ506" s="26"/>
      <c r="BR506" s="25">
        <v>39995</v>
      </c>
      <c r="BS506" s="26">
        <f t="shared" si="55"/>
        <v>7</v>
      </c>
      <c r="BT506" s="26">
        <f t="shared" si="56"/>
        <v>2009</v>
      </c>
      <c r="BU506" s="26" t="e">
        <f t="shared" si="54"/>
        <v>#DIV/0!</v>
      </c>
    </row>
    <row r="507" spans="1:73" x14ac:dyDescent="0.2">
      <c r="A507" s="25">
        <f>Prices!A506</f>
        <v>41122</v>
      </c>
      <c r="B507" s="28">
        <f t="shared" si="65"/>
        <v>0</v>
      </c>
      <c r="C507" s="28">
        <f t="shared" si="61"/>
        <v>0</v>
      </c>
      <c r="D507" s="28" t="e">
        <f t="shared" si="66"/>
        <v>#DIV/0!</v>
      </c>
      <c r="E507" s="28" t="e">
        <f t="shared" si="60"/>
        <v>#DIV/0!</v>
      </c>
      <c r="F507" s="28" t="e">
        <f t="shared" si="57"/>
        <v>#DIV/0!</v>
      </c>
      <c r="G507" s="28" t="e">
        <f>Prices!P506-D507</f>
        <v>#DIV/0!</v>
      </c>
      <c r="H507" s="28" t="e">
        <f t="shared" si="62"/>
        <v>#DIV/0!</v>
      </c>
      <c r="I507" s="28" t="e">
        <f t="shared" si="63"/>
        <v>#DIV/0!</v>
      </c>
      <c r="J507" s="28" t="e">
        <f t="shared" si="64"/>
        <v>#DIV/0!</v>
      </c>
      <c r="AI507" s="26"/>
      <c r="AJ507" s="26"/>
      <c r="AK507" s="26"/>
      <c r="AL507" s="26"/>
      <c r="AM507" s="26"/>
      <c r="AN507" s="26"/>
      <c r="AO507" s="26"/>
      <c r="AP507" s="25">
        <v>41122</v>
      </c>
      <c r="AQ507" s="29">
        <v>1.0098933333333333</v>
      </c>
      <c r="AR507" s="26"/>
      <c r="AS507" s="26"/>
      <c r="AT507" s="26"/>
      <c r="AU507" s="26"/>
      <c r="AV507" s="26"/>
      <c r="BA507" s="26">
        <f t="shared" si="58"/>
        <v>8</v>
      </c>
      <c r="BB507" s="26">
        <f t="shared" si="59"/>
        <v>2012</v>
      </c>
      <c r="BC507" s="25" t="e" vm="1">
        <v>#REF!</v>
      </c>
      <c r="BD507" s="26" t="e" vm="1">
        <v>#REF!</v>
      </c>
      <c r="BE507" s="26"/>
      <c r="BF507" s="26" t="e" vm="2">
        <f t="shared" si="50"/>
        <v>#VALUE!</v>
      </c>
      <c r="BG507" s="26" t="e" vm="2">
        <f t="shared" si="51"/>
        <v>#VALUE!</v>
      </c>
      <c r="BH507" s="26"/>
      <c r="BI507" s="26"/>
      <c r="BJ507" s="21" t="e" vm="1">
        <v>#REF!</v>
      </c>
      <c r="BK507" s="26" t="e" vm="1">
        <v>#REF!</v>
      </c>
      <c r="BL507" s="26"/>
      <c r="BM507" t="e" vm="2">
        <f t="shared" si="52"/>
        <v>#VALUE!</v>
      </c>
      <c r="BN507" t="e" vm="2">
        <f t="shared" si="53"/>
        <v>#VALUE!</v>
      </c>
      <c r="BO507" s="26"/>
      <c r="BP507" s="26"/>
      <c r="BQ507" s="26"/>
      <c r="BR507" s="25">
        <v>40026</v>
      </c>
      <c r="BS507" s="26">
        <f t="shared" si="55"/>
        <v>8</v>
      </c>
      <c r="BT507" s="26">
        <f t="shared" si="56"/>
        <v>2009</v>
      </c>
      <c r="BU507" s="26" t="e">
        <f t="shared" si="54"/>
        <v>#DIV/0!</v>
      </c>
    </row>
    <row r="508" spans="1:73" x14ac:dyDescent="0.2">
      <c r="A508" s="25">
        <f>Prices!A507</f>
        <v>41153</v>
      </c>
      <c r="B508" s="28">
        <f t="shared" si="65"/>
        <v>0</v>
      </c>
      <c r="C508" s="28">
        <f t="shared" si="61"/>
        <v>0</v>
      </c>
      <c r="D508" s="28" t="e">
        <f t="shared" si="66"/>
        <v>#DIV/0!</v>
      </c>
      <c r="E508" s="28" t="e">
        <f t="shared" si="60"/>
        <v>#DIV/0!</v>
      </c>
      <c r="F508" s="28" t="e">
        <f t="shared" si="57"/>
        <v>#DIV/0!</v>
      </c>
      <c r="G508" s="28" t="e">
        <f>Prices!P507-D508</f>
        <v>#DIV/0!</v>
      </c>
      <c r="H508" s="28" t="e">
        <f t="shared" si="62"/>
        <v>#DIV/0!</v>
      </c>
      <c r="I508" s="28" t="e">
        <f t="shared" si="63"/>
        <v>#DIV/0!</v>
      </c>
      <c r="J508" s="28" t="e">
        <f t="shared" si="64"/>
        <v>#DIV/0!</v>
      </c>
      <c r="AI508" s="26"/>
      <c r="AJ508" s="26"/>
      <c r="AK508" s="26"/>
      <c r="AL508" s="26"/>
      <c r="AM508" s="26"/>
      <c r="AN508" s="26"/>
      <c r="AO508" s="26"/>
      <c r="AP508" s="25">
        <v>41153</v>
      </c>
      <c r="AQ508" s="29">
        <v>1.021221052631579</v>
      </c>
      <c r="AR508" s="26"/>
      <c r="AS508" s="26"/>
      <c r="AT508" s="26"/>
      <c r="AU508" s="26"/>
      <c r="AV508" s="26"/>
      <c r="BA508" s="26">
        <f t="shared" si="58"/>
        <v>9</v>
      </c>
      <c r="BB508" s="26">
        <f t="shared" si="59"/>
        <v>2012</v>
      </c>
      <c r="BC508" s="25" t="e" vm="1">
        <v>#REF!</v>
      </c>
      <c r="BD508" s="26" t="e" vm="1">
        <v>#REF!</v>
      </c>
      <c r="BE508" s="26"/>
      <c r="BF508" s="26" t="e" vm="2">
        <f t="shared" si="50"/>
        <v>#VALUE!</v>
      </c>
      <c r="BG508" s="26" t="e" vm="2">
        <f t="shared" si="51"/>
        <v>#VALUE!</v>
      </c>
      <c r="BH508" s="26"/>
      <c r="BI508" s="26"/>
      <c r="BJ508" s="21" t="e" vm="1">
        <v>#REF!</v>
      </c>
      <c r="BK508" s="26" t="e" vm="1">
        <v>#REF!</v>
      </c>
      <c r="BL508" s="26"/>
      <c r="BM508" t="e" vm="2">
        <f t="shared" si="52"/>
        <v>#VALUE!</v>
      </c>
      <c r="BN508" t="e" vm="2">
        <f t="shared" si="53"/>
        <v>#VALUE!</v>
      </c>
      <c r="BO508" s="26"/>
      <c r="BP508" s="26"/>
      <c r="BQ508" s="26"/>
      <c r="BR508" s="25">
        <v>40057</v>
      </c>
      <c r="BS508" s="26">
        <f t="shared" si="55"/>
        <v>9</v>
      </c>
      <c r="BT508" s="26">
        <f t="shared" si="56"/>
        <v>2009</v>
      </c>
      <c r="BU508" s="26" t="e">
        <f t="shared" si="54"/>
        <v>#DIV/0!</v>
      </c>
    </row>
    <row r="509" spans="1:73" x14ac:dyDescent="0.2">
      <c r="A509" s="25">
        <f>Prices!A508</f>
        <v>41183</v>
      </c>
      <c r="B509" s="28">
        <f t="shared" si="65"/>
        <v>0</v>
      </c>
      <c r="C509" s="28">
        <f t="shared" si="61"/>
        <v>0</v>
      </c>
      <c r="D509" s="28" t="e">
        <f t="shared" si="66"/>
        <v>#DIV/0!</v>
      </c>
      <c r="E509" s="28" t="e">
        <f t="shared" si="60"/>
        <v>#DIV/0!</v>
      </c>
      <c r="F509" s="28" t="e">
        <f t="shared" si="57"/>
        <v>#DIV/0!</v>
      </c>
      <c r="G509" s="28" t="e">
        <f>Prices!P508-D509</f>
        <v>#DIV/0!</v>
      </c>
      <c r="H509" s="28" t="e">
        <f t="shared" si="62"/>
        <v>#DIV/0!</v>
      </c>
      <c r="I509" s="28" t="e">
        <f t="shared" si="63"/>
        <v>#DIV/0!</v>
      </c>
      <c r="J509" s="28" t="e">
        <f t="shared" si="64"/>
        <v>#DIV/0!</v>
      </c>
      <c r="AI509" s="26"/>
      <c r="AJ509" s="26"/>
      <c r="AK509" s="26"/>
      <c r="AL509" s="26"/>
      <c r="AM509" s="26"/>
      <c r="AN509" s="26"/>
      <c r="AO509" s="26"/>
      <c r="AP509" s="25">
        <v>41183</v>
      </c>
      <c r="AQ509" s="29">
        <v>1.011704347826087</v>
      </c>
      <c r="AR509" s="26"/>
      <c r="AS509" s="26"/>
      <c r="AT509" s="26"/>
      <c r="AU509" s="26"/>
      <c r="AV509" s="26"/>
      <c r="BA509" s="26">
        <f t="shared" si="58"/>
        <v>10</v>
      </c>
      <c r="BB509" s="26">
        <f t="shared" si="59"/>
        <v>2012</v>
      </c>
      <c r="BC509" s="25" t="e" vm="1">
        <v>#REF!</v>
      </c>
      <c r="BD509" s="26" t="e" vm="1">
        <v>#REF!</v>
      </c>
      <c r="BE509" s="26"/>
      <c r="BF509" s="26" t="e" vm="2">
        <f t="shared" si="50"/>
        <v>#VALUE!</v>
      </c>
      <c r="BG509" s="26" t="e" vm="2">
        <f t="shared" si="51"/>
        <v>#VALUE!</v>
      </c>
      <c r="BH509" s="26"/>
      <c r="BI509" s="26"/>
      <c r="BJ509" s="21" t="e" vm="1">
        <v>#REF!</v>
      </c>
      <c r="BK509" s="26" t="e" vm="1">
        <v>#REF!</v>
      </c>
      <c r="BL509" s="26"/>
      <c r="BM509" t="e" vm="2">
        <f t="shared" si="52"/>
        <v>#VALUE!</v>
      </c>
      <c r="BN509" t="e" vm="2">
        <f t="shared" si="53"/>
        <v>#VALUE!</v>
      </c>
      <c r="BO509" s="26"/>
      <c r="BP509" s="26"/>
      <c r="BQ509" s="26"/>
      <c r="BR509" s="25">
        <v>40087</v>
      </c>
      <c r="BS509" s="26">
        <f t="shared" si="55"/>
        <v>10</v>
      </c>
      <c r="BT509" s="26">
        <f t="shared" si="56"/>
        <v>2009</v>
      </c>
      <c r="BU509" s="26" t="e">
        <f t="shared" si="54"/>
        <v>#DIV/0!</v>
      </c>
    </row>
    <row r="510" spans="1:73" x14ac:dyDescent="0.2">
      <c r="A510" s="25">
        <f>Prices!A509</f>
        <v>41214</v>
      </c>
      <c r="B510" s="28">
        <f t="shared" si="65"/>
        <v>0</v>
      </c>
      <c r="C510" s="28">
        <f t="shared" si="61"/>
        <v>0</v>
      </c>
      <c r="D510" s="28" t="e">
        <f t="shared" si="66"/>
        <v>#DIV/0!</v>
      </c>
      <c r="E510" s="28" t="e">
        <f t="shared" si="60"/>
        <v>#DIV/0!</v>
      </c>
      <c r="F510" s="28" t="e">
        <f t="shared" si="57"/>
        <v>#DIV/0!</v>
      </c>
      <c r="G510" s="28" t="e">
        <f>Prices!P509-D510</f>
        <v>#DIV/0!</v>
      </c>
      <c r="H510" s="28" t="e">
        <f t="shared" si="62"/>
        <v>#DIV/0!</v>
      </c>
      <c r="I510" s="28" t="e">
        <f t="shared" si="63"/>
        <v>#DIV/0!</v>
      </c>
      <c r="J510" s="28" t="e">
        <f t="shared" si="64"/>
        <v>#DIV/0!</v>
      </c>
      <c r="AI510" s="26"/>
      <c r="AJ510" s="26"/>
      <c r="AK510" s="26"/>
      <c r="AL510" s="26"/>
      <c r="AM510" s="26"/>
      <c r="AN510" s="26"/>
      <c r="AO510" s="26"/>
      <c r="AP510" s="25">
        <v>41214</v>
      </c>
      <c r="AQ510" s="29">
        <v>1.0025095238095236</v>
      </c>
      <c r="AR510" s="26"/>
      <c r="AS510" s="26"/>
      <c r="AT510" s="26"/>
      <c r="AU510" s="26"/>
      <c r="AV510" s="26"/>
      <c r="BA510" s="26">
        <f t="shared" si="58"/>
        <v>11</v>
      </c>
      <c r="BB510" s="26">
        <f t="shared" si="59"/>
        <v>2012</v>
      </c>
      <c r="BC510" s="25" t="e" vm="1">
        <v>#REF!</v>
      </c>
      <c r="BD510" s="26" t="e" vm="1">
        <v>#REF!</v>
      </c>
      <c r="BE510" s="26"/>
      <c r="BF510" s="26" t="e" vm="2">
        <f t="shared" si="50"/>
        <v>#VALUE!</v>
      </c>
      <c r="BG510" s="26" t="e" vm="2">
        <f t="shared" si="51"/>
        <v>#VALUE!</v>
      </c>
      <c r="BH510" s="26"/>
      <c r="BI510" s="26"/>
      <c r="BJ510" s="21" t="e" vm="1">
        <v>#REF!</v>
      </c>
      <c r="BK510" s="26" t="e" vm="1">
        <v>#REF!</v>
      </c>
      <c r="BL510" s="26"/>
      <c r="BM510" t="e" vm="2">
        <f t="shared" si="52"/>
        <v>#VALUE!</v>
      </c>
      <c r="BN510" t="e" vm="2">
        <f t="shared" si="53"/>
        <v>#VALUE!</v>
      </c>
      <c r="BO510" s="26"/>
      <c r="BP510" s="26"/>
      <c r="BQ510" s="26"/>
      <c r="BR510" s="25">
        <v>40118</v>
      </c>
      <c r="BS510" s="26">
        <f t="shared" si="55"/>
        <v>11</v>
      </c>
      <c r="BT510" s="26">
        <f t="shared" si="56"/>
        <v>2009</v>
      </c>
      <c r="BU510" s="26" t="e">
        <f t="shared" si="54"/>
        <v>#DIV/0!</v>
      </c>
    </row>
    <row r="511" spans="1:73" x14ac:dyDescent="0.2">
      <c r="A511" s="25">
        <f>Prices!A510</f>
        <v>41244</v>
      </c>
      <c r="B511" s="28">
        <f t="shared" si="65"/>
        <v>0</v>
      </c>
      <c r="C511" s="28">
        <f t="shared" si="61"/>
        <v>0</v>
      </c>
      <c r="D511" s="28" t="e">
        <f t="shared" si="66"/>
        <v>#DIV/0!</v>
      </c>
      <c r="E511" s="28" t="e">
        <f t="shared" si="60"/>
        <v>#DIV/0!</v>
      </c>
      <c r="F511" s="28" t="e">
        <f t="shared" si="57"/>
        <v>#DIV/0!</v>
      </c>
      <c r="G511" s="28" t="e">
        <f>Prices!P510-D511</f>
        <v>#DIV/0!</v>
      </c>
      <c r="H511" s="28" t="e">
        <f t="shared" si="62"/>
        <v>#DIV/0!</v>
      </c>
      <c r="I511" s="28" t="e">
        <f t="shared" si="63"/>
        <v>#DIV/0!</v>
      </c>
      <c r="J511" s="28" t="e">
        <f t="shared" si="64"/>
        <v>#DIV/0!</v>
      </c>
      <c r="AI511" s="26"/>
      <c r="AJ511" s="26"/>
      <c r="AK511" s="26"/>
      <c r="AL511" s="26"/>
      <c r="AM511" s="26"/>
      <c r="AN511" s="26"/>
      <c r="AO511" s="26"/>
      <c r="AP511" s="25">
        <v>41244</v>
      </c>
      <c r="AQ511" s="29">
        <v>1.009325</v>
      </c>
      <c r="AR511" s="26"/>
      <c r="AS511" s="26"/>
      <c r="AT511" s="26"/>
      <c r="AU511" s="26"/>
      <c r="AV511" s="26"/>
      <c r="BA511" s="26">
        <f t="shared" si="58"/>
        <v>12</v>
      </c>
      <c r="BB511" s="26">
        <f t="shared" si="59"/>
        <v>2012</v>
      </c>
      <c r="BC511" s="25" t="e" vm="1">
        <v>#REF!</v>
      </c>
      <c r="BD511" s="26" t="e" vm="1">
        <v>#REF!</v>
      </c>
      <c r="BE511" s="26"/>
      <c r="BF511" s="26" t="e" vm="2">
        <f t="shared" si="50"/>
        <v>#VALUE!</v>
      </c>
      <c r="BG511" s="26" t="e" vm="2">
        <f t="shared" si="51"/>
        <v>#VALUE!</v>
      </c>
      <c r="BH511" s="26"/>
      <c r="BI511" s="26"/>
      <c r="BJ511" s="21" t="e" vm="1">
        <v>#REF!</v>
      </c>
      <c r="BK511" s="26" t="e" vm="1">
        <v>#REF!</v>
      </c>
      <c r="BL511" s="26"/>
      <c r="BM511" t="e" vm="2">
        <f t="shared" si="52"/>
        <v>#VALUE!</v>
      </c>
      <c r="BN511" t="e" vm="2">
        <f t="shared" si="53"/>
        <v>#VALUE!</v>
      </c>
      <c r="BO511" s="26"/>
      <c r="BP511" s="26"/>
      <c r="BQ511" s="26"/>
      <c r="BR511" s="25">
        <v>40148</v>
      </c>
      <c r="BS511" s="26">
        <f t="shared" si="55"/>
        <v>12</v>
      </c>
      <c r="BT511" s="26">
        <f t="shared" si="56"/>
        <v>2009</v>
      </c>
      <c r="BU511" s="26" t="e">
        <f t="shared" si="54"/>
        <v>#DIV/0!</v>
      </c>
    </row>
    <row r="512" spans="1:73" x14ac:dyDescent="0.2">
      <c r="A512" s="25">
        <f>Prices!A511</f>
        <v>41275</v>
      </c>
      <c r="B512" s="28">
        <f t="shared" si="65"/>
        <v>0</v>
      </c>
      <c r="C512" s="28">
        <f t="shared" si="61"/>
        <v>0</v>
      </c>
      <c r="D512" s="28" t="e">
        <f t="shared" si="66"/>
        <v>#DIV/0!</v>
      </c>
      <c r="E512" s="28" t="e">
        <f t="shared" si="60"/>
        <v>#DIV/0!</v>
      </c>
      <c r="F512" s="28" t="e">
        <f t="shared" si="57"/>
        <v>#DIV/0!</v>
      </c>
      <c r="G512" s="28" t="e">
        <f>Prices!P511-D512</f>
        <v>#DIV/0!</v>
      </c>
      <c r="H512" s="28" t="e">
        <f t="shared" si="62"/>
        <v>#DIV/0!</v>
      </c>
      <c r="I512" s="28" t="e">
        <f t="shared" si="63"/>
        <v>#DIV/0!</v>
      </c>
      <c r="J512" s="28" t="e">
        <f t="shared" si="64"/>
        <v>#DIV/0!</v>
      </c>
      <c r="AI512" s="26"/>
      <c r="AJ512" s="26"/>
      <c r="AK512" s="26"/>
      <c r="AL512" s="26"/>
      <c r="AM512" s="26"/>
      <c r="AN512" s="26"/>
      <c r="AO512" s="26"/>
      <c r="AP512" s="25">
        <v>41275</v>
      </c>
      <c r="AQ512" s="29">
        <v>1.0068238095238096</v>
      </c>
      <c r="AR512" s="26"/>
      <c r="AS512" s="26"/>
      <c r="AT512" s="26"/>
      <c r="AU512" s="26"/>
      <c r="AV512" s="26"/>
      <c r="BA512" s="26">
        <f t="shared" si="58"/>
        <v>1</v>
      </c>
      <c r="BB512" s="26">
        <f t="shared" si="59"/>
        <v>2013</v>
      </c>
      <c r="BC512" s="25" t="e" vm="1">
        <v>#REF!</v>
      </c>
      <c r="BD512" s="26" t="e" vm="1">
        <v>#REF!</v>
      </c>
      <c r="BE512" s="26"/>
      <c r="BF512" s="26" t="e" vm="2">
        <f t="shared" si="50"/>
        <v>#VALUE!</v>
      </c>
      <c r="BG512" s="26" t="e" vm="2">
        <f t="shared" si="51"/>
        <v>#VALUE!</v>
      </c>
      <c r="BH512" s="26"/>
      <c r="BI512" s="26"/>
      <c r="BJ512" s="21" t="e" vm="1">
        <v>#REF!</v>
      </c>
      <c r="BK512" s="26" t="e" vm="1">
        <v>#REF!</v>
      </c>
      <c r="BL512" s="26"/>
      <c r="BM512" t="e" vm="2">
        <f t="shared" si="52"/>
        <v>#VALUE!</v>
      </c>
      <c r="BN512" t="e" vm="2">
        <f t="shared" si="53"/>
        <v>#VALUE!</v>
      </c>
      <c r="BO512" s="26"/>
      <c r="BP512" s="26"/>
      <c r="BQ512" s="26"/>
      <c r="BR512" s="25">
        <v>40179</v>
      </c>
      <c r="BS512" s="26">
        <f t="shared" si="55"/>
        <v>1</v>
      </c>
      <c r="BT512" s="26">
        <f t="shared" si="56"/>
        <v>2010</v>
      </c>
      <c r="BU512" s="26" t="e">
        <f t="shared" si="54"/>
        <v>#DIV/0!</v>
      </c>
    </row>
    <row r="513" spans="1:73" x14ac:dyDescent="0.2">
      <c r="A513" s="25">
        <f>Prices!A512</f>
        <v>41306</v>
      </c>
      <c r="B513" s="28">
        <f t="shared" si="65"/>
        <v>0</v>
      </c>
      <c r="C513" s="28">
        <f t="shared" si="61"/>
        <v>0</v>
      </c>
      <c r="D513" s="28" t="e">
        <f t="shared" si="66"/>
        <v>#DIV/0!</v>
      </c>
      <c r="E513" s="28" t="e">
        <f t="shared" si="60"/>
        <v>#DIV/0!</v>
      </c>
      <c r="F513" s="28" t="e">
        <f t="shared" si="57"/>
        <v>#DIV/0!</v>
      </c>
      <c r="G513" s="28" t="e">
        <f>Prices!P512-D513</f>
        <v>#DIV/0!</v>
      </c>
      <c r="H513" s="28" t="e">
        <f t="shared" si="62"/>
        <v>#DIV/0!</v>
      </c>
      <c r="I513" s="28" t="e">
        <f t="shared" si="63"/>
        <v>#DIV/0!</v>
      </c>
      <c r="J513" s="28" t="e">
        <f t="shared" si="64"/>
        <v>#DIV/0!</v>
      </c>
      <c r="AI513" s="26"/>
      <c r="AJ513" s="26"/>
      <c r="AK513" s="26"/>
      <c r="AL513" s="26"/>
      <c r="AM513" s="26"/>
      <c r="AN513" s="26"/>
      <c r="AO513" s="26"/>
      <c r="AP513" s="25">
        <v>41306</v>
      </c>
      <c r="AQ513" s="29">
        <v>0.98975263157894766</v>
      </c>
      <c r="AR513" s="26"/>
      <c r="AS513" s="26"/>
      <c r="AT513" s="26"/>
      <c r="AU513" s="26"/>
      <c r="AV513" s="26"/>
      <c r="BA513" s="26">
        <f t="shared" si="58"/>
        <v>2</v>
      </c>
      <c r="BB513" s="26">
        <f t="shared" si="59"/>
        <v>2013</v>
      </c>
      <c r="BC513" s="25" t="e" vm="1">
        <v>#REF!</v>
      </c>
      <c r="BD513" s="26" t="e" vm="1">
        <v>#REF!</v>
      </c>
      <c r="BE513" s="26"/>
      <c r="BF513" s="26" t="e" vm="2">
        <f t="shared" si="50"/>
        <v>#VALUE!</v>
      </c>
      <c r="BG513" s="26" t="e" vm="2">
        <f t="shared" si="51"/>
        <v>#VALUE!</v>
      </c>
      <c r="BH513" s="26"/>
      <c r="BI513" s="26"/>
      <c r="BJ513" s="21" t="e" vm="1">
        <v>#REF!</v>
      </c>
      <c r="BK513" s="26" t="e" vm="1">
        <v>#REF!</v>
      </c>
      <c r="BL513" s="26"/>
      <c r="BM513" t="e" vm="2">
        <f t="shared" si="52"/>
        <v>#VALUE!</v>
      </c>
      <c r="BN513" t="e" vm="2">
        <f t="shared" si="53"/>
        <v>#VALUE!</v>
      </c>
      <c r="BO513" s="26"/>
      <c r="BP513" s="26"/>
      <c r="BQ513" s="26"/>
      <c r="BR513" s="25">
        <v>40210</v>
      </c>
      <c r="BS513" s="26">
        <f t="shared" si="55"/>
        <v>2</v>
      </c>
      <c r="BT513" s="26">
        <f t="shared" si="56"/>
        <v>2010</v>
      </c>
      <c r="BU513" s="26" t="e">
        <f t="shared" si="54"/>
        <v>#DIV/0!</v>
      </c>
    </row>
    <row r="514" spans="1:73" x14ac:dyDescent="0.2">
      <c r="A514" s="25">
        <f>Prices!A513</f>
        <v>41334</v>
      </c>
      <c r="B514" s="28">
        <f t="shared" si="65"/>
        <v>0</v>
      </c>
      <c r="C514" s="28">
        <f t="shared" si="61"/>
        <v>0</v>
      </c>
      <c r="D514" s="28" t="e">
        <f t="shared" si="66"/>
        <v>#DIV/0!</v>
      </c>
      <c r="E514" s="28" t="e">
        <f t="shared" si="60"/>
        <v>#DIV/0!</v>
      </c>
      <c r="F514" s="28" t="e">
        <f t="shared" si="57"/>
        <v>#DIV/0!</v>
      </c>
      <c r="G514" s="28" t="e">
        <f>Prices!P513-D514</f>
        <v>#DIV/0!</v>
      </c>
      <c r="H514" s="28" t="e">
        <f t="shared" si="62"/>
        <v>#DIV/0!</v>
      </c>
      <c r="I514" s="28" t="e">
        <f t="shared" si="63"/>
        <v>#DIV/0!</v>
      </c>
      <c r="J514" s="28" t="e">
        <f t="shared" si="64"/>
        <v>#DIV/0!</v>
      </c>
      <c r="AI514" s="26"/>
      <c r="AJ514" s="26"/>
      <c r="AK514" s="26"/>
      <c r="AL514" s="26"/>
      <c r="AM514" s="26"/>
      <c r="AN514" s="26"/>
      <c r="AO514" s="26"/>
      <c r="AP514" s="25">
        <v>41334</v>
      </c>
      <c r="AQ514" s="29">
        <v>0.97561999999999982</v>
      </c>
      <c r="AR514" s="26"/>
      <c r="AS514" s="26"/>
      <c r="AT514" s="26"/>
      <c r="AU514" s="26"/>
      <c r="AV514" s="26"/>
      <c r="BA514" s="26">
        <f t="shared" si="58"/>
        <v>3</v>
      </c>
      <c r="BB514" s="26">
        <f t="shared" si="59"/>
        <v>2013</v>
      </c>
      <c r="BC514" s="25" t="e" vm="1">
        <v>#REF!</v>
      </c>
      <c r="BD514" s="26" t="e" vm="1">
        <v>#REF!</v>
      </c>
      <c r="BE514" s="26"/>
      <c r="BF514" s="26" t="e" vm="2">
        <f t="shared" si="50"/>
        <v>#VALUE!</v>
      </c>
      <c r="BG514" s="26" t="e" vm="2">
        <f t="shared" si="51"/>
        <v>#VALUE!</v>
      </c>
      <c r="BH514" s="26"/>
      <c r="BI514" s="26"/>
      <c r="BJ514" s="21" t="e" vm="1">
        <v>#REF!</v>
      </c>
      <c r="BK514" s="26" t="e" vm="1">
        <v>#REF!</v>
      </c>
      <c r="BL514" s="26"/>
      <c r="BM514" t="e" vm="2">
        <f t="shared" si="52"/>
        <v>#VALUE!</v>
      </c>
      <c r="BN514" t="e" vm="2">
        <f t="shared" si="53"/>
        <v>#VALUE!</v>
      </c>
      <c r="BO514" s="26"/>
      <c r="BP514" s="26"/>
      <c r="BQ514" s="26"/>
      <c r="BR514" s="25">
        <v>40238</v>
      </c>
      <c r="BS514" s="26">
        <f t="shared" si="55"/>
        <v>3</v>
      </c>
      <c r="BT514" s="26">
        <f t="shared" si="56"/>
        <v>2010</v>
      </c>
      <c r="BU514" s="26" t="e">
        <f t="shared" si="54"/>
        <v>#DIV/0!</v>
      </c>
    </row>
    <row r="515" spans="1:73" x14ac:dyDescent="0.2">
      <c r="A515" s="25">
        <f>Prices!A514</f>
        <v>41365</v>
      </c>
      <c r="B515" s="28">
        <f t="shared" si="65"/>
        <v>0</v>
      </c>
      <c r="C515" s="28">
        <f t="shared" si="61"/>
        <v>0</v>
      </c>
      <c r="D515" s="28" t="e">
        <f t="shared" si="66"/>
        <v>#DIV/0!</v>
      </c>
      <c r="E515" s="28" t="e">
        <f t="shared" si="60"/>
        <v>#DIV/0!</v>
      </c>
      <c r="F515" s="28" t="e">
        <f t="shared" si="57"/>
        <v>#DIV/0!</v>
      </c>
      <c r="G515" s="28" t="e">
        <f>Prices!P514-D515</f>
        <v>#DIV/0!</v>
      </c>
      <c r="H515" s="28" t="e">
        <f t="shared" si="62"/>
        <v>#DIV/0!</v>
      </c>
      <c r="I515" s="28" t="e">
        <f t="shared" si="63"/>
        <v>#DIV/0!</v>
      </c>
      <c r="J515" s="28" t="e">
        <f t="shared" si="64"/>
        <v>#DIV/0!</v>
      </c>
      <c r="AI515" s="26"/>
      <c r="AJ515" s="26"/>
      <c r="AK515" s="26"/>
      <c r="AL515" s="26"/>
      <c r="AM515" s="26"/>
      <c r="AN515" s="26"/>
      <c r="AO515" s="26"/>
      <c r="AP515" s="25">
        <v>41365</v>
      </c>
      <c r="AQ515" s="29">
        <v>0.9804454545454544</v>
      </c>
      <c r="AR515" s="26"/>
      <c r="AS515" s="26"/>
      <c r="AT515" s="26"/>
      <c r="AU515" s="26"/>
      <c r="AV515" s="26"/>
      <c r="BA515" s="26">
        <f t="shared" si="58"/>
        <v>4</v>
      </c>
      <c r="BB515" s="26">
        <f t="shared" si="59"/>
        <v>2013</v>
      </c>
      <c r="BC515" s="25" t="e" vm="1">
        <v>#REF!</v>
      </c>
      <c r="BD515" s="26" t="e" vm="1">
        <v>#REF!</v>
      </c>
      <c r="BE515" s="26"/>
      <c r="BF515" s="26" t="e" vm="2">
        <f t="shared" ref="BF515:BF578" si="67">MONTH(BC515)</f>
        <v>#VALUE!</v>
      </c>
      <c r="BG515" s="26" t="e" vm="2">
        <f t="shared" ref="BG515:BG578" si="68">YEAR(BC515)</f>
        <v>#VALUE!</v>
      </c>
      <c r="BH515" s="26"/>
      <c r="BI515" s="26"/>
      <c r="BJ515" s="21" t="e" vm="1">
        <v>#REF!</v>
      </c>
      <c r="BK515" s="26" t="e" vm="1">
        <v>#REF!</v>
      </c>
      <c r="BL515" s="26"/>
      <c r="BM515" t="e" vm="2">
        <f t="shared" si="52"/>
        <v>#VALUE!</v>
      </c>
      <c r="BN515" t="e" vm="2">
        <f t="shared" si="53"/>
        <v>#VALUE!</v>
      </c>
      <c r="BO515" s="26"/>
      <c r="BP515" s="26"/>
      <c r="BQ515" s="26"/>
      <c r="BR515" s="25">
        <v>40269</v>
      </c>
      <c r="BS515" s="26">
        <f t="shared" si="55"/>
        <v>4</v>
      </c>
      <c r="BT515" s="26">
        <f t="shared" si="56"/>
        <v>2010</v>
      </c>
      <c r="BU515" s="26" t="e">
        <f t="shared" si="54"/>
        <v>#DIV/0!</v>
      </c>
    </row>
    <row r="516" spans="1:73" x14ac:dyDescent="0.2">
      <c r="A516" s="25">
        <f>Prices!A515</f>
        <v>41395</v>
      </c>
      <c r="B516" s="28">
        <f t="shared" si="65"/>
        <v>0</v>
      </c>
      <c r="C516" s="28">
        <f t="shared" si="61"/>
        <v>0</v>
      </c>
      <c r="D516" s="28" t="e">
        <f t="shared" si="66"/>
        <v>#DIV/0!</v>
      </c>
      <c r="E516" s="28" t="e">
        <f t="shared" si="60"/>
        <v>#DIV/0!</v>
      </c>
      <c r="F516" s="28" t="e">
        <f t="shared" si="57"/>
        <v>#DIV/0!</v>
      </c>
      <c r="G516" s="28" t="e">
        <f>Prices!P515-D516</f>
        <v>#DIV/0!</v>
      </c>
      <c r="H516" s="28" t="e">
        <f t="shared" si="62"/>
        <v>#DIV/0!</v>
      </c>
      <c r="I516" s="28" t="e">
        <f t="shared" si="63"/>
        <v>#DIV/0!</v>
      </c>
      <c r="J516" s="28" t="e">
        <f t="shared" si="64"/>
        <v>#DIV/0!</v>
      </c>
      <c r="AI516" s="26"/>
      <c r="AJ516" s="26"/>
      <c r="AK516" s="26"/>
      <c r="AL516" s="26"/>
      <c r="AM516" s="26"/>
      <c r="AN516" s="26"/>
      <c r="AO516" s="26"/>
      <c r="AP516" s="25">
        <v>41395</v>
      </c>
      <c r="AQ516" s="29">
        <v>0.97979545454545436</v>
      </c>
      <c r="AR516" s="26"/>
      <c r="AS516" s="26"/>
      <c r="AT516" s="26"/>
      <c r="AU516" s="26"/>
      <c r="AV516" s="26"/>
      <c r="BA516" s="26">
        <f t="shared" si="58"/>
        <v>5</v>
      </c>
      <c r="BB516" s="26">
        <f t="shared" si="59"/>
        <v>2013</v>
      </c>
      <c r="BC516" s="25" t="e" vm="1">
        <v>#REF!</v>
      </c>
      <c r="BD516" s="26" t="e" vm="1">
        <v>#REF!</v>
      </c>
      <c r="BE516" s="26"/>
      <c r="BF516" s="26" t="e" vm="2">
        <f t="shared" si="67"/>
        <v>#VALUE!</v>
      </c>
      <c r="BG516" s="26" t="e" vm="2">
        <f t="shared" si="68"/>
        <v>#VALUE!</v>
      </c>
      <c r="BH516" s="26"/>
      <c r="BI516" s="26"/>
      <c r="BJ516" s="21" t="e" vm="1">
        <v>#REF!</v>
      </c>
      <c r="BK516" s="26" t="e" vm="1">
        <v>#REF!</v>
      </c>
      <c r="BL516" s="26"/>
      <c r="BM516" t="e" vm="2">
        <f t="shared" ref="BM516:BM579" si="69">MONTH(BJ516)</f>
        <v>#VALUE!</v>
      </c>
      <c r="BN516" t="e" vm="2">
        <f t="shared" ref="BN516:BN579" si="70">YEAR(BJ516)</f>
        <v>#VALUE!</v>
      </c>
      <c r="BO516" s="26"/>
      <c r="BP516" s="26"/>
      <c r="BQ516" s="26"/>
      <c r="BR516" s="25">
        <v>40299</v>
      </c>
      <c r="BS516" s="26">
        <f t="shared" si="55"/>
        <v>5</v>
      </c>
      <c r="BT516" s="26">
        <f t="shared" si="56"/>
        <v>2010</v>
      </c>
      <c r="BU516" s="26" t="e">
        <f t="shared" si="54"/>
        <v>#DIV/0!</v>
      </c>
    </row>
    <row r="517" spans="1:73" x14ac:dyDescent="0.2">
      <c r="A517" s="25">
        <f>Prices!A516</f>
        <v>41426</v>
      </c>
      <c r="B517" s="28">
        <f t="shared" si="65"/>
        <v>0</v>
      </c>
      <c r="C517" s="28">
        <f t="shared" si="61"/>
        <v>0</v>
      </c>
      <c r="D517" s="28" t="e">
        <f t="shared" si="66"/>
        <v>#DIV/0!</v>
      </c>
      <c r="E517" s="28" t="e">
        <f t="shared" si="60"/>
        <v>#DIV/0!</v>
      </c>
      <c r="F517" s="28" t="e">
        <f t="shared" si="57"/>
        <v>#DIV/0!</v>
      </c>
      <c r="G517" s="28" t="e">
        <f>Prices!P516-D517</f>
        <v>#DIV/0!</v>
      </c>
      <c r="H517" s="28" t="e">
        <f t="shared" si="62"/>
        <v>#DIV/0!</v>
      </c>
      <c r="I517" s="28" t="e">
        <f t="shared" si="63"/>
        <v>#DIV/0!</v>
      </c>
      <c r="J517" s="28" t="e">
        <f t="shared" si="64"/>
        <v>#DIV/0!</v>
      </c>
      <c r="AI517" s="26"/>
      <c r="AJ517" s="26"/>
      <c r="AK517" s="26"/>
      <c r="AL517" s="26"/>
      <c r="AM517" s="26"/>
      <c r="AN517" s="26"/>
      <c r="AO517" s="26"/>
      <c r="AP517" s="25">
        <v>41426</v>
      </c>
      <c r="AQ517" s="29">
        <v>0.96816499999999994</v>
      </c>
      <c r="AR517" s="26"/>
      <c r="AS517" s="26"/>
      <c r="AT517" s="26"/>
      <c r="AU517" s="26"/>
      <c r="AV517" s="26"/>
      <c r="BA517" s="26">
        <f t="shared" si="58"/>
        <v>6</v>
      </c>
      <c r="BB517" s="26">
        <f t="shared" si="59"/>
        <v>2013</v>
      </c>
      <c r="BC517" s="25" t="e" vm="1">
        <v>#REF!</v>
      </c>
      <c r="BD517" s="26" t="e" vm="1">
        <v>#REF!</v>
      </c>
      <c r="BE517" s="26"/>
      <c r="BF517" s="26" t="e" vm="2">
        <f t="shared" si="67"/>
        <v>#VALUE!</v>
      </c>
      <c r="BG517" s="26" t="e" vm="2">
        <f t="shared" si="68"/>
        <v>#VALUE!</v>
      </c>
      <c r="BH517" s="26"/>
      <c r="BI517" s="26"/>
      <c r="BJ517" s="21" t="e" vm="1">
        <v>#REF!</v>
      </c>
      <c r="BK517" s="26" t="e" vm="1">
        <v>#REF!</v>
      </c>
      <c r="BL517" s="26"/>
      <c r="BM517" t="e" vm="2">
        <f t="shared" si="69"/>
        <v>#VALUE!</v>
      </c>
      <c r="BN517" t="e" vm="2">
        <f t="shared" si="70"/>
        <v>#VALUE!</v>
      </c>
      <c r="BO517" s="26"/>
      <c r="BP517" s="26"/>
      <c r="BQ517" s="26"/>
      <c r="BR517" s="25">
        <v>40330</v>
      </c>
      <c r="BS517" s="26">
        <f t="shared" si="55"/>
        <v>6</v>
      </c>
      <c r="BT517" s="26">
        <f t="shared" si="56"/>
        <v>2010</v>
      </c>
      <c r="BU517" s="26" t="e">
        <f t="shared" si="54"/>
        <v>#DIV/0!</v>
      </c>
    </row>
    <row r="518" spans="1:73" x14ac:dyDescent="0.2">
      <c r="A518" s="25">
        <f>Prices!A517</f>
        <v>41456</v>
      </c>
      <c r="B518" s="28">
        <f t="shared" si="65"/>
        <v>0</v>
      </c>
      <c r="C518" s="28">
        <f t="shared" si="61"/>
        <v>0</v>
      </c>
      <c r="D518" s="28" t="e">
        <f t="shared" si="66"/>
        <v>#DIV/0!</v>
      </c>
      <c r="E518" s="28" t="e">
        <f t="shared" si="60"/>
        <v>#DIV/0!</v>
      </c>
      <c r="F518" s="28" t="e">
        <f t="shared" si="57"/>
        <v>#DIV/0!</v>
      </c>
      <c r="G518" s="28" t="e">
        <f>Prices!P517-D518</f>
        <v>#DIV/0!</v>
      </c>
      <c r="H518" s="28" t="e">
        <f t="shared" si="62"/>
        <v>#DIV/0!</v>
      </c>
      <c r="I518" s="28" t="e">
        <f t="shared" si="63"/>
        <v>#DIV/0!</v>
      </c>
      <c r="J518" s="28" t="e">
        <f t="shared" si="64"/>
        <v>#DIV/0!</v>
      </c>
      <c r="AI518" s="26"/>
      <c r="AJ518" s="26"/>
      <c r="AK518" s="26"/>
      <c r="AL518" s="26"/>
      <c r="AM518" s="26"/>
      <c r="AN518" s="26"/>
      <c r="AO518" s="26"/>
      <c r="AP518" s="25">
        <v>41456</v>
      </c>
      <c r="AQ518" s="29">
        <v>0.96025909090909101</v>
      </c>
      <c r="AR518" s="26"/>
      <c r="AS518" s="26"/>
      <c r="AT518" s="26"/>
      <c r="AU518" s="26"/>
      <c r="AV518" s="26"/>
      <c r="BA518" s="26">
        <f t="shared" si="58"/>
        <v>7</v>
      </c>
      <c r="BB518" s="26">
        <f t="shared" si="59"/>
        <v>2013</v>
      </c>
      <c r="BC518" s="25" t="e" vm="1">
        <v>#REF!</v>
      </c>
      <c r="BD518" s="26" t="e" vm="1">
        <v>#REF!</v>
      </c>
      <c r="BE518" s="26"/>
      <c r="BF518" s="26" t="e" vm="2">
        <f t="shared" si="67"/>
        <v>#VALUE!</v>
      </c>
      <c r="BG518" s="26" t="e" vm="2">
        <f t="shared" si="68"/>
        <v>#VALUE!</v>
      </c>
      <c r="BH518" s="26"/>
      <c r="BI518" s="26"/>
      <c r="BJ518" s="21" t="e" vm="1">
        <v>#REF!</v>
      </c>
      <c r="BK518" s="26" t="e" vm="1">
        <v>#REF!</v>
      </c>
      <c r="BL518" s="26"/>
      <c r="BM518" t="e" vm="2">
        <f t="shared" si="69"/>
        <v>#VALUE!</v>
      </c>
      <c r="BN518" t="e" vm="2">
        <f t="shared" si="70"/>
        <v>#VALUE!</v>
      </c>
      <c r="BO518" s="26"/>
      <c r="BP518" s="26"/>
      <c r="BQ518" s="26"/>
      <c r="BR518" s="25">
        <v>40360</v>
      </c>
      <c r="BS518" s="26">
        <f t="shared" si="55"/>
        <v>7</v>
      </c>
      <c r="BT518" s="26">
        <f t="shared" si="56"/>
        <v>2010</v>
      </c>
      <c r="BU518" s="26" t="e">
        <f t="shared" si="54"/>
        <v>#DIV/0!</v>
      </c>
    </row>
    <row r="519" spans="1:73" x14ac:dyDescent="0.2">
      <c r="A519" s="25">
        <f>Prices!A518</f>
        <v>41487</v>
      </c>
      <c r="B519" s="28">
        <f t="shared" si="65"/>
        <v>0</v>
      </c>
      <c r="C519" s="28">
        <f t="shared" si="61"/>
        <v>0</v>
      </c>
      <c r="D519" s="28" t="e">
        <f t="shared" si="66"/>
        <v>#DIV/0!</v>
      </c>
      <c r="E519" s="28" t="e">
        <f t="shared" si="60"/>
        <v>#DIV/0!</v>
      </c>
      <c r="F519" s="28" t="e">
        <f t="shared" si="57"/>
        <v>#DIV/0!</v>
      </c>
      <c r="G519" s="28" t="e">
        <f>Prices!P518-D519</f>
        <v>#DIV/0!</v>
      </c>
      <c r="H519" s="28" t="e">
        <f t="shared" si="62"/>
        <v>#DIV/0!</v>
      </c>
      <c r="I519" s="28" t="e">
        <f t="shared" si="63"/>
        <v>#DIV/0!</v>
      </c>
      <c r="J519" s="28" t="e">
        <f t="shared" si="64"/>
        <v>#DIV/0!</v>
      </c>
      <c r="AI519" s="26"/>
      <c r="AJ519" s="26"/>
      <c r="AK519" s="26"/>
      <c r="AL519" s="26"/>
      <c r="AM519" s="26"/>
      <c r="AN519" s="26"/>
      <c r="AO519" s="26"/>
      <c r="AP519" s="25">
        <v>41487</v>
      </c>
      <c r="AQ519" s="29">
        <v>0.96070454545454542</v>
      </c>
      <c r="AR519" s="26"/>
      <c r="AS519" s="26"/>
      <c r="AT519" s="26"/>
      <c r="AU519" s="26"/>
      <c r="AV519" s="26"/>
      <c r="BA519" s="26">
        <f t="shared" si="58"/>
        <v>8</v>
      </c>
      <c r="BB519" s="26">
        <f t="shared" si="59"/>
        <v>2013</v>
      </c>
      <c r="BC519" s="25" t="e" vm="1">
        <v>#REF!</v>
      </c>
      <c r="BD519" s="26" t="e" vm="1">
        <v>#REF!</v>
      </c>
      <c r="BE519" s="26"/>
      <c r="BF519" s="26" t="e" vm="2">
        <f t="shared" si="67"/>
        <v>#VALUE!</v>
      </c>
      <c r="BG519" s="26" t="e" vm="2">
        <f t="shared" si="68"/>
        <v>#VALUE!</v>
      </c>
      <c r="BH519" s="26"/>
      <c r="BI519" s="26"/>
      <c r="BJ519" s="21" t="e" vm="1">
        <v>#REF!</v>
      </c>
      <c r="BK519" s="26" t="e" vm="1">
        <v>#REF!</v>
      </c>
      <c r="BL519" s="26"/>
      <c r="BM519" t="e" vm="2">
        <f t="shared" si="69"/>
        <v>#VALUE!</v>
      </c>
      <c r="BN519" t="e" vm="2">
        <f t="shared" si="70"/>
        <v>#VALUE!</v>
      </c>
      <c r="BO519" s="26"/>
      <c r="BP519" s="26"/>
      <c r="BQ519" s="26"/>
      <c r="BR519" s="25">
        <v>40391</v>
      </c>
      <c r="BS519" s="26">
        <f t="shared" si="55"/>
        <v>8</v>
      </c>
      <c r="BT519" s="26">
        <f t="shared" si="56"/>
        <v>2010</v>
      </c>
      <c r="BU519" s="26" t="e">
        <f t="shared" si="54"/>
        <v>#DIV/0!</v>
      </c>
    </row>
    <row r="520" spans="1:73" x14ac:dyDescent="0.2">
      <c r="A520" s="25">
        <f>Prices!A519</f>
        <v>41518</v>
      </c>
      <c r="B520" s="28">
        <f t="shared" si="65"/>
        <v>0</v>
      </c>
      <c r="C520" s="28">
        <f t="shared" si="61"/>
        <v>0</v>
      </c>
      <c r="D520" s="28" t="e">
        <f t="shared" si="66"/>
        <v>#DIV/0!</v>
      </c>
      <c r="E520" s="28" t="e">
        <f t="shared" si="60"/>
        <v>#DIV/0!</v>
      </c>
      <c r="F520" s="28" t="e">
        <f t="shared" si="57"/>
        <v>#DIV/0!</v>
      </c>
      <c r="G520" s="28" t="e">
        <f>Prices!P519-D520</f>
        <v>#DIV/0!</v>
      </c>
      <c r="H520" s="28" t="e">
        <f t="shared" si="62"/>
        <v>#DIV/0!</v>
      </c>
      <c r="I520" s="28" t="e">
        <f t="shared" si="63"/>
        <v>#DIV/0!</v>
      </c>
      <c r="J520" s="28" t="e">
        <f t="shared" si="64"/>
        <v>#DIV/0!</v>
      </c>
      <c r="AI520" s="26"/>
      <c r="AJ520" s="26"/>
      <c r="AK520" s="26"/>
      <c r="AL520" s="26"/>
      <c r="AM520" s="26"/>
      <c r="AN520" s="26"/>
      <c r="AO520" s="26"/>
      <c r="AP520" s="25">
        <v>41518</v>
      </c>
      <c r="AQ520" s="29">
        <v>0.96608499999999997</v>
      </c>
      <c r="AR520" s="26"/>
      <c r="AS520" s="26"/>
      <c r="AT520" s="26"/>
      <c r="AU520" s="26"/>
      <c r="AV520" s="26"/>
      <c r="BA520" s="26">
        <f t="shared" si="58"/>
        <v>9</v>
      </c>
      <c r="BB520" s="26">
        <f t="shared" si="59"/>
        <v>2013</v>
      </c>
      <c r="BC520" s="25" t="e" vm="1">
        <v>#REF!</v>
      </c>
      <c r="BD520" s="26" t="e" vm="1">
        <v>#REF!</v>
      </c>
      <c r="BE520" s="26"/>
      <c r="BF520" s="26" t="e" vm="2">
        <f t="shared" si="67"/>
        <v>#VALUE!</v>
      </c>
      <c r="BG520" s="26" t="e" vm="2">
        <f t="shared" si="68"/>
        <v>#VALUE!</v>
      </c>
      <c r="BH520" s="26"/>
      <c r="BI520" s="26"/>
      <c r="BJ520" s="21" t="e" vm="1">
        <v>#REF!</v>
      </c>
      <c r="BK520" s="26" t="e" vm="1">
        <v>#REF!</v>
      </c>
      <c r="BL520" s="26"/>
      <c r="BM520" t="e" vm="2">
        <f t="shared" si="69"/>
        <v>#VALUE!</v>
      </c>
      <c r="BN520" t="e" vm="2">
        <f t="shared" si="70"/>
        <v>#VALUE!</v>
      </c>
      <c r="BO520" s="26"/>
      <c r="BP520" s="26"/>
      <c r="BQ520" s="26"/>
      <c r="BR520" s="25">
        <v>40422</v>
      </c>
      <c r="BS520" s="26">
        <f t="shared" si="55"/>
        <v>9</v>
      </c>
      <c r="BT520" s="26">
        <f t="shared" si="56"/>
        <v>2010</v>
      </c>
      <c r="BU520" s="26" t="e">
        <f t="shared" ref="BU520:BU583" si="71">AVERAGEIFS($BK$3:$BK$5500,$BM$3:$BM$5500,BS520,$BN$3:$BN$5500,BT520)</f>
        <v>#DIV/0!</v>
      </c>
    </row>
    <row r="521" spans="1:73" x14ac:dyDescent="0.2">
      <c r="A521" s="25">
        <f>Prices!A520</f>
        <v>41548</v>
      </c>
      <c r="B521" s="28">
        <f t="shared" si="65"/>
        <v>0</v>
      </c>
      <c r="C521" s="28">
        <f t="shared" si="61"/>
        <v>0</v>
      </c>
      <c r="D521" s="28" t="e">
        <f t="shared" si="66"/>
        <v>#DIV/0!</v>
      </c>
      <c r="E521" s="28" t="e">
        <f t="shared" si="60"/>
        <v>#DIV/0!</v>
      </c>
      <c r="F521" s="28" t="e">
        <f t="shared" si="57"/>
        <v>#DIV/0!</v>
      </c>
      <c r="G521" s="28" t="e">
        <f>Prices!P520-D521</f>
        <v>#DIV/0!</v>
      </c>
      <c r="H521" s="28" t="e">
        <f t="shared" si="62"/>
        <v>#DIV/0!</v>
      </c>
      <c r="I521" s="28" t="e">
        <f t="shared" si="63"/>
        <v>#DIV/0!</v>
      </c>
      <c r="J521" s="28" t="e">
        <f t="shared" si="64"/>
        <v>#DIV/0!</v>
      </c>
      <c r="AI521" s="26"/>
      <c r="AJ521" s="26"/>
      <c r="AK521" s="26"/>
      <c r="AL521" s="26"/>
      <c r="AM521" s="26"/>
      <c r="AN521" s="26"/>
      <c r="AO521" s="26"/>
      <c r="AP521" s="25">
        <v>41548</v>
      </c>
      <c r="AQ521" s="29">
        <v>0.96336521739130421</v>
      </c>
      <c r="AR521" s="26"/>
      <c r="AS521" s="26"/>
      <c r="AT521" s="26"/>
      <c r="AU521" s="26"/>
      <c r="AV521" s="26"/>
      <c r="BA521" s="26">
        <f t="shared" si="58"/>
        <v>10</v>
      </c>
      <c r="BB521" s="26">
        <f t="shared" si="59"/>
        <v>2013</v>
      </c>
      <c r="BC521" s="25" t="e" vm="1">
        <v>#REF!</v>
      </c>
      <c r="BD521" s="26" t="e" vm="1">
        <v>#REF!</v>
      </c>
      <c r="BE521" s="26"/>
      <c r="BF521" s="26" t="e" vm="2">
        <f t="shared" si="67"/>
        <v>#VALUE!</v>
      </c>
      <c r="BG521" s="26" t="e" vm="2">
        <f t="shared" si="68"/>
        <v>#VALUE!</v>
      </c>
      <c r="BH521" s="26"/>
      <c r="BI521" s="26"/>
      <c r="BJ521" s="21" t="e" vm="1">
        <v>#REF!</v>
      </c>
      <c r="BK521" s="26" t="e" vm="1">
        <v>#REF!</v>
      </c>
      <c r="BL521" s="26"/>
      <c r="BM521" t="e" vm="2">
        <f t="shared" si="69"/>
        <v>#VALUE!</v>
      </c>
      <c r="BN521" t="e" vm="2">
        <f t="shared" si="70"/>
        <v>#VALUE!</v>
      </c>
      <c r="BO521" s="26"/>
      <c r="BP521" s="26"/>
      <c r="BQ521" s="26"/>
      <c r="BR521" s="25">
        <v>40452</v>
      </c>
      <c r="BS521" s="26">
        <f t="shared" ref="BS521:BS584" si="72">MONTH(BR521)</f>
        <v>10</v>
      </c>
      <c r="BT521" s="26">
        <f t="shared" ref="BT521:BT584" si="73">YEAR(BR521)</f>
        <v>2010</v>
      </c>
      <c r="BU521" s="26" t="e">
        <f t="shared" si="71"/>
        <v>#DIV/0!</v>
      </c>
    </row>
    <row r="522" spans="1:73" x14ac:dyDescent="0.2">
      <c r="A522" s="25">
        <f>Prices!A521</f>
        <v>41579</v>
      </c>
      <c r="B522" s="28">
        <f t="shared" si="65"/>
        <v>0</v>
      </c>
      <c r="C522" s="28">
        <f t="shared" si="61"/>
        <v>0</v>
      </c>
      <c r="D522" s="28" t="e">
        <f t="shared" si="66"/>
        <v>#DIV/0!</v>
      </c>
      <c r="E522" s="28" t="e">
        <f t="shared" si="60"/>
        <v>#DIV/0!</v>
      </c>
      <c r="F522" s="28" t="e">
        <f t="shared" si="57"/>
        <v>#DIV/0!</v>
      </c>
      <c r="G522" s="28" t="e">
        <f>Prices!P521-D522</f>
        <v>#DIV/0!</v>
      </c>
      <c r="H522" s="28" t="e">
        <f t="shared" si="62"/>
        <v>#DIV/0!</v>
      </c>
      <c r="I522" s="28" t="e">
        <f t="shared" si="63"/>
        <v>#DIV/0!</v>
      </c>
      <c r="J522" s="28" t="e">
        <f t="shared" si="64"/>
        <v>#DIV/0!</v>
      </c>
      <c r="AI522" s="26"/>
      <c r="AJ522" s="26"/>
      <c r="AK522" s="26"/>
      <c r="AL522" s="26"/>
      <c r="AM522" s="26"/>
      <c r="AN522" s="26"/>
      <c r="AO522" s="26"/>
      <c r="AP522" s="25">
        <v>41579</v>
      </c>
      <c r="AQ522" s="29">
        <v>0.95267500000000016</v>
      </c>
      <c r="AR522" s="26"/>
      <c r="AS522" s="26"/>
      <c r="AT522" s="26"/>
      <c r="AU522" s="26"/>
      <c r="AV522" s="26"/>
      <c r="BA522" s="26">
        <f t="shared" si="58"/>
        <v>11</v>
      </c>
      <c r="BB522" s="26">
        <f t="shared" si="59"/>
        <v>2013</v>
      </c>
      <c r="BC522" s="25" t="e" vm="1">
        <v>#REF!</v>
      </c>
      <c r="BD522" s="26" t="e" vm="1">
        <v>#REF!</v>
      </c>
      <c r="BE522" s="26"/>
      <c r="BF522" s="26" t="e" vm="2">
        <f t="shared" si="67"/>
        <v>#VALUE!</v>
      </c>
      <c r="BG522" s="26" t="e" vm="2">
        <f t="shared" si="68"/>
        <v>#VALUE!</v>
      </c>
      <c r="BH522" s="26"/>
      <c r="BI522" s="26"/>
      <c r="BJ522" s="21" t="e" vm="1">
        <v>#REF!</v>
      </c>
      <c r="BK522" s="26" t="e" vm="1">
        <v>#REF!</v>
      </c>
      <c r="BL522" s="26"/>
      <c r="BM522" t="e" vm="2">
        <f t="shared" si="69"/>
        <v>#VALUE!</v>
      </c>
      <c r="BN522" t="e" vm="2">
        <f t="shared" si="70"/>
        <v>#VALUE!</v>
      </c>
      <c r="BO522" s="26"/>
      <c r="BP522" s="26"/>
      <c r="BQ522" s="26"/>
      <c r="BR522" s="25">
        <v>40483</v>
      </c>
      <c r="BS522" s="26">
        <f t="shared" si="72"/>
        <v>11</v>
      </c>
      <c r="BT522" s="26">
        <f t="shared" si="73"/>
        <v>2010</v>
      </c>
      <c r="BU522" s="26" t="e">
        <f t="shared" si="71"/>
        <v>#DIV/0!</v>
      </c>
    </row>
    <row r="523" spans="1:73" x14ac:dyDescent="0.2">
      <c r="A523" s="25">
        <f>Prices!A522</f>
        <v>41609</v>
      </c>
      <c r="B523" s="28">
        <f t="shared" si="65"/>
        <v>0</v>
      </c>
      <c r="C523" s="28">
        <f t="shared" si="61"/>
        <v>0</v>
      </c>
      <c r="D523" s="28" t="e">
        <f t="shared" si="66"/>
        <v>#DIV/0!</v>
      </c>
      <c r="E523" s="28" t="e">
        <f t="shared" si="60"/>
        <v>#DIV/0!</v>
      </c>
      <c r="F523" s="28" t="e">
        <f t="shared" si="57"/>
        <v>#DIV/0!</v>
      </c>
      <c r="G523" s="28" t="e">
        <f>Prices!P522-D523</f>
        <v>#DIV/0!</v>
      </c>
      <c r="H523" s="28" t="e">
        <f t="shared" si="62"/>
        <v>#DIV/0!</v>
      </c>
      <c r="I523" s="28" t="e">
        <f t="shared" si="63"/>
        <v>#DIV/0!</v>
      </c>
      <c r="J523" s="28" t="e">
        <f t="shared" si="64"/>
        <v>#DIV/0!</v>
      </c>
      <c r="AI523" s="26"/>
      <c r="AJ523" s="26"/>
      <c r="AK523" s="26"/>
      <c r="AL523" s="26"/>
      <c r="AM523" s="26"/>
      <c r="AN523" s="26"/>
      <c r="AO523" s="26"/>
      <c r="AP523" s="25">
        <v>41609</v>
      </c>
      <c r="AQ523" s="29">
        <v>0.93925714285714279</v>
      </c>
      <c r="AR523" s="26"/>
      <c r="AS523" s="26"/>
      <c r="AT523" s="26"/>
      <c r="AU523" s="26"/>
      <c r="AV523" s="26"/>
      <c r="BA523" s="26">
        <f t="shared" si="58"/>
        <v>12</v>
      </c>
      <c r="BB523" s="26">
        <f t="shared" si="59"/>
        <v>2013</v>
      </c>
      <c r="BC523" s="25" t="e" vm="1">
        <v>#REF!</v>
      </c>
      <c r="BD523" s="26" t="e" vm="1">
        <v>#REF!</v>
      </c>
      <c r="BE523" s="26"/>
      <c r="BF523" s="26" t="e" vm="2">
        <f t="shared" si="67"/>
        <v>#VALUE!</v>
      </c>
      <c r="BG523" s="26" t="e" vm="2">
        <f t="shared" si="68"/>
        <v>#VALUE!</v>
      </c>
      <c r="BH523" s="26"/>
      <c r="BI523" s="26"/>
      <c r="BJ523" s="21" t="e" vm="1">
        <v>#REF!</v>
      </c>
      <c r="BK523" s="26" t="e" vm="1">
        <v>#REF!</v>
      </c>
      <c r="BL523" s="26"/>
      <c r="BM523" t="e" vm="2">
        <f t="shared" si="69"/>
        <v>#VALUE!</v>
      </c>
      <c r="BN523" t="e" vm="2">
        <f t="shared" si="70"/>
        <v>#VALUE!</v>
      </c>
      <c r="BO523" s="26"/>
      <c r="BP523" s="26"/>
      <c r="BQ523" s="26"/>
      <c r="BR523" s="25">
        <v>40513</v>
      </c>
      <c r="BS523" s="26">
        <f t="shared" si="72"/>
        <v>12</v>
      </c>
      <c r="BT523" s="26">
        <f t="shared" si="73"/>
        <v>2010</v>
      </c>
      <c r="BU523" s="26" t="e">
        <f t="shared" si="71"/>
        <v>#DIV/0!</v>
      </c>
    </row>
    <row r="524" spans="1:73" x14ac:dyDescent="0.2">
      <c r="A524" s="25">
        <f>Prices!A523</f>
        <v>41640</v>
      </c>
      <c r="B524" s="28">
        <f t="shared" si="65"/>
        <v>0</v>
      </c>
      <c r="C524" s="28">
        <f t="shared" si="61"/>
        <v>0</v>
      </c>
      <c r="D524" s="28" t="e">
        <f t="shared" si="66"/>
        <v>#DIV/0!</v>
      </c>
      <c r="E524" s="28" t="e">
        <f t="shared" si="60"/>
        <v>#DIV/0!</v>
      </c>
      <c r="F524" s="28" t="e">
        <f t="shared" si="57"/>
        <v>#DIV/0!</v>
      </c>
      <c r="G524" s="28" t="e">
        <f>Prices!P523-D524</f>
        <v>#DIV/0!</v>
      </c>
      <c r="H524" s="28" t="e">
        <f t="shared" si="62"/>
        <v>#DIV/0!</v>
      </c>
      <c r="I524" s="28" t="e">
        <f t="shared" si="63"/>
        <v>#DIV/0!</v>
      </c>
      <c r="J524" s="28" t="e">
        <f t="shared" si="64"/>
        <v>#DIV/0!</v>
      </c>
      <c r="AI524" s="26"/>
      <c r="AJ524" s="26"/>
      <c r="AK524" s="26"/>
      <c r="AL524" s="26"/>
      <c r="AM524" s="26"/>
      <c r="AN524" s="26"/>
      <c r="AO524" s="26"/>
      <c r="AP524" s="25">
        <v>41640</v>
      </c>
      <c r="AQ524" s="29">
        <v>0.9124619047619047</v>
      </c>
      <c r="AR524" s="26"/>
      <c r="AS524" s="26"/>
      <c r="AT524" s="26"/>
      <c r="AU524" s="26"/>
      <c r="AV524" s="26"/>
      <c r="BA524" s="26">
        <f t="shared" si="58"/>
        <v>1</v>
      </c>
      <c r="BB524" s="26">
        <f t="shared" si="59"/>
        <v>2014</v>
      </c>
      <c r="BC524" s="25" t="e" vm="1">
        <v>#REF!</v>
      </c>
      <c r="BD524" s="26" t="e" vm="1">
        <v>#REF!</v>
      </c>
      <c r="BE524" s="26"/>
      <c r="BF524" s="26" t="e" vm="2">
        <f t="shared" si="67"/>
        <v>#VALUE!</v>
      </c>
      <c r="BG524" s="26" t="e" vm="2">
        <f t="shared" si="68"/>
        <v>#VALUE!</v>
      </c>
      <c r="BH524" s="26"/>
      <c r="BI524" s="26"/>
      <c r="BJ524" s="21" t="e" vm="1">
        <v>#REF!</v>
      </c>
      <c r="BK524" s="26" t="e" vm="1">
        <v>#REF!</v>
      </c>
      <c r="BL524" s="26"/>
      <c r="BM524" t="e" vm="2">
        <f t="shared" si="69"/>
        <v>#VALUE!</v>
      </c>
      <c r="BN524" t="e" vm="2">
        <f t="shared" si="70"/>
        <v>#VALUE!</v>
      </c>
      <c r="BO524" s="26"/>
      <c r="BP524" s="26"/>
      <c r="BQ524" s="26"/>
      <c r="BR524" s="25">
        <v>40544</v>
      </c>
      <c r="BS524" s="26">
        <f t="shared" si="72"/>
        <v>1</v>
      </c>
      <c r="BT524" s="26">
        <f t="shared" si="73"/>
        <v>2011</v>
      </c>
      <c r="BU524" s="26" t="e">
        <f t="shared" si="71"/>
        <v>#DIV/0!</v>
      </c>
    </row>
    <row r="525" spans="1:73" x14ac:dyDescent="0.2">
      <c r="A525" s="25">
        <f>Prices!A524</f>
        <v>41671</v>
      </c>
      <c r="B525" s="28">
        <f t="shared" si="65"/>
        <v>0</v>
      </c>
      <c r="C525" s="28">
        <f t="shared" si="61"/>
        <v>0</v>
      </c>
      <c r="D525" s="28" t="e">
        <f t="shared" si="66"/>
        <v>#DIV/0!</v>
      </c>
      <c r="E525" s="28" t="e">
        <f t="shared" si="60"/>
        <v>#DIV/0!</v>
      </c>
      <c r="F525" s="28" t="e">
        <f t="shared" si="57"/>
        <v>#DIV/0!</v>
      </c>
      <c r="G525" s="28" t="e">
        <f>Prices!P524-D525</f>
        <v>#DIV/0!</v>
      </c>
      <c r="H525" s="28" t="e">
        <f t="shared" si="62"/>
        <v>#DIV/0!</v>
      </c>
      <c r="I525" s="28" t="e">
        <f t="shared" si="63"/>
        <v>#DIV/0!</v>
      </c>
      <c r="J525" s="28" t="e">
        <f t="shared" si="64"/>
        <v>#DIV/0!</v>
      </c>
      <c r="AI525" s="26"/>
      <c r="AJ525" s="26"/>
      <c r="AK525" s="26"/>
      <c r="AL525" s="26"/>
      <c r="AM525" s="26"/>
      <c r="AN525" s="26"/>
      <c r="AO525" s="26"/>
      <c r="AP525" s="25">
        <v>41671</v>
      </c>
      <c r="AQ525" s="29">
        <v>0.90372631578947371</v>
      </c>
      <c r="AR525" s="26"/>
      <c r="AS525" s="26"/>
      <c r="AT525" s="26"/>
      <c r="AU525" s="26"/>
      <c r="AV525" s="26"/>
      <c r="BA525" s="26">
        <f t="shared" si="58"/>
        <v>2</v>
      </c>
      <c r="BB525" s="26">
        <f t="shared" si="59"/>
        <v>2014</v>
      </c>
      <c r="BC525" s="25" t="e" vm="1">
        <v>#REF!</v>
      </c>
      <c r="BD525" s="26" t="e" vm="1">
        <v>#REF!</v>
      </c>
      <c r="BE525" s="26"/>
      <c r="BF525" s="26" t="e" vm="2">
        <f t="shared" si="67"/>
        <v>#VALUE!</v>
      </c>
      <c r="BG525" s="26" t="e" vm="2">
        <f t="shared" si="68"/>
        <v>#VALUE!</v>
      </c>
      <c r="BH525" s="26"/>
      <c r="BI525" s="26"/>
      <c r="BJ525" s="21" t="e" vm="1">
        <v>#REF!</v>
      </c>
      <c r="BK525" s="26" t="e" vm="1">
        <v>#REF!</v>
      </c>
      <c r="BL525" s="26"/>
      <c r="BM525" t="e" vm="2">
        <f t="shared" si="69"/>
        <v>#VALUE!</v>
      </c>
      <c r="BN525" t="e" vm="2">
        <f t="shared" si="70"/>
        <v>#VALUE!</v>
      </c>
      <c r="BO525" s="26"/>
      <c r="BP525" s="26"/>
      <c r="BQ525" s="26"/>
      <c r="BR525" s="25">
        <v>40575</v>
      </c>
      <c r="BS525" s="26">
        <f t="shared" si="72"/>
        <v>2</v>
      </c>
      <c r="BT525" s="26">
        <f t="shared" si="73"/>
        <v>2011</v>
      </c>
      <c r="BU525" s="26" t="e">
        <f t="shared" si="71"/>
        <v>#DIV/0!</v>
      </c>
    </row>
    <row r="526" spans="1:73" x14ac:dyDescent="0.2">
      <c r="A526" s="25">
        <f>Prices!A525</f>
        <v>41699</v>
      </c>
      <c r="B526" s="28">
        <f t="shared" si="65"/>
        <v>0</v>
      </c>
      <c r="C526" s="28">
        <f t="shared" si="61"/>
        <v>0</v>
      </c>
      <c r="D526" s="28" t="e">
        <f t="shared" si="66"/>
        <v>#DIV/0!</v>
      </c>
      <c r="E526" s="28" t="e">
        <f t="shared" si="60"/>
        <v>#DIV/0!</v>
      </c>
      <c r="F526" s="28" t="e">
        <f t="shared" si="57"/>
        <v>#DIV/0!</v>
      </c>
      <c r="G526" s="28" t="e">
        <f>Prices!P525-D526</f>
        <v>#DIV/0!</v>
      </c>
      <c r="H526" s="28" t="e">
        <f t="shared" si="62"/>
        <v>#DIV/0!</v>
      </c>
      <c r="I526" s="28" t="e">
        <f t="shared" si="63"/>
        <v>#DIV/0!</v>
      </c>
      <c r="J526" s="28" t="e">
        <f t="shared" si="64"/>
        <v>#DIV/0!</v>
      </c>
      <c r="AI526" s="26"/>
      <c r="AJ526" s="26"/>
      <c r="AK526" s="26"/>
      <c r="AL526" s="26"/>
      <c r="AM526" s="26"/>
      <c r="AN526" s="26"/>
      <c r="AO526" s="26"/>
      <c r="AP526" s="25">
        <v>41699</v>
      </c>
      <c r="AQ526" s="29">
        <v>0.89969999999999994</v>
      </c>
      <c r="AR526" s="26"/>
      <c r="AS526" s="26"/>
      <c r="AT526" s="26"/>
      <c r="AU526" s="26"/>
      <c r="AV526" s="26"/>
      <c r="BA526" s="26">
        <f t="shared" si="58"/>
        <v>3</v>
      </c>
      <c r="BB526" s="26">
        <f t="shared" si="59"/>
        <v>2014</v>
      </c>
      <c r="BC526" s="25" t="e" vm="1">
        <v>#REF!</v>
      </c>
      <c r="BD526" s="26" t="e" vm="1">
        <v>#REF!</v>
      </c>
      <c r="BE526" s="26"/>
      <c r="BF526" s="26" t="e" vm="2">
        <f t="shared" si="67"/>
        <v>#VALUE!</v>
      </c>
      <c r="BG526" s="26" t="e" vm="2">
        <f t="shared" si="68"/>
        <v>#VALUE!</v>
      </c>
      <c r="BH526" s="26"/>
      <c r="BI526" s="26"/>
      <c r="BJ526" s="21" t="e" vm="1">
        <v>#REF!</v>
      </c>
      <c r="BK526" s="26" t="e" vm="1">
        <v>#REF!</v>
      </c>
      <c r="BL526" s="26"/>
      <c r="BM526" t="e" vm="2">
        <f t="shared" si="69"/>
        <v>#VALUE!</v>
      </c>
      <c r="BN526" t="e" vm="2">
        <f t="shared" si="70"/>
        <v>#VALUE!</v>
      </c>
      <c r="BO526" s="26"/>
      <c r="BP526" s="26"/>
      <c r="BQ526" s="26"/>
      <c r="BR526" s="25">
        <v>40603</v>
      </c>
      <c r="BS526" s="26">
        <f t="shared" si="72"/>
        <v>3</v>
      </c>
      <c r="BT526" s="26">
        <f t="shared" si="73"/>
        <v>2011</v>
      </c>
      <c r="BU526" s="26" t="e">
        <f t="shared" si="71"/>
        <v>#DIV/0!</v>
      </c>
    </row>
    <row r="527" spans="1:73" x14ac:dyDescent="0.2">
      <c r="A527" s="25">
        <f>Prices!A526</f>
        <v>41730</v>
      </c>
      <c r="B527" s="28">
        <f t="shared" si="65"/>
        <v>0</v>
      </c>
      <c r="C527" s="28">
        <f t="shared" si="61"/>
        <v>0</v>
      </c>
      <c r="D527" s="28" t="e">
        <f t="shared" si="66"/>
        <v>#DIV/0!</v>
      </c>
      <c r="E527" s="28" t="e">
        <f t="shared" si="60"/>
        <v>#DIV/0!</v>
      </c>
      <c r="F527" s="28" t="e">
        <f t="shared" si="57"/>
        <v>#DIV/0!</v>
      </c>
      <c r="G527" s="28" t="e">
        <f>Prices!P526-D527</f>
        <v>#DIV/0!</v>
      </c>
      <c r="H527" s="28" t="e">
        <f t="shared" si="62"/>
        <v>#DIV/0!</v>
      </c>
      <c r="I527" s="28" t="e">
        <f t="shared" si="63"/>
        <v>#DIV/0!</v>
      </c>
      <c r="J527" s="28" t="e">
        <f t="shared" si="64"/>
        <v>#DIV/0!</v>
      </c>
      <c r="AI527" s="26"/>
      <c r="AJ527" s="26"/>
      <c r="AK527" s="26"/>
      <c r="AL527" s="26"/>
      <c r="AM527" s="26"/>
      <c r="AN527" s="26"/>
      <c r="AO527" s="26"/>
      <c r="AP527" s="25">
        <v>41730</v>
      </c>
      <c r="AQ527" s="29">
        <v>0.90876190476190477</v>
      </c>
      <c r="AR527" s="26"/>
      <c r="AS527" s="26"/>
      <c r="AT527" s="26"/>
      <c r="AU527" s="26"/>
      <c r="AV527" s="26"/>
      <c r="BA527" s="26">
        <f t="shared" si="58"/>
        <v>4</v>
      </c>
      <c r="BB527" s="26">
        <f t="shared" si="59"/>
        <v>2014</v>
      </c>
      <c r="BC527" s="25" t="e" vm="1">
        <v>#REF!</v>
      </c>
      <c r="BD527" s="26" t="e" vm="1">
        <v>#REF!</v>
      </c>
      <c r="BE527" s="26"/>
      <c r="BF527" s="26" t="e" vm="2">
        <f t="shared" si="67"/>
        <v>#VALUE!</v>
      </c>
      <c r="BG527" s="26" t="e" vm="2">
        <f t="shared" si="68"/>
        <v>#VALUE!</v>
      </c>
      <c r="BH527" s="26"/>
      <c r="BI527" s="26"/>
      <c r="BJ527" s="21" t="e" vm="1">
        <v>#REF!</v>
      </c>
      <c r="BK527" s="26" t="e" vm="1">
        <v>#REF!</v>
      </c>
      <c r="BL527" s="26"/>
      <c r="BM527" t="e" vm="2">
        <f t="shared" si="69"/>
        <v>#VALUE!</v>
      </c>
      <c r="BN527" t="e" vm="2">
        <f t="shared" si="70"/>
        <v>#VALUE!</v>
      </c>
      <c r="BO527" s="26"/>
      <c r="BP527" s="26"/>
      <c r="BQ527" s="26"/>
      <c r="BR527" s="25">
        <v>40634</v>
      </c>
      <c r="BS527" s="26">
        <f t="shared" si="72"/>
        <v>4</v>
      </c>
      <c r="BT527" s="26">
        <f t="shared" si="73"/>
        <v>2011</v>
      </c>
      <c r="BU527" s="26" t="e">
        <f t="shared" si="71"/>
        <v>#DIV/0!</v>
      </c>
    </row>
    <row r="528" spans="1:73" x14ac:dyDescent="0.2">
      <c r="A528" s="25">
        <f>Prices!A527</f>
        <v>41760</v>
      </c>
      <c r="B528" s="28">
        <f t="shared" si="65"/>
        <v>0</v>
      </c>
      <c r="C528" s="28">
        <f t="shared" si="61"/>
        <v>0</v>
      </c>
      <c r="D528" s="28" t="e">
        <f t="shared" si="66"/>
        <v>#DIV/0!</v>
      </c>
      <c r="E528" s="28" t="e">
        <f t="shared" si="60"/>
        <v>#DIV/0!</v>
      </c>
      <c r="F528" s="28" t="e">
        <f t="shared" si="57"/>
        <v>#DIV/0!</v>
      </c>
      <c r="G528" s="28" t="e">
        <f>Prices!P527-D528</f>
        <v>#DIV/0!</v>
      </c>
      <c r="H528" s="28" t="e">
        <f t="shared" si="62"/>
        <v>#DIV/0!</v>
      </c>
      <c r="I528" s="28" t="e">
        <f t="shared" si="63"/>
        <v>#DIV/0!</v>
      </c>
      <c r="J528" s="28" t="e">
        <f t="shared" si="64"/>
        <v>#DIV/0!</v>
      </c>
      <c r="AI528" s="26"/>
      <c r="AJ528" s="26"/>
      <c r="AK528" s="26"/>
      <c r="AL528" s="26"/>
      <c r="AM528" s="26"/>
      <c r="AN528" s="26"/>
      <c r="AO528" s="26"/>
      <c r="AP528" s="25">
        <v>41760</v>
      </c>
      <c r="AQ528" s="29">
        <v>0.91760952380952376</v>
      </c>
      <c r="AR528" s="26"/>
      <c r="AS528" s="26"/>
      <c r="AT528" s="26"/>
      <c r="AU528" s="26"/>
      <c r="AV528" s="26"/>
      <c r="BA528" s="26">
        <f t="shared" si="58"/>
        <v>5</v>
      </c>
      <c r="BB528" s="26">
        <f t="shared" si="59"/>
        <v>2014</v>
      </c>
      <c r="BC528" s="25" t="e" vm="1">
        <v>#REF!</v>
      </c>
      <c r="BD528" s="26" t="e" vm="1">
        <v>#REF!</v>
      </c>
      <c r="BE528" s="26"/>
      <c r="BF528" s="26" t="e" vm="2">
        <f t="shared" si="67"/>
        <v>#VALUE!</v>
      </c>
      <c r="BG528" s="26" t="e" vm="2">
        <f t="shared" si="68"/>
        <v>#VALUE!</v>
      </c>
      <c r="BH528" s="26"/>
      <c r="BI528" s="26"/>
      <c r="BJ528" s="21" t="e" vm="1">
        <v>#REF!</v>
      </c>
      <c r="BK528" s="26" t="e" vm="1">
        <v>#REF!</v>
      </c>
      <c r="BL528" s="26"/>
      <c r="BM528" t="e" vm="2">
        <f t="shared" si="69"/>
        <v>#VALUE!</v>
      </c>
      <c r="BN528" t="e" vm="2">
        <f t="shared" si="70"/>
        <v>#VALUE!</v>
      </c>
      <c r="BO528" s="26"/>
      <c r="BP528" s="26"/>
      <c r="BQ528" s="26"/>
      <c r="BR528" s="25">
        <v>40664</v>
      </c>
      <c r="BS528" s="26">
        <f t="shared" si="72"/>
        <v>5</v>
      </c>
      <c r="BT528" s="26">
        <f t="shared" si="73"/>
        <v>2011</v>
      </c>
      <c r="BU528" s="26" t="e">
        <f t="shared" si="71"/>
        <v>#DIV/0!</v>
      </c>
    </row>
    <row r="529" spans="1:73" x14ac:dyDescent="0.2">
      <c r="A529" s="25">
        <f>Prices!A528</f>
        <v>41791</v>
      </c>
      <c r="B529" s="28">
        <f t="shared" si="65"/>
        <v>0</v>
      </c>
      <c r="C529" s="28">
        <f t="shared" si="61"/>
        <v>0</v>
      </c>
      <c r="D529" s="28" t="e">
        <f t="shared" si="66"/>
        <v>#DIV/0!</v>
      </c>
      <c r="E529" s="28" t="e">
        <f t="shared" si="60"/>
        <v>#DIV/0!</v>
      </c>
      <c r="F529" s="28" t="e">
        <f t="shared" si="57"/>
        <v>#DIV/0!</v>
      </c>
      <c r="G529" s="28" t="e">
        <f>Prices!P528-D529</f>
        <v>#DIV/0!</v>
      </c>
      <c r="H529" s="28" t="e">
        <f t="shared" si="62"/>
        <v>#DIV/0!</v>
      </c>
      <c r="I529" s="28" t="e">
        <f t="shared" si="63"/>
        <v>#DIV/0!</v>
      </c>
      <c r="J529" s="28" t="e">
        <f t="shared" si="64"/>
        <v>#DIV/0!</v>
      </c>
      <c r="AI529" s="26"/>
      <c r="AJ529" s="26"/>
      <c r="AK529" s="26"/>
      <c r="AL529" s="26"/>
      <c r="AM529" s="26"/>
      <c r="AN529" s="26"/>
      <c r="AO529" s="26"/>
      <c r="AP529" s="25">
        <v>41791</v>
      </c>
      <c r="AQ529" s="29">
        <v>0.92275238095238099</v>
      </c>
      <c r="AR529" s="26"/>
      <c r="AS529" s="26"/>
      <c r="AT529" s="26"/>
      <c r="AU529" s="26"/>
      <c r="AV529" s="26"/>
      <c r="BA529" s="26">
        <f t="shared" si="58"/>
        <v>6</v>
      </c>
      <c r="BB529" s="26">
        <f t="shared" si="59"/>
        <v>2014</v>
      </c>
      <c r="BC529" s="25" t="e" vm="1">
        <v>#REF!</v>
      </c>
      <c r="BD529" s="26" t="e" vm="1">
        <v>#REF!</v>
      </c>
      <c r="BE529" s="26"/>
      <c r="BF529" s="26" t="e" vm="2">
        <f t="shared" si="67"/>
        <v>#VALUE!</v>
      </c>
      <c r="BG529" s="26" t="e" vm="2">
        <f t="shared" si="68"/>
        <v>#VALUE!</v>
      </c>
      <c r="BH529" s="26"/>
      <c r="BI529" s="26"/>
      <c r="BJ529" s="21" t="e" vm="1">
        <v>#REF!</v>
      </c>
      <c r="BK529" s="26" t="e" vm="1">
        <v>#REF!</v>
      </c>
      <c r="BL529" s="26"/>
      <c r="BM529" t="e" vm="2">
        <f t="shared" si="69"/>
        <v>#VALUE!</v>
      </c>
      <c r="BN529" t="e" vm="2">
        <f t="shared" si="70"/>
        <v>#VALUE!</v>
      </c>
      <c r="BO529" s="26"/>
      <c r="BP529" s="26"/>
      <c r="BQ529" s="26"/>
      <c r="BR529" s="25">
        <v>40695</v>
      </c>
      <c r="BS529" s="26">
        <f t="shared" si="72"/>
        <v>6</v>
      </c>
      <c r="BT529" s="26">
        <f t="shared" si="73"/>
        <v>2011</v>
      </c>
      <c r="BU529" s="26" t="e">
        <f t="shared" si="71"/>
        <v>#DIV/0!</v>
      </c>
    </row>
    <row r="530" spans="1:73" x14ac:dyDescent="0.2">
      <c r="A530" s="25">
        <f>Prices!A529</f>
        <v>41821</v>
      </c>
      <c r="B530" s="28">
        <f t="shared" si="65"/>
        <v>0</v>
      </c>
      <c r="C530" s="28">
        <f t="shared" si="61"/>
        <v>0</v>
      </c>
      <c r="D530" s="28" t="e">
        <f t="shared" si="66"/>
        <v>#DIV/0!</v>
      </c>
      <c r="E530" s="28" t="e">
        <f t="shared" si="60"/>
        <v>#DIV/0!</v>
      </c>
      <c r="F530" s="28" t="e">
        <f t="shared" ref="F530:F593" si="74">C530-D530</f>
        <v>#DIV/0!</v>
      </c>
      <c r="G530" s="28" t="e">
        <f>Prices!P529-D530</f>
        <v>#DIV/0!</v>
      </c>
      <c r="H530" s="28" t="e">
        <f t="shared" si="62"/>
        <v>#DIV/0!</v>
      </c>
      <c r="I530" s="28" t="e">
        <f t="shared" si="63"/>
        <v>#DIV/0!</v>
      </c>
      <c r="J530" s="28" t="e">
        <f t="shared" si="64"/>
        <v>#DIV/0!</v>
      </c>
      <c r="AI530" s="26"/>
      <c r="AJ530" s="26"/>
      <c r="AK530" s="26"/>
      <c r="AL530" s="26"/>
      <c r="AM530" s="26"/>
      <c r="AN530" s="26"/>
      <c r="AO530" s="26"/>
      <c r="AP530" s="25">
        <v>41821</v>
      </c>
      <c r="AQ530" s="29">
        <v>0.92998181818181813</v>
      </c>
      <c r="AR530" s="26"/>
      <c r="AS530" s="26"/>
      <c r="AT530" s="26"/>
      <c r="AU530" s="26"/>
      <c r="AV530" s="26"/>
      <c r="BA530" s="26">
        <f t="shared" ref="BA530:BA593" si="75">MONTH(A530)</f>
        <v>7</v>
      </c>
      <c r="BB530" s="26">
        <f t="shared" ref="BB530:BB593" si="76">YEAR(A530)</f>
        <v>2014</v>
      </c>
      <c r="BC530" s="25" t="e" vm="1">
        <v>#REF!</v>
      </c>
      <c r="BD530" s="26" t="e" vm="1">
        <v>#REF!</v>
      </c>
      <c r="BE530" s="26"/>
      <c r="BF530" s="26" t="e" vm="2">
        <f t="shared" si="67"/>
        <v>#VALUE!</v>
      </c>
      <c r="BG530" s="26" t="e" vm="2">
        <f t="shared" si="68"/>
        <v>#VALUE!</v>
      </c>
      <c r="BH530" s="26"/>
      <c r="BI530" s="26"/>
      <c r="BJ530" s="21" t="e" vm="1">
        <v>#REF!</v>
      </c>
      <c r="BK530" s="26" t="e" vm="1">
        <v>#REF!</v>
      </c>
      <c r="BL530" s="26"/>
      <c r="BM530" t="e" vm="2">
        <f t="shared" si="69"/>
        <v>#VALUE!</v>
      </c>
      <c r="BN530" t="e" vm="2">
        <f t="shared" si="70"/>
        <v>#VALUE!</v>
      </c>
      <c r="BO530" s="26"/>
      <c r="BP530" s="26"/>
      <c r="BQ530" s="26"/>
      <c r="BR530" s="25">
        <v>40725</v>
      </c>
      <c r="BS530" s="26">
        <f t="shared" si="72"/>
        <v>7</v>
      </c>
      <c r="BT530" s="26">
        <f t="shared" si="73"/>
        <v>2011</v>
      </c>
      <c r="BU530" s="26" t="e">
        <f t="shared" si="71"/>
        <v>#DIV/0!</v>
      </c>
    </row>
    <row r="531" spans="1:73" x14ac:dyDescent="0.2">
      <c r="A531" s="25">
        <f>Prices!A530</f>
        <v>41852</v>
      </c>
      <c r="B531" s="28">
        <f t="shared" si="65"/>
        <v>0</v>
      </c>
      <c r="C531" s="28">
        <f t="shared" si="61"/>
        <v>0</v>
      </c>
      <c r="D531" s="28" t="e">
        <f t="shared" si="66"/>
        <v>#DIV/0!</v>
      </c>
      <c r="E531" s="28" t="e">
        <f t="shared" ref="E531:E594" si="77">B531-D531</f>
        <v>#DIV/0!</v>
      </c>
      <c r="F531" s="28" t="e">
        <f t="shared" si="74"/>
        <v>#DIV/0!</v>
      </c>
      <c r="G531" s="28" t="e">
        <f>Prices!P530-D531</f>
        <v>#DIV/0!</v>
      </c>
      <c r="H531" s="28" t="e">
        <f t="shared" si="62"/>
        <v>#DIV/0!</v>
      </c>
      <c r="I531" s="28" t="e">
        <f t="shared" si="63"/>
        <v>#DIV/0!</v>
      </c>
      <c r="J531" s="28" t="e">
        <f t="shared" si="64"/>
        <v>#DIV/0!</v>
      </c>
      <c r="AI531" s="26"/>
      <c r="AJ531" s="26"/>
      <c r="AK531" s="26"/>
      <c r="AL531" s="26"/>
      <c r="AM531" s="26"/>
      <c r="AN531" s="26"/>
      <c r="AO531" s="26"/>
      <c r="AP531" s="25">
        <v>41852</v>
      </c>
      <c r="AQ531" s="29">
        <v>0.91493809523809522</v>
      </c>
      <c r="AR531" s="26"/>
      <c r="AS531" s="26"/>
      <c r="AT531" s="26"/>
      <c r="AU531" s="26"/>
      <c r="AV531" s="26"/>
      <c r="BA531" s="26">
        <f t="shared" si="75"/>
        <v>8</v>
      </c>
      <c r="BB531" s="26">
        <f t="shared" si="76"/>
        <v>2014</v>
      </c>
      <c r="BC531" s="25" t="e" vm="1">
        <v>#REF!</v>
      </c>
      <c r="BD531" s="26" t="e" vm="1">
        <v>#REF!</v>
      </c>
      <c r="BE531" s="26"/>
      <c r="BF531" s="26" t="e" vm="2">
        <f t="shared" si="67"/>
        <v>#VALUE!</v>
      </c>
      <c r="BG531" s="26" t="e" vm="2">
        <f t="shared" si="68"/>
        <v>#VALUE!</v>
      </c>
      <c r="BH531" s="26"/>
      <c r="BI531" s="26"/>
      <c r="BJ531" s="21" t="e" vm="1">
        <v>#REF!</v>
      </c>
      <c r="BK531" s="26" t="e" vm="1">
        <v>#REF!</v>
      </c>
      <c r="BL531" s="26"/>
      <c r="BM531" t="e" vm="2">
        <f t="shared" si="69"/>
        <v>#VALUE!</v>
      </c>
      <c r="BN531" t="e" vm="2">
        <f t="shared" si="70"/>
        <v>#VALUE!</v>
      </c>
      <c r="BO531" s="26"/>
      <c r="BP531" s="26"/>
      <c r="BQ531" s="26"/>
      <c r="BR531" s="25">
        <v>40756</v>
      </c>
      <c r="BS531" s="26">
        <f t="shared" si="72"/>
        <v>8</v>
      </c>
      <c r="BT531" s="26">
        <f t="shared" si="73"/>
        <v>2011</v>
      </c>
      <c r="BU531" s="26" t="e">
        <f t="shared" si="71"/>
        <v>#DIV/0!</v>
      </c>
    </row>
    <row r="532" spans="1:73" x14ac:dyDescent="0.2">
      <c r="A532" s="25">
        <f>Prices!A531</f>
        <v>41883</v>
      </c>
      <c r="B532" s="28">
        <f t="shared" si="65"/>
        <v>0</v>
      </c>
      <c r="C532" s="28">
        <f t="shared" si="61"/>
        <v>0</v>
      </c>
      <c r="D532" s="28" t="e">
        <f t="shared" si="66"/>
        <v>#DIV/0!</v>
      </c>
      <c r="E532" s="28" t="e">
        <f t="shared" si="77"/>
        <v>#DIV/0!</v>
      </c>
      <c r="F532" s="28" t="e">
        <f t="shared" si="74"/>
        <v>#DIV/0!</v>
      </c>
      <c r="G532" s="28" t="e">
        <f>Prices!P531-D532</f>
        <v>#DIV/0!</v>
      </c>
      <c r="H532" s="28" t="e">
        <f t="shared" si="62"/>
        <v>#DIV/0!</v>
      </c>
      <c r="I532" s="28" t="e">
        <f t="shared" si="63"/>
        <v>#DIV/0!</v>
      </c>
      <c r="J532" s="28" t="e">
        <f t="shared" si="64"/>
        <v>#DIV/0!</v>
      </c>
      <c r="AI532" s="26"/>
      <c r="AJ532" s="26"/>
      <c r="AK532" s="26"/>
      <c r="AL532" s="26"/>
      <c r="AM532" s="26"/>
      <c r="AN532" s="26"/>
      <c r="AO532" s="26"/>
      <c r="AP532" s="25">
        <v>41883</v>
      </c>
      <c r="AQ532" s="29">
        <v>0.9067476190476188</v>
      </c>
      <c r="AR532" s="26"/>
      <c r="AS532" s="26"/>
      <c r="AT532" s="26"/>
      <c r="AU532" s="26"/>
      <c r="AV532" s="26"/>
      <c r="BA532" s="26">
        <f t="shared" si="75"/>
        <v>9</v>
      </c>
      <c r="BB532" s="26">
        <f t="shared" si="76"/>
        <v>2014</v>
      </c>
      <c r="BC532" s="25" t="e" vm="1">
        <v>#REF!</v>
      </c>
      <c r="BD532" s="26" t="e" vm="1">
        <v>#REF!</v>
      </c>
      <c r="BE532" s="26"/>
      <c r="BF532" s="26" t="e" vm="2">
        <f t="shared" si="67"/>
        <v>#VALUE!</v>
      </c>
      <c r="BG532" s="26" t="e" vm="2">
        <f t="shared" si="68"/>
        <v>#VALUE!</v>
      </c>
      <c r="BH532" s="26"/>
      <c r="BI532" s="26"/>
      <c r="BJ532" s="21" t="e" vm="1">
        <v>#REF!</v>
      </c>
      <c r="BK532" s="26" t="e" vm="1">
        <v>#REF!</v>
      </c>
      <c r="BL532" s="26"/>
      <c r="BM532" t="e" vm="2">
        <f t="shared" si="69"/>
        <v>#VALUE!</v>
      </c>
      <c r="BN532" t="e" vm="2">
        <f t="shared" si="70"/>
        <v>#VALUE!</v>
      </c>
      <c r="BO532" s="26"/>
      <c r="BP532" s="26"/>
      <c r="BQ532" s="26"/>
      <c r="BR532" s="25">
        <v>40787</v>
      </c>
      <c r="BS532" s="26">
        <f t="shared" si="72"/>
        <v>9</v>
      </c>
      <c r="BT532" s="26">
        <f t="shared" si="73"/>
        <v>2011</v>
      </c>
      <c r="BU532" s="26" t="e">
        <f t="shared" si="71"/>
        <v>#DIV/0!</v>
      </c>
    </row>
    <row r="533" spans="1:73" x14ac:dyDescent="0.2">
      <c r="A533" s="25">
        <f>Prices!A532</f>
        <v>41913</v>
      </c>
      <c r="B533" s="28">
        <f t="shared" si="65"/>
        <v>0</v>
      </c>
      <c r="C533" s="28">
        <f t="shared" si="61"/>
        <v>0</v>
      </c>
      <c r="D533" s="28" t="e">
        <f t="shared" si="66"/>
        <v>#DIV/0!</v>
      </c>
      <c r="E533" s="28" t="e">
        <f t="shared" si="77"/>
        <v>#DIV/0!</v>
      </c>
      <c r="F533" s="28" t="e">
        <f t="shared" si="74"/>
        <v>#DIV/0!</v>
      </c>
      <c r="G533" s="28" t="e">
        <f>Prices!P532-D533</f>
        <v>#DIV/0!</v>
      </c>
      <c r="H533" s="28" t="e">
        <f t="shared" si="62"/>
        <v>#DIV/0!</v>
      </c>
      <c r="I533" s="28" t="e">
        <f t="shared" si="63"/>
        <v>#DIV/0!</v>
      </c>
      <c r="J533" s="28" t="e">
        <f t="shared" si="64"/>
        <v>#DIV/0!</v>
      </c>
      <c r="AI533" s="26"/>
      <c r="AJ533" s="26"/>
      <c r="AK533" s="26"/>
      <c r="AL533" s="26"/>
      <c r="AM533" s="26"/>
      <c r="AN533" s="26"/>
      <c r="AO533" s="26"/>
      <c r="AP533" s="25">
        <v>41913</v>
      </c>
      <c r="AQ533" s="29">
        <v>0.8901347826086955</v>
      </c>
      <c r="AR533" s="26"/>
      <c r="AS533" s="26"/>
      <c r="AT533" s="26"/>
      <c r="AU533" s="26"/>
      <c r="AV533" s="26"/>
      <c r="BA533" s="26">
        <f t="shared" si="75"/>
        <v>10</v>
      </c>
      <c r="BB533" s="26">
        <f t="shared" si="76"/>
        <v>2014</v>
      </c>
      <c r="BC533" s="25" t="e" vm="1">
        <v>#REF!</v>
      </c>
      <c r="BD533" s="26" t="e" vm="1">
        <v>#REF!</v>
      </c>
      <c r="BE533" s="26"/>
      <c r="BF533" s="26" t="e" vm="2">
        <f t="shared" si="67"/>
        <v>#VALUE!</v>
      </c>
      <c r="BG533" s="26" t="e" vm="2">
        <f t="shared" si="68"/>
        <v>#VALUE!</v>
      </c>
      <c r="BH533" s="26"/>
      <c r="BI533" s="26"/>
      <c r="BJ533" s="21" t="e" vm="1">
        <v>#REF!</v>
      </c>
      <c r="BK533" s="26" t="e" vm="1">
        <v>#REF!</v>
      </c>
      <c r="BL533" s="26"/>
      <c r="BM533" t="e" vm="2">
        <f t="shared" si="69"/>
        <v>#VALUE!</v>
      </c>
      <c r="BN533" t="e" vm="2">
        <f t="shared" si="70"/>
        <v>#VALUE!</v>
      </c>
      <c r="BO533" s="26"/>
      <c r="BP533" s="26"/>
      <c r="BQ533" s="26"/>
      <c r="BR533" s="25">
        <v>40817</v>
      </c>
      <c r="BS533" s="26">
        <f t="shared" si="72"/>
        <v>10</v>
      </c>
      <c r="BT533" s="26">
        <f t="shared" si="73"/>
        <v>2011</v>
      </c>
      <c r="BU533" s="26" t="e">
        <f t="shared" si="71"/>
        <v>#DIV/0!</v>
      </c>
    </row>
    <row r="534" spans="1:73" x14ac:dyDescent="0.2">
      <c r="A534" s="25">
        <f>Prices!A533</f>
        <v>41944</v>
      </c>
      <c r="B534" s="28">
        <f t="shared" si="65"/>
        <v>0</v>
      </c>
      <c r="C534" s="28">
        <f t="shared" si="61"/>
        <v>0</v>
      </c>
      <c r="D534" s="28" t="e">
        <f t="shared" si="66"/>
        <v>#DIV/0!</v>
      </c>
      <c r="E534" s="28" t="e">
        <f t="shared" si="77"/>
        <v>#DIV/0!</v>
      </c>
      <c r="F534" s="28" t="e">
        <f t="shared" si="74"/>
        <v>#DIV/0!</v>
      </c>
      <c r="G534" s="28" t="e">
        <f>Prices!P533-D534</f>
        <v>#DIV/0!</v>
      </c>
      <c r="H534" s="28" t="e">
        <f t="shared" si="62"/>
        <v>#DIV/0!</v>
      </c>
      <c r="I534" s="28" t="e">
        <f t="shared" si="63"/>
        <v>#DIV/0!</v>
      </c>
      <c r="J534" s="28" t="e">
        <f t="shared" si="64"/>
        <v>#DIV/0!</v>
      </c>
      <c r="AI534" s="26"/>
      <c r="AJ534" s="26"/>
      <c r="AK534" s="26"/>
      <c r="AL534" s="26"/>
      <c r="AM534" s="26"/>
      <c r="AN534" s="26"/>
      <c r="AO534" s="26"/>
      <c r="AP534" s="25">
        <v>41944</v>
      </c>
      <c r="AQ534" s="29">
        <v>0.88191578947368421</v>
      </c>
      <c r="AR534" s="26"/>
      <c r="AS534" s="26"/>
      <c r="AT534" s="26"/>
      <c r="AU534" s="26"/>
      <c r="AV534" s="26"/>
      <c r="BA534" s="26">
        <f t="shared" si="75"/>
        <v>11</v>
      </c>
      <c r="BB534" s="26">
        <f t="shared" si="76"/>
        <v>2014</v>
      </c>
      <c r="BC534" s="25" t="e" vm="1">
        <v>#REF!</v>
      </c>
      <c r="BD534" s="26" t="e" vm="1">
        <v>#REF!</v>
      </c>
      <c r="BE534" s="26"/>
      <c r="BF534" s="26" t="e" vm="2">
        <f t="shared" si="67"/>
        <v>#VALUE!</v>
      </c>
      <c r="BG534" s="26" t="e" vm="2">
        <f t="shared" si="68"/>
        <v>#VALUE!</v>
      </c>
      <c r="BH534" s="26"/>
      <c r="BI534" s="26"/>
      <c r="BJ534" s="21" t="e" vm="1">
        <v>#REF!</v>
      </c>
      <c r="BK534" s="26" t="e" vm="1">
        <v>#REF!</v>
      </c>
      <c r="BL534" s="26"/>
      <c r="BM534" t="e" vm="2">
        <f t="shared" si="69"/>
        <v>#VALUE!</v>
      </c>
      <c r="BN534" t="e" vm="2">
        <f t="shared" si="70"/>
        <v>#VALUE!</v>
      </c>
      <c r="BO534" s="26"/>
      <c r="BP534" s="26"/>
      <c r="BQ534" s="26"/>
      <c r="BR534" s="25">
        <v>40848</v>
      </c>
      <c r="BS534" s="26">
        <f t="shared" si="72"/>
        <v>11</v>
      </c>
      <c r="BT534" s="26">
        <f t="shared" si="73"/>
        <v>2011</v>
      </c>
      <c r="BU534" s="26" t="e">
        <f t="shared" si="71"/>
        <v>#DIV/0!</v>
      </c>
    </row>
    <row r="535" spans="1:73" x14ac:dyDescent="0.2">
      <c r="A535" s="25">
        <f>Prices!A534</f>
        <v>41974</v>
      </c>
      <c r="B535" s="28">
        <f t="shared" si="65"/>
        <v>0</v>
      </c>
      <c r="C535" s="28">
        <f t="shared" si="61"/>
        <v>0</v>
      </c>
      <c r="D535" s="28" t="e">
        <f t="shared" si="66"/>
        <v>#DIV/0!</v>
      </c>
      <c r="E535" s="28" t="e">
        <f t="shared" si="77"/>
        <v>#DIV/0!</v>
      </c>
      <c r="F535" s="28" t="e">
        <f t="shared" si="74"/>
        <v>#DIV/0!</v>
      </c>
      <c r="G535" s="28" t="e">
        <f>Prices!P534-D535</f>
        <v>#DIV/0!</v>
      </c>
      <c r="H535" s="28" t="e">
        <f t="shared" si="62"/>
        <v>#DIV/0!</v>
      </c>
      <c r="I535" s="28" t="e">
        <f t="shared" si="63"/>
        <v>#DIV/0!</v>
      </c>
      <c r="J535" s="28" t="e">
        <f t="shared" si="64"/>
        <v>#DIV/0!</v>
      </c>
      <c r="AI535" s="26"/>
      <c r="AJ535" s="26"/>
      <c r="AK535" s="26"/>
      <c r="AL535" s="26"/>
      <c r="AM535" s="26"/>
      <c r="AN535" s="26"/>
      <c r="AO535" s="26"/>
      <c r="AP535" s="25">
        <v>41974</v>
      </c>
      <c r="AQ535" s="29">
        <v>0.86567272727272726</v>
      </c>
      <c r="AR535" s="26"/>
      <c r="AS535" s="26"/>
      <c r="AT535" s="26"/>
      <c r="AU535" s="26"/>
      <c r="AV535" s="26"/>
      <c r="BA535" s="26">
        <f t="shared" si="75"/>
        <v>12</v>
      </c>
      <c r="BB535" s="26">
        <f t="shared" si="76"/>
        <v>2014</v>
      </c>
      <c r="BC535" s="25" t="e" vm="1">
        <v>#REF!</v>
      </c>
      <c r="BD535" s="26" t="e" vm="1">
        <v>#REF!</v>
      </c>
      <c r="BE535" s="26"/>
      <c r="BF535" s="26" t="e" vm="2">
        <f t="shared" si="67"/>
        <v>#VALUE!</v>
      </c>
      <c r="BG535" s="26" t="e" vm="2">
        <f t="shared" si="68"/>
        <v>#VALUE!</v>
      </c>
      <c r="BH535" s="26"/>
      <c r="BI535" s="26"/>
      <c r="BJ535" s="21" t="e" vm="1">
        <v>#REF!</v>
      </c>
      <c r="BK535" s="26" t="e" vm="1">
        <v>#REF!</v>
      </c>
      <c r="BL535" s="26"/>
      <c r="BM535" t="e" vm="2">
        <f t="shared" si="69"/>
        <v>#VALUE!</v>
      </c>
      <c r="BN535" t="e" vm="2">
        <f t="shared" si="70"/>
        <v>#VALUE!</v>
      </c>
      <c r="BO535" s="26"/>
      <c r="BP535" s="26"/>
      <c r="BQ535" s="26"/>
      <c r="BR535" s="25">
        <v>40878</v>
      </c>
      <c r="BS535" s="26">
        <f t="shared" si="72"/>
        <v>12</v>
      </c>
      <c r="BT535" s="26">
        <f t="shared" si="73"/>
        <v>2011</v>
      </c>
      <c r="BU535" s="26" t="e">
        <f t="shared" si="71"/>
        <v>#DIV/0!</v>
      </c>
    </row>
    <row r="536" spans="1:73" x14ac:dyDescent="0.2">
      <c r="A536" s="25">
        <f>Prices!A535</f>
        <v>42005</v>
      </c>
      <c r="B536" s="28">
        <f t="shared" si="65"/>
        <v>0</v>
      </c>
      <c r="C536" s="28">
        <f t="shared" si="61"/>
        <v>0</v>
      </c>
      <c r="D536" s="28" t="e">
        <f t="shared" si="66"/>
        <v>#DIV/0!</v>
      </c>
      <c r="E536" s="28" t="e">
        <f t="shared" si="77"/>
        <v>#DIV/0!</v>
      </c>
      <c r="F536" s="28" t="e">
        <f t="shared" si="74"/>
        <v>#DIV/0!</v>
      </c>
      <c r="G536" s="28" t="e">
        <f>Prices!P535-D536</f>
        <v>#DIV/0!</v>
      </c>
      <c r="H536" s="28" t="e">
        <f t="shared" si="62"/>
        <v>#DIV/0!</v>
      </c>
      <c r="I536" s="28" t="e">
        <f t="shared" si="63"/>
        <v>#DIV/0!</v>
      </c>
      <c r="J536" s="28" t="e">
        <f t="shared" si="64"/>
        <v>#DIV/0!</v>
      </c>
      <c r="AI536" s="26"/>
      <c r="AJ536" s="26"/>
      <c r="AK536" s="26"/>
      <c r="AL536" s="26"/>
      <c r="AM536" s="26"/>
      <c r="AN536" s="26"/>
      <c r="AO536" s="26"/>
      <c r="AP536" s="25">
        <v>42005</v>
      </c>
      <c r="AQ536" s="29">
        <v>0.82409999999999994</v>
      </c>
      <c r="AR536" s="26"/>
      <c r="AS536" s="26"/>
      <c r="AT536" s="26"/>
      <c r="AU536" s="26"/>
      <c r="AV536" s="26"/>
      <c r="BA536" s="26">
        <f t="shared" si="75"/>
        <v>1</v>
      </c>
      <c r="BB536" s="26">
        <f t="shared" si="76"/>
        <v>2015</v>
      </c>
      <c r="BC536" s="25" t="e" vm="1">
        <v>#REF!</v>
      </c>
      <c r="BD536" s="26" t="e" vm="1">
        <v>#REF!</v>
      </c>
      <c r="BE536" s="26"/>
      <c r="BF536" s="26" t="e" vm="2">
        <f t="shared" si="67"/>
        <v>#VALUE!</v>
      </c>
      <c r="BG536" s="26" t="e" vm="2">
        <f t="shared" si="68"/>
        <v>#VALUE!</v>
      </c>
      <c r="BH536" s="26"/>
      <c r="BI536" s="26"/>
      <c r="BJ536" s="21" t="e" vm="1">
        <v>#REF!</v>
      </c>
      <c r="BK536" s="26" t="e" vm="1">
        <v>#REF!</v>
      </c>
      <c r="BL536" s="26"/>
      <c r="BM536" t="e" vm="2">
        <f t="shared" si="69"/>
        <v>#VALUE!</v>
      </c>
      <c r="BN536" t="e" vm="2">
        <f t="shared" si="70"/>
        <v>#VALUE!</v>
      </c>
      <c r="BO536" s="26"/>
      <c r="BP536" s="26"/>
      <c r="BQ536" s="26"/>
      <c r="BR536" s="25">
        <v>40909</v>
      </c>
      <c r="BS536" s="26">
        <f t="shared" si="72"/>
        <v>1</v>
      </c>
      <c r="BT536" s="26">
        <f t="shared" si="73"/>
        <v>2012</v>
      </c>
      <c r="BU536" s="26" t="e">
        <f t="shared" si="71"/>
        <v>#DIV/0!</v>
      </c>
    </row>
    <row r="537" spans="1:73" x14ac:dyDescent="0.2">
      <c r="A537" s="25">
        <f>Prices!A536</f>
        <v>42036</v>
      </c>
      <c r="B537" s="28">
        <f t="shared" si="65"/>
        <v>0</v>
      </c>
      <c r="C537" s="28">
        <f t="shared" si="61"/>
        <v>0</v>
      </c>
      <c r="D537" s="28" t="e">
        <f t="shared" si="66"/>
        <v>#DIV/0!</v>
      </c>
      <c r="E537" s="28" t="e">
        <f t="shared" si="77"/>
        <v>#DIV/0!</v>
      </c>
      <c r="F537" s="28" t="e">
        <f t="shared" si="74"/>
        <v>#DIV/0!</v>
      </c>
      <c r="G537" s="28" t="e">
        <f>Prices!P536-D537</f>
        <v>#DIV/0!</v>
      </c>
      <c r="H537" s="28" t="e">
        <f t="shared" si="62"/>
        <v>#DIV/0!</v>
      </c>
      <c r="I537" s="28" t="e">
        <f t="shared" si="63"/>
        <v>#DIV/0!</v>
      </c>
      <c r="J537" s="28" t="e">
        <f t="shared" si="64"/>
        <v>#DIV/0!</v>
      </c>
      <c r="AI537" s="26"/>
      <c r="AJ537" s="26"/>
      <c r="AK537" s="26"/>
      <c r="AL537" s="26"/>
      <c r="AM537" s="26"/>
      <c r="AN537" s="26"/>
      <c r="AO537" s="26"/>
      <c r="AP537" s="25">
        <v>42036</v>
      </c>
      <c r="AQ537" s="29">
        <v>0.79941052631578946</v>
      </c>
      <c r="AR537" s="26"/>
      <c r="AS537" s="26"/>
      <c r="AT537" s="26"/>
      <c r="AU537" s="26"/>
      <c r="AV537" s="26"/>
      <c r="BA537" s="26">
        <f t="shared" si="75"/>
        <v>2</v>
      </c>
      <c r="BB537" s="26">
        <f t="shared" si="76"/>
        <v>2015</v>
      </c>
      <c r="BC537" s="25" t="e" vm="1">
        <v>#REF!</v>
      </c>
      <c r="BD537" s="26" t="e" vm="1">
        <v>#REF!</v>
      </c>
      <c r="BE537" s="26"/>
      <c r="BF537" s="26" t="e" vm="2">
        <f t="shared" si="67"/>
        <v>#VALUE!</v>
      </c>
      <c r="BG537" s="26" t="e" vm="2">
        <f t="shared" si="68"/>
        <v>#VALUE!</v>
      </c>
      <c r="BH537" s="26"/>
      <c r="BI537" s="26"/>
      <c r="BJ537" s="21" t="e" vm="1">
        <v>#REF!</v>
      </c>
      <c r="BK537" s="26" t="e" vm="1">
        <v>#REF!</v>
      </c>
      <c r="BL537" s="26"/>
      <c r="BM537" t="e" vm="2">
        <f t="shared" si="69"/>
        <v>#VALUE!</v>
      </c>
      <c r="BN537" t="e" vm="2">
        <f t="shared" si="70"/>
        <v>#VALUE!</v>
      </c>
      <c r="BO537" s="26"/>
      <c r="BP537" s="26"/>
      <c r="BQ537" s="26"/>
      <c r="BR537" s="25">
        <v>40940</v>
      </c>
      <c r="BS537" s="26">
        <f t="shared" si="72"/>
        <v>2</v>
      </c>
      <c r="BT537" s="26">
        <f t="shared" si="73"/>
        <v>2012</v>
      </c>
      <c r="BU537" s="26" t="e">
        <f t="shared" si="71"/>
        <v>#DIV/0!</v>
      </c>
    </row>
    <row r="538" spans="1:73" x14ac:dyDescent="0.2">
      <c r="A538" s="25">
        <f>Prices!A537</f>
        <v>42064</v>
      </c>
      <c r="B538" s="28">
        <f t="shared" si="65"/>
        <v>0</v>
      </c>
      <c r="C538" s="28">
        <f t="shared" si="61"/>
        <v>0</v>
      </c>
      <c r="D538" s="28" t="e">
        <f t="shared" si="66"/>
        <v>#DIV/0!</v>
      </c>
      <c r="E538" s="28" t="e">
        <f t="shared" si="77"/>
        <v>#DIV/0!</v>
      </c>
      <c r="F538" s="28" t="e">
        <f t="shared" si="74"/>
        <v>#DIV/0!</v>
      </c>
      <c r="G538" s="28" t="e">
        <f>Prices!P537-D538</f>
        <v>#DIV/0!</v>
      </c>
      <c r="H538" s="28" t="e">
        <f t="shared" si="62"/>
        <v>#DIV/0!</v>
      </c>
      <c r="I538" s="28" t="e">
        <f t="shared" si="63"/>
        <v>#DIV/0!</v>
      </c>
      <c r="J538" s="28" t="e">
        <f t="shared" si="64"/>
        <v>#DIV/0!</v>
      </c>
      <c r="AI538" s="26"/>
      <c r="AJ538" s="26"/>
      <c r="AK538" s="26"/>
      <c r="AL538" s="26"/>
      <c r="AM538" s="26"/>
      <c r="AN538" s="26"/>
      <c r="AO538" s="26"/>
      <c r="AP538" s="25">
        <v>42064</v>
      </c>
      <c r="AQ538" s="29">
        <v>0.79216818181818194</v>
      </c>
      <c r="AR538" s="26"/>
      <c r="AS538" s="26"/>
      <c r="AT538" s="26"/>
      <c r="AU538" s="26"/>
      <c r="AV538" s="26"/>
      <c r="BA538" s="26">
        <f t="shared" si="75"/>
        <v>3</v>
      </c>
      <c r="BB538" s="26">
        <f t="shared" si="76"/>
        <v>2015</v>
      </c>
      <c r="BC538" s="25" t="e" vm="1">
        <v>#REF!</v>
      </c>
      <c r="BD538" s="26" t="e" vm="1">
        <v>#REF!</v>
      </c>
      <c r="BE538" s="26"/>
      <c r="BF538" s="26" t="e" vm="2">
        <f t="shared" si="67"/>
        <v>#VALUE!</v>
      </c>
      <c r="BG538" s="26" t="e" vm="2">
        <f t="shared" si="68"/>
        <v>#VALUE!</v>
      </c>
      <c r="BH538" s="26"/>
      <c r="BI538" s="26"/>
      <c r="BJ538" s="21" t="e" vm="1">
        <v>#REF!</v>
      </c>
      <c r="BK538" s="26" t="e" vm="1">
        <v>#REF!</v>
      </c>
      <c r="BL538" s="26"/>
      <c r="BM538" t="e" vm="2">
        <f t="shared" si="69"/>
        <v>#VALUE!</v>
      </c>
      <c r="BN538" t="e" vm="2">
        <f t="shared" si="70"/>
        <v>#VALUE!</v>
      </c>
      <c r="BO538" s="26"/>
      <c r="BP538" s="26"/>
      <c r="BQ538" s="26"/>
      <c r="BR538" s="25">
        <v>40969</v>
      </c>
      <c r="BS538" s="26">
        <f t="shared" si="72"/>
        <v>3</v>
      </c>
      <c r="BT538" s="26">
        <f t="shared" si="73"/>
        <v>2012</v>
      </c>
      <c r="BU538" s="26" t="e">
        <f t="shared" si="71"/>
        <v>#DIV/0!</v>
      </c>
    </row>
    <row r="539" spans="1:73" x14ac:dyDescent="0.2">
      <c r="A539" s="25">
        <f>Prices!A538</f>
        <v>42095</v>
      </c>
      <c r="B539" s="28">
        <f t="shared" si="65"/>
        <v>0</v>
      </c>
      <c r="C539" s="28">
        <f t="shared" si="61"/>
        <v>0</v>
      </c>
      <c r="D539" s="28" t="e">
        <f t="shared" si="66"/>
        <v>#DIV/0!</v>
      </c>
      <c r="E539" s="28" t="e">
        <f t="shared" si="77"/>
        <v>#DIV/0!</v>
      </c>
      <c r="F539" s="28" t="e">
        <f t="shared" si="74"/>
        <v>#DIV/0!</v>
      </c>
      <c r="G539" s="28" t="e">
        <f>Prices!P538-D539</f>
        <v>#DIV/0!</v>
      </c>
      <c r="H539" s="28" t="e">
        <f t="shared" si="62"/>
        <v>#DIV/0!</v>
      </c>
      <c r="I539" s="28" t="e">
        <f t="shared" si="63"/>
        <v>#DIV/0!</v>
      </c>
      <c r="J539" s="28" t="e">
        <f t="shared" si="64"/>
        <v>#DIV/0!</v>
      </c>
      <c r="AI539" s="26"/>
      <c r="AJ539" s="26"/>
      <c r="AK539" s="26"/>
      <c r="AL539" s="26"/>
      <c r="AM539" s="26"/>
      <c r="AN539" s="26"/>
      <c r="AO539" s="26"/>
      <c r="AP539" s="25">
        <v>42095</v>
      </c>
      <c r="AQ539" s="29">
        <v>0.81012272727272727</v>
      </c>
      <c r="AR539" s="26"/>
      <c r="AS539" s="26"/>
      <c r="AT539" s="26"/>
      <c r="AU539" s="26"/>
      <c r="AV539" s="26"/>
      <c r="BA539" s="26">
        <f t="shared" si="75"/>
        <v>4</v>
      </c>
      <c r="BB539" s="26">
        <f t="shared" si="76"/>
        <v>2015</v>
      </c>
      <c r="BC539" s="25" t="e" vm="1">
        <v>#REF!</v>
      </c>
      <c r="BD539" s="26" t="e" vm="1">
        <v>#REF!</v>
      </c>
      <c r="BE539" s="26"/>
      <c r="BF539" s="26" t="e" vm="2">
        <f t="shared" si="67"/>
        <v>#VALUE!</v>
      </c>
      <c r="BG539" s="26" t="e" vm="2">
        <f t="shared" si="68"/>
        <v>#VALUE!</v>
      </c>
      <c r="BH539" s="26"/>
      <c r="BI539" s="26"/>
      <c r="BJ539" s="21" t="e" vm="1">
        <v>#REF!</v>
      </c>
      <c r="BK539" s="26" t="e" vm="1">
        <v>#REF!</v>
      </c>
      <c r="BL539" s="26"/>
      <c r="BM539" t="e" vm="2">
        <f t="shared" si="69"/>
        <v>#VALUE!</v>
      </c>
      <c r="BN539" t="e" vm="2">
        <f t="shared" si="70"/>
        <v>#VALUE!</v>
      </c>
      <c r="BO539" s="26"/>
      <c r="BP539" s="26"/>
      <c r="BQ539" s="26"/>
      <c r="BR539" s="25">
        <v>41000</v>
      </c>
      <c r="BS539" s="26">
        <f t="shared" si="72"/>
        <v>4</v>
      </c>
      <c r="BT539" s="26">
        <f t="shared" si="73"/>
        <v>2012</v>
      </c>
      <c r="BU539" s="26" t="e">
        <f t="shared" si="71"/>
        <v>#DIV/0!</v>
      </c>
    </row>
    <row r="540" spans="1:73" x14ac:dyDescent="0.2">
      <c r="A540" s="25">
        <f>Prices!A539</f>
        <v>42125</v>
      </c>
      <c r="B540" s="28">
        <f t="shared" si="65"/>
        <v>0</v>
      </c>
      <c r="C540" s="28">
        <f t="shared" si="61"/>
        <v>0</v>
      </c>
      <c r="D540" s="28" t="e">
        <f t="shared" si="66"/>
        <v>#DIV/0!</v>
      </c>
      <c r="E540" s="28" t="e">
        <f t="shared" si="77"/>
        <v>#DIV/0!</v>
      </c>
      <c r="F540" s="28" t="e">
        <f t="shared" si="74"/>
        <v>#DIV/0!</v>
      </c>
      <c r="G540" s="28" t="e">
        <f>Prices!P539-D540</f>
        <v>#DIV/0!</v>
      </c>
      <c r="H540" s="28" t="e">
        <f t="shared" si="62"/>
        <v>#DIV/0!</v>
      </c>
      <c r="I540" s="28" t="e">
        <f t="shared" si="63"/>
        <v>#DIV/0!</v>
      </c>
      <c r="J540" s="28" t="e">
        <f t="shared" si="64"/>
        <v>#DIV/0!</v>
      </c>
      <c r="AI540" s="26"/>
      <c r="AJ540" s="26"/>
      <c r="AK540" s="26"/>
      <c r="AL540" s="26"/>
      <c r="AM540" s="26"/>
      <c r="AN540" s="26"/>
      <c r="AO540" s="26"/>
      <c r="AP540" s="25">
        <v>42125</v>
      </c>
      <c r="AQ540" s="29">
        <v>0.82096499999999994</v>
      </c>
      <c r="AR540" s="26"/>
      <c r="AS540" s="26"/>
      <c r="AT540" s="26"/>
      <c r="AU540" s="26"/>
      <c r="AV540" s="26"/>
      <c r="BA540" s="26">
        <f t="shared" si="75"/>
        <v>5</v>
      </c>
      <c r="BB540" s="26">
        <f t="shared" si="76"/>
        <v>2015</v>
      </c>
      <c r="BC540" s="25" t="e" vm="1">
        <v>#REF!</v>
      </c>
      <c r="BD540" s="26" t="e" vm="1">
        <v>#REF!</v>
      </c>
      <c r="BE540" s="26"/>
      <c r="BF540" s="26" t="e" vm="2">
        <f t="shared" si="67"/>
        <v>#VALUE!</v>
      </c>
      <c r="BG540" s="26" t="e" vm="2">
        <f t="shared" si="68"/>
        <v>#VALUE!</v>
      </c>
      <c r="BH540" s="26"/>
      <c r="BI540" s="26"/>
      <c r="BJ540" s="21" t="e" vm="1">
        <v>#REF!</v>
      </c>
      <c r="BK540" s="26" t="e" vm="1">
        <v>#REF!</v>
      </c>
      <c r="BL540" s="26"/>
      <c r="BM540" t="e" vm="2">
        <f t="shared" si="69"/>
        <v>#VALUE!</v>
      </c>
      <c r="BN540" t="e" vm="2">
        <f t="shared" si="70"/>
        <v>#VALUE!</v>
      </c>
      <c r="BO540" s="26"/>
      <c r="BP540" s="26"/>
      <c r="BQ540" s="26"/>
      <c r="BR540" s="25">
        <v>41030</v>
      </c>
      <c r="BS540" s="26">
        <f t="shared" si="72"/>
        <v>5</v>
      </c>
      <c r="BT540" s="26">
        <f t="shared" si="73"/>
        <v>2012</v>
      </c>
      <c r="BU540" s="26" t="e">
        <f t="shared" si="71"/>
        <v>#DIV/0!</v>
      </c>
    </row>
    <row r="541" spans="1:73" x14ac:dyDescent="0.2">
      <c r="A541" s="25">
        <f>Prices!A540</f>
        <v>42156</v>
      </c>
      <c r="B541" s="28">
        <f t="shared" si="65"/>
        <v>0</v>
      </c>
      <c r="C541" s="28">
        <f t="shared" si="61"/>
        <v>0</v>
      </c>
      <c r="D541" s="28" t="e">
        <f t="shared" si="66"/>
        <v>#DIV/0!</v>
      </c>
      <c r="E541" s="28" t="e">
        <f t="shared" si="77"/>
        <v>#DIV/0!</v>
      </c>
      <c r="F541" s="28" t="e">
        <f t="shared" si="74"/>
        <v>#DIV/0!</v>
      </c>
      <c r="G541" s="28" t="e">
        <f>Prices!P540-D541</f>
        <v>#DIV/0!</v>
      </c>
      <c r="H541" s="28" t="e">
        <f t="shared" si="62"/>
        <v>#DIV/0!</v>
      </c>
      <c r="I541" s="28" t="e">
        <f t="shared" si="63"/>
        <v>#DIV/0!</v>
      </c>
      <c r="J541" s="28" t="e">
        <f t="shared" si="64"/>
        <v>#DIV/0!</v>
      </c>
      <c r="AI541" s="26"/>
      <c r="AJ541" s="26"/>
      <c r="AK541" s="26"/>
      <c r="AL541" s="26"/>
      <c r="AM541" s="26"/>
      <c r="AN541" s="26"/>
      <c r="AO541" s="26"/>
      <c r="AP541" s="25">
        <v>42156</v>
      </c>
      <c r="AQ541" s="29">
        <v>0.80879545454545476</v>
      </c>
      <c r="AR541" s="26"/>
      <c r="AS541" s="26"/>
      <c r="AT541" s="26"/>
      <c r="AU541" s="26"/>
      <c r="AV541" s="26"/>
      <c r="BA541" s="26">
        <f t="shared" si="75"/>
        <v>6</v>
      </c>
      <c r="BB541" s="26">
        <f t="shared" si="76"/>
        <v>2015</v>
      </c>
      <c r="BC541" s="25" t="e" vm="1">
        <v>#REF!</v>
      </c>
      <c r="BD541" s="26" t="e" vm="1">
        <v>#REF!</v>
      </c>
      <c r="BE541" s="26"/>
      <c r="BF541" s="26" t="e" vm="2">
        <f t="shared" si="67"/>
        <v>#VALUE!</v>
      </c>
      <c r="BG541" s="26" t="e" vm="2">
        <f t="shared" si="68"/>
        <v>#VALUE!</v>
      </c>
      <c r="BH541" s="26"/>
      <c r="BI541" s="26"/>
      <c r="BJ541" s="21" t="e" vm="1">
        <v>#REF!</v>
      </c>
      <c r="BK541" s="26" t="e" vm="1">
        <v>#REF!</v>
      </c>
      <c r="BL541" s="26"/>
      <c r="BM541" t="e" vm="2">
        <f t="shared" si="69"/>
        <v>#VALUE!</v>
      </c>
      <c r="BN541" t="e" vm="2">
        <f t="shared" si="70"/>
        <v>#VALUE!</v>
      </c>
      <c r="BO541" s="26"/>
      <c r="BP541" s="26"/>
      <c r="BQ541" s="26"/>
      <c r="BR541" s="25">
        <v>41061</v>
      </c>
      <c r="BS541" s="26">
        <f t="shared" si="72"/>
        <v>6</v>
      </c>
      <c r="BT541" s="26">
        <f t="shared" si="73"/>
        <v>2012</v>
      </c>
      <c r="BU541" s="26" t="e">
        <f t="shared" si="71"/>
        <v>#DIV/0!</v>
      </c>
    </row>
    <row r="542" spans="1:73" x14ac:dyDescent="0.2">
      <c r="A542" s="25">
        <f>Prices!A541</f>
        <v>42186</v>
      </c>
      <c r="B542" s="28">
        <f t="shared" si="65"/>
        <v>0</v>
      </c>
      <c r="C542" s="28">
        <f t="shared" si="61"/>
        <v>0</v>
      </c>
      <c r="D542" s="28" t="e">
        <f t="shared" si="66"/>
        <v>#DIV/0!</v>
      </c>
      <c r="E542" s="28" t="e">
        <f t="shared" si="77"/>
        <v>#DIV/0!</v>
      </c>
      <c r="F542" s="28" t="e">
        <f t="shared" si="74"/>
        <v>#DIV/0!</v>
      </c>
      <c r="G542" s="28" t="e">
        <f>Prices!P541-D542</f>
        <v>#DIV/0!</v>
      </c>
      <c r="H542" s="28" t="e">
        <f t="shared" si="62"/>
        <v>#DIV/0!</v>
      </c>
      <c r="I542" s="28" t="e">
        <f t="shared" si="63"/>
        <v>#DIV/0!</v>
      </c>
      <c r="J542" s="28" t="e">
        <f t="shared" si="64"/>
        <v>#DIV/0!</v>
      </c>
      <c r="AI542" s="26"/>
      <c r="AJ542" s="26"/>
      <c r="AK542" s="26"/>
      <c r="AL542" s="26"/>
      <c r="AM542" s="26"/>
      <c r="AN542" s="26"/>
      <c r="AO542" s="26"/>
      <c r="AP542" s="25">
        <v>42186</v>
      </c>
      <c r="AQ542" s="29">
        <v>0.77655000000000018</v>
      </c>
      <c r="AR542" s="26"/>
      <c r="AS542" s="26"/>
      <c r="AT542" s="26"/>
      <c r="AU542" s="26"/>
      <c r="AV542" s="26"/>
      <c r="BA542" s="26">
        <f t="shared" si="75"/>
        <v>7</v>
      </c>
      <c r="BB542" s="26">
        <f t="shared" si="76"/>
        <v>2015</v>
      </c>
      <c r="BC542" s="25" t="e" vm="1">
        <v>#REF!</v>
      </c>
      <c r="BD542" s="26" t="e" vm="1">
        <v>#REF!</v>
      </c>
      <c r="BE542" s="26"/>
      <c r="BF542" s="26" t="e" vm="2">
        <f t="shared" si="67"/>
        <v>#VALUE!</v>
      </c>
      <c r="BG542" s="26" t="e" vm="2">
        <f t="shared" si="68"/>
        <v>#VALUE!</v>
      </c>
      <c r="BH542" s="26"/>
      <c r="BI542" s="26"/>
      <c r="BJ542" s="21" t="e" vm="1">
        <v>#REF!</v>
      </c>
      <c r="BK542" s="26" t="e" vm="1">
        <v>#REF!</v>
      </c>
      <c r="BL542" s="26"/>
      <c r="BM542" t="e" vm="2">
        <f t="shared" si="69"/>
        <v>#VALUE!</v>
      </c>
      <c r="BN542" t="e" vm="2">
        <f t="shared" si="70"/>
        <v>#VALUE!</v>
      </c>
      <c r="BO542" s="26"/>
      <c r="BP542" s="26"/>
      <c r="BQ542" s="26"/>
      <c r="BR542" s="25">
        <v>41091</v>
      </c>
      <c r="BS542" s="26">
        <f t="shared" si="72"/>
        <v>7</v>
      </c>
      <c r="BT542" s="26">
        <f t="shared" si="73"/>
        <v>2012</v>
      </c>
      <c r="BU542" s="26" t="e">
        <f t="shared" si="71"/>
        <v>#DIV/0!</v>
      </c>
    </row>
    <row r="543" spans="1:73" x14ac:dyDescent="0.2">
      <c r="A543" s="25">
        <f>Prices!A542</f>
        <v>42217</v>
      </c>
      <c r="B543" s="28">
        <f t="shared" si="65"/>
        <v>0</v>
      </c>
      <c r="C543" s="28">
        <f t="shared" si="61"/>
        <v>0</v>
      </c>
      <c r="D543" s="28" t="e">
        <f t="shared" si="66"/>
        <v>#DIV/0!</v>
      </c>
      <c r="E543" s="28" t="e">
        <f t="shared" si="77"/>
        <v>#DIV/0!</v>
      </c>
      <c r="F543" s="28" t="e">
        <f t="shared" si="74"/>
        <v>#DIV/0!</v>
      </c>
      <c r="G543" s="28" t="e">
        <f>Prices!P542-D543</f>
        <v>#DIV/0!</v>
      </c>
      <c r="H543" s="28" t="e">
        <f t="shared" si="62"/>
        <v>#DIV/0!</v>
      </c>
      <c r="I543" s="28" t="e">
        <f t="shared" si="63"/>
        <v>#DIV/0!</v>
      </c>
      <c r="J543" s="28" t="e">
        <f t="shared" si="64"/>
        <v>#DIV/0!</v>
      </c>
      <c r="AI543" s="26"/>
      <c r="AJ543" s="26"/>
      <c r="AK543" s="26"/>
      <c r="AL543" s="26"/>
      <c r="AM543" s="26"/>
      <c r="AN543" s="26"/>
      <c r="AO543" s="26"/>
      <c r="AP543" s="25">
        <v>42217</v>
      </c>
      <c r="AQ543" s="29">
        <v>0.7605238095238096</v>
      </c>
      <c r="AR543" s="26"/>
      <c r="AS543" s="26"/>
      <c r="AT543" s="26"/>
      <c r="AU543" s="26"/>
      <c r="AV543" s="26"/>
      <c r="BA543" s="26">
        <f t="shared" si="75"/>
        <v>8</v>
      </c>
      <c r="BB543" s="26">
        <f t="shared" si="76"/>
        <v>2015</v>
      </c>
      <c r="BC543" s="25" t="e" vm="1">
        <v>#REF!</v>
      </c>
      <c r="BD543" s="26" t="e" vm="1">
        <v>#REF!</v>
      </c>
      <c r="BE543" s="26"/>
      <c r="BF543" s="26" t="e" vm="2">
        <f t="shared" si="67"/>
        <v>#VALUE!</v>
      </c>
      <c r="BG543" s="26" t="e" vm="2">
        <f t="shared" si="68"/>
        <v>#VALUE!</v>
      </c>
      <c r="BH543" s="26"/>
      <c r="BI543" s="26"/>
      <c r="BJ543" s="21" t="e" vm="1">
        <v>#REF!</v>
      </c>
      <c r="BK543" s="26" t="e" vm="1">
        <v>#REF!</v>
      </c>
      <c r="BL543" s="26"/>
      <c r="BM543" t="e" vm="2">
        <f t="shared" si="69"/>
        <v>#VALUE!</v>
      </c>
      <c r="BN543" t="e" vm="2">
        <f t="shared" si="70"/>
        <v>#VALUE!</v>
      </c>
      <c r="BO543" s="26"/>
      <c r="BP543" s="26"/>
      <c r="BQ543" s="26"/>
      <c r="BR543" s="25">
        <v>41122</v>
      </c>
      <c r="BS543" s="26">
        <f t="shared" si="72"/>
        <v>8</v>
      </c>
      <c r="BT543" s="26">
        <f t="shared" si="73"/>
        <v>2012</v>
      </c>
      <c r="BU543" s="26" t="e">
        <f t="shared" si="71"/>
        <v>#DIV/0!</v>
      </c>
    </row>
    <row r="544" spans="1:73" x14ac:dyDescent="0.2">
      <c r="A544" s="25">
        <f>Prices!A543</f>
        <v>42248</v>
      </c>
      <c r="B544" s="28">
        <f t="shared" si="65"/>
        <v>0</v>
      </c>
      <c r="C544" s="28">
        <f t="shared" si="61"/>
        <v>0</v>
      </c>
      <c r="D544" s="28" t="e">
        <f t="shared" si="66"/>
        <v>#DIV/0!</v>
      </c>
      <c r="E544" s="28" t="e">
        <f t="shared" si="77"/>
        <v>#DIV/0!</v>
      </c>
      <c r="F544" s="28" t="e">
        <f t="shared" si="74"/>
        <v>#DIV/0!</v>
      </c>
      <c r="G544" s="28" t="e">
        <f>Prices!P543-D544</f>
        <v>#DIV/0!</v>
      </c>
      <c r="H544" s="28" t="e">
        <f t="shared" si="62"/>
        <v>#DIV/0!</v>
      </c>
      <c r="I544" s="28" t="e">
        <f t="shared" si="63"/>
        <v>#DIV/0!</v>
      </c>
      <c r="J544" s="28" t="e">
        <f t="shared" si="64"/>
        <v>#DIV/0!</v>
      </c>
      <c r="AI544" s="26"/>
      <c r="AJ544" s="26"/>
      <c r="AK544" s="26"/>
      <c r="AL544" s="26"/>
      <c r="AM544" s="26"/>
      <c r="AN544" s="26"/>
      <c r="AO544" s="26"/>
      <c r="AP544" s="25">
        <v>42248</v>
      </c>
      <c r="AQ544" s="29">
        <v>0.75407619047619034</v>
      </c>
      <c r="AR544" s="26"/>
      <c r="AS544" s="26"/>
      <c r="AT544" s="26"/>
      <c r="AU544" s="26"/>
      <c r="AV544" s="26"/>
      <c r="BA544" s="26">
        <f t="shared" si="75"/>
        <v>9</v>
      </c>
      <c r="BB544" s="26">
        <f t="shared" si="76"/>
        <v>2015</v>
      </c>
      <c r="BC544" s="25" t="e" vm="1">
        <v>#REF!</v>
      </c>
      <c r="BD544" s="26" t="e" vm="1">
        <v>#REF!</v>
      </c>
      <c r="BE544" s="26"/>
      <c r="BF544" s="26" t="e" vm="2">
        <f t="shared" si="67"/>
        <v>#VALUE!</v>
      </c>
      <c r="BG544" s="26" t="e" vm="2">
        <f t="shared" si="68"/>
        <v>#VALUE!</v>
      </c>
      <c r="BH544" s="26"/>
      <c r="BI544" s="26"/>
      <c r="BJ544" s="21" t="e" vm="1">
        <v>#REF!</v>
      </c>
      <c r="BK544" s="26" t="e" vm="1">
        <v>#REF!</v>
      </c>
      <c r="BL544" s="26"/>
      <c r="BM544" t="e" vm="2">
        <f t="shared" si="69"/>
        <v>#VALUE!</v>
      </c>
      <c r="BN544" t="e" vm="2">
        <f t="shared" si="70"/>
        <v>#VALUE!</v>
      </c>
      <c r="BO544" s="26"/>
      <c r="BP544" s="26"/>
      <c r="BQ544" s="26"/>
      <c r="BR544" s="25">
        <v>41153</v>
      </c>
      <c r="BS544" s="26">
        <f t="shared" si="72"/>
        <v>9</v>
      </c>
      <c r="BT544" s="26">
        <f t="shared" si="73"/>
        <v>2012</v>
      </c>
      <c r="BU544" s="26" t="e">
        <f t="shared" si="71"/>
        <v>#DIV/0!</v>
      </c>
    </row>
    <row r="545" spans="1:73" x14ac:dyDescent="0.2">
      <c r="A545" s="25">
        <f>Prices!A544</f>
        <v>42278</v>
      </c>
      <c r="B545" s="28">
        <f t="shared" si="65"/>
        <v>0</v>
      </c>
      <c r="C545" s="28">
        <f t="shared" si="61"/>
        <v>0</v>
      </c>
      <c r="D545" s="28" t="e">
        <f t="shared" si="66"/>
        <v>#DIV/0!</v>
      </c>
      <c r="E545" s="28" t="e">
        <f t="shared" si="77"/>
        <v>#DIV/0!</v>
      </c>
      <c r="F545" s="28" t="e">
        <f t="shared" si="74"/>
        <v>#DIV/0!</v>
      </c>
      <c r="G545" s="28" t="e">
        <f>Prices!P544-D545</f>
        <v>#DIV/0!</v>
      </c>
      <c r="H545" s="28" t="e">
        <f t="shared" si="62"/>
        <v>#DIV/0!</v>
      </c>
      <c r="I545" s="28" t="e">
        <f t="shared" si="63"/>
        <v>#DIV/0!</v>
      </c>
      <c r="J545" s="28" t="e">
        <f t="shared" si="64"/>
        <v>#DIV/0!</v>
      </c>
      <c r="AI545" s="26"/>
      <c r="AJ545" s="26"/>
      <c r="AK545" s="26"/>
      <c r="AL545" s="26"/>
      <c r="AM545" s="26"/>
      <c r="AN545" s="26"/>
      <c r="AO545" s="26"/>
      <c r="AP545" s="25">
        <v>42278</v>
      </c>
      <c r="AQ545" s="29">
        <v>0.7649454545454546</v>
      </c>
      <c r="AR545" s="26"/>
      <c r="AS545" s="26"/>
      <c r="AT545" s="26"/>
      <c r="AU545" s="26"/>
      <c r="AV545" s="26"/>
      <c r="BA545" s="26">
        <f t="shared" si="75"/>
        <v>10</v>
      </c>
      <c r="BB545" s="26">
        <f t="shared" si="76"/>
        <v>2015</v>
      </c>
      <c r="BC545" s="25" t="e" vm="1">
        <v>#REF!</v>
      </c>
      <c r="BD545" s="26" t="e" vm="1">
        <v>#REF!</v>
      </c>
      <c r="BE545" s="26"/>
      <c r="BF545" s="26" t="e" vm="2">
        <f t="shared" si="67"/>
        <v>#VALUE!</v>
      </c>
      <c r="BG545" s="26" t="e" vm="2">
        <f t="shared" si="68"/>
        <v>#VALUE!</v>
      </c>
      <c r="BH545" s="26"/>
      <c r="BI545" s="26"/>
      <c r="BJ545" s="21" t="e" vm="1">
        <v>#REF!</v>
      </c>
      <c r="BK545" s="26" t="e" vm="1">
        <v>#REF!</v>
      </c>
      <c r="BL545" s="26"/>
      <c r="BM545" t="e" vm="2">
        <f t="shared" si="69"/>
        <v>#VALUE!</v>
      </c>
      <c r="BN545" t="e" vm="2">
        <f t="shared" si="70"/>
        <v>#VALUE!</v>
      </c>
      <c r="BO545" s="26"/>
      <c r="BP545" s="26"/>
      <c r="BQ545" s="26"/>
      <c r="BR545" s="25">
        <v>41183</v>
      </c>
      <c r="BS545" s="26">
        <f t="shared" si="72"/>
        <v>10</v>
      </c>
      <c r="BT545" s="26">
        <f t="shared" si="73"/>
        <v>2012</v>
      </c>
      <c r="BU545" s="26" t="e">
        <f t="shared" si="71"/>
        <v>#DIV/0!</v>
      </c>
    </row>
    <row r="546" spans="1:73" x14ac:dyDescent="0.2">
      <c r="A546" s="25">
        <f>Prices!A545</f>
        <v>42309</v>
      </c>
      <c r="B546" s="28">
        <f t="shared" si="65"/>
        <v>0</v>
      </c>
      <c r="C546" s="28">
        <f t="shared" si="61"/>
        <v>0</v>
      </c>
      <c r="D546" s="28" t="e">
        <f t="shared" si="66"/>
        <v>#DIV/0!</v>
      </c>
      <c r="E546" s="28" t="e">
        <f t="shared" si="77"/>
        <v>#DIV/0!</v>
      </c>
      <c r="F546" s="28" t="e">
        <f t="shared" si="74"/>
        <v>#DIV/0!</v>
      </c>
      <c r="G546" s="28" t="e">
        <f>Prices!P545-D546</f>
        <v>#DIV/0!</v>
      </c>
      <c r="H546" s="28" t="e">
        <f t="shared" si="62"/>
        <v>#DIV/0!</v>
      </c>
      <c r="I546" s="28" t="e">
        <f t="shared" si="63"/>
        <v>#DIV/0!</v>
      </c>
      <c r="J546" s="28" t="e">
        <f t="shared" si="64"/>
        <v>#DIV/0!</v>
      </c>
      <c r="AI546" s="26"/>
      <c r="AJ546" s="26"/>
      <c r="AK546" s="26"/>
      <c r="AL546" s="26"/>
      <c r="AM546" s="26"/>
      <c r="AN546" s="26"/>
      <c r="AO546" s="26"/>
      <c r="AP546" s="25">
        <v>42309</v>
      </c>
      <c r="AQ546" s="29">
        <v>0.75318999999999992</v>
      </c>
      <c r="AR546" s="26"/>
      <c r="AS546" s="26"/>
      <c r="AT546" s="26"/>
      <c r="AU546" s="26"/>
      <c r="AV546" s="26"/>
      <c r="BA546" s="26">
        <f t="shared" si="75"/>
        <v>11</v>
      </c>
      <c r="BB546" s="26">
        <f t="shared" si="76"/>
        <v>2015</v>
      </c>
      <c r="BC546" s="25" t="e" vm="1">
        <v>#REF!</v>
      </c>
      <c r="BD546" s="26" t="e" vm="1">
        <v>#REF!</v>
      </c>
      <c r="BE546" s="26"/>
      <c r="BF546" s="26" t="e" vm="2">
        <f t="shared" si="67"/>
        <v>#VALUE!</v>
      </c>
      <c r="BG546" s="26" t="e" vm="2">
        <f t="shared" si="68"/>
        <v>#VALUE!</v>
      </c>
      <c r="BH546" s="26"/>
      <c r="BI546" s="26"/>
      <c r="BJ546" s="21" t="e" vm="1">
        <v>#REF!</v>
      </c>
      <c r="BK546" s="26" t="e" vm="1">
        <v>#REF!</v>
      </c>
      <c r="BL546" s="26"/>
      <c r="BM546" t="e" vm="2">
        <f t="shared" si="69"/>
        <v>#VALUE!</v>
      </c>
      <c r="BN546" t="e" vm="2">
        <f t="shared" si="70"/>
        <v>#VALUE!</v>
      </c>
      <c r="BO546" s="26"/>
      <c r="BP546" s="26"/>
      <c r="BQ546" s="26"/>
      <c r="BR546" s="25">
        <v>41214</v>
      </c>
      <c r="BS546" s="26">
        <f t="shared" si="72"/>
        <v>11</v>
      </c>
      <c r="BT546" s="26">
        <f t="shared" si="73"/>
        <v>2012</v>
      </c>
      <c r="BU546" s="26" t="e">
        <f t="shared" si="71"/>
        <v>#DIV/0!</v>
      </c>
    </row>
    <row r="547" spans="1:73" x14ac:dyDescent="0.2">
      <c r="A547" s="25">
        <f>Prices!A546</f>
        <v>42339</v>
      </c>
      <c r="B547" s="28">
        <f t="shared" si="65"/>
        <v>0</v>
      </c>
      <c r="C547" s="28">
        <f t="shared" si="61"/>
        <v>0</v>
      </c>
      <c r="D547" s="28" t="e">
        <f t="shared" si="66"/>
        <v>#DIV/0!</v>
      </c>
      <c r="E547" s="28" t="e">
        <f t="shared" si="77"/>
        <v>#DIV/0!</v>
      </c>
      <c r="F547" s="28" t="e">
        <f t="shared" si="74"/>
        <v>#DIV/0!</v>
      </c>
      <c r="G547" s="28" t="e">
        <f>Prices!P546-D547</f>
        <v>#DIV/0!</v>
      </c>
      <c r="H547" s="28" t="e">
        <f t="shared" si="62"/>
        <v>#DIV/0!</v>
      </c>
      <c r="I547" s="28" t="e">
        <f t="shared" si="63"/>
        <v>#DIV/0!</v>
      </c>
      <c r="J547" s="28" t="e">
        <f t="shared" si="64"/>
        <v>#DIV/0!</v>
      </c>
      <c r="AI547" s="26"/>
      <c r="AJ547" s="26"/>
      <c r="AK547" s="26"/>
      <c r="AL547" s="26"/>
      <c r="AM547" s="26"/>
      <c r="AN547" s="26"/>
      <c r="AO547" s="26"/>
      <c r="AP547" s="25">
        <v>42339</v>
      </c>
      <c r="AQ547" s="29">
        <v>0.72948181818181801</v>
      </c>
      <c r="AR547" s="26"/>
      <c r="AS547" s="26"/>
      <c r="AT547" s="26"/>
      <c r="AU547" s="26"/>
      <c r="AV547" s="26"/>
      <c r="BA547" s="26">
        <f t="shared" si="75"/>
        <v>12</v>
      </c>
      <c r="BB547" s="26">
        <f t="shared" si="76"/>
        <v>2015</v>
      </c>
      <c r="BC547" s="25" t="e" vm="1">
        <v>#REF!</v>
      </c>
      <c r="BD547" s="26" t="e" vm="1">
        <v>#REF!</v>
      </c>
      <c r="BE547" s="26"/>
      <c r="BF547" s="26" t="e" vm="2">
        <f t="shared" si="67"/>
        <v>#VALUE!</v>
      </c>
      <c r="BG547" s="26" t="e" vm="2">
        <f t="shared" si="68"/>
        <v>#VALUE!</v>
      </c>
      <c r="BH547" s="26"/>
      <c r="BI547" s="26"/>
      <c r="BJ547" s="21" t="e" vm="1">
        <v>#REF!</v>
      </c>
      <c r="BK547" s="26" t="e" vm="1">
        <v>#REF!</v>
      </c>
      <c r="BL547" s="26"/>
      <c r="BM547" t="e" vm="2">
        <f t="shared" si="69"/>
        <v>#VALUE!</v>
      </c>
      <c r="BN547" t="e" vm="2">
        <f t="shared" si="70"/>
        <v>#VALUE!</v>
      </c>
      <c r="BO547" s="26"/>
      <c r="BP547" s="26"/>
      <c r="BQ547" s="26"/>
      <c r="BR547" s="25">
        <v>41244</v>
      </c>
      <c r="BS547" s="26">
        <f t="shared" si="72"/>
        <v>12</v>
      </c>
      <c r="BT547" s="26">
        <f t="shared" si="73"/>
        <v>2012</v>
      </c>
      <c r="BU547" s="26" t="e">
        <f t="shared" si="71"/>
        <v>#DIV/0!</v>
      </c>
    </row>
    <row r="548" spans="1:73" x14ac:dyDescent="0.2">
      <c r="A548" s="25">
        <f>Prices!A547</f>
        <v>42370</v>
      </c>
      <c r="B548" s="28">
        <f t="shared" si="65"/>
        <v>0</v>
      </c>
      <c r="C548" s="28">
        <f t="shared" si="61"/>
        <v>0</v>
      </c>
      <c r="D548" s="28" t="e">
        <f t="shared" si="66"/>
        <v>#DIV/0!</v>
      </c>
      <c r="E548" s="28" t="e">
        <f t="shared" si="77"/>
        <v>#DIV/0!</v>
      </c>
      <c r="F548" s="28" t="e">
        <f t="shared" si="74"/>
        <v>#DIV/0!</v>
      </c>
      <c r="G548" s="28" t="e">
        <f>Prices!P547-D548</f>
        <v>#DIV/0!</v>
      </c>
      <c r="H548" s="28" t="e">
        <f t="shared" si="62"/>
        <v>#DIV/0!</v>
      </c>
      <c r="I548" s="28" t="e">
        <f t="shared" si="63"/>
        <v>#DIV/0!</v>
      </c>
      <c r="J548" s="28" t="e">
        <f t="shared" si="64"/>
        <v>#DIV/0!</v>
      </c>
      <c r="AI548" s="26"/>
      <c r="AJ548" s="26"/>
      <c r="AK548" s="26"/>
      <c r="AL548" s="26"/>
      <c r="AM548" s="26"/>
      <c r="AN548" s="26"/>
      <c r="AO548" s="26"/>
      <c r="AP548" s="25">
        <v>42370</v>
      </c>
      <c r="AQ548" s="29">
        <v>0.70379473684210525</v>
      </c>
      <c r="AR548" s="26"/>
      <c r="AS548" s="26"/>
      <c r="AT548" s="26"/>
      <c r="AU548" s="26"/>
      <c r="AV548" s="26"/>
      <c r="BA548" s="26">
        <f t="shared" si="75"/>
        <v>1</v>
      </c>
      <c r="BB548" s="26">
        <f t="shared" si="76"/>
        <v>2016</v>
      </c>
      <c r="BC548" s="25" t="e" vm="1">
        <v>#REF!</v>
      </c>
      <c r="BD548" s="26" t="e" vm="1">
        <v>#REF!</v>
      </c>
      <c r="BE548" s="26"/>
      <c r="BF548" s="26" t="e" vm="2">
        <f t="shared" si="67"/>
        <v>#VALUE!</v>
      </c>
      <c r="BG548" s="26" t="e" vm="2">
        <f t="shared" si="68"/>
        <v>#VALUE!</v>
      </c>
      <c r="BH548" s="26"/>
      <c r="BI548" s="26"/>
      <c r="BJ548" s="21" t="e" vm="1">
        <v>#REF!</v>
      </c>
      <c r="BK548" s="26" t="e" vm="1">
        <v>#REF!</v>
      </c>
      <c r="BL548" s="26"/>
      <c r="BM548" t="e" vm="2">
        <f t="shared" si="69"/>
        <v>#VALUE!</v>
      </c>
      <c r="BN548" t="e" vm="2">
        <f t="shared" si="70"/>
        <v>#VALUE!</v>
      </c>
      <c r="BO548" s="26"/>
      <c r="BP548" s="26"/>
      <c r="BQ548" s="26"/>
      <c r="BR548" s="25">
        <v>41275</v>
      </c>
      <c r="BS548" s="26">
        <f t="shared" si="72"/>
        <v>1</v>
      </c>
      <c r="BT548" s="26">
        <f t="shared" si="73"/>
        <v>2013</v>
      </c>
      <c r="BU548" s="26" t="e">
        <f t="shared" si="71"/>
        <v>#DIV/0!</v>
      </c>
    </row>
    <row r="549" spans="1:73" x14ac:dyDescent="0.2">
      <c r="A549" s="25">
        <f>Prices!A548</f>
        <v>42401</v>
      </c>
      <c r="B549" s="28">
        <f t="shared" si="65"/>
        <v>0</v>
      </c>
      <c r="C549" s="28">
        <f t="shared" si="61"/>
        <v>0</v>
      </c>
      <c r="D549" s="28" t="e">
        <f t="shared" si="66"/>
        <v>#DIV/0!</v>
      </c>
      <c r="E549" s="28" t="e">
        <f t="shared" si="77"/>
        <v>#DIV/0!</v>
      </c>
      <c r="F549" s="28" t="e">
        <f t="shared" si="74"/>
        <v>#DIV/0!</v>
      </c>
      <c r="G549" s="28" t="e">
        <f>Prices!P548-D549</f>
        <v>#DIV/0!</v>
      </c>
      <c r="H549" s="28" t="e">
        <f t="shared" si="62"/>
        <v>#DIV/0!</v>
      </c>
      <c r="I549" s="28" t="e">
        <f t="shared" si="63"/>
        <v>#DIV/0!</v>
      </c>
      <c r="J549" s="28" t="e">
        <f t="shared" si="64"/>
        <v>#DIV/0!</v>
      </c>
      <c r="AI549" s="26"/>
      <c r="AJ549" s="26"/>
      <c r="AK549" s="26"/>
      <c r="AL549" s="26"/>
      <c r="AM549" s="26"/>
      <c r="AN549" s="26"/>
      <c r="AO549" s="26"/>
      <c r="AP549" s="25">
        <v>42401</v>
      </c>
      <c r="AQ549" s="29">
        <v>0.72540500000000008</v>
      </c>
      <c r="AR549" s="26"/>
      <c r="AS549" s="26"/>
      <c r="AT549" s="26"/>
      <c r="AU549" s="26"/>
      <c r="AV549" s="26"/>
      <c r="BA549" s="26">
        <f t="shared" si="75"/>
        <v>2</v>
      </c>
      <c r="BB549" s="26">
        <f t="shared" si="76"/>
        <v>2016</v>
      </c>
      <c r="BC549" s="25" t="e" vm="1">
        <v>#REF!</v>
      </c>
      <c r="BD549" s="26" t="e" vm="1">
        <v>#REF!</v>
      </c>
      <c r="BE549" s="26"/>
      <c r="BF549" s="26" t="e" vm="2">
        <f t="shared" si="67"/>
        <v>#VALUE!</v>
      </c>
      <c r="BG549" s="26" t="e" vm="2">
        <f t="shared" si="68"/>
        <v>#VALUE!</v>
      </c>
      <c r="BH549" s="26"/>
      <c r="BI549" s="26"/>
      <c r="BJ549" s="21" t="e" vm="1">
        <v>#REF!</v>
      </c>
      <c r="BK549" s="26" t="e" vm="1">
        <v>#REF!</v>
      </c>
      <c r="BL549" s="26"/>
      <c r="BM549" t="e" vm="2">
        <f t="shared" si="69"/>
        <v>#VALUE!</v>
      </c>
      <c r="BN549" t="e" vm="2">
        <f t="shared" si="70"/>
        <v>#VALUE!</v>
      </c>
      <c r="BO549" s="26"/>
      <c r="BP549" s="26"/>
      <c r="BQ549" s="26"/>
      <c r="BR549" s="25">
        <v>41306</v>
      </c>
      <c r="BS549" s="26">
        <f t="shared" si="72"/>
        <v>2</v>
      </c>
      <c r="BT549" s="26">
        <f t="shared" si="73"/>
        <v>2013</v>
      </c>
      <c r="BU549" s="26" t="e">
        <f t="shared" si="71"/>
        <v>#DIV/0!</v>
      </c>
    </row>
    <row r="550" spans="1:73" x14ac:dyDescent="0.2">
      <c r="A550" s="25">
        <f>Prices!A549</f>
        <v>42430</v>
      </c>
      <c r="B550" s="28">
        <f t="shared" si="65"/>
        <v>0</v>
      </c>
      <c r="C550" s="28">
        <f t="shared" si="61"/>
        <v>0</v>
      </c>
      <c r="D550" s="28" t="e">
        <f t="shared" si="66"/>
        <v>#DIV/0!</v>
      </c>
      <c r="E550" s="28" t="e">
        <f t="shared" si="77"/>
        <v>#DIV/0!</v>
      </c>
      <c r="F550" s="28" t="e">
        <f t="shared" si="74"/>
        <v>#DIV/0!</v>
      </c>
      <c r="G550" s="28" t="e">
        <f>Prices!P549-D550</f>
        <v>#DIV/0!</v>
      </c>
      <c r="H550" s="28" t="e">
        <f t="shared" si="62"/>
        <v>#DIV/0!</v>
      </c>
      <c r="I550" s="28" t="e">
        <f t="shared" si="63"/>
        <v>#DIV/0!</v>
      </c>
      <c r="J550" s="28" t="e">
        <f t="shared" si="64"/>
        <v>#DIV/0!</v>
      </c>
      <c r="AI550" s="26"/>
      <c r="AJ550" s="26"/>
      <c r="AK550" s="26"/>
      <c r="AL550" s="26"/>
      <c r="AM550" s="26"/>
      <c r="AN550" s="26"/>
      <c r="AO550" s="26"/>
      <c r="AP550" s="25">
        <v>42430</v>
      </c>
      <c r="AQ550" s="29">
        <v>0.75710909090909084</v>
      </c>
      <c r="AR550" s="26"/>
      <c r="AS550" s="26"/>
      <c r="AT550" s="26"/>
      <c r="AU550" s="26"/>
      <c r="AV550" s="26"/>
      <c r="BA550" s="26">
        <f t="shared" si="75"/>
        <v>3</v>
      </c>
      <c r="BB550" s="26">
        <f t="shared" si="76"/>
        <v>2016</v>
      </c>
      <c r="BC550" s="25" t="e" vm="1">
        <v>#REF!</v>
      </c>
      <c r="BD550" s="26" t="e" vm="1">
        <v>#REF!</v>
      </c>
      <c r="BE550" s="26"/>
      <c r="BF550" s="26" t="e" vm="2">
        <f t="shared" si="67"/>
        <v>#VALUE!</v>
      </c>
      <c r="BG550" s="26" t="e" vm="2">
        <f t="shared" si="68"/>
        <v>#VALUE!</v>
      </c>
      <c r="BH550" s="26"/>
      <c r="BI550" s="26"/>
      <c r="BJ550" s="21" t="e" vm="1">
        <v>#REF!</v>
      </c>
      <c r="BK550" s="26" t="e" vm="1">
        <v>#REF!</v>
      </c>
      <c r="BL550" s="26"/>
      <c r="BM550" t="e" vm="2">
        <f t="shared" si="69"/>
        <v>#VALUE!</v>
      </c>
      <c r="BN550" t="e" vm="2">
        <f t="shared" si="70"/>
        <v>#VALUE!</v>
      </c>
      <c r="BO550" s="26"/>
      <c r="BP550" s="26"/>
      <c r="BQ550" s="26"/>
      <c r="BR550" s="25">
        <v>41334</v>
      </c>
      <c r="BS550" s="26">
        <f t="shared" si="72"/>
        <v>3</v>
      </c>
      <c r="BT550" s="26">
        <f t="shared" si="73"/>
        <v>2013</v>
      </c>
      <c r="BU550" s="26" t="e">
        <f t="shared" si="71"/>
        <v>#DIV/0!</v>
      </c>
    </row>
    <row r="551" spans="1:73" x14ac:dyDescent="0.2">
      <c r="A551" s="25">
        <f>Prices!A550</f>
        <v>42461</v>
      </c>
      <c r="B551" s="28">
        <f t="shared" si="65"/>
        <v>0</v>
      </c>
      <c r="C551" s="28">
        <f t="shared" si="61"/>
        <v>0</v>
      </c>
      <c r="D551" s="28" t="e">
        <f t="shared" si="66"/>
        <v>#DIV/0!</v>
      </c>
      <c r="E551" s="28" t="e">
        <f t="shared" si="77"/>
        <v>#DIV/0!</v>
      </c>
      <c r="F551" s="28" t="e">
        <f t="shared" si="74"/>
        <v>#DIV/0!</v>
      </c>
      <c r="G551" s="28" t="e">
        <f>Prices!P550-D551</f>
        <v>#DIV/0!</v>
      </c>
      <c r="H551" s="28" t="e">
        <f t="shared" si="62"/>
        <v>#DIV/0!</v>
      </c>
      <c r="I551" s="28" t="e">
        <f t="shared" si="63"/>
        <v>#DIV/0!</v>
      </c>
      <c r="J551" s="28" t="e">
        <f t="shared" si="64"/>
        <v>#DIV/0!</v>
      </c>
      <c r="AI551" s="26"/>
      <c r="AJ551" s="26"/>
      <c r="AK551" s="26"/>
      <c r="AL551" s="26"/>
      <c r="AM551" s="26"/>
      <c r="AN551" s="26"/>
      <c r="AO551" s="26"/>
      <c r="AP551" s="25">
        <v>42461</v>
      </c>
      <c r="AQ551" s="29">
        <v>0.78055714285714284</v>
      </c>
      <c r="AR551" s="26"/>
      <c r="AS551" s="26"/>
      <c r="AT551" s="26"/>
      <c r="AU551" s="26"/>
      <c r="AV551" s="26"/>
      <c r="BA551" s="26">
        <f t="shared" si="75"/>
        <v>4</v>
      </c>
      <c r="BB551" s="26">
        <f t="shared" si="76"/>
        <v>2016</v>
      </c>
      <c r="BC551" s="25" t="e" vm="1">
        <v>#REF!</v>
      </c>
      <c r="BD551" s="26" t="e" vm="1">
        <v>#REF!</v>
      </c>
      <c r="BE551" s="26"/>
      <c r="BF551" s="26" t="e" vm="2">
        <f t="shared" si="67"/>
        <v>#VALUE!</v>
      </c>
      <c r="BG551" s="26" t="e" vm="2">
        <f t="shared" si="68"/>
        <v>#VALUE!</v>
      </c>
      <c r="BH551" s="26"/>
      <c r="BI551" s="26"/>
      <c r="BJ551" s="21" t="e" vm="1">
        <v>#REF!</v>
      </c>
      <c r="BK551" s="26" t="e" vm="1">
        <v>#REF!</v>
      </c>
      <c r="BL551" s="26"/>
      <c r="BM551" t="e" vm="2">
        <f t="shared" si="69"/>
        <v>#VALUE!</v>
      </c>
      <c r="BN551" t="e" vm="2">
        <f t="shared" si="70"/>
        <v>#VALUE!</v>
      </c>
      <c r="BO551" s="26"/>
      <c r="BP551" s="26"/>
      <c r="BQ551" s="26"/>
      <c r="BR551" s="25">
        <v>41365</v>
      </c>
      <c r="BS551" s="26">
        <f t="shared" si="72"/>
        <v>4</v>
      </c>
      <c r="BT551" s="26">
        <f t="shared" si="73"/>
        <v>2013</v>
      </c>
      <c r="BU551" s="26" t="e">
        <f t="shared" si="71"/>
        <v>#DIV/0!</v>
      </c>
    </row>
    <row r="552" spans="1:73" x14ac:dyDescent="0.2">
      <c r="A552" s="25">
        <f>Prices!A551</f>
        <v>42491</v>
      </c>
      <c r="B552" s="28">
        <f t="shared" si="65"/>
        <v>0</v>
      </c>
      <c r="C552" s="28">
        <f t="shared" si="61"/>
        <v>0</v>
      </c>
      <c r="D552" s="28" t="e">
        <f t="shared" si="66"/>
        <v>#DIV/0!</v>
      </c>
      <c r="E552" s="28" t="e">
        <f t="shared" si="77"/>
        <v>#DIV/0!</v>
      </c>
      <c r="F552" s="28" t="e">
        <f t="shared" si="74"/>
        <v>#DIV/0!</v>
      </c>
      <c r="G552" s="28" t="e">
        <f>Prices!P551-D552</f>
        <v>#DIV/0!</v>
      </c>
      <c r="H552" s="28" t="e">
        <f t="shared" si="62"/>
        <v>#DIV/0!</v>
      </c>
      <c r="I552" s="28" t="e">
        <f t="shared" si="63"/>
        <v>#DIV/0!</v>
      </c>
      <c r="J552" s="28" t="e">
        <f t="shared" si="64"/>
        <v>#DIV/0!</v>
      </c>
      <c r="AI552" s="26"/>
      <c r="AJ552" s="26"/>
      <c r="AK552" s="26"/>
      <c r="AL552" s="26"/>
      <c r="AM552" s="26"/>
      <c r="AN552" s="26"/>
      <c r="AO552" s="26"/>
      <c r="AP552" s="25">
        <v>42491</v>
      </c>
      <c r="AQ552" s="29">
        <v>0.77246190476190491</v>
      </c>
      <c r="AR552" s="26"/>
      <c r="AS552" s="26"/>
      <c r="AT552" s="26"/>
      <c r="AU552" s="26"/>
      <c r="AV552" s="26"/>
      <c r="BA552" s="26">
        <f t="shared" si="75"/>
        <v>5</v>
      </c>
      <c r="BB552" s="26">
        <f t="shared" si="76"/>
        <v>2016</v>
      </c>
      <c r="BC552" s="25" t="e" vm="1">
        <v>#REF!</v>
      </c>
      <c r="BD552" s="26" t="e" vm="1">
        <v>#REF!</v>
      </c>
      <c r="BE552" s="26"/>
      <c r="BF552" s="26" t="e" vm="2">
        <f t="shared" si="67"/>
        <v>#VALUE!</v>
      </c>
      <c r="BG552" s="26" t="e" vm="2">
        <f t="shared" si="68"/>
        <v>#VALUE!</v>
      </c>
      <c r="BH552" s="26"/>
      <c r="BI552" s="26"/>
      <c r="BJ552" s="21" t="e" vm="1">
        <v>#REF!</v>
      </c>
      <c r="BK552" s="26" t="e" vm="1">
        <v>#REF!</v>
      </c>
      <c r="BL552" s="26"/>
      <c r="BM552" t="e" vm="2">
        <f t="shared" si="69"/>
        <v>#VALUE!</v>
      </c>
      <c r="BN552" t="e" vm="2">
        <f t="shared" si="70"/>
        <v>#VALUE!</v>
      </c>
      <c r="BO552" s="26"/>
      <c r="BP552" s="26"/>
      <c r="BQ552" s="26"/>
      <c r="BR552" s="25">
        <v>41395</v>
      </c>
      <c r="BS552" s="26">
        <f t="shared" si="72"/>
        <v>5</v>
      </c>
      <c r="BT552" s="26">
        <f t="shared" si="73"/>
        <v>2013</v>
      </c>
      <c r="BU552" s="26" t="e">
        <f t="shared" si="71"/>
        <v>#DIV/0!</v>
      </c>
    </row>
    <row r="553" spans="1:73" x14ac:dyDescent="0.2">
      <c r="A553" s="25">
        <f>Prices!A552</f>
        <v>42522</v>
      </c>
      <c r="B553" s="28">
        <f t="shared" si="65"/>
        <v>0</v>
      </c>
      <c r="C553" s="28">
        <f t="shared" si="61"/>
        <v>0</v>
      </c>
      <c r="D553" s="28" t="e">
        <f t="shared" si="66"/>
        <v>#DIV/0!</v>
      </c>
      <c r="E553" s="28" t="e">
        <f t="shared" si="77"/>
        <v>#DIV/0!</v>
      </c>
      <c r="F553" s="28" t="e">
        <f t="shared" si="74"/>
        <v>#DIV/0!</v>
      </c>
      <c r="G553" s="28" t="e">
        <f>Prices!P552-D553</f>
        <v>#DIV/0!</v>
      </c>
      <c r="H553" s="28" t="e">
        <f t="shared" si="62"/>
        <v>#DIV/0!</v>
      </c>
      <c r="I553" s="28" t="e">
        <f t="shared" si="63"/>
        <v>#DIV/0!</v>
      </c>
      <c r="J553" s="28" t="e">
        <f t="shared" si="64"/>
        <v>#DIV/0!</v>
      </c>
      <c r="AI553" s="26"/>
      <c r="AJ553" s="26"/>
      <c r="AK553" s="26"/>
      <c r="AL553" s="26"/>
      <c r="AM553" s="26"/>
      <c r="AN553" s="26"/>
      <c r="AO553" s="26"/>
      <c r="AP553" s="25">
        <v>42522</v>
      </c>
      <c r="AQ553" s="29">
        <v>0.77598181818181822</v>
      </c>
      <c r="AR553" s="26"/>
      <c r="AS553" s="26"/>
      <c r="AT553" s="26"/>
      <c r="AU553" s="26"/>
      <c r="AV553" s="26"/>
      <c r="BA553" s="26">
        <f t="shared" si="75"/>
        <v>6</v>
      </c>
      <c r="BB553" s="26">
        <f t="shared" si="76"/>
        <v>2016</v>
      </c>
      <c r="BC553" s="25" t="e" vm="1">
        <v>#REF!</v>
      </c>
      <c r="BD553" s="26" t="e" vm="1">
        <v>#REF!</v>
      </c>
      <c r="BE553" s="26"/>
      <c r="BF553" s="26" t="e" vm="2">
        <f t="shared" si="67"/>
        <v>#VALUE!</v>
      </c>
      <c r="BG553" s="26" t="e" vm="2">
        <f t="shared" si="68"/>
        <v>#VALUE!</v>
      </c>
      <c r="BH553" s="26"/>
      <c r="BI553" s="26"/>
      <c r="BJ553" s="21" t="e" vm="1">
        <v>#REF!</v>
      </c>
      <c r="BK553" s="26" t="e" vm="1">
        <v>#REF!</v>
      </c>
      <c r="BL553" s="26"/>
      <c r="BM553" t="e" vm="2">
        <f t="shared" si="69"/>
        <v>#VALUE!</v>
      </c>
      <c r="BN553" t="e" vm="2">
        <f t="shared" si="70"/>
        <v>#VALUE!</v>
      </c>
      <c r="BO553" s="26"/>
      <c r="BP553" s="26"/>
      <c r="BQ553" s="26"/>
      <c r="BR553" s="25">
        <v>41426</v>
      </c>
      <c r="BS553" s="26">
        <f t="shared" si="72"/>
        <v>6</v>
      </c>
      <c r="BT553" s="26">
        <f t="shared" si="73"/>
        <v>2013</v>
      </c>
      <c r="BU553" s="26" t="e">
        <f t="shared" si="71"/>
        <v>#DIV/0!</v>
      </c>
    </row>
    <row r="554" spans="1:73" x14ac:dyDescent="0.2">
      <c r="A554" s="25">
        <f>Prices!A553</f>
        <v>42552</v>
      </c>
      <c r="B554" s="28">
        <f t="shared" si="65"/>
        <v>0</v>
      </c>
      <c r="C554" s="28">
        <f t="shared" si="61"/>
        <v>0</v>
      </c>
      <c r="D554" s="28" t="e">
        <f t="shared" si="66"/>
        <v>#DIV/0!</v>
      </c>
      <c r="E554" s="28" t="e">
        <f t="shared" si="77"/>
        <v>#DIV/0!</v>
      </c>
      <c r="F554" s="28" t="e">
        <f t="shared" si="74"/>
        <v>#DIV/0!</v>
      </c>
      <c r="G554" s="28" t="e">
        <f>Prices!P553-D554</f>
        <v>#DIV/0!</v>
      </c>
      <c r="H554" s="28" t="e">
        <f t="shared" si="62"/>
        <v>#DIV/0!</v>
      </c>
      <c r="I554" s="28" t="e">
        <f t="shared" si="63"/>
        <v>#DIV/0!</v>
      </c>
      <c r="J554" s="28" t="e">
        <f t="shared" si="64"/>
        <v>#DIV/0!</v>
      </c>
      <c r="AI554" s="26"/>
      <c r="AJ554" s="26"/>
      <c r="AK554" s="26"/>
      <c r="AL554" s="26"/>
      <c r="AM554" s="26"/>
      <c r="AN554" s="26"/>
      <c r="AO554" s="26"/>
      <c r="AP554" s="25">
        <v>42552</v>
      </c>
      <c r="AQ554" s="29">
        <v>0.76651249999999993</v>
      </c>
      <c r="AR554" s="26"/>
      <c r="AS554" s="26"/>
      <c r="AT554" s="26"/>
      <c r="AU554" s="26"/>
      <c r="AV554" s="26"/>
      <c r="BA554" s="26">
        <f t="shared" si="75"/>
        <v>7</v>
      </c>
      <c r="BB554" s="26">
        <f t="shared" si="76"/>
        <v>2016</v>
      </c>
      <c r="BC554" s="25" t="e" vm="1">
        <v>#REF!</v>
      </c>
      <c r="BD554" s="26" t="e" vm="1">
        <v>#REF!</v>
      </c>
      <c r="BE554" s="26"/>
      <c r="BF554" s="26" t="e" vm="2">
        <f t="shared" si="67"/>
        <v>#VALUE!</v>
      </c>
      <c r="BG554" s="26" t="e" vm="2">
        <f t="shared" si="68"/>
        <v>#VALUE!</v>
      </c>
      <c r="BH554" s="26"/>
      <c r="BI554" s="26"/>
      <c r="BJ554" s="21" t="e" vm="1">
        <v>#REF!</v>
      </c>
      <c r="BK554" s="26" t="e" vm="1">
        <v>#REF!</v>
      </c>
      <c r="BL554" s="26"/>
      <c r="BM554" t="e" vm="2">
        <f t="shared" si="69"/>
        <v>#VALUE!</v>
      </c>
      <c r="BN554" t="e" vm="2">
        <f t="shared" si="70"/>
        <v>#VALUE!</v>
      </c>
      <c r="BO554" s="26"/>
      <c r="BP554" s="26"/>
      <c r="BQ554" s="26"/>
      <c r="BR554" s="25">
        <v>41456</v>
      </c>
      <c r="BS554" s="26">
        <f t="shared" si="72"/>
        <v>7</v>
      </c>
      <c r="BT554" s="26">
        <f t="shared" si="73"/>
        <v>2013</v>
      </c>
      <c r="BU554" s="26" t="e">
        <f t="shared" si="71"/>
        <v>#DIV/0!</v>
      </c>
    </row>
    <row r="555" spans="1:73" x14ac:dyDescent="0.2">
      <c r="A555" s="25">
        <f>Prices!A554</f>
        <v>42583</v>
      </c>
      <c r="B555" s="28">
        <f t="shared" si="65"/>
        <v>0</v>
      </c>
      <c r="C555" s="28">
        <f t="shared" si="61"/>
        <v>0</v>
      </c>
      <c r="D555" s="28" t="e">
        <f t="shared" si="66"/>
        <v>#DIV/0!</v>
      </c>
      <c r="E555" s="28" t="e">
        <f t="shared" si="77"/>
        <v>#DIV/0!</v>
      </c>
      <c r="F555" s="28" t="e">
        <f t="shared" si="74"/>
        <v>#DIV/0!</v>
      </c>
      <c r="G555" s="28" t="e">
        <f>Prices!P554-D555</f>
        <v>#DIV/0!</v>
      </c>
      <c r="H555" s="28" t="e">
        <f t="shared" si="62"/>
        <v>#DIV/0!</v>
      </c>
      <c r="I555" s="28" t="e">
        <f t="shared" si="63"/>
        <v>#DIV/0!</v>
      </c>
      <c r="J555" s="28" t="e">
        <f t="shared" si="64"/>
        <v>#DIV/0!</v>
      </c>
      <c r="AI555" s="26"/>
      <c r="AJ555" s="26"/>
      <c r="AK555" s="26"/>
      <c r="AL555" s="26"/>
      <c r="AM555" s="26"/>
      <c r="AN555" s="26"/>
      <c r="AO555" s="26"/>
      <c r="AP555" s="25">
        <v>42583</v>
      </c>
      <c r="AQ555" s="29">
        <v>0.76963478260869567</v>
      </c>
      <c r="AR555" s="26"/>
      <c r="AS555" s="26"/>
      <c r="AT555" s="26"/>
      <c r="AU555" s="26"/>
      <c r="AV555" s="26"/>
      <c r="BA555" s="26">
        <f t="shared" si="75"/>
        <v>8</v>
      </c>
      <c r="BB555" s="26">
        <f t="shared" si="76"/>
        <v>2016</v>
      </c>
      <c r="BC555" s="25" t="e" vm="1">
        <v>#REF!</v>
      </c>
      <c r="BD555" s="26" t="e" vm="1">
        <v>#REF!</v>
      </c>
      <c r="BE555" s="26"/>
      <c r="BF555" s="26" t="e" vm="2">
        <f t="shared" si="67"/>
        <v>#VALUE!</v>
      </c>
      <c r="BG555" s="26" t="e" vm="2">
        <f t="shared" si="68"/>
        <v>#VALUE!</v>
      </c>
      <c r="BH555" s="26"/>
      <c r="BI555" s="26"/>
      <c r="BJ555" s="21" t="e" vm="1">
        <v>#REF!</v>
      </c>
      <c r="BK555" s="26" t="e" vm="1">
        <v>#REF!</v>
      </c>
      <c r="BL555" s="26"/>
      <c r="BM555" t="e" vm="2">
        <f t="shared" si="69"/>
        <v>#VALUE!</v>
      </c>
      <c r="BN555" t="e" vm="2">
        <f t="shared" si="70"/>
        <v>#VALUE!</v>
      </c>
      <c r="BO555" s="26"/>
      <c r="BP555" s="26"/>
      <c r="BQ555" s="26"/>
      <c r="BR555" s="25">
        <v>41487</v>
      </c>
      <c r="BS555" s="26">
        <f t="shared" si="72"/>
        <v>8</v>
      </c>
      <c r="BT555" s="26">
        <f t="shared" si="73"/>
        <v>2013</v>
      </c>
      <c r="BU555" s="26" t="e">
        <f t="shared" si="71"/>
        <v>#DIV/0!</v>
      </c>
    </row>
    <row r="556" spans="1:73" x14ac:dyDescent="0.2">
      <c r="A556" s="25">
        <f>Prices!A555</f>
        <v>42614</v>
      </c>
      <c r="B556" s="28">
        <f t="shared" si="65"/>
        <v>0</v>
      </c>
      <c r="C556" s="28">
        <f t="shared" si="61"/>
        <v>0</v>
      </c>
      <c r="D556" s="28" t="e">
        <f t="shared" si="66"/>
        <v>#DIV/0!</v>
      </c>
      <c r="E556" s="28" t="e">
        <f t="shared" si="77"/>
        <v>#DIV/0!</v>
      </c>
      <c r="F556" s="28" t="e">
        <f t="shared" si="74"/>
        <v>#DIV/0!</v>
      </c>
      <c r="G556" s="28" t="e">
        <f>Prices!P555-D556</f>
        <v>#DIV/0!</v>
      </c>
      <c r="H556" s="28" t="e">
        <f t="shared" si="62"/>
        <v>#DIV/0!</v>
      </c>
      <c r="I556" s="28" t="e">
        <f t="shared" si="63"/>
        <v>#DIV/0!</v>
      </c>
      <c r="J556" s="28" t="e">
        <f t="shared" si="64"/>
        <v>#DIV/0!</v>
      </c>
      <c r="AI556" s="26"/>
      <c r="AJ556" s="26"/>
      <c r="AK556" s="26"/>
      <c r="AL556" s="26"/>
      <c r="AM556" s="26"/>
      <c r="AN556" s="26"/>
      <c r="AO556" s="26"/>
      <c r="AP556" s="25">
        <v>42614</v>
      </c>
      <c r="AQ556" s="29">
        <v>0.76332619047619044</v>
      </c>
      <c r="AR556" s="26"/>
      <c r="AS556" s="26"/>
      <c r="AT556" s="26"/>
      <c r="AU556" s="26"/>
      <c r="AV556" s="26"/>
      <c r="BA556" s="26">
        <f t="shared" si="75"/>
        <v>9</v>
      </c>
      <c r="BB556" s="26">
        <f t="shared" si="76"/>
        <v>2016</v>
      </c>
      <c r="BC556" s="25" t="e" vm="1">
        <v>#REF!</v>
      </c>
      <c r="BD556" s="26" t="e" vm="1">
        <v>#REF!</v>
      </c>
      <c r="BE556" s="26"/>
      <c r="BF556" s="26" t="e" vm="2">
        <f t="shared" si="67"/>
        <v>#VALUE!</v>
      </c>
      <c r="BG556" s="26" t="e" vm="2">
        <f t="shared" si="68"/>
        <v>#VALUE!</v>
      </c>
      <c r="BH556" s="26"/>
      <c r="BI556" s="26"/>
      <c r="BJ556" s="21" t="e" vm="1">
        <v>#REF!</v>
      </c>
      <c r="BK556" s="26" t="e" vm="1">
        <v>#REF!</v>
      </c>
      <c r="BL556" s="26"/>
      <c r="BM556" t="e" vm="2">
        <f t="shared" si="69"/>
        <v>#VALUE!</v>
      </c>
      <c r="BN556" t="e" vm="2">
        <f t="shared" si="70"/>
        <v>#VALUE!</v>
      </c>
      <c r="BO556" s="26"/>
      <c r="BP556" s="26"/>
      <c r="BQ556" s="26"/>
      <c r="BR556" s="25">
        <v>41518</v>
      </c>
      <c r="BS556" s="26">
        <f t="shared" si="72"/>
        <v>9</v>
      </c>
      <c r="BT556" s="26">
        <f t="shared" si="73"/>
        <v>2013</v>
      </c>
      <c r="BU556" s="26" t="e">
        <f t="shared" si="71"/>
        <v>#DIV/0!</v>
      </c>
    </row>
    <row r="557" spans="1:73" x14ac:dyDescent="0.2">
      <c r="A557" s="25">
        <f>Prices!A556</f>
        <v>42644</v>
      </c>
      <c r="B557" s="28">
        <f t="shared" si="65"/>
        <v>0</v>
      </c>
      <c r="C557" s="28">
        <f t="shared" si="61"/>
        <v>0</v>
      </c>
      <c r="D557" s="28" t="e">
        <f t="shared" si="66"/>
        <v>#DIV/0!</v>
      </c>
      <c r="E557" s="28" t="e">
        <f t="shared" si="77"/>
        <v>#DIV/0!</v>
      </c>
      <c r="F557" s="28" t="e">
        <f t="shared" si="74"/>
        <v>#DIV/0!</v>
      </c>
      <c r="G557" s="28" t="e">
        <f>Prices!P556-D557</f>
        <v>#DIV/0!</v>
      </c>
      <c r="H557" s="28" t="e">
        <f t="shared" si="62"/>
        <v>#DIV/0!</v>
      </c>
      <c r="I557" s="28" t="e">
        <f t="shared" si="63"/>
        <v>#DIV/0!</v>
      </c>
      <c r="J557" s="28" t="e">
        <f t="shared" si="64"/>
        <v>#DIV/0!</v>
      </c>
      <c r="AI557" s="26"/>
      <c r="AJ557" s="26"/>
      <c r="AK557" s="26"/>
      <c r="AL557" s="26"/>
      <c r="AM557" s="26"/>
      <c r="AN557" s="26"/>
      <c r="AO557" s="26"/>
      <c r="AP557" s="25">
        <v>42644</v>
      </c>
      <c r="AQ557" s="29">
        <v>0.75513333333333332</v>
      </c>
      <c r="AR557" s="26"/>
      <c r="AS557" s="26"/>
      <c r="AT557" s="26"/>
      <c r="AU557" s="26"/>
      <c r="AV557" s="26"/>
      <c r="BA557" s="26">
        <f t="shared" si="75"/>
        <v>10</v>
      </c>
      <c r="BB557" s="26">
        <f t="shared" si="76"/>
        <v>2016</v>
      </c>
      <c r="BC557" s="25" t="e" vm="1">
        <v>#REF!</v>
      </c>
      <c r="BD557" s="26" t="e" vm="1">
        <v>#REF!</v>
      </c>
      <c r="BE557" s="26"/>
      <c r="BF557" s="26" t="e" vm="2">
        <f t="shared" si="67"/>
        <v>#VALUE!</v>
      </c>
      <c r="BG557" s="26" t="e" vm="2">
        <f t="shared" si="68"/>
        <v>#VALUE!</v>
      </c>
      <c r="BH557" s="26"/>
      <c r="BI557" s="26"/>
      <c r="BJ557" s="21" t="e" vm="1">
        <v>#REF!</v>
      </c>
      <c r="BK557" s="26" t="e" vm="1">
        <v>#REF!</v>
      </c>
      <c r="BL557" s="26"/>
      <c r="BM557" t="e" vm="2">
        <f t="shared" si="69"/>
        <v>#VALUE!</v>
      </c>
      <c r="BN557" t="e" vm="2">
        <f t="shared" si="70"/>
        <v>#VALUE!</v>
      </c>
      <c r="BO557" s="26"/>
      <c r="BP557" s="26"/>
      <c r="BQ557" s="26"/>
      <c r="BR557" s="25">
        <v>41548</v>
      </c>
      <c r="BS557" s="26">
        <f t="shared" si="72"/>
        <v>10</v>
      </c>
      <c r="BT557" s="26">
        <f t="shared" si="73"/>
        <v>2013</v>
      </c>
      <c r="BU557" s="26" t="e">
        <f t="shared" si="71"/>
        <v>#DIV/0!</v>
      </c>
    </row>
    <row r="558" spans="1:73" x14ac:dyDescent="0.2">
      <c r="A558" s="25">
        <f>Prices!A557</f>
        <v>42675</v>
      </c>
      <c r="B558" s="28">
        <f t="shared" si="65"/>
        <v>0</v>
      </c>
      <c r="C558" s="28">
        <f t="shared" si="61"/>
        <v>0</v>
      </c>
      <c r="D558" s="28" t="e">
        <f t="shared" si="66"/>
        <v>#DIV/0!</v>
      </c>
      <c r="E558" s="28" t="e">
        <f t="shared" si="77"/>
        <v>#DIV/0!</v>
      </c>
      <c r="F558" s="28" t="e">
        <f t="shared" si="74"/>
        <v>#DIV/0!</v>
      </c>
      <c r="G558" s="28" t="e">
        <f>Prices!P557-D558</f>
        <v>#DIV/0!</v>
      </c>
      <c r="H558" s="28" t="e">
        <f t="shared" si="62"/>
        <v>#DIV/0!</v>
      </c>
      <c r="I558" s="28" t="e">
        <f t="shared" si="63"/>
        <v>#DIV/0!</v>
      </c>
      <c r="J558" s="28" t="e">
        <f t="shared" si="64"/>
        <v>#DIV/0!</v>
      </c>
      <c r="AI558" s="26"/>
      <c r="AJ558" s="26"/>
      <c r="AK558" s="26"/>
      <c r="AL558" s="26"/>
      <c r="AM558" s="26"/>
      <c r="AN558" s="26"/>
      <c r="AO558" s="26"/>
      <c r="AP558" s="25">
        <v>42675</v>
      </c>
      <c r="AQ558" s="29">
        <v>0.74410714285714297</v>
      </c>
      <c r="AR558" s="26"/>
      <c r="AS558" s="26"/>
      <c r="AT558" s="26"/>
      <c r="AU558" s="26"/>
      <c r="AV558" s="26"/>
      <c r="BA558" s="26">
        <f t="shared" si="75"/>
        <v>11</v>
      </c>
      <c r="BB558" s="26">
        <f t="shared" si="76"/>
        <v>2016</v>
      </c>
      <c r="BC558" s="25" t="e" vm="1">
        <v>#REF!</v>
      </c>
      <c r="BD558" s="26" t="e" vm="1">
        <v>#REF!</v>
      </c>
      <c r="BE558" s="26"/>
      <c r="BF558" s="26" t="e" vm="2">
        <f t="shared" si="67"/>
        <v>#VALUE!</v>
      </c>
      <c r="BG558" s="26" t="e" vm="2">
        <f t="shared" si="68"/>
        <v>#VALUE!</v>
      </c>
      <c r="BH558" s="26"/>
      <c r="BI558" s="26"/>
      <c r="BJ558" s="21" t="e" vm="1">
        <v>#REF!</v>
      </c>
      <c r="BK558" s="26" t="e" vm="1">
        <v>#REF!</v>
      </c>
      <c r="BL558" s="26"/>
      <c r="BM558" t="e" vm="2">
        <f t="shared" si="69"/>
        <v>#VALUE!</v>
      </c>
      <c r="BN558" t="e" vm="2">
        <f t="shared" si="70"/>
        <v>#VALUE!</v>
      </c>
      <c r="BO558" s="26"/>
      <c r="BP558" s="26"/>
      <c r="BQ558" s="26"/>
      <c r="BR558" s="25">
        <v>41579</v>
      </c>
      <c r="BS558" s="26">
        <f t="shared" si="72"/>
        <v>11</v>
      </c>
      <c r="BT558" s="26">
        <f t="shared" si="73"/>
        <v>2013</v>
      </c>
      <c r="BU558" s="26" t="e">
        <f t="shared" si="71"/>
        <v>#DIV/0!</v>
      </c>
    </row>
    <row r="559" spans="1:73" x14ac:dyDescent="0.2">
      <c r="A559" s="25">
        <f>Prices!A558</f>
        <v>42705</v>
      </c>
      <c r="B559" s="28">
        <f t="shared" si="65"/>
        <v>0</v>
      </c>
      <c r="C559" s="28">
        <f t="shared" si="61"/>
        <v>0</v>
      </c>
      <c r="D559" s="28" t="e">
        <f t="shared" si="66"/>
        <v>#DIV/0!</v>
      </c>
      <c r="E559" s="28" t="e">
        <f t="shared" si="77"/>
        <v>#DIV/0!</v>
      </c>
      <c r="F559" s="28" t="e">
        <f t="shared" si="74"/>
        <v>#DIV/0!</v>
      </c>
      <c r="G559" s="28" t="e">
        <f>Prices!P558-D559</f>
        <v>#DIV/0!</v>
      </c>
      <c r="H559" s="28" t="e">
        <f t="shared" si="62"/>
        <v>#DIV/0!</v>
      </c>
      <c r="I559" s="28" t="e">
        <f t="shared" si="63"/>
        <v>#DIV/0!</v>
      </c>
      <c r="J559" s="28" t="e">
        <f t="shared" si="64"/>
        <v>#DIV/0!</v>
      </c>
      <c r="AI559" s="26"/>
      <c r="AJ559" s="26"/>
      <c r="AK559" s="26"/>
      <c r="AL559" s="26"/>
      <c r="AM559" s="26"/>
      <c r="AN559" s="26"/>
      <c r="AO559" s="26"/>
      <c r="AP559" s="25">
        <v>42705</v>
      </c>
      <c r="AQ559" s="29">
        <v>0.74958809523809533</v>
      </c>
      <c r="AR559" s="26"/>
      <c r="AS559" s="26"/>
      <c r="AT559" s="26"/>
      <c r="AU559" s="26"/>
      <c r="AV559" s="26"/>
      <c r="BA559" s="26">
        <f t="shared" si="75"/>
        <v>12</v>
      </c>
      <c r="BB559" s="26">
        <f t="shared" si="76"/>
        <v>2016</v>
      </c>
      <c r="BC559" s="25" t="e" vm="1">
        <v>#REF!</v>
      </c>
      <c r="BD559" s="26" t="e" vm="1">
        <v>#REF!</v>
      </c>
      <c r="BE559" s="26"/>
      <c r="BF559" s="26" t="e" vm="2">
        <f t="shared" si="67"/>
        <v>#VALUE!</v>
      </c>
      <c r="BG559" s="26" t="e" vm="2">
        <f t="shared" si="68"/>
        <v>#VALUE!</v>
      </c>
      <c r="BH559" s="26"/>
      <c r="BI559" s="26"/>
      <c r="BJ559" s="21" t="e" vm="1">
        <v>#REF!</v>
      </c>
      <c r="BK559" s="26" t="e" vm="1">
        <v>#REF!</v>
      </c>
      <c r="BL559" s="26"/>
      <c r="BM559" t="e" vm="2">
        <f t="shared" si="69"/>
        <v>#VALUE!</v>
      </c>
      <c r="BN559" t="e" vm="2">
        <f t="shared" si="70"/>
        <v>#VALUE!</v>
      </c>
      <c r="BO559" s="26"/>
      <c r="BP559" s="26"/>
      <c r="BQ559" s="26"/>
      <c r="BR559" s="25">
        <v>41609</v>
      </c>
      <c r="BS559" s="26">
        <f t="shared" si="72"/>
        <v>12</v>
      </c>
      <c r="BT559" s="26">
        <f t="shared" si="73"/>
        <v>2013</v>
      </c>
      <c r="BU559" s="26" t="e">
        <f t="shared" si="71"/>
        <v>#DIV/0!</v>
      </c>
    </row>
    <row r="560" spans="1:73" x14ac:dyDescent="0.2">
      <c r="A560" s="25">
        <f>Prices!A559</f>
        <v>42736</v>
      </c>
      <c r="B560" s="28">
        <f t="shared" si="65"/>
        <v>0</v>
      </c>
      <c r="C560" s="28">
        <f t="shared" si="61"/>
        <v>0</v>
      </c>
      <c r="D560" s="28" t="e">
        <f t="shared" si="66"/>
        <v>#DIV/0!</v>
      </c>
      <c r="E560" s="28" t="e">
        <f t="shared" si="77"/>
        <v>#DIV/0!</v>
      </c>
      <c r="F560" s="28" t="e">
        <f t="shared" si="74"/>
        <v>#DIV/0!</v>
      </c>
      <c r="G560" s="28" t="e">
        <f>Prices!P559-D560</f>
        <v>#DIV/0!</v>
      </c>
      <c r="H560" s="28" t="e">
        <f t="shared" si="62"/>
        <v>#DIV/0!</v>
      </c>
      <c r="I560" s="28" t="e">
        <f t="shared" si="63"/>
        <v>#DIV/0!</v>
      </c>
      <c r="J560" s="28" t="e">
        <f t="shared" si="64"/>
        <v>#DIV/0!</v>
      </c>
      <c r="AI560" s="26"/>
      <c r="AJ560" s="26"/>
      <c r="AK560" s="26"/>
      <c r="AL560" s="26"/>
      <c r="AM560" s="26"/>
      <c r="AN560" s="26"/>
      <c r="AO560" s="26"/>
      <c r="AP560" s="25">
        <v>42736</v>
      </c>
      <c r="AQ560" s="29">
        <v>0.75848000000000027</v>
      </c>
      <c r="AR560" s="26"/>
      <c r="AS560" s="26"/>
      <c r="AT560" s="26"/>
      <c r="AU560" s="26"/>
      <c r="AV560" s="26"/>
      <c r="BA560" s="26">
        <f t="shared" si="75"/>
        <v>1</v>
      </c>
      <c r="BB560" s="26">
        <f t="shared" si="76"/>
        <v>2017</v>
      </c>
      <c r="BC560" s="25" t="e" vm="1">
        <v>#REF!</v>
      </c>
      <c r="BD560" s="26" t="e" vm="1">
        <v>#REF!</v>
      </c>
      <c r="BE560" s="26"/>
      <c r="BF560" s="26" t="e" vm="2">
        <f t="shared" si="67"/>
        <v>#VALUE!</v>
      </c>
      <c r="BG560" s="26" t="e" vm="2">
        <f t="shared" si="68"/>
        <v>#VALUE!</v>
      </c>
      <c r="BH560" s="26"/>
      <c r="BI560" s="26"/>
      <c r="BJ560" s="21" t="e" vm="1">
        <v>#REF!</v>
      </c>
      <c r="BK560" s="26" t="e" vm="1">
        <v>#REF!</v>
      </c>
      <c r="BL560" s="26"/>
      <c r="BM560" t="e" vm="2">
        <f t="shared" si="69"/>
        <v>#VALUE!</v>
      </c>
      <c r="BN560" t="e" vm="2">
        <f t="shared" si="70"/>
        <v>#VALUE!</v>
      </c>
      <c r="BO560" s="26"/>
      <c r="BP560" s="26"/>
      <c r="BQ560" s="26"/>
      <c r="BR560" s="25">
        <v>41640</v>
      </c>
      <c r="BS560" s="26">
        <f t="shared" si="72"/>
        <v>1</v>
      </c>
      <c r="BT560" s="26">
        <f t="shared" si="73"/>
        <v>2014</v>
      </c>
      <c r="BU560" s="26" t="e">
        <f t="shared" si="71"/>
        <v>#DIV/0!</v>
      </c>
    </row>
    <row r="561" spans="1:73" x14ac:dyDescent="0.2">
      <c r="A561" s="25">
        <f>Prices!A560</f>
        <v>42767</v>
      </c>
      <c r="B561" s="28">
        <f t="shared" si="65"/>
        <v>0</v>
      </c>
      <c r="C561" s="28">
        <f t="shared" si="61"/>
        <v>0</v>
      </c>
      <c r="D561" s="28" t="e">
        <f t="shared" si="66"/>
        <v>#DIV/0!</v>
      </c>
      <c r="E561" s="28" t="e">
        <f t="shared" si="77"/>
        <v>#DIV/0!</v>
      </c>
      <c r="F561" s="28" t="e">
        <f t="shared" si="74"/>
        <v>#DIV/0!</v>
      </c>
      <c r="G561" s="28" t="e">
        <f>Prices!P560-D561</f>
        <v>#DIV/0!</v>
      </c>
      <c r="H561" s="28" t="e">
        <f t="shared" si="62"/>
        <v>#DIV/0!</v>
      </c>
      <c r="I561" s="28" t="e">
        <f t="shared" si="63"/>
        <v>#DIV/0!</v>
      </c>
      <c r="J561" s="28" t="e">
        <f t="shared" si="64"/>
        <v>#DIV/0!</v>
      </c>
      <c r="AI561" s="26"/>
      <c r="AJ561" s="26"/>
      <c r="AK561" s="26"/>
      <c r="AL561" s="26"/>
      <c r="AM561" s="26"/>
      <c r="AN561" s="26"/>
      <c r="AO561" s="26"/>
      <c r="AP561" s="25">
        <v>42767</v>
      </c>
      <c r="AQ561" s="29">
        <v>0.76296842105263152</v>
      </c>
      <c r="AR561" s="26"/>
      <c r="AS561" s="26"/>
      <c r="AT561" s="26"/>
      <c r="AU561" s="26"/>
      <c r="AV561" s="26"/>
      <c r="BA561" s="26">
        <f t="shared" si="75"/>
        <v>2</v>
      </c>
      <c r="BB561" s="26">
        <f t="shared" si="76"/>
        <v>2017</v>
      </c>
      <c r="BC561" s="25" t="e" vm="1">
        <v>#REF!</v>
      </c>
      <c r="BD561" s="26" t="e" vm="1">
        <v>#REF!</v>
      </c>
      <c r="BE561" s="26"/>
      <c r="BF561" s="26" t="e" vm="2">
        <f t="shared" si="67"/>
        <v>#VALUE!</v>
      </c>
      <c r="BG561" s="26" t="e" vm="2">
        <f t="shared" si="68"/>
        <v>#VALUE!</v>
      </c>
      <c r="BH561" s="26"/>
      <c r="BI561" s="26"/>
      <c r="BJ561" s="21" t="e" vm="1">
        <v>#REF!</v>
      </c>
      <c r="BK561" s="26" t="e" vm="1">
        <v>#REF!</v>
      </c>
      <c r="BL561" s="26"/>
      <c r="BM561" t="e" vm="2">
        <f t="shared" si="69"/>
        <v>#VALUE!</v>
      </c>
      <c r="BN561" t="e" vm="2">
        <f t="shared" si="70"/>
        <v>#VALUE!</v>
      </c>
      <c r="BO561" s="26"/>
      <c r="BP561" s="26"/>
      <c r="BQ561" s="26"/>
      <c r="BR561" s="25">
        <v>41671</v>
      </c>
      <c r="BS561" s="26">
        <f t="shared" si="72"/>
        <v>2</v>
      </c>
      <c r="BT561" s="26">
        <f t="shared" si="73"/>
        <v>2014</v>
      </c>
      <c r="BU561" s="26" t="e">
        <f t="shared" si="71"/>
        <v>#DIV/0!</v>
      </c>
    </row>
    <row r="562" spans="1:73" x14ac:dyDescent="0.2">
      <c r="A562" s="25">
        <f>Prices!A561</f>
        <v>42795</v>
      </c>
      <c r="B562" s="28">
        <f t="shared" si="65"/>
        <v>0</v>
      </c>
      <c r="C562" s="28">
        <f t="shared" si="61"/>
        <v>0</v>
      </c>
      <c r="D562" s="28" t="e">
        <f t="shared" si="66"/>
        <v>#DIV/0!</v>
      </c>
      <c r="E562" s="28" t="e">
        <f t="shared" si="77"/>
        <v>#DIV/0!</v>
      </c>
      <c r="F562" s="28" t="e">
        <f t="shared" si="74"/>
        <v>#DIV/0!</v>
      </c>
      <c r="G562" s="28" t="e">
        <f>Prices!P561-D562</f>
        <v>#DIV/0!</v>
      </c>
      <c r="H562" s="28" t="e">
        <f t="shared" si="62"/>
        <v>#DIV/0!</v>
      </c>
      <c r="I562" s="28" t="e">
        <f t="shared" si="63"/>
        <v>#DIV/0!</v>
      </c>
      <c r="J562" s="28" t="e">
        <f t="shared" si="64"/>
        <v>#DIV/0!</v>
      </c>
      <c r="AI562" s="26"/>
      <c r="AJ562" s="26"/>
      <c r="AK562" s="26"/>
      <c r="AL562" s="26"/>
      <c r="AM562" s="26"/>
      <c r="AN562" s="26"/>
      <c r="AO562" s="26"/>
      <c r="AP562" s="25">
        <v>42795</v>
      </c>
      <c r="AQ562" s="29">
        <v>0.74732826086956516</v>
      </c>
      <c r="AR562" s="26"/>
      <c r="AS562" s="26"/>
      <c r="AT562" s="26"/>
      <c r="AU562" s="26"/>
      <c r="AV562" s="26"/>
      <c r="BA562" s="26">
        <f t="shared" si="75"/>
        <v>3</v>
      </c>
      <c r="BB562" s="26">
        <f t="shared" si="76"/>
        <v>2017</v>
      </c>
      <c r="BC562" s="25" t="e" vm="1">
        <v>#REF!</v>
      </c>
      <c r="BD562" s="26" t="e" vm="1">
        <v>#REF!</v>
      </c>
      <c r="BE562" s="26"/>
      <c r="BF562" s="26" t="e" vm="2">
        <f t="shared" si="67"/>
        <v>#VALUE!</v>
      </c>
      <c r="BG562" s="26" t="e" vm="2">
        <f t="shared" si="68"/>
        <v>#VALUE!</v>
      </c>
      <c r="BH562" s="26"/>
      <c r="BI562" s="26"/>
      <c r="BJ562" s="21" t="e" vm="1">
        <v>#REF!</v>
      </c>
      <c r="BK562" s="26" t="e" vm="1">
        <v>#REF!</v>
      </c>
      <c r="BL562" s="26"/>
      <c r="BM562" t="e" vm="2">
        <f t="shared" si="69"/>
        <v>#VALUE!</v>
      </c>
      <c r="BN562" t="e" vm="2">
        <f t="shared" si="70"/>
        <v>#VALUE!</v>
      </c>
      <c r="BO562" s="26"/>
      <c r="BP562" s="26"/>
      <c r="BQ562" s="26"/>
      <c r="BR562" s="25">
        <v>41699</v>
      </c>
      <c r="BS562" s="26">
        <f t="shared" si="72"/>
        <v>3</v>
      </c>
      <c r="BT562" s="26">
        <f t="shared" si="73"/>
        <v>2014</v>
      </c>
      <c r="BU562" s="26" t="e">
        <f t="shared" si="71"/>
        <v>#DIV/0!</v>
      </c>
    </row>
    <row r="563" spans="1:73" x14ac:dyDescent="0.2">
      <c r="A563" s="25">
        <f>Prices!A562</f>
        <v>42826</v>
      </c>
      <c r="B563" s="28">
        <f t="shared" si="65"/>
        <v>0</v>
      </c>
      <c r="C563" s="28">
        <f t="shared" si="61"/>
        <v>0</v>
      </c>
      <c r="D563" s="28" t="e">
        <f t="shared" si="66"/>
        <v>#DIV/0!</v>
      </c>
      <c r="E563" s="28" t="e">
        <f t="shared" si="77"/>
        <v>#DIV/0!</v>
      </c>
      <c r="F563" s="28" t="e">
        <f t="shared" si="74"/>
        <v>#DIV/0!</v>
      </c>
      <c r="G563" s="28" t="e">
        <f>Prices!P562-D563</f>
        <v>#DIV/0!</v>
      </c>
      <c r="H563" s="28" t="e">
        <f t="shared" si="62"/>
        <v>#DIV/0!</v>
      </c>
      <c r="I563" s="28" t="e">
        <f t="shared" si="63"/>
        <v>#DIV/0!</v>
      </c>
      <c r="J563" s="28" t="e">
        <f t="shared" si="64"/>
        <v>#DIV/0!</v>
      </c>
      <c r="AI563" s="26"/>
      <c r="AJ563" s="26"/>
      <c r="AK563" s="26"/>
      <c r="AL563" s="26"/>
      <c r="AM563" s="26"/>
      <c r="AN563" s="26"/>
      <c r="AO563" s="26"/>
      <c r="AP563" s="25">
        <v>42826</v>
      </c>
      <c r="AQ563" s="29">
        <v>0.74398684210526322</v>
      </c>
      <c r="AR563" s="26"/>
      <c r="AS563" s="26"/>
      <c r="AT563" s="26"/>
      <c r="AU563" s="26"/>
      <c r="AV563" s="26"/>
      <c r="BA563" s="26">
        <f t="shared" si="75"/>
        <v>4</v>
      </c>
      <c r="BB563" s="26">
        <f t="shared" si="76"/>
        <v>2017</v>
      </c>
      <c r="BC563" s="25" t="e" vm="1">
        <v>#REF!</v>
      </c>
      <c r="BD563" s="26" t="e" vm="1">
        <v>#REF!</v>
      </c>
      <c r="BE563" s="26"/>
      <c r="BF563" s="26" t="e" vm="2">
        <f t="shared" si="67"/>
        <v>#VALUE!</v>
      </c>
      <c r="BG563" s="26" t="e" vm="2">
        <f t="shared" si="68"/>
        <v>#VALUE!</v>
      </c>
      <c r="BH563" s="26"/>
      <c r="BI563" s="26"/>
      <c r="BJ563" s="21" t="e" vm="1">
        <v>#REF!</v>
      </c>
      <c r="BK563" s="26" t="e" vm="1">
        <v>#REF!</v>
      </c>
      <c r="BL563" s="26"/>
      <c r="BM563" t="e" vm="2">
        <f t="shared" si="69"/>
        <v>#VALUE!</v>
      </c>
      <c r="BN563" t="e" vm="2">
        <f t="shared" si="70"/>
        <v>#VALUE!</v>
      </c>
      <c r="BO563" s="26"/>
      <c r="BP563" s="26"/>
      <c r="BQ563" s="26"/>
      <c r="BR563" s="25">
        <v>41730</v>
      </c>
      <c r="BS563" s="26">
        <f t="shared" si="72"/>
        <v>4</v>
      </c>
      <c r="BT563" s="26">
        <f t="shared" si="73"/>
        <v>2014</v>
      </c>
      <c r="BU563" s="26" t="e">
        <f t="shared" si="71"/>
        <v>#DIV/0!</v>
      </c>
    </row>
    <row r="564" spans="1:73" x14ac:dyDescent="0.2">
      <c r="A564" s="25">
        <f>Prices!A563</f>
        <v>42856</v>
      </c>
      <c r="B564" s="28">
        <f t="shared" si="65"/>
        <v>0</v>
      </c>
      <c r="C564" s="28">
        <f t="shared" si="61"/>
        <v>0</v>
      </c>
      <c r="D564" s="28" t="e">
        <f t="shared" si="66"/>
        <v>#DIV/0!</v>
      </c>
      <c r="E564" s="28" t="e">
        <f t="shared" si="77"/>
        <v>#DIV/0!</v>
      </c>
      <c r="F564" s="28" t="e">
        <f t="shared" si="74"/>
        <v>#DIV/0!</v>
      </c>
      <c r="G564" s="28" t="e">
        <f>Prices!P563-D564</f>
        <v>#DIV/0!</v>
      </c>
      <c r="H564" s="28" t="e">
        <f t="shared" si="62"/>
        <v>#DIV/0!</v>
      </c>
      <c r="I564" s="28" t="e">
        <f t="shared" si="63"/>
        <v>#DIV/0!</v>
      </c>
      <c r="J564" s="28" t="e">
        <f t="shared" si="64"/>
        <v>#DIV/0!</v>
      </c>
      <c r="AI564" s="26"/>
      <c r="AJ564" s="26"/>
      <c r="AK564" s="26"/>
      <c r="AL564" s="26"/>
      <c r="AM564" s="26"/>
      <c r="AN564" s="26"/>
      <c r="AO564" s="26"/>
      <c r="AP564" s="25">
        <v>42856</v>
      </c>
      <c r="AQ564" s="29">
        <v>0.73490681818181824</v>
      </c>
      <c r="AR564" s="26"/>
      <c r="AS564" s="26"/>
      <c r="AT564" s="26"/>
      <c r="AU564" s="26"/>
      <c r="AV564" s="26"/>
      <c r="BA564" s="26">
        <f t="shared" si="75"/>
        <v>5</v>
      </c>
      <c r="BB564" s="26">
        <f t="shared" si="76"/>
        <v>2017</v>
      </c>
      <c r="BC564" s="25" t="e" vm="1">
        <v>#REF!</v>
      </c>
      <c r="BD564" s="26" t="e" vm="1">
        <v>#REF!</v>
      </c>
      <c r="BE564" s="26"/>
      <c r="BF564" s="26" t="e" vm="2">
        <f t="shared" si="67"/>
        <v>#VALUE!</v>
      </c>
      <c r="BG564" s="26" t="e" vm="2">
        <f t="shared" si="68"/>
        <v>#VALUE!</v>
      </c>
      <c r="BH564" s="26"/>
      <c r="BI564" s="26"/>
      <c r="BJ564" s="21" t="e" vm="1">
        <v>#REF!</v>
      </c>
      <c r="BK564" s="26" t="e" vm="1">
        <v>#REF!</v>
      </c>
      <c r="BL564" s="26"/>
      <c r="BM564" t="e" vm="2">
        <f t="shared" si="69"/>
        <v>#VALUE!</v>
      </c>
      <c r="BN564" t="e" vm="2">
        <f t="shared" si="70"/>
        <v>#VALUE!</v>
      </c>
      <c r="BO564" s="26"/>
      <c r="BP564" s="26"/>
      <c r="BQ564" s="26"/>
      <c r="BR564" s="25">
        <v>41760</v>
      </c>
      <c r="BS564" s="26">
        <f t="shared" si="72"/>
        <v>5</v>
      </c>
      <c r="BT564" s="26">
        <f t="shared" si="73"/>
        <v>2014</v>
      </c>
      <c r="BU564" s="26" t="e">
        <f t="shared" si="71"/>
        <v>#DIV/0!</v>
      </c>
    </row>
    <row r="565" spans="1:73" x14ac:dyDescent="0.2">
      <c r="A565" s="25">
        <f>Prices!A564</f>
        <v>42887</v>
      </c>
      <c r="B565" s="28">
        <f t="shared" si="65"/>
        <v>0</v>
      </c>
      <c r="C565" s="28">
        <f t="shared" ref="C565:C628" si="78">_xlfn.MINIFS($BD$2:$BD$5500,$BF$2:$BF$5500,$BA565,$BG$2:$BG$5500,$BB565)</f>
        <v>0</v>
      </c>
      <c r="D565" s="28" t="e">
        <f t="shared" si="66"/>
        <v>#DIV/0!</v>
      </c>
      <c r="E565" s="28" t="e">
        <f t="shared" si="77"/>
        <v>#DIV/0!</v>
      </c>
      <c r="F565" s="28" t="e">
        <f t="shared" si="74"/>
        <v>#DIV/0!</v>
      </c>
      <c r="G565" s="28" t="e">
        <f>Prices!P564-D565</f>
        <v>#DIV/0!</v>
      </c>
      <c r="H565" s="28" t="e">
        <f t="shared" ref="H565:H628" si="79">(G565/45.9296)*100</f>
        <v>#DIV/0!</v>
      </c>
      <c r="I565" s="28" t="e">
        <f t="shared" ref="I565:I628" si="80">D565*AQ565</f>
        <v>#DIV/0!</v>
      </c>
      <c r="J565" s="28" t="e">
        <f t="shared" ref="J565:J628" si="81">(I565/45.9296)*100</f>
        <v>#DIV/0!</v>
      </c>
      <c r="AI565" s="26"/>
      <c r="AJ565" s="26"/>
      <c r="AK565" s="26"/>
      <c r="AL565" s="26"/>
      <c r="AM565" s="26"/>
      <c r="AN565" s="26"/>
      <c r="AO565" s="26"/>
      <c r="AP565" s="25">
        <v>42887</v>
      </c>
      <c r="AQ565" s="29">
        <v>0.75257954545454553</v>
      </c>
      <c r="AR565" s="26"/>
      <c r="AS565" s="26"/>
      <c r="AT565" s="26"/>
      <c r="AU565" s="26"/>
      <c r="AV565" s="26"/>
      <c r="BA565" s="26">
        <f t="shared" si="75"/>
        <v>6</v>
      </c>
      <c r="BB565" s="26">
        <f t="shared" si="76"/>
        <v>2017</v>
      </c>
      <c r="BC565" s="25" t="e" vm="1">
        <v>#REF!</v>
      </c>
      <c r="BD565" s="26" t="e" vm="1">
        <v>#REF!</v>
      </c>
      <c r="BE565" s="26"/>
      <c r="BF565" s="26" t="e" vm="2">
        <f t="shared" si="67"/>
        <v>#VALUE!</v>
      </c>
      <c r="BG565" s="26" t="e" vm="2">
        <f t="shared" si="68"/>
        <v>#VALUE!</v>
      </c>
      <c r="BH565" s="26"/>
      <c r="BI565" s="26"/>
      <c r="BJ565" s="21" t="e" vm="1">
        <v>#REF!</v>
      </c>
      <c r="BK565" s="26" t="e" vm="1">
        <v>#REF!</v>
      </c>
      <c r="BL565" s="26"/>
      <c r="BM565" t="e" vm="2">
        <f t="shared" si="69"/>
        <v>#VALUE!</v>
      </c>
      <c r="BN565" t="e" vm="2">
        <f t="shared" si="70"/>
        <v>#VALUE!</v>
      </c>
      <c r="BO565" s="26"/>
      <c r="BP565" s="26"/>
      <c r="BQ565" s="26"/>
      <c r="BR565" s="25">
        <v>41791</v>
      </c>
      <c r="BS565" s="26">
        <f t="shared" si="72"/>
        <v>6</v>
      </c>
      <c r="BT565" s="26">
        <f t="shared" si="73"/>
        <v>2014</v>
      </c>
      <c r="BU565" s="26" t="e">
        <f t="shared" si="71"/>
        <v>#DIV/0!</v>
      </c>
    </row>
    <row r="566" spans="1:73" x14ac:dyDescent="0.2">
      <c r="A566" s="25">
        <f>Prices!A565</f>
        <v>42917</v>
      </c>
      <c r="B566" s="28">
        <f t="shared" ref="B566:B629" si="82">_xlfn.MAXIFS($BD$2:$BD$5500,$BF$2:$BF$5500,$BA566,$BG$2:$BG$5500,$BB566)</f>
        <v>0</v>
      </c>
      <c r="C566" s="28">
        <f t="shared" si="78"/>
        <v>0</v>
      </c>
      <c r="D566" s="28" t="e">
        <f t="shared" ref="D566:D629" si="83">AVERAGEIFS($BD$2:$BD$5500,$BF$2:$BF$5500,$BA566,$BG$2:$BG$5500,$BB566)</f>
        <v>#DIV/0!</v>
      </c>
      <c r="E566" s="28" t="e">
        <f t="shared" si="77"/>
        <v>#DIV/0!</v>
      </c>
      <c r="F566" s="28" t="e">
        <f t="shared" si="74"/>
        <v>#DIV/0!</v>
      </c>
      <c r="G566" s="28" t="e">
        <f>Prices!P565-D566</f>
        <v>#DIV/0!</v>
      </c>
      <c r="H566" s="28" t="e">
        <f t="shared" si="79"/>
        <v>#DIV/0!</v>
      </c>
      <c r="I566" s="28" t="e">
        <f t="shared" si="80"/>
        <v>#DIV/0!</v>
      </c>
      <c r="J566" s="28" t="e">
        <f t="shared" si="81"/>
        <v>#DIV/0!</v>
      </c>
      <c r="AI566" s="26"/>
      <c r="AJ566" s="26"/>
      <c r="AK566" s="26"/>
      <c r="AL566" s="26"/>
      <c r="AM566" s="26"/>
      <c r="AN566" s="26"/>
      <c r="AO566" s="26"/>
      <c r="AP566" s="25">
        <v>42917</v>
      </c>
      <c r="AQ566" s="29">
        <v>0.78879999999999995</v>
      </c>
      <c r="AR566" s="26"/>
      <c r="AS566" s="26"/>
      <c r="AT566" s="26"/>
      <c r="AU566" s="26"/>
      <c r="AV566" s="26"/>
      <c r="BA566" s="26">
        <f t="shared" si="75"/>
        <v>7</v>
      </c>
      <c r="BB566" s="26">
        <f t="shared" si="76"/>
        <v>2017</v>
      </c>
      <c r="BC566" s="25" t="e" vm="1">
        <v>#REF!</v>
      </c>
      <c r="BD566" s="26" t="e" vm="1">
        <v>#REF!</v>
      </c>
      <c r="BE566" s="26"/>
      <c r="BF566" s="26" t="e" vm="2">
        <f t="shared" si="67"/>
        <v>#VALUE!</v>
      </c>
      <c r="BG566" s="26" t="e" vm="2">
        <f t="shared" si="68"/>
        <v>#VALUE!</v>
      </c>
      <c r="BH566" s="26"/>
      <c r="BI566" s="26"/>
      <c r="BJ566" s="21" t="e" vm="1">
        <v>#REF!</v>
      </c>
      <c r="BK566" s="26" t="e" vm="1">
        <v>#REF!</v>
      </c>
      <c r="BL566" s="26"/>
      <c r="BM566" t="e" vm="2">
        <f t="shared" si="69"/>
        <v>#VALUE!</v>
      </c>
      <c r="BN566" t="e" vm="2">
        <f t="shared" si="70"/>
        <v>#VALUE!</v>
      </c>
      <c r="BO566" s="26"/>
      <c r="BP566" s="26"/>
      <c r="BQ566" s="26"/>
      <c r="BR566" s="25">
        <v>41821</v>
      </c>
      <c r="BS566" s="26">
        <f t="shared" si="72"/>
        <v>7</v>
      </c>
      <c r="BT566" s="26">
        <f t="shared" si="73"/>
        <v>2014</v>
      </c>
      <c r="BU566" s="26" t="e">
        <f t="shared" si="71"/>
        <v>#DIV/0!</v>
      </c>
    </row>
    <row r="567" spans="1:73" x14ac:dyDescent="0.2">
      <c r="A567" s="25">
        <f>Prices!A566</f>
        <v>42948</v>
      </c>
      <c r="B567" s="28">
        <f t="shared" si="82"/>
        <v>0</v>
      </c>
      <c r="C567" s="28">
        <f t="shared" si="78"/>
        <v>0</v>
      </c>
      <c r="D567" s="28" t="e">
        <f t="shared" si="83"/>
        <v>#DIV/0!</v>
      </c>
      <c r="E567" s="28" t="e">
        <f t="shared" si="77"/>
        <v>#DIV/0!</v>
      </c>
      <c r="F567" s="28" t="e">
        <f t="shared" si="74"/>
        <v>#DIV/0!</v>
      </c>
      <c r="G567" s="28" t="e">
        <f>Prices!P566-D567</f>
        <v>#DIV/0!</v>
      </c>
      <c r="H567" s="28" t="e">
        <f t="shared" si="79"/>
        <v>#DIV/0!</v>
      </c>
      <c r="I567" s="28" t="e">
        <f t="shared" si="80"/>
        <v>#DIV/0!</v>
      </c>
      <c r="J567" s="28" t="e">
        <f t="shared" si="81"/>
        <v>#DIV/0!</v>
      </c>
      <c r="AI567" s="26"/>
      <c r="AJ567" s="26"/>
      <c r="AK567" s="26"/>
      <c r="AL567" s="26"/>
      <c r="AM567" s="26"/>
      <c r="AN567" s="26"/>
      <c r="AO567" s="26"/>
      <c r="AP567" s="25">
        <v>42948</v>
      </c>
      <c r="AQ567" s="29">
        <v>0.79340652173913051</v>
      </c>
      <c r="AR567" s="26"/>
      <c r="AS567" s="26"/>
      <c r="AT567" s="26"/>
      <c r="AU567" s="26"/>
      <c r="AV567" s="26"/>
      <c r="BA567" s="26">
        <f t="shared" si="75"/>
        <v>8</v>
      </c>
      <c r="BB567" s="26">
        <f t="shared" si="76"/>
        <v>2017</v>
      </c>
      <c r="BC567" s="25" t="e" vm="1">
        <v>#REF!</v>
      </c>
      <c r="BD567" s="26" t="e" vm="1">
        <v>#REF!</v>
      </c>
      <c r="BE567" s="26"/>
      <c r="BF567" s="26" t="e" vm="2">
        <f t="shared" si="67"/>
        <v>#VALUE!</v>
      </c>
      <c r="BG567" s="26" t="e" vm="2">
        <f t="shared" si="68"/>
        <v>#VALUE!</v>
      </c>
      <c r="BH567" s="26"/>
      <c r="BI567" s="26"/>
      <c r="BJ567" s="21" t="e" vm="1">
        <v>#REF!</v>
      </c>
      <c r="BK567" s="26" t="e" vm="1">
        <v>#REF!</v>
      </c>
      <c r="BL567" s="26"/>
      <c r="BM567" t="e" vm="2">
        <f t="shared" si="69"/>
        <v>#VALUE!</v>
      </c>
      <c r="BN567" t="e" vm="2">
        <f t="shared" si="70"/>
        <v>#VALUE!</v>
      </c>
      <c r="BO567" s="26"/>
      <c r="BP567" s="26"/>
      <c r="BQ567" s="26"/>
      <c r="BR567" s="25">
        <v>41852</v>
      </c>
      <c r="BS567" s="26">
        <f t="shared" si="72"/>
        <v>8</v>
      </c>
      <c r="BT567" s="26">
        <f t="shared" si="73"/>
        <v>2014</v>
      </c>
      <c r="BU567" s="26" t="e">
        <f t="shared" si="71"/>
        <v>#DIV/0!</v>
      </c>
    </row>
    <row r="568" spans="1:73" x14ac:dyDescent="0.2">
      <c r="A568" s="25">
        <f>Prices!A567</f>
        <v>42979</v>
      </c>
      <c r="B568" s="28">
        <f t="shared" si="82"/>
        <v>0</v>
      </c>
      <c r="C568" s="28">
        <f t="shared" si="78"/>
        <v>0</v>
      </c>
      <c r="D568" s="28" t="e">
        <f t="shared" si="83"/>
        <v>#DIV/0!</v>
      </c>
      <c r="E568" s="28" t="e">
        <f t="shared" si="77"/>
        <v>#DIV/0!</v>
      </c>
      <c r="F568" s="28" t="e">
        <f t="shared" si="74"/>
        <v>#DIV/0!</v>
      </c>
      <c r="G568" s="28" t="e">
        <f>Prices!P567-D568</f>
        <v>#DIV/0!</v>
      </c>
      <c r="H568" s="28" t="e">
        <f t="shared" si="79"/>
        <v>#DIV/0!</v>
      </c>
      <c r="I568" s="28" t="e">
        <f t="shared" si="80"/>
        <v>#DIV/0!</v>
      </c>
      <c r="J568" s="28" t="e">
        <f t="shared" si="81"/>
        <v>#DIV/0!</v>
      </c>
      <c r="AI568" s="26"/>
      <c r="AJ568" s="26"/>
      <c r="AK568" s="26"/>
      <c r="AL568" s="26"/>
      <c r="AM568" s="26"/>
      <c r="AN568" s="26"/>
      <c r="AO568" s="26"/>
      <c r="AP568" s="25">
        <v>42979</v>
      </c>
      <c r="AQ568" s="29">
        <v>0.81371499999999997</v>
      </c>
      <c r="AR568" s="26"/>
      <c r="AS568" s="26"/>
      <c r="AT568" s="26"/>
      <c r="AU568" s="26"/>
      <c r="AV568" s="26"/>
      <c r="BA568" s="26">
        <f t="shared" si="75"/>
        <v>9</v>
      </c>
      <c r="BB568" s="26">
        <f t="shared" si="76"/>
        <v>2017</v>
      </c>
      <c r="BC568" s="25" t="e" vm="1">
        <v>#REF!</v>
      </c>
      <c r="BD568" s="26" t="e" vm="1">
        <v>#REF!</v>
      </c>
      <c r="BE568" s="26"/>
      <c r="BF568" s="26" t="e" vm="2">
        <f t="shared" si="67"/>
        <v>#VALUE!</v>
      </c>
      <c r="BG568" s="26" t="e" vm="2">
        <f t="shared" si="68"/>
        <v>#VALUE!</v>
      </c>
      <c r="BH568" s="26"/>
      <c r="BI568" s="26"/>
      <c r="BJ568" s="21" t="e" vm="1">
        <v>#REF!</v>
      </c>
      <c r="BK568" s="26" t="e" vm="1">
        <v>#REF!</v>
      </c>
      <c r="BL568" s="26"/>
      <c r="BM568" t="e" vm="2">
        <f t="shared" si="69"/>
        <v>#VALUE!</v>
      </c>
      <c r="BN568" t="e" vm="2">
        <f t="shared" si="70"/>
        <v>#VALUE!</v>
      </c>
      <c r="BO568" s="26"/>
      <c r="BP568" s="26"/>
      <c r="BQ568" s="26"/>
      <c r="BR568" s="25">
        <v>41883</v>
      </c>
      <c r="BS568" s="26">
        <f t="shared" si="72"/>
        <v>9</v>
      </c>
      <c r="BT568" s="26">
        <f t="shared" si="73"/>
        <v>2014</v>
      </c>
      <c r="BU568" s="26" t="e">
        <f t="shared" si="71"/>
        <v>#DIV/0!</v>
      </c>
    </row>
    <row r="569" spans="1:73" x14ac:dyDescent="0.2">
      <c r="A569" s="25">
        <f>Prices!A568</f>
        <v>43009</v>
      </c>
      <c r="B569" s="28">
        <f t="shared" si="82"/>
        <v>0</v>
      </c>
      <c r="C569" s="28">
        <f t="shared" si="78"/>
        <v>0</v>
      </c>
      <c r="D569" s="28" t="e">
        <f t="shared" si="83"/>
        <v>#DIV/0!</v>
      </c>
      <c r="E569" s="28" t="e">
        <f t="shared" si="77"/>
        <v>#DIV/0!</v>
      </c>
      <c r="F569" s="28" t="e">
        <f t="shared" si="74"/>
        <v>#DIV/0!</v>
      </c>
      <c r="G569" s="28" t="e">
        <f>Prices!P568-D569</f>
        <v>#DIV/0!</v>
      </c>
      <c r="H569" s="28" t="e">
        <f t="shared" si="79"/>
        <v>#DIV/0!</v>
      </c>
      <c r="I569" s="28" t="e">
        <f t="shared" si="80"/>
        <v>#DIV/0!</v>
      </c>
      <c r="J569" s="28" t="e">
        <f t="shared" si="81"/>
        <v>#DIV/0!</v>
      </c>
      <c r="AI569" s="26"/>
      <c r="AJ569" s="26"/>
      <c r="AK569" s="26"/>
      <c r="AL569" s="26"/>
      <c r="AM569" s="26"/>
      <c r="AN569" s="26"/>
      <c r="AO569" s="26"/>
      <c r="AP569" s="25">
        <v>43009</v>
      </c>
      <c r="AQ569" s="29">
        <v>0.79364999999999997</v>
      </c>
      <c r="AR569" s="26"/>
      <c r="AS569" s="26"/>
      <c r="AT569" s="26"/>
      <c r="AU569" s="26"/>
      <c r="AV569" s="26"/>
      <c r="BA569" s="26">
        <f t="shared" si="75"/>
        <v>10</v>
      </c>
      <c r="BB569" s="26">
        <f t="shared" si="76"/>
        <v>2017</v>
      </c>
      <c r="BC569" s="25" t="e" vm="1">
        <v>#REF!</v>
      </c>
      <c r="BD569" s="26" t="e" vm="1">
        <v>#REF!</v>
      </c>
      <c r="BE569" s="26"/>
      <c r="BF569" s="26" t="e" vm="2">
        <f t="shared" si="67"/>
        <v>#VALUE!</v>
      </c>
      <c r="BG569" s="26" t="e" vm="2">
        <f t="shared" si="68"/>
        <v>#VALUE!</v>
      </c>
      <c r="BH569" s="26"/>
      <c r="BI569" s="26"/>
      <c r="BJ569" s="21" t="e" vm="1">
        <v>#REF!</v>
      </c>
      <c r="BK569" s="26" t="e" vm="1">
        <v>#REF!</v>
      </c>
      <c r="BL569" s="26"/>
      <c r="BM569" t="e" vm="2">
        <f t="shared" si="69"/>
        <v>#VALUE!</v>
      </c>
      <c r="BN569" t="e" vm="2">
        <f t="shared" si="70"/>
        <v>#VALUE!</v>
      </c>
      <c r="BO569" s="26"/>
      <c r="BP569" s="26"/>
      <c r="BQ569" s="26"/>
      <c r="BR569" s="25">
        <v>41913</v>
      </c>
      <c r="BS569" s="26">
        <f t="shared" si="72"/>
        <v>10</v>
      </c>
      <c r="BT569" s="26">
        <f t="shared" si="73"/>
        <v>2014</v>
      </c>
      <c r="BU569" s="26" t="e">
        <f t="shared" si="71"/>
        <v>#DIV/0!</v>
      </c>
    </row>
    <row r="570" spans="1:73" x14ac:dyDescent="0.2">
      <c r="A570" s="25">
        <f>Prices!A569</f>
        <v>43040</v>
      </c>
      <c r="B570" s="28">
        <f t="shared" si="82"/>
        <v>0</v>
      </c>
      <c r="C570" s="28">
        <f t="shared" si="78"/>
        <v>0</v>
      </c>
      <c r="D570" s="28" t="e">
        <f t="shared" si="83"/>
        <v>#DIV/0!</v>
      </c>
      <c r="E570" s="28" t="e">
        <f t="shared" si="77"/>
        <v>#DIV/0!</v>
      </c>
      <c r="F570" s="28" t="e">
        <f t="shared" si="74"/>
        <v>#DIV/0!</v>
      </c>
      <c r="G570" s="28" t="e">
        <f>Prices!P569-D570</f>
        <v>#DIV/0!</v>
      </c>
      <c r="H570" s="28" t="e">
        <f t="shared" si="79"/>
        <v>#DIV/0!</v>
      </c>
      <c r="I570" s="28" t="e">
        <f t="shared" si="80"/>
        <v>#DIV/0!</v>
      </c>
      <c r="J570" s="28" t="e">
        <f t="shared" si="81"/>
        <v>#DIV/0!</v>
      </c>
      <c r="L570" s="28">
        <f>'[4]Brazil Corn Price'!$DR217</f>
        <v>0</v>
      </c>
      <c r="M570" s="28">
        <f>'[4]Brazil Corn Price'!$DS217</f>
        <v>0</v>
      </c>
      <c r="N570" s="28">
        <f>'[4]Brazil Corn Price'!$DQ217</f>
        <v>0</v>
      </c>
      <c r="O570" s="28">
        <f>L570-N570</f>
        <v>0</v>
      </c>
      <c r="P570" s="28">
        <f>M570-N570</f>
        <v>0</v>
      </c>
      <c r="AI570" s="26"/>
      <c r="AJ570" s="26"/>
      <c r="AK570" s="26"/>
      <c r="AL570" s="26"/>
      <c r="AM570" s="26"/>
      <c r="AN570" s="26"/>
      <c r="AO570" s="26"/>
      <c r="AP570" s="25">
        <v>43040</v>
      </c>
      <c r="AQ570" s="29">
        <v>0.78330952380952368</v>
      </c>
      <c r="AR570" s="26"/>
      <c r="AS570" s="26"/>
      <c r="AT570" s="26"/>
      <c r="AU570" s="26"/>
      <c r="AV570" s="26"/>
      <c r="BA570" s="26">
        <f t="shared" si="75"/>
        <v>11</v>
      </c>
      <c r="BB570" s="26">
        <f t="shared" si="76"/>
        <v>2017</v>
      </c>
      <c r="BC570" s="25" t="e" vm="1">
        <v>#REF!</v>
      </c>
      <c r="BD570" s="26" t="e" vm="1">
        <v>#REF!</v>
      </c>
      <c r="BE570" s="26"/>
      <c r="BF570" s="26" t="e" vm="2">
        <f t="shared" si="67"/>
        <v>#VALUE!</v>
      </c>
      <c r="BG570" s="26" t="e" vm="2">
        <f t="shared" si="68"/>
        <v>#VALUE!</v>
      </c>
      <c r="BH570" s="26"/>
      <c r="BI570" s="26"/>
      <c r="BJ570" s="21" t="e" vm="1">
        <v>#REF!</v>
      </c>
      <c r="BK570" s="26" t="e" vm="1">
        <v>#REF!</v>
      </c>
      <c r="BL570" s="26"/>
      <c r="BM570" t="e" vm="2">
        <f t="shared" si="69"/>
        <v>#VALUE!</v>
      </c>
      <c r="BN570" t="e" vm="2">
        <f t="shared" si="70"/>
        <v>#VALUE!</v>
      </c>
      <c r="BO570" s="26"/>
      <c r="BP570" s="26"/>
      <c r="BQ570" s="26"/>
      <c r="BR570" s="25">
        <v>41944</v>
      </c>
      <c r="BS570" s="26">
        <f t="shared" si="72"/>
        <v>11</v>
      </c>
      <c r="BT570" s="26">
        <f t="shared" si="73"/>
        <v>2014</v>
      </c>
      <c r="BU570" s="26" t="e">
        <f t="shared" si="71"/>
        <v>#DIV/0!</v>
      </c>
    </row>
    <row r="571" spans="1:73" x14ac:dyDescent="0.2">
      <c r="A571" s="25">
        <f>Prices!A570</f>
        <v>43070</v>
      </c>
      <c r="B571" s="28">
        <f t="shared" si="82"/>
        <v>0</v>
      </c>
      <c r="C571" s="28">
        <f t="shared" si="78"/>
        <v>0</v>
      </c>
      <c r="D571" s="28" t="e">
        <f t="shared" si="83"/>
        <v>#DIV/0!</v>
      </c>
      <c r="E571" s="28" t="e">
        <f t="shared" si="77"/>
        <v>#DIV/0!</v>
      </c>
      <c r="F571" s="28" t="e">
        <f t="shared" si="74"/>
        <v>#DIV/0!</v>
      </c>
      <c r="G571" s="28" t="e">
        <f>Prices!P570-D571</f>
        <v>#DIV/0!</v>
      </c>
      <c r="H571" s="28" t="e">
        <f t="shared" si="79"/>
        <v>#DIV/0!</v>
      </c>
      <c r="I571" s="28" t="e">
        <f t="shared" si="80"/>
        <v>#DIV/0!</v>
      </c>
      <c r="J571" s="28" t="e">
        <f t="shared" si="81"/>
        <v>#DIV/0!</v>
      </c>
      <c r="L571" s="28">
        <f>'[4]Brazil Corn Price'!$DR218</f>
        <v>0</v>
      </c>
      <c r="M571" s="28">
        <f>'[4]Brazil Corn Price'!$DS218</f>
        <v>0</v>
      </c>
      <c r="N571" s="28">
        <f>'[4]Brazil Corn Price'!$DQ218</f>
        <v>0</v>
      </c>
      <c r="O571" s="28">
        <f t="shared" ref="O571:O634" si="84">L571-N571</f>
        <v>0</v>
      </c>
      <c r="P571" s="28">
        <f t="shared" ref="P571:P634" si="85">M571-N571</f>
        <v>0</v>
      </c>
      <c r="AI571" s="26"/>
      <c r="AJ571" s="26"/>
      <c r="AK571" s="26"/>
      <c r="AL571" s="26"/>
      <c r="AM571" s="26"/>
      <c r="AN571" s="26"/>
      <c r="AO571" s="26"/>
      <c r="AP571" s="25">
        <v>43070</v>
      </c>
      <c r="AQ571" s="29">
        <v>0.78382499999999999</v>
      </c>
      <c r="AR571" s="26"/>
      <c r="AS571" s="26"/>
      <c r="AT571" s="26"/>
      <c r="AU571" s="26"/>
      <c r="AV571" s="26"/>
      <c r="BA571" s="26">
        <f t="shared" si="75"/>
        <v>12</v>
      </c>
      <c r="BB571" s="26">
        <f t="shared" si="76"/>
        <v>2017</v>
      </c>
      <c r="BC571" s="25" t="e" vm="1">
        <v>#REF!</v>
      </c>
      <c r="BD571" s="26" t="e" vm="1">
        <v>#REF!</v>
      </c>
      <c r="BE571" s="26"/>
      <c r="BF571" s="26" t="e" vm="2">
        <f t="shared" si="67"/>
        <v>#VALUE!</v>
      </c>
      <c r="BG571" s="26" t="e" vm="2">
        <f t="shared" si="68"/>
        <v>#VALUE!</v>
      </c>
      <c r="BH571" s="26"/>
      <c r="BI571" s="26"/>
      <c r="BJ571" s="21" t="e" vm="1">
        <v>#REF!</v>
      </c>
      <c r="BK571" s="26" t="e" vm="1">
        <v>#REF!</v>
      </c>
      <c r="BL571" s="26"/>
      <c r="BM571" t="e" vm="2">
        <f t="shared" si="69"/>
        <v>#VALUE!</v>
      </c>
      <c r="BN571" t="e" vm="2">
        <f t="shared" si="70"/>
        <v>#VALUE!</v>
      </c>
      <c r="BO571" s="26"/>
      <c r="BP571" s="26"/>
      <c r="BQ571" s="26"/>
      <c r="BR571" s="25">
        <v>41974</v>
      </c>
      <c r="BS571" s="26">
        <f t="shared" si="72"/>
        <v>12</v>
      </c>
      <c r="BT571" s="26">
        <f t="shared" si="73"/>
        <v>2014</v>
      </c>
      <c r="BU571" s="26" t="e">
        <f t="shared" si="71"/>
        <v>#DIV/0!</v>
      </c>
    </row>
    <row r="572" spans="1:73" x14ac:dyDescent="0.2">
      <c r="A572" s="25">
        <f>Prices!A571</f>
        <v>43101</v>
      </c>
      <c r="B572" s="28">
        <f t="shared" si="82"/>
        <v>0</v>
      </c>
      <c r="C572" s="28">
        <f t="shared" si="78"/>
        <v>0</v>
      </c>
      <c r="D572" s="28" t="e">
        <f t="shared" si="83"/>
        <v>#DIV/0!</v>
      </c>
      <c r="E572" s="28" t="e">
        <f t="shared" si="77"/>
        <v>#DIV/0!</v>
      </c>
      <c r="F572" s="28" t="e">
        <f t="shared" si="74"/>
        <v>#DIV/0!</v>
      </c>
      <c r="G572" s="28" t="e">
        <f>Prices!P571-D572</f>
        <v>#DIV/0!</v>
      </c>
      <c r="H572" s="28" t="e">
        <f t="shared" si="79"/>
        <v>#DIV/0!</v>
      </c>
      <c r="I572" s="28" t="e">
        <f t="shared" si="80"/>
        <v>#DIV/0!</v>
      </c>
      <c r="J572" s="28" t="e">
        <f t="shared" si="81"/>
        <v>#DIV/0!</v>
      </c>
      <c r="L572" s="28">
        <f>'[4]Brazil Corn Price'!$DR219</f>
        <v>0</v>
      </c>
      <c r="M572" s="28">
        <f>'[4]Brazil Corn Price'!$DS219</f>
        <v>0</v>
      </c>
      <c r="N572" s="28">
        <f>'[4]Brazil Corn Price'!$DQ219</f>
        <v>0</v>
      </c>
      <c r="O572" s="28">
        <f t="shared" si="84"/>
        <v>0</v>
      </c>
      <c r="P572" s="28">
        <f t="shared" si="85"/>
        <v>0</v>
      </c>
      <c r="AI572" s="26"/>
      <c r="AJ572" s="26"/>
      <c r="AK572" s="26"/>
      <c r="AL572" s="26"/>
      <c r="AM572" s="26"/>
      <c r="AN572" s="26"/>
      <c r="AO572" s="26"/>
      <c r="AP572" s="25">
        <v>43101</v>
      </c>
      <c r="AQ572" s="29">
        <v>0.8048238095238095</v>
      </c>
      <c r="AR572" s="26"/>
      <c r="AS572" s="26"/>
      <c r="AT572" s="26"/>
      <c r="AU572" s="26"/>
      <c r="AV572" s="26"/>
      <c r="BA572" s="26">
        <f t="shared" si="75"/>
        <v>1</v>
      </c>
      <c r="BB572" s="26">
        <f t="shared" si="76"/>
        <v>2018</v>
      </c>
      <c r="BC572" s="25" t="e" vm="1">
        <v>#REF!</v>
      </c>
      <c r="BD572" s="26" t="e" vm="1">
        <v>#REF!</v>
      </c>
      <c r="BE572" s="26"/>
      <c r="BF572" s="26" t="e" vm="2">
        <f t="shared" si="67"/>
        <v>#VALUE!</v>
      </c>
      <c r="BG572" s="26" t="e" vm="2">
        <f t="shared" si="68"/>
        <v>#VALUE!</v>
      </c>
      <c r="BH572" s="26"/>
      <c r="BI572" s="26"/>
      <c r="BJ572" s="21" t="e" vm="1">
        <v>#REF!</v>
      </c>
      <c r="BK572" s="26" t="e" vm="1">
        <v>#REF!</v>
      </c>
      <c r="BL572" s="26"/>
      <c r="BM572" t="e" vm="2">
        <f t="shared" si="69"/>
        <v>#VALUE!</v>
      </c>
      <c r="BN572" t="e" vm="2">
        <f t="shared" si="70"/>
        <v>#VALUE!</v>
      </c>
      <c r="BO572" s="26"/>
      <c r="BP572" s="26"/>
      <c r="BQ572" s="26"/>
      <c r="BR572" s="25">
        <v>42005</v>
      </c>
      <c r="BS572" s="26">
        <f t="shared" si="72"/>
        <v>1</v>
      </c>
      <c r="BT572" s="26">
        <f t="shared" si="73"/>
        <v>2015</v>
      </c>
      <c r="BU572" s="26" t="e">
        <f t="shared" si="71"/>
        <v>#DIV/0!</v>
      </c>
    </row>
    <row r="573" spans="1:73" x14ac:dyDescent="0.2">
      <c r="A573" s="25">
        <f>Prices!A572</f>
        <v>43132</v>
      </c>
      <c r="B573" s="28">
        <f t="shared" si="82"/>
        <v>0</v>
      </c>
      <c r="C573" s="28">
        <f t="shared" si="78"/>
        <v>0</v>
      </c>
      <c r="D573" s="28" t="e">
        <f t="shared" si="83"/>
        <v>#DIV/0!</v>
      </c>
      <c r="E573" s="28" t="e">
        <f t="shared" si="77"/>
        <v>#DIV/0!</v>
      </c>
      <c r="F573" s="28" t="e">
        <f t="shared" si="74"/>
        <v>#DIV/0!</v>
      </c>
      <c r="G573" s="28" t="e">
        <f>Prices!P572-D573</f>
        <v>#DIV/0!</v>
      </c>
      <c r="H573" s="28" t="e">
        <f t="shared" si="79"/>
        <v>#DIV/0!</v>
      </c>
      <c r="I573" s="28" t="e">
        <f t="shared" si="80"/>
        <v>#DIV/0!</v>
      </c>
      <c r="J573" s="28" t="e">
        <f t="shared" si="81"/>
        <v>#DIV/0!</v>
      </c>
      <c r="L573" s="28">
        <f>'[4]Brazil Corn Price'!$DR220</f>
        <v>0</v>
      </c>
      <c r="M573" s="28">
        <f>'[4]Brazil Corn Price'!$DS220</f>
        <v>0</v>
      </c>
      <c r="N573" s="28">
        <f>'[4]Brazil Corn Price'!$DQ220</f>
        <v>0</v>
      </c>
      <c r="O573" s="28">
        <f t="shared" si="84"/>
        <v>0</v>
      </c>
      <c r="P573" s="28">
        <f t="shared" si="85"/>
        <v>0</v>
      </c>
      <c r="AI573" s="26"/>
      <c r="AJ573" s="26"/>
      <c r="AK573" s="26"/>
      <c r="AL573" s="26"/>
      <c r="AM573" s="26"/>
      <c r="AN573" s="26"/>
      <c r="AO573" s="26"/>
      <c r="AP573" s="25">
        <v>43132</v>
      </c>
      <c r="AQ573" s="29">
        <v>0.79462368421052632</v>
      </c>
      <c r="AR573" s="26"/>
      <c r="AS573" s="26"/>
      <c r="AT573" s="26"/>
      <c r="AU573" s="26"/>
      <c r="AV573" s="26"/>
      <c r="BA573" s="26">
        <f t="shared" si="75"/>
        <v>2</v>
      </c>
      <c r="BB573" s="26">
        <f t="shared" si="76"/>
        <v>2018</v>
      </c>
      <c r="BC573" s="25" t="e" vm="1">
        <v>#REF!</v>
      </c>
      <c r="BD573" s="26" t="e" vm="1">
        <v>#REF!</v>
      </c>
      <c r="BE573" s="26"/>
      <c r="BF573" s="26" t="e" vm="2">
        <f t="shared" si="67"/>
        <v>#VALUE!</v>
      </c>
      <c r="BG573" s="26" t="e" vm="2">
        <f t="shared" si="68"/>
        <v>#VALUE!</v>
      </c>
      <c r="BH573" s="26"/>
      <c r="BI573" s="26"/>
      <c r="BJ573" s="21" t="e" vm="1">
        <v>#REF!</v>
      </c>
      <c r="BK573" s="26" t="e" vm="1">
        <v>#REF!</v>
      </c>
      <c r="BL573" s="26"/>
      <c r="BM573" t="e" vm="2">
        <f t="shared" si="69"/>
        <v>#VALUE!</v>
      </c>
      <c r="BN573" t="e" vm="2">
        <f t="shared" si="70"/>
        <v>#VALUE!</v>
      </c>
      <c r="BO573" s="26"/>
      <c r="BP573" s="26"/>
      <c r="BQ573" s="26"/>
      <c r="BR573" s="25">
        <v>42036</v>
      </c>
      <c r="BS573" s="26">
        <f t="shared" si="72"/>
        <v>2</v>
      </c>
      <c r="BT573" s="26">
        <f t="shared" si="73"/>
        <v>2015</v>
      </c>
      <c r="BU573" s="26" t="e">
        <f t="shared" si="71"/>
        <v>#DIV/0!</v>
      </c>
    </row>
    <row r="574" spans="1:73" x14ac:dyDescent="0.2">
      <c r="A574" s="25">
        <f>Prices!A573</f>
        <v>43160</v>
      </c>
      <c r="B574" s="28">
        <f t="shared" si="82"/>
        <v>0</v>
      </c>
      <c r="C574" s="28">
        <f t="shared" si="78"/>
        <v>0</v>
      </c>
      <c r="D574" s="28" t="e">
        <f t="shared" si="83"/>
        <v>#DIV/0!</v>
      </c>
      <c r="E574" s="28" t="e">
        <f t="shared" si="77"/>
        <v>#DIV/0!</v>
      </c>
      <c r="F574" s="28" t="e">
        <f t="shared" si="74"/>
        <v>#DIV/0!</v>
      </c>
      <c r="G574" s="28" t="e">
        <f>Prices!P573-D574</f>
        <v>#DIV/0!</v>
      </c>
      <c r="H574" s="28" t="e">
        <f t="shared" si="79"/>
        <v>#DIV/0!</v>
      </c>
      <c r="I574" s="28" t="e">
        <f t="shared" si="80"/>
        <v>#DIV/0!</v>
      </c>
      <c r="J574" s="28" t="e">
        <f t="shared" si="81"/>
        <v>#DIV/0!</v>
      </c>
      <c r="L574" s="28">
        <f>'[4]Brazil Corn Price'!$DR221</f>
        <v>0</v>
      </c>
      <c r="M574" s="28">
        <f>'[4]Brazil Corn Price'!$DS221</f>
        <v>0</v>
      </c>
      <c r="N574" s="28">
        <f>'[4]Brazil Corn Price'!$DQ221</f>
        <v>0</v>
      </c>
      <c r="O574" s="28">
        <f t="shared" si="84"/>
        <v>0</v>
      </c>
      <c r="P574" s="28">
        <f t="shared" si="85"/>
        <v>0</v>
      </c>
      <c r="AI574" s="26"/>
      <c r="AJ574" s="26"/>
      <c r="AK574" s="26"/>
      <c r="AL574" s="26"/>
      <c r="AM574" s="26"/>
      <c r="AN574" s="26"/>
      <c r="AO574" s="26"/>
      <c r="AP574" s="25">
        <v>43160</v>
      </c>
      <c r="AQ574" s="29">
        <v>0.77349285714285709</v>
      </c>
      <c r="AR574" s="26"/>
      <c r="AS574" s="26"/>
      <c r="AT574" s="26"/>
      <c r="AU574" s="26"/>
      <c r="AV574" s="26"/>
      <c r="BA574" s="26">
        <f t="shared" si="75"/>
        <v>3</v>
      </c>
      <c r="BB574" s="26">
        <f t="shared" si="76"/>
        <v>2018</v>
      </c>
      <c r="BC574" s="25" t="e" vm="1">
        <v>#REF!</v>
      </c>
      <c r="BD574" s="26" t="e" vm="1">
        <v>#REF!</v>
      </c>
      <c r="BE574" s="26"/>
      <c r="BF574" s="26" t="e" vm="2">
        <f t="shared" si="67"/>
        <v>#VALUE!</v>
      </c>
      <c r="BG574" s="26" t="e" vm="2">
        <f t="shared" si="68"/>
        <v>#VALUE!</v>
      </c>
      <c r="BH574" s="26"/>
      <c r="BI574" s="26"/>
      <c r="BJ574" s="21" t="e" vm="1">
        <v>#REF!</v>
      </c>
      <c r="BK574" s="26" t="e" vm="1">
        <v>#REF!</v>
      </c>
      <c r="BL574" s="26"/>
      <c r="BM574" t="e" vm="2">
        <f t="shared" si="69"/>
        <v>#VALUE!</v>
      </c>
      <c r="BN574" t="e" vm="2">
        <f t="shared" si="70"/>
        <v>#VALUE!</v>
      </c>
      <c r="BO574" s="26"/>
      <c r="BP574" s="26"/>
      <c r="BQ574" s="26"/>
      <c r="BR574" s="25">
        <v>42064</v>
      </c>
      <c r="BS574" s="26">
        <f t="shared" si="72"/>
        <v>3</v>
      </c>
      <c r="BT574" s="26">
        <f t="shared" si="73"/>
        <v>2015</v>
      </c>
      <c r="BU574" s="26" t="e">
        <f t="shared" si="71"/>
        <v>#DIV/0!</v>
      </c>
    </row>
    <row r="575" spans="1:73" x14ac:dyDescent="0.2">
      <c r="A575" s="25">
        <f>Prices!A574</f>
        <v>43191</v>
      </c>
      <c r="B575" s="28">
        <f t="shared" si="82"/>
        <v>0</v>
      </c>
      <c r="C575" s="28">
        <f t="shared" si="78"/>
        <v>0</v>
      </c>
      <c r="D575" s="28" t="e">
        <f t="shared" si="83"/>
        <v>#DIV/0!</v>
      </c>
      <c r="E575" s="28" t="e">
        <f t="shared" si="77"/>
        <v>#DIV/0!</v>
      </c>
      <c r="F575" s="28" t="e">
        <f t="shared" si="74"/>
        <v>#DIV/0!</v>
      </c>
      <c r="G575" s="28" t="e">
        <f>Prices!P574-D575</f>
        <v>#DIV/0!</v>
      </c>
      <c r="H575" s="28" t="e">
        <f t="shared" si="79"/>
        <v>#DIV/0!</v>
      </c>
      <c r="I575" s="28" t="e">
        <f t="shared" si="80"/>
        <v>#DIV/0!</v>
      </c>
      <c r="J575" s="28" t="e">
        <f t="shared" si="81"/>
        <v>#DIV/0!</v>
      </c>
      <c r="L575" s="28">
        <f>'[4]Brazil Corn Price'!$DR222</f>
        <v>0</v>
      </c>
      <c r="M575" s="28">
        <f>'[4]Brazil Corn Price'!$DS222</f>
        <v>0</v>
      </c>
      <c r="N575" s="28">
        <f>'[4]Brazil Corn Price'!$DQ222</f>
        <v>0</v>
      </c>
      <c r="O575" s="28">
        <f t="shared" si="84"/>
        <v>0</v>
      </c>
      <c r="P575" s="28">
        <f t="shared" si="85"/>
        <v>0</v>
      </c>
      <c r="AI575" s="26"/>
      <c r="AJ575" s="26"/>
      <c r="AK575" s="26"/>
      <c r="AL575" s="26"/>
      <c r="AM575" s="26"/>
      <c r="AN575" s="26"/>
      <c r="AO575" s="26"/>
      <c r="AP575" s="25">
        <v>43191</v>
      </c>
      <c r="AQ575" s="29">
        <v>0.78561428571428582</v>
      </c>
      <c r="AR575" s="26"/>
      <c r="AS575" s="26"/>
      <c r="AT575" s="26"/>
      <c r="AU575" s="26"/>
      <c r="AV575" s="26"/>
      <c r="BA575" s="26">
        <f t="shared" si="75"/>
        <v>4</v>
      </c>
      <c r="BB575" s="26">
        <f t="shared" si="76"/>
        <v>2018</v>
      </c>
      <c r="BC575" s="25" t="e" vm="1">
        <v>#REF!</v>
      </c>
      <c r="BD575" s="26" t="e" vm="1">
        <v>#REF!</v>
      </c>
      <c r="BE575" s="26"/>
      <c r="BF575" s="26" t="e" vm="2">
        <f t="shared" si="67"/>
        <v>#VALUE!</v>
      </c>
      <c r="BG575" s="26" t="e" vm="2">
        <f t="shared" si="68"/>
        <v>#VALUE!</v>
      </c>
      <c r="BH575" s="26"/>
      <c r="BI575" s="26"/>
      <c r="BJ575" s="21" t="e" vm="1">
        <v>#REF!</v>
      </c>
      <c r="BK575" s="26" t="e" vm="1">
        <v>#REF!</v>
      </c>
      <c r="BL575" s="26"/>
      <c r="BM575" t="e" vm="2">
        <f t="shared" si="69"/>
        <v>#VALUE!</v>
      </c>
      <c r="BN575" t="e" vm="2">
        <f t="shared" si="70"/>
        <v>#VALUE!</v>
      </c>
      <c r="BO575" s="26"/>
      <c r="BP575" s="26"/>
      <c r="BQ575" s="26"/>
      <c r="BR575" s="25">
        <v>42095</v>
      </c>
      <c r="BS575" s="26">
        <f t="shared" si="72"/>
        <v>4</v>
      </c>
      <c r="BT575" s="26">
        <f t="shared" si="73"/>
        <v>2015</v>
      </c>
      <c r="BU575" s="26" t="e">
        <f t="shared" si="71"/>
        <v>#DIV/0!</v>
      </c>
    </row>
    <row r="576" spans="1:73" x14ac:dyDescent="0.2">
      <c r="A576" s="25">
        <f>Prices!A575</f>
        <v>43221</v>
      </c>
      <c r="B576" s="28">
        <f t="shared" si="82"/>
        <v>0</v>
      </c>
      <c r="C576" s="28">
        <f t="shared" si="78"/>
        <v>0</v>
      </c>
      <c r="D576" s="28" t="e">
        <f t="shared" si="83"/>
        <v>#DIV/0!</v>
      </c>
      <c r="E576" s="28" t="e">
        <f t="shared" si="77"/>
        <v>#DIV/0!</v>
      </c>
      <c r="F576" s="28" t="e">
        <f t="shared" si="74"/>
        <v>#DIV/0!</v>
      </c>
      <c r="G576" s="28" t="e">
        <f>Prices!P575-D576</f>
        <v>#DIV/0!</v>
      </c>
      <c r="H576" s="28" t="e">
        <f t="shared" si="79"/>
        <v>#DIV/0!</v>
      </c>
      <c r="I576" s="28" t="e">
        <f t="shared" si="80"/>
        <v>#DIV/0!</v>
      </c>
      <c r="J576" s="28" t="e">
        <f t="shared" si="81"/>
        <v>#DIV/0!</v>
      </c>
      <c r="L576" s="28">
        <f>'[4]Brazil Corn Price'!$DR223</f>
        <v>0</v>
      </c>
      <c r="M576" s="28">
        <f>'[4]Brazil Corn Price'!$DS223</f>
        <v>0</v>
      </c>
      <c r="N576" s="28">
        <f>'[4]Brazil Corn Price'!$DQ223</f>
        <v>0</v>
      </c>
      <c r="O576" s="28">
        <f t="shared" si="84"/>
        <v>0</v>
      </c>
      <c r="P576" s="28">
        <f t="shared" si="85"/>
        <v>0</v>
      </c>
      <c r="AI576" s="26"/>
      <c r="AJ576" s="26"/>
      <c r="AK576" s="26"/>
      <c r="AL576" s="26"/>
      <c r="AM576" s="26"/>
      <c r="AN576" s="26"/>
      <c r="AO576" s="26"/>
      <c r="AP576" s="25">
        <v>43221</v>
      </c>
      <c r="AQ576" s="29">
        <v>0.77769318181818192</v>
      </c>
      <c r="AR576" s="26"/>
      <c r="AS576" s="26"/>
      <c r="AT576" s="26"/>
      <c r="AU576" s="26"/>
      <c r="AV576" s="26"/>
      <c r="BA576" s="26">
        <f t="shared" si="75"/>
        <v>5</v>
      </c>
      <c r="BB576" s="26">
        <f t="shared" si="76"/>
        <v>2018</v>
      </c>
      <c r="BC576" s="25" t="e" vm="1">
        <v>#REF!</v>
      </c>
      <c r="BD576" s="26" t="e" vm="1">
        <v>#REF!</v>
      </c>
      <c r="BE576" s="26"/>
      <c r="BF576" s="26" t="e" vm="2">
        <f t="shared" si="67"/>
        <v>#VALUE!</v>
      </c>
      <c r="BG576" s="26" t="e" vm="2">
        <f t="shared" si="68"/>
        <v>#VALUE!</v>
      </c>
      <c r="BH576" s="26"/>
      <c r="BI576" s="26"/>
      <c r="BJ576" s="21" t="e" vm="1">
        <v>#REF!</v>
      </c>
      <c r="BK576" s="26" t="e" vm="1">
        <v>#REF!</v>
      </c>
      <c r="BL576" s="26"/>
      <c r="BM576" t="e" vm="2">
        <f t="shared" si="69"/>
        <v>#VALUE!</v>
      </c>
      <c r="BN576" t="e" vm="2">
        <f t="shared" si="70"/>
        <v>#VALUE!</v>
      </c>
      <c r="BO576" s="26"/>
      <c r="BP576" s="26"/>
      <c r="BQ576" s="26"/>
      <c r="BR576" s="25">
        <v>42125</v>
      </c>
      <c r="BS576" s="26">
        <f t="shared" si="72"/>
        <v>5</v>
      </c>
      <c r="BT576" s="26">
        <f t="shared" si="73"/>
        <v>2015</v>
      </c>
      <c r="BU576" s="26" t="e">
        <f t="shared" si="71"/>
        <v>#DIV/0!</v>
      </c>
    </row>
    <row r="577" spans="1:73" x14ac:dyDescent="0.2">
      <c r="A577" s="25">
        <f>Prices!A576</f>
        <v>43252</v>
      </c>
      <c r="B577" s="28">
        <f t="shared" si="82"/>
        <v>0</v>
      </c>
      <c r="C577" s="28">
        <f t="shared" si="78"/>
        <v>0</v>
      </c>
      <c r="D577" s="28" t="e">
        <f t="shared" si="83"/>
        <v>#DIV/0!</v>
      </c>
      <c r="E577" s="28" t="e">
        <f t="shared" si="77"/>
        <v>#DIV/0!</v>
      </c>
      <c r="F577" s="28" t="e">
        <f t="shared" si="74"/>
        <v>#DIV/0!</v>
      </c>
      <c r="G577" s="28" t="e">
        <f>Prices!P576-D577</f>
        <v>#DIV/0!</v>
      </c>
      <c r="H577" s="28" t="e">
        <f t="shared" si="79"/>
        <v>#DIV/0!</v>
      </c>
      <c r="I577" s="28" t="e">
        <f t="shared" si="80"/>
        <v>#DIV/0!</v>
      </c>
      <c r="J577" s="28" t="e">
        <f t="shared" si="81"/>
        <v>#DIV/0!</v>
      </c>
      <c r="L577" s="28">
        <f>'[4]Brazil Corn Price'!$DR224</f>
        <v>0</v>
      </c>
      <c r="M577" s="28">
        <f>'[4]Brazil Corn Price'!$DS224</f>
        <v>0</v>
      </c>
      <c r="N577" s="28">
        <f>'[4]Brazil Corn Price'!$DQ224</f>
        <v>0</v>
      </c>
      <c r="O577" s="28">
        <f t="shared" si="84"/>
        <v>0</v>
      </c>
      <c r="P577" s="28">
        <f t="shared" si="85"/>
        <v>0</v>
      </c>
      <c r="AI577" s="26"/>
      <c r="AJ577" s="26"/>
      <c r="AK577" s="26"/>
      <c r="AL577" s="26"/>
      <c r="AM577" s="26"/>
      <c r="AN577" s="26"/>
      <c r="AO577" s="26"/>
      <c r="AP577" s="25">
        <v>43252</v>
      </c>
      <c r="AQ577" s="29">
        <v>0.76184047619047612</v>
      </c>
      <c r="AR577" s="26"/>
      <c r="AS577" s="26"/>
      <c r="AT577" s="26"/>
      <c r="AU577" s="26"/>
      <c r="AV577" s="26"/>
      <c r="BA577" s="26">
        <f t="shared" si="75"/>
        <v>6</v>
      </c>
      <c r="BB577" s="26">
        <f t="shared" si="76"/>
        <v>2018</v>
      </c>
      <c r="BC577" s="25" t="e" vm="1">
        <v>#REF!</v>
      </c>
      <c r="BD577" s="26" t="e" vm="1">
        <v>#REF!</v>
      </c>
      <c r="BE577" s="26"/>
      <c r="BF577" s="26" t="e" vm="2">
        <f t="shared" si="67"/>
        <v>#VALUE!</v>
      </c>
      <c r="BG577" s="26" t="e" vm="2">
        <f t="shared" si="68"/>
        <v>#VALUE!</v>
      </c>
      <c r="BH577" s="26"/>
      <c r="BI577" s="26"/>
      <c r="BJ577" s="21" t="e" vm="1">
        <v>#REF!</v>
      </c>
      <c r="BK577" s="26" t="e" vm="1">
        <v>#REF!</v>
      </c>
      <c r="BL577" s="26"/>
      <c r="BM577" t="e" vm="2">
        <f t="shared" si="69"/>
        <v>#VALUE!</v>
      </c>
      <c r="BN577" t="e" vm="2">
        <f t="shared" si="70"/>
        <v>#VALUE!</v>
      </c>
      <c r="BO577" s="26"/>
      <c r="BP577" s="26"/>
      <c r="BQ577" s="26"/>
      <c r="BR577" s="25">
        <v>42156</v>
      </c>
      <c r="BS577" s="26">
        <f t="shared" si="72"/>
        <v>6</v>
      </c>
      <c r="BT577" s="26">
        <f t="shared" si="73"/>
        <v>2015</v>
      </c>
      <c r="BU577" s="26" t="e">
        <f t="shared" si="71"/>
        <v>#DIV/0!</v>
      </c>
    </row>
    <row r="578" spans="1:73" x14ac:dyDescent="0.2">
      <c r="A578" s="25">
        <f>Prices!A577</f>
        <v>43282</v>
      </c>
      <c r="B578" s="28">
        <f t="shared" si="82"/>
        <v>0</v>
      </c>
      <c r="C578" s="28">
        <f t="shared" si="78"/>
        <v>0</v>
      </c>
      <c r="D578" s="28" t="e">
        <f t="shared" si="83"/>
        <v>#DIV/0!</v>
      </c>
      <c r="E578" s="28" t="e">
        <f t="shared" si="77"/>
        <v>#DIV/0!</v>
      </c>
      <c r="F578" s="28" t="e">
        <f t="shared" si="74"/>
        <v>#DIV/0!</v>
      </c>
      <c r="G578" s="28" t="e">
        <f>Prices!P577-D578</f>
        <v>#DIV/0!</v>
      </c>
      <c r="H578" s="28" t="e">
        <f t="shared" si="79"/>
        <v>#DIV/0!</v>
      </c>
      <c r="I578" s="28" t="e">
        <f t="shared" si="80"/>
        <v>#DIV/0!</v>
      </c>
      <c r="J578" s="28" t="e">
        <f t="shared" si="81"/>
        <v>#DIV/0!</v>
      </c>
      <c r="L578" s="28">
        <f>'[4]Brazil Corn Price'!$DR225</f>
        <v>0</v>
      </c>
      <c r="M578" s="28">
        <f>'[4]Brazil Corn Price'!$DS225</f>
        <v>0</v>
      </c>
      <c r="N578" s="28">
        <f>'[4]Brazil Corn Price'!$DQ225</f>
        <v>0</v>
      </c>
      <c r="O578" s="28">
        <f t="shared" si="84"/>
        <v>0</v>
      </c>
      <c r="P578" s="28">
        <f t="shared" si="85"/>
        <v>0</v>
      </c>
      <c r="AI578" s="26"/>
      <c r="AJ578" s="26"/>
      <c r="AK578" s="26"/>
      <c r="AL578" s="26"/>
      <c r="AM578" s="26"/>
      <c r="AN578" s="26"/>
      <c r="AO578" s="26"/>
      <c r="AP578" s="25">
        <v>43282</v>
      </c>
      <c r="AQ578" s="29">
        <v>0.76159285714285707</v>
      </c>
      <c r="AR578" s="26"/>
      <c r="AS578" s="26"/>
      <c r="AT578" s="26"/>
      <c r="AU578" s="26"/>
      <c r="AV578" s="26"/>
      <c r="BA578" s="26">
        <f t="shared" si="75"/>
        <v>7</v>
      </c>
      <c r="BB578" s="26">
        <f t="shared" si="76"/>
        <v>2018</v>
      </c>
      <c r="BC578" s="25" t="e" vm="1">
        <v>#REF!</v>
      </c>
      <c r="BD578" s="26" t="e" vm="1">
        <v>#REF!</v>
      </c>
      <c r="BE578" s="26"/>
      <c r="BF578" s="26" t="e" vm="2">
        <f t="shared" si="67"/>
        <v>#VALUE!</v>
      </c>
      <c r="BG578" s="26" t="e" vm="2">
        <f t="shared" si="68"/>
        <v>#VALUE!</v>
      </c>
      <c r="BH578" s="26"/>
      <c r="BI578" s="26"/>
      <c r="BJ578" s="21" t="e" vm="1">
        <v>#REF!</v>
      </c>
      <c r="BK578" s="26" t="e" vm="1">
        <v>#REF!</v>
      </c>
      <c r="BL578" s="26"/>
      <c r="BM578" t="e" vm="2">
        <f t="shared" si="69"/>
        <v>#VALUE!</v>
      </c>
      <c r="BN578" t="e" vm="2">
        <f t="shared" si="70"/>
        <v>#VALUE!</v>
      </c>
      <c r="BO578" s="26"/>
      <c r="BP578" s="26"/>
      <c r="BQ578" s="26"/>
      <c r="BR578" s="25">
        <v>42186</v>
      </c>
      <c r="BS578" s="26">
        <f t="shared" si="72"/>
        <v>7</v>
      </c>
      <c r="BT578" s="26">
        <f t="shared" si="73"/>
        <v>2015</v>
      </c>
      <c r="BU578" s="26" t="e">
        <f t="shared" si="71"/>
        <v>#DIV/0!</v>
      </c>
    </row>
    <row r="579" spans="1:73" x14ac:dyDescent="0.2">
      <c r="A579" s="25">
        <f>Prices!A578</f>
        <v>43313</v>
      </c>
      <c r="B579" s="28">
        <f t="shared" si="82"/>
        <v>0</v>
      </c>
      <c r="C579" s="28">
        <f t="shared" si="78"/>
        <v>0</v>
      </c>
      <c r="D579" s="28" t="e">
        <f t="shared" si="83"/>
        <v>#DIV/0!</v>
      </c>
      <c r="E579" s="28" t="e">
        <f t="shared" si="77"/>
        <v>#DIV/0!</v>
      </c>
      <c r="F579" s="28" t="e">
        <f t="shared" si="74"/>
        <v>#DIV/0!</v>
      </c>
      <c r="G579" s="28" t="e">
        <f>Prices!P578-D579</f>
        <v>#DIV/0!</v>
      </c>
      <c r="H579" s="28" t="e">
        <f t="shared" si="79"/>
        <v>#DIV/0!</v>
      </c>
      <c r="I579" s="28" t="e">
        <f t="shared" si="80"/>
        <v>#DIV/0!</v>
      </c>
      <c r="J579" s="28" t="e">
        <f t="shared" si="81"/>
        <v>#DIV/0!</v>
      </c>
      <c r="L579" s="28">
        <f>'[4]Brazil Corn Price'!$DR226</f>
        <v>0</v>
      </c>
      <c r="M579" s="28">
        <f>'[4]Brazil Corn Price'!$DS226</f>
        <v>0</v>
      </c>
      <c r="N579" s="28">
        <f>'[4]Brazil Corn Price'!$DQ226</f>
        <v>0</v>
      </c>
      <c r="O579" s="28">
        <f t="shared" si="84"/>
        <v>0</v>
      </c>
      <c r="P579" s="28">
        <f t="shared" si="85"/>
        <v>0</v>
      </c>
      <c r="AI579" s="26"/>
      <c r="AJ579" s="26"/>
      <c r="AK579" s="26"/>
      <c r="AL579" s="26"/>
      <c r="AM579" s="26"/>
      <c r="AN579" s="26"/>
      <c r="AO579" s="26"/>
      <c r="AP579" s="25">
        <v>43313</v>
      </c>
      <c r="AQ579" s="29">
        <v>0.76712173913043469</v>
      </c>
      <c r="AR579" s="26"/>
      <c r="AS579" s="26"/>
      <c r="AT579" s="26"/>
      <c r="AU579" s="26"/>
      <c r="AV579" s="26"/>
      <c r="BA579" s="26">
        <f t="shared" si="75"/>
        <v>8</v>
      </c>
      <c r="BB579" s="26">
        <f t="shared" si="76"/>
        <v>2018</v>
      </c>
      <c r="BC579" s="25" t="e" vm="1">
        <v>#REF!</v>
      </c>
      <c r="BD579" s="26" t="e" vm="1">
        <v>#REF!</v>
      </c>
      <c r="BE579" s="26"/>
      <c r="BF579" s="26" t="e" vm="2">
        <f t="shared" ref="BF579:BF642" si="86">MONTH(BC579)</f>
        <v>#VALUE!</v>
      </c>
      <c r="BG579" s="26" t="e" vm="2">
        <f t="shared" ref="BG579:BG642" si="87">YEAR(BC579)</f>
        <v>#VALUE!</v>
      </c>
      <c r="BH579" s="26"/>
      <c r="BI579" s="26"/>
      <c r="BJ579" s="21" t="e" vm="1">
        <v>#REF!</v>
      </c>
      <c r="BK579" s="26" t="e" vm="1">
        <v>#REF!</v>
      </c>
      <c r="BL579" s="26"/>
      <c r="BM579" t="e" vm="2">
        <f t="shared" si="69"/>
        <v>#VALUE!</v>
      </c>
      <c r="BN579" t="e" vm="2">
        <f t="shared" si="70"/>
        <v>#VALUE!</v>
      </c>
      <c r="BO579" s="26"/>
      <c r="BP579" s="26"/>
      <c r="BQ579" s="26"/>
      <c r="BR579" s="25">
        <v>42217</v>
      </c>
      <c r="BS579" s="26">
        <f t="shared" si="72"/>
        <v>8</v>
      </c>
      <c r="BT579" s="26">
        <f t="shared" si="73"/>
        <v>2015</v>
      </c>
      <c r="BU579" s="26" t="e">
        <f t="shared" si="71"/>
        <v>#DIV/0!</v>
      </c>
    </row>
    <row r="580" spans="1:73" x14ac:dyDescent="0.2">
      <c r="A580" s="25">
        <f>Prices!A579</f>
        <v>43344</v>
      </c>
      <c r="B580" s="28">
        <f t="shared" si="82"/>
        <v>0</v>
      </c>
      <c r="C580" s="28">
        <f t="shared" si="78"/>
        <v>0</v>
      </c>
      <c r="D580" s="28" t="e">
        <f t="shared" si="83"/>
        <v>#DIV/0!</v>
      </c>
      <c r="E580" s="28" t="e">
        <f t="shared" si="77"/>
        <v>#DIV/0!</v>
      </c>
      <c r="F580" s="28" t="e">
        <f t="shared" si="74"/>
        <v>#DIV/0!</v>
      </c>
      <c r="G580" s="28" t="e">
        <f>Prices!P579-D580</f>
        <v>#DIV/0!</v>
      </c>
      <c r="H580" s="28" t="e">
        <f t="shared" si="79"/>
        <v>#DIV/0!</v>
      </c>
      <c r="I580" s="28" t="e">
        <f t="shared" si="80"/>
        <v>#DIV/0!</v>
      </c>
      <c r="J580" s="28" t="e">
        <f t="shared" si="81"/>
        <v>#DIV/0!</v>
      </c>
      <c r="L580" s="28">
        <f>'[4]Brazil Corn Price'!$DR227</f>
        <v>0</v>
      </c>
      <c r="M580" s="28">
        <f>'[4]Brazil Corn Price'!$DS227</f>
        <v>0</v>
      </c>
      <c r="N580" s="28">
        <f>'[4]Brazil Corn Price'!$DQ227</f>
        <v>0</v>
      </c>
      <c r="O580" s="28">
        <f t="shared" si="84"/>
        <v>0</v>
      </c>
      <c r="P580" s="28">
        <f t="shared" si="85"/>
        <v>0</v>
      </c>
      <c r="AI580" s="26"/>
      <c r="AJ580" s="26"/>
      <c r="AK580" s="26"/>
      <c r="AL580" s="26"/>
      <c r="AM580" s="26"/>
      <c r="AN580" s="26"/>
      <c r="AO580" s="26"/>
      <c r="AP580" s="25">
        <v>43344</v>
      </c>
      <c r="AQ580" s="29">
        <v>0.76763157894736833</v>
      </c>
      <c r="AR580" s="26"/>
      <c r="AS580" s="26"/>
      <c r="AT580" s="26"/>
      <c r="AU580" s="26"/>
      <c r="AV580" s="26"/>
      <c r="BA580" s="26">
        <f t="shared" si="75"/>
        <v>9</v>
      </c>
      <c r="BB580" s="26">
        <f t="shared" si="76"/>
        <v>2018</v>
      </c>
      <c r="BC580" s="25" t="e" vm="1">
        <v>#REF!</v>
      </c>
      <c r="BD580" s="26" t="e" vm="1">
        <v>#REF!</v>
      </c>
      <c r="BE580" s="26"/>
      <c r="BF580" s="26" t="e" vm="2">
        <f t="shared" si="86"/>
        <v>#VALUE!</v>
      </c>
      <c r="BG580" s="26" t="e" vm="2">
        <f t="shared" si="87"/>
        <v>#VALUE!</v>
      </c>
      <c r="BH580" s="26"/>
      <c r="BI580" s="26"/>
      <c r="BJ580" s="21" t="e" vm="1">
        <v>#REF!</v>
      </c>
      <c r="BK580" s="26" t="e" vm="1">
        <v>#REF!</v>
      </c>
      <c r="BL580" s="26"/>
      <c r="BM580" t="e" vm="2">
        <f t="shared" ref="BM580:BM643" si="88">MONTH(BJ580)</f>
        <v>#VALUE!</v>
      </c>
      <c r="BN580" t="e" vm="2">
        <f t="shared" ref="BN580:BN643" si="89">YEAR(BJ580)</f>
        <v>#VALUE!</v>
      </c>
      <c r="BO580" s="26"/>
      <c r="BP580" s="26"/>
      <c r="BQ580" s="26"/>
      <c r="BR580" s="25">
        <v>42248</v>
      </c>
      <c r="BS580" s="26">
        <f t="shared" si="72"/>
        <v>9</v>
      </c>
      <c r="BT580" s="26">
        <f t="shared" si="73"/>
        <v>2015</v>
      </c>
      <c r="BU580" s="26" t="e">
        <f t="shared" si="71"/>
        <v>#DIV/0!</v>
      </c>
    </row>
    <row r="581" spans="1:73" x14ac:dyDescent="0.2">
      <c r="A581" s="25">
        <f>Prices!A580</f>
        <v>43374</v>
      </c>
      <c r="B581" s="28">
        <f t="shared" si="82"/>
        <v>0</v>
      </c>
      <c r="C581" s="28">
        <f t="shared" si="78"/>
        <v>0</v>
      </c>
      <c r="D581" s="28" t="e">
        <f t="shared" si="83"/>
        <v>#DIV/0!</v>
      </c>
      <c r="E581" s="28" t="e">
        <f t="shared" si="77"/>
        <v>#DIV/0!</v>
      </c>
      <c r="F581" s="28" t="e">
        <f t="shared" si="74"/>
        <v>#DIV/0!</v>
      </c>
      <c r="G581" s="28" t="e">
        <f>Prices!P580-D581</f>
        <v>#DIV/0!</v>
      </c>
      <c r="H581" s="28" t="e">
        <f t="shared" si="79"/>
        <v>#DIV/0!</v>
      </c>
      <c r="I581" s="28" t="e">
        <f t="shared" si="80"/>
        <v>#DIV/0!</v>
      </c>
      <c r="J581" s="28" t="e">
        <f t="shared" si="81"/>
        <v>#DIV/0!</v>
      </c>
      <c r="L581" s="28">
        <f>'[4]Brazil Corn Price'!$DR228</f>
        <v>0</v>
      </c>
      <c r="M581" s="28">
        <f>'[4]Brazil Corn Price'!$DS228</f>
        <v>0</v>
      </c>
      <c r="N581" s="28">
        <f>'[4]Brazil Corn Price'!$DQ228</f>
        <v>0</v>
      </c>
      <c r="O581" s="28">
        <f t="shared" si="84"/>
        <v>0</v>
      </c>
      <c r="P581" s="28">
        <f t="shared" si="85"/>
        <v>0</v>
      </c>
      <c r="AI581" s="26"/>
      <c r="AJ581" s="26"/>
      <c r="AK581" s="26"/>
      <c r="AL581" s="26"/>
      <c r="AM581" s="26"/>
      <c r="AN581" s="26"/>
      <c r="AO581" s="26"/>
      <c r="AP581" s="25">
        <v>43374</v>
      </c>
      <c r="AQ581" s="29">
        <v>0.76880000000000004</v>
      </c>
      <c r="AR581" s="26"/>
      <c r="AS581" s="26"/>
      <c r="AT581" s="26"/>
      <c r="AU581" s="26"/>
      <c r="AV581" s="26"/>
      <c r="BA581" s="26">
        <f t="shared" si="75"/>
        <v>10</v>
      </c>
      <c r="BB581" s="26">
        <f t="shared" si="76"/>
        <v>2018</v>
      </c>
      <c r="BC581" s="25" t="e" vm="1">
        <v>#REF!</v>
      </c>
      <c r="BD581" s="26" t="e" vm="1">
        <v>#REF!</v>
      </c>
      <c r="BE581" s="26"/>
      <c r="BF581" s="26" t="e" vm="2">
        <f t="shared" si="86"/>
        <v>#VALUE!</v>
      </c>
      <c r="BG581" s="26" t="e" vm="2">
        <f t="shared" si="87"/>
        <v>#VALUE!</v>
      </c>
      <c r="BH581" s="26"/>
      <c r="BI581" s="26"/>
      <c r="BJ581" s="21" t="e" vm="1">
        <v>#REF!</v>
      </c>
      <c r="BK581" s="26" t="e" vm="1">
        <v>#REF!</v>
      </c>
      <c r="BL581" s="26"/>
      <c r="BM581" t="e" vm="2">
        <f t="shared" si="88"/>
        <v>#VALUE!</v>
      </c>
      <c r="BN581" t="e" vm="2">
        <f t="shared" si="89"/>
        <v>#VALUE!</v>
      </c>
      <c r="BO581" s="26"/>
      <c r="BP581" s="26"/>
      <c r="BQ581" s="26"/>
      <c r="BR581" s="25">
        <v>42278</v>
      </c>
      <c r="BS581" s="26">
        <f t="shared" si="72"/>
        <v>10</v>
      </c>
      <c r="BT581" s="26">
        <f t="shared" si="73"/>
        <v>2015</v>
      </c>
      <c r="BU581" s="26" t="e">
        <f t="shared" si="71"/>
        <v>#DIV/0!</v>
      </c>
    </row>
    <row r="582" spans="1:73" x14ac:dyDescent="0.2">
      <c r="A582" s="25">
        <f>Prices!A581</f>
        <v>43405</v>
      </c>
      <c r="B582" s="28">
        <f t="shared" si="82"/>
        <v>0</v>
      </c>
      <c r="C582" s="28">
        <f t="shared" si="78"/>
        <v>0</v>
      </c>
      <c r="D582" s="28" t="e">
        <f t="shared" si="83"/>
        <v>#DIV/0!</v>
      </c>
      <c r="E582" s="28" t="e">
        <f t="shared" si="77"/>
        <v>#DIV/0!</v>
      </c>
      <c r="F582" s="28" t="e">
        <f t="shared" si="74"/>
        <v>#DIV/0!</v>
      </c>
      <c r="G582" s="28" t="e">
        <f>Prices!P581-D582</f>
        <v>#DIV/0!</v>
      </c>
      <c r="H582" s="28" t="e">
        <f t="shared" si="79"/>
        <v>#DIV/0!</v>
      </c>
      <c r="I582" s="28" t="e">
        <f t="shared" si="80"/>
        <v>#DIV/0!</v>
      </c>
      <c r="J582" s="28" t="e">
        <f t="shared" si="81"/>
        <v>#DIV/0!</v>
      </c>
      <c r="L582" s="28">
        <f>'[4]Brazil Corn Price'!$DR229</f>
        <v>0</v>
      </c>
      <c r="M582" s="28">
        <f>'[4]Brazil Corn Price'!$DS229</f>
        <v>0</v>
      </c>
      <c r="N582" s="28">
        <f>'[4]Brazil Corn Price'!$DQ229</f>
        <v>0</v>
      </c>
      <c r="O582" s="28">
        <f t="shared" si="84"/>
        <v>0</v>
      </c>
      <c r="P582" s="28">
        <f t="shared" si="85"/>
        <v>0</v>
      </c>
      <c r="AI582" s="26"/>
      <c r="AJ582" s="26"/>
      <c r="AK582" s="26"/>
      <c r="AL582" s="26"/>
      <c r="AM582" s="26"/>
      <c r="AN582" s="26"/>
      <c r="AO582" s="26"/>
      <c r="AP582" s="25">
        <v>43405</v>
      </c>
      <c r="AQ582" s="29">
        <v>0.75760000000000005</v>
      </c>
      <c r="AR582" s="26"/>
      <c r="AS582" s="26"/>
      <c r="AT582" s="26"/>
      <c r="AU582" s="26"/>
      <c r="AV582" s="26"/>
      <c r="BA582" s="26">
        <f t="shared" si="75"/>
        <v>11</v>
      </c>
      <c r="BB582" s="26">
        <f t="shared" si="76"/>
        <v>2018</v>
      </c>
      <c r="BC582" s="25" t="e" vm="1">
        <v>#REF!</v>
      </c>
      <c r="BD582" s="26" t="e" vm="1">
        <v>#REF!</v>
      </c>
      <c r="BE582" s="26"/>
      <c r="BF582" s="26" t="e" vm="2">
        <f t="shared" si="86"/>
        <v>#VALUE!</v>
      </c>
      <c r="BG582" s="26" t="e" vm="2">
        <f t="shared" si="87"/>
        <v>#VALUE!</v>
      </c>
      <c r="BH582" s="26"/>
      <c r="BI582" s="26"/>
      <c r="BJ582" s="21" t="e" vm="1">
        <v>#REF!</v>
      </c>
      <c r="BK582" s="26" t="e" vm="1">
        <v>#REF!</v>
      </c>
      <c r="BL582" s="26"/>
      <c r="BM582" t="e" vm="2">
        <f t="shared" si="88"/>
        <v>#VALUE!</v>
      </c>
      <c r="BN582" t="e" vm="2">
        <f t="shared" si="89"/>
        <v>#VALUE!</v>
      </c>
      <c r="BO582" s="26"/>
      <c r="BP582" s="26"/>
      <c r="BQ582" s="26"/>
      <c r="BR582" s="25">
        <v>42309</v>
      </c>
      <c r="BS582" s="26">
        <f t="shared" si="72"/>
        <v>11</v>
      </c>
      <c r="BT582" s="26">
        <f t="shared" si="73"/>
        <v>2015</v>
      </c>
      <c r="BU582" s="26" t="e">
        <f t="shared" si="71"/>
        <v>#DIV/0!</v>
      </c>
    </row>
    <row r="583" spans="1:73" x14ac:dyDescent="0.2">
      <c r="A583" s="25">
        <f>Prices!A582</f>
        <v>43435</v>
      </c>
      <c r="B583" s="28">
        <f t="shared" si="82"/>
        <v>0</v>
      </c>
      <c r="C583" s="28">
        <f t="shared" si="78"/>
        <v>0</v>
      </c>
      <c r="D583" s="28" t="e">
        <f t="shared" si="83"/>
        <v>#DIV/0!</v>
      </c>
      <c r="E583" s="28" t="e">
        <f t="shared" si="77"/>
        <v>#DIV/0!</v>
      </c>
      <c r="F583" s="28" t="e">
        <f t="shared" si="74"/>
        <v>#DIV/0!</v>
      </c>
      <c r="G583" s="28" t="e">
        <f>Prices!P582-D583</f>
        <v>#DIV/0!</v>
      </c>
      <c r="H583" s="28" t="e">
        <f t="shared" si="79"/>
        <v>#DIV/0!</v>
      </c>
      <c r="I583" s="28" t="e">
        <f t="shared" si="80"/>
        <v>#DIV/0!</v>
      </c>
      <c r="J583" s="28" t="e">
        <f t="shared" si="81"/>
        <v>#DIV/0!</v>
      </c>
      <c r="L583" s="28">
        <f>'[4]Brazil Corn Price'!$DR230</f>
        <v>0</v>
      </c>
      <c r="M583" s="28">
        <f>'[4]Brazil Corn Price'!$DS230</f>
        <v>0</v>
      </c>
      <c r="N583" s="28">
        <f>'[4]Brazil Corn Price'!$DQ230</f>
        <v>0</v>
      </c>
      <c r="O583" s="28">
        <f t="shared" si="84"/>
        <v>0</v>
      </c>
      <c r="P583" s="28">
        <f t="shared" si="85"/>
        <v>0</v>
      </c>
      <c r="AI583" s="26"/>
      <c r="AJ583" s="26"/>
      <c r="AK583" s="26"/>
      <c r="AL583" s="26"/>
      <c r="AM583" s="26"/>
      <c r="AN583" s="26"/>
      <c r="AO583" s="26"/>
      <c r="AP583" s="25">
        <v>43435</v>
      </c>
      <c r="AQ583" s="29">
        <v>0.74407000000000001</v>
      </c>
      <c r="AR583" s="26"/>
      <c r="AS583" s="26"/>
      <c r="AT583" s="26"/>
      <c r="AU583" s="26"/>
      <c r="AV583" s="26"/>
      <c r="BA583" s="26">
        <f t="shared" si="75"/>
        <v>12</v>
      </c>
      <c r="BB583" s="26">
        <f t="shared" si="76"/>
        <v>2018</v>
      </c>
      <c r="BC583" s="25" t="e" vm="1">
        <v>#REF!</v>
      </c>
      <c r="BD583" s="26" t="e" vm="1">
        <v>#REF!</v>
      </c>
      <c r="BE583" s="26"/>
      <c r="BF583" s="26" t="e" vm="2">
        <f t="shared" si="86"/>
        <v>#VALUE!</v>
      </c>
      <c r="BG583" s="26" t="e" vm="2">
        <f t="shared" si="87"/>
        <v>#VALUE!</v>
      </c>
      <c r="BH583" s="26"/>
      <c r="BI583" s="26"/>
      <c r="BJ583" s="21" t="e" vm="1">
        <v>#REF!</v>
      </c>
      <c r="BK583" s="26" t="e" vm="1">
        <v>#REF!</v>
      </c>
      <c r="BL583" s="26"/>
      <c r="BM583" t="e" vm="2">
        <f t="shared" si="88"/>
        <v>#VALUE!</v>
      </c>
      <c r="BN583" t="e" vm="2">
        <f t="shared" si="89"/>
        <v>#VALUE!</v>
      </c>
      <c r="BO583" s="26"/>
      <c r="BP583" s="26"/>
      <c r="BQ583" s="26"/>
      <c r="BR583" s="25">
        <v>42339</v>
      </c>
      <c r="BS583" s="26">
        <f t="shared" si="72"/>
        <v>12</v>
      </c>
      <c r="BT583" s="26">
        <f t="shared" si="73"/>
        <v>2015</v>
      </c>
      <c r="BU583" s="26" t="e">
        <f t="shared" si="71"/>
        <v>#DIV/0!</v>
      </c>
    </row>
    <row r="584" spans="1:73" x14ac:dyDescent="0.2">
      <c r="A584" s="25">
        <f>Prices!A583</f>
        <v>43466</v>
      </c>
      <c r="B584" s="28">
        <f t="shared" si="82"/>
        <v>0</v>
      </c>
      <c r="C584" s="28">
        <f t="shared" si="78"/>
        <v>0</v>
      </c>
      <c r="D584" s="28" t="e">
        <f t="shared" si="83"/>
        <v>#DIV/0!</v>
      </c>
      <c r="E584" s="28" t="e">
        <f t="shared" si="77"/>
        <v>#DIV/0!</v>
      </c>
      <c r="F584" s="28" t="e">
        <f t="shared" si="74"/>
        <v>#DIV/0!</v>
      </c>
      <c r="G584" s="28" t="e">
        <f>Prices!P583-D584</f>
        <v>#DIV/0!</v>
      </c>
      <c r="H584" s="28" t="e">
        <f t="shared" si="79"/>
        <v>#DIV/0!</v>
      </c>
      <c r="I584" s="28" t="e">
        <f t="shared" si="80"/>
        <v>#DIV/0!</v>
      </c>
      <c r="J584" s="28" t="e">
        <f t="shared" si="81"/>
        <v>#DIV/0!</v>
      </c>
      <c r="L584" s="28">
        <f>'[4]Brazil Corn Price'!$DR231</f>
        <v>0</v>
      </c>
      <c r="M584" s="28">
        <f>'[4]Brazil Corn Price'!$DS231</f>
        <v>0</v>
      </c>
      <c r="N584" s="28">
        <f>'[4]Brazil Corn Price'!$DQ231</f>
        <v>0</v>
      </c>
      <c r="O584" s="28">
        <f t="shared" si="84"/>
        <v>0</v>
      </c>
      <c r="P584" s="28">
        <f t="shared" si="85"/>
        <v>0</v>
      </c>
      <c r="AI584" s="26"/>
      <c r="AJ584" s="26"/>
      <c r="AK584" s="26"/>
      <c r="AL584" s="26"/>
      <c r="AM584" s="26"/>
      <c r="AN584" s="26"/>
      <c r="AO584" s="26"/>
      <c r="AP584" s="25">
        <v>43466</v>
      </c>
      <c r="AQ584" s="29">
        <v>0.75264523809523809</v>
      </c>
      <c r="AR584" s="26"/>
      <c r="AS584" s="26"/>
      <c r="AT584" s="26"/>
      <c r="AU584" s="26"/>
      <c r="AV584" s="26"/>
      <c r="BA584" s="26">
        <f t="shared" si="75"/>
        <v>1</v>
      </c>
      <c r="BB584" s="26">
        <f t="shared" si="76"/>
        <v>2019</v>
      </c>
      <c r="BC584" s="25" t="e" vm="1">
        <v>#REF!</v>
      </c>
      <c r="BD584" s="26" t="e" vm="1">
        <v>#REF!</v>
      </c>
      <c r="BE584" s="26"/>
      <c r="BF584" s="26" t="e" vm="2">
        <f t="shared" si="86"/>
        <v>#VALUE!</v>
      </c>
      <c r="BG584" s="26" t="e" vm="2">
        <f t="shared" si="87"/>
        <v>#VALUE!</v>
      </c>
      <c r="BH584" s="26"/>
      <c r="BI584" s="26"/>
      <c r="BJ584" s="21" t="e" vm="1">
        <v>#REF!</v>
      </c>
      <c r="BK584" s="26" t="e" vm="1">
        <v>#REF!</v>
      </c>
      <c r="BL584" s="26"/>
      <c r="BM584" t="e" vm="2">
        <f t="shared" si="88"/>
        <v>#VALUE!</v>
      </c>
      <c r="BN584" t="e" vm="2">
        <f t="shared" si="89"/>
        <v>#VALUE!</v>
      </c>
      <c r="BO584" s="26"/>
      <c r="BP584" s="26"/>
      <c r="BQ584" s="26"/>
      <c r="BR584" s="25">
        <v>42370</v>
      </c>
      <c r="BS584" s="26">
        <f t="shared" si="72"/>
        <v>1</v>
      </c>
      <c r="BT584" s="26">
        <f t="shared" si="73"/>
        <v>2016</v>
      </c>
      <c r="BU584" s="26" t="e">
        <f t="shared" ref="BU584:BU647" si="90">AVERAGEIFS($BK$3:$BK$5500,$BM$3:$BM$5500,BS584,$BN$3:$BN$5500,BT584)</f>
        <v>#DIV/0!</v>
      </c>
    </row>
    <row r="585" spans="1:73" x14ac:dyDescent="0.2">
      <c r="A585" s="25">
        <f>Prices!A584</f>
        <v>43497</v>
      </c>
      <c r="B585" s="28">
        <f t="shared" si="82"/>
        <v>0</v>
      </c>
      <c r="C585" s="28">
        <f t="shared" si="78"/>
        <v>0</v>
      </c>
      <c r="D585" s="28" t="e">
        <f t="shared" si="83"/>
        <v>#DIV/0!</v>
      </c>
      <c r="E585" s="28" t="e">
        <f t="shared" si="77"/>
        <v>#DIV/0!</v>
      </c>
      <c r="F585" s="28" t="e">
        <f t="shared" si="74"/>
        <v>#DIV/0!</v>
      </c>
      <c r="G585" s="28" t="e">
        <f>Prices!P584-D585</f>
        <v>#DIV/0!</v>
      </c>
      <c r="H585" s="28" t="e">
        <f t="shared" si="79"/>
        <v>#DIV/0!</v>
      </c>
      <c r="I585" s="28" t="e">
        <f t="shared" si="80"/>
        <v>#DIV/0!</v>
      </c>
      <c r="J585" s="28" t="e">
        <f t="shared" si="81"/>
        <v>#DIV/0!</v>
      </c>
      <c r="L585" s="28">
        <f>'[4]Brazil Corn Price'!$DR232</f>
        <v>0</v>
      </c>
      <c r="M585" s="28">
        <f>'[4]Brazil Corn Price'!$DS232</f>
        <v>0</v>
      </c>
      <c r="N585" s="28">
        <f>'[4]Brazil Corn Price'!$DQ232</f>
        <v>0</v>
      </c>
      <c r="O585" s="28">
        <f t="shared" si="84"/>
        <v>0</v>
      </c>
      <c r="P585" s="28">
        <f t="shared" si="85"/>
        <v>0</v>
      </c>
      <c r="AI585" s="26"/>
      <c r="AJ585" s="26"/>
      <c r="AK585" s="26"/>
      <c r="AL585" s="26"/>
      <c r="AM585" s="26"/>
      <c r="AN585" s="26"/>
      <c r="AO585" s="26"/>
      <c r="AP585" s="25">
        <v>43497</v>
      </c>
      <c r="AQ585" s="29">
        <v>0.75760000000000016</v>
      </c>
      <c r="AR585" s="26"/>
      <c r="AS585" s="26"/>
      <c r="AT585" s="26"/>
      <c r="AU585" s="26"/>
      <c r="AV585" s="26"/>
      <c r="BA585" s="26">
        <f t="shared" si="75"/>
        <v>2</v>
      </c>
      <c r="BB585" s="26">
        <f t="shared" si="76"/>
        <v>2019</v>
      </c>
      <c r="BC585" s="25" t="e" vm="1">
        <v>#REF!</v>
      </c>
      <c r="BD585" s="26" t="e" vm="1">
        <v>#REF!</v>
      </c>
      <c r="BE585" s="26"/>
      <c r="BF585" s="26" t="e" vm="2">
        <f t="shared" si="86"/>
        <v>#VALUE!</v>
      </c>
      <c r="BG585" s="26" t="e" vm="2">
        <f t="shared" si="87"/>
        <v>#VALUE!</v>
      </c>
      <c r="BH585" s="26"/>
      <c r="BI585" s="26"/>
      <c r="BJ585" s="21" t="e" vm="1">
        <v>#REF!</v>
      </c>
      <c r="BK585" s="26" t="e" vm="1">
        <v>#REF!</v>
      </c>
      <c r="BL585" s="26"/>
      <c r="BM585" t="e" vm="2">
        <f t="shared" si="88"/>
        <v>#VALUE!</v>
      </c>
      <c r="BN585" t="e" vm="2">
        <f t="shared" si="89"/>
        <v>#VALUE!</v>
      </c>
      <c r="BO585" s="26"/>
      <c r="BP585" s="26"/>
      <c r="BQ585" s="26"/>
      <c r="BR585" s="25">
        <v>42401</v>
      </c>
      <c r="BS585" s="26">
        <f t="shared" ref="BS585:BS648" si="91">MONTH(BR585)</f>
        <v>2</v>
      </c>
      <c r="BT585" s="26">
        <f t="shared" ref="BT585:BT648" si="92">YEAR(BR585)</f>
        <v>2016</v>
      </c>
      <c r="BU585" s="26" t="e">
        <f t="shared" si="90"/>
        <v>#DIV/0!</v>
      </c>
    </row>
    <row r="586" spans="1:73" x14ac:dyDescent="0.2">
      <c r="A586" s="25">
        <f>Prices!A585</f>
        <v>43525</v>
      </c>
      <c r="B586" s="28">
        <f t="shared" si="82"/>
        <v>0</v>
      </c>
      <c r="C586" s="28">
        <f t="shared" si="78"/>
        <v>0</v>
      </c>
      <c r="D586" s="28" t="e">
        <f t="shared" si="83"/>
        <v>#DIV/0!</v>
      </c>
      <c r="E586" s="28" t="e">
        <f t="shared" si="77"/>
        <v>#DIV/0!</v>
      </c>
      <c r="F586" s="28" t="e">
        <f t="shared" si="74"/>
        <v>#DIV/0!</v>
      </c>
      <c r="G586" s="28" t="e">
        <f>Prices!P585-D586</f>
        <v>#DIV/0!</v>
      </c>
      <c r="H586" s="28" t="e">
        <f t="shared" si="79"/>
        <v>#DIV/0!</v>
      </c>
      <c r="I586" s="28" t="e">
        <f t="shared" si="80"/>
        <v>#DIV/0!</v>
      </c>
      <c r="J586" s="28" t="e">
        <f t="shared" si="81"/>
        <v>#DIV/0!</v>
      </c>
      <c r="L586" s="28">
        <f>'[4]Brazil Corn Price'!$DR233</f>
        <v>0</v>
      </c>
      <c r="M586" s="28">
        <f>'[4]Brazil Corn Price'!$DS233</f>
        <v>0</v>
      </c>
      <c r="N586" s="28">
        <f>'[4]Brazil Corn Price'!$DQ233</f>
        <v>0</v>
      </c>
      <c r="O586" s="28">
        <f t="shared" si="84"/>
        <v>0</v>
      </c>
      <c r="P586" s="28">
        <f t="shared" si="85"/>
        <v>0</v>
      </c>
      <c r="AI586" s="26"/>
      <c r="AJ586" s="26"/>
      <c r="AK586" s="26"/>
      <c r="AL586" s="26"/>
      <c r="AM586" s="26"/>
      <c r="AN586" s="26"/>
      <c r="AO586" s="26"/>
      <c r="AP586" s="25">
        <v>43525</v>
      </c>
      <c r="AQ586" s="29">
        <v>0.74848095238095247</v>
      </c>
      <c r="AR586" s="26"/>
      <c r="AS586" s="26"/>
      <c r="AT586" s="26"/>
      <c r="AU586" s="26"/>
      <c r="AV586" s="26"/>
      <c r="BA586" s="26">
        <f t="shared" si="75"/>
        <v>3</v>
      </c>
      <c r="BB586" s="26">
        <f t="shared" si="76"/>
        <v>2019</v>
      </c>
      <c r="BC586" s="25" t="e" vm="1">
        <v>#REF!</v>
      </c>
      <c r="BD586" s="26" t="e" vm="1">
        <v>#REF!</v>
      </c>
      <c r="BE586" s="26"/>
      <c r="BF586" s="26" t="e" vm="2">
        <f t="shared" si="86"/>
        <v>#VALUE!</v>
      </c>
      <c r="BG586" s="26" t="e" vm="2">
        <f t="shared" si="87"/>
        <v>#VALUE!</v>
      </c>
      <c r="BH586" s="26"/>
      <c r="BI586" s="26"/>
      <c r="BJ586" s="21" t="e" vm="1">
        <v>#REF!</v>
      </c>
      <c r="BK586" s="26" t="e" vm="1">
        <v>#REF!</v>
      </c>
      <c r="BL586" s="26"/>
      <c r="BM586" t="e" vm="2">
        <f t="shared" si="88"/>
        <v>#VALUE!</v>
      </c>
      <c r="BN586" t="e" vm="2">
        <f t="shared" si="89"/>
        <v>#VALUE!</v>
      </c>
      <c r="BO586" s="26"/>
      <c r="BP586" s="26"/>
      <c r="BQ586" s="26"/>
      <c r="BR586" s="25">
        <v>42430</v>
      </c>
      <c r="BS586" s="26">
        <f t="shared" si="91"/>
        <v>3</v>
      </c>
      <c r="BT586" s="26">
        <f t="shared" si="92"/>
        <v>2016</v>
      </c>
      <c r="BU586" s="26" t="e">
        <f t="shared" si="90"/>
        <v>#DIV/0!</v>
      </c>
    </row>
    <row r="587" spans="1:73" x14ac:dyDescent="0.2">
      <c r="A587" s="25">
        <f>Prices!A586</f>
        <v>43556</v>
      </c>
      <c r="B587" s="28">
        <f t="shared" si="82"/>
        <v>0</v>
      </c>
      <c r="C587" s="28">
        <f t="shared" si="78"/>
        <v>0</v>
      </c>
      <c r="D587" s="28" t="e">
        <f t="shared" si="83"/>
        <v>#DIV/0!</v>
      </c>
      <c r="E587" s="28" t="e">
        <f t="shared" si="77"/>
        <v>#DIV/0!</v>
      </c>
      <c r="F587" s="28" t="e">
        <f t="shared" si="74"/>
        <v>#DIV/0!</v>
      </c>
      <c r="G587" s="28" t="e">
        <f>Prices!P586-D587</f>
        <v>#DIV/0!</v>
      </c>
      <c r="H587" s="28" t="e">
        <f t="shared" si="79"/>
        <v>#DIV/0!</v>
      </c>
      <c r="I587" s="28" t="e">
        <f t="shared" si="80"/>
        <v>#DIV/0!</v>
      </c>
      <c r="J587" s="28" t="e">
        <f t="shared" si="81"/>
        <v>#DIV/0!</v>
      </c>
      <c r="L587" s="28">
        <f>'[4]Brazil Corn Price'!$DR234</f>
        <v>0</v>
      </c>
      <c r="M587" s="28">
        <f>'[4]Brazil Corn Price'!$DS234</f>
        <v>0</v>
      </c>
      <c r="N587" s="28">
        <f>'[4]Brazil Corn Price'!$DQ234</f>
        <v>0</v>
      </c>
      <c r="O587" s="28">
        <f t="shared" si="84"/>
        <v>0</v>
      </c>
      <c r="P587" s="28">
        <f t="shared" si="85"/>
        <v>0</v>
      </c>
      <c r="AI587" s="26"/>
      <c r="AJ587" s="26"/>
      <c r="AK587" s="26"/>
      <c r="AL587" s="26"/>
      <c r="AM587" s="26"/>
      <c r="AN587" s="26"/>
      <c r="AO587" s="26"/>
      <c r="AP587" s="25">
        <v>43556</v>
      </c>
      <c r="AQ587" s="29">
        <v>0.74771190476190486</v>
      </c>
      <c r="AR587" s="26"/>
      <c r="AS587" s="26"/>
      <c r="AT587" s="26"/>
      <c r="AU587" s="26"/>
      <c r="AV587" s="26"/>
      <c r="BA587" s="26">
        <f t="shared" si="75"/>
        <v>4</v>
      </c>
      <c r="BB587" s="26">
        <f t="shared" si="76"/>
        <v>2019</v>
      </c>
      <c r="BC587" s="25" t="e" vm="1">
        <v>#REF!</v>
      </c>
      <c r="BD587" s="26" t="e" vm="1">
        <v>#REF!</v>
      </c>
      <c r="BE587" s="26"/>
      <c r="BF587" s="26" t="e" vm="2">
        <f t="shared" si="86"/>
        <v>#VALUE!</v>
      </c>
      <c r="BG587" s="26" t="e" vm="2">
        <f t="shared" si="87"/>
        <v>#VALUE!</v>
      </c>
      <c r="BH587" s="26"/>
      <c r="BI587" s="26"/>
      <c r="BJ587" s="21" t="e" vm="1">
        <v>#REF!</v>
      </c>
      <c r="BK587" s="26" t="e" vm="1">
        <v>#REF!</v>
      </c>
      <c r="BL587" s="26"/>
      <c r="BM587" t="e" vm="2">
        <f t="shared" si="88"/>
        <v>#VALUE!</v>
      </c>
      <c r="BN587" t="e" vm="2">
        <f t="shared" si="89"/>
        <v>#VALUE!</v>
      </c>
      <c r="BO587" s="26"/>
      <c r="BP587" s="26"/>
      <c r="BQ587" s="26"/>
      <c r="BR587" s="25">
        <v>42461</v>
      </c>
      <c r="BS587" s="26">
        <f t="shared" si="91"/>
        <v>4</v>
      </c>
      <c r="BT587" s="26">
        <f t="shared" si="92"/>
        <v>2016</v>
      </c>
      <c r="BU587" s="26" t="e">
        <f t="shared" si="90"/>
        <v>#DIV/0!</v>
      </c>
    </row>
    <row r="588" spans="1:73" x14ac:dyDescent="0.2">
      <c r="A588" s="25">
        <f>Prices!A587</f>
        <v>43586</v>
      </c>
      <c r="B588" s="28">
        <f t="shared" si="82"/>
        <v>0</v>
      </c>
      <c r="C588" s="28">
        <f t="shared" si="78"/>
        <v>0</v>
      </c>
      <c r="D588" s="28" t="e">
        <f t="shared" si="83"/>
        <v>#DIV/0!</v>
      </c>
      <c r="E588" s="28" t="e">
        <f t="shared" si="77"/>
        <v>#DIV/0!</v>
      </c>
      <c r="F588" s="28" t="e">
        <f t="shared" si="74"/>
        <v>#DIV/0!</v>
      </c>
      <c r="G588" s="28" t="e">
        <f>Prices!P587-D588</f>
        <v>#DIV/0!</v>
      </c>
      <c r="H588" s="28" t="e">
        <f t="shared" si="79"/>
        <v>#DIV/0!</v>
      </c>
      <c r="I588" s="28" t="e">
        <f t="shared" si="80"/>
        <v>#DIV/0!</v>
      </c>
      <c r="J588" s="28" t="e">
        <f t="shared" si="81"/>
        <v>#DIV/0!</v>
      </c>
      <c r="L588" s="28">
        <f>'[4]Brazil Corn Price'!$DR235</f>
        <v>0</v>
      </c>
      <c r="M588" s="28">
        <f>'[4]Brazil Corn Price'!$DS235</f>
        <v>0</v>
      </c>
      <c r="N588" s="28">
        <f>'[4]Brazil Corn Price'!$DQ235</f>
        <v>0</v>
      </c>
      <c r="O588" s="28">
        <f t="shared" si="84"/>
        <v>0</v>
      </c>
      <c r="P588" s="28">
        <f t="shared" si="85"/>
        <v>0</v>
      </c>
      <c r="AI588" s="26"/>
      <c r="AJ588" s="26"/>
      <c r="AK588" s="26"/>
      <c r="AL588" s="26"/>
      <c r="AM588" s="26"/>
      <c r="AN588" s="26"/>
      <c r="AO588" s="26"/>
      <c r="AP588" s="25">
        <v>43586</v>
      </c>
      <c r="AQ588" s="29">
        <v>0.7431863636363637</v>
      </c>
      <c r="AR588" s="26"/>
      <c r="AS588" s="26"/>
      <c r="AT588" s="26"/>
      <c r="AU588" s="26"/>
      <c r="AV588" s="26"/>
      <c r="BA588" s="26">
        <f t="shared" si="75"/>
        <v>5</v>
      </c>
      <c r="BB588" s="26">
        <f t="shared" si="76"/>
        <v>2019</v>
      </c>
      <c r="BC588" s="25" t="e" vm="1">
        <v>#REF!</v>
      </c>
      <c r="BD588" s="26" t="e" vm="1">
        <v>#REF!</v>
      </c>
      <c r="BE588" s="26"/>
      <c r="BF588" s="26" t="e" vm="2">
        <f t="shared" si="86"/>
        <v>#VALUE!</v>
      </c>
      <c r="BG588" s="26" t="e" vm="2">
        <f t="shared" si="87"/>
        <v>#VALUE!</v>
      </c>
      <c r="BH588" s="26"/>
      <c r="BI588" s="26"/>
      <c r="BJ588" s="21" t="e" vm="1">
        <v>#REF!</v>
      </c>
      <c r="BK588" s="26" t="e" vm="1">
        <v>#REF!</v>
      </c>
      <c r="BL588" s="26"/>
      <c r="BM588" t="e" vm="2">
        <f t="shared" si="88"/>
        <v>#VALUE!</v>
      </c>
      <c r="BN588" t="e" vm="2">
        <f t="shared" si="89"/>
        <v>#VALUE!</v>
      </c>
      <c r="BO588" s="26"/>
      <c r="BP588" s="26"/>
      <c r="BQ588" s="26"/>
      <c r="BR588" s="25">
        <v>42491</v>
      </c>
      <c r="BS588" s="26">
        <f t="shared" si="91"/>
        <v>5</v>
      </c>
      <c r="BT588" s="26">
        <f t="shared" si="92"/>
        <v>2016</v>
      </c>
      <c r="BU588" s="26" t="e">
        <f t="shared" si="90"/>
        <v>#DIV/0!</v>
      </c>
    </row>
    <row r="589" spans="1:73" x14ac:dyDescent="0.2">
      <c r="A589" s="25">
        <f>Prices!A588</f>
        <v>43617</v>
      </c>
      <c r="B589" s="28">
        <f t="shared" si="82"/>
        <v>0</v>
      </c>
      <c r="C589" s="28">
        <f t="shared" si="78"/>
        <v>0</v>
      </c>
      <c r="D589" s="28" t="e">
        <f t="shared" si="83"/>
        <v>#DIV/0!</v>
      </c>
      <c r="E589" s="28" t="e">
        <f t="shared" si="77"/>
        <v>#DIV/0!</v>
      </c>
      <c r="F589" s="28" t="e">
        <f t="shared" si="74"/>
        <v>#DIV/0!</v>
      </c>
      <c r="G589" s="28" t="e">
        <f>Prices!P588-D589</f>
        <v>#DIV/0!</v>
      </c>
      <c r="H589" s="28" t="e">
        <f t="shared" si="79"/>
        <v>#DIV/0!</v>
      </c>
      <c r="I589" s="28" t="e">
        <f t="shared" si="80"/>
        <v>#DIV/0!</v>
      </c>
      <c r="J589" s="28" t="e">
        <f t="shared" si="81"/>
        <v>#DIV/0!</v>
      </c>
      <c r="L589" s="28">
        <f>'[4]Brazil Corn Price'!$DR236</f>
        <v>0</v>
      </c>
      <c r="M589" s="28">
        <f>'[4]Brazil Corn Price'!$DS236</f>
        <v>0</v>
      </c>
      <c r="N589" s="28">
        <f>'[4]Brazil Corn Price'!$DQ236</f>
        <v>0</v>
      </c>
      <c r="O589" s="28">
        <f t="shared" si="84"/>
        <v>0</v>
      </c>
      <c r="P589" s="28">
        <f t="shared" si="85"/>
        <v>0</v>
      </c>
      <c r="AI589" s="26"/>
      <c r="AJ589" s="26"/>
      <c r="AK589" s="26"/>
      <c r="AL589" s="26"/>
      <c r="AM589" s="26"/>
      <c r="AN589" s="26"/>
      <c r="AO589" s="26"/>
      <c r="AP589" s="25">
        <v>43617</v>
      </c>
      <c r="AQ589" s="29">
        <v>0.75306250000000008</v>
      </c>
      <c r="AR589" s="26"/>
      <c r="AS589" s="26"/>
      <c r="AT589" s="26"/>
      <c r="AU589" s="26"/>
      <c r="AV589" s="26"/>
      <c r="BA589" s="26">
        <f t="shared" si="75"/>
        <v>6</v>
      </c>
      <c r="BB589" s="26">
        <f t="shared" si="76"/>
        <v>2019</v>
      </c>
      <c r="BC589" s="25" t="e" vm="1">
        <v>#REF!</v>
      </c>
      <c r="BD589" s="26" t="e" vm="1">
        <v>#REF!</v>
      </c>
      <c r="BE589" s="26"/>
      <c r="BF589" s="26" t="e" vm="2">
        <f t="shared" si="86"/>
        <v>#VALUE!</v>
      </c>
      <c r="BG589" s="26" t="e" vm="2">
        <f t="shared" si="87"/>
        <v>#VALUE!</v>
      </c>
      <c r="BH589" s="26"/>
      <c r="BI589" s="26"/>
      <c r="BJ589" s="21" t="e" vm="1">
        <v>#REF!</v>
      </c>
      <c r="BK589" s="26" t="e" vm="1">
        <v>#REF!</v>
      </c>
      <c r="BL589" s="26"/>
      <c r="BM589" t="e" vm="2">
        <f t="shared" si="88"/>
        <v>#VALUE!</v>
      </c>
      <c r="BN589" t="e" vm="2">
        <f t="shared" si="89"/>
        <v>#VALUE!</v>
      </c>
      <c r="BO589" s="26"/>
      <c r="BP589" s="26"/>
      <c r="BQ589" s="26"/>
      <c r="BR589" s="25">
        <v>42522</v>
      </c>
      <c r="BS589" s="26">
        <f t="shared" si="91"/>
        <v>6</v>
      </c>
      <c r="BT589" s="26">
        <f t="shared" si="92"/>
        <v>2016</v>
      </c>
      <c r="BU589" s="26" t="e">
        <f t="shared" si="90"/>
        <v>#DIV/0!</v>
      </c>
    </row>
    <row r="590" spans="1:73" x14ac:dyDescent="0.2">
      <c r="A590" s="25">
        <f>Prices!A589</f>
        <v>43647</v>
      </c>
      <c r="B590" s="28">
        <f t="shared" si="82"/>
        <v>0</v>
      </c>
      <c r="C590" s="28">
        <f t="shared" si="78"/>
        <v>0</v>
      </c>
      <c r="D590" s="28" t="e">
        <f t="shared" si="83"/>
        <v>#DIV/0!</v>
      </c>
      <c r="E590" s="28" t="e">
        <f t="shared" si="77"/>
        <v>#DIV/0!</v>
      </c>
      <c r="F590" s="28" t="e">
        <f t="shared" si="74"/>
        <v>#DIV/0!</v>
      </c>
      <c r="G590" s="28" t="e">
        <f>Prices!P589-D590</f>
        <v>#DIV/0!</v>
      </c>
      <c r="H590" s="28" t="e">
        <f t="shared" si="79"/>
        <v>#DIV/0!</v>
      </c>
      <c r="I590" s="28" t="e">
        <f t="shared" si="80"/>
        <v>#DIV/0!</v>
      </c>
      <c r="J590" s="28" t="e">
        <f t="shared" si="81"/>
        <v>#DIV/0!</v>
      </c>
      <c r="L590" s="28">
        <f>'[4]Brazil Corn Price'!$DR237</f>
        <v>0</v>
      </c>
      <c r="M590" s="28">
        <f>'[4]Brazil Corn Price'!$DS237</f>
        <v>0</v>
      </c>
      <c r="N590" s="28">
        <f>'[4]Brazil Corn Price'!$DQ237</f>
        <v>0</v>
      </c>
      <c r="O590" s="28">
        <f t="shared" si="84"/>
        <v>0</v>
      </c>
      <c r="P590" s="28">
        <f t="shared" si="85"/>
        <v>0</v>
      </c>
      <c r="AI590" s="26"/>
      <c r="AJ590" s="26"/>
      <c r="AK590" s="26"/>
      <c r="AL590" s="26"/>
      <c r="AM590" s="26"/>
      <c r="AN590" s="26"/>
      <c r="AO590" s="26"/>
      <c r="AP590" s="25">
        <v>43647</v>
      </c>
      <c r="AQ590" s="29">
        <v>0.76345227272727267</v>
      </c>
      <c r="AR590" s="26"/>
      <c r="AS590" s="26"/>
      <c r="AT590" s="26"/>
      <c r="AU590" s="26"/>
      <c r="AV590" s="26"/>
      <c r="BA590" s="26">
        <f t="shared" si="75"/>
        <v>7</v>
      </c>
      <c r="BB590" s="26">
        <f t="shared" si="76"/>
        <v>2019</v>
      </c>
      <c r="BC590" s="25" t="e" vm="1">
        <v>#REF!</v>
      </c>
      <c r="BD590" s="26" t="e" vm="1">
        <v>#REF!</v>
      </c>
      <c r="BE590" s="26"/>
      <c r="BF590" s="26" t="e" vm="2">
        <f t="shared" si="86"/>
        <v>#VALUE!</v>
      </c>
      <c r="BG590" s="26" t="e" vm="2">
        <f t="shared" si="87"/>
        <v>#VALUE!</v>
      </c>
      <c r="BH590" s="26"/>
      <c r="BI590" s="26"/>
      <c r="BJ590" s="21" t="e" vm="1">
        <v>#REF!</v>
      </c>
      <c r="BK590" s="26" t="e" vm="1">
        <v>#REF!</v>
      </c>
      <c r="BL590" s="26"/>
      <c r="BM590" t="e" vm="2">
        <f t="shared" si="88"/>
        <v>#VALUE!</v>
      </c>
      <c r="BN590" t="e" vm="2">
        <f t="shared" si="89"/>
        <v>#VALUE!</v>
      </c>
      <c r="BO590" s="26"/>
      <c r="BP590" s="26"/>
      <c r="BQ590" s="26"/>
      <c r="BR590" s="25">
        <v>42552</v>
      </c>
      <c r="BS590" s="26">
        <f t="shared" si="91"/>
        <v>7</v>
      </c>
      <c r="BT590" s="26">
        <f t="shared" si="92"/>
        <v>2016</v>
      </c>
      <c r="BU590" s="26" t="e">
        <f t="shared" si="90"/>
        <v>#DIV/0!</v>
      </c>
    </row>
    <row r="591" spans="1:73" x14ac:dyDescent="0.2">
      <c r="A591" s="25">
        <f>Prices!A590</f>
        <v>43678</v>
      </c>
      <c r="B591" s="28">
        <f t="shared" si="82"/>
        <v>0</v>
      </c>
      <c r="C591" s="28">
        <f t="shared" si="78"/>
        <v>0</v>
      </c>
      <c r="D591" s="28" t="e">
        <f t="shared" si="83"/>
        <v>#DIV/0!</v>
      </c>
      <c r="E591" s="28" t="e">
        <f t="shared" si="77"/>
        <v>#DIV/0!</v>
      </c>
      <c r="F591" s="28" t="e">
        <f t="shared" si="74"/>
        <v>#DIV/0!</v>
      </c>
      <c r="G591" s="28" t="e">
        <f>Prices!P590-D591</f>
        <v>#DIV/0!</v>
      </c>
      <c r="H591" s="28" t="e">
        <f t="shared" si="79"/>
        <v>#DIV/0!</v>
      </c>
      <c r="I591" s="28" t="e">
        <f t="shared" si="80"/>
        <v>#DIV/0!</v>
      </c>
      <c r="J591" s="28" t="e">
        <f t="shared" si="81"/>
        <v>#DIV/0!</v>
      </c>
      <c r="L591" s="28">
        <f>'[4]Brazil Corn Price'!$DR238</f>
        <v>0</v>
      </c>
      <c r="M591" s="28">
        <f>'[4]Brazil Corn Price'!$DS238</f>
        <v>0</v>
      </c>
      <c r="N591" s="28">
        <f>'[4]Brazil Corn Price'!$DQ238</f>
        <v>0</v>
      </c>
      <c r="O591" s="28">
        <f t="shared" si="84"/>
        <v>0</v>
      </c>
      <c r="P591" s="28">
        <f t="shared" si="85"/>
        <v>0</v>
      </c>
      <c r="AI591" s="26"/>
      <c r="AJ591" s="26"/>
      <c r="AK591" s="26"/>
      <c r="AL591" s="26"/>
      <c r="AM591" s="26"/>
      <c r="AN591" s="26"/>
      <c r="AO591" s="26"/>
      <c r="AP591" s="25">
        <v>43678</v>
      </c>
      <c r="AQ591" s="29">
        <v>0.753318181818182</v>
      </c>
      <c r="AR591" s="26"/>
      <c r="AS591" s="26"/>
      <c r="AT591" s="26"/>
      <c r="AU591" s="26"/>
      <c r="AV591" s="26"/>
      <c r="BA591" s="26">
        <f t="shared" si="75"/>
        <v>8</v>
      </c>
      <c r="BB591" s="26">
        <f t="shared" si="76"/>
        <v>2019</v>
      </c>
      <c r="BC591" s="25" t="e" vm="1">
        <v>#REF!</v>
      </c>
      <c r="BD591" s="26" t="e" vm="1">
        <v>#REF!</v>
      </c>
      <c r="BE591" s="26"/>
      <c r="BF591" s="26" t="e" vm="2">
        <f t="shared" si="86"/>
        <v>#VALUE!</v>
      </c>
      <c r="BG591" s="26" t="e" vm="2">
        <f t="shared" si="87"/>
        <v>#VALUE!</v>
      </c>
      <c r="BH591" s="26"/>
      <c r="BI591" s="26"/>
      <c r="BJ591" s="21" t="e" vm="1">
        <v>#REF!</v>
      </c>
      <c r="BK591" s="26" t="e" vm="1">
        <v>#REF!</v>
      </c>
      <c r="BL591" s="26"/>
      <c r="BM591" t="e" vm="2">
        <f t="shared" si="88"/>
        <v>#VALUE!</v>
      </c>
      <c r="BN591" t="e" vm="2">
        <f t="shared" si="89"/>
        <v>#VALUE!</v>
      </c>
      <c r="BO591" s="26"/>
      <c r="BP591" s="26"/>
      <c r="BQ591" s="26"/>
      <c r="BR591" s="25">
        <v>42583</v>
      </c>
      <c r="BS591" s="26">
        <f t="shared" si="91"/>
        <v>8</v>
      </c>
      <c r="BT591" s="26">
        <f t="shared" si="92"/>
        <v>2016</v>
      </c>
      <c r="BU591" s="26" t="e">
        <f t="shared" si="90"/>
        <v>#DIV/0!</v>
      </c>
    </row>
    <row r="592" spans="1:73" x14ac:dyDescent="0.2">
      <c r="A592" s="25">
        <f>Prices!A591</f>
        <v>43709</v>
      </c>
      <c r="B592" s="28">
        <f t="shared" si="82"/>
        <v>0</v>
      </c>
      <c r="C592" s="28">
        <f t="shared" si="78"/>
        <v>0</v>
      </c>
      <c r="D592" s="28" t="e">
        <f t="shared" si="83"/>
        <v>#DIV/0!</v>
      </c>
      <c r="E592" s="28" t="e">
        <f t="shared" si="77"/>
        <v>#DIV/0!</v>
      </c>
      <c r="F592" s="28" t="e">
        <f t="shared" si="74"/>
        <v>#DIV/0!</v>
      </c>
      <c r="G592" s="28" t="e">
        <f>Prices!P591-D592</f>
        <v>#DIV/0!</v>
      </c>
      <c r="H592" s="28" t="e">
        <f t="shared" si="79"/>
        <v>#DIV/0!</v>
      </c>
      <c r="I592" s="28" t="e">
        <f t="shared" si="80"/>
        <v>#DIV/0!</v>
      </c>
      <c r="J592" s="28" t="e">
        <f t="shared" si="81"/>
        <v>#DIV/0!</v>
      </c>
      <c r="L592" s="28">
        <f>'[4]Brazil Corn Price'!$DR239</f>
        <v>0</v>
      </c>
      <c r="M592" s="28">
        <f>'[4]Brazil Corn Price'!$DS239</f>
        <v>0</v>
      </c>
      <c r="N592" s="28">
        <f>'[4]Brazil Corn Price'!$DQ239</f>
        <v>0</v>
      </c>
      <c r="O592" s="28">
        <f t="shared" si="84"/>
        <v>0</v>
      </c>
      <c r="P592" s="28">
        <f t="shared" si="85"/>
        <v>0</v>
      </c>
      <c r="AI592" s="26"/>
      <c r="AJ592" s="26"/>
      <c r="AK592" s="26"/>
      <c r="AL592" s="26"/>
      <c r="AM592" s="26"/>
      <c r="AN592" s="26"/>
      <c r="AO592" s="26"/>
      <c r="AP592" s="25">
        <v>43709</v>
      </c>
      <c r="AQ592" s="29">
        <v>0.75546249999999993</v>
      </c>
      <c r="AR592" s="26"/>
      <c r="AS592" s="26"/>
      <c r="AT592" s="26"/>
      <c r="AU592" s="26"/>
      <c r="AV592" s="26"/>
      <c r="BA592" s="26">
        <f t="shared" si="75"/>
        <v>9</v>
      </c>
      <c r="BB592" s="26">
        <f t="shared" si="76"/>
        <v>2019</v>
      </c>
      <c r="BC592" s="25" t="e" vm="1">
        <v>#REF!</v>
      </c>
      <c r="BD592" s="26" t="e" vm="1">
        <v>#REF!</v>
      </c>
      <c r="BE592" s="26"/>
      <c r="BF592" s="26" t="e" vm="2">
        <f t="shared" si="86"/>
        <v>#VALUE!</v>
      </c>
      <c r="BG592" s="26" t="e" vm="2">
        <f t="shared" si="87"/>
        <v>#VALUE!</v>
      </c>
      <c r="BH592" s="26"/>
      <c r="BI592" s="26"/>
      <c r="BJ592" s="21" t="e" vm="1">
        <v>#REF!</v>
      </c>
      <c r="BK592" s="26" t="e" vm="1">
        <v>#REF!</v>
      </c>
      <c r="BL592" s="26"/>
      <c r="BM592" t="e" vm="2">
        <f t="shared" si="88"/>
        <v>#VALUE!</v>
      </c>
      <c r="BN592" t="e" vm="2">
        <f t="shared" si="89"/>
        <v>#VALUE!</v>
      </c>
      <c r="BO592" s="26"/>
      <c r="BP592" s="26"/>
      <c r="BQ592" s="26"/>
      <c r="BR592" s="25">
        <v>42614</v>
      </c>
      <c r="BS592" s="26">
        <f t="shared" si="91"/>
        <v>9</v>
      </c>
      <c r="BT592" s="26">
        <f t="shared" si="92"/>
        <v>2016</v>
      </c>
      <c r="BU592" s="26" t="e">
        <f t="shared" si="90"/>
        <v>#DIV/0!</v>
      </c>
    </row>
    <row r="593" spans="1:73" x14ac:dyDescent="0.2">
      <c r="A593" s="25">
        <f>Prices!A592</f>
        <v>43739</v>
      </c>
      <c r="B593" s="28">
        <f t="shared" si="82"/>
        <v>0</v>
      </c>
      <c r="C593" s="28">
        <f t="shared" si="78"/>
        <v>0</v>
      </c>
      <c r="D593" s="28" t="e">
        <f t="shared" si="83"/>
        <v>#DIV/0!</v>
      </c>
      <c r="E593" s="28" t="e">
        <f t="shared" si="77"/>
        <v>#DIV/0!</v>
      </c>
      <c r="F593" s="28" t="e">
        <f t="shared" si="74"/>
        <v>#DIV/0!</v>
      </c>
      <c r="G593" s="28" t="e">
        <f>Prices!P592-D593</f>
        <v>#DIV/0!</v>
      </c>
      <c r="H593" s="28" t="e">
        <f t="shared" si="79"/>
        <v>#DIV/0!</v>
      </c>
      <c r="I593" s="28" t="e">
        <f t="shared" si="80"/>
        <v>#DIV/0!</v>
      </c>
      <c r="J593" s="28" t="e">
        <f t="shared" si="81"/>
        <v>#DIV/0!</v>
      </c>
      <c r="L593" s="28">
        <f>'[4]Brazil Corn Price'!$DR240</f>
        <v>0</v>
      </c>
      <c r="M593" s="28">
        <f>'[4]Brazil Corn Price'!$DS240</f>
        <v>0</v>
      </c>
      <c r="N593" s="28">
        <f>'[4]Brazil Corn Price'!$DQ240</f>
        <v>0</v>
      </c>
      <c r="O593" s="28">
        <f t="shared" si="84"/>
        <v>0</v>
      </c>
      <c r="P593" s="28">
        <f t="shared" si="85"/>
        <v>0</v>
      </c>
      <c r="AI593" s="26"/>
      <c r="AJ593" s="26"/>
      <c r="AK593" s="26"/>
      <c r="AL593" s="26"/>
      <c r="AM593" s="26"/>
      <c r="AN593" s="26"/>
      <c r="AO593" s="26"/>
      <c r="AP593" s="25">
        <v>43739</v>
      </c>
      <c r="AQ593" s="29">
        <v>0.75817826086956519</v>
      </c>
      <c r="AR593" s="26"/>
      <c r="AS593" s="26"/>
      <c r="AT593" s="26"/>
      <c r="AU593" s="26"/>
      <c r="AV593" s="26"/>
      <c r="BA593" s="26">
        <f t="shared" si="75"/>
        <v>10</v>
      </c>
      <c r="BB593" s="26">
        <f t="shared" si="76"/>
        <v>2019</v>
      </c>
      <c r="BC593" s="25" t="e" vm="1">
        <v>#REF!</v>
      </c>
      <c r="BD593" s="26" t="e" vm="1">
        <v>#REF!</v>
      </c>
      <c r="BE593" s="26"/>
      <c r="BF593" s="26" t="e" vm="2">
        <f t="shared" si="86"/>
        <v>#VALUE!</v>
      </c>
      <c r="BG593" s="26" t="e" vm="2">
        <f t="shared" si="87"/>
        <v>#VALUE!</v>
      </c>
      <c r="BH593" s="26"/>
      <c r="BI593" s="26"/>
      <c r="BJ593" s="21" t="e" vm="1">
        <v>#REF!</v>
      </c>
      <c r="BK593" s="26" t="e" vm="1">
        <v>#REF!</v>
      </c>
      <c r="BL593" s="26"/>
      <c r="BM593" t="e" vm="2">
        <f t="shared" si="88"/>
        <v>#VALUE!</v>
      </c>
      <c r="BN593" t="e" vm="2">
        <f t="shared" si="89"/>
        <v>#VALUE!</v>
      </c>
      <c r="BO593" s="26"/>
      <c r="BP593" s="26"/>
      <c r="BQ593" s="26"/>
      <c r="BR593" s="25">
        <v>42644</v>
      </c>
      <c r="BS593" s="26">
        <f t="shared" si="91"/>
        <v>10</v>
      </c>
      <c r="BT593" s="26">
        <f t="shared" si="92"/>
        <v>2016</v>
      </c>
      <c r="BU593" s="26" t="e">
        <f t="shared" si="90"/>
        <v>#DIV/0!</v>
      </c>
    </row>
    <row r="594" spans="1:73" x14ac:dyDescent="0.2">
      <c r="A594" s="25">
        <f>Prices!A593</f>
        <v>43770</v>
      </c>
      <c r="B594" s="28">
        <f t="shared" si="82"/>
        <v>0</v>
      </c>
      <c r="C594" s="28">
        <f t="shared" si="78"/>
        <v>0</v>
      </c>
      <c r="D594" s="28" t="e">
        <f t="shared" si="83"/>
        <v>#DIV/0!</v>
      </c>
      <c r="E594" s="28" t="e">
        <f t="shared" si="77"/>
        <v>#DIV/0!</v>
      </c>
      <c r="F594" s="28" t="e">
        <f t="shared" ref="F594:F657" si="93">C594-D594</f>
        <v>#DIV/0!</v>
      </c>
      <c r="G594" s="28" t="e">
        <f>Prices!P593-D594</f>
        <v>#DIV/0!</v>
      </c>
      <c r="H594" s="28" t="e">
        <f t="shared" si="79"/>
        <v>#DIV/0!</v>
      </c>
      <c r="I594" s="28" t="e">
        <f t="shared" si="80"/>
        <v>#DIV/0!</v>
      </c>
      <c r="J594" s="28" t="e">
        <f t="shared" si="81"/>
        <v>#DIV/0!</v>
      </c>
      <c r="L594" s="28">
        <f>'[4]Brazil Corn Price'!$DR241</f>
        <v>0</v>
      </c>
      <c r="M594" s="28">
        <f>'[4]Brazil Corn Price'!$DS241</f>
        <v>0</v>
      </c>
      <c r="N594" s="28">
        <f>'[4]Brazil Corn Price'!$DQ241</f>
        <v>0</v>
      </c>
      <c r="O594" s="28">
        <f t="shared" si="84"/>
        <v>0</v>
      </c>
      <c r="P594" s="28">
        <f t="shared" si="85"/>
        <v>0</v>
      </c>
      <c r="AI594" s="26"/>
      <c r="AJ594" s="26"/>
      <c r="AK594" s="26"/>
      <c r="AL594" s="26"/>
      <c r="AM594" s="26"/>
      <c r="AN594" s="26"/>
      <c r="AO594" s="26"/>
      <c r="AP594" s="25">
        <v>43770</v>
      </c>
      <c r="AQ594" s="29">
        <v>0.75558249999999993</v>
      </c>
      <c r="AR594" s="26"/>
      <c r="AS594" s="26"/>
      <c r="AT594" s="26"/>
      <c r="AU594" s="26"/>
      <c r="AV594" s="26"/>
      <c r="BA594" s="26">
        <f t="shared" ref="BA594:BA657" si="94">MONTH(A594)</f>
        <v>11</v>
      </c>
      <c r="BB594" s="26">
        <f t="shared" ref="BB594:BB657" si="95">YEAR(A594)</f>
        <v>2019</v>
      </c>
      <c r="BC594" s="25" t="e" vm="1">
        <v>#REF!</v>
      </c>
      <c r="BD594" s="26" t="e" vm="1">
        <v>#REF!</v>
      </c>
      <c r="BE594" s="26"/>
      <c r="BF594" s="26" t="e" vm="2">
        <f t="shared" si="86"/>
        <v>#VALUE!</v>
      </c>
      <c r="BG594" s="26" t="e" vm="2">
        <f t="shared" si="87"/>
        <v>#VALUE!</v>
      </c>
      <c r="BH594" s="26"/>
      <c r="BI594" s="26"/>
      <c r="BJ594" s="21" t="e" vm="1">
        <v>#REF!</v>
      </c>
      <c r="BK594" s="26" t="e" vm="1">
        <v>#REF!</v>
      </c>
      <c r="BL594" s="26"/>
      <c r="BM594" t="e" vm="2">
        <f t="shared" si="88"/>
        <v>#VALUE!</v>
      </c>
      <c r="BN594" t="e" vm="2">
        <f t="shared" si="89"/>
        <v>#VALUE!</v>
      </c>
      <c r="BO594" s="26"/>
      <c r="BP594" s="26"/>
      <c r="BQ594" s="26"/>
      <c r="BR594" s="25">
        <v>42675</v>
      </c>
      <c r="BS594" s="26">
        <f t="shared" si="91"/>
        <v>11</v>
      </c>
      <c r="BT594" s="26">
        <f t="shared" si="92"/>
        <v>2016</v>
      </c>
      <c r="BU594" s="26" t="e">
        <f t="shared" si="90"/>
        <v>#DIV/0!</v>
      </c>
    </row>
    <row r="595" spans="1:73" x14ac:dyDescent="0.2">
      <c r="A595" s="25">
        <f>Prices!A594</f>
        <v>43800</v>
      </c>
      <c r="B595" s="28">
        <f t="shared" si="82"/>
        <v>0</v>
      </c>
      <c r="C595" s="28">
        <f t="shared" si="78"/>
        <v>0</v>
      </c>
      <c r="D595" s="28" t="e">
        <f t="shared" si="83"/>
        <v>#DIV/0!</v>
      </c>
      <c r="E595" s="28" t="e">
        <f t="shared" ref="E595:E658" si="96">B595-D595</f>
        <v>#DIV/0!</v>
      </c>
      <c r="F595" s="28" t="e">
        <f t="shared" si="93"/>
        <v>#DIV/0!</v>
      </c>
      <c r="G595" s="28" t="e">
        <f>Prices!P594-D595</f>
        <v>#DIV/0!</v>
      </c>
      <c r="H595" s="28" t="e">
        <f t="shared" si="79"/>
        <v>#DIV/0!</v>
      </c>
      <c r="I595" s="28" t="e">
        <f t="shared" si="80"/>
        <v>#DIV/0!</v>
      </c>
      <c r="J595" s="28" t="e">
        <f t="shared" si="81"/>
        <v>#DIV/0!</v>
      </c>
      <c r="L595" s="28">
        <f>'[4]Brazil Corn Price'!$DR242</f>
        <v>0</v>
      </c>
      <c r="M595" s="28">
        <f>'[4]Brazil Corn Price'!$DS242</f>
        <v>0</v>
      </c>
      <c r="N595" s="28">
        <f>'[4]Brazil Corn Price'!$DQ242</f>
        <v>0</v>
      </c>
      <c r="O595" s="28">
        <f t="shared" si="84"/>
        <v>0</v>
      </c>
      <c r="P595" s="28">
        <f t="shared" si="85"/>
        <v>0</v>
      </c>
      <c r="AI595" s="26"/>
      <c r="AJ595" s="26"/>
      <c r="AK595" s="26"/>
      <c r="AL595" s="26"/>
      <c r="AM595" s="26"/>
      <c r="AN595" s="26"/>
      <c r="AO595" s="26"/>
      <c r="AP595" s="25">
        <v>43800</v>
      </c>
      <c r="AQ595" s="29">
        <v>0.75979285714285716</v>
      </c>
      <c r="AR595" s="26"/>
      <c r="AS595" s="26"/>
      <c r="AT595" s="26"/>
      <c r="AU595" s="26"/>
      <c r="AV595" s="26"/>
      <c r="BA595" s="26">
        <f t="shared" si="94"/>
        <v>12</v>
      </c>
      <c r="BB595" s="26">
        <f t="shared" si="95"/>
        <v>2019</v>
      </c>
      <c r="BC595" s="25" t="e" vm="1">
        <v>#REF!</v>
      </c>
      <c r="BD595" s="26" t="e" vm="1">
        <v>#REF!</v>
      </c>
      <c r="BE595" s="26"/>
      <c r="BF595" s="26" t="e" vm="2">
        <f t="shared" si="86"/>
        <v>#VALUE!</v>
      </c>
      <c r="BG595" s="26" t="e" vm="2">
        <f t="shared" si="87"/>
        <v>#VALUE!</v>
      </c>
      <c r="BH595" s="26"/>
      <c r="BI595" s="26"/>
      <c r="BJ595" s="21" t="e" vm="1">
        <v>#REF!</v>
      </c>
      <c r="BK595" s="26" t="e" vm="1">
        <v>#REF!</v>
      </c>
      <c r="BL595" s="26"/>
      <c r="BM595" t="e" vm="2">
        <f t="shared" si="88"/>
        <v>#VALUE!</v>
      </c>
      <c r="BN595" t="e" vm="2">
        <f t="shared" si="89"/>
        <v>#VALUE!</v>
      </c>
      <c r="BO595" s="26"/>
      <c r="BP595" s="26"/>
      <c r="BQ595" s="26"/>
      <c r="BR595" s="25">
        <v>42705</v>
      </c>
      <c r="BS595" s="26">
        <f t="shared" si="91"/>
        <v>12</v>
      </c>
      <c r="BT595" s="26">
        <f t="shared" si="92"/>
        <v>2016</v>
      </c>
      <c r="BU595" s="26" t="e">
        <f t="shared" si="90"/>
        <v>#DIV/0!</v>
      </c>
    </row>
    <row r="596" spans="1:73" x14ac:dyDescent="0.2">
      <c r="A596" s="25">
        <f>Prices!A595</f>
        <v>43831</v>
      </c>
      <c r="B596" s="28">
        <f t="shared" si="82"/>
        <v>0</v>
      </c>
      <c r="C596" s="28">
        <f t="shared" si="78"/>
        <v>0</v>
      </c>
      <c r="D596" s="28" t="e">
        <f t="shared" si="83"/>
        <v>#DIV/0!</v>
      </c>
      <c r="E596" s="28" t="e">
        <f t="shared" si="96"/>
        <v>#DIV/0!</v>
      </c>
      <c r="F596" s="28" t="e">
        <f t="shared" si="93"/>
        <v>#DIV/0!</v>
      </c>
      <c r="G596" s="28" t="e">
        <f>Prices!P595-D596</f>
        <v>#DIV/0!</v>
      </c>
      <c r="H596" s="28" t="e">
        <f t="shared" si="79"/>
        <v>#DIV/0!</v>
      </c>
      <c r="I596" s="28" t="e">
        <f t="shared" si="80"/>
        <v>#DIV/0!</v>
      </c>
      <c r="J596" s="28" t="e">
        <f t="shared" si="81"/>
        <v>#DIV/0!</v>
      </c>
      <c r="L596" s="28">
        <f>'[4]Brazil Corn Price'!$DR243</f>
        <v>0</v>
      </c>
      <c r="M596" s="28">
        <f>'[4]Brazil Corn Price'!$DS243</f>
        <v>0</v>
      </c>
      <c r="N596" s="28">
        <f>'[4]Brazil Corn Price'!$DQ243</f>
        <v>0</v>
      </c>
      <c r="O596" s="28">
        <f t="shared" si="84"/>
        <v>0</v>
      </c>
      <c r="P596" s="28">
        <f t="shared" si="85"/>
        <v>0</v>
      </c>
      <c r="AI596" s="26"/>
      <c r="AJ596" s="26"/>
      <c r="AK596" s="26"/>
      <c r="AL596" s="26"/>
      <c r="AM596" s="26"/>
      <c r="AN596" s="26"/>
      <c r="AO596" s="26"/>
      <c r="AP596" s="25">
        <v>43831</v>
      </c>
      <c r="AQ596" s="29">
        <v>0.76402857142857117</v>
      </c>
      <c r="AR596" s="26"/>
      <c r="AS596" s="26"/>
      <c r="AT596" s="26"/>
      <c r="AU596" s="26"/>
      <c r="AV596" s="26"/>
      <c r="BA596" s="26">
        <f t="shared" si="94"/>
        <v>1</v>
      </c>
      <c r="BB596" s="26">
        <f t="shared" si="95"/>
        <v>2020</v>
      </c>
      <c r="BC596" s="25" t="e" vm="1">
        <v>#REF!</v>
      </c>
      <c r="BD596" s="26" t="e" vm="1">
        <v>#REF!</v>
      </c>
      <c r="BE596" s="26"/>
      <c r="BF596" s="26" t="e" vm="2">
        <f t="shared" si="86"/>
        <v>#VALUE!</v>
      </c>
      <c r="BG596" s="26" t="e" vm="2">
        <f t="shared" si="87"/>
        <v>#VALUE!</v>
      </c>
      <c r="BH596" s="26"/>
      <c r="BI596" s="26"/>
      <c r="BJ596" s="21" t="e" vm="1">
        <v>#REF!</v>
      </c>
      <c r="BK596" s="26" t="e" vm="1">
        <v>#REF!</v>
      </c>
      <c r="BL596" s="26"/>
      <c r="BM596" t="e" vm="2">
        <f t="shared" si="88"/>
        <v>#VALUE!</v>
      </c>
      <c r="BN596" t="e" vm="2">
        <f t="shared" si="89"/>
        <v>#VALUE!</v>
      </c>
      <c r="BO596" s="26"/>
      <c r="BP596" s="26"/>
      <c r="BQ596" s="26"/>
      <c r="BR596" s="25">
        <v>42736</v>
      </c>
      <c r="BS596" s="26">
        <f t="shared" si="91"/>
        <v>1</v>
      </c>
      <c r="BT596" s="26">
        <f t="shared" si="92"/>
        <v>2017</v>
      </c>
      <c r="BU596" s="26" t="e">
        <f t="shared" si="90"/>
        <v>#DIV/0!</v>
      </c>
    </row>
    <row r="597" spans="1:73" x14ac:dyDescent="0.2">
      <c r="A597" s="25">
        <f>Prices!A596</f>
        <v>43862</v>
      </c>
      <c r="B597" s="28">
        <f t="shared" si="82"/>
        <v>0</v>
      </c>
      <c r="C597" s="28">
        <f t="shared" si="78"/>
        <v>0</v>
      </c>
      <c r="D597" s="28" t="e">
        <f t="shared" si="83"/>
        <v>#DIV/0!</v>
      </c>
      <c r="E597" s="28" t="e">
        <f t="shared" si="96"/>
        <v>#DIV/0!</v>
      </c>
      <c r="F597" s="28" t="e">
        <f t="shared" si="93"/>
        <v>#DIV/0!</v>
      </c>
      <c r="G597" s="28" t="e">
        <f>Prices!P596-D597</f>
        <v>#DIV/0!</v>
      </c>
      <c r="H597" s="28" t="e">
        <f t="shared" si="79"/>
        <v>#DIV/0!</v>
      </c>
      <c r="I597" s="28" t="e">
        <f t="shared" si="80"/>
        <v>#DIV/0!</v>
      </c>
      <c r="J597" s="28" t="e">
        <f t="shared" si="81"/>
        <v>#DIV/0!</v>
      </c>
      <c r="L597" s="28">
        <f>'[4]Brazil Corn Price'!$DR244</f>
        <v>0</v>
      </c>
      <c r="M597" s="28">
        <f>'[4]Brazil Corn Price'!$DS244</f>
        <v>0</v>
      </c>
      <c r="N597" s="28">
        <f>'[4]Brazil Corn Price'!$DQ244</f>
        <v>0</v>
      </c>
      <c r="O597" s="28">
        <f t="shared" si="84"/>
        <v>0</v>
      </c>
      <c r="P597" s="28">
        <f t="shared" si="85"/>
        <v>0</v>
      </c>
      <c r="AI597" s="26"/>
      <c r="AJ597" s="26"/>
      <c r="AK597" s="26"/>
      <c r="AL597" s="26"/>
      <c r="AM597" s="26"/>
      <c r="AN597" s="26"/>
      <c r="AO597" s="26"/>
      <c r="AP597" s="25">
        <v>43862</v>
      </c>
      <c r="AQ597" s="29">
        <v>0.75259210526315778</v>
      </c>
      <c r="AR597" s="26"/>
      <c r="AS597" s="26"/>
      <c r="AT597" s="26"/>
      <c r="AU597" s="26"/>
      <c r="AV597" s="26"/>
      <c r="BA597" s="26">
        <f t="shared" si="94"/>
        <v>2</v>
      </c>
      <c r="BB597" s="26">
        <f t="shared" si="95"/>
        <v>2020</v>
      </c>
      <c r="BC597" s="25" t="e" vm="1">
        <v>#REF!</v>
      </c>
      <c r="BD597" s="26" t="e" vm="1">
        <v>#REF!</v>
      </c>
      <c r="BE597" s="26"/>
      <c r="BF597" s="26" t="e" vm="2">
        <f t="shared" si="86"/>
        <v>#VALUE!</v>
      </c>
      <c r="BG597" s="26" t="e" vm="2">
        <f t="shared" si="87"/>
        <v>#VALUE!</v>
      </c>
      <c r="BH597" s="26"/>
      <c r="BI597" s="26"/>
      <c r="BJ597" s="21" t="e" vm="1">
        <v>#REF!</v>
      </c>
      <c r="BK597" s="26" t="e" vm="1">
        <v>#REF!</v>
      </c>
      <c r="BL597" s="26"/>
      <c r="BM597" t="e" vm="2">
        <f t="shared" si="88"/>
        <v>#VALUE!</v>
      </c>
      <c r="BN597" t="e" vm="2">
        <f t="shared" si="89"/>
        <v>#VALUE!</v>
      </c>
      <c r="BO597" s="26"/>
      <c r="BP597" s="26"/>
      <c r="BQ597" s="26"/>
      <c r="BR597" s="25">
        <v>42767</v>
      </c>
      <c r="BS597" s="26">
        <f t="shared" si="91"/>
        <v>2</v>
      </c>
      <c r="BT597" s="26">
        <f t="shared" si="92"/>
        <v>2017</v>
      </c>
      <c r="BU597" s="26" t="e">
        <f t="shared" si="90"/>
        <v>#DIV/0!</v>
      </c>
    </row>
    <row r="598" spans="1:73" x14ac:dyDescent="0.2">
      <c r="A598" s="25">
        <f>Prices!A597</f>
        <v>43891</v>
      </c>
      <c r="B598" s="28">
        <f t="shared" si="82"/>
        <v>0</v>
      </c>
      <c r="C598" s="28">
        <f t="shared" si="78"/>
        <v>0</v>
      </c>
      <c r="D598" s="28" t="e">
        <f t="shared" si="83"/>
        <v>#DIV/0!</v>
      </c>
      <c r="E598" s="28" t="e">
        <f t="shared" si="96"/>
        <v>#DIV/0!</v>
      </c>
      <c r="F598" s="28" t="e">
        <f t="shared" si="93"/>
        <v>#DIV/0!</v>
      </c>
      <c r="G598" s="28" t="e">
        <f>Prices!P597-D598</f>
        <v>#DIV/0!</v>
      </c>
      <c r="H598" s="28" t="e">
        <f t="shared" si="79"/>
        <v>#DIV/0!</v>
      </c>
      <c r="I598" s="28" t="e">
        <f t="shared" si="80"/>
        <v>#DIV/0!</v>
      </c>
      <c r="J598" s="28" t="e">
        <f t="shared" si="81"/>
        <v>#DIV/0!</v>
      </c>
      <c r="L598" s="28">
        <f>'[4]Brazil Corn Price'!$DR245</f>
        <v>0</v>
      </c>
      <c r="M598" s="28">
        <f>'[4]Brazil Corn Price'!$DS245</f>
        <v>0</v>
      </c>
      <c r="N598" s="28">
        <f>'[4]Brazil Corn Price'!$DQ245</f>
        <v>0</v>
      </c>
      <c r="O598" s="28">
        <f t="shared" si="84"/>
        <v>0</v>
      </c>
      <c r="P598" s="28">
        <f t="shared" si="85"/>
        <v>0</v>
      </c>
      <c r="AI598" s="26"/>
      <c r="AJ598" s="26"/>
      <c r="AK598" s="26"/>
      <c r="AL598" s="26"/>
      <c r="AM598" s="26"/>
      <c r="AN598" s="26"/>
      <c r="AO598" s="26"/>
      <c r="AP598" s="25">
        <v>43891</v>
      </c>
      <c r="AQ598" s="29">
        <v>0.71741136363636349</v>
      </c>
      <c r="AR598" s="26"/>
      <c r="AS598" s="26"/>
      <c r="AT598" s="26"/>
      <c r="AU598" s="26"/>
      <c r="AV598" s="26"/>
      <c r="BA598" s="26">
        <f t="shared" si="94"/>
        <v>3</v>
      </c>
      <c r="BB598" s="26">
        <f t="shared" si="95"/>
        <v>2020</v>
      </c>
      <c r="BC598" s="25" t="e" vm="1">
        <v>#REF!</v>
      </c>
      <c r="BD598" s="26" t="e" vm="1">
        <v>#REF!</v>
      </c>
      <c r="BE598" s="26"/>
      <c r="BF598" s="26" t="e" vm="2">
        <f t="shared" si="86"/>
        <v>#VALUE!</v>
      </c>
      <c r="BG598" s="26" t="e" vm="2">
        <f t="shared" si="87"/>
        <v>#VALUE!</v>
      </c>
      <c r="BH598" s="26"/>
      <c r="BI598" s="26"/>
      <c r="BJ598" s="21" t="e" vm="1">
        <v>#REF!</v>
      </c>
      <c r="BK598" s="26" t="e" vm="1">
        <v>#REF!</v>
      </c>
      <c r="BL598" s="26"/>
      <c r="BM598" t="e" vm="2">
        <f t="shared" si="88"/>
        <v>#VALUE!</v>
      </c>
      <c r="BN598" t="e" vm="2">
        <f t="shared" si="89"/>
        <v>#VALUE!</v>
      </c>
      <c r="BO598" s="26"/>
      <c r="BP598" s="26"/>
      <c r="BQ598" s="26"/>
      <c r="BR598" s="25">
        <v>42795</v>
      </c>
      <c r="BS598" s="26">
        <f t="shared" si="91"/>
        <v>3</v>
      </c>
      <c r="BT598" s="26">
        <f t="shared" si="92"/>
        <v>2017</v>
      </c>
      <c r="BU598" s="26" t="e">
        <f t="shared" si="90"/>
        <v>#DIV/0!</v>
      </c>
    </row>
    <row r="599" spans="1:73" x14ac:dyDescent="0.2">
      <c r="A599" s="25">
        <f>Prices!A598</f>
        <v>43922</v>
      </c>
      <c r="B599" s="28">
        <f t="shared" si="82"/>
        <v>0</v>
      </c>
      <c r="C599" s="28">
        <f t="shared" si="78"/>
        <v>0</v>
      </c>
      <c r="D599" s="28" t="e">
        <f t="shared" si="83"/>
        <v>#DIV/0!</v>
      </c>
      <c r="E599" s="28" t="e">
        <f t="shared" si="96"/>
        <v>#DIV/0!</v>
      </c>
      <c r="F599" s="28" t="e">
        <f t="shared" si="93"/>
        <v>#DIV/0!</v>
      </c>
      <c r="G599" s="28" t="e">
        <f>Prices!P598-D599</f>
        <v>#DIV/0!</v>
      </c>
      <c r="H599" s="28" t="e">
        <f t="shared" si="79"/>
        <v>#DIV/0!</v>
      </c>
      <c r="I599" s="28" t="e">
        <f t="shared" si="80"/>
        <v>#DIV/0!</v>
      </c>
      <c r="J599" s="28" t="e">
        <f t="shared" si="81"/>
        <v>#DIV/0!</v>
      </c>
      <c r="L599" s="28">
        <f>'[4]Brazil Corn Price'!$DR246</f>
        <v>0</v>
      </c>
      <c r="M599" s="28">
        <f>'[4]Brazil Corn Price'!$DS246</f>
        <v>0</v>
      </c>
      <c r="N599" s="28">
        <f>'[4]Brazil Corn Price'!$DQ246</f>
        <v>0</v>
      </c>
      <c r="O599" s="28">
        <f t="shared" si="84"/>
        <v>0</v>
      </c>
      <c r="P599" s="28">
        <f t="shared" si="85"/>
        <v>0</v>
      </c>
      <c r="AI599" s="26"/>
      <c r="AJ599" s="26"/>
      <c r="AK599" s="26"/>
      <c r="AL599" s="26"/>
      <c r="AM599" s="26"/>
      <c r="AN599" s="26"/>
      <c r="AO599" s="26"/>
      <c r="AP599" s="25">
        <v>43922</v>
      </c>
      <c r="AQ599" s="29">
        <v>0.7115499999999999</v>
      </c>
      <c r="AR599" s="26"/>
      <c r="AS599" s="26"/>
      <c r="AT599" s="26"/>
      <c r="AU599" s="26"/>
      <c r="AV599" s="26"/>
      <c r="BA599" s="26">
        <f t="shared" si="94"/>
        <v>4</v>
      </c>
      <c r="BB599" s="26">
        <f t="shared" si="95"/>
        <v>2020</v>
      </c>
      <c r="BC599" s="25" t="e" vm="1">
        <v>#REF!</v>
      </c>
      <c r="BD599" s="26" t="e" vm="1">
        <v>#REF!</v>
      </c>
      <c r="BE599" s="26"/>
      <c r="BF599" s="26" t="e" vm="2">
        <f t="shared" si="86"/>
        <v>#VALUE!</v>
      </c>
      <c r="BG599" s="26" t="e" vm="2">
        <f t="shared" si="87"/>
        <v>#VALUE!</v>
      </c>
      <c r="BH599" s="26"/>
      <c r="BI599" s="26"/>
      <c r="BJ599" s="21" t="e" vm="1">
        <v>#REF!</v>
      </c>
      <c r="BK599" s="26" t="e" vm="1">
        <v>#REF!</v>
      </c>
      <c r="BL599" s="26"/>
      <c r="BM599" t="e" vm="2">
        <f t="shared" si="88"/>
        <v>#VALUE!</v>
      </c>
      <c r="BN599" t="e" vm="2">
        <f t="shared" si="89"/>
        <v>#VALUE!</v>
      </c>
      <c r="BO599" s="26"/>
      <c r="BP599" s="26"/>
      <c r="BQ599" s="26"/>
      <c r="BR599" s="25">
        <v>42826</v>
      </c>
      <c r="BS599" s="26">
        <f t="shared" si="91"/>
        <v>4</v>
      </c>
      <c r="BT599" s="26">
        <f t="shared" si="92"/>
        <v>2017</v>
      </c>
      <c r="BU599" s="26" t="e">
        <f t="shared" si="90"/>
        <v>#DIV/0!</v>
      </c>
    </row>
    <row r="600" spans="1:73" x14ac:dyDescent="0.2">
      <c r="A600" s="25">
        <f>Prices!A599</f>
        <v>43952</v>
      </c>
      <c r="B600" s="28">
        <f t="shared" si="82"/>
        <v>0</v>
      </c>
      <c r="C600" s="28">
        <f t="shared" si="78"/>
        <v>0</v>
      </c>
      <c r="D600" s="28" t="e">
        <f t="shared" si="83"/>
        <v>#DIV/0!</v>
      </c>
      <c r="E600" s="28" t="e">
        <f t="shared" si="96"/>
        <v>#DIV/0!</v>
      </c>
      <c r="F600" s="28" t="e">
        <f t="shared" si="93"/>
        <v>#DIV/0!</v>
      </c>
      <c r="G600" s="28" t="e">
        <f>Prices!P599-D600</f>
        <v>#DIV/0!</v>
      </c>
      <c r="H600" s="28" t="e">
        <f t="shared" si="79"/>
        <v>#DIV/0!</v>
      </c>
      <c r="I600" s="28" t="e">
        <f t="shared" si="80"/>
        <v>#DIV/0!</v>
      </c>
      <c r="J600" s="28" t="e">
        <f t="shared" si="81"/>
        <v>#DIV/0!</v>
      </c>
      <c r="L600" s="28">
        <f>'[4]Brazil Corn Price'!$DR247</f>
        <v>0</v>
      </c>
      <c r="M600" s="28">
        <f>'[4]Brazil Corn Price'!$DS247</f>
        <v>0</v>
      </c>
      <c r="N600" s="28">
        <f>'[4]Brazil Corn Price'!$DQ247</f>
        <v>0</v>
      </c>
      <c r="O600" s="28">
        <f t="shared" si="84"/>
        <v>0</v>
      </c>
      <c r="P600" s="28">
        <f t="shared" si="85"/>
        <v>0</v>
      </c>
      <c r="AI600" s="26"/>
      <c r="AJ600" s="26"/>
      <c r="AK600" s="26"/>
      <c r="AL600" s="26"/>
      <c r="AM600" s="26"/>
      <c r="AN600" s="26"/>
      <c r="AO600" s="26"/>
      <c r="AP600" s="25">
        <v>43952</v>
      </c>
      <c r="AQ600" s="29">
        <v>0.71599249999999992</v>
      </c>
      <c r="AR600" s="26"/>
      <c r="AS600" s="26"/>
      <c r="AT600" s="26"/>
      <c r="AU600" s="26"/>
      <c r="AV600" s="26"/>
      <c r="BA600" s="26">
        <f t="shared" si="94"/>
        <v>5</v>
      </c>
      <c r="BB600" s="26">
        <f t="shared" si="95"/>
        <v>2020</v>
      </c>
      <c r="BC600" s="25" t="e" vm="1">
        <v>#REF!</v>
      </c>
      <c r="BD600" s="26" t="e" vm="1">
        <v>#REF!</v>
      </c>
      <c r="BE600" s="26"/>
      <c r="BF600" s="26" t="e" vm="2">
        <f t="shared" si="86"/>
        <v>#VALUE!</v>
      </c>
      <c r="BG600" s="26" t="e" vm="2">
        <f t="shared" si="87"/>
        <v>#VALUE!</v>
      </c>
      <c r="BH600" s="26"/>
      <c r="BI600" s="26"/>
      <c r="BJ600" s="21" t="e" vm="1">
        <v>#REF!</v>
      </c>
      <c r="BK600" s="26" t="e" vm="1">
        <v>#REF!</v>
      </c>
      <c r="BL600" s="26"/>
      <c r="BM600" t="e" vm="2">
        <f t="shared" si="88"/>
        <v>#VALUE!</v>
      </c>
      <c r="BN600" t="e" vm="2">
        <f t="shared" si="89"/>
        <v>#VALUE!</v>
      </c>
      <c r="BO600" s="26"/>
      <c r="BP600" s="26"/>
      <c r="BQ600" s="26"/>
      <c r="BR600" s="25">
        <v>42856</v>
      </c>
      <c r="BS600" s="26">
        <f t="shared" si="91"/>
        <v>5</v>
      </c>
      <c r="BT600" s="26">
        <f t="shared" si="92"/>
        <v>2017</v>
      </c>
      <c r="BU600" s="26" t="e">
        <f t="shared" si="90"/>
        <v>#DIV/0!</v>
      </c>
    </row>
    <row r="601" spans="1:73" x14ac:dyDescent="0.2">
      <c r="A601" s="25">
        <f>Prices!A600</f>
        <v>43983</v>
      </c>
      <c r="B601" s="28">
        <f t="shared" si="82"/>
        <v>0</v>
      </c>
      <c r="C601" s="28">
        <f t="shared" si="78"/>
        <v>0</v>
      </c>
      <c r="D601" s="28" t="e">
        <f t="shared" si="83"/>
        <v>#DIV/0!</v>
      </c>
      <c r="E601" s="28" t="e">
        <f t="shared" si="96"/>
        <v>#DIV/0!</v>
      </c>
      <c r="F601" s="28" t="e">
        <f t="shared" si="93"/>
        <v>#DIV/0!</v>
      </c>
      <c r="G601" s="28" t="e">
        <f>Prices!P600-D601</f>
        <v>#DIV/0!</v>
      </c>
      <c r="H601" s="28" t="e">
        <f t="shared" si="79"/>
        <v>#DIV/0!</v>
      </c>
      <c r="I601" s="28" t="e">
        <f t="shared" si="80"/>
        <v>#DIV/0!</v>
      </c>
      <c r="J601" s="28" t="e">
        <f t="shared" si="81"/>
        <v>#DIV/0!</v>
      </c>
      <c r="L601" s="28">
        <f>'[4]Brazil Corn Price'!$DR248</f>
        <v>0</v>
      </c>
      <c r="M601" s="28">
        <f>'[4]Brazil Corn Price'!$DS248</f>
        <v>0</v>
      </c>
      <c r="N601" s="28">
        <f>'[4]Brazil Corn Price'!$DQ248</f>
        <v>0</v>
      </c>
      <c r="O601" s="28">
        <f t="shared" si="84"/>
        <v>0</v>
      </c>
      <c r="P601" s="28">
        <f t="shared" si="85"/>
        <v>0</v>
      </c>
      <c r="AI601" s="26"/>
      <c r="AJ601" s="26"/>
      <c r="AK601" s="26"/>
      <c r="AL601" s="26"/>
      <c r="AM601" s="26"/>
      <c r="AN601" s="26"/>
      <c r="AO601" s="26"/>
      <c r="AP601" s="25">
        <v>43983</v>
      </c>
      <c r="AQ601" s="29">
        <v>0.73832045454545459</v>
      </c>
      <c r="AR601" s="26"/>
      <c r="AS601" s="26"/>
      <c r="AT601" s="26"/>
      <c r="AU601" s="26"/>
      <c r="AV601" s="26"/>
      <c r="BA601" s="26">
        <f t="shared" si="94"/>
        <v>6</v>
      </c>
      <c r="BB601" s="26">
        <f t="shared" si="95"/>
        <v>2020</v>
      </c>
      <c r="BC601" s="25" t="e" vm="1">
        <v>#REF!</v>
      </c>
      <c r="BD601" s="26" t="e" vm="1">
        <v>#REF!</v>
      </c>
      <c r="BE601" s="26"/>
      <c r="BF601" s="26" t="e" vm="2">
        <f t="shared" si="86"/>
        <v>#VALUE!</v>
      </c>
      <c r="BG601" s="26" t="e" vm="2">
        <f t="shared" si="87"/>
        <v>#VALUE!</v>
      </c>
      <c r="BH601" s="26"/>
      <c r="BI601" s="26"/>
      <c r="BJ601" s="21" t="e" vm="1">
        <v>#REF!</v>
      </c>
      <c r="BK601" s="26" t="e" vm="1">
        <v>#REF!</v>
      </c>
      <c r="BL601" s="26"/>
      <c r="BM601" t="e" vm="2">
        <f t="shared" si="88"/>
        <v>#VALUE!</v>
      </c>
      <c r="BN601" t="e" vm="2">
        <f t="shared" si="89"/>
        <v>#VALUE!</v>
      </c>
      <c r="BO601" s="26"/>
      <c r="BP601" s="26"/>
      <c r="BQ601" s="26"/>
      <c r="BR601" s="25">
        <v>42887</v>
      </c>
      <c r="BS601" s="26">
        <f t="shared" si="91"/>
        <v>6</v>
      </c>
      <c r="BT601" s="26">
        <f t="shared" si="92"/>
        <v>2017</v>
      </c>
      <c r="BU601" s="26" t="e">
        <f t="shared" si="90"/>
        <v>#DIV/0!</v>
      </c>
    </row>
    <row r="602" spans="1:73" x14ac:dyDescent="0.2">
      <c r="A602" s="25">
        <f>Prices!A601</f>
        <v>44013</v>
      </c>
      <c r="B602" s="28">
        <f t="shared" si="82"/>
        <v>0</v>
      </c>
      <c r="C602" s="28">
        <f t="shared" si="78"/>
        <v>0</v>
      </c>
      <c r="D602" s="28" t="e">
        <f t="shared" si="83"/>
        <v>#DIV/0!</v>
      </c>
      <c r="E602" s="28" t="e">
        <f t="shared" si="96"/>
        <v>#DIV/0!</v>
      </c>
      <c r="F602" s="28" t="e">
        <f t="shared" si="93"/>
        <v>#DIV/0!</v>
      </c>
      <c r="G602" s="28" t="e">
        <f>Prices!P601-D602</f>
        <v>#DIV/0!</v>
      </c>
      <c r="H602" s="28" t="e">
        <f t="shared" si="79"/>
        <v>#DIV/0!</v>
      </c>
      <c r="I602" s="28" t="e">
        <f t="shared" si="80"/>
        <v>#DIV/0!</v>
      </c>
      <c r="J602" s="28" t="e">
        <f t="shared" si="81"/>
        <v>#DIV/0!</v>
      </c>
      <c r="L602" s="28">
        <f>'[4]Brazil Corn Price'!$DR249</f>
        <v>0</v>
      </c>
      <c r="M602" s="28">
        <f>'[4]Brazil Corn Price'!$DS249</f>
        <v>0</v>
      </c>
      <c r="N602" s="28">
        <f>'[4]Brazil Corn Price'!$DQ249</f>
        <v>0</v>
      </c>
      <c r="O602" s="28">
        <f t="shared" si="84"/>
        <v>0</v>
      </c>
      <c r="P602" s="28">
        <f t="shared" si="85"/>
        <v>0</v>
      </c>
      <c r="AI602" s="26"/>
      <c r="AJ602" s="26"/>
      <c r="AK602" s="26"/>
      <c r="AL602" s="26"/>
      <c r="AM602" s="26"/>
      <c r="AN602" s="26"/>
      <c r="AO602" s="26"/>
      <c r="AP602" s="25">
        <v>44013</v>
      </c>
      <c r="AQ602" s="29">
        <v>0.74091590909090921</v>
      </c>
      <c r="AR602" s="26"/>
      <c r="AS602" s="26"/>
      <c r="AT602" s="26"/>
      <c r="AU602" s="26"/>
      <c r="AV602" s="26"/>
      <c r="BA602" s="26">
        <f t="shared" si="94"/>
        <v>7</v>
      </c>
      <c r="BB602" s="26">
        <f t="shared" si="95"/>
        <v>2020</v>
      </c>
      <c r="BC602" s="25" t="e" vm="1">
        <v>#REF!</v>
      </c>
      <c r="BD602" s="26" t="e" vm="1">
        <v>#REF!</v>
      </c>
      <c r="BE602" s="26"/>
      <c r="BF602" s="26" t="e" vm="2">
        <f t="shared" si="86"/>
        <v>#VALUE!</v>
      </c>
      <c r="BG602" s="26" t="e" vm="2">
        <f t="shared" si="87"/>
        <v>#VALUE!</v>
      </c>
      <c r="BH602" s="26"/>
      <c r="BI602" s="26"/>
      <c r="BJ602" s="21" t="e" vm="1">
        <v>#REF!</v>
      </c>
      <c r="BK602" s="26" t="e" vm="1">
        <v>#REF!</v>
      </c>
      <c r="BL602" s="26"/>
      <c r="BM602" t="e" vm="2">
        <f t="shared" si="88"/>
        <v>#VALUE!</v>
      </c>
      <c r="BN602" t="e" vm="2">
        <f t="shared" si="89"/>
        <v>#VALUE!</v>
      </c>
      <c r="BO602" s="26"/>
      <c r="BP602" s="26"/>
      <c r="BQ602" s="26"/>
      <c r="BR602" s="25">
        <v>42917</v>
      </c>
      <c r="BS602" s="26">
        <f t="shared" si="91"/>
        <v>7</v>
      </c>
      <c r="BT602" s="26">
        <f t="shared" si="92"/>
        <v>2017</v>
      </c>
      <c r="BU602" s="26" t="e">
        <f t="shared" si="90"/>
        <v>#DIV/0!</v>
      </c>
    </row>
    <row r="603" spans="1:73" x14ac:dyDescent="0.2">
      <c r="A603" s="25">
        <f>Prices!A602</f>
        <v>44044</v>
      </c>
      <c r="B603" s="28">
        <f t="shared" si="82"/>
        <v>0</v>
      </c>
      <c r="C603" s="28">
        <f t="shared" si="78"/>
        <v>0</v>
      </c>
      <c r="D603" s="28" t="e">
        <f t="shared" si="83"/>
        <v>#DIV/0!</v>
      </c>
      <c r="E603" s="28" t="e">
        <f t="shared" si="96"/>
        <v>#DIV/0!</v>
      </c>
      <c r="F603" s="28" t="e">
        <f t="shared" si="93"/>
        <v>#DIV/0!</v>
      </c>
      <c r="G603" s="28" t="e">
        <f>Prices!P602-D603</f>
        <v>#DIV/0!</v>
      </c>
      <c r="H603" s="28" t="e">
        <f t="shared" si="79"/>
        <v>#DIV/0!</v>
      </c>
      <c r="I603" s="28" t="e">
        <f t="shared" si="80"/>
        <v>#DIV/0!</v>
      </c>
      <c r="J603" s="28" t="e">
        <f t="shared" si="81"/>
        <v>#DIV/0!</v>
      </c>
      <c r="L603" s="28">
        <f>'[4]Brazil Corn Price'!$DR250</f>
        <v>0</v>
      </c>
      <c r="M603" s="28">
        <f>'[4]Brazil Corn Price'!$DS250</f>
        <v>0</v>
      </c>
      <c r="N603" s="28">
        <f>'[4]Brazil Corn Price'!$DQ250</f>
        <v>0</v>
      </c>
      <c r="O603" s="28">
        <f t="shared" si="84"/>
        <v>0</v>
      </c>
      <c r="P603" s="28">
        <f t="shared" si="85"/>
        <v>0</v>
      </c>
      <c r="AI603" s="26"/>
      <c r="AJ603" s="26"/>
      <c r="AK603" s="26"/>
      <c r="AL603" s="26"/>
      <c r="AM603" s="26"/>
      <c r="AN603" s="26"/>
      <c r="AO603" s="26"/>
      <c r="AP603" s="25">
        <v>44044</v>
      </c>
      <c r="AQ603" s="29">
        <v>0.75600238095238104</v>
      </c>
      <c r="AR603" s="26"/>
      <c r="AS603" s="26"/>
      <c r="AT603" s="26"/>
      <c r="AU603" s="26"/>
      <c r="AV603" s="26"/>
      <c r="BA603" s="26">
        <f t="shared" si="94"/>
        <v>8</v>
      </c>
      <c r="BB603" s="26">
        <f t="shared" si="95"/>
        <v>2020</v>
      </c>
      <c r="BC603" s="25" t="e" vm="1">
        <v>#REF!</v>
      </c>
      <c r="BD603" s="26" t="e" vm="1">
        <v>#REF!</v>
      </c>
      <c r="BE603" s="26"/>
      <c r="BF603" s="26" t="e" vm="2">
        <f t="shared" si="86"/>
        <v>#VALUE!</v>
      </c>
      <c r="BG603" s="26" t="e" vm="2">
        <f t="shared" si="87"/>
        <v>#VALUE!</v>
      </c>
      <c r="BH603" s="26"/>
      <c r="BI603" s="26"/>
      <c r="BJ603" s="21" t="e" vm="1">
        <v>#REF!</v>
      </c>
      <c r="BK603" s="26" t="e" vm="1">
        <v>#REF!</v>
      </c>
      <c r="BL603" s="26"/>
      <c r="BM603" t="e" vm="2">
        <f t="shared" si="88"/>
        <v>#VALUE!</v>
      </c>
      <c r="BN603" t="e" vm="2">
        <f t="shared" si="89"/>
        <v>#VALUE!</v>
      </c>
      <c r="BO603" s="26"/>
      <c r="BP603" s="26"/>
      <c r="BQ603" s="26"/>
      <c r="BR603" s="25">
        <v>42948</v>
      </c>
      <c r="BS603" s="26">
        <f t="shared" si="91"/>
        <v>8</v>
      </c>
      <c r="BT603" s="26">
        <f t="shared" si="92"/>
        <v>2017</v>
      </c>
      <c r="BU603" s="26" t="e">
        <f t="shared" si="90"/>
        <v>#DIV/0!</v>
      </c>
    </row>
    <row r="604" spans="1:73" x14ac:dyDescent="0.2">
      <c r="A604" s="25">
        <f>Prices!A603</f>
        <v>44075</v>
      </c>
      <c r="B604" s="28">
        <f t="shared" si="82"/>
        <v>0</v>
      </c>
      <c r="C604" s="28">
        <f t="shared" si="78"/>
        <v>0</v>
      </c>
      <c r="D604" s="28" t="e">
        <f t="shared" si="83"/>
        <v>#DIV/0!</v>
      </c>
      <c r="E604" s="28" t="e">
        <f t="shared" si="96"/>
        <v>#DIV/0!</v>
      </c>
      <c r="F604" s="28" t="e">
        <f t="shared" si="93"/>
        <v>#DIV/0!</v>
      </c>
      <c r="G604" s="28" t="e">
        <f>Prices!P603-D604</f>
        <v>#DIV/0!</v>
      </c>
      <c r="H604" s="28" t="e">
        <f t="shared" si="79"/>
        <v>#DIV/0!</v>
      </c>
      <c r="I604" s="28" t="e">
        <f t="shared" si="80"/>
        <v>#DIV/0!</v>
      </c>
      <c r="J604" s="28" t="e">
        <f t="shared" si="81"/>
        <v>#DIV/0!</v>
      </c>
      <c r="L604" s="28">
        <f>'[4]Brazil Corn Price'!$DR251</f>
        <v>0</v>
      </c>
      <c r="M604" s="28">
        <f>'[4]Brazil Corn Price'!$DS251</f>
        <v>0</v>
      </c>
      <c r="N604" s="28">
        <f>'[4]Brazil Corn Price'!$DQ251</f>
        <v>0</v>
      </c>
      <c r="O604" s="28">
        <f t="shared" si="84"/>
        <v>0</v>
      </c>
      <c r="P604" s="28">
        <f t="shared" si="85"/>
        <v>0</v>
      </c>
      <c r="AI604" s="26"/>
      <c r="AJ604" s="26"/>
      <c r="AK604" s="26"/>
      <c r="AL604" s="26"/>
      <c r="AM604" s="26"/>
      <c r="AN604" s="26"/>
      <c r="AO604" s="26"/>
      <c r="AP604" s="25">
        <v>44075</v>
      </c>
      <c r="AQ604" s="29">
        <v>0.75601904761904759</v>
      </c>
      <c r="AR604" s="26"/>
      <c r="AS604" s="26"/>
      <c r="AT604" s="26"/>
      <c r="AU604" s="26"/>
      <c r="AV604" s="26"/>
      <c r="BA604" s="26">
        <f t="shared" si="94"/>
        <v>9</v>
      </c>
      <c r="BB604" s="26">
        <f t="shared" si="95"/>
        <v>2020</v>
      </c>
      <c r="BC604" s="25" t="e" vm="1">
        <v>#REF!</v>
      </c>
      <c r="BD604" s="26" t="e" vm="1">
        <v>#REF!</v>
      </c>
      <c r="BE604" s="26"/>
      <c r="BF604" s="26" t="e" vm="2">
        <f t="shared" si="86"/>
        <v>#VALUE!</v>
      </c>
      <c r="BG604" s="26" t="e" vm="2">
        <f t="shared" si="87"/>
        <v>#VALUE!</v>
      </c>
      <c r="BH604" s="26"/>
      <c r="BI604" s="26"/>
      <c r="BJ604" s="21" t="e" vm="1">
        <v>#REF!</v>
      </c>
      <c r="BK604" s="26" t="e" vm="1">
        <v>#REF!</v>
      </c>
      <c r="BL604" s="26"/>
      <c r="BM604" t="e" vm="2">
        <f t="shared" si="88"/>
        <v>#VALUE!</v>
      </c>
      <c r="BN604" t="e" vm="2">
        <f t="shared" si="89"/>
        <v>#VALUE!</v>
      </c>
      <c r="BO604" s="26"/>
      <c r="BP604" s="26"/>
      <c r="BQ604" s="26"/>
      <c r="BR604" s="25">
        <v>42979</v>
      </c>
      <c r="BS604" s="26">
        <f t="shared" si="91"/>
        <v>9</v>
      </c>
      <c r="BT604" s="26">
        <f t="shared" si="92"/>
        <v>2017</v>
      </c>
      <c r="BU604" s="26" t="e">
        <f t="shared" si="90"/>
        <v>#DIV/0!</v>
      </c>
    </row>
    <row r="605" spans="1:73" x14ac:dyDescent="0.2">
      <c r="A605" s="25">
        <f>Prices!A604</f>
        <v>44105</v>
      </c>
      <c r="B605" s="28">
        <f t="shared" si="82"/>
        <v>0</v>
      </c>
      <c r="C605" s="28">
        <f t="shared" si="78"/>
        <v>0</v>
      </c>
      <c r="D605" s="28" t="e">
        <f t="shared" si="83"/>
        <v>#DIV/0!</v>
      </c>
      <c r="E605" s="28" t="e">
        <f t="shared" si="96"/>
        <v>#DIV/0!</v>
      </c>
      <c r="F605" s="28" t="e">
        <f t="shared" si="93"/>
        <v>#DIV/0!</v>
      </c>
      <c r="G605" s="28" t="e">
        <f>Prices!P604-D605</f>
        <v>#DIV/0!</v>
      </c>
      <c r="H605" s="28" t="e">
        <f t="shared" si="79"/>
        <v>#DIV/0!</v>
      </c>
      <c r="I605" s="28" t="e">
        <f t="shared" si="80"/>
        <v>#DIV/0!</v>
      </c>
      <c r="J605" s="28" t="e">
        <f t="shared" si="81"/>
        <v>#DIV/0!</v>
      </c>
      <c r="L605" s="28">
        <f>'[4]Brazil Corn Price'!$DR252</f>
        <v>0</v>
      </c>
      <c r="M605" s="28">
        <f>'[4]Brazil Corn Price'!$DS252</f>
        <v>0</v>
      </c>
      <c r="N605" s="28">
        <f>'[4]Brazil Corn Price'!$DQ252</f>
        <v>0</v>
      </c>
      <c r="O605" s="28">
        <f t="shared" si="84"/>
        <v>0</v>
      </c>
      <c r="P605" s="28">
        <f t="shared" si="85"/>
        <v>0</v>
      </c>
      <c r="AI605" s="26"/>
      <c r="AJ605" s="26"/>
      <c r="AK605" s="26"/>
      <c r="AL605" s="26"/>
      <c r="AM605" s="26"/>
      <c r="AN605" s="26"/>
      <c r="AO605" s="26"/>
      <c r="AP605" s="25">
        <v>44105</v>
      </c>
      <c r="AQ605" s="29">
        <v>0.75703181818181808</v>
      </c>
      <c r="AR605" s="26"/>
      <c r="AS605" s="26"/>
      <c r="AT605" s="26"/>
      <c r="AU605" s="26"/>
      <c r="AV605" s="26"/>
      <c r="BA605" s="26">
        <f t="shared" si="94"/>
        <v>10</v>
      </c>
      <c r="BB605" s="26">
        <f t="shared" si="95"/>
        <v>2020</v>
      </c>
      <c r="BC605" s="25" t="e" vm="1">
        <v>#REF!</v>
      </c>
      <c r="BD605" s="26" t="e" vm="1">
        <v>#REF!</v>
      </c>
      <c r="BE605" s="26"/>
      <c r="BF605" s="26" t="e" vm="2">
        <f t="shared" si="86"/>
        <v>#VALUE!</v>
      </c>
      <c r="BG605" s="26" t="e" vm="2">
        <f t="shared" si="87"/>
        <v>#VALUE!</v>
      </c>
      <c r="BH605" s="26"/>
      <c r="BI605" s="26"/>
      <c r="BJ605" s="21" t="e" vm="1">
        <v>#REF!</v>
      </c>
      <c r="BK605" s="26" t="e" vm="1">
        <v>#REF!</v>
      </c>
      <c r="BL605" s="26"/>
      <c r="BM605" t="e" vm="2">
        <f t="shared" si="88"/>
        <v>#VALUE!</v>
      </c>
      <c r="BN605" t="e" vm="2">
        <f t="shared" si="89"/>
        <v>#VALUE!</v>
      </c>
      <c r="BO605" s="26"/>
      <c r="BP605" s="26"/>
      <c r="BQ605" s="26"/>
      <c r="BR605" s="25">
        <v>43009</v>
      </c>
      <c r="BS605" s="26">
        <f t="shared" si="91"/>
        <v>10</v>
      </c>
      <c r="BT605" s="26">
        <f t="shared" si="92"/>
        <v>2017</v>
      </c>
      <c r="BU605" s="26" t="e">
        <f t="shared" si="90"/>
        <v>#DIV/0!</v>
      </c>
    </row>
    <row r="606" spans="1:73" x14ac:dyDescent="0.2">
      <c r="A606" s="25">
        <f>Prices!A605</f>
        <v>44136</v>
      </c>
      <c r="B606" s="28">
        <f t="shared" si="82"/>
        <v>0</v>
      </c>
      <c r="C606" s="28">
        <f t="shared" si="78"/>
        <v>0</v>
      </c>
      <c r="D606" s="28" t="e">
        <f t="shared" si="83"/>
        <v>#DIV/0!</v>
      </c>
      <c r="E606" s="28" t="e">
        <f t="shared" si="96"/>
        <v>#DIV/0!</v>
      </c>
      <c r="F606" s="28" t="e">
        <f t="shared" si="93"/>
        <v>#DIV/0!</v>
      </c>
      <c r="G606" s="28" t="e">
        <f>Prices!P605-D606</f>
        <v>#DIV/0!</v>
      </c>
      <c r="H606" s="28" t="e">
        <f t="shared" si="79"/>
        <v>#DIV/0!</v>
      </c>
      <c r="I606" s="28" t="e">
        <f t="shared" si="80"/>
        <v>#DIV/0!</v>
      </c>
      <c r="J606" s="28" t="e">
        <f t="shared" si="81"/>
        <v>#DIV/0!</v>
      </c>
      <c r="L606" s="28">
        <f>'[4]Brazil Corn Price'!$DR253</f>
        <v>0</v>
      </c>
      <c r="M606" s="28">
        <f>'[4]Brazil Corn Price'!$DS253</f>
        <v>0</v>
      </c>
      <c r="N606" s="28">
        <f>'[4]Brazil Corn Price'!$DQ253</f>
        <v>0</v>
      </c>
      <c r="O606" s="28">
        <f t="shared" si="84"/>
        <v>0</v>
      </c>
      <c r="P606" s="28">
        <f t="shared" si="85"/>
        <v>0</v>
      </c>
      <c r="AI606" s="26"/>
      <c r="AJ606" s="26"/>
      <c r="AK606" s="26"/>
      <c r="AL606" s="26"/>
      <c r="AM606" s="26"/>
      <c r="AN606" s="26"/>
      <c r="AO606" s="26"/>
      <c r="AP606" s="25">
        <v>44136</v>
      </c>
      <c r="AQ606" s="29">
        <v>0.76524999999999987</v>
      </c>
      <c r="AR606" s="26"/>
      <c r="AS606" s="26"/>
      <c r="AT606" s="26"/>
      <c r="AU606" s="26"/>
      <c r="AV606" s="26"/>
      <c r="BA606" s="26">
        <f t="shared" si="94"/>
        <v>11</v>
      </c>
      <c r="BB606" s="26">
        <f t="shared" si="95"/>
        <v>2020</v>
      </c>
      <c r="BC606" s="25" t="e" vm="1">
        <v>#REF!</v>
      </c>
      <c r="BD606" s="26" t="e" vm="1">
        <v>#REF!</v>
      </c>
      <c r="BE606" s="26"/>
      <c r="BF606" s="26" t="e" vm="2">
        <f t="shared" si="86"/>
        <v>#VALUE!</v>
      </c>
      <c r="BG606" s="26" t="e" vm="2">
        <f t="shared" si="87"/>
        <v>#VALUE!</v>
      </c>
      <c r="BH606" s="26"/>
      <c r="BI606" s="26"/>
      <c r="BJ606" s="21" t="e" vm="1">
        <v>#REF!</v>
      </c>
      <c r="BK606" s="26" t="e" vm="1">
        <v>#REF!</v>
      </c>
      <c r="BL606" s="26"/>
      <c r="BM606" t="e" vm="2">
        <f t="shared" si="88"/>
        <v>#VALUE!</v>
      </c>
      <c r="BN606" t="e" vm="2">
        <f t="shared" si="89"/>
        <v>#VALUE!</v>
      </c>
      <c r="BO606" s="26"/>
      <c r="BP606" s="26"/>
      <c r="BQ606" s="26"/>
      <c r="BR606" s="25">
        <v>43040</v>
      </c>
      <c r="BS606" s="26">
        <f t="shared" si="91"/>
        <v>11</v>
      </c>
      <c r="BT606" s="26">
        <f t="shared" si="92"/>
        <v>2017</v>
      </c>
      <c r="BU606" s="26" t="e">
        <f t="shared" si="90"/>
        <v>#DIV/0!</v>
      </c>
    </row>
    <row r="607" spans="1:73" x14ac:dyDescent="0.2">
      <c r="A607" s="25">
        <f>Prices!A606</f>
        <v>44166</v>
      </c>
      <c r="B607" s="28">
        <f t="shared" si="82"/>
        <v>0</v>
      </c>
      <c r="C607" s="28">
        <f t="shared" si="78"/>
        <v>0</v>
      </c>
      <c r="D607" s="28" t="e">
        <f t="shared" si="83"/>
        <v>#DIV/0!</v>
      </c>
      <c r="E607" s="28" t="e">
        <f t="shared" si="96"/>
        <v>#DIV/0!</v>
      </c>
      <c r="F607" s="28" t="e">
        <f t="shared" si="93"/>
        <v>#DIV/0!</v>
      </c>
      <c r="G607" s="28" t="e">
        <f>Prices!P606-D607</f>
        <v>#DIV/0!</v>
      </c>
      <c r="H607" s="28" t="e">
        <f t="shared" si="79"/>
        <v>#DIV/0!</v>
      </c>
      <c r="I607" s="28" t="e">
        <f t="shared" si="80"/>
        <v>#DIV/0!</v>
      </c>
      <c r="J607" s="28" t="e">
        <f t="shared" si="81"/>
        <v>#DIV/0!</v>
      </c>
      <c r="L607" s="28">
        <f>'[4]Brazil Corn Price'!$DR254</f>
        <v>0</v>
      </c>
      <c r="M607" s="28">
        <f>'[4]Brazil Corn Price'!$DS254</f>
        <v>0</v>
      </c>
      <c r="N607" s="28">
        <f>'[4]Brazil Corn Price'!$DQ254</f>
        <v>0</v>
      </c>
      <c r="O607" s="28">
        <f t="shared" si="84"/>
        <v>0</v>
      </c>
      <c r="P607" s="28">
        <f t="shared" si="85"/>
        <v>0</v>
      </c>
      <c r="AI607" s="26"/>
      <c r="AJ607" s="26"/>
      <c r="AK607" s="26"/>
      <c r="AL607" s="26"/>
      <c r="AM607" s="26"/>
      <c r="AN607" s="26"/>
      <c r="AO607" s="26"/>
      <c r="AP607" s="25">
        <v>44166</v>
      </c>
      <c r="AQ607" s="29">
        <v>0.78087272727272705</v>
      </c>
      <c r="AR607" s="26"/>
      <c r="AS607" s="26"/>
      <c r="AT607" s="26"/>
      <c r="AU607" s="26"/>
      <c r="AV607" s="26"/>
      <c r="BA607" s="26">
        <f t="shared" si="94"/>
        <v>12</v>
      </c>
      <c r="BB607" s="26">
        <f t="shared" si="95"/>
        <v>2020</v>
      </c>
      <c r="BC607" s="25" t="e" vm="1">
        <v>#REF!</v>
      </c>
      <c r="BD607" s="26" t="e" vm="1">
        <v>#REF!</v>
      </c>
      <c r="BE607" s="26"/>
      <c r="BF607" s="26" t="e" vm="2">
        <f t="shared" si="86"/>
        <v>#VALUE!</v>
      </c>
      <c r="BG607" s="26" t="e" vm="2">
        <f t="shared" si="87"/>
        <v>#VALUE!</v>
      </c>
      <c r="BH607" s="26"/>
      <c r="BI607" s="26"/>
      <c r="BJ607" s="21" t="e" vm="1">
        <v>#REF!</v>
      </c>
      <c r="BK607" s="26" t="e" vm="1">
        <v>#REF!</v>
      </c>
      <c r="BL607" s="26"/>
      <c r="BM607" t="e" vm="2">
        <f t="shared" si="88"/>
        <v>#VALUE!</v>
      </c>
      <c r="BN607" t="e" vm="2">
        <f t="shared" si="89"/>
        <v>#VALUE!</v>
      </c>
      <c r="BO607" s="26"/>
      <c r="BP607" s="26"/>
      <c r="BQ607" s="26"/>
      <c r="BR607" s="25">
        <v>43070</v>
      </c>
      <c r="BS607" s="26">
        <f t="shared" si="91"/>
        <v>12</v>
      </c>
      <c r="BT607" s="26">
        <f t="shared" si="92"/>
        <v>2017</v>
      </c>
      <c r="BU607" s="26" t="e">
        <f t="shared" si="90"/>
        <v>#DIV/0!</v>
      </c>
    </row>
    <row r="608" spans="1:73" x14ac:dyDescent="0.2">
      <c r="A608" s="25">
        <f>Prices!A607</f>
        <v>44197</v>
      </c>
      <c r="B608" s="28">
        <f t="shared" si="82"/>
        <v>0</v>
      </c>
      <c r="C608" s="28">
        <f t="shared" si="78"/>
        <v>0</v>
      </c>
      <c r="D608" s="28" t="e">
        <f t="shared" si="83"/>
        <v>#DIV/0!</v>
      </c>
      <c r="E608" s="28" t="e">
        <f t="shared" si="96"/>
        <v>#DIV/0!</v>
      </c>
      <c r="F608" s="28" t="e">
        <f t="shared" si="93"/>
        <v>#DIV/0!</v>
      </c>
      <c r="G608" s="28" t="e">
        <f>Prices!P607-D608</f>
        <v>#DIV/0!</v>
      </c>
      <c r="H608" s="28" t="e">
        <f t="shared" si="79"/>
        <v>#DIV/0!</v>
      </c>
      <c r="I608" s="28" t="e">
        <f t="shared" si="80"/>
        <v>#DIV/0!</v>
      </c>
      <c r="J608" s="28" t="e">
        <f t="shared" si="81"/>
        <v>#DIV/0!</v>
      </c>
      <c r="L608" s="28">
        <f>'[4]Brazil Corn Price'!$DR255</f>
        <v>0</v>
      </c>
      <c r="M608" s="28">
        <f>'[4]Brazil Corn Price'!$DS255</f>
        <v>0</v>
      </c>
      <c r="N608" s="28">
        <f>'[4]Brazil Corn Price'!$DQ255</f>
        <v>0</v>
      </c>
      <c r="O608" s="28">
        <f t="shared" si="84"/>
        <v>0</v>
      </c>
      <c r="P608" s="28">
        <f t="shared" si="85"/>
        <v>0</v>
      </c>
      <c r="AI608" s="26"/>
      <c r="AJ608" s="26"/>
      <c r="AK608" s="26"/>
      <c r="AL608" s="26"/>
      <c r="AM608" s="26"/>
      <c r="AN608" s="26"/>
      <c r="AO608" s="26"/>
      <c r="AP608" s="25">
        <v>44197</v>
      </c>
      <c r="AQ608" s="29">
        <v>0.78619736842105259</v>
      </c>
      <c r="AR608" s="26"/>
      <c r="AS608" s="26"/>
      <c r="AT608" s="26"/>
      <c r="AU608" s="26"/>
      <c r="AV608" s="26"/>
      <c r="BA608" s="26">
        <f t="shared" si="94"/>
        <v>1</v>
      </c>
      <c r="BB608" s="26">
        <f t="shared" si="95"/>
        <v>2021</v>
      </c>
      <c r="BC608" s="25" t="e" vm="1">
        <v>#REF!</v>
      </c>
      <c r="BD608" s="26" t="e" vm="1">
        <v>#REF!</v>
      </c>
      <c r="BE608" s="26"/>
      <c r="BF608" s="26" t="e" vm="2">
        <f t="shared" si="86"/>
        <v>#VALUE!</v>
      </c>
      <c r="BG608" s="26" t="e" vm="2">
        <f t="shared" si="87"/>
        <v>#VALUE!</v>
      </c>
      <c r="BH608" s="26"/>
      <c r="BI608" s="26"/>
      <c r="BJ608" s="21" t="e" vm="1">
        <v>#REF!</v>
      </c>
      <c r="BK608" s="26" t="e" vm="1">
        <v>#REF!</v>
      </c>
      <c r="BL608" s="26"/>
      <c r="BM608" t="e" vm="2">
        <f t="shared" si="88"/>
        <v>#VALUE!</v>
      </c>
      <c r="BN608" t="e" vm="2">
        <f t="shared" si="89"/>
        <v>#VALUE!</v>
      </c>
      <c r="BO608" s="26"/>
      <c r="BP608" s="26"/>
      <c r="BQ608" s="26"/>
      <c r="BR608" s="25">
        <v>43101</v>
      </c>
      <c r="BS608" s="26">
        <f t="shared" si="91"/>
        <v>1</v>
      </c>
      <c r="BT608" s="26">
        <f t="shared" si="92"/>
        <v>2018</v>
      </c>
      <c r="BU608" s="26" t="e">
        <f t="shared" si="90"/>
        <v>#DIV/0!</v>
      </c>
    </row>
    <row r="609" spans="1:73" x14ac:dyDescent="0.2">
      <c r="A609" s="25">
        <f>Prices!A608</f>
        <v>44228</v>
      </c>
      <c r="B609" s="28">
        <f t="shared" si="82"/>
        <v>0</v>
      </c>
      <c r="C609" s="28">
        <f t="shared" si="78"/>
        <v>0</v>
      </c>
      <c r="D609" s="28" t="e">
        <f t="shared" si="83"/>
        <v>#DIV/0!</v>
      </c>
      <c r="E609" s="28" t="e">
        <f t="shared" si="96"/>
        <v>#DIV/0!</v>
      </c>
      <c r="F609" s="28" t="e">
        <f t="shared" si="93"/>
        <v>#DIV/0!</v>
      </c>
      <c r="G609" s="28" t="e">
        <f>Prices!P608-D609</f>
        <v>#DIV/0!</v>
      </c>
      <c r="H609" s="28" t="e">
        <f t="shared" si="79"/>
        <v>#DIV/0!</v>
      </c>
      <c r="I609" s="28" t="e">
        <f t="shared" si="80"/>
        <v>#DIV/0!</v>
      </c>
      <c r="J609" s="28" t="e">
        <f t="shared" si="81"/>
        <v>#DIV/0!</v>
      </c>
      <c r="L609" s="28">
        <f>'[4]Brazil Corn Price'!$DR256</f>
        <v>0</v>
      </c>
      <c r="M609" s="28">
        <f>'[4]Brazil Corn Price'!$DS256</f>
        <v>0</v>
      </c>
      <c r="N609" s="28">
        <f>'[4]Brazil Corn Price'!$DQ256</f>
        <v>0</v>
      </c>
      <c r="O609" s="28">
        <f t="shared" si="84"/>
        <v>0</v>
      </c>
      <c r="P609" s="28">
        <f t="shared" si="85"/>
        <v>0</v>
      </c>
      <c r="AI609" s="26"/>
      <c r="AJ609" s="26"/>
      <c r="AK609" s="26"/>
      <c r="AL609" s="26"/>
      <c r="AM609" s="26"/>
      <c r="AN609" s="26"/>
      <c r="AO609" s="26"/>
      <c r="AP609" s="25">
        <v>44228</v>
      </c>
      <c r="AQ609" s="29">
        <v>0.78761578947368427</v>
      </c>
      <c r="AR609" s="26"/>
      <c r="AS609" s="26"/>
      <c r="AT609" s="26"/>
      <c r="AU609" s="26"/>
      <c r="AV609" s="26"/>
      <c r="BA609" s="26">
        <f t="shared" si="94"/>
        <v>2</v>
      </c>
      <c r="BB609" s="26">
        <f t="shared" si="95"/>
        <v>2021</v>
      </c>
      <c r="BC609" s="25" t="e" vm="1">
        <v>#REF!</v>
      </c>
      <c r="BD609" s="26" t="e" vm="1">
        <v>#REF!</v>
      </c>
      <c r="BE609" s="26"/>
      <c r="BF609" s="26" t="e" vm="2">
        <f t="shared" si="86"/>
        <v>#VALUE!</v>
      </c>
      <c r="BG609" s="26" t="e" vm="2">
        <f t="shared" si="87"/>
        <v>#VALUE!</v>
      </c>
      <c r="BH609" s="26"/>
      <c r="BI609" s="26"/>
      <c r="BJ609" s="21" t="e" vm="1">
        <v>#REF!</v>
      </c>
      <c r="BK609" s="26" t="e" vm="1">
        <v>#REF!</v>
      </c>
      <c r="BL609" s="26"/>
      <c r="BM609" t="e" vm="2">
        <f t="shared" si="88"/>
        <v>#VALUE!</v>
      </c>
      <c r="BN609" t="e" vm="2">
        <f t="shared" si="89"/>
        <v>#VALUE!</v>
      </c>
      <c r="BO609" s="26"/>
      <c r="BP609" s="26"/>
      <c r="BQ609" s="26"/>
      <c r="BR609" s="25">
        <v>43132</v>
      </c>
      <c r="BS609" s="26">
        <f t="shared" si="91"/>
        <v>2</v>
      </c>
      <c r="BT609" s="26">
        <f t="shared" si="92"/>
        <v>2018</v>
      </c>
      <c r="BU609" s="26" t="e">
        <f t="shared" si="90"/>
        <v>#DIV/0!</v>
      </c>
    </row>
    <row r="610" spans="1:73" x14ac:dyDescent="0.2">
      <c r="A610" s="25">
        <f>Prices!A609</f>
        <v>44256</v>
      </c>
      <c r="B610" s="28">
        <f t="shared" si="82"/>
        <v>0</v>
      </c>
      <c r="C610" s="28">
        <f t="shared" si="78"/>
        <v>0</v>
      </c>
      <c r="D610" s="28" t="e">
        <f t="shared" si="83"/>
        <v>#DIV/0!</v>
      </c>
      <c r="E610" s="28" t="e">
        <f t="shared" si="96"/>
        <v>#DIV/0!</v>
      </c>
      <c r="F610" s="28" t="e">
        <f t="shared" si="93"/>
        <v>#DIV/0!</v>
      </c>
      <c r="G610" s="28" t="e">
        <f>Prices!P609-D610</f>
        <v>#DIV/0!</v>
      </c>
      <c r="H610" s="28" t="e">
        <f t="shared" si="79"/>
        <v>#DIV/0!</v>
      </c>
      <c r="I610" s="28" t="e">
        <f t="shared" si="80"/>
        <v>#DIV/0!</v>
      </c>
      <c r="J610" s="28" t="e">
        <f t="shared" si="81"/>
        <v>#DIV/0!</v>
      </c>
      <c r="L610" s="28">
        <f>'[4]Brazil Corn Price'!$DR257</f>
        <v>0</v>
      </c>
      <c r="M610" s="28">
        <f>'[4]Brazil Corn Price'!$DS257</f>
        <v>0</v>
      </c>
      <c r="N610" s="28">
        <f>'[4]Brazil Corn Price'!$DQ257</f>
        <v>0</v>
      </c>
      <c r="O610" s="28">
        <f t="shared" si="84"/>
        <v>0</v>
      </c>
      <c r="P610" s="28">
        <f t="shared" si="85"/>
        <v>0</v>
      </c>
      <c r="AI610" s="26"/>
      <c r="AJ610" s="26"/>
      <c r="AK610" s="26"/>
      <c r="AL610" s="26"/>
      <c r="AM610" s="26"/>
      <c r="AN610" s="26"/>
      <c r="AO610" s="26"/>
      <c r="AP610" s="25">
        <v>44256</v>
      </c>
      <c r="AQ610" s="29">
        <v>0.79546086956521744</v>
      </c>
      <c r="AR610" s="26"/>
      <c r="AS610" s="26"/>
      <c r="AT610" s="26"/>
      <c r="AU610" s="26"/>
      <c r="AV610" s="26"/>
      <c r="BA610" s="26">
        <f t="shared" si="94"/>
        <v>3</v>
      </c>
      <c r="BB610" s="26">
        <f t="shared" si="95"/>
        <v>2021</v>
      </c>
      <c r="BC610" s="25" t="e" vm="1">
        <v>#REF!</v>
      </c>
      <c r="BD610" s="26" t="e" vm="1">
        <v>#REF!</v>
      </c>
      <c r="BE610" s="26"/>
      <c r="BF610" s="26" t="e" vm="2">
        <f t="shared" si="86"/>
        <v>#VALUE!</v>
      </c>
      <c r="BG610" s="26" t="e" vm="2">
        <f t="shared" si="87"/>
        <v>#VALUE!</v>
      </c>
      <c r="BH610" s="26"/>
      <c r="BI610" s="26"/>
      <c r="BJ610" s="21" t="e" vm="1">
        <v>#REF!</v>
      </c>
      <c r="BK610" s="26" t="e" vm="1">
        <v>#REF!</v>
      </c>
      <c r="BL610" s="26"/>
      <c r="BM610" t="e" vm="2">
        <f t="shared" si="88"/>
        <v>#VALUE!</v>
      </c>
      <c r="BN610" t="e" vm="2">
        <f t="shared" si="89"/>
        <v>#VALUE!</v>
      </c>
      <c r="BO610" s="26"/>
      <c r="BP610" s="26"/>
      <c r="BQ610" s="26"/>
      <c r="BR610" s="25">
        <v>43160</v>
      </c>
      <c r="BS610" s="26">
        <f t="shared" si="91"/>
        <v>3</v>
      </c>
      <c r="BT610" s="26">
        <f t="shared" si="92"/>
        <v>2018</v>
      </c>
      <c r="BU610" s="26" t="e">
        <f t="shared" si="90"/>
        <v>#DIV/0!</v>
      </c>
    </row>
    <row r="611" spans="1:73" x14ac:dyDescent="0.2">
      <c r="A611" s="25">
        <f>Prices!A610</f>
        <v>44287</v>
      </c>
      <c r="B611" s="28">
        <f t="shared" si="82"/>
        <v>0</v>
      </c>
      <c r="C611" s="28">
        <f t="shared" si="78"/>
        <v>0</v>
      </c>
      <c r="D611" s="28" t="e">
        <f t="shared" si="83"/>
        <v>#DIV/0!</v>
      </c>
      <c r="E611" s="28" t="e">
        <f t="shared" si="96"/>
        <v>#DIV/0!</v>
      </c>
      <c r="F611" s="28" t="e">
        <f t="shared" si="93"/>
        <v>#DIV/0!</v>
      </c>
      <c r="G611" s="28" t="e">
        <f>Prices!P610-D611</f>
        <v>#DIV/0!</v>
      </c>
      <c r="H611" s="28" t="e">
        <f t="shared" si="79"/>
        <v>#DIV/0!</v>
      </c>
      <c r="I611" s="28" t="e">
        <f t="shared" si="80"/>
        <v>#DIV/0!</v>
      </c>
      <c r="J611" s="28" t="e">
        <f t="shared" si="81"/>
        <v>#DIV/0!</v>
      </c>
      <c r="L611" s="28">
        <f>'[4]Brazil Corn Price'!$DR258</f>
        <v>0</v>
      </c>
      <c r="M611" s="28">
        <f>'[4]Brazil Corn Price'!$DS258</f>
        <v>0</v>
      </c>
      <c r="N611" s="28">
        <f>'[4]Brazil Corn Price'!$DQ258</f>
        <v>0</v>
      </c>
      <c r="O611" s="28">
        <f t="shared" si="84"/>
        <v>0</v>
      </c>
      <c r="P611" s="28">
        <f t="shared" si="85"/>
        <v>0</v>
      </c>
      <c r="AI611" s="26"/>
      <c r="AJ611" s="26"/>
      <c r="AK611" s="26"/>
      <c r="AL611" s="26"/>
      <c r="AM611" s="26"/>
      <c r="AN611" s="26"/>
      <c r="AO611" s="26"/>
      <c r="AP611" s="25">
        <v>44287</v>
      </c>
      <c r="AQ611" s="29">
        <v>0.80064090909090924</v>
      </c>
      <c r="AR611" s="26"/>
      <c r="AS611" s="26"/>
      <c r="AT611" s="26"/>
      <c r="AU611" s="26"/>
      <c r="AV611" s="26"/>
      <c r="BA611" s="26">
        <f t="shared" si="94"/>
        <v>4</v>
      </c>
      <c r="BB611" s="26">
        <f t="shared" si="95"/>
        <v>2021</v>
      </c>
      <c r="BC611" s="25" t="e" vm="1">
        <v>#REF!</v>
      </c>
      <c r="BD611" s="26" t="e" vm="1">
        <v>#REF!</v>
      </c>
      <c r="BE611" s="26"/>
      <c r="BF611" s="26" t="e" vm="2">
        <f t="shared" si="86"/>
        <v>#VALUE!</v>
      </c>
      <c r="BG611" s="26" t="e" vm="2">
        <f t="shared" si="87"/>
        <v>#VALUE!</v>
      </c>
      <c r="BH611" s="26"/>
      <c r="BI611" s="26"/>
      <c r="BJ611" s="21" t="e" vm="1">
        <v>#REF!</v>
      </c>
      <c r="BK611" s="26" t="e" vm="1">
        <v>#REF!</v>
      </c>
      <c r="BL611" s="26"/>
      <c r="BM611" t="e" vm="2">
        <f t="shared" si="88"/>
        <v>#VALUE!</v>
      </c>
      <c r="BN611" t="e" vm="2">
        <f t="shared" si="89"/>
        <v>#VALUE!</v>
      </c>
      <c r="BO611" s="26"/>
      <c r="BP611" s="26"/>
      <c r="BQ611" s="26"/>
      <c r="BR611" s="25">
        <v>43191</v>
      </c>
      <c r="BS611" s="26">
        <f t="shared" si="91"/>
        <v>4</v>
      </c>
      <c r="BT611" s="26">
        <f t="shared" si="92"/>
        <v>2018</v>
      </c>
      <c r="BU611" s="26" t="e">
        <f t="shared" si="90"/>
        <v>#DIV/0!</v>
      </c>
    </row>
    <row r="612" spans="1:73" x14ac:dyDescent="0.2">
      <c r="A612" s="25">
        <f>Prices!A611</f>
        <v>44317</v>
      </c>
      <c r="B612" s="28">
        <f t="shared" si="82"/>
        <v>0</v>
      </c>
      <c r="C612" s="28">
        <f t="shared" si="78"/>
        <v>0</v>
      </c>
      <c r="D612" s="28" t="e">
        <f t="shared" si="83"/>
        <v>#DIV/0!</v>
      </c>
      <c r="E612" s="28" t="e">
        <f t="shared" si="96"/>
        <v>#DIV/0!</v>
      </c>
      <c r="F612" s="28" t="e">
        <f t="shared" si="93"/>
        <v>#DIV/0!</v>
      </c>
      <c r="G612" s="28" t="e">
        <f>Prices!P611-D612</f>
        <v>#DIV/0!</v>
      </c>
      <c r="H612" s="28" t="e">
        <f t="shared" si="79"/>
        <v>#DIV/0!</v>
      </c>
      <c r="I612" s="28" t="e">
        <f t="shared" si="80"/>
        <v>#DIV/0!</v>
      </c>
      <c r="J612" s="28" t="e">
        <f t="shared" si="81"/>
        <v>#DIV/0!</v>
      </c>
      <c r="L612" s="28">
        <f>'[4]Brazil Corn Price'!$DR259</f>
        <v>0</v>
      </c>
      <c r="M612" s="28">
        <f>'[4]Brazil Corn Price'!$DS259</f>
        <v>0</v>
      </c>
      <c r="N612" s="28">
        <f>'[4]Brazil Corn Price'!$DQ259</f>
        <v>0</v>
      </c>
      <c r="O612" s="28">
        <f t="shared" si="84"/>
        <v>0</v>
      </c>
      <c r="P612" s="28">
        <f t="shared" si="85"/>
        <v>0</v>
      </c>
      <c r="AI612" s="26"/>
      <c r="AJ612" s="26"/>
      <c r="AK612" s="26"/>
      <c r="AL612" s="26"/>
      <c r="AM612" s="26"/>
      <c r="AN612" s="26"/>
      <c r="AO612" s="26"/>
      <c r="AP612" s="25">
        <v>44317</v>
      </c>
      <c r="AQ612" s="29">
        <v>0.82475000000000009</v>
      </c>
      <c r="AR612" s="26"/>
      <c r="AS612" s="26"/>
      <c r="AT612" s="26"/>
      <c r="AU612" s="26"/>
      <c r="AV612" s="26"/>
      <c r="BA612" s="26">
        <f t="shared" si="94"/>
        <v>5</v>
      </c>
      <c r="BB612" s="26">
        <f t="shared" si="95"/>
        <v>2021</v>
      </c>
      <c r="BC612" s="25" t="e" vm="1">
        <v>#REF!</v>
      </c>
      <c r="BD612" s="26" t="e" vm="1">
        <v>#REF!</v>
      </c>
      <c r="BE612" s="26"/>
      <c r="BF612" s="26" t="e" vm="2">
        <f t="shared" si="86"/>
        <v>#VALUE!</v>
      </c>
      <c r="BG612" s="26" t="e" vm="2">
        <f t="shared" si="87"/>
        <v>#VALUE!</v>
      </c>
      <c r="BH612" s="26"/>
      <c r="BI612" s="26"/>
      <c r="BJ612" s="21" t="e" vm="1">
        <v>#REF!</v>
      </c>
      <c r="BK612" s="26" t="e" vm="1">
        <v>#REF!</v>
      </c>
      <c r="BL612" s="26"/>
      <c r="BM612" t="e" vm="2">
        <f t="shared" si="88"/>
        <v>#VALUE!</v>
      </c>
      <c r="BN612" t="e" vm="2">
        <f t="shared" si="89"/>
        <v>#VALUE!</v>
      </c>
      <c r="BO612" s="26"/>
      <c r="BP612" s="26"/>
      <c r="BQ612" s="26"/>
      <c r="BR612" s="25">
        <v>43221</v>
      </c>
      <c r="BS612" s="26">
        <f t="shared" si="91"/>
        <v>5</v>
      </c>
      <c r="BT612" s="26">
        <f t="shared" si="92"/>
        <v>2018</v>
      </c>
      <c r="BU612" s="26" t="e">
        <f t="shared" si="90"/>
        <v>#DIV/0!</v>
      </c>
    </row>
    <row r="613" spans="1:73" x14ac:dyDescent="0.2">
      <c r="A613" s="25">
        <f>Prices!A612</f>
        <v>44348</v>
      </c>
      <c r="B613" s="28">
        <f t="shared" si="82"/>
        <v>0</v>
      </c>
      <c r="C613" s="28">
        <f t="shared" si="78"/>
        <v>0</v>
      </c>
      <c r="D613" s="28" t="e">
        <f t="shared" si="83"/>
        <v>#DIV/0!</v>
      </c>
      <c r="E613" s="28" t="e">
        <f t="shared" si="96"/>
        <v>#DIV/0!</v>
      </c>
      <c r="F613" s="28" t="e">
        <f t="shared" si="93"/>
        <v>#DIV/0!</v>
      </c>
      <c r="G613" s="28" t="e">
        <f>Prices!P612-D613</f>
        <v>#DIV/0!</v>
      </c>
      <c r="H613" s="28" t="e">
        <f t="shared" si="79"/>
        <v>#DIV/0!</v>
      </c>
      <c r="I613" s="28" t="e">
        <f t="shared" si="80"/>
        <v>#DIV/0!</v>
      </c>
      <c r="J613" s="28" t="e">
        <f t="shared" si="81"/>
        <v>#DIV/0!</v>
      </c>
      <c r="L613" s="28">
        <f>'[4]Brazil Corn Price'!$DR260</f>
        <v>0</v>
      </c>
      <c r="M613" s="28">
        <f>'[4]Brazil Corn Price'!$DS260</f>
        <v>0</v>
      </c>
      <c r="N613" s="28">
        <f>'[4]Brazil Corn Price'!$DQ260</f>
        <v>0</v>
      </c>
      <c r="O613" s="28">
        <f t="shared" si="84"/>
        <v>0</v>
      </c>
      <c r="P613" s="28">
        <f t="shared" si="85"/>
        <v>0</v>
      </c>
      <c r="AI613" s="26"/>
      <c r="AJ613" s="26"/>
      <c r="AK613" s="26"/>
      <c r="AL613" s="26"/>
      <c r="AM613" s="26"/>
      <c r="AN613" s="26"/>
      <c r="AO613" s="26"/>
      <c r="AP613" s="25">
        <v>44348</v>
      </c>
      <c r="AQ613" s="29">
        <v>0.8181409090909092</v>
      </c>
      <c r="AR613" s="26"/>
      <c r="AS613" s="26"/>
      <c r="AT613" s="26"/>
      <c r="AU613" s="26"/>
      <c r="AV613" s="26"/>
      <c r="BA613" s="26">
        <f t="shared" si="94"/>
        <v>6</v>
      </c>
      <c r="BB613" s="26">
        <f t="shared" si="95"/>
        <v>2021</v>
      </c>
      <c r="BC613" s="25" t="e" vm="1">
        <v>#REF!</v>
      </c>
      <c r="BD613" s="26" t="e" vm="1">
        <v>#REF!</v>
      </c>
      <c r="BE613" s="26"/>
      <c r="BF613" s="26" t="e" vm="2">
        <f t="shared" si="86"/>
        <v>#VALUE!</v>
      </c>
      <c r="BG613" s="26" t="e" vm="2">
        <f t="shared" si="87"/>
        <v>#VALUE!</v>
      </c>
      <c r="BH613" s="26"/>
      <c r="BI613" s="26"/>
      <c r="BJ613" s="21" t="e" vm="1">
        <v>#REF!</v>
      </c>
      <c r="BK613" s="26" t="e" vm="1">
        <v>#REF!</v>
      </c>
      <c r="BL613" s="26"/>
      <c r="BM613" t="e" vm="2">
        <f t="shared" si="88"/>
        <v>#VALUE!</v>
      </c>
      <c r="BN613" t="e" vm="2">
        <f t="shared" si="89"/>
        <v>#VALUE!</v>
      </c>
      <c r="BO613" s="26"/>
      <c r="BP613" s="26"/>
      <c r="BQ613" s="26"/>
      <c r="BR613" s="25">
        <v>43252</v>
      </c>
      <c r="BS613" s="26">
        <f t="shared" si="91"/>
        <v>6</v>
      </c>
      <c r="BT613" s="26">
        <f t="shared" si="92"/>
        <v>2018</v>
      </c>
      <c r="BU613" s="26" t="e">
        <f t="shared" si="90"/>
        <v>#DIV/0!</v>
      </c>
    </row>
    <row r="614" spans="1:73" x14ac:dyDescent="0.2">
      <c r="A614" s="25">
        <f>Prices!A613</f>
        <v>44378</v>
      </c>
      <c r="B614" s="28">
        <f t="shared" si="82"/>
        <v>0</v>
      </c>
      <c r="C614" s="28">
        <f t="shared" si="78"/>
        <v>0</v>
      </c>
      <c r="D614" s="28" t="e">
        <f t="shared" si="83"/>
        <v>#DIV/0!</v>
      </c>
      <c r="E614" s="28" t="e">
        <f t="shared" si="96"/>
        <v>#DIV/0!</v>
      </c>
      <c r="F614" s="28" t="e">
        <f t="shared" si="93"/>
        <v>#DIV/0!</v>
      </c>
      <c r="G614" s="28" t="e">
        <f>Prices!P613-D614</f>
        <v>#DIV/0!</v>
      </c>
      <c r="H614" s="28" t="e">
        <f t="shared" si="79"/>
        <v>#DIV/0!</v>
      </c>
      <c r="I614" s="28" t="e">
        <f t="shared" si="80"/>
        <v>#DIV/0!</v>
      </c>
      <c r="J614" s="28" t="e">
        <f t="shared" si="81"/>
        <v>#DIV/0!</v>
      </c>
      <c r="L614" s="28">
        <f>'[4]Brazil Corn Price'!$DR261</f>
        <v>0</v>
      </c>
      <c r="M614" s="28">
        <f>'[4]Brazil Corn Price'!$DS261</f>
        <v>0</v>
      </c>
      <c r="N614" s="28">
        <f>'[4]Brazil Corn Price'!$DQ261</f>
        <v>0</v>
      </c>
      <c r="O614" s="28">
        <f t="shared" si="84"/>
        <v>0</v>
      </c>
      <c r="P614" s="28">
        <f t="shared" si="85"/>
        <v>0</v>
      </c>
      <c r="AI614" s="26"/>
      <c r="AJ614" s="26"/>
      <c r="AK614" s="26"/>
      <c r="AL614" s="26"/>
      <c r="AM614" s="26"/>
      <c r="AN614" s="26"/>
      <c r="AO614" s="26"/>
      <c r="AP614" s="25">
        <v>44378</v>
      </c>
      <c r="AQ614" s="29">
        <v>0.79790000000000005</v>
      </c>
      <c r="AR614" s="26"/>
      <c r="AS614" s="26"/>
      <c r="AT614" s="26"/>
      <c r="AU614" s="26"/>
      <c r="AV614" s="26"/>
      <c r="BA614" s="26">
        <f t="shared" si="94"/>
        <v>7</v>
      </c>
      <c r="BB614" s="26">
        <f t="shared" si="95"/>
        <v>2021</v>
      </c>
      <c r="BC614" s="25" t="e" vm="1">
        <v>#REF!</v>
      </c>
      <c r="BD614" s="26" t="e" vm="1">
        <v>#REF!</v>
      </c>
      <c r="BE614" s="26"/>
      <c r="BF614" s="26" t="e" vm="2">
        <f t="shared" si="86"/>
        <v>#VALUE!</v>
      </c>
      <c r="BG614" s="26" t="e" vm="2">
        <f t="shared" si="87"/>
        <v>#VALUE!</v>
      </c>
      <c r="BH614" s="26"/>
      <c r="BI614" s="26"/>
      <c r="BJ614" s="21" t="e" vm="1">
        <v>#REF!</v>
      </c>
      <c r="BK614" s="26" t="e" vm="1">
        <v>#REF!</v>
      </c>
      <c r="BL614" s="26"/>
      <c r="BM614" t="e" vm="2">
        <f t="shared" si="88"/>
        <v>#VALUE!</v>
      </c>
      <c r="BN614" t="e" vm="2">
        <f t="shared" si="89"/>
        <v>#VALUE!</v>
      </c>
      <c r="BO614" s="26"/>
      <c r="BP614" s="26"/>
      <c r="BQ614" s="26"/>
      <c r="BR614" s="25">
        <v>43282</v>
      </c>
      <c r="BS614" s="26">
        <f t="shared" si="91"/>
        <v>7</v>
      </c>
      <c r="BT614" s="26">
        <f t="shared" si="92"/>
        <v>2018</v>
      </c>
      <c r="BU614" s="26" t="e">
        <f t="shared" si="90"/>
        <v>#DIV/0!</v>
      </c>
    </row>
    <row r="615" spans="1:73" x14ac:dyDescent="0.2">
      <c r="A615" s="25">
        <f>Prices!A614</f>
        <v>44409</v>
      </c>
      <c r="B615" s="28">
        <f t="shared" si="82"/>
        <v>0</v>
      </c>
      <c r="C615" s="28">
        <f t="shared" si="78"/>
        <v>0</v>
      </c>
      <c r="D615" s="28" t="e">
        <f t="shared" si="83"/>
        <v>#DIV/0!</v>
      </c>
      <c r="E615" s="28" t="e">
        <f t="shared" si="96"/>
        <v>#DIV/0!</v>
      </c>
      <c r="F615" s="28" t="e">
        <f t="shared" si="93"/>
        <v>#DIV/0!</v>
      </c>
      <c r="G615" s="28" t="e">
        <f>Prices!P614-D615</f>
        <v>#DIV/0!</v>
      </c>
      <c r="H615" s="28" t="e">
        <f t="shared" si="79"/>
        <v>#DIV/0!</v>
      </c>
      <c r="I615" s="28" t="e">
        <f t="shared" si="80"/>
        <v>#DIV/0!</v>
      </c>
      <c r="J615" s="28" t="e">
        <f t="shared" si="81"/>
        <v>#DIV/0!</v>
      </c>
      <c r="L615" s="28">
        <f>'[4]Brazil Corn Price'!$DR262</f>
        <v>0</v>
      </c>
      <c r="M615" s="28">
        <f>'[4]Brazil Corn Price'!$DS262</f>
        <v>0</v>
      </c>
      <c r="N615" s="28">
        <f>'[4]Brazil Corn Price'!$DQ262</f>
        <v>0</v>
      </c>
      <c r="O615" s="28">
        <f t="shared" si="84"/>
        <v>0</v>
      </c>
      <c r="P615" s="28">
        <f t="shared" si="85"/>
        <v>0</v>
      </c>
      <c r="AI615" s="26"/>
      <c r="AJ615" s="26"/>
      <c r="AK615" s="26"/>
      <c r="AL615" s="26"/>
      <c r="AM615" s="26"/>
      <c r="AN615" s="26"/>
      <c r="AO615" s="26"/>
      <c r="AP615" s="25">
        <v>44409</v>
      </c>
      <c r="AQ615" s="29">
        <v>0.79381818181818176</v>
      </c>
      <c r="AR615" s="26"/>
      <c r="AS615" s="26"/>
      <c r="AT615" s="26"/>
      <c r="AU615" s="26"/>
      <c r="AV615" s="26"/>
      <c r="BA615" s="26">
        <f t="shared" si="94"/>
        <v>8</v>
      </c>
      <c r="BB615" s="26">
        <f t="shared" si="95"/>
        <v>2021</v>
      </c>
      <c r="BC615" s="25" t="e" vm="1">
        <v>#REF!</v>
      </c>
      <c r="BD615" s="26" t="e" vm="1">
        <v>#REF!</v>
      </c>
      <c r="BE615" s="26"/>
      <c r="BF615" s="26" t="e" vm="2">
        <f t="shared" si="86"/>
        <v>#VALUE!</v>
      </c>
      <c r="BG615" s="26" t="e" vm="2">
        <f t="shared" si="87"/>
        <v>#VALUE!</v>
      </c>
      <c r="BH615" s="26"/>
      <c r="BI615" s="26"/>
      <c r="BJ615" s="21" t="e" vm="1">
        <v>#REF!</v>
      </c>
      <c r="BK615" s="26" t="e" vm="1">
        <v>#REF!</v>
      </c>
      <c r="BL615" s="26"/>
      <c r="BM615" t="e" vm="2">
        <f t="shared" si="88"/>
        <v>#VALUE!</v>
      </c>
      <c r="BN615" t="e" vm="2">
        <f t="shared" si="89"/>
        <v>#VALUE!</v>
      </c>
      <c r="BO615" s="26"/>
      <c r="BP615" s="26"/>
      <c r="BQ615" s="26"/>
      <c r="BR615" s="25">
        <v>43313</v>
      </c>
      <c r="BS615" s="26">
        <f t="shared" si="91"/>
        <v>8</v>
      </c>
      <c r="BT615" s="26">
        <f t="shared" si="92"/>
        <v>2018</v>
      </c>
      <c r="BU615" s="26" t="e">
        <f t="shared" si="90"/>
        <v>#DIV/0!</v>
      </c>
    </row>
    <row r="616" spans="1:73" x14ac:dyDescent="0.2">
      <c r="A616" s="25">
        <f>Prices!A615</f>
        <v>44440</v>
      </c>
      <c r="B616" s="28">
        <f t="shared" si="82"/>
        <v>0</v>
      </c>
      <c r="C616" s="28">
        <f t="shared" si="78"/>
        <v>0</v>
      </c>
      <c r="D616" s="28" t="e">
        <f t="shared" si="83"/>
        <v>#DIV/0!</v>
      </c>
      <c r="E616" s="28" t="e">
        <f t="shared" si="96"/>
        <v>#DIV/0!</v>
      </c>
      <c r="F616" s="28" t="e">
        <f t="shared" si="93"/>
        <v>#DIV/0!</v>
      </c>
      <c r="G616" s="28" t="e">
        <f>Prices!P615-D616</f>
        <v>#DIV/0!</v>
      </c>
      <c r="H616" s="28" t="e">
        <f t="shared" si="79"/>
        <v>#DIV/0!</v>
      </c>
      <c r="I616" s="28" t="e">
        <f t="shared" si="80"/>
        <v>#DIV/0!</v>
      </c>
      <c r="J616" s="28" t="e">
        <f t="shared" si="81"/>
        <v>#DIV/0!</v>
      </c>
      <c r="L616" s="28">
        <f>'[4]Brazil Corn Price'!$DR263</f>
        <v>0</v>
      </c>
      <c r="M616" s="28">
        <f>'[4]Brazil Corn Price'!$DS263</f>
        <v>0</v>
      </c>
      <c r="N616" s="28">
        <f>'[4]Brazil Corn Price'!$DQ263</f>
        <v>0</v>
      </c>
      <c r="O616" s="28">
        <f t="shared" si="84"/>
        <v>0</v>
      </c>
      <c r="P616" s="28">
        <f t="shared" si="85"/>
        <v>0</v>
      </c>
      <c r="AI616" s="26"/>
      <c r="AJ616" s="26"/>
      <c r="AK616" s="26"/>
      <c r="AL616" s="26"/>
      <c r="AM616" s="26"/>
      <c r="AN616" s="26"/>
      <c r="AO616" s="26"/>
      <c r="AP616" s="25">
        <v>44440</v>
      </c>
      <c r="AQ616" s="29">
        <v>0.78909761904761899</v>
      </c>
      <c r="AR616" s="26"/>
      <c r="AS616" s="26"/>
      <c r="AT616" s="26"/>
      <c r="AU616" s="26"/>
      <c r="AV616" s="26"/>
      <c r="BA616" s="26">
        <f t="shared" si="94"/>
        <v>9</v>
      </c>
      <c r="BB616" s="26">
        <f t="shared" si="95"/>
        <v>2021</v>
      </c>
      <c r="BC616" s="25" t="e" vm="1">
        <v>#REF!</v>
      </c>
      <c r="BD616" s="26" t="e" vm="1">
        <v>#REF!</v>
      </c>
      <c r="BE616" s="26"/>
      <c r="BF616" s="26" t="e" vm="2">
        <f t="shared" si="86"/>
        <v>#VALUE!</v>
      </c>
      <c r="BG616" s="26" t="e" vm="2">
        <f t="shared" si="87"/>
        <v>#VALUE!</v>
      </c>
      <c r="BH616" s="26"/>
      <c r="BI616" s="26"/>
      <c r="BJ616" s="21" t="e" vm="1">
        <v>#REF!</v>
      </c>
      <c r="BK616" s="26" t="e" vm="1">
        <v>#REF!</v>
      </c>
      <c r="BL616" s="26"/>
      <c r="BM616" t="e" vm="2">
        <f t="shared" si="88"/>
        <v>#VALUE!</v>
      </c>
      <c r="BN616" t="e" vm="2">
        <f t="shared" si="89"/>
        <v>#VALUE!</v>
      </c>
      <c r="BO616" s="26"/>
      <c r="BP616" s="26"/>
      <c r="BQ616" s="26"/>
      <c r="BR616" s="25">
        <v>43344</v>
      </c>
      <c r="BS616" s="26">
        <f t="shared" si="91"/>
        <v>9</v>
      </c>
      <c r="BT616" s="26">
        <f t="shared" si="92"/>
        <v>2018</v>
      </c>
      <c r="BU616" s="26" t="e">
        <f t="shared" si="90"/>
        <v>#DIV/0!</v>
      </c>
    </row>
    <row r="617" spans="1:73" x14ac:dyDescent="0.2">
      <c r="A617" s="25">
        <f>Prices!A616</f>
        <v>44470</v>
      </c>
      <c r="B617" s="28">
        <f t="shared" si="82"/>
        <v>0</v>
      </c>
      <c r="C617" s="28">
        <f t="shared" si="78"/>
        <v>0</v>
      </c>
      <c r="D617" s="28" t="e">
        <f t="shared" si="83"/>
        <v>#DIV/0!</v>
      </c>
      <c r="E617" s="28" t="e">
        <f t="shared" si="96"/>
        <v>#DIV/0!</v>
      </c>
      <c r="F617" s="28" t="e">
        <f t="shared" si="93"/>
        <v>#DIV/0!</v>
      </c>
      <c r="G617" s="28" t="e">
        <f>Prices!P616-D617</f>
        <v>#DIV/0!</v>
      </c>
      <c r="H617" s="28" t="e">
        <f t="shared" si="79"/>
        <v>#DIV/0!</v>
      </c>
      <c r="I617" s="28" t="e">
        <f t="shared" si="80"/>
        <v>#DIV/0!</v>
      </c>
      <c r="J617" s="28" t="e">
        <f t="shared" si="81"/>
        <v>#DIV/0!</v>
      </c>
      <c r="L617" s="28">
        <f>'[4]Brazil Corn Price'!$DR264</f>
        <v>0</v>
      </c>
      <c r="M617" s="28">
        <f>'[4]Brazil Corn Price'!$DS264</f>
        <v>0</v>
      </c>
      <c r="N617" s="28">
        <f>'[4]Brazil Corn Price'!$DQ264</f>
        <v>0</v>
      </c>
      <c r="O617" s="28">
        <f t="shared" si="84"/>
        <v>0</v>
      </c>
      <c r="P617" s="28">
        <f t="shared" si="85"/>
        <v>0</v>
      </c>
      <c r="AI617" s="26"/>
      <c r="AJ617" s="26"/>
      <c r="AK617" s="26"/>
      <c r="AL617" s="26"/>
      <c r="AM617" s="26"/>
      <c r="AN617" s="26"/>
      <c r="AO617" s="26"/>
      <c r="AP617" s="25">
        <v>44470</v>
      </c>
      <c r="AQ617" s="29">
        <v>0.80412142857142854</v>
      </c>
      <c r="AR617" s="26"/>
      <c r="AS617" s="26"/>
      <c r="AT617" s="26"/>
      <c r="AU617" s="26"/>
      <c r="AV617" s="26"/>
      <c r="BA617" s="26">
        <f t="shared" si="94"/>
        <v>10</v>
      </c>
      <c r="BB617" s="26">
        <f t="shared" si="95"/>
        <v>2021</v>
      </c>
      <c r="BC617" s="25" t="e" vm="1">
        <v>#REF!</v>
      </c>
      <c r="BD617" s="26" t="e" vm="1">
        <v>#REF!</v>
      </c>
      <c r="BE617" s="26"/>
      <c r="BF617" s="26" t="e" vm="2">
        <f t="shared" si="86"/>
        <v>#VALUE!</v>
      </c>
      <c r="BG617" s="26" t="e" vm="2">
        <f t="shared" si="87"/>
        <v>#VALUE!</v>
      </c>
      <c r="BH617" s="26"/>
      <c r="BI617" s="26"/>
      <c r="BJ617" s="21" t="e" vm="1">
        <v>#REF!</v>
      </c>
      <c r="BK617" s="26" t="e" vm="1">
        <v>#REF!</v>
      </c>
      <c r="BL617" s="26"/>
      <c r="BM617" t="e" vm="2">
        <f t="shared" si="88"/>
        <v>#VALUE!</v>
      </c>
      <c r="BN617" t="e" vm="2">
        <f t="shared" si="89"/>
        <v>#VALUE!</v>
      </c>
      <c r="BO617" s="26"/>
      <c r="BP617" s="26"/>
      <c r="BQ617" s="26"/>
      <c r="BR617" s="25">
        <v>43374</v>
      </c>
      <c r="BS617" s="26">
        <f t="shared" si="91"/>
        <v>10</v>
      </c>
      <c r="BT617" s="26">
        <f t="shared" si="92"/>
        <v>2018</v>
      </c>
      <c r="BU617" s="26" t="e">
        <f t="shared" si="90"/>
        <v>#DIV/0!</v>
      </c>
    </row>
    <row r="618" spans="1:73" x14ac:dyDescent="0.2">
      <c r="A618" s="25">
        <f>Prices!A617</f>
        <v>44501</v>
      </c>
      <c r="B618" s="28">
        <f t="shared" si="82"/>
        <v>0</v>
      </c>
      <c r="C618" s="28">
        <f t="shared" si="78"/>
        <v>0</v>
      </c>
      <c r="D618" s="28" t="e">
        <f>AVERAGEIFS($BD$2:$BD$5500,$BF$2:$BF$5500,$BA618,$BG$2:$BG$5500,$BB618)</f>
        <v>#DIV/0!</v>
      </c>
      <c r="E618" s="28" t="e">
        <f t="shared" si="96"/>
        <v>#DIV/0!</v>
      </c>
      <c r="F618" s="28" t="e">
        <f t="shared" si="93"/>
        <v>#DIV/0!</v>
      </c>
      <c r="G618" s="28" t="e">
        <f>Prices!P617-D618</f>
        <v>#DIV/0!</v>
      </c>
      <c r="H618" s="28" t="e">
        <f t="shared" si="79"/>
        <v>#DIV/0!</v>
      </c>
      <c r="I618" s="28" t="e">
        <f t="shared" si="80"/>
        <v>#DIV/0!</v>
      </c>
      <c r="J618" s="28" t="e">
        <f t="shared" si="81"/>
        <v>#DIV/0!</v>
      </c>
      <c r="L618" s="28">
        <f>'[4]Brazil Corn Price'!$DR265</f>
        <v>0</v>
      </c>
      <c r="M618" s="28">
        <f>'[4]Brazil Corn Price'!$DS265</f>
        <v>0</v>
      </c>
      <c r="N618" s="28">
        <f>'[4]Brazil Corn Price'!$DQ265</f>
        <v>0</v>
      </c>
      <c r="O618" s="28">
        <f t="shared" si="84"/>
        <v>0</v>
      </c>
      <c r="P618" s="28">
        <f t="shared" si="85"/>
        <v>0</v>
      </c>
      <c r="AI618" s="26"/>
      <c r="AJ618" s="26"/>
      <c r="AK618" s="26"/>
      <c r="AL618" s="26"/>
      <c r="AM618" s="26"/>
      <c r="AN618" s="26"/>
      <c r="AO618" s="26"/>
      <c r="AP618" s="25">
        <v>44501</v>
      </c>
      <c r="AQ618" s="29">
        <v>0.79579285714285708</v>
      </c>
      <c r="AR618" s="26"/>
      <c r="AS618" s="26"/>
      <c r="AT618" s="26"/>
      <c r="AU618" s="26"/>
      <c r="AV618" s="26"/>
      <c r="BA618" s="26">
        <f t="shared" si="94"/>
        <v>11</v>
      </c>
      <c r="BB618" s="26">
        <f t="shared" si="95"/>
        <v>2021</v>
      </c>
      <c r="BC618" s="25" t="e" vm="1">
        <v>#REF!</v>
      </c>
      <c r="BD618" s="26" t="e" vm="1">
        <v>#REF!</v>
      </c>
      <c r="BE618" s="26"/>
      <c r="BF618" s="26" t="e" vm="2">
        <f t="shared" si="86"/>
        <v>#VALUE!</v>
      </c>
      <c r="BG618" s="26" t="e" vm="2">
        <f t="shared" si="87"/>
        <v>#VALUE!</v>
      </c>
      <c r="BH618" s="26"/>
      <c r="BI618" s="26"/>
      <c r="BJ618" s="21" t="e" vm="1">
        <v>#REF!</v>
      </c>
      <c r="BK618" s="26" t="e" vm="1">
        <v>#REF!</v>
      </c>
      <c r="BL618" s="26"/>
      <c r="BM618" t="e" vm="2">
        <f t="shared" si="88"/>
        <v>#VALUE!</v>
      </c>
      <c r="BN618" t="e" vm="2">
        <f t="shared" si="89"/>
        <v>#VALUE!</v>
      </c>
      <c r="BO618" s="26"/>
      <c r="BP618" s="26"/>
      <c r="BQ618" s="26"/>
      <c r="BR618" s="25">
        <v>43405</v>
      </c>
      <c r="BS618" s="26">
        <f t="shared" si="91"/>
        <v>11</v>
      </c>
      <c r="BT618" s="26">
        <f t="shared" si="92"/>
        <v>2018</v>
      </c>
      <c r="BU618" s="26" t="e">
        <f t="shared" si="90"/>
        <v>#DIV/0!</v>
      </c>
    </row>
    <row r="619" spans="1:73" x14ac:dyDescent="0.2">
      <c r="A619" s="25">
        <f>Prices!A618</f>
        <v>44531</v>
      </c>
      <c r="B619" s="28">
        <f t="shared" si="82"/>
        <v>0</v>
      </c>
      <c r="C619" s="28">
        <f t="shared" si="78"/>
        <v>0</v>
      </c>
      <c r="D619" s="28" t="e">
        <f>AVERAGEIFS($BD$2:$BD$5500,$BF$2:$BF$5500,$BA619,$BG$2:$BG$5500,$BB619)</f>
        <v>#DIV/0!</v>
      </c>
      <c r="E619" s="28" t="e">
        <f t="shared" si="96"/>
        <v>#DIV/0!</v>
      </c>
      <c r="F619" s="28" t="e">
        <f t="shared" si="93"/>
        <v>#DIV/0!</v>
      </c>
      <c r="G619" s="28" t="e">
        <f>Prices!P618-D619</f>
        <v>#DIV/0!</v>
      </c>
      <c r="H619" s="28" t="e">
        <f t="shared" si="79"/>
        <v>#DIV/0!</v>
      </c>
      <c r="I619" s="28" t="e">
        <f t="shared" si="80"/>
        <v>#DIV/0!</v>
      </c>
      <c r="J619" s="28" t="e">
        <f t="shared" si="81"/>
        <v>#DIV/0!</v>
      </c>
      <c r="L619" s="28">
        <f>'[4]Brazil Corn Price'!$DR266</f>
        <v>0</v>
      </c>
      <c r="M619" s="28">
        <f>'[4]Brazil Corn Price'!$DS266</f>
        <v>0</v>
      </c>
      <c r="N619" s="28">
        <f>'[4]Brazil Corn Price'!$DQ266</f>
        <v>0</v>
      </c>
      <c r="O619" s="28">
        <f t="shared" si="84"/>
        <v>0</v>
      </c>
      <c r="P619" s="28">
        <f t="shared" si="85"/>
        <v>0</v>
      </c>
      <c r="AI619" s="26"/>
      <c r="AJ619" s="26"/>
      <c r="AK619" s="26"/>
      <c r="AL619" s="26"/>
      <c r="AM619" s="26"/>
      <c r="AN619" s="26"/>
      <c r="AO619" s="26"/>
      <c r="AP619" s="25">
        <v>44531</v>
      </c>
      <c r="AQ619" s="29">
        <v>0.78165909090909091</v>
      </c>
      <c r="AR619" s="26"/>
      <c r="AS619" s="26"/>
      <c r="AT619" s="26"/>
      <c r="AU619" s="26"/>
      <c r="AV619" s="26"/>
      <c r="BA619" s="26">
        <f t="shared" si="94"/>
        <v>12</v>
      </c>
      <c r="BB619" s="26">
        <f t="shared" si="95"/>
        <v>2021</v>
      </c>
      <c r="BC619" s="25" t="e" vm="1">
        <v>#REF!</v>
      </c>
      <c r="BD619" s="26" t="e" vm="1">
        <v>#REF!</v>
      </c>
      <c r="BE619" s="26"/>
      <c r="BF619" s="26" t="e" vm="2">
        <f t="shared" si="86"/>
        <v>#VALUE!</v>
      </c>
      <c r="BG619" s="26" t="e" vm="2">
        <f t="shared" si="87"/>
        <v>#VALUE!</v>
      </c>
      <c r="BH619" s="26"/>
      <c r="BI619" s="26"/>
      <c r="BJ619" s="21" t="e" vm="1">
        <v>#REF!</v>
      </c>
      <c r="BK619" s="26" t="e" vm="1">
        <v>#REF!</v>
      </c>
      <c r="BL619" s="26"/>
      <c r="BM619" t="e" vm="2">
        <f t="shared" si="88"/>
        <v>#VALUE!</v>
      </c>
      <c r="BN619" t="e" vm="2">
        <f t="shared" si="89"/>
        <v>#VALUE!</v>
      </c>
      <c r="BO619" s="26"/>
      <c r="BP619" s="26"/>
      <c r="BQ619" s="26"/>
      <c r="BR619" s="25">
        <v>43435</v>
      </c>
      <c r="BS619" s="26">
        <f t="shared" si="91"/>
        <v>12</v>
      </c>
      <c r="BT619" s="26">
        <f t="shared" si="92"/>
        <v>2018</v>
      </c>
      <c r="BU619" s="26" t="e">
        <f t="shared" si="90"/>
        <v>#DIV/0!</v>
      </c>
    </row>
    <row r="620" spans="1:73" x14ac:dyDescent="0.2">
      <c r="A620" s="25">
        <f>Prices!A619</f>
        <v>44562</v>
      </c>
      <c r="B620" s="28">
        <f t="shared" si="82"/>
        <v>0</v>
      </c>
      <c r="C620" s="28">
        <f t="shared" si="78"/>
        <v>0</v>
      </c>
      <c r="D620" s="28" t="e">
        <f t="shared" si="83"/>
        <v>#DIV/0!</v>
      </c>
      <c r="E620" s="28" t="e">
        <f t="shared" si="96"/>
        <v>#DIV/0!</v>
      </c>
      <c r="F620" s="28" t="e">
        <f t="shared" si="93"/>
        <v>#DIV/0!</v>
      </c>
      <c r="G620" s="28" t="e">
        <f>Prices!P619-D620</f>
        <v>#DIV/0!</v>
      </c>
      <c r="H620" s="28" t="e">
        <f t="shared" si="79"/>
        <v>#DIV/0!</v>
      </c>
      <c r="I620" s="28" t="e">
        <f t="shared" si="80"/>
        <v>#DIV/0!</v>
      </c>
      <c r="J620" s="28" t="e">
        <f t="shared" si="81"/>
        <v>#DIV/0!</v>
      </c>
      <c r="L620" s="28">
        <f>'[4]Brazil Corn Price'!$DR267</f>
        <v>0</v>
      </c>
      <c r="M620" s="28">
        <f>'[4]Brazil Corn Price'!$DS267</f>
        <v>0</v>
      </c>
      <c r="N620" s="28">
        <f>'[4]Brazil Corn Price'!$DQ267</f>
        <v>0</v>
      </c>
      <c r="O620" s="28">
        <f t="shared" si="84"/>
        <v>0</v>
      </c>
      <c r="P620" s="28">
        <f t="shared" si="85"/>
        <v>0</v>
      </c>
      <c r="AI620" s="26"/>
      <c r="AJ620" s="26"/>
      <c r="AK620" s="26"/>
      <c r="AL620" s="26"/>
      <c r="AM620" s="26"/>
      <c r="AN620" s="26"/>
      <c r="AO620" s="26"/>
      <c r="AP620" s="25">
        <v>44562</v>
      </c>
      <c r="AQ620" s="29">
        <v>0.79189999999999983</v>
      </c>
      <c r="AR620" s="26"/>
      <c r="AS620" s="26"/>
      <c r="AT620" s="26"/>
      <c r="AU620" s="26"/>
      <c r="AV620" s="26"/>
      <c r="BA620" s="26">
        <f t="shared" si="94"/>
        <v>1</v>
      </c>
      <c r="BB620" s="26">
        <f t="shared" si="95"/>
        <v>2022</v>
      </c>
      <c r="BC620" s="25" t="e" vm="1">
        <v>#REF!</v>
      </c>
      <c r="BD620" s="26" t="e" vm="1">
        <v>#REF!</v>
      </c>
      <c r="BE620" s="26"/>
      <c r="BF620" s="26" t="e" vm="2">
        <f t="shared" si="86"/>
        <v>#VALUE!</v>
      </c>
      <c r="BG620" s="26" t="e" vm="2">
        <f t="shared" si="87"/>
        <v>#VALUE!</v>
      </c>
      <c r="BH620" s="26"/>
      <c r="BI620" s="26"/>
      <c r="BJ620" s="21" t="e" vm="1">
        <v>#REF!</v>
      </c>
      <c r="BK620" s="26" t="e" vm="1">
        <v>#REF!</v>
      </c>
      <c r="BL620" s="26"/>
      <c r="BM620" t="e" vm="2">
        <f t="shared" si="88"/>
        <v>#VALUE!</v>
      </c>
      <c r="BN620" t="e" vm="2">
        <f t="shared" si="89"/>
        <v>#VALUE!</v>
      </c>
      <c r="BO620" s="26"/>
      <c r="BP620" s="26"/>
      <c r="BQ620" s="26"/>
      <c r="BR620" s="25">
        <v>43466</v>
      </c>
      <c r="BS620" s="26">
        <f t="shared" si="91"/>
        <v>1</v>
      </c>
      <c r="BT620" s="26">
        <f t="shared" si="92"/>
        <v>2019</v>
      </c>
      <c r="BU620" s="26" t="e">
        <f t="shared" si="90"/>
        <v>#DIV/0!</v>
      </c>
    </row>
    <row r="621" spans="1:73" x14ac:dyDescent="0.2">
      <c r="A621" s="25">
        <f>Prices!A620</f>
        <v>44593</v>
      </c>
      <c r="B621" s="28">
        <f t="shared" si="82"/>
        <v>0</v>
      </c>
      <c r="C621" s="28">
        <f t="shared" si="78"/>
        <v>0</v>
      </c>
      <c r="D621" s="28" t="e">
        <f t="shared" si="83"/>
        <v>#DIV/0!</v>
      </c>
      <c r="E621" s="28" t="e">
        <f t="shared" si="96"/>
        <v>#DIV/0!</v>
      </c>
      <c r="F621" s="28" t="e">
        <f t="shared" si="93"/>
        <v>#DIV/0!</v>
      </c>
      <c r="G621" s="28" t="e">
        <f>Prices!P620-D621</f>
        <v>#DIV/0!</v>
      </c>
      <c r="H621" s="28" t="e">
        <f>(G621/45.9296)*100</f>
        <v>#DIV/0!</v>
      </c>
      <c r="I621" s="28" t="e">
        <f t="shared" si="80"/>
        <v>#DIV/0!</v>
      </c>
      <c r="J621" s="28" t="e">
        <f t="shared" si="81"/>
        <v>#DIV/0!</v>
      </c>
      <c r="L621" s="28">
        <f>'[4]Brazil Corn Price'!$DR268</f>
        <v>0</v>
      </c>
      <c r="M621" s="28">
        <f>'[4]Brazil Corn Price'!$DS268</f>
        <v>0</v>
      </c>
      <c r="N621" s="28">
        <f>'[4]Brazil Corn Price'!$DQ268</f>
        <v>0</v>
      </c>
      <c r="O621" s="28">
        <f t="shared" si="84"/>
        <v>0</v>
      </c>
      <c r="P621" s="28">
        <f t="shared" si="85"/>
        <v>0</v>
      </c>
      <c r="AI621" s="26"/>
      <c r="AJ621" s="26"/>
      <c r="AK621" s="26"/>
      <c r="AL621" s="26"/>
      <c r="AM621" s="26"/>
      <c r="AN621" s="26"/>
      <c r="AO621" s="26"/>
      <c r="AP621" s="25">
        <v>44593</v>
      </c>
      <c r="AQ621" s="29">
        <v>0.78636052631578945</v>
      </c>
      <c r="AR621" s="26"/>
      <c r="AS621" s="26"/>
      <c r="AT621" s="26"/>
      <c r="AU621" s="26"/>
      <c r="AV621" s="26"/>
      <c r="BA621" s="26">
        <f t="shared" si="94"/>
        <v>2</v>
      </c>
      <c r="BB621" s="26">
        <f t="shared" si="95"/>
        <v>2022</v>
      </c>
      <c r="BC621" s="25" t="e" vm="1">
        <v>#REF!</v>
      </c>
      <c r="BD621" s="26" t="e" vm="1">
        <v>#REF!</v>
      </c>
      <c r="BE621" s="26"/>
      <c r="BF621" s="26" t="e" vm="2">
        <f t="shared" si="86"/>
        <v>#VALUE!</v>
      </c>
      <c r="BG621" s="26" t="e" vm="2">
        <f t="shared" si="87"/>
        <v>#VALUE!</v>
      </c>
      <c r="BH621" s="26"/>
      <c r="BI621" s="26"/>
      <c r="BJ621" s="21" t="e" vm="1">
        <v>#REF!</v>
      </c>
      <c r="BK621" s="26" t="e" vm="1">
        <v>#REF!</v>
      </c>
      <c r="BL621" s="26"/>
      <c r="BM621" t="e" vm="2">
        <f t="shared" si="88"/>
        <v>#VALUE!</v>
      </c>
      <c r="BN621" t="e" vm="2">
        <f t="shared" si="89"/>
        <v>#VALUE!</v>
      </c>
      <c r="BO621" s="26"/>
      <c r="BP621" s="26"/>
      <c r="BQ621" s="26"/>
      <c r="BR621" s="25">
        <v>43497</v>
      </c>
      <c r="BS621" s="26">
        <f t="shared" si="91"/>
        <v>2</v>
      </c>
      <c r="BT621" s="26">
        <f t="shared" si="92"/>
        <v>2019</v>
      </c>
      <c r="BU621" s="26" t="e">
        <f t="shared" si="90"/>
        <v>#DIV/0!</v>
      </c>
    </row>
    <row r="622" spans="1:73" x14ac:dyDescent="0.2">
      <c r="A622" s="25">
        <f>Prices!A621</f>
        <v>44621</v>
      </c>
      <c r="B622" s="28">
        <f t="shared" si="82"/>
        <v>0</v>
      </c>
      <c r="C622" s="28">
        <f t="shared" si="78"/>
        <v>0</v>
      </c>
      <c r="D622" s="28" t="e">
        <f t="shared" si="83"/>
        <v>#DIV/0!</v>
      </c>
      <c r="E622" s="28" t="e">
        <f t="shared" si="96"/>
        <v>#DIV/0!</v>
      </c>
      <c r="F622" s="28" t="e">
        <f t="shared" si="93"/>
        <v>#DIV/0!</v>
      </c>
      <c r="G622" s="28" t="e">
        <f>Prices!P621-D622</f>
        <v>#DIV/0!</v>
      </c>
      <c r="H622" s="28" t="e">
        <f>(G622/45.9296)*100</f>
        <v>#DIV/0!</v>
      </c>
      <c r="I622" s="28" t="e">
        <f t="shared" si="80"/>
        <v>#DIV/0!</v>
      </c>
      <c r="J622" s="28" t="e">
        <f t="shared" si="81"/>
        <v>#DIV/0!</v>
      </c>
      <c r="L622" s="28">
        <f>'[4]Brazil Corn Price'!$DR269</f>
        <v>0</v>
      </c>
      <c r="M622" s="28">
        <f>'[4]Brazil Corn Price'!$DS269</f>
        <v>0</v>
      </c>
      <c r="N622" s="28">
        <f>'[4]Brazil Corn Price'!$DQ269</f>
        <v>0</v>
      </c>
      <c r="O622" s="28">
        <f t="shared" si="84"/>
        <v>0</v>
      </c>
      <c r="P622" s="28">
        <f t="shared" si="85"/>
        <v>0</v>
      </c>
      <c r="AI622" s="26"/>
      <c r="AJ622" s="26"/>
      <c r="AK622" s="26"/>
      <c r="AL622" s="26"/>
      <c r="AM622" s="26"/>
      <c r="AN622" s="26"/>
      <c r="AO622" s="26"/>
      <c r="AP622" s="25">
        <v>44621</v>
      </c>
      <c r="AQ622" s="29">
        <v>0.78998043478260871</v>
      </c>
      <c r="AR622" s="26"/>
      <c r="AS622" s="26"/>
      <c r="AT622" s="26"/>
      <c r="AU622" s="26"/>
      <c r="AV622" s="26"/>
      <c r="BA622" s="26">
        <f t="shared" si="94"/>
        <v>3</v>
      </c>
      <c r="BB622" s="26">
        <f t="shared" si="95"/>
        <v>2022</v>
      </c>
      <c r="BC622" s="25" t="e" vm="1">
        <v>#REF!</v>
      </c>
      <c r="BD622" s="26" t="e" vm="1">
        <v>#REF!</v>
      </c>
      <c r="BE622" s="26"/>
      <c r="BF622" s="26" t="e" vm="2">
        <f t="shared" si="86"/>
        <v>#VALUE!</v>
      </c>
      <c r="BG622" s="26" t="e" vm="2">
        <f t="shared" si="87"/>
        <v>#VALUE!</v>
      </c>
      <c r="BH622" s="26"/>
      <c r="BI622" s="26"/>
      <c r="BJ622" s="21" t="e" vm="1">
        <v>#REF!</v>
      </c>
      <c r="BK622" s="26" t="e" vm="1">
        <v>#REF!</v>
      </c>
      <c r="BL622" s="26"/>
      <c r="BM622" t="e" vm="2">
        <f t="shared" si="88"/>
        <v>#VALUE!</v>
      </c>
      <c r="BN622" t="e" vm="2">
        <f t="shared" si="89"/>
        <v>#VALUE!</v>
      </c>
      <c r="BO622" s="26"/>
      <c r="BP622" s="26"/>
      <c r="BQ622" s="26"/>
      <c r="BR622" s="25">
        <v>43525</v>
      </c>
      <c r="BS622" s="26">
        <f t="shared" si="91"/>
        <v>3</v>
      </c>
      <c r="BT622" s="26">
        <f t="shared" si="92"/>
        <v>2019</v>
      </c>
      <c r="BU622" s="26" t="e">
        <f t="shared" si="90"/>
        <v>#DIV/0!</v>
      </c>
    </row>
    <row r="623" spans="1:73" x14ac:dyDescent="0.2">
      <c r="A623" s="25">
        <f>Prices!A622</f>
        <v>44652</v>
      </c>
      <c r="B623" s="28">
        <f t="shared" si="82"/>
        <v>0</v>
      </c>
      <c r="C623" s="28">
        <f t="shared" si="78"/>
        <v>0</v>
      </c>
      <c r="D623" s="28" t="e">
        <f t="shared" si="83"/>
        <v>#DIV/0!</v>
      </c>
      <c r="E623" s="28" t="e">
        <f t="shared" si="96"/>
        <v>#DIV/0!</v>
      </c>
      <c r="F623" s="28" t="e">
        <f t="shared" si="93"/>
        <v>#DIV/0!</v>
      </c>
      <c r="G623" s="28" t="e">
        <f>Prices!P622-D623</f>
        <v>#DIV/0!</v>
      </c>
      <c r="H623" s="28" t="e">
        <f t="shared" si="79"/>
        <v>#DIV/0!</v>
      </c>
      <c r="I623" s="28" t="e">
        <f t="shared" si="80"/>
        <v>#DIV/0!</v>
      </c>
      <c r="J623" s="28" t="e">
        <f t="shared" si="81"/>
        <v>#DIV/0!</v>
      </c>
      <c r="L623" s="28">
        <f>'[4]Brazil Corn Price'!$DR270</f>
        <v>0</v>
      </c>
      <c r="M623" s="28">
        <f>'[4]Brazil Corn Price'!$DS270</f>
        <v>0</v>
      </c>
      <c r="N623" s="28">
        <f>'[4]Brazil Corn Price'!$DQ270</f>
        <v>0</v>
      </c>
      <c r="O623" s="28">
        <f t="shared" si="84"/>
        <v>0</v>
      </c>
      <c r="P623" s="28">
        <f t="shared" si="85"/>
        <v>0</v>
      </c>
      <c r="AI623" s="26"/>
      <c r="AJ623" s="26"/>
      <c r="AK623" s="26"/>
      <c r="AL623" s="26"/>
      <c r="AM623" s="26"/>
      <c r="AN623" s="26"/>
      <c r="AO623" s="26"/>
      <c r="AP623" s="25">
        <v>44652</v>
      </c>
      <c r="AQ623" s="29">
        <v>0.79172750000000003</v>
      </c>
      <c r="AR623" s="26"/>
      <c r="AS623" s="26"/>
      <c r="AT623" s="26"/>
      <c r="AU623" s="26"/>
      <c r="AV623" s="26"/>
      <c r="BA623" s="26">
        <f t="shared" si="94"/>
        <v>4</v>
      </c>
      <c r="BB623" s="26">
        <f t="shared" si="95"/>
        <v>2022</v>
      </c>
      <c r="BC623" s="25" t="e" vm="1">
        <v>#REF!</v>
      </c>
      <c r="BD623" s="26" t="e" vm="1">
        <v>#REF!</v>
      </c>
      <c r="BE623" s="26"/>
      <c r="BF623" s="26" t="e" vm="2">
        <f t="shared" si="86"/>
        <v>#VALUE!</v>
      </c>
      <c r="BG623" s="26" t="e" vm="2">
        <f t="shared" si="87"/>
        <v>#VALUE!</v>
      </c>
      <c r="BH623" s="26"/>
      <c r="BI623" s="26"/>
      <c r="BJ623" s="21" t="e" vm="1">
        <v>#REF!</v>
      </c>
      <c r="BK623" s="26" t="e" vm="1">
        <v>#REF!</v>
      </c>
      <c r="BL623" s="26"/>
      <c r="BM623" t="e" vm="2">
        <f t="shared" si="88"/>
        <v>#VALUE!</v>
      </c>
      <c r="BN623" t="e" vm="2">
        <f t="shared" si="89"/>
        <v>#VALUE!</v>
      </c>
      <c r="BO623" s="26"/>
      <c r="BP623" s="26"/>
      <c r="BQ623" s="26"/>
      <c r="BR623" s="25">
        <v>43556</v>
      </c>
      <c r="BS623" s="26">
        <f t="shared" si="91"/>
        <v>4</v>
      </c>
      <c r="BT623" s="26">
        <f t="shared" si="92"/>
        <v>2019</v>
      </c>
      <c r="BU623" s="26" t="e">
        <f t="shared" si="90"/>
        <v>#DIV/0!</v>
      </c>
    </row>
    <row r="624" spans="1:73" x14ac:dyDescent="0.2">
      <c r="A624" s="25">
        <f>Prices!A623</f>
        <v>44682</v>
      </c>
      <c r="B624" s="28">
        <f t="shared" si="82"/>
        <v>0</v>
      </c>
      <c r="C624" s="28">
        <f t="shared" si="78"/>
        <v>0</v>
      </c>
      <c r="D624" s="28" t="e">
        <f t="shared" si="83"/>
        <v>#DIV/0!</v>
      </c>
      <c r="E624" s="28" t="e">
        <f t="shared" si="96"/>
        <v>#DIV/0!</v>
      </c>
      <c r="F624" s="28" t="e">
        <f t="shared" si="93"/>
        <v>#DIV/0!</v>
      </c>
      <c r="G624" s="28" t="e">
        <f>Prices!P623-D624</f>
        <v>#DIV/0!</v>
      </c>
      <c r="H624" s="28" t="e">
        <f t="shared" si="79"/>
        <v>#DIV/0!</v>
      </c>
      <c r="I624" s="28" t="e">
        <f t="shared" si="80"/>
        <v>#DIV/0!</v>
      </c>
      <c r="J624" s="28" t="e">
        <f t="shared" si="81"/>
        <v>#DIV/0!</v>
      </c>
      <c r="L624" s="28">
        <f>'[4]Brazil Corn Price'!$DR271</f>
        <v>0</v>
      </c>
      <c r="M624" s="28">
        <f>'[4]Brazil Corn Price'!$DS271</f>
        <v>0</v>
      </c>
      <c r="N624" s="28">
        <f>'[4]Brazil Corn Price'!$DQ271</f>
        <v>0</v>
      </c>
      <c r="O624" s="28">
        <f t="shared" si="84"/>
        <v>0</v>
      </c>
      <c r="P624" s="28">
        <f t="shared" si="85"/>
        <v>0</v>
      </c>
      <c r="AI624" s="26"/>
      <c r="AJ624" s="26"/>
      <c r="AK624" s="26"/>
      <c r="AL624" s="26"/>
      <c r="AM624" s="26"/>
      <c r="AN624" s="26"/>
      <c r="AO624" s="26"/>
      <c r="AP624" s="25">
        <v>44682</v>
      </c>
      <c r="AQ624" s="29">
        <v>0.77766666666666662</v>
      </c>
      <c r="AR624" s="26"/>
      <c r="AS624" s="26"/>
      <c r="AT624" s="26"/>
      <c r="AU624" s="26"/>
      <c r="AV624" s="26"/>
      <c r="BA624" s="26">
        <f t="shared" si="94"/>
        <v>5</v>
      </c>
      <c r="BB624" s="26">
        <f t="shared" si="95"/>
        <v>2022</v>
      </c>
      <c r="BC624" s="25" t="e" vm="1">
        <v>#REF!</v>
      </c>
      <c r="BD624" s="26" t="e" vm="1">
        <v>#REF!</v>
      </c>
      <c r="BE624" s="26"/>
      <c r="BF624" s="26" t="e" vm="2">
        <f t="shared" si="86"/>
        <v>#VALUE!</v>
      </c>
      <c r="BG624" s="26" t="e" vm="2">
        <f t="shared" si="87"/>
        <v>#VALUE!</v>
      </c>
      <c r="BH624" s="26"/>
      <c r="BI624" s="26"/>
      <c r="BJ624" s="21" t="e" vm="1">
        <v>#REF!</v>
      </c>
      <c r="BK624" s="26" t="e" vm="1">
        <v>#REF!</v>
      </c>
      <c r="BL624" s="26"/>
      <c r="BM624" t="e" vm="2">
        <f t="shared" si="88"/>
        <v>#VALUE!</v>
      </c>
      <c r="BN624" t="e" vm="2">
        <f t="shared" si="89"/>
        <v>#VALUE!</v>
      </c>
      <c r="BO624" s="26"/>
      <c r="BP624" s="26"/>
      <c r="BQ624" s="26"/>
      <c r="BR624" s="25">
        <v>43586</v>
      </c>
      <c r="BS624" s="26">
        <f t="shared" si="91"/>
        <v>5</v>
      </c>
      <c r="BT624" s="26">
        <f t="shared" si="92"/>
        <v>2019</v>
      </c>
      <c r="BU624" s="26" t="e">
        <f t="shared" si="90"/>
        <v>#DIV/0!</v>
      </c>
    </row>
    <row r="625" spans="1:73" x14ac:dyDescent="0.2">
      <c r="A625" s="25">
        <f>Prices!A624</f>
        <v>44713</v>
      </c>
      <c r="B625" s="28">
        <f t="shared" si="82"/>
        <v>0</v>
      </c>
      <c r="C625" s="28">
        <f t="shared" si="78"/>
        <v>0</v>
      </c>
      <c r="D625" s="28" t="e">
        <f t="shared" si="83"/>
        <v>#DIV/0!</v>
      </c>
      <c r="E625" s="28" t="e">
        <f t="shared" si="96"/>
        <v>#DIV/0!</v>
      </c>
      <c r="F625" s="28" t="e">
        <f t="shared" si="93"/>
        <v>#DIV/0!</v>
      </c>
      <c r="G625" s="28" t="e">
        <f>Prices!P624-D625</f>
        <v>#DIV/0!</v>
      </c>
      <c r="H625" s="28" t="e">
        <f t="shared" si="79"/>
        <v>#DIV/0!</v>
      </c>
      <c r="I625" s="28" t="e">
        <f t="shared" si="80"/>
        <v>#DIV/0!</v>
      </c>
      <c r="J625" s="28" t="e">
        <f t="shared" si="81"/>
        <v>#DIV/0!</v>
      </c>
      <c r="L625" s="28">
        <f>'[4]Brazil Corn Price'!$DR272</f>
        <v>0</v>
      </c>
      <c r="M625" s="28">
        <f>'[4]Brazil Corn Price'!$DS272</f>
        <v>0</v>
      </c>
      <c r="N625" s="28">
        <f>'[4]Brazil Corn Price'!$DQ272</f>
        <v>0</v>
      </c>
      <c r="O625" s="28">
        <f t="shared" si="84"/>
        <v>0</v>
      </c>
      <c r="P625" s="28">
        <f t="shared" si="85"/>
        <v>0</v>
      </c>
      <c r="AI625" s="26"/>
      <c r="AJ625" s="26"/>
      <c r="AK625" s="26"/>
      <c r="AL625" s="26"/>
      <c r="AM625" s="26"/>
      <c r="AN625" s="26"/>
      <c r="AO625" s="26"/>
      <c r="AP625" s="25">
        <v>44713</v>
      </c>
      <c r="AQ625" s="29">
        <v>0.78109523809523806</v>
      </c>
      <c r="AR625" s="26"/>
      <c r="AS625" s="26"/>
      <c r="AT625" s="26"/>
      <c r="AU625" s="26"/>
      <c r="AV625" s="26"/>
      <c r="BA625" s="26">
        <f t="shared" si="94"/>
        <v>6</v>
      </c>
      <c r="BB625" s="26">
        <f t="shared" si="95"/>
        <v>2022</v>
      </c>
      <c r="BC625" s="25" t="e" vm="1">
        <v>#REF!</v>
      </c>
      <c r="BD625" s="26" t="e" vm="1">
        <v>#REF!</v>
      </c>
      <c r="BE625" s="26"/>
      <c r="BF625" s="26" t="e" vm="2">
        <f t="shared" si="86"/>
        <v>#VALUE!</v>
      </c>
      <c r="BG625" s="26" t="e" vm="2">
        <f t="shared" si="87"/>
        <v>#VALUE!</v>
      </c>
      <c r="BH625" s="26"/>
      <c r="BI625" s="26"/>
      <c r="BJ625" s="21" t="e" vm="1">
        <v>#REF!</v>
      </c>
      <c r="BK625" s="26" t="e" vm="1">
        <v>#REF!</v>
      </c>
      <c r="BL625" s="26"/>
      <c r="BM625" t="e" vm="2">
        <f t="shared" si="88"/>
        <v>#VALUE!</v>
      </c>
      <c r="BN625" t="e" vm="2">
        <f t="shared" si="89"/>
        <v>#VALUE!</v>
      </c>
      <c r="BO625" s="26"/>
      <c r="BP625" s="26"/>
      <c r="BQ625" s="26"/>
      <c r="BR625" s="25">
        <v>43617</v>
      </c>
      <c r="BS625" s="26">
        <f t="shared" si="91"/>
        <v>6</v>
      </c>
      <c r="BT625" s="26">
        <f t="shared" si="92"/>
        <v>2019</v>
      </c>
      <c r="BU625" s="26" t="e">
        <f t="shared" si="90"/>
        <v>#DIV/0!</v>
      </c>
    </row>
    <row r="626" spans="1:73" x14ac:dyDescent="0.2">
      <c r="A626" s="25">
        <f>Prices!A625</f>
        <v>44743</v>
      </c>
      <c r="B626" s="28">
        <f>_xlfn.MAXIFS($BD$2:$BD$5500,$BF$2:$BF$5500,$BA626,$BG$2:$BG$5500,$BB626)</f>
        <v>0</v>
      </c>
      <c r="C626" s="28">
        <f t="shared" si="78"/>
        <v>0</v>
      </c>
      <c r="D626" s="28" t="e">
        <f t="shared" si="83"/>
        <v>#DIV/0!</v>
      </c>
      <c r="E626" s="28" t="e">
        <f t="shared" si="96"/>
        <v>#DIV/0!</v>
      </c>
      <c r="F626" s="28" t="e">
        <f t="shared" si="93"/>
        <v>#DIV/0!</v>
      </c>
      <c r="G626" s="28" t="e">
        <f>Prices!P625-D626</f>
        <v>#DIV/0!</v>
      </c>
      <c r="H626" s="28" t="e">
        <f t="shared" si="79"/>
        <v>#DIV/0!</v>
      </c>
      <c r="I626" s="28" t="e">
        <f t="shared" si="80"/>
        <v>#DIV/0!</v>
      </c>
      <c r="J626" s="28" t="e">
        <f t="shared" si="81"/>
        <v>#DIV/0!</v>
      </c>
      <c r="L626" s="28">
        <f>'[4]Brazil Corn Price'!$DR273</f>
        <v>0</v>
      </c>
      <c r="M626" s="28">
        <f>'[4]Brazil Corn Price'!$DS273</f>
        <v>0</v>
      </c>
      <c r="N626" s="28">
        <f>'[4]Brazil Corn Price'!$DQ273</f>
        <v>0</v>
      </c>
      <c r="O626" s="28">
        <f t="shared" si="84"/>
        <v>0</v>
      </c>
      <c r="P626" s="28">
        <f t="shared" si="85"/>
        <v>0</v>
      </c>
      <c r="AI626" s="26"/>
      <c r="AJ626" s="26"/>
      <c r="AK626" s="26"/>
      <c r="AL626" s="26"/>
      <c r="AM626" s="26"/>
      <c r="AN626" s="26"/>
      <c r="AO626" s="26"/>
      <c r="AP626" s="25">
        <v>44743</v>
      </c>
      <c r="AQ626" s="29">
        <v>0.77274249999999978</v>
      </c>
      <c r="AR626" s="26"/>
      <c r="AS626" s="26"/>
      <c r="AT626" s="26"/>
      <c r="AU626" s="26"/>
      <c r="AV626" s="26"/>
      <c r="BA626" s="26">
        <f t="shared" si="94"/>
        <v>7</v>
      </c>
      <c r="BB626" s="26">
        <f t="shared" si="95"/>
        <v>2022</v>
      </c>
      <c r="BC626" s="25" t="e" vm="1">
        <v>#REF!</v>
      </c>
      <c r="BD626" s="26" t="e" vm="1">
        <v>#REF!</v>
      </c>
      <c r="BE626" s="26"/>
      <c r="BF626" s="26" t="e" vm="2">
        <f t="shared" si="86"/>
        <v>#VALUE!</v>
      </c>
      <c r="BG626" s="26" t="e" vm="2">
        <f t="shared" si="87"/>
        <v>#VALUE!</v>
      </c>
      <c r="BH626" s="26"/>
      <c r="BI626" s="26"/>
      <c r="BJ626" s="21" t="e" vm="1">
        <v>#REF!</v>
      </c>
      <c r="BK626" s="26" t="e" vm="1">
        <v>#REF!</v>
      </c>
      <c r="BL626" s="26"/>
      <c r="BM626" t="e" vm="2">
        <f t="shared" si="88"/>
        <v>#VALUE!</v>
      </c>
      <c r="BN626" t="e" vm="2">
        <f t="shared" si="89"/>
        <v>#VALUE!</v>
      </c>
      <c r="BO626" s="26"/>
      <c r="BP626" s="26"/>
      <c r="BQ626" s="26"/>
      <c r="BR626" s="25">
        <v>43647</v>
      </c>
      <c r="BS626" s="26">
        <f t="shared" si="91"/>
        <v>7</v>
      </c>
      <c r="BT626" s="26">
        <f t="shared" si="92"/>
        <v>2019</v>
      </c>
      <c r="BU626" s="26" t="e">
        <f t="shared" si="90"/>
        <v>#DIV/0!</v>
      </c>
    </row>
    <row r="627" spans="1:73" x14ac:dyDescent="0.2">
      <c r="A627" s="25">
        <f>Prices!A626</f>
        <v>44774</v>
      </c>
      <c r="B627" s="28">
        <f t="shared" si="82"/>
        <v>0</v>
      </c>
      <c r="C627" s="28">
        <f t="shared" si="78"/>
        <v>0</v>
      </c>
      <c r="D627" s="28" t="e">
        <f>AVERAGEIFS($BD$2:$BD$5500,$BF$2:$BF$5500,$BA627,$BG$2:$BG$5500,$BB627)</f>
        <v>#DIV/0!</v>
      </c>
      <c r="E627" s="28" t="e">
        <f t="shared" si="96"/>
        <v>#DIV/0!</v>
      </c>
      <c r="F627" s="28" t="e">
        <f t="shared" si="93"/>
        <v>#DIV/0!</v>
      </c>
      <c r="G627" s="28" t="e">
        <f>Prices!P626-D627</f>
        <v>#DIV/0!</v>
      </c>
      <c r="H627" s="28" t="e">
        <f t="shared" si="79"/>
        <v>#DIV/0!</v>
      </c>
      <c r="I627" s="28" t="e">
        <f t="shared" si="80"/>
        <v>#DIV/0!</v>
      </c>
      <c r="J627" s="28" t="e">
        <f t="shared" si="81"/>
        <v>#DIV/0!</v>
      </c>
      <c r="L627" s="28">
        <f>'[4]Brazil Corn Price'!$DR274</f>
        <v>0</v>
      </c>
      <c r="M627" s="28">
        <f>'[4]Brazil Corn Price'!$DS274</f>
        <v>0</v>
      </c>
      <c r="N627" s="28">
        <f>'[4]Brazil Corn Price'!$DQ274</f>
        <v>0</v>
      </c>
      <c r="O627" s="28">
        <f t="shared" si="84"/>
        <v>0</v>
      </c>
      <c r="P627" s="28">
        <f t="shared" si="85"/>
        <v>0</v>
      </c>
      <c r="AI627" s="26"/>
      <c r="AJ627" s="26"/>
      <c r="AK627" s="26"/>
      <c r="AL627" s="26"/>
      <c r="AM627" s="26"/>
      <c r="AN627" s="26"/>
      <c r="AO627" s="26"/>
      <c r="AP627" s="25">
        <v>44774</v>
      </c>
      <c r="AQ627" s="29">
        <v>0.77381304347826096</v>
      </c>
      <c r="AR627" s="26"/>
      <c r="AS627" s="26"/>
      <c r="AT627" s="26"/>
      <c r="AU627" s="26"/>
      <c r="AV627" s="26"/>
      <c r="BA627" s="26">
        <f t="shared" si="94"/>
        <v>8</v>
      </c>
      <c r="BB627" s="26">
        <f t="shared" si="95"/>
        <v>2022</v>
      </c>
      <c r="BC627" s="25" t="e" vm="1">
        <v>#REF!</v>
      </c>
      <c r="BD627" s="26" t="e" vm="1">
        <v>#REF!</v>
      </c>
      <c r="BE627" s="26"/>
      <c r="BF627" s="26" t="e" vm="2">
        <f t="shared" si="86"/>
        <v>#VALUE!</v>
      </c>
      <c r="BG627" s="26" t="e" vm="2">
        <f t="shared" si="87"/>
        <v>#VALUE!</v>
      </c>
      <c r="BH627" s="26"/>
      <c r="BI627" s="26"/>
      <c r="BJ627" s="21" t="e" vm="1">
        <v>#REF!</v>
      </c>
      <c r="BK627" s="26" t="e" vm="1">
        <v>#REF!</v>
      </c>
      <c r="BL627" s="26"/>
      <c r="BM627" t="e" vm="2">
        <f t="shared" si="88"/>
        <v>#VALUE!</v>
      </c>
      <c r="BN627" t="e" vm="2">
        <f t="shared" si="89"/>
        <v>#VALUE!</v>
      </c>
      <c r="BO627" s="26"/>
      <c r="BP627" s="26"/>
      <c r="BQ627" s="26"/>
      <c r="BR627" s="25">
        <v>43678</v>
      </c>
      <c r="BS627" s="26">
        <f t="shared" si="91"/>
        <v>8</v>
      </c>
      <c r="BT627" s="26">
        <f t="shared" si="92"/>
        <v>2019</v>
      </c>
      <c r="BU627" s="26" t="e">
        <f t="shared" si="90"/>
        <v>#DIV/0!</v>
      </c>
    </row>
    <row r="628" spans="1:73" x14ac:dyDescent="0.2">
      <c r="A628" s="25">
        <f>Prices!A627</f>
        <v>44805</v>
      </c>
      <c r="B628" s="28">
        <f t="shared" si="82"/>
        <v>0</v>
      </c>
      <c r="C628" s="28">
        <f t="shared" si="78"/>
        <v>0</v>
      </c>
      <c r="D628" s="28" t="e">
        <f t="shared" si="83"/>
        <v>#DIV/0!</v>
      </c>
      <c r="E628" s="28" t="e">
        <f t="shared" si="96"/>
        <v>#DIV/0!</v>
      </c>
      <c r="F628" s="28" t="e">
        <f t="shared" si="93"/>
        <v>#DIV/0!</v>
      </c>
      <c r="G628" s="28" t="e">
        <f>Prices!P627-D628</f>
        <v>#DIV/0!</v>
      </c>
      <c r="H628" s="28" t="e">
        <f t="shared" si="79"/>
        <v>#DIV/0!</v>
      </c>
      <c r="I628" s="28" t="e">
        <f t="shared" si="80"/>
        <v>#DIV/0!</v>
      </c>
      <c r="J628" s="28" t="e">
        <f t="shared" si="81"/>
        <v>#DIV/0!</v>
      </c>
      <c r="L628" s="28">
        <f>'[4]Brazil Corn Price'!$DR275</f>
        <v>0</v>
      </c>
      <c r="M628" s="28">
        <f>'[4]Brazil Corn Price'!$DS275</f>
        <v>0</v>
      </c>
      <c r="N628" s="28">
        <f>'[4]Brazil Corn Price'!$DQ275</f>
        <v>0</v>
      </c>
      <c r="O628" s="28">
        <f t="shared" si="84"/>
        <v>0</v>
      </c>
      <c r="P628" s="28">
        <f t="shared" si="85"/>
        <v>0</v>
      </c>
      <c r="AI628" s="26"/>
      <c r="AJ628" s="26"/>
      <c r="AK628" s="26"/>
      <c r="AL628" s="26"/>
      <c r="AM628" s="26"/>
      <c r="AN628" s="26"/>
      <c r="AO628" s="26"/>
      <c r="AP628" s="25">
        <v>44805</v>
      </c>
      <c r="AQ628" s="29">
        <v>0.74956428571428568</v>
      </c>
      <c r="AR628" s="26"/>
      <c r="AS628" s="26"/>
      <c r="AT628" s="26"/>
      <c r="AU628" s="26"/>
      <c r="AV628" s="26"/>
      <c r="BA628" s="26">
        <f t="shared" si="94"/>
        <v>9</v>
      </c>
      <c r="BB628" s="26">
        <f t="shared" si="95"/>
        <v>2022</v>
      </c>
      <c r="BC628" s="25" t="e" vm="1">
        <v>#REF!</v>
      </c>
      <c r="BD628" s="26" t="e" vm="1">
        <v>#REF!</v>
      </c>
      <c r="BE628" s="26"/>
      <c r="BF628" s="26" t="e" vm="2">
        <f t="shared" si="86"/>
        <v>#VALUE!</v>
      </c>
      <c r="BG628" s="26" t="e" vm="2">
        <f t="shared" si="87"/>
        <v>#VALUE!</v>
      </c>
      <c r="BH628" s="26"/>
      <c r="BI628" s="26"/>
      <c r="BJ628" s="21" t="e" vm="1">
        <v>#REF!</v>
      </c>
      <c r="BK628" s="26" t="e" vm="1">
        <v>#REF!</v>
      </c>
      <c r="BL628" s="26"/>
      <c r="BM628" t="e" vm="2">
        <f t="shared" si="88"/>
        <v>#VALUE!</v>
      </c>
      <c r="BN628" t="e" vm="2">
        <f t="shared" si="89"/>
        <v>#VALUE!</v>
      </c>
      <c r="BO628" s="26"/>
      <c r="BP628" s="26"/>
      <c r="BQ628" s="26"/>
      <c r="BR628" s="25">
        <v>43709</v>
      </c>
      <c r="BS628" s="26">
        <f t="shared" si="91"/>
        <v>9</v>
      </c>
      <c r="BT628" s="26">
        <f t="shared" si="92"/>
        <v>2019</v>
      </c>
      <c r="BU628" s="26" t="e">
        <f t="shared" si="90"/>
        <v>#DIV/0!</v>
      </c>
    </row>
    <row r="629" spans="1:73" x14ac:dyDescent="0.2">
      <c r="A629" s="25">
        <f>Prices!A628</f>
        <v>44835</v>
      </c>
      <c r="B629" s="28">
        <f t="shared" si="82"/>
        <v>0</v>
      </c>
      <c r="C629" s="28">
        <f t="shared" ref="C629:C653" si="97">_xlfn.MINIFS($BD$2:$BD$5500,$BF$2:$BF$5500,$BA629,$BG$2:$BG$5500,$BB629)</f>
        <v>0</v>
      </c>
      <c r="D629" s="28" t="e">
        <f t="shared" si="83"/>
        <v>#DIV/0!</v>
      </c>
      <c r="E629" s="28" t="e">
        <f t="shared" si="96"/>
        <v>#DIV/0!</v>
      </c>
      <c r="F629" s="28" t="e">
        <f t="shared" si="93"/>
        <v>#DIV/0!</v>
      </c>
      <c r="G629" s="28" t="e">
        <f>Prices!P628-D629</f>
        <v>#DIV/0!</v>
      </c>
      <c r="H629" s="28" t="e">
        <f t="shared" ref="H629:H679" si="98">(G629/45.9296)*100</f>
        <v>#DIV/0!</v>
      </c>
      <c r="I629" s="28" t="e">
        <f>D629*AQ629</f>
        <v>#DIV/0!</v>
      </c>
      <c r="J629" s="28" t="e">
        <f t="shared" ref="J629:J692" si="99">(I629/45.9296)*100</f>
        <v>#DIV/0!</v>
      </c>
      <c r="L629" s="28">
        <f>'[4]Brazil Corn Price'!$DR276</f>
        <v>0</v>
      </c>
      <c r="M629" s="28">
        <f>'[4]Brazil Corn Price'!$DS276</f>
        <v>0</v>
      </c>
      <c r="N629" s="28">
        <f>'[4]Brazil Corn Price'!$DQ276</f>
        <v>0</v>
      </c>
      <c r="O629" s="28">
        <f t="shared" si="84"/>
        <v>0</v>
      </c>
      <c r="P629" s="28">
        <f t="shared" si="85"/>
        <v>0</v>
      </c>
      <c r="AI629" s="26"/>
      <c r="AJ629" s="26"/>
      <c r="AK629" s="26"/>
      <c r="AL629" s="26"/>
      <c r="AM629" s="26"/>
      <c r="AN629" s="26"/>
      <c r="AO629" s="26"/>
      <c r="AP629" s="25">
        <v>44835</v>
      </c>
      <c r="AQ629" s="29">
        <v>0.73021190476190456</v>
      </c>
      <c r="AR629" s="26"/>
      <c r="AS629" s="26"/>
      <c r="AT629" s="26"/>
      <c r="AU629" s="26"/>
      <c r="AV629" s="26"/>
      <c r="BA629" s="26">
        <f t="shared" si="94"/>
        <v>10</v>
      </c>
      <c r="BB629" s="26">
        <f t="shared" si="95"/>
        <v>2022</v>
      </c>
      <c r="BC629" s="25" t="e" vm="1">
        <v>#REF!</v>
      </c>
      <c r="BD629" s="26" t="e" vm="1">
        <v>#REF!</v>
      </c>
      <c r="BE629" s="26"/>
      <c r="BF629" s="26" t="e" vm="2">
        <f t="shared" si="86"/>
        <v>#VALUE!</v>
      </c>
      <c r="BG629" s="26" t="e" vm="2">
        <f t="shared" si="87"/>
        <v>#VALUE!</v>
      </c>
      <c r="BH629" s="26"/>
      <c r="BI629" s="26"/>
      <c r="BJ629" s="21" t="e" vm="1">
        <v>#REF!</v>
      </c>
      <c r="BK629" s="26" t="e" vm="1">
        <v>#REF!</v>
      </c>
      <c r="BL629" s="26"/>
      <c r="BM629" t="e" vm="2">
        <f t="shared" si="88"/>
        <v>#VALUE!</v>
      </c>
      <c r="BN629" t="e" vm="2">
        <f t="shared" si="89"/>
        <v>#VALUE!</v>
      </c>
      <c r="BO629" s="26"/>
      <c r="BP629" s="26"/>
      <c r="BQ629" s="26"/>
      <c r="BR629" s="25">
        <v>43739</v>
      </c>
      <c r="BS629" s="26">
        <f t="shared" si="91"/>
        <v>10</v>
      </c>
      <c r="BT629" s="26">
        <f t="shared" si="92"/>
        <v>2019</v>
      </c>
      <c r="BU629" s="26" t="e">
        <f t="shared" si="90"/>
        <v>#DIV/0!</v>
      </c>
    </row>
    <row r="630" spans="1:73" x14ac:dyDescent="0.2">
      <c r="A630" s="25">
        <f>Prices!A629</f>
        <v>44866</v>
      </c>
      <c r="B630" s="28">
        <f t="shared" ref="B630:B653" si="100">_xlfn.MAXIFS($BD$2:$BD$5500,$BF$2:$BF$5500,$BA630,$BG$2:$BG$5500,$BB630)</f>
        <v>0</v>
      </c>
      <c r="C630" s="28">
        <f t="shared" si="97"/>
        <v>0</v>
      </c>
      <c r="D630" s="28" t="e">
        <f>AVERAGEIFS($BD$2:$BD$5500,$BF$2:$BF$5500,$BA630,$BG$2:$BG$5500,$BB630)</f>
        <v>#DIV/0!</v>
      </c>
      <c r="E630" s="28" t="e">
        <f t="shared" si="96"/>
        <v>#DIV/0!</v>
      </c>
      <c r="F630" s="28" t="e">
        <f t="shared" si="93"/>
        <v>#DIV/0!</v>
      </c>
      <c r="G630" s="28" t="e">
        <f>Prices!P629-D630</f>
        <v>#DIV/0!</v>
      </c>
      <c r="H630" s="28" t="e">
        <f t="shared" si="98"/>
        <v>#DIV/0!</v>
      </c>
      <c r="I630" s="28" t="e">
        <f t="shared" ref="I630:I653" si="101">D630*AQ630</f>
        <v>#DIV/0!</v>
      </c>
      <c r="J630" s="28" t="e">
        <f t="shared" si="99"/>
        <v>#DIV/0!</v>
      </c>
      <c r="L630" s="28">
        <f>'[4]Brazil Corn Price'!$DR277</f>
        <v>0</v>
      </c>
      <c r="M630" s="28">
        <f>'[4]Brazil Corn Price'!$DS277</f>
        <v>0</v>
      </c>
      <c r="N630" s="28">
        <f>'[4]Brazil Corn Price'!$DQ277</f>
        <v>0</v>
      </c>
      <c r="O630" s="28">
        <f t="shared" si="84"/>
        <v>0</v>
      </c>
      <c r="P630" s="28">
        <f t="shared" si="85"/>
        <v>0</v>
      </c>
      <c r="AI630" s="26"/>
      <c r="AJ630" s="26"/>
      <c r="AK630" s="26"/>
      <c r="AL630" s="26"/>
      <c r="AM630" s="26"/>
      <c r="AN630" s="26"/>
      <c r="AO630" s="26"/>
      <c r="AP630" s="25">
        <v>44866</v>
      </c>
      <c r="AQ630" s="29">
        <v>0.74412380952380941</v>
      </c>
      <c r="AR630" s="26"/>
      <c r="AS630" s="26"/>
      <c r="AT630" s="26"/>
      <c r="AU630" s="26"/>
      <c r="AV630" s="26"/>
      <c r="BA630" s="26">
        <f t="shared" si="94"/>
        <v>11</v>
      </c>
      <c r="BB630" s="26">
        <f t="shared" si="95"/>
        <v>2022</v>
      </c>
      <c r="BC630" s="25" t="e" vm="1">
        <v>#REF!</v>
      </c>
      <c r="BD630" s="26" t="e" vm="1">
        <v>#REF!</v>
      </c>
      <c r="BE630" s="26"/>
      <c r="BF630" s="26" t="e" vm="2">
        <f t="shared" si="86"/>
        <v>#VALUE!</v>
      </c>
      <c r="BG630" s="26" t="e" vm="2">
        <f t="shared" si="87"/>
        <v>#VALUE!</v>
      </c>
      <c r="BH630" s="26"/>
      <c r="BI630" s="26"/>
      <c r="BJ630" s="21" t="e" vm="1">
        <v>#REF!</v>
      </c>
      <c r="BK630" s="26" t="e" vm="1">
        <v>#REF!</v>
      </c>
      <c r="BL630" s="26"/>
      <c r="BM630" t="e" vm="2">
        <f t="shared" si="88"/>
        <v>#VALUE!</v>
      </c>
      <c r="BN630" t="e" vm="2">
        <f t="shared" si="89"/>
        <v>#VALUE!</v>
      </c>
      <c r="BO630" s="26"/>
      <c r="BP630" s="26"/>
      <c r="BQ630" s="26"/>
      <c r="BR630" s="25">
        <v>43770</v>
      </c>
      <c r="BS630" s="26">
        <f t="shared" si="91"/>
        <v>11</v>
      </c>
      <c r="BT630" s="26">
        <f t="shared" si="92"/>
        <v>2019</v>
      </c>
      <c r="BU630" s="26" t="e">
        <f t="shared" si="90"/>
        <v>#DIV/0!</v>
      </c>
    </row>
    <row r="631" spans="1:73" x14ac:dyDescent="0.2">
      <c r="A631" s="25">
        <f>Prices!A630</f>
        <v>44896</v>
      </c>
      <c r="B631" s="28">
        <f t="shared" si="100"/>
        <v>0</v>
      </c>
      <c r="C631" s="28">
        <f t="shared" si="97"/>
        <v>0</v>
      </c>
      <c r="D631" s="28" t="e">
        <f t="shared" ref="D631:D653" si="102">AVERAGEIFS($BD$2:$BD$5500,$BF$2:$BF$5500,$BA631,$BG$2:$BG$5500,$BB631)</f>
        <v>#DIV/0!</v>
      </c>
      <c r="E631" s="28" t="e">
        <f t="shared" si="96"/>
        <v>#DIV/0!</v>
      </c>
      <c r="F631" s="28" t="e">
        <f t="shared" si="93"/>
        <v>#DIV/0!</v>
      </c>
      <c r="G631" s="28" t="e">
        <f>Prices!P630-D631</f>
        <v>#DIV/0!</v>
      </c>
      <c r="H631" s="28" t="e">
        <f t="shared" si="98"/>
        <v>#DIV/0!</v>
      </c>
      <c r="I631" s="28" t="e">
        <f t="shared" si="101"/>
        <v>#DIV/0!</v>
      </c>
      <c r="J631" s="28" t="e">
        <f t="shared" si="99"/>
        <v>#DIV/0!</v>
      </c>
      <c r="L631" s="28">
        <f>'[4]Brazil Corn Price'!$DR278</f>
        <v>0</v>
      </c>
      <c r="M631" s="28">
        <f>'[4]Brazil Corn Price'!$DS278</f>
        <v>0</v>
      </c>
      <c r="N631" s="28">
        <f>'[4]Brazil Corn Price'!$DQ278</f>
        <v>0</v>
      </c>
      <c r="O631" s="28">
        <f t="shared" si="84"/>
        <v>0</v>
      </c>
      <c r="P631" s="28">
        <f t="shared" si="85"/>
        <v>0</v>
      </c>
      <c r="AI631" s="26"/>
      <c r="AJ631" s="26"/>
      <c r="AK631" s="26"/>
      <c r="AL631" s="26"/>
      <c r="AM631" s="26"/>
      <c r="AN631" s="26"/>
      <c r="AO631" s="26"/>
      <c r="AP631" s="25">
        <v>44896</v>
      </c>
      <c r="AQ631" s="29">
        <v>0.73579761904761887</v>
      </c>
      <c r="AR631" s="26"/>
      <c r="AS631" s="26"/>
      <c r="AT631" s="26"/>
      <c r="AU631" s="26"/>
      <c r="AV631" s="26"/>
      <c r="BA631" s="26">
        <f t="shared" si="94"/>
        <v>12</v>
      </c>
      <c r="BB631" s="26">
        <f t="shared" si="95"/>
        <v>2022</v>
      </c>
      <c r="BC631" s="25" t="e" vm="1">
        <v>#REF!</v>
      </c>
      <c r="BD631" s="26" t="e" vm="1">
        <v>#REF!</v>
      </c>
      <c r="BE631" s="26"/>
      <c r="BF631" s="26" t="e" vm="2">
        <f t="shared" si="86"/>
        <v>#VALUE!</v>
      </c>
      <c r="BG631" s="26" t="e" vm="2">
        <f t="shared" si="87"/>
        <v>#VALUE!</v>
      </c>
      <c r="BH631" s="26"/>
      <c r="BI631" s="26"/>
      <c r="BJ631" s="21" t="e" vm="1">
        <v>#REF!</v>
      </c>
      <c r="BK631" s="26" t="e" vm="1">
        <v>#REF!</v>
      </c>
      <c r="BL631" s="26"/>
      <c r="BM631" t="e" vm="2">
        <f t="shared" si="88"/>
        <v>#VALUE!</v>
      </c>
      <c r="BN631" t="e" vm="2">
        <f t="shared" si="89"/>
        <v>#VALUE!</v>
      </c>
      <c r="BO631" s="26"/>
      <c r="BP631" s="26"/>
      <c r="BQ631" s="26"/>
      <c r="BR631" s="25">
        <v>43800</v>
      </c>
      <c r="BS631" s="26">
        <f t="shared" si="91"/>
        <v>12</v>
      </c>
      <c r="BT631" s="26">
        <f t="shared" si="92"/>
        <v>2019</v>
      </c>
      <c r="BU631" s="26" t="e">
        <f t="shared" si="90"/>
        <v>#DIV/0!</v>
      </c>
    </row>
    <row r="632" spans="1:73" x14ac:dyDescent="0.2">
      <c r="A632" s="25">
        <f>Prices!A631</f>
        <v>44927</v>
      </c>
      <c r="B632" s="28">
        <f t="shared" si="100"/>
        <v>0</v>
      </c>
      <c r="C632" s="28">
        <f t="shared" si="97"/>
        <v>0</v>
      </c>
      <c r="D632" s="28" t="e">
        <f t="shared" si="102"/>
        <v>#DIV/0!</v>
      </c>
      <c r="E632" s="28" t="e">
        <f t="shared" si="96"/>
        <v>#DIV/0!</v>
      </c>
      <c r="F632" s="28" t="e">
        <f t="shared" si="93"/>
        <v>#DIV/0!</v>
      </c>
      <c r="G632" s="28" t="e">
        <f>Prices!P631-D632</f>
        <v>#DIV/0!</v>
      </c>
      <c r="H632" s="28" t="e">
        <f t="shared" si="98"/>
        <v>#DIV/0!</v>
      </c>
      <c r="I632" s="28" t="e">
        <f t="shared" si="101"/>
        <v>#DIV/0!</v>
      </c>
      <c r="J632" s="28" t="e">
        <f t="shared" si="99"/>
        <v>#DIV/0!</v>
      </c>
      <c r="L632" s="28">
        <f>'[4]Brazil Corn Price'!$DR279</f>
        <v>0</v>
      </c>
      <c r="M632" s="28">
        <f>'[4]Brazil Corn Price'!$DS279</f>
        <v>0</v>
      </c>
      <c r="N632" s="28">
        <f>'[4]Brazil Corn Price'!$DQ279</f>
        <v>0</v>
      </c>
      <c r="O632" s="28">
        <f t="shared" si="84"/>
        <v>0</v>
      </c>
      <c r="P632" s="28">
        <f t="shared" si="85"/>
        <v>0</v>
      </c>
      <c r="AI632" s="26"/>
      <c r="AJ632" s="26"/>
      <c r="AK632" s="26"/>
      <c r="AL632" s="26"/>
      <c r="AM632" s="26"/>
      <c r="AN632" s="26"/>
      <c r="AO632" s="26"/>
      <c r="AP632" s="25">
        <v>44927</v>
      </c>
      <c r="AQ632" s="29">
        <v>0.74555749999999987</v>
      </c>
      <c r="AR632" s="26"/>
      <c r="AS632" s="26"/>
      <c r="AT632" s="26"/>
      <c r="AU632" s="26"/>
      <c r="AV632" s="26"/>
      <c r="BA632" s="26">
        <f t="shared" si="94"/>
        <v>1</v>
      </c>
      <c r="BB632" s="26">
        <f t="shared" si="95"/>
        <v>2023</v>
      </c>
      <c r="BC632" s="25" t="e" vm="1">
        <v>#REF!</v>
      </c>
      <c r="BD632" s="26" t="e" vm="1">
        <v>#REF!</v>
      </c>
      <c r="BE632" s="26"/>
      <c r="BF632" s="26" t="e" vm="2">
        <f t="shared" si="86"/>
        <v>#VALUE!</v>
      </c>
      <c r="BG632" s="26" t="e" vm="2">
        <f t="shared" si="87"/>
        <v>#VALUE!</v>
      </c>
      <c r="BH632" s="26"/>
      <c r="BI632" s="26"/>
      <c r="BJ632" s="21" t="e" vm="1">
        <v>#REF!</v>
      </c>
      <c r="BK632" s="26" t="e" vm="1">
        <v>#REF!</v>
      </c>
      <c r="BL632" s="26"/>
      <c r="BM632" t="e" vm="2">
        <f t="shared" si="88"/>
        <v>#VALUE!</v>
      </c>
      <c r="BN632" t="e" vm="2">
        <f t="shared" si="89"/>
        <v>#VALUE!</v>
      </c>
      <c r="BO632" s="26"/>
      <c r="BP632" s="26"/>
      <c r="BQ632" s="26"/>
      <c r="BR632" s="25">
        <v>43831</v>
      </c>
      <c r="BS632" s="26">
        <f t="shared" si="91"/>
        <v>1</v>
      </c>
      <c r="BT632" s="26">
        <f t="shared" si="92"/>
        <v>2020</v>
      </c>
      <c r="BU632" s="26" t="e">
        <f t="shared" si="90"/>
        <v>#DIV/0!</v>
      </c>
    </row>
    <row r="633" spans="1:73" x14ac:dyDescent="0.2">
      <c r="A633" s="25">
        <f>Prices!A632</f>
        <v>44958</v>
      </c>
      <c r="B633" s="28">
        <f t="shared" si="100"/>
        <v>0</v>
      </c>
      <c r="C633" s="28">
        <f t="shared" si="97"/>
        <v>0</v>
      </c>
      <c r="D633" s="28" t="e">
        <f t="shared" si="102"/>
        <v>#DIV/0!</v>
      </c>
      <c r="E633" s="28" t="e">
        <f t="shared" si="96"/>
        <v>#DIV/0!</v>
      </c>
      <c r="F633" s="28" t="e">
        <f t="shared" si="93"/>
        <v>#DIV/0!</v>
      </c>
      <c r="G633" s="28" t="e">
        <f>Prices!P632-D633</f>
        <v>#DIV/0!</v>
      </c>
      <c r="H633" s="28" t="e">
        <f t="shared" si="98"/>
        <v>#DIV/0!</v>
      </c>
      <c r="I633" s="28" t="e">
        <f t="shared" si="101"/>
        <v>#DIV/0!</v>
      </c>
      <c r="J633" s="28" t="e">
        <f t="shared" si="99"/>
        <v>#DIV/0!</v>
      </c>
      <c r="L633" s="28">
        <f>'[4]Brazil Corn Price'!$DR280</f>
        <v>0</v>
      </c>
      <c r="M633" s="28">
        <f>'[4]Brazil Corn Price'!$DS280</f>
        <v>0</v>
      </c>
      <c r="N633" s="28">
        <f>'[4]Brazil Corn Price'!$DQ280</f>
        <v>0</v>
      </c>
      <c r="O633" s="28">
        <f t="shared" si="84"/>
        <v>0</v>
      </c>
      <c r="P633" s="28">
        <f t="shared" si="85"/>
        <v>0</v>
      </c>
      <c r="AI633" s="26"/>
      <c r="AJ633" s="26"/>
      <c r="AK633" s="26"/>
      <c r="AL633" s="26"/>
      <c r="AM633" s="26"/>
      <c r="AN633" s="26"/>
      <c r="AO633" s="26"/>
      <c r="AP633" s="25">
        <v>44958</v>
      </c>
      <c r="AQ633" s="29">
        <v>0.74366842105263142</v>
      </c>
      <c r="AR633" s="26"/>
      <c r="AS633" s="26"/>
      <c r="AT633" s="26"/>
      <c r="AU633" s="26"/>
      <c r="AV633" s="26"/>
      <c r="BA633" s="26">
        <f t="shared" si="94"/>
        <v>2</v>
      </c>
      <c r="BB633" s="26">
        <f t="shared" si="95"/>
        <v>2023</v>
      </c>
      <c r="BC633" s="25" t="e" vm="1">
        <v>#REF!</v>
      </c>
      <c r="BD633" s="26" t="e" vm="1">
        <v>#REF!</v>
      </c>
      <c r="BE633" s="26"/>
      <c r="BF633" s="26" t="e" vm="2">
        <f t="shared" si="86"/>
        <v>#VALUE!</v>
      </c>
      <c r="BG633" s="26" t="e" vm="2">
        <f t="shared" si="87"/>
        <v>#VALUE!</v>
      </c>
      <c r="BH633" s="26"/>
      <c r="BI633" s="26"/>
      <c r="BJ633" s="21" t="e" vm="1">
        <v>#REF!</v>
      </c>
      <c r="BK633" s="26" t="e" vm="1">
        <v>#REF!</v>
      </c>
      <c r="BL633" s="26"/>
      <c r="BM633" t="e" vm="2">
        <f t="shared" si="88"/>
        <v>#VALUE!</v>
      </c>
      <c r="BN633" t="e" vm="2">
        <f t="shared" si="89"/>
        <v>#VALUE!</v>
      </c>
      <c r="BO633" s="26"/>
      <c r="BP633" s="26"/>
      <c r="BQ633" s="26"/>
      <c r="BR633" s="25">
        <v>43862</v>
      </c>
      <c r="BS633" s="26">
        <f t="shared" si="91"/>
        <v>2</v>
      </c>
      <c r="BT633" s="26">
        <f t="shared" si="92"/>
        <v>2020</v>
      </c>
      <c r="BU633" s="26" t="e">
        <f t="shared" si="90"/>
        <v>#DIV/0!</v>
      </c>
    </row>
    <row r="634" spans="1:73" x14ac:dyDescent="0.2">
      <c r="A634" s="25">
        <f>Prices!A633</f>
        <v>44986</v>
      </c>
      <c r="B634" s="28">
        <f t="shared" si="100"/>
        <v>0</v>
      </c>
      <c r="C634" s="28">
        <f t="shared" si="97"/>
        <v>0</v>
      </c>
      <c r="D634" s="28" t="e">
        <f t="shared" si="102"/>
        <v>#DIV/0!</v>
      </c>
      <c r="E634" s="28" t="e">
        <f t="shared" si="96"/>
        <v>#DIV/0!</v>
      </c>
      <c r="F634" s="28" t="e">
        <f t="shared" si="93"/>
        <v>#DIV/0!</v>
      </c>
      <c r="G634" s="28" t="e">
        <f>Prices!P633-D634</f>
        <v>#DIV/0!</v>
      </c>
      <c r="H634" s="28" t="e">
        <f t="shared" si="98"/>
        <v>#DIV/0!</v>
      </c>
      <c r="I634" s="28" t="e">
        <f t="shared" si="101"/>
        <v>#DIV/0!</v>
      </c>
      <c r="J634" s="28" t="e">
        <f t="shared" si="99"/>
        <v>#DIV/0!</v>
      </c>
      <c r="L634" s="28">
        <f>'[4]Brazil Corn Price'!$DR281</f>
        <v>0</v>
      </c>
      <c r="M634" s="28">
        <f>'[4]Brazil Corn Price'!$DS281</f>
        <v>0</v>
      </c>
      <c r="N634" s="28">
        <f>'[4]Brazil Corn Price'!$DQ281</f>
        <v>0</v>
      </c>
      <c r="O634" s="28">
        <f t="shared" si="84"/>
        <v>0</v>
      </c>
      <c r="P634" s="28">
        <f t="shared" si="85"/>
        <v>0</v>
      </c>
      <c r="R634" s="30">
        <f>'[4]Brazil Corn Price'!DW281</f>
        <v>0</v>
      </c>
      <c r="S634" s="30">
        <f>'[4]Brazil Corn Price'!DX281</f>
        <v>0</v>
      </c>
      <c r="T634" s="30">
        <f>'[4]Brazil Corn Price'!DV281</f>
        <v>0</v>
      </c>
      <c r="U634" s="30">
        <f>R634-T634</f>
        <v>0</v>
      </c>
      <c r="V634" s="30">
        <f>S634-T634</f>
        <v>0</v>
      </c>
      <c r="X634" s="30">
        <f>'[4]Brazil Corn Price'!$EB281</f>
        <v>0</v>
      </c>
      <c r="Y634" s="30">
        <f>'[4]Brazil Corn Price'!$EC281</f>
        <v>0</v>
      </c>
      <c r="Z634" s="30">
        <f>'[4]Brazil Corn Price'!$EA281</f>
        <v>0</v>
      </c>
      <c r="AA634" s="30">
        <f>X634-Z634</f>
        <v>0</v>
      </c>
      <c r="AB634" s="30">
        <f>Y634-Z634</f>
        <v>0</v>
      </c>
      <c r="AI634" s="26"/>
      <c r="AJ634" s="26"/>
      <c r="AK634" s="26"/>
      <c r="AL634" s="26"/>
      <c r="AM634" s="26"/>
      <c r="AN634" s="26"/>
      <c r="AO634" s="26"/>
      <c r="AP634" s="25">
        <v>44986</v>
      </c>
      <c r="AQ634" s="29">
        <v>0.73123478260869557</v>
      </c>
      <c r="AR634" s="26"/>
      <c r="AS634" s="26"/>
      <c r="AT634" s="26"/>
      <c r="AU634" s="26"/>
      <c r="AV634" s="26"/>
      <c r="BA634" s="26">
        <f t="shared" si="94"/>
        <v>3</v>
      </c>
      <c r="BB634" s="26">
        <f t="shared" si="95"/>
        <v>2023</v>
      </c>
      <c r="BC634" s="25" t="e" vm="1">
        <v>#REF!</v>
      </c>
      <c r="BD634" s="26" t="e" vm="1">
        <v>#REF!</v>
      </c>
      <c r="BE634" s="26"/>
      <c r="BF634" s="26" t="e" vm="2">
        <f t="shared" si="86"/>
        <v>#VALUE!</v>
      </c>
      <c r="BG634" s="26" t="e" vm="2">
        <f t="shared" si="87"/>
        <v>#VALUE!</v>
      </c>
      <c r="BH634" s="26"/>
      <c r="BI634" s="26"/>
      <c r="BJ634" s="21" t="e" vm="1">
        <v>#REF!</v>
      </c>
      <c r="BK634" s="26" t="e" vm="1">
        <v>#REF!</v>
      </c>
      <c r="BL634" s="26"/>
      <c r="BM634" t="e" vm="2">
        <f t="shared" si="88"/>
        <v>#VALUE!</v>
      </c>
      <c r="BN634" t="e" vm="2">
        <f t="shared" si="89"/>
        <v>#VALUE!</v>
      </c>
      <c r="BO634" s="26"/>
      <c r="BP634" s="26"/>
      <c r="BQ634" s="26"/>
      <c r="BR634" s="25">
        <v>43891</v>
      </c>
      <c r="BS634" s="26">
        <f t="shared" si="91"/>
        <v>3</v>
      </c>
      <c r="BT634" s="26">
        <f t="shared" si="92"/>
        <v>2020</v>
      </c>
      <c r="BU634" s="26" t="e">
        <f t="shared" si="90"/>
        <v>#DIV/0!</v>
      </c>
    </row>
    <row r="635" spans="1:73" x14ac:dyDescent="0.2">
      <c r="A635" s="25">
        <f>Prices!A634</f>
        <v>45017</v>
      </c>
      <c r="B635" s="28">
        <f t="shared" si="100"/>
        <v>0</v>
      </c>
      <c r="C635" s="28">
        <f t="shared" si="97"/>
        <v>0</v>
      </c>
      <c r="D635" s="28" t="e">
        <f t="shared" si="102"/>
        <v>#DIV/0!</v>
      </c>
      <c r="E635" s="28" t="e">
        <f t="shared" si="96"/>
        <v>#DIV/0!</v>
      </c>
      <c r="F635" s="28" t="e">
        <f t="shared" si="93"/>
        <v>#DIV/0!</v>
      </c>
      <c r="G635" s="28" t="e">
        <f>Prices!P634-D635</f>
        <v>#DIV/0!</v>
      </c>
      <c r="H635" s="28" t="e">
        <f t="shared" si="98"/>
        <v>#DIV/0!</v>
      </c>
      <c r="I635" s="28" t="e">
        <f t="shared" si="101"/>
        <v>#DIV/0!</v>
      </c>
      <c r="J635" s="28" t="e">
        <f t="shared" si="99"/>
        <v>#DIV/0!</v>
      </c>
      <c r="L635" s="28">
        <f>'[4]Brazil Corn Price'!$DR282</f>
        <v>0</v>
      </c>
      <c r="M635" s="28">
        <f>'[4]Brazil Corn Price'!$DS282</f>
        <v>0</v>
      </c>
      <c r="N635" s="28">
        <f>'[4]Brazil Corn Price'!$DQ282</f>
        <v>0</v>
      </c>
      <c r="O635" s="28">
        <f t="shared" ref="O635:O653" si="103">L635-N635</f>
        <v>0</v>
      </c>
      <c r="P635" s="28">
        <f t="shared" ref="P635:P653" si="104">M635-N635</f>
        <v>0</v>
      </c>
      <c r="R635" s="30">
        <f>'[4]Brazil Corn Price'!DW282</f>
        <v>0</v>
      </c>
      <c r="S635" s="30">
        <f>'[4]Brazil Corn Price'!DX282</f>
        <v>0</v>
      </c>
      <c r="T635" s="30">
        <f>'[4]Brazil Corn Price'!DV282</f>
        <v>0</v>
      </c>
      <c r="U635" s="30">
        <f t="shared" ref="U635:U653" si="105">R635-T635</f>
        <v>0</v>
      </c>
      <c r="V635" s="30">
        <f t="shared" ref="V635:V653" si="106">S635-T635</f>
        <v>0</v>
      </c>
      <c r="X635" s="30">
        <f>'[4]Brazil Corn Price'!$EB282</f>
        <v>0</v>
      </c>
      <c r="Y635" s="30">
        <f>'[4]Brazil Corn Price'!$EC282</f>
        <v>0</v>
      </c>
      <c r="Z635" s="30">
        <f>'[4]Brazil Corn Price'!$EA282</f>
        <v>0</v>
      </c>
      <c r="AA635" s="30">
        <f t="shared" ref="AA635:AA653" si="107">X635-Z635</f>
        <v>0</v>
      </c>
      <c r="AB635" s="30">
        <f t="shared" ref="AB635:AB653" si="108">Y635-Z635</f>
        <v>0</v>
      </c>
      <c r="AI635" s="26"/>
      <c r="AJ635" s="26"/>
      <c r="AK635" s="26"/>
      <c r="AL635" s="26"/>
      <c r="AM635" s="26"/>
      <c r="AN635" s="26"/>
      <c r="AO635" s="26"/>
      <c r="AP635" s="25">
        <v>45017</v>
      </c>
      <c r="AQ635" s="29">
        <v>0.74188000000000009</v>
      </c>
      <c r="AR635" s="26"/>
      <c r="AS635" s="26"/>
      <c r="AT635" s="26"/>
      <c r="AU635" s="26"/>
      <c r="AV635" s="26"/>
      <c r="BA635" s="26">
        <f t="shared" si="94"/>
        <v>4</v>
      </c>
      <c r="BB635" s="26">
        <f t="shared" si="95"/>
        <v>2023</v>
      </c>
      <c r="BC635" s="25" t="e" vm="1">
        <v>#REF!</v>
      </c>
      <c r="BD635" s="26" t="e" vm="1">
        <v>#REF!</v>
      </c>
      <c r="BE635" s="26"/>
      <c r="BF635" s="26" t="e" vm="2">
        <f t="shared" si="86"/>
        <v>#VALUE!</v>
      </c>
      <c r="BG635" s="26" t="e" vm="2">
        <f t="shared" si="87"/>
        <v>#VALUE!</v>
      </c>
      <c r="BH635" s="26"/>
      <c r="BI635" s="26"/>
      <c r="BJ635" s="21" t="e" vm="1">
        <v>#REF!</v>
      </c>
      <c r="BK635" s="26" t="e" vm="1">
        <v>#REF!</v>
      </c>
      <c r="BL635" s="26"/>
      <c r="BM635" t="e" vm="2">
        <f t="shared" si="88"/>
        <v>#VALUE!</v>
      </c>
      <c r="BN635" t="e" vm="2">
        <f t="shared" si="89"/>
        <v>#VALUE!</v>
      </c>
      <c r="BO635" s="26"/>
      <c r="BP635" s="26"/>
      <c r="BQ635" s="26"/>
      <c r="BR635" s="25">
        <v>43922</v>
      </c>
      <c r="BS635" s="26">
        <f t="shared" si="91"/>
        <v>4</v>
      </c>
      <c r="BT635" s="26">
        <f t="shared" si="92"/>
        <v>2020</v>
      </c>
      <c r="BU635" s="26" t="e">
        <f t="shared" si="90"/>
        <v>#DIV/0!</v>
      </c>
    </row>
    <row r="636" spans="1:73" x14ac:dyDescent="0.2">
      <c r="A636" s="25">
        <f>Prices!A635</f>
        <v>45047</v>
      </c>
      <c r="B636" s="28">
        <f t="shared" si="100"/>
        <v>0</v>
      </c>
      <c r="C636" s="28">
        <f t="shared" si="97"/>
        <v>0</v>
      </c>
      <c r="D636" s="28" t="e">
        <f t="shared" si="102"/>
        <v>#DIV/0!</v>
      </c>
      <c r="E636" s="28" t="e">
        <f t="shared" si="96"/>
        <v>#DIV/0!</v>
      </c>
      <c r="F636" s="28" t="e">
        <f t="shared" si="93"/>
        <v>#DIV/0!</v>
      </c>
      <c r="G636" s="28" t="e">
        <f>Prices!P635-D636</f>
        <v>#DIV/0!</v>
      </c>
      <c r="H636" s="28" t="e">
        <f t="shared" si="98"/>
        <v>#DIV/0!</v>
      </c>
      <c r="I636" s="28" t="e">
        <f t="shared" si="101"/>
        <v>#DIV/0!</v>
      </c>
      <c r="J636" s="28" t="e">
        <f t="shared" si="99"/>
        <v>#DIV/0!</v>
      </c>
      <c r="L636" s="28">
        <f>'[4]Brazil Corn Price'!$DR283</f>
        <v>0</v>
      </c>
      <c r="M636" s="28">
        <f>'[4]Brazil Corn Price'!$DS283</f>
        <v>0</v>
      </c>
      <c r="N636" s="28">
        <f>'[4]Brazil Corn Price'!$DQ283</f>
        <v>0</v>
      </c>
      <c r="O636" s="28">
        <f t="shared" si="103"/>
        <v>0</v>
      </c>
      <c r="P636" s="28">
        <f t="shared" si="104"/>
        <v>0</v>
      </c>
      <c r="R636" s="30">
        <f>'[4]Brazil Corn Price'!DW283</f>
        <v>0</v>
      </c>
      <c r="S636" s="30">
        <f>'[4]Brazil Corn Price'!DX283</f>
        <v>0</v>
      </c>
      <c r="T636" s="30">
        <f>'[4]Brazil Corn Price'!DV283</f>
        <v>0</v>
      </c>
      <c r="U636" s="30">
        <f t="shared" si="105"/>
        <v>0</v>
      </c>
      <c r="V636" s="30">
        <f t="shared" si="106"/>
        <v>0</v>
      </c>
      <c r="X636" s="30">
        <f>'[4]Brazil Corn Price'!$EB283</f>
        <v>0</v>
      </c>
      <c r="Y636" s="30">
        <f>'[4]Brazil Corn Price'!$EC283</f>
        <v>0</v>
      </c>
      <c r="Z636" s="30">
        <f>'[4]Brazil Corn Price'!$EA283</f>
        <v>0</v>
      </c>
      <c r="AA636" s="30">
        <f t="shared" si="107"/>
        <v>0</v>
      </c>
      <c r="AB636" s="30">
        <f t="shared" si="108"/>
        <v>0</v>
      </c>
      <c r="AI636" s="26"/>
      <c r="AJ636" s="26"/>
      <c r="AK636" s="26"/>
      <c r="AL636" s="26"/>
      <c r="AM636" s="26"/>
      <c r="AN636" s="26"/>
      <c r="AO636" s="26"/>
      <c r="AP636" s="25">
        <v>45047</v>
      </c>
      <c r="AQ636" s="29">
        <v>0.74034545454545442</v>
      </c>
      <c r="AR636" s="26"/>
      <c r="AS636" s="26"/>
      <c r="AT636" s="26"/>
      <c r="AU636" s="26"/>
      <c r="AV636" s="26"/>
      <c r="BA636" s="26">
        <f t="shared" si="94"/>
        <v>5</v>
      </c>
      <c r="BB636" s="26">
        <f t="shared" si="95"/>
        <v>2023</v>
      </c>
      <c r="BC636" s="25" t="e" vm="1">
        <v>#REF!</v>
      </c>
      <c r="BD636" s="26" t="e" vm="1">
        <v>#REF!</v>
      </c>
      <c r="BE636" s="26"/>
      <c r="BF636" s="26" t="e" vm="2">
        <f t="shared" si="86"/>
        <v>#VALUE!</v>
      </c>
      <c r="BG636" s="26" t="e" vm="2">
        <f t="shared" si="87"/>
        <v>#VALUE!</v>
      </c>
      <c r="BH636" s="26"/>
      <c r="BI636" s="26"/>
      <c r="BJ636" s="21" t="e" vm="1">
        <v>#REF!</v>
      </c>
      <c r="BK636" s="26" t="e" vm="1">
        <v>#REF!</v>
      </c>
      <c r="BL636" s="26"/>
      <c r="BM636" t="e" vm="2">
        <f t="shared" si="88"/>
        <v>#VALUE!</v>
      </c>
      <c r="BN636" t="e" vm="2">
        <f t="shared" si="89"/>
        <v>#VALUE!</v>
      </c>
      <c r="BO636" s="26"/>
      <c r="BP636" s="26"/>
      <c r="BQ636" s="26"/>
      <c r="BR636" s="25">
        <v>43952</v>
      </c>
      <c r="BS636" s="26">
        <f t="shared" si="91"/>
        <v>5</v>
      </c>
      <c r="BT636" s="26">
        <f t="shared" si="92"/>
        <v>2020</v>
      </c>
      <c r="BU636" s="26" t="e">
        <f t="shared" si="90"/>
        <v>#DIV/0!</v>
      </c>
    </row>
    <row r="637" spans="1:73" x14ac:dyDescent="0.2">
      <c r="A637" s="25">
        <f>Prices!A636</f>
        <v>45078</v>
      </c>
      <c r="B637" s="28">
        <f t="shared" si="100"/>
        <v>0</v>
      </c>
      <c r="C637" s="28">
        <f t="shared" si="97"/>
        <v>0</v>
      </c>
      <c r="D637" s="28" t="e">
        <f t="shared" si="102"/>
        <v>#DIV/0!</v>
      </c>
      <c r="E637" s="28" t="e">
        <f t="shared" si="96"/>
        <v>#DIV/0!</v>
      </c>
      <c r="F637" s="28" t="e">
        <f t="shared" si="93"/>
        <v>#DIV/0!</v>
      </c>
      <c r="G637" s="28" t="e">
        <f>Prices!P636-D637</f>
        <v>#DIV/0!</v>
      </c>
      <c r="H637" s="28" t="e">
        <f t="shared" si="98"/>
        <v>#DIV/0!</v>
      </c>
      <c r="I637" s="28" t="e">
        <f t="shared" si="101"/>
        <v>#DIV/0!</v>
      </c>
      <c r="J637" s="28" t="e">
        <f t="shared" si="99"/>
        <v>#DIV/0!</v>
      </c>
      <c r="L637" s="28">
        <f>'[4]Brazil Corn Price'!$DR284</f>
        <v>0</v>
      </c>
      <c r="M637" s="28">
        <f>'[4]Brazil Corn Price'!$DS284</f>
        <v>0</v>
      </c>
      <c r="N637" s="28">
        <f>'[4]Brazil Corn Price'!$DQ284</f>
        <v>0</v>
      </c>
      <c r="O637" s="28">
        <f t="shared" si="103"/>
        <v>0</v>
      </c>
      <c r="P637" s="28">
        <f t="shared" si="104"/>
        <v>0</v>
      </c>
      <c r="R637" s="30">
        <f>'[4]Brazil Corn Price'!DW284</f>
        <v>0</v>
      </c>
      <c r="S637" s="30">
        <f>'[4]Brazil Corn Price'!DX284</f>
        <v>0</v>
      </c>
      <c r="T637" s="30">
        <f>'[4]Brazil Corn Price'!DV284</f>
        <v>0</v>
      </c>
      <c r="U637" s="30">
        <f t="shared" si="105"/>
        <v>0</v>
      </c>
      <c r="V637" s="30">
        <f t="shared" si="106"/>
        <v>0</v>
      </c>
      <c r="X637" s="30">
        <f>'[4]Brazil Corn Price'!$EB284</f>
        <v>0</v>
      </c>
      <c r="Y637" s="30">
        <f>'[4]Brazil Corn Price'!$EC284</f>
        <v>0</v>
      </c>
      <c r="Z637" s="30">
        <f>'[4]Brazil Corn Price'!$EA284</f>
        <v>0</v>
      </c>
      <c r="AA637" s="30">
        <f t="shared" si="107"/>
        <v>0</v>
      </c>
      <c r="AB637" s="30">
        <f t="shared" si="108"/>
        <v>0</v>
      </c>
      <c r="AI637" s="26"/>
      <c r="AJ637" s="26"/>
      <c r="AK637" s="26"/>
      <c r="AL637" s="26"/>
      <c r="AM637" s="26"/>
      <c r="AN637" s="26"/>
      <c r="AO637" s="26"/>
      <c r="AP637" s="25">
        <v>45078</v>
      </c>
      <c r="AQ637" s="29">
        <v>0.75293333333333334</v>
      </c>
      <c r="AR637" s="26"/>
      <c r="AS637" s="26"/>
      <c r="AT637" s="26"/>
      <c r="AU637" s="26"/>
      <c r="AV637" s="26"/>
      <c r="BA637" s="26">
        <f t="shared" si="94"/>
        <v>6</v>
      </c>
      <c r="BB637" s="26">
        <f t="shared" si="95"/>
        <v>2023</v>
      </c>
      <c r="BC637" s="25" t="e" vm="1">
        <v>#REF!</v>
      </c>
      <c r="BD637" s="26" t="e" vm="1">
        <v>#REF!</v>
      </c>
      <c r="BE637" s="26"/>
      <c r="BF637" s="26" t="e" vm="2">
        <f t="shared" si="86"/>
        <v>#VALUE!</v>
      </c>
      <c r="BG637" s="26" t="e" vm="2">
        <f t="shared" si="87"/>
        <v>#VALUE!</v>
      </c>
      <c r="BH637" s="26"/>
      <c r="BI637" s="26"/>
      <c r="BJ637" s="21" t="e" vm="1">
        <v>#REF!</v>
      </c>
      <c r="BK637" s="26" t="e" vm="1">
        <v>#REF!</v>
      </c>
      <c r="BL637" s="26"/>
      <c r="BM637" t="e" vm="2">
        <f t="shared" si="88"/>
        <v>#VALUE!</v>
      </c>
      <c r="BN637" t="e" vm="2">
        <f t="shared" si="89"/>
        <v>#VALUE!</v>
      </c>
      <c r="BO637" s="26"/>
      <c r="BP637" s="26"/>
      <c r="BQ637" s="26"/>
      <c r="BR637" s="25">
        <v>43983</v>
      </c>
      <c r="BS637" s="26">
        <f t="shared" si="91"/>
        <v>6</v>
      </c>
      <c r="BT637" s="26">
        <f t="shared" si="92"/>
        <v>2020</v>
      </c>
      <c r="BU637" s="26" t="e">
        <f t="shared" si="90"/>
        <v>#DIV/0!</v>
      </c>
    </row>
    <row r="638" spans="1:73" x14ac:dyDescent="0.2">
      <c r="A638" s="25">
        <f>Prices!A637</f>
        <v>45108</v>
      </c>
      <c r="B638" s="28">
        <f t="shared" si="100"/>
        <v>0</v>
      </c>
      <c r="C638" s="28">
        <f t="shared" si="97"/>
        <v>0</v>
      </c>
      <c r="D638" s="28" t="e">
        <f t="shared" si="102"/>
        <v>#DIV/0!</v>
      </c>
      <c r="E638" s="28" t="e">
        <f t="shared" si="96"/>
        <v>#DIV/0!</v>
      </c>
      <c r="F638" s="28" t="e">
        <f t="shared" si="93"/>
        <v>#DIV/0!</v>
      </c>
      <c r="G638" s="28" t="e">
        <f>Prices!P637-D638</f>
        <v>#DIV/0!</v>
      </c>
      <c r="H638" s="28" t="e">
        <f t="shared" si="98"/>
        <v>#DIV/0!</v>
      </c>
      <c r="I638" s="28" t="e">
        <f t="shared" si="101"/>
        <v>#DIV/0!</v>
      </c>
      <c r="J638" s="28" t="e">
        <f t="shared" si="99"/>
        <v>#DIV/0!</v>
      </c>
      <c r="L638" s="28">
        <f>'[4]Brazil Corn Price'!$DR285</f>
        <v>0</v>
      </c>
      <c r="M638" s="28">
        <f>'[4]Brazil Corn Price'!$DS285</f>
        <v>0</v>
      </c>
      <c r="N638" s="28">
        <f>'[4]Brazil Corn Price'!$DQ285</f>
        <v>0</v>
      </c>
      <c r="O638" s="28">
        <f t="shared" si="103"/>
        <v>0</v>
      </c>
      <c r="P638" s="28">
        <f t="shared" si="104"/>
        <v>0</v>
      </c>
      <c r="R638" s="30">
        <f>'[4]Brazil Corn Price'!DW285</f>
        <v>0</v>
      </c>
      <c r="S638" s="30">
        <f>'[4]Brazil Corn Price'!DX285</f>
        <v>0</v>
      </c>
      <c r="T638" s="30">
        <f>'[4]Brazil Corn Price'!DV285</f>
        <v>0</v>
      </c>
      <c r="U638" s="30">
        <f t="shared" si="105"/>
        <v>0</v>
      </c>
      <c r="V638" s="30">
        <f t="shared" si="106"/>
        <v>0</v>
      </c>
      <c r="X638" s="30">
        <f>'[4]Brazil Corn Price'!$EB285</f>
        <v>0</v>
      </c>
      <c r="Y638" s="30">
        <f>'[4]Brazil Corn Price'!$EC285</f>
        <v>0</v>
      </c>
      <c r="Z638" s="30">
        <f>'[4]Brazil Corn Price'!$EA285</f>
        <v>0</v>
      </c>
      <c r="AA638" s="30">
        <f t="shared" si="107"/>
        <v>0</v>
      </c>
      <c r="AB638" s="30">
        <f t="shared" si="108"/>
        <v>0</v>
      </c>
      <c r="AI638" s="26"/>
      <c r="AJ638" s="26"/>
      <c r="AK638" s="26"/>
      <c r="AL638" s="26"/>
      <c r="AM638" s="26"/>
      <c r="AN638" s="26"/>
      <c r="AO638" s="26"/>
      <c r="AP638" s="25">
        <v>45108</v>
      </c>
      <c r="AQ638" s="29">
        <v>0.75685749999999996</v>
      </c>
      <c r="AR638" s="26"/>
      <c r="AS638" s="26"/>
      <c r="AT638" s="26"/>
      <c r="AU638" s="26"/>
      <c r="AV638" s="26"/>
      <c r="BA638" s="26">
        <f t="shared" si="94"/>
        <v>7</v>
      </c>
      <c r="BB638" s="26">
        <f t="shared" si="95"/>
        <v>2023</v>
      </c>
      <c r="BC638" s="25" t="e" vm="1">
        <v>#REF!</v>
      </c>
      <c r="BD638" s="26" t="e" vm="1">
        <v>#REF!</v>
      </c>
      <c r="BE638" s="26"/>
      <c r="BF638" s="26" t="e" vm="2">
        <f t="shared" si="86"/>
        <v>#VALUE!</v>
      </c>
      <c r="BG638" s="26" t="e" vm="2">
        <f t="shared" si="87"/>
        <v>#VALUE!</v>
      </c>
      <c r="BH638" s="26"/>
      <c r="BI638" s="26"/>
      <c r="BJ638" s="21" t="e" vm="1">
        <v>#REF!</v>
      </c>
      <c r="BK638" s="26" t="e" vm="1">
        <v>#REF!</v>
      </c>
      <c r="BL638" s="26"/>
      <c r="BM638" t="e" vm="2">
        <f t="shared" si="88"/>
        <v>#VALUE!</v>
      </c>
      <c r="BN638" t="e" vm="2">
        <f t="shared" si="89"/>
        <v>#VALUE!</v>
      </c>
      <c r="BO638" s="26"/>
      <c r="BP638" s="26"/>
      <c r="BQ638" s="26"/>
      <c r="BR638" s="25">
        <v>44013</v>
      </c>
      <c r="BS638" s="26">
        <f t="shared" si="91"/>
        <v>7</v>
      </c>
      <c r="BT638" s="26">
        <f t="shared" si="92"/>
        <v>2020</v>
      </c>
      <c r="BU638" s="26" t="e">
        <f t="shared" si="90"/>
        <v>#DIV/0!</v>
      </c>
    </row>
    <row r="639" spans="1:73" x14ac:dyDescent="0.2">
      <c r="A639" s="25">
        <f>Prices!A638</f>
        <v>45139</v>
      </c>
      <c r="B639" s="28">
        <f t="shared" si="100"/>
        <v>0</v>
      </c>
      <c r="C639" s="28">
        <f t="shared" si="97"/>
        <v>0</v>
      </c>
      <c r="D639" s="28" t="e">
        <f t="shared" si="102"/>
        <v>#DIV/0!</v>
      </c>
      <c r="E639" s="28" t="e">
        <f t="shared" si="96"/>
        <v>#DIV/0!</v>
      </c>
      <c r="F639" s="28" t="e">
        <f t="shared" si="93"/>
        <v>#DIV/0!</v>
      </c>
      <c r="G639" s="28" t="e">
        <f>Prices!P638-D639</f>
        <v>#DIV/0!</v>
      </c>
      <c r="H639" s="28" t="e">
        <f t="shared" si="98"/>
        <v>#DIV/0!</v>
      </c>
      <c r="I639" s="28" t="e">
        <f t="shared" si="101"/>
        <v>#DIV/0!</v>
      </c>
      <c r="J639" s="28" t="e">
        <f t="shared" si="99"/>
        <v>#DIV/0!</v>
      </c>
      <c r="L639" s="28">
        <f>'[4]Brazil Corn Price'!$DR286</f>
        <v>0</v>
      </c>
      <c r="M639" s="28">
        <f>'[4]Brazil Corn Price'!$DS286</f>
        <v>0</v>
      </c>
      <c r="N639" s="28">
        <f>'[4]Brazil Corn Price'!$DQ286</f>
        <v>0</v>
      </c>
      <c r="O639" s="28">
        <f t="shared" si="103"/>
        <v>0</v>
      </c>
      <c r="P639" s="28">
        <f t="shared" si="104"/>
        <v>0</v>
      </c>
      <c r="R639" s="30">
        <f>'[4]Brazil Corn Price'!DW286</f>
        <v>0</v>
      </c>
      <c r="S639" s="30">
        <f>'[4]Brazil Corn Price'!DX286</f>
        <v>0</v>
      </c>
      <c r="T639" s="30">
        <f>'[4]Brazil Corn Price'!DV286</f>
        <v>0</v>
      </c>
      <c r="U639" s="30">
        <f t="shared" si="105"/>
        <v>0</v>
      </c>
      <c r="V639" s="30">
        <f t="shared" si="106"/>
        <v>0</v>
      </c>
      <c r="X639" s="30">
        <f>'[4]Brazil Corn Price'!$EB286</f>
        <v>0</v>
      </c>
      <c r="Y639" s="30">
        <f>'[4]Brazil Corn Price'!$EC286</f>
        <v>0</v>
      </c>
      <c r="Z639" s="30">
        <f>'[4]Brazil Corn Price'!$EA286</f>
        <v>0</v>
      </c>
      <c r="AA639" s="30">
        <f t="shared" si="107"/>
        <v>0</v>
      </c>
      <c r="AB639" s="30">
        <f t="shared" si="108"/>
        <v>0</v>
      </c>
      <c r="AI639" s="26"/>
      <c r="AJ639" s="26"/>
      <c r="AK639" s="26"/>
      <c r="AL639" s="26"/>
      <c r="AM639" s="26"/>
      <c r="AN639" s="26"/>
      <c r="AO639" s="26"/>
      <c r="AP639" s="25">
        <v>45139</v>
      </c>
      <c r="AQ639" s="29">
        <v>0.7419717391304349</v>
      </c>
      <c r="AR639" s="26"/>
      <c r="AS639" s="26"/>
      <c r="AT639" s="26"/>
      <c r="AU639" s="26"/>
      <c r="AV639" s="26"/>
      <c r="BA639" s="26">
        <f t="shared" si="94"/>
        <v>8</v>
      </c>
      <c r="BB639" s="26">
        <f t="shared" si="95"/>
        <v>2023</v>
      </c>
      <c r="BC639" s="25" t="e" vm="1">
        <v>#REF!</v>
      </c>
      <c r="BD639" s="26" t="e" vm="1">
        <v>#REF!</v>
      </c>
      <c r="BE639" s="26"/>
      <c r="BF639" s="26" t="e" vm="2">
        <f t="shared" si="86"/>
        <v>#VALUE!</v>
      </c>
      <c r="BG639" s="26" t="e" vm="2">
        <f t="shared" si="87"/>
        <v>#VALUE!</v>
      </c>
      <c r="BH639" s="26"/>
      <c r="BI639" s="26"/>
      <c r="BJ639" s="21" t="e" vm="1">
        <v>#REF!</v>
      </c>
      <c r="BK639" s="26" t="e" vm="1">
        <v>#REF!</v>
      </c>
      <c r="BL639" s="26"/>
      <c r="BM639" t="e" vm="2">
        <f t="shared" si="88"/>
        <v>#VALUE!</v>
      </c>
      <c r="BN639" t="e" vm="2">
        <f t="shared" si="89"/>
        <v>#VALUE!</v>
      </c>
      <c r="BO639" s="26"/>
      <c r="BP639" s="26"/>
      <c r="BQ639" s="26"/>
      <c r="BR639" s="25">
        <v>44044</v>
      </c>
      <c r="BS639" s="26">
        <f t="shared" si="91"/>
        <v>8</v>
      </c>
      <c r="BT639" s="26">
        <f t="shared" si="92"/>
        <v>2020</v>
      </c>
      <c r="BU639" s="26" t="e">
        <f t="shared" si="90"/>
        <v>#DIV/0!</v>
      </c>
    </row>
    <row r="640" spans="1:73" x14ac:dyDescent="0.2">
      <c r="A640" s="25">
        <f>Prices!A639</f>
        <v>45170</v>
      </c>
      <c r="B640" s="28">
        <f t="shared" si="100"/>
        <v>0</v>
      </c>
      <c r="C640" s="28">
        <f t="shared" si="97"/>
        <v>0</v>
      </c>
      <c r="D640" s="28" t="e">
        <f>AVERAGEIFS($BD$2:$BD$5500,$BF$2:$BF$5500,$BA640,$BG$2:$BG$5500,$BB640)</f>
        <v>#DIV/0!</v>
      </c>
      <c r="E640" s="28" t="e">
        <f t="shared" si="96"/>
        <v>#DIV/0!</v>
      </c>
      <c r="F640" s="28" t="e">
        <f t="shared" si="93"/>
        <v>#DIV/0!</v>
      </c>
      <c r="G640" s="28" t="e">
        <f>Prices!P639-D640</f>
        <v>#DIV/0!</v>
      </c>
      <c r="H640" s="28" t="e">
        <f t="shared" si="98"/>
        <v>#DIV/0!</v>
      </c>
      <c r="I640" s="28" t="e">
        <f t="shared" si="101"/>
        <v>#DIV/0!</v>
      </c>
      <c r="J640" s="28" t="e">
        <f t="shared" si="99"/>
        <v>#DIV/0!</v>
      </c>
      <c r="L640" s="28">
        <f>'[4]Brazil Corn Price'!$DR287</f>
        <v>0</v>
      </c>
      <c r="M640" s="28">
        <f>'[4]Brazil Corn Price'!$DS287</f>
        <v>0</v>
      </c>
      <c r="N640" s="28">
        <f>'[4]Brazil Corn Price'!$DQ287</f>
        <v>0</v>
      </c>
      <c r="O640" s="28">
        <f t="shared" si="103"/>
        <v>0</v>
      </c>
      <c r="P640" s="28">
        <f t="shared" si="104"/>
        <v>0</v>
      </c>
      <c r="R640" s="30">
        <f>'[4]Brazil Corn Price'!DW287</f>
        <v>0</v>
      </c>
      <c r="S640" s="30">
        <f>'[4]Brazil Corn Price'!DX287</f>
        <v>0</v>
      </c>
      <c r="T640" s="30">
        <f>'[4]Brazil Corn Price'!DV287</f>
        <v>0</v>
      </c>
      <c r="U640" s="30">
        <f t="shared" si="105"/>
        <v>0</v>
      </c>
      <c r="V640" s="30">
        <f t="shared" si="106"/>
        <v>0</v>
      </c>
      <c r="X640" s="30">
        <f>'[4]Brazil Corn Price'!$EB287</f>
        <v>0</v>
      </c>
      <c r="Y640" s="30">
        <f>'[4]Brazil Corn Price'!$EC287</f>
        <v>0</v>
      </c>
      <c r="Z640" s="30">
        <f>'[4]Brazil Corn Price'!$EA287</f>
        <v>0</v>
      </c>
      <c r="AA640" s="30">
        <f t="shared" si="107"/>
        <v>0</v>
      </c>
      <c r="AB640" s="30">
        <f t="shared" si="108"/>
        <v>0</v>
      </c>
      <c r="AI640" s="26"/>
      <c r="AJ640" s="26"/>
      <c r="AK640" s="26"/>
      <c r="AL640" s="26"/>
      <c r="AM640" s="26"/>
      <c r="AN640" s="26"/>
      <c r="AO640" s="26"/>
      <c r="AP640" s="25">
        <v>45170</v>
      </c>
      <c r="AQ640" s="29">
        <v>0.73873250000000001</v>
      </c>
      <c r="AR640" s="26"/>
      <c r="AS640" s="26"/>
      <c r="AT640" s="26"/>
      <c r="AU640" s="26"/>
      <c r="AV640" s="26"/>
      <c r="BA640" s="26">
        <f t="shared" si="94"/>
        <v>9</v>
      </c>
      <c r="BB640" s="26">
        <f t="shared" si="95"/>
        <v>2023</v>
      </c>
      <c r="BC640" s="25" t="e" vm="1">
        <v>#REF!</v>
      </c>
      <c r="BD640" s="26" t="e" vm="1">
        <v>#REF!</v>
      </c>
      <c r="BE640" s="26"/>
      <c r="BF640" s="26" t="e" vm="2">
        <f t="shared" si="86"/>
        <v>#VALUE!</v>
      </c>
      <c r="BG640" s="26" t="e" vm="2">
        <f t="shared" si="87"/>
        <v>#VALUE!</v>
      </c>
      <c r="BH640" s="26"/>
      <c r="BI640" s="26"/>
      <c r="BJ640" s="21" t="e" vm="1">
        <v>#REF!</v>
      </c>
      <c r="BK640" s="26" t="e" vm="1">
        <v>#REF!</v>
      </c>
      <c r="BL640" s="26"/>
      <c r="BM640" t="e" vm="2">
        <f t="shared" si="88"/>
        <v>#VALUE!</v>
      </c>
      <c r="BN640" t="e" vm="2">
        <f t="shared" si="89"/>
        <v>#VALUE!</v>
      </c>
      <c r="BO640" s="26"/>
      <c r="BP640" s="26"/>
      <c r="BQ640" s="26"/>
      <c r="BR640" s="25">
        <v>44075</v>
      </c>
      <c r="BS640" s="26">
        <f t="shared" si="91"/>
        <v>9</v>
      </c>
      <c r="BT640" s="26">
        <f t="shared" si="92"/>
        <v>2020</v>
      </c>
      <c r="BU640" s="26" t="e">
        <f t="shared" si="90"/>
        <v>#DIV/0!</v>
      </c>
    </row>
    <row r="641" spans="1:73" x14ac:dyDescent="0.2">
      <c r="A641" s="25">
        <f>Prices!A640</f>
        <v>45200</v>
      </c>
      <c r="B641" s="28">
        <f t="shared" si="100"/>
        <v>0</v>
      </c>
      <c r="C641" s="28">
        <f t="shared" si="97"/>
        <v>0</v>
      </c>
      <c r="D641" s="28" t="e">
        <f t="shared" si="102"/>
        <v>#DIV/0!</v>
      </c>
      <c r="E641" s="28" t="e">
        <f t="shared" si="96"/>
        <v>#DIV/0!</v>
      </c>
      <c r="F641" s="28" t="e">
        <f t="shared" si="93"/>
        <v>#DIV/0!</v>
      </c>
      <c r="G641" s="28" t="e">
        <f>Prices!P640-D641</f>
        <v>#DIV/0!</v>
      </c>
      <c r="H641" s="28" t="e">
        <f t="shared" si="98"/>
        <v>#DIV/0!</v>
      </c>
      <c r="I641" s="28" t="e">
        <f t="shared" si="101"/>
        <v>#DIV/0!</v>
      </c>
      <c r="J641" s="28" t="e">
        <f t="shared" si="99"/>
        <v>#DIV/0!</v>
      </c>
      <c r="L641" s="28">
        <f>'[4]Brazil Corn Price'!$DR288</f>
        <v>0</v>
      </c>
      <c r="M641" s="28">
        <f>'[4]Brazil Corn Price'!$DS288</f>
        <v>0</v>
      </c>
      <c r="N641" s="28">
        <f>'[4]Brazil Corn Price'!$DQ288</f>
        <v>0</v>
      </c>
      <c r="O641" s="28">
        <f t="shared" si="103"/>
        <v>0</v>
      </c>
      <c r="P641" s="28">
        <f t="shared" si="104"/>
        <v>0</v>
      </c>
      <c r="R641" s="30">
        <f>'[4]Brazil Corn Price'!DW288</f>
        <v>0</v>
      </c>
      <c r="S641" s="30">
        <f>'[4]Brazil Corn Price'!DX288</f>
        <v>0</v>
      </c>
      <c r="T641" s="30">
        <f>'[4]Brazil Corn Price'!DV288</f>
        <v>0</v>
      </c>
      <c r="U641" s="30">
        <f t="shared" si="105"/>
        <v>0</v>
      </c>
      <c r="V641" s="30">
        <f t="shared" si="106"/>
        <v>0</v>
      </c>
      <c r="X641" s="30">
        <f>'[4]Brazil Corn Price'!$EB288</f>
        <v>0</v>
      </c>
      <c r="Y641" s="30">
        <f>'[4]Brazil Corn Price'!$EC288</f>
        <v>0</v>
      </c>
      <c r="Z641" s="30">
        <f>'[4]Brazil Corn Price'!$EA288</f>
        <v>0</v>
      </c>
      <c r="AA641" s="30">
        <f t="shared" si="107"/>
        <v>0</v>
      </c>
      <c r="AB641" s="30">
        <f t="shared" si="108"/>
        <v>0</v>
      </c>
      <c r="AI641" s="26"/>
      <c r="AJ641" s="26"/>
      <c r="AK641" s="26"/>
      <c r="AL641" s="26"/>
      <c r="AM641" s="26"/>
      <c r="AN641" s="26"/>
      <c r="AO641" s="26"/>
      <c r="AP641" s="25">
        <v>45200</v>
      </c>
      <c r="AQ641" s="29">
        <v>0.7295772727272728</v>
      </c>
      <c r="AR641" s="26"/>
      <c r="AS641" s="26"/>
      <c r="AT641" s="26"/>
      <c r="AU641" s="26"/>
      <c r="AV641" s="26"/>
      <c r="BA641" s="26">
        <f t="shared" si="94"/>
        <v>10</v>
      </c>
      <c r="BB641" s="26">
        <f t="shared" si="95"/>
        <v>2023</v>
      </c>
      <c r="BC641" s="25" t="e" vm="1">
        <v>#REF!</v>
      </c>
      <c r="BD641" s="26" t="e" vm="1">
        <v>#REF!</v>
      </c>
      <c r="BE641" s="26"/>
      <c r="BF641" s="26" t="e" vm="2">
        <f t="shared" si="86"/>
        <v>#VALUE!</v>
      </c>
      <c r="BG641" s="26" t="e" vm="2">
        <f t="shared" si="87"/>
        <v>#VALUE!</v>
      </c>
      <c r="BH641" s="26"/>
      <c r="BI641" s="26"/>
      <c r="BJ641" s="21" t="e" vm="1">
        <v>#REF!</v>
      </c>
      <c r="BK641" s="26" t="e" vm="1">
        <v>#REF!</v>
      </c>
      <c r="BL641" s="26"/>
      <c r="BM641" t="e" vm="2">
        <f t="shared" si="88"/>
        <v>#VALUE!</v>
      </c>
      <c r="BN641" t="e" vm="2">
        <f t="shared" si="89"/>
        <v>#VALUE!</v>
      </c>
      <c r="BO641" s="26"/>
      <c r="BP641" s="26"/>
      <c r="BQ641" s="26"/>
      <c r="BR641" s="25">
        <v>44105</v>
      </c>
      <c r="BS641" s="26">
        <f t="shared" si="91"/>
        <v>10</v>
      </c>
      <c r="BT641" s="26">
        <f t="shared" si="92"/>
        <v>2020</v>
      </c>
      <c r="BU641" s="26" t="e">
        <f t="shared" si="90"/>
        <v>#DIV/0!</v>
      </c>
    </row>
    <row r="642" spans="1:73" x14ac:dyDescent="0.2">
      <c r="A642" s="25">
        <f>Prices!A641</f>
        <v>45231</v>
      </c>
      <c r="B642" s="28">
        <f t="shared" si="100"/>
        <v>0</v>
      </c>
      <c r="C642" s="28">
        <f t="shared" si="97"/>
        <v>0</v>
      </c>
      <c r="D642" s="28" t="e">
        <f t="shared" si="102"/>
        <v>#DIV/0!</v>
      </c>
      <c r="E642" s="28" t="e">
        <f t="shared" si="96"/>
        <v>#DIV/0!</v>
      </c>
      <c r="F642" s="28" t="e">
        <f t="shared" si="93"/>
        <v>#DIV/0!</v>
      </c>
      <c r="G642" s="28" t="e">
        <f>Prices!P641-D642</f>
        <v>#DIV/0!</v>
      </c>
      <c r="H642" s="28" t="e">
        <f t="shared" si="98"/>
        <v>#DIV/0!</v>
      </c>
      <c r="I642" s="28" t="e">
        <f t="shared" si="101"/>
        <v>#DIV/0!</v>
      </c>
      <c r="J642" s="28" t="e">
        <f t="shared" si="99"/>
        <v>#DIV/0!</v>
      </c>
      <c r="L642" s="28">
        <f>'[4]Brazil Corn Price'!$DR289</f>
        <v>0</v>
      </c>
      <c r="M642" s="28">
        <f>'[4]Brazil Corn Price'!$DS289</f>
        <v>0</v>
      </c>
      <c r="N642" s="28">
        <f>'[4]Brazil Corn Price'!$DQ289</f>
        <v>0</v>
      </c>
      <c r="O642" s="28">
        <f t="shared" si="103"/>
        <v>0</v>
      </c>
      <c r="P642" s="28">
        <f t="shared" si="104"/>
        <v>0</v>
      </c>
      <c r="R642" s="30">
        <f>'[4]Brazil Corn Price'!DW289</f>
        <v>0</v>
      </c>
      <c r="S642" s="30">
        <f>'[4]Brazil Corn Price'!DX289</f>
        <v>0</v>
      </c>
      <c r="T642" s="30">
        <f>'[4]Brazil Corn Price'!DV289</f>
        <v>0</v>
      </c>
      <c r="U642" s="30">
        <f t="shared" si="105"/>
        <v>0</v>
      </c>
      <c r="V642" s="30">
        <f t="shared" si="106"/>
        <v>0</v>
      </c>
      <c r="X642" s="30">
        <f>'[4]Brazil Corn Price'!$EB289</f>
        <v>0</v>
      </c>
      <c r="Y642" s="30">
        <f>'[4]Brazil Corn Price'!$EC289</f>
        <v>0</v>
      </c>
      <c r="Z642" s="30">
        <f>'[4]Brazil Corn Price'!$EA289</f>
        <v>0</v>
      </c>
      <c r="AA642" s="30">
        <f t="shared" si="107"/>
        <v>0</v>
      </c>
      <c r="AB642" s="30">
        <f t="shared" si="108"/>
        <v>0</v>
      </c>
      <c r="AI642" s="26"/>
      <c r="AJ642" s="26"/>
      <c r="AK642" s="26"/>
      <c r="AL642" s="26"/>
      <c r="AM642" s="26"/>
      <c r="AN642" s="26"/>
      <c r="AO642" s="26"/>
      <c r="AP642" s="25">
        <v>45231</v>
      </c>
      <c r="AQ642" s="29">
        <v>0.72949761904761901</v>
      </c>
      <c r="AR642" s="26"/>
      <c r="AS642" s="26"/>
      <c r="AT642" s="26"/>
      <c r="AU642" s="26"/>
      <c r="AV642" s="26"/>
      <c r="BA642" s="26">
        <f t="shared" si="94"/>
        <v>11</v>
      </c>
      <c r="BB642" s="26">
        <f t="shared" si="95"/>
        <v>2023</v>
      </c>
      <c r="BC642" s="25" t="e" vm="1">
        <v>#REF!</v>
      </c>
      <c r="BD642" s="26" t="e" vm="1">
        <v>#REF!</v>
      </c>
      <c r="BE642" s="26"/>
      <c r="BF642" s="26" t="e" vm="2">
        <f t="shared" si="86"/>
        <v>#VALUE!</v>
      </c>
      <c r="BG642" s="26" t="e" vm="2">
        <f t="shared" si="87"/>
        <v>#VALUE!</v>
      </c>
      <c r="BH642" s="26"/>
      <c r="BI642" s="26"/>
      <c r="BJ642" s="21" t="e" vm="1">
        <v>#REF!</v>
      </c>
      <c r="BK642" s="26" t="e" vm="1">
        <v>#REF!</v>
      </c>
      <c r="BL642" s="26"/>
      <c r="BM642" t="e" vm="2">
        <f t="shared" si="88"/>
        <v>#VALUE!</v>
      </c>
      <c r="BN642" t="e" vm="2">
        <f t="shared" si="89"/>
        <v>#VALUE!</v>
      </c>
      <c r="BO642" s="26"/>
      <c r="BP642" s="26"/>
      <c r="BQ642" s="26"/>
      <c r="BR642" s="25">
        <v>44136</v>
      </c>
      <c r="BS642" s="26">
        <f t="shared" si="91"/>
        <v>11</v>
      </c>
      <c r="BT642" s="26">
        <f t="shared" si="92"/>
        <v>2020</v>
      </c>
      <c r="BU642" s="26" t="e">
        <f t="shared" si="90"/>
        <v>#DIV/0!</v>
      </c>
    </row>
    <row r="643" spans="1:73" x14ac:dyDescent="0.2">
      <c r="A643" s="25">
        <f>Prices!A642</f>
        <v>45261</v>
      </c>
      <c r="B643" s="28">
        <f t="shared" si="100"/>
        <v>0</v>
      </c>
      <c r="C643" s="28">
        <f t="shared" si="97"/>
        <v>0</v>
      </c>
      <c r="D643" s="28" t="e">
        <f t="shared" si="102"/>
        <v>#DIV/0!</v>
      </c>
      <c r="E643" s="28" t="e">
        <f t="shared" si="96"/>
        <v>#DIV/0!</v>
      </c>
      <c r="F643" s="28" t="e">
        <f t="shared" si="93"/>
        <v>#DIV/0!</v>
      </c>
      <c r="G643" s="28" t="e">
        <f>Prices!P642-D643</f>
        <v>#DIV/0!</v>
      </c>
      <c r="H643" s="28" t="e">
        <f t="shared" si="98"/>
        <v>#DIV/0!</v>
      </c>
      <c r="I643" s="28" t="e">
        <f t="shared" si="101"/>
        <v>#DIV/0!</v>
      </c>
      <c r="J643" s="28" t="e">
        <f t="shared" si="99"/>
        <v>#DIV/0!</v>
      </c>
      <c r="L643" s="28">
        <f>'[4]Brazil Corn Price'!$DR290</f>
        <v>0</v>
      </c>
      <c r="M643" s="28">
        <f>'[4]Brazil Corn Price'!$DS290</f>
        <v>0</v>
      </c>
      <c r="N643" s="28">
        <f>'[4]Brazil Corn Price'!$DQ290</f>
        <v>0</v>
      </c>
      <c r="O643" s="28">
        <f t="shared" si="103"/>
        <v>0</v>
      </c>
      <c r="P643" s="28">
        <f t="shared" si="104"/>
        <v>0</v>
      </c>
      <c r="R643" s="30">
        <f>'[4]Brazil Corn Price'!DW290</f>
        <v>0</v>
      </c>
      <c r="S643" s="30">
        <f>'[4]Brazil Corn Price'!DX290</f>
        <v>0</v>
      </c>
      <c r="T643" s="30">
        <f>'[4]Brazil Corn Price'!DV290</f>
        <v>0</v>
      </c>
      <c r="U643" s="30">
        <f t="shared" si="105"/>
        <v>0</v>
      </c>
      <c r="V643" s="30">
        <f t="shared" si="106"/>
        <v>0</v>
      </c>
      <c r="X643" s="30">
        <f>'[4]Brazil Corn Price'!$EB290</f>
        <v>0</v>
      </c>
      <c r="Y643" s="30">
        <f>'[4]Brazil Corn Price'!$EC290</f>
        <v>0</v>
      </c>
      <c r="Z643" s="30">
        <f>'[4]Brazil Corn Price'!$EA290</f>
        <v>0</v>
      </c>
      <c r="AA643" s="30">
        <f t="shared" si="107"/>
        <v>0</v>
      </c>
      <c r="AB643" s="30">
        <f t="shared" si="108"/>
        <v>0</v>
      </c>
      <c r="AI643" s="26"/>
      <c r="AJ643" s="26"/>
      <c r="AK643" s="26"/>
      <c r="AL643" s="26"/>
      <c r="AM643" s="26"/>
      <c r="AN643" s="26"/>
      <c r="AO643" s="26"/>
      <c r="AP643" s="25">
        <v>45261</v>
      </c>
      <c r="AQ643" s="29">
        <v>0.7455425</v>
      </c>
      <c r="AR643" s="26"/>
      <c r="AS643" s="26"/>
      <c r="AT643" s="26"/>
      <c r="AU643" s="26"/>
      <c r="AV643" s="26"/>
      <c r="BA643" s="26">
        <f t="shared" si="94"/>
        <v>12</v>
      </c>
      <c r="BB643" s="26">
        <f t="shared" si="95"/>
        <v>2023</v>
      </c>
      <c r="BC643" s="25" t="e" vm="1">
        <v>#REF!</v>
      </c>
      <c r="BD643" s="26" t="e" vm="1">
        <v>#REF!</v>
      </c>
      <c r="BE643" s="26"/>
      <c r="BF643" s="26" t="e" vm="2">
        <f t="shared" ref="BF643:BF706" si="109">MONTH(BC643)</f>
        <v>#VALUE!</v>
      </c>
      <c r="BG643" s="26" t="e" vm="2">
        <f t="shared" ref="BG643:BG706" si="110">YEAR(BC643)</f>
        <v>#VALUE!</v>
      </c>
      <c r="BH643" s="26"/>
      <c r="BI643" s="26"/>
      <c r="BJ643" s="21" t="e" vm="1">
        <v>#REF!</v>
      </c>
      <c r="BK643" s="26" t="e" vm="1">
        <v>#REF!</v>
      </c>
      <c r="BL643" s="26"/>
      <c r="BM643" t="e" vm="2">
        <f t="shared" si="88"/>
        <v>#VALUE!</v>
      </c>
      <c r="BN643" t="e" vm="2">
        <f t="shared" si="89"/>
        <v>#VALUE!</v>
      </c>
      <c r="BO643" s="26"/>
      <c r="BP643" s="26"/>
      <c r="BQ643" s="26"/>
      <c r="BR643" s="25">
        <v>44166</v>
      </c>
      <c r="BS643" s="26">
        <f t="shared" si="91"/>
        <v>12</v>
      </c>
      <c r="BT643" s="26">
        <f t="shared" si="92"/>
        <v>2020</v>
      </c>
      <c r="BU643" s="26" t="e">
        <f t="shared" si="90"/>
        <v>#DIV/0!</v>
      </c>
    </row>
    <row r="644" spans="1:73" x14ac:dyDescent="0.2">
      <c r="A644" s="25">
        <f>Prices!A643</f>
        <v>45292</v>
      </c>
      <c r="B644" s="28">
        <f t="shared" si="100"/>
        <v>0</v>
      </c>
      <c r="C644" s="28">
        <f t="shared" si="97"/>
        <v>0</v>
      </c>
      <c r="D644" s="28" t="e">
        <f t="shared" si="102"/>
        <v>#DIV/0!</v>
      </c>
      <c r="E644" s="28" t="e">
        <f t="shared" si="96"/>
        <v>#DIV/0!</v>
      </c>
      <c r="F644" s="28" t="e">
        <f t="shared" si="93"/>
        <v>#DIV/0!</v>
      </c>
      <c r="G644" s="28" t="e">
        <f>Prices!P643-D644</f>
        <v>#DIV/0!</v>
      </c>
      <c r="H644" s="28" t="e">
        <f t="shared" si="98"/>
        <v>#DIV/0!</v>
      </c>
      <c r="I644" s="28" t="e">
        <f t="shared" si="101"/>
        <v>#DIV/0!</v>
      </c>
      <c r="J644" s="28" t="e">
        <f t="shared" si="99"/>
        <v>#DIV/0!</v>
      </c>
      <c r="L644" s="28">
        <f>'[4]Brazil Corn Price'!$DR291</f>
        <v>0</v>
      </c>
      <c r="M644" s="28">
        <f>'[4]Brazil Corn Price'!$DS291</f>
        <v>0</v>
      </c>
      <c r="N644" s="28">
        <f>'[4]Brazil Corn Price'!$DQ291</f>
        <v>0</v>
      </c>
      <c r="O644" s="28">
        <f t="shared" si="103"/>
        <v>0</v>
      </c>
      <c r="P644" s="28">
        <f t="shared" si="104"/>
        <v>0</v>
      </c>
      <c r="R644" s="30">
        <f>'[4]Brazil Corn Price'!DW291</f>
        <v>0</v>
      </c>
      <c r="S644" s="30">
        <f>'[4]Brazil Corn Price'!DX291</f>
        <v>0</v>
      </c>
      <c r="T644" s="30">
        <f>'[4]Brazil Corn Price'!DV291</f>
        <v>0</v>
      </c>
      <c r="U644" s="30">
        <f t="shared" si="105"/>
        <v>0</v>
      </c>
      <c r="V644" s="30">
        <f t="shared" si="106"/>
        <v>0</v>
      </c>
      <c r="X644" s="30">
        <f>'[4]Brazil Corn Price'!$EB291</f>
        <v>0</v>
      </c>
      <c r="Y644" s="30">
        <f>'[4]Brazil Corn Price'!$EC291</f>
        <v>0</v>
      </c>
      <c r="Z644" s="30">
        <f>'[4]Brazil Corn Price'!$EA291</f>
        <v>0</v>
      </c>
      <c r="AA644" s="30">
        <f t="shared" si="107"/>
        <v>0</v>
      </c>
      <c r="AB644" s="30">
        <f t="shared" si="108"/>
        <v>0</v>
      </c>
      <c r="AI644" s="26"/>
      <c r="AJ644" s="26"/>
      <c r="AK644" s="26"/>
      <c r="AL644" s="26"/>
      <c r="AM644" s="26"/>
      <c r="AN644" s="26"/>
      <c r="AO644" s="26"/>
      <c r="AP644" s="25">
        <v>45292</v>
      </c>
      <c r="AQ644" s="29">
        <v>0.74515476190476193</v>
      </c>
      <c r="AR644" s="26"/>
      <c r="AS644" s="26"/>
      <c r="AT644" s="26"/>
      <c r="AU644" s="26"/>
      <c r="AV644" s="26"/>
      <c r="BA644" s="26">
        <f t="shared" si="94"/>
        <v>1</v>
      </c>
      <c r="BB644" s="26">
        <f t="shared" si="95"/>
        <v>2024</v>
      </c>
      <c r="BC644" s="25" t="e" vm="1">
        <v>#REF!</v>
      </c>
      <c r="BD644" s="26" t="e" vm="1">
        <v>#REF!</v>
      </c>
      <c r="BE644" s="26"/>
      <c r="BF644" s="26" t="e" vm="2">
        <f t="shared" si="109"/>
        <v>#VALUE!</v>
      </c>
      <c r="BG644" s="26" t="e" vm="2">
        <f t="shared" si="110"/>
        <v>#VALUE!</v>
      </c>
      <c r="BH644" s="26"/>
      <c r="BI644" s="26"/>
      <c r="BJ644" s="21" t="e" vm="1">
        <v>#REF!</v>
      </c>
      <c r="BK644" s="26" t="e" vm="1">
        <v>#REF!</v>
      </c>
      <c r="BL644" s="26"/>
      <c r="BM644" t="e" vm="2">
        <f t="shared" ref="BM644:BM707" si="111">MONTH(BJ644)</f>
        <v>#VALUE!</v>
      </c>
      <c r="BN644" t="e" vm="2">
        <f t="shared" ref="BN644:BN707" si="112">YEAR(BJ644)</f>
        <v>#VALUE!</v>
      </c>
      <c r="BO644" s="26"/>
      <c r="BP644" s="26"/>
      <c r="BQ644" s="26"/>
      <c r="BR644" s="25">
        <v>44197</v>
      </c>
      <c r="BS644" s="26">
        <f t="shared" si="91"/>
        <v>1</v>
      </c>
      <c r="BT644" s="26">
        <f t="shared" si="92"/>
        <v>2021</v>
      </c>
      <c r="BU644" s="26" t="e">
        <f t="shared" si="90"/>
        <v>#DIV/0!</v>
      </c>
    </row>
    <row r="645" spans="1:73" x14ac:dyDescent="0.2">
      <c r="A645" s="25">
        <f>Prices!A644</f>
        <v>45323</v>
      </c>
      <c r="B645" s="28">
        <f t="shared" si="100"/>
        <v>0</v>
      </c>
      <c r="C645" s="28">
        <f t="shared" si="97"/>
        <v>0</v>
      </c>
      <c r="D645" s="28" t="e">
        <f t="shared" si="102"/>
        <v>#DIV/0!</v>
      </c>
      <c r="E645" s="28" t="e">
        <f t="shared" si="96"/>
        <v>#DIV/0!</v>
      </c>
      <c r="F645" s="28" t="e">
        <f t="shared" si="93"/>
        <v>#DIV/0!</v>
      </c>
      <c r="G645" s="28" t="e">
        <f>Prices!P644-D645</f>
        <v>#DIV/0!</v>
      </c>
      <c r="H645" s="28" t="e">
        <f t="shared" si="98"/>
        <v>#DIV/0!</v>
      </c>
      <c r="I645" s="28" t="e">
        <f t="shared" si="101"/>
        <v>#DIV/0!</v>
      </c>
      <c r="J645" s="28" t="e">
        <f t="shared" si="99"/>
        <v>#DIV/0!</v>
      </c>
      <c r="L645" s="28">
        <f>'[4]Brazil Corn Price'!$DR292</f>
        <v>0</v>
      </c>
      <c r="M645" s="28">
        <f>'[4]Brazil Corn Price'!$DS292</f>
        <v>0</v>
      </c>
      <c r="N645" s="28">
        <f>'[4]Brazil Corn Price'!$DQ292</f>
        <v>0</v>
      </c>
      <c r="O645" s="28">
        <f t="shared" si="103"/>
        <v>0</v>
      </c>
      <c r="P645" s="28">
        <f t="shared" si="104"/>
        <v>0</v>
      </c>
      <c r="R645" s="30">
        <f>'[4]Brazil Corn Price'!DW292</f>
        <v>0</v>
      </c>
      <c r="S645" s="30">
        <f>'[4]Brazil Corn Price'!DX292</f>
        <v>0</v>
      </c>
      <c r="T645" s="30">
        <f>'[4]Brazil Corn Price'!DV292</f>
        <v>0</v>
      </c>
      <c r="U645" s="30">
        <f t="shared" si="105"/>
        <v>0</v>
      </c>
      <c r="V645" s="30">
        <f t="shared" si="106"/>
        <v>0</v>
      </c>
      <c r="X645" s="30">
        <f>'[4]Brazil Corn Price'!$EB292</f>
        <v>0</v>
      </c>
      <c r="Y645" s="30">
        <f>'[4]Brazil Corn Price'!$EC292</f>
        <v>0</v>
      </c>
      <c r="Z645" s="30">
        <f>'[4]Brazil Corn Price'!$EA292</f>
        <v>0</v>
      </c>
      <c r="AA645" s="30">
        <f t="shared" si="107"/>
        <v>0</v>
      </c>
      <c r="AB645" s="30">
        <f t="shared" si="108"/>
        <v>0</v>
      </c>
      <c r="AI645" s="26"/>
      <c r="AJ645" s="26"/>
      <c r="AK645" s="26"/>
      <c r="AL645" s="26"/>
      <c r="AM645" s="26"/>
      <c r="AN645" s="26"/>
      <c r="AO645" s="26"/>
      <c r="AP645" s="25">
        <v>45323</v>
      </c>
      <c r="AQ645" s="29">
        <v>0.74082749999999997</v>
      </c>
      <c r="AR645" s="26"/>
      <c r="AS645" s="26"/>
      <c r="AT645" s="26"/>
      <c r="AU645" s="26"/>
      <c r="AV645" s="26"/>
      <c r="BA645" s="26">
        <f t="shared" si="94"/>
        <v>2</v>
      </c>
      <c r="BB645" s="26">
        <f t="shared" si="95"/>
        <v>2024</v>
      </c>
      <c r="BC645" s="25" t="e" vm="1">
        <v>#REF!</v>
      </c>
      <c r="BD645" s="26" t="e" vm="1">
        <v>#REF!</v>
      </c>
      <c r="BE645" s="26"/>
      <c r="BF645" s="26" t="e" vm="2">
        <f t="shared" si="109"/>
        <v>#VALUE!</v>
      </c>
      <c r="BG645" s="26" t="e" vm="2">
        <f t="shared" si="110"/>
        <v>#VALUE!</v>
      </c>
      <c r="BH645" s="26"/>
      <c r="BI645" s="26"/>
      <c r="BJ645" s="21" t="e" vm="1">
        <v>#REF!</v>
      </c>
      <c r="BK645" s="26" t="e" vm="1">
        <v>#REF!</v>
      </c>
      <c r="BL645" s="26"/>
      <c r="BM645" t="e" vm="2">
        <f t="shared" si="111"/>
        <v>#VALUE!</v>
      </c>
      <c r="BN645" t="e" vm="2">
        <f t="shared" si="112"/>
        <v>#VALUE!</v>
      </c>
      <c r="BO645" s="26"/>
      <c r="BP645" s="26"/>
      <c r="BQ645" s="26"/>
      <c r="BR645" s="25">
        <v>44228</v>
      </c>
      <c r="BS645" s="26">
        <f t="shared" si="91"/>
        <v>2</v>
      </c>
      <c r="BT645" s="26">
        <f t="shared" si="92"/>
        <v>2021</v>
      </c>
      <c r="BU645" s="26" t="e">
        <f t="shared" si="90"/>
        <v>#DIV/0!</v>
      </c>
    </row>
    <row r="646" spans="1:73" x14ac:dyDescent="0.2">
      <c r="A646" s="25">
        <f>Prices!A645</f>
        <v>45352</v>
      </c>
      <c r="B646" s="28">
        <f t="shared" si="100"/>
        <v>0</v>
      </c>
      <c r="C646" s="28">
        <f t="shared" si="97"/>
        <v>0</v>
      </c>
      <c r="D646" s="28" t="e">
        <f t="shared" si="102"/>
        <v>#DIV/0!</v>
      </c>
      <c r="E646" s="28" t="e">
        <f t="shared" si="96"/>
        <v>#DIV/0!</v>
      </c>
      <c r="F646" s="28" t="e">
        <f t="shared" si="93"/>
        <v>#DIV/0!</v>
      </c>
      <c r="G646" s="28" t="e">
        <f>Prices!P645-D646</f>
        <v>#DIV/0!</v>
      </c>
      <c r="H646" s="28" t="e">
        <f t="shared" si="98"/>
        <v>#DIV/0!</v>
      </c>
      <c r="I646" s="28" t="e">
        <f t="shared" si="101"/>
        <v>#DIV/0!</v>
      </c>
      <c r="J646" s="28" t="e">
        <f t="shared" si="99"/>
        <v>#DIV/0!</v>
      </c>
      <c r="L646" s="28">
        <f>'[4]Brazil Corn Price'!$DR293</f>
        <v>0</v>
      </c>
      <c r="M646" s="28">
        <f>'[4]Brazil Corn Price'!$DS293</f>
        <v>0</v>
      </c>
      <c r="N646" s="28">
        <f>'[4]Brazil Corn Price'!$DQ293</f>
        <v>0</v>
      </c>
      <c r="O646" s="28">
        <f t="shared" si="103"/>
        <v>0</v>
      </c>
      <c r="P646" s="28">
        <f t="shared" si="104"/>
        <v>0</v>
      </c>
      <c r="R646" s="30">
        <f>'[4]Brazil Corn Price'!DW293</f>
        <v>0</v>
      </c>
      <c r="S646" s="30">
        <f>'[4]Brazil Corn Price'!DX293</f>
        <v>0</v>
      </c>
      <c r="T646" s="30">
        <f>'[4]Brazil Corn Price'!DV293</f>
        <v>0</v>
      </c>
      <c r="U646" s="30">
        <f t="shared" si="105"/>
        <v>0</v>
      </c>
      <c r="V646" s="30">
        <f t="shared" si="106"/>
        <v>0</v>
      </c>
      <c r="X646" s="30">
        <f>'[4]Brazil Corn Price'!$EB293</f>
        <v>0</v>
      </c>
      <c r="Y646" s="30">
        <f>'[4]Brazil Corn Price'!$EC293</f>
        <v>0</v>
      </c>
      <c r="Z646" s="30">
        <f>'[4]Brazil Corn Price'!$EA293</f>
        <v>0</v>
      </c>
      <c r="AA646" s="30">
        <f t="shared" si="107"/>
        <v>0</v>
      </c>
      <c r="AB646" s="30">
        <f t="shared" si="108"/>
        <v>0</v>
      </c>
      <c r="AI646" s="26"/>
      <c r="AJ646" s="26"/>
      <c r="AK646" s="26"/>
      <c r="AL646" s="26"/>
      <c r="AM646" s="26"/>
      <c r="AN646" s="26"/>
      <c r="AO646" s="26"/>
      <c r="AP646" s="25">
        <v>45352</v>
      </c>
      <c r="AQ646" s="29">
        <v>0.73877749999999998</v>
      </c>
      <c r="AR646" s="26"/>
      <c r="AS646" s="26"/>
      <c r="AT646" s="26"/>
      <c r="AU646" s="26"/>
      <c r="AV646" s="26"/>
      <c r="BA646" s="26">
        <f t="shared" si="94"/>
        <v>3</v>
      </c>
      <c r="BB646" s="26">
        <f t="shared" si="95"/>
        <v>2024</v>
      </c>
      <c r="BC646" s="25" t="e" vm="1">
        <v>#REF!</v>
      </c>
      <c r="BD646" s="26" t="e" vm="1">
        <v>#REF!</v>
      </c>
      <c r="BE646" s="26"/>
      <c r="BF646" s="26" t="e" vm="2">
        <f t="shared" si="109"/>
        <v>#VALUE!</v>
      </c>
      <c r="BG646" s="26" t="e" vm="2">
        <f t="shared" si="110"/>
        <v>#VALUE!</v>
      </c>
      <c r="BH646" s="26"/>
      <c r="BI646" s="26"/>
      <c r="BJ646" s="21" t="e" vm="1">
        <v>#REF!</v>
      </c>
      <c r="BK646" s="26" t="e" vm="1">
        <v>#REF!</v>
      </c>
      <c r="BL646" s="26"/>
      <c r="BM646" t="e" vm="2">
        <f t="shared" si="111"/>
        <v>#VALUE!</v>
      </c>
      <c r="BN646" t="e" vm="2">
        <f t="shared" si="112"/>
        <v>#VALUE!</v>
      </c>
      <c r="BO646" s="26"/>
      <c r="BP646" s="26"/>
      <c r="BQ646" s="26"/>
      <c r="BR646" s="25">
        <v>44256</v>
      </c>
      <c r="BS646" s="26">
        <f t="shared" si="91"/>
        <v>3</v>
      </c>
      <c r="BT646" s="26">
        <f t="shared" si="92"/>
        <v>2021</v>
      </c>
      <c r="BU646" s="26" t="e">
        <f t="shared" si="90"/>
        <v>#DIV/0!</v>
      </c>
    </row>
    <row r="647" spans="1:73" x14ac:dyDescent="0.2">
      <c r="A647" s="25">
        <f>Prices!A646</f>
        <v>45383</v>
      </c>
      <c r="B647" s="28">
        <f t="shared" si="100"/>
        <v>0</v>
      </c>
      <c r="C647" s="28">
        <f t="shared" si="97"/>
        <v>0</v>
      </c>
      <c r="D647" s="28" t="e">
        <f>AVERAGEIFS($BD$2:$BD$5500,$BF$2:$BF$5500,$BA647,$BG$2:$BG$5500,$BB647)</f>
        <v>#DIV/0!</v>
      </c>
      <c r="E647" s="28" t="e">
        <f t="shared" si="96"/>
        <v>#DIV/0!</v>
      </c>
      <c r="F647" s="28" t="e">
        <f t="shared" si="93"/>
        <v>#DIV/0!</v>
      </c>
      <c r="G647" s="28" t="e">
        <f>Prices!P646-D647</f>
        <v>#DIV/0!</v>
      </c>
      <c r="H647" s="28" t="e">
        <f t="shared" si="98"/>
        <v>#DIV/0!</v>
      </c>
      <c r="I647" s="28" t="e">
        <f t="shared" si="101"/>
        <v>#DIV/0!</v>
      </c>
      <c r="J647" s="28" t="e">
        <f t="shared" si="99"/>
        <v>#DIV/0!</v>
      </c>
      <c r="L647" s="28">
        <f>'[4]Brazil Corn Price'!$DR294</f>
        <v>0</v>
      </c>
      <c r="M647" s="28">
        <f>'[4]Brazil Corn Price'!$DS294</f>
        <v>0</v>
      </c>
      <c r="N647" s="28">
        <f>'[4]Brazil Corn Price'!$DQ294</f>
        <v>0</v>
      </c>
      <c r="O647" s="28">
        <f t="shared" si="103"/>
        <v>0</v>
      </c>
      <c r="P647" s="28">
        <f t="shared" si="104"/>
        <v>0</v>
      </c>
      <c r="R647" s="30">
        <f>'[4]Brazil Corn Price'!DW294</f>
        <v>0</v>
      </c>
      <c r="S647" s="30">
        <f>'[4]Brazil Corn Price'!DX294</f>
        <v>0</v>
      </c>
      <c r="T647" s="30">
        <f>'[4]Brazil Corn Price'!DV294</f>
        <v>0</v>
      </c>
      <c r="U647" s="30">
        <f t="shared" si="105"/>
        <v>0</v>
      </c>
      <c r="V647" s="30">
        <f t="shared" si="106"/>
        <v>0</v>
      </c>
      <c r="X647" s="30">
        <f>'[4]Brazil Corn Price'!$EB294</f>
        <v>0</v>
      </c>
      <c r="Y647" s="30">
        <f>'[4]Brazil Corn Price'!$EC294</f>
        <v>0</v>
      </c>
      <c r="Z647" s="30">
        <f>'[4]Brazil Corn Price'!$EA294</f>
        <v>0</v>
      </c>
      <c r="AA647" s="30">
        <f t="shared" si="107"/>
        <v>0</v>
      </c>
      <c r="AB647" s="30">
        <f t="shared" si="108"/>
        <v>0</v>
      </c>
      <c r="AI647" s="26"/>
      <c r="AJ647" s="26"/>
      <c r="AK647" s="26"/>
      <c r="AL647" s="26"/>
      <c r="AM647" s="26"/>
      <c r="AN647" s="26"/>
      <c r="AO647" s="26"/>
      <c r="AP647" s="25">
        <v>45383</v>
      </c>
      <c r="AQ647" s="29">
        <v>0.73141136363636372</v>
      </c>
      <c r="AR647" s="26"/>
      <c r="AS647" s="26"/>
      <c r="AT647" s="26"/>
      <c r="AU647" s="26"/>
      <c r="AV647" s="26"/>
      <c r="BA647" s="26">
        <f t="shared" si="94"/>
        <v>4</v>
      </c>
      <c r="BB647" s="26">
        <f t="shared" si="95"/>
        <v>2024</v>
      </c>
      <c r="BC647" s="25" t="e" vm="1">
        <v>#REF!</v>
      </c>
      <c r="BD647" s="26" t="e" vm="1">
        <v>#REF!</v>
      </c>
      <c r="BE647" s="26"/>
      <c r="BF647" s="26" t="e" vm="2">
        <f t="shared" si="109"/>
        <v>#VALUE!</v>
      </c>
      <c r="BG647" s="26" t="e" vm="2">
        <f t="shared" si="110"/>
        <v>#VALUE!</v>
      </c>
      <c r="BH647" s="26"/>
      <c r="BI647" s="26"/>
      <c r="BJ647" s="21" t="e" vm="1">
        <v>#REF!</v>
      </c>
      <c r="BK647" s="26" t="e" vm="1">
        <v>#REF!</v>
      </c>
      <c r="BL647" s="26"/>
      <c r="BM647" t="e" vm="2">
        <f t="shared" si="111"/>
        <v>#VALUE!</v>
      </c>
      <c r="BN647" t="e" vm="2">
        <f t="shared" si="112"/>
        <v>#VALUE!</v>
      </c>
      <c r="BO647" s="26"/>
      <c r="BP647" s="26"/>
      <c r="BQ647" s="26"/>
      <c r="BR647" s="25">
        <v>44287</v>
      </c>
      <c r="BS647" s="26">
        <f t="shared" si="91"/>
        <v>4</v>
      </c>
      <c r="BT647" s="26">
        <f t="shared" si="92"/>
        <v>2021</v>
      </c>
      <c r="BU647" s="26" t="e">
        <f t="shared" si="90"/>
        <v>#DIV/0!</v>
      </c>
    </row>
    <row r="648" spans="1:73" x14ac:dyDescent="0.2">
      <c r="A648" s="25">
        <f>Prices!A647</f>
        <v>45413</v>
      </c>
      <c r="B648" s="28">
        <f t="shared" si="100"/>
        <v>0</v>
      </c>
      <c r="C648" s="28">
        <f t="shared" si="97"/>
        <v>0</v>
      </c>
      <c r="D648" s="28" t="e">
        <f t="shared" si="102"/>
        <v>#DIV/0!</v>
      </c>
      <c r="E648" s="28" t="e">
        <f t="shared" si="96"/>
        <v>#DIV/0!</v>
      </c>
      <c r="F648" s="28" t="e">
        <f t="shared" si="93"/>
        <v>#DIV/0!</v>
      </c>
      <c r="G648" s="28" t="e">
        <f>Prices!P647-D648</f>
        <v>#DIV/0!</v>
      </c>
      <c r="H648" s="28" t="e">
        <f t="shared" si="98"/>
        <v>#DIV/0!</v>
      </c>
      <c r="I648" s="28" t="e">
        <f t="shared" si="101"/>
        <v>#DIV/0!</v>
      </c>
      <c r="J648" s="28" t="e">
        <f t="shared" si="99"/>
        <v>#DIV/0!</v>
      </c>
      <c r="L648" s="28">
        <f>'[4]Brazil Corn Price'!$DR295</f>
        <v>0</v>
      </c>
      <c r="M648" s="28">
        <f>'[4]Brazil Corn Price'!$DS295</f>
        <v>0</v>
      </c>
      <c r="N648" s="28">
        <f>'[4]Brazil Corn Price'!$DQ295</f>
        <v>0</v>
      </c>
      <c r="O648" s="28">
        <f t="shared" si="103"/>
        <v>0</v>
      </c>
      <c r="P648" s="28">
        <f t="shared" si="104"/>
        <v>0</v>
      </c>
      <c r="R648" s="30">
        <f>'[4]Brazil Corn Price'!DW295</f>
        <v>0</v>
      </c>
      <c r="S648" s="30">
        <f>'[4]Brazil Corn Price'!DX295</f>
        <v>0</v>
      </c>
      <c r="T648" s="30">
        <f>'[4]Brazil Corn Price'!DV295</f>
        <v>0</v>
      </c>
      <c r="U648" s="30">
        <f t="shared" si="105"/>
        <v>0</v>
      </c>
      <c r="V648" s="30">
        <f t="shared" si="106"/>
        <v>0</v>
      </c>
      <c r="X648" s="30">
        <f>'[4]Brazil Corn Price'!$EB295</f>
        <v>0</v>
      </c>
      <c r="Y648" s="30">
        <f>'[4]Brazil Corn Price'!$EC295</f>
        <v>0</v>
      </c>
      <c r="Z648" s="30">
        <f>'[4]Brazil Corn Price'!$EA295</f>
        <v>0</v>
      </c>
      <c r="AA648" s="30">
        <f t="shared" si="107"/>
        <v>0</v>
      </c>
      <c r="AB648" s="30">
        <f t="shared" si="108"/>
        <v>0</v>
      </c>
      <c r="AI648" s="26"/>
      <c r="AJ648" s="26"/>
      <c r="AK648" s="26"/>
      <c r="AL648" s="26"/>
      <c r="AM648" s="26"/>
      <c r="AN648" s="26"/>
      <c r="AO648" s="26"/>
      <c r="AP648" s="25">
        <v>45413</v>
      </c>
      <c r="AQ648" s="29">
        <v>0.7317999999999999</v>
      </c>
      <c r="AR648" s="26"/>
      <c r="AS648" s="26"/>
      <c r="AT648" s="26"/>
      <c r="AU648" s="26"/>
      <c r="AV648" s="26"/>
      <c r="BA648" s="26">
        <f t="shared" si="94"/>
        <v>5</v>
      </c>
      <c r="BB648" s="26">
        <f t="shared" si="95"/>
        <v>2024</v>
      </c>
      <c r="BC648" s="25" t="e" vm="1">
        <v>#REF!</v>
      </c>
      <c r="BD648" s="26" t="e" vm="1">
        <v>#REF!</v>
      </c>
      <c r="BE648" s="26"/>
      <c r="BF648" s="26" t="e" vm="2">
        <f t="shared" si="109"/>
        <v>#VALUE!</v>
      </c>
      <c r="BG648" s="26" t="e" vm="2">
        <f t="shared" si="110"/>
        <v>#VALUE!</v>
      </c>
      <c r="BH648" s="26"/>
      <c r="BI648" s="26"/>
      <c r="BJ648" s="21" t="e" vm="1">
        <v>#REF!</v>
      </c>
      <c r="BK648" s="26" t="e" vm="1">
        <v>#REF!</v>
      </c>
      <c r="BL648" s="26"/>
      <c r="BM648" t="e" vm="2">
        <f t="shared" si="111"/>
        <v>#VALUE!</v>
      </c>
      <c r="BN648" t="e" vm="2">
        <f t="shared" si="112"/>
        <v>#VALUE!</v>
      </c>
      <c r="BO648" s="26"/>
      <c r="BP648" s="26"/>
      <c r="BQ648" s="26"/>
      <c r="BR648" s="25">
        <v>44317</v>
      </c>
      <c r="BS648" s="26">
        <f t="shared" si="91"/>
        <v>5</v>
      </c>
      <c r="BT648" s="26">
        <f t="shared" si="92"/>
        <v>2021</v>
      </c>
      <c r="BU648" s="26" t="e">
        <f t="shared" ref="BU648:BU709" si="113">AVERAGEIFS($BK$3:$BK$5500,$BM$3:$BM$5500,BS648,$BN$3:$BN$5500,BT648)</f>
        <v>#DIV/0!</v>
      </c>
    </row>
    <row r="649" spans="1:73" x14ac:dyDescent="0.2">
      <c r="A649" s="25">
        <f>Prices!A648</f>
        <v>45444</v>
      </c>
      <c r="B649" s="28">
        <f t="shared" si="100"/>
        <v>0</v>
      </c>
      <c r="C649" s="28">
        <f t="shared" si="97"/>
        <v>0</v>
      </c>
      <c r="D649" s="28" t="e">
        <f t="shared" si="102"/>
        <v>#DIV/0!</v>
      </c>
      <c r="E649" s="28" t="e">
        <f t="shared" si="96"/>
        <v>#DIV/0!</v>
      </c>
      <c r="F649" s="28" t="e">
        <f t="shared" si="93"/>
        <v>#DIV/0!</v>
      </c>
      <c r="G649" s="28" t="e">
        <f>Prices!P648-D649</f>
        <v>#DIV/0!</v>
      </c>
      <c r="H649" s="28" t="e">
        <f t="shared" si="98"/>
        <v>#DIV/0!</v>
      </c>
      <c r="I649" s="28" t="e">
        <f t="shared" si="101"/>
        <v>#DIV/0!</v>
      </c>
      <c r="J649" s="28" t="e">
        <f t="shared" si="99"/>
        <v>#DIV/0!</v>
      </c>
      <c r="L649" s="28">
        <f>'[4]Brazil Corn Price'!$DR296</f>
        <v>0</v>
      </c>
      <c r="M649" s="28">
        <f>'[4]Brazil Corn Price'!$DS296</f>
        <v>0</v>
      </c>
      <c r="N649" s="28">
        <f>'[4]Brazil Corn Price'!$DQ296</f>
        <v>0</v>
      </c>
      <c r="O649" s="28">
        <f t="shared" si="103"/>
        <v>0</v>
      </c>
      <c r="P649" s="28">
        <f t="shared" si="104"/>
        <v>0</v>
      </c>
      <c r="R649" s="30">
        <f>'[4]Brazil Corn Price'!DW296</f>
        <v>0</v>
      </c>
      <c r="S649" s="30">
        <f>'[4]Brazil Corn Price'!DX296</f>
        <v>0</v>
      </c>
      <c r="T649" s="30">
        <f>'[4]Brazil Corn Price'!DV296</f>
        <v>0</v>
      </c>
      <c r="U649" s="30">
        <f t="shared" si="105"/>
        <v>0</v>
      </c>
      <c r="V649" s="30">
        <f t="shared" si="106"/>
        <v>0</v>
      </c>
      <c r="X649" s="30">
        <f>'[4]Brazil Corn Price'!$EB296</f>
        <v>0</v>
      </c>
      <c r="Y649" s="30">
        <f>'[4]Brazil Corn Price'!$EC296</f>
        <v>0</v>
      </c>
      <c r="Z649" s="30">
        <f>'[4]Brazil Corn Price'!$EA296</f>
        <v>0</v>
      </c>
      <c r="AA649" s="30">
        <f t="shared" si="107"/>
        <v>0</v>
      </c>
      <c r="AB649" s="30">
        <f t="shared" si="108"/>
        <v>0</v>
      </c>
      <c r="AI649" s="26"/>
      <c r="AJ649" s="26"/>
      <c r="AK649" s="26"/>
      <c r="AL649" s="26"/>
      <c r="AM649" s="26"/>
      <c r="AN649" s="26"/>
      <c r="AO649" s="26"/>
      <c r="AP649" s="25">
        <v>45444</v>
      </c>
      <c r="AQ649" s="29">
        <v>0.72997631578947364</v>
      </c>
      <c r="AR649" s="26"/>
      <c r="AS649" s="26"/>
      <c r="AT649" s="26"/>
      <c r="AU649" s="26"/>
      <c r="AV649" s="26"/>
      <c r="BA649" s="26">
        <f t="shared" si="94"/>
        <v>6</v>
      </c>
      <c r="BB649" s="26">
        <f t="shared" si="95"/>
        <v>2024</v>
      </c>
      <c r="BC649" s="25" t="e" vm="1">
        <v>#REF!</v>
      </c>
      <c r="BD649" s="26" t="e" vm="1">
        <v>#REF!</v>
      </c>
      <c r="BE649" s="26"/>
      <c r="BF649" s="26" t="e" vm="2">
        <f t="shared" si="109"/>
        <v>#VALUE!</v>
      </c>
      <c r="BG649" s="26" t="e" vm="2">
        <f t="shared" si="110"/>
        <v>#VALUE!</v>
      </c>
      <c r="BH649" s="26"/>
      <c r="BI649" s="26"/>
      <c r="BJ649" s="21" t="e" vm="1">
        <v>#REF!</v>
      </c>
      <c r="BK649" s="26" t="e" vm="1">
        <v>#REF!</v>
      </c>
      <c r="BL649" s="26"/>
      <c r="BM649" t="e" vm="2">
        <f t="shared" si="111"/>
        <v>#VALUE!</v>
      </c>
      <c r="BN649" t="e" vm="2">
        <f t="shared" si="112"/>
        <v>#VALUE!</v>
      </c>
      <c r="BO649" s="26"/>
      <c r="BP649" s="26"/>
      <c r="BQ649" s="26"/>
      <c r="BR649" s="25">
        <v>44348</v>
      </c>
      <c r="BS649" s="26">
        <f t="shared" ref="BS649:BS709" si="114">MONTH(BR649)</f>
        <v>6</v>
      </c>
      <c r="BT649" s="26">
        <f t="shared" ref="BT649:BT709" si="115">YEAR(BR649)</f>
        <v>2021</v>
      </c>
      <c r="BU649" s="26" t="e">
        <f t="shared" si="113"/>
        <v>#DIV/0!</v>
      </c>
    </row>
    <row r="650" spans="1:73" x14ac:dyDescent="0.2">
      <c r="A650" s="25">
        <f>Prices!A649</f>
        <v>45474</v>
      </c>
      <c r="B650" s="28">
        <f t="shared" si="100"/>
        <v>0</v>
      </c>
      <c r="C650" s="28">
        <f t="shared" si="97"/>
        <v>0</v>
      </c>
      <c r="D650" s="28" t="e">
        <f t="shared" si="102"/>
        <v>#DIV/0!</v>
      </c>
      <c r="E650" s="28" t="e">
        <f t="shared" si="96"/>
        <v>#DIV/0!</v>
      </c>
      <c r="F650" s="28" t="e">
        <f t="shared" si="93"/>
        <v>#DIV/0!</v>
      </c>
      <c r="G650" s="28" t="e">
        <f>Prices!P649-D650</f>
        <v>#DIV/0!</v>
      </c>
      <c r="H650" s="28" t="e">
        <f t="shared" si="98"/>
        <v>#DIV/0!</v>
      </c>
      <c r="I650" s="28" t="e">
        <f t="shared" si="101"/>
        <v>#DIV/0!</v>
      </c>
      <c r="J650" s="28" t="e">
        <f t="shared" si="99"/>
        <v>#DIV/0!</v>
      </c>
      <c r="L650" s="28">
        <f>'[4]Brazil Corn Price'!$DR297</f>
        <v>0</v>
      </c>
      <c r="M650" s="28">
        <f>'[4]Brazil Corn Price'!$DS297</f>
        <v>0</v>
      </c>
      <c r="N650" s="28">
        <f>'[4]Brazil Corn Price'!$DQ297</f>
        <v>0</v>
      </c>
      <c r="O650" s="28">
        <f t="shared" si="103"/>
        <v>0</v>
      </c>
      <c r="P650" s="28">
        <f t="shared" si="104"/>
        <v>0</v>
      </c>
      <c r="R650" s="30">
        <f>'[4]Brazil Corn Price'!DW297</f>
        <v>0</v>
      </c>
      <c r="S650" s="30">
        <f>'[4]Brazil Corn Price'!DX297</f>
        <v>0</v>
      </c>
      <c r="T650" s="30">
        <f>'[4]Brazil Corn Price'!DV297</f>
        <v>0</v>
      </c>
      <c r="U650" s="30">
        <f t="shared" si="105"/>
        <v>0</v>
      </c>
      <c r="V650" s="30">
        <f t="shared" si="106"/>
        <v>0</v>
      </c>
      <c r="X650" s="30">
        <f>'[4]Brazil Corn Price'!$EB297</f>
        <v>0</v>
      </c>
      <c r="Y650" s="30">
        <f>'[4]Brazil Corn Price'!$EC297</f>
        <v>0</v>
      </c>
      <c r="Z650" s="30">
        <f>'[4]Brazil Corn Price'!$EA297</f>
        <v>0</v>
      </c>
      <c r="AA650" s="30">
        <f t="shared" si="107"/>
        <v>0</v>
      </c>
      <c r="AB650" s="30">
        <f t="shared" si="108"/>
        <v>0</v>
      </c>
      <c r="AI650" s="26"/>
      <c r="AJ650" s="26"/>
      <c r="AK650" s="26"/>
      <c r="AL650" s="26"/>
      <c r="AM650" s="26"/>
      <c r="AN650" s="26"/>
      <c r="AO650" s="26"/>
      <c r="AP650" s="25">
        <v>45474</v>
      </c>
      <c r="AQ650" s="29">
        <v>0.72922500000000023</v>
      </c>
      <c r="AR650" s="26"/>
      <c r="AS650" s="26"/>
      <c r="AT650" s="26"/>
      <c r="AU650" s="26"/>
      <c r="AV650" s="26"/>
      <c r="BA650" s="26">
        <f t="shared" si="94"/>
        <v>7</v>
      </c>
      <c r="BB650" s="26">
        <f t="shared" si="95"/>
        <v>2024</v>
      </c>
      <c r="BC650" s="25" t="e" vm="1">
        <v>#REF!</v>
      </c>
      <c r="BD650" s="26" t="e" vm="1">
        <v>#REF!</v>
      </c>
      <c r="BE650" s="26"/>
      <c r="BF650" s="26" t="e" vm="2">
        <f t="shared" si="109"/>
        <v>#VALUE!</v>
      </c>
      <c r="BG650" s="26" t="e" vm="2">
        <f t="shared" si="110"/>
        <v>#VALUE!</v>
      </c>
      <c r="BH650" s="26"/>
      <c r="BI650" s="26"/>
      <c r="BJ650" s="21" t="e" vm="1">
        <v>#REF!</v>
      </c>
      <c r="BK650" s="26" t="e" vm="1">
        <v>#REF!</v>
      </c>
      <c r="BL650" s="26"/>
      <c r="BM650" t="e" vm="2">
        <f t="shared" si="111"/>
        <v>#VALUE!</v>
      </c>
      <c r="BN650" t="e" vm="2">
        <f t="shared" si="112"/>
        <v>#VALUE!</v>
      </c>
      <c r="BO650" s="26"/>
      <c r="BP650" s="26"/>
      <c r="BQ650" s="26"/>
      <c r="BR650" s="25">
        <v>44378</v>
      </c>
      <c r="BS650" s="26">
        <f t="shared" si="114"/>
        <v>7</v>
      </c>
      <c r="BT650" s="26">
        <f t="shared" si="115"/>
        <v>2021</v>
      </c>
      <c r="BU650" s="26" t="e">
        <f t="shared" si="113"/>
        <v>#DIV/0!</v>
      </c>
    </row>
    <row r="651" spans="1:73" x14ac:dyDescent="0.2">
      <c r="A651" s="25">
        <f>Prices!A650</f>
        <v>45505</v>
      </c>
      <c r="B651" s="28">
        <f t="shared" si="100"/>
        <v>0</v>
      </c>
      <c r="C651" s="28">
        <f t="shared" si="97"/>
        <v>0</v>
      </c>
      <c r="D651" s="28" t="e">
        <f t="shared" si="102"/>
        <v>#DIV/0!</v>
      </c>
      <c r="E651" s="28" t="e">
        <f t="shared" si="96"/>
        <v>#DIV/0!</v>
      </c>
      <c r="F651" s="28" t="e">
        <f t="shared" si="93"/>
        <v>#DIV/0!</v>
      </c>
      <c r="G651" s="28" t="e">
        <f>Prices!P650-D651</f>
        <v>#DIV/0!</v>
      </c>
      <c r="H651" s="28" t="e">
        <f t="shared" si="98"/>
        <v>#DIV/0!</v>
      </c>
      <c r="I651" s="28" t="e">
        <f t="shared" si="101"/>
        <v>#DIV/0!</v>
      </c>
      <c r="J651" s="28" t="e">
        <f t="shared" si="99"/>
        <v>#DIV/0!</v>
      </c>
      <c r="L651" s="28">
        <f>'[4]Brazil Corn Price'!$DR298</f>
        <v>0</v>
      </c>
      <c r="M651" s="28">
        <f>'[4]Brazil Corn Price'!$DS298</f>
        <v>0</v>
      </c>
      <c r="N651" s="28">
        <f>'[4]Brazil Corn Price'!$DQ298</f>
        <v>0</v>
      </c>
      <c r="O651" s="28">
        <f t="shared" si="103"/>
        <v>0</v>
      </c>
      <c r="P651" s="28">
        <f t="shared" si="104"/>
        <v>0</v>
      </c>
      <c r="R651" s="30">
        <f>'[4]Brazil Corn Price'!DW298</f>
        <v>0</v>
      </c>
      <c r="S651" s="30">
        <f>'[4]Brazil Corn Price'!DX298</f>
        <v>0</v>
      </c>
      <c r="T651" s="30">
        <f>'[4]Brazil Corn Price'!DV298</f>
        <v>0</v>
      </c>
      <c r="U651" s="30">
        <f t="shared" si="105"/>
        <v>0</v>
      </c>
      <c r="V651" s="30">
        <f t="shared" si="106"/>
        <v>0</v>
      </c>
      <c r="X651" s="30">
        <f>'[4]Brazil Corn Price'!$EB298</f>
        <v>0</v>
      </c>
      <c r="Y651" s="30">
        <f>'[4]Brazil Corn Price'!$EC298</f>
        <v>0</v>
      </c>
      <c r="Z651" s="30">
        <f>'[4]Brazil Corn Price'!$EA298</f>
        <v>0</v>
      </c>
      <c r="AA651" s="30">
        <f t="shared" si="107"/>
        <v>0</v>
      </c>
      <c r="AB651" s="30">
        <f t="shared" si="108"/>
        <v>0</v>
      </c>
      <c r="AI651" s="26"/>
      <c r="AJ651" s="26"/>
      <c r="AK651" s="26"/>
      <c r="AL651" s="26"/>
      <c r="AM651" s="26"/>
      <c r="AN651" s="26"/>
      <c r="AO651" s="26"/>
      <c r="AP651" s="25">
        <v>45505</v>
      </c>
      <c r="AQ651" s="29">
        <v>0.73256590909090891</v>
      </c>
      <c r="AR651" s="26"/>
      <c r="AS651" s="26"/>
      <c r="AT651" s="26"/>
      <c r="AU651" s="26"/>
      <c r="AV651" s="26"/>
      <c r="BA651" s="26">
        <f t="shared" si="94"/>
        <v>8</v>
      </c>
      <c r="BB651" s="26">
        <f t="shared" si="95"/>
        <v>2024</v>
      </c>
      <c r="BC651" s="25" t="e" vm="1">
        <v>#REF!</v>
      </c>
      <c r="BD651" s="26" t="e" vm="1">
        <v>#REF!</v>
      </c>
      <c r="BE651" s="26"/>
      <c r="BF651" s="26" t="e" vm="2">
        <f t="shared" si="109"/>
        <v>#VALUE!</v>
      </c>
      <c r="BG651" s="26" t="e" vm="2">
        <f t="shared" si="110"/>
        <v>#VALUE!</v>
      </c>
      <c r="BH651" s="26"/>
      <c r="BI651" s="26"/>
      <c r="BJ651" s="21" t="e" vm="1">
        <v>#REF!</v>
      </c>
      <c r="BK651" s="26" t="e" vm="1">
        <v>#REF!</v>
      </c>
      <c r="BL651" s="26"/>
      <c r="BM651" t="e" vm="2">
        <f t="shared" si="111"/>
        <v>#VALUE!</v>
      </c>
      <c r="BN651" t="e" vm="2">
        <f t="shared" si="112"/>
        <v>#VALUE!</v>
      </c>
      <c r="BO651" s="26"/>
      <c r="BP651" s="26"/>
      <c r="BQ651" s="26"/>
      <c r="BR651" s="25">
        <v>44409</v>
      </c>
      <c r="BS651" s="26">
        <f t="shared" si="114"/>
        <v>8</v>
      </c>
      <c r="BT651" s="26">
        <f t="shared" si="115"/>
        <v>2021</v>
      </c>
      <c r="BU651" s="26" t="e">
        <f t="shared" si="113"/>
        <v>#DIV/0!</v>
      </c>
    </row>
    <row r="652" spans="1:73" x14ac:dyDescent="0.2">
      <c r="A652" s="25">
        <f>Prices!A651</f>
        <v>45536</v>
      </c>
      <c r="B652" s="28">
        <f t="shared" si="100"/>
        <v>0</v>
      </c>
      <c r="C652" s="28">
        <f t="shared" si="97"/>
        <v>0</v>
      </c>
      <c r="D652" s="28" t="e">
        <f t="shared" si="102"/>
        <v>#DIV/0!</v>
      </c>
      <c r="E652" s="28" t="e">
        <f t="shared" si="96"/>
        <v>#DIV/0!</v>
      </c>
      <c r="F652" s="28" t="e">
        <f t="shared" si="93"/>
        <v>#DIV/0!</v>
      </c>
      <c r="G652" s="28" t="e">
        <f>Prices!P651-D652</f>
        <v>#DIV/0!</v>
      </c>
      <c r="H652" s="28" t="e">
        <f t="shared" si="98"/>
        <v>#DIV/0!</v>
      </c>
      <c r="I652" s="28" t="e">
        <f t="shared" si="101"/>
        <v>#DIV/0!</v>
      </c>
      <c r="J652" s="28" t="e">
        <f t="shared" si="99"/>
        <v>#DIV/0!</v>
      </c>
      <c r="L652" s="28">
        <f>'[4]Brazil Corn Price'!$DR299</f>
        <v>0</v>
      </c>
      <c r="M652" s="28">
        <f>'[4]Brazil Corn Price'!$DS299</f>
        <v>0</v>
      </c>
      <c r="N652" s="28">
        <f>'[4]Brazil Corn Price'!$DQ299</f>
        <v>0</v>
      </c>
      <c r="O652" s="28">
        <f t="shared" si="103"/>
        <v>0</v>
      </c>
      <c r="P652" s="28">
        <f t="shared" si="104"/>
        <v>0</v>
      </c>
      <c r="R652" s="30">
        <f>'[4]Brazil Corn Price'!DW299</f>
        <v>0</v>
      </c>
      <c r="S652" s="30">
        <f>'[4]Brazil Corn Price'!DX299</f>
        <v>0</v>
      </c>
      <c r="T652" s="30">
        <f>'[4]Brazil Corn Price'!DV299</f>
        <v>0</v>
      </c>
      <c r="U652" s="30">
        <f t="shared" si="105"/>
        <v>0</v>
      </c>
      <c r="V652" s="30">
        <f t="shared" si="106"/>
        <v>0</v>
      </c>
      <c r="X652" s="30">
        <f>'[4]Brazil Corn Price'!$EB299</f>
        <v>0</v>
      </c>
      <c r="Y652" s="30">
        <f>'[4]Brazil Corn Price'!$EC299</f>
        <v>0</v>
      </c>
      <c r="Z652" s="30">
        <f>'[4]Brazil Corn Price'!$EA299</f>
        <v>0</v>
      </c>
      <c r="AA652" s="30">
        <f t="shared" si="107"/>
        <v>0</v>
      </c>
      <c r="AB652" s="30">
        <f t="shared" si="108"/>
        <v>0</v>
      </c>
      <c r="AI652" s="26"/>
      <c r="AJ652" s="26"/>
      <c r="AK652" s="26"/>
      <c r="AL652" s="26"/>
      <c r="AM652" s="26"/>
      <c r="AN652" s="26"/>
      <c r="AO652" s="26"/>
      <c r="AP652" s="25">
        <v>45536</v>
      </c>
      <c r="AQ652" s="29">
        <v>0.73864249999999987</v>
      </c>
      <c r="AR652" s="26"/>
      <c r="AS652" s="26"/>
      <c r="AT652" s="26"/>
      <c r="AU652" s="26"/>
      <c r="AV652" s="26"/>
      <c r="BA652" s="26">
        <f t="shared" si="94"/>
        <v>9</v>
      </c>
      <c r="BB652" s="26">
        <f t="shared" si="95"/>
        <v>2024</v>
      </c>
      <c r="BC652" s="25" t="e" vm="1">
        <v>#REF!</v>
      </c>
      <c r="BD652" s="26" t="e" vm="1">
        <v>#REF!</v>
      </c>
      <c r="BE652" s="26"/>
      <c r="BF652" s="26" t="e" vm="2">
        <f t="shared" si="109"/>
        <v>#VALUE!</v>
      </c>
      <c r="BG652" s="26" t="e" vm="2">
        <f t="shared" si="110"/>
        <v>#VALUE!</v>
      </c>
      <c r="BH652" s="26"/>
      <c r="BI652" s="26"/>
      <c r="BJ652" s="21" t="e" vm="1">
        <v>#REF!</v>
      </c>
      <c r="BK652" s="26" t="e" vm="1">
        <v>#REF!</v>
      </c>
      <c r="BL652" s="26"/>
      <c r="BM652" t="e" vm="2">
        <f t="shared" si="111"/>
        <v>#VALUE!</v>
      </c>
      <c r="BN652" t="e" vm="2">
        <f t="shared" si="112"/>
        <v>#VALUE!</v>
      </c>
      <c r="BO652" s="26"/>
      <c r="BP652" s="26"/>
      <c r="BQ652" s="26"/>
      <c r="BR652" s="25">
        <v>44440</v>
      </c>
      <c r="BS652" s="26">
        <f t="shared" si="114"/>
        <v>9</v>
      </c>
      <c r="BT652" s="26">
        <f t="shared" si="115"/>
        <v>2021</v>
      </c>
      <c r="BU652" s="26" t="e">
        <f t="shared" si="113"/>
        <v>#DIV/0!</v>
      </c>
    </row>
    <row r="653" spans="1:73" x14ac:dyDescent="0.2">
      <c r="A653" s="25">
        <f>Prices!A652</f>
        <v>45566</v>
      </c>
      <c r="B653" s="28">
        <f t="shared" si="100"/>
        <v>0</v>
      </c>
      <c r="C653" s="28">
        <f t="shared" si="97"/>
        <v>0</v>
      </c>
      <c r="D653" s="28" t="e">
        <f t="shared" si="102"/>
        <v>#DIV/0!</v>
      </c>
      <c r="E653" s="28" t="e">
        <f t="shared" si="96"/>
        <v>#DIV/0!</v>
      </c>
      <c r="F653" s="28" t="e">
        <f t="shared" si="93"/>
        <v>#DIV/0!</v>
      </c>
      <c r="G653" s="28" t="e">
        <f>Prices!P652-D653</f>
        <v>#DIV/0!</v>
      </c>
      <c r="H653" s="28" t="e">
        <f t="shared" si="98"/>
        <v>#DIV/0!</v>
      </c>
      <c r="I653" s="28" t="e">
        <f t="shared" si="101"/>
        <v>#DIV/0!</v>
      </c>
      <c r="J653" s="28" t="e">
        <f t="shared" si="99"/>
        <v>#DIV/0!</v>
      </c>
      <c r="L653" s="28">
        <f>'[4]Brazil Corn Price'!$DR300</f>
        <v>0</v>
      </c>
      <c r="M653" s="28">
        <f>'[4]Brazil Corn Price'!$DS300</f>
        <v>0</v>
      </c>
      <c r="N653" s="28">
        <f>'[4]Brazil Corn Price'!$DQ300</f>
        <v>0</v>
      </c>
      <c r="O653" s="28">
        <f t="shared" si="103"/>
        <v>0</v>
      </c>
      <c r="P653" s="28">
        <f t="shared" si="104"/>
        <v>0</v>
      </c>
      <c r="R653" s="30">
        <f>'[4]Brazil Corn Price'!DW300</f>
        <v>0</v>
      </c>
      <c r="S653" s="30">
        <f>'[4]Brazil Corn Price'!DX300</f>
        <v>0</v>
      </c>
      <c r="T653" s="30">
        <f>'[4]Brazil Corn Price'!DV300</f>
        <v>0</v>
      </c>
      <c r="U653" s="30">
        <f t="shared" si="105"/>
        <v>0</v>
      </c>
      <c r="V653" s="30">
        <f t="shared" si="106"/>
        <v>0</v>
      </c>
      <c r="X653" s="30">
        <f>'[4]Brazil Corn Price'!$EB300</f>
        <v>0</v>
      </c>
      <c r="Y653" s="30">
        <f>'[4]Brazil Corn Price'!$EC300</f>
        <v>0</v>
      </c>
      <c r="Z653" s="30">
        <f>'[4]Brazil Corn Price'!$EA300</f>
        <v>0</v>
      </c>
      <c r="AA653" s="30">
        <f t="shared" si="107"/>
        <v>0</v>
      </c>
      <c r="AB653" s="30">
        <f t="shared" si="108"/>
        <v>0</v>
      </c>
      <c r="AI653" s="26"/>
      <c r="AJ653" s="26"/>
      <c r="AK653" s="26"/>
      <c r="AL653" s="26"/>
      <c r="AM653" s="26"/>
      <c r="AN653" s="26"/>
      <c r="AO653" s="26"/>
      <c r="AP653" s="25">
        <v>45566</v>
      </c>
      <c r="AQ653" s="29">
        <v>0.73403333333333332</v>
      </c>
      <c r="AR653" s="26"/>
      <c r="AS653" s="26"/>
      <c r="AT653" s="26"/>
      <c r="AU653" s="26"/>
      <c r="AV653" s="26"/>
      <c r="BA653" s="26">
        <f t="shared" si="94"/>
        <v>10</v>
      </c>
      <c r="BB653" s="26">
        <f t="shared" si="95"/>
        <v>2024</v>
      </c>
      <c r="BC653" s="25" t="e" vm="1">
        <v>#REF!</v>
      </c>
      <c r="BD653" s="26" t="e" vm="1">
        <v>#REF!</v>
      </c>
      <c r="BE653" s="26"/>
      <c r="BF653" s="26" t="e" vm="2">
        <f t="shared" si="109"/>
        <v>#VALUE!</v>
      </c>
      <c r="BG653" s="26" t="e" vm="2">
        <f t="shared" si="110"/>
        <v>#VALUE!</v>
      </c>
      <c r="BH653" s="26"/>
      <c r="BI653" s="26"/>
      <c r="BJ653" s="21" t="e" vm="1">
        <v>#REF!</v>
      </c>
      <c r="BK653" s="26" t="e" vm="1">
        <v>#REF!</v>
      </c>
      <c r="BL653" s="26"/>
      <c r="BM653" t="e" vm="2">
        <f t="shared" si="111"/>
        <v>#VALUE!</v>
      </c>
      <c r="BN653" t="e" vm="2">
        <f t="shared" si="112"/>
        <v>#VALUE!</v>
      </c>
      <c r="BO653" s="26"/>
      <c r="BP653" s="26"/>
      <c r="BQ653" s="26"/>
      <c r="BR653" s="25">
        <v>44470</v>
      </c>
      <c r="BS653" s="26">
        <f t="shared" si="114"/>
        <v>10</v>
      </c>
      <c r="BT653" s="26">
        <f t="shared" si="115"/>
        <v>2021</v>
      </c>
      <c r="BU653" s="26" t="e">
        <f t="shared" si="113"/>
        <v>#DIV/0!</v>
      </c>
    </row>
    <row r="654" spans="1:73" x14ac:dyDescent="0.2">
      <c r="A654" s="25">
        <f>Prices!A653</f>
        <v>45597</v>
      </c>
      <c r="B654" s="31" t="e">
        <f>MROUND(D654+AVERAGE(E642,E630,E618,E606,E594),0.5)</f>
        <v>#DIV/0!</v>
      </c>
      <c r="C654" s="31" t="e">
        <f>MROUND(D654+AVERAGE(F642,F630,F618,F606,F594),0.5)</f>
        <v>#DIV/0!</v>
      </c>
      <c r="D654" s="31" t="e">
        <f>MROUND(FORECAST(Prices!D652,Barley!D437:D652,Prices!D436:D651),0.5)</f>
        <v>#DIV/0!</v>
      </c>
      <c r="E654" s="28" t="e">
        <f t="shared" si="96"/>
        <v>#DIV/0!</v>
      </c>
      <c r="F654" s="28" t="e">
        <f t="shared" si="93"/>
        <v>#DIV/0!</v>
      </c>
      <c r="G654" s="28" t="e">
        <f>Prices!P653-D654</f>
        <v>#DIV/0!</v>
      </c>
      <c r="H654" s="28" t="e">
        <f t="shared" si="98"/>
        <v>#DIV/0!</v>
      </c>
      <c r="I654" s="31" t="e">
        <f>D654*AQ653</f>
        <v>#DIV/0!</v>
      </c>
      <c r="J654" s="31" t="e">
        <f t="shared" si="99"/>
        <v>#DIV/0!</v>
      </c>
      <c r="AI654" s="26"/>
      <c r="AJ654" s="26"/>
      <c r="AK654" s="26"/>
      <c r="AL654" s="26"/>
      <c r="AM654" s="26"/>
      <c r="AN654" s="26"/>
      <c r="AO654" s="26"/>
      <c r="AP654" s="25">
        <v>45597</v>
      </c>
      <c r="AQ654" s="32">
        <f>AQ653</f>
        <v>0.73403333333333332</v>
      </c>
      <c r="AR654" s="26"/>
      <c r="AS654" s="26"/>
      <c r="AT654" s="26"/>
      <c r="AU654" s="26"/>
      <c r="AV654" s="26"/>
      <c r="BA654" s="26">
        <f t="shared" si="94"/>
        <v>11</v>
      </c>
      <c r="BB654" s="26">
        <f t="shared" si="95"/>
        <v>2024</v>
      </c>
      <c r="BC654" s="25" t="e" vm="1">
        <v>#REF!</v>
      </c>
      <c r="BD654" s="26" t="e" vm="1">
        <v>#REF!</v>
      </c>
      <c r="BE654" s="26"/>
      <c r="BF654" s="26" t="e" vm="2">
        <f t="shared" si="109"/>
        <v>#VALUE!</v>
      </c>
      <c r="BG654" s="26" t="e" vm="2">
        <f t="shared" si="110"/>
        <v>#VALUE!</v>
      </c>
      <c r="BH654" s="26"/>
      <c r="BI654" s="26"/>
      <c r="BJ654" s="21" t="e" vm="1">
        <v>#REF!</v>
      </c>
      <c r="BK654" s="26" t="e" vm="1">
        <v>#REF!</v>
      </c>
      <c r="BL654" s="26"/>
      <c r="BM654" t="e" vm="2">
        <f t="shared" si="111"/>
        <v>#VALUE!</v>
      </c>
      <c r="BN654" t="e" vm="2">
        <f t="shared" si="112"/>
        <v>#VALUE!</v>
      </c>
      <c r="BO654" s="26"/>
      <c r="BP654" s="26"/>
      <c r="BQ654" s="26"/>
      <c r="BR654" s="25">
        <v>44501</v>
      </c>
      <c r="BS654" s="26">
        <f t="shared" si="114"/>
        <v>11</v>
      </c>
      <c r="BT654" s="26">
        <f t="shared" si="115"/>
        <v>2021</v>
      </c>
      <c r="BU654" s="26" t="e">
        <f t="shared" si="113"/>
        <v>#DIV/0!</v>
      </c>
    </row>
    <row r="655" spans="1:73" x14ac:dyDescent="0.2">
      <c r="A655" s="25">
        <f>Prices!A654</f>
        <v>45627</v>
      </c>
      <c r="B655" s="31" t="e">
        <f t="shared" ref="B655:B669" si="116">MROUND(D655+AVERAGE(E643,E631,E619,E607,E595),0.5)</f>
        <v>#DIV/0!</v>
      </c>
      <c r="C655" s="31" t="e">
        <f t="shared" ref="C655:C679" si="117">MROUND(D655+AVERAGE(F643,F631,F619,F607,F595),0.5)</f>
        <v>#DIV/0!</v>
      </c>
      <c r="D655" s="31" t="e">
        <f>MROUND(FORECAST(Prices!D653,Barley!D438:D653,Prices!D437:D652),0.5)</f>
        <v>#DIV/0!</v>
      </c>
      <c r="E655" s="28" t="e">
        <f t="shared" si="96"/>
        <v>#DIV/0!</v>
      </c>
      <c r="F655" s="28" t="e">
        <f t="shared" si="93"/>
        <v>#DIV/0!</v>
      </c>
      <c r="G655" s="28" t="e">
        <f>Prices!P654-D655</f>
        <v>#DIV/0!</v>
      </c>
      <c r="H655" s="28" t="e">
        <f t="shared" si="98"/>
        <v>#DIV/0!</v>
      </c>
      <c r="I655" s="31" t="e">
        <f t="shared" ref="I655:I706" si="118">D655*AQ654</f>
        <v>#DIV/0!</v>
      </c>
      <c r="J655" s="31" t="e">
        <f t="shared" si="99"/>
        <v>#DIV/0!</v>
      </c>
      <c r="AI655" s="26"/>
      <c r="AJ655" s="26"/>
      <c r="AK655" s="26"/>
      <c r="AL655" s="26"/>
      <c r="AM655" s="26"/>
      <c r="AN655" s="26"/>
      <c r="AO655" s="26"/>
      <c r="AP655" s="25">
        <v>45627</v>
      </c>
      <c r="AQ655" s="32">
        <f t="shared" ref="AQ655:AQ679" si="119">AQ654</f>
        <v>0.73403333333333332</v>
      </c>
      <c r="AR655" s="26"/>
      <c r="AS655" s="26"/>
      <c r="AT655" s="26"/>
      <c r="AU655" s="26"/>
      <c r="AV655" s="26"/>
      <c r="BA655" s="26">
        <f t="shared" si="94"/>
        <v>12</v>
      </c>
      <c r="BB655" s="26">
        <f t="shared" si="95"/>
        <v>2024</v>
      </c>
      <c r="BC655" s="25" t="e" vm="1">
        <v>#REF!</v>
      </c>
      <c r="BD655" s="26" t="e" vm="1">
        <v>#REF!</v>
      </c>
      <c r="BE655" s="26"/>
      <c r="BF655" s="26" t="e" vm="2">
        <f t="shared" si="109"/>
        <v>#VALUE!</v>
      </c>
      <c r="BG655" s="26" t="e" vm="2">
        <f t="shared" si="110"/>
        <v>#VALUE!</v>
      </c>
      <c r="BH655" s="26"/>
      <c r="BI655" s="26"/>
      <c r="BJ655" s="21" t="e" vm="1">
        <v>#REF!</v>
      </c>
      <c r="BK655" s="26" t="e" vm="1">
        <v>#REF!</v>
      </c>
      <c r="BL655" s="26"/>
      <c r="BM655" t="e" vm="2">
        <f t="shared" si="111"/>
        <v>#VALUE!</v>
      </c>
      <c r="BN655" t="e" vm="2">
        <f t="shared" si="112"/>
        <v>#VALUE!</v>
      </c>
      <c r="BO655" s="26"/>
      <c r="BP655" s="26"/>
      <c r="BQ655" s="26"/>
      <c r="BR655" s="25">
        <v>44531</v>
      </c>
      <c r="BS655" s="26">
        <f t="shared" si="114"/>
        <v>12</v>
      </c>
      <c r="BT655" s="26">
        <f t="shared" si="115"/>
        <v>2021</v>
      </c>
      <c r="BU655" s="26" t="e">
        <f t="shared" si="113"/>
        <v>#DIV/0!</v>
      </c>
    </row>
    <row r="656" spans="1:73" x14ac:dyDescent="0.2">
      <c r="A656" s="25">
        <f>Prices!A655</f>
        <v>45658</v>
      </c>
      <c r="B656" s="31" t="e">
        <f t="shared" si="116"/>
        <v>#DIV/0!</v>
      </c>
      <c r="C656" s="31" t="e">
        <f t="shared" si="117"/>
        <v>#DIV/0!</v>
      </c>
      <c r="D656" s="31" t="e">
        <f>MROUND(FORECAST(Prices!D654,Barley!D439:D654,Prices!D438:D653),0.5)</f>
        <v>#DIV/0!</v>
      </c>
      <c r="E656" s="28" t="e">
        <f t="shared" si="96"/>
        <v>#DIV/0!</v>
      </c>
      <c r="F656" s="28" t="e">
        <f t="shared" si="93"/>
        <v>#DIV/0!</v>
      </c>
      <c r="G656" s="28" t="e">
        <f>Prices!P655-D656</f>
        <v>#DIV/0!</v>
      </c>
      <c r="H656" s="28" t="e">
        <f t="shared" si="98"/>
        <v>#DIV/0!</v>
      </c>
      <c r="I656" s="31" t="e">
        <f t="shared" si="118"/>
        <v>#DIV/0!</v>
      </c>
      <c r="J656" s="31" t="e">
        <f t="shared" si="99"/>
        <v>#DIV/0!</v>
      </c>
      <c r="AI656" s="26"/>
      <c r="AJ656" s="26"/>
      <c r="AK656" s="26"/>
      <c r="AL656" s="26"/>
      <c r="AM656" s="26"/>
      <c r="AN656" s="26"/>
      <c r="AO656" s="26"/>
      <c r="AP656" s="25">
        <v>45658</v>
      </c>
      <c r="AQ656" s="32">
        <f t="shared" si="119"/>
        <v>0.73403333333333332</v>
      </c>
      <c r="AR656" s="26"/>
      <c r="AS656" s="26"/>
      <c r="AT656" s="26"/>
      <c r="AU656" s="26"/>
      <c r="AV656" s="26"/>
      <c r="BA656" s="26">
        <f t="shared" si="94"/>
        <v>1</v>
      </c>
      <c r="BB656" s="26">
        <f t="shared" si="95"/>
        <v>2025</v>
      </c>
      <c r="BC656" s="25" t="e" vm="1">
        <v>#REF!</v>
      </c>
      <c r="BD656" s="26" t="e" vm="1">
        <v>#REF!</v>
      </c>
      <c r="BE656" s="26"/>
      <c r="BF656" s="26" t="e" vm="2">
        <f t="shared" si="109"/>
        <v>#VALUE!</v>
      </c>
      <c r="BG656" s="26" t="e" vm="2">
        <f t="shared" si="110"/>
        <v>#VALUE!</v>
      </c>
      <c r="BH656" s="26"/>
      <c r="BI656" s="26"/>
      <c r="BJ656" s="21" t="e" vm="1">
        <v>#REF!</v>
      </c>
      <c r="BK656" s="26" t="e" vm="1">
        <v>#REF!</v>
      </c>
      <c r="BL656" s="26"/>
      <c r="BM656" t="e" vm="2">
        <f t="shared" si="111"/>
        <v>#VALUE!</v>
      </c>
      <c r="BN656" t="e" vm="2">
        <f t="shared" si="112"/>
        <v>#VALUE!</v>
      </c>
      <c r="BO656" s="26"/>
      <c r="BP656" s="26"/>
      <c r="BQ656" s="26"/>
      <c r="BR656" s="25">
        <v>44562</v>
      </c>
      <c r="BS656" s="26">
        <f t="shared" si="114"/>
        <v>1</v>
      </c>
      <c r="BT656" s="26">
        <f t="shared" si="115"/>
        <v>2022</v>
      </c>
      <c r="BU656" s="26" t="e">
        <f t="shared" si="113"/>
        <v>#DIV/0!</v>
      </c>
    </row>
    <row r="657" spans="1:73" x14ac:dyDescent="0.2">
      <c r="A657" s="25">
        <f>Prices!A656</f>
        <v>45689</v>
      </c>
      <c r="B657" s="31" t="e">
        <f>MROUND(D657+AVERAGE(E645,E633,E621,E609,E597),0.5)</f>
        <v>#DIV/0!</v>
      </c>
      <c r="C657" s="31" t="e">
        <f t="shared" si="117"/>
        <v>#DIV/0!</v>
      </c>
      <c r="D657" s="31" t="e">
        <f>MROUND(FORECAST(Prices!D655,Barley!D440:D655,Prices!D439:D654),0.5)</f>
        <v>#DIV/0!</v>
      </c>
      <c r="E657" s="28" t="e">
        <f>B657-D657</f>
        <v>#DIV/0!</v>
      </c>
      <c r="F657" s="28" t="e">
        <f t="shared" si="93"/>
        <v>#DIV/0!</v>
      </c>
      <c r="G657" s="28" t="e">
        <f>Prices!P656-D657</f>
        <v>#DIV/0!</v>
      </c>
      <c r="H657" s="28" t="e">
        <f t="shared" si="98"/>
        <v>#DIV/0!</v>
      </c>
      <c r="I657" s="31" t="e">
        <f t="shared" si="118"/>
        <v>#DIV/0!</v>
      </c>
      <c r="J657" s="31" t="e">
        <f t="shared" si="99"/>
        <v>#DIV/0!</v>
      </c>
      <c r="AI657" s="26"/>
      <c r="AJ657" s="26"/>
      <c r="AK657" s="26"/>
      <c r="AL657" s="26"/>
      <c r="AM657" s="26"/>
      <c r="AN657" s="26"/>
      <c r="AO657" s="26"/>
      <c r="AP657" s="25">
        <v>45689</v>
      </c>
      <c r="AQ657" s="32">
        <f t="shared" si="119"/>
        <v>0.73403333333333332</v>
      </c>
      <c r="AR657" s="26"/>
      <c r="AS657" s="26"/>
      <c r="AT657" s="26"/>
      <c r="AU657" s="26"/>
      <c r="AV657" s="26"/>
      <c r="BA657" s="26">
        <f t="shared" si="94"/>
        <v>2</v>
      </c>
      <c r="BB657" s="26">
        <f t="shared" si="95"/>
        <v>2025</v>
      </c>
      <c r="BC657" s="25" t="e" vm="1">
        <v>#REF!</v>
      </c>
      <c r="BD657" s="26" t="e" vm="1">
        <v>#REF!</v>
      </c>
      <c r="BE657" s="26"/>
      <c r="BF657" s="26" t="e" vm="2">
        <f t="shared" si="109"/>
        <v>#VALUE!</v>
      </c>
      <c r="BG657" s="26" t="e" vm="2">
        <f t="shared" si="110"/>
        <v>#VALUE!</v>
      </c>
      <c r="BH657" s="26"/>
      <c r="BI657" s="26"/>
      <c r="BJ657" s="21" t="e" vm="1">
        <v>#REF!</v>
      </c>
      <c r="BK657" s="26" t="e" vm="1">
        <v>#REF!</v>
      </c>
      <c r="BL657" s="26"/>
      <c r="BM657" t="e" vm="2">
        <f t="shared" si="111"/>
        <v>#VALUE!</v>
      </c>
      <c r="BN657" t="e" vm="2">
        <f t="shared" si="112"/>
        <v>#VALUE!</v>
      </c>
      <c r="BO657" s="26"/>
      <c r="BP657" s="26"/>
      <c r="BQ657" s="26"/>
      <c r="BR657" s="25">
        <v>44593</v>
      </c>
      <c r="BS657" s="26">
        <f t="shared" si="114"/>
        <v>2</v>
      </c>
      <c r="BT657" s="26">
        <f t="shared" si="115"/>
        <v>2022</v>
      </c>
      <c r="BU657" s="26" t="e">
        <f t="shared" si="113"/>
        <v>#DIV/0!</v>
      </c>
    </row>
    <row r="658" spans="1:73" x14ac:dyDescent="0.2">
      <c r="A658" s="25">
        <f>Prices!A657</f>
        <v>45717</v>
      </c>
      <c r="B658" s="31" t="e">
        <f t="shared" si="116"/>
        <v>#DIV/0!</v>
      </c>
      <c r="C658" s="31" t="e">
        <f t="shared" si="117"/>
        <v>#DIV/0!</v>
      </c>
      <c r="D658" s="31" t="e">
        <f>MROUND(FORECAST(Prices!D656,Barley!D441:D656,Prices!D440:D655),0.5)</f>
        <v>#DIV/0!</v>
      </c>
      <c r="E658" s="28" t="e">
        <f t="shared" si="96"/>
        <v>#DIV/0!</v>
      </c>
      <c r="F658" s="28" t="e">
        <f t="shared" ref="F658:F679" si="120">C658-D658</f>
        <v>#DIV/0!</v>
      </c>
      <c r="G658" s="28" t="e">
        <f>Prices!P657-D658</f>
        <v>#DIV/0!</v>
      </c>
      <c r="H658" s="28" t="e">
        <f t="shared" si="98"/>
        <v>#DIV/0!</v>
      </c>
      <c r="I658" s="31" t="e">
        <f t="shared" si="118"/>
        <v>#DIV/0!</v>
      </c>
      <c r="J658" s="31" t="e">
        <f t="shared" si="99"/>
        <v>#DIV/0!</v>
      </c>
      <c r="AI658" s="26"/>
      <c r="AJ658" s="26"/>
      <c r="AK658" s="26"/>
      <c r="AL658" s="26"/>
      <c r="AM658" s="26"/>
      <c r="AN658" s="26"/>
      <c r="AO658" s="26"/>
      <c r="AP658" s="25">
        <v>45717</v>
      </c>
      <c r="AQ658" s="32">
        <f t="shared" si="119"/>
        <v>0.73403333333333332</v>
      </c>
      <c r="AR658" s="26"/>
      <c r="AS658" s="26"/>
      <c r="AT658" s="26"/>
      <c r="AU658" s="26"/>
      <c r="AV658" s="26"/>
      <c r="BA658" s="26">
        <f t="shared" ref="BA658:BA679" si="121">MONTH(A658)</f>
        <v>3</v>
      </c>
      <c r="BB658" s="26">
        <f t="shared" ref="BB658:BB679" si="122">YEAR(A658)</f>
        <v>2025</v>
      </c>
      <c r="BC658" s="25" t="e" vm="1">
        <v>#REF!</v>
      </c>
      <c r="BD658" s="26" t="e" vm="1">
        <v>#REF!</v>
      </c>
      <c r="BE658" s="26"/>
      <c r="BF658" s="26" t="e" vm="2">
        <f t="shared" si="109"/>
        <v>#VALUE!</v>
      </c>
      <c r="BG658" s="26" t="e" vm="2">
        <f t="shared" si="110"/>
        <v>#VALUE!</v>
      </c>
      <c r="BH658" s="26"/>
      <c r="BI658" s="26"/>
      <c r="BJ658" s="21" t="e" vm="1">
        <v>#REF!</v>
      </c>
      <c r="BK658" s="26" t="e" vm="1">
        <v>#REF!</v>
      </c>
      <c r="BL658" s="26"/>
      <c r="BM658" t="e" vm="2">
        <f t="shared" si="111"/>
        <v>#VALUE!</v>
      </c>
      <c r="BN658" t="e" vm="2">
        <f t="shared" si="112"/>
        <v>#VALUE!</v>
      </c>
      <c r="BO658" s="26"/>
      <c r="BP658" s="26"/>
      <c r="BQ658" s="26"/>
      <c r="BR658" s="25">
        <v>44621</v>
      </c>
      <c r="BS658" s="26">
        <f t="shared" si="114"/>
        <v>3</v>
      </c>
      <c r="BT658" s="26">
        <f t="shared" si="115"/>
        <v>2022</v>
      </c>
      <c r="BU658" s="26" t="e">
        <f t="shared" si="113"/>
        <v>#DIV/0!</v>
      </c>
    </row>
    <row r="659" spans="1:73" x14ac:dyDescent="0.2">
      <c r="A659" s="25">
        <f>Prices!A658</f>
        <v>45748</v>
      </c>
      <c r="B659" s="31" t="e">
        <f t="shared" si="116"/>
        <v>#DIV/0!</v>
      </c>
      <c r="C659" s="31" t="e">
        <f t="shared" si="117"/>
        <v>#DIV/0!</v>
      </c>
      <c r="D659" s="31" t="e">
        <f>MROUND(FORECAST(Prices!D657,Barley!D442:D657,Prices!D441:D656),0.5)</f>
        <v>#DIV/0!</v>
      </c>
      <c r="E659" s="28" t="e">
        <f t="shared" ref="E659:E679" si="123">B659-D659</f>
        <v>#DIV/0!</v>
      </c>
      <c r="F659" s="28" t="e">
        <f t="shared" si="120"/>
        <v>#DIV/0!</v>
      </c>
      <c r="G659" s="28" t="e">
        <f>Prices!P658-D659</f>
        <v>#DIV/0!</v>
      </c>
      <c r="H659" s="28" t="e">
        <f t="shared" si="98"/>
        <v>#DIV/0!</v>
      </c>
      <c r="I659" s="31" t="e">
        <f t="shared" si="118"/>
        <v>#DIV/0!</v>
      </c>
      <c r="J659" s="31" t="e">
        <f t="shared" si="99"/>
        <v>#DIV/0!</v>
      </c>
      <c r="AI659" s="26"/>
      <c r="AJ659" s="26"/>
      <c r="AK659" s="26"/>
      <c r="AL659" s="26"/>
      <c r="AM659" s="26"/>
      <c r="AN659" s="26"/>
      <c r="AO659" s="26"/>
      <c r="AP659" s="25">
        <v>45748</v>
      </c>
      <c r="AQ659" s="32">
        <f t="shared" si="119"/>
        <v>0.73403333333333332</v>
      </c>
      <c r="AR659" s="26"/>
      <c r="AS659" s="26"/>
      <c r="AT659" s="26"/>
      <c r="AU659" s="26"/>
      <c r="AV659" s="26"/>
      <c r="BA659" s="26">
        <f t="shared" si="121"/>
        <v>4</v>
      </c>
      <c r="BB659" s="26">
        <f t="shared" si="122"/>
        <v>2025</v>
      </c>
      <c r="BC659" s="25" t="e" vm="1">
        <v>#REF!</v>
      </c>
      <c r="BD659" s="26" t="e" vm="1">
        <v>#REF!</v>
      </c>
      <c r="BE659" s="26"/>
      <c r="BF659" s="26" t="e" vm="2">
        <f t="shared" si="109"/>
        <v>#VALUE!</v>
      </c>
      <c r="BG659" s="26" t="e" vm="2">
        <f t="shared" si="110"/>
        <v>#VALUE!</v>
      </c>
      <c r="BH659" s="26"/>
      <c r="BI659" s="26"/>
      <c r="BJ659" s="21" t="e" vm="1">
        <v>#REF!</v>
      </c>
      <c r="BK659" s="26" t="e" vm="1">
        <v>#REF!</v>
      </c>
      <c r="BL659" s="26"/>
      <c r="BM659" t="e" vm="2">
        <f t="shared" si="111"/>
        <v>#VALUE!</v>
      </c>
      <c r="BN659" t="e" vm="2">
        <f t="shared" si="112"/>
        <v>#VALUE!</v>
      </c>
      <c r="BO659" s="26"/>
      <c r="BP659" s="26"/>
      <c r="BQ659" s="26"/>
      <c r="BR659" s="25">
        <v>44652</v>
      </c>
      <c r="BS659" s="26">
        <f t="shared" si="114"/>
        <v>4</v>
      </c>
      <c r="BT659" s="26">
        <f t="shared" si="115"/>
        <v>2022</v>
      </c>
      <c r="BU659" s="26" t="e">
        <f t="shared" si="113"/>
        <v>#DIV/0!</v>
      </c>
    </row>
    <row r="660" spans="1:73" x14ac:dyDescent="0.2">
      <c r="A660" s="25">
        <f>Prices!A659</f>
        <v>45778</v>
      </c>
      <c r="B660" s="31" t="e">
        <f t="shared" si="116"/>
        <v>#DIV/0!</v>
      </c>
      <c r="C660" s="31" t="e">
        <f t="shared" si="117"/>
        <v>#DIV/0!</v>
      </c>
      <c r="D660" s="31" t="e">
        <f>MROUND(FORECAST(Prices!D658,Barley!D443:D658,Prices!D442:D657),0.5)</f>
        <v>#DIV/0!</v>
      </c>
      <c r="E660" s="28" t="e">
        <f t="shared" si="123"/>
        <v>#DIV/0!</v>
      </c>
      <c r="F660" s="28" t="e">
        <f t="shared" si="120"/>
        <v>#DIV/0!</v>
      </c>
      <c r="G660" s="28" t="e">
        <f>Prices!P659-D660</f>
        <v>#DIV/0!</v>
      </c>
      <c r="H660" s="28" t="e">
        <f t="shared" si="98"/>
        <v>#DIV/0!</v>
      </c>
      <c r="I660" s="31" t="e">
        <f t="shared" si="118"/>
        <v>#DIV/0!</v>
      </c>
      <c r="J660" s="31" t="e">
        <f t="shared" si="99"/>
        <v>#DIV/0!</v>
      </c>
      <c r="AI660" s="26"/>
      <c r="AJ660" s="26"/>
      <c r="AK660" s="26"/>
      <c r="AL660" s="26"/>
      <c r="AM660" s="26"/>
      <c r="AN660" s="26"/>
      <c r="AO660" s="26"/>
      <c r="AP660" s="25">
        <v>45778</v>
      </c>
      <c r="AQ660" s="32">
        <f t="shared" si="119"/>
        <v>0.73403333333333332</v>
      </c>
      <c r="AR660" s="26"/>
      <c r="AS660" s="26"/>
      <c r="AT660" s="26"/>
      <c r="AU660" s="26"/>
      <c r="AV660" s="26"/>
      <c r="BA660" s="26">
        <f t="shared" si="121"/>
        <v>5</v>
      </c>
      <c r="BB660" s="26">
        <f t="shared" si="122"/>
        <v>2025</v>
      </c>
      <c r="BC660" s="25" t="e" vm="1">
        <v>#REF!</v>
      </c>
      <c r="BD660" s="26" t="e" vm="1">
        <v>#REF!</v>
      </c>
      <c r="BE660" s="26"/>
      <c r="BF660" s="26" t="e" vm="2">
        <f t="shared" si="109"/>
        <v>#VALUE!</v>
      </c>
      <c r="BG660" s="26" t="e" vm="2">
        <f t="shared" si="110"/>
        <v>#VALUE!</v>
      </c>
      <c r="BH660" s="26"/>
      <c r="BI660" s="26"/>
      <c r="BJ660" s="21" t="e" vm="1">
        <v>#REF!</v>
      </c>
      <c r="BK660" s="26" t="e" vm="1">
        <v>#REF!</v>
      </c>
      <c r="BL660" s="26"/>
      <c r="BM660" t="e" vm="2">
        <f t="shared" si="111"/>
        <v>#VALUE!</v>
      </c>
      <c r="BN660" t="e" vm="2">
        <f t="shared" si="112"/>
        <v>#VALUE!</v>
      </c>
      <c r="BO660" s="26"/>
      <c r="BP660" s="26"/>
      <c r="BQ660" s="26"/>
      <c r="BR660" s="25">
        <v>44682</v>
      </c>
      <c r="BS660" s="26">
        <f t="shared" si="114"/>
        <v>5</v>
      </c>
      <c r="BT660" s="26">
        <f t="shared" si="115"/>
        <v>2022</v>
      </c>
      <c r="BU660" s="26" t="e">
        <f t="shared" si="113"/>
        <v>#DIV/0!</v>
      </c>
    </row>
    <row r="661" spans="1:73" x14ac:dyDescent="0.2">
      <c r="A661" s="25">
        <f>Prices!A660</f>
        <v>45809</v>
      </c>
      <c r="B661" s="31" t="e">
        <f t="shared" si="116"/>
        <v>#DIV/0!</v>
      </c>
      <c r="C661" s="31" t="e">
        <f t="shared" si="117"/>
        <v>#DIV/0!</v>
      </c>
      <c r="D661" s="31" t="e">
        <f>MROUND(FORECAST(Prices!D659,Barley!D444:D659,Prices!D443:D658),0.5)</f>
        <v>#DIV/0!</v>
      </c>
      <c r="E661" s="28" t="e">
        <f t="shared" si="123"/>
        <v>#DIV/0!</v>
      </c>
      <c r="F661" s="28" t="e">
        <f t="shared" si="120"/>
        <v>#DIV/0!</v>
      </c>
      <c r="G661" s="28" t="e">
        <f>Prices!P660-D661</f>
        <v>#DIV/0!</v>
      </c>
      <c r="H661" s="28" t="e">
        <f t="shared" si="98"/>
        <v>#DIV/0!</v>
      </c>
      <c r="I661" s="31" t="e">
        <f t="shared" si="118"/>
        <v>#DIV/0!</v>
      </c>
      <c r="J661" s="31" t="e">
        <f t="shared" si="99"/>
        <v>#DIV/0!</v>
      </c>
      <c r="AI661" s="26"/>
      <c r="AJ661" s="26"/>
      <c r="AK661" s="26"/>
      <c r="AL661" s="26"/>
      <c r="AM661" s="26"/>
      <c r="AN661" s="26"/>
      <c r="AO661" s="26"/>
      <c r="AP661" s="25">
        <v>45809</v>
      </c>
      <c r="AQ661" s="32">
        <f t="shared" si="119"/>
        <v>0.73403333333333332</v>
      </c>
      <c r="AR661" s="26"/>
      <c r="AS661" s="26"/>
      <c r="AT661" s="26"/>
      <c r="AU661" s="26"/>
      <c r="AV661" s="26"/>
      <c r="BA661" s="26">
        <f t="shared" si="121"/>
        <v>6</v>
      </c>
      <c r="BB661" s="26">
        <f t="shared" si="122"/>
        <v>2025</v>
      </c>
      <c r="BC661" s="25" t="e" vm="1">
        <v>#REF!</v>
      </c>
      <c r="BD661" s="26" t="e" vm="1">
        <v>#REF!</v>
      </c>
      <c r="BE661" s="26"/>
      <c r="BF661" s="26" t="e" vm="2">
        <f t="shared" si="109"/>
        <v>#VALUE!</v>
      </c>
      <c r="BG661" s="26" t="e" vm="2">
        <f t="shared" si="110"/>
        <v>#VALUE!</v>
      </c>
      <c r="BH661" s="26"/>
      <c r="BI661" s="26"/>
      <c r="BJ661" s="21" t="e" vm="1">
        <v>#REF!</v>
      </c>
      <c r="BK661" s="26" t="e" vm="1">
        <v>#REF!</v>
      </c>
      <c r="BL661" s="26"/>
      <c r="BM661" t="e" vm="2">
        <f t="shared" si="111"/>
        <v>#VALUE!</v>
      </c>
      <c r="BN661" t="e" vm="2">
        <f t="shared" si="112"/>
        <v>#VALUE!</v>
      </c>
      <c r="BO661" s="26"/>
      <c r="BP661" s="26"/>
      <c r="BQ661" s="26"/>
      <c r="BR661" s="25">
        <v>44713</v>
      </c>
      <c r="BS661" s="26">
        <f t="shared" si="114"/>
        <v>6</v>
      </c>
      <c r="BT661" s="26">
        <f t="shared" si="115"/>
        <v>2022</v>
      </c>
      <c r="BU661" s="26" t="e">
        <f t="shared" si="113"/>
        <v>#DIV/0!</v>
      </c>
    </row>
    <row r="662" spans="1:73" x14ac:dyDescent="0.2">
      <c r="A662" s="25">
        <f>Prices!A661</f>
        <v>45839</v>
      </c>
      <c r="B662" s="31" t="e">
        <f t="shared" si="116"/>
        <v>#DIV/0!</v>
      </c>
      <c r="C662" s="31" t="e">
        <f t="shared" si="117"/>
        <v>#DIV/0!</v>
      </c>
      <c r="D662" s="31" t="e">
        <f>MROUND(FORECAST(Prices!D660,Barley!D445:D660,Prices!D444:D659),0.5)</f>
        <v>#DIV/0!</v>
      </c>
      <c r="E662" s="28" t="e">
        <f t="shared" si="123"/>
        <v>#DIV/0!</v>
      </c>
      <c r="F662" s="28" t="e">
        <f t="shared" si="120"/>
        <v>#DIV/0!</v>
      </c>
      <c r="G662" s="28" t="e">
        <f>Prices!P661-D662</f>
        <v>#DIV/0!</v>
      </c>
      <c r="H662" s="28" t="e">
        <f t="shared" si="98"/>
        <v>#DIV/0!</v>
      </c>
      <c r="I662" s="31" t="e">
        <f t="shared" si="118"/>
        <v>#DIV/0!</v>
      </c>
      <c r="J662" s="31" t="e">
        <f t="shared" si="99"/>
        <v>#DIV/0!</v>
      </c>
      <c r="AI662" s="26"/>
      <c r="AJ662" s="26"/>
      <c r="AK662" s="26"/>
      <c r="AL662" s="26"/>
      <c r="AM662" s="26"/>
      <c r="AN662" s="26"/>
      <c r="AO662" s="26"/>
      <c r="AP662" s="25">
        <v>45839</v>
      </c>
      <c r="AQ662" s="32">
        <f t="shared" si="119"/>
        <v>0.73403333333333332</v>
      </c>
      <c r="AR662" s="26"/>
      <c r="AS662" s="26"/>
      <c r="AT662" s="26"/>
      <c r="AU662" s="26"/>
      <c r="AV662" s="26"/>
      <c r="BA662" s="26">
        <f t="shared" si="121"/>
        <v>7</v>
      </c>
      <c r="BB662" s="26">
        <f t="shared" si="122"/>
        <v>2025</v>
      </c>
      <c r="BC662" s="25" t="e" vm="1">
        <v>#REF!</v>
      </c>
      <c r="BD662" s="26" t="e" vm="1">
        <v>#REF!</v>
      </c>
      <c r="BE662" s="26"/>
      <c r="BF662" s="26" t="e" vm="2">
        <f t="shared" si="109"/>
        <v>#VALUE!</v>
      </c>
      <c r="BG662" s="26" t="e" vm="2">
        <f t="shared" si="110"/>
        <v>#VALUE!</v>
      </c>
      <c r="BH662" s="26"/>
      <c r="BI662" s="26"/>
      <c r="BJ662" s="21" t="e" vm="1">
        <v>#REF!</v>
      </c>
      <c r="BK662" s="26" t="e" vm="1">
        <v>#REF!</v>
      </c>
      <c r="BL662" s="26"/>
      <c r="BM662" t="e" vm="2">
        <f t="shared" si="111"/>
        <v>#VALUE!</v>
      </c>
      <c r="BN662" t="e" vm="2">
        <f t="shared" si="112"/>
        <v>#VALUE!</v>
      </c>
      <c r="BO662" s="26"/>
      <c r="BP662" s="26"/>
      <c r="BQ662" s="26"/>
      <c r="BR662" s="25">
        <v>44743</v>
      </c>
      <c r="BS662" s="26">
        <f t="shared" si="114"/>
        <v>7</v>
      </c>
      <c r="BT662" s="26">
        <f t="shared" si="115"/>
        <v>2022</v>
      </c>
      <c r="BU662" s="26" t="e">
        <f t="shared" si="113"/>
        <v>#DIV/0!</v>
      </c>
    </row>
    <row r="663" spans="1:73" x14ac:dyDescent="0.2">
      <c r="A663" s="25">
        <f>Prices!A662</f>
        <v>45870</v>
      </c>
      <c r="B663" s="31" t="e">
        <f t="shared" si="116"/>
        <v>#DIV/0!</v>
      </c>
      <c r="C663" s="31" t="e">
        <f t="shared" si="117"/>
        <v>#DIV/0!</v>
      </c>
      <c r="D663" s="31" t="e">
        <f>MROUND(FORECAST(Prices!D661,Barley!D446:D661,Prices!D445:D660),0.5)</f>
        <v>#DIV/0!</v>
      </c>
      <c r="E663" s="28" t="e">
        <f t="shared" si="123"/>
        <v>#DIV/0!</v>
      </c>
      <c r="F663" s="28" t="e">
        <f t="shared" si="120"/>
        <v>#DIV/0!</v>
      </c>
      <c r="G663" s="28" t="e">
        <f>Prices!P662-D663</f>
        <v>#DIV/0!</v>
      </c>
      <c r="H663" s="28" t="e">
        <f t="shared" si="98"/>
        <v>#DIV/0!</v>
      </c>
      <c r="I663" s="31" t="e">
        <f t="shared" si="118"/>
        <v>#DIV/0!</v>
      </c>
      <c r="J663" s="31" t="e">
        <f t="shared" si="99"/>
        <v>#DIV/0!</v>
      </c>
      <c r="AI663" s="26"/>
      <c r="AJ663" s="26"/>
      <c r="AK663" s="26"/>
      <c r="AL663" s="26"/>
      <c r="AM663" s="26"/>
      <c r="AN663" s="26"/>
      <c r="AO663" s="26"/>
      <c r="AP663" s="25">
        <v>45870</v>
      </c>
      <c r="AQ663" s="32">
        <f t="shared" si="119"/>
        <v>0.73403333333333332</v>
      </c>
      <c r="AR663" s="26"/>
      <c r="AS663" s="26"/>
      <c r="AT663" s="26"/>
      <c r="AU663" s="26"/>
      <c r="AV663" s="26"/>
      <c r="BA663" s="26">
        <f t="shared" si="121"/>
        <v>8</v>
      </c>
      <c r="BB663" s="26">
        <f t="shared" si="122"/>
        <v>2025</v>
      </c>
      <c r="BC663" s="25" t="e" vm="1">
        <v>#REF!</v>
      </c>
      <c r="BD663" s="26" t="e" vm="1">
        <v>#REF!</v>
      </c>
      <c r="BE663" s="26"/>
      <c r="BF663" s="26" t="e" vm="2">
        <f t="shared" si="109"/>
        <v>#VALUE!</v>
      </c>
      <c r="BG663" s="26" t="e" vm="2">
        <f t="shared" si="110"/>
        <v>#VALUE!</v>
      </c>
      <c r="BH663" s="26"/>
      <c r="BI663" s="26"/>
      <c r="BJ663" s="21" t="e" vm="1">
        <v>#REF!</v>
      </c>
      <c r="BK663" s="26" t="e" vm="1">
        <v>#REF!</v>
      </c>
      <c r="BL663" s="26"/>
      <c r="BM663" t="e" vm="2">
        <f t="shared" si="111"/>
        <v>#VALUE!</v>
      </c>
      <c r="BN663" t="e" vm="2">
        <f t="shared" si="112"/>
        <v>#VALUE!</v>
      </c>
      <c r="BO663" s="26"/>
      <c r="BP663" s="26"/>
      <c r="BQ663" s="26"/>
      <c r="BR663" s="25">
        <v>44774</v>
      </c>
      <c r="BS663" s="26">
        <f t="shared" si="114"/>
        <v>8</v>
      </c>
      <c r="BT663" s="26">
        <f t="shared" si="115"/>
        <v>2022</v>
      </c>
      <c r="BU663" s="26" t="e">
        <f t="shared" si="113"/>
        <v>#DIV/0!</v>
      </c>
    </row>
    <row r="664" spans="1:73" x14ac:dyDescent="0.2">
      <c r="A664" s="25">
        <f>Prices!A663</f>
        <v>45901</v>
      </c>
      <c r="B664" s="31" t="e">
        <f t="shared" si="116"/>
        <v>#DIV/0!</v>
      </c>
      <c r="C664" s="31" t="e">
        <f t="shared" si="117"/>
        <v>#DIV/0!</v>
      </c>
      <c r="D664" s="31" t="e">
        <f>MROUND(FORECAST(Prices!D662,Barley!D447:D662,Prices!D446:D661),0.5)</f>
        <v>#DIV/0!</v>
      </c>
      <c r="E664" s="28" t="e">
        <f t="shared" si="123"/>
        <v>#DIV/0!</v>
      </c>
      <c r="F664" s="28" t="e">
        <f t="shared" si="120"/>
        <v>#DIV/0!</v>
      </c>
      <c r="G664" s="28" t="e">
        <f>Prices!P663-D664</f>
        <v>#DIV/0!</v>
      </c>
      <c r="H664" s="28" t="e">
        <f t="shared" si="98"/>
        <v>#DIV/0!</v>
      </c>
      <c r="I664" s="31" t="e">
        <f t="shared" si="118"/>
        <v>#DIV/0!</v>
      </c>
      <c r="J664" s="31" t="e">
        <f t="shared" si="99"/>
        <v>#DIV/0!</v>
      </c>
      <c r="AI664" s="26"/>
      <c r="AJ664" s="26"/>
      <c r="AK664" s="26"/>
      <c r="AL664" s="26"/>
      <c r="AM664" s="26"/>
      <c r="AN664" s="26"/>
      <c r="AO664" s="26"/>
      <c r="AP664" s="25">
        <v>45901</v>
      </c>
      <c r="AQ664" s="32">
        <f t="shared" si="119"/>
        <v>0.73403333333333332</v>
      </c>
      <c r="AR664" s="26"/>
      <c r="AS664" s="26"/>
      <c r="AT664" s="26"/>
      <c r="AU664" s="26"/>
      <c r="AV664" s="26"/>
      <c r="BA664" s="26">
        <f t="shared" si="121"/>
        <v>9</v>
      </c>
      <c r="BB664" s="26">
        <f t="shared" si="122"/>
        <v>2025</v>
      </c>
      <c r="BC664" s="25" t="e" vm="1">
        <v>#REF!</v>
      </c>
      <c r="BD664" s="26" t="e" vm="1">
        <v>#REF!</v>
      </c>
      <c r="BE664" s="26"/>
      <c r="BF664" s="26" t="e" vm="2">
        <f t="shared" si="109"/>
        <v>#VALUE!</v>
      </c>
      <c r="BG664" s="26" t="e" vm="2">
        <f t="shared" si="110"/>
        <v>#VALUE!</v>
      </c>
      <c r="BH664" s="26"/>
      <c r="BI664" s="26"/>
      <c r="BJ664" s="21" t="e" vm="1">
        <v>#REF!</v>
      </c>
      <c r="BK664" s="26" t="e" vm="1">
        <v>#REF!</v>
      </c>
      <c r="BL664" s="26"/>
      <c r="BM664" t="e" vm="2">
        <f t="shared" si="111"/>
        <v>#VALUE!</v>
      </c>
      <c r="BN664" t="e" vm="2">
        <f t="shared" si="112"/>
        <v>#VALUE!</v>
      </c>
      <c r="BO664" s="26"/>
      <c r="BP664" s="26"/>
      <c r="BQ664" s="26"/>
      <c r="BR664" s="25">
        <v>44805</v>
      </c>
      <c r="BS664" s="26">
        <f t="shared" si="114"/>
        <v>9</v>
      </c>
      <c r="BT664" s="26">
        <f t="shared" si="115"/>
        <v>2022</v>
      </c>
      <c r="BU664" s="26" t="e">
        <f t="shared" si="113"/>
        <v>#DIV/0!</v>
      </c>
    </row>
    <row r="665" spans="1:73" x14ac:dyDescent="0.2">
      <c r="A665" s="25">
        <f>Prices!A664</f>
        <v>45931</v>
      </c>
      <c r="B665" s="31" t="e">
        <f t="shared" si="116"/>
        <v>#DIV/0!</v>
      </c>
      <c r="C665" s="31" t="e">
        <f t="shared" si="117"/>
        <v>#DIV/0!</v>
      </c>
      <c r="D665" s="31" t="e">
        <f>MROUND(FORECAST(Prices!D663,Barley!D448:D663,Prices!D447:D662),0.5)</f>
        <v>#DIV/0!</v>
      </c>
      <c r="E665" s="28" t="e">
        <f t="shared" si="123"/>
        <v>#DIV/0!</v>
      </c>
      <c r="F665" s="28" t="e">
        <f t="shared" si="120"/>
        <v>#DIV/0!</v>
      </c>
      <c r="G665" s="28" t="e">
        <f>Prices!P664-D665</f>
        <v>#DIV/0!</v>
      </c>
      <c r="H665" s="28" t="e">
        <f t="shared" si="98"/>
        <v>#DIV/0!</v>
      </c>
      <c r="I665" s="31" t="e">
        <f t="shared" si="118"/>
        <v>#DIV/0!</v>
      </c>
      <c r="J665" s="31" t="e">
        <f t="shared" si="99"/>
        <v>#DIV/0!</v>
      </c>
      <c r="AI665" s="26"/>
      <c r="AJ665" s="26"/>
      <c r="AK665" s="26"/>
      <c r="AL665" s="26"/>
      <c r="AM665" s="26"/>
      <c r="AN665" s="26"/>
      <c r="AO665" s="26"/>
      <c r="AP665" s="25">
        <v>45931</v>
      </c>
      <c r="AQ665" s="32">
        <f t="shared" si="119"/>
        <v>0.73403333333333332</v>
      </c>
      <c r="AR665" s="26"/>
      <c r="AS665" s="26"/>
      <c r="AT665" s="26"/>
      <c r="AU665" s="26"/>
      <c r="AV665" s="26"/>
      <c r="BA665" s="26">
        <f t="shared" si="121"/>
        <v>10</v>
      </c>
      <c r="BB665" s="26">
        <f t="shared" si="122"/>
        <v>2025</v>
      </c>
      <c r="BC665" s="25" t="e" vm="1">
        <v>#REF!</v>
      </c>
      <c r="BD665" s="26" t="e" vm="1">
        <v>#REF!</v>
      </c>
      <c r="BE665" s="26"/>
      <c r="BF665" s="26" t="e" vm="2">
        <f t="shared" si="109"/>
        <v>#VALUE!</v>
      </c>
      <c r="BG665" s="26" t="e" vm="2">
        <f t="shared" si="110"/>
        <v>#VALUE!</v>
      </c>
      <c r="BH665" s="26"/>
      <c r="BI665" s="26"/>
      <c r="BJ665" s="21" t="e" vm="1">
        <v>#REF!</v>
      </c>
      <c r="BK665" s="26" t="e" vm="1">
        <v>#REF!</v>
      </c>
      <c r="BL665" s="26"/>
      <c r="BM665" t="e" vm="2">
        <f t="shared" si="111"/>
        <v>#VALUE!</v>
      </c>
      <c r="BN665" t="e" vm="2">
        <f t="shared" si="112"/>
        <v>#VALUE!</v>
      </c>
      <c r="BO665" s="26"/>
      <c r="BP665" s="26"/>
      <c r="BQ665" s="26"/>
      <c r="BR665" s="25">
        <v>44835</v>
      </c>
      <c r="BS665" s="26">
        <f t="shared" si="114"/>
        <v>10</v>
      </c>
      <c r="BT665" s="26">
        <f t="shared" si="115"/>
        <v>2022</v>
      </c>
      <c r="BU665" s="26" t="e">
        <f t="shared" si="113"/>
        <v>#DIV/0!</v>
      </c>
    </row>
    <row r="666" spans="1:73" x14ac:dyDescent="0.2">
      <c r="A666" s="25">
        <f>Prices!A665</f>
        <v>45962</v>
      </c>
      <c r="B666" s="31" t="e">
        <f t="shared" si="116"/>
        <v>#DIV/0!</v>
      </c>
      <c r="C666" s="31" t="e">
        <f t="shared" si="117"/>
        <v>#DIV/0!</v>
      </c>
      <c r="D666" s="31" t="e">
        <f>MROUND(FORECAST(Prices!D664,Barley!D449:D664,Prices!D448:D663),0.5)</f>
        <v>#DIV/0!</v>
      </c>
      <c r="E666" s="28" t="e">
        <f t="shared" si="123"/>
        <v>#DIV/0!</v>
      </c>
      <c r="F666" s="28" t="e">
        <f t="shared" si="120"/>
        <v>#DIV/0!</v>
      </c>
      <c r="G666" s="28" t="e">
        <f>Prices!P665-D666</f>
        <v>#DIV/0!</v>
      </c>
      <c r="H666" s="28" t="e">
        <f t="shared" si="98"/>
        <v>#DIV/0!</v>
      </c>
      <c r="I666" s="31" t="e">
        <f t="shared" si="118"/>
        <v>#DIV/0!</v>
      </c>
      <c r="J666" s="31" t="e">
        <f t="shared" si="99"/>
        <v>#DIV/0!</v>
      </c>
      <c r="AI666" s="26"/>
      <c r="AJ666" s="26"/>
      <c r="AK666" s="26"/>
      <c r="AL666" s="26"/>
      <c r="AM666" s="26"/>
      <c r="AN666" s="26"/>
      <c r="AO666" s="26"/>
      <c r="AP666" s="25">
        <v>45962</v>
      </c>
      <c r="AQ666" s="32">
        <f t="shared" si="119"/>
        <v>0.73403333333333332</v>
      </c>
      <c r="AR666" s="26"/>
      <c r="AS666" s="26"/>
      <c r="AT666" s="26"/>
      <c r="AU666" s="26"/>
      <c r="AV666" s="26"/>
      <c r="BA666" s="26">
        <f t="shared" si="121"/>
        <v>11</v>
      </c>
      <c r="BB666" s="26">
        <f t="shared" si="122"/>
        <v>2025</v>
      </c>
      <c r="BC666" s="25" t="e" vm="1">
        <v>#REF!</v>
      </c>
      <c r="BD666" s="26" t="e" vm="1">
        <v>#REF!</v>
      </c>
      <c r="BE666" s="26"/>
      <c r="BF666" s="26" t="e" vm="2">
        <f t="shared" si="109"/>
        <v>#VALUE!</v>
      </c>
      <c r="BG666" s="26" t="e" vm="2">
        <f t="shared" si="110"/>
        <v>#VALUE!</v>
      </c>
      <c r="BH666" s="26"/>
      <c r="BI666" s="26"/>
      <c r="BJ666" s="21" t="e" vm="1">
        <v>#REF!</v>
      </c>
      <c r="BK666" s="26" t="e" vm="1">
        <v>#REF!</v>
      </c>
      <c r="BL666" s="26"/>
      <c r="BM666" t="e" vm="2">
        <f t="shared" si="111"/>
        <v>#VALUE!</v>
      </c>
      <c r="BN666" t="e" vm="2">
        <f t="shared" si="112"/>
        <v>#VALUE!</v>
      </c>
      <c r="BO666" s="26"/>
      <c r="BP666" s="26"/>
      <c r="BQ666" s="26"/>
      <c r="BR666" s="25">
        <v>44866</v>
      </c>
      <c r="BS666" s="26">
        <f t="shared" si="114"/>
        <v>11</v>
      </c>
      <c r="BT666" s="26">
        <f t="shared" si="115"/>
        <v>2022</v>
      </c>
      <c r="BU666" s="26" t="e">
        <f t="shared" si="113"/>
        <v>#DIV/0!</v>
      </c>
    </row>
    <row r="667" spans="1:73" x14ac:dyDescent="0.2">
      <c r="A667" s="25">
        <f>Prices!A666</f>
        <v>45992</v>
      </c>
      <c r="B667" s="31" t="e">
        <f t="shared" si="116"/>
        <v>#DIV/0!</v>
      </c>
      <c r="C667" s="31" t="e">
        <f t="shared" si="117"/>
        <v>#DIV/0!</v>
      </c>
      <c r="D667" s="31" t="e">
        <f>MROUND(FORECAST(Prices!D665,Barley!D450:D665,Prices!D449:D664),0.5)</f>
        <v>#DIV/0!</v>
      </c>
      <c r="E667" s="28" t="e">
        <f t="shared" si="123"/>
        <v>#DIV/0!</v>
      </c>
      <c r="F667" s="28" t="e">
        <f t="shared" si="120"/>
        <v>#DIV/0!</v>
      </c>
      <c r="G667" s="28" t="e">
        <f>Prices!P666-D667</f>
        <v>#DIV/0!</v>
      </c>
      <c r="H667" s="28" t="e">
        <f t="shared" si="98"/>
        <v>#DIV/0!</v>
      </c>
      <c r="I667" s="31" t="e">
        <f t="shared" si="118"/>
        <v>#DIV/0!</v>
      </c>
      <c r="J667" s="31" t="e">
        <f t="shared" si="99"/>
        <v>#DIV/0!</v>
      </c>
      <c r="AI667" s="26"/>
      <c r="AJ667" s="26"/>
      <c r="AK667" s="26"/>
      <c r="AL667" s="26"/>
      <c r="AM667" s="26"/>
      <c r="AN667" s="26"/>
      <c r="AO667" s="26"/>
      <c r="AP667" s="25">
        <v>45992</v>
      </c>
      <c r="AQ667" s="32">
        <f t="shared" si="119"/>
        <v>0.73403333333333332</v>
      </c>
      <c r="AR667" s="26"/>
      <c r="AS667" s="26"/>
      <c r="AT667" s="26"/>
      <c r="AU667" s="26"/>
      <c r="AV667" s="26"/>
      <c r="BA667" s="26">
        <f t="shared" si="121"/>
        <v>12</v>
      </c>
      <c r="BB667" s="26">
        <f t="shared" si="122"/>
        <v>2025</v>
      </c>
      <c r="BC667" s="25" t="e" vm="1">
        <v>#REF!</v>
      </c>
      <c r="BD667" s="26" t="e" vm="1">
        <v>#REF!</v>
      </c>
      <c r="BE667" s="26"/>
      <c r="BF667" s="26" t="e" vm="2">
        <f t="shared" si="109"/>
        <v>#VALUE!</v>
      </c>
      <c r="BG667" s="26" t="e" vm="2">
        <f t="shared" si="110"/>
        <v>#VALUE!</v>
      </c>
      <c r="BH667" s="26"/>
      <c r="BI667" s="26"/>
      <c r="BJ667" s="21" t="e" vm="1">
        <v>#REF!</v>
      </c>
      <c r="BK667" s="26" t="e" vm="1">
        <v>#REF!</v>
      </c>
      <c r="BL667" s="26"/>
      <c r="BM667" t="e" vm="2">
        <f t="shared" si="111"/>
        <v>#VALUE!</v>
      </c>
      <c r="BN667" t="e" vm="2">
        <f t="shared" si="112"/>
        <v>#VALUE!</v>
      </c>
      <c r="BO667" s="26"/>
      <c r="BP667" s="26"/>
      <c r="BQ667" s="26"/>
      <c r="BR667" s="25">
        <v>44896</v>
      </c>
      <c r="BS667" s="26">
        <f t="shared" si="114"/>
        <v>12</v>
      </c>
      <c r="BT667" s="26">
        <f t="shared" si="115"/>
        <v>2022</v>
      </c>
      <c r="BU667" s="26" t="e">
        <f t="shared" si="113"/>
        <v>#DIV/0!</v>
      </c>
    </row>
    <row r="668" spans="1:73" x14ac:dyDescent="0.2">
      <c r="A668" s="25">
        <f>Prices!A667</f>
        <v>46023</v>
      </c>
      <c r="B668" s="31" t="e">
        <f t="shared" si="116"/>
        <v>#DIV/0!</v>
      </c>
      <c r="C668" s="31" t="e">
        <f t="shared" si="117"/>
        <v>#DIV/0!</v>
      </c>
      <c r="D668" s="31" t="e">
        <f>MROUND(FORECAST(Prices!D666,Barley!D451:D666,Prices!D450:D665),0.5)</f>
        <v>#DIV/0!</v>
      </c>
      <c r="E668" s="28" t="e">
        <f t="shared" si="123"/>
        <v>#DIV/0!</v>
      </c>
      <c r="F668" s="28" t="e">
        <f t="shared" si="120"/>
        <v>#DIV/0!</v>
      </c>
      <c r="G668" s="28" t="e">
        <f>Prices!P667-D668</f>
        <v>#DIV/0!</v>
      </c>
      <c r="H668" s="28" t="e">
        <f t="shared" si="98"/>
        <v>#DIV/0!</v>
      </c>
      <c r="I668" s="31" t="e">
        <f t="shared" si="118"/>
        <v>#DIV/0!</v>
      </c>
      <c r="J668" s="31" t="e">
        <f t="shared" si="99"/>
        <v>#DIV/0!</v>
      </c>
      <c r="AI668" s="26"/>
      <c r="AJ668" s="26"/>
      <c r="AK668" s="26"/>
      <c r="AL668" s="26"/>
      <c r="AM668" s="26"/>
      <c r="AN668" s="26"/>
      <c r="AO668" s="26"/>
      <c r="AP668" s="25">
        <v>46023</v>
      </c>
      <c r="AQ668" s="32">
        <f t="shared" si="119"/>
        <v>0.73403333333333332</v>
      </c>
      <c r="AR668" s="26"/>
      <c r="AS668" s="26"/>
      <c r="AT668" s="26"/>
      <c r="AU668" s="26"/>
      <c r="AV668" s="26"/>
      <c r="BA668" s="26">
        <f t="shared" si="121"/>
        <v>1</v>
      </c>
      <c r="BB668" s="26">
        <f t="shared" si="122"/>
        <v>2026</v>
      </c>
      <c r="BC668" s="25" t="e" vm="1">
        <v>#REF!</v>
      </c>
      <c r="BD668" s="26" t="e" vm="1">
        <v>#REF!</v>
      </c>
      <c r="BE668" s="26"/>
      <c r="BF668" s="26" t="e" vm="2">
        <f t="shared" si="109"/>
        <v>#VALUE!</v>
      </c>
      <c r="BG668" s="26" t="e" vm="2">
        <f t="shared" si="110"/>
        <v>#VALUE!</v>
      </c>
      <c r="BH668" s="26"/>
      <c r="BI668" s="26"/>
      <c r="BJ668" s="21" t="e" vm="1">
        <v>#REF!</v>
      </c>
      <c r="BK668" s="26" t="e" vm="1">
        <v>#REF!</v>
      </c>
      <c r="BL668" s="26"/>
      <c r="BM668" t="e" vm="2">
        <f t="shared" si="111"/>
        <v>#VALUE!</v>
      </c>
      <c r="BN668" t="e" vm="2">
        <f t="shared" si="112"/>
        <v>#VALUE!</v>
      </c>
      <c r="BO668" s="26"/>
      <c r="BP668" s="26"/>
      <c r="BQ668" s="26"/>
      <c r="BR668" s="25">
        <v>44927</v>
      </c>
      <c r="BS668" s="26">
        <f t="shared" si="114"/>
        <v>1</v>
      </c>
      <c r="BT668" s="26">
        <f t="shared" si="115"/>
        <v>2023</v>
      </c>
      <c r="BU668" s="26" t="e">
        <f t="shared" si="113"/>
        <v>#DIV/0!</v>
      </c>
    </row>
    <row r="669" spans="1:73" x14ac:dyDescent="0.2">
      <c r="A669" s="25">
        <f>Prices!A668</f>
        <v>46054</v>
      </c>
      <c r="B669" s="31" t="e">
        <f t="shared" si="116"/>
        <v>#DIV/0!</v>
      </c>
      <c r="C669" s="31" t="e">
        <f t="shared" si="117"/>
        <v>#DIV/0!</v>
      </c>
      <c r="D669" s="31" t="e">
        <f>MROUND(FORECAST(Prices!D667,Barley!D452:D667,Prices!D451:D666),0.5)</f>
        <v>#DIV/0!</v>
      </c>
      <c r="E669" s="28" t="e">
        <f t="shared" si="123"/>
        <v>#DIV/0!</v>
      </c>
      <c r="F669" s="28" t="e">
        <f t="shared" si="120"/>
        <v>#DIV/0!</v>
      </c>
      <c r="G669" s="28" t="e">
        <f>Prices!P668-D669</f>
        <v>#DIV/0!</v>
      </c>
      <c r="H669" s="28" t="e">
        <f t="shared" si="98"/>
        <v>#DIV/0!</v>
      </c>
      <c r="I669" s="31" t="e">
        <f t="shared" si="118"/>
        <v>#DIV/0!</v>
      </c>
      <c r="J669" s="31" t="e">
        <f t="shared" si="99"/>
        <v>#DIV/0!</v>
      </c>
      <c r="AI669" s="26"/>
      <c r="AJ669" s="26"/>
      <c r="AK669" s="26"/>
      <c r="AL669" s="26"/>
      <c r="AM669" s="26"/>
      <c r="AN669" s="26"/>
      <c r="AO669" s="26"/>
      <c r="AP669" s="25">
        <v>46054</v>
      </c>
      <c r="AQ669" s="32">
        <f t="shared" si="119"/>
        <v>0.73403333333333332</v>
      </c>
      <c r="AR669" s="26"/>
      <c r="AS669" s="26"/>
      <c r="AT669" s="26"/>
      <c r="AU669" s="26"/>
      <c r="AV669" s="26"/>
      <c r="BA669" s="26">
        <f t="shared" si="121"/>
        <v>2</v>
      </c>
      <c r="BB669" s="26">
        <f t="shared" si="122"/>
        <v>2026</v>
      </c>
      <c r="BC669" s="25" t="e" vm="1">
        <v>#REF!</v>
      </c>
      <c r="BD669" s="26" t="e" vm="1">
        <v>#REF!</v>
      </c>
      <c r="BE669" s="26"/>
      <c r="BF669" s="26" t="e" vm="2">
        <f t="shared" si="109"/>
        <v>#VALUE!</v>
      </c>
      <c r="BG669" s="26" t="e" vm="2">
        <f t="shared" si="110"/>
        <v>#VALUE!</v>
      </c>
      <c r="BH669" s="26"/>
      <c r="BI669" s="26"/>
      <c r="BJ669" s="21" t="e" vm="1">
        <v>#REF!</v>
      </c>
      <c r="BK669" s="26" t="e" vm="1">
        <v>#REF!</v>
      </c>
      <c r="BL669" s="26"/>
      <c r="BM669" t="e" vm="2">
        <f t="shared" si="111"/>
        <v>#VALUE!</v>
      </c>
      <c r="BN669" t="e" vm="2">
        <f t="shared" si="112"/>
        <v>#VALUE!</v>
      </c>
      <c r="BO669" s="26"/>
      <c r="BP669" s="26"/>
      <c r="BQ669" s="26"/>
      <c r="BR669" s="25">
        <v>44958</v>
      </c>
      <c r="BS669" s="26">
        <f t="shared" si="114"/>
        <v>2</v>
      </c>
      <c r="BT669" s="26">
        <f t="shared" si="115"/>
        <v>2023</v>
      </c>
      <c r="BU669" s="26" t="e">
        <f t="shared" si="113"/>
        <v>#DIV/0!</v>
      </c>
    </row>
    <row r="670" spans="1:73" x14ac:dyDescent="0.2">
      <c r="A670" s="25">
        <f>Prices!A669</f>
        <v>46082</v>
      </c>
      <c r="B670" s="31" t="e">
        <f>MROUND(D670+AVERAGE(E658,E646,E634,E622,E610),0.5)</f>
        <v>#DIV/0!</v>
      </c>
      <c r="C670" s="31" t="e">
        <f t="shared" si="117"/>
        <v>#DIV/0!</v>
      </c>
      <c r="D670" s="31" t="e">
        <f>MROUND(FORECAST(Prices!D668,Barley!D453:D668,Prices!D452:D667),0.5)</f>
        <v>#DIV/0!</v>
      </c>
      <c r="E670" s="28" t="e">
        <f t="shared" si="123"/>
        <v>#DIV/0!</v>
      </c>
      <c r="F670" s="28" t="e">
        <f t="shared" si="120"/>
        <v>#DIV/0!</v>
      </c>
      <c r="G670" s="28" t="e">
        <f>Prices!P669-D670</f>
        <v>#DIV/0!</v>
      </c>
      <c r="H670" s="28" t="e">
        <f t="shared" si="98"/>
        <v>#DIV/0!</v>
      </c>
      <c r="I670" s="31" t="e">
        <f t="shared" si="118"/>
        <v>#DIV/0!</v>
      </c>
      <c r="J670" s="31" t="e">
        <f t="shared" si="99"/>
        <v>#DIV/0!</v>
      </c>
      <c r="AI670" s="26"/>
      <c r="AJ670" s="26"/>
      <c r="AK670" s="26"/>
      <c r="AL670" s="26"/>
      <c r="AM670" s="26"/>
      <c r="AN670" s="26"/>
      <c r="AO670" s="26"/>
      <c r="AP670" s="25">
        <v>46082</v>
      </c>
      <c r="AQ670" s="32">
        <f t="shared" si="119"/>
        <v>0.73403333333333332</v>
      </c>
      <c r="AR670" s="26"/>
      <c r="AS670" s="26"/>
      <c r="AT670" s="26"/>
      <c r="AU670" s="26"/>
      <c r="AV670" s="26"/>
      <c r="BA670" s="26">
        <f t="shared" si="121"/>
        <v>3</v>
      </c>
      <c r="BB670" s="26">
        <f t="shared" si="122"/>
        <v>2026</v>
      </c>
      <c r="BC670" s="25" t="e" vm="1">
        <v>#REF!</v>
      </c>
      <c r="BD670" s="26" t="e" vm="1">
        <v>#REF!</v>
      </c>
      <c r="BE670" s="26"/>
      <c r="BF670" s="26" t="e" vm="2">
        <f t="shared" si="109"/>
        <v>#VALUE!</v>
      </c>
      <c r="BG670" s="26" t="e" vm="2">
        <f t="shared" si="110"/>
        <v>#VALUE!</v>
      </c>
      <c r="BH670" s="26"/>
      <c r="BI670" s="26"/>
      <c r="BJ670" s="21" t="e" vm="1">
        <v>#REF!</v>
      </c>
      <c r="BK670" s="26" t="e" vm="1">
        <v>#REF!</v>
      </c>
      <c r="BL670" s="26"/>
      <c r="BM670" t="e" vm="2">
        <f t="shared" si="111"/>
        <v>#VALUE!</v>
      </c>
      <c r="BN670" t="e" vm="2">
        <f t="shared" si="112"/>
        <v>#VALUE!</v>
      </c>
      <c r="BO670" s="26"/>
      <c r="BP670" s="26"/>
      <c r="BQ670" s="26"/>
      <c r="BR670" s="25">
        <v>44986</v>
      </c>
      <c r="BS670" s="26">
        <f t="shared" si="114"/>
        <v>3</v>
      </c>
      <c r="BT670" s="26">
        <f t="shared" si="115"/>
        <v>2023</v>
      </c>
      <c r="BU670" s="26" t="e">
        <f t="shared" si="113"/>
        <v>#DIV/0!</v>
      </c>
    </row>
    <row r="671" spans="1:73" x14ac:dyDescent="0.2">
      <c r="A671" s="25">
        <f>Prices!A670</f>
        <v>46113</v>
      </c>
      <c r="B671" s="31" t="e">
        <f t="shared" ref="B671:B678" si="124">MROUND(D671+AVERAGE(E659,E647,E635,E623,E611),0.5)</f>
        <v>#DIV/0!</v>
      </c>
      <c r="C671" s="31" t="e">
        <f t="shared" si="117"/>
        <v>#DIV/0!</v>
      </c>
      <c r="D671" s="31" t="e">
        <f>MROUND(FORECAST(Prices!D669,Barley!D454:D669,Prices!D453:D668),0.5)</f>
        <v>#DIV/0!</v>
      </c>
      <c r="E671" s="28" t="e">
        <f t="shared" si="123"/>
        <v>#DIV/0!</v>
      </c>
      <c r="F671" s="28" t="e">
        <f t="shared" si="120"/>
        <v>#DIV/0!</v>
      </c>
      <c r="G671" s="28" t="e">
        <f>Prices!P670-D671</f>
        <v>#DIV/0!</v>
      </c>
      <c r="H671" s="28" t="e">
        <f t="shared" si="98"/>
        <v>#DIV/0!</v>
      </c>
      <c r="I671" s="31" t="e">
        <f t="shared" si="118"/>
        <v>#DIV/0!</v>
      </c>
      <c r="J671" s="31" t="e">
        <f t="shared" si="99"/>
        <v>#DIV/0!</v>
      </c>
      <c r="AI671" s="26"/>
      <c r="AJ671" s="26"/>
      <c r="AK671" s="26"/>
      <c r="AL671" s="26"/>
      <c r="AM671" s="26"/>
      <c r="AN671" s="26"/>
      <c r="AO671" s="26"/>
      <c r="AP671" s="25">
        <v>46113</v>
      </c>
      <c r="AQ671" s="32">
        <f t="shared" si="119"/>
        <v>0.73403333333333332</v>
      </c>
      <c r="AR671" s="26"/>
      <c r="AS671" s="26"/>
      <c r="AT671" s="26"/>
      <c r="AU671" s="26"/>
      <c r="AV671" s="26"/>
      <c r="BA671" s="26">
        <f t="shared" si="121"/>
        <v>4</v>
      </c>
      <c r="BB671" s="26">
        <f t="shared" si="122"/>
        <v>2026</v>
      </c>
      <c r="BC671" s="25" t="e" vm="1">
        <v>#REF!</v>
      </c>
      <c r="BD671" s="26" t="e" vm="1">
        <v>#REF!</v>
      </c>
      <c r="BE671" s="26"/>
      <c r="BF671" s="26" t="e" vm="2">
        <f t="shared" si="109"/>
        <v>#VALUE!</v>
      </c>
      <c r="BG671" s="26" t="e" vm="2">
        <f t="shared" si="110"/>
        <v>#VALUE!</v>
      </c>
      <c r="BH671" s="26"/>
      <c r="BI671" s="26"/>
      <c r="BJ671" s="21" t="e" vm="1">
        <v>#REF!</v>
      </c>
      <c r="BK671" s="26" t="e" vm="1">
        <v>#REF!</v>
      </c>
      <c r="BL671" s="26"/>
      <c r="BM671" t="e" vm="2">
        <f t="shared" si="111"/>
        <v>#VALUE!</v>
      </c>
      <c r="BN671" t="e" vm="2">
        <f t="shared" si="112"/>
        <v>#VALUE!</v>
      </c>
      <c r="BO671" s="26"/>
      <c r="BP671" s="26"/>
      <c r="BQ671" s="26"/>
      <c r="BR671" s="25">
        <v>45017</v>
      </c>
      <c r="BS671" s="26">
        <f t="shared" si="114"/>
        <v>4</v>
      </c>
      <c r="BT671" s="26">
        <f t="shared" si="115"/>
        <v>2023</v>
      </c>
      <c r="BU671" s="26" t="e">
        <f t="shared" si="113"/>
        <v>#DIV/0!</v>
      </c>
    </row>
    <row r="672" spans="1:73" x14ac:dyDescent="0.2">
      <c r="A672" s="25">
        <f>Prices!A671</f>
        <v>46143</v>
      </c>
      <c r="B672" s="31" t="e">
        <f t="shared" si="124"/>
        <v>#DIV/0!</v>
      </c>
      <c r="C672" s="31" t="e">
        <f t="shared" si="117"/>
        <v>#DIV/0!</v>
      </c>
      <c r="D672" s="31" t="e">
        <f>MROUND(FORECAST(Prices!D670,Barley!D455:D670,Prices!D454:D669),0.5)</f>
        <v>#DIV/0!</v>
      </c>
      <c r="E672" s="28" t="e">
        <f t="shared" si="123"/>
        <v>#DIV/0!</v>
      </c>
      <c r="F672" s="28" t="e">
        <f t="shared" si="120"/>
        <v>#DIV/0!</v>
      </c>
      <c r="G672" s="28" t="e">
        <f>Prices!P671-D672</f>
        <v>#DIV/0!</v>
      </c>
      <c r="H672" s="28" t="e">
        <f t="shared" si="98"/>
        <v>#DIV/0!</v>
      </c>
      <c r="I672" s="31" t="e">
        <f t="shared" si="118"/>
        <v>#DIV/0!</v>
      </c>
      <c r="J672" s="31" t="e">
        <f t="shared" si="99"/>
        <v>#DIV/0!</v>
      </c>
      <c r="AI672" s="26"/>
      <c r="AJ672" s="26"/>
      <c r="AK672" s="26"/>
      <c r="AL672" s="26"/>
      <c r="AM672" s="26"/>
      <c r="AN672" s="26"/>
      <c r="AO672" s="26"/>
      <c r="AP672" s="25">
        <v>46143</v>
      </c>
      <c r="AQ672" s="32">
        <f t="shared" si="119"/>
        <v>0.73403333333333332</v>
      </c>
      <c r="AR672" s="26"/>
      <c r="AS672" s="26"/>
      <c r="AT672" s="26"/>
      <c r="AU672" s="26"/>
      <c r="AV672" s="26"/>
      <c r="BA672" s="26">
        <f t="shared" si="121"/>
        <v>5</v>
      </c>
      <c r="BB672" s="26">
        <f t="shared" si="122"/>
        <v>2026</v>
      </c>
      <c r="BC672" s="25" t="e" vm="1">
        <v>#REF!</v>
      </c>
      <c r="BD672" s="26" t="e" vm="1">
        <v>#REF!</v>
      </c>
      <c r="BE672" s="26"/>
      <c r="BF672" s="26" t="e" vm="2">
        <f t="shared" si="109"/>
        <v>#VALUE!</v>
      </c>
      <c r="BG672" s="26" t="e" vm="2">
        <f t="shared" si="110"/>
        <v>#VALUE!</v>
      </c>
      <c r="BH672" s="26"/>
      <c r="BI672" s="26"/>
      <c r="BJ672" s="21" t="e" vm="1">
        <v>#REF!</v>
      </c>
      <c r="BK672" s="26" t="e" vm="1">
        <v>#REF!</v>
      </c>
      <c r="BL672" s="26"/>
      <c r="BM672" t="e" vm="2">
        <f t="shared" si="111"/>
        <v>#VALUE!</v>
      </c>
      <c r="BN672" t="e" vm="2">
        <f t="shared" si="112"/>
        <v>#VALUE!</v>
      </c>
      <c r="BO672" s="26"/>
      <c r="BP672" s="26"/>
      <c r="BQ672" s="26"/>
      <c r="BR672" s="25">
        <v>45047</v>
      </c>
      <c r="BS672" s="26">
        <f t="shared" si="114"/>
        <v>5</v>
      </c>
      <c r="BT672" s="26">
        <f t="shared" si="115"/>
        <v>2023</v>
      </c>
      <c r="BU672" s="26" t="e">
        <f t="shared" si="113"/>
        <v>#DIV/0!</v>
      </c>
    </row>
    <row r="673" spans="1:73" x14ac:dyDescent="0.2">
      <c r="A673" s="25">
        <f>Prices!A672</f>
        <v>46174</v>
      </c>
      <c r="B673" s="31" t="e">
        <f t="shared" si="124"/>
        <v>#DIV/0!</v>
      </c>
      <c r="C673" s="31" t="e">
        <f t="shared" si="117"/>
        <v>#DIV/0!</v>
      </c>
      <c r="D673" s="31" t="e">
        <f>MROUND(FORECAST(Prices!D671,Barley!D456:D671,Prices!D455:D670),0.5)</f>
        <v>#DIV/0!</v>
      </c>
      <c r="E673" s="28" t="e">
        <f t="shared" si="123"/>
        <v>#DIV/0!</v>
      </c>
      <c r="F673" s="28" t="e">
        <f t="shared" si="120"/>
        <v>#DIV/0!</v>
      </c>
      <c r="G673" s="28" t="e">
        <f>Prices!P672-D673</f>
        <v>#DIV/0!</v>
      </c>
      <c r="H673" s="28" t="e">
        <f t="shared" si="98"/>
        <v>#DIV/0!</v>
      </c>
      <c r="I673" s="31" t="e">
        <f t="shared" si="118"/>
        <v>#DIV/0!</v>
      </c>
      <c r="J673" s="31" t="e">
        <f t="shared" si="99"/>
        <v>#DIV/0!</v>
      </c>
      <c r="AI673" s="26"/>
      <c r="AJ673" s="26"/>
      <c r="AK673" s="26"/>
      <c r="AL673" s="26"/>
      <c r="AM673" s="26"/>
      <c r="AN673" s="26"/>
      <c r="AO673" s="26"/>
      <c r="AP673" s="25">
        <v>46174</v>
      </c>
      <c r="AQ673" s="32">
        <f t="shared" si="119"/>
        <v>0.73403333333333332</v>
      </c>
      <c r="AR673" s="26"/>
      <c r="AS673" s="26"/>
      <c r="AT673" s="26"/>
      <c r="AU673" s="26"/>
      <c r="AV673" s="26"/>
      <c r="BA673" s="26">
        <f t="shared" si="121"/>
        <v>6</v>
      </c>
      <c r="BB673" s="26">
        <f t="shared" si="122"/>
        <v>2026</v>
      </c>
      <c r="BC673" s="25" t="e" vm="1">
        <v>#REF!</v>
      </c>
      <c r="BD673" s="26" t="e" vm="1">
        <v>#REF!</v>
      </c>
      <c r="BE673" s="26"/>
      <c r="BF673" s="26" t="e" vm="2">
        <f t="shared" si="109"/>
        <v>#VALUE!</v>
      </c>
      <c r="BG673" s="26" t="e" vm="2">
        <f t="shared" si="110"/>
        <v>#VALUE!</v>
      </c>
      <c r="BH673" s="26"/>
      <c r="BI673" s="26"/>
      <c r="BJ673" s="21" t="e" vm="1">
        <v>#REF!</v>
      </c>
      <c r="BK673" s="26" t="e" vm="1">
        <v>#REF!</v>
      </c>
      <c r="BL673" s="26"/>
      <c r="BM673" t="e" vm="2">
        <f t="shared" si="111"/>
        <v>#VALUE!</v>
      </c>
      <c r="BN673" t="e" vm="2">
        <f t="shared" si="112"/>
        <v>#VALUE!</v>
      </c>
      <c r="BO673" s="26"/>
      <c r="BP673" s="26"/>
      <c r="BQ673" s="26"/>
      <c r="BR673" s="25">
        <v>45078</v>
      </c>
      <c r="BS673" s="26">
        <f t="shared" si="114"/>
        <v>6</v>
      </c>
      <c r="BT673" s="26">
        <f t="shared" si="115"/>
        <v>2023</v>
      </c>
      <c r="BU673" s="26" t="e">
        <f t="shared" si="113"/>
        <v>#DIV/0!</v>
      </c>
    </row>
    <row r="674" spans="1:73" x14ac:dyDescent="0.2">
      <c r="A674" s="21">
        <f>Prices!A673</f>
        <v>46204</v>
      </c>
      <c r="B674" s="31" t="e">
        <f t="shared" si="124"/>
        <v>#DIV/0!</v>
      </c>
      <c r="C674" s="31" t="e">
        <f t="shared" si="117"/>
        <v>#DIV/0!</v>
      </c>
      <c r="D674" s="31" t="e">
        <f>MROUND(FORECAST(Prices!D672,Barley!D457:D672,Prices!D456:D671),0.5)</f>
        <v>#DIV/0!</v>
      </c>
      <c r="E674" s="30" t="e">
        <f t="shared" si="123"/>
        <v>#DIV/0!</v>
      </c>
      <c r="F674" s="30" t="e">
        <f t="shared" si="120"/>
        <v>#DIV/0!</v>
      </c>
      <c r="G674" s="28" t="e">
        <f>Prices!P673-D674</f>
        <v>#DIV/0!</v>
      </c>
      <c r="H674" s="28" t="e">
        <f t="shared" si="98"/>
        <v>#DIV/0!</v>
      </c>
      <c r="I674" s="31" t="e">
        <f t="shared" si="118"/>
        <v>#DIV/0!</v>
      </c>
      <c r="J674" s="31" t="e">
        <f t="shared" si="99"/>
        <v>#DIV/0!</v>
      </c>
      <c r="AP674" s="25">
        <v>46204</v>
      </c>
      <c r="AQ674" s="32">
        <f t="shared" si="119"/>
        <v>0.73403333333333332</v>
      </c>
      <c r="BA674">
        <f t="shared" si="121"/>
        <v>7</v>
      </c>
      <c r="BB674">
        <f t="shared" si="122"/>
        <v>2026</v>
      </c>
      <c r="BC674" s="21" t="e" vm="1">
        <v>#REF!</v>
      </c>
      <c r="BD674" t="e" vm="1">
        <v>#REF!</v>
      </c>
      <c r="BF674" t="e" vm="2">
        <f t="shared" si="109"/>
        <v>#VALUE!</v>
      </c>
      <c r="BG674" t="e" vm="2">
        <f t="shared" si="110"/>
        <v>#VALUE!</v>
      </c>
      <c r="BJ674" s="21" t="e" vm="1">
        <v>#REF!</v>
      </c>
      <c r="BK674" t="e" vm="1">
        <v>#REF!</v>
      </c>
      <c r="BM674" t="e" vm="2">
        <f t="shared" si="111"/>
        <v>#VALUE!</v>
      </c>
      <c r="BN674" t="e" vm="2">
        <f t="shared" si="112"/>
        <v>#VALUE!</v>
      </c>
      <c r="BR674" s="25">
        <v>45108</v>
      </c>
      <c r="BS674" s="26">
        <f t="shared" si="114"/>
        <v>7</v>
      </c>
      <c r="BT674" s="26">
        <f t="shared" si="115"/>
        <v>2023</v>
      </c>
      <c r="BU674" s="26" t="e">
        <f t="shared" si="113"/>
        <v>#DIV/0!</v>
      </c>
    </row>
    <row r="675" spans="1:73" x14ac:dyDescent="0.2">
      <c r="A675" s="21">
        <f>Prices!A674</f>
        <v>46235</v>
      </c>
      <c r="B675" s="31" t="e">
        <f t="shared" si="124"/>
        <v>#DIV/0!</v>
      </c>
      <c r="C675" s="31" t="e">
        <f t="shared" si="117"/>
        <v>#DIV/0!</v>
      </c>
      <c r="D675" s="31" t="e">
        <f>MROUND(FORECAST(Prices!D673,Barley!D458:D673,Prices!D457:D672),0.5)</f>
        <v>#DIV/0!</v>
      </c>
      <c r="E675" s="30" t="e">
        <f t="shared" si="123"/>
        <v>#DIV/0!</v>
      </c>
      <c r="F675" s="30" t="e">
        <f t="shared" si="120"/>
        <v>#DIV/0!</v>
      </c>
      <c r="G675" s="28" t="e">
        <f>Prices!P674-D675</f>
        <v>#DIV/0!</v>
      </c>
      <c r="H675" s="28" t="e">
        <f t="shared" si="98"/>
        <v>#DIV/0!</v>
      </c>
      <c r="I675" s="31" t="e">
        <f t="shared" si="118"/>
        <v>#DIV/0!</v>
      </c>
      <c r="J675" s="31" t="e">
        <f t="shared" si="99"/>
        <v>#DIV/0!</v>
      </c>
      <c r="AP675" s="25">
        <v>46235</v>
      </c>
      <c r="AQ675" s="32">
        <f t="shared" si="119"/>
        <v>0.73403333333333332</v>
      </c>
      <c r="BA675">
        <f t="shared" si="121"/>
        <v>8</v>
      </c>
      <c r="BB675">
        <f t="shared" si="122"/>
        <v>2026</v>
      </c>
      <c r="BC675" s="21" t="e" vm="1">
        <v>#REF!</v>
      </c>
      <c r="BD675" t="e" vm="1">
        <v>#REF!</v>
      </c>
      <c r="BF675" t="e" vm="2">
        <f t="shared" si="109"/>
        <v>#VALUE!</v>
      </c>
      <c r="BG675" t="e" vm="2">
        <f t="shared" si="110"/>
        <v>#VALUE!</v>
      </c>
      <c r="BJ675" s="21" t="e" vm="1">
        <v>#REF!</v>
      </c>
      <c r="BK675" t="e" vm="1">
        <v>#REF!</v>
      </c>
      <c r="BM675" t="e" vm="2">
        <f t="shared" si="111"/>
        <v>#VALUE!</v>
      </c>
      <c r="BN675" t="e" vm="2">
        <f t="shared" si="112"/>
        <v>#VALUE!</v>
      </c>
      <c r="BR675" s="25">
        <v>45139</v>
      </c>
      <c r="BS675" s="26">
        <f t="shared" si="114"/>
        <v>8</v>
      </c>
      <c r="BT675" s="26">
        <f t="shared" si="115"/>
        <v>2023</v>
      </c>
      <c r="BU675" s="26" t="e">
        <f t="shared" si="113"/>
        <v>#DIV/0!</v>
      </c>
    </row>
    <row r="676" spans="1:73" x14ac:dyDescent="0.2">
      <c r="A676" s="21">
        <f>Prices!A675</f>
        <v>46266</v>
      </c>
      <c r="B676" s="31" t="e">
        <f t="shared" si="124"/>
        <v>#DIV/0!</v>
      </c>
      <c r="C676" s="31" t="e">
        <f t="shared" si="117"/>
        <v>#DIV/0!</v>
      </c>
      <c r="D676" s="31" t="e">
        <f>MROUND(FORECAST(Prices!D674,Barley!D459:D674,Prices!D458:D673),0.5)</f>
        <v>#DIV/0!</v>
      </c>
      <c r="E676" s="30" t="e">
        <f t="shared" si="123"/>
        <v>#DIV/0!</v>
      </c>
      <c r="F676" s="30" t="e">
        <f t="shared" si="120"/>
        <v>#DIV/0!</v>
      </c>
      <c r="G676" s="28" t="e">
        <f>Prices!P675-D676</f>
        <v>#DIV/0!</v>
      </c>
      <c r="H676" s="28" t="e">
        <f t="shared" si="98"/>
        <v>#DIV/0!</v>
      </c>
      <c r="I676" s="31" t="e">
        <f t="shared" si="118"/>
        <v>#DIV/0!</v>
      </c>
      <c r="J676" s="31" t="e">
        <f t="shared" si="99"/>
        <v>#DIV/0!</v>
      </c>
      <c r="AP676" s="25">
        <v>46266</v>
      </c>
      <c r="AQ676" s="32">
        <f t="shared" si="119"/>
        <v>0.73403333333333332</v>
      </c>
      <c r="BA676">
        <f t="shared" si="121"/>
        <v>9</v>
      </c>
      <c r="BB676">
        <f t="shared" si="122"/>
        <v>2026</v>
      </c>
      <c r="BC676" s="21" t="e" vm="1">
        <v>#REF!</v>
      </c>
      <c r="BD676" t="e" vm="1">
        <v>#REF!</v>
      </c>
      <c r="BF676" t="e" vm="2">
        <f t="shared" si="109"/>
        <v>#VALUE!</v>
      </c>
      <c r="BG676" t="e" vm="2">
        <f t="shared" si="110"/>
        <v>#VALUE!</v>
      </c>
      <c r="BJ676" s="21" t="e" vm="1">
        <v>#REF!</v>
      </c>
      <c r="BK676" t="e" vm="1">
        <v>#REF!</v>
      </c>
      <c r="BM676" t="e" vm="2">
        <f t="shared" si="111"/>
        <v>#VALUE!</v>
      </c>
      <c r="BN676" t="e" vm="2">
        <f t="shared" si="112"/>
        <v>#VALUE!</v>
      </c>
      <c r="BR676" s="25">
        <v>45170</v>
      </c>
      <c r="BS676" s="26">
        <f t="shared" si="114"/>
        <v>9</v>
      </c>
      <c r="BT676" s="26">
        <f t="shared" si="115"/>
        <v>2023</v>
      </c>
      <c r="BU676" s="26" t="e">
        <f t="shared" si="113"/>
        <v>#DIV/0!</v>
      </c>
    </row>
    <row r="677" spans="1:73" x14ac:dyDescent="0.2">
      <c r="A677" s="21">
        <f>Prices!A676</f>
        <v>46296</v>
      </c>
      <c r="B677" s="31" t="e">
        <f t="shared" si="124"/>
        <v>#DIV/0!</v>
      </c>
      <c r="C677" s="31" t="e">
        <f t="shared" si="117"/>
        <v>#DIV/0!</v>
      </c>
      <c r="D677" s="31" t="e">
        <f>MROUND(FORECAST(Prices!D675,Barley!D460:D675,Prices!D459:D674),0.5)</f>
        <v>#DIV/0!</v>
      </c>
      <c r="E677" s="30" t="e">
        <f t="shared" si="123"/>
        <v>#DIV/0!</v>
      </c>
      <c r="F677" s="30" t="e">
        <f t="shared" si="120"/>
        <v>#DIV/0!</v>
      </c>
      <c r="G677" s="28" t="e">
        <f>Prices!P676-D677</f>
        <v>#DIV/0!</v>
      </c>
      <c r="H677" s="28" t="e">
        <f t="shared" si="98"/>
        <v>#DIV/0!</v>
      </c>
      <c r="I677" s="31" t="e">
        <f t="shared" si="118"/>
        <v>#DIV/0!</v>
      </c>
      <c r="J677" s="31" t="e">
        <f t="shared" si="99"/>
        <v>#DIV/0!</v>
      </c>
      <c r="AP677" s="25">
        <v>46296</v>
      </c>
      <c r="AQ677" s="32">
        <f t="shared" si="119"/>
        <v>0.73403333333333332</v>
      </c>
      <c r="BA677">
        <f t="shared" si="121"/>
        <v>10</v>
      </c>
      <c r="BB677">
        <f t="shared" si="122"/>
        <v>2026</v>
      </c>
      <c r="BC677" s="21" t="e" vm="1">
        <v>#REF!</v>
      </c>
      <c r="BD677" t="e" vm="1">
        <v>#REF!</v>
      </c>
      <c r="BF677" t="e" vm="2">
        <f t="shared" si="109"/>
        <v>#VALUE!</v>
      </c>
      <c r="BG677" t="e" vm="2">
        <f t="shared" si="110"/>
        <v>#VALUE!</v>
      </c>
      <c r="BJ677" s="21" t="e" vm="1">
        <v>#REF!</v>
      </c>
      <c r="BK677" t="e" vm="1">
        <v>#REF!</v>
      </c>
      <c r="BM677" t="e" vm="2">
        <f t="shared" si="111"/>
        <v>#VALUE!</v>
      </c>
      <c r="BN677" t="e" vm="2">
        <f t="shared" si="112"/>
        <v>#VALUE!</v>
      </c>
      <c r="BR677" s="25">
        <v>45200</v>
      </c>
      <c r="BS677" s="26">
        <f t="shared" si="114"/>
        <v>10</v>
      </c>
      <c r="BT677" s="26">
        <f t="shared" si="115"/>
        <v>2023</v>
      </c>
      <c r="BU677" s="26" t="e">
        <f t="shared" si="113"/>
        <v>#DIV/0!</v>
      </c>
    </row>
    <row r="678" spans="1:73" x14ac:dyDescent="0.2">
      <c r="A678" s="21">
        <f>Prices!A677</f>
        <v>46327</v>
      </c>
      <c r="B678" s="31" t="e">
        <f t="shared" si="124"/>
        <v>#DIV/0!</v>
      </c>
      <c r="C678" s="31" t="e">
        <f t="shared" si="117"/>
        <v>#DIV/0!</v>
      </c>
      <c r="D678" s="31" t="e">
        <f>MROUND(FORECAST(Prices!D676,Barley!D461:D676,Prices!D460:D675),0.5)</f>
        <v>#DIV/0!</v>
      </c>
      <c r="E678" s="30" t="e">
        <f t="shared" si="123"/>
        <v>#DIV/0!</v>
      </c>
      <c r="F678" s="30" t="e">
        <f t="shared" si="120"/>
        <v>#DIV/0!</v>
      </c>
      <c r="G678" s="28" t="e">
        <f>Prices!P677-D678</f>
        <v>#DIV/0!</v>
      </c>
      <c r="H678" s="28" t="e">
        <f t="shared" si="98"/>
        <v>#DIV/0!</v>
      </c>
      <c r="I678" s="31" t="e">
        <f t="shared" si="118"/>
        <v>#DIV/0!</v>
      </c>
      <c r="J678" s="31" t="e">
        <f t="shared" si="99"/>
        <v>#DIV/0!</v>
      </c>
      <c r="AP678" s="25">
        <v>46327</v>
      </c>
      <c r="AQ678" s="32">
        <f t="shared" si="119"/>
        <v>0.73403333333333332</v>
      </c>
      <c r="BA678">
        <f t="shared" si="121"/>
        <v>11</v>
      </c>
      <c r="BB678">
        <f t="shared" si="122"/>
        <v>2026</v>
      </c>
      <c r="BC678" s="21" t="e" vm="1">
        <v>#REF!</v>
      </c>
      <c r="BD678" t="e" vm="1">
        <v>#REF!</v>
      </c>
      <c r="BF678" t="e" vm="2">
        <f t="shared" si="109"/>
        <v>#VALUE!</v>
      </c>
      <c r="BG678" t="e" vm="2">
        <f t="shared" si="110"/>
        <v>#VALUE!</v>
      </c>
      <c r="BJ678" s="21" t="e" vm="1">
        <v>#REF!</v>
      </c>
      <c r="BK678" t="e" vm="1">
        <v>#REF!</v>
      </c>
      <c r="BM678" t="e" vm="2">
        <f t="shared" si="111"/>
        <v>#VALUE!</v>
      </c>
      <c r="BN678" t="e" vm="2">
        <f t="shared" si="112"/>
        <v>#VALUE!</v>
      </c>
      <c r="BR678" s="25">
        <v>45231</v>
      </c>
      <c r="BS678" s="26">
        <f t="shared" si="114"/>
        <v>11</v>
      </c>
      <c r="BT678" s="26">
        <f t="shared" si="115"/>
        <v>2023</v>
      </c>
      <c r="BU678" s="26" t="e">
        <f t="shared" si="113"/>
        <v>#DIV/0!</v>
      </c>
    </row>
    <row r="679" spans="1:73" x14ac:dyDescent="0.2">
      <c r="A679" s="21">
        <f>Prices!A678</f>
        <v>46357</v>
      </c>
      <c r="B679" s="31" t="e">
        <f>MROUND(D679+AVERAGE(E667,E655,E643,E631,E619),0.5)</f>
        <v>#DIV/0!</v>
      </c>
      <c r="C679" s="31" t="e">
        <f t="shared" si="117"/>
        <v>#DIV/0!</v>
      </c>
      <c r="D679" s="31" t="e">
        <f>MROUND(FORECAST(Prices!D677,Barley!D462:D677,Prices!D461:D676),0.5)</f>
        <v>#DIV/0!</v>
      </c>
      <c r="E679" s="30" t="e">
        <f t="shared" si="123"/>
        <v>#DIV/0!</v>
      </c>
      <c r="F679" s="30" t="e">
        <f t="shared" si="120"/>
        <v>#DIV/0!</v>
      </c>
      <c r="G679" s="28" t="e">
        <f>Prices!P678-D679</f>
        <v>#DIV/0!</v>
      </c>
      <c r="H679" s="28" t="e">
        <f t="shared" si="98"/>
        <v>#DIV/0!</v>
      </c>
      <c r="I679" s="31" t="e">
        <f t="shared" si="118"/>
        <v>#DIV/0!</v>
      </c>
      <c r="J679" s="31" t="e">
        <f t="shared" si="99"/>
        <v>#DIV/0!</v>
      </c>
      <c r="AP679" s="25">
        <v>46357</v>
      </c>
      <c r="AQ679" s="32">
        <f t="shared" si="119"/>
        <v>0.73403333333333332</v>
      </c>
      <c r="BA679">
        <f t="shared" si="121"/>
        <v>12</v>
      </c>
      <c r="BB679">
        <f t="shared" si="122"/>
        <v>2026</v>
      </c>
      <c r="BC679" s="21" t="e" vm="1">
        <v>#REF!</v>
      </c>
      <c r="BD679" t="e" vm="1">
        <v>#REF!</v>
      </c>
      <c r="BF679" t="e" vm="2">
        <f t="shared" si="109"/>
        <v>#VALUE!</v>
      </c>
      <c r="BG679" t="e" vm="2">
        <f t="shared" si="110"/>
        <v>#VALUE!</v>
      </c>
      <c r="BJ679" s="21" t="e" vm="1">
        <v>#REF!</v>
      </c>
      <c r="BK679" t="e" vm="1">
        <v>#REF!</v>
      </c>
      <c r="BM679" t="e" vm="2">
        <f t="shared" si="111"/>
        <v>#VALUE!</v>
      </c>
      <c r="BN679" t="e" vm="2">
        <f t="shared" si="112"/>
        <v>#VALUE!</v>
      </c>
      <c r="BR679" s="25">
        <v>45261</v>
      </c>
      <c r="BS679" s="26">
        <f t="shared" si="114"/>
        <v>12</v>
      </c>
      <c r="BT679" s="26">
        <f t="shared" si="115"/>
        <v>2023</v>
      </c>
      <c r="BU679" s="26" t="e">
        <f t="shared" si="113"/>
        <v>#DIV/0!</v>
      </c>
    </row>
    <row r="680" spans="1:73" x14ac:dyDescent="0.2">
      <c r="A680" s="21"/>
      <c r="I680" s="31">
        <f t="shared" si="118"/>
        <v>0</v>
      </c>
      <c r="J680" s="31">
        <f t="shared" si="99"/>
        <v>0</v>
      </c>
      <c r="BC680" s="21" t="e" vm="1">
        <v>#REF!</v>
      </c>
      <c r="BD680" t="e" vm="1">
        <v>#REF!</v>
      </c>
      <c r="BF680" t="e" vm="2">
        <f t="shared" si="109"/>
        <v>#VALUE!</v>
      </c>
      <c r="BG680" t="e" vm="2">
        <f t="shared" si="110"/>
        <v>#VALUE!</v>
      </c>
      <c r="BJ680" s="21" t="e" vm="1">
        <v>#REF!</v>
      </c>
      <c r="BK680" t="e" vm="1">
        <v>#REF!</v>
      </c>
      <c r="BM680" t="e" vm="2">
        <f t="shared" si="111"/>
        <v>#VALUE!</v>
      </c>
      <c r="BN680" t="e" vm="2">
        <f t="shared" si="112"/>
        <v>#VALUE!</v>
      </c>
      <c r="BR680" s="25">
        <v>45292</v>
      </c>
      <c r="BS680" s="26">
        <f t="shared" si="114"/>
        <v>1</v>
      </c>
      <c r="BT680" s="26">
        <f t="shared" si="115"/>
        <v>2024</v>
      </c>
      <c r="BU680" s="26" t="e">
        <f t="shared" si="113"/>
        <v>#DIV/0!</v>
      </c>
    </row>
    <row r="681" spans="1:73" x14ac:dyDescent="0.2">
      <c r="A681" s="21"/>
      <c r="I681" s="31">
        <f t="shared" si="118"/>
        <v>0</v>
      </c>
      <c r="J681" s="31">
        <f t="shared" si="99"/>
        <v>0</v>
      </c>
      <c r="BC681" s="21" t="e" vm="1">
        <v>#REF!</v>
      </c>
      <c r="BD681" t="e" vm="1">
        <v>#REF!</v>
      </c>
      <c r="BF681" t="e" vm="2">
        <f t="shared" si="109"/>
        <v>#VALUE!</v>
      </c>
      <c r="BG681" t="e" vm="2">
        <f t="shared" si="110"/>
        <v>#VALUE!</v>
      </c>
      <c r="BJ681" s="21" t="e" vm="1">
        <v>#REF!</v>
      </c>
      <c r="BK681" t="e" vm="1">
        <v>#REF!</v>
      </c>
      <c r="BM681" t="e" vm="2">
        <f t="shared" si="111"/>
        <v>#VALUE!</v>
      </c>
      <c r="BN681" t="e" vm="2">
        <f t="shared" si="112"/>
        <v>#VALUE!</v>
      </c>
      <c r="BR681" s="25">
        <v>45323</v>
      </c>
      <c r="BS681" s="26">
        <f t="shared" si="114"/>
        <v>2</v>
      </c>
      <c r="BT681" s="26">
        <f t="shared" si="115"/>
        <v>2024</v>
      </c>
      <c r="BU681" s="26" t="e">
        <f t="shared" si="113"/>
        <v>#DIV/0!</v>
      </c>
    </row>
    <row r="682" spans="1:73" x14ac:dyDescent="0.2">
      <c r="A682" s="21"/>
      <c r="I682" s="31">
        <f t="shared" si="118"/>
        <v>0</v>
      </c>
      <c r="J682" s="31">
        <f t="shared" si="99"/>
        <v>0</v>
      </c>
      <c r="BC682" s="21" t="e" vm="1">
        <v>#REF!</v>
      </c>
      <c r="BD682" t="e" vm="1">
        <v>#REF!</v>
      </c>
      <c r="BF682" t="e" vm="2">
        <f t="shared" si="109"/>
        <v>#VALUE!</v>
      </c>
      <c r="BG682" t="e" vm="2">
        <f t="shared" si="110"/>
        <v>#VALUE!</v>
      </c>
      <c r="BJ682" s="21" t="e" vm="1">
        <v>#REF!</v>
      </c>
      <c r="BK682" t="e" vm="1">
        <v>#REF!</v>
      </c>
      <c r="BM682" t="e" vm="2">
        <f t="shared" si="111"/>
        <v>#VALUE!</v>
      </c>
      <c r="BN682" t="e" vm="2">
        <f t="shared" si="112"/>
        <v>#VALUE!</v>
      </c>
      <c r="BR682" s="25">
        <v>45352</v>
      </c>
      <c r="BS682" s="26">
        <f t="shared" si="114"/>
        <v>3</v>
      </c>
      <c r="BT682" s="26">
        <f t="shared" si="115"/>
        <v>2024</v>
      </c>
      <c r="BU682" s="26" t="e">
        <f t="shared" si="113"/>
        <v>#DIV/0!</v>
      </c>
    </row>
    <row r="683" spans="1:73" x14ac:dyDescent="0.2">
      <c r="A683" s="21"/>
      <c r="I683" s="31">
        <f t="shared" si="118"/>
        <v>0</v>
      </c>
      <c r="J683" s="31">
        <f t="shared" si="99"/>
        <v>0</v>
      </c>
      <c r="BC683" s="21" t="e" vm="1">
        <v>#REF!</v>
      </c>
      <c r="BD683" t="e" vm="1">
        <v>#REF!</v>
      </c>
      <c r="BF683" t="e" vm="2">
        <f t="shared" si="109"/>
        <v>#VALUE!</v>
      </c>
      <c r="BG683" t="e" vm="2">
        <f t="shared" si="110"/>
        <v>#VALUE!</v>
      </c>
      <c r="BJ683" s="21" t="e" vm="1">
        <v>#REF!</v>
      </c>
      <c r="BK683" t="e" vm="1">
        <v>#REF!</v>
      </c>
      <c r="BM683" t="e" vm="2">
        <f t="shared" si="111"/>
        <v>#VALUE!</v>
      </c>
      <c r="BN683" t="e" vm="2">
        <f t="shared" si="112"/>
        <v>#VALUE!</v>
      </c>
      <c r="BR683" s="25">
        <v>45383</v>
      </c>
      <c r="BS683" s="26">
        <f t="shared" si="114"/>
        <v>4</v>
      </c>
      <c r="BT683" s="26">
        <f t="shared" si="115"/>
        <v>2024</v>
      </c>
      <c r="BU683" s="26" t="e">
        <f t="shared" si="113"/>
        <v>#DIV/0!</v>
      </c>
    </row>
    <row r="684" spans="1:73" x14ac:dyDescent="0.2">
      <c r="A684" s="21"/>
      <c r="I684" s="31">
        <f t="shared" si="118"/>
        <v>0</v>
      </c>
      <c r="J684" s="31">
        <f t="shared" si="99"/>
        <v>0</v>
      </c>
      <c r="BC684" s="21" t="e" vm="1">
        <v>#REF!</v>
      </c>
      <c r="BD684" t="e" vm="1">
        <v>#REF!</v>
      </c>
      <c r="BF684" t="e" vm="2">
        <f t="shared" si="109"/>
        <v>#VALUE!</v>
      </c>
      <c r="BG684" t="e" vm="2">
        <f t="shared" si="110"/>
        <v>#VALUE!</v>
      </c>
      <c r="BJ684" s="21" t="e" vm="1">
        <v>#REF!</v>
      </c>
      <c r="BK684" t="e" vm="1">
        <v>#REF!</v>
      </c>
      <c r="BM684" t="e" vm="2">
        <f t="shared" si="111"/>
        <v>#VALUE!</v>
      </c>
      <c r="BN684" t="e" vm="2">
        <f t="shared" si="112"/>
        <v>#VALUE!</v>
      </c>
      <c r="BR684" s="25">
        <v>45413</v>
      </c>
      <c r="BS684" s="26">
        <f t="shared" si="114"/>
        <v>5</v>
      </c>
      <c r="BT684" s="26">
        <f t="shared" si="115"/>
        <v>2024</v>
      </c>
      <c r="BU684" s="26" t="e">
        <f t="shared" si="113"/>
        <v>#DIV/0!</v>
      </c>
    </row>
    <row r="685" spans="1:73" x14ac:dyDescent="0.2">
      <c r="A685" s="21"/>
      <c r="I685" s="31">
        <f t="shared" si="118"/>
        <v>0</v>
      </c>
      <c r="J685" s="31">
        <f t="shared" si="99"/>
        <v>0</v>
      </c>
      <c r="BC685" s="21" t="e" vm="1">
        <v>#REF!</v>
      </c>
      <c r="BD685" t="e" vm="1">
        <v>#REF!</v>
      </c>
      <c r="BF685" t="e" vm="2">
        <f t="shared" si="109"/>
        <v>#VALUE!</v>
      </c>
      <c r="BG685" t="e" vm="2">
        <f t="shared" si="110"/>
        <v>#VALUE!</v>
      </c>
      <c r="BJ685" s="21" t="e" vm="1">
        <v>#REF!</v>
      </c>
      <c r="BK685" t="e" vm="1">
        <v>#REF!</v>
      </c>
      <c r="BM685" t="e" vm="2">
        <f t="shared" si="111"/>
        <v>#VALUE!</v>
      </c>
      <c r="BN685" t="e" vm="2">
        <f t="shared" si="112"/>
        <v>#VALUE!</v>
      </c>
      <c r="BR685" s="25">
        <v>45444</v>
      </c>
      <c r="BS685" s="26">
        <f t="shared" si="114"/>
        <v>6</v>
      </c>
      <c r="BT685" s="26">
        <f t="shared" si="115"/>
        <v>2024</v>
      </c>
      <c r="BU685" s="26" t="e">
        <f t="shared" si="113"/>
        <v>#DIV/0!</v>
      </c>
    </row>
    <row r="686" spans="1:73" x14ac:dyDescent="0.2">
      <c r="A686" s="21"/>
      <c r="I686" s="31">
        <f t="shared" si="118"/>
        <v>0</v>
      </c>
      <c r="J686" s="31">
        <f t="shared" si="99"/>
        <v>0</v>
      </c>
      <c r="BC686" s="21" t="e" vm="1">
        <v>#REF!</v>
      </c>
      <c r="BD686" t="e" vm="1">
        <v>#REF!</v>
      </c>
      <c r="BF686" t="e" vm="2">
        <f t="shared" si="109"/>
        <v>#VALUE!</v>
      </c>
      <c r="BG686" t="e" vm="2">
        <f t="shared" si="110"/>
        <v>#VALUE!</v>
      </c>
      <c r="BJ686" s="21" t="e" vm="1">
        <v>#REF!</v>
      </c>
      <c r="BK686" t="e" vm="1">
        <v>#REF!</v>
      </c>
      <c r="BM686" t="e" vm="2">
        <f t="shared" si="111"/>
        <v>#VALUE!</v>
      </c>
      <c r="BN686" t="e" vm="2">
        <f t="shared" si="112"/>
        <v>#VALUE!</v>
      </c>
      <c r="BR686" s="25">
        <v>45474</v>
      </c>
      <c r="BS686" s="26">
        <f t="shared" si="114"/>
        <v>7</v>
      </c>
      <c r="BT686" s="26">
        <f t="shared" si="115"/>
        <v>2024</v>
      </c>
      <c r="BU686" s="26" t="e">
        <f t="shared" si="113"/>
        <v>#DIV/0!</v>
      </c>
    </row>
    <row r="687" spans="1:73" x14ac:dyDescent="0.2">
      <c r="A687" s="21"/>
      <c r="I687" s="31">
        <f t="shared" si="118"/>
        <v>0</v>
      </c>
      <c r="J687" s="31">
        <f t="shared" si="99"/>
        <v>0</v>
      </c>
      <c r="BC687" s="21" t="e" vm="1">
        <v>#REF!</v>
      </c>
      <c r="BD687" t="e" vm="1">
        <v>#REF!</v>
      </c>
      <c r="BF687" t="e" vm="2">
        <f t="shared" si="109"/>
        <v>#VALUE!</v>
      </c>
      <c r="BG687" t="e" vm="2">
        <f t="shared" si="110"/>
        <v>#VALUE!</v>
      </c>
      <c r="BJ687" s="21" t="e" vm="1">
        <v>#REF!</v>
      </c>
      <c r="BK687" t="e" vm="1">
        <v>#REF!</v>
      </c>
      <c r="BM687" t="e" vm="2">
        <f t="shared" si="111"/>
        <v>#VALUE!</v>
      </c>
      <c r="BN687" t="e" vm="2">
        <f t="shared" si="112"/>
        <v>#VALUE!</v>
      </c>
      <c r="BR687" s="25">
        <v>45505</v>
      </c>
      <c r="BS687" s="26">
        <f t="shared" si="114"/>
        <v>8</v>
      </c>
      <c r="BT687" s="26">
        <f t="shared" si="115"/>
        <v>2024</v>
      </c>
      <c r="BU687" s="26" t="e">
        <f t="shared" si="113"/>
        <v>#DIV/0!</v>
      </c>
    </row>
    <row r="688" spans="1:73" x14ac:dyDescent="0.2">
      <c r="A688" s="21"/>
      <c r="I688" s="31">
        <f t="shared" si="118"/>
        <v>0</v>
      </c>
      <c r="J688" s="31">
        <f t="shared" si="99"/>
        <v>0</v>
      </c>
      <c r="BC688" s="21" t="e" vm="1">
        <v>#REF!</v>
      </c>
      <c r="BD688" t="e" vm="1">
        <v>#REF!</v>
      </c>
      <c r="BF688" t="e" vm="2">
        <f t="shared" si="109"/>
        <v>#VALUE!</v>
      </c>
      <c r="BG688" t="e" vm="2">
        <f t="shared" si="110"/>
        <v>#VALUE!</v>
      </c>
      <c r="BJ688" s="21" t="e" vm="1">
        <v>#REF!</v>
      </c>
      <c r="BK688" t="e" vm="1">
        <v>#REF!</v>
      </c>
      <c r="BM688" t="e" vm="2">
        <f t="shared" si="111"/>
        <v>#VALUE!</v>
      </c>
      <c r="BN688" t="e" vm="2">
        <f t="shared" si="112"/>
        <v>#VALUE!</v>
      </c>
      <c r="BR688" s="25">
        <v>45536</v>
      </c>
      <c r="BS688" s="26">
        <f t="shared" si="114"/>
        <v>9</v>
      </c>
      <c r="BT688" s="26">
        <f t="shared" si="115"/>
        <v>2024</v>
      </c>
      <c r="BU688" s="26" t="e">
        <f t="shared" si="113"/>
        <v>#DIV/0!</v>
      </c>
    </row>
    <row r="689" spans="1:73" x14ac:dyDescent="0.2">
      <c r="A689" s="21"/>
      <c r="I689" s="31">
        <f t="shared" si="118"/>
        <v>0</v>
      </c>
      <c r="J689" s="31">
        <f t="shared" si="99"/>
        <v>0</v>
      </c>
      <c r="BC689" s="21" t="e" vm="1">
        <v>#REF!</v>
      </c>
      <c r="BD689" t="e" vm="1">
        <v>#REF!</v>
      </c>
      <c r="BF689" t="e" vm="2">
        <f t="shared" si="109"/>
        <v>#VALUE!</v>
      </c>
      <c r="BG689" t="e" vm="2">
        <f t="shared" si="110"/>
        <v>#VALUE!</v>
      </c>
      <c r="BJ689" s="21" t="e" vm="1">
        <v>#REF!</v>
      </c>
      <c r="BK689" t="e" vm="1">
        <v>#REF!</v>
      </c>
      <c r="BM689" t="e" vm="2">
        <f t="shared" si="111"/>
        <v>#VALUE!</v>
      </c>
      <c r="BN689" t="e" vm="2">
        <f t="shared" si="112"/>
        <v>#VALUE!</v>
      </c>
      <c r="BR689" s="25">
        <v>45566</v>
      </c>
      <c r="BS689" s="26">
        <f t="shared" si="114"/>
        <v>10</v>
      </c>
      <c r="BT689" s="26">
        <f t="shared" si="115"/>
        <v>2024</v>
      </c>
      <c r="BU689" s="26" t="e">
        <f t="shared" si="113"/>
        <v>#DIV/0!</v>
      </c>
    </row>
    <row r="690" spans="1:73" x14ac:dyDescent="0.2">
      <c r="A690" s="21"/>
      <c r="I690" s="31">
        <f t="shared" si="118"/>
        <v>0</v>
      </c>
      <c r="J690" s="31">
        <f t="shared" si="99"/>
        <v>0</v>
      </c>
      <c r="BC690" s="21" t="e" vm="1">
        <v>#REF!</v>
      </c>
      <c r="BD690" t="e" vm="1">
        <v>#REF!</v>
      </c>
      <c r="BF690" t="e" vm="2">
        <f t="shared" si="109"/>
        <v>#VALUE!</v>
      </c>
      <c r="BG690" t="e" vm="2">
        <f t="shared" si="110"/>
        <v>#VALUE!</v>
      </c>
      <c r="BJ690" s="21" t="e" vm="1">
        <v>#REF!</v>
      </c>
      <c r="BK690" t="e" vm="1">
        <v>#REF!</v>
      </c>
      <c r="BM690" t="e" vm="2">
        <f t="shared" si="111"/>
        <v>#VALUE!</v>
      </c>
      <c r="BN690" t="e" vm="2">
        <f t="shared" si="112"/>
        <v>#VALUE!</v>
      </c>
      <c r="BR690" s="25">
        <v>45597</v>
      </c>
      <c r="BS690" s="26">
        <f t="shared" si="114"/>
        <v>11</v>
      </c>
      <c r="BT690" s="26">
        <f t="shared" si="115"/>
        <v>2024</v>
      </c>
      <c r="BU690" s="26" t="e">
        <f t="shared" si="113"/>
        <v>#DIV/0!</v>
      </c>
    </row>
    <row r="691" spans="1:73" x14ac:dyDescent="0.2">
      <c r="A691" s="21"/>
      <c r="I691" s="31">
        <f t="shared" si="118"/>
        <v>0</v>
      </c>
      <c r="J691" s="31">
        <f t="shared" si="99"/>
        <v>0</v>
      </c>
      <c r="BC691" s="21" t="e" vm="1">
        <v>#REF!</v>
      </c>
      <c r="BD691" t="e" vm="1">
        <v>#REF!</v>
      </c>
      <c r="BF691" t="e" vm="2">
        <f t="shared" si="109"/>
        <v>#VALUE!</v>
      </c>
      <c r="BG691" t="e" vm="2">
        <f t="shared" si="110"/>
        <v>#VALUE!</v>
      </c>
      <c r="BJ691" s="21" t="e" vm="1">
        <v>#REF!</v>
      </c>
      <c r="BK691" t="e" vm="1">
        <v>#REF!</v>
      </c>
      <c r="BM691" t="e" vm="2">
        <f t="shared" si="111"/>
        <v>#VALUE!</v>
      </c>
      <c r="BN691" t="e" vm="2">
        <f t="shared" si="112"/>
        <v>#VALUE!</v>
      </c>
      <c r="BR691" s="25">
        <v>45627</v>
      </c>
      <c r="BS691" s="26">
        <f t="shared" si="114"/>
        <v>12</v>
      </c>
      <c r="BT691" s="26">
        <f t="shared" si="115"/>
        <v>2024</v>
      </c>
      <c r="BU691" s="26" t="e">
        <f t="shared" si="113"/>
        <v>#DIV/0!</v>
      </c>
    </row>
    <row r="692" spans="1:73" x14ac:dyDescent="0.2">
      <c r="A692" s="21"/>
      <c r="I692" s="31">
        <f t="shared" si="118"/>
        <v>0</v>
      </c>
      <c r="J692" s="31">
        <f t="shared" si="99"/>
        <v>0</v>
      </c>
      <c r="BC692" s="21" t="e" vm="1">
        <v>#REF!</v>
      </c>
      <c r="BD692" t="e" vm="1">
        <v>#REF!</v>
      </c>
      <c r="BF692" t="e" vm="2">
        <f t="shared" si="109"/>
        <v>#VALUE!</v>
      </c>
      <c r="BG692" t="e" vm="2">
        <f t="shared" si="110"/>
        <v>#VALUE!</v>
      </c>
      <c r="BJ692" s="21" t="e" vm="1">
        <v>#REF!</v>
      </c>
      <c r="BK692" t="e" vm="1">
        <v>#REF!</v>
      </c>
      <c r="BM692" t="e" vm="2">
        <f t="shared" si="111"/>
        <v>#VALUE!</v>
      </c>
      <c r="BN692" t="e" vm="2">
        <f t="shared" si="112"/>
        <v>#VALUE!</v>
      </c>
      <c r="BR692" s="25">
        <v>45658</v>
      </c>
      <c r="BS692" s="26">
        <f t="shared" si="114"/>
        <v>1</v>
      </c>
      <c r="BT692" s="26">
        <f t="shared" si="115"/>
        <v>2025</v>
      </c>
      <c r="BU692" s="26" t="e">
        <f t="shared" si="113"/>
        <v>#DIV/0!</v>
      </c>
    </row>
    <row r="693" spans="1:73" x14ac:dyDescent="0.2">
      <c r="A693" s="21"/>
      <c r="I693" s="31">
        <f t="shared" si="118"/>
        <v>0</v>
      </c>
      <c r="J693" s="31">
        <f t="shared" ref="J693:J706" si="125">(I693/45.9296)*100</f>
        <v>0</v>
      </c>
      <c r="BC693" s="21" t="e" vm="1">
        <v>#REF!</v>
      </c>
      <c r="BD693" t="e" vm="1">
        <v>#REF!</v>
      </c>
      <c r="BF693" t="e" vm="2">
        <f t="shared" si="109"/>
        <v>#VALUE!</v>
      </c>
      <c r="BG693" t="e" vm="2">
        <f t="shared" si="110"/>
        <v>#VALUE!</v>
      </c>
      <c r="BJ693" s="21" t="e" vm="1">
        <v>#REF!</v>
      </c>
      <c r="BK693" t="e" vm="1">
        <v>#REF!</v>
      </c>
      <c r="BM693" t="e" vm="2">
        <f t="shared" si="111"/>
        <v>#VALUE!</v>
      </c>
      <c r="BN693" t="e" vm="2">
        <f t="shared" si="112"/>
        <v>#VALUE!</v>
      </c>
      <c r="BR693" s="25">
        <v>45689</v>
      </c>
      <c r="BS693" s="26">
        <f t="shared" si="114"/>
        <v>2</v>
      </c>
      <c r="BT693" s="26">
        <f t="shared" si="115"/>
        <v>2025</v>
      </c>
      <c r="BU693" s="26" t="e">
        <f t="shared" si="113"/>
        <v>#DIV/0!</v>
      </c>
    </row>
    <row r="694" spans="1:73" x14ac:dyDescent="0.2">
      <c r="A694" s="21"/>
      <c r="I694" s="31">
        <f t="shared" si="118"/>
        <v>0</v>
      </c>
      <c r="J694" s="31">
        <f t="shared" si="125"/>
        <v>0</v>
      </c>
      <c r="BC694" s="21" t="e" vm="1">
        <v>#REF!</v>
      </c>
      <c r="BD694" t="e" vm="1">
        <v>#REF!</v>
      </c>
      <c r="BF694" t="e" vm="2">
        <f t="shared" si="109"/>
        <v>#VALUE!</v>
      </c>
      <c r="BG694" t="e" vm="2">
        <f t="shared" si="110"/>
        <v>#VALUE!</v>
      </c>
      <c r="BJ694" s="21" t="e" vm="1">
        <v>#REF!</v>
      </c>
      <c r="BK694" t="e" vm="1">
        <v>#REF!</v>
      </c>
      <c r="BM694" t="e" vm="2">
        <f t="shared" si="111"/>
        <v>#VALUE!</v>
      </c>
      <c r="BN694" t="e" vm="2">
        <f t="shared" si="112"/>
        <v>#VALUE!</v>
      </c>
      <c r="BR694" s="25">
        <v>45717</v>
      </c>
      <c r="BS694" s="26">
        <f t="shared" si="114"/>
        <v>3</v>
      </c>
      <c r="BT694" s="26">
        <f t="shared" si="115"/>
        <v>2025</v>
      </c>
      <c r="BU694" s="26" t="e">
        <f t="shared" si="113"/>
        <v>#DIV/0!</v>
      </c>
    </row>
    <row r="695" spans="1:73" x14ac:dyDescent="0.2">
      <c r="A695" s="21"/>
      <c r="I695" s="31">
        <f t="shared" si="118"/>
        <v>0</v>
      </c>
      <c r="J695" s="31">
        <f t="shared" si="125"/>
        <v>0</v>
      </c>
      <c r="BC695" s="21" t="e" vm="1">
        <v>#REF!</v>
      </c>
      <c r="BD695" t="e" vm="1">
        <v>#REF!</v>
      </c>
      <c r="BF695" t="e" vm="2">
        <f t="shared" si="109"/>
        <v>#VALUE!</v>
      </c>
      <c r="BG695" t="e" vm="2">
        <f t="shared" si="110"/>
        <v>#VALUE!</v>
      </c>
      <c r="BJ695" s="21" t="e" vm="1">
        <v>#REF!</v>
      </c>
      <c r="BK695" t="e" vm="1">
        <v>#REF!</v>
      </c>
      <c r="BM695" t="e" vm="2">
        <f t="shared" si="111"/>
        <v>#VALUE!</v>
      </c>
      <c r="BN695" t="e" vm="2">
        <f t="shared" si="112"/>
        <v>#VALUE!</v>
      </c>
      <c r="BR695" s="25">
        <v>45748</v>
      </c>
      <c r="BS695" s="26">
        <f t="shared" si="114"/>
        <v>4</v>
      </c>
      <c r="BT695" s="26">
        <f t="shared" si="115"/>
        <v>2025</v>
      </c>
      <c r="BU695" s="26" t="e">
        <f t="shared" si="113"/>
        <v>#DIV/0!</v>
      </c>
    </row>
    <row r="696" spans="1:73" x14ac:dyDescent="0.2">
      <c r="A696" s="21"/>
      <c r="I696" s="31">
        <f t="shared" si="118"/>
        <v>0</v>
      </c>
      <c r="J696" s="31">
        <f t="shared" si="125"/>
        <v>0</v>
      </c>
      <c r="BC696" s="21" t="e" vm="1">
        <v>#REF!</v>
      </c>
      <c r="BD696" t="e" vm="1">
        <v>#REF!</v>
      </c>
      <c r="BF696" t="e" vm="2">
        <f t="shared" si="109"/>
        <v>#VALUE!</v>
      </c>
      <c r="BG696" t="e" vm="2">
        <f t="shared" si="110"/>
        <v>#VALUE!</v>
      </c>
      <c r="BJ696" s="21" t="e" vm="1">
        <v>#REF!</v>
      </c>
      <c r="BK696" t="e" vm="1">
        <v>#REF!</v>
      </c>
      <c r="BM696" t="e" vm="2">
        <f t="shared" si="111"/>
        <v>#VALUE!</v>
      </c>
      <c r="BN696" t="e" vm="2">
        <f t="shared" si="112"/>
        <v>#VALUE!</v>
      </c>
      <c r="BR696" s="25">
        <v>45778</v>
      </c>
      <c r="BS696" s="26">
        <f t="shared" si="114"/>
        <v>5</v>
      </c>
      <c r="BT696" s="26">
        <f t="shared" si="115"/>
        <v>2025</v>
      </c>
      <c r="BU696" s="26" t="e">
        <f t="shared" si="113"/>
        <v>#DIV/0!</v>
      </c>
    </row>
    <row r="697" spans="1:73" x14ac:dyDescent="0.2">
      <c r="A697" s="21"/>
      <c r="I697" s="31">
        <f t="shared" si="118"/>
        <v>0</v>
      </c>
      <c r="J697" s="31">
        <f t="shared" si="125"/>
        <v>0</v>
      </c>
      <c r="BC697" s="21" t="e" vm="1">
        <v>#REF!</v>
      </c>
      <c r="BD697" t="e" vm="1">
        <v>#REF!</v>
      </c>
      <c r="BF697" t="e" vm="2">
        <f t="shared" si="109"/>
        <v>#VALUE!</v>
      </c>
      <c r="BG697" t="e" vm="2">
        <f t="shared" si="110"/>
        <v>#VALUE!</v>
      </c>
      <c r="BJ697" s="21" t="e" vm="1">
        <v>#REF!</v>
      </c>
      <c r="BK697" t="e" vm="1">
        <v>#REF!</v>
      </c>
      <c r="BM697" t="e" vm="2">
        <f t="shared" si="111"/>
        <v>#VALUE!</v>
      </c>
      <c r="BN697" t="e" vm="2">
        <f t="shared" si="112"/>
        <v>#VALUE!</v>
      </c>
      <c r="BR697" s="25">
        <v>45809</v>
      </c>
      <c r="BS697" s="26">
        <f t="shared" si="114"/>
        <v>6</v>
      </c>
      <c r="BT697" s="26">
        <f t="shared" si="115"/>
        <v>2025</v>
      </c>
      <c r="BU697" s="26" t="e">
        <f t="shared" si="113"/>
        <v>#DIV/0!</v>
      </c>
    </row>
    <row r="698" spans="1:73" x14ac:dyDescent="0.2">
      <c r="A698" s="21"/>
      <c r="I698" s="31">
        <f t="shared" si="118"/>
        <v>0</v>
      </c>
      <c r="J698" s="31">
        <f t="shared" si="125"/>
        <v>0</v>
      </c>
      <c r="BC698" s="21" t="e" vm="1">
        <v>#REF!</v>
      </c>
      <c r="BD698" t="e" vm="1">
        <v>#REF!</v>
      </c>
      <c r="BF698" t="e" vm="2">
        <f t="shared" si="109"/>
        <v>#VALUE!</v>
      </c>
      <c r="BG698" t="e" vm="2">
        <f t="shared" si="110"/>
        <v>#VALUE!</v>
      </c>
      <c r="BJ698" s="21" t="e" vm="1">
        <v>#REF!</v>
      </c>
      <c r="BK698" t="e" vm="1">
        <v>#REF!</v>
      </c>
      <c r="BM698" t="e" vm="2">
        <f t="shared" si="111"/>
        <v>#VALUE!</v>
      </c>
      <c r="BN698" t="e" vm="2">
        <f t="shared" si="112"/>
        <v>#VALUE!</v>
      </c>
      <c r="BR698" s="25">
        <v>45839</v>
      </c>
      <c r="BS698" s="26">
        <f t="shared" si="114"/>
        <v>7</v>
      </c>
      <c r="BT698" s="26">
        <f t="shared" si="115"/>
        <v>2025</v>
      </c>
      <c r="BU698" s="26" t="e">
        <f t="shared" si="113"/>
        <v>#DIV/0!</v>
      </c>
    </row>
    <row r="699" spans="1:73" x14ac:dyDescent="0.2">
      <c r="A699" s="21"/>
      <c r="I699" s="31">
        <f t="shared" si="118"/>
        <v>0</v>
      </c>
      <c r="J699" s="31">
        <f t="shared" si="125"/>
        <v>0</v>
      </c>
      <c r="BC699" s="21" t="e" vm="1">
        <v>#REF!</v>
      </c>
      <c r="BD699" t="e" vm="1">
        <v>#REF!</v>
      </c>
      <c r="BF699" t="e" vm="2">
        <f t="shared" si="109"/>
        <v>#VALUE!</v>
      </c>
      <c r="BG699" t="e" vm="2">
        <f t="shared" si="110"/>
        <v>#VALUE!</v>
      </c>
      <c r="BJ699" s="21" t="e" vm="1">
        <v>#REF!</v>
      </c>
      <c r="BK699" t="e" vm="1">
        <v>#REF!</v>
      </c>
      <c r="BM699" t="e" vm="2">
        <f t="shared" si="111"/>
        <v>#VALUE!</v>
      </c>
      <c r="BN699" t="e" vm="2">
        <f t="shared" si="112"/>
        <v>#VALUE!</v>
      </c>
      <c r="BR699" s="25">
        <v>45870</v>
      </c>
      <c r="BS699" s="26">
        <f t="shared" si="114"/>
        <v>8</v>
      </c>
      <c r="BT699" s="26">
        <f t="shared" si="115"/>
        <v>2025</v>
      </c>
      <c r="BU699" s="26" t="e">
        <f t="shared" si="113"/>
        <v>#DIV/0!</v>
      </c>
    </row>
    <row r="700" spans="1:73" x14ac:dyDescent="0.2">
      <c r="A700" s="21"/>
      <c r="I700" s="31">
        <f t="shared" si="118"/>
        <v>0</v>
      </c>
      <c r="J700" s="31">
        <f t="shared" si="125"/>
        <v>0</v>
      </c>
      <c r="BC700" s="21" t="e" vm="1">
        <v>#REF!</v>
      </c>
      <c r="BD700" t="e" vm="1">
        <v>#REF!</v>
      </c>
      <c r="BF700" t="e" vm="2">
        <f t="shared" si="109"/>
        <v>#VALUE!</v>
      </c>
      <c r="BG700" t="e" vm="2">
        <f t="shared" si="110"/>
        <v>#VALUE!</v>
      </c>
      <c r="BJ700" s="21" t="e" vm="1">
        <v>#REF!</v>
      </c>
      <c r="BK700" t="e" vm="1">
        <v>#REF!</v>
      </c>
      <c r="BM700" t="e" vm="2">
        <f t="shared" si="111"/>
        <v>#VALUE!</v>
      </c>
      <c r="BN700" t="e" vm="2">
        <f t="shared" si="112"/>
        <v>#VALUE!</v>
      </c>
      <c r="BR700" s="25">
        <v>45901</v>
      </c>
      <c r="BS700" s="26">
        <f t="shared" si="114"/>
        <v>9</v>
      </c>
      <c r="BT700" s="26">
        <f t="shared" si="115"/>
        <v>2025</v>
      </c>
      <c r="BU700" s="26" t="e">
        <f t="shared" si="113"/>
        <v>#DIV/0!</v>
      </c>
    </row>
    <row r="701" spans="1:73" x14ac:dyDescent="0.2">
      <c r="A701" s="21"/>
      <c r="I701" s="31">
        <f t="shared" si="118"/>
        <v>0</v>
      </c>
      <c r="J701" s="31">
        <f t="shared" si="125"/>
        <v>0</v>
      </c>
      <c r="BC701" s="21" t="e" vm="1">
        <v>#REF!</v>
      </c>
      <c r="BD701" t="e" vm="1">
        <v>#REF!</v>
      </c>
      <c r="BF701" t="e" vm="2">
        <f t="shared" si="109"/>
        <v>#VALUE!</v>
      </c>
      <c r="BG701" t="e" vm="2">
        <f t="shared" si="110"/>
        <v>#VALUE!</v>
      </c>
      <c r="BJ701" s="21" t="e" vm="1">
        <v>#REF!</v>
      </c>
      <c r="BK701" t="e" vm="1">
        <v>#REF!</v>
      </c>
      <c r="BM701" t="e" vm="2">
        <f t="shared" si="111"/>
        <v>#VALUE!</v>
      </c>
      <c r="BN701" t="e" vm="2">
        <f t="shared" si="112"/>
        <v>#VALUE!</v>
      </c>
      <c r="BR701" s="25">
        <v>45931</v>
      </c>
      <c r="BS701" s="26">
        <f t="shared" si="114"/>
        <v>10</v>
      </c>
      <c r="BT701" s="26">
        <f t="shared" si="115"/>
        <v>2025</v>
      </c>
      <c r="BU701" s="26" t="e">
        <f t="shared" si="113"/>
        <v>#DIV/0!</v>
      </c>
    </row>
    <row r="702" spans="1:73" x14ac:dyDescent="0.2">
      <c r="A702" s="21"/>
      <c r="I702" s="31">
        <f t="shared" si="118"/>
        <v>0</v>
      </c>
      <c r="J702" s="31">
        <f t="shared" si="125"/>
        <v>0</v>
      </c>
      <c r="BC702" s="21" t="e" vm="1">
        <v>#REF!</v>
      </c>
      <c r="BD702" t="e" vm="1">
        <v>#REF!</v>
      </c>
      <c r="BF702" t="e" vm="2">
        <f t="shared" si="109"/>
        <v>#VALUE!</v>
      </c>
      <c r="BG702" t="e" vm="2">
        <f t="shared" si="110"/>
        <v>#VALUE!</v>
      </c>
      <c r="BJ702" s="21" t="e" vm="1">
        <v>#REF!</v>
      </c>
      <c r="BK702" t="e" vm="1">
        <v>#REF!</v>
      </c>
      <c r="BM702" t="e" vm="2">
        <f t="shared" si="111"/>
        <v>#VALUE!</v>
      </c>
      <c r="BN702" t="e" vm="2">
        <f t="shared" si="112"/>
        <v>#VALUE!</v>
      </c>
      <c r="BR702" s="25">
        <v>45962</v>
      </c>
      <c r="BS702" s="26">
        <f t="shared" si="114"/>
        <v>11</v>
      </c>
      <c r="BT702" s="26">
        <f t="shared" si="115"/>
        <v>2025</v>
      </c>
      <c r="BU702" s="26" t="e">
        <f t="shared" si="113"/>
        <v>#DIV/0!</v>
      </c>
    </row>
    <row r="703" spans="1:73" x14ac:dyDescent="0.2">
      <c r="A703" s="21"/>
      <c r="I703" s="31">
        <f t="shared" si="118"/>
        <v>0</v>
      </c>
      <c r="J703" s="31">
        <f t="shared" si="125"/>
        <v>0</v>
      </c>
      <c r="BC703" s="21" t="e" vm="1">
        <v>#REF!</v>
      </c>
      <c r="BD703" t="e" vm="1">
        <v>#REF!</v>
      </c>
      <c r="BF703" t="e" vm="2">
        <f t="shared" si="109"/>
        <v>#VALUE!</v>
      </c>
      <c r="BG703" t="e" vm="2">
        <f t="shared" si="110"/>
        <v>#VALUE!</v>
      </c>
      <c r="BJ703" s="21" t="e" vm="1">
        <v>#REF!</v>
      </c>
      <c r="BK703" t="e" vm="1">
        <v>#REF!</v>
      </c>
      <c r="BM703" t="e" vm="2">
        <f t="shared" si="111"/>
        <v>#VALUE!</v>
      </c>
      <c r="BN703" t="e" vm="2">
        <f t="shared" si="112"/>
        <v>#VALUE!</v>
      </c>
      <c r="BR703" s="25">
        <v>45992</v>
      </c>
      <c r="BS703" s="26">
        <f t="shared" si="114"/>
        <v>12</v>
      </c>
      <c r="BT703" s="26">
        <f t="shared" si="115"/>
        <v>2025</v>
      </c>
      <c r="BU703" s="26" t="e">
        <f t="shared" si="113"/>
        <v>#DIV/0!</v>
      </c>
    </row>
    <row r="704" spans="1:73" x14ac:dyDescent="0.2">
      <c r="A704" s="21"/>
      <c r="I704" s="31">
        <f t="shared" si="118"/>
        <v>0</v>
      </c>
      <c r="J704" s="31">
        <f t="shared" si="125"/>
        <v>0</v>
      </c>
      <c r="BC704" s="21" t="e" vm="1">
        <v>#REF!</v>
      </c>
      <c r="BD704" t="e" vm="1">
        <v>#REF!</v>
      </c>
      <c r="BF704" t="e" vm="2">
        <f t="shared" si="109"/>
        <v>#VALUE!</v>
      </c>
      <c r="BG704" t="e" vm="2">
        <f t="shared" si="110"/>
        <v>#VALUE!</v>
      </c>
      <c r="BJ704" s="21" t="e" vm="1">
        <v>#REF!</v>
      </c>
      <c r="BK704" t="e" vm="1">
        <v>#REF!</v>
      </c>
      <c r="BM704" t="e" vm="2">
        <f t="shared" si="111"/>
        <v>#VALUE!</v>
      </c>
      <c r="BN704" t="e" vm="2">
        <f t="shared" si="112"/>
        <v>#VALUE!</v>
      </c>
      <c r="BR704" s="25">
        <v>46023</v>
      </c>
      <c r="BS704" s="26">
        <f t="shared" si="114"/>
        <v>1</v>
      </c>
      <c r="BT704" s="26">
        <f t="shared" si="115"/>
        <v>2026</v>
      </c>
      <c r="BU704" s="26" t="e">
        <f t="shared" si="113"/>
        <v>#DIV/0!</v>
      </c>
    </row>
    <row r="705" spans="1:73" x14ac:dyDescent="0.2">
      <c r="A705" s="21"/>
      <c r="I705" s="31">
        <f t="shared" si="118"/>
        <v>0</v>
      </c>
      <c r="J705" s="31">
        <f t="shared" si="125"/>
        <v>0</v>
      </c>
      <c r="BC705" s="21" t="e" vm="1">
        <v>#REF!</v>
      </c>
      <c r="BD705" t="e" vm="1">
        <v>#REF!</v>
      </c>
      <c r="BF705" t="e" vm="2">
        <f t="shared" si="109"/>
        <v>#VALUE!</v>
      </c>
      <c r="BG705" t="e" vm="2">
        <f t="shared" si="110"/>
        <v>#VALUE!</v>
      </c>
      <c r="BJ705" s="21" t="e" vm="1">
        <v>#REF!</v>
      </c>
      <c r="BK705" t="e" vm="1">
        <v>#REF!</v>
      </c>
      <c r="BM705" t="e" vm="2">
        <f t="shared" si="111"/>
        <v>#VALUE!</v>
      </c>
      <c r="BN705" t="e" vm="2">
        <f t="shared" si="112"/>
        <v>#VALUE!</v>
      </c>
      <c r="BR705" s="25">
        <v>46054</v>
      </c>
      <c r="BS705" s="26">
        <f t="shared" si="114"/>
        <v>2</v>
      </c>
      <c r="BT705" s="26">
        <f t="shared" si="115"/>
        <v>2026</v>
      </c>
      <c r="BU705" s="26" t="e">
        <f t="shared" si="113"/>
        <v>#DIV/0!</v>
      </c>
    </row>
    <row r="706" spans="1:73" x14ac:dyDescent="0.2">
      <c r="A706" s="21"/>
      <c r="I706" s="31">
        <f t="shared" si="118"/>
        <v>0</v>
      </c>
      <c r="J706" s="31">
        <f t="shared" si="125"/>
        <v>0</v>
      </c>
      <c r="BC706" s="21" t="e" vm="1">
        <v>#REF!</v>
      </c>
      <c r="BD706" t="e" vm="1">
        <v>#REF!</v>
      </c>
      <c r="BF706" t="e" vm="2">
        <f t="shared" si="109"/>
        <v>#VALUE!</v>
      </c>
      <c r="BG706" t="e" vm="2">
        <f t="shared" si="110"/>
        <v>#VALUE!</v>
      </c>
      <c r="BJ706" s="21" t="e" vm="1">
        <v>#REF!</v>
      </c>
      <c r="BK706" t="e" vm="1">
        <v>#REF!</v>
      </c>
      <c r="BM706" t="e" vm="2">
        <f t="shared" si="111"/>
        <v>#VALUE!</v>
      </c>
      <c r="BN706" t="e" vm="2">
        <f t="shared" si="112"/>
        <v>#VALUE!</v>
      </c>
      <c r="BR706" s="25">
        <v>46082</v>
      </c>
      <c r="BS706" s="26">
        <f t="shared" si="114"/>
        <v>3</v>
      </c>
      <c r="BT706" s="26">
        <f t="shared" si="115"/>
        <v>2026</v>
      </c>
      <c r="BU706" s="26" t="e">
        <f t="shared" si="113"/>
        <v>#DIV/0!</v>
      </c>
    </row>
    <row r="707" spans="1:73" x14ac:dyDescent="0.2">
      <c r="A707" s="21"/>
      <c r="BC707" s="21" t="e" vm="1">
        <v>#REF!</v>
      </c>
      <c r="BD707" t="e" vm="1">
        <v>#REF!</v>
      </c>
      <c r="BF707" t="e" vm="2">
        <f t="shared" ref="BF707:BF770" si="126">MONTH(BC707)</f>
        <v>#VALUE!</v>
      </c>
      <c r="BG707" t="e" vm="2">
        <f t="shared" ref="BG707:BG770" si="127">YEAR(BC707)</f>
        <v>#VALUE!</v>
      </c>
      <c r="BJ707" s="21" t="e" vm="1">
        <v>#REF!</v>
      </c>
      <c r="BK707" t="e" vm="1">
        <v>#REF!</v>
      </c>
      <c r="BM707" t="e" vm="2">
        <f t="shared" si="111"/>
        <v>#VALUE!</v>
      </c>
      <c r="BN707" t="e" vm="2">
        <f t="shared" si="112"/>
        <v>#VALUE!</v>
      </c>
      <c r="BR707" s="25">
        <v>46113</v>
      </c>
      <c r="BS707" s="26">
        <f t="shared" si="114"/>
        <v>4</v>
      </c>
      <c r="BT707" s="26">
        <f t="shared" si="115"/>
        <v>2026</v>
      </c>
      <c r="BU707" s="26" t="e">
        <f t="shared" si="113"/>
        <v>#DIV/0!</v>
      </c>
    </row>
    <row r="708" spans="1:73" x14ac:dyDescent="0.2">
      <c r="A708" s="21"/>
      <c r="BC708" s="21" t="e" vm="1">
        <v>#REF!</v>
      </c>
      <c r="BD708" t="e" vm="1">
        <v>#REF!</v>
      </c>
      <c r="BF708" t="e" vm="2">
        <f t="shared" si="126"/>
        <v>#VALUE!</v>
      </c>
      <c r="BG708" t="e" vm="2">
        <f t="shared" si="127"/>
        <v>#VALUE!</v>
      </c>
      <c r="BJ708" s="21" t="e" vm="1">
        <v>#REF!</v>
      </c>
      <c r="BK708" t="e" vm="1">
        <v>#REF!</v>
      </c>
      <c r="BM708" t="e" vm="2">
        <f t="shared" ref="BM708:BM771" si="128">MONTH(BJ708)</f>
        <v>#VALUE!</v>
      </c>
      <c r="BN708" t="e" vm="2">
        <f t="shared" ref="BN708:BN771" si="129">YEAR(BJ708)</f>
        <v>#VALUE!</v>
      </c>
      <c r="BR708" s="25">
        <v>46143</v>
      </c>
      <c r="BS708" s="26">
        <f t="shared" si="114"/>
        <v>5</v>
      </c>
      <c r="BT708" s="26">
        <f t="shared" si="115"/>
        <v>2026</v>
      </c>
      <c r="BU708" s="26" t="e">
        <f t="shared" si="113"/>
        <v>#DIV/0!</v>
      </c>
    </row>
    <row r="709" spans="1:73" x14ac:dyDescent="0.2">
      <c r="BC709" s="21" t="e" vm="1">
        <v>#REF!</v>
      </c>
      <c r="BD709" t="e" vm="1">
        <v>#REF!</v>
      </c>
      <c r="BF709" t="e" vm="2">
        <f t="shared" si="126"/>
        <v>#VALUE!</v>
      </c>
      <c r="BG709" t="e" vm="2">
        <f t="shared" si="127"/>
        <v>#VALUE!</v>
      </c>
      <c r="BJ709" s="21" t="e" vm="1">
        <v>#REF!</v>
      </c>
      <c r="BK709" t="e" vm="1">
        <v>#REF!</v>
      </c>
      <c r="BM709" t="e" vm="2">
        <f t="shared" si="128"/>
        <v>#VALUE!</v>
      </c>
      <c r="BN709" t="e" vm="2">
        <f t="shared" si="129"/>
        <v>#VALUE!</v>
      </c>
      <c r="BR709" s="25">
        <v>46174</v>
      </c>
      <c r="BS709" s="26">
        <f t="shared" si="114"/>
        <v>6</v>
      </c>
      <c r="BT709" s="26">
        <f t="shared" si="115"/>
        <v>2026</v>
      </c>
      <c r="BU709" s="26" t="e">
        <f t="shared" si="113"/>
        <v>#DIV/0!</v>
      </c>
    </row>
    <row r="710" spans="1:73" x14ac:dyDescent="0.2">
      <c r="BC710" s="21" t="e" vm="1">
        <v>#REF!</v>
      </c>
      <c r="BD710" t="e" vm="1">
        <v>#REF!</v>
      </c>
      <c r="BF710" t="e" vm="2">
        <f t="shared" si="126"/>
        <v>#VALUE!</v>
      </c>
      <c r="BG710" t="e" vm="2">
        <f t="shared" si="127"/>
        <v>#VALUE!</v>
      </c>
      <c r="BJ710" s="21" t="e" vm="1">
        <v>#REF!</v>
      </c>
      <c r="BK710" t="e" vm="1">
        <v>#REF!</v>
      </c>
      <c r="BM710" t="e" vm="2">
        <f t="shared" si="128"/>
        <v>#VALUE!</v>
      </c>
      <c r="BN710" t="e" vm="2">
        <f t="shared" si="129"/>
        <v>#VALUE!</v>
      </c>
    </row>
    <row r="711" spans="1:73" x14ac:dyDescent="0.2">
      <c r="BC711" s="21" t="e" vm="1">
        <v>#REF!</v>
      </c>
      <c r="BD711" t="e" vm="1">
        <v>#REF!</v>
      </c>
      <c r="BF711" t="e" vm="2">
        <f t="shared" si="126"/>
        <v>#VALUE!</v>
      </c>
      <c r="BG711" t="e" vm="2">
        <f t="shared" si="127"/>
        <v>#VALUE!</v>
      </c>
      <c r="BJ711" s="21" t="e" vm="1">
        <v>#REF!</v>
      </c>
      <c r="BK711" t="e" vm="1">
        <v>#REF!</v>
      </c>
      <c r="BM711" t="e" vm="2">
        <f t="shared" si="128"/>
        <v>#VALUE!</v>
      </c>
      <c r="BN711" t="e" vm="2">
        <f t="shared" si="129"/>
        <v>#VALUE!</v>
      </c>
    </row>
    <row r="712" spans="1:73" x14ac:dyDescent="0.2">
      <c r="BC712" s="21" t="e" vm="1">
        <v>#REF!</v>
      </c>
      <c r="BD712" t="e" vm="1">
        <v>#REF!</v>
      </c>
      <c r="BF712" t="e" vm="2">
        <f t="shared" si="126"/>
        <v>#VALUE!</v>
      </c>
      <c r="BG712" t="e" vm="2">
        <f t="shared" si="127"/>
        <v>#VALUE!</v>
      </c>
      <c r="BJ712" s="21" t="e" vm="1">
        <v>#REF!</v>
      </c>
      <c r="BK712" t="e" vm="1">
        <v>#REF!</v>
      </c>
      <c r="BM712" t="e" vm="2">
        <f t="shared" si="128"/>
        <v>#VALUE!</v>
      </c>
      <c r="BN712" t="e" vm="2">
        <f t="shared" si="129"/>
        <v>#VALUE!</v>
      </c>
    </row>
    <row r="713" spans="1:73" x14ac:dyDescent="0.2">
      <c r="BC713" s="21" t="e" vm="1">
        <v>#REF!</v>
      </c>
      <c r="BD713" t="e" vm="1">
        <v>#REF!</v>
      </c>
      <c r="BF713" t="e" vm="2">
        <f t="shared" si="126"/>
        <v>#VALUE!</v>
      </c>
      <c r="BG713" t="e" vm="2">
        <f t="shared" si="127"/>
        <v>#VALUE!</v>
      </c>
      <c r="BJ713" s="21" t="e" vm="1">
        <v>#REF!</v>
      </c>
      <c r="BK713" t="e" vm="1">
        <v>#REF!</v>
      </c>
      <c r="BM713" t="e" vm="2">
        <f t="shared" si="128"/>
        <v>#VALUE!</v>
      </c>
      <c r="BN713" t="e" vm="2">
        <f t="shared" si="129"/>
        <v>#VALUE!</v>
      </c>
    </row>
    <row r="714" spans="1:73" x14ac:dyDescent="0.2">
      <c r="BC714" s="21" t="e" vm="1">
        <v>#REF!</v>
      </c>
      <c r="BD714" t="e" vm="1">
        <v>#REF!</v>
      </c>
      <c r="BF714" t="e" vm="2">
        <f t="shared" si="126"/>
        <v>#VALUE!</v>
      </c>
      <c r="BG714" t="e" vm="2">
        <f t="shared" si="127"/>
        <v>#VALUE!</v>
      </c>
      <c r="BJ714" s="21" t="e" vm="1">
        <v>#REF!</v>
      </c>
      <c r="BK714" t="e" vm="1">
        <v>#REF!</v>
      </c>
      <c r="BM714" t="e" vm="2">
        <f t="shared" si="128"/>
        <v>#VALUE!</v>
      </c>
      <c r="BN714" t="e" vm="2">
        <f t="shared" si="129"/>
        <v>#VALUE!</v>
      </c>
    </row>
    <row r="715" spans="1:73" x14ac:dyDescent="0.2">
      <c r="BC715" s="21" t="e" vm="1">
        <v>#REF!</v>
      </c>
      <c r="BD715" t="e" vm="1">
        <v>#REF!</v>
      </c>
      <c r="BF715" t="e" vm="2">
        <f t="shared" si="126"/>
        <v>#VALUE!</v>
      </c>
      <c r="BG715" t="e" vm="2">
        <f t="shared" si="127"/>
        <v>#VALUE!</v>
      </c>
      <c r="BJ715" s="21" t="e" vm="1">
        <v>#REF!</v>
      </c>
      <c r="BK715" t="e" vm="1">
        <v>#REF!</v>
      </c>
      <c r="BM715" t="e" vm="2">
        <f t="shared" si="128"/>
        <v>#VALUE!</v>
      </c>
      <c r="BN715" t="e" vm="2">
        <f t="shared" si="129"/>
        <v>#VALUE!</v>
      </c>
    </row>
    <row r="716" spans="1:73" x14ac:dyDescent="0.2">
      <c r="BC716" s="21" t="e" vm="1">
        <v>#REF!</v>
      </c>
      <c r="BD716" t="e" vm="1">
        <v>#REF!</v>
      </c>
      <c r="BF716" t="e" vm="2">
        <f t="shared" si="126"/>
        <v>#VALUE!</v>
      </c>
      <c r="BG716" t="e" vm="2">
        <f t="shared" si="127"/>
        <v>#VALUE!</v>
      </c>
      <c r="BJ716" s="21" t="e" vm="1">
        <v>#REF!</v>
      </c>
      <c r="BK716" t="e" vm="1">
        <v>#REF!</v>
      </c>
      <c r="BM716" t="e" vm="2">
        <f t="shared" si="128"/>
        <v>#VALUE!</v>
      </c>
      <c r="BN716" t="e" vm="2">
        <f t="shared" si="129"/>
        <v>#VALUE!</v>
      </c>
    </row>
    <row r="717" spans="1:73" x14ac:dyDescent="0.2">
      <c r="BC717" s="21" t="e" vm="1">
        <v>#REF!</v>
      </c>
      <c r="BD717" t="e" vm="1">
        <v>#REF!</v>
      </c>
      <c r="BF717" t="e" vm="2">
        <f t="shared" si="126"/>
        <v>#VALUE!</v>
      </c>
      <c r="BG717" t="e" vm="2">
        <f t="shared" si="127"/>
        <v>#VALUE!</v>
      </c>
      <c r="BJ717" s="21" t="e" vm="1">
        <v>#REF!</v>
      </c>
      <c r="BK717" t="e" vm="1">
        <v>#REF!</v>
      </c>
      <c r="BM717" t="e" vm="2">
        <f t="shared" si="128"/>
        <v>#VALUE!</v>
      </c>
      <c r="BN717" t="e" vm="2">
        <f t="shared" si="129"/>
        <v>#VALUE!</v>
      </c>
    </row>
    <row r="718" spans="1:73" x14ac:dyDescent="0.2">
      <c r="BC718" s="21" t="e" vm="1">
        <v>#REF!</v>
      </c>
      <c r="BD718" t="e" vm="1">
        <v>#REF!</v>
      </c>
      <c r="BF718" t="e" vm="2">
        <f t="shared" si="126"/>
        <v>#VALUE!</v>
      </c>
      <c r="BG718" t="e" vm="2">
        <f t="shared" si="127"/>
        <v>#VALUE!</v>
      </c>
      <c r="BJ718" s="21" t="e" vm="1">
        <v>#REF!</v>
      </c>
      <c r="BK718" t="e" vm="1">
        <v>#REF!</v>
      </c>
      <c r="BM718" t="e" vm="2">
        <f t="shared" si="128"/>
        <v>#VALUE!</v>
      </c>
      <c r="BN718" t="e" vm="2">
        <f t="shared" si="129"/>
        <v>#VALUE!</v>
      </c>
    </row>
    <row r="719" spans="1:73" x14ac:dyDescent="0.2">
      <c r="BC719" s="21" t="e" vm="1">
        <v>#REF!</v>
      </c>
      <c r="BD719" t="e" vm="1">
        <v>#REF!</v>
      </c>
      <c r="BF719" t="e" vm="2">
        <f t="shared" si="126"/>
        <v>#VALUE!</v>
      </c>
      <c r="BG719" t="e" vm="2">
        <f t="shared" si="127"/>
        <v>#VALUE!</v>
      </c>
      <c r="BJ719" s="21" t="e" vm="1">
        <v>#REF!</v>
      </c>
      <c r="BK719" t="e" vm="1">
        <v>#REF!</v>
      </c>
      <c r="BM719" t="e" vm="2">
        <f t="shared" si="128"/>
        <v>#VALUE!</v>
      </c>
      <c r="BN719" t="e" vm="2">
        <f t="shared" si="129"/>
        <v>#VALUE!</v>
      </c>
    </row>
    <row r="720" spans="1:73" x14ac:dyDescent="0.2">
      <c r="BC720" s="21" t="e" vm="1">
        <v>#REF!</v>
      </c>
      <c r="BD720" t="e" vm="1">
        <v>#REF!</v>
      </c>
      <c r="BF720" t="e" vm="2">
        <f t="shared" si="126"/>
        <v>#VALUE!</v>
      </c>
      <c r="BG720" t="e" vm="2">
        <f t="shared" si="127"/>
        <v>#VALUE!</v>
      </c>
      <c r="BJ720" s="21" t="e" vm="1">
        <v>#REF!</v>
      </c>
      <c r="BK720" t="e" vm="1">
        <v>#REF!</v>
      </c>
      <c r="BM720" t="e" vm="2">
        <f t="shared" si="128"/>
        <v>#VALUE!</v>
      </c>
      <c r="BN720" t="e" vm="2">
        <f t="shared" si="129"/>
        <v>#VALUE!</v>
      </c>
    </row>
    <row r="721" spans="55:66" x14ac:dyDescent="0.2">
      <c r="BC721" s="21" t="e" vm="1">
        <v>#REF!</v>
      </c>
      <c r="BD721" t="e" vm="1">
        <v>#REF!</v>
      </c>
      <c r="BF721" t="e" vm="2">
        <f t="shared" si="126"/>
        <v>#VALUE!</v>
      </c>
      <c r="BG721" t="e" vm="2">
        <f t="shared" si="127"/>
        <v>#VALUE!</v>
      </c>
      <c r="BJ721" s="21" t="e" vm="1">
        <v>#REF!</v>
      </c>
      <c r="BK721" t="e" vm="1">
        <v>#REF!</v>
      </c>
      <c r="BM721" t="e" vm="2">
        <f t="shared" si="128"/>
        <v>#VALUE!</v>
      </c>
      <c r="BN721" t="e" vm="2">
        <f t="shared" si="129"/>
        <v>#VALUE!</v>
      </c>
    </row>
    <row r="722" spans="55:66" x14ac:dyDescent="0.2">
      <c r="BC722" s="21" t="e" vm="1">
        <v>#REF!</v>
      </c>
      <c r="BD722" t="e" vm="1">
        <v>#REF!</v>
      </c>
      <c r="BF722" t="e" vm="2">
        <f t="shared" si="126"/>
        <v>#VALUE!</v>
      </c>
      <c r="BG722" t="e" vm="2">
        <f t="shared" si="127"/>
        <v>#VALUE!</v>
      </c>
      <c r="BJ722" s="21" t="e" vm="1">
        <v>#REF!</v>
      </c>
      <c r="BK722" t="e" vm="1">
        <v>#REF!</v>
      </c>
      <c r="BM722" t="e" vm="2">
        <f t="shared" si="128"/>
        <v>#VALUE!</v>
      </c>
      <c r="BN722" t="e" vm="2">
        <f t="shared" si="129"/>
        <v>#VALUE!</v>
      </c>
    </row>
    <row r="723" spans="55:66" x14ac:dyDescent="0.2">
      <c r="BC723" s="21" t="e" vm="1">
        <v>#REF!</v>
      </c>
      <c r="BD723" t="e" vm="1">
        <v>#REF!</v>
      </c>
      <c r="BF723" t="e" vm="2">
        <f t="shared" si="126"/>
        <v>#VALUE!</v>
      </c>
      <c r="BG723" t="e" vm="2">
        <f t="shared" si="127"/>
        <v>#VALUE!</v>
      </c>
      <c r="BJ723" s="21" t="e" vm="1">
        <v>#REF!</v>
      </c>
      <c r="BK723" t="e" vm="1">
        <v>#REF!</v>
      </c>
      <c r="BM723" t="e" vm="2">
        <f t="shared" si="128"/>
        <v>#VALUE!</v>
      </c>
      <c r="BN723" t="e" vm="2">
        <f t="shared" si="129"/>
        <v>#VALUE!</v>
      </c>
    </row>
    <row r="724" spans="55:66" x14ac:dyDescent="0.2">
      <c r="BC724" s="21" t="e" vm="1">
        <v>#REF!</v>
      </c>
      <c r="BD724" t="e" vm="1">
        <v>#REF!</v>
      </c>
      <c r="BF724" t="e" vm="2">
        <f t="shared" si="126"/>
        <v>#VALUE!</v>
      </c>
      <c r="BG724" t="e" vm="2">
        <f t="shared" si="127"/>
        <v>#VALUE!</v>
      </c>
      <c r="BJ724" s="21" t="e" vm="1">
        <v>#REF!</v>
      </c>
      <c r="BK724" t="e" vm="1">
        <v>#REF!</v>
      </c>
      <c r="BM724" t="e" vm="2">
        <f t="shared" si="128"/>
        <v>#VALUE!</v>
      </c>
      <c r="BN724" t="e" vm="2">
        <f t="shared" si="129"/>
        <v>#VALUE!</v>
      </c>
    </row>
    <row r="725" spans="55:66" x14ac:dyDescent="0.2">
      <c r="BC725" s="21" t="e" vm="1">
        <v>#REF!</v>
      </c>
      <c r="BD725" t="e" vm="1">
        <v>#REF!</v>
      </c>
      <c r="BF725" t="e" vm="2">
        <f t="shared" si="126"/>
        <v>#VALUE!</v>
      </c>
      <c r="BG725" t="e" vm="2">
        <f t="shared" si="127"/>
        <v>#VALUE!</v>
      </c>
      <c r="BJ725" s="21" t="e" vm="1">
        <v>#REF!</v>
      </c>
      <c r="BK725" t="e" vm="1">
        <v>#REF!</v>
      </c>
      <c r="BM725" t="e" vm="2">
        <f t="shared" si="128"/>
        <v>#VALUE!</v>
      </c>
      <c r="BN725" t="e" vm="2">
        <f t="shared" si="129"/>
        <v>#VALUE!</v>
      </c>
    </row>
    <row r="726" spans="55:66" x14ac:dyDescent="0.2">
      <c r="BC726" s="21" t="e" vm="1">
        <v>#REF!</v>
      </c>
      <c r="BD726" t="e" vm="1">
        <v>#REF!</v>
      </c>
      <c r="BF726" t="e" vm="2">
        <f t="shared" si="126"/>
        <v>#VALUE!</v>
      </c>
      <c r="BG726" t="e" vm="2">
        <f t="shared" si="127"/>
        <v>#VALUE!</v>
      </c>
      <c r="BJ726" s="21" t="e" vm="1">
        <v>#REF!</v>
      </c>
      <c r="BK726" t="e" vm="1">
        <v>#REF!</v>
      </c>
      <c r="BM726" t="e" vm="2">
        <f t="shared" si="128"/>
        <v>#VALUE!</v>
      </c>
      <c r="BN726" t="e" vm="2">
        <f t="shared" si="129"/>
        <v>#VALUE!</v>
      </c>
    </row>
    <row r="727" spans="55:66" x14ac:dyDescent="0.2">
      <c r="BC727" s="21" t="e" vm="1">
        <v>#REF!</v>
      </c>
      <c r="BD727" t="e" vm="1">
        <v>#REF!</v>
      </c>
      <c r="BF727" t="e" vm="2">
        <f t="shared" si="126"/>
        <v>#VALUE!</v>
      </c>
      <c r="BG727" t="e" vm="2">
        <f t="shared" si="127"/>
        <v>#VALUE!</v>
      </c>
      <c r="BJ727" s="21" t="e" vm="1">
        <v>#REF!</v>
      </c>
      <c r="BK727" t="e" vm="1">
        <v>#REF!</v>
      </c>
      <c r="BM727" t="e" vm="2">
        <f t="shared" si="128"/>
        <v>#VALUE!</v>
      </c>
      <c r="BN727" t="e" vm="2">
        <f t="shared" si="129"/>
        <v>#VALUE!</v>
      </c>
    </row>
    <row r="728" spans="55:66" x14ac:dyDescent="0.2">
      <c r="BC728" s="21" t="e" vm="1">
        <v>#REF!</v>
      </c>
      <c r="BD728" t="e" vm="1">
        <v>#REF!</v>
      </c>
      <c r="BF728" t="e" vm="2">
        <f t="shared" si="126"/>
        <v>#VALUE!</v>
      </c>
      <c r="BG728" t="e" vm="2">
        <f t="shared" si="127"/>
        <v>#VALUE!</v>
      </c>
      <c r="BJ728" s="21" t="e" vm="1">
        <v>#REF!</v>
      </c>
      <c r="BK728" t="e" vm="1">
        <v>#REF!</v>
      </c>
      <c r="BM728" t="e" vm="2">
        <f t="shared" si="128"/>
        <v>#VALUE!</v>
      </c>
      <c r="BN728" t="e" vm="2">
        <f t="shared" si="129"/>
        <v>#VALUE!</v>
      </c>
    </row>
    <row r="729" spans="55:66" x14ac:dyDescent="0.2">
      <c r="BC729" s="21" t="e" vm="1">
        <v>#REF!</v>
      </c>
      <c r="BD729" t="e" vm="1">
        <v>#REF!</v>
      </c>
      <c r="BF729" t="e" vm="2">
        <f t="shared" si="126"/>
        <v>#VALUE!</v>
      </c>
      <c r="BG729" t="e" vm="2">
        <f t="shared" si="127"/>
        <v>#VALUE!</v>
      </c>
      <c r="BJ729" s="21" t="e" vm="1">
        <v>#REF!</v>
      </c>
      <c r="BK729" t="e" vm="1">
        <v>#REF!</v>
      </c>
      <c r="BM729" t="e" vm="2">
        <f t="shared" si="128"/>
        <v>#VALUE!</v>
      </c>
      <c r="BN729" t="e" vm="2">
        <f t="shared" si="129"/>
        <v>#VALUE!</v>
      </c>
    </row>
    <row r="730" spans="55:66" x14ac:dyDescent="0.2">
      <c r="BC730" s="21" t="e" vm="1">
        <v>#REF!</v>
      </c>
      <c r="BD730" t="e" vm="1">
        <v>#REF!</v>
      </c>
      <c r="BF730" t="e" vm="2">
        <f t="shared" si="126"/>
        <v>#VALUE!</v>
      </c>
      <c r="BG730" t="e" vm="2">
        <f t="shared" si="127"/>
        <v>#VALUE!</v>
      </c>
      <c r="BJ730" s="21" t="e" vm="1">
        <v>#REF!</v>
      </c>
      <c r="BK730" t="e" vm="1">
        <v>#REF!</v>
      </c>
      <c r="BM730" t="e" vm="2">
        <f t="shared" si="128"/>
        <v>#VALUE!</v>
      </c>
      <c r="BN730" t="e" vm="2">
        <f t="shared" si="129"/>
        <v>#VALUE!</v>
      </c>
    </row>
    <row r="731" spans="55:66" x14ac:dyDescent="0.2">
      <c r="BC731" s="21" t="e" vm="1">
        <v>#REF!</v>
      </c>
      <c r="BD731" t="e" vm="1">
        <v>#REF!</v>
      </c>
      <c r="BF731" t="e" vm="2">
        <f t="shared" si="126"/>
        <v>#VALUE!</v>
      </c>
      <c r="BG731" t="e" vm="2">
        <f t="shared" si="127"/>
        <v>#VALUE!</v>
      </c>
      <c r="BJ731" s="21" t="e" vm="1">
        <v>#REF!</v>
      </c>
      <c r="BK731" t="e" vm="1">
        <v>#REF!</v>
      </c>
      <c r="BM731" t="e" vm="2">
        <f t="shared" si="128"/>
        <v>#VALUE!</v>
      </c>
      <c r="BN731" t="e" vm="2">
        <f t="shared" si="129"/>
        <v>#VALUE!</v>
      </c>
    </row>
    <row r="732" spans="55:66" x14ac:dyDescent="0.2">
      <c r="BC732" s="21" t="e" vm="1">
        <v>#REF!</v>
      </c>
      <c r="BD732" t="e" vm="1">
        <v>#REF!</v>
      </c>
      <c r="BF732" t="e" vm="2">
        <f t="shared" si="126"/>
        <v>#VALUE!</v>
      </c>
      <c r="BG732" t="e" vm="2">
        <f t="shared" si="127"/>
        <v>#VALUE!</v>
      </c>
      <c r="BJ732" s="21" t="e" vm="1">
        <v>#REF!</v>
      </c>
      <c r="BK732" t="e" vm="1">
        <v>#REF!</v>
      </c>
      <c r="BM732" t="e" vm="2">
        <f t="shared" si="128"/>
        <v>#VALUE!</v>
      </c>
      <c r="BN732" t="e" vm="2">
        <f t="shared" si="129"/>
        <v>#VALUE!</v>
      </c>
    </row>
    <row r="733" spans="55:66" x14ac:dyDescent="0.2">
      <c r="BC733" s="21" t="e" vm="1">
        <v>#REF!</v>
      </c>
      <c r="BD733" t="e" vm="1">
        <v>#REF!</v>
      </c>
      <c r="BF733" t="e" vm="2">
        <f t="shared" si="126"/>
        <v>#VALUE!</v>
      </c>
      <c r="BG733" t="e" vm="2">
        <f t="shared" si="127"/>
        <v>#VALUE!</v>
      </c>
      <c r="BJ733" s="21" t="e" vm="1">
        <v>#REF!</v>
      </c>
      <c r="BK733" t="e" vm="1">
        <v>#REF!</v>
      </c>
      <c r="BM733" t="e" vm="2">
        <f t="shared" si="128"/>
        <v>#VALUE!</v>
      </c>
      <c r="BN733" t="e" vm="2">
        <f t="shared" si="129"/>
        <v>#VALUE!</v>
      </c>
    </row>
    <row r="734" spans="55:66" x14ac:dyDescent="0.2">
      <c r="BC734" s="21" t="e" vm="1">
        <v>#REF!</v>
      </c>
      <c r="BD734" t="e" vm="1">
        <v>#REF!</v>
      </c>
      <c r="BF734" t="e" vm="2">
        <f t="shared" si="126"/>
        <v>#VALUE!</v>
      </c>
      <c r="BG734" t="e" vm="2">
        <f t="shared" si="127"/>
        <v>#VALUE!</v>
      </c>
      <c r="BJ734" s="21" t="e" vm="1">
        <v>#REF!</v>
      </c>
      <c r="BK734" t="e" vm="1">
        <v>#REF!</v>
      </c>
      <c r="BM734" t="e" vm="2">
        <f t="shared" si="128"/>
        <v>#VALUE!</v>
      </c>
      <c r="BN734" t="e" vm="2">
        <f t="shared" si="129"/>
        <v>#VALUE!</v>
      </c>
    </row>
    <row r="735" spans="55:66" x14ac:dyDescent="0.2">
      <c r="BC735" s="21" t="e" vm="1">
        <v>#REF!</v>
      </c>
      <c r="BD735" t="e" vm="1">
        <v>#REF!</v>
      </c>
      <c r="BF735" t="e" vm="2">
        <f t="shared" si="126"/>
        <v>#VALUE!</v>
      </c>
      <c r="BG735" t="e" vm="2">
        <f t="shared" si="127"/>
        <v>#VALUE!</v>
      </c>
      <c r="BJ735" s="21" t="e" vm="1">
        <v>#REF!</v>
      </c>
      <c r="BK735" t="e" vm="1">
        <v>#REF!</v>
      </c>
      <c r="BM735" t="e" vm="2">
        <f t="shared" si="128"/>
        <v>#VALUE!</v>
      </c>
      <c r="BN735" t="e" vm="2">
        <f t="shared" si="129"/>
        <v>#VALUE!</v>
      </c>
    </row>
    <row r="736" spans="55:66" x14ac:dyDescent="0.2">
      <c r="BC736" s="21" t="e" vm="1">
        <v>#REF!</v>
      </c>
      <c r="BD736" t="e" vm="1">
        <v>#REF!</v>
      </c>
      <c r="BF736" t="e" vm="2">
        <f t="shared" si="126"/>
        <v>#VALUE!</v>
      </c>
      <c r="BG736" t="e" vm="2">
        <f t="shared" si="127"/>
        <v>#VALUE!</v>
      </c>
      <c r="BJ736" s="21" t="e" vm="1">
        <v>#REF!</v>
      </c>
      <c r="BK736" t="e" vm="1">
        <v>#REF!</v>
      </c>
      <c r="BM736" t="e" vm="2">
        <f t="shared" si="128"/>
        <v>#VALUE!</v>
      </c>
      <c r="BN736" t="e" vm="2">
        <f t="shared" si="129"/>
        <v>#VALUE!</v>
      </c>
    </row>
    <row r="737" spans="55:66" x14ac:dyDescent="0.2">
      <c r="BC737" s="21" t="e" vm="1">
        <v>#REF!</v>
      </c>
      <c r="BD737" t="e" vm="1">
        <v>#REF!</v>
      </c>
      <c r="BF737" t="e" vm="2">
        <f t="shared" si="126"/>
        <v>#VALUE!</v>
      </c>
      <c r="BG737" t="e" vm="2">
        <f t="shared" si="127"/>
        <v>#VALUE!</v>
      </c>
      <c r="BJ737" s="21" t="e" vm="1">
        <v>#REF!</v>
      </c>
      <c r="BK737" t="e" vm="1">
        <v>#REF!</v>
      </c>
      <c r="BM737" t="e" vm="2">
        <f t="shared" si="128"/>
        <v>#VALUE!</v>
      </c>
      <c r="BN737" t="e" vm="2">
        <f t="shared" si="129"/>
        <v>#VALUE!</v>
      </c>
    </row>
    <row r="738" spans="55:66" x14ac:dyDescent="0.2">
      <c r="BC738" s="21" t="e" vm="1">
        <v>#REF!</v>
      </c>
      <c r="BD738" t="e" vm="1">
        <v>#REF!</v>
      </c>
      <c r="BF738" t="e" vm="2">
        <f t="shared" si="126"/>
        <v>#VALUE!</v>
      </c>
      <c r="BG738" t="e" vm="2">
        <f t="shared" si="127"/>
        <v>#VALUE!</v>
      </c>
      <c r="BJ738" s="21" t="e" vm="1">
        <v>#REF!</v>
      </c>
      <c r="BK738" t="e" vm="1">
        <v>#REF!</v>
      </c>
      <c r="BM738" t="e" vm="2">
        <f t="shared" si="128"/>
        <v>#VALUE!</v>
      </c>
      <c r="BN738" t="e" vm="2">
        <f t="shared" si="129"/>
        <v>#VALUE!</v>
      </c>
    </row>
    <row r="739" spans="55:66" x14ac:dyDescent="0.2">
      <c r="BC739" s="21" t="e" vm="1">
        <v>#REF!</v>
      </c>
      <c r="BD739" t="e" vm="1">
        <v>#REF!</v>
      </c>
      <c r="BF739" t="e" vm="2">
        <f t="shared" si="126"/>
        <v>#VALUE!</v>
      </c>
      <c r="BG739" t="e" vm="2">
        <f t="shared" si="127"/>
        <v>#VALUE!</v>
      </c>
      <c r="BJ739" s="21" t="e" vm="1">
        <v>#REF!</v>
      </c>
      <c r="BK739" t="e" vm="1">
        <v>#REF!</v>
      </c>
      <c r="BM739" t="e" vm="2">
        <f t="shared" si="128"/>
        <v>#VALUE!</v>
      </c>
      <c r="BN739" t="e" vm="2">
        <f t="shared" si="129"/>
        <v>#VALUE!</v>
      </c>
    </row>
    <row r="740" spans="55:66" x14ac:dyDescent="0.2">
      <c r="BC740" s="21" t="e" vm="1">
        <v>#REF!</v>
      </c>
      <c r="BD740" t="e" vm="1">
        <v>#REF!</v>
      </c>
      <c r="BF740" t="e" vm="2">
        <f t="shared" si="126"/>
        <v>#VALUE!</v>
      </c>
      <c r="BG740" t="e" vm="2">
        <f t="shared" si="127"/>
        <v>#VALUE!</v>
      </c>
      <c r="BJ740" s="21" t="e" vm="1">
        <v>#REF!</v>
      </c>
      <c r="BK740" t="e" vm="1">
        <v>#REF!</v>
      </c>
      <c r="BM740" t="e" vm="2">
        <f t="shared" si="128"/>
        <v>#VALUE!</v>
      </c>
      <c r="BN740" t="e" vm="2">
        <f t="shared" si="129"/>
        <v>#VALUE!</v>
      </c>
    </row>
    <row r="741" spans="55:66" x14ac:dyDescent="0.2">
      <c r="BC741" s="21" t="e" vm="1">
        <v>#REF!</v>
      </c>
      <c r="BD741" t="e" vm="1">
        <v>#REF!</v>
      </c>
      <c r="BF741" t="e" vm="2">
        <f t="shared" si="126"/>
        <v>#VALUE!</v>
      </c>
      <c r="BG741" t="e" vm="2">
        <f t="shared" si="127"/>
        <v>#VALUE!</v>
      </c>
      <c r="BJ741" s="21" t="e" vm="1">
        <v>#REF!</v>
      </c>
      <c r="BK741" t="e" vm="1">
        <v>#REF!</v>
      </c>
      <c r="BM741" t="e" vm="2">
        <f t="shared" si="128"/>
        <v>#VALUE!</v>
      </c>
      <c r="BN741" t="e" vm="2">
        <f t="shared" si="129"/>
        <v>#VALUE!</v>
      </c>
    </row>
    <row r="742" spans="55:66" x14ac:dyDescent="0.2">
      <c r="BC742" s="21" t="e" vm="1">
        <v>#REF!</v>
      </c>
      <c r="BD742" t="e" vm="1">
        <v>#REF!</v>
      </c>
      <c r="BF742" t="e" vm="2">
        <f t="shared" si="126"/>
        <v>#VALUE!</v>
      </c>
      <c r="BG742" t="e" vm="2">
        <f t="shared" si="127"/>
        <v>#VALUE!</v>
      </c>
      <c r="BJ742" s="21" t="e" vm="1">
        <v>#REF!</v>
      </c>
      <c r="BK742" t="e" vm="1">
        <v>#REF!</v>
      </c>
      <c r="BM742" t="e" vm="2">
        <f t="shared" si="128"/>
        <v>#VALUE!</v>
      </c>
      <c r="BN742" t="e" vm="2">
        <f t="shared" si="129"/>
        <v>#VALUE!</v>
      </c>
    </row>
    <row r="743" spans="55:66" x14ac:dyDescent="0.2">
      <c r="BC743" s="21" t="e" vm="1">
        <v>#REF!</v>
      </c>
      <c r="BD743" t="e" vm="1">
        <v>#REF!</v>
      </c>
      <c r="BF743" t="e" vm="2">
        <f t="shared" si="126"/>
        <v>#VALUE!</v>
      </c>
      <c r="BG743" t="e" vm="2">
        <f t="shared" si="127"/>
        <v>#VALUE!</v>
      </c>
      <c r="BJ743" s="21" t="e" vm="1">
        <v>#REF!</v>
      </c>
      <c r="BK743" t="e" vm="1">
        <v>#REF!</v>
      </c>
      <c r="BM743" t="e" vm="2">
        <f t="shared" si="128"/>
        <v>#VALUE!</v>
      </c>
      <c r="BN743" t="e" vm="2">
        <f t="shared" si="129"/>
        <v>#VALUE!</v>
      </c>
    </row>
    <row r="744" spans="55:66" x14ac:dyDescent="0.2">
      <c r="BC744" s="21" t="e" vm="1">
        <v>#REF!</v>
      </c>
      <c r="BD744" t="e" vm="1">
        <v>#REF!</v>
      </c>
      <c r="BF744" t="e" vm="2">
        <f t="shared" si="126"/>
        <v>#VALUE!</v>
      </c>
      <c r="BG744" t="e" vm="2">
        <f t="shared" si="127"/>
        <v>#VALUE!</v>
      </c>
      <c r="BJ744" s="21" t="e" vm="1">
        <v>#REF!</v>
      </c>
      <c r="BK744" t="e" vm="1">
        <v>#REF!</v>
      </c>
      <c r="BM744" t="e" vm="2">
        <f t="shared" si="128"/>
        <v>#VALUE!</v>
      </c>
      <c r="BN744" t="e" vm="2">
        <f t="shared" si="129"/>
        <v>#VALUE!</v>
      </c>
    </row>
    <row r="745" spans="55:66" x14ac:dyDescent="0.2">
      <c r="BC745" s="21" t="e" vm="1">
        <v>#REF!</v>
      </c>
      <c r="BD745" t="e" vm="1">
        <v>#REF!</v>
      </c>
      <c r="BF745" t="e" vm="2">
        <f t="shared" si="126"/>
        <v>#VALUE!</v>
      </c>
      <c r="BG745" t="e" vm="2">
        <f t="shared" si="127"/>
        <v>#VALUE!</v>
      </c>
      <c r="BJ745" s="21" t="e" vm="1">
        <v>#REF!</v>
      </c>
      <c r="BK745" t="e" vm="1">
        <v>#REF!</v>
      </c>
      <c r="BM745" t="e" vm="2">
        <f t="shared" si="128"/>
        <v>#VALUE!</v>
      </c>
      <c r="BN745" t="e" vm="2">
        <f t="shared" si="129"/>
        <v>#VALUE!</v>
      </c>
    </row>
    <row r="746" spans="55:66" x14ac:dyDescent="0.2">
      <c r="BC746" s="21" t="e" vm="1">
        <v>#REF!</v>
      </c>
      <c r="BD746" t="e" vm="1">
        <v>#REF!</v>
      </c>
      <c r="BF746" t="e" vm="2">
        <f t="shared" si="126"/>
        <v>#VALUE!</v>
      </c>
      <c r="BG746" t="e" vm="2">
        <f t="shared" si="127"/>
        <v>#VALUE!</v>
      </c>
      <c r="BJ746" s="21" t="e" vm="1">
        <v>#REF!</v>
      </c>
      <c r="BK746" t="e" vm="1">
        <v>#REF!</v>
      </c>
      <c r="BM746" t="e" vm="2">
        <f t="shared" si="128"/>
        <v>#VALUE!</v>
      </c>
      <c r="BN746" t="e" vm="2">
        <f t="shared" si="129"/>
        <v>#VALUE!</v>
      </c>
    </row>
    <row r="747" spans="55:66" x14ac:dyDescent="0.2">
      <c r="BC747" s="21" t="e" vm="1">
        <v>#REF!</v>
      </c>
      <c r="BD747" t="e" vm="1">
        <v>#REF!</v>
      </c>
      <c r="BF747" t="e" vm="2">
        <f t="shared" si="126"/>
        <v>#VALUE!</v>
      </c>
      <c r="BG747" t="e" vm="2">
        <f t="shared" si="127"/>
        <v>#VALUE!</v>
      </c>
      <c r="BJ747" s="21" t="e" vm="1">
        <v>#REF!</v>
      </c>
      <c r="BK747" t="e" vm="1">
        <v>#REF!</v>
      </c>
      <c r="BM747" t="e" vm="2">
        <f t="shared" si="128"/>
        <v>#VALUE!</v>
      </c>
      <c r="BN747" t="e" vm="2">
        <f t="shared" si="129"/>
        <v>#VALUE!</v>
      </c>
    </row>
    <row r="748" spans="55:66" x14ac:dyDescent="0.2">
      <c r="BC748" s="21" t="e" vm="1">
        <v>#REF!</v>
      </c>
      <c r="BD748" t="e" vm="1">
        <v>#REF!</v>
      </c>
      <c r="BF748" t="e" vm="2">
        <f t="shared" si="126"/>
        <v>#VALUE!</v>
      </c>
      <c r="BG748" t="e" vm="2">
        <f t="shared" si="127"/>
        <v>#VALUE!</v>
      </c>
      <c r="BJ748" s="21" t="e" vm="1">
        <v>#REF!</v>
      </c>
      <c r="BK748" t="e" vm="1">
        <v>#REF!</v>
      </c>
      <c r="BM748" t="e" vm="2">
        <f t="shared" si="128"/>
        <v>#VALUE!</v>
      </c>
      <c r="BN748" t="e" vm="2">
        <f t="shared" si="129"/>
        <v>#VALUE!</v>
      </c>
    </row>
    <row r="749" spans="55:66" x14ac:dyDescent="0.2">
      <c r="BC749" s="21" t="e" vm="1">
        <v>#REF!</v>
      </c>
      <c r="BD749" t="e" vm="1">
        <v>#REF!</v>
      </c>
      <c r="BF749" t="e" vm="2">
        <f t="shared" si="126"/>
        <v>#VALUE!</v>
      </c>
      <c r="BG749" t="e" vm="2">
        <f t="shared" si="127"/>
        <v>#VALUE!</v>
      </c>
      <c r="BJ749" s="21" t="e" vm="1">
        <v>#REF!</v>
      </c>
      <c r="BK749" t="e" vm="1">
        <v>#REF!</v>
      </c>
      <c r="BM749" t="e" vm="2">
        <f t="shared" si="128"/>
        <v>#VALUE!</v>
      </c>
      <c r="BN749" t="e" vm="2">
        <f t="shared" si="129"/>
        <v>#VALUE!</v>
      </c>
    </row>
    <row r="750" spans="55:66" x14ac:dyDescent="0.2">
      <c r="BC750" s="21" t="e" vm="1">
        <v>#REF!</v>
      </c>
      <c r="BD750" t="e" vm="1">
        <v>#REF!</v>
      </c>
      <c r="BF750" t="e" vm="2">
        <f t="shared" si="126"/>
        <v>#VALUE!</v>
      </c>
      <c r="BG750" t="e" vm="2">
        <f t="shared" si="127"/>
        <v>#VALUE!</v>
      </c>
      <c r="BJ750" s="21" t="e" vm="1">
        <v>#REF!</v>
      </c>
      <c r="BK750" t="e" vm="1">
        <v>#REF!</v>
      </c>
      <c r="BM750" t="e" vm="2">
        <f t="shared" si="128"/>
        <v>#VALUE!</v>
      </c>
      <c r="BN750" t="e" vm="2">
        <f t="shared" si="129"/>
        <v>#VALUE!</v>
      </c>
    </row>
    <row r="751" spans="55:66" x14ac:dyDescent="0.2">
      <c r="BC751" s="21" t="e" vm="1">
        <v>#REF!</v>
      </c>
      <c r="BD751" t="e" vm="1">
        <v>#REF!</v>
      </c>
      <c r="BF751" t="e" vm="2">
        <f t="shared" si="126"/>
        <v>#VALUE!</v>
      </c>
      <c r="BG751" t="e" vm="2">
        <f t="shared" si="127"/>
        <v>#VALUE!</v>
      </c>
      <c r="BJ751" s="21" t="e" vm="1">
        <v>#REF!</v>
      </c>
      <c r="BK751" t="e" vm="1">
        <v>#REF!</v>
      </c>
      <c r="BM751" t="e" vm="2">
        <f t="shared" si="128"/>
        <v>#VALUE!</v>
      </c>
      <c r="BN751" t="e" vm="2">
        <f t="shared" si="129"/>
        <v>#VALUE!</v>
      </c>
    </row>
    <row r="752" spans="55:66" x14ac:dyDescent="0.2">
      <c r="BC752" s="21" t="e" vm="1">
        <v>#REF!</v>
      </c>
      <c r="BD752" t="e" vm="1">
        <v>#REF!</v>
      </c>
      <c r="BF752" t="e" vm="2">
        <f t="shared" si="126"/>
        <v>#VALUE!</v>
      </c>
      <c r="BG752" t="e" vm="2">
        <f t="shared" si="127"/>
        <v>#VALUE!</v>
      </c>
      <c r="BJ752" s="21" t="e" vm="1">
        <v>#REF!</v>
      </c>
      <c r="BK752" t="e" vm="1">
        <v>#REF!</v>
      </c>
      <c r="BM752" t="e" vm="2">
        <f t="shared" si="128"/>
        <v>#VALUE!</v>
      </c>
      <c r="BN752" t="e" vm="2">
        <f t="shared" si="129"/>
        <v>#VALUE!</v>
      </c>
    </row>
    <row r="753" spans="55:66" x14ac:dyDescent="0.2">
      <c r="BC753" s="21" t="e" vm="1">
        <v>#REF!</v>
      </c>
      <c r="BD753" t="e" vm="1">
        <v>#REF!</v>
      </c>
      <c r="BF753" t="e" vm="2">
        <f t="shared" si="126"/>
        <v>#VALUE!</v>
      </c>
      <c r="BG753" t="e" vm="2">
        <f t="shared" si="127"/>
        <v>#VALUE!</v>
      </c>
      <c r="BJ753" s="21" t="e" vm="1">
        <v>#REF!</v>
      </c>
      <c r="BK753" t="e" vm="1">
        <v>#REF!</v>
      </c>
      <c r="BM753" t="e" vm="2">
        <f t="shared" si="128"/>
        <v>#VALUE!</v>
      </c>
      <c r="BN753" t="e" vm="2">
        <f t="shared" si="129"/>
        <v>#VALUE!</v>
      </c>
    </row>
    <row r="754" spans="55:66" x14ac:dyDescent="0.2">
      <c r="BC754" s="21" t="e" vm="1">
        <v>#REF!</v>
      </c>
      <c r="BD754" t="e" vm="1">
        <v>#REF!</v>
      </c>
      <c r="BF754" t="e" vm="2">
        <f t="shared" si="126"/>
        <v>#VALUE!</v>
      </c>
      <c r="BG754" t="e" vm="2">
        <f t="shared" si="127"/>
        <v>#VALUE!</v>
      </c>
      <c r="BJ754" s="21" t="e" vm="1">
        <v>#REF!</v>
      </c>
      <c r="BK754" t="e" vm="1">
        <v>#REF!</v>
      </c>
      <c r="BM754" t="e" vm="2">
        <f t="shared" si="128"/>
        <v>#VALUE!</v>
      </c>
      <c r="BN754" t="e" vm="2">
        <f t="shared" si="129"/>
        <v>#VALUE!</v>
      </c>
    </row>
    <row r="755" spans="55:66" x14ac:dyDescent="0.2">
      <c r="BC755" s="21" t="e" vm="1">
        <v>#REF!</v>
      </c>
      <c r="BD755" t="e" vm="1">
        <v>#REF!</v>
      </c>
      <c r="BF755" t="e" vm="2">
        <f t="shared" si="126"/>
        <v>#VALUE!</v>
      </c>
      <c r="BG755" t="e" vm="2">
        <f t="shared" si="127"/>
        <v>#VALUE!</v>
      </c>
      <c r="BJ755" s="21" t="e" vm="1">
        <v>#REF!</v>
      </c>
      <c r="BK755" t="e" vm="1">
        <v>#REF!</v>
      </c>
      <c r="BM755" t="e" vm="2">
        <f t="shared" si="128"/>
        <v>#VALUE!</v>
      </c>
      <c r="BN755" t="e" vm="2">
        <f t="shared" si="129"/>
        <v>#VALUE!</v>
      </c>
    </row>
    <row r="756" spans="55:66" x14ac:dyDescent="0.2">
      <c r="BC756" s="21" t="e" vm="1">
        <v>#REF!</v>
      </c>
      <c r="BD756" t="e" vm="1">
        <v>#REF!</v>
      </c>
      <c r="BF756" t="e" vm="2">
        <f t="shared" si="126"/>
        <v>#VALUE!</v>
      </c>
      <c r="BG756" t="e" vm="2">
        <f t="shared" si="127"/>
        <v>#VALUE!</v>
      </c>
      <c r="BJ756" s="21" t="e" vm="1">
        <v>#REF!</v>
      </c>
      <c r="BK756" t="e" vm="1">
        <v>#REF!</v>
      </c>
      <c r="BM756" t="e" vm="2">
        <f t="shared" si="128"/>
        <v>#VALUE!</v>
      </c>
      <c r="BN756" t="e" vm="2">
        <f t="shared" si="129"/>
        <v>#VALUE!</v>
      </c>
    </row>
    <row r="757" spans="55:66" x14ac:dyDescent="0.2">
      <c r="BC757" s="21" t="e" vm="1">
        <v>#REF!</v>
      </c>
      <c r="BD757" t="e" vm="1">
        <v>#REF!</v>
      </c>
      <c r="BF757" t="e" vm="2">
        <f t="shared" si="126"/>
        <v>#VALUE!</v>
      </c>
      <c r="BG757" t="e" vm="2">
        <f t="shared" si="127"/>
        <v>#VALUE!</v>
      </c>
      <c r="BJ757" s="21" t="e" vm="1">
        <v>#REF!</v>
      </c>
      <c r="BK757" t="e" vm="1">
        <v>#REF!</v>
      </c>
      <c r="BM757" t="e" vm="2">
        <f t="shared" si="128"/>
        <v>#VALUE!</v>
      </c>
      <c r="BN757" t="e" vm="2">
        <f t="shared" si="129"/>
        <v>#VALUE!</v>
      </c>
    </row>
    <row r="758" spans="55:66" x14ac:dyDescent="0.2">
      <c r="BC758" s="21" t="e" vm="1">
        <v>#REF!</v>
      </c>
      <c r="BD758" t="e" vm="1">
        <v>#REF!</v>
      </c>
      <c r="BF758" t="e" vm="2">
        <f t="shared" si="126"/>
        <v>#VALUE!</v>
      </c>
      <c r="BG758" t="e" vm="2">
        <f t="shared" si="127"/>
        <v>#VALUE!</v>
      </c>
      <c r="BJ758" s="21" t="e" vm="1">
        <v>#REF!</v>
      </c>
      <c r="BK758" t="e" vm="1">
        <v>#REF!</v>
      </c>
      <c r="BM758" t="e" vm="2">
        <f t="shared" si="128"/>
        <v>#VALUE!</v>
      </c>
      <c r="BN758" t="e" vm="2">
        <f t="shared" si="129"/>
        <v>#VALUE!</v>
      </c>
    </row>
    <row r="759" spans="55:66" x14ac:dyDescent="0.2">
      <c r="BC759" s="21" t="e" vm="1">
        <v>#REF!</v>
      </c>
      <c r="BD759" t="e" vm="1">
        <v>#REF!</v>
      </c>
      <c r="BF759" t="e" vm="2">
        <f t="shared" si="126"/>
        <v>#VALUE!</v>
      </c>
      <c r="BG759" t="e" vm="2">
        <f t="shared" si="127"/>
        <v>#VALUE!</v>
      </c>
      <c r="BJ759" s="21" t="e" vm="1">
        <v>#REF!</v>
      </c>
      <c r="BK759" t="e" vm="1">
        <v>#REF!</v>
      </c>
      <c r="BM759" t="e" vm="2">
        <f t="shared" si="128"/>
        <v>#VALUE!</v>
      </c>
      <c r="BN759" t="e" vm="2">
        <f t="shared" si="129"/>
        <v>#VALUE!</v>
      </c>
    </row>
    <row r="760" spans="55:66" x14ac:dyDescent="0.2">
      <c r="BC760" s="21" t="e" vm="1">
        <v>#REF!</v>
      </c>
      <c r="BD760" t="e" vm="1">
        <v>#REF!</v>
      </c>
      <c r="BF760" t="e" vm="2">
        <f t="shared" si="126"/>
        <v>#VALUE!</v>
      </c>
      <c r="BG760" t="e" vm="2">
        <f t="shared" si="127"/>
        <v>#VALUE!</v>
      </c>
      <c r="BJ760" s="21" t="e" vm="1">
        <v>#REF!</v>
      </c>
      <c r="BK760" t="e" vm="1">
        <v>#REF!</v>
      </c>
      <c r="BM760" t="e" vm="2">
        <f t="shared" si="128"/>
        <v>#VALUE!</v>
      </c>
      <c r="BN760" t="e" vm="2">
        <f t="shared" si="129"/>
        <v>#VALUE!</v>
      </c>
    </row>
    <row r="761" spans="55:66" x14ac:dyDescent="0.2">
      <c r="BC761" s="21" t="e" vm="1">
        <v>#REF!</v>
      </c>
      <c r="BD761" t="e" vm="1">
        <v>#REF!</v>
      </c>
      <c r="BF761" t="e" vm="2">
        <f t="shared" si="126"/>
        <v>#VALUE!</v>
      </c>
      <c r="BG761" t="e" vm="2">
        <f t="shared" si="127"/>
        <v>#VALUE!</v>
      </c>
      <c r="BJ761" s="21" t="e" vm="1">
        <v>#REF!</v>
      </c>
      <c r="BK761" t="e" vm="1">
        <v>#REF!</v>
      </c>
      <c r="BM761" t="e" vm="2">
        <f t="shared" si="128"/>
        <v>#VALUE!</v>
      </c>
      <c r="BN761" t="e" vm="2">
        <f t="shared" si="129"/>
        <v>#VALUE!</v>
      </c>
    </row>
    <row r="762" spans="55:66" x14ac:dyDescent="0.2">
      <c r="BC762" s="21" t="e" vm="1">
        <v>#REF!</v>
      </c>
      <c r="BD762" t="e" vm="1">
        <v>#REF!</v>
      </c>
      <c r="BF762" t="e" vm="2">
        <f t="shared" si="126"/>
        <v>#VALUE!</v>
      </c>
      <c r="BG762" t="e" vm="2">
        <f t="shared" si="127"/>
        <v>#VALUE!</v>
      </c>
      <c r="BJ762" s="21" t="e" vm="1">
        <v>#REF!</v>
      </c>
      <c r="BK762" t="e" vm="1">
        <v>#REF!</v>
      </c>
      <c r="BM762" t="e" vm="2">
        <f t="shared" si="128"/>
        <v>#VALUE!</v>
      </c>
      <c r="BN762" t="e" vm="2">
        <f t="shared" si="129"/>
        <v>#VALUE!</v>
      </c>
    </row>
    <row r="763" spans="55:66" x14ac:dyDescent="0.2">
      <c r="BC763" s="21" t="e" vm="1">
        <v>#REF!</v>
      </c>
      <c r="BD763" t="e" vm="1">
        <v>#REF!</v>
      </c>
      <c r="BF763" t="e" vm="2">
        <f t="shared" si="126"/>
        <v>#VALUE!</v>
      </c>
      <c r="BG763" t="e" vm="2">
        <f t="shared" si="127"/>
        <v>#VALUE!</v>
      </c>
      <c r="BJ763" s="21" t="e" vm="1">
        <v>#REF!</v>
      </c>
      <c r="BK763" t="e" vm="1">
        <v>#REF!</v>
      </c>
      <c r="BM763" t="e" vm="2">
        <f t="shared" si="128"/>
        <v>#VALUE!</v>
      </c>
      <c r="BN763" t="e" vm="2">
        <f t="shared" si="129"/>
        <v>#VALUE!</v>
      </c>
    </row>
    <row r="764" spans="55:66" x14ac:dyDescent="0.2">
      <c r="BC764" s="21" t="e" vm="1">
        <v>#REF!</v>
      </c>
      <c r="BD764" t="e" vm="1">
        <v>#REF!</v>
      </c>
      <c r="BF764" t="e" vm="2">
        <f t="shared" si="126"/>
        <v>#VALUE!</v>
      </c>
      <c r="BG764" t="e" vm="2">
        <f t="shared" si="127"/>
        <v>#VALUE!</v>
      </c>
      <c r="BJ764" s="21" t="e" vm="1">
        <v>#REF!</v>
      </c>
      <c r="BK764" t="e" vm="1">
        <v>#REF!</v>
      </c>
      <c r="BM764" t="e" vm="2">
        <f t="shared" si="128"/>
        <v>#VALUE!</v>
      </c>
      <c r="BN764" t="e" vm="2">
        <f t="shared" si="129"/>
        <v>#VALUE!</v>
      </c>
    </row>
    <row r="765" spans="55:66" x14ac:dyDescent="0.2">
      <c r="BC765" s="21" t="e" vm="1">
        <v>#REF!</v>
      </c>
      <c r="BD765" t="e" vm="1">
        <v>#REF!</v>
      </c>
      <c r="BF765" t="e" vm="2">
        <f t="shared" si="126"/>
        <v>#VALUE!</v>
      </c>
      <c r="BG765" t="e" vm="2">
        <f t="shared" si="127"/>
        <v>#VALUE!</v>
      </c>
      <c r="BJ765" s="21" t="e" vm="1">
        <v>#REF!</v>
      </c>
      <c r="BK765" t="e" vm="1">
        <v>#REF!</v>
      </c>
      <c r="BM765" t="e" vm="2">
        <f t="shared" si="128"/>
        <v>#VALUE!</v>
      </c>
      <c r="BN765" t="e" vm="2">
        <f t="shared" si="129"/>
        <v>#VALUE!</v>
      </c>
    </row>
    <row r="766" spans="55:66" x14ac:dyDescent="0.2">
      <c r="BC766" s="21" t="e" vm="1">
        <v>#REF!</v>
      </c>
      <c r="BD766" t="e" vm="1">
        <v>#REF!</v>
      </c>
      <c r="BF766" t="e" vm="2">
        <f t="shared" si="126"/>
        <v>#VALUE!</v>
      </c>
      <c r="BG766" t="e" vm="2">
        <f t="shared" si="127"/>
        <v>#VALUE!</v>
      </c>
      <c r="BJ766" s="21" t="e" vm="1">
        <v>#REF!</v>
      </c>
      <c r="BK766" t="e" vm="1">
        <v>#REF!</v>
      </c>
      <c r="BM766" t="e" vm="2">
        <f t="shared" si="128"/>
        <v>#VALUE!</v>
      </c>
      <c r="BN766" t="e" vm="2">
        <f t="shared" si="129"/>
        <v>#VALUE!</v>
      </c>
    </row>
    <row r="767" spans="55:66" x14ac:dyDescent="0.2">
      <c r="BC767" s="21" t="e" vm="1">
        <v>#REF!</v>
      </c>
      <c r="BD767" t="e" vm="1">
        <v>#REF!</v>
      </c>
      <c r="BF767" t="e" vm="2">
        <f t="shared" si="126"/>
        <v>#VALUE!</v>
      </c>
      <c r="BG767" t="e" vm="2">
        <f t="shared" si="127"/>
        <v>#VALUE!</v>
      </c>
      <c r="BJ767" s="21" t="e" vm="1">
        <v>#REF!</v>
      </c>
      <c r="BK767" t="e" vm="1">
        <v>#REF!</v>
      </c>
      <c r="BM767" t="e" vm="2">
        <f t="shared" si="128"/>
        <v>#VALUE!</v>
      </c>
      <c r="BN767" t="e" vm="2">
        <f t="shared" si="129"/>
        <v>#VALUE!</v>
      </c>
    </row>
    <row r="768" spans="55:66" x14ac:dyDescent="0.2">
      <c r="BC768" s="21" t="e" vm="1">
        <v>#REF!</v>
      </c>
      <c r="BD768" t="e" vm="1">
        <v>#REF!</v>
      </c>
      <c r="BF768" t="e" vm="2">
        <f t="shared" si="126"/>
        <v>#VALUE!</v>
      </c>
      <c r="BG768" t="e" vm="2">
        <f t="shared" si="127"/>
        <v>#VALUE!</v>
      </c>
      <c r="BJ768" s="21" t="e" vm="1">
        <v>#REF!</v>
      </c>
      <c r="BK768" t="e" vm="1">
        <v>#REF!</v>
      </c>
      <c r="BM768" t="e" vm="2">
        <f t="shared" si="128"/>
        <v>#VALUE!</v>
      </c>
      <c r="BN768" t="e" vm="2">
        <f t="shared" si="129"/>
        <v>#VALUE!</v>
      </c>
    </row>
    <row r="769" spans="55:66" x14ac:dyDescent="0.2">
      <c r="BC769" s="21" t="e" vm="1">
        <v>#REF!</v>
      </c>
      <c r="BD769" t="e" vm="1">
        <v>#REF!</v>
      </c>
      <c r="BF769" t="e" vm="2">
        <f t="shared" si="126"/>
        <v>#VALUE!</v>
      </c>
      <c r="BG769" t="e" vm="2">
        <f t="shared" si="127"/>
        <v>#VALUE!</v>
      </c>
      <c r="BJ769" s="21" t="e" vm="1">
        <v>#REF!</v>
      </c>
      <c r="BK769" t="e" vm="1">
        <v>#REF!</v>
      </c>
      <c r="BM769" t="e" vm="2">
        <f t="shared" si="128"/>
        <v>#VALUE!</v>
      </c>
      <c r="BN769" t="e" vm="2">
        <f t="shared" si="129"/>
        <v>#VALUE!</v>
      </c>
    </row>
    <row r="770" spans="55:66" x14ac:dyDescent="0.2">
      <c r="BC770" s="21" t="e" vm="1">
        <v>#REF!</v>
      </c>
      <c r="BD770" t="e" vm="1">
        <v>#REF!</v>
      </c>
      <c r="BF770" t="e" vm="2">
        <f t="shared" si="126"/>
        <v>#VALUE!</v>
      </c>
      <c r="BG770" t="e" vm="2">
        <f t="shared" si="127"/>
        <v>#VALUE!</v>
      </c>
      <c r="BJ770" s="21" t="e" vm="1">
        <v>#REF!</v>
      </c>
      <c r="BK770" t="e" vm="1">
        <v>#REF!</v>
      </c>
      <c r="BM770" t="e" vm="2">
        <f t="shared" si="128"/>
        <v>#VALUE!</v>
      </c>
      <c r="BN770" t="e" vm="2">
        <f t="shared" si="129"/>
        <v>#VALUE!</v>
      </c>
    </row>
    <row r="771" spans="55:66" x14ac:dyDescent="0.2">
      <c r="BC771" s="21" t="e" vm="1">
        <v>#REF!</v>
      </c>
      <c r="BD771" t="e" vm="1">
        <v>#REF!</v>
      </c>
      <c r="BF771" t="e" vm="2">
        <f t="shared" ref="BF771:BF834" si="130">MONTH(BC771)</f>
        <v>#VALUE!</v>
      </c>
      <c r="BG771" t="e" vm="2">
        <f t="shared" ref="BG771:BG834" si="131">YEAR(BC771)</f>
        <v>#VALUE!</v>
      </c>
      <c r="BJ771" s="21" t="e" vm="1">
        <v>#REF!</v>
      </c>
      <c r="BK771" t="e" vm="1">
        <v>#REF!</v>
      </c>
      <c r="BM771" t="e" vm="2">
        <f t="shared" si="128"/>
        <v>#VALUE!</v>
      </c>
      <c r="BN771" t="e" vm="2">
        <f t="shared" si="129"/>
        <v>#VALUE!</v>
      </c>
    </row>
    <row r="772" spans="55:66" x14ac:dyDescent="0.2">
      <c r="BC772" s="21" t="e" vm="1">
        <v>#REF!</v>
      </c>
      <c r="BD772" t="e" vm="1">
        <v>#REF!</v>
      </c>
      <c r="BF772" t="e" vm="2">
        <f t="shared" si="130"/>
        <v>#VALUE!</v>
      </c>
      <c r="BG772" t="e" vm="2">
        <f t="shared" si="131"/>
        <v>#VALUE!</v>
      </c>
      <c r="BJ772" s="21" t="e" vm="1">
        <v>#REF!</v>
      </c>
      <c r="BK772" t="e" vm="1">
        <v>#REF!</v>
      </c>
      <c r="BM772" t="e" vm="2">
        <f t="shared" ref="BM772:BM835" si="132">MONTH(BJ772)</f>
        <v>#VALUE!</v>
      </c>
      <c r="BN772" t="e" vm="2">
        <f t="shared" ref="BN772:BN835" si="133">YEAR(BJ772)</f>
        <v>#VALUE!</v>
      </c>
    </row>
    <row r="773" spans="55:66" x14ac:dyDescent="0.2">
      <c r="BC773" s="21" t="e" vm="1">
        <v>#REF!</v>
      </c>
      <c r="BD773" t="e" vm="1">
        <v>#REF!</v>
      </c>
      <c r="BF773" t="e" vm="2">
        <f t="shared" si="130"/>
        <v>#VALUE!</v>
      </c>
      <c r="BG773" t="e" vm="2">
        <f t="shared" si="131"/>
        <v>#VALUE!</v>
      </c>
      <c r="BJ773" s="21" t="e" vm="1">
        <v>#REF!</v>
      </c>
      <c r="BK773" t="e" vm="1">
        <v>#REF!</v>
      </c>
      <c r="BM773" t="e" vm="2">
        <f t="shared" si="132"/>
        <v>#VALUE!</v>
      </c>
      <c r="BN773" t="e" vm="2">
        <f t="shared" si="133"/>
        <v>#VALUE!</v>
      </c>
    </row>
    <row r="774" spans="55:66" x14ac:dyDescent="0.2">
      <c r="BC774" s="21" t="e" vm="1">
        <v>#REF!</v>
      </c>
      <c r="BD774" t="e" vm="1">
        <v>#REF!</v>
      </c>
      <c r="BF774" t="e" vm="2">
        <f t="shared" si="130"/>
        <v>#VALUE!</v>
      </c>
      <c r="BG774" t="e" vm="2">
        <f t="shared" si="131"/>
        <v>#VALUE!</v>
      </c>
      <c r="BJ774" s="21" t="e" vm="1">
        <v>#REF!</v>
      </c>
      <c r="BK774" t="e" vm="1">
        <v>#REF!</v>
      </c>
      <c r="BM774" t="e" vm="2">
        <f t="shared" si="132"/>
        <v>#VALUE!</v>
      </c>
      <c r="BN774" t="e" vm="2">
        <f t="shared" si="133"/>
        <v>#VALUE!</v>
      </c>
    </row>
    <row r="775" spans="55:66" x14ac:dyDescent="0.2">
      <c r="BC775" s="21" t="e" vm="1">
        <v>#REF!</v>
      </c>
      <c r="BD775" t="e" vm="1">
        <v>#REF!</v>
      </c>
      <c r="BF775" t="e" vm="2">
        <f t="shared" si="130"/>
        <v>#VALUE!</v>
      </c>
      <c r="BG775" t="e" vm="2">
        <f t="shared" si="131"/>
        <v>#VALUE!</v>
      </c>
      <c r="BJ775" s="21" t="e" vm="1">
        <v>#REF!</v>
      </c>
      <c r="BK775" t="e" vm="1">
        <v>#REF!</v>
      </c>
      <c r="BM775" t="e" vm="2">
        <f t="shared" si="132"/>
        <v>#VALUE!</v>
      </c>
      <c r="BN775" t="e" vm="2">
        <f t="shared" si="133"/>
        <v>#VALUE!</v>
      </c>
    </row>
    <row r="776" spans="55:66" x14ac:dyDescent="0.2">
      <c r="BC776" s="21" t="e" vm="1">
        <v>#REF!</v>
      </c>
      <c r="BD776" t="e" vm="1">
        <v>#REF!</v>
      </c>
      <c r="BF776" t="e" vm="2">
        <f t="shared" si="130"/>
        <v>#VALUE!</v>
      </c>
      <c r="BG776" t="e" vm="2">
        <f t="shared" si="131"/>
        <v>#VALUE!</v>
      </c>
      <c r="BJ776" s="21" t="e" vm="1">
        <v>#REF!</v>
      </c>
      <c r="BK776" t="e" vm="1">
        <v>#REF!</v>
      </c>
      <c r="BM776" t="e" vm="2">
        <f t="shared" si="132"/>
        <v>#VALUE!</v>
      </c>
      <c r="BN776" t="e" vm="2">
        <f t="shared" si="133"/>
        <v>#VALUE!</v>
      </c>
    </row>
    <row r="777" spans="55:66" x14ac:dyDescent="0.2">
      <c r="BC777" s="21" t="e" vm="1">
        <v>#REF!</v>
      </c>
      <c r="BD777" t="e" vm="1">
        <v>#REF!</v>
      </c>
      <c r="BF777" t="e" vm="2">
        <f t="shared" si="130"/>
        <v>#VALUE!</v>
      </c>
      <c r="BG777" t="e" vm="2">
        <f t="shared" si="131"/>
        <v>#VALUE!</v>
      </c>
      <c r="BJ777" s="21" t="e" vm="1">
        <v>#REF!</v>
      </c>
      <c r="BK777" t="e" vm="1">
        <v>#REF!</v>
      </c>
      <c r="BM777" t="e" vm="2">
        <f t="shared" si="132"/>
        <v>#VALUE!</v>
      </c>
      <c r="BN777" t="e" vm="2">
        <f t="shared" si="133"/>
        <v>#VALUE!</v>
      </c>
    </row>
    <row r="778" spans="55:66" x14ac:dyDescent="0.2">
      <c r="BC778" s="21" t="e" vm="1">
        <v>#REF!</v>
      </c>
      <c r="BD778" t="e" vm="1">
        <v>#REF!</v>
      </c>
      <c r="BF778" t="e" vm="2">
        <f t="shared" si="130"/>
        <v>#VALUE!</v>
      </c>
      <c r="BG778" t="e" vm="2">
        <f t="shared" si="131"/>
        <v>#VALUE!</v>
      </c>
      <c r="BJ778" s="21" t="e" vm="1">
        <v>#REF!</v>
      </c>
      <c r="BK778" t="e" vm="1">
        <v>#REF!</v>
      </c>
      <c r="BM778" t="e" vm="2">
        <f t="shared" si="132"/>
        <v>#VALUE!</v>
      </c>
      <c r="BN778" t="e" vm="2">
        <f t="shared" si="133"/>
        <v>#VALUE!</v>
      </c>
    </row>
    <row r="779" spans="55:66" x14ac:dyDescent="0.2">
      <c r="BC779" s="21" t="e" vm="1">
        <v>#REF!</v>
      </c>
      <c r="BD779" t="e" vm="1">
        <v>#REF!</v>
      </c>
      <c r="BF779" t="e" vm="2">
        <f t="shared" si="130"/>
        <v>#VALUE!</v>
      </c>
      <c r="BG779" t="e" vm="2">
        <f t="shared" si="131"/>
        <v>#VALUE!</v>
      </c>
      <c r="BJ779" s="21" t="e" vm="1">
        <v>#REF!</v>
      </c>
      <c r="BK779" t="e" vm="1">
        <v>#REF!</v>
      </c>
      <c r="BM779" t="e" vm="2">
        <f t="shared" si="132"/>
        <v>#VALUE!</v>
      </c>
      <c r="BN779" t="e" vm="2">
        <f t="shared" si="133"/>
        <v>#VALUE!</v>
      </c>
    </row>
    <row r="780" spans="55:66" x14ac:dyDescent="0.2">
      <c r="BC780" s="21" t="e" vm="1">
        <v>#REF!</v>
      </c>
      <c r="BD780" t="e" vm="1">
        <v>#REF!</v>
      </c>
      <c r="BF780" t="e" vm="2">
        <f t="shared" si="130"/>
        <v>#VALUE!</v>
      </c>
      <c r="BG780" t="e" vm="2">
        <f t="shared" si="131"/>
        <v>#VALUE!</v>
      </c>
      <c r="BJ780" s="21" t="e" vm="1">
        <v>#REF!</v>
      </c>
      <c r="BK780" t="e" vm="1">
        <v>#REF!</v>
      </c>
      <c r="BM780" t="e" vm="2">
        <f t="shared" si="132"/>
        <v>#VALUE!</v>
      </c>
      <c r="BN780" t="e" vm="2">
        <f t="shared" si="133"/>
        <v>#VALUE!</v>
      </c>
    </row>
    <row r="781" spans="55:66" x14ac:dyDescent="0.2">
      <c r="BC781" s="21" t="e" vm="1">
        <v>#REF!</v>
      </c>
      <c r="BD781" t="e" vm="1">
        <v>#REF!</v>
      </c>
      <c r="BF781" t="e" vm="2">
        <f t="shared" si="130"/>
        <v>#VALUE!</v>
      </c>
      <c r="BG781" t="e" vm="2">
        <f t="shared" si="131"/>
        <v>#VALUE!</v>
      </c>
      <c r="BJ781" s="21" t="e" vm="1">
        <v>#REF!</v>
      </c>
      <c r="BK781" t="e" vm="1">
        <v>#REF!</v>
      </c>
      <c r="BM781" t="e" vm="2">
        <f t="shared" si="132"/>
        <v>#VALUE!</v>
      </c>
      <c r="BN781" t="e" vm="2">
        <f t="shared" si="133"/>
        <v>#VALUE!</v>
      </c>
    </row>
    <row r="782" spans="55:66" x14ac:dyDescent="0.2">
      <c r="BC782" s="21" t="e" vm="1">
        <v>#REF!</v>
      </c>
      <c r="BD782" t="e" vm="1">
        <v>#REF!</v>
      </c>
      <c r="BF782" t="e" vm="2">
        <f t="shared" si="130"/>
        <v>#VALUE!</v>
      </c>
      <c r="BG782" t="e" vm="2">
        <f t="shared" si="131"/>
        <v>#VALUE!</v>
      </c>
      <c r="BJ782" s="21" t="e" vm="1">
        <v>#REF!</v>
      </c>
      <c r="BK782" t="e" vm="1">
        <v>#REF!</v>
      </c>
      <c r="BM782" t="e" vm="2">
        <f t="shared" si="132"/>
        <v>#VALUE!</v>
      </c>
      <c r="BN782" t="e" vm="2">
        <f t="shared" si="133"/>
        <v>#VALUE!</v>
      </c>
    </row>
    <row r="783" spans="55:66" x14ac:dyDescent="0.2">
      <c r="BC783" s="21" t="e" vm="1">
        <v>#REF!</v>
      </c>
      <c r="BD783" t="e" vm="1">
        <v>#REF!</v>
      </c>
      <c r="BF783" t="e" vm="2">
        <f t="shared" si="130"/>
        <v>#VALUE!</v>
      </c>
      <c r="BG783" t="e" vm="2">
        <f t="shared" si="131"/>
        <v>#VALUE!</v>
      </c>
      <c r="BJ783" s="21" t="e" vm="1">
        <v>#REF!</v>
      </c>
      <c r="BK783" t="e" vm="1">
        <v>#REF!</v>
      </c>
      <c r="BM783" t="e" vm="2">
        <f t="shared" si="132"/>
        <v>#VALUE!</v>
      </c>
      <c r="BN783" t="e" vm="2">
        <f t="shared" si="133"/>
        <v>#VALUE!</v>
      </c>
    </row>
    <row r="784" spans="55:66" x14ac:dyDescent="0.2">
      <c r="BC784" s="21" t="e" vm="1">
        <v>#REF!</v>
      </c>
      <c r="BD784" t="e" vm="1">
        <v>#REF!</v>
      </c>
      <c r="BF784" t="e" vm="2">
        <f t="shared" si="130"/>
        <v>#VALUE!</v>
      </c>
      <c r="BG784" t="e" vm="2">
        <f t="shared" si="131"/>
        <v>#VALUE!</v>
      </c>
      <c r="BJ784" s="21" t="e" vm="1">
        <v>#REF!</v>
      </c>
      <c r="BK784" t="e" vm="1">
        <v>#REF!</v>
      </c>
      <c r="BM784" t="e" vm="2">
        <f t="shared" si="132"/>
        <v>#VALUE!</v>
      </c>
      <c r="BN784" t="e" vm="2">
        <f t="shared" si="133"/>
        <v>#VALUE!</v>
      </c>
    </row>
    <row r="785" spans="55:66" x14ac:dyDescent="0.2">
      <c r="BC785" s="21" t="e" vm="1">
        <v>#REF!</v>
      </c>
      <c r="BD785" t="e" vm="1">
        <v>#REF!</v>
      </c>
      <c r="BF785" t="e" vm="2">
        <f t="shared" si="130"/>
        <v>#VALUE!</v>
      </c>
      <c r="BG785" t="e" vm="2">
        <f t="shared" si="131"/>
        <v>#VALUE!</v>
      </c>
      <c r="BJ785" s="21" t="e" vm="1">
        <v>#REF!</v>
      </c>
      <c r="BK785" t="e" vm="1">
        <v>#REF!</v>
      </c>
      <c r="BM785" t="e" vm="2">
        <f t="shared" si="132"/>
        <v>#VALUE!</v>
      </c>
      <c r="BN785" t="e" vm="2">
        <f t="shared" si="133"/>
        <v>#VALUE!</v>
      </c>
    </row>
    <row r="786" spans="55:66" x14ac:dyDescent="0.2">
      <c r="BC786" s="21" t="e" vm="1">
        <v>#REF!</v>
      </c>
      <c r="BD786" t="e" vm="1">
        <v>#REF!</v>
      </c>
      <c r="BF786" t="e" vm="2">
        <f t="shared" si="130"/>
        <v>#VALUE!</v>
      </c>
      <c r="BG786" t="e" vm="2">
        <f t="shared" si="131"/>
        <v>#VALUE!</v>
      </c>
      <c r="BJ786" s="21" t="e" vm="1">
        <v>#REF!</v>
      </c>
      <c r="BK786" t="e" vm="1">
        <v>#REF!</v>
      </c>
      <c r="BM786" t="e" vm="2">
        <f t="shared" si="132"/>
        <v>#VALUE!</v>
      </c>
      <c r="BN786" t="e" vm="2">
        <f t="shared" si="133"/>
        <v>#VALUE!</v>
      </c>
    </row>
    <row r="787" spans="55:66" x14ac:dyDescent="0.2">
      <c r="BC787" s="21" t="e" vm="1">
        <v>#REF!</v>
      </c>
      <c r="BD787" t="e" vm="1">
        <v>#REF!</v>
      </c>
      <c r="BF787" t="e" vm="2">
        <f t="shared" si="130"/>
        <v>#VALUE!</v>
      </c>
      <c r="BG787" t="e" vm="2">
        <f t="shared" si="131"/>
        <v>#VALUE!</v>
      </c>
      <c r="BJ787" s="21" t="e" vm="1">
        <v>#REF!</v>
      </c>
      <c r="BK787" t="e" vm="1">
        <v>#REF!</v>
      </c>
      <c r="BM787" t="e" vm="2">
        <f t="shared" si="132"/>
        <v>#VALUE!</v>
      </c>
      <c r="BN787" t="e" vm="2">
        <f t="shared" si="133"/>
        <v>#VALUE!</v>
      </c>
    </row>
    <row r="788" spans="55:66" x14ac:dyDescent="0.2">
      <c r="BC788" s="21" t="e" vm="1">
        <v>#REF!</v>
      </c>
      <c r="BD788" t="e" vm="1">
        <v>#REF!</v>
      </c>
      <c r="BF788" t="e" vm="2">
        <f t="shared" si="130"/>
        <v>#VALUE!</v>
      </c>
      <c r="BG788" t="e" vm="2">
        <f t="shared" si="131"/>
        <v>#VALUE!</v>
      </c>
      <c r="BJ788" s="21" t="e" vm="1">
        <v>#REF!</v>
      </c>
      <c r="BK788" t="e" vm="1">
        <v>#REF!</v>
      </c>
      <c r="BM788" t="e" vm="2">
        <f t="shared" si="132"/>
        <v>#VALUE!</v>
      </c>
      <c r="BN788" t="e" vm="2">
        <f t="shared" si="133"/>
        <v>#VALUE!</v>
      </c>
    </row>
    <row r="789" spans="55:66" x14ac:dyDescent="0.2">
      <c r="BC789" s="21" t="e" vm="1">
        <v>#REF!</v>
      </c>
      <c r="BD789" t="e" vm="1">
        <v>#REF!</v>
      </c>
      <c r="BF789" t="e" vm="2">
        <f t="shared" si="130"/>
        <v>#VALUE!</v>
      </c>
      <c r="BG789" t="e" vm="2">
        <f t="shared" si="131"/>
        <v>#VALUE!</v>
      </c>
      <c r="BJ789" s="21" t="e" vm="1">
        <v>#REF!</v>
      </c>
      <c r="BK789" t="e" vm="1">
        <v>#REF!</v>
      </c>
      <c r="BM789" t="e" vm="2">
        <f t="shared" si="132"/>
        <v>#VALUE!</v>
      </c>
      <c r="BN789" t="e" vm="2">
        <f t="shared" si="133"/>
        <v>#VALUE!</v>
      </c>
    </row>
    <row r="790" spans="55:66" x14ac:dyDescent="0.2">
      <c r="BC790" s="21" t="e" vm="1">
        <v>#REF!</v>
      </c>
      <c r="BD790" t="e" vm="1">
        <v>#REF!</v>
      </c>
      <c r="BF790" t="e" vm="2">
        <f t="shared" si="130"/>
        <v>#VALUE!</v>
      </c>
      <c r="BG790" t="e" vm="2">
        <f t="shared" si="131"/>
        <v>#VALUE!</v>
      </c>
      <c r="BJ790" s="21" t="e" vm="1">
        <v>#REF!</v>
      </c>
      <c r="BK790" t="e" vm="1">
        <v>#REF!</v>
      </c>
      <c r="BM790" t="e" vm="2">
        <f t="shared" si="132"/>
        <v>#VALUE!</v>
      </c>
      <c r="BN790" t="e" vm="2">
        <f t="shared" si="133"/>
        <v>#VALUE!</v>
      </c>
    </row>
    <row r="791" spans="55:66" x14ac:dyDescent="0.2">
      <c r="BC791" s="21" t="e" vm="1">
        <v>#REF!</v>
      </c>
      <c r="BD791" t="e" vm="1">
        <v>#REF!</v>
      </c>
      <c r="BF791" t="e" vm="2">
        <f t="shared" si="130"/>
        <v>#VALUE!</v>
      </c>
      <c r="BG791" t="e" vm="2">
        <f t="shared" si="131"/>
        <v>#VALUE!</v>
      </c>
      <c r="BJ791" s="21" t="e" vm="1">
        <v>#REF!</v>
      </c>
      <c r="BK791" t="e" vm="1">
        <v>#REF!</v>
      </c>
      <c r="BM791" t="e" vm="2">
        <f t="shared" si="132"/>
        <v>#VALUE!</v>
      </c>
      <c r="BN791" t="e" vm="2">
        <f t="shared" si="133"/>
        <v>#VALUE!</v>
      </c>
    </row>
    <row r="792" spans="55:66" x14ac:dyDescent="0.2">
      <c r="BC792" s="21" t="e" vm="1">
        <v>#REF!</v>
      </c>
      <c r="BD792" t="e" vm="1">
        <v>#REF!</v>
      </c>
      <c r="BF792" t="e" vm="2">
        <f t="shared" si="130"/>
        <v>#VALUE!</v>
      </c>
      <c r="BG792" t="e" vm="2">
        <f t="shared" si="131"/>
        <v>#VALUE!</v>
      </c>
      <c r="BJ792" s="21" t="e" vm="1">
        <v>#REF!</v>
      </c>
      <c r="BK792" t="e" vm="1">
        <v>#REF!</v>
      </c>
      <c r="BM792" t="e" vm="2">
        <f t="shared" si="132"/>
        <v>#VALUE!</v>
      </c>
      <c r="BN792" t="e" vm="2">
        <f t="shared" si="133"/>
        <v>#VALUE!</v>
      </c>
    </row>
    <row r="793" spans="55:66" x14ac:dyDescent="0.2">
      <c r="BC793" s="21" t="e" vm="1">
        <v>#REF!</v>
      </c>
      <c r="BD793" t="e" vm="1">
        <v>#REF!</v>
      </c>
      <c r="BF793" t="e" vm="2">
        <f t="shared" si="130"/>
        <v>#VALUE!</v>
      </c>
      <c r="BG793" t="e" vm="2">
        <f t="shared" si="131"/>
        <v>#VALUE!</v>
      </c>
      <c r="BJ793" s="21" t="e" vm="1">
        <v>#REF!</v>
      </c>
      <c r="BK793" t="e" vm="1">
        <v>#REF!</v>
      </c>
      <c r="BM793" t="e" vm="2">
        <f t="shared" si="132"/>
        <v>#VALUE!</v>
      </c>
      <c r="BN793" t="e" vm="2">
        <f t="shared" si="133"/>
        <v>#VALUE!</v>
      </c>
    </row>
    <row r="794" spans="55:66" x14ac:dyDescent="0.2">
      <c r="BC794" s="21" t="e" vm="1">
        <v>#REF!</v>
      </c>
      <c r="BD794" t="e" vm="1">
        <v>#REF!</v>
      </c>
      <c r="BF794" t="e" vm="2">
        <f t="shared" si="130"/>
        <v>#VALUE!</v>
      </c>
      <c r="BG794" t="e" vm="2">
        <f t="shared" si="131"/>
        <v>#VALUE!</v>
      </c>
      <c r="BJ794" s="21" t="e" vm="1">
        <v>#REF!</v>
      </c>
      <c r="BK794" t="e" vm="1">
        <v>#REF!</v>
      </c>
      <c r="BM794" t="e" vm="2">
        <f t="shared" si="132"/>
        <v>#VALUE!</v>
      </c>
      <c r="BN794" t="e" vm="2">
        <f t="shared" si="133"/>
        <v>#VALUE!</v>
      </c>
    </row>
    <row r="795" spans="55:66" x14ac:dyDescent="0.2">
      <c r="BC795" s="21" t="e" vm="1">
        <v>#REF!</v>
      </c>
      <c r="BD795" t="e" vm="1">
        <v>#REF!</v>
      </c>
      <c r="BF795" t="e" vm="2">
        <f t="shared" si="130"/>
        <v>#VALUE!</v>
      </c>
      <c r="BG795" t="e" vm="2">
        <f t="shared" si="131"/>
        <v>#VALUE!</v>
      </c>
      <c r="BJ795" s="21" t="e" vm="1">
        <v>#REF!</v>
      </c>
      <c r="BK795" t="e" vm="1">
        <v>#REF!</v>
      </c>
      <c r="BM795" t="e" vm="2">
        <f t="shared" si="132"/>
        <v>#VALUE!</v>
      </c>
      <c r="BN795" t="e" vm="2">
        <f t="shared" si="133"/>
        <v>#VALUE!</v>
      </c>
    </row>
    <row r="796" spans="55:66" x14ac:dyDescent="0.2">
      <c r="BC796" s="21" t="e" vm="1">
        <v>#REF!</v>
      </c>
      <c r="BD796" t="e" vm="1">
        <v>#REF!</v>
      </c>
      <c r="BF796" t="e" vm="2">
        <f t="shared" si="130"/>
        <v>#VALUE!</v>
      </c>
      <c r="BG796" t="e" vm="2">
        <f t="shared" si="131"/>
        <v>#VALUE!</v>
      </c>
      <c r="BJ796" s="21" t="e" vm="1">
        <v>#REF!</v>
      </c>
      <c r="BK796" t="e" vm="1">
        <v>#REF!</v>
      </c>
      <c r="BM796" t="e" vm="2">
        <f t="shared" si="132"/>
        <v>#VALUE!</v>
      </c>
      <c r="BN796" t="e" vm="2">
        <f t="shared" si="133"/>
        <v>#VALUE!</v>
      </c>
    </row>
    <row r="797" spans="55:66" x14ac:dyDescent="0.2">
      <c r="BC797" s="21" t="e" vm="1">
        <v>#REF!</v>
      </c>
      <c r="BD797" t="e" vm="1">
        <v>#REF!</v>
      </c>
      <c r="BF797" t="e" vm="2">
        <f t="shared" si="130"/>
        <v>#VALUE!</v>
      </c>
      <c r="BG797" t="e" vm="2">
        <f t="shared" si="131"/>
        <v>#VALUE!</v>
      </c>
      <c r="BJ797" s="21" t="e" vm="1">
        <v>#REF!</v>
      </c>
      <c r="BK797" t="e" vm="1">
        <v>#REF!</v>
      </c>
      <c r="BM797" t="e" vm="2">
        <f t="shared" si="132"/>
        <v>#VALUE!</v>
      </c>
      <c r="BN797" t="e" vm="2">
        <f t="shared" si="133"/>
        <v>#VALUE!</v>
      </c>
    </row>
    <row r="798" spans="55:66" x14ac:dyDescent="0.2">
      <c r="BC798" s="21" t="e" vm="1">
        <v>#REF!</v>
      </c>
      <c r="BD798" t="e" vm="1">
        <v>#REF!</v>
      </c>
      <c r="BF798" t="e" vm="2">
        <f t="shared" si="130"/>
        <v>#VALUE!</v>
      </c>
      <c r="BG798" t="e" vm="2">
        <f t="shared" si="131"/>
        <v>#VALUE!</v>
      </c>
      <c r="BJ798" s="21" t="e" vm="1">
        <v>#REF!</v>
      </c>
      <c r="BK798" t="e" vm="1">
        <v>#REF!</v>
      </c>
      <c r="BM798" t="e" vm="2">
        <f t="shared" si="132"/>
        <v>#VALUE!</v>
      </c>
      <c r="BN798" t="e" vm="2">
        <f t="shared" si="133"/>
        <v>#VALUE!</v>
      </c>
    </row>
    <row r="799" spans="55:66" x14ac:dyDescent="0.2">
      <c r="BC799" s="21" t="e" vm="1">
        <v>#REF!</v>
      </c>
      <c r="BD799" t="e" vm="1">
        <v>#REF!</v>
      </c>
      <c r="BF799" t="e" vm="2">
        <f t="shared" si="130"/>
        <v>#VALUE!</v>
      </c>
      <c r="BG799" t="e" vm="2">
        <f t="shared" si="131"/>
        <v>#VALUE!</v>
      </c>
      <c r="BJ799" s="21" t="e" vm="1">
        <v>#REF!</v>
      </c>
      <c r="BK799" t="e" vm="1">
        <v>#REF!</v>
      </c>
      <c r="BM799" t="e" vm="2">
        <f t="shared" si="132"/>
        <v>#VALUE!</v>
      </c>
      <c r="BN799" t="e" vm="2">
        <f t="shared" si="133"/>
        <v>#VALUE!</v>
      </c>
    </row>
    <row r="800" spans="55:66" x14ac:dyDescent="0.2">
      <c r="BC800" s="21" t="e" vm="1">
        <v>#REF!</v>
      </c>
      <c r="BD800" t="e" vm="1">
        <v>#REF!</v>
      </c>
      <c r="BF800" t="e" vm="2">
        <f t="shared" si="130"/>
        <v>#VALUE!</v>
      </c>
      <c r="BG800" t="e" vm="2">
        <f t="shared" si="131"/>
        <v>#VALUE!</v>
      </c>
      <c r="BJ800" s="21" t="e" vm="1">
        <v>#REF!</v>
      </c>
      <c r="BK800" t="e" vm="1">
        <v>#REF!</v>
      </c>
      <c r="BM800" t="e" vm="2">
        <f t="shared" si="132"/>
        <v>#VALUE!</v>
      </c>
      <c r="BN800" t="e" vm="2">
        <f t="shared" si="133"/>
        <v>#VALUE!</v>
      </c>
    </row>
    <row r="801" spans="55:66" x14ac:dyDescent="0.2">
      <c r="BC801" s="21" t="e" vm="1">
        <v>#REF!</v>
      </c>
      <c r="BD801" t="e" vm="1">
        <v>#REF!</v>
      </c>
      <c r="BF801" t="e" vm="2">
        <f t="shared" si="130"/>
        <v>#VALUE!</v>
      </c>
      <c r="BG801" t="e" vm="2">
        <f t="shared" si="131"/>
        <v>#VALUE!</v>
      </c>
      <c r="BJ801" s="21" t="e" vm="1">
        <v>#REF!</v>
      </c>
      <c r="BK801" t="e" vm="1">
        <v>#REF!</v>
      </c>
      <c r="BM801" t="e" vm="2">
        <f t="shared" si="132"/>
        <v>#VALUE!</v>
      </c>
      <c r="BN801" t="e" vm="2">
        <f t="shared" si="133"/>
        <v>#VALUE!</v>
      </c>
    </row>
    <row r="802" spans="55:66" x14ac:dyDescent="0.2">
      <c r="BC802" s="21" t="e" vm="1">
        <v>#REF!</v>
      </c>
      <c r="BD802" t="e" vm="1">
        <v>#REF!</v>
      </c>
      <c r="BF802" t="e" vm="2">
        <f t="shared" si="130"/>
        <v>#VALUE!</v>
      </c>
      <c r="BG802" t="e" vm="2">
        <f t="shared" si="131"/>
        <v>#VALUE!</v>
      </c>
      <c r="BJ802" s="21" t="e" vm="1">
        <v>#REF!</v>
      </c>
      <c r="BK802" t="e" vm="1">
        <v>#REF!</v>
      </c>
      <c r="BM802" t="e" vm="2">
        <f t="shared" si="132"/>
        <v>#VALUE!</v>
      </c>
      <c r="BN802" t="e" vm="2">
        <f t="shared" si="133"/>
        <v>#VALUE!</v>
      </c>
    </row>
    <row r="803" spans="55:66" x14ac:dyDescent="0.2">
      <c r="BC803" s="21" t="e" vm="1">
        <v>#REF!</v>
      </c>
      <c r="BD803" t="e" vm="1">
        <v>#REF!</v>
      </c>
      <c r="BF803" t="e" vm="2">
        <f t="shared" si="130"/>
        <v>#VALUE!</v>
      </c>
      <c r="BG803" t="e" vm="2">
        <f t="shared" si="131"/>
        <v>#VALUE!</v>
      </c>
      <c r="BJ803" s="21" t="e" vm="1">
        <v>#REF!</v>
      </c>
      <c r="BK803" t="e" vm="1">
        <v>#REF!</v>
      </c>
      <c r="BM803" t="e" vm="2">
        <f t="shared" si="132"/>
        <v>#VALUE!</v>
      </c>
      <c r="BN803" t="e" vm="2">
        <f t="shared" si="133"/>
        <v>#VALUE!</v>
      </c>
    </row>
    <row r="804" spans="55:66" x14ac:dyDescent="0.2">
      <c r="BC804" s="21" t="e" vm="1">
        <v>#REF!</v>
      </c>
      <c r="BD804" t="e" vm="1">
        <v>#REF!</v>
      </c>
      <c r="BF804" t="e" vm="2">
        <f t="shared" si="130"/>
        <v>#VALUE!</v>
      </c>
      <c r="BG804" t="e" vm="2">
        <f t="shared" si="131"/>
        <v>#VALUE!</v>
      </c>
      <c r="BJ804" s="21" t="e" vm="1">
        <v>#REF!</v>
      </c>
      <c r="BK804" t="e" vm="1">
        <v>#REF!</v>
      </c>
      <c r="BM804" t="e" vm="2">
        <f t="shared" si="132"/>
        <v>#VALUE!</v>
      </c>
      <c r="BN804" t="e" vm="2">
        <f t="shared" si="133"/>
        <v>#VALUE!</v>
      </c>
    </row>
    <row r="805" spans="55:66" x14ac:dyDescent="0.2">
      <c r="BC805" s="21" t="e" vm="1">
        <v>#REF!</v>
      </c>
      <c r="BD805" t="e" vm="1">
        <v>#REF!</v>
      </c>
      <c r="BF805" t="e" vm="2">
        <f t="shared" si="130"/>
        <v>#VALUE!</v>
      </c>
      <c r="BG805" t="e" vm="2">
        <f t="shared" si="131"/>
        <v>#VALUE!</v>
      </c>
      <c r="BJ805" s="21" t="e" vm="1">
        <v>#REF!</v>
      </c>
      <c r="BK805" t="e" vm="1">
        <v>#REF!</v>
      </c>
      <c r="BM805" t="e" vm="2">
        <f t="shared" si="132"/>
        <v>#VALUE!</v>
      </c>
      <c r="BN805" t="e" vm="2">
        <f t="shared" si="133"/>
        <v>#VALUE!</v>
      </c>
    </row>
    <row r="806" spans="55:66" x14ac:dyDescent="0.2">
      <c r="BC806" s="21" t="e" vm="1">
        <v>#REF!</v>
      </c>
      <c r="BD806" t="e" vm="1">
        <v>#REF!</v>
      </c>
      <c r="BF806" t="e" vm="2">
        <f t="shared" si="130"/>
        <v>#VALUE!</v>
      </c>
      <c r="BG806" t="e" vm="2">
        <f t="shared" si="131"/>
        <v>#VALUE!</v>
      </c>
      <c r="BJ806" s="21" t="e" vm="1">
        <v>#REF!</v>
      </c>
      <c r="BK806" t="e" vm="1">
        <v>#REF!</v>
      </c>
      <c r="BM806" t="e" vm="2">
        <f t="shared" si="132"/>
        <v>#VALUE!</v>
      </c>
      <c r="BN806" t="e" vm="2">
        <f t="shared" si="133"/>
        <v>#VALUE!</v>
      </c>
    </row>
    <row r="807" spans="55:66" x14ac:dyDescent="0.2">
      <c r="BC807" s="21" t="e" vm="1">
        <v>#REF!</v>
      </c>
      <c r="BD807" t="e" vm="1">
        <v>#REF!</v>
      </c>
      <c r="BF807" t="e" vm="2">
        <f t="shared" si="130"/>
        <v>#VALUE!</v>
      </c>
      <c r="BG807" t="e" vm="2">
        <f t="shared" si="131"/>
        <v>#VALUE!</v>
      </c>
      <c r="BJ807" s="21" t="e" vm="1">
        <v>#REF!</v>
      </c>
      <c r="BK807" t="e" vm="1">
        <v>#REF!</v>
      </c>
      <c r="BM807" t="e" vm="2">
        <f t="shared" si="132"/>
        <v>#VALUE!</v>
      </c>
      <c r="BN807" t="e" vm="2">
        <f t="shared" si="133"/>
        <v>#VALUE!</v>
      </c>
    </row>
    <row r="808" spans="55:66" x14ac:dyDescent="0.2">
      <c r="BC808" s="21" t="e" vm="1">
        <v>#REF!</v>
      </c>
      <c r="BD808" t="e" vm="1">
        <v>#REF!</v>
      </c>
      <c r="BF808" t="e" vm="2">
        <f t="shared" si="130"/>
        <v>#VALUE!</v>
      </c>
      <c r="BG808" t="e" vm="2">
        <f t="shared" si="131"/>
        <v>#VALUE!</v>
      </c>
      <c r="BJ808" s="21" t="e" vm="1">
        <v>#REF!</v>
      </c>
      <c r="BK808" t="e" vm="1">
        <v>#REF!</v>
      </c>
      <c r="BM808" t="e" vm="2">
        <f t="shared" si="132"/>
        <v>#VALUE!</v>
      </c>
      <c r="BN808" t="e" vm="2">
        <f t="shared" si="133"/>
        <v>#VALUE!</v>
      </c>
    </row>
    <row r="809" spans="55:66" x14ac:dyDescent="0.2">
      <c r="BC809" s="21" t="e" vm="1">
        <v>#REF!</v>
      </c>
      <c r="BD809" t="e" vm="1">
        <v>#REF!</v>
      </c>
      <c r="BF809" t="e" vm="2">
        <f t="shared" si="130"/>
        <v>#VALUE!</v>
      </c>
      <c r="BG809" t="e" vm="2">
        <f t="shared" si="131"/>
        <v>#VALUE!</v>
      </c>
      <c r="BJ809" s="21" t="e" vm="1">
        <v>#REF!</v>
      </c>
      <c r="BK809" t="e" vm="1">
        <v>#REF!</v>
      </c>
      <c r="BM809" t="e" vm="2">
        <f t="shared" si="132"/>
        <v>#VALUE!</v>
      </c>
      <c r="BN809" t="e" vm="2">
        <f t="shared" si="133"/>
        <v>#VALUE!</v>
      </c>
    </row>
    <row r="810" spans="55:66" x14ac:dyDescent="0.2">
      <c r="BC810" s="21" t="e" vm="1">
        <v>#REF!</v>
      </c>
      <c r="BD810" t="e" vm="1">
        <v>#REF!</v>
      </c>
      <c r="BF810" t="e" vm="2">
        <f t="shared" si="130"/>
        <v>#VALUE!</v>
      </c>
      <c r="BG810" t="e" vm="2">
        <f t="shared" si="131"/>
        <v>#VALUE!</v>
      </c>
      <c r="BJ810" s="21" t="e" vm="1">
        <v>#REF!</v>
      </c>
      <c r="BK810" t="e" vm="1">
        <v>#REF!</v>
      </c>
      <c r="BM810" t="e" vm="2">
        <f t="shared" si="132"/>
        <v>#VALUE!</v>
      </c>
      <c r="BN810" t="e" vm="2">
        <f t="shared" si="133"/>
        <v>#VALUE!</v>
      </c>
    </row>
    <row r="811" spans="55:66" x14ac:dyDescent="0.2">
      <c r="BC811" s="21" t="e" vm="1">
        <v>#REF!</v>
      </c>
      <c r="BD811" t="e" vm="1">
        <v>#REF!</v>
      </c>
      <c r="BF811" t="e" vm="2">
        <f t="shared" si="130"/>
        <v>#VALUE!</v>
      </c>
      <c r="BG811" t="e" vm="2">
        <f t="shared" si="131"/>
        <v>#VALUE!</v>
      </c>
      <c r="BJ811" s="21" t="e" vm="1">
        <v>#REF!</v>
      </c>
      <c r="BK811" t="e" vm="1">
        <v>#REF!</v>
      </c>
      <c r="BM811" t="e" vm="2">
        <f t="shared" si="132"/>
        <v>#VALUE!</v>
      </c>
      <c r="BN811" t="e" vm="2">
        <f t="shared" si="133"/>
        <v>#VALUE!</v>
      </c>
    </row>
    <row r="812" spans="55:66" x14ac:dyDescent="0.2">
      <c r="BC812" s="21" t="e" vm="1">
        <v>#REF!</v>
      </c>
      <c r="BD812" t="e" vm="1">
        <v>#REF!</v>
      </c>
      <c r="BF812" t="e" vm="2">
        <f t="shared" si="130"/>
        <v>#VALUE!</v>
      </c>
      <c r="BG812" t="e" vm="2">
        <f t="shared" si="131"/>
        <v>#VALUE!</v>
      </c>
      <c r="BJ812" s="21" t="e" vm="1">
        <v>#REF!</v>
      </c>
      <c r="BK812" t="e" vm="1">
        <v>#REF!</v>
      </c>
      <c r="BM812" t="e" vm="2">
        <f t="shared" si="132"/>
        <v>#VALUE!</v>
      </c>
      <c r="BN812" t="e" vm="2">
        <f t="shared" si="133"/>
        <v>#VALUE!</v>
      </c>
    </row>
    <row r="813" spans="55:66" x14ac:dyDescent="0.2">
      <c r="BC813" s="21" t="e" vm="1">
        <v>#REF!</v>
      </c>
      <c r="BD813" t="e" vm="1">
        <v>#REF!</v>
      </c>
      <c r="BF813" t="e" vm="2">
        <f t="shared" si="130"/>
        <v>#VALUE!</v>
      </c>
      <c r="BG813" t="e" vm="2">
        <f t="shared" si="131"/>
        <v>#VALUE!</v>
      </c>
      <c r="BJ813" s="21" t="e" vm="1">
        <v>#REF!</v>
      </c>
      <c r="BK813" t="e" vm="1">
        <v>#REF!</v>
      </c>
      <c r="BM813" t="e" vm="2">
        <f t="shared" si="132"/>
        <v>#VALUE!</v>
      </c>
      <c r="BN813" t="e" vm="2">
        <f t="shared" si="133"/>
        <v>#VALUE!</v>
      </c>
    </row>
    <row r="814" spans="55:66" x14ac:dyDescent="0.2">
      <c r="BC814" s="21" t="e" vm="1">
        <v>#REF!</v>
      </c>
      <c r="BD814" t="e" vm="1">
        <v>#REF!</v>
      </c>
      <c r="BF814" t="e" vm="2">
        <f t="shared" si="130"/>
        <v>#VALUE!</v>
      </c>
      <c r="BG814" t="e" vm="2">
        <f t="shared" si="131"/>
        <v>#VALUE!</v>
      </c>
      <c r="BJ814" s="21" t="e" vm="1">
        <v>#REF!</v>
      </c>
      <c r="BK814" t="e" vm="1">
        <v>#REF!</v>
      </c>
      <c r="BM814" t="e" vm="2">
        <f t="shared" si="132"/>
        <v>#VALUE!</v>
      </c>
      <c r="BN814" t="e" vm="2">
        <f t="shared" si="133"/>
        <v>#VALUE!</v>
      </c>
    </row>
    <row r="815" spans="55:66" x14ac:dyDescent="0.2">
      <c r="BC815" s="21" t="e" vm="1">
        <v>#REF!</v>
      </c>
      <c r="BD815" t="e" vm="1">
        <v>#REF!</v>
      </c>
      <c r="BF815" t="e" vm="2">
        <f t="shared" si="130"/>
        <v>#VALUE!</v>
      </c>
      <c r="BG815" t="e" vm="2">
        <f t="shared" si="131"/>
        <v>#VALUE!</v>
      </c>
      <c r="BJ815" s="21" t="e" vm="1">
        <v>#REF!</v>
      </c>
      <c r="BK815" t="e" vm="1">
        <v>#REF!</v>
      </c>
      <c r="BM815" t="e" vm="2">
        <f t="shared" si="132"/>
        <v>#VALUE!</v>
      </c>
      <c r="BN815" t="e" vm="2">
        <f t="shared" si="133"/>
        <v>#VALUE!</v>
      </c>
    </row>
    <row r="816" spans="55:66" x14ac:dyDescent="0.2">
      <c r="BC816" s="21" t="e" vm="1">
        <v>#REF!</v>
      </c>
      <c r="BD816" t="e" vm="1">
        <v>#REF!</v>
      </c>
      <c r="BF816" t="e" vm="2">
        <f t="shared" si="130"/>
        <v>#VALUE!</v>
      </c>
      <c r="BG816" t="e" vm="2">
        <f t="shared" si="131"/>
        <v>#VALUE!</v>
      </c>
      <c r="BJ816" s="21" t="e" vm="1">
        <v>#REF!</v>
      </c>
      <c r="BK816" t="e" vm="1">
        <v>#REF!</v>
      </c>
      <c r="BM816" t="e" vm="2">
        <f t="shared" si="132"/>
        <v>#VALUE!</v>
      </c>
      <c r="BN816" t="e" vm="2">
        <f t="shared" si="133"/>
        <v>#VALUE!</v>
      </c>
    </row>
    <row r="817" spans="55:66" x14ac:dyDescent="0.2">
      <c r="BC817" s="21" t="e" vm="1">
        <v>#REF!</v>
      </c>
      <c r="BD817" t="e" vm="1">
        <v>#REF!</v>
      </c>
      <c r="BF817" t="e" vm="2">
        <f t="shared" si="130"/>
        <v>#VALUE!</v>
      </c>
      <c r="BG817" t="e" vm="2">
        <f t="shared" si="131"/>
        <v>#VALUE!</v>
      </c>
      <c r="BJ817" s="21" t="e" vm="1">
        <v>#REF!</v>
      </c>
      <c r="BK817" t="e" vm="1">
        <v>#REF!</v>
      </c>
      <c r="BM817" t="e" vm="2">
        <f t="shared" si="132"/>
        <v>#VALUE!</v>
      </c>
      <c r="BN817" t="e" vm="2">
        <f t="shared" si="133"/>
        <v>#VALUE!</v>
      </c>
    </row>
    <row r="818" spans="55:66" x14ac:dyDescent="0.2">
      <c r="BC818" s="21" t="e" vm="1">
        <v>#REF!</v>
      </c>
      <c r="BD818" t="e" vm="1">
        <v>#REF!</v>
      </c>
      <c r="BF818" t="e" vm="2">
        <f t="shared" si="130"/>
        <v>#VALUE!</v>
      </c>
      <c r="BG818" t="e" vm="2">
        <f t="shared" si="131"/>
        <v>#VALUE!</v>
      </c>
      <c r="BJ818" s="21" t="e" vm="1">
        <v>#REF!</v>
      </c>
      <c r="BK818" t="e" vm="1">
        <v>#REF!</v>
      </c>
      <c r="BM818" t="e" vm="2">
        <f t="shared" si="132"/>
        <v>#VALUE!</v>
      </c>
      <c r="BN818" t="e" vm="2">
        <f t="shared" si="133"/>
        <v>#VALUE!</v>
      </c>
    </row>
    <row r="819" spans="55:66" x14ac:dyDescent="0.2">
      <c r="BC819" s="21" t="e" vm="1">
        <v>#REF!</v>
      </c>
      <c r="BD819" t="e" vm="1">
        <v>#REF!</v>
      </c>
      <c r="BF819" t="e" vm="2">
        <f t="shared" si="130"/>
        <v>#VALUE!</v>
      </c>
      <c r="BG819" t="e" vm="2">
        <f t="shared" si="131"/>
        <v>#VALUE!</v>
      </c>
      <c r="BJ819" s="21" t="e" vm="1">
        <v>#REF!</v>
      </c>
      <c r="BK819" t="e" vm="1">
        <v>#REF!</v>
      </c>
      <c r="BM819" t="e" vm="2">
        <f t="shared" si="132"/>
        <v>#VALUE!</v>
      </c>
      <c r="BN819" t="e" vm="2">
        <f t="shared" si="133"/>
        <v>#VALUE!</v>
      </c>
    </row>
    <row r="820" spans="55:66" x14ac:dyDescent="0.2">
      <c r="BC820" s="21" t="e" vm="1">
        <v>#REF!</v>
      </c>
      <c r="BD820" t="e" vm="1">
        <v>#REF!</v>
      </c>
      <c r="BF820" t="e" vm="2">
        <f t="shared" si="130"/>
        <v>#VALUE!</v>
      </c>
      <c r="BG820" t="e" vm="2">
        <f t="shared" si="131"/>
        <v>#VALUE!</v>
      </c>
      <c r="BJ820" s="21" t="e" vm="1">
        <v>#REF!</v>
      </c>
      <c r="BK820" t="e" vm="1">
        <v>#REF!</v>
      </c>
      <c r="BM820" t="e" vm="2">
        <f t="shared" si="132"/>
        <v>#VALUE!</v>
      </c>
      <c r="BN820" t="e" vm="2">
        <f t="shared" si="133"/>
        <v>#VALUE!</v>
      </c>
    </row>
    <row r="821" spans="55:66" x14ac:dyDescent="0.2">
      <c r="BC821" s="21" t="e" vm="1">
        <v>#REF!</v>
      </c>
      <c r="BD821" t="e" vm="1">
        <v>#REF!</v>
      </c>
      <c r="BF821" t="e" vm="2">
        <f t="shared" si="130"/>
        <v>#VALUE!</v>
      </c>
      <c r="BG821" t="e" vm="2">
        <f t="shared" si="131"/>
        <v>#VALUE!</v>
      </c>
      <c r="BJ821" s="21" t="e" vm="1">
        <v>#REF!</v>
      </c>
      <c r="BK821" t="e" vm="1">
        <v>#REF!</v>
      </c>
      <c r="BM821" t="e" vm="2">
        <f t="shared" si="132"/>
        <v>#VALUE!</v>
      </c>
      <c r="BN821" t="e" vm="2">
        <f t="shared" si="133"/>
        <v>#VALUE!</v>
      </c>
    </row>
    <row r="822" spans="55:66" x14ac:dyDescent="0.2">
      <c r="BC822" s="21" t="e" vm="1">
        <v>#REF!</v>
      </c>
      <c r="BD822" t="e" vm="1">
        <v>#REF!</v>
      </c>
      <c r="BF822" t="e" vm="2">
        <f t="shared" si="130"/>
        <v>#VALUE!</v>
      </c>
      <c r="BG822" t="e" vm="2">
        <f t="shared" si="131"/>
        <v>#VALUE!</v>
      </c>
      <c r="BJ822" s="21" t="e" vm="1">
        <v>#REF!</v>
      </c>
      <c r="BK822" t="e" vm="1">
        <v>#REF!</v>
      </c>
      <c r="BM822" t="e" vm="2">
        <f t="shared" si="132"/>
        <v>#VALUE!</v>
      </c>
      <c r="BN822" t="e" vm="2">
        <f t="shared" si="133"/>
        <v>#VALUE!</v>
      </c>
    </row>
    <row r="823" spans="55:66" x14ac:dyDescent="0.2">
      <c r="BC823" s="21" t="e" vm="1">
        <v>#REF!</v>
      </c>
      <c r="BD823" t="e" vm="1">
        <v>#REF!</v>
      </c>
      <c r="BF823" t="e" vm="2">
        <f t="shared" si="130"/>
        <v>#VALUE!</v>
      </c>
      <c r="BG823" t="e" vm="2">
        <f t="shared" si="131"/>
        <v>#VALUE!</v>
      </c>
      <c r="BJ823" s="21" t="e" vm="1">
        <v>#REF!</v>
      </c>
      <c r="BK823" t="e" vm="1">
        <v>#REF!</v>
      </c>
      <c r="BM823" t="e" vm="2">
        <f t="shared" si="132"/>
        <v>#VALUE!</v>
      </c>
      <c r="BN823" t="e" vm="2">
        <f t="shared" si="133"/>
        <v>#VALUE!</v>
      </c>
    </row>
    <row r="824" spans="55:66" x14ac:dyDescent="0.2">
      <c r="BC824" s="21" t="e" vm="1">
        <v>#REF!</v>
      </c>
      <c r="BD824" t="e" vm="1">
        <v>#REF!</v>
      </c>
      <c r="BF824" t="e" vm="2">
        <f t="shared" si="130"/>
        <v>#VALUE!</v>
      </c>
      <c r="BG824" t="e" vm="2">
        <f t="shared" si="131"/>
        <v>#VALUE!</v>
      </c>
      <c r="BJ824" s="21" t="e" vm="1">
        <v>#REF!</v>
      </c>
      <c r="BK824" t="e" vm="1">
        <v>#REF!</v>
      </c>
      <c r="BM824" t="e" vm="2">
        <f t="shared" si="132"/>
        <v>#VALUE!</v>
      </c>
      <c r="BN824" t="e" vm="2">
        <f t="shared" si="133"/>
        <v>#VALUE!</v>
      </c>
    </row>
    <row r="825" spans="55:66" x14ac:dyDescent="0.2">
      <c r="BC825" s="21" t="e" vm="1">
        <v>#REF!</v>
      </c>
      <c r="BD825" t="e" vm="1">
        <v>#REF!</v>
      </c>
      <c r="BF825" t="e" vm="2">
        <f t="shared" si="130"/>
        <v>#VALUE!</v>
      </c>
      <c r="BG825" t="e" vm="2">
        <f t="shared" si="131"/>
        <v>#VALUE!</v>
      </c>
      <c r="BJ825" s="21" t="e" vm="1">
        <v>#REF!</v>
      </c>
      <c r="BK825" t="e" vm="1">
        <v>#REF!</v>
      </c>
      <c r="BM825" t="e" vm="2">
        <f t="shared" si="132"/>
        <v>#VALUE!</v>
      </c>
      <c r="BN825" t="e" vm="2">
        <f t="shared" si="133"/>
        <v>#VALUE!</v>
      </c>
    </row>
    <row r="826" spans="55:66" x14ac:dyDescent="0.2">
      <c r="BC826" s="21" t="e" vm="1">
        <v>#REF!</v>
      </c>
      <c r="BD826" t="e" vm="1">
        <v>#REF!</v>
      </c>
      <c r="BF826" t="e" vm="2">
        <f t="shared" si="130"/>
        <v>#VALUE!</v>
      </c>
      <c r="BG826" t="e" vm="2">
        <f t="shared" si="131"/>
        <v>#VALUE!</v>
      </c>
      <c r="BJ826" s="21" t="e" vm="1">
        <v>#REF!</v>
      </c>
      <c r="BK826" t="e" vm="1">
        <v>#REF!</v>
      </c>
      <c r="BM826" t="e" vm="2">
        <f t="shared" si="132"/>
        <v>#VALUE!</v>
      </c>
      <c r="BN826" t="e" vm="2">
        <f t="shared" si="133"/>
        <v>#VALUE!</v>
      </c>
    </row>
    <row r="827" spans="55:66" x14ac:dyDescent="0.2">
      <c r="BC827" s="21" t="e" vm="1">
        <v>#REF!</v>
      </c>
      <c r="BD827" t="e" vm="1">
        <v>#REF!</v>
      </c>
      <c r="BF827" t="e" vm="2">
        <f t="shared" si="130"/>
        <v>#VALUE!</v>
      </c>
      <c r="BG827" t="e" vm="2">
        <f t="shared" si="131"/>
        <v>#VALUE!</v>
      </c>
      <c r="BJ827" s="21" t="e" vm="1">
        <v>#REF!</v>
      </c>
      <c r="BK827" t="e" vm="1">
        <v>#REF!</v>
      </c>
      <c r="BM827" t="e" vm="2">
        <f t="shared" si="132"/>
        <v>#VALUE!</v>
      </c>
      <c r="BN827" t="e" vm="2">
        <f t="shared" si="133"/>
        <v>#VALUE!</v>
      </c>
    </row>
    <row r="828" spans="55:66" x14ac:dyDescent="0.2">
      <c r="BC828" s="21" t="e" vm="1">
        <v>#REF!</v>
      </c>
      <c r="BD828" t="e" vm="1">
        <v>#REF!</v>
      </c>
      <c r="BF828" t="e" vm="2">
        <f t="shared" si="130"/>
        <v>#VALUE!</v>
      </c>
      <c r="BG828" t="e" vm="2">
        <f t="shared" si="131"/>
        <v>#VALUE!</v>
      </c>
      <c r="BJ828" s="21" t="e" vm="1">
        <v>#REF!</v>
      </c>
      <c r="BK828" t="e" vm="1">
        <v>#REF!</v>
      </c>
      <c r="BM828" t="e" vm="2">
        <f t="shared" si="132"/>
        <v>#VALUE!</v>
      </c>
      <c r="BN828" t="e" vm="2">
        <f t="shared" si="133"/>
        <v>#VALUE!</v>
      </c>
    </row>
    <row r="829" spans="55:66" x14ac:dyDescent="0.2">
      <c r="BC829" s="21" t="e" vm="1">
        <v>#REF!</v>
      </c>
      <c r="BD829" t="e" vm="1">
        <v>#REF!</v>
      </c>
      <c r="BF829" t="e" vm="2">
        <f t="shared" si="130"/>
        <v>#VALUE!</v>
      </c>
      <c r="BG829" t="e" vm="2">
        <f t="shared" si="131"/>
        <v>#VALUE!</v>
      </c>
      <c r="BJ829" s="21" t="e" vm="1">
        <v>#REF!</v>
      </c>
      <c r="BK829" t="e" vm="1">
        <v>#REF!</v>
      </c>
      <c r="BM829" t="e" vm="2">
        <f t="shared" si="132"/>
        <v>#VALUE!</v>
      </c>
      <c r="BN829" t="e" vm="2">
        <f t="shared" si="133"/>
        <v>#VALUE!</v>
      </c>
    </row>
    <row r="830" spans="55:66" x14ac:dyDescent="0.2">
      <c r="BC830" s="21" t="e" vm="1">
        <v>#REF!</v>
      </c>
      <c r="BD830" t="e" vm="1">
        <v>#REF!</v>
      </c>
      <c r="BF830" t="e" vm="2">
        <f t="shared" si="130"/>
        <v>#VALUE!</v>
      </c>
      <c r="BG830" t="e" vm="2">
        <f t="shared" si="131"/>
        <v>#VALUE!</v>
      </c>
      <c r="BJ830" s="21" t="e" vm="1">
        <v>#REF!</v>
      </c>
      <c r="BK830" t="e" vm="1">
        <v>#REF!</v>
      </c>
      <c r="BM830" t="e" vm="2">
        <f t="shared" si="132"/>
        <v>#VALUE!</v>
      </c>
      <c r="BN830" t="e" vm="2">
        <f t="shared" si="133"/>
        <v>#VALUE!</v>
      </c>
    </row>
    <row r="831" spans="55:66" x14ac:dyDescent="0.2">
      <c r="BC831" s="21" t="e" vm="1">
        <v>#REF!</v>
      </c>
      <c r="BD831" t="e" vm="1">
        <v>#REF!</v>
      </c>
      <c r="BF831" t="e" vm="2">
        <f t="shared" si="130"/>
        <v>#VALUE!</v>
      </c>
      <c r="BG831" t="e" vm="2">
        <f t="shared" si="131"/>
        <v>#VALUE!</v>
      </c>
      <c r="BJ831" s="21" t="e" vm="1">
        <v>#REF!</v>
      </c>
      <c r="BK831" t="e" vm="1">
        <v>#REF!</v>
      </c>
      <c r="BM831" t="e" vm="2">
        <f t="shared" si="132"/>
        <v>#VALUE!</v>
      </c>
      <c r="BN831" t="e" vm="2">
        <f t="shared" si="133"/>
        <v>#VALUE!</v>
      </c>
    </row>
    <row r="832" spans="55:66" x14ac:dyDescent="0.2">
      <c r="BC832" s="21" t="e" vm="1">
        <v>#REF!</v>
      </c>
      <c r="BD832" t="e" vm="1">
        <v>#REF!</v>
      </c>
      <c r="BF832" t="e" vm="2">
        <f t="shared" si="130"/>
        <v>#VALUE!</v>
      </c>
      <c r="BG832" t="e" vm="2">
        <f t="shared" si="131"/>
        <v>#VALUE!</v>
      </c>
      <c r="BJ832" s="21" t="e" vm="1">
        <v>#REF!</v>
      </c>
      <c r="BK832" t="e" vm="1">
        <v>#REF!</v>
      </c>
      <c r="BM832" t="e" vm="2">
        <f t="shared" si="132"/>
        <v>#VALUE!</v>
      </c>
      <c r="BN832" t="e" vm="2">
        <f t="shared" si="133"/>
        <v>#VALUE!</v>
      </c>
    </row>
    <row r="833" spans="55:66" x14ac:dyDescent="0.2">
      <c r="BC833" s="21" t="e" vm="1">
        <v>#REF!</v>
      </c>
      <c r="BD833" t="e" vm="1">
        <v>#REF!</v>
      </c>
      <c r="BF833" t="e" vm="2">
        <f t="shared" si="130"/>
        <v>#VALUE!</v>
      </c>
      <c r="BG833" t="e" vm="2">
        <f t="shared" si="131"/>
        <v>#VALUE!</v>
      </c>
      <c r="BJ833" s="21" t="e" vm="1">
        <v>#REF!</v>
      </c>
      <c r="BK833" t="e" vm="1">
        <v>#REF!</v>
      </c>
      <c r="BM833" t="e" vm="2">
        <f t="shared" si="132"/>
        <v>#VALUE!</v>
      </c>
      <c r="BN833" t="e" vm="2">
        <f t="shared" si="133"/>
        <v>#VALUE!</v>
      </c>
    </row>
    <row r="834" spans="55:66" x14ac:dyDescent="0.2">
      <c r="BC834" s="21" t="e" vm="1">
        <v>#REF!</v>
      </c>
      <c r="BD834" t="e" vm="1">
        <v>#REF!</v>
      </c>
      <c r="BF834" t="e" vm="2">
        <f t="shared" si="130"/>
        <v>#VALUE!</v>
      </c>
      <c r="BG834" t="e" vm="2">
        <f t="shared" si="131"/>
        <v>#VALUE!</v>
      </c>
      <c r="BJ834" s="21" t="e" vm="1">
        <v>#REF!</v>
      </c>
      <c r="BK834" t="e" vm="1">
        <v>#REF!</v>
      </c>
      <c r="BM834" t="e" vm="2">
        <f t="shared" si="132"/>
        <v>#VALUE!</v>
      </c>
      <c r="BN834" t="e" vm="2">
        <f t="shared" si="133"/>
        <v>#VALUE!</v>
      </c>
    </row>
    <row r="835" spans="55:66" x14ac:dyDescent="0.2">
      <c r="BC835" s="21" t="e" vm="1">
        <v>#REF!</v>
      </c>
      <c r="BD835" t="e" vm="1">
        <v>#REF!</v>
      </c>
      <c r="BF835" t="e" vm="2">
        <f t="shared" ref="BF835:BF898" si="134">MONTH(BC835)</f>
        <v>#VALUE!</v>
      </c>
      <c r="BG835" t="e" vm="2">
        <f t="shared" ref="BG835:BG898" si="135">YEAR(BC835)</f>
        <v>#VALUE!</v>
      </c>
      <c r="BJ835" s="21" t="e" vm="1">
        <v>#REF!</v>
      </c>
      <c r="BK835" t="e" vm="1">
        <v>#REF!</v>
      </c>
      <c r="BM835" t="e" vm="2">
        <f t="shared" si="132"/>
        <v>#VALUE!</v>
      </c>
      <c r="BN835" t="e" vm="2">
        <f t="shared" si="133"/>
        <v>#VALUE!</v>
      </c>
    </row>
    <row r="836" spans="55:66" x14ac:dyDescent="0.2">
      <c r="BC836" s="21" t="e" vm="1">
        <v>#REF!</v>
      </c>
      <c r="BD836" t="e" vm="1">
        <v>#REF!</v>
      </c>
      <c r="BF836" t="e" vm="2">
        <f t="shared" si="134"/>
        <v>#VALUE!</v>
      </c>
      <c r="BG836" t="e" vm="2">
        <f t="shared" si="135"/>
        <v>#VALUE!</v>
      </c>
      <c r="BJ836" s="21" t="e" vm="1">
        <v>#REF!</v>
      </c>
      <c r="BK836" t="e" vm="1">
        <v>#REF!</v>
      </c>
      <c r="BM836" t="e" vm="2">
        <f t="shared" ref="BM836:BM899" si="136">MONTH(BJ836)</f>
        <v>#VALUE!</v>
      </c>
      <c r="BN836" t="e" vm="2">
        <f t="shared" ref="BN836:BN899" si="137">YEAR(BJ836)</f>
        <v>#VALUE!</v>
      </c>
    </row>
    <row r="837" spans="55:66" x14ac:dyDescent="0.2">
      <c r="BC837" s="21" t="e" vm="1">
        <v>#REF!</v>
      </c>
      <c r="BD837" t="e" vm="1">
        <v>#REF!</v>
      </c>
      <c r="BF837" t="e" vm="2">
        <f t="shared" si="134"/>
        <v>#VALUE!</v>
      </c>
      <c r="BG837" t="e" vm="2">
        <f t="shared" si="135"/>
        <v>#VALUE!</v>
      </c>
      <c r="BJ837" s="21" t="e" vm="1">
        <v>#REF!</v>
      </c>
      <c r="BK837" t="e" vm="1">
        <v>#REF!</v>
      </c>
      <c r="BM837" t="e" vm="2">
        <f t="shared" si="136"/>
        <v>#VALUE!</v>
      </c>
      <c r="BN837" t="e" vm="2">
        <f t="shared" si="137"/>
        <v>#VALUE!</v>
      </c>
    </row>
    <row r="838" spans="55:66" x14ac:dyDescent="0.2">
      <c r="BC838" s="21" t="e" vm="1">
        <v>#REF!</v>
      </c>
      <c r="BD838" t="e" vm="1">
        <v>#REF!</v>
      </c>
      <c r="BF838" t="e" vm="2">
        <f t="shared" si="134"/>
        <v>#VALUE!</v>
      </c>
      <c r="BG838" t="e" vm="2">
        <f t="shared" si="135"/>
        <v>#VALUE!</v>
      </c>
      <c r="BJ838" s="21" t="e" vm="1">
        <v>#REF!</v>
      </c>
      <c r="BK838" t="e" vm="1">
        <v>#REF!</v>
      </c>
      <c r="BM838" t="e" vm="2">
        <f t="shared" si="136"/>
        <v>#VALUE!</v>
      </c>
      <c r="BN838" t="e" vm="2">
        <f t="shared" si="137"/>
        <v>#VALUE!</v>
      </c>
    </row>
    <row r="839" spans="55:66" x14ac:dyDescent="0.2">
      <c r="BC839" s="21" t="e" vm="1">
        <v>#REF!</v>
      </c>
      <c r="BD839" t="e" vm="1">
        <v>#REF!</v>
      </c>
      <c r="BF839" t="e" vm="2">
        <f t="shared" si="134"/>
        <v>#VALUE!</v>
      </c>
      <c r="BG839" t="e" vm="2">
        <f t="shared" si="135"/>
        <v>#VALUE!</v>
      </c>
      <c r="BJ839" s="21" t="e" vm="1">
        <v>#REF!</v>
      </c>
      <c r="BK839" t="e" vm="1">
        <v>#REF!</v>
      </c>
      <c r="BM839" t="e" vm="2">
        <f t="shared" si="136"/>
        <v>#VALUE!</v>
      </c>
      <c r="BN839" t="e" vm="2">
        <f t="shared" si="137"/>
        <v>#VALUE!</v>
      </c>
    </row>
    <row r="840" spans="55:66" x14ac:dyDescent="0.2">
      <c r="BC840" s="21" t="e" vm="1">
        <v>#REF!</v>
      </c>
      <c r="BD840" t="e" vm="1">
        <v>#REF!</v>
      </c>
      <c r="BF840" t="e" vm="2">
        <f t="shared" si="134"/>
        <v>#VALUE!</v>
      </c>
      <c r="BG840" t="e" vm="2">
        <f t="shared" si="135"/>
        <v>#VALUE!</v>
      </c>
      <c r="BJ840" s="21" t="e" vm="1">
        <v>#REF!</v>
      </c>
      <c r="BK840" t="e" vm="1">
        <v>#REF!</v>
      </c>
      <c r="BM840" t="e" vm="2">
        <f t="shared" si="136"/>
        <v>#VALUE!</v>
      </c>
      <c r="BN840" t="e" vm="2">
        <f t="shared" si="137"/>
        <v>#VALUE!</v>
      </c>
    </row>
    <row r="841" spans="55:66" x14ac:dyDescent="0.2">
      <c r="BC841" s="21" t="e" vm="1">
        <v>#REF!</v>
      </c>
      <c r="BD841" t="e" vm="1">
        <v>#REF!</v>
      </c>
      <c r="BF841" t="e" vm="2">
        <f t="shared" si="134"/>
        <v>#VALUE!</v>
      </c>
      <c r="BG841" t="e" vm="2">
        <f t="shared" si="135"/>
        <v>#VALUE!</v>
      </c>
      <c r="BJ841" s="21" t="e" vm="1">
        <v>#REF!</v>
      </c>
      <c r="BK841" t="e" vm="1">
        <v>#REF!</v>
      </c>
      <c r="BM841" t="e" vm="2">
        <f t="shared" si="136"/>
        <v>#VALUE!</v>
      </c>
      <c r="BN841" t="e" vm="2">
        <f t="shared" si="137"/>
        <v>#VALUE!</v>
      </c>
    </row>
    <row r="842" spans="55:66" x14ac:dyDescent="0.2">
      <c r="BC842" s="21" t="e" vm="1">
        <v>#REF!</v>
      </c>
      <c r="BD842" t="e" vm="1">
        <v>#REF!</v>
      </c>
      <c r="BF842" t="e" vm="2">
        <f t="shared" si="134"/>
        <v>#VALUE!</v>
      </c>
      <c r="BG842" t="e" vm="2">
        <f t="shared" si="135"/>
        <v>#VALUE!</v>
      </c>
      <c r="BJ842" s="21" t="e" vm="1">
        <v>#REF!</v>
      </c>
      <c r="BK842" t="e" vm="1">
        <v>#REF!</v>
      </c>
      <c r="BM842" t="e" vm="2">
        <f t="shared" si="136"/>
        <v>#VALUE!</v>
      </c>
      <c r="BN842" t="e" vm="2">
        <f t="shared" si="137"/>
        <v>#VALUE!</v>
      </c>
    </row>
    <row r="843" spans="55:66" x14ac:dyDescent="0.2">
      <c r="BC843" s="21" t="e" vm="1">
        <v>#REF!</v>
      </c>
      <c r="BD843" t="e" vm="1">
        <v>#REF!</v>
      </c>
      <c r="BF843" t="e" vm="2">
        <f t="shared" si="134"/>
        <v>#VALUE!</v>
      </c>
      <c r="BG843" t="e" vm="2">
        <f t="shared" si="135"/>
        <v>#VALUE!</v>
      </c>
      <c r="BJ843" s="21" t="e" vm="1">
        <v>#REF!</v>
      </c>
      <c r="BK843" t="e" vm="1">
        <v>#REF!</v>
      </c>
      <c r="BM843" t="e" vm="2">
        <f t="shared" si="136"/>
        <v>#VALUE!</v>
      </c>
      <c r="BN843" t="e" vm="2">
        <f t="shared" si="137"/>
        <v>#VALUE!</v>
      </c>
    </row>
    <row r="844" spans="55:66" x14ac:dyDescent="0.2">
      <c r="BC844" s="21" t="e" vm="1">
        <v>#REF!</v>
      </c>
      <c r="BD844" t="e" vm="1">
        <v>#REF!</v>
      </c>
      <c r="BF844" t="e" vm="2">
        <f t="shared" si="134"/>
        <v>#VALUE!</v>
      </c>
      <c r="BG844" t="e" vm="2">
        <f t="shared" si="135"/>
        <v>#VALUE!</v>
      </c>
      <c r="BJ844" s="21" t="e" vm="1">
        <v>#REF!</v>
      </c>
      <c r="BK844" t="e" vm="1">
        <v>#REF!</v>
      </c>
      <c r="BM844" t="e" vm="2">
        <f t="shared" si="136"/>
        <v>#VALUE!</v>
      </c>
      <c r="BN844" t="e" vm="2">
        <f t="shared" si="137"/>
        <v>#VALUE!</v>
      </c>
    </row>
    <row r="845" spans="55:66" x14ac:dyDescent="0.2">
      <c r="BC845" s="21" t="e" vm="1">
        <v>#REF!</v>
      </c>
      <c r="BD845" t="e" vm="1">
        <v>#REF!</v>
      </c>
      <c r="BF845" t="e" vm="2">
        <f t="shared" si="134"/>
        <v>#VALUE!</v>
      </c>
      <c r="BG845" t="e" vm="2">
        <f t="shared" si="135"/>
        <v>#VALUE!</v>
      </c>
      <c r="BJ845" s="21" t="e" vm="1">
        <v>#REF!</v>
      </c>
      <c r="BK845" t="e" vm="1">
        <v>#REF!</v>
      </c>
      <c r="BM845" t="e" vm="2">
        <f t="shared" si="136"/>
        <v>#VALUE!</v>
      </c>
      <c r="BN845" t="e" vm="2">
        <f t="shared" si="137"/>
        <v>#VALUE!</v>
      </c>
    </row>
    <row r="846" spans="55:66" x14ac:dyDescent="0.2">
      <c r="BC846" s="21" t="e" vm="1">
        <v>#REF!</v>
      </c>
      <c r="BD846" t="e" vm="1">
        <v>#REF!</v>
      </c>
      <c r="BF846" t="e" vm="2">
        <f t="shared" si="134"/>
        <v>#VALUE!</v>
      </c>
      <c r="BG846" t="e" vm="2">
        <f t="shared" si="135"/>
        <v>#VALUE!</v>
      </c>
      <c r="BJ846" s="21" t="e" vm="1">
        <v>#REF!</v>
      </c>
      <c r="BK846" t="e" vm="1">
        <v>#REF!</v>
      </c>
      <c r="BM846" t="e" vm="2">
        <f t="shared" si="136"/>
        <v>#VALUE!</v>
      </c>
      <c r="BN846" t="e" vm="2">
        <f t="shared" si="137"/>
        <v>#VALUE!</v>
      </c>
    </row>
    <row r="847" spans="55:66" x14ac:dyDescent="0.2">
      <c r="BC847" s="21" t="e" vm="1">
        <v>#REF!</v>
      </c>
      <c r="BD847" t="e" vm="1">
        <v>#REF!</v>
      </c>
      <c r="BF847" t="e" vm="2">
        <f t="shared" si="134"/>
        <v>#VALUE!</v>
      </c>
      <c r="BG847" t="e" vm="2">
        <f t="shared" si="135"/>
        <v>#VALUE!</v>
      </c>
      <c r="BJ847" s="21" t="e" vm="1">
        <v>#REF!</v>
      </c>
      <c r="BK847" t="e" vm="1">
        <v>#REF!</v>
      </c>
      <c r="BM847" t="e" vm="2">
        <f t="shared" si="136"/>
        <v>#VALUE!</v>
      </c>
      <c r="BN847" t="e" vm="2">
        <f t="shared" si="137"/>
        <v>#VALUE!</v>
      </c>
    </row>
    <row r="848" spans="55:66" x14ac:dyDescent="0.2">
      <c r="BC848" s="21" t="e" vm="1">
        <v>#REF!</v>
      </c>
      <c r="BD848" t="e" vm="1">
        <v>#REF!</v>
      </c>
      <c r="BF848" t="e" vm="2">
        <f t="shared" si="134"/>
        <v>#VALUE!</v>
      </c>
      <c r="BG848" t="e" vm="2">
        <f t="shared" si="135"/>
        <v>#VALUE!</v>
      </c>
      <c r="BJ848" s="21" t="e" vm="1">
        <v>#REF!</v>
      </c>
      <c r="BK848" t="e" vm="1">
        <v>#REF!</v>
      </c>
      <c r="BM848" t="e" vm="2">
        <f t="shared" si="136"/>
        <v>#VALUE!</v>
      </c>
      <c r="BN848" t="e" vm="2">
        <f t="shared" si="137"/>
        <v>#VALUE!</v>
      </c>
    </row>
    <row r="849" spans="55:66" x14ac:dyDescent="0.2">
      <c r="BC849" s="21" t="e" vm="1">
        <v>#REF!</v>
      </c>
      <c r="BD849" t="e" vm="1">
        <v>#REF!</v>
      </c>
      <c r="BF849" t="e" vm="2">
        <f t="shared" si="134"/>
        <v>#VALUE!</v>
      </c>
      <c r="BG849" t="e" vm="2">
        <f t="shared" si="135"/>
        <v>#VALUE!</v>
      </c>
      <c r="BJ849" s="21" t="e" vm="1">
        <v>#REF!</v>
      </c>
      <c r="BK849" t="e" vm="1">
        <v>#REF!</v>
      </c>
      <c r="BM849" t="e" vm="2">
        <f t="shared" si="136"/>
        <v>#VALUE!</v>
      </c>
      <c r="BN849" t="e" vm="2">
        <f t="shared" si="137"/>
        <v>#VALUE!</v>
      </c>
    </row>
    <row r="850" spans="55:66" x14ac:dyDescent="0.2">
      <c r="BC850" s="21" t="e" vm="1">
        <v>#REF!</v>
      </c>
      <c r="BD850" t="e" vm="1">
        <v>#REF!</v>
      </c>
      <c r="BF850" t="e" vm="2">
        <f t="shared" si="134"/>
        <v>#VALUE!</v>
      </c>
      <c r="BG850" t="e" vm="2">
        <f t="shared" si="135"/>
        <v>#VALUE!</v>
      </c>
      <c r="BJ850" s="21" t="e" vm="1">
        <v>#REF!</v>
      </c>
      <c r="BK850" t="e" vm="1">
        <v>#REF!</v>
      </c>
      <c r="BM850" t="e" vm="2">
        <f t="shared" si="136"/>
        <v>#VALUE!</v>
      </c>
      <c r="BN850" t="e" vm="2">
        <f t="shared" si="137"/>
        <v>#VALUE!</v>
      </c>
    </row>
    <row r="851" spans="55:66" x14ac:dyDescent="0.2">
      <c r="BC851" s="21" t="e" vm="1">
        <v>#REF!</v>
      </c>
      <c r="BD851" t="e" vm="1">
        <v>#REF!</v>
      </c>
      <c r="BF851" t="e" vm="2">
        <f t="shared" si="134"/>
        <v>#VALUE!</v>
      </c>
      <c r="BG851" t="e" vm="2">
        <f t="shared" si="135"/>
        <v>#VALUE!</v>
      </c>
      <c r="BJ851" s="21" t="e" vm="1">
        <v>#REF!</v>
      </c>
      <c r="BK851" t="e" vm="1">
        <v>#REF!</v>
      </c>
      <c r="BM851" t="e" vm="2">
        <f t="shared" si="136"/>
        <v>#VALUE!</v>
      </c>
      <c r="BN851" t="e" vm="2">
        <f t="shared" si="137"/>
        <v>#VALUE!</v>
      </c>
    </row>
    <row r="852" spans="55:66" x14ac:dyDescent="0.2">
      <c r="BC852" s="21" t="e" vm="1">
        <v>#REF!</v>
      </c>
      <c r="BD852" t="e" vm="1">
        <v>#REF!</v>
      </c>
      <c r="BF852" t="e" vm="2">
        <f t="shared" si="134"/>
        <v>#VALUE!</v>
      </c>
      <c r="BG852" t="e" vm="2">
        <f t="shared" si="135"/>
        <v>#VALUE!</v>
      </c>
      <c r="BJ852" s="21" t="e" vm="1">
        <v>#REF!</v>
      </c>
      <c r="BK852" t="e" vm="1">
        <v>#REF!</v>
      </c>
      <c r="BM852" t="e" vm="2">
        <f t="shared" si="136"/>
        <v>#VALUE!</v>
      </c>
      <c r="BN852" t="e" vm="2">
        <f t="shared" si="137"/>
        <v>#VALUE!</v>
      </c>
    </row>
    <row r="853" spans="55:66" x14ac:dyDescent="0.2">
      <c r="BC853" s="21" t="e" vm="1">
        <v>#REF!</v>
      </c>
      <c r="BD853" t="e" vm="1">
        <v>#REF!</v>
      </c>
      <c r="BF853" t="e" vm="2">
        <f t="shared" si="134"/>
        <v>#VALUE!</v>
      </c>
      <c r="BG853" t="e" vm="2">
        <f t="shared" si="135"/>
        <v>#VALUE!</v>
      </c>
      <c r="BJ853" s="21" t="e" vm="1">
        <v>#REF!</v>
      </c>
      <c r="BK853" t="e" vm="1">
        <v>#REF!</v>
      </c>
      <c r="BM853" t="e" vm="2">
        <f t="shared" si="136"/>
        <v>#VALUE!</v>
      </c>
      <c r="BN853" t="e" vm="2">
        <f t="shared" si="137"/>
        <v>#VALUE!</v>
      </c>
    </row>
    <row r="854" spans="55:66" x14ac:dyDescent="0.2">
      <c r="BC854" s="21" t="e" vm="1">
        <v>#REF!</v>
      </c>
      <c r="BD854" t="e" vm="1">
        <v>#REF!</v>
      </c>
      <c r="BF854" t="e" vm="2">
        <f t="shared" si="134"/>
        <v>#VALUE!</v>
      </c>
      <c r="BG854" t="e" vm="2">
        <f t="shared" si="135"/>
        <v>#VALUE!</v>
      </c>
      <c r="BJ854" s="21" t="e" vm="1">
        <v>#REF!</v>
      </c>
      <c r="BK854" t="e" vm="1">
        <v>#REF!</v>
      </c>
      <c r="BM854" t="e" vm="2">
        <f t="shared" si="136"/>
        <v>#VALUE!</v>
      </c>
      <c r="BN854" t="e" vm="2">
        <f t="shared" si="137"/>
        <v>#VALUE!</v>
      </c>
    </row>
    <row r="855" spans="55:66" x14ac:dyDescent="0.2">
      <c r="BC855" s="21" t="e" vm="1">
        <v>#REF!</v>
      </c>
      <c r="BD855" t="e" vm="1">
        <v>#REF!</v>
      </c>
      <c r="BF855" t="e" vm="2">
        <f t="shared" si="134"/>
        <v>#VALUE!</v>
      </c>
      <c r="BG855" t="e" vm="2">
        <f t="shared" si="135"/>
        <v>#VALUE!</v>
      </c>
      <c r="BJ855" s="21" t="e" vm="1">
        <v>#REF!</v>
      </c>
      <c r="BK855" t="e" vm="1">
        <v>#REF!</v>
      </c>
      <c r="BM855" t="e" vm="2">
        <f t="shared" si="136"/>
        <v>#VALUE!</v>
      </c>
      <c r="BN855" t="e" vm="2">
        <f t="shared" si="137"/>
        <v>#VALUE!</v>
      </c>
    </row>
    <row r="856" spans="55:66" x14ac:dyDescent="0.2">
      <c r="BC856" s="21" t="e" vm="1">
        <v>#REF!</v>
      </c>
      <c r="BD856" t="e" vm="1">
        <v>#REF!</v>
      </c>
      <c r="BF856" t="e" vm="2">
        <f t="shared" si="134"/>
        <v>#VALUE!</v>
      </c>
      <c r="BG856" t="e" vm="2">
        <f t="shared" si="135"/>
        <v>#VALUE!</v>
      </c>
      <c r="BJ856" s="21" t="e" vm="1">
        <v>#REF!</v>
      </c>
      <c r="BK856" t="e" vm="1">
        <v>#REF!</v>
      </c>
      <c r="BM856" t="e" vm="2">
        <f t="shared" si="136"/>
        <v>#VALUE!</v>
      </c>
      <c r="BN856" t="e" vm="2">
        <f t="shared" si="137"/>
        <v>#VALUE!</v>
      </c>
    </row>
    <row r="857" spans="55:66" x14ac:dyDescent="0.2">
      <c r="BC857" s="21" t="e" vm="1">
        <v>#REF!</v>
      </c>
      <c r="BD857" t="e" vm="1">
        <v>#REF!</v>
      </c>
      <c r="BF857" t="e" vm="2">
        <f t="shared" si="134"/>
        <v>#VALUE!</v>
      </c>
      <c r="BG857" t="e" vm="2">
        <f t="shared" si="135"/>
        <v>#VALUE!</v>
      </c>
      <c r="BJ857" s="21" t="e" vm="1">
        <v>#REF!</v>
      </c>
      <c r="BK857" t="e" vm="1">
        <v>#REF!</v>
      </c>
      <c r="BM857" t="e" vm="2">
        <f t="shared" si="136"/>
        <v>#VALUE!</v>
      </c>
      <c r="BN857" t="e" vm="2">
        <f t="shared" si="137"/>
        <v>#VALUE!</v>
      </c>
    </row>
    <row r="858" spans="55:66" x14ac:dyDescent="0.2">
      <c r="BC858" s="21" t="e" vm="1">
        <v>#REF!</v>
      </c>
      <c r="BD858" t="e" vm="1">
        <v>#REF!</v>
      </c>
      <c r="BF858" t="e" vm="2">
        <f t="shared" si="134"/>
        <v>#VALUE!</v>
      </c>
      <c r="BG858" t="e" vm="2">
        <f t="shared" si="135"/>
        <v>#VALUE!</v>
      </c>
      <c r="BJ858" s="21" t="e" vm="1">
        <v>#REF!</v>
      </c>
      <c r="BK858" t="e" vm="1">
        <v>#REF!</v>
      </c>
      <c r="BM858" t="e" vm="2">
        <f t="shared" si="136"/>
        <v>#VALUE!</v>
      </c>
      <c r="BN858" t="e" vm="2">
        <f t="shared" si="137"/>
        <v>#VALUE!</v>
      </c>
    </row>
    <row r="859" spans="55:66" x14ac:dyDescent="0.2">
      <c r="BC859" s="21" t="e" vm="1">
        <v>#REF!</v>
      </c>
      <c r="BD859" t="e" vm="1">
        <v>#REF!</v>
      </c>
      <c r="BF859" t="e" vm="2">
        <f t="shared" si="134"/>
        <v>#VALUE!</v>
      </c>
      <c r="BG859" t="e" vm="2">
        <f t="shared" si="135"/>
        <v>#VALUE!</v>
      </c>
      <c r="BJ859" s="21" t="e" vm="1">
        <v>#REF!</v>
      </c>
      <c r="BK859" t="e" vm="1">
        <v>#REF!</v>
      </c>
      <c r="BM859" t="e" vm="2">
        <f t="shared" si="136"/>
        <v>#VALUE!</v>
      </c>
      <c r="BN859" t="e" vm="2">
        <f t="shared" si="137"/>
        <v>#VALUE!</v>
      </c>
    </row>
    <row r="860" spans="55:66" x14ac:dyDescent="0.2">
      <c r="BC860" s="21" t="e" vm="1">
        <v>#REF!</v>
      </c>
      <c r="BD860" t="e" vm="1">
        <v>#REF!</v>
      </c>
      <c r="BF860" t="e" vm="2">
        <f t="shared" si="134"/>
        <v>#VALUE!</v>
      </c>
      <c r="BG860" t="e" vm="2">
        <f t="shared" si="135"/>
        <v>#VALUE!</v>
      </c>
      <c r="BJ860" s="21" t="e" vm="1">
        <v>#REF!</v>
      </c>
      <c r="BK860" t="e" vm="1">
        <v>#REF!</v>
      </c>
      <c r="BM860" t="e" vm="2">
        <f t="shared" si="136"/>
        <v>#VALUE!</v>
      </c>
      <c r="BN860" t="e" vm="2">
        <f t="shared" si="137"/>
        <v>#VALUE!</v>
      </c>
    </row>
    <row r="861" spans="55:66" x14ac:dyDescent="0.2">
      <c r="BC861" s="21" t="e" vm="1">
        <v>#REF!</v>
      </c>
      <c r="BD861" t="e" vm="1">
        <v>#REF!</v>
      </c>
      <c r="BF861" t="e" vm="2">
        <f t="shared" si="134"/>
        <v>#VALUE!</v>
      </c>
      <c r="BG861" t="e" vm="2">
        <f t="shared" si="135"/>
        <v>#VALUE!</v>
      </c>
      <c r="BJ861" s="21" t="e" vm="1">
        <v>#REF!</v>
      </c>
      <c r="BK861" t="e" vm="1">
        <v>#REF!</v>
      </c>
      <c r="BM861" t="e" vm="2">
        <f t="shared" si="136"/>
        <v>#VALUE!</v>
      </c>
      <c r="BN861" t="e" vm="2">
        <f t="shared" si="137"/>
        <v>#VALUE!</v>
      </c>
    </row>
    <row r="862" spans="55:66" x14ac:dyDescent="0.2">
      <c r="BC862" s="21" t="e" vm="1">
        <v>#REF!</v>
      </c>
      <c r="BD862" t="e" vm="1">
        <v>#REF!</v>
      </c>
      <c r="BF862" t="e" vm="2">
        <f t="shared" si="134"/>
        <v>#VALUE!</v>
      </c>
      <c r="BG862" t="e" vm="2">
        <f t="shared" si="135"/>
        <v>#VALUE!</v>
      </c>
      <c r="BJ862" s="21" t="e" vm="1">
        <v>#REF!</v>
      </c>
      <c r="BK862" t="e" vm="1">
        <v>#REF!</v>
      </c>
      <c r="BM862" t="e" vm="2">
        <f t="shared" si="136"/>
        <v>#VALUE!</v>
      </c>
      <c r="BN862" t="e" vm="2">
        <f t="shared" si="137"/>
        <v>#VALUE!</v>
      </c>
    </row>
    <row r="863" spans="55:66" x14ac:dyDescent="0.2">
      <c r="BC863" s="21" t="e" vm="1">
        <v>#REF!</v>
      </c>
      <c r="BD863" t="e" vm="1">
        <v>#REF!</v>
      </c>
      <c r="BF863" t="e" vm="2">
        <f t="shared" si="134"/>
        <v>#VALUE!</v>
      </c>
      <c r="BG863" t="e" vm="2">
        <f t="shared" si="135"/>
        <v>#VALUE!</v>
      </c>
      <c r="BJ863" s="21" t="e" vm="1">
        <v>#REF!</v>
      </c>
      <c r="BK863" t="e" vm="1">
        <v>#REF!</v>
      </c>
      <c r="BM863" t="e" vm="2">
        <f t="shared" si="136"/>
        <v>#VALUE!</v>
      </c>
      <c r="BN863" t="e" vm="2">
        <f t="shared" si="137"/>
        <v>#VALUE!</v>
      </c>
    </row>
    <row r="864" spans="55:66" x14ac:dyDescent="0.2">
      <c r="BC864" s="21" t="e" vm="1">
        <v>#REF!</v>
      </c>
      <c r="BD864" t="e" vm="1">
        <v>#REF!</v>
      </c>
      <c r="BF864" t="e" vm="2">
        <f t="shared" si="134"/>
        <v>#VALUE!</v>
      </c>
      <c r="BG864" t="e" vm="2">
        <f t="shared" si="135"/>
        <v>#VALUE!</v>
      </c>
      <c r="BJ864" s="21" t="e" vm="1">
        <v>#REF!</v>
      </c>
      <c r="BK864" t="e" vm="1">
        <v>#REF!</v>
      </c>
      <c r="BM864" t="e" vm="2">
        <f t="shared" si="136"/>
        <v>#VALUE!</v>
      </c>
      <c r="BN864" t="e" vm="2">
        <f t="shared" si="137"/>
        <v>#VALUE!</v>
      </c>
    </row>
    <row r="865" spans="55:66" x14ac:dyDescent="0.2">
      <c r="BC865" s="21" t="e" vm="1">
        <v>#REF!</v>
      </c>
      <c r="BD865" t="e" vm="1">
        <v>#REF!</v>
      </c>
      <c r="BF865" t="e" vm="2">
        <f t="shared" si="134"/>
        <v>#VALUE!</v>
      </c>
      <c r="BG865" t="e" vm="2">
        <f t="shared" si="135"/>
        <v>#VALUE!</v>
      </c>
      <c r="BJ865" s="21" t="e" vm="1">
        <v>#REF!</v>
      </c>
      <c r="BK865" t="e" vm="1">
        <v>#REF!</v>
      </c>
      <c r="BM865" t="e" vm="2">
        <f t="shared" si="136"/>
        <v>#VALUE!</v>
      </c>
      <c r="BN865" t="e" vm="2">
        <f t="shared" si="137"/>
        <v>#VALUE!</v>
      </c>
    </row>
    <row r="866" spans="55:66" x14ac:dyDescent="0.2">
      <c r="BC866" s="21" t="e" vm="1">
        <v>#REF!</v>
      </c>
      <c r="BD866" t="e" vm="1">
        <v>#REF!</v>
      </c>
      <c r="BF866" t="e" vm="2">
        <f t="shared" si="134"/>
        <v>#VALUE!</v>
      </c>
      <c r="BG866" t="e" vm="2">
        <f t="shared" si="135"/>
        <v>#VALUE!</v>
      </c>
      <c r="BJ866" s="21" t="e" vm="1">
        <v>#REF!</v>
      </c>
      <c r="BK866" t="e" vm="1">
        <v>#REF!</v>
      </c>
      <c r="BM866" t="e" vm="2">
        <f t="shared" si="136"/>
        <v>#VALUE!</v>
      </c>
      <c r="BN866" t="e" vm="2">
        <f t="shared" si="137"/>
        <v>#VALUE!</v>
      </c>
    </row>
    <row r="867" spans="55:66" x14ac:dyDescent="0.2">
      <c r="BC867" s="21" t="e" vm="1">
        <v>#REF!</v>
      </c>
      <c r="BD867" t="e" vm="1">
        <v>#REF!</v>
      </c>
      <c r="BF867" t="e" vm="2">
        <f t="shared" si="134"/>
        <v>#VALUE!</v>
      </c>
      <c r="BG867" t="e" vm="2">
        <f t="shared" si="135"/>
        <v>#VALUE!</v>
      </c>
      <c r="BJ867" s="21" t="e" vm="1">
        <v>#REF!</v>
      </c>
      <c r="BK867" t="e" vm="1">
        <v>#REF!</v>
      </c>
      <c r="BM867" t="e" vm="2">
        <f t="shared" si="136"/>
        <v>#VALUE!</v>
      </c>
      <c r="BN867" t="e" vm="2">
        <f t="shared" si="137"/>
        <v>#VALUE!</v>
      </c>
    </row>
    <row r="868" spans="55:66" x14ac:dyDescent="0.2">
      <c r="BC868" s="21" t="e" vm="1">
        <v>#REF!</v>
      </c>
      <c r="BD868" t="e" vm="1">
        <v>#REF!</v>
      </c>
      <c r="BF868" t="e" vm="2">
        <f t="shared" si="134"/>
        <v>#VALUE!</v>
      </c>
      <c r="BG868" t="e" vm="2">
        <f t="shared" si="135"/>
        <v>#VALUE!</v>
      </c>
      <c r="BJ868" s="21" t="e" vm="1">
        <v>#REF!</v>
      </c>
      <c r="BK868" t="e" vm="1">
        <v>#REF!</v>
      </c>
      <c r="BM868" t="e" vm="2">
        <f t="shared" si="136"/>
        <v>#VALUE!</v>
      </c>
      <c r="BN868" t="e" vm="2">
        <f t="shared" si="137"/>
        <v>#VALUE!</v>
      </c>
    </row>
    <row r="869" spans="55:66" x14ac:dyDescent="0.2">
      <c r="BC869" s="21" t="e" vm="1">
        <v>#REF!</v>
      </c>
      <c r="BD869" t="e" vm="1">
        <v>#REF!</v>
      </c>
      <c r="BF869" t="e" vm="2">
        <f t="shared" si="134"/>
        <v>#VALUE!</v>
      </c>
      <c r="BG869" t="e" vm="2">
        <f t="shared" si="135"/>
        <v>#VALUE!</v>
      </c>
      <c r="BJ869" s="21" t="e" vm="1">
        <v>#REF!</v>
      </c>
      <c r="BK869" t="e" vm="1">
        <v>#REF!</v>
      </c>
      <c r="BM869" t="e" vm="2">
        <f t="shared" si="136"/>
        <v>#VALUE!</v>
      </c>
      <c r="BN869" t="e" vm="2">
        <f t="shared" si="137"/>
        <v>#VALUE!</v>
      </c>
    </row>
    <row r="870" spans="55:66" x14ac:dyDescent="0.2">
      <c r="BC870" s="21" t="e" vm="1">
        <v>#REF!</v>
      </c>
      <c r="BD870" t="e" vm="1">
        <v>#REF!</v>
      </c>
      <c r="BF870" t="e" vm="2">
        <f t="shared" si="134"/>
        <v>#VALUE!</v>
      </c>
      <c r="BG870" t="e" vm="2">
        <f t="shared" si="135"/>
        <v>#VALUE!</v>
      </c>
      <c r="BJ870" s="21" t="e" vm="1">
        <v>#REF!</v>
      </c>
      <c r="BK870" t="e" vm="1">
        <v>#REF!</v>
      </c>
      <c r="BM870" t="e" vm="2">
        <f t="shared" si="136"/>
        <v>#VALUE!</v>
      </c>
      <c r="BN870" t="e" vm="2">
        <f t="shared" si="137"/>
        <v>#VALUE!</v>
      </c>
    </row>
    <row r="871" spans="55:66" x14ac:dyDescent="0.2">
      <c r="BC871" s="21" t="e" vm="1">
        <v>#REF!</v>
      </c>
      <c r="BD871" t="e" vm="1">
        <v>#REF!</v>
      </c>
      <c r="BF871" t="e" vm="2">
        <f t="shared" si="134"/>
        <v>#VALUE!</v>
      </c>
      <c r="BG871" t="e" vm="2">
        <f t="shared" si="135"/>
        <v>#VALUE!</v>
      </c>
      <c r="BJ871" s="21" t="e" vm="1">
        <v>#REF!</v>
      </c>
      <c r="BK871" t="e" vm="1">
        <v>#REF!</v>
      </c>
      <c r="BM871" t="e" vm="2">
        <f t="shared" si="136"/>
        <v>#VALUE!</v>
      </c>
      <c r="BN871" t="e" vm="2">
        <f t="shared" si="137"/>
        <v>#VALUE!</v>
      </c>
    </row>
    <row r="872" spans="55:66" x14ac:dyDescent="0.2">
      <c r="BC872" s="21" t="e" vm="1">
        <v>#REF!</v>
      </c>
      <c r="BD872" t="e" vm="1">
        <v>#REF!</v>
      </c>
      <c r="BF872" t="e" vm="2">
        <f t="shared" si="134"/>
        <v>#VALUE!</v>
      </c>
      <c r="BG872" t="e" vm="2">
        <f t="shared" si="135"/>
        <v>#VALUE!</v>
      </c>
      <c r="BJ872" s="21" t="e" vm="1">
        <v>#REF!</v>
      </c>
      <c r="BK872" t="e" vm="1">
        <v>#REF!</v>
      </c>
      <c r="BM872" t="e" vm="2">
        <f t="shared" si="136"/>
        <v>#VALUE!</v>
      </c>
      <c r="BN872" t="e" vm="2">
        <f t="shared" si="137"/>
        <v>#VALUE!</v>
      </c>
    </row>
    <row r="873" spans="55:66" x14ac:dyDescent="0.2">
      <c r="BC873" s="21" t="e" vm="1">
        <v>#REF!</v>
      </c>
      <c r="BD873" t="e" vm="1">
        <v>#REF!</v>
      </c>
      <c r="BF873" t="e" vm="2">
        <f t="shared" si="134"/>
        <v>#VALUE!</v>
      </c>
      <c r="BG873" t="e" vm="2">
        <f t="shared" si="135"/>
        <v>#VALUE!</v>
      </c>
      <c r="BJ873" s="21" t="e" vm="1">
        <v>#REF!</v>
      </c>
      <c r="BK873" t="e" vm="1">
        <v>#REF!</v>
      </c>
      <c r="BM873" t="e" vm="2">
        <f t="shared" si="136"/>
        <v>#VALUE!</v>
      </c>
      <c r="BN873" t="e" vm="2">
        <f t="shared" si="137"/>
        <v>#VALUE!</v>
      </c>
    </row>
    <row r="874" spans="55:66" x14ac:dyDescent="0.2">
      <c r="BC874" s="21" t="e" vm="1">
        <v>#REF!</v>
      </c>
      <c r="BD874" t="e" vm="1">
        <v>#REF!</v>
      </c>
      <c r="BF874" t="e" vm="2">
        <f t="shared" si="134"/>
        <v>#VALUE!</v>
      </c>
      <c r="BG874" t="e" vm="2">
        <f t="shared" si="135"/>
        <v>#VALUE!</v>
      </c>
      <c r="BJ874" s="21" t="e" vm="1">
        <v>#REF!</v>
      </c>
      <c r="BK874" t="e" vm="1">
        <v>#REF!</v>
      </c>
      <c r="BM874" t="e" vm="2">
        <f t="shared" si="136"/>
        <v>#VALUE!</v>
      </c>
      <c r="BN874" t="e" vm="2">
        <f t="shared" si="137"/>
        <v>#VALUE!</v>
      </c>
    </row>
    <row r="875" spans="55:66" x14ac:dyDescent="0.2">
      <c r="BC875" s="21" t="e" vm="1">
        <v>#REF!</v>
      </c>
      <c r="BD875" t="e" vm="1">
        <v>#REF!</v>
      </c>
      <c r="BF875" t="e" vm="2">
        <f t="shared" si="134"/>
        <v>#VALUE!</v>
      </c>
      <c r="BG875" t="e" vm="2">
        <f t="shared" si="135"/>
        <v>#VALUE!</v>
      </c>
      <c r="BJ875" s="21" t="e" vm="1">
        <v>#REF!</v>
      </c>
      <c r="BK875" t="e" vm="1">
        <v>#REF!</v>
      </c>
      <c r="BM875" t="e" vm="2">
        <f t="shared" si="136"/>
        <v>#VALUE!</v>
      </c>
      <c r="BN875" t="e" vm="2">
        <f t="shared" si="137"/>
        <v>#VALUE!</v>
      </c>
    </row>
    <row r="876" spans="55:66" x14ac:dyDescent="0.2">
      <c r="BC876" s="21" t="e" vm="1">
        <v>#REF!</v>
      </c>
      <c r="BD876" t="e" vm="1">
        <v>#REF!</v>
      </c>
      <c r="BF876" t="e" vm="2">
        <f t="shared" si="134"/>
        <v>#VALUE!</v>
      </c>
      <c r="BG876" t="e" vm="2">
        <f t="shared" si="135"/>
        <v>#VALUE!</v>
      </c>
      <c r="BJ876" s="21" t="e" vm="1">
        <v>#REF!</v>
      </c>
      <c r="BK876" t="e" vm="1">
        <v>#REF!</v>
      </c>
      <c r="BM876" t="e" vm="2">
        <f t="shared" si="136"/>
        <v>#VALUE!</v>
      </c>
      <c r="BN876" t="e" vm="2">
        <f t="shared" si="137"/>
        <v>#VALUE!</v>
      </c>
    </row>
    <row r="877" spans="55:66" x14ac:dyDescent="0.2">
      <c r="BC877" s="21" t="e" vm="1">
        <v>#REF!</v>
      </c>
      <c r="BD877" t="e" vm="1">
        <v>#REF!</v>
      </c>
      <c r="BF877" t="e" vm="2">
        <f t="shared" si="134"/>
        <v>#VALUE!</v>
      </c>
      <c r="BG877" t="e" vm="2">
        <f t="shared" si="135"/>
        <v>#VALUE!</v>
      </c>
      <c r="BJ877" s="21" t="e" vm="1">
        <v>#REF!</v>
      </c>
      <c r="BK877" t="e" vm="1">
        <v>#REF!</v>
      </c>
      <c r="BM877" t="e" vm="2">
        <f t="shared" si="136"/>
        <v>#VALUE!</v>
      </c>
      <c r="BN877" t="e" vm="2">
        <f t="shared" si="137"/>
        <v>#VALUE!</v>
      </c>
    </row>
    <row r="878" spans="55:66" x14ac:dyDescent="0.2">
      <c r="BC878" s="21" t="e" vm="1">
        <v>#REF!</v>
      </c>
      <c r="BD878" t="e" vm="1">
        <v>#REF!</v>
      </c>
      <c r="BF878" t="e" vm="2">
        <f t="shared" si="134"/>
        <v>#VALUE!</v>
      </c>
      <c r="BG878" t="e" vm="2">
        <f t="shared" si="135"/>
        <v>#VALUE!</v>
      </c>
      <c r="BJ878" s="21" t="e" vm="1">
        <v>#REF!</v>
      </c>
      <c r="BK878" t="e" vm="1">
        <v>#REF!</v>
      </c>
      <c r="BM878" t="e" vm="2">
        <f t="shared" si="136"/>
        <v>#VALUE!</v>
      </c>
      <c r="BN878" t="e" vm="2">
        <f t="shared" si="137"/>
        <v>#VALUE!</v>
      </c>
    </row>
    <row r="879" spans="55:66" x14ac:dyDescent="0.2">
      <c r="BC879" s="21" t="e" vm="1">
        <v>#REF!</v>
      </c>
      <c r="BD879" t="e" vm="1">
        <v>#REF!</v>
      </c>
      <c r="BF879" t="e" vm="2">
        <f t="shared" si="134"/>
        <v>#VALUE!</v>
      </c>
      <c r="BG879" t="e" vm="2">
        <f t="shared" si="135"/>
        <v>#VALUE!</v>
      </c>
      <c r="BJ879" s="21" t="e" vm="1">
        <v>#REF!</v>
      </c>
      <c r="BK879" t="e" vm="1">
        <v>#REF!</v>
      </c>
      <c r="BM879" t="e" vm="2">
        <f t="shared" si="136"/>
        <v>#VALUE!</v>
      </c>
      <c r="BN879" t="e" vm="2">
        <f t="shared" si="137"/>
        <v>#VALUE!</v>
      </c>
    </row>
    <row r="880" spans="55:66" x14ac:dyDescent="0.2">
      <c r="BC880" s="21" t="e" vm="1">
        <v>#REF!</v>
      </c>
      <c r="BD880" t="e" vm="1">
        <v>#REF!</v>
      </c>
      <c r="BF880" t="e" vm="2">
        <f t="shared" si="134"/>
        <v>#VALUE!</v>
      </c>
      <c r="BG880" t="e" vm="2">
        <f t="shared" si="135"/>
        <v>#VALUE!</v>
      </c>
      <c r="BJ880" s="21" t="e" vm="1">
        <v>#REF!</v>
      </c>
      <c r="BK880" t="e" vm="1">
        <v>#REF!</v>
      </c>
      <c r="BM880" t="e" vm="2">
        <f t="shared" si="136"/>
        <v>#VALUE!</v>
      </c>
      <c r="BN880" t="e" vm="2">
        <f t="shared" si="137"/>
        <v>#VALUE!</v>
      </c>
    </row>
    <row r="881" spans="55:66" x14ac:dyDescent="0.2">
      <c r="BC881" s="21" t="e" vm="1">
        <v>#REF!</v>
      </c>
      <c r="BD881" t="e" vm="1">
        <v>#REF!</v>
      </c>
      <c r="BF881" t="e" vm="2">
        <f t="shared" si="134"/>
        <v>#VALUE!</v>
      </c>
      <c r="BG881" t="e" vm="2">
        <f t="shared" si="135"/>
        <v>#VALUE!</v>
      </c>
      <c r="BJ881" s="21" t="e" vm="1">
        <v>#REF!</v>
      </c>
      <c r="BK881" t="e" vm="1">
        <v>#REF!</v>
      </c>
      <c r="BM881" t="e" vm="2">
        <f t="shared" si="136"/>
        <v>#VALUE!</v>
      </c>
      <c r="BN881" t="e" vm="2">
        <f t="shared" si="137"/>
        <v>#VALUE!</v>
      </c>
    </row>
    <row r="882" spans="55:66" x14ac:dyDescent="0.2">
      <c r="BC882" s="21" t="e" vm="1">
        <v>#REF!</v>
      </c>
      <c r="BD882" t="e" vm="1">
        <v>#REF!</v>
      </c>
      <c r="BF882" t="e" vm="2">
        <f t="shared" si="134"/>
        <v>#VALUE!</v>
      </c>
      <c r="BG882" t="e" vm="2">
        <f t="shared" si="135"/>
        <v>#VALUE!</v>
      </c>
      <c r="BJ882" s="21" t="e" vm="1">
        <v>#REF!</v>
      </c>
      <c r="BK882" t="e" vm="1">
        <v>#REF!</v>
      </c>
      <c r="BM882" t="e" vm="2">
        <f t="shared" si="136"/>
        <v>#VALUE!</v>
      </c>
      <c r="BN882" t="e" vm="2">
        <f t="shared" si="137"/>
        <v>#VALUE!</v>
      </c>
    </row>
    <row r="883" spans="55:66" x14ac:dyDescent="0.2">
      <c r="BC883" s="21" t="e" vm="1">
        <v>#REF!</v>
      </c>
      <c r="BD883" t="e" vm="1">
        <v>#REF!</v>
      </c>
      <c r="BF883" t="e" vm="2">
        <f t="shared" si="134"/>
        <v>#VALUE!</v>
      </c>
      <c r="BG883" t="e" vm="2">
        <f t="shared" si="135"/>
        <v>#VALUE!</v>
      </c>
      <c r="BJ883" s="21" t="e" vm="1">
        <v>#REF!</v>
      </c>
      <c r="BK883" t="e" vm="1">
        <v>#REF!</v>
      </c>
      <c r="BM883" t="e" vm="2">
        <f t="shared" si="136"/>
        <v>#VALUE!</v>
      </c>
      <c r="BN883" t="e" vm="2">
        <f t="shared" si="137"/>
        <v>#VALUE!</v>
      </c>
    </row>
    <row r="884" spans="55:66" x14ac:dyDescent="0.2">
      <c r="BC884" s="21" t="e" vm="1">
        <v>#REF!</v>
      </c>
      <c r="BD884" t="e" vm="1">
        <v>#REF!</v>
      </c>
      <c r="BF884" t="e" vm="2">
        <f t="shared" si="134"/>
        <v>#VALUE!</v>
      </c>
      <c r="BG884" t="e" vm="2">
        <f t="shared" si="135"/>
        <v>#VALUE!</v>
      </c>
      <c r="BJ884" s="21" t="e" vm="1">
        <v>#REF!</v>
      </c>
      <c r="BK884" t="e" vm="1">
        <v>#REF!</v>
      </c>
      <c r="BM884" t="e" vm="2">
        <f t="shared" si="136"/>
        <v>#VALUE!</v>
      </c>
      <c r="BN884" t="e" vm="2">
        <f t="shared" si="137"/>
        <v>#VALUE!</v>
      </c>
    </row>
    <row r="885" spans="55:66" x14ac:dyDescent="0.2">
      <c r="BC885" s="21" t="e" vm="1">
        <v>#REF!</v>
      </c>
      <c r="BD885" t="e" vm="1">
        <v>#REF!</v>
      </c>
      <c r="BF885" t="e" vm="2">
        <f t="shared" si="134"/>
        <v>#VALUE!</v>
      </c>
      <c r="BG885" t="e" vm="2">
        <f t="shared" si="135"/>
        <v>#VALUE!</v>
      </c>
      <c r="BJ885" s="21" t="e" vm="1">
        <v>#REF!</v>
      </c>
      <c r="BK885" t="e" vm="1">
        <v>#REF!</v>
      </c>
      <c r="BM885" t="e" vm="2">
        <f t="shared" si="136"/>
        <v>#VALUE!</v>
      </c>
      <c r="BN885" t="e" vm="2">
        <f t="shared" si="137"/>
        <v>#VALUE!</v>
      </c>
    </row>
    <row r="886" spans="55:66" x14ac:dyDescent="0.2">
      <c r="BC886" s="21" t="e" vm="1">
        <v>#REF!</v>
      </c>
      <c r="BD886" t="e" vm="1">
        <v>#REF!</v>
      </c>
      <c r="BF886" t="e" vm="2">
        <f t="shared" si="134"/>
        <v>#VALUE!</v>
      </c>
      <c r="BG886" t="e" vm="2">
        <f t="shared" si="135"/>
        <v>#VALUE!</v>
      </c>
      <c r="BJ886" s="21" t="e" vm="1">
        <v>#REF!</v>
      </c>
      <c r="BK886" t="e" vm="1">
        <v>#REF!</v>
      </c>
      <c r="BM886" t="e" vm="2">
        <f t="shared" si="136"/>
        <v>#VALUE!</v>
      </c>
      <c r="BN886" t="e" vm="2">
        <f t="shared" si="137"/>
        <v>#VALUE!</v>
      </c>
    </row>
    <row r="887" spans="55:66" x14ac:dyDescent="0.2">
      <c r="BC887" s="21" t="e" vm="1">
        <v>#REF!</v>
      </c>
      <c r="BD887" t="e" vm="1">
        <v>#REF!</v>
      </c>
      <c r="BF887" t="e" vm="2">
        <f t="shared" si="134"/>
        <v>#VALUE!</v>
      </c>
      <c r="BG887" t="e" vm="2">
        <f t="shared" si="135"/>
        <v>#VALUE!</v>
      </c>
      <c r="BJ887" s="21" t="e" vm="1">
        <v>#REF!</v>
      </c>
      <c r="BK887" t="e" vm="1">
        <v>#REF!</v>
      </c>
      <c r="BM887" t="e" vm="2">
        <f t="shared" si="136"/>
        <v>#VALUE!</v>
      </c>
      <c r="BN887" t="e" vm="2">
        <f t="shared" si="137"/>
        <v>#VALUE!</v>
      </c>
    </row>
    <row r="888" spans="55:66" x14ac:dyDescent="0.2">
      <c r="BC888" s="21" t="e" vm="1">
        <v>#REF!</v>
      </c>
      <c r="BD888" t="e" vm="1">
        <v>#REF!</v>
      </c>
      <c r="BF888" t="e" vm="2">
        <f t="shared" si="134"/>
        <v>#VALUE!</v>
      </c>
      <c r="BG888" t="e" vm="2">
        <f t="shared" si="135"/>
        <v>#VALUE!</v>
      </c>
      <c r="BJ888" s="21" t="e" vm="1">
        <v>#REF!</v>
      </c>
      <c r="BK888" t="e" vm="1">
        <v>#REF!</v>
      </c>
      <c r="BM888" t="e" vm="2">
        <f t="shared" si="136"/>
        <v>#VALUE!</v>
      </c>
      <c r="BN888" t="e" vm="2">
        <f t="shared" si="137"/>
        <v>#VALUE!</v>
      </c>
    </row>
    <row r="889" spans="55:66" x14ac:dyDescent="0.2">
      <c r="BC889" s="21" t="e" vm="1">
        <v>#REF!</v>
      </c>
      <c r="BD889" t="e" vm="1">
        <v>#REF!</v>
      </c>
      <c r="BF889" t="e" vm="2">
        <f t="shared" si="134"/>
        <v>#VALUE!</v>
      </c>
      <c r="BG889" t="e" vm="2">
        <f t="shared" si="135"/>
        <v>#VALUE!</v>
      </c>
      <c r="BJ889" s="21" t="e" vm="1">
        <v>#REF!</v>
      </c>
      <c r="BK889" t="e" vm="1">
        <v>#REF!</v>
      </c>
      <c r="BM889" t="e" vm="2">
        <f t="shared" si="136"/>
        <v>#VALUE!</v>
      </c>
      <c r="BN889" t="e" vm="2">
        <f t="shared" si="137"/>
        <v>#VALUE!</v>
      </c>
    </row>
    <row r="890" spans="55:66" x14ac:dyDescent="0.2">
      <c r="BC890" s="21" t="e" vm="1">
        <v>#REF!</v>
      </c>
      <c r="BD890" t="e" vm="1">
        <v>#REF!</v>
      </c>
      <c r="BF890" t="e" vm="2">
        <f t="shared" si="134"/>
        <v>#VALUE!</v>
      </c>
      <c r="BG890" t="e" vm="2">
        <f t="shared" si="135"/>
        <v>#VALUE!</v>
      </c>
      <c r="BJ890" s="21" t="e" vm="1">
        <v>#REF!</v>
      </c>
      <c r="BK890" t="e" vm="1">
        <v>#REF!</v>
      </c>
      <c r="BM890" t="e" vm="2">
        <f t="shared" si="136"/>
        <v>#VALUE!</v>
      </c>
      <c r="BN890" t="e" vm="2">
        <f t="shared" si="137"/>
        <v>#VALUE!</v>
      </c>
    </row>
    <row r="891" spans="55:66" x14ac:dyDescent="0.2">
      <c r="BC891" s="21" t="e" vm="1">
        <v>#REF!</v>
      </c>
      <c r="BD891" t="e" vm="1">
        <v>#REF!</v>
      </c>
      <c r="BF891" t="e" vm="2">
        <f t="shared" si="134"/>
        <v>#VALUE!</v>
      </c>
      <c r="BG891" t="e" vm="2">
        <f t="shared" si="135"/>
        <v>#VALUE!</v>
      </c>
      <c r="BJ891" s="21" t="e" vm="1">
        <v>#REF!</v>
      </c>
      <c r="BK891" t="e" vm="1">
        <v>#REF!</v>
      </c>
      <c r="BM891" t="e" vm="2">
        <f t="shared" si="136"/>
        <v>#VALUE!</v>
      </c>
      <c r="BN891" t="e" vm="2">
        <f t="shared" si="137"/>
        <v>#VALUE!</v>
      </c>
    </row>
    <row r="892" spans="55:66" x14ac:dyDescent="0.2">
      <c r="BC892" s="21" t="e" vm="1">
        <v>#REF!</v>
      </c>
      <c r="BD892" t="e" vm="1">
        <v>#REF!</v>
      </c>
      <c r="BF892" t="e" vm="2">
        <f t="shared" si="134"/>
        <v>#VALUE!</v>
      </c>
      <c r="BG892" t="e" vm="2">
        <f t="shared" si="135"/>
        <v>#VALUE!</v>
      </c>
      <c r="BJ892" s="21" t="e" vm="1">
        <v>#REF!</v>
      </c>
      <c r="BK892" t="e" vm="1">
        <v>#REF!</v>
      </c>
      <c r="BM892" t="e" vm="2">
        <f t="shared" si="136"/>
        <v>#VALUE!</v>
      </c>
      <c r="BN892" t="e" vm="2">
        <f t="shared" si="137"/>
        <v>#VALUE!</v>
      </c>
    </row>
    <row r="893" spans="55:66" x14ac:dyDescent="0.2">
      <c r="BC893" s="21" t="e" vm="1">
        <v>#REF!</v>
      </c>
      <c r="BD893" t="e" vm="1">
        <v>#REF!</v>
      </c>
      <c r="BF893" t="e" vm="2">
        <f t="shared" si="134"/>
        <v>#VALUE!</v>
      </c>
      <c r="BG893" t="e" vm="2">
        <f t="shared" si="135"/>
        <v>#VALUE!</v>
      </c>
      <c r="BJ893" s="21" t="e" vm="1">
        <v>#REF!</v>
      </c>
      <c r="BK893" t="e" vm="1">
        <v>#REF!</v>
      </c>
      <c r="BM893" t="e" vm="2">
        <f t="shared" si="136"/>
        <v>#VALUE!</v>
      </c>
      <c r="BN893" t="e" vm="2">
        <f t="shared" si="137"/>
        <v>#VALUE!</v>
      </c>
    </row>
    <row r="894" spans="55:66" x14ac:dyDescent="0.2">
      <c r="BC894" s="21" t="e" vm="1">
        <v>#REF!</v>
      </c>
      <c r="BD894" t="e" vm="1">
        <v>#REF!</v>
      </c>
      <c r="BF894" t="e" vm="2">
        <f t="shared" si="134"/>
        <v>#VALUE!</v>
      </c>
      <c r="BG894" t="e" vm="2">
        <f t="shared" si="135"/>
        <v>#VALUE!</v>
      </c>
      <c r="BJ894" s="21" t="e" vm="1">
        <v>#REF!</v>
      </c>
      <c r="BK894" t="e" vm="1">
        <v>#REF!</v>
      </c>
      <c r="BM894" t="e" vm="2">
        <f t="shared" si="136"/>
        <v>#VALUE!</v>
      </c>
      <c r="BN894" t="e" vm="2">
        <f t="shared" si="137"/>
        <v>#VALUE!</v>
      </c>
    </row>
    <row r="895" spans="55:66" x14ac:dyDescent="0.2">
      <c r="BC895" s="21" t="e" vm="1">
        <v>#REF!</v>
      </c>
      <c r="BD895" t="e" vm="1">
        <v>#REF!</v>
      </c>
      <c r="BF895" t="e" vm="2">
        <f t="shared" si="134"/>
        <v>#VALUE!</v>
      </c>
      <c r="BG895" t="e" vm="2">
        <f t="shared" si="135"/>
        <v>#VALUE!</v>
      </c>
      <c r="BJ895" s="21" t="e" vm="1">
        <v>#REF!</v>
      </c>
      <c r="BK895" t="e" vm="1">
        <v>#REF!</v>
      </c>
      <c r="BM895" t="e" vm="2">
        <f t="shared" si="136"/>
        <v>#VALUE!</v>
      </c>
      <c r="BN895" t="e" vm="2">
        <f t="shared" si="137"/>
        <v>#VALUE!</v>
      </c>
    </row>
    <row r="896" spans="55:66" x14ac:dyDescent="0.2">
      <c r="BC896" s="21" t="e" vm="1">
        <v>#REF!</v>
      </c>
      <c r="BD896" t="e" vm="1">
        <v>#REF!</v>
      </c>
      <c r="BF896" t="e" vm="2">
        <f t="shared" si="134"/>
        <v>#VALUE!</v>
      </c>
      <c r="BG896" t="e" vm="2">
        <f t="shared" si="135"/>
        <v>#VALUE!</v>
      </c>
      <c r="BJ896" s="21" t="e" vm="1">
        <v>#REF!</v>
      </c>
      <c r="BK896" t="e" vm="1">
        <v>#REF!</v>
      </c>
      <c r="BM896" t="e" vm="2">
        <f t="shared" si="136"/>
        <v>#VALUE!</v>
      </c>
      <c r="BN896" t="e" vm="2">
        <f t="shared" si="137"/>
        <v>#VALUE!</v>
      </c>
    </row>
    <row r="897" spans="55:66" x14ac:dyDescent="0.2">
      <c r="BC897" s="21" t="e" vm="1">
        <v>#REF!</v>
      </c>
      <c r="BD897" t="e" vm="1">
        <v>#REF!</v>
      </c>
      <c r="BF897" t="e" vm="2">
        <f t="shared" si="134"/>
        <v>#VALUE!</v>
      </c>
      <c r="BG897" t="e" vm="2">
        <f t="shared" si="135"/>
        <v>#VALUE!</v>
      </c>
      <c r="BJ897" s="21" t="e" vm="1">
        <v>#REF!</v>
      </c>
      <c r="BK897" t="e" vm="1">
        <v>#REF!</v>
      </c>
      <c r="BM897" t="e" vm="2">
        <f t="shared" si="136"/>
        <v>#VALUE!</v>
      </c>
      <c r="BN897" t="e" vm="2">
        <f t="shared" si="137"/>
        <v>#VALUE!</v>
      </c>
    </row>
    <row r="898" spans="55:66" x14ac:dyDescent="0.2">
      <c r="BC898" s="21" t="e" vm="1">
        <v>#REF!</v>
      </c>
      <c r="BD898" t="e" vm="1">
        <v>#REF!</v>
      </c>
      <c r="BF898" t="e" vm="2">
        <f t="shared" si="134"/>
        <v>#VALUE!</v>
      </c>
      <c r="BG898" t="e" vm="2">
        <f t="shared" si="135"/>
        <v>#VALUE!</v>
      </c>
      <c r="BJ898" s="21" t="e" vm="1">
        <v>#REF!</v>
      </c>
      <c r="BK898" t="e" vm="1">
        <v>#REF!</v>
      </c>
      <c r="BM898" t="e" vm="2">
        <f t="shared" si="136"/>
        <v>#VALUE!</v>
      </c>
      <c r="BN898" t="e" vm="2">
        <f t="shared" si="137"/>
        <v>#VALUE!</v>
      </c>
    </row>
    <row r="899" spans="55:66" x14ac:dyDescent="0.2">
      <c r="BC899" s="21" t="e" vm="1">
        <v>#REF!</v>
      </c>
      <c r="BD899" t="e" vm="1">
        <v>#REF!</v>
      </c>
      <c r="BF899" t="e" vm="2">
        <f t="shared" ref="BF899:BF962" si="138">MONTH(BC899)</f>
        <v>#VALUE!</v>
      </c>
      <c r="BG899" t="e" vm="2">
        <f t="shared" ref="BG899:BG962" si="139">YEAR(BC899)</f>
        <v>#VALUE!</v>
      </c>
      <c r="BJ899" s="21" t="e" vm="1">
        <v>#REF!</v>
      </c>
      <c r="BK899" t="e" vm="1">
        <v>#REF!</v>
      </c>
      <c r="BM899" t="e" vm="2">
        <f t="shared" si="136"/>
        <v>#VALUE!</v>
      </c>
      <c r="BN899" t="e" vm="2">
        <f t="shared" si="137"/>
        <v>#VALUE!</v>
      </c>
    </row>
    <row r="900" spans="55:66" x14ac:dyDescent="0.2">
      <c r="BC900" s="21" t="e" vm="1">
        <v>#REF!</v>
      </c>
      <c r="BD900" t="e" vm="1">
        <v>#REF!</v>
      </c>
      <c r="BF900" t="e" vm="2">
        <f t="shared" si="138"/>
        <v>#VALUE!</v>
      </c>
      <c r="BG900" t="e" vm="2">
        <f t="shared" si="139"/>
        <v>#VALUE!</v>
      </c>
      <c r="BJ900" s="21" t="e" vm="1">
        <v>#REF!</v>
      </c>
      <c r="BK900" t="e" vm="1">
        <v>#REF!</v>
      </c>
      <c r="BM900" t="e" vm="2">
        <f t="shared" ref="BM900:BM963" si="140">MONTH(BJ900)</f>
        <v>#VALUE!</v>
      </c>
      <c r="BN900" t="e" vm="2">
        <f t="shared" ref="BN900:BN963" si="141">YEAR(BJ900)</f>
        <v>#VALUE!</v>
      </c>
    </row>
    <row r="901" spans="55:66" x14ac:dyDescent="0.2">
      <c r="BC901" s="21" t="e" vm="1">
        <v>#REF!</v>
      </c>
      <c r="BD901" t="e" vm="1">
        <v>#REF!</v>
      </c>
      <c r="BF901" t="e" vm="2">
        <f t="shared" si="138"/>
        <v>#VALUE!</v>
      </c>
      <c r="BG901" t="e" vm="2">
        <f t="shared" si="139"/>
        <v>#VALUE!</v>
      </c>
      <c r="BJ901" s="21" t="e" vm="1">
        <v>#REF!</v>
      </c>
      <c r="BK901" t="e" vm="1">
        <v>#REF!</v>
      </c>
      <c r="BM901" t="e" vm="2">
        <f t="shared" si="140"/>
        <v>#VALUE!</v>
      </c>
      <c r="BN901" t="e" vm="2">
        <f t="shared" si="141"/>
        <v>#VALUE!</v>
      </c>
    </row>
    <row r="902" spans="55:66" x14ac:dyDescent="0.2">
      <c r="BC902" s="21" t="e" vm="1">
        <v>#REF!</v>
      </c>
      <c r="BD902" t="e" vm="1">
        <v>#REF!</v>
      </c>
      <c r="BF902" t="e" vm="2">
        <f t="shared" si="138"/>
        <v>#VALUE!</v>
      </c>
      <c r="BG902" t="e" vm="2">
        <f t="shared" si="139"/>
        <v>#VALUE!</v>
      </c>
      <c r="BJ902" s="21" t="e" vm="1">
        <v>#REF!</v>
      </c>
      <c r="BK902" t="e" vm="1">
        <v>#REF!</v>
      </c>
      <c r="BM902" t="e" vm="2">
        <f t="shared" si="140"/>
        <v>#VALUE!</v>
      </c>
      <c r="BN902" t="e" vm="2">
        <f t="shared" si="141"/>
        <v>#VALUE!</v>
      </c>
    </row>
    <row r="903" spans="55:66" x14ac:dyDescent="0.2">
      <c r="BC903" s="21" t="e" vm="1">
        <v>#REF!</v>
      </c>
      <c r="BD903" t="e" vm="1">
        <v>#REF!</v>
      </c>
      <c r="BF903" t="e" vm="2">
        <f t="shared" si="138"/>
        <v>#VALUE!</v>
      </c>
      <c r="BG903" t="e" vm="2">
        <f t="shared" si="139"/>
        <v>#VALUE!</v>
      </c>
      <c r="BJ903" s="21" t="e" vm="1">
        <v>#REF!</v>
      </c>
      <c r="BK903" t="e" vm="1">
        <v>#REF!</v>
      </c>
      <c r="BM903" t="e" vm="2">
        <f t="shared" si="140"/>
        <v>#VALUE!</v>
      </c>
      <c r="BN903" t="e" vm="2">
        <f t="shared" si="141"/>
        <v>#VALUE!</v>
      </c>
    </row>
    <row r="904" spans="55:66" x14ac:dyDescent="0.2">
      <c r="BC904" s="21" t="e" vm="1">
        <v>#REF!</v>
      </c>
      <c r="BD904" t="e" vm="1">
        <v>#REF!</v>
      </c>
      <c r="BF904" t="e" vm="2">
        <f t="shared" si="138"/>
        <v>#VALUE!</v>
      </c>
      <c r="BG904" t="e" vm="2">
        <f t="shared" si="139"/>
        <v>#VALUE!</v>
      </c>
      <c r="BJ904" s="21" t="e" vm="1">
        <v>#REF!</v>
      </c>
      <c r="BK904" t="e" vm="1">
        <v>#REF!</v>
      </c>
      <c r="BM904" t="e" vm="2">
        <f t="shared" si="140"/>
        <v>#VALUE!</v>
      </c>
      <c r="BN904" t="e" vm="2">
        <f t="shared" si="141"/>
        <v>#VALUE!</v>
      </c>
    </row>
    <row r="905" spans="55:66" x14ac:dyDescent="0.2">
      <c r="BC905" s="21" t="e" vm="1">
        <v>#REF!</v>
      </c>
      <c r="BD905" t="e" vm="1">
        <v>#REF!</v>
      </c>
      <c r="BF905" t="e" vm="2">
        <f t="shared" si="138"/>
        <v>#VALUE!</v>
      </c>
      <c r="BG905" t="e" vm="2">
        <f t="shared" si="139"/>
        <v>#VALUE!</v>
      </c>
      <c r="BJ905" s="21" t="e" vm="1">
        <v>#REF!</v>
      </c>
      <c r="BK905" t="e" vm="1">
        <v>#REF!</v>
      </c>
      <c r="BM905" t="e" vm="2">
        <f t="shared" si="140"/>
        <v>#VALUE!</v>
      </c>
      <c r="BN905" t="e" vm="2">
        <f t="shared" si="141"/>
        <v>#VALUE!</v>
      </c>
    </row>
    <row r="906" spans="55:66" x14ac:dyDescent="0.2">
      <c r="BC906" s="21" t="e" vm="1">
        <v>#REF!</v>
      </c>
      <c r="BD906" t="e" vm="1">
        <v>#REF!</v>
      </c>
      <c r="BF906" t="e" vm="2">
        <f t="shared" si="138"/>
        <v>#VALUE!</v>
      </c>
      <c r="BG906" t="e" vm="2">
        <f t="shared" si="139"/>
        <v>#VALUE!</v>
      </c>
      <c r="BJ906" s="21" t="e" vm="1">
        <v>#REF!</v>
      </c>
      <c r="BK906" t="e" vm="1">
        <v>#REF!</v>
      </c>
      <c r="BM906" t="e" vm="2">
        <f t="shared" si="140"/>
        <v>#VALUE!</v>
      </c>
      <c r="BN906" t="e" vm="2">
        <f t="shared" si="141"/>
        <v>#VALUE!</v>
      </c>
    </row>
    <row r="907" spans="55:66" x14ac:dyDescent="0.2">
      <c r="BC907" s="21" t="e" vm="1">
        <v>#REF!</v>
      </c>
      <c r="BD907" t="e" vm="1">
        <v>#REF!</v>
      </c>
      <c r="BF907" t="e" vm="2">
        <f t="shared" si="138"/>
        <v>#VALUE!</v>
      </c>
      <c r="BG907" t="e" vm="2">
        <f t="shared" si="139"/>
        <v>#VALUE!</v>
      </c>
      <c r="BJ907" s="21" t="e" vm="1">
        <v>#REF!</v>
      </c>
      <c r="BK907" t="e" vm="1">
        <v>#REF!</v>
      </c>
      <c r="BM907" t="e" vm="2">
        <f t="shared" si="140"/>
        <v>#VALUE!</v>
      </c>
      <c r="BN907" t="e" vm="2">
        <f t="shared" si="141"/>
        <v>#VALUE!</v>
      </c>
    </row>
    <row r="908" spans="55:66" x14ac:dyDescent="0.2">
      <c r="BC908" s="21" t="e" vm="1">
        <v>#REF!</v>
      </c>
      <c r="BD908" t="e" vm="1">
        <v>#REF!</v>
      </c>
      <c r="BF908" t="e" vm="2">
        <f t="shared" si="138"/>
        <v>#VALUE!</v>
      </c>
      <c r="BG908" t="e" vm="2">
        <f t="shared" si="139"/>
        <v>#VALUE!</v>
      </c>
      <c r="BJ908" s="21" t="e" vm="1">
        <v>#REF!</v>
      </c>
      <c r="BK908" t="e" vm="1">
        <v>#REF!</v>
      </c>
      <c r="BM908" t="e" vm="2">
        <f t="shared" si="140"/>
        <v>#VALUE!</v>
      </c>
      <c r="BN908" t="e" vm="2">
        <f t="shared" si="141"/>
        <v>#VALUE!</v>
      </c>
    </row>
    <row r="909" spans="55:66" x14ac:dyDescent="0.2">
      <c r="BC909" s="21" t="e" vm="1">
        <v>#REF!</v>
      </c>
      <c r="BD909" t="e" vm="1">
        <v>#REF!</v>
      </c>
      <c r="BF909" t="e" vm="2">
        <f t="shared" si="138"/>
        <v>#VALUE!</v>
      </c>
      <c r="BG909" t="e" vm="2">
        <f t="shared" si="139"/>
        <v>#VALUE!</v>
      </c>
      <c r="BJ909" s="21" t="e" vm="1">
        <v>#REF!</v>
      </c>
      <c r="BK909" t="e" vm="1">
        <v>#REF!</v>
      </c>
      <c r="BM909" t="e" vm="2">
        <f t="shared" si="140"/>
        <v>#VALUE!</v>
      </c>
      <c r="BN909" t="e" vm="2">
        <f t="shared" si="141"/>
        <v>#VALUE!</v>
      </c>
    </row>
    <row r="910" spans="55:66" x14ac:dyDescent="0.2">
      <c r="BC910" s="21" t="e" vm="1">
        <v>#REF!</v>
      </c>
      <c r="BD910" t="e" vm="1">
        <v>#REF!</v>
      </c>
      <c r="BF910" t="e" vm="2">
        <f t="shared" si="138"/>
        <v>#VALUE!</v>
      </c>
      <c r="BG910" t="e" vm="2">
        <f t="shared" si="139"/>
        <v>#VALUE!</v>
      </c>
      <c r="BJ910" s="21" t="e" vm="1">
        <v>#REF!</v>
      </c>
      <c r="BK910" t="e" vm="1">
        <v>#REF!</v>
      </c>
      <c r="BM910" t="e" vm="2">
        <f t="shared" si="140"/>
        <v>#VALUE!</v>
      </c>
      <c r="BN910" t="e" vm="2">
        <f t="shared" si="141"/>
        <v>#VALUE!</v>
      </c>
    </row>
    <row r="911" spans="55:66" x14ac:dyDescent="0.2">
      <c r="BC911" s="21" t="e" vm="1">
        <v>#REF!</v>
      </c>
      <c r="BD911" t="e" vm="1">
        <v>#REF!</v>
      </c>
      <c r="BF911" t="e" vm="2">
        <f t="shared" si="138"/>
        <v>#VALUE!</v>
      </c>
      <c r="BG911" t="e" vm="2">
        <f t="shared" si="139"/>
        <v>#VALUE!</v>
      </c>
      <c r="BJ911" s="21" t="e" vm="1">
        <v>#REF!</v>
      </c>
      <c r="BK911" t="e" vm="1">
        <v>#REF!</v>
      </c>
      <c r="BM911" t="e" vm="2">
        <f t="shared" si="140"/>
        <v>#VALUE!</v>
      </c>
      <c r="BN911" t="e" vm="2">
        <f t="shared" si="141"/>
        <v>#VALUE!</v>
      </c>
    </row>
    <row r="912" spans="55:66" x14ac:dyDescent="0.2">
      <c r="BC912" s="21" t="e" vm="1">
        <v>#REF!</v>
      </c>
      <c r="BD912" t="e" vm="1">
        <v>#REF!</v>
      </c>
      <c r="BF912" t="e" vm="2">
        <f t="shared" si="138"/>
        <v>#VALUE!</v>
      </c>
      <c r="BG912" t="e" vm="2">
        <f t="shared" si="139"/>
        <v>#VALUE!</v>
      </c>
      <c r="BJ912" s="21" t="e" vm="1">
        <v>#REF!</v>
      </c>
      <c r="BK912" t="e" vm="1">
        <v>#REF!</v>
      </c>
      <c r="BM912" t="e" vm="2">
        <f t="shared" si="140"/>
        <v>#VALUE!</v>
      </c>
      <c r="BN912" t="e" vm="2">
        <f t="shared" si="141"/>
        <v>#VALUE!</v>
      </c>
    </row>
    <row r="913" spans="55:66" x14ac:dyDescent="0.2">
      <c r="BC913" s="21" t="e" vm="1">
        <v>#REF!</v>
      </c>
      <c r="BD913" t="e" vm="1">
        <v>#REF!</v>
      </c>
      <c r="BF913" t="e" vm="2">
        <f t="shared" si="138"/>
        <v>#VALUE!</v>
      </c>
      <c r="BG913" t="e" vm="2">
        <f t="shared" si="139"/>
        <v>#VALUE!</v>
      </c>
      <c r="BJ913" s="21" t="e" vm="1">
        <v>#REF!</v>
      </c>
      <c r="BK913" t="e" vm="1">
        <v>#REF!</v>
      </c>
      <c r="BM913" t="e" vm="2">
        <f t="shared" si="140"/>
        <v>#VALUE!</v>
      </c>
      <c r="BN913" t="e" vm="2">
        <f t="shared" si="141"/>
        <v>#VALUE!</v>
      </c>
    </row>
    <row r="914" spans="55:66" x14ac:dyDescent="0.2">
      <c r="BC914" s="21" t="e" vm="1">
        <v>#REF!</v>
      </c>
      <c r="BD914" t="e" vm="1">
        <v>#REF!</v>
      </c>
      <c r="BF914" t="e" vm="2">
        <f t="shared" si="138"/>
        <v>#VALUE!</v>
      </c>
      <c r="BG914" t="e" vm="2">
        <f t="shared" si="139"/>
        <v>#VALUE!</v>
      </c>
      <c r="BJ914" s="21" t="e" vm="1">
        <v>#REF!</v>
      </c>
      <c r="BK914" t="e" vm="1">
        <v>#REF!</v>
      </c>
      <c r="BM914" t="e" vm="2">
        <f t="shared" si="140"/>
        <v>#VALUE!</v>
      </c>
      <c r="BN914" t="e" vm="2">
        <f t="shared" si="141"/>
        <v>#VALUE!</v>
      </c>
    </row>
    <row r="915" spans="55:66" x14ac:dyDescent="0.2">
      <c r="BC915" s="21" t="e" vm="1">
        <v>#REF!</v>
      </c>
      <c r="BD915" t="e" vm="1">
        <v>#REF!</v>
      </c>
      <c r="BF915" t="e" vm="2">
        <f t="shared" si="138"/>
        <v>#VALUE!</v>
      </c>
      <c r="BG915" t="e" vm="2">
        <f t="shared" si="139"/>
        <v>#VALUE!</v>
      </c>
      <c r="BJ915" s="21" t="e" vm="1">
        <v>#REF!</v>
      </c>
      <c r="BK915" t="e" vm="1">
        <v>#REF!</v>
      </c>
      <c r="BM915" t="e" vm="2">
        <f t="shared" si="140"/>
        <v>#VALUE!</v>
      </c>
      <c r="BN915" t="e" vm="2">
        <f t="shared" si="141"/>
        <v>#VALUE!</v>
      </c>
    </row>
    <row r="916" spans="55:66" x14ac:dyDescent="0.2">
      <c r="BC916" s="21" t="e" vm="1">
        <v>#REF!</v>
      </c>
      <c r="BD916" t="e" vm="1">
        <v>#REF!</v>
      </c>
      <c r="BF916" t="e" vm="2">
        <f t="shared" si="138"/>
        <v>#VALUE!</v>
      </c>
      <c r="BG916" t="e" vm="2">
        <f t="shared" si="139"/>
        <v>#VALUE!</v>
      </c>
      <c r="BJ916" s="21" t="e" vm="1">
        <v>#REF!</v>
      </c>
      <c r="BK916" t="e" vm="1">
        <v>#REF!</v>
      </c>
      <c r="BM916" t="e" vm="2">
        <f t="shared" si="140"/>
        <v>#VALUE!</v>
      </c>
      <c r="BN916" t="e" vm="2">
        <f t="shared" si="141"/>
        <v>#VALUE!</v>
      </c>
    </row>
    <row r="917" spans="55:66" x14ac:dyDescent="0.2">
      <c r="BC917" s="21" t="e" vm="1">
        <v>#REF!</v>
      </c>
      <c r="BD917" t="e" vm="1">
        <v>#REF!</v>
      </c>
      <c r="BF917" t="e" vm="2">
        <f t="shared" si="138"/>
        <v>#VALUE!</v>
      </c>
      <c r="BG917" t="e" vm="2">
        <f t="shared" si="139"/>
        <v>#VALUE!</v>
      </c>
      <c r="BJ917" s="21" t="e" vm="1">
        <v>#REF!</v>
      </c>
      <c r="BK917" t="e" vm="1">
        <v>#REF!</v>
      </c>
      <c r="BM917" t="e" vm="2">
        <f t="shared" si="140"/>
        <v>#VALUE!</v>
      </c>
      <c r="BN917" t="e" vm="2">
        <f t="shared" si="141"/>
        <v>#VALUE!</v>
      </c>
    </row>
    <row r="918" spans="55:66" x14ac:dyDescent="0.2">
      <c r="BC918" s="21" t="e" vm="1">
        <v>#REF!</v>
      </c>
      <c r="BD918" t="e" vm="1">
        <v>#REF!</v>
      </c>
      <c r="BF918" t="e" vm="2">
        <f t="shared" si="138"/>
        <v>#VALUE!</v>
      </c>
      <c r="BG918" t="e" vm="2">
        <f t="shared" si="139"/>
        <v>#VALUE!</v>
      </c>
      <c r="BJ918" s="21" t="e" vm="1">
        <v>#REF!</v>
      </c>
      <c r="BK918" t="e" vm="1">
        <v>#REF!</v>
      </c>
      <c r="BM918" t="e" vm="2">
        <f t="shared" si="140"/>
        <v>#VALUE!</v>
      </c>
      <c r="BN918" t="e" vm="2">
        <f t="shared" si="141"/>
        <v>#VALUE!</v>
      </c>
    </row>
    <row r="919" spans="55:66" x14ac:dyDescent="0.2">
      <c r="BC919" s="21" t="e" vm="1">
        <v>#REF!</v>
      </c>
      <c r="BD919" t="e" vm="1">
        <v>#REF!</v>
      </c>
      <c r="BF919" t="e" vm="2">
        <f t="shared" si="138"/>
        <v>#VALUE!</v>
      </c>
      <c r="BG919" t="e" vm="2">
        <f t="shared" si="139"/>
        <v>#VALUE!</v>
      </c>
      <c r="BJ919" s="21" t="e" vm="1">
        <v>#REF!</v>
      </c>
      <c r="BK919" t="e" vm="1">
        <v>#REF!</v>
      </c>
      <c r="BM919" t="e" vm="2">
        <f t="shared" si="140"/>
        <v>#VALUE!</v>
      </c>
      <c r="BN919" t="e" vm="2">
        <f t="shared" si="141"/>
        <v>#VALUE!</v>
      </c>
    </row>
    <row r="920" spans="55:66" x14ac:dyDescent="0.2">
      <c r="BC920" s="21" t="e" vm="1">
        <v>#REF!</v>
      </c>
      <c r="BD920" t="e" vm="1">
        <v>#REF!</v>
      </c>
      <c r="BF920" t="e" vm="2">
        <f t="shared" si="138"/>
        <v>#VALUE!</v>
      </c>
      <c r="BG920" t="e" vm="2">
        <f t="shared" si="139"/>
        <v>#VALUE!</v>
      </c>
      <c r="BJ920" s="21" t="e" vm="1">
        <v>#REF!</v>
      </c>
      <c r="BK920" t="e" vm="1">
        <v>#REF!</v>
      </c>
      <c r="BM920" t="e" vm="2">
        <f t="shared" si="140"/>
        <v>#VALUE!</v>
      </c>
      <c r="BN920" t="e" vm="2">
        <f t="shared" si="141"/>
        <v>#VALUE!</v>
      </c>
    </row>
    <row r="921" spans="55:66" x14ac:dyDescent="0.2">
      <c r="BC921" s="21" t="e" vm="1">
        <v>#REF!</v>
      </c>
      <c r="BD921" t="e" vm="1">
        <v>#REF!</v>
      </c>
      <c r="BF921" t="e" vm="2">
        <f t="shared" si="138"/>
        <v>#VALUE!</v>
      </c>
      <c r="BG921" t="e" vm="2">
        <f t="shared" si="139"/>
        <v>#VALUE!</v>
      </c>
      <c r="BJ921" s="21" t="e" vm="1">
        <v>#REF!</v>
      </c>
      <c r="BK921" t="e" vm="1">
        <v>#REF!</v>
      </c>
      <c r="BM921" t="e" vm="2">
        <f t="shared" si="140"/>
        <v>#VALUE!</v>
      </c>
      <c r="BN921" t="e" vm="2">
        <f t="shared" si="141"/>
        <v>#VALUE!</v>
      </c>
    </row>
    <row r="922" spans="55:66" x14ac:dyDescent="0.2">
      <c r="BC922" s="21" t="e" vm="1">
        <v>#REF!</v>
      </c>
      <c r="BD922" t="e" vm="1">
        <v>#REF!</v>
      </c>
      <c r="BF922" t="e" vm="2">
        <f t="shared" si="138"/>
        <v>#VALUE!</v>
      </c>
      <c r="BG922" t="e" vm="2">
        <f t="shared" si="139"/>
        <v>#VALUE!</v>
      </c>
      <c r="BJ922" s="21" t="e" vm="1">
        <v>#REF!</v>
      </c>
      <c r="BK922" t="e" vm="1">
        <v>#REF!</v>
      </c>
      <c r="BM922" t="e" vm="2">
        <f t="shared" si="140"/>
        <v>#VALUE!</v>
      </c>
      <c r="BN922" t="e" vm="2">
        <f t="shared" si="141"/>
        <v>#VALUE!</v>
      </c>
    </row>
    <row r="923" spans="55:66" x14ac:dyDescent="0.2">
      <c r="BC923" s="21" t="e" vm="1">
        <v>#REF!</v>
      </c>
      <c r="BD923" t="e" vm="1">
        <v>#REF!</v>
      </c>
      <c r="BF923" t="e" vm="2">
        <f t="shared" si="138"/>
        <v>#VALUE!</v>
      </c>
      <c r="BG923" t="e" vm="2">
        <f t="shared" si="139"/>
        <v>#VALUE!</v>
      </c>
      <c r="BJ923" s="21" t="e" vm="1">
        <v>#REF!</v>
      </c>
      <c r="BK923" t="e" vm="1">
        <v>#REF!</v>
      </c>
      <c r="BM923" t="e" vm="2">
        <f t="shared" si="140"/>
        <v>#VALUE!</v>
      </c>
      <c r="BN923" t="e" vm="2">
        <f t="shared" si="141"/>
        <v>#VALUE!</v>
      </c>
    </row>
    <row r="924" spans="55:66" x14ac:dyDescent="0.2">
      <c r="BC924" s="21" t="e" vm="1">
        <v>#REF!</v>
      </c>
      <c r="BD924" t="e" vm="1">
        <v>#REF!</v>
      </c>
      <c r="BF924" t="e" vm="2">
        <f t="shared" si="138"/>
        <v>#VALUE!</v>
      </c>
      <c r="BG924" t="e" vm="2">
        <f t="shared" si="139"/>
        <v>#VALUE!</v>
      </c>
      <c r="BJ924" s="21" t="e" vm="1">
        <v>#REF!</v>
      </c>
      <c r="BK924" t="e" vm="1">
        <v>#REF!</v>
      </c>
      <c r="BM924" t="e" vm="2">
        <f t="shared" si="140"/>
        <v>#VALUE!</v>
      </c>
      <c r="BN924" t="e" vm="2">
        <f t="shared" si="141"/>
        <v>#VALUE!</v>
      </c>
    </row>
    <row r="925" spans="55:66" x14ac:dyDescent="0.2">
      <c r="BC925" s="21" t="e" vm="1">
        <v>#REF!</v>
      </c>
      <c r="BD925" t="e" vm="1">
        <v>#REF!</v>
      </c>
      <c r="BF925" t="e" vm="2">
        <f t="shared" si="138"/>
        <v>#VALUE!</v>
      </c>
      <c r="BG925" t="e" vm="2">
        <f t="shared" si="139"/>
        <v>#VALUE!</v>
      </c>
      <c r="BJ925" s="21" t="e" vm="1">
        <v>#REF!</v>
      </c>
      <c r="BK925" t="e" vm="1">
        <v>#REF!</v>
      </c>
      <c r="BM925" t="e" vm="2">
        <f t="shared" si="140"/>
        <v>#VALUE!</v>
      </c>
      <c r="BN925" t="e" vm="2">
        <f t="shared" si="141"/>
        <v>#VALUE!</v>
      </c>
    </row>
    <row r="926" spans="55:66" x14ac:dyDescent="0.2">
      <c r="BC926" s="21" t="e" vm="1">
        <v>#REF!</v>
      </c>
      <c r="BD926" t="e" vm="1">
        <v>#REF!</v>
      </c>
      <c r="BF926" t="e" vm="2">
        <f t="shared" si="138"/>
        <v>#VALUE!</v>
      </c>
      <c r="BG926" t="e" vm="2">
        <f t="shared" si="139"/>
        <v>#VALUE!</v>
      </c>
      <c r="BJ926" s="21" t="e" vm="1">
        <v>#REF!</v>
      </c>
      <c r="BK926" t="e" vm="1">
        <v>#REF!</v>
      </c>
      <c r="BM926" t="e" vm="2">
        <f t="shared" si="140"/>
        <v>#VALUE!</v>
      </c>
      <c r="BN926" t="e" vm="2">
        <f t="shared" si="141"/>
        <v>#VALUE!</v>
      </c>
    </row>
    <row r="927" spans="55:66" x14ac:dyDescent="0.2">
      <c r="BC927" s="21" t="e" vm="1">
        <v>#REF!</v>
      </c>
      <c r="BD927" t="e" vm="1">
        <v>#REF!</v>
      </c>
      <c r="BF927" t="e" vm="2">
        <f t="shared" si="138"/>
        <v>#VALUE!</v>
      </c>
      <c r="BG927" t="e" vm="2">
        <f t="shared" si="139"/>
        <v>#VALUE!</v>
      </c>
      <c r="BJ927" s="21" t="e" vm="1">
        <v>#REF!</v>
      </c>
      <c r="BK927" t="e" vm="1">
        <v>#REF!</v>
      </c>
      <c r="BM927" t="e" vm="2">
        <f t="shared" si="140"/>
        <v>#VALUE!</v>
      </c>
      <c r="BN927" t="e" vm="2">
        <f t="shared" si="141"/>
        <v>#VALUE!</v>
      </c>
    </row>
    <row r="928" spans="55:66" x14ac:dyDescent="0.2">
      <c r="BC928" s="21" t="e" vm="1">
        <v>#REF!</v>
      </c>
      <c r="BD928" t="e" vm="1">
        <v>#REF!</v>
      </c>
      <c r="BF928" t="e" vm="2">
        <f t="shared" si="138"/>
        <v>#VALUE!</v>
      </c>
      <c r="BG928" t="e" vm="2">
        <f t="shared" si="139"/>
        <v>#VALUE!</v>
      </c>
      <c r="BJ928" s="21" t="e" vm="1">
        <v>#REF!</v>
      </c>
      <c r="BK928" t="e" vm="1">
        <v>#REF!</v>
      </c>
      <c r="BM928" t="e" vm="2">
        <f t="shared" si="140"/>
        <v>#VALUE!</v>
      </c>
      <c r="BN928" t="e" vm="2">
        <f t="shared" si="141"/>
        <v>#VALUE!</v>
      </c>
    </row>
    <row r="929" spans="55:66" x14ac:dyDescent="0.2">
      <c r="BC929" s="21" t="e" vm="1">
        <v>#REF!</v>
      </c>
      <c r="BD929" t="e" vm="1">
        <v>#REF!</v>
      </c>
      <c r="BF929" t="e" vm="2">
        <f t="shared" si="138"/>
        <v>#VALUE!</v>
      </c>
      <c r="BG929" t="e" vm="2">
        <f t="shared" si="139"/>
        <v>#VALUE!</v>
      </c>
      <c r="BJ929" s="21" t="e" vm="1">
        <v>#REF!</v>
      </c>
      <c r="BK929" t="e" vm="1">
        <v>#REF!</v>
      </c>
      <c r="BM929" t="e" vm="2">
        <f t="shared" si="140"/>
        <v>#VALUE!</v>
      </c>
      <c r="BN929" t="e" vm="2">
        <f t="shared" si="141"/>
        <v>#VALUE!</v>
      </c>
    </row>
    <row r="930" spans="55:66" x14ac:dyDescent="0.2">
      <c r="BC930" s="21" t="e" vm="1">
        <v>#REF!</v>
      </c>
      <c r="BD930" t="e" vm="1">
        <v>#REF!</v>
      </c>
      <c r="BF930" t="e" vm="2">
        <f t="shared" si="138"/>
        <v>#VALUE!</v>
      </c>
      <c r="BG930" t="e" vm="2">
        <f t="shared" si="139"/>
        <v>#VALUE!</v>
      </c>
      <c r="BJ930" s="21" t="e" vm="1">
        <v>#REF!</v>
      </c>
      <c r="BK930" t="e" vm="1">
        <v>#REF!</v>
      </c>
      <c r="BM930" t="e" vm="2">
        <f t="shared" si="140"/>
        <v>#VALUE!</v>
      </c>
      <c r="BN930" t="e" vm="2">
        <f t="shared" si="141"/>
        <v>#VALUE!</v>
      </c>
    </row>
    <row r="931" spans="55:66" x14ac:dyDescent="0.2">
      <c r="BC931" s="21" t="e" vm="1">
        <v>#REF!</v>
      </c>
      <c r="BD931" t="e" vm="1">
        <v>#REF!</v>
      </c>
      <c r="BF931" t="e" vm="2">
        <f t="shared" si="138"/>
        <v>#VALUE!</v>
      </c>
      <c r="BG931" t="e" vm="2">
        <f t="shared" si="139"/>
        <v>#VALUE!</v>
      </c>
      <c r="BJ931" s="21" t="e" vm="1">
        <v>#REF!</v>
      </c>
      <c r="BK931" t="e" vm="1">
        <v>#REF!</v>
      </c>
      <c r="BM931" t="e" vm="2">
        <f t="shared" si="140"/>
        <v>#VALUE!</v>
      </c>
      <c r="BN931" t="e" vm="2">
        <f t="shared" si="141"/>
        <v>#VALUE!</v>
      </c>
    </row>
    <row r="932" spans="55:66" x14ac:dyDescent="0.2">
      <c r="BC932" s="21" t="e" vm="1">
        <v>#REF!</v>
      </c>
      <c r="BD932" t="e" vm="1">
        <v>#REF!</v>
      </c>
      <c r="BF932" t="e" vm="2">
        <f t="shared" si="138"/>
        <v>#VALUE!</v>
      </c>
      <c r="BG932" t="e" vm="2">
        <f t="shared" si="139"/>
        <v>#VALUE!</v>
      </c>
      <c r="BJ932" s="21" t="e" vm="1">
        <v>#REF!</v>
      </c>
      <c r="BK932" t="e" vm="1">
        <v>#REF!</v>
      </c>
      <c r="BM932" t="e" vm="2">
        <f t="shared" si="140"/>
        <v>#VALUE!</v>
      </c>
      <c r="BN932" t="e" vm="2">
        <f t="shared" si="141"/>
        <v>#VALUE!</v>
      </c>
    </row>
    <row r="933" spans="55:66" x14ac:dyDescent="0.2">
      <c r="BC933" s="21" t="e" vm="1">
        <v>#REF!</v>
      </c>
      <c r="BD933" t="e" vm="1">
        <v>#REF!</v>
      </c>
      <c r="BF933" t="e" vm="2">
        <f t="shared" si="138"/>
        <v>#VALUE!</v>
      </c>
      <c r="BG933" t="e" vm="2">
        <f t="shared" si="139"/>
        <v>#VALUE!</v>
      </c>
      <c r="BJ933" s="21" t="e" vm="1">
        <v>#REF!</v>
      </c>
      <c r="BK933" t="e" vm="1">
        <v>#REF!</v>
      </c>
      <c r="BM933" t="e" vm="2">
        <f t="shared" si="140"/>
        <v>#VALUE!</v>
      </c>
      <c r="BN933" t="e" vm="2">
        <f t="shared" si="141"/>
        <v>#VALUE!</v>
      </c>
    </row>
    <row r="934" spans="55:66" x14ac:dyDescent="0.2">
      <c r="BC934" s="21" t="e" vm="1">
        <v>#REF!</v>
      </c>
      <c r="BD934" t="e" vm="1">
        <v>#REF!</v>
      </c>
      <c r="BF934" t="e" vm="2">
        <f t="shared" si="138"/>
        <v>#VALUE!</v>
      </c>
      <c r="BG934" t="e" vm="2">
        <f t="shared" si="139"/>
        <v>#VALUE!</v>
      </c>
      <c r="BJ934" s="21" t="e" vm="1">
        <v>#REF!</v>
      </c>
      <c r="BK934" t="e" vm="1">
        <v>#REF!</v>
      </c>
      <c r="BM934" t="e" vm="2">
        <f t="shared" si="140"/>
        <v>#VALUE!</v>
      </c>
      <c r="BN934" t="e" vm="2">
        <f t="shared" si="141"/>
        <v>#VALUE!</v>
      </c>
    </row>
    <row r="935" spans="55:66" x14ac:dyDescent="0.2">
      <c r="BC935" s="21" t="e" vm="1">
        <v>#REF!</v>
      </c>
      <c r="BD935" t="e" vm="1">
        <v>#REF!</v>
      </c>
      <c r="BF935" t="e" vm="2">
        <f t="shared" si="138"/>
        <v>#VALUE!</v>
      </c>
      <c r="BG935" t="e" vm="2">
        <f t="shared" si="139"/>
        <v>#VALUE!</v>
      </c>
      <c r="BJ935" s="21" t="e" vm="1">
        <v>#REF!</v>
      </c>
      <c r="BK935" t="e" vm="1">
        <v>#REF!</v>
      </c>
      <c r="BM935" t="e" vm="2">
        <f t="shared" si="140"/>
        <v>#VALUE!</v>
      </c>
      <c r="BN935" t="e" vm="2">
        <f t="shared" si="141"/>
        <v>#VALUE!</v>
      </c>
    </row>
    <row r="936" spans="55:66" x14ac:dyDescent="0.2">
      <c r="BC936" s="21" t="e" vm="1">
        <v>#REF!</v>
      </c>
      <c r="BD936" t="e" vm="1">
        <v>#REF!</v>
      </c>
      <c r="BF936" t="e" vm="2">
        <f t="shared" si="138"/>
        <v>#VALUE!</v>
      </c>
      <c r="BG936" t="e" vm="2">
        <f t="shared" si="139"/>
        <v>#VALUE!</v>
      </c>
      <c r="BJ936" s="21" t="e" vm="1">
        <v>#REF!</v>
      </c>
      <c r="BK936" t="e" vm="1">
        <v>#REF!</v>
      </c>
      <c r="BM936" t="e" vm="2">
        <f t="shared" si="140"/>
        <v>#VALUE!</v>
      </c>
      <c r="BN936" t="e" vm="2">
        <f t="shared" si="141"/>
        <v>#VALUE!</v>
      </c>
    </row>
    <row r="937" spans="55:66" x14ac:dyDescent="0.2">
      <c r="BC937" s="21" t="e" vm="1">
        <v>#REF!</v>
      </c>
      <c r="BD937" t="e" vm="1">
        <v>#REF!</v>
      </c>
      <c r="BF937" t="e" vm="2">
        <f t="shared" si="138"/>
        <v>#VALUE!</v>
      </c>
      <c r="BG937" t="e" vm="2">
        <f t="shared" si="139"/>
        <v>#VALUE!</v>
      </c>
      <c r="BJ937" s="21" t="e" vm="1">
        <v>#REF!</v>
      </c>
      <c r="BK937" t="e" vm="1">
        <v>#REF!</v>
      </c>
      <c r="BM937" t="e" vm="2">
        <f t="shared" si="140"/>
        <v>#VALUE!</v>
      </c>
      <c r="BN937" t="e" vm="2">
        <f t="shared" si="141"/>
        <v>#VALUE!</v>
      </c>
    </row>
    <row r="938" spans="55:66" x14ac:dyDescent="0.2">
      <c r="BC938" s="21" t="e" vm="1">
        <v>#REF!</v>
      </c>
      <c r="BD938" t="e" vm="1">
        <v>#REF!</v>
      </c>
      <c r="BF938" t="e" vm="2">
        <f t="shared" si="138"/>
        <v>#VALUE!</v>
      </c>
      <c r="BG938" t="e" vm="2">
        <f t="shared" si="139"/>
        <v>#VALUE!</v>
      </c>
      <c r="BJ938" s="21" t="e" vm="1">
        <v>#REF!</v>
      </c>
      <c r="BK938" t="e" vm="1">
        <v>#REF!</v>
      </c>
      <c r="BM938" t="e" vm="2">
        <f t="shared" si="140"/>
        <v>#VALUE!</v>
      </c>
      <c r="BN938" t="e" vm="2">
        <f t="shared" si="141"/>
        <v>#VALUE!</v>
      </c>
    </row>
    <row r="939" spans="55:66" x14ac:dyDescent="0.2">
      <c r="BC939" s="21" t="e" vm="1">
        <v>#REF!</v>
      </c>
      <c r="BD939" t="e" vm="1">
        <v>#REF!</v>
      </c>
      <c r="BF939" t="e" vm="2">
        <f t="shared" si="138"/>
        <v>#VALUE!</v>
      </c>
      <c r="BG939" t="e" vm="2">
        <f t="shared" si="139"/>
        <v>#VALUE!</v>
      </c>
      <c r="BJ939" s="21" t="e" vm="1">
        <v>#REF!</v>
      </c>
      <c r="BK939" t="e" vm="1">
        <v>#REF!</v>
      </c>
      <c r="BM939" t="e" vm="2">
        <f t="shared" si="140"/>
        <v>#VALUE!</v>
      </c>
      <c r="BN939" t="e" vm="2">
        <f t="shared" si="141"/>
        <v>#VALUE!</v>
      </c>
    </row>
    <row r="940" spans="55:66" x14ac:dyDescent="0.2">
      <c r="BC940" s="21" t="e" vm="1">
        <v>#REF!</v>
      </c>
      <c r="BD940" t="e" vm="1">
        <v>#REF!</v>
      </c>
      <c r="BF940" t="e" vm="2">
        <f t="shared" si="138"/>
        <v>#VALUE!</v>
      </c>
      <c r="BG940" t="e" vm="2">
        <f t="shared" si="139"/>
        <v>#VALUE!</v>
      </c>
      <c r="BJ940" s="21" t="e" vm="1">
        <v>#REF!</v>
      </c>
      <c r="BK940" t="e" vm="1">
        <v>#REF!</v>
      </c>
      <c r="BM940" t="e" vm="2">
        <f t="shared" si="140"/>
        <v>#VALUE!</v>
      </c>
      <c r="BN940" t="e" vm="2">
        <f t="shared" si="141"/>
        <v>#VALUE!</v>
      </c>
    </row>
    <row r="941" spans="55:66" x14ac:dyDescent="0.2">
      <c r="BC941" s="21" t="e" vm="1">
        <v>#REF!</v>
      </c>
      <c r="BD941" t="e" vm="1">
        <v>#REF!</v>
      </c>
      <c r="BF941" t="e" vm="2">
        <f t="shared" si="138"/>
        <v>#VALUE!</v>
      </c>
      <c r="BG941" t="e" vm="2">
        <f t="shared" si="139"/>
        <v>#VALUE!</v>
      </c>
      <c r="BJ941" s="21" t="e" vm="1">
        <v>#REF!</v>
      </c>
      <c r="BK941" t="e" vm="1">
        <v>#REF!</v>
      </c>
      <c r="BM941" t="e" vm="2">
        <f t="shared" si="140"/>
        <v>#VALUE!</v>
      </c>
      <c r="BN941" t="e" vm="2">
        <f t="shared" si="141"/>
        <v>#VALUE!</v>
      </c>
    </row>
    <row r="942" spans="55:66" x14ac:dyDescent="0.2">
      <c r="BC942" s="21" t="e" vm="1">
        <v>#REF!</v>
      </c>
      <c r="BD942" t="e" vm="1">
        <v>#REF!</v>
      </c>
      <c r="BF942" t="e" vm="2">
        <f t="shared" si="138"/>
        <v>#VALUE!</v>
      </c>
      <c r="BG942" t="e" vm="2">
        <f t="shared" si="139"/>
        <v>#VALUE!</v>
      </c>
      <c r="BJ942" s="21" t="e" vm="1">
        <v>#REF!</v>
      </c>
      <c r="BK942" t="e" vm="1">
        <v>#REF!</v>
      </c>
      <c r="BM942" t="e" vm="2">
        <f t="shared" si="140"/>
        <v>#VALUE!</v>
      </c>
      <c r="BN942" t="e" vm="2">
        <f t="shared" si="141"/>
        <v>#VALUE!</v>
      </c>
    </row>
    <row r="943" spans="55:66" x14ac:dyDescent="0.2">
      <c r="BC943" s="21" t="e" vm="1">
        <v>#REF!</v>
      </c>
      <c r="BD943" t="e" vm="1">
        <v>#REF!</v>
      </c>
      <c r="BF943" t="e" vm="2">
        <f t="shared" si="138"/>
        <v>#VALUE!</v>
      </c>
      <c r="BG943" t="e" vm="2">
        <f t="shared" si="139"/>
        <v>#VALUE!</v>
      </c>
      <c r="BJ943" s="21" t="e" vm="1">
        <v>#REF!</v>
      </c>
      <c r="BK943" t="e" vm="1">
        <v>#REF!</v>
      </c>
      <c r="BM943" t="e" vm="2">
        <f t="shared" si="140"/>
        <v>#VALUE!</v>
      </c>
      <c r="BN943" t="e" vm="2">
        <f t="shared" si="141"/>
        <v>#VALUE!</v>
      </c>
    </row>
    <row r="944" spans="55:66" x14ac:dyDescent="0.2">
      <c r="BC944" s="21" t="e" vm="1">
        <v>#REF!</v>
      </c>
      <c r="BD944" t="e" vm="1">
        <v>#REF!</v>
      </c>
      <c r="BF944" t="e" vm="2">
        <f t="shared" si="138"/>
        <v>#VALUE!</v>
      </c>
      <c r="BG944" t="e" vm="2">
        <f t="shared" si="139"/>
        <v>#VALUE!</v>
      </c>
      <c r="BJ944" s="21" t="e" vm="1">
        <v>#REF!</v>
      </c>
      <c r="BK944" t="e" vm="1">
        <v>#REF!</v>
      </c>
      <c r="BM944" t="e" vm="2">
        <f t="shared" si="140"/>
        <v>#VALUE!</v>
      </c>
      <c r="BN944" t="e" vm="2">
        <f t="shared" si="141"/>
        <v>#VALUE!</v>
      </c>
    </row>
    <row r="945" spans="55:66" x14ac:dyDescent="0.2">
      <c r="BC945" s="21" t="e" vm="1">
        <v>#REF!</v>
      </c>
      <c r="BD945" t="e" vm="1">
        <v>#REF!</v>
      </c>
      <c r="BF945" t="e" vm="2">
        <f t="shared" si="138"/>
        <v>#VALUE!</v>
      </c>
      <c r="BG945" t="e" vm="2">
        <f t="shared" si="139"/>
        <v>#VALUE!</v>
      </c>
      <c r="BJ945" s="21" t="e" vm="1">
        <v>#REF!</v>
      </c>
      <c r="BK945" t="e" vm="1">
        <v>#REF!</v>
      </c>
      <c r="BM945" t="e" vm="2">
        <f t="shared" si="140"/>
        <v>#VALUE!</v>
      </c>
      <c r="BN945" t="e" vm="2">
        <f t="shared" si="141"/>
        <v>#VALUE!</v>
      </c>
    </row>
    <row r="946" spans="55:66" x14ac:dyDescent="0.2">
      <c r="BC946" s="21" t="e" vm="1">
        <v>#REF!</v>
      </c>
      <c r="BD946" t="e" vm="1">
        <v>#REF!</v>
      </c>
      <c r="BF946" t="e" vm="2">
        <f t="shared" si="138"/>
        <v>#VALUE!</v>
      </c>
      <c r="BG946" t="e" vm="2">
        <f t="shared" si="139"/>
        <v>#VALUE!</v>
      </c>
      <c r="BJ946" s="21" t="e" vm="1">
        <v>#REF!</v>
      </c>
      <c r="BK946" t="e" vm="1">
        <v>#REF!</v>
      </c>
      <c r="BM946" t="e" vm="2">
        <f t="shared" si="140"/>
        <v>#VALUE!</v>
      </c>
      <c r="BN946" t="e" vm="2">
        <f t="shared" si="141"/>
        <v>#VALUE!</v>
      </c>
    </row>
    <row r="947" spans="55:66" x14ac:dyDescent="0.2">
      <c r="BC947" s="21" t="e" vm="1">
        <v>#REF!</v>
      </c>
      <c r="BD947" t="e" vm="1">
        <v>#REF!</v>
      </c>
      <c r="BF947" t="e" vm="2">
        <f t="shared" si="138"/>
        <v>#VALUE!</v>
      </c>
      <c r="BG947" t="e" vm="2">
        <f t="shared" si="139"/>
        <v>#VALUE!</v>
      </c>
      <c r="BJ947" s="21" t="e" vm="1">
        <v>#REF!</v>
      </c>
      <c r="BK947" t="e" vm="1">
        <v>#REF!</v>
      </c>
      <c r="BM947" t="e" vm="2">
        <f t="shared" si="140"/>
        <v>#VALUE!</v>
      </c>
      <c r="BN947" t="e" vm="2">
        <f t="shared" si="141"/>
        <v>#VALUE!</v>
      </c>
    </row>
    <row r="948" spans="55:66" x14ac:dyDescent="0.2">
      <c r="BC948" s="21" t="e" vm="1">
        <v>#REF!</v>
      </c>
      <c r="BD948" t="e" vm="1">
        <v>#REF!</v>
      </c>
      <c r="BF948" t="e" vm="2">
        <f t="shared" si="138"/>
        <v>#VALUE!</v>
      </c>
      <c r="BG948" t="e" vm="2">
        <f t="shared" si="139"/>
        <v>#VALUE!</v>
      </c>
      <c r="BJ948" s="21" t="e" vm="1">
        <v>#REF!</v>
      </c>
      <c r="BK948" t="e" vm="1">
        <v>#REF!</v>
      </c>
      <c r="BM948" t="e" vm="2">
        <f t="shared" si="140"/>
        <v>#VALUE!</v>
      </c>
      <c r="BN948" t="e" vm="2">
        <f t="shared" si="141"/>
        <v>#VALUE!</v>
      </c>
    </row>
    <row r="949" spans="55:66" x14ac:dyDescent="0.2">
      <c r="BC949" s="21" t="e" vm="1">
        <v>#REF!</v>
      </c>
      <c r="BD949" t="e" vm="1">
        <v>#REF!</v>
      </c>
      <c r="BF949" t="e" vm="2">
        <f t="shared" si="138"/>
        <v>#VALUE!</v>
      </c>
      <c r="BG949" t="e" vm="2">
        <f t="shared" si="139"/>
        <v>#VALUE!</v>
      </c>
      <c r="BJ949" s="21" t="e" vm="1">
        <v>#REF!</v>
      </c>
      <c r="BK949" t="e" vm="1">
        <v>#REF!</v>
      </c>
      <c r="BM949" t="e" vm="2">
        <f t="shared" si="140"/>
        <v>#VALUE!</v>
      </c>
      <c r="BN949" t="e" vm="2">
        <f t="shared" si="141"/>
        <v>#VALUE!</v>
      </c>
    </row>
    <row r="950" spans="55:66" x14ac:dyDescent="0.2">
      <c r="BC950" s="21" t="e" vm="1">
        <v>#REF!</v>
      </c>
      <c r="BD950" t="e" vm="1">
        <v>#REF!</v>
      </c>
      <c r="BF950" t="e" vm="2">
        <f t="shared" si="138"/>
        <v>#VALUE!</v>
      </c>
      <c r="BG950" t="e" vm="2">
        <f t="shared" si="139"/>
        <v>#VALUE!</v>
      </c>
      <c r="BJ950" s="21" t="e" vm="1">
        <v>#REF!</v>
      </c>
      <c r="BK950" t="e" vm="1">
        <v>#REF!</v>
      </c>
      <c r="BM950" t="e" vm="2">
        <f t="shared" si="140"/>
        <v>#VALUE!</v>
      </c>
      <c r="BN950" t="e" vm="2">
        <f t="shared" si="141"/>
        <v>#VALUE!</v>
      </c>
    </row>
    <row r="951" spans="55:66" x14ac:dyDescent="0.2">
      <c r="BC951" s="21" t="e" vm="1">
        <v>#REF!</v>
      </c>
      <c r="BD951" t="e" vm="1">
        <v>#REF!</v>
      </c>
      <c r="BF951" t="e" vm="2">
        <f t="shared" si="138"/>
        <v>#VALUE!</v>
      </c>
      <c r="BG951" t="e" vm="2">
        <f t="shared" si="139"/>
        <v>#VALUE!</v>
      </c>
      <c r="BJ951" s="21" t="e" vm="1">
        <v>#REF!</v>
      </c>
      <c r="BK951" t="e" vm="1">
        <v>#REF!</v>
      </c>
      <c r="BM951" t="e" vm="2">
        <f t="shared" si="140"/>
        <v>#VALUE!</v>
      </c>
      <c r="BN951" t="e" vm="2">
        <f t="shared" si="141"/>
        <v>#VALUE!</v>
      </c>
    </row>
    <row r="952" spans="55:66" x14ac:dyDescent="0.2">
      <c r="BC952" s="21" t="e" vm="1">
        <v>#REF!</v>
      </c>
      <c r="BD952" t="e" vm="1">
        <v>#REF!</v>
      </c>
      <c r="BF952" t="e" vm="2">
        <f t="shared" si="138"/>
        <v>#VALUE!</v>
      </c>
      <c r="BG952" t="e" vm="2">
        <f t="shared" si="139"/>
        <v>#VALUE!</v>
      </c>
      <c r="BJ952" s="21" t="e" vm="1">
        <v>#REF!</v>
      </c>
      <c r="BK952" t="e" vm="1">
        <v>#REF!</v>
      </c>
      <c r="BM952" t="e" vm="2">
        <f t="shared" si="140"/>
        <v>#VALUE!</v>
      </c>
      <c r="BN952" t="e" vm="2">
        <f t="shared" si="141"/>
        <v>#VALUE!</v>
      </c>
    </row>
    <row r="953" spans="55:66" x14ac:dyDescent="0.2">
      <c r="BC953" s="21" t="e" vm="1">
        <v>#REF!</v>
      </c>
      <c r="BD953" t="e" vm="1">
        <v>#REF!</v>
      </c>
      <c r="BF953" t="e" vm="2">
        <f t="shared" si="138"/>
        <v>#VALUE!</v>
      </c>
      <c r="BG953" t="e" vm="2">
        <f t="shared" si="139"/>
        <v>#VALUE!</v>
      </c>
      <c r="BJ953" s="21" t="e" vm="1">
        <v>#REF!</v>
      </c>
      <c r="BK953" t="e" vm="1">
        <v>#REF!</v>
      </c>
      <c r="BM953" t="e" vm="2">
        <f t="shared" si="140"/>
        <v>#VALUE!</v>
      </c>
      <c r="BN953" t="e" vm="2">
        <f t="shared" si="141"/>
        <v>#VALUE!</v>
      </c>
    </row>
    <row r="954" spans="55:66" x14ac:dyDescent="0.2">
      <c r="BC954" s="21" t="e" vm="1">
        <v>#REF!</v>
      </c>
      <c r="BD954" t="e" vm="1">
        <v>#REF!</v>
      </c>
      <c r="BF954" t="e" vm="2">
        <f t="shared" si="138"/>
        <v>#VALUE!</v>
      </c>
      <c r="BG954" t="e" vm="2">
        <f t="shared" si="139"/>
        <v>#VALUE!</v>
      </c>
      <c r="BJ954" s="21" t="e" vm="1">
        <v>#REF!</v>
      </c>
      <c r="BK954" t="e" vm="1">
        <v>#REF!</v>
      </c>
      <c r="BM954" t="e" vm="2">
        <f t="shared" si="140"/>
        <v>#VALUE!</v>
      </c>
      <c r="BN954" t="e" vm="2">
        <f t="shared" si="141"/>
        <v>#VALUE!</v>
      </c>
    </row>
    <row r="955" spans="55:66" x14ac:dyDescent="0.2">
      <c r="BC955" s="21" t="e" vm="1">
        <v>#REF!</v>
      </c>
      <c r="BD955" t="e" vm="1">
        <v>#REF!</v>
      </c>
      <c r="BF955" t="e" vm="2">
        <f t="shared" si="138"/>
        <v>#VALUE!</v>
      </c>
      <c r="BG955" t="e" vm="2">
        <f t="shared" si="139"/>
        <v>#VALUE!</v>
      </c>
      <c r="BJ955" s="21" t="e" vm="1">
        <v>#REF!</v>
      </c>
      <c r="BK955" t="e" vm="1">
        <v>#REF!</v>
      </c>
      <c r="BM955" t="e" vm="2">
        <f t="shared" si="140"/>
        <v>#VALUE!</v>
      </c>
      <c r="BN955" t="e" vm="2">
        <f t="shared" si="141"/>
        <v>#VALUE!</v>
      </c>
    </row>
    <row r="956" spans="55:66" x14ac:dyDescent="0.2">
      <c r="BC956" s="21" t="e" vm="1">
        <v>#REF!</v>
      </c>
      <c r="BD956" t="e" vm="1">
        <v>#REF!</v>
      </c>
      <c r="BF956" t="e" vm="2">
        <f t="shared" si="138"/>
        <v>#VALUE!</v>
      </c>
      <c r="BG956" t="e" vm="2">
        <f t="shared" si="139"/>
        <v>#VALUE!</v>
      </c>
      <c r="BJ956" s="21" t="e" vm="1">
        <v>#REF!</v>
      </c>
      <c r="BK956" t="e" vm="1">
        <v>#REF!</v>
      </c>
      <c r="BM956" t="e" vm="2">
        <f t="shared" si="140"/>
        <v>#VALUE!</v>
      </c>
      <c r="BN956" t="e" vm="2">
        <f t="shared" si="141"/>
        <v>#VALUE!</v>
      </c>
    </row>
    <row r="957" spans="55:66" x14ac:dyDescent="0.2">
      <c r="BC957" s="21" t="e" vm="1">
        <v>#REF!</v>
      </c>
      <c r="BD957" t="e" vm="1">
        <v>#REF!</v>
      </c>
      <c r="BF957" t="e" vm="2">
        <f t="shared" si="138"/>
        <v>#VALUE!</v>
      </c>
      <c r="BG957" t="e" vm="2">
        <f t="shared" si="139"/>
        <v>#VALUE!</v>
      </c>
      <c r="BJ957" s="21" t="e" vm="1">
        <v>#REF!</v>
      </c>
      <c r="BK957" t="e" vm="1">
        <v>#REF!</v>
      </c>
      <c r="BM957" t="e" vm="2">
        <f t="shared" si="140"/>
        <v>#VALUE!</v>
      </c>
      <c r="BN957" t="e" vm="2">
        <f t="shared" si="141"/>
        <v>#VALUE!</v>
      </c>
    </row>
    <row r="958" spans="55:66" x14ac:dyDescent="0.2">
      <c r="BC958" s="21" t="e" vm="1">
        <v>#REF!</v>
      </c>
      <c r="BD958" t="e" vm="1">
        <v>#REF!</v>
      </c>
      <c r="BF958" t="e" vm="2">
        <f t="shared" si="138"/>
        <v>#VALUE!</v>
      </c>
      <c r="BG958" t="e" vm="2">
        <f t="shared" si="139"/>
        <v>#VALUE!</v>
      </c>
      <c r="BJ958" s="21" t="e" vm="1">
        <v>#REF!</v>
      </c>
      <c r="BK958" t="e" vm="1">
        <v>#REF!</v>
      </c>
      <c r="BM958" t="e" vm="2">
        <f t="shared" si="140"/>
        <v>#VALUE!</v>
      </c>
      <c r="BN958" t="e" vm="2">
        <f t="shared" si="141"/>
        <v>#VALUE!</v>
      </c>
    </row>
    <row r="959" spans="55:66" x14ac:dyDescent="0.2">
      <c r="BC959" s="21" t="e" vm="1">
        <v>#REF!</v>
      </c>
      <c r="BD959" t="e" vm="1">
        <v>#REF!</v>
      </c>
      <c r="BF959" t="e" vm="2">
        <f t="shared" si="138"/>
        <v>#VALUE!</v>
      </c>
      <c r="BG959" t="e" vm="2">
        <f t="shared" si="139"/>
        <v>#VALUE!</v>
      </c>
      <c r="BJ959" s="21" t="e" vm="1">
        <v>#REF!</v>
      </c>
      <c r="BK959" t="e" vm="1">
        <v>#REF!</v>
      </c>
      <c r="BM959" t="e" vm="2">
        <f t="shared" si="140"/>
        <v>#VALUE!</v>
      </c>
      <c r="BN959" t="e" vm="2">
        <f t="shared" si="141"/>
        <v>#VALUE!</v>
      </c>
    </row>
    <row r="960" spans="55:66" x14ac:dyDescent="0.2">
      <c r="BC960" s="21" t="e" vm="1">
        <v>#REF!</v>
      </c>
      <c r="BD960" t="e" vm="1">
        <v>#REF!</v>
      </c>
      <c r="BF960" t="e" vm="2">
        <f t="shared" si="138"/>
        <v>#VALUE!</v>
      </c>
      <c r="BG960" t="e" vm="2">
        <f t="shared" si="139"/>
        <v>#VALUE!</v>
      </c>
      <c r="BJ960" s="21" t="e" vm="1">
        <v>#REF!</v>
      </c>
      <c r="BK960" t="e" vm="1">
        <v>#REF!</v>
      </c>
      <c r="BM960" t="e" vm="2">
        <f t="shared" si="140"/>
        <v>#VALUE!</v>
      </c>
      <c r="BN960" t="e" vm="2">
        <f t="shared" si="141"/>
        <v>#VALUE!</v>
      </c>
    </row>
    <row r="961" spans="55:66" x14ac:dyDescent="0.2">
      <c r="BC961" s="21" t="e" vm="1">
        <v>#REF!</v>
      </c>
      <c r="BD961" t="e" vm="1">
        <v>#REF!</v>
      </c>
      <c r="BF961" t="e" vm="2">
        <f t="shared" si="138"/>
        <v>#VALUE!</v>
      </c>
      <c r="BG961" t="e" vm="2">
        <f t="shared" si="139"/>
        <v>#VALUE!</v>
      </c>
      <c r="BJ961" s="21" t="e" vm="1">
        <v>#REF!</v>
      </c>
      <c r="BK961" t="e" vm="1">
        <v>#REF!</v>
      </c>
      <c r="BM961" t="e" vm="2">
        <f t="shared" si="140"/>
        <v>#VALUE!</v>
      </c>
      <c r="BN961" t="e" vm="2">
        <f t="shared" si="141"/>
        <v>#VALUE!</v>
      </c>
    </row>
    <row r="962" spans="55:66" x14ac:dyDescent="0.2">
      <c r="BC962" s="21" t="e" vm="1">
        <v>#REF!</v>
      </c>
      <c r="BD962" t="e" vm="1">
        <v>#REF!</v>
      </c>
      <c r="BF962" t="e" vm="2">
        <f t="shared" si="138"/>
        <v>#VALUE!</v>
      </c>
      <c r="BG962" t="e" vm="2">
        <f t="shared" si="139"/>
        <v>#VALUE!</v>
      </c>
      <c r="BJ962" s="21" t="e" vm="1">
        <v>#REF!</v>
      </c>
      <c r="BK962" t="e" vm="1">
        <v>#REF!</v>
      </c>
      <c r="BM962" t="e" vm="2">
        <f t="shared" si="140"/>
        <v>#VALUE!</v>
      </c>
      <c r="BN962" t="e" vm="2">
        <f t="shared" si="141"/>
        <v>#VALUE!</v>
      </c>
    </row>
    <row r="963" spans="55:66" x14ac:dyDescent="0.2">
      <c r="BC963" s="21" t="e" vm="1">
        <v>#REF!</v>
      </c>
      <c r="BD963" t="e" vm="1">
        <v>#REF!</v>
      </c>
      <c r="BF963" t="e" vm="2">
        <f t="shared" ref="BF963:BF1026" si="142">MONTH(BC963)</f>
        <v>#VALUE!</v>
      </c>
      <c r="BG963" t="e" vm="2">
        <f t="shared" ref="BG963:BG1026" si="143">YEAR(BC963)</f>
        <v>#VALUE!</v>
      </c>
      <c r="BJ963" s="21" t="e" vm="1">
        <v>#REF!</v>
      </c>
      <c r="BK963" t="e" vm="1">
        <v>#REF!</v>
      </c>
      <c r="BM963" t="e" vm="2">
        <f t="shared" si="140"/>
        <v>#VALUE!</v>
      </c>
      <c r="BN963" t="e" vm="2">
        <f t="shared" si="141"/>
        <v>#VALUE!</v>
      </c>
    </row>
    <row r="964" spans="55:66" x14ac:dyDescent="0.2">
      <c r="BC964" s="21" t="e" vm="1">
        <v>#REF!</v>
      </c>
      <c r="BD964" t="e" vm="1">
        <v>#REF!</v>
      </c>
      <c r="BF964" t="e" vm="2">
        <f t="shared" si="142"/>
        <v>#VALUE!</v>
      </c>
      <c r="BG964" t="e" vm="2">
        <f t="shared" si="143"/>
        <v>#VALUE!</v>
      </c>
      <c r="BJ964" s="21" t="e" vm="1">
        <v>#REF!</v>
      </c>
      <c r="BK964" t="e" vm="1">
        <v>#REF!</v>
      </c>
      <c r="BM964" t="e" vm="2">
        <f t="shared" ref="BM964:BM1027" si="144">MONTH(BJ964)</f>
        <v>#VALUE!</v>
      </c>
      <c r="BN964" t="e" vm="2">
        <f t="shared" ref="BN964:BN1027" si="145">YEAR(BJ964)</f>
        <v>#VALUE!</v>
      </c>
    </row>
    <row r="965" spans="55:66" x14ac:dyDescent="0.2">
      <c r="BC965" s="21" t="e" vm="1">
        <v>#REF!</v>
      </c>
      <c r="BD965" t="e" vm="1">
        <v>#REF!</v>
      </c>
      <c r="BF965" t="e" vm="2">
        <f t="shared" si="142"/>
        <v>#VALUE!</v>
      </c>
      <c r="BG965" t="e" vm="2">
        <f t="shared" si="143"/>
        <v>#VALUE!</v>
      </c>
      <c r="BJ965" s="21" t="e" vm="1">
        <v>#REF!</v>
      </c>
      <c r="BK965" t="e" vm="1">
        <v>#REF!</v>
      </c>
      <c r="BM965" t="e" vm="2">
        <f t="shared" si="144"/>
        <v>#VALUE!</v>
      </c>
      <c r="BN965" t="e" vm="2">
        <f t="shared" si="145"/>
        <v>#VALUE!</v>
      </c>
    </row>
    <row r="966" spans="55:66" x14ac:dyDescent="0.2">
      <c r="BC966" s="21" t="e" vm="1">
        <v>#REF!</v>
      </c>
      <c r="BD966" t="e" vm="1">
        <v>#REF!</v>
      </c>
      <c r="BF966" t="e" vm="2">
        <f t="shared" si="142"/>
        <v>#VALUE!</v>
      </c>
      <c r="BG966" t="e" vm="2">
        <f t="shared" si="143"/>
        <v>#VALUE!</v>
      </c>
      <c r="BJ966" s="21" t="e" vm="1">
        <v>#REF!</v>
      </c>
      <c r="BK966" t="e" vm="1">
        <v>#REF!</v>
      </c>
      <c r="BM966" t="e" vm="2">
        <f t="shared" si="144"/>
        <v>#VALUE!</v>
      </c>
      <c r="BN966" t="e" vm="2">
        <f t="shared" si="145"/>
        <v>#VALUE!</v>
      </c>
    </row>
    <row r="967" spans="55:66" x14ac:dyDescent="0.2">
      <c r="BC967" s="21" t="e" vm="1">
        <v>#REF!</v>
      </c>
      <c r="BD967" t="e" vm="1">
        <v>#REF!</v>
      </c>
      <c r="BF967" t="e" vm="2">
        <f t="shared" si="142"/>
        <v>#VALUE!</v>
      </c>
      <c r="BG967" t="e" vm="2">
        <f t="shared" si="143"/>
        <v>#VALUE!</v>
      </c>
      <c r="BJ967" s="21" t="e" vm="1">
        <v>#REF!</v>
      </c>
      <c r="BK967" t="e" vm="1">
        <v>#REF!</v>
      </c>
      <c r="BM967" t="e" vm="2">
        <f t="shared" si="144"/>
        <v>#VALUE!</v>
      </c>
      <c r="BN967" t="e" vm="2">
        <f t="shared" si="145"/>
        <v>#VALUE!</v>
      </c>
    </row>
    <row r="968" spans="55:66" x14ac:dyDescent="0.2">
      <c r="BC968" s="21" t="e" vm="1">
        <v>#REF!</v>
      </c>
      <c r="BD968" t="e" vm="1">
        <v>#REF!</v>
      </c>
      <c r="BF968" t="e" vm="2">
        <f t="shared" si="142"/>
        <v>#VALUE!</v>
      </c>
      <c r="BG968" t="e" vm="2">
        <f t="shared" si="143"/>
        <v>#VALUE!</v>
      </c>
      <c r="BJ968" s="21" t="e" vm="1">
        <v>#REF!</v>
      </c>
      <c r="BK968" t="e" vm="1">
        <v>#REF!</v>
      </c>
      <c r="BM968" t="e" vm="2">
        <f t="shared" si="144"/>
        <v>#VALUE!</v>
      </c>
      <c r="BN968" t="e" vm="2">
        <f t="shared" si="145"/>
        <v>#VALUE!</v>
      </c>
    </row>
    <row r="969" spans="55:66" x14ac:dyDescent="0.2">
      <c r="BC969" s="21" t="e" vm="1">
        <v>#REF!</v>
      </c>
      <c r="BD969" t="e" vm="1">
        <v>#REF!</v>
      </c>
      <c r="BF969" t="e" vm="2">
        <f t="shared" si="142"/>
        <v>#VALUE!</v>
      </c>
      <c r="BG969" t="e" vm="2">
        <f t="shared" si="143"/>
        <v>#VALUE!</v>
      </c>
      <c r="BJ969" s="21" t="e" vm="1">
        <v>#REF!</v>
      </c>
      <c r="BK969" t="e" vm="1">
        <v>#REF!</v>
      </c>
      <c r="BM969" t="e" vm="2">
        <f t="shared" si="144"/>
        <v>#VALUE!</v>
      </c>
      <c r="BN969" t="e" vm="2">
        <f t="shared" si="145"/>
        <v>#VALUE!</v>
      </c>
    </row>
    <row r="970" spans="55:66" x14ac:dyDescent="0.2">
      <c r="BC970" s="21" t="e" vm="1">
        <v>#REF!</v>
      </c>
      <c r="BD970" t="e" vm="1">
        <v>#REF!</v>
      </c>
      <c r="BF970" t="e" vm="2">
        <f t="shared" si="142"/>
        <v>#VALUE!</v>
      </c>
      <c r="BG970" t="e" vm="2">
        <f t="shared" si="143"/>
        <v>#VALUE!</v>
      </c>
      <c r="BJ970" s="21" t="e" vm="1">
        <v>#REF!</v>
      </c>
      <c r="BK970" t="e" vm="1">
        <v>#REF!</v>
      </c>
      <c r="BM970" t="e" vm="2">
        <f t="shared" si="144"/>
        <v>#VALUE!</v>
      </c>
      <c r="BN970" t="e" vm="2">
        <f t="shared" si="145"/>
        <v>#VALUE!</v>
      </c>
    </row>
    <row r="971" spans="55:66" x14ac:dyDescent="0.2">
      <c r="BC971" s="21" t="e" vm="1">
        <v>#REF!</v>
      </c>
      <c r="BD971" t="e" vm="1">
        <v>#REF!</v>
      </c>
      <c r="BF971" t="e" vm="2">
        <f t="shared" si="142"/>
        <v>#VALUE!</v>
      </c>
      <c r="BG971" t="e" vm="2">
        <f t="shared" si="143"/>
        <v>#VALUE!</v>
      </c>
      <c r="BJ971" s="21" t="e" vm="1">
        <v>#REF!</v>
      </c>
      <c r="BK971" t="e" vm="1">
        <v>#REF!</v>
      </c>
      <c r="BM971" t="e" vm="2">
        <f t="shared" si="144"/>
        <v>#VALUE!</v>
      </c>
      <c r="BN971" t="e" vm="2">
        <f t="shared" si="145"/>
        <v>#VALUE!</v>
      </c>
    </row>
    <row r="972" spans="55:66" x14ac:dyDescent="0.2">
      <c r="BC972" s="21" t="e" vm="1">
        <v>#REF!</v>
      </c>
      <c r="BD972" t="e" vm="1">
        <v>#REF!</v>
      </c>
      <c r="BF972" t="e" vm="2">
        <f t="shared" si="142"/>
        <v>#VALUE!</v>
      </c>
      <c r="BG972" t="e" vm="2">
        <f t="shared" si="143"/>
        <v>#VALUE!</v>
      </c>
      <c r="BJ972" s="21" t="e" vm="1">
        <v>#REF!</v>
      </c>
      <c r="BK972" t="e" vm="1">
        <v>#REF!</v>
      </c>
      <c r="BM972" t="e" vm="2">
        <f t="shared" si="144"/>
        <v>#VALUE!</v>
      </c>
      <c r="BN972" t="e" vm="2">
        <f t="shared" si="145"/>
        <v>#VALUE!</v>
      </c>
    </row>
    <row r="973" spans="55:66" x14ac:dyDescent="0.2">
      <c r="BC973" s="21" t="e" vm="1">
        <v>#REF!</v>
      </c>
      <c r="BD973" t="e" vm="1">
        <v>#REF!</v>
      </c>
      <c r="BF973" t="e" vm="2">
        <f t="shared" si="142"/>
        <v>#VALUE!</v>
      </c>
      <c r="BG973" t="e" vm="2">
        <f t="shared" si="143"/>
        <v>#VALUE!</v>
      </c>
      <c r="BJ973" s="21" t="e" vm="1">
        <v>#REF!</v>
      </c>
      <c r="BK973" t="e" vm="1">
        <v>#REF!</v>
      </c>
      <c r="BM973" t="e" vm="2">
        <f t="shared" si="144"/>
        <v>#VALUE!</v>
      </c>
      <c r="BN973" t="e" vm="2">
        <f t="shared" si="145"/>
        <v>#VALUE!</v>
      </c>
    </row>
    <row r="974" spans="55:66" x14ac:dyDescent="0.2">
      <c r="BC974" s="21" t="e" vm="1">
        <v>#REF!</v>
      </c>
      <c r="BD974" t="e" vm="1">
        <v>#REF!</v>
      </c>
      <c r="BF974" t="e" vm="2">
        <f t="shared" si="142"/>
        <v>#VALUE!</v>
      </c>
      <c r="BG974" t="e" vm="2">
        <f t="shared" si="143"/>
        <v>#VALUE!</v>
      </c>
      <c r="BJ974" s="21" t="e" vm="1">
        <v>#REF!</v>
      </c>
      <c r="BK974" t="e" vm="1">
        <v>#REF!</v>
      </c>
      <c r="BM974" t="e" vm="2">
        <f t="shared" si="144"/>
        <v>#VALUE!</v>
      </c>
      <c r="BN974" t="e" vm="2">
        <f t="shared" si="145"/>
        <v>#VALUE!</v>
      </c>
    </row>
    <row r="975" spans="55:66" x14ac:dyDescent="0.2">
      <c r="BC975" s="21" t="e" vm="1">
        <v>#REF!</v>
      </c>
      <c r="BD975" t="e" vm="1">
        <v>#REF!</v>
      </c>
      <c r="BF975" t="e" vm="2">
        <f t="shared" si="142"/>
        <v>#VALUE!</v>
      </c>
      <c r="BG975" t="e" vm="2">
        <f t="shared" si="143"/>
        <v>#VALUE!</v>
      </c>
      <c r="BJ975" s="21" t="e" vm="1">
        <v>#REF!</v>
      </c>
      <c r="BK975" t="e" vm="1">
        <v>#REF!</v>
      </c>
      <c r="BM975" t="e" vm="2">
        <f t="shared" si="144"/>
        <v>#VALUE!</v>
      </c>
      <c r="BN975" t="e" vm="2">
        <f t="shared" si="145"/>
        <v>#VALUE!</v>
      </c>
    </row>
    <row r="976" spans="55:66" x14ac:dyDescent="0.2">
      <c r="BC976" s="21" t="e" vm="1">
        <v>#REF!</v>
      </c>
      <c r="BD976" t="e" vm="1">
        <v>#REF!</v>
      </c>
      <c r="BF976" t="e" vm="2">
        <f t="shared" si="142"/>
        <v>#VALUE!</v>
      </c>
      <c r="BG976" t="e" vm="2">
        <f t="shared" si="143"/>
        <v>#VALUE!</v>
      </c>
      <c r="BJ976" s="21" t="e" vm="1">
        <v>#REF!</v>
      </c>
      <c r="BK976" t="e" vm="1">
        <v>#REF!</v>
      </c>
      <c r="BM976" t="e" vm="2">
        <f t="shared" si="144"/>
        <v>#VALUE!</v>
      </c>
      <c r="BN976" t="e" vm="2">
        <f t="shared" si="145"/>
        <v>#VALUE!</v>
      </c>
    </row>
    <row r="977" spans="55:66" x14ac:dyDescent="0.2">
      <c r="BC977" s="21" t="e" vm="1">
        <v>#REF!</v>
      </c>
      <c r="BD977" t="e" vm="1">
        <v>#REF!</v>
      </c>
      <c r="BF977" t="e" vm="2">
        <f t="shared" si="142"/>
        <v>#VALUE!</v>
      </c>
      <c r="BG977" t="e" vm="2">
        <f t="shared" si="143"/>
        <v>#VALUE!</v>
      </c>
      <c r="BJ977" s="21" t="e" vm="1">
        <v>#REF!</v>
      </c>
      <c r="BK977" t="e" vm="1">
        <v>#REF!</v>
      </c>
      <c r="BM977" t="e" vm="2">
        <f t="shared" si="144"/>
        <v>#VALUE!</v>
      </c>
      <c r="BN977" t="e" vm="2">
        <f t="shared" si="145"/>
        <v>#VALUE!</v>
      </c>
    </row>
    <row r="978" spans="55:66" x14ac:dyDescent="0.2">
      <c r="BC978" s="21" t="e" vm="1">
        <v>#REF!</v>
      </c>
      <c r="BD978" t="e" vm="1">
        <v>#REF!</v>
      </c>
      <c r="BF978" t="e" vm="2">
        <f t="shared" si="142"/>
        <v>#VALUE!</v>
      </c>
      <c r="BG978" t="e" vm="2">
        <f t="shared" si="143"/>
        <v>#VALUE!</v>
      </c>
      <c r="BJ978" s="21" t="e" vm="1">
        <v>#REF!</v>
      </c>
      <c r="BK978" t="e" vm="1">
        <v>#REF!</v>
      </c>
      <c r="BM978" t="e" vm="2">
        <f t="shared" si="144"/>
        <v>#VALUE!</v>
      </c>
      <c r="BN978" t="e" vm="2">
        <f t="shared" si="145"/>
        <v>#VALUE!</v>
      </c>
    </row>
    <row r="979" spans="55:66" x14ac:dyDescent="0.2">
      <c r="BC979" s="21" t="e" vm="1">
        <v>#REF!</v>
      </c>
      <c r="BD979" t="e" vm="1">
        <v>#REF!</v>
      </c>
      <c r="BF979" t="e" vm="2">
        <f t="shared" si="142"/>
        <v>#VALUE!</v>
      </c>
      <c r="BG979" t="e" vm="2">
        <f t="shared" si="143"/>
        <v>#VALUE!</v>
      </c>
      <c r="BJ979" s="21" t="e" vm="1">
        <v>#REF!</v>
      </c>
      <c r="BK979" t="e" vm="1">
        <v>#REF!</v>
      </c>
      <c r="BM979" t="e" vm="2">
        <f t="shared" si="144"/>
        <v>#VALUE!</v>
      </c>
      <c r="BN979" t="e" vm="2">
        <f t="shared" si="145"/>
        <v>#VALUE!</v>
      </c>
    </row>
    <row r="980" spans="55:66" x14ac:dyDescent="0.2">
      <c r="BC980" s="21" t="e" vm="1">
        <v>#REF!</v>
      </c>
      <c r="BD980" t="e" vm="1">
        <v>#REF!</v>
      </c>
      <c r="BF980" t="e" vm="2">
        <f t="shared" si="142"/>
        <v>#VALUE!</v>
      </c>
      <c r="BG980" t="e" vm="2">
        <f t="shared" si="143"/>
        <v>#VALUE!</v>
      </c>
      <c r="BJ980" s="21" t="e" vm="1">
        <v>#REF!</v>
      </c>
      <c r="BK980" t="e" vm="1">
        <v>#REF!</v>
      </c>
      <c r="BM980" t="e" vm="2">
        <f t="shared" si="144"/>
        <v>#VALUE!</v>
      </c>
      <c r="BN980" t="e" vm="2">
        <f t="shared" si="145"/>
        <v>#VALUE!</v>
      </c>
    </row>
    <row r="981" spans="55:66" x14ac:dyDescent="0.2">
      <c r="BC981" s="21" t="e" vm="1">
        <v>#REF!</v>
      </c>
      <c r="BD981" t="e" vm="1">
        <v>#REF!</v>
      </c>
      <c r="BF981" t="e" vm="2">
        <f t="shared" si="142"/>
        <v>#VALUE!</v>
      </c>
      <c r="BG981" t="e" vm="2">
        <f t="shared" si="143"/>
        <v>#VALUE!</v>
      </c>
      <c r="BJ981" s="21" t="e" vm="1">
        <v>#REF!</v>
      </c>
      <c r="BK981" t="e" vm="1">
        <v>#REF!</v>
      </c>
      <c r="BM981" t="e" vm="2">
        <f t="shared" si="144"/>
        <v>#VALUE!</v>
      </c>
      <c r="BN981" t="e" vm="2">
        <f t="shared" si="145"/>
        <v>#VALUE!</v>
      </c>
    </row>
    <row r="982" spans="55:66" x14ac:dyDescent="0.2">
      <c r="BC982" s="21" t="e" vm="1">
        <v>#REF!</v>
      </c>
      <c r="BD982" t="e" vm="1">
        <v>#REF!</v>
      </c>
      <c r="BF982" t="e" vm="2">
        <f t="shared" si="142"/>
        <v>#VALUE!</v>
      </c>
      <c r="BG982" t="e" vm="2">
        <f t="shared" si="143"/>
        <v>#VALUE!</v>
      </c>
      <c r="BJ982" s="21" t="e" vm="1">
        <v>#REF!</v>
      </c>
      <c r="BK982" t="e" vm="1">
        <v>#REF!</v>
      </c>
      <c r="BM982" t="e" vm="2">
        <f t="shared" si="144"/>
        <v>#VALUE!</v>
      </c>
      <c r="BN982" t="e" vm="2">
        <f t="shared" si="145"/>
        <v>#VALUE!</v>
      </c>
    </row>
    <row r="983" spans="55:66" x14ac:dyDescent="0.2">
      <c r="BC983" s="21" t="e" vm="1">
        <v>#REF!</v>
      </c>
      <c r="BD983" t="e" vm="1">
        <v>#REF!</v>
      </c>
      <c r="BF983" t="e" vm="2">
        <f t="shared" si="142"/>
        <v>#VALUE!</v>
      </c>
      <c r="BG983" t="e" vm="2">
        <f t="shared" si="143"/>
        <v>#VALUE!</v>
      </c>
      <c r="BJ983" s="21" t="e" vm="1">
        <v>#REF!</v>
      </c>
      <c r="BK983" t="e" vm="1">
        <v>#REF!</v>
      </c>
      <c r="BM983" t="e" vm="2">
        <f t="shared" si="144"/>
        <v>#VALUE!</v>
      </c>
      <c r="BN983" t="e" vm="2">
        <f t="shared" si="145"/>
        <v>#VALUE!</v>
      </c>
    </row>
    <row r="984" spans="55:66" x14ac:dyDescent="0.2">
      <c r="BC984" s="21" t="e" vm="1">
        <v>#REF!</v>
      </c>
      <c r="BD984" t="e" vm="1">
        <v>#REF!</v>
      </c>
      <c r="BF984" t="e" vm="2">
        <f t="shared" si="142"/>
        <v>#VALUE!</v>
      </c>
      <c r="BG984" t="e" vm="2">
        <f t="shared" si="143"/>
        <v>#VALUE!</v>
      </c>
      <c r="BJ984" s="21" t="e" vm="1">
        <v>#REF!</v>
      </c>
      <c r="BK984" t="e" vm="1">
        <v>#REF!</v>
      </c>
      <c r="BM984" t="e" vm="2">
        <f t="shared" si="144"/>
        <v>#VALUE!</v>
      </c>
      <c r="BN984" t="e" vm="2">
        <f t="shared" si="145"/>
        <v>#VALUE!</v>
      </c>
    </row>
    <row r="985" spans="55:66" x14ac:dyDescent="0.2">
      <c r="BC985" s="21" t="e" vm="1">
        <v>#REF!</v>
      </c>
      <c r="BD985" t="e" vm="1">
        <v>#REF!</v>
      </c>
      <c r="BF985" t="e" vm="2">
        <f t="shared" si="142"/>
        <v>#VALUE!</v>
      </c>
      <c r="BG985" t="e" vm="2">
        <f t="shared" si="143"/>
        <v>#VALUE!</v>
      </c>
      <c r="BJ985" s="21" t="e" vm="1">
        <v>#REF!</v>
      </c>
      <c r="BK985" t="e" vm="1">
        <v>#REF!</v>
      </c>
      <c r="BM985" t="e" vm="2">
        <f t="shared" si="144"/>
        <v>#VALUE!</v>
      </c>
      <c r="BN985" t="e" vm="2">
        <f t="shared" si="145"/>
        <v>#VALUE!</v>
      </c>
    </row>
    <row r="986" spans="55:66" x14ac:dyDescent="0.2">
      <c r="BC986" s="21" t="e" vm="1">
        <v>#REF!</v>
      </c>
      <c r="BD986" t="e" vm="1">
        <v>#REF!</v>
      </c>
      <c r="BF986" t="e" vm="2">
        <f t="shared" si="142"/>
        <v>#VALUE!</v>
      </c>
      <c r="BG986" t="e" vm="2">
        <f t="shared" si="143"/>
        <v>#VALUE!</v>
      </c>
      <c r="BJ986" s="21" t="e" vm="1">
        <v>#REF!</v>
      </c>
      <c r="BK986" t="e" vm="1">
        <v>#REF!</v>
      </c>
      <c r="BM986" t="e" vm="2">
        <f t="shared" si="144"/>
        <v>#VALUE!</v>
      </c>
      <c r="BN986" t="e" vm="2">
        <f t="shared" si="145"/>
        <v>#VALUE!</v>
      </c>
    </row>
    <row r="987" spans="55:66" x14ac:dyDescent="0.2">
      <c r="BC987" s="21" t="e" vm="1">
        <v>#REF!</v>
      </c>
      <c r="BD987" t="e" vm="1">
        <v>#REF!</v>
      </c>
      <c r="BF987" t="e" vm="2">
        <f t="shared" si="142"/>
        <v>#VALUE!</v>
      </c>
      <c r="BG987" t="e" vm="2">
        <f t="shared" si="143"/>
        <v>#VALUE!</v>
      </c>
      <c r="BJ987" s="21" t="e" vm="1">
        <v>#REF!</v>
      </c>
      <c r="BK987" t="e" vm="1">
        <v>#REF!</v>
      </c>
      <c r="BM987" t="e" vm="2">
        <f t="shared" si="144"/>
        <v>#VALUE!</v>
      </c>
      <c r="BN987" t="e" vm="2">
        <f t="shared" si="145"/>
        <v>#VALUE!</v>
      </c>
    </row>
    <row r="988" spans="55:66" x14ac:dyDescent="0.2">
      <c r="BC988" s="21" t="e" vm="1">
        <v>#REF!</v>
      </c>
      <c r="BD988" t="e" vm="1">
        <v>#REF!</v>
      </c>
      <c r="BF988" t="e" vm="2">
        <f t="shared" si="142"/>
        <v>#VALUE!</v>
      </c>
      <c r="BG988" t="e" vm="2">
        <f t="shared" si="143"/>
        <v>#VALUE!</v>
      </c>
      <c r="BJ988" s="21" t="e" vm="1">
        <v>#REF!</v>
      </c>
      <c r="BK988" t="e" vm="1">
        <v>#REF!</v>
      </c>
      <c r="BM988" t="e" vm="2">
        <f t="shared" si="144"/>
        <v>#VALUE!</v>
      </c>
      <c r="BN988" t="e" vm="2">
        <f t="shared" si="145"/>
        <v>#VALUE!</v>
      </c>
    </row>
    <row r="989" spans="55:66" x14ac:dyDescent="0.2">
      <c r="BC989" s="21" t="e" vm="1">
        <v>#REF!</v>
      </c>
      <c r="BD989" t="e" vm="1">
        <v>#REF!</v>
      </c>
      <c r="BF989" t="e" vm="2">
        <f t="shared" si="142"/>
        <v>#VALUE!</v>
      </c>
      <c r="BG989" t="e" vm="2">
        <f t="shared" si="143"/>
        <v>#VALUE!</v>
      </c>
      <c r="BJ989" s="21" t="e" vm="1">
        <v>#REF!</v>
      </c>
      <c r="BK989" t="e" vm="1">
        <v>#REF!</v>
      </c>
      <c r="BM989" t="e" vm="2">
        <f t="shared" si="144"/>
        <v>#VALUE!</v>
      </c>
      <c r="BN989" t="e" vm="2">
        <f t="shared" si="145"/>
        <v>#VALUE!</v>
      </c>
    </row>
    <row r="990" spans="55:66" x14ac:dyDescent="0.2">
      <c r="BC990" s="21" t="e" vm="1">
        <v>#REF!</v>
      </c>
      <c r="BD990" t="e" vm="1">
        <v>#REF!</v>
      </c>
      <c r="BF990" t="e" vm="2">
        <f t="shared" si="142"/>
        <v>#VALUE!</v>
      </c>
      <c r="BG990" t="e" vm="2">
        <f t="shared" si="143"/>
        <v>#VALUE!</v>
      </c>
      <c r="BJ990" s="21" t="e" vm="1">
        <v>#REF!</v>
      </c>
      <c r="BK990" t="e" vm="1">
        <v>#REF!</v>
      </c>
      <c r="BM990" t="e" vm="2">
        <f t="shared" si="144"/>
        <v>#VALUE!</v>
      </c>
      <c r="BN990" t="e" vm="2">
        <f t="shared" si="145"/>
        <v>#VALUE!</v>
      </c>
    </row>
    <row r="991" spans="55:66" x14ac:dyDescent="0.2">
      <c r="BC991" s="21" t="e" vm="1">
        <v>#REF!</v>
      </c>
      <c r="BD991" t="e" vm="1">
        <v>#REF!</v>
      </c>
      <c r="BF991" t="e" vm="2">
        <f t="shared" si="142"/>
        <v>#VALUE!</v>
      </c>
      <c r="BG991" t="e" vm="2">
        <f t="shared" si="143"/>
        <v>#VALUE!</v>
      </c>
      <c r="BJ991" s="21" t="e" vm="1">
        <v>#REF!</v>
      </c>
      <c r="BK991" t="e" vm="1">
        <v>#REF!</v>
      </c>
      <c r="BM991" t="e" vm="2">
        <f t="shared" si="144"/>
        <v>#VALUE!</v>
      </c>
      <c r="BN991" t="e" vm="2">
        <f t="shared" si="145"/>
        <v>#VALUE!</v>
      </c>
    </row>
    <row r="992" spans="55:66" x14ac:dyDescent="0.2">
      <c r="BC992" s="21" t="e" vm="1">
        <v>#REF!</v>
      </c>
      <c r="BD992" t="e" vm="1">
        <v>#REF!</v>
      </c>
      <c r="BF992" t="e" vm="2">
        <f t="shared" si="142"/>
        <v>#VALUE!</v>
      </c>
      <c r="BG992" t="e" vm="2">
        <f t="shared" si="143"/>
        <v>#VALUE!</v>
      </c>
      <c r="BJ992" s="21" t="e" vm="1">
        <v>#REF!</v>
      </c>
      <c r="BK992" t="e" vm="1">
        <v>#REF!</v>
      </c>
      <c r="BM992" t="e" vm="2">
        <f t="shared" si="144"/>
        <v>#VALUE!</v>
      </c>
      <c r="BN992" t="e" vm="2">
        <f t="shared" si="145"/>
        <v>#VALUE!</v>
      </c>
    </row>
    <row r="993" spans="55:66" x14ac:dyDescent="0.2">
      <c r="BC993" s="21" t="e" vm="1">
        <v>#REF!</v>
      </c>
      <c r="BD993" t="e" vm="1">
        <v>#REF!</v>
      </c>
      <c r="BF993" t="e" vm="2">
        <f t="shared" si="142"/>
        <v>#VALUE!</v>
      </c>
      <c r="BG993" t="e" vm="2">
        <f t="shared" si="143"/>
        <v>#VALUE!</v>
      </c>
      <c r="BJ993" s="21" t="e" vm="1">
        <v>#REF!</v>
      </c>
      <c r="BK993" t="e" vm="1">
        <v>#REF!</v>
      </c>
      <c r="BM993" t="e" vm="2">
        <f t="shared" si="144"/>
        <v>#VALUE!</v>
      </c>
      <c r="BN993" t="e" vm="2">
        <f t="shared" si="145"/>
        <v>#VALUE!</v>
      </c>
    </row>
    <row r="994" spans="55:66" x14ac:dyDescent="0.2">
      <c r="BC994" s="21" t="e" vm="1">
        <v>#REF!</v>
      </c>
      <c r="BD994" t="e" vm="1">
        <v>#REF!</v>
      </c>
      <c r="BF994" t="e" vm="2">
        <f t="shared" si="142"/>
        <v>#VALUE!</v>
      </c>
      <c r="BG994" t="e" vm="2">
        <f t="shared" si="143"/>
        <v>#VALUE!</v>
      </c>
      <c r="BJ994" s="21" t="e" vm="1">
        <v>#REF!</v>
      </c>
      <c r="BK994" t="e" vm="1">
        <v>#REF!</v>
      </c>
      <c r="BM994" t="e" vm="2">
        <f t="shared" si="144"/>
        <v>#VALUE!</v>
      </c>
      <c r="BN994" t="e" vm="2">
        <f t="shared" si="145"/>
        <v>#VALUE!</v>
      </c>
    </row>
    <row r="995" spans="55:66" x14ac:dyDescent="0.2">
      <c r="BC995" s="21" t="e" vm="1">
        <v>#REF!</v>
      </c>
      <c r="BD995" t="e" vm="1">
        <v>#REF!</v>
      </c>
      <c r="BF995" t="e" vm="2">
        <f t="shared" si="142"/>
        <v>#VALUE!</v>
      </c>
      <c r="BG995" t="e" vm="2">
        <f t="shared" si="143"/>
        <v>#VALUE!</v>
      </c>
      <c r="BJ995" s="21" t="e" vm="1">
        <v>#REF!</v>
      </c>
      <c r="BK995" t="e" vm="1">
        <v>#REF!</v>
      </c>
      <c r="BM995" t="e" vm="2">
        <f t="shared" si="144"/>
        <v>#VALUE!</v>
      </c>
      <c r="BN995" t="e" vm="2">
        <f t="shared" si="145"/>
        <v>#VALUE!</v>
      </c>
    </row>
    <row r="996" spans="55:66" x14ac:dyDescent="0.2">
      <c r="BC996" s="21" t="e" vm="1">
        <v>#REF!</v>
      </c>
      <c r="BD996" t="e" vm="1">
        <v>#REF!</v>
      </c>
      <c r="BF996" t="e" vm="2">
        <f t="shared" si="142"/>
        <v>#VALUE!</v>
      </c>
      <c r="BG996" t="e" vm="2">
        <f t="shared" si="143"/>
        <v>#VALUE!</v>
      </c>
      <c r="BJ996" s="21" t="e" vm="1">
        <v>#REF!</v>
      </c>
      <c r="BK996" t="e" vm="1">
        <v>#REF!</v>
      </c>
      <c r="BM996" t="e" vm="2">
        <f t="shared" si="144"/>
        <v>#VALUE!</v>
      </c>
      <c r="BN996" t="e" vm="2">
        <f t="shared" si="145"/>
        <v>#VALUE!</v>
      </c>
    </row>
    <row r="997" spans="55:66" x14ac:dyDescent="0.2">
      <c r="BC997" s="21" t="e" vm="1">
        <v>#REF!</v>
      </c>
      <c r="BD997" t="e" vm="1">
        <v>#REF!</v>
      </c>
      <c r="BF997" t="e" vm="2">
        <f t="shared" si="142"/>
        <v>#VALUE!</v>
      </c>
      <c r="BG997" t="e" vm="2">
        <f t="shared" si="143"/>
        <v>#VALUE!</v>
      </c>
      <c r="BJ997" s="21" t="e" vm="1">
        <v>#REF!</v>
      </c>
      <c r="BK997" t="e" vm="1">
        <v>#REF!</v>
      </c>
      <c r="BM997" t="e" vm="2">
        <f t="shared" si="144"/>
        <v>#VALUE!</v>
      </c>
      <c r="BN997" t="e" vm="2">
        <f t="shared" si="145"/>
        <v>#VALUE!</v>
      </c>
    </row>
    <row r="998" spans="55:66" x14ac:dyDescent="0.2">
      <c r="BC998" s="21" t="e" vm="1">
        <v>#REF!</v>
      </c>
      <c r="BD998" t="e" vm="1">
        <v>#REF!</v>
      </c>
      <c r="BF998" t="e" vm="2">
        <f t="shared" si="142"/>
        <v>#VALUE!</v>
      </c>
      <c r="BG998" t="e" vm="2">
        <f t="shared" si="143"/>
        <v>#VALUE!</v>
      </c>
      <c r="BJ998" s="21" t="e" vm="1">
        <v>#REF!</v>
      </c>
      <c r="BK998" t="e" vm="1">
        <v>#REF!</v>
      </c>
      <c r="BM998" t="e" vm="2">
        <f t="shared" si="144"/>
        <v>#VALUE!</v>
      </c>
      <c r="BN998" t="e" vm="2">
        <f t="shared" si="145"/>
        <v>#VALUE!</v>
      </c>
    </row>
    <row r="999" spans="55:66" x14ac:dyDescent="0.2">
      <c r="BC999" s="21" t="e" vm="1">
        <v>#REF!</v>
      </c>
      <c r="BD999" t="e" vm="1">
        <v>#REF!</v>
      </c>
      <c r="BF999" t="e" vm="2">
        <f t="shared" si="142"/>
        <v>#VALUE!</v>
      </c>
      <c r="BG999" t="e" vm="2">
        <f t="shared" si="143"/>
        <v>#VALUE!</v>
      </c>
      <c r="BJ999" s="21" t="e" vm="1">
        <v>#REF!</v>
      </c>
      <c r="BK999" t="e" vm="1">
        <v>#REF!</v>
      </c>
      <c r="BM999" t="e" vm="2">
        <f t="shared" si="144"/>
        <v>#VALUE!</v>
      </c>
      <c r="BN999" t="e" vm="2">
        <f t="shared" si="145"/>
        <v>#VALUE!</v>
      </c>
    </row>
    <row r="1000" spans="55:66" x14ac:dyDescent="0.2">
      <c r="BC1000" s="21" t="e" vm="1">
        <v>#REF!</v>
      </c>
      <c r="BD1000" t="e" vm="1">
        <v>#REF!</v>
      </c>
      <c r="BF1000" t="e" vm="2">
        <f t="shared" si="142"/>
        <v>#VALUE!</v>
      </c>
      <c r="BG1000" t="e" vm="2">
        <f t="shared" si="143"/>
        <v>#VALUE!</v>
      </c>
      <c r="BJ1000" s="21" t="e" vm="1">
        <v>#REF!</v>
      </c>
      <c r="BK1000" t="e" vm="1">
        <v>#REF!</v>
      </c>
      <c r="BM1000" t="e" vm="2">
        <f t="shared" si="144"/>
        <v>#VALUE!</v>
      </c>
      <c r="BN1000" t="e" vm="2">
        <f t="shared" si="145"/>
        <v>#VALUE!</v>
      </c>
    </row>
    <row r="1001" spans="55:66" x14ac:dyDescent="0.2">
      <c r="BC1001" s="21" t="e" vm="1">
        <v>#REF!</v>
      </c>
      <c r="BD1001" t="e" vm="1">
        <v>#REF!</v>
      </c>
      <c r="BF1001" t="e" vm="2">
        <f t="shared" si="142"/>
        <v>#VALUE!</v>
      </c>
      <c r="BG1001" t="e" vm="2">
        <f t="shared" si="143"/>
        <v>#VALUE!</v>
      </c>
      <c r="BJ1001" s="21" t="e" vm="1">
        <v>#REF!</v>
      </c>
      <c r="BK1001" t="e" vm="1">
        <v>#REF!</v>
      </c>
      <c r="BM1001" t="e" vm="2">
        <f t="shared" si="144"/>
        <v>#VALUE!</v>
      </c>
      <c r="BN1001" t="e" vm="2">
        <f t="shared" si="145"/>
        <v>#VALUE!</v>
      </c>
    </row>
    <row r="1002" spans="55:66" x14ac:dyDescent="0.2">
      <c r="BC1002" s="21" t="e" vm="1">
        <v>#REF!</v>
      </c>
      <c r="BD1002" t="e" vm="1">
        <v>#REF!</v>
      </c>
      <c r="BF1002" t="e" vm="2">
        <f t="shared" si="142"/>
        <v>#VALUE!</v>
      </c>
      <c r="BG1002" t="e" vm="2">
        <f t="shared" si="143"/>
        <v>#VALUE!</v>
      </c>
      <c r="BJ1002" s="21" t="e" vm="1">
        <v>#REF!</v>
      </c>
      <c r="BK1002" t="e" vm="1">
        <v>#REF!</v>
      </c>
      <c r="BM1002" t="e" vm="2">
        <f t="shared" si="144"/>
        <v>#VALUE!</v>
      </c>
      <c r="BN1002" t="e" vm="2">
        <f t="shared" si="145"/>
        <v>#VALUE!</v>
      </c>
    </row>
    <row r="1003" spans="55:66" x14ac:dyDescent="0.2">
      <c r="BC1003" s="21" t="e" vm="1">
        <v>#REF!</v>
      </c>
      <c r="BD1003" t="e" vm="1">
        <v>#REF!</v>
      </c>
      <c r="BF1003" t="e" vm="2">
        <f t="shared" si="142"/>
        <v>#VALUE!</v>
      </c>
      <c r="BG1003" t="e" vm="2">
        <f t="shared" si="143"/>
        <v>#VALUE!</v>
      </c>
      <c r="BJ1003" s="21" t="e" vm="1">
        <v>#REF!</v>
      </c>
      <c r="BK1003" t="e" vm="1">
        <v>#REF!</v>
      </c>
      <c r="BM1003" t="e" vm="2">
        <f t="shared" si="144"/>
        <v>#VALUE!</v>
      </c>
      <c r="BN1003" t="e" vm="2">
        <f t="shared" si="145"/>
        <v>#VALUE!</v>
      </c>
    </row>
    <row r="1004" spans="55:66" x14ac:dyDescent="0.2">
      <c r="BC1004" s="21" t="e" vm="1">
        <v>#REF!</v>
      </c>
      <c r="BD1004" t="e" vm="1">
        <v>#REF!</v>
      </c>
      <c r="BF1004" t="e" vm="2">
        <f t="shared" si="142"/>
        <v>#VALUE!</v>
      </c>
      <c r="BG1004" t="e" vm="2">
        <f t="shared" si="143"/>
        <v>#VALUE!</v>
      </c>
      <c r="BJ1004" s="21" t="e" vm="1">
        <v>#REF!</v>
      </c>
      <c r="BK1004" t="e" vm="1">
        <v>#REF!</v>
      </c>
      <c r="BM1004" t="e" vm="2">
        <f t="shared" si="144"/>
        <v>#VALUE!</v>
      </c>
      <c r="BN1004" t="e" vm="2">
        <f t="shared" si="145"/>
        <v>#VALUE!</v>
      </c>
    </row>
    <row r="1005" spans="55:66" x14ac:dyDescent="0.2">
      <c r="BC1005" s="21" t="e" vm="1">
        <v>#REF!</v>
      </c>
      <c r="BD1005" t="e" vm="1">
        <v>#REF!</v>
      </c>
      <c r="BF1005" t="e" vm="2">
        <f t="shared" si="142"/>
        <v>#VALUE!</v>
      </c>
      <c r="BG1005" t="e" vm="2">
        <f t="shared" si="143"/>
        <v>#VALUE!</v>
      </c>
      <c r="BJ1005" s="21" t="e" vm="1">
        <v>#REF!</v>
      </c>
      <c r="BK1005" t="e" vm="1">
        <v>#REF!</v>
      </c>
      <c r="BM1005" t="e" vm="2">
        <f t="shared" si="144"/>
        <v>#VALUE!</v>
      </c>
      <c r="BN1005" t="e" vm="2">
        <f t="shared" si="145"/>
        <v>#VALUE!</v>
      </c>
    </row>
    <row r="1006" spans="55:66" x14ac:dyDescent="0.2">
      <c r="BC1006" s="21" t="e" vm="1">
        <v>#REF!</v>
      </c>
      <c r="BD1006" t="e" vm="1">
        <v>#REF!</v>
      </c>
      <c r="BF1006" t="e" vm="2">
        <f t="shared" si="142"/>
        <v>#VALUE!</v>
      </c>
      <c r="BG1006" t="e" vm="2">
        <f t="shared" si="143"/>
        <v>#VALUE!</v>
      </c>
      <c r="BJ1006" s="21" t="e" vm="1">
        <v>#REF!</v>
      </c>
      <c r="BK1006" t="e" vm="1">
        <v>#REF!</v>
      </c>
      <c r="BM1006" t="e" vm="2">
        <f t="shared" si="144"/>
        <v>#VALUE!</v>
      </c>
      <c r="BN1006" t="e" vm="2">
        <f t="shared" si="145"/>
        <v>#VALUE!</v>
      </c>
    </row>
    <row r="1007" spans="55:66" x14ac:dyDescent="0.2">
      <c r="BC1007" s="21" t="e" vm="1">
        <v>#REF!</v>
      </c>
      <c r="BD1007" t="e" vm="1">
        <v>#REF!</v>
      </c>
      <c r="BF1007" t="e" vm="2">
        <f t="shared" si="142"/>
        <v>#VALUE!</v>
      </c>
      <c r="BG1007" t="e" vm="2">
        <f t="shared" si="143"/>
        <v>#VALUE!</v>
      </c>
      <c r="BJ1007" s="21" t="e" vm="1">
        <v>#REF!</v>
      </c>
      <c r="BK1007" t="e" vm="1">
        <v>#REF!</v>
      </c>
      <c r="BM1007" t="e" vm="2">
        <f t="shared" si="144"/>
        <v>#VALUE!</v>
      </c>
      <c r="BN1007" t="e" vm="2">
        <f t="shared" si="145"/>
        <v>#VALUE!</v>
      </c>
    </row>
    <row r="1008" spans="55:66" x14ac:dyDescent="0.2">
      <c r="BC1008" s="21" t="e" vm="1">
        <v>#REF!</v>
      </c>
      <c r="BD1008" t="e" vm="1">
        <v>#REF!</v>
      </c>
      <c r="BF1008" t="e" vm="2">
        <f t="shared" si="142"/>
        <v>#VALUE!</v>
      </c>
      <c r="BG1008" t="e" vm="2">
        <f t="shared" si="143"/>
        <v>#VALUE!</v>
      </c>
      <c r="BJ1008" s="21" t="e" vm="1">
        <v>#REF!</v>
      </c>
      <c r="BK1008" t="e" vm="1">
        <v>#REF!</v>
      </c>
      <c r="BM1008" t="e" vm="2">
        <f t="shared" si="144"/>
        <v>#VALUE!</v>
      </c>
      <c r="BN1008" t="e" vm="2">
        <f t="shared" si="145"/>
        <v>#VALUE!</v>
      </c>
    </row>
    <row r="1009" spans="55:66" x14ac:dyDescent="0.2">
      <c r="BC1009" s="21" t="e" vm="1">
        <v>#REF!</v>
      </c>
      <c r="BD1009" t="e" vm="1">
        <v>#REF!</v>
      </c>
      <c r="BF1009" t="e" vm="2">
        <f t="shared" si="142"/>
        <v>#VALUE!</v>
      </c>
      <c r="BG1009" t="e" vm="2">
        <f t="shared" si="143"/>
        <v>#VALUE!</v>
      </c>
      <c r="BJ1009" s="21" t="e" vm="1">
        <v>#REF!</v>
      </c>
      <c r="BK1009" t="e" vm="1">
        <v>#REF!</v>
      </c>
      <c r="BM1009" t="e" vm="2">
        <f t="shared" si="144"/>
        <v>#VALUE!</v>
      </c>
      <c r="BN1009" t="e" vm="2">
        <f t="shared" si="145"/>
        <v>#VALUE!</v>
      </c>
    </row>
    <row r="1010" spans="55:66" x14ac:dyDescent="0.2">
      <c r="BC1010" s="21" t="e" vm="1">
        <v>#REF!</v>
      </c>
      <c r="BD1010" t="e" vm="1">
        <v>#REF!</v>
      </c>
      <c r="BF1010" t="e" vm="2">
        <f t="shared" si="142"/>
        <v>#VALUE!</v>
      </c>
      <c r="BG1010" t="e" vm="2">
        <f t="shared" si="143"/>
        <v>#VALUE!</v>
      </c>
      <c r="BJ1010" s="21" t="e" vm="1">
        <v>#REF!</v>
      </c>
      <c r="BK1010" t="e" vm="1">
        <v>#REF!</v>
      </c>
      <c r="BM1010" t="e" vm="2">
        <f t="shared" si="144"/>
        <v>#VALUE!</v>
      </c>
      <c r="BN1010" t="e" vm="2">
        <f t="shared" si="145"/>
        <v>#VALUE!</v>
      </c>
    </row>
    <row r="1011" spans="55:66" x14ac:dyDescent="0.2">
      <c r="BC1011" s="21" t="e" vm="1">
        <v>#REF!</v>
      </c>
      <c r="BD1011" t="e" vm="1">
        <v>#REF!</v>
      </c>
      <c r="BF1011" t="e" vm="2">
        <f t="shared" si="142"/>
        <v>#VALUE!</v>
      </c>
      <c r="BG1011" t="e" vm="2">
        <f t="shared" si="143"/>
        <v>#VALUE!</v>
      </c>
      <c r="BJ1011" s="21" t="e" vm="1">
        <v>#REF!</v>
      </c>
      <c r="BK1011" t="e" vm="1">
        <v>#REF!</v>
      </c>
      <c r="BM1011" t="e" vm="2">
        <f t="shared" si="144"/>
        <v>#VALUE!</v>
      </c>
      <c r="BN1011" t="e" vm="2">
        <f t="shared" si="145"/>
        <v>#VALUE!</v>
      </c>
    </row>
    <row r="1012" spans="55:66" x14ac:dyDescent="0.2">
      <c r="BC1012" s="21" t="e" vm="1">
        <v>#REF!</v>
      </c>
      <c r="BD1012" t="e" vm="1">
        <v>#REF!</v>
      </c>
      <c r="BF1012" t="e" vm="2">
        <f t="shared" si="142"/>
        <v>#VALUE!</v>
      </c>
      <c r="BG1012" t="e" vm="2">
        <f t="shared" si="143"/>
        <v>#VALUE!</v>
      </c>
      <c r="BJ1012" s="21" t="e" vm="1">
        <v>#REF!</v>
      </c>
      <c r="BK1012" t="e" vm="1">
        <v>#REF!</v>
      </c>
      <c r="BM1012" t="e" vm="2">
        <f t="shared" si="144"/>
        <v>#VALUE!</v>
      </c>
      <c r="BN1012" t="e" vm="2">
        <f t="shared" si="145"/>
        <v>#VALUE!</v>
      </c>
    </row>
    <row r="1013" spans="55:66" x14ac:dyDescent="0.2">
      <c r="BC1013" s="21" t="e" vm="1">
        <v>#REF!</v>
      </c>
      <c r="BD1013" t="e" vm="1">
        <v>#REF!</v>
      </c>
      <c r="BF1013" t="e" vm="2">
        <f t="shared" si="142"/>
        <v>#VALUE!</v>
      </c>
      <c r="BG1013" t="e" vm="2">
        <f t="shared" si="143"/>
        <v>#VALUE!</v>
      </c>
      <c r="BJ1013" s="21" t="e" vm="1">
        <v>#REF!</v>
      </c>
      <c r="BK1013" t="e" vm="1">
        <v>#REF!</v>
      </c>
      <c r="BM1013" t="e" vm="2">
        <f t="shared" si="144"/>
        <v>#VALUE!</v>
      </c>
      <c r="BN1013" t="e" vm="2">
        <f t="shared" si="145"/>
        <v>#VALUE!</v>
      </c>
    </row>
    <row r="1014" spans="55:66" x14ac:dyDescent="0.2">
      <c r="BC1014" s="21" t="e" vm="1">
        <v>#REF!</v>
      </c>
      <c r="BD1014" t="e" vm="1">
        <v>#REF!</v>
      </c>
      <c r="BF1014" t="e" vm="2">
        <f t="shared" si="142"/>
        <v>#VALUE!</v>
      </c>
      <c r="BG1014" t="e" vm="2">
        <f t="shared" si="143"/>
        <v>#VALUE!</v>
      </c>
      <c r="BJ1014" s="21" t="e" vm="1">
        <v>#REF!</v>
      </c>
      <c r="BK1014" t="e" vm="1">
        <v>#REF!</v>
      </c>
      <c r="BM1014" t="e" vm="2">
        <f t="shared" si="144"/>
        <v>#VALUE!</v>
      </c>
      <c r="BN1014" t="e" vm="2">
        <f t="shared" si="145"/>
        <v>#VALUE!</v>
      </c>
    </row>
    <row r="1015" spans="55:66" x14ac:dyDescent="0.2">
      <c r="BC1015" s="21" t="e" vm="1">
        <v>#REF!</v>
      </c>
      <c r="BD1015" t="e" vm="1">
        <v>#REF!</v>
      </c>
      <c r="BF1015" t="e" vm="2">
        <f t="shared" si="142"/>
        <v>#VALUE!</v>
      </c>
      <c r="BG1015" t="e" vm="2">
        <f t="shared" si="143"/>
        <v>#VALUE!</v>
      </c>
      <c r="BJ1015" s="21" t="e" vm="1">
        <v>#REF!</v>
      </c>
      <c r="BK1015" t="e" vm="1">
        <v>#REF!</v>
      </c>
      <c r="BM1015" t="e" vm="2">
        <f t="shared" si="144"/>
        <v>#VALUE!</v>
      </c>
      <c r="BN1015" t="e" vm="2">
        <f t="shared" si="145"/>
        <v>#VALUE!</v>
      </c>
    </row>
    <row r="1016" spans="55:66" x14ac:dyDescent="0.2">
      <c r="BC1016" s="21" t="e" vm="1">
        <v>#REF!</v>
      </c>
      <c r="BD1016" t="e" vm="1">
        <v>#REF!</v>
      </c>
      <c r="BF1016" t="e" vm="2">
        <f t="shared" si="142"/>
        <v>#VALUE!</v>
      </c>
      <c r="BG1016" t="e" vm="2">
        <f t="shared" si="143"/>
        <v>#VALUE!</v>
      </c>
      <c r="BJ1016" s="21" t="e" vm="1">
        <v>#REF!</v>
      </c>
      <c r="BK1016" t="e" vm="1">
        <v>#REF!</v>
      </c>
      <c r="BM1016" t="e" vm="2">
        <f t="shared" si="144"/>
        <v>#VALUE!</v>
      </c>
      <c r="BN1016" t="e" vm="2">
        <f t="shared" si="145"/>
        <v>#VALUE!</v>
      </c>
    </row>
    <row r="1017" spans="55:66" x14ac:dyDescent="0.2">
      <c r="BC1017" s="21" t="e" vm="1">
        <v>#REF!</v>
      </c>
      <c r="BD1017" t="e" vm="1">
        <v>#REF!</v>
      </c>
      <c r="BF1017" t="e" vm="2">
        <f t="shared" si="142"/>
        <v>#VALUE!</v>
      </c>
      <c r="BG1017" t="e" vm="2">
        <f t="shared" si="143"/>
        <v>#VALUE!</v>
      </c>
      <c r="BJ1017" s="21" t="e" vm="1">
        <v>#REF!</v>
      </c>
      <c r="BK1017" t="e" vm="1">
        <v>#REF!</v>
      </c>
      <c r="BM1017" t="e" vm="2">
        <f t="shared" si="144"/>
        <v>#VALUE!</v>
      </c>
      <c r="BN1017" t="e" vm="2">
        <f t="shared" si="145"/>
        <v>#VALUE!</v>
      </c>
    </row>
    <row r="1018" spans="55:66" x14ac:dyDescent="0.2">
      <c r="BC1018" s="21" t="e" vm="1">
        <v>#REF!</v>
      </c>
      <c r="BD1018" t="e" vm="1">
        <v>#REF!</v>
      </c>
      <c r="BF1018" t="e" vm="2">
        <f t="shared" si="142"/>
        <v>#VALUE!</v>
      </c>
      <c r="BG1018" t="e" vm="2">
        <f t="shared" si="143"/>
        <v>#VALUE!</v>
      </c>
      <c r="BJ1018" s="21" t="e" vm="1">
        <v>#REF!</v>
      </c>
      <c r="BK1018" t="e" vm="1">
        <v>#REF!</v>
      </c>
      <c r="BM1018" t="e" vm="2">
        <f t="shared" si="144"/>
        <v>#VALUE!</v>
      </c>
      <c r="BN1018" t="e" vm="2">
        <f t="shared" si="145"/>
        <v>#VALUE!</v>
      </c>
    </row>
    <row r="1019" spans="55:66" x14ac:dyDescent="0.2">
      <c r="BC1019" s="21" t="e" vm="1">
        <v>#REF!</v>
      </c>
      <c r="BD1019" t="e" vm="1">
        <v>#REF!</v>
      </c>
      <c r="BF1019" t="e" vm="2">
        <f t="shared" si="142"/>
        <v>#VALUE!</v>
      </c>
      <c r="BG1019" t="e" vm="2">
        <f t="shared" si="143"/>
        <v>#VALUE!</v>
      </c>
      <c r="BJ1019" s="21" t="e" vm="1">
        <v>#REF!</v>
      </c>
      <c r="BK1019" t="e" vm="1">
        <v>#REF!</v>
      </c>
      <c r="BM1019" t="e" vm="2">
        <f t="shared" si="144"/>
        <v>#VALUE!</v>
      </c>
      <c r="BN1019" t="e" vm="2">
        <f t="shared" si="145"/>
        <v>#VALUE!</v>
      </c>
    </row>
    <row r="1020" spans="55:66" x14ac:dyDescent="0.2">
      <c r="BC1020" s="21" t="e" vm="1">
        <v>#REF!</v>
      </c>
      <c r="BD1020" t="e" vm="1">
        <v>#REF!</v>
      </c>
      <c r="BF1020" t="e" vm="2">
        <f t="shared" si="142"/>
        <v>#VALUE!</v>
      </c>
      <c r="BG1020" t="e" vm="2">
        <f t="shared" si="143"/>
        <v>#VALUE!</v>
      </c>
      <c r="BJ1020" s="21" t="e" vm="1">
        <v>#REF!</v>
      </c>
      <c r="BK1020" t="e" vm="1">
        <v>#REF!</v>
      </c>
      <c r="BM1020" t="e" vm="2">
        <f t="shared" si="144"/>
        <v>#VALUE!</v>
      </c>
      <c r="BN1020" t="e" vm="2">
        <f t="shared" si="145"/>
        <v>#VALUE!</v>
      </c>
    </row>
    <row r="1021" spans="55:66" x14ac:dyDescent="0.2">
      <c r="BC1021" s="21" t="e" vm="1">
        <v>#REF!</v>
      </c>
      <c r="BD1021" t="e" vm="1">
        <v>#REF!</v>
      </c>
      <c r="BF1021" t="e" vm="2">
        <f t="shared" si="142"/>
        <v>#VALUE!</v>
      </c>
      <c r="BG1021" t="e" vm="2">
        <f t="shared" si="143"/>
        <v>#VALUE!</v>
      </c>
      <c r="BJ1021" s="21" t="e" vm="1">
        <v>#REF!</v>
      </c>
      <c r="BK1021" t="e" vm="1">
        <v>#REF!</v>
      </c>
      <c r="BM1021" t="e" vm="2">
        <f t="shared" si="144"/>
        <v>#VALUE!</v>
      </c>
      <c r="BN1021" t="e" vm="2">
        <f t="shared" si="145"/>
        <v>#VALUE!</v>
      </c>
    </row>
    <row r="1022" spans="55:66" x14ac:dyDescent="0.2">
      <c r="BC1022" s="21" t="e" vm="1">
        <v>#REF!</v>
      </c>
      <c r="BD1022" t="e" vm="1">
        <v>#REF!</v>
      </c>
      <c r="BF1022" t="e" vm="2">
        <f t="shared" si="142"/>
        <v>#VALUE!</v>
      </c>
      <c r="BG1022" t="e" vm="2">
        <f t="shared" si="143"/>
        <v>#VALUE!</v>
      </c>
      <c r="BJ1022" s="21" t="e" vm="1">
        <v>#REF!</v>
      </c>
      <c r="BK1022" t="e" vm="1">
        <v>#REF!</v>
      </c>
      <c r="BM1022" t="e" vm="2">
        <f t="shared" si="144"/>
        <v>#VALUE!</v>
      </c>
      <c r="BN1022" t="e" vm="2">
        <f t="shared" si="145"/>
        <v>#VALUE!</v>
      </c>
    </row>
    <row r="1023" spans="55:66" x14ac:dyDescent="0.2">
      <c r="BC1023" s="21" t="e" vm="1">
        <v>#REF!</v>
      </c>
      <c r="BD1023" t="e" vm="1">
        <v>#REF!</v>
      </c>
      <c r="BF1023" t="e" vm="2">
        <f t="shared" si="142"/>
        <v>#VALUE!</v>
      </c>
      <c r="BG1023" t="e" vm="2">
        <f t="shared" si="143"/>
        <v>#VALUE!</v>
      </c>
      <c r="BJ1023" s="21" t="e" vm="1">
        <v>#REF!</v>
      </c>
      <c r="BK1023" t="e" vm="1">
        <v>#REF!</v>
      </c>
      <c r="BM1023" t="e" vm="2">
        <f t="shared" si="144"/>
        <v>#VALUE!</v>
      </c>
      <c r="BN1023" t="e" vm="2">
        <f t="shared" si="145"/>
        <v>#VALUE!</v>
      </c>
    </row>
    <row r="1024" spans="55:66" x14ac:dyDescent="0.2">
      <c r="BC1024" s="21" t="e" vm="1">
        <v>#REF!</v>
      </c>
      <c r="BD1024" t="e" vm="1">
        <v>#REF!</v>
      </c>
      <c r="BF1024" t="e" vm="2">
        <f t="shared" si="142"/>
        <v>#VALUE!</v>
      </c>
      <c r="BG1024" t="e" vm="2">
        <f t="shared" si="143"/>
        <v>#VALUE!</v>
      </c>
      <c r="BJ1024" s="21" t="e" vm="1">
        <v>#REF!</v>
      </c>
      <c r="BK1024" t="e" vm="1">
        <v>#REF!</v>
      </c>
      <c r="BM1024" t="e" vm="2">
        <f t="shared" si="144"/>
        <v>#VALUE!</v>
      </c>
      <c r="BN1024" t="e" vm="2">
        <f t="shared" si="145"/>
        <v>#VALUE!</v>
      </c>
    </row>
    <row r="1025" spans="55:66" x14ac:dyDescent="0.2">
      <c r="BC1025" s="21" t="e" vm="1">
        <v>#REF!</v>
      </c>
      <c r="BD1025" t="e" vm="1">
        <v>#REF!</v>
      </c>
      <c r="BF1025" t="e" vm="2">
        <f t="shared" si="142"/>
        <v>#VALUE!</v>
      </c>
      <c r="BG1025" t="e" vm="2">
        <f t="shared" si="143"/>
        <v>#VALUE!</v>
      </c>
      <c r="BJ1025" s="21" t="e" vm="1">
        <v>#REF!</v>
      </c>
      <c r="BK1025" t="e" vm="1">
        <v>#REF!</v>
      </c>
      <c r="BM1025" t="e" vm="2">
        <f t="shared" si="144"/>
        <v>#VALUE!</v>
      </c>
      <c r="BN1025" t="e" vm="2">
        <f t="shared" si="145"/>
        <v>#VALUE!</v>
      </c>
    </row>
    <row r="1026" spans="55:66" x14ac:dyDescent="0.2">
      <c r="BC1026" s="21" t="e" vm="1">
        <v>#REF!</v>
      </c>
      <c r="BD1026" t="e" vm="1">
        <v>#REF!</v>
      </c>
      <c r="BF1026" t="e" vm="2">
        <f t="shared" si="142"/>
        <v>#VALUE!</v>
      </c>
      <c r="BG1026" t="e" vm="2">
        <f t="shared" si="143"/>
        <v>#VALUE!</v>
      </c>
      <c r="BJ1026" s="21" t="e" vm="1">
        <v>#REF!</v>
      </c>
      <c r="BK1026" t="e" vm="1">
        <v>#REF!</v>
      </c>
      <c r="BM1026" t="e" vm="2">
        <f t="shared" si="144"/>
        <v>#VALUE!</v>
      </c>
      <c r="BN1026" t="e" vm="2">
        <f t="shared" si="145"/>
        <v>#VALUE!</v>
      </c>
    </row>
    <row r="1027" spans="55:66" x14ac:dyDescent="0.2">
      <c r="BC1027" s="21" t="e" vm="1">
        <v>#REF!</v>
      </c>
      <c r="BD1027" t="e" vm="1">
        <v>#REF!</v>
      </c>
      <c r="BF1027" t="e" vm="2">
        <f t="shared" ref="BF1027:BF1090" si="146">MONTH(BC1027)</f>
        <v>#VALUE!</v>
      </c>
      <c r="BG1027" t="e" vm="2">
        <f t="shared" ref="BG1027:BG1090" si="147">YEAR(BC1027)</f>
        <v>#VALUE!</v>
      </c>
      <c r="BJ1027" s="21" t="e" vm="1">
        <v>#REF!</v>
      </c>
      <c r="BK1027" t="e" vm="1">
        <v>#REF!</v>
      </c>
      <c r="BM1027" t="e" vm="2">
        <f t="shared" si="144"/>
        <v>#VALUE!</v>
      </c>
      <c r="BN1027" t="e" vm="2">
        <f t="shared" si="145"/>
        <v>#VALUE!</v>
      </c>
    </row>
    <row r="1028" spans="55:66" x14ac:dyDescent="0.2">
      <c r="BC1028" s="21" t="e" vm="1">
        <v>#REF!</v>
      </c>
      <c r="BD1028" t="e" vm="1">
        <v>#REF!</v>
      </c>
      <c r="BF1028" t="e" vm="2">
        <f t="shared" si="146"/>
        <v>#VALUE!</v>
      </c>
      <c r="BG1028" t="e" vm="2">
        <f t="shared" si="147"/>
        <v>#VALUE!</v>
      </c>
      <c r="BJ1028" s="21" t="e" vm="1">
        <v>#REF!</v>
      </c>
      <c r="BK1028" t="e" vm="1">
        <v>#REF!</v>
      </c>
      <c r="BM1028" t="e" vm="2">
        <f t="shared" ref="BM1028:BM1091" si="148">MONTH(BJ1028)</f>
        <v>#VALUE!</v>
      </c>
      <c r="BN1028" t="e" vm="2">
        <f t="shared" ref="BN1028:BN1091" si="149">YEAR(BJ1028)</f>
        <v>#VALUE!</v>
      </c>
    </row>
    <row r="1029" spans="55:66" x14ac:dyDescent="0.2">
      <c r="BC1029" s="21" t="e" vm="1">
        <v>#REF!</v>
      </c>
      <c r="BD1029" t="e" vm="1">
        <v>#REF!</v>
      </c>
      <c r="BF1029" t="e" vm="2">
        <f t="shared" si="146"/>
        <v>#VALUE!</v>
      </c>
      <c r="BG1029" t="e" vm="2">
        <f t="shared" si="147"/>
        <v>#VALUE!</v>
      </c>
      <c r="BJ1029" s="21" t="e" vm="1">
        <v>#REF!</v>
      </c>
      <c r="BK1029" t="e" vm="1">
        <v>#REF!</v>
      </c>
      <c r="BM1029" t="e" vm="2">
        <f t="shared" si="148"/>
        <v>#VALUE!</v>
      </c>
      <c r="BN1029" t="e" vm="2">
        <f t="shared" si="149"/>
        <v>#VALUE!</v>
      </c>
    </row>
    <row r="1030" spans="55:66" x14ac:dyDescent="0.2">
      <c r="BC1030" s="21" t="e" vm="1">
        <v>#REF!</v>
      </c>
      <c r="BD1030" t="e" vm="1">
        <v>#REF!</v>
      </c>
      <c r="BF1030" t="e" vm="2">
        <f t="shared" si="146"/>
        <v>#VALUE!</v>
      </c>
      <c r="BG1030" t="e" vm="2">
        <f t="shared" si="147"/>
        <v>#VALUE!</v>
      </c>
      <c r="BJ1030" s="21" t="e" vm="1">
        <v>#REF!</v>
      </c>
      <c r="BK1030" t="e" vm="1">
        <v>#REF!</v>
      </c>
      <c r="BM1030" t="e" vm="2">
        <f t="shared" si="148"/>
        <v>#VALUE!</v>
      </c>
      <c r="BN1030" t="e" vm="2">
        <f t="shared" si="149"/>
        <v>#VALUE!</v>
      </c>
    </row>
    <row r="1031" spans="55:66" x14ac:dyDescent="0.2">
      <c r="BC1031" s="21" t="e" vm="1">
        <v>#REF!</v>
      </c>
      <c r="BD1031" t="e" vm="1">
        <v>#REF!</v>
      </c>
      <c r="BF1031" t="e" vm="2">
        <f t="shared" si="146"/>
        <v>#VALUE!</v>
      </c>
      <c r="BG1031" t="e" vm="2">
        <f t="shared" si="147"/>
        <v>#VALUE!</v>
      </c>
      <c r="BJ1031" s="21" t="e" vm="1">
        <v>#REF!</v>
      </c>
      <c r="BK1031" t="e" vm="1">
        <v>#REF!</v>
      </c>
      <c r="BM1031" t="e" vm="2">
        <f t="shared" si="148"/>
        <v>#VALUE!</v>
      </c>
      <c r="BN1031" t="e" vm="2">
        <f t="shared" si="149"/>
        <v>#VALUE!</v>
      </c>
    </row>
    <row r="1032" spans="55:66" x14ac:dyDescent="0.2">
      <c r="BC1032" s="21" t="e" vm="1">
        <v>#REF!</v>
      </c>
      <c r="BD1032" t="e" vm="1">
        <v>#REF!</v>
      </c>
      <c r="BF1032" t="e" vm="2">
        <f t="shared" si="146"/>
        <v>#VALUE!</v>
      </c>
      <c r="BG1032" t="e" vm="2">
        <f t="shared" si="147"/>
        <v>#VALUE!</v>
      </c>
      <c r="BJ1032" s="21" t="e" vm="1">
        <v>#REF!</v>
      </c>
      <c r="BK1032" t="e" vm="1">
        <v>#REF!</v>
      </c>
      <c r="BM1032" t="e" vm="2">
        <f t="shared" si="148"/>
        <v>#VALUE!</v>
      </c>
      <c r="BN1032" t="e" vm="2">
        <f t="shared" si="149"/>
        <v>#VALUE!</v>
      </c>
    </row>
    <row r="1033" spans="55:66" x14ac:dyDescent="0.2">
      <c r="BC1033" s="21" t="e" vm="1">
        <v>#REF!</v>
      </c>
      <c r="BD1033" t="e" vm="1">
        <v>#REF!</v>
      </c>
      <c r="BF1033" t="e" vm="2">
        <f t="shared" si="146"/>
        <v>#VALUE!</v>
      </c>
      <c r="BG1033" t="e" vm="2">
        <f t="shared" si="147"/>
        <v>#VALUE!</v>
      </c>
      <c r="BJ1033" s="21" t="e" vm="1">
        <v>#REF!</v>
      </c>
      <c r="BK1033" t="e" vm="1">
        <v>#REF!</v>
      </c>
      <c r="BM1033" t="e" vm="2">
        <f t="shared" si="148"/>
        <v>#VALUE!</v>
      </c>
      <c r="BN1033" t="e" vm="2">
        <f t="shared" si="149"/>
        <v>#VALUE!</v>
      </c>
    </row>
    <row r="1034" spans="55:66" x14ac:dyDescent="0.2">
      <c r="BC1034" s="21" t="e" vm="1">
        <v>#REF!</v>
      </c>
      <c r="BD1034" t="e" vm="1">
        <v>#REF!</v>
      </c>
      <c r="BF1034" t="e" vm="2">
        <f t="shared" si="146"/>
        <v>#VALUE!</v>
      </c>
      <c r="BG1034" t="e" vm="2">
        <f t="shared" si="147"/>
        <v>#VALUE!</v>
      </c>
      <c r="BJ1034" s="21" t="e" vm="1">
        <v>#REF!</v>
      </c>
      <c r="BK1034" t="e" vm="1">
        <v>#REF!</v>
      </c>
      <c r="BM1034" t="e" vm="2">
        <f t="shared" si="148"/>
        <v>#VALUE!</v>
      </c>
      <c r="BN1034" t="e" vm="2">
        <f t="shared" si="149"/>
        <v>#VALUE!</v>
      </c>
    </row>
    <row r="1035" spans="55:66" x14ac:dyDescent="0.2">
      <c r="BC1035" s="21" t="e" vm="1">
        <v>#REF!</v>
      </c>
      <c r="BD1035" t="e" vm="1">
        <v>#REF!</v>
      </c>
      <c r="BF1035" t="e" vm="2">
        <f t="shared" si="146"/>
        <v>#VALUE!</v>
      </c>
      <c r="BG1035" t="e" vm="2">
        <f t="shared" si="147"/>
        <v>#VALUE!</v>
      </c>
      <c r="BJ1035" s="21" t="e" vm="1">
        <v>#REF!</v>
      </c>
      <c r="BK1035" t="e" vm="1">
        <v>#REF!</v>
      </c>
      <c r="BM1035" t="e" vm="2">
        <f t="shared" si="148"/>
        <v>#VALUE!</v>
      </c>
      <c r="BN1035" t="e" vm="2">
        <f t="shared" si="149"/>
        <v>#VALUE!</v>
      </c>
    </row>
    <row r="1036" spans="55:66" x14ac:dyDescent="0.2">
      <c r="BC1036" s="21" t="e" vm="1">
        <v>#REF!</v>
      </c>
      <c r="BD1036" t="e" vm="1">
        <v>#REF!</v>
      </c>
      <c r="BF1036" t="e" vm="2">
        <f t="shared" si="146"/>
        <v>#VALUE!</v>
      </c>
      <c r="BG1036" t="e" vm="2">
        <f t="shared" si="147"/>
        <v>#VALUE!</v>
      </c>
      <c r="BJ1036" s="21" t="e" vm="1">
        <v>#REF!</v>
      </c>
      <c r="BK1036" t="e" vm="1">
        <v>#REF!</v>
      </c>
      <c r="BM1036" t="e" vm="2">
        <f t="shared" si="148"/>
        <v>#VALUE!</v>
      </c>
      <c r="BN1036" t="e" vm="2">
        <f t="shared" si="149"/>
        <v>#VALUE!</v>
      </c>
    </row>
    <row r="1037" spans="55:66" x14ac:dyDescent="0.2">
      <c r="BC1037" s="21" t="e" vm="1">
        <v>#REF!</v>
      </c>
      <c r="BD1037" t="e" vm="1">
        <v>#REF!</v>
      </c>
      <c r="BF1037" t="e" vm="2">
        <f t="shared" si="146"/>
        <v>#VALUE!</v>
      </c>
      <c r="BG1037" t="e" vm="2">
        <f t="shared" si="147"/>
        <v>#VALUE!</v>
      </c>
      <c r="BJ1037" s="21" t="e" vm="1">
        <v>#REF!</v>
      </c>
      <c r="BK1037" t="e" vm="1">
        <v>#REF!</v>
      </c>
      <c r="BM1037" t="e" vm="2">
        <f t="shared" si="148"/>
        <v>#VALUE!</v>
      </c>
      <c r="BN1037" t="e" vm="2">
        <f t="shared" si="149"/>
        <v>#VALUE!</v>
      </c>
    </row>
    <row r="1038" spans="55:66" x14ac:dyDescent="0.2">
      <c r="BC1038" s="21" t="e" vm="1">
        <v>#REF!</v>
      </c>
      <c r="BD1038" t="e" vm="1">
        <v>#REF!</v>
      </c>
      <c r="BF1038" t="e" vm="2">
        <f t="shared" si="146"/>
        <v>#VALUE!</v>
      </c>
      <c r="BG1038" t="e" vm="2">
        <f t="shared" si="147"/>
        <v>#VALUE!</v>
      </c>
      <c r="BJ1038" s="21" t="e" vm="1">
        <v>#REF!</v>
      </c>
      <c r="BK1038" t="e" vm="1">
        <v>#REF!</v>
      </c>
      <c r="BM1038" t="e" vm="2">
        <f t="shared" si="148"/>
        <v>#VALUE!</v>
      </c>
      <c r="BN1038" t="e" vm="2">
        <f t="shared" si="149"/>
        <v>#VALUE!</v>
      </c>
    </row>
    <row r="1039" spans="55:66" x14ac:dyDescent="0.2">
      <c r="BC1039" s="21" t="e" vm="1">
        <v>#REF!</v>
      </c>
      <c r="BD1039" t="e" vm="1">
        <v>#REF!</v>
      </c>
      <c r="BF1039" t="e" vm="2">
        <f t="shared" si="146"/>
        <v>#VALUE!</v>
      </c>
      <c r="BG1039" t="e" vm="2">
        <f t="shared" si="147"/>
        <v>#VALUE!</v>
      </c>
      <c r="BJ1039" s="21" t="e" vm="1">
        <v>#REF!</v>
      </c>
      <c r="BK1039" t="e" vm="1">
        <v>#REF!</v>
      </c>
      <c r="BM1039" t="e" vm="2">
        <f t="shared" si="148"/>
        <v>#VALUE!</v>
      </c>
      <c r="BN1039" t="e" vm="2">
        <f t="shared" si="149"/>
        <v>#VALUE!</v>
      </c>
    </row>
    <row r="1040" spans="55:66" x14ac:dyDescent="0.2">
      <c r="BC1040" s="21" t="e" vm="1">
        <v>#REF!</v>
      </c>
      <c r="BD1040" t="e" vm="1">
        <v>#REF!</v>
      </c>
      <c r="BF1040" t="e" vm="2">
        <f t="shared" si="146"/>
        <v>#VALUE!</v>
      </c>
      <c r="BG1040" t="e" vm="2">
        <f t="shared" si="147"/>
        <v>#VALUE!</v>
      </c>
      <c r="BJ1040" s="21" t="e" vm="1">
        <v>#REF!</v>
      </c>
      <c r="BK1040" t="e" vm="1">
        <v>#REF!</v>
      </c>
      <c r="BM1040" t="e" vm="2">
        <f t="shared" si="148"/>
        <v>#VALUE!</v>
      </c>
      <c r="BN1040" t="e" vm="2">
        <f t="shared" si="149"/>
        <v>#VALUE!</v>
      </c>
    </row>
    <row r="1041" spans="55:66" x14ac:dyDescent="0.2">
      <c r="BC1041" s="21" t="e" vm="1">
        <v>#REF!</v>
      </c>
      <c r="BD1041" t="e" vm="1">
        <v>#REF!</v>
      </c>
      <c r="BF1041" t="e" vm="2">
        <f t="shared" si="146"/>
        <v>#VALUE!</v>
      </c>
      <c r="BG1041" t="e" vm="2">
        <f t="shared" si="147"/>
        <v>#VALUE!</v>
      </c>
      <c r="BJ1041" s="21" t="e" vm="1">
        <v>#REF!</v>
      </c>
      <c r="BK1041" t="e" vm="1">
        <v>#REF!</v>
      </c>
      <c r="BM1041" t="e" vm="2">
        <f t="shared" si="148"/>
        <v>#VALUE!</v>
      </c>
      <c r="BN1041" t="e" vm="2">
        <f t="shared" si="149"/>
        <v>#VALUE!</v>
      </c>
    </row>
    <row r="1042" spans="55:66" x14ac:dyDescent="0.2">
      <c r="BC1042" s="21" t="e" vm="1">
        <v>#REF!</v>
      </c>
      <c r="BD1042" t="e" vm="1">
        <v>#REF!</v>
      </c>
      <c r="BF1042" t="e" vm="2">
        <f t="shared" si="146"/>
        <v>#VALUE!</v>
      </c>
      <c r="BG1042" t="e" vm="2">
        <f t="shared" si="147"/>
        <v>#VALUE!</v>
      </c>
      <c r="BJ1042" s="21" t="e" vm="1">
        <v>#REF!</v>
      </c>
      <c r="BK1042" t="e" vm="1">
        <v>#REF!</v>
      </c>
      <c r="BM1042" t="e" vm="2">
        <f t="shared" si="148"/>
        <v>#VALUE!</v>
      </c>
      <c r="BN1042" t="e" vm="2">
        <f t="shared" si="149"/>
        <v>#VALUE!</v>
      </c>
    </row>
    <row r="1043" spans="55:66" x14ac:dyDescent="0.2">
      <c r="BC1043" s="21" t="e" vm="1">
        <v>#REF!</v>
      </c>
      <c r="BD1043" t="e" vm="1">
        <v>#REF!</v>
      </c>
      <c r="BF1043" t="e" vm="2">
        <f t="shared" si="146"/>
        <v>#VALUE!</v>
      </c>
      <c r="BG1043" t="e" vm="2">
        <f t="shared" si="147"/>
        <v>#VALUE!</v>
      </c>
      <c r="BJ1043" s="21" t="e" vm="1">
        <v>#REF!</v>
      </c>
      <c r="BK1043" t="e" vm="1">
        <v>#REF!</v>
      </c>
      <c r="BM1043" t="e" vm="2">
        <f t="shared" si="148"/>
        <v>#VALUE!</v>
      </c>
      <c r="BN1043" t="e" vm="2">
        <f t="shared" si="149"/>
        <v>#VALUE!</v>
      </c>
    </row>
    <row r="1044" spans="55:66" x14ac:dyDescent="0.2">
      <c r="BC1044" s="21" t="e" vm="1">
        <v>#REF!</v>
      </c>
      <c r="BD1044" t="e" vm="1">
        <v>#REF!</v>
      </c>
      <c r="BF1044" t="e" vm="2">
        <f t="shared" si="146"/>
        <v>#VALUE!</v>
      </c>
      <c r="BG1044" t="e" vm="2">
        <f t="shared" si="147"/>
        <v>#VALUE!</v>
      </c>
      <c r="BJ1044" s="21" t="e" vm="1">
        <v>#REF!</v>
      </c>
      <c r="BK1044" t="e" vm="1">
        <v>#REF!</v>
      </c>
      <c r="BM1044" t="e" vm="2">
        <f t="shared" si="148"/>
        <v>#VALUE!</v>
      </c>
      <c r="BN1044" t="e" vm="2">
        <f t="shared" si="149"/>
        <v>#VALUE!</v>
      </c>
    </row>
    <row r="1045" spans="55:66" x14ac:dyDescent="0.2">
      <c r="BC1045" s="21" t="e" vm="1">
        <v>#REF!</v>
      </c>
      <c r="BD1045" t="e" vm="1">
        <v>#REF!</v>
      </c>
      <c r="BF1045" t="e" vm="2">
        <f t="shared" si="146"/>
        <v>#VALUE!</v>
      </c>
      <c r="BG1045" t="e" vm="2">
        <f t="shared" si="147"/>
        <v>#VALUE!</v>
      </c>
      <c r="BJ1045" s="21" t="e" vm="1">
        <v>#REF!</v>
      </c>
      <c r="BK1045" t="e" vm="1">
        <v>#REF!</v>
      </c>
      <c r="BM1045" t="e" vm="2">
        <f t="shared" si="148"/>
        <v>#VALUE!</v>
      </c>
      <c r="BN1045" t="e" vm="2">
        <f t="shared" si="149"/>
        <v>#VALUE!</v>
      </c>
    </row>
    <row r="1046" spans="55:66" x14ac:dyDescent="0.2">
      <c r="BC1046" s="21" t="e" vm="1">
        <v>#REF!</v>
      </c>
      <c r="BD1046" t="e" vm="1">
        <v>#REF!</v>
      </c>
      <c r="BF1046" t="e" vm="2">
        <f t="shared" si="146"/>
        <v>#VALUE!</v>
      </c>
      <c r="BG1046" t="e" vm="2">
        <f t="shared" si="147"/>
        <v>#VALUE!</v>
      </c>
      <c r="BJ1046" s="21" t="e" vm="1">
        <v>#REF!</v>
      </c>
      <c r="BK1046" t="e" vm="1">
        <v>#REF!</v>
      </c>
      <c r="BM1046" t="e" vm="2">
        <f t="shared" si="148"/>
        <v>#VALUE!</v>
      </c>
      <c r="BN1046" t="e" vm="2">
        <f t="shared" si="149"/>
        <v>#VALUE!</v>
      </c>
    </row>
    <row r="1047" spans="55:66" x14ac:dyDescent="0.2">
      <c r="BC1047" s="21" t="e" vm="1">
        <v>#REF!</v>
      </c>
      <c r="BD1047" t="e" vm="1">
        <v>#REF!</v>
      </c>
      <c r="BF1047" t="e" vm="2">
        <f t="shared" si="146"/>
        <v>#VALUE!</v>
      </c>
      <c r="BG1047" t="e" vm="2">
        <f t="shared" si="147"/>
        <v>#VALUE!</v>
      </c>
      <c r="BJ1047" s="21" t="e" vm="1">
        <v>#REF!</v>
      </c>
      <c r="BK1047" t="e" vm="1">
        <v>#REF!</v>
      </c>
      <c r="BM1047" t="e" vm="2">
        <f t="shared" si="148"/>
        <v>#VALUE!</v>
      </c>
      <c r="BN1047" t="e" vm="2">
        <f t="shared" si="149"/>
        <v>#VALUE!</v>
      </c>
    </row>
    <row r="1048" spans="55:66" x14ac:dyDescent="0.2">
      <c r="BC1048" s="21" t="e" vm="1">
        <v>#REF!</v>
      </c>
      <c r="BD1048" t="e" vm="1">
        <v>#REF!</v>
      </c>
      <c r="BF1048" t="e" vm="2">
        <f t="shared" si="146"/>
        <v>#VALUE!</v>
      </c>
      <c r="BG1048" t="e" vm="2">
        <f t="shared" si="147"/>
        <v>#VALUE!</v>
      </c>
      <c r="BJ1048" s="21" t="e" vm="1">
        <v>#REF!</v>
      </c>
      <c r="BK1048" t="e" vm="1">
        <v>#REF!</v>
      </c>
      <c r="BM1048" t="e" vm="2">
        <f t="shared" si="148"/>
        <v>#VALUE!</v>
      </c>
      <c r="BN1048" t="e" vm="2">
        <f t="shared" si="149"/>
        <v>#VALUE!</v>
      </c>
    </row>
    <row r="1049" spans="55:66" x14ac:dyDescent="0.2">
      <c r="BC1049" s="21" t="e" vm="1">
        <v>#REF!</v>
      </c>
      <c r="BD1049" t="e" vm="1">
        <v>#REF!</v>
      </c>
      <c r="BF1049" t="e" vm="2">
        <f t="shared" si="146"/>
        <v>#VALUE!</v>
      </c>
      <c r="BG1049" t="e" vm="2">
        <f t="shared" si="147"/>
        <v>#VALUE!</v>
      </c>
      <c r="BJ1049" s="21" t="e" vm="1">
        <v>#REF!</v>
      </c>
      <c r="BK1049" t="e" vm="1">
        <v>#REF!</v>
      </c>
      <c r="BM1049" t="e" vm="2">
        <f t="shared" si="148"/>
        <v>#VALUE!</v>
      </c>
      <c r="BN1049" t="e" vm="2">
        <f t="shared" si="149"/>
        <v>#VALUE!</v>
      </c>
    </row>
    <row r="1050" spans="55:66" x14ac:dyDescent="0.2">
      <c r="BC1050" s="21" t="e" vm="1">
        <v>#REF!</v>
      </c>
      <c r="BD1050" t="e" vm="1">
        <v>#REF!</v>
      </c>
      <c r="BF1050" t="e" vm="2">
        <f t="shared" si="146"/>
        <v>#VALUE!</v>
      </c>
      <c r="BG1050" t="e" vm="2">
        <f t="shared" si="147"/>
        <v>#VALUE!</v>
      </c>
      <c r="BJ1050" s="21" t="e" vm="1">
        <v>#REF!</v>
      </c>
      <c r="BK1050" t="e" vm="1">
        <v>#REF!</v>
      </c>
      <c r="BM1050" t="e" vm="2">
        <f t="shared" si="148"/>
        <v>#VALUE!</v>
      </c>
      <c r="BN1050" t="e" vm="2">
        <f t="shared" si="149"/>
        <v>#VALUE!</v>
      </c>
    </row>
    <row r="1051" spans="55:66" x14ac:dyDescent="0.2">
      <c r="BC1051" s="21" t="e" vm="1">
        <v>#REF!</v>
      </c>
      <c r="BD1051" t="e" vm="1">
        <v>#REF!</v>
      </c>
      <c r="BF1051" t="e" vm="2">
        <f t="shared" si="146"/>
        <v>#VALUE!</v>
      </c>
      <c r="BG1051" t="e" vm="2">
        <f t="shared" si="147"/>
        <v>#VALUE!</v>
      </c>
      <c r="BJ1051" s="21" t="e" vm="1">
        <v>#REF!</v>
      </c>
      <c r="BK1051" t="e" vm="1">
        <v>#REF!</v>
      </c>
      <c r="BM1051" t="e" vm="2">
        <f t="shared" si="148"/>
        <v>#VALUE!</v>
      </c>
      <c r="BN1051" t="e" vm="2">
        <f t="shared" si="149"/>
        <v>#VALUE!</v>
      </c>
    </row>
    <row r="1052" spans="55:66" x14ac:dyDescent="0.2">
      <c r="BC1052" s="21" t="e" vm="1">
        <v>#REF!</v>
      </c>
      <c r="BD1052" t="e" vm="1">
        <v>#REF!</v>
      </c>
      <c r="BF1052" t="e" vm="2">
        <f t="shared" si="146"/>
        <v>#VALUE!</v>
      </c>
      <c r="BG1052" t="e" vm="2">
        <f t="shared" si="147"/>
        <v>#VALUE!</v>
      </c>
      <c r="BJ1052" s="21" t="e" vm="1">
        <v>#REF!</v>
      </c>
      <c r="BK1052" t="e" vm="1">
        <v>#REF!</v>
      </c>
      <c r="BM1052" t="e" vm="2">
        <f t="shared" si="148"/>
        <v>#VALUE!</v>
      </c>
      <c r="BN1052" t="e" vm="2">
        <f t="shared" si="149"/>
        <v>#VALUE!</v>
      </c>
    </row>
    <row r="1053" spans="55:66" x14ac:dyDescent="0.2">
      <c r="BC1053" s="21" t="e" vm="1">
        <v>#REF!</v>
      </c>
      <c r="BD1053" t="e" vm="1">
        <v>#REF!</v>
      </c>
      <c r="BF1053" t="e" vm="2">
        <f t="shared" si="146"/>
        <v>#VALUE!</v>
      </c>
      <c r="BG1053" t="e" vm="2">
        <f t="shared" si="147"/>
        <v>#VALUE!</v>
      </c>
      <c r="BJ1053" s="21" t="e" vm="1">
        <v>#REF!</v>
      </c>
      <c r="BK1053" t="e" vm="1">
        <v>#REF!</v>
      </c>
      <c r="BM1053" t="e" vm="2">
        <f t="shared" si="148"/>
        <v>#VALUE!</v>
      </c>
      <c r="BN1053" t="e" vm="2">
        <f t="shared" si="149"/>
        <v>#VALUE!</v>
      </c>
    </row>
    <row r="1054" spans="55:66" x14ac:dyDescent="0.2">
      <c r="BC1054" s="21" t="e" vm="1">
        <v>#REF!</v>
      </c>
      <c r="BD1054" t="e" vm="1">
        <v>#REF!</v>
      </c>
      <c r="BF1054" t="e" vm="2">
        <f t="shared" si="146"/>
        <v>#VALUE!</v>
      </c>
      <c r="BG1054" t="e" vm="2">
        <f t="shared" si="147"/>
        <v>#VALUE!</v>
      </c>
      <c r="BJ1054" s="21" t="e" vm="1">
        <v>#REF!</v>
      </c>
      <c r="BK1054" t="e" vm="1">
        <v>#REF!</v>
      </c>
      <c r="BM1054" t="e" vm="2">
        <f t="shared" si="148"/>
        <v>#VALUE!</v>
      </c>
      <c r="BN1054" t="e" vm="2">
        <f t="shared" si="149"/>
        <v>#VALUE!</v>
      </c>
    </row>
    <row r="1055" spans="55:66" x14ac:dyDescent="0.2">
      <c r="BC1055" s="21" t="e" vm="1">
        <v>#REF!</v>
      </c>
      <c r="BD1055" t="e" vm="1">
        <v>#REF!</v>
      </c>
      <c r="BF1055" t="e" vm="2">
        <f t="shared" si="146"/>
        <v>#VALUE!</v>
      </c>
      <c r="BG1055" t="e" vm="2">
        <f t="shared" si="147"/>
        <v>#VALUE!</v>
      </c>
      <c r="BJ1055" s="21" t="e" vm="1">
        <v>#REF!</v>
      </c>
      <c r="BK1055" t="e" vm="1">
        <v>#REF!</v>
      </c>
      <c r="BM1055" t="e" vm="2">
        <f t="shared" si="148"/>
        <v>#VALUE!</v>
      </c>
      <c r="BN1055" t="e" vm="2">
        <f t="shared" si="149"/>
        <v>#VALUE!</v>
      </c>
    </row>
    <row r="1056" spans="55:66" x14ac:dyDescent="0.2">
      <c r="BC1056" s="21" t="e" vm="1">
        <v>#REF!</v>
      </c>
      <c r="BD1056" t="e" vm="1">
        <v>#REF!</v>
      </c>
      <c r="BF1056" t="e" vm="2">
        <f t="shared" si="146"/>
        <v>#VALUE!</v>
      </c>
      <c r="BG1056" t="e" vm="2">
        <f t="shared" si="147"/>
        <v>#VALUE!</v>
      </c>
      <c r="BJ1056" s="21" t="e" vm="1">
        <v>#REF!</v>
      </c>
      <c r="BK1056" t="e" vm="1">
        <v>#REF!</v>
      </c>
      <c r="BM1056" t="e" vm="2">
        <f t="shared" si="148"/>
        <v>#VALUE!</v>
      </c>
      <c r="BN1056" t="e" vm="2">
        <f t="shared" si="149"/>
        <v>#VALUE!</v>
      </c>
    </row>
    <row r="1057" spans="55:66" x14ac:dyDescent="0.2">
      <c r="BC1057" s="21" t="e" vm="1">
        <v>#REF!</v>
      </c>
      <c r="BD1057" t="e" vm="1">
        <v>#REF!</v>
      </c>
      <c r="BF1057" t="e" vm="2">
        <f t="shared" si="146"/>
        <v>#VALUE!</v>
      </c>
      <c r="BG1057" t="e" vm="2">
        <f t="shared" si="147"/>
        <v>#VALUE!</v>
      </c>
      <c r="BJ1057" s="21" t="e" vm="1">
        <v>#REF!</v>
      </c>
      <c r="BK1057" t="e" vm="1">
        <v>#REF!</v>
      </c>
      <c r="BM1057" t="e" vm="2">
        <f t="shared" si="148"/>
        <v>#VALUE!</v>
      </c>
      <c r="BN1057" t="e" vm="2">
        <f t="shared" si="149"/>
        <v>#VALUE!</v>
      </c>
    </row>
    <row r="1058" spans="55:66" x14ac:dyDescent="0.2">
      <c r="BC1058" s="21" t="e" vm="1">
        <v>#REF!</v>
      </c>
      <c r="BD1058" t="e" vm="1">
        <v>#REF!</v>
      </c>
      <c r="BF1058" t="e" vm="2">
        <f t="shared" si="146"/>
        <v>#VALUE!</v>
      </c>
      <c r="BG1058" t="e" vm="2">
        <f t="shared" si="147"/>
        <v>#VALUE!</v>
      </c>
      <c r="BJ1058" s="21" t="e" vm="1">
        <v>#REF!</v>
      </c>
      <c r="BK1058" t="e" vm="1">
        <v>#REF!</v>
      </c>
      <c r="BM1058" t="e" vm="2">
        <f t="shared" si="148"/>
        <v>#VALUE!</v>
      </c>
      <c r="BN1058" t="e" vm="2">
        <f t="shared" si="149"/>
        <v>#VALUE!</v>
      </c>
    </row>
    <row r="1059" spans="55:66" x14ac:dyDescent="0.2">
      <c r="BC1059" s="21" t="e" vm="1">
        <v>#REF!</v>
      </c>
      <c r="BD1059" t="e" vm="1">
        <v>#REF!</v>
      </c>
      <c r="BF1059" t="e" vm="2">
        <f t="shared" si="146"/>
        <v>#VALUE!</v>
      </c>
      <c r="BG1059" t="e" vm="2">
        <f t="shared" si="147"/>
        <v>#VALUE!</v>
      </c>
      <c r="BJ1059" s="21" t="e" vm="1">
        <v>#REF!</v>
      </c>
      <c r="BK1059" t="e" vm="1">
        <v>#REF!</v>
      </c>
      <c r="BM1059" t="e" vm="2">
        <f t="shared" si="148"/>
        <v>#VALUE!</v>
      </c>
      <c r="BN1059" t="e" vm="2">
        <f t="shared" si="149"/>
        <v>#VALUE!</v>
      </c>
    </row>
    <row r="1060" spans="55:66" x14ac:dyDescent="0.2">
      <c r="BC1060" s="21" t="e" vm="1">
        <v>#REF!</v>
      </c>
      <c r="BD1060" t="e" vm="1">
        <v>#REF!</v>
      </c>
      <c r="BF1060" t="e" vm="2">
        <f t="shared" si="146"/>
        <v>#VALUE!</v>
      </c>
      <c r="BG1060" t="e" vm="2">
        <f t="shared" si="147"/>
        <v>#VALUE!</v>
      </c>
      <c r="BJ1060" s="21" t="e" vm="1">
        <v>#REF!</v>
      </c>
      <c r="BK1060" t="e" vm="1">
        <v>#REF!</v>
      </c>
      <c r="BM1060" t="e" vm="2">
        <f t="shared" si="148"/>
        <v>#VALUE!</v>
      </c>
      <c r="BN1060" t="e" vm="2">
        <f t="shared" si="149"/>
        <v>#VALUE!</v>
      </c>
    </row>
    <row r="1061" spans="55:66" x14ac:dyDescent="0.2">
      <c r="BC1061" s="21" t="e" vm="1">
        <v>#REF!</v>
      </c>
      <c r="BD1061" t="e" vm="1">
        <v>#REF!</v>
      </c>
      <c r="BF1061" t="e" vm="2">
        <f t="shared" si="146"/>
        <v>#VALUE!</v>
      </c>
      <c r="BG1061" t="e" vm="2">
        <f t="shared" si="147"/>
        <v>#VALUE!</v>
      </c>
      <c r="BJ1061" s="21" t="e" vm="1">
        <v>#REF!</v>
      </c>
      <c r="BK1061" t="e" vm="1">
        <v>#REF!</v>
      </c>
      <c r="BM1061" t="e" vm="2">
        <f t="shared" si="148"/>
        <v>#VALUE!</v>
      </c>
      <c r="BN1061" t="e" vm="2">
        <f t="shared" si="149"/>
        <v>#VALUE!</v>
      </c>
    </row>
    <row r="1062" spans="55:66" x14ac:dyDescent="0.2">
      <c r="BC1062" s="21" t="e" vm="1">
        <v>#REF!</v>
      </c>
      <c r="BD1062" t="e" vm="1">
        <v>#REF!</v>
      </c>
      <c r="BF1062" t="e" vm="2">
        <f t="shared" si="146"/>
        <v>#VALUE!</v>
      </c>
      <c r="BG1062" t="e" vm="2">
        <f t="shared" si="147"/>
        <v>#VALUE!</v>
      </c>
      <c r="BJ1062" s="21" t="e" vm="1">
        <v>#REF!</v>
      </c>
      <c r="BK1062" t="e" vm="1">
        <v>#REF!</v>
      </c>
      <c r="BM1062" t="e" vm="2">
        <f t="shared" si="148"/>
        <v>#VALUE!</v>
      </c>
      <c r="BN1062" t="e" vm="2">
        <f t="shared" si="149"/>
        <v>#VALUE!</v>
      </c>
    </row>
    <row r="1063" spans="55:66" x14ac:dyDescent="0.2">
      <c r="BC1063" s="21" t="e" vm="1">
        <v>#REF!</v>
      </c>
      <c r="BD1063" t="e" vm="1">
        <v>#REF!</v>
      </c>
      <c r="BF1063" t="e" vm="2">
        <f t="shared" si="146"/>
        <v>#VALUE!</v>
      </c>
      <c r="BG1063" t="e" vm="2">
        <f t="shared" si="147"/>
        <v>#VALUE!</v>
      </c>
      <c r="BJ1063" s="21" t="e" vm="1">
        <v>#REF!</v>
      </c>
      <c r="BK1063" t="e" vm="1">
        <v>#REF!</v>
      </c>
      <c r="BM1063" t="e" vm="2">
        <f t="shared" si="148"/>
        <v>#VALUE!</v>
      </c>
      <c r="BN1063" t="e" vm="2">
        <f t="shared" si="149"/>
        <v>#VALUE!</v>
      </c>
    </row>
    <row r="1064" spans="55:66" x14ac:dyDescent="0.2">
      <c r="BC1064" s="21" t="e" vm="1">
        <v>#REF!</v>
      </c>
      <c r="BD1064" t="e" vm="1">
        <v>#REF!</v>
      </c>
      <c r="BF1064" t="e" vm="2">
        <f t="shared" si="146"/>
        <v>#VALUE!</v>
      </c>
      <c r="BG1064" t="e" vm="2">
        <f t="shared" si="147"/>
        <v>#VALUE!</v>
      </c>
      <c r="BJ1064" s="21" t="e" vm="1">
        <v>#REF!</v>
      </c>
      <c r="BK1064" t="e" vm="1">
        <v>#REF!</v>
      </c>
      <c r="BM1064" t="e" vm="2">
        <f t="shared" si="148"/>
        <v>#VALUE!</v>
      </c>
      <c r="BN1064" t="e" vm="2">
        <f t="shared" si="149"/>
        <v>#VALUE!</v>
      </c>
    </row>
    <row r="1065" spans="55:66" x14ac:dyDescent="0.2">
      <c r="BC1065" s="21" t="e" vm="1">
        <v>#REF!</v>
      </c>
      <c r="BD1065" t="e" vm="1">
        <v>#REF!</v>
      </c>
      <c r="BF1065" t="e" vm="2">
        <f t="shared" si="146"/>
        <v>#VALUE!</v>
      </c>
      <c r="BG1065" t="e" vm="2">
        <f t="shared" si="147"/>
        <v>#VALUE!</v>
      </c>
      <c r="BJ1065" s="21" t="e" vm="1">
        <v>#REF!</v>
      </c>
      <c r="BK1065" t="e" vm="1">
        <v>#REF!</v>
      </c>
      <c r="BM1065" t="e" vm="2">
        <f t="shared" si="148"/>
        <v>#VALUE!</v>
      </c>
      <c r="BN1065" t="e" vm="2">
        <f t="shared" si="149"/>
        <v>#VALUE!</v>
      </c>
    </row>
    <row r="1066" spans="55:66" x14ac:dyDescent="0.2">
      <c r="BC1066" s="21" t="e" vm="1">
        <v>#REF!</v>
      </c>
      <c r="BD1066" t="e" vm="1">
        <v>#REF!</v>
      </c>
      <c r="BF1066" t="e" vm="2">
        <f t="shared" si="146"/>
        <v>#VALUE!</v>
      </c>
      <c r="BG1066" t="e" vm="2">
        <f t="shared" si="147"/>
        <v>#VALUE!</v>
      </c>
      <c r="BJ1066" s="21" t="e" vm="1">
        <v>#REF!</v>
      </c>
      <c r="BK1066" t="e" vm="1">
        <v>#REF!</v>
      </c>
      <c r="BM1066" t="e" vm="2">
        <f t="shared" si="148"/>
        <v>#VALUE!</v>
      </c>
      <c r="BN1066" t="e" vm="2">
        <f t="shared" si="149"/>
        <v>#VALUE!</v>
      </c>
    </row>
    <row r="1067" spans="55:66" x14ac:dyDescent="0.2">
      <c r="BC1067" s="21" t="e" vm="1">
        <v>#REF!</v>
      </c>
      <c r="BD1067" t="e" vm="1">
        <v>#REF!</v>
      </c>
      <c r="BF1067" t="e" vm="2">
        <f t="shared" si="146"/>
        <v>#VALUE!</v>
      </c>
      <c r="BG1067" t="e" vm="2">
        <f t="shared" si="147"/>
        <v>#VALUE!</v>
      </c>
      <c r="BJ1067" s="21" t="e" vm="1">
        <v>#REF!</v>
      </c>
      <c r="BK1067" t="e" vm="1">
        <v>#REF!</v>
      </c>
      <c r="BM1067" t="e" vm="2">
        <f t="shared" si="148"/>
        <v>#VALUE!</v>
      </c>
      <c r="BN1067" t="e" vm="2">
        <f t="shared" si="149"/>
        <v>#VALUE!</v>
      </c>
    </row>
    <row r="1068" spans="55:66" x14ac:dyDescent="0.2">
      <c r="BC1068" s="21" t="e" vm="1">
        <v>#REF!</v>
      </c>
      <c r="BD1068" t="e" vm="1">
        <v>#REF!</v>
      </c>
      <c r="BF1068" t="e" vm="2">
        <f t="shared" si="146"/>
        <v>#VALUE!</v>
      </c>
      <c r="BG1068" t="e" vm="2">
        <f t="shared" si="147"/>
        <v>#VALUE!</v>
      </c>
      <c r="BJ1068" s="21" t="e" vm="1">
        <v>#REF!</v>
      </c>
      <c r="BK1068" t="e" vm="1">
        <v>#REF!</v>
      </c>
      <c r="BM1068" t="e" vm="2">
        <f t="shared" si="148"/>
        <v>#VALUE!</v>
      </c>
      <c r="BN1068" t="e" vm="2">
        <f t="shared" si="149"/>
        <v>#VALUE!</v>
      </c>
    </row>
    <row r="1069" spans="55:66" x14ac:dyDescent="0.2">
      <c r="BC1069" s="21" t="e" vm="1">
        <v>#REF!</v>
      </c>
      <c r="BD1069" t="e" vm="1">
        <v>#REF!</v>
      </c>
      <c r="BF1069" t="e" vm="2">
        <f t="shared" si="146"/>
        <v>#VALUE!</v>
      </c>
      <c r="BG1069" t="e" vm="2">
        <f t="shared" si="147"/>
        <v>#VALUE!</v>
      </c>
      <c r="BJ1069" s="21" t="e" vm="1">
        <v>#REF!</v>
      </c>
      <c r="BK1069" t="e" vm="1">
        <v>#REF!</v>
      </c>
      <c r="BM1069" t="e" vm="2">
        <f t="shared" si="148"/>
        <v>#VALUE!</v>
      </c>
      <c r="BN1069" t="e" vm="2">
        <f t="shared" si="149"/>
        <v>#VALUE!</v>
      </c>
    </row>
    <row r="1070" spans="55:66" x14ac:dyDescent="0.2">
      <c r="BC1070" s="21" t="e" vm="1">
        <v>#REF!</v>
      </c>
      <c r="BD1070" t="e" vm="1">
        <v>#REF!</v>
      </c>
      <c r="BF1070" t="e" vm="2">
        <f t="shared" si="146"/>
        <v>#VALUE!</v>
      </c>
      <c r="BG1070" t="e" vm="2">
        <f t="shared" si="147"/>
        <v>#VALUE!</v>
      </c>
      <c r="BJ1070" s="21" t="e" vm="1">
        <v>#REF!</v>
      </c>
      <c r="BK1070" t="e" vm="1">
        <v>#REF!</v>
      </c>
      <c r="BM1070" t="e" vm="2">
        <f t="shared" si="148"/>
        <v>#VALUE!</v>
      </c>
      <c r="BN1070" t="e" vm="2">
        <f t="shared" si="149"/>
        <v>#VALUE!</v>
      </c>
    </row>
    <row r="1071" spans="55:66" x14ac:dyDescent="0.2">
      <c r="BC1071" s="21" t="e" vm="1">
        <v>#REF!</v>
      </c>
      <c r="BD1071" t="e" vm="1">
        <v>#REF!</v>
      </c>
      <c r="BF1071" t="e" vm="2">
        <f t="shared" si="146"/>
        <v>#VALUE!</v>
      </c>
      <c r="BG1071" t="e" vm="2">
        <f t="shared" si="147"/>
        <v>#VALUE!</v>
      </c>
      <c r="BJ1071" s="21" t="e" vm="1">
        <v>#REF!</v>
      </c>
      <c r="BK1071" t="e" vm="1">
        <v>#REF!</v>
      </c>
      <c r="BM1071" t="e" vm="2">
        <f t="shared" si="148"/>
        <v>#VALUE!</v>
      </c>
      <c r="BN1071" t="e" vm="2">
        <f t="shared" si="149"/>
        <v>#VALUE!</v>
      </c>
    </row>
    <row r="1072" spans="55:66" x14ac:dyDescent="0.2">
      <c r="BC1072" s="21" t="e" vm="1">
        <v>#REF!</v>
      </c>
      <c r="BD1072" t="e" vm="1">
        <v>#REF!</v>
      </c>
      <c r="BF1072" t="e" vm="2">
        <f t="shared" si="146"/>
        <v>#VALUE!</v>
      </c>
      <c r="BG1072" t="e" vm="2">
        <f t="shared" si="147"/>
        <v>#VALUE!</v>
      </c>
      <c r="BJ1072" s="21" t="e" vm="1">
        <v>#REF!</v>
      </c>
      <c r="BK1072" t="e" vm="1">
        <v>#REF!</v>
      </c>
      <c r="BM1072" t="e" vm="2">
        <f t="shared" si="148"/>
        <v>#VALUE!</v>
      </c>
      <c r="BN1072" t="e" vm="2">
        <f t="shared" si="149"/>
        <v>#VALUE!</v>
      </c>
    </row>
    <row r="1073" spans="55:66" x14ac:dyDescent="0.2">
      <c r="BC1073" s="21" t="e" vm="1">
        <v>#REF!</v>
      </c>
      <c r="BD1073" t="e" vm="1">
        <v>#REF!</v>
      </c>
      <c r="BF1073" t="e" vm="2">
        <f t="shared" si="146"/>
        <v>#VALUE!</v>
      </c>
      <c r="BG1073" t="e" vm="2">
        <f t="shared" si="147"/>
        <v>#VALUE!</v>
      </c>
      <c r="BJ1073" s="21" t="e" vm="1">
        <v>#REF!</v>
      </c>
      <c r="BK1073" t="e" vm="1">
        <v>#REF!</v>
      </c>
      <c r="BM1073" t="e" vm="2">
        <f t="shared" si="148"/>
        <v>#VALUE!</v>
      </c>
      <c r="BN1073" t="e" vm="2">
        <f t="shared" si="149"/>
        <v>#VALUE!</v>
      </c>
    </row>
    <row r="1074" spans="55:66" x14ac:dyDescent="0.2">
      <c r="BC1074" s="21" t="e" vm="1">
        <v>#REF!</v>
      </c>
      <c r="BD1074" t="e" vm="1">
        <v>#REF!</v>
      </c>
      <c r="BF1074" t="e" vm="2">
        <f t="shared" si="146"/>
        <v>#VALUE!</v>
      </c>
      <c r="BG1074" t="e" vm="2">
        <f t="shared" si="147"/>
        <v>#VALUE!</v>
      </c>
      <c r="BJ1074" s="21" t="e" vm="1">
        <v>#REF!</v>
      </c>
      <c r="BK1074" t="e" vm="1">
        <v>#REF!</v>
      </c>
      <c r="BM1074" t="e" vm="2">
        <f t="shared" si="148"/>
        <v>#VALUE!</v>
      </c>
      <c r="BN1074" t="e" vm="2">
        <f t="shared" si="149"/>
        <v>#VALUE!</v>
      </c>
    </row>
    <row r="1075" spans="55:66" x14ac:dyDescent="0.2">
      <c r="BC1075" s="21" t="e" vm="1">
        <v>#REF!</v>
      </c>
      <c r="BD1075" t="e" vm="1">
        <v>#REF!</v>
      </c>
      <c r="BF1075" t="e" vm="2">
        <f t="shared" si="146"/>
        <v>#VALUE!</v>
      </c>
      <c r="BG1075" t="e" vm="2">
        <f t="shared" si="147"/>
        <v>#VALUE!</v>
      </c>
      <c r="BJ1075" s="21" t="e" vm="1">
        <v>#REF!</v>
      </c>
      <c r="BK1075" t="e" vm="1">
        <v>#REF!</v>
      </c>
      <c r="BM1075" t="e" vm="2">
        <f t="shared" si="148"/>
        <v>#VALUE!</v>
      </c>
      <c r="BN1075" t="e" vm="2">
        <f t="shared" si="149"/>
        <v>#VALUE!</v>
      </c>
    </row>
    <row r="1076" spans="55:66" x14ac:dyDescent="0.2">
      <c r="BC1076" s="21" t="e" vm="1">
        <v>#REF!</v>
      </c>
      <c r="BD1076" t="e" vm="1">
        <v>#REF!</v>
      </c>
      <c r="BF1076" t="e" vm="2">
        <f t="shared" si="146"/>
        <v>#VALUE!</v>
      </c>
      <c r="BG1076" t="e" vm="2">
        <f t="shared" si="147"/>
        <v>#VALUE!</v>
      </c>
      <c r="BJ1076" s="21" t="e" vm="1">
        <v>#REF!</v>
      </c>
      <c r="BK1076" t="e" vm="1">
        <v>#REF!</v>
      </c>
      <c r="BM1076" t="e" vm="2">
        <f t="shared" si="148"/>
        <v>#VALUE!</v>
      </c>
      <c r="BN1076" t="e" vm="2">
        <f t="shared" si="149"/>
        <v>#VALUE!</v>
      </c>
    </row>
    <row r="1077" spans="55:66" x14ac:dyDescent="0.2">
      <c r="BC1077" s="21" t="e" vm="1">
        <v>#REF!</v>
      </c>
      <c r="BD1077" t="e" vm="1">
        <v>#REF!</v>
      </c>
      <c r="BF1077" t="e" vm="2">
        <f t="shared" si="146"/>
        <v>#VALUE!</v>
      </c>
      <c r="BG1077" t="e" vm="2">
        <f t="shared" si="147"/>
        <v>#VALUE!</v>
      </c>
      <c r="BJ1077" s="21" t="e" vm="1">
        <v>#REF!</v>
      </c>
      <c r="BK1077" t="e" vm="1">
        <v>#REF!</v>
      </c>
      <c r="BM1077" t="e" vm="2">
        <f t="shared" si="148"/>
        <v>#VALUE!</v>
      </c>
      <c r="BN1077" t="e" vm="2">
        <f t="shared" si="149"/>
        <v>#VALUE!</v>
      </c>
    </row>
    <row r="1078" spans="55:66" x14ac:dyDescent="0.2">
      <c r="BC1078" s="21" t="e" vm="1">
        <v>#REF!</v>
      </c>
      <c r="BD1078" t="e" vm="1">
        <v>#REF!</v>
      </c>
      <c r="BF1078" t="e" vm="2">
        <f t="shared" si="146"/>
        <v>#VALUE!</v>
      </c>
      <c r="BG1078" t="e" vm="2">
        <f t="shared" si="147"/>
        <v>#VALUE!</v>
      </c>
      <c r="BJ1078" s="21" t="e" vm="1">
        <v>#REF!</v>
      </c>
      <c r="BK1078" t="e" vm="1">
        <v>#REF!</v>
      </c>
      <c r="BM1078" t="e" vm="2">
        <f t="shared" si="148"/>
        <v>#VALUE!</v>
      </c>
      <c r="BN1078" t="e" vm="2">
        <f t="shared" si="149"/>
        <v>#VALUE!</v>
      </c>
    </row>
    <row r="1079" spans="55:66" x14ac:dyDescent="0.2">
      <c r="BC1079" s="21" t="e" vm="1">
        <v>#REF!</v>
      </c>
      <c r="BD1079" t="e" vm="1">
        <v>#REF!</v>
      </c>
      <c r="BF1079" t="e" vm="2">
        <f t="shared" si="146"/>
        <v>#VALUE!</v>
      </c>
      <c r="BG1079" t="e" vm="2">
        <f t="shared" si="147"/>
        <v>#VALUE!</v>
      </c>
      <c r="BJ1079" s="21" t="e" vm="1">
        <v>#REF!</v>
      </c>
      <c r="BK1079" t="e" vm="1">
        <v>#REF!</v>
      </c>
      <c r="BM1079" t="e" vm="2">
        <f t="shared" si="148"/>
        <v>#VALUE!</v>
      </c>
      <c r="BN1079" t="e" vm="2">
        <f t="shared" si="149"/>
        <v>#VALUE!</v>
      </c>
    </row>
    <row r="1080" spans="55:66" x14ac:dyDescent="0.2">
      <c r="BC1080" s="21" t="e" vm="1">
        <v>#REF!</v>
      </c>
      <c r="BD1080" t="e" vm="1">
        <v>#REF!</v>
      </c>
      <c r="BF1080" t="e" vm="2">
        <f t="shared" si="146"/>
        <v>#VALUE!</v>
      </c>
      <c r="BG1080" t="e" vm="2">
        <f t="shared" si="147"/>
        <v>#VALUE!</v>
      </c>
      <c r="BJ1080" s="21" t="e" vm="1">
        <v>#REF!</v>
      </c>
      <c r="BK1080" t="e" vm="1">
        <v>#REF!</v>
      </c>
      <c r="BM1080" t="e" vm="2">
        <f t="shared" si="148"/>
        <v>#VALUE!</v>
      </c>
      <c r="BN1080" t="e" vm="2">
        <f t="shared" si="149"/>
        <v>#VALUE!</v>
      </c>
    </row>
    <row r="1081" spans="55:66" x14ac:dyDescent="0.2">
      <c r="BC1081" s="21" t="e" vm="1">
        <v>#REF!</v>
      </c>
      <c r="BD1081" t="e" vm="1">
        <v>#REF!</v>
      </c>
      <c r="BF1081" t="e" vm="2">
        <f t="shared" si="146"/>
        <v>#VALUE!</v>
      </c>
      <c r="BG1081" t="e" vm="2">
        <f t="shared" si="147"/>
        <v>#VALUE!</v>
      </c>
      <c r="BJ1081" s="21" t="e" vm="1">
        <v>#REF!</v>
      </c>
      <c r="BK1081" t="e" vm="1">
        <v>#REF!</v>
      </c>
      <c r="BM1081" t="e" vm="2">
        <f t="shared" si="148"/>
        <v>#VALUE!</v>
      </c>
      <c r="BN1081" t="e" vm="2">
        <f t="shared" si="149"/>
        <v>#VALUE!</v>
      </c>
    </row>
    <row r="1082" spans="55:66" x14ac:dyDescent="0.2">
      <c r="BC1082" s="21" t="e" vm="1">
        <v>#REF!</v>
      </c>
      <c r="BD1082" t="e" vm="1">
        <v>#REF!</v>
      </c>
      <c r="BF1082" t="e" vm="2">
        <f t="shared" si="146"/>
        <v>#VALUE!</v>
      </c>
      <c r="BG1082" t="e" vm="2">
        <f t="shared" si="147"/>
        <v>#VALUE!</v>
      </c>
      <c r="BJ1082" s="21" t="e" vm="1">
        <v>#REF!</v>
      </c>
      <c r="BK1082" t="e" vm="1">
        <v>#REF!</v>
      </c>
      <c r="BM1082" t="e" vm="2">
        <f t="shared" si="148"/>
        <v>#VALUE!</v>
      </c>
      <c r="BN1082" t="e" vm="2">
        <f t="shared" si="149"/>
        <v>#VALUE!</v>
      </c>
    </row>
    <row r="1083" spans="55:66" x14ac:dyDescent="0.2">
      <c r="BC1083" s="21" t="e" vm="1">
        <v>#REF!</v>
      </c>
      <c r="BD1083" t="e" vm="1">
        <v>#REF!</v>
      </c>
      <c r="BF1083" t="e" vm="2">
        <f t="shared" si="146"/>
        <v>#VALUE!</v>
      </c>
      <c r="BG1083" t="e" vm="2">
        <f t="shared" si="147"/>
        <v>#VALUE!</v>
      </c>
      <c r="BJ1083" s="21" t="e" vm="1">
        <v>#REF!</v>
      </c>
      <c r="BK1083" t="e" vm="1">
        <v>#REF!</v>
      </c>
      <c r="BM1083" t="e" vm="2">
        <f t="shared" si="148"/>
        <v>#VALUE!</v>
      </c>
      <c r="BN1083" t="e" vm="2">
        <f t="shared" si="149"/>
        <v>#VALUE!</v>
      </c>
    </row>
    <row r="1084" spans="55:66" x14ac:dyDescent="0.2">
      <c r="BC1084" s="21" t="e" vm="1">
        <v>#REF!</v>
      </c>
      <c r="BD1084" t="e" vm="1">
        <v>#REF!</v>
      </c>
      <c r="BF1084" t="e" vm="2">
        <f t="shared" si="146"/>
        <v>#VALUE!</v>
      </c>
      <c r="BG1084" t="e" vm="2">
        <f t="shared" si="147"/>
        <v>#VALUE!</v>
      </c>
      <c r="BJ1084" s="21" t="e" vm="1">
        <v>#REF!</v>
      </c>
      <c r="BK1084" t="e" vm="1">
        <v>#REF!</v>
      </c>
      <c r="BM1084" t="e" vm="2">
        <f t="shared" si="148"/>
        <v>#VALUE!</v>
      </c>
      <c r="BN1084" t="e" vm="2">
        <f t="shared" si="149"/>
        <v>#VALUE!</v>
      </c>
    </row>
    <row r="1085" spans="55:66" x14ac:dyDescent="0.2">
      <c r="BC1085" s="21" t="e" vm="1">
        <v>#REF!</v>
      </c>
      <c r="BD1085" t="e" vm="1">
        <v>#REF!</v>
      </c>
      <c r="BF1085" t="e" vm="2">
        <f t="shared" si="146"/>
        <v>#VALUE!</v>
      </c>
      <c r="BG1085" t="e" vm="2">
        <f t="shared" si="147"/>
        <v>#VALUE!</v>
      </c>
      <c r="BJ1085" s="21" t="e" vm="1">
        <v>#REF!</v>
      </c>
      <c r="BK1085" t="e" vm="1">
        <v>#REF!</v>
      </c>
      <c r="BM1085" t="e" vm="2">
        <f t="shared" si="148"/>
        <v>#VALUE!</v>
      </c>
      <c r="BN1085" t="e" vm="2">
        <f t="shared" si="149"/>
        <v>#VALUE!</v>
      </c>
    </row>
    <row r="1086" spans="55:66" x14ac:dyDescent="0.2">
      <c r="BC1086" s="21" t="e" vm="1">
        <v>#REF!</v>
      </c>
      <c r="BD1086" t="e" vm="1">
        <v>#REF!</v>
      </c>
      <c r="BF1086" t="e" vm="2">
        <f t="shared" si="146"/>
        <v>#VALUE!</v>
      </c>
      <c r="BG1086" t="e" vm="2">
        <f t="shared" si="147"/>
        <v>#VALUE!</v>
      </c>
      <c r="BJ1086" s="21" t="e" vm="1">
        <v>#REF!</v>
      </c>
      <c r="BK1086" t="e" vm="1">
        <v>#REF!</v>
      </c>
      <c r="BM1086" t="e" vm="2">
        <f t="shared" si="148"/>
        <v>#VALUE!</v>
      </c>
      <c r="BN1086" t="e" vm="2">
        <f t="shared" si="149"/>
        <v>#VALUE!</v>
      </c>
    </row>
    <row r="1087" spans="55:66" x14ac:dyDescent="0.2">
      <c r="BC1087" s="21" t="e" vm="1">
        <v>#REF!</v>
      </c>
      <c r="BD1087" t="e" vm="1">
        <v>#REF!</v>
      </c>
      <c r="BF1087" t="e" vm="2">
        <f t="shared" si="146"/>
        <v>#VALUE!</v>
      </c>
      <c r="BG1087" t="e" vm="2">
        <f t="shared" si="147"/>
        <v>#VALUE!</v>
      </c>
      <c r="BJ1087" s="21" t="e" vm="1">
        <v>#REF!</v>
      </c>
      <c r="BK1087" t="e" vm="1">
        <v>#REF!</v>
      </c>
      <c r="BM1087" t="e" vm="2">
        <f t="shared" si="148"/>
        <v>#VALUE!</v>
      </c>
      <c r="BN1087" t="e" vm="2">
        <f t="shared" si="149"/>
        <v>#VALUE!</v>
      </c>
    </row>
    <row r="1088" spans="55:66" x14ac:dyDescent="0.2">
      <c r="BC1088" s="21" t="e" vm="1">
        <v>#REF!</v>
      </c>
      <c r="BD1088" t="e" vm="1">
        <v>#REF!</v>
      </c>
      <c r="BF1088" t="e" vm="2">
        <f t="shared" si="146"/>
        <v>#VALUE!</v>
      </c>
      <c r="BG1088" t="e" vm="2">
        <f t="shared" si="147"/>
        <v>#VALUE!</v>
      </c>
      <c r="BJ1088" s="21" t="e" vm="1">
        <v>#REF!</v>
      </c>
      <c r="BK1088" t="e" vm="1">
        <v>#REF!</v>
      </c>
      <c r="BM1088" t="e" vm="2">
        <f t="shared" si="148"/>
        <v>#VALUE!</v>
      </c>
      <c r="BN1088" t="e" vm="2">
        <f t="shared" si="149"/>
        <v>#VALUE!</v>
      </c>
    </row>
    <row r="1089" spans="55:66" x14ac:dyDescent="0.2">
      <c r="BC1089" s="21" t="e" vm="1">
        <v>#REF!</v>
      </c>
      <c r="BD1089" t="e" vm="1">
        <v>#REF!</v>
      </c>
      <c r="BF1089" t="e" vm="2">
        <f t="shared" si="146"/>
        <v>#VALUE!</v>
      </c>
      <c r="BG1089" t="e" vm="2">
        <f t="shared" si="147"/>
        <v>#VALUE!</v>
      </c>
      <c r="BJ1089" s="21" t="e" vm="1">
        <v>#REF!</v>
      </c>
      <c r="BK1089" t="e" vm="1">
        <v>#REF!</v>
      </c>
      <c r="BM1089" t="e" vm="2">
        <f t="shared" si="148"/>
        <v>#VALUE!</v>
      </c>
      <c r="BN1089" t="e" vm="2">
        <f t="shared" si="149"/>
        <v>#VALUE!</v>
      </c>
    </row>
    <row r="1090" spans="55:66" x14ac:dyDescent="0.2">
      <c r="BC1090" s="21" t="e" vm="1">
        <v>#REF!</v>
      </c>
      <c r="BD1090" t="e" vm="1">
        <v>#REF!</v>
      </c>
      <c r="BF1090" t="e" vm="2">
        <f t="shared" si="146"/>
        <v>#VALUE!</v>
      </c>
      <c r="BG1090" t="e" vm="2">
        <f t="shared" si="147"/>
        <v>#VALUE!</v>
      </c>
      <c r="BJ1090" s="21" t="e" vm="1">
        <v>#REF!</v>
      </c>
      <c r="BK1090" t="e" vm="1">
        <v>#REF!</v>
      </c>
      <c r="BM1090" t="e" vm="2">
        <f t="shared" si="148"/>
        <v>#VALUE!</v>
      </c>
      <c r="BN1090" t="e" vm="2">
        <f t="shared" si="149"/>
        <v>#VALUE!</v>
      </c>
    </row>
    <row r="1091" spans="55:66" x14ac:dyDescent="0.2">
      <c r="BC1091" s="21" t="e" vm="1">
        <v>#REF!</v>
      </c>
      <c r="BD1091" t="e" vm="1">
        <v>#REF!</v>
      </c>
      <c r="BF1091" t="e" vm="2">
        <f t="shared" ref="BF1091:BF1154" si="150">MONTH(BC1091)</f>
        <v>#VALUE!</v>
      </c>
      <c r="BG1091" t="e" vm="2">
        <f t="shared" ref="BG1091:BG1154" si="151">YEAR(BC1091)</f>
        <v>#VALUE!</v>
      </c>
      <c r="BJ1091" s="21" t="e" vm="1">
        <v>#REF!</v>
      </c>
      <c r="BK1091" t="e" vm="1">
        <v>#REF!</v>
      </c>
      <c r="BM1091" t="e" vm="2">
        <f t="shared" si="148"/>
        <v>#VALUE!</v>
      </c>
      <c r="BN1091" t="e" vm="2">
        <f t="shared" si="149"/>
        <v>#VALUE!</v>
      </c>
    </row>
    <row r="1092" spans="55:66" x14ac:dyDescent="0.2">
      <c r="BC1092" s="21" t="e" vm="1">
        <v>#REF!</v>
      </c>
      <c r="BD1092" t="e" vm="1">
        <v>#REF!</v>
      </c>
      <c r="BF1092" t="e" vm="2">
        <f t="shared" si="150"/>
        <v>#VALUE!</v>
      </c>
      <c r="BG1092" t="e" vm="2">
        <f t="shared" si="151"/>
        <v>#VALUE!</v>
      </c>
      <c r="BJ1092" s="21" t="e" vm="1">
        <v>#REF!</v>
      </c>
      <c r="BK1092" t="e" vm="1">
        <v>#REF!</v>
      </c>
      <c r="BM1092" t="e" vm="2">
        <f t="shared" ref="BM1092:BM1155" si="152">MONTH(BJ1092)</f>
        <v>#VALUE!</v>
      </c>
      <c r="BN1092" t="e" vm="2">
        <f t="shared" ref="BN1092:BN1155" si="153">YEAR(BJ1092)</f>
        <v>#VALUE!</v>
      </c>
    </row>
    <row r="1093" spans="55:66" x14ac:dyDescent="0.2">
      <c r="BC1093" s="21" t="e" vm="1">
        <v>#REF!</v>
      </c>
      <c r="BD1093" t="e" vm="1">
        <v>#REF!</v>
      </c>
      <c r="BF1093" t="e" vm="2">
        <f t="shared" si="150"/>
        <v>#VALUE!</v>
      </c>
      <c r="BG1093" t="e" vm="2">
        <f t="shared" si="151"/>
        <v>#VALUE!</v>
      </c>
      <c r="BJ1093" s="21" t="e" vm="1">
        <v>#REF!</v>
      </c>
      <c r="BK1093" t="e" vm="1">
        <v>#REF!</v>
      </c>
      <c r="BM1093" t="e" vm="2">
        <f t="shared" si="152"/>
        <v>#VALUE!</v>
      </c>
      <c r="BN1093" t="e" vm="2">
        <f t="shared" si="153"/>
        <v>#VALUE!</v>
      </c>
    </row>
    <row r="1094" spans="55:66" x14ac:dyDescent="0.2">
      <c r="BC1094" s="21" t="e" vm="1">
        <v>#REF!</v>
      </c>
      <c r="BD1094" t="e" vm="1">
        <v>#REF!</v>
      </c>
      <c r="BF1094" t="e" vm="2">
        <f t="shared" si="150"/>
        <v>#VALUE!</v>
      </c>
      <c r="BG1094" t="e" vm="2">
        <f t="shared" si="151"/>
        <v>#VALUE!</v>
      </c>
      <c r="BJ1094" s="21" t="e" vm="1">
        <v>#REF!</v>
      </c>
      <c r="BK1094" t="e" vm="1">
        <v>#REF!</v>
      </c>
      <c r="BM1094" t="e" vm="2">
        <f t="shared" si="152"/>
        <v>#VALUE!</v>
      </c>
      <c r="BN1094" t="e" vm="2">
        <f t="shared" si="153"/>
        <v>#VALUE!</v>
      </c>
    </row>
    <row r="1095" spans="55:66" x14ac:dyDescent="0.2">
      <c r="BC1095" s="21" t="e" vm="1">
        <v>#REF!</v>
      </c>
      <c r="BD1095" t="e" vm="1">
        <v>#REF!</v>
      </c>
      <c r="BF1095" t="e" vm="2">
        <f t="shared" si="150"/>
        <v>#VALUE!</v>
      </c>
      <c r="BG1095" t="e" vm="2">
        <f t="shared" si="151"/>
        <v>#VALUE!</v>
      </c>
      <c r="BJ1095" s="21" t="e" vm="1">
        <v>#REF!</v>
      </c>
      <c r="BK1095" t="e" vm="1">
        <v>#REF!</v>
      </c>
      <c r="BM1095" t="e" vm="2">
        <f t="shared" si="152"/>
        <v>#VALUE!</v>
      </c>
      <c r="BN1095" t="e" vm="2">
        <f t="shared" si="153"/>
        <v>#VALUE!</v>
      </c>
    </row>
    <row r="1096" spans="55:66" x14ac:dyDescent="0.2">
      <c r="BC1096" s="21" t="e" vm="1">
        <v>#REF!</v>
      </c>
      <c r="BD1096" t="e" vm="1">
        <v>#REF!</v>
      </c>
      <c r="BF1096" t="e" vm="2">
        <f t="shared" si="150"/>
        <v>#VALUE!</v>
      </c>
      <c r="BG1096" t="e" vm="2">
        <f t="shared" si="151"/>
        <v>#VALUE!</v>
      </c>
      <c r="BJ1096" s="21" t="e" vm="1">
        <v>#REF!</v>
      </c>
      <c r="BK1096" t="e" vm="1">
        <v>#REF!</v>
      </c>
      <c r="BM1096" t="e" vm="2">
        <f t="shared" si="152"/>
        <v>#VALUE!</v>
      </c>
      <c r="BN1096" t="e" vm="2">
        <f t="shared" si="153"/>
        <v>#VALUE!</v>
      </c>
    </row>
    <row r="1097" spans="55:66" x14ac:dyDescent="0.2">
      <c r="BC1097" s="21" t="e" vm="1">
        <v>#REF!</v>
      </c>
      <c r="BD1097" t="e" vm="1">
        <v>#REF!</v>
      </c>
      <c r="BF1097" t="e" vm="2">
        <f t="shared" si="150"/>
        <v>#VALUE!</v>
      </c>
      <c r="BG1097" t="e" vm="2">
        <f t="shared" si="151"/>
        <v>#VALUE!</v>
      </c>
      <c r="BJ1097" s="21" t="e" vm="1">
        <v>#REF!</v>
      </c>
      <c r="BK1097" t="e" vm="1">
        <v>#REF!</v>
      </c>
      <c r="BM1097" t="e" vm="2">
        <f t="shared" si="152"/>
        <v>#VALUE!</v>
      </c>
      <c r="BN1097" t="e" vm="2">
        <f t="shared" si="153"/>
        <v>#VALUE!</v>
      </c>
    </row>
    <row r="1098" spans="55:66" x14ac:dyDescent="0.2">
      <c r="BC1098" s="21" t="e" vm="1">
        <v>#REF!</v>
      </c>
      <c r="BD1098" t="e" vm="1">
        <v>#REF!</v>
      </c>
      <c r="BF1098" t="e" vm="2">
        <f t="shared" si="150"/>
        <v>#VALUE!</v>
      </c>
      <c r="BG1098" t="e" vm="2">
        <f t="shared" si="151"/>
        <v>#VALUE!</v>
      </c>
      <c r="BJ1098" s="21" t="e" vm="1">
        <v>#REF!</v>
      </c>
      <c r="BK1098" t="e" vm="1">
        <v>#REF!</v>
      </c>
      <c r="BM1098" t="e" vm="2">
        <f t="shared" si="152"/>
        <v>#VALUE!</v>
      </c>
      <c r="BN1098" t="e" vm="2">
        <f t="shared" si="153"/>
        <v>#VALUE!</v>
      </c>
    </row>
    <row r="1099" spans="55:66" x14ac:dyDescent="0.2">
      <c r="BC1099" s="21" t="e" vm="1">
        <v>#REF!</v>
      </c>
      <c r="BD1099" t="e" vm="1">
        <v>#REF!</v>
      </c>
      <c r="BF1099" t="e" vm="2">
        <f t="shared" si="150"/>
        <v>#VALUE!</v>
      </c>
      <c r="BG1099" t="e" vm="2">
        <f t="shared" si="151"/>
        <v>#VALUE!</v>
      </c>
      <c r="BJ1099" s="21" t="e" vm="1">
        <v>#REF!</v>
      </c>
      <c r="BK1099" t="e" vm="1">
        <v>#REF!</v>
      </c>
      <c r="BM1099" t="e" vm="2">
        <f t="shared" si="152"/>
        <v>#VALUE!</v>
      </c>
      <c r="BN1099" t="e" vm="2">
        <f t="shared" si="153"/>
        <v>#VALUE!</v>
      </c>
    </row>
    <row r="1100" spans="55:66" x14ac:dyDescent="0.2">
      <c r="BC1100" s="21" t="e" vm="1">
        <v>#REF!</v>
      </c>
      <c r="BD1100" t="e" vm="1">
        <v>#REF!</v>
      </c>
      <c r="BF1100" t="e" vm="2">
        <f t="shared" si="150"/>
        <v>#VALUE!</v>
      </c>
      <c r="BG1100" t="e" vm="2">
        <f t="shared" si="151"/>
        <v>#VALUE!</v>
      </c>
      <c r="BJ1100" s="21" t="e" vm="1">
        <v>#REF!</v>
      </c>
      <c r="BK1100" t="e" vm="1">
        <v>#REF!</v>
      </c>
      <c r="BM1100" t="e" vm="2">
        <f t="shared" si="152"/>
        <v>#VALUE!</v>
      </c>
      <c r="BN1100" t="e" vm="2">
        <f t="shared" si="153"/>
        <v>#VALUE!</v>
      </c>
    </row>
    <row r="1101" spans="55:66" x14ac:dyDescent="0.2">
      <c r="BC1101" s="21" t="e" vm="1">
        <v>#REF!</v>
      </c>
      <c r="BD1101" t="e" vm="1">
        <v>#REF!</v>
      </c>
      <c r="BF1101" t="e" vm="2">
        <f t="shared" si="150"/>
        <v>#VALUE!</v>
      </c>
      <c r="BG1101" t="e" vm="2">
        <f t="shared" si="151"/>
        <v>#VALUE!</v>
      </c>
      <c r="BJ1101" s="21" t="e" vm="1">
        <v>#REF!</v>
      </c>
      <c r="BK1101" t="e" vm="1">
        <v>#REF!</v>
      </c>
      <c r="BM1101" t="e" vm="2">
        <f t="shared" si="152"/>
        <v>#VALUE!</v>
      </c>
      <c r="BN1101" t="e" vm="2">
        <f t="shared" si="153"/>
        <v>#VALUE!</v>
      </c>
    </row>
    <row r="1102" spans="55:66" x14ac:dyDescent="0.2">
      <c r="BC1102" s="21" t="e" vm="1">
        <v>#REF!</v>
      </c>
      <c r="BD1102" t="e" vm="1">
        <v>#REF!</v>
      </c>
      <c r="BF1102" t="e" vm="2">
        <f t="shared" si="150"/>
        <v>#VALUE!</v>
      </c>
      <c r="BG1102" t="e" vm="2">
        <f t="shared" si="151"/>
        <v>#VALUE!</v>
      </c>
      <c r="BJ1102" s="21" t="e" vm="1">
        <v>#REF!</v>
      </c>
      <c r="BK1102" t="e" vm="1">
        <v>#REF!</v>
      </c>
      <c r="BM1102" t="e" vm="2">
        <f t="shared" si="152"/>
        <v>#VALUE!</v>
      </c>
      <c r="BN1102" t="e" vm="2">
        <f t="shared" si="153"/>
        <v>#VALUE!</v>
      </c>
    </row>
    <row r="1103" spans="55:66" x14ac:dyDescent="0.2">
      <c r="BC1103" s="21" t="e" vm="1">
        <v>#REF!</v>
      </c>
      <c r="BD1103" t="e" vm="1">
        <v>#REF!</v>
      </c>
      <c r="BF1103" t="e" vm="2">
        <f t="shared" si="150"/>
        <v>#VALUE!</v>
      </c>
      <c r="BG1103" t="e" vm="2">
        <f t="shared" si="151"/>
        <v>#VALUE!</v>
      </c>
      <c r="BJ1103" s="21" t="e" vm="1">
        <v>#REF!</v>
      </c>
      <c r="BK1103" t="e" vm="1">
        <v>#REF!</v>
      </c>
      <c r="BM1103" t="e" vm="2">
        <f t="shared" si="152"/>
        <v>#VALUE!</v>
      </c>
      <c r="BN1103" t="e" vm="2">
        <f t="shared" si="153"/>
        <v>#VALUE!</v>
      </c>
    </row>
    <row r="1104" spans="55:66" x14ac:dyDescent="0.2">
      <c r="BC1104" s="21" t="e" vm="1">
        <v>#REF!</v>
      </c>
      <c r="BD1104" t="e" vm="1">
        <v>#REF!</v>
      </c>
      <c r="BF1104" t="e" vm="2">
        <f t="shared" si="150"/>
        <v>#VALUE!</v>
      </c>
      <c r="BG1104" t="e" vm="2">
        <f t="shared" si="151"/>
        <v>#VALUE!</v>
      </c>
      <c r="BJ1104" s="21" t="e" vm="1">
        <v>#REF!</v>
      </c>
      <c r="BK1104" t="e" vm="1">
        <v>#REF!</v>
      </c>
      <c r="BM1104" t="e" vm="2">
        <f t="shared" si="152"/>
        <v>#VALUE!</v>
      </c>
      <c r="BN1104" t="e" vm="2">
        <f t="shared" si="153"/>
        <v>#VALUE!</v>
      </c>
    </row>
    <row r="1105" spans="55:66" x14ac:dyDescent="0.2">
      <c r="BC1105" s="21" t="e" vm="1">
        <v>#REF!</v>
      </c>
      <c r="BD1105" t="e" vm="1">
        <v>#REF!</v>
      </c>
      <c r="BF1105" t="e" vm="2">
        <f t="shared" si="150"/>
        <v>#VALUE!</v>
      </c>
      <c r="BG1105" t="e" vm="2">
        <f t="shared" si="151"/>
        <v>#VALUE!</v>
      </c>
      <c r="BJ1105" s="21" t="e" vm="1">
        <v>#REF!</v>
      </c>
      <c r="BK1105" t="e" vm="1">
        <v>#REF!</v>
      </c>
      <c r="BM1105" t="e" vm="2">
        <f t="shared" si="152"/>
        <v>#VALUE!</v>
      </c>
      <c r="BN1105" t="e" vm="2">
        <f t="shared" si="153"/>
        <v>#VALUE!</v>
      </c>
    </row>
    <row r="1106" spans="55:66" x14ac:dyDescent="0.2">
      <c r="BC1106" s="21" t="e" vm="1">
        <v>#REF!</v>
      </c>
      <c r="BD1106" t="e" vm="1">
        <v>#REF!</v>
      </c>
      <c r="BF1106" t="e" vm="2">
        <f t="shared" si="150"/>
        <v>#VALUE!</v>
      </c>
      <c r="BG1106" t="e" vm="2">
        <f t="shared" si="151"/>
        <v>#VALUE!</v>
      </c>
      <c r="BJ1106" s="21" t="e" vm="1">
        <v>#REF!</v>
      </c>
      <c r="BK1106" t="e" vm="1">
        <v>#REF!</v>
      </c>
      <c r="BM1106" t="e" vm="2">
        <f t="shared" si="152"/>
        <v>#VALUE!</v>
      </c>
      <c r="BN1106" t="e" vm="2">
        <f t="shared" si="153"/>
        <v>#VALUE!</v>
      </c>
    </row>
    <row r="1107" spans="55:66" x14ac:dyDescent="0.2">
      <c r="BC1107" s="21" t="e" vm="1">
        <v>#REF!</v>
      </c>
      <c r="BD1107" t="e" vm="1">
        <v>#REF!</v>
      </c>
      <c r="BF1107" t="e" vm="2">
        <f t="shared" si="150"/>
        <v>#VALUE!</v>
      </c>
      <c r="BG1107" t="e" vm="2">
        <f t="shared" si="151"/>
        <v>#VALUE!</v>
      </c>
      <c r="BJ1107" s="21" t="e" vm="1">
        <v>#REF!</v>
      </c>
      <c r="BK1107" t="e" vm="1">
        <v>#REF!</v>
      </c>
      <c r="BM1107" t="e" vm="2">
        <f t="shared" si="152"/>
        <v>#VALUE!</v>
      </c>
      <c r="BN1107" t="e" vm="2">
        <f t="shared" si="153"/>
        <v>#VALUE!</v>
      </c>
    </row>
    <row r="1108" spans="55:66" x14ac:dyDescent="0.2">
      <c r="BC1108" s="21" t="e" vm="1">
        <v>#REF!</v>
      </c>
      <c r="BD1108" t="e" vm="1">
        <v>#REF!</v>
      </c>
      <c r="BF1108" t="e" vm="2">
        <f t="shared" si="150"/>
        <v>#VALUE!</v>
      </c>
      <c r="BG1108" t="e" vm="2">
        <f t="shared" si="151"/>
        <v>#VALUE!</v>
      </c>
      <c r="BJ1108" s="21" t="e" vm="1">
        <v>#REF!</v>
      </c>
      <c r="BK1108" t="e" vm="1">
        <v>#REF!</v>
      </c>
      <c r="BM1108" t="e" vm="2">
        <f t="shared" si="152"/>
        <v>#VALUE!</v>
      </c>
      <c r="BN1108" t="e" vm="2">
        <f t="shared" si="153"/>
        <v>#VALUE!</v>
      </c>
    </row>
    <row r="1109" spans="55:66" x14ac:dyDescent="0.2">
      <c r="BC1109" s="21" t="e" vm="1">
        <v>#REF!</v>
      </c>
      <c r="BD1109" t="e" vm="1">
        <v>#REF!</v>
      </c>
      <c r="BF1109" t="e" vm="2">
        <f t="shared" si="150"/>
        <v>#VALUE!</v>
      </c>
      <c r="BG1109" t="e" vm="2">
        <f t="shared" si="151"/>
        <v>#VALUE!</v>
      </c>
      <c r="BJ1109" s="21" t="e" vm="1">
        <v>#REF!</v>
      </c>
      <c r="BK1109" t="e" vm="1">
        <v>#REF!</v>
      </c>
      <c r="BM1109" t="e" vm="2">
        <f t="shared" si="152"/>
        <v>#VALUE!</v>
      </c>
      <c r="BN1109" t="e" vm="2">
        <f t="shared" si="153"/>
        <v>#VALUE!</v>
      </c>
    </row>
    <row r="1110" spans="55:66" x14ac:dyDescent="0.2">
      <c r="BC1110" s="21" t="e" vm="1">
        <v>#REF!</v>
      </c>
      <c r="BD1110" t="e" vm="1">
        <v>#REF!</v>
      </c>
      <c r="BF1110" t="e" vm="2">
        <f t="shared" si="150"/>
        <v>#VALUE!</v>
      </c>
      <c r="BG1110" t="e" vm="2">
        <f t="shared" si="151"/>
        <v>#VALUE!</v>
      </c>
      <c r="BJ1110" s="21" t="e" vm="1">
        <v>#REF!</v>
      </c>
      <c r="BK1110" t="e" vm="1">
        <v>#REF!</v>
      </c>
      <c r="BM1110" t="e" vm="2">
        <f t="shared" si="152"/>
        <v>#VALUE!</v>
      </c>
      <c r="BN1110" t="e" vm="2">
        <f t="shared" si="153"/>
        <v>#VALUE!</v>
      </c>
    </row>
    <row r="1111" spans="55:66" x14ac:dyDescent="0.2">
      <c r="BC1111" s="21" t="e" vm="1">
        <v>#REF!</v>
      </c>
      <c r="BD1111" t="e" vm="1">
        <v>#REF!</v>
      </c>
      <c r="BF1111" t="e" vm="2">
        <f t="shared" si="150"/>
        <v>#VALUE!</v>
      </c>
      <c r="BG1111" t="e" vm="2">
        <f t="shared" si="151"/>
        <v>#VALUE!</v>
      </c>
      <c r="BJ1111" s="21" t="e" vm="1">
        <v>#REF!</v>
      </c>
      <c r="BK1111" t="e" vm="1">
        <v>#REF!</v>
      </c>
      <c r="BM1111" t="e" vm="2">
        <f t="shared" si="152"/>
        <v>#VALUE!</v>
      </c>
      <c r="BN1111" t="e" vm="2">
        <f t="shared" si="153"/>
        <v>#VALUE!</v>
      </c>
    </row>
    <row r="1112" spans="55:66" x14ac:dyDescent="0.2">
      <c r="BC1112" s="21" t="e" vm="1">
        <v>#REF!</v>
      </c>
      <c r="BD1112" t="e" vm="1">
        <v>#REF!</v>
      </c>
      <c r="BF1112" t="e" vm="2">
        <f t="shared" si="150"/>
        <v>#VALUE!</v>
      </c>
      <c r="BG1112" t="e" vm="2">
        <f t="shared" si="151"/>
        <v>#VALUE!</v>
      </c>
      <c r="BJ1112" s="21" t="e" vm="1">
        <v>#REF!</v>
      </c>
      <c r="BK1112" t="e" vm="1">
        <v>#REF!</v>
      </c>
      <c r="BM1112" t="e" vm="2">
        <f t="shared" si="152"/>
        <v>#VALUE!</v>
      </c>
      <c r="BN1112" t="e" vm="2">
        <f t="shared" si="153"/>
        <v>#VALUE!</v>
      </c>
    </row>
    <row r="1113" spans="55:66" x14ac:dyDescent="0.2">
      <c r="BC1113" s="21" t="e" vm="1">
        <v>#REF!</v>
      </c>
      <c r="BD1113" t="e" vm="1">
        <v>#REF!</v>
      </c>
      <c r="BF1113" t="e" vm="2">
        <f t="shared" si="150"/>
        <v>#VALUE!</v>
      </c>
      <c r="BG1113" t="e" vm="2">
        <f t="shared" si="151"/>
        <v>#VALUE!</v>
      </c>
      <c r="BJ1113" s="21" t="e" vm="1">
        <v>#REF!</v>
      </c>
      <c r="BK1113" t="e" vm="1">
        <v>#REF!</v>
      </c>
      <c r="BM1113" t="e" vm="2">
        <f t="shared" si="152"/>
        <v>#VALUE!</v>
      </c>
      <c r="BN1113" t="e" vm="2">
        <f t="shared" si="153"/>
        <v>#VALUE!</v>
      </c>
    </row>
    <row r="1114" spans="55:66" x14ac:dyDescent="0.2">
      <c r="BC1114" s="21" t="e" vm="1">
        <v>#REF!</v>
      </c>
      <c r="BD1114" t="e" vm="1">
        <v>#REF!</v>
      </c>
      <c r="BF1114" t="e" vm="2">
        <f t="shared" si="150"/>
        <v>#VALUE!</v>
      </c>
      <c r="BG1114" t="e" vm="2">
        <f t="shared" si="151"/>
        <v>#VALUE!</v>
      </c>
      <c r="BJ1114" s="21" t="e" vm="1">
        <v>#REF!</v>
      </c>
      <c r="BK1114" t="e" vm="1">
        <v>#REF!</v>
      </c>
      <c r="BM1114" t="e" vm="2">
        <f t="shared" si="152"/>
        <v>#VALUE!</v>
      </c>
      <c r="BN1114" t="e" vm="2">
        <f t="shared" si="153"/>
        <v>#VALUE!</v>
      </c>
    </row>
    <row r="1115" spans="55:66" x14ac:dyDescent="0.2">
      <c r="BC1115" s="21" t="e" vm="1">
        <v>#REF!</v>
      </c>
      <c r="BD1115" t="e" vm="1">
        <v>#REF!</v>
      </c>
      <c r="BF1115" t="e" vm="2">
        <f t="shared" si="150"/>
        <v>#VALUE!</v>
      </c>
      <c r="BG1115" t="e" vm="2">
        <f t="shared" si="151"/>
        <v>#VALUE!</v>
      </c>
      <c r="BJ1115" s="21" t="e" vm="1">
        <v>#REF!</v>
      </c>
      <c r="BK1115" t="e" vm="1">
        <v>#REF!</v>
      </c>
      <c r="BM1115" t="e" vm="2">
        <f t="shared" si="152"/>
        <v>#VALUE!</v>
      </c>
      <c r="BN1115" t="e" vm="2">
        <f t="shared" si="153"/>
        <v>#VALUE!</v>
      </c>
    </row>
    <row r="1116" spans="55:66" x14ac:dyDescent="0.2">
      <c r="BC1116" s="21" t="e" vm="1">
        <v>#REF!</v>
      </c>
      <c r="BD1116" t="e" vm="1">
        <v>#REF!</v>
      </c>
      <c r="BF1116" t="e" vm="2">
        <f t="shared" si="150"/>
        <v>#VALUE!</v>
      </c>
      <c r="BG1116" t="e" vm="2">
        <f t="shared" si="151"/>
        <v>#VALUE!</v>
      </c>
      <c r="BJ1116" s="21" t="e" vm="1">
        <v>#REF!</v>
      </c>
      <c r="BK1116" t="e" vm="1">
        <v>#REF!</v>
      </c>
      <c r="BM1116" t="e" vm="2">
        <f t="shared" si="152"/>
        <v>#VALUE!</v>
      </c>
      <c r="BN1116" t="e" vm="2">
        <f t="shared" si="153"/>
        <v>#VALUE!</v>
      </c>
    </row>
    <row r="1117" spans="55:66" x14ac:dyDescent="0.2">
      <c r="BC1117" s="21" t="e" vm="1">
        <v>#REF!</v>
      </c>
      <c r="BD1117" t="e" vm="1">
        <v>#REF!</v>
      </c>
      <c r="BF1117" t="e" vm="2">
        <f t="shared" si="150"/>
        <v>#VALUE!</v>
      </c>
      <c r="BG1117" t="e" vm="2">
        <f t="shared" si="151"/>
        <v>#VALUE!</v>
      </c>
      <c r="BJ1117" s="21" t="e" vm="1">
        <v>#REF!</v>
      </c>
      <c r="BK1117" t="e" vm="1">
        <v>#REF!</v>
      </c>
      <c r="BM1117" t="e" vm="2">
        <f t="shared" si="152"/>
        <v>#VALUE!</v>
      </c>
      <c r="BN1117" t="e" vm="2">
        <f t="shared" si="153"/>
        <v>#VALUE!</v>
      </c>
    </row>
    <row r="1118" spans="55:66" x14ac:dyDescent="0.2">
      <c r="BC1118" s="21" t="e" vm="1">
        <v>#REF!</v>
      </c>
      <c r="BD1118" t="e" vm="1">
        <v>#REF!</v>
      </c>
      <c r="BF1118" t="e" vm="2">
        <f t="shared" si="150"/>
        <v>#VALUE!</v>
      </c>
      <c r="BG1118" t="e" vm="2">
        <f t="shared" si="151"/>
        <v>#VALUE!</v>
      </c>
      <c r="BJ1118" s="21" t="e" vm="1">
        <v>#REF!</v>
      </c>
      <c r="BK1118" t="e" vm="1">
        <v>#REF!</v>
      </c>
      <c r="BM1118" t="e" vm="2">
        <f t="shared" si="152"/>
        <v>#VALUE!</v>
      </c>
      <c r="BN1118" t="e" vm="2">
        <f t="shared" si="153"/>
        <v>#VALUE!</v>
      </c>
    </row>
    <row r="1119" spans="55:66" x14ac:dyDescent="0.2">
      <c r="BC1119" s="21" t="e" vm="1">
        <v>#REF!</v>
      </c>
      <c r="BD1119" t="e" vm="1">
        <v>#REF!</v>
      </c>
      <c r="BF1119" t="e" vm="2">
        <f t="shared" si="150"/>
        <v>#VALUE!</v>
      </c>
      <c r="BG1119" t="e" vm="2">
        <f t="shared" si="151"/>
        <v>#VALUE!</v>
      </c>
      <c r="BJ1119" s="21" t="e" vm="1">
        <v>#REF!</v>
      </c>
      <c r="BK1119" t="e" vm="1">
        <v>#REF!</v>
      </c>
      <c r="BM1119" t="e" vm="2">
        <f t="shared" si="152"/>
        <v>#VALUE!</v>
      </c>
      <c r="BN1119" t="e" vm="2">
        <f t="shared" si="153"/>
        <v>#VALUE!</v>
      </c>
    </row>
    <row r="1120" spans="55:66" x14ac:dyDescent="0.2">
      <c r="BC1120" s="21" t="e" vm="1">
        <v>#REF!</v>
      </c>
      <c r="BD1120" t="e" vm="1">
        <v>#REF!</v>
      </c>
      <c r="BF1120" t="e" vm="2">
        <f t="shared" si="150"/>
        <v>#VALUE!</v>
      </c>
      <c r="BG1120" t="e" vm="2">
        <f t="shared" si="151"/>
        <v>#VALUE!</v>
      </c>
      <c r="BJ1120" s="21" t="e" vm="1">
        <v>#REF!</v>
      </c>
      <c r="BK1120" t="e" vm="1">
        <v>#REF!</v>
      </c>
      <c r="BM1120" t="e" vm="2">
        <f t="shared" si="152"/>
        <v>#VALUE!</v>
      </c>
      <c r="BN1120" t="e" vm="2">
        <f t="shared" si="153"/>
        <v>#VALUE!</v>
      </c>
    </row>
    <row r="1121" spans="55:66" x14ac:dyDescent="0.2">
      <c r="BC1121" s="21" t="e" vm="1">
        <v>#REF!</v>
      </c>
      <c r="BD1121" t="e" vm="1">
        <v>#REF!</v>
      </c>
      <c r="BF1121" t="e" vm="2">
        <f t="shared" si="150"/>
        <v>#VALUE!</v>
      </c>
      <c r="BG1121" t="e" vm="2">
        <f t="shared" si="151"/>
        <v>#VALUE!</v>
      </c>
      <c r="BJ1121" s="21" t="e" vm="1">
        <v>#REF!</v>
      </c>
      <c r="BK1121" t="e" vm="1">
        <v>#REF!</v>
      </c>
      <c r="BM1121" t="e" vm="2">
        <f t="shared" si="152"/>
        <v>#VALUE!</v>
      </c>
      <c r="BN1121" t="e" vm="2">
        <f t="shared" si="153"/>
        <v>#VALUE!</v>
      </c>
    </row>
    <row r="1122" spans="55:66" x14ac:dyDescent="0.2">
      <c r="BC1122" s="21" t="e" vm="1">
        <v>#REF!</v>
      </c>
      <c r="BD1122" t="e" vm="1">
        <v>#REF!</v>
      </c>
      <c r="BF1122" t="e" vm="2">
        <f t="shared" si="150"/>
        <v>#VALUE!</v>
      </c>
      <c r="BG1122" t="e" vm="2">
        <f t="shared" si="151"/>
        <v>#VALUE!</v>
      </c>
      <c r="BJ1122" s="21" t="e" vm="1">
        <v>#REF!</v>
      </c>
      <c r="BK1122" t="e" vm="1">
        <v>#REF!</v>
      </c>
      <c r="BM1122" t="e" vm="2">
        <f t="shared" si="152"/>
        <v>#VALUE!</v>
      </c>
      <c r="BN1122" t="e" vm="2">
        <f t="shared" si="153"/>
        <v>#VALUE!</v>
      </c>
    </row>
    <row r="1123" spans="55:66" x14ac:dyDescent="0.2">
      <c r="BC1123" s="21" t="e" vm="1">
        <v>#REF!</v>
      </c>
      <c r="BD1123" t="e" vm="1">
        <v>#REF!</v>
      </c>
      <c r="BF1123" t="e" vm="2">
        <f t="shared" si="150"/>
        <v>#VALUE!</v>
      </c>
      <c r="BG1123" t="e" vm="2">
        <f t="shared" si="151"/>
        <v>#VALUE!</v>
      </c>
      <c r="BJ1123" s="21" t="e" vm="1">
        <v>#REF!</v>
      </c>
      <c r="BK1123" t="e" vm="1">
        <v>#REF!</v>
      </c>
      <c r="BM1123" t="e" vm="2">
        <f t="shared" si="152"/>
        <v>#VALUE!</v>
      </c>
      <c r="BN1123" t="e" vm="2">
        <f t="shared" si="153"/>
        <v>#VALUE!</v>
      </c>
    </row>
    <row r="1124" spans="55:66" x14ac:dyDescent="0.2">
      <c r="BC1124" s="21" t="e" vm="1">
        <v>#REF!</v>
      </c>
      <c r="BD1124" t="e" vm="1">
        <v>#REF!</v>
      </c>
      <c r="BF1124" t="e" vm="2">
        <f t="shared" si="150"/>
        <v>#VALUE!</v>
      </c>
      <c r="BG1124" t="e" vm="2">
        <f t="shared" si="151"/>
        <v>#VALUE!</v>
      </c>
      <c r="BJ1124" s="21" t="e" vm="1">
        <v>#REF!</v>
      </c>
      <c r="BK1124" t="e" vm="1">
        <v>#REF!</v>
      </c>
      <c r="BM1124" t="e" vm="2">
        <f t="shared" si="152"/>
        <v>#VALUE!</v>
      </c>
      <c r="BN1124" t="e" vm="2">
        <f t="shared" si="153"/>
        <v>#VALUE!</v>
      </c>
    </row>
    <row r="1125" spans="55:66" x14ac:dyDescent="0.2">
      <c r="BC1125" s="21" t="e" vm="1">
        <v>#REF!</v>
      </c>
      <c r="BD1125" t="e" vm="1">
        <v>#REF!</v>
      </c>
      <c r="BF1125" t="e" vm="2">
        <f t="shared" si="150"/>
        <v>#VALUE!</v>
      </c>
      <c r="BG1125" t="e" vm="2">
        <f t="shared" si="151"/>
        <v>#VALUE!</v>
      </c>
      <c r="BJ1125" s="21" t="e" vm="1">
        <v>#REF!</v>
      </c>
      <c r="BK1125" t="e" vm="1">
        <v>#REF!</v>
      </c>
      <c r="BM1125" t="e" vm="2">
        <f t="shared" si="152"/>
        <v>#VALUE!</v>
      </c>
      <c r="BN1125" t="e" vm="2">
        <f t="shared" si="153"/>
        <v>#VALUE!</v>
      </c>
    </row>
    <row r="1126" spans="55:66" x14ac:dyDescent="0.2">
      <c r="BC1126" s="21" t="e" vm="1">
        <v>#REF!</v>
      </c>
      <c r="BD1126" t="e" vm="1">
        <v>#REF!</v>
      </c>
      <c r="BF1126" t="e" vm="2">
        <f t="shared" si="150"/>
        <v>#VALUE!</v>
      </c>
      <c r="BG1126" t="e" vm="2">
        <f t="shared" si="151"/>
        <v>#VALUE!</v>
      </c>
      <c r="BJ1126" s="21" t="e" vm="1">
        <v>#REF!</v>
      </c>
      <c r="BK1126" t="e" vm="1">
        <v>#REF!</v>
      </c>
      <c r="BM1126" t="e" vm="2">
        <f t="shared" si="152"/>
        <v>#VALUE!</v>
      </c>
      <c r="BN1126" t="e" vm="2">
        <f t="shared" si="153"/>
        <v>#VALUE!</v>
      </c>
    </row>
    <row r="1127" spans="55:66" x14ac:dyDescent="0.2">
      <c r="BC1127" s="21" t="e" vm="1">
        <v>#REF!</v>
      </c>
      <c r="BD1127" t="e" vm="1">
        <v>#REF!</v>
      </c>
      <c r="BF1127" t="e" vm="2">
        <f t="shared" si="150"/>
        <v>#VALUE!</v>
      </c>
      <c r="BG1127" t="e" vm="2">
        <f t="shared" si="151"/>
        <v>#VALUE!</v>
      </c>
      <c r="BJ1127" s="21" t="e" vm="1">
        <v>#REF!</v>
      </c>
      <c r="BK1127" t="e" vm="1">
        <v>#REF!</v>
      </c>
      <c r="BM1127" t="e" vm="2">
        <f t="shared" si="152"/>
        <v>#VALUE!</v>
      </c>
      <c r="BN1127" t="e" vm="2">
        <f t="shared" si="153"/>
        <v>#VALUE!</v>
      </c>
    </row>
    <row r="1128" spans="55:66" x14ac:dyDescent="0.2">
      <c r="BC1128" s="21" t="e" vm="1">
        <v>#REF!</v>
      </c>
      <c r="BD1128" t="e" vm="1">
        <v>#REF!</v>
      </c>
      <c r="BF1128" t="e" vm="2">
        <f t="shared" si="150"/>
        <v>#VALUE!</v>
      </c>
      <c r="BG1128" t="e" vm="2">
        <f t="shared" si="151"/>
        <v>#VALUE!</v>
      </c>
      <c r="BJ1128" s="21" t="e" vm="1">
        <v>#REF!</v>
      </c>
      <c r="BK1128" t="e" vm="1">
        <v>#REF!</v>
      </c>
      <c r="BM1128" t="e" vm="2">
        <f t="shared" si="152"/>
        <v>#VALUE!</v>
      </c>
      <c r="BN1128" t="e" vm="2">
        <f t="shared" si="153"/>
        <v>#VALUE!</v>
      </c>
    </row>
    <row r="1129" spans="55:66" x14ac:dyDescent="0.2">
      <c r="BC1129" s="21" t="e" vm="1">
        <v>#REF!</v>
      </c>
      <c r="BD1129" t="e" vm="1">
        <v>#REF!</v>
      </c>
      <c r="BF1129" t="e" vm="2">
        <f t="shared" si="150"/>
        <v>#VALUE!</v>
      </c>
      <c r="BG1129" t="e" vm="2">
        <f t="shared" si="151"/>
        <v>#VALUE!</v>
      </c>
      <c r="BJ1129" s="21" t="e" vm="1">
        <v>#REF!</v>
      </c>
      <c r="BK1129" t="e" vm="1">
        <v>#REF!</v>
      </c>
      <c r="BM1129" t="e" vm="2">
        <f t="shared" si="152"/>
        <v>#VALUE!</v>
      </c>
      <c r="BN1129" t="e" vm="2">
        <f t="shared" si="153"/>
        <v>#VALUE!</v>
      </c>
    </row>
    <row r="1130" spans="55:66" x14ac:dyDescent="0.2">
      <c r="BC1130" s="21" t="e" vm="1">
        <v>#REF!</v>
      </c>
      <c r="BD1130" t="e" vm="1">
        <v>#REF!</v>
      </c>
      <c r="BF1130" t="e" vm="2">
        <f t="shared" si="150"/>
        <v>#VALUE!</v>
      </c>
      <c r="BG1130" t="e" vm="2">
        <f t="shared" si="151"/>
        <v>#VALUE!</v>
      </c>
      <c r="BJ1130" s="21" t="e" vm="1">
        <v>#REF!</v>
      </c>
      <c r="BK1130" t="e" vm="1">
        <v>#REF!</v>
      </c>
      <c r="BM1130" t="e" vm="2">
        <f t="shared" si="152"/>
        <v>#VALUE!</v>
      </c>
      <c r="BN1130" t="e" vm="2">
        <f t="shared" si="153"/>
        <v>#VALUE!</v>
      </c>
    </row>
    <row r="1131" spans="55:66" x14ac:dyDescent="0.2">
      <c r="BC1131" s="21" t="e" vm="1">
        <v>#REF!</v>
      </c>
      <c r="BD1131" t="e" vm="1">
        <v>#REF!</v>
      </c>
      <c r="BF1131" t="e" vm="2">
        <f t="shared" si="150"/>
        <v>#VALUE!</v>
      </c>
      <c r="BG1131" t="e" vm="2">
        <f t="shared" si="151"/>
        <v>#VALUE!</v>
      </c>
      <c r="BJ1131" s="21" t="e" vm="1">
        <v>#REF!</v>
      </c>
      <c r="BK1131" t="e" vm="1">
        <v>#REF!</v>
      </c>
      <c r="BM1131" t="e" vm="2">
        <f t="shared" si="152"/>
        <v>#VALUE!</v>
      </c>
      <c r="BN1131" t="e" vm="2">
        <f t="shared" si="153"/>
        <v>#VALUE!</v>
      </c>
    </row>
    <row r="1132" spans="55:66" x14ac:dyDescent="0.2">
      <c r="BC1132" s="21" t="e" vm="1">
        <v>#REF!</v>
      </c>
      <c r="BD1132" t="e" vm="1">
        <v>#REF!</v>
      </c>
      <c r="BF1132" t="e" vm="2">
        <f t="shared" si="150"/>
        <v>#VALUE!</v>
      </c>
      <c r="BG1132" t="e" vm="2">
        <f t="shared" si="151"/>
        <v>#VALUE!</v>
      </c>
      <c r="BJ1132" s="21" t="e" vm="1">
        <v>#REF!</v>
      </c>
      <c r="BK1132" t="e" vm="1">
        <v>#REF!</v>
      </c>
      <c r="BM1132" t="e" vm="2">
        <f t="shared" si="152"/>
        <v>#VALUE!</v>
      </c>
      <c r="BN1132" t="e" vm="2">
        <f t="shared" si="153"/>
        <v>#VALUE!</v>
      </c>
    </row>
    <row r="1133" spans="55:66" x14ac:dyDescent="0.2">
      <c r="BC1133" s="21" t="e" vm="1">
        <v>#REF!</v>
      </c>
      <c r="BD1133" t="e" vm="1">
        <v>#REF!</v>
      </c>
      <c r="BF1133" t="e" vm="2">
        <f t="shared" si="150"/>
        <v>#VALUE!</v>
      </c>
      <c r="BG1133" t="e" vm="2">
        <f t="shared" si="151"/>
        <v>#VALUE!</v>
      </c>
      <c r="BJ1133" s="21" t="e" vm="1">
        <v>#REF!</v>
      </c>
      <c r="BK1133" t="e" vm="1">
        <v>#REF!</v>
      </c>
      <c r="BM1133" t="e" vm="2">
        <f t="shared" si="152"/>
        <v>#VALUE!</v>
      </c>
      <c r="BN1133" t="e" vm="2">
        <f t="shared" si="153"/>
        <v>#VALUE!</v>
      </c>
    </row>
    <row r="1134" spans="55:66" x14ac:dyDescent="0.2">
      <c r="BC1134" s="21" t="e" vm="1">
        <v>#REF!</v>
      </c>
      <c r="BD1134" t="e" vm="1">
        <v>#REF!</v>
      </c>
      <c r="BF1134" t="e" vm="2">
        <f t="shared" si="150"/>
        <v>#VALUE!</v>
      </c>
      <c r="BG1134" t="e" vm="2">
        <f t="shared" si="151"/>
        <v>#VALUE!</v>
      </c>
      <c r="BJ1134" s="21" t="e" vm="1">
        <v>#REF!</v>
      </c>
      <c r="BK1134" t="e" vm="1">
        <v>#REF!</v>
      </c>
      <c r="BM1134" t="e" vm="2">
        <f t="shared" si="152"/>
        <v>#VALUE!</v>
      </c>
      <c r="BN1134" t="e" vm="2">
        <f t="shared" si="153"/>
        <v>#VALUE!</v>
      </c>
    </row>
    <row r="1135" spans="55:66" x14ac:dyDescent="0.2">
      <c r="BC1135" s="21" t="e" vm="1">
        <v>#REF!</v>
      </c>
      <c r="BD1135" t="e" vm="1">
        <v>#REF!</v>
      </c>
      <c r="BF1135" t="e" vm="2">
        <f t="shared" si="150"/>
        <v>#VALUE!</v>
      </c>
      <c r="BG1135" t="e" vm="2">
        <f t="shared" si="151"/>
        <v>#VALUE!</v>
      </c>
      <c r="BJ1135" s="21" t="e" vm="1">
        <v>#REF!</v>
      </c>
      <c r="BK1135" t="e" vm="1">
        <v>#REF!</v>
      </c>
      <c r="BM1135" t="e" vm="2">
        <f t="shared" si="152"/>
        <v>#VALUE!</v>
      </c>
      <c r="BN1135" t="e" vm="2">
        <f t="shared" si="153"/>
        <v>#VALUE!</v>
      </c>
    </row>
    <row r="1136" spans="55:66" x14ac:dyDescent="0.2">
      <c r="BC1136" s="21" t="e" vm="1">
        <v>#REF!</v>
      </c>
      <c r="BD1136" t="e" vm="1">
        <v>#REF!</v>
      </c>
      <c r="BF1136" t="e" vm="2">
        <f t="shared" si="150"/>
        <v>#VALUE!</v>
      </c>
      <c r="BG1136" t="e" vm="2">
        <f t="shared" si="151"/>
        <v>#VALUE!</v>
      </c>
      <c r="BJ1136" s="21" t="e" vm="1">
        <v>#REF!</v>
      </c>
      <c r="BK1136" t="e" vm="1">
        <v>#REF!</v>
      </c>
      <c r="BM1136" t="e" vm="2">
        <f t="shared" si="152"/>
        <v>#VALUE!</v>
      </c>
      <c r="BN1136" t="e" vm="2">
        <f t="shared" si="153"/>
        <v>#VALUE!</v>
      </c>
    </row>
    <row r="1137" spans="55:66" x14ac:dyDescent="0.2">
      <c r="BC1137" s="21" t="e" vm="1">
        <v>#REF!</v>
      </c>
      <c r="BD1137" t="e" vm="1">
        <v>#REF!</v>
      </c>
      <c r="BF1137" t="e" vm="2">
        <f t="shared" si="150"/>
        <v>#VALUE!</v>
      </c>
      <c r="BG1137" t="e" vm="2">
        <f t="shared" si="151"/>
        <v>#VALUE!</v>
      </c>
      <c r="BJ1137" s="21" t="e" vm="1">
        <v>#REF!</v>
      </c>
      <c r="BK1137" t="e" vm="1">
        <v>#REF!</v>
      </c>
      <c r="BM1137" t="e" vm="2">
        <f t="shared" si="152"/>
        <v>#VALUE!</v>
      </c>
      <c r="BN1137" t="e" vm="2">
        <f t="shared" si="153"/>
        <v>#VALUE!</v>
      </c>
    </row>
    <row r="1138" spans="55:66" x14ac:dyDescent="0.2">
      <c r="BC1138" s="21" t="e" vm="1">
        <v>#REF!</v>
      </c>
      <c r="BD1138" t="e" vm="1">
        <v>#REF!</v>
      </c>
      <c r="BF1138" t="e" vm="2">
        <f t="shared" si="150"/>
        <v>#VALUE!</v>
      </c>
      <c r="BG1138" t="e" vm="2">
        <f t="shared" si="151"/>
        <v>#VALUE!</v>
      </c>
      <c r="BJ1138" s="21" t="e" vm="1">
        <v>#REF!</v>
      </c>
      <c r="BK1138" t="e" vm="1">
        <v>#REF!</v>
      </c>
      <c r="BM1138" t="e" vm="2">
        <f t="shared" si="152"/>
        <v>#VALUE!</v>
      </c>
      <c r="BN1138" t="e" vm="2">
        <f t="shared" si="153"/>
        <v>#VALUE!</v>
      </c>
    </row>
    <row r="1139" spans="55:66" x14ac:dyDescent="0.2">
      <c r="BC1139" s="21" t="e" vm="1">
        <v>#REF!</v>
      </c>
      <c r="BD1139" t="e" vm="1">
        <v>#REF!</v>
      </c>
      <c r="BF1139" t="e" vm="2">
        <f t="shared" si="150"/>
        <v>#VALUE!</v>
      </c>
      <c r="BG1139" t="e" vm="2">
        <f t="shared" si="151"/>
        <v>#VALUE!</v>
      </c>
      <c r="BJ1139" s="21" t="e" vm="1">
        <v>#REF!</v>
      </c>
      <c r="BK1139" t="e" vm="1">
        <v>#REF!</v>
      </c>
      <c r="BM1139" t="e" vm="2">
        <f t="shared" si="152"/>
        <v>#VALUE!</v>
      </c>
      <c r="BN1139" t="e" vm="2">
        <f t="shared" si="153"/>
        <v>#VALUE!</v>
      </c>
    </row>
    <row r="1140" spans="55:66" x14ac:dyDescent="0.2">
      <c r="BC1140" s="21" t="e" vm="1">
        <v>#REF!</v>
      </c>
      <c r="BD1140" t="e" vm="1">
        <v>#REF!</v>
      </c>
      <c r="BF1140" t="e" vm="2">
        <f t="shared" si="150"/>
        <v>#VALUE!</v>
      </c>
      <c r="BG1140" t="e" vm="2">
        <f t="shared" si="151"/>
        <v>#VALUE!</v>
      </c>
      <c r="BJ1140" s="21" t="e" vm="1">
        <v>#REF!</v>
      </c>
      <c r="BK1140" t="e" vm="1">
        <v>#REF!</v>
      </c>
      <c r="BM1140" t="e" vm="2">
        <f t="shared" si="152"/>
        <v>#VALUE!</v>
      </c>
      <c r="BN1140" t="e" vm="2">
        <f t="shared" si="153"/>
        <v>#VALUE!</v>
      </c>
    </row>
    <row r="1141" spans="55:66" x14ac:dyDescent="0.2">
      <c r="BC1141" s="21" t="e" vm="1">
        <v>#REF!</v>
      </c>
      <c r="BD1141" t="e" vm="1">
        <v>#REF!</v>
      </c>
      <c r="BF1141" t="e" vm="2">
        <f t="shared" si="150"/>
        <v>#VALUE!</v>
      </c>
      <c r="BG1141" t="e" vm="2">
        <f t="shared" si="151"/>
        <v>#VALUE!</v>
      </c>
      <c r="BJ1141" s="21" t="e" vm="1">
        <v>#REF!</v>
      </c>
      <c r="BK1141" t="e" vm="1">
        <v>#REF!</v>
      </c>
      <c r="BM1141" t="e" vm="2">
        <f t="shared" si="152"/>
        <v>#VALUE!</v>
      </c>
      <c r="BN1141" t="e" vm="2">
        <f t="shared" si="153"/>
        <v>#VALUE!</v>
      </c>
    </row>
    <row r="1142" spans="55:66" x14ac:dyDescent="0.2">
      <c r="BC1142" s="21" t="e" vm="1">
        <v>#REF!</v>
      </c>
      <c r="BD1142" t="e" vm="1">
        <v>#REF!</v>
      </c>
      <c r="BF1142" t="e" vm="2">
        <f t="shared" si="150"/>
        <v>#VALUE!</v>
      </c>
      <c r="BG1142" t="e" vm="2">
        <f t="shared" si="151"/>
        <v>#VALUE!</v>
      </c>
      <c r="BJ1142" s="21" t="e" vm="1">
        <v>#REF!</v>
      </c>
      <c r="BK1142" t="e" vm="1">
        <v>#REF!</v>
      </c>
      <c r="BM1142" t="e" vm="2">
        <f t="shared" si="152"/>
        <v>#VALUE!</v>
      </c>
      <c r="BN1142" t="e" vm="2">
        <f t="shared" si="153"/>
        <v>#VALUE!</v>
      </c>
    </row>
    <row r="1143" spans="55:66" x14ac:dyDescent="0.2">
      <c r="BC1143" s="21" t="e" vm="1">
        <v>#REF!</v>
      </c>
      <c r="BD1143" t="e" vm="1">
        <v>#REF!</v>
      </c>
      <c r="BF1143" t="e" vm="2">
        <f t="shared" si="150"/>
        <v>#VALUE!</v>
      </c>
      <c r="BG1143" t="e" vm="2">
        <f t="shared" si="151"/>
        <v>#VALUE!</v>
      </c>
      <c r="BJ1143" s="21" t="e" vm="1">
        <v>#REF!</v>
      </c>
      <c r="BK1143" t="e" vm="1">
        <v>#REF!</v>
      </c>
      <c r="BM1143" t="e" vm="2">
        <f t="shared" si="152"/>
        <v>#VALUE!</v>
      </c>
      <c r="BN1143" t="e" vm="2">
        <f t="shared" si="153"/>
        <v>#VALUE!</v>
      </c>
    </row>
    <row r="1144" spans="55:66" x14ac:dyDescent="0.2">
      <c r="BC1144" s="21" t="e" vm="1">
        <v>#REF!</v>
      </c>
      <c r="BD1144" t="e" vm="1">
        <v>#REF!</v>
      </c>
      <c r="BF1144" t="e" vm="2">
        <f t="shared" si="150"/>
        <v>#VALUE!</v>
      </c>
      <c r="BG1144" t="e" vm="2">
        <f t="shared" si="151"/>
        <v>#VALUE!</v>
      </c>
      <c r="BJ1144" s="21" t="e" vm="1">
        <v>#REF!</v>
      </c>
      <c r="BK1144" t="e" vm="1">
        <v>#REF!</v>
      </c>
      <c r="BM1144" t="e" vm="2">
        <f t="shared" si="152"/>
        <v>#VALUE!</v>
      </c>
      <c r="BN1144" t="e" vm="2">
        <f t="shared" si="153"/>
        <v>#VALUE!</v>
      </c>
    </row>
    <row r="1145" spans="55:66" x14ac:dyDescent="0.2">
      <c r="BC1145" s="21" t="e" vm="1">
        <v>#REF!</v>
      </c>
      <c r="BD1145" t="e" vm="1">
        <v>#REF!</v>
      </c>
      <c r="BF1145" t="e" vm="2">
        <f t="shared" si="150"/>
        <v>#VALUE!</v>
      </c>
      <c r="BG1145" t="e" vm="2">
        <f t="shared" si="151"/>
        <v>#VALUE!</v>
      </c>
      <c r="BJ1145" s="21" t="e" vm="1">
        <v>#REF!</v>
      </c>
      <c r="BK1145" t="e" vm="1">
        <v>#REF!</v>
      </c>
      <c r="BM1145" t="e" vm="2">
        <f t="shared" si="152"/>
        <v>#VALUE!</v>
      </c>
      <c r="BN1145" t="e" vm="2">
        <f t="shared" si="153"/>
        <v>#VALUE!</v>
      </c>
    </row>
    <row r="1146" spans="55:66" x14ac:dyDescent="0.2">
      <c r="BC1146" s="21" t="e" vm="1">
        <v>#REF!</v>
      </c>
      <c r="BD1146" t="e" vm="1">
        <v>#REF!</v>
      </c>
      <c r="BF1146" t="e" vm="2">
        <f t="shared" si="150"/>
        <v>#VALUE!</v>
      </c>
      <c r="BG1146" t="e" vm="2">
        <f t="shared" si="151"/>
        <v>#VALUE!</v>
      </c>
      <c r="BJ1146" s="21" t="e" vm="1">
        <v>#REF!</v>
      </c>
      <c r="BK1146" t="e" vm="1">
        <v>#REF!</v>
      </c>
      <c r="BM1146" t="e" vm="2">
        <f t="shared" si="152"/>
        <v>#VALUE!</v>
      </c>
      <c r="BN1146" t="e" vm="2">
        <f t="shared" si="153"/>
        <v>#VALUE!</v>
      </c>
    </row>
    <row r="1147" spans="55:66" x14ac:dyDescent="0.2">
      <c r="BC1147" s="21" t="e" vm="1">
        <v>#REF!</v>
      </c>
      <c r="BD1147" t="e" vm="1">
        <v>#REF!</v>
      </c>
      <c r="BF1147" t="e" vm="2">
        <f t="shared" si="150"/>
        <v>#VALUE!</v>
      </c>
      <c r="BG1147" t="e" vm="2">
        <f t="shared" si="151"/>
        <v>#VALUE!</v>
      </c>
      <c r="BJ1147" s="21" t="e" vm="1">
        <v>#REF!</v>
      </c>
      <c r="BK1147" t="e" vm="1">
        <v>#REF!</v>
      </c>
      <c r="BM1147" t="e" vm="2">
        <f t="shared" si="152"/>
        <v>#VALUE!</v>
      </c>
      <c r="BN1147" t="e" vm="2">
        <f t="shared" si="153"/>
        <v>#VALUE!</v>
      </c>
    </row>
    <row r="1148" spans="55:66" x14ac:dyDescent="0.2">
      <c r="BC1148" s="21" t="e" vm="1">
        <v>#REF!</v>
      </c>
      <c r="BD1148" t="e" vm="1">
        <v>#REF!</v>
      </c>
      <c r="BF1148" t="e" vm="2">
        <f t="shared" si="150"/>
        <v>#VALUE!</v>
      </c>
      <c r="BG1148" t="e" vm="2">
        <f t="shared" si="151"/>
        <v>#VALUE!</v>
      </c>
      <c r="BJ1148" s="21" t="e" vm="1">
        <v>#REF!</v>
      </c>
      <c r="BK1148" t="e" vm="1">
        <v>#REF!</v>
      </c>
      <c r="BM1148" t="e" vm="2">
        <f t="shared" si="152"/>
        <v>#VALUE!</v>
      </c>
      <c r="BN1148" t="e" vm="2">
        <f t="shared" si="153"/>
        <v>#VALUE!</v>
      </c>
    </row>
    <row r="1149" spans="55:66" x14ac:dyDescent="0.2">
      <c r="BC1149" s="21" t="e" vm="1">
        <v>#REF!</v>
      </c>
      <c r="BD1149" t="e" vm="1">
        <v>#REF!</v>
      </c>
      <c r="BF1149" t="e" vm="2">
        <f t="shared" si="150"/>
        <v>#VALUE!</v>
      </c>
      <c r="BG1149" t="e" vm="2">
        <f t="shared" si="151"/>
        <v>#VALUE!</v>
      </c>
      <c r="BJ1149" s="21" t="e" vm="1">
        <v>#REF!</v>
      </c>
      <c r="BK1149" t="e" vm="1">
        <v>#REF!</v>
      </c>
      <c r="BM1149" t="e" vm="2">
        <f t="shared" si="152"/>
        <v>#VALUE!</v>
      </c>
      <c r="BN1149" t="e" vm="2">
        <f t="shared" si="153"/>
        <v>#VALUE!</v>
      </c>
    </row>
    <row r="1150" spans="55:66" x14ac:dyDescent="0.2">
      <c r="BC1150" s="21" t="e" vm="1">
        <v>#REF!</v>
      </c>
      <c r="BD1150" t="e" vm="1">
        <v>#REF!</v>
      </c>
      <c r="BF1150" t="e" vm="2">
        <f t="shared" si="150"/>
        <v>#VALUE!</v>
      </c>
      <c r="BG1150" t="e" vm="2">
        <f t="shared" si="151"/>
        <v>#VALUE!</v>
      </c>
      <c r="BJ1150" s="21" t="e" vm="1">
        <v>#REF!</v>
      </c>
      <c r="BK1150" t="e" vm="1">
        <v>#REF!</v>
      </c>
      <c r="BM1150" t="e" vm="2">
        <f t="shared" si="152"/>
        <v>#VALUE!</v>
      </c>
      <c r="BN1150" t="e" vm="2">
        <f t="shared" si="153"/>
        <v>#VALUE!</v>
      </c>
    </row>
    <row r="1151" spans="55:66" x14ac:dyDescent="0.2">
      <c r="BC1151" s="21" t="e" vm="1">
        <v>#REF!</v>
      </c>
      <c r="BD1151" t="e" vm="1">
        <v>#REF!</v>
      </c>
      <c r="BF1151" t="e" vm="2">
        <f t="shared" si="150"/>
        <v>#VALUE!</v>
      </c>
      <c r="BG1151" t="e" vm="2">
        <f t="shared" si="151"/>
        <v>#VALUE!</v>
      </c>
      <c r="BJ1151" s="21" t="e" vm="1">
        <v>#REF!</v>
      </c>
      <c r="BK1151" t="e" vm="1">
        <v>#REF!</v>
      </c>
      <c r="BM1151" t="e" vm="2">
        <f t="shared" si="152"/>
        <v>#VALUE!</v>
      </c>
      <c r="BN1151" t="e" vm="2">
        <f t="shared" si="153"/>
        <v>#VALUE!</v>
      </c>
    </row>
    <row r="1152" spans="55:66" x14ac:dyDescent="0.2">
      <c r="BC1152" s="21" t="e" vm="1">
        <v>#REF!</v>
      </c>
      <c r="BD1152" t="e" vm="1">
        <v>#REF!</v>
      </c>
      <c r="BF1152" t="e" vm="2">
        <f t="shared" si="150"/>
        <v>#VALUE!</v>
      </c>
      <c r="BG1152" t="e" vm="2">
        <f t="shared" si="151"/>
        <v>#VALUE!</v>
      </c>
      <c r="BJ1152" s="21" t="e" vm="1">
        <v>#REF!</v>
      </c>
      <c r="BK1152" t="e" vm="1">
        <v>#REF!</v>
      </c>
      <c r="BM1152" t="e" vm="2">
        <f t="shared" si="152"/>
        <v>#VALUE!</v>
      </c>
      <c r="BN1152" t="e" vm="2">
        <f t="shared" si="153"/>
        <v>#VALUE!</v>
      </c>
    </row>
    <row r="1153" spans="55:66" x14ac:dyDescent="0.2">
      <c r="BC1153" s="21" t="e" vm="1">
        <v>#REF!</v>
      </c>
      <c r="BD1153" t="e" vm="1">
        <v>#REF!</v>
      </c>
      <c r="BF1153" t="e" vm="2">
        <f t="shared" si="150"/>
        <v>#VALUE!</v>
      </c>
      <c r="BG1153" t="e" vm="2">
        <f t="shared" si="151"/>
        <v>#VALUE!</v>
      </c>
      <c r="BJ1153" s="21" t="e" vm="1">
        <v>#REF!</v>
      </c>
      <c r="BK1153" t="e" vm="1">
        <v>#REF!</v>
      </c>
      <c r="BM1153" t="e" vm="2">
        <f t="shared" si="152"/>
        <v>#VALUE!</v>
      </c>
      <c r="BN1153" t="e" vm="2">
        <f t="shared" si="153"/>
        <v>#VALUE!</v>
      </c>
    </row>
    <row r="1154" spans="55:66" x14ac:dyDescent="0.2">
      <c r="BC1154" s="21" t="e" vm="1">
        <v>#REF!</v>
      </c>
      <c r="BD1154" t="e" vm="1">
        <v>#REF!</v>
      </c>
      <c r="BF1154" t="e" vm="2">
        <f t="shared" si="150"/>
        <v>#VALUE!</v>
      </c>
      <c r="BG1154" t="e" vm="2">
        <f t="shared" si="151"/>
        <v>#VALUE!</v>
      </c>
      <c r="BJ1154" s="21" t="e" vm="1">
        <v>#REF!</v>
      </c>
      <c r="BK1154" t="e" vm="1">
        <v>#REF!</v>
      </c>
      <c r="BM1154" t="e" vm="2">
        <f t="shared" si="152"/>
        <v>#VALUE!</v>
      </c>
      <c r="BN1154" t="e" vm="2">
        <f t="shared" si="153"/>
        <v>#VALUE!</v>
      </c>
    </row>
    <row r="1155" spans="55:66" x14ac:dyDescent="0.2">
      <c r="BC1155" s="21" t="e" vm="1">
        <v>#REF!</v>
      </c>
      <c r="BD1155" t="e" vm="1">
        <v>#REF!</v>
      </c>
      <c r="BF1155" t="e" vm="2">
        <f t="shared" ref="BF1155:BF1218" si="154">MONTH(BC1155)</f>
        <v>#VALUE!</v>
      </c>
      <c r="BG1155" t="e" vm="2">
        <f t="shared" ref="BG1155:BG1218" si="155">YEAR(BC1155)</f>
        <v>#VALUE!</v>
      </c>
      <c r="BJ1155" s="21" t="e" vm="1">
        <v>#REF!</v>
      </c>
      <c r="BK1155" t="e" vm="1">
        <v>#REF!</v>
      </c>
      <c r="BM1155" t="e" vm="2">
        <f t="shared" si="152"/>
        <v>#VALUE!</v>
      </c>
      <c r="BN1155" t="e" vm="2">
        <f t="shared" si="153"/>
        <v>#VALUE!</v>
      </c>
    </row>
    <row r="1156" spans="55:66" x14ac:dyDescent="0.2">
      <c r="BC1156" s="21" t="e" vm="1">
        <v>#REF!</v>
      </c>
      <c r="BD1156" t="e" vm="1">
        <v>#REF!</v>
      </c>
      <c r="BF1156" t="e" vm="2">
        <f t="shared" si="154"/>
        <v>#VALUE!</v>
      </c>
      <c r="BG1156" t="e" vm="2">
        <f t="shared" si="155"/>
        <v>#VALUE!</v>
      </c>
      <c r="BJ1156" s="21" t="e" vm="1">
        <v>#REF!</v>
      </c>
      <c r="BK1156" t="e" vm="1">
        <v>#REF!</v>
      </c>
      <c r="BM1156" t="e" vm="2">
        <f t="shared" ref="BM1156:BM1219" si="156">MONTH(BJ1156)</f>
        <v>#VALUE!</v>
      </c>
      <c r="BN1156" t="e" vm="2">
        <f t="shared" ref="BN1156:BN1219" si="157">YEAR(BJ1156)</f>
        <v>#VALUE!</v>
      </c>
    </row>
    <row r="1157" spans="55:66" x14ac:dyDescent="0.2">
      <c r="BC1157" s="21" t="e" vm="1">
        <v>#REF!</v>
      </c>
      <c r="BD1157" t="e" vm="1">
        <v>#REF!</v>
      </c>
      <c r="BF1157" t="e" vm="2">
        <f t="shared" si="154"/>
        <v>#VALUE!</v>
      </c>
      <c r="BG1157" t="e" vm="2">
        <f t="shared" si="155"/>
        <v>#VALUE!</v>
      </c>
      <c r="BJ1157" s="21" t="e" vm="1">
        <v>#REF!</v>
      </c>
      <c r="BK1157" t="e" vm="1">
        <v>#REF!</v>
      </c>
      <c r="BM1157" t="e" vm="2">
        <f t="shared" si="156"/>
        <v>#VALUE!</v>
      </c>
      <c r="BN1157" t="e" vm="2">
        <f t="shared" si="157"/>
        <v>#VALUE!</v>
      </c>
    </row>
    <row r="1158" spans="55:66" x14ac:dyDescent="0.2">
      <c r="BC1158" s="21" t="e" vm="1">
        <v>#REF!</v>
      </c>
      <c r="BD1158" t="e" vm="1">
        <v>#REF!</v>
      </c>
      <c r="BF1158" t="e" vm="2">
        <f t="shared" si="154"/>
        <v>#VALUE!</v>
      </c>
      <c r="BG1158" t="e" vm="2">
        <f t="shared" si="155"/>
        <v>#VALUE!</v>
      </c>
      <c r="BJ1158" s="21" t="e" vm="1">
        <v>#REF!</v>
      </c>
      <c r="BK1158" t="e" vm="1">
        <v>#REF!</v>
      </c>
      <c r="BM1158" t="e" vm="2">
        <f t="shared" si="156"/>
        <v>#VALUE!</v>
      </c>
      <c r="BN1158" t="e" vm="2">
        <f t="shared" si="157"/>
        <v>#VALUE!</v>
      </c>
    </row>
    <row r="1159" spans="55:66" x14ac:dyDescent="0.2">
      <c r="BC1159" s="21" t="e" vm="1">
        <v>#REF!</v>
      </c>
      <c r="BD1159" t="e" vm="1">
        <v>#REF!</v>
      </c>
      <c r="BF1159" t="e" vm="2">
        <f t="shared" si="154"/>
        <v>#VALUE!</v>
      </c>
      <c r="BG1159" t="e" vm="2">
        <f t="shared" si="155"/>
        <v>#VALUE!</v>
      </c>
      <c r="BJ1159" s="21" t="e" vm="1">
        <v>#REF!</v>
      </c>
      <c r="BK1159" t="e" vm="1">
        <v>#REF!</v>
      </c>
      <c r="BM1159" t="e" vm="2">
        <f t="shared" si="156"/>
        <v>#VALUE!</v>
      </c>
      <c r="BN1159" t="e" vm="2">
        <f t="shared" si="157"/>
        <v>#VALUE!</v>
      </c>
    </row>
    <row r="1160" spans="55:66" x14ac:dyDescent="0.2">
      <c r="BC1160" s="21" t="e" vm="1">
        <v>#REF!</v>
      </c>
      <c r="BD1160" t="e" vm="1">
        <v>#REF!</v>
      </c>
      <c r="BF1160" t="e" vm="2">
        <f t="shared" si="154"/>
        <v>#VALUE!</v>
      </c>
      <c r="BG1160" t="e" vm="2">
        <f t="shared" si="155"/>
        <v>#VALUE!</v>
      </c>
      <c r="BJ1160" s="21" t="e" vm="1">
        <v>#REF!</v>
      </c>
      <c r="BK1160" t="e" vm="1">
        <v>#REF!</v>
      </c>
      <c r="BM1160" t="e" vm="2">
        <f t="shared" si="156"/>
        <v>#VALUE!</v>
      </c>
      <c r="BN1160" t="e" vm="2">
        <f t="shared" si="157"/>
        <v>#VALUE!</v>
      </c>
    </row>
    <row r="1161" spans="55:66" x14ac:dyDescent="0.2">
      <c r="BC1161" s="21" t="e" vm="1">
        <v>#REF!</v>
      </c>
      <c r="BD1161" t="e" vm="1">
        <v>#REF!</v>
      </c>
      <c r="BF1161" t="e" vm="2">
        <f t="shared" si="154"/>
        <v>#VALUE!</v>
      </c>
      <c r="BG1161" t="e" vm="2">
        <f t="shared" si="155"/>
        <v>#VALUE!</v>
      </c>
      <c r="BJ1161" s="21" t="e" vm="1">
        <v>#REF!</v>
      </c>
      <c r="BK1161" t="e" vm="1">
        <v>#REF!</v>
      </c>
      <c r="BM1161" t="e" vm="2">
        <f t="shared" si="156"/>
        <v>#VALUE!</v>
      </c>
      <c r="BN1161" t="e" vm="2">
        <f t="shared" si="157"/>
        <v>#VALUE!</v>
      </c>
    </row>
    <row r="1162" spans="55:66" x14ac:dyDescent="0.2">
      <c r="BC1162" s="21" t="e" vm="1">
        <v>#REF!</v>
      </c>
      <c r="BD1162" t="e" vm="1">
        <v>#REF!</v>
      </c>
      <c r="BF1162" t="e" vm="2">
        <f t="shared" si="154"/>
        <v>#VALUE!</v>
      </c>
      <c r="BG1162" t="e" vm="2">
        <f t="shared" si="155"/>
        <v>#VALUE!</v>
      </c>
      <c r="BJ1162" s="21" t="e" vm="1">
        <v>#REF!</v>
      </c>
      <c r="BK1162" t="e" vm="1">
        <v>#REF!</v>
      </c>
      <c r="BM1162" t="e" vm="2">
        <f t="shared" si="156"/>
        <v>#VALUE!</v>
      </c>
      <c r="BN1162" t="e" vm="2">
        <f t="shared" si="157"/>
        <v>#VALUE!</v>
      </c>
    </row>
    <row r="1163" spans="55:66" x14ac:dyDescent="0.2">
      <c r="BC1163" s="21" t="e" vm="1">
        <v>#REF!</v>
      </c>
      <c r="BD1163" t="e" vm="1">
        <v>#REF!</v>
      </c>
      <c r="BF1163" t="e" vm="2">
        <f t="shared" si="154"/>
        <v>#VALUE!</v>
      </c>
      <c r="BG1163" t="e" vm="2">
        <f t="shared" si="155"/>
        <v>#VALUE!</v>
      </c>
      <c r="BJ1163" s="21" t="e" vm="1">
        <v>#REF!</v>
      </c>
      <c r="BK1163" t="e" vm="1">
        <v>#REF!</v>
      </c>
      <c r="BM1163" t="e" vm="2">
        <f t="shared" si="156"/>
        <v>#VALUE!</v>
      </c>
      <c r="BN1163" t="e" vm="2">
        <f t="shared" si="157"/>
        <v>#VALUE!</v>
      </c>
    </row>
    <row r="1164" spans="55:66" x14ac:dyDescent="0.2">
      <c r="BC1164" s="21" t="e" vm="1">
        <v>#REF!</v>
      </c>
      <c r="BD1164" t="e" vm="1">
        <v>#REF!</v>
      </c>
      <c r="BF1164" t="e" vm="2">
        <f t="shared" si="154"/>
        <v>#VALUE!</v>
      </c>
      <c r="BG1164" t="e" vm="2">
        <f t="shared" si="155"/>
        <v>#VALUE!</v>
      </c>
      <c r="BJ1164" s="21" t="e" vm="1">
        <v>#REF!</v>
      </c>
      <c r="BK1164" t="e" vm="1">
        <v>#REF!</v>
      </c>
      <c r="BM1164" t="e" vm="2">
        <f t="shared" si="156"/>
        <v>#VALUE!</v>
      </c>
      <c r="BN1164" t="e" vm="2">
        <f t="shared" si="157"/>
        <v>#VALUE!</v>
      </c>
    </row>
    <row r="1165" spans="55:66" x14ac:dyDescent="0.2">
      <c r="BC1165" s="21" t="e" vm="1">
        <v>#REF!</v>
      </c>
      <c r="BD1165" t="e" vm="1">
        <v>#REF!</v>
      </c>
      <c r="BF1165" t="e" vm="2">
        <f t="shared" si="154"/>
        <v>#VALUE!</v>
      </c>
      <c r="BG1165" t="e" vm="2">
        <f t="shared" si="155"/>
        <v>#VALUE!</v>
      </c>
      <c r="BJ1165" s="21" t="e" vm="1">
        <v>#REF!</v>
      </c>
      <c r="BK1165" t="e" vm="1">
        <v>#REF!</v>
      </c>
      <c r="BM1165" t="e" vm="2">
        <f t="shared" si="156"/>
        <v>#VALUE!</v>
      </c>
      <c r="BN1165" t="e" vm="2">
        <f t="shared" si="157"/>
        <v>#VALUE!</v>
      </c>
    </row>
    <row r="1166" spans="55:66" x14ac:dyDescent="0.2">
      <c r="BC1166" s="21" t="e" vm="1">
        <v>#REF!</v>
      </c>
      <c r="BD1166" t="e" vm="1">
        <v>#REF!</v>
      </c>
      <c r="BF1166" t="e" vm="2">
        <f t="shared" si="154"/>
        <v>#VALUE!</v>
      </c>
      <c r="BG1166" t="e" vm="2">
        <f t="shared" si="155"/>
        <v>#VALUE!</v>
      </c>
      <c r="BJ1166" s="21" t="e" vm="1">
        <v>#REF!</v>
      </c>
      <c r="BK1166" t="e" vm="1">
        <v>#REF!</v>
      </c>
      <c r="BM1166" t="e" vm="2">
        <f t="shared" si="156"/>
        <v>#VALUE!</v>
      </c>
      <c r="BN1166" t="e" vm="2">
        <f t="shared" si="157"/>
        <v>#VALUE!</v>
      </c>
    </row>
    <row r="1167" spans="55:66" x14ac:dyDescent="0.2">
      <c r="BC1167" s="21" t="e" vm="1">
        <v>#REF!</v>
      </c>
      <c r="BD1167" t="e" vm="1">
        <v>#REF!</v>
      </c>
      <c r="BF1167" t="e" vm="2">
        <f t="shared" si="154"/>
        <v>#VALUE!</v>
      </c>
      <c r="BG1167" t="e" vm="2">
        <f t="shared" si="155"/>
        <v>#VALUE!</v>
      </c>
      <c r="BJ1167" s="21" t="e" vm="1">
        <v>#REF!</v>
      </c>
      <c r="BK1167" t="e" vm="1">
        <v>#REF!</v>
      </c>
      <c r="BM1167" t="e" vm="2">
        <f t="shared" si="156"/>
        <v>#VALUE!</v>
      </c>
      <c r="BN1167" t="e" vm="2">
        <f t="shared" si="157"/>
        <v>#VALUE!</v>
      </c>
    </row>
    <row r="1168" spans="55:66" x14ac:dyDescent="0.2">
      <c r="BC1168" s="21" t="e" vm="1">
        <v>#REF!</v>
      </c>
      <c r="BD1168" t="e" vm="1">
        <v>#REF!</v>
      </c>
      <c r="BF1168" t="e" vm="2">
        <f t="shared" si="154"/>
        <v>#VALUE!</v>
      </c>
      <c r="BG1168" t="e" vm="2">
        <f t="shared" si="155"/>
        <v>#VALUE!</v>
      </c>
      <c r="BJ1168" s="21" t="e" vm="1">
        <v>#REF!</v>
      </c>
      <c r="BK1168" t="e" vm="1">
        <v>#REF!</v>
      </c>
      <c r="BM1168" t="e" vm="2">
        <f t="shared" si="156"/>
        <v>#VALUE!</v>
      </c>
      <c r="BN1168" t="e" vm="2">
        <f t="shared" si="157"/>
        <v>#VALUE!</v>
      </c>
    </row>
    <row r="1169" spans="55:66" x14ac:dyDescent="0.2">
      <c r="BC1169" s="21" t="e" vm="1">
        <v>#REF!</v>
      </c>
      <c r="BD1169" t="e" vm="1">
        <v>#REF!</v>
      </c>
      <c r="BF1169" t="e" vm="2">
        <f t="shared" si="154"/>
        <v>#VALUE!</v>
      </c>
      <c r="BG1169" t="e" vm="2">
        <f t="shared" si="155"/>
        <v>#VALUE!</v>
      </c>
      <c r="BJ1169" s="21" t="e" vm="1">
        <v>#REF!</v>
      </c>
      <c r="BK1169" t="e" vm="1">
        <v>#REF!</v>
      </c>
      <c r="BM1169" t="e" vm="2">
        <f t="shared" si="156"/>
        <v>#VALUE!</v>
      </c>
      <c r="BN1169" t="e" vm="2">
        <f t="shared" si="157"/>
        <v>#VALUE!</v>
      </c>
    </row>
    <row r="1170" spans="55:66" x14ac:dyDescent="0.2">
      <c r="BC1170" s="21" t="e" vm="1">
        <v>#REF!</v>
      </c>
      <c r="BD1170" t="e" vm="1">
        <v>#REF!</v>
      </c>
      <c r="BF1170" t="e" vm="2">
        <f t="shared" si="154"/>
        <v>#VALUE!</v>
      </c>
      <c r="BG1170" t="e" vm="2">
        <f t="shared" si="155"/>
        <v>#VALUE!</v>
      </c>
      <c r="BJ1170" s="21" t="e" vm="1">
        <v>#REF!</v>
      </c>
      <c r="BK1170" t="e" vm="1">
        <v>#REF!</v>
      </c>
      <c r="BM1170" t="e" vm="2">
        <f t="shared" si="156"/>
        <v>#VALUE!</v>
      </c>
      <c r="BN1170" t="e" vm="2">
        <f t="shared" si="157"/>
        <v>#VALUE!</v>
      </c>
    </row>
    <row r="1171" spans="55:66" x14ac:dyDescent="0.2">
      <c r="BC1171" s="21" t="e" vm="1">
        <v>#REF!</v>
      </c>
      <c r="BD1171" t="e" vm="1">
        <v>#REF!</v>
      </c>
      <c r="BF1171" t="e" vm="2">
        <f t="shared" si="154"/>
        <v>#VALUE!</v>
      </c>
      <c r="BG1171" t="e" vm="2">
        <f t="shared" si="155"/>
        <v>#VALUE!</v>
      </c>
      <c r="BJ1171" s="21" t="e" vm="1">
        <v>#REF!</v>
      </c>
      <c r="BK1171" t="e" vm="1">
        <v>#REF!</v>
      </c>
      <c r="BM1171" t="e" vm="2">
        <f t="shared" si="156"/>
        <v>#VALUE!</v>
      </c>
      <c r="BN1171" t="e" vm="2">
        <f t="shared" si="157"/>
        <v>#VALUE!</v>
      </c>
    </row>
    <row r="1172" spans="55:66" x14ac:dyDescent="0.2">
      <c r="BC1172" s="21" t="e" vm="1">
        <v>#REF!</v>
      </c>
      <c r="BD1172" t="e" vm="1">
        <v>#REF!</v>
      </c>
      <c r="BF1172" t="e" vm="2">
        <f t="shared" si="154"/>
        <v>#VALUE!</v>
      </c>
      <c r="BG1172" t="e" vm="2">
        <f t="shared" si="155"/>
        <v>#VALUE!</v>
      </c>
      <c r="BJ1172" s="21" t="e" vm="1">
        <v>#REF!</v>
      </c>
      <c r="BK1172" t="e" vm="1">
        <v>#REF!</v>
      </c>
      <c r="BM1172" t="e" vm="2">
        <f t="shared" si="156"/>
        <v>#VALUE!</v>
      </c>
      <c r="BN1172" t="e" vm="2">
        <f t="shared" si="157"/>
        <v>#VALUE!</v>
      </c>
    </row>
    <row r="1173" spans="55:66" x14ac:dyDescent="0.2">
      <c r="BC1173" s="21" t="e" vm="1">
        <v>#REF!</v>
      </c>
      <c r="BD1173" t="e" vm="1">
        <v>#REF!</v>
      </c>
      <c r="BF1173" t="e" vm="2">
        <f t="shared" si="154"/>
        <v>#VALUE!</v>
      </c>
      <c r="BG1173" t="e" vm="2">
        <f t="shared" si="155"/>
        <v>#VALUE!</v>
      </c>
      <c r="BJ1173" s="21" t="e" vm="1">
        <v>#REF!</v>
      </c>
      <c r="BK1173" t="e" vm="1">
        <v>#REF!</v>
      </c>
      <c r="BM1173" t="e" vm="2">
        <f t="shared" si="156"/>
        <v>#VALUE!</v>
      </c>
      <c r="BN1173" t="e" vm="2">
        <f t="shared" si="157"/>
        <v>#VALUE!</v>
      </c>
    </row>
    <row r="1174" spans="55:66" x14ac:dyDescent="0.2">
      <c r="BC1174" s="21" t="e" vm="1">
        <v>#REF!</v>
      </c>
      <c r="BD1174" t="e" vm="1">
        <v>#REF!</v>
      </c>
      <c r="BF1174" t="e" vm="2">
        <f t="shared" si="154"/>
        <v>#VALUE!</v>
      </c>
      <c r="BG1174" t="e" vm="2">
        <f t="shared" si="155"/>
        <v>#VALUE!</v>
      </c>
      <c r="BJ1174" s="21" t="e" vm="1">
        <v>#REF!</v>
      </c>
      <c r="BK1174" t="e" vm="1">
        <v>#REF!</v>
      </c>
      <c r="BM1174" t="e" vm="2">
        <f t="shared" si="156"/>
        <v>#VALUE!</v>
      </c>
      <c r="BN1174" t="e" vm="2">
        <f t="shared" si="157"/>
        <v>#VALUE!</v>
      </c>
    </row>
    <row r="1175" spans="55:66" x14ac:dyDescent="0.2">
      <c r="BC1175" s="21" t="e" vm="1">
        <v>#REF!</v>
      </c>
      <c r="BD1175" t="e" vm="1">
        <v>#REF!</v>
      </c>
      <c r="BF1175" t="e" vm="2">
        <f t="shared" si="154"/>
        <v>#VALUE!</v>
      </c>
      <c r="BG1175" t="e" vm="2">
        <f t="shared" si="155"/>
        <v>#VALUE!</v>
      </c>
      <c r="BJ1175" s="21" t="e" vm="1">
        <v>#REF!</v>
      </c>
      <c r="BK1175" t="e" vm="1">
        <v>#REF!</v>
      </c>
      <c r="BM1175" t="e" vm="2">
        <f t="shared" si="156"/>
        <v>#VALUE!</v>
      </c>
      <c r="BN1175" t="e" vm="2">
        <f t="shared" si="157"/>
        <v>#VALUE!</v>
      </c>
    </row>
    <row r="1176" spans="55:66" x14ac:dyDescent="0.2">
      <c r="BC1176" s="21" t="e" vm="1">
        <v>#REF!</v>
      </c>
      <c r="BD1176" t="e" vm="1">
        <v>#REF!</v>
      </c>
      <c r="BF1176" t="e" vm="2">
        <f t="shared" si="154"/>
        <v>#VALUE!</v>
      </c>
      <c r="BG1176" t="e" vm="2">
        <f t="shared" si="155"/>
        <v>#VALUE!</v>
      </c>
      <c r="BJ1176" s="21" t="e" vm="1">
        <v>#REF!</v>
      </c>
      <c r="BK1176" t="e" vm="1">
        <v>#REF!</v>
      </c>
      <c r="BM1176" t="e" vm="2">
        <f t="shared" si="156"/>
        <v>#VALUE!</v>
      </c>
      <c r="BN1176" t="e" vm="2">
        <f t="shared" si="157"/>
        <v>#VALUE!</v>
      </c>
    </row>
    <row r="1177" spans="55:66" x14ac:dyDescent="0.2">
      <c r="BC1177" s="21" t="e" vm="1">
        <v>#REF!</v>
      </c>
      <c r="BD1177" t="e" vm="1">
        <v>#REF!</v>
      </c>
      <c r="BF1177" t="e" vm="2">
        <f t="shared" si="154"/>
        <v>#VALUE!</v>
      </c>
      <c r="BG1177" t="e" vm="2">
        <f t="shared" si="155"/>
        <v>#VALUE!</v>
      </c>
      <c r="BJ1177" s="21" t="e" vm="1">
        <v>#REF!</v>
      </c>
      <c r="BK1177" t="e" vm="1">
        <v>#REF!</v>
      </c>
      <c r="BM1177" t="e" vm="2">
        <f t="shared" si="156"/>
        <v>#VALUE!</v>
      </c>
      <c r="BN1177" t="e" vm="2">
        <f t="shared" si="157"/>
        <v>#VALUE!</v>
      </c>
    </row>
    <row r="1178" spans="55:66" x14ac:dyDescent="0.2">
      <c r="BC1178" s="21" t="e" vm="1">
        <v>#REF!</v>
      </c>
      <c r="BD1178" t="e" vm="1">
        <v>#REF!</v>
      </c>
      <c r="BF1178" t="e" vm="2">
        <f t="shared" si="154"/>
        <v>#VALUE!</v>
      </c>
      <c r="BG1178" t="e" vm="2">
        <f t="shared" si="155"/>
        <v>#VALUE!</v>
      </c>
      <c r="BJ1178" s="21" t="e" vm="1">
        <v>#REF!</v>
      </c>
      <c r="BK1178" t="e" vm="1">
        <v>#REF!</v>
      </c>
      <c r="BM1178" t="e" vm="2">
        <f t="shared" si="156"/>
        <v>#VALUE!</v>
      </c>
      <c r="BN1178" t="e" vm="2">
        <f t="shared" si="157"/>
        <v>#VALUE!</v>
      </c>
    </row>
    <row r="1179" spans="55:66" x14ac:dyDescent="0.2">
      <c r="BC1179" s="21" t="e" vm="1">
        <v>#REF!</v>
      </c>
      <c r="BD1179" t="e" vm="1">
        <v>#REF!</v>
      </c>
      <c r="BF1179" t="e" vm="2">
        <f t="shared" si="154"/>
        <v>#VALUE!</v>
      </c>
      <c r="BG1179" t="e" vm="2">
        <f t="shared" si="155"/>
        <v>#VALUE!</v>
      </c>
      <c r="BJ1179" s="21" t="e" vm="1">
        <v>#REF!</v>
      </c>
      <c r="BK1179" t="e" vm="1">
        <v>#REF!</v>
      </c>
      <c r="BM1179" t="e" vm="2">
        <f t="shared" si="156"/>
        <v>#VALUE!</v>
      </c>
      <c r="BN1179" t="e" vm="2">
        <f t="shared" si="157"/>
        <v>#VALUE!</v>
      </c>
    </row>
    <row r="1180" spans="55:66" x14ac:dyDescent="0.2">
      <c r="BC1180" s="21" t="e" vm="1">
        <v>#REF!</v>
      </c>
      <c r="BD1180" t="e" vm="1">
        <v>#REF!</v>
      </c>
      <c r="BF1180" t="e" vm="2">
        <f t="shared" si="154"/>
        <v>#VALUE!</v>
      </c>
      <c r="BG1180" t="e" vm="2">
        <f t="shared" si="155"/>
        <v>#VALUE!</v>
      </c>
      <c r="BJ1180" s="21" t="e" vm="1">
        <v>#REF!</v>
      </c>
      <c r="BK1180" t="e" vm="1">
        <v>#REF!</v>
      </c>
      <c r="BM1180" t="e" vm="2">
        <f t="shared" si="156"/>
        <v>#VALUE!</v>
      </c>
      <c r="BN1180" t="e" vm="2">
        <f t="shared" si="157"/>
        <v>#VALUE!</v>
      </c>
    </row>
    <row r="1181" spans="55:66" x14ac:dyDescent="0.2">
      <c r="BC1181" s="21" t="e" vm="1">
        <v>#REF!</v>
      </c>
      <c r="BD1181" t="e" vm="1">
        <v>#REF!</v>
      </c>
      <c r="BF1181" t="e" vm="2">
        <f t="shared" si="154"/>
        <v>#VALUE!</v>
      </c>
      <c r="BG1181" t="e" vm="2">
        <f t="shared" si="155"/>
        <v>#VALUE!</v>
      </c>
      <c r="BJ1181" s="21" t="e" vm="1">
        <v>#REF!</v>
      </c>
      <c r="BK1181" t="e" vm="1">
        <v>#REF!</v>
      </c>
      <c r="BM1181" t="e" vm="2">
        <f t="shared" si="156"/>
        <v>#VALUE!</v>
      </c>
      <c r="BN1181" t="e" vm="2">
        <f t="shared" si="157"/>
        <v>#VALUE!</v>
      </c>
    </row>
    <row r="1182" spans="55:66" x14ac:dyDescent="0.2">
      <c r="BC1182" s="21" t="e" vm="1">
        <v>#REF!</v>
      </c>
      <c r="BD1182" t="e" vm="1">
        <v>#REF!</v>
      </c>
      <c r="BF1182" t="e" vm="2">
        <f t="shared" si="154"/>
        <v>#VALUE!</v>
      </c>
      <c r="BG1182" t="e" vm="2">
        <f t="shared" si="155"/>
        <v>#VALUE!</v>
      </c>
      <c r="BJ1182" s="21" t="e" vm="1">
        <v>#REF!</v>
      </c>
      <c r="BK1182" t="e" vm="1">
        <v>#REF!</v>
      </c>
      <c r="BM1182" t="e" vm="2">
        <f t="shared" si="156"/>
        <v>#VALUE!</v>
      </c>
      <c r="BN1182" t="e" vm="2">
        <f t="shared" si="157"/>
        <v>#VALUE!</v>
      </c>
    </row>
    <row r="1183" spans="55:66" x14ac:dyDescent="0.2">
      <c r="BC1183" s="21" t="e" vm="1">
        <v>#REF!</v>
      </c>
      <c r="BD1183" t="e" vm="1">
        <v>#REF!</v>
      </c>
      <c r="BF1183" t="e" vm="2">
        <f t="shared" si="154"/>
        <v>#VALUE!</v>
      </c>
      <c r="BG1183" t="e" vm="2">
        <f t="shared" si="155"/>
        <v>#VALUE!</v>
      </c>
      <c r="BJ1183" s="21" t="e" vm="1">
        <v>#REF!</v>
      </c>
      <c r="BK1183" t="e" vm="1">
        <v>#REF!</v>
      </c>
      <c r="BM1183" t="e" vm="2">
        <f t="shared" si="156"/>
        <v>#VALUE!</v>
      </c>
      <c r="BN1183" t="e" vm="2">
        <f t="shared" si="157"/>
        <v>#VALUE!</v>
      </c>
    </row>
    <row r="1184" spans="55:66" x14ac:dyDescent="0.2">
      <c r="BC1184" s="21" t="e" vm="1">
        <v>#REF!</v>
      </c>
      <c r="BD1184" t="e" vm="1">
        <v>#REF!</v>
      </c>
      <c r="BF1184" t="e" vm="2">
        <f t="shared" si="154"/>
        <v>#VALUE!</v>
      </c>
      <c r="BG1184" t="e" vm="2">
        <f t="shared" si="155"/>
        <v>#VALUE!</v>
      </c>
      <c r="BJ1184" s="21" t="e" vm="1">
        <v>#REF!</v>
      </c>
      <c r="BK1184" t="e" vm="1">
        <v>#REF!</v>
      </c>
      <c r="BM1184" t="e" vm="2">
        <f t="shared" si="156"/>
        <v>#VALUE!</v>
      </c>
      <c r="BN1184" t="e" vm="2">
        <f t="shared" si="157"/>
        <v>#VALUE!</v>
      </c>
    </row>
    <row r="1185" spans="55:66" x14ac:dyDescent="0.2">
      <c r="BC1185" s="21" t="e" vm="1">
        <v>#REF!</v>
      </c>
      <c r="BD1185" t="e" vm="1">
        <v>#REF!</v>
      </c>
      <c r="BF1185" t="e" vm="2">
        <f t="shared" si="154"/>
        <v>#VALUE!</v>
      </c>
      <c r="BG1185" t="e" vm="2">
        <f t="shared" si="155"/>
        <v>#VALUE!</v>
      </c>
      <c r="BJ1185" s="21" t="e" vm="1">
        <v>#REF!</v>
      </c>
      <c r="BK1185" t="e" vm="1">
        <v>#REF!</v>
      </c>
      <c r="BM1185" t="e" vm="2">
        <f t="shared" si="156"/>
        <v>#VALUE!</v>
      </c>
      <c r="BN1185" t="e" vm="2">
        <f t="shared" si="157"/>
        <v>#VALUE!</v>
      </c>
    </row>
    <row r="1186" spans="55:66" x14ac:dyDescent="0.2">
      <c r="BC1186" s="21" t="e" vm="1">
        <v>#REF!</v>
      </c>
      <c r="BD1186" t="e" vm="1">
        <v>#REF!</v>
      </c>
      <c r="BF1186" t="e" vm="2">
        <f t="shared" si="154"/>
        <v>#VALUE!</v>
      </c>
      <c r="BG1186" t="e" vm="2">
        <f t="shared" si="155"/>
        <v>#VALUE!</v>
      </c>
      <c r="BJ1186" s="21" t="e" vm="1">
        <v>#REF!</v>
      </c>
      <c r="BK1186" t="e" vm="1">
        <v>#REF!</v>
      </c>
      <c r="BM1186" t="e" vm="2">
        <f t="shared" si="156"/>
        <v>#VALUE!</v>
      </c>
      <c r="BN1186" t="e" vm="2">
        <f t="shared" si="157"/>
        <v>#VALUE!</v>
      </c>
    </row>
    <row r="1187" spans="55:66" x14ac:dyDescent="0.2">
      <c r="BC1187" s="21" t="e" vm="1">
        <v>#REF!</v>
      </c>
      <c r="BD1187" t="e" vm="1">
        <v>#REF!</v>
      </c>
      <c r="BF1187" t="e" vm="2">
        <f t="shared" si="154"/>
        <v>#VALUE!</v>
      </c>
      <c r="BG1187" t="e" vm="2">
        <f t="shared" si="155"/>
        <v>#VALUE!</v>
      </c>
      <c r="BJ1187" s="21" t="e" vm="1">
        <v>#REF!</v>
      </c>
      <c r="BK1187" t="e" vm="1">
        <v>#REF!</v>
      </c>
      <c r="BM1187" t="e" vm="2">
        <f t="shared" si="156"/>
        <v>#VALUE!</v>
      </c>
      <c r="BN1187" t="e" vm="2">
        <f t="shared" si="157"/>
        <v>#VALUE!</v>
      </c>
    </row>
    <row r="1188" spans="55:66" x14ac:dyDescent="0.2">
      <c r="BC1188" s="21" t="e" vm="1">
        <v>#REF!</v>
      </c>
      <c r="BD1188" t="e" vm="1">
        <v>#REF!</v>
      </c>
      <c r="BF1188" t="e" vm="2">
        <f t="shared" si="154"/>
        <v>#VALUE!</v>
      </c>
      <c r="BG1188" t="e" vm="2">
        <f t="shared" si="155"/>
        <v>#VALUE!</v>
      </c>
      <c r="BJ1188" s="21" t="e" vm="1">
        <v>#REF!</v>
      </c>
      <c r="BK1188" t="e" vm="1">
        <v>#REF!</v>
      </c>
      <c r="BM1188" t="e" vm="2">
        <f t="shared" si="156"/>
        <v>#VALUE!</v>
      </c>
      <c r="BN1188" t="e" vm="2">
        <f t="shared" si="157"/>
        <v>#VALUE!</v>
      </c>
    </row>
    <row r="1189" spans="55:66" x14ac:dyDescent="0.2">
      <c r="BC1189" s="21" t="e" vm="1">
        <v>#REF!</v>
      </c>
      <c r="BD1189" t="e" vm="1">
        <v>#REF!</v>
      </c>
      <c r="BF1189" t="e" vm="2">
        <f t="shared" si="154"/>
        <v>#VALUE!</v>
      </c>
      <c r="BG1189" t="e" vm="2">
        <f t="shared" si="155"/>
        <v>#VALUE!</v>
      </c>
      <c r="BJ1189" s="21" t="e" vm="1">
        <v>#REF!</v>
      </c>
      <c r="BK1189" t="e" vm="1">
        <v>#REF!</v>
      </c>
      <c r="BM1189" t="e" vm="2">
        <f t="shared" si="156"/>
        <v>#VALUE!</v>
      </c>
      <c r="BN1189" t="e" vm="2">
        <f t="shared" si="157"/>
        <v>#VALUE!</v>
      </c>
    </row>
    <row r="1190" spans="55:66" x14ac:dyDescent="0.2">
      <c r="BC1190" s="21" t="e" vm="1">
        <v>#REF!</v>
      </c>
      <c r="BD1190" t="e" vm="1">
        <v>#REF!</v>
      </c>
      <c r="BF1190" t="e" vm="2">
        <f t="shared" si="154"/>
        <v>#VALUE!</v>
      </c>
      <c r="BG1190" t="e" vm="2">
        <f t="shared" si="155"/>
        <v>#VALUE!</v>
      </c>
      <c r="BJ1190" s="21" t="e" vm="1">
        <v>#REF!</v>
      </c>
      <c r="BK1190" t="e" vm="1">
        <v>#REF!</v>
      </c>
      <c r="BM1190" t="e" vm="2">
        <f t="shared" si="156"/>
        <v>#VALUE!</v>
      </c>
      <c r="BN1190" t="e" vm="2">
        <f t="shared" si="157"/>
        <v>#VALUE!</v>
      </c>
    </row>
    <row r="1191" spans="55:66" x14ac:dyDescent="0.2">
      <c r="BC1191" s="21" t="e" vm="1">
        <v>#REF!</v>
      </c>
      <c r="BD1191" t="e" vm="1">
        <v>#REF!</v>
      </c>
      <c r="BF1191" t="e" vm="2">
        <f t="shared" si="154"/>
        <v>#VALUE!</v>
      </c>
      <c r="BG1191" t="e" vm="2">
        <f t="shared" si="155"/>
        <v>#VALUE!</v>
      </c>
      <c r="BJ1191" s="21" t="e" vm="1">
        <v>#REF!</v>
      </c>
      <c r="BK1191" t="e" vm="1">
        <v>#REF!</v>
      </c>
      <c r="BM1191" t="e" vm="2">
        <f t="shared" si="156"/>
        <v>#VALUE!</v>
      </c>
      <c r="BN1191" t="e" vm="2">
        <f t="shared" si="157"/>
        <v>#VALUE!</v>
      </c>
    </row>
    <row r="1192" spans="55:66" x14ac:dyDescent="0.2">
      <c r="BC1192" s="21" t="e" vm="1">
        <v>#REF!</v>
      </c>
      <c r="BD1192" t="e" vm="1">
        <v>#REF!</v>
      </c>
      <c r="BF1192" t="e" vm="2">
        <f t="shared" si="154"/>
        <v>#VALUE!</v>
      </c>
      <c r="BG1192" t="e" vm="2">
        <f t="shared" si="155"/>
        <v>#VALUE!</v>
      </c>
      <c r="BJ1192" s="21" t="e" vm="1">
        <v>#REF!</v>
      </c>
      <c r="BK1192" t="e" vm="1">
        <v>#REF!</v>
      </c>
      <c r="BM1192" t="e" vm="2">
        <f t="shared" si="156"/>
        <v>#VALUE!</v>
      </c>
      <c r="BN1192" t="e" vm="2">
        <f t="shared" si="157"/>
        <v>#VALUE!</v>
      </c>
    </row>
    <row r="1193" spans="55:66" x14ac:dyDescent="0.2">
      <c r="BC1193" s="21" t="e" vm="1">
        <v>#REF!</v>
      </c>
      <c r="BD1193" t="e" vm="1">
        <v>#REF!</v>
      </c>
      <c r="BF1193" t="e" vm="2">
        <f t="shared" si="154"/>
        <v>#VALUE!</v>
      </c>
      <c r="BG1193" t="e" vm="2">
        <f t="shared" si="155"/>
        <v>#VALUE!</v>
      </c>
      <c r="BJ1193" s="21" t="e" vm="1">
        <v>#REF!</v>
      </c>
      <c r="BK1193" t="e" vm="1">
        <v>#REF!</v>
      </c>
      <c r="BM1193" t="e" vm="2">
        <f t="shared" si="156"/>
        <v>#VALUE!</v>
      </c>
      <c r="BN1193" t="e" vm="2">
        <f t="shared" si="157"/>
        <v>#VALUE!</v>
      </c>
    </row>
    <row r="1194" spans="55:66" x14ac:dyDescent="0.2">
      <c r="BC1194" s="21" t="e" vm="1">
        <v>#REF!</v>
      </c>
      <c r="BD1194" t="e" vm="1">
        <v>#REF!</v>
      </c>
      <c r="BF1194" t="e" vm="2">
        <f t="shared" si="154"/>
        <v>#VALUE!</v>
      </c>
      <c r="BG1194" t="e" vm="2">
        <f t="shared" si="155"/>
        <v>#VALUE!</v>
      </c>
      <c r="BJ1194" s="21" t="e" vm="1">
        <v>#REF!</v>
      </c>
      <c r="BK1194" t="e" vm="1">
        <v>#REF!</v>
      </c>
      <c r="BM1194" t="e" vm="2">
        <f t="shared" si="156"/>
        <v>#VALUE!</v>
      </c>
      <c r="BN1194" t="e" vm="2">
        <f t="shared" si="157"/>
        <v>#VALUE!</v>
      </c>
    </row>
    <row r="1195" spans="55:66" x14ac:dyDescent="0.2">
      <c r="BC1195" s="21" t="e" vm="1">
        <v>#REF!</v>
      </c>
      <c r="BD1195" t="e" vm="1">
        <v>#REF!</v>
      </c>
      <c r="BF1195" t="e" vm="2">
        <f t="shared" si="154"/>
        <v>#VALUE!</v>
      </c>
      <c r="BG1195" t="e" vm="2">
        <f t="shared" si="155"/>
        <v>#VALUE!</v>
      </c>
      <c r="BJ1195" s="21" t="e" vm="1">
        <v>#REF!</v>
      </c>
      <c r="BK1195" t="e" vm="1">
        <v>#REF!</v>
      </c>
      <c r="BM1195" t="e" vm="2">
        <f t="shared" si="156"/>
        <v>#VALUE!</v>
      </c>
      <c r="BN1195" t="e" vm="2">
        <f t="shared" si="157"/>
        <v>#VALUE!</v>
      </c>
    </row>
    <row r="1196" spans="55:66" x14ac:dyDescent="0.2">
      <c r="BC1196" s="21" t="e" vm="1">
        <v>#REF!</v>
      </c>
      <c r="BD1196" t="e" vm="1">
        <v>#REF!</v>
      </c>
      <c r="BF1196" t="e" vm="2">
        <f t="shared" si="154"/>
        <v>#VALUE!</v>
      </c>
      <c r="BG1196" t="e" vm="2">
        <f t="shared" si="155"/>
        <v>#VALUE!</v>
      </c>
      <c r="BJ1196" s="21" t="e" vm="1">
        <v>#REF!</v>
      </c>
      <c r="BK1196" t="e" vm="1">
        <v>#REF!</v>
      </c>
      <c r="BM1196" t="e" vm="2">
        <f t="shared" si="156"/>
        <v>#VALUE!</v>
      </c>
      <c r="BN1196" t="e" vm="2">
        <f t="shared" si="157"/>
        <v>#VALUE!</v>
      </c>
    </row>
    <row r="1197" spans="55:66" x14ac:dyDescent="0.2">
      <c r="BC1197" s="21" t="e" vm="1">
        <v>#REF!</v>
      </c>
      <c r="BD1197" t="e" vm="1">
        <v>#REF!</v>
      </c>
      <c r="BF1197" t="e" vm="2">
        <f t="shared" si="154"/>
        <v>#VALUE!</v>
      </c>
      <c r="BG1197" t="e" vm="2">
        <f t="shared" si="155"/>
        <v>#VALUE!</v>
      </c>
      <c r="BJ1197" s="21" t="e" vm="1">
        <v>#REF!</v>
      </c>
      <c r="BK1197" t="e" vm="1">
        <v>#REF!</v>
      </c>
      <c r="BM1197" t="e" vm="2">
        <f t="shared" si="156"/>
        <v>#VALUE!</v>
      </c>
      <c r="BN1197" t="e" vm="2">
        <f t="shared" si="157"/>
        <v>#VALUE!</v>
      </c>
    </row>
    <row r="1198" spans="55:66" x14ac:dyDescent="0.2">
      <c r="BC1198" s="21" t="e" vm="1">
        <v>#REF!</v>
      </c>
      <c r="BD1198" t="e" vm="1">
        <v>#REF!</v>
      </c>
      <c r="BF1198" t="e" vm="2">
        <f t="shared" si="154"/>
        <v>#VALUE!</v>
      </c>
      <c r="BG1198" t="e" vm="2">
        <f t="shared" si="155"/>
        <v>#VALUE!</v>
      </c>
      <c r="BJ1198" s="21" t="e" vm="1">
        <v>#REF!</v>
      </c>
      <c r="BK1198" t="e" vm="1">
        <v>#REF!</v>
      </c>
      <c r="BM1198" t="e" vm="2">
        <f t="shared" si="156"/>
        <v>#VALUE!</v>
      </c>
      <c r="BN1198" t="e" vm="2">
        <f t="shared" si="157"/>
        <v>#VALUE!</v>
      </c>
    </row>
    <row r="1199" spans="55:66" x14ac:dyDescent="0.2">
      <c r="BC1199" s="21" t="e" vm="1">
        <v>#REF!</v>
      </c>
      <c r="BD1199" t="e" vm="1">
        <v>#REF!</v>
      </c>
      <c r="BF1199" t="e" vm="2">
        <f t="shared" si="154"/>
        <v>#VALUE!</v>
      </c>
      <c r="BG1199" t="e" vm="2">
        <f t="shared" si="155"/>
        <v>#VALUE!</v>
      </c>
      <c r="BJ1199" s="21" t="e" vm="1">
        <v>#REF!</v>
      </c>
      <c r="BK1199" t="e" vm="1">
        <v>#REF!</v>
      </c>
      <c r="BM1199" t="e" vm="2">
        <f t="shared" si="156"/>
        <v>#VALUE!</v>
      </c>
      <c r="BN1199" t="e" vm="2">
        <f t="shared" si="157"/>
        <v>#VALUE!</v>
      </c>
    </row>
    <row r="1200" spans="55:66" x14ac:dyDescent="0.2">
      <c r="BC1200" s="21" t="e" vm="1">
        <v>#REF!</v>
      </c>
      <c r="BD1200" t="e" vm="1">
        <v>#REF!</v>
      </c>
      <c r="BF1200" t="e" vm="2">
        <f t="shared" si="154"/>
        <v>#VALUE!</v>
      </c>
      <c r="BG1200" t="e" vm="2">
        <f t="shared" si="155"/>
        <v>#VALUE!</v>
      </c>
      <c r="BJ1200" s="21" t="e" vm="1">
        <v>#REF!</v>
      </c>
      <c r="BK1200" t="e" vm="1">
        <v>#REF!</v>
      </c>
      <c r="BM1200" t="e" vm="2">
        <f t="shared" si="156"/>
        <v>#VALUE!</v>
      </c>
      <c r="BN1200" t="e" vm="2">
        <f t="shared" si="157"/>
        <v>#VALUE!</v>
      </c>
    </row>
    <row r="1201" spans="55:66" x14ac:dyDescent="0.2">
      <c r="BC1201" s="21" t="e" vm="1">
        <v>#REF!</v>
      </c>
      <c r="BD1201" t="e" vm="1">
        <v>#REF!</v>
      </c>
      <c r="BF1201" t="e" vm="2">
        <f t="shared" si="154"/>
        <v>#VALUE!</v>
      </c>
      <c r="BG1201" t="e" vm="2">
        <f t="shared" si="155"/>
        <v>#VALUE!</v>
      </c>
      <c r="BJ1201" s="21" t="e" vm="1">
        <v>#REF!</v>
      </c>
      <c r="BK1201" t="e" vm="1">
        <v>#REF!</v>
      </c>
      <c r="BM1201" t="e" vm="2">
        <f t="shared" si="156"/>
        <v>#VALUE!</v>
      </c>
      <c r="BN1201" t="e" vm="2">
        <f t="shared" si="157"/>
        <v>#VALUE!</v>
      </c>
    </row>
    <row r="1202" spans="55:66" x14ac:dyDescent="0.2">
      <c r="BC1202" s="21" t="e" vm="1">
        <v>#REF!</v>
      </c>
      <c r="BD1202" t="e" vm="1">
        <v>#REF!</v>
      </c>
      <c r="BF1202" t="e" vm="2">
        <f t="shared" si="154"/>
        <v>#VALUE!</v>
      </c>
      <c r="BG1202" t="e" vm="2">
        <f t="shared" si="155"/>
        <v>#VALUE!</v>
      </c>
      <c r="BJ1202" s="21" t="e" vm="1">
        <v>#REF!</v>
      </c>
      <c r="BK1202" t="e" vm="1">
        <v>#REF!</v>
      </c>
      <c r="BM1202" t="e" vm="2">
        <f t="shared" si="156"/>
        <v>#VALUE!</v>
      </c>
      <c r="BN1202" t="e" vm="2">
        <f t="shared" si="157"/>
        <v>#VALUE!</v>
      </c>
    </row>
    <row r="1203" spans="55:66" x14ac:dyDescent="0.2">
      <c r="BC1203" s="21" t="e" vm="1">
        <v>#REF!</v>
      </c>
      <c r="BD1203" t="e" vm="1">
        <v>#REF!</v>
      </c>
      <c r="BF1203" t="e" vm="2">
        <f t="shared" si="154"/>
        <v>#VALUE!</v>
      </c>
      <c r="BG1203" t="e" vm="2">
        <f t="shared" si="155"/>
        <v>#VALUE!</v>
      </c>
      <c r="BJ1203" s="21" t="e" vm="1">
        <v>#REF!</v>
      </c>
      <c r="BK1203" t="e" vm="1">
        <v>#REF!</v>
      </c>
      <c r="BM1203" t="e" vm="2">
        <f t="shared" si="156"/>
        <v>#VALUE!</v>
      </c>
      <c r="BN1203" t="e" vm="2">
        <f t="shared" si="157"/>
        <v>#VALUE!</v>
      </c>
    </row>
    <row r="1204" spans="55:66" x14ac:dyDescent="0.2">
      <c r="BC1204" s="21" t="e" vm="1">
        <v>#REF!</v>
      </c>
      <c r="BD1204" t="e" vm="1">
        <v>#REF!</v>
      </c>
      <c r="BF1204" t="e" vm="2">
        <f t="shared" si="154"/>
        <v>#VALUE!</v>
      </c>
      <c r="BG1204" t="e" vm="2">
        <f t="shared" si="155"/>
        <v>#VALUE!</v>
      </c>
      <c r="BJ1204" s="21" t="e" vm="1">
        <v>#REF!</v>
      </c>
      <c r="BK1204" t="e" vm="1">
        <v>#REF!</v>
      </c>
      <c r="BM1204" t="e" vm="2">
        <f t="shared" si="156"/>
        <v>#VALUE!</v>
      </c>
      <c r="BN1204" t="e" vm="2">
        <f t="shared" si="157"/>
        <v>#VALUE!</v>
      </c>
    </row>
    <row r="1205" spans="55:66" x14ac:dyDescent="0.2">
      <c r="BC1205" s="21" t="e" vm="1">
        <v>#REF!</v>
      </c>
      <c r="BD1205" t="e" vm="1">
        <v>#REF!</v>
      </c>
      <c r="BF1205" t="e" vm="2">
        <f t="shared" si="154"/>
        <v>#VALUE!</v>
      </c>
      <c r="BG1205" t="e" vm="2">
        <f t="shared" si="155"/>
        <v>#VALUE!</v>
      </c>
      <c r="BJ1205" s="21" t="e" vm="1">
        <v>#REF!</v>
      </c>
      <c r="BK1205" t="e" vm="1">
        <v>#REF!</v>
      </c>
      <c r="BM1205" t="e" vm="2">
        <f t="shared" si="156"/>
        <v>#VALUE!</v>
      </c>
      <c r="BN1205" t="e" vm="2">
        <f t="shared" si="157"/>
        <v>#VALUE!</v>
      </c>
    </row>
    <row r="1206" spans="55:66" x14ac:dyDescent="0.2">
      <c r="BC1206" s="21" t="e" vm="1">
        <v>#REF!</v>
      </c>
      <c r="BD1206" t="e" vm="1">
        <v>#REF!</v>
      </c>
      <c r="BF1206" t="e" vm="2">
        <f t="shared" si="154"/>
        <v>#VALUE!</v>
      </c>
      <c r="BG1206" t="e" vm="2">
        <f t="shared" si="155"/>
        <v>#VALUE!</v>
      </c>
      <c r="BJ1206" s="21" t="e" vm="1">
        <v>#REF!</v>
      </c>
      <c r="BK1206" t="e" vm="1">
        <v>#REF!</v>
      </c>
      <c r="BM1206" t="e" vm="2">
        <f t="shared" si="156"/>
        <v>#VALUE!</v>
      </c>
      <c r="BN1206" t="e" vm="2">
        <f t="shared" si="157"/>
        <v>#VALUE!</v>
      </c>
    </row>
    <row r="1207" spans="55:66" x14ac:dyDescent="0.2">
      <c r="BC1207" s="21" t="e" vm="1">
        <v>#REF!</v>
      </c>
      <c r="BD1207" t="e" vm="1">
        <v>#REF!</v>
      </c>
      <c r="BF1207" t="e" vm="2">
        <f t="shared" si="154"/>
        <v>#VALUE!</v>
      </c>
      <c r="BG1207" t="e" vm="2">
        <f t="shared" si="155"/>
        <v>#VALUE!</v>
      </c>
      <c r="BJ1207" s="21" t="e" vm="1">
        <v>#REF!</v>
      </c>
      <c r="BK1207" t="e" vm="1">
        <v>#REF!</v>
      </c>
      <c r="BM1207" t="e" vm="2">
        <f t="shared" si="156"/>
        <v>#VALUE!</v>
      </c>
      <c r="BN1207" t="e" vm="2">
        <f t="shared" si="157"/>
        <v>#VALUE!</v>
      </c>
    </row>
    <row r="1208" spans="55:66" x14ac:dyDescent="0.2">
      <c r="BC1208" s="21" t="e" vm="1">
        <v>#REF!</v>
      </c>
      <c r="BD1208" t="e" vm="1">
        <v>#REF!</v>
      </c>
      <c r="BF1208" t="e" vm="2">
        <f t="shared" si="154"/>
        <v>#VALUE!</v>
      </c>
      <c r="BG1208" t="e" vm="2">
        <f t="shared" si="155"/>
        <v>#VALUE!</v>
      </c>
      <c r="BJ1208" s="21" t="e" vm="1">
        <v>#REF!</v>
      </c>
      <c r="BK1208" t="e" vm="1">
        <v>#REF!</v>
      </c>
      <c r="BM1208" t="e" vm="2">
        <f t="shared" si="156"/>
        <v>#VALUE!</v>
      </c>
      <c r="BN1208" t="e" vm="2">
        <f t="shared" si="157"/>
        <v>#VALUE!</v>
      </c>
    </row>
    <row r="1209" spans="55:66" x14ac:dyDescent="0.2">
      <c r="BC1209" s="21" t="e" vm="1">
        <v>#REF!</v>
      </c>
      <c r="BD1209" t="e" vm="1">
        <v>#REF!</v>
      </c>
      <c r="BF1209" t="e" vm="2">
        <f t="shared" si="154"/>
        <v>#VALUE!</v>
      </c>
      <c r="BG1209" t="e" vm="2">
        <f t="shared" si="155"/>
        <v>#VALUE!</v>
      </c>
      <c r="BJ1209" s="21" t="e" vm="1">
        <v>#REF!</v>
      </c>
      <c r="BK1209" t="e" vm="1">
        <v>#REF!</v>
      </c>
      <c r="BM1209" t="e" vm="2">
        <f t="shared" si="156"/>
        <v>#VALUE!</v>
      </c>
      <c r="BN1209" t="e" vm="2">
        <f t="shared" si="157"/>
        <v>#VALUE!</v>
      </c>
    </row>
    <row r="1210" spans="55:66" x14ac:dyDescent="0.2">
      <c r="BC1210" s="21" t="e" vm="1">
        <v>#REF!</v>
      </c>
      <c r="BD1210" t="e" vm="1">
        <v>#REF!</v>
      </c>
      <c r="BF1210" t="e" vm="2">
        <f t="shared" si="154"/>
        <v>#VALUE!</v>
      </c>
      <c r="BG1210" t="e" vm="2">
        <f t="shared" si="155"/>
        <v>#VALUE!</v>
      </c>
      <c r="BJ1210" s="21" t="e" vm="1">
        <v>#REF!</v>
      </c>
      <c r="BK1210" t="e" vm="1">
        <v>#REF!</v>
      </c>
      <c r="BM1210" t="e" vm="2">
        <f t="shared" si="156"/>
        <v>#VALUE!</v>
      </c>
      <c r="BN1210" t="e" vm="2">
        <f t="shared" si="157"/>
        <v>#VALUE!</v>
      </c>
    </row>
    <row r="1211" spans="55:66" x14ac:dyDescent="0.2">
      <c r="BC1211" s="21" t="e" vm="1">
        <v>#REF!</v>
      </c>
      <c r="BD1211" t="e" vm="1">
        <v>#REF!</v>
      </c>
      <c r="BF1211" t="e" vm="2">
        <f t="shared" si="154"/>
        <v>#VALUE!</v>
      </c>
      <c r="BG1211" t="e" vm="2">
        <f t="shared" si="155"/>
        <v>#VALUE!</v>
      </c>
      <c r="BJ1211" s="21" t="e" vm="1">
        <v>#REF!</v>
      </c>
      <c r="BK1211" t="e" vm="1">
        <v>#REF!</v>
      </c>
      <c r="BM1211" t="e" vm="2">
        <f t="shared" si="156"/>
        <v>#VALUE!</v>
      </c>
      <c r="BN1211" t="e" vm="2">
        <f t="shared" si="157"/>
        <v>#VALUE!</v>
      </c>
    </row>
    <row r="1212" spans="55:66" x14ac:dyDescent="0.2">
      <c r="BC1212" s="21" t="e" vm="1">
        <v>#REF!</v>
      </c>
      <c r="BD1212" t="e" vm="1">
        <v>#REF!</v>
      </c>
      <c r="BF1212" t="e" vm="2">
        <f t="shared" si="154"/>
        <v>#VALUE!</v>
      </c>
      <c r="BG1212" t="e" vm="2">
        <f t="shared" si="155"/>
        <v>#VALUE!</v>
      </c>
      <c r="BJ1212" s="21" t="e" vm="1">
        <v>#REF!</v>
      </c>
      <c r="BK1212" t="e" vm="1">
        <v>#REF!</v>
      </c>
      <c r="BM1212" t="e" vm="2">
        <f t="shared" si="156"/>
        <v>#VALUE!</v>
      </c>
      <c r="BN1212" t="e" vm="2">
        <f t="shared" si="157"/>
        <v>#VALUE!</v>
      </c>
    </row>
    <row r="1213" spans="55:66" x14ac:dyDescent="0.2">
      <c r="BC1213" s="21" t="e" vm="1">
        <v>#REF!</v>
      </c>
      <c r="BD1213" t="e" vm="1">
        <v>#REF!</v>
      </c>
      <c r="BF1213" t="e" vm="2">
        <f t="shared" si="154"/>
        <v>#VALUE!</v>
      </c>
      <c r="BG1213" t="e" vm="2">
        <f t="shared" si="155"/>
        <v>#VALUE!</v>
      </c>
      <c r="BJ1213" s="21" t="e" vm="1">
        <v>#REF!</v>
      </c>
      <c r="BK1213" t="e" vm="1">
        <v>#REF!</v>
      </c>
      <c r="BM1213" t="e" vm="2">
        <f t="shared" si="156"/>
        <v>#VALUE!</v>
      </c>
      <c r="BN1213" t="e" vm="2">
        <f t="shared" si="157"/>
        <v>#VALUE!</v>
      </c>
    </row>
    <row r="1214" spans="55:66" x14ac:dyDescent="0.2">
      <c r="BC1214" s="21" t="e" vm="1">
        <v>#REF!</v>
      </c>
      <c r="BD1214" t="e" vm="1">
        <v>#REF!</v>
      </c>
      <c r="BF1214" t="e" vm="2">
        <f t="shared" si="154"/>
        <v>#VALUE!</v>
      </c>
      <c r="BG1214" t="e" vm="2">
        <f t="shared" si="155"/>
        <v>#VALUE!</v>
      </c>
      <c r="BJ1214" s="21" t="e" vm="1">
        <v>#REF!</v>
      </c>
      <c r="BK1214" t="e" vm="1">
        <v>#REF!</v>
      </c>
      <c r="BM1214" t="e" vm="2">
        <f t="shared" si="156"/>
        <v>#VALUE!</v>
      </c>
      <c r="BN1214" t="e" vm="2">
        <f t="shared" si="157"/>
        <v>#VALUE!</v>
      </c>
    </row>
    <row r="1215" spans="55:66" x14ac:dyDescent="0.2">
      <c r="BC1215" s="21" t="e" vm="1">
        <v>#REF!</v>
      </c>
      <c r="BD1215" t="e" vm="1">
        <v>#REF!</v>
      </c>
      <c r="BF1215" t="e" vm="2">
        <f t="shared" si="154"/>
        <v>#VALUE!</v>
      </c>
      <c r="BG1215" t="e" vm="2">
        <f t="shared" si="155"/>
        <v>#VALUE!</v>
      </c>
      <c r="BJ1215" s="21" t="e" vm="1">
        <v>#REF!</v>
      </c>
      <c r="BK1215" t="e" vm="1">
        <v>#REF!</v>
      </c>
      <c r="BM1215" t="e" vm="2">
        <f t="shared" si="156"/>
        <v>#VALUE!</v>
      </c>
      <c r="BN1215" t="e" vm="2">
        <f t="shared" si="157"/>
        <v>#VALUE!</v>
      </c>
    </row>
    <row r="1216" spans="55:66" x14ac:dyDescent="0.2">
      <c r="BC1216" s="21" t="e" vm="1">
        <v>#REF!</v>
      </c>
      <c r="BD1216" t="e" vm="1">
        <v>#REF!</v>
      </c>
      <c r="BF1216" t="e" vm="2">
        <f t="shared" si="154"/>
        <v>#VALUE!</v>
      </c>
      <c r="BG1216" t="e" vm="2">
        <f t="shared" si="155"/>
        <v>#VALUE!</v>
      </c>
      <c r="BJ1216" s="21" t="e" vm="1">
        <v>#REF!</v>
      </c>
      <c r="BK1216" t="e" vm="1">
        <v>#REF!</v>
      </c>
      <c r="BM1216" t="e" vm="2">
        <f t="shared" si="156"/>
        <v>#VALUE!</v>
      </c>
      <c r="BN1216" t="e" vm="2">
        <f t="shared" si="157"/>
        <v>#VALUE!</v>
      </c>
    </row>
    <row r="1217" spans="55:66" x14ac:dyDescent="0.2">
      <c r="BC1217" s="21" t="e" vm="1">
        <v>#REF!</v>
      </c>
      <c r="BD1217" t="e" vm="1">
        <v>#REF!</v>
      </c>
      <c r="BF1217" t="e" vm="2">
        <f t="shared" si="154"/>
        <v>#VALUE!</v>
      </c>
      <c r="BG1217" t="e" vm="2">
        <f t="shared" si="155"/>
        <v>#VALUE!</v>
      </c>
      <c r="BJ1217" s="21" t="e" vm="1">
        <v>#REF!</v>
      </c>
      <c r="BK1217" t="e" vm="1">
        <v>#REF!</v>
      </c>
      <c r="BM1217" t="e" vm="2">
        <f t="shared" si="156"/>
        <v>#VALUE!</v>
      </c>
      <c r="BN1217" t="e" vm="2">
        <f t="shared" si="157"/>
        <v>#VALUE!</v>
      </c>
    </row>
    <row r="1218" spans="55:66" x14ac:dyDescent="0.2">
      <c r="BC1218" s="21" t="e" vm="1">
        <v>#REF!</v>
      </c>
      <c r="BD1218" t="e" vm="1">
        <v>#REF!</v>
      </c>
      <c r="BF1218" t="e" vm="2">
        <f t="shared" si="154"/>
        <v>#VALUE!</v>
      </c>
      <c r="BG1218" t="e" vm="2">
        <f t="shared" si="155"/>
        <v>#VALUE!</v>
      </c>
      <c r="BJ1218" s="21" t="e" vm="1">
        <v>#REF!</v>
      </c>
      <c r="BK1218" t="e" vm="1">
        <v>#REF!</v>
      </c>
      <c r="BM1218" t="e" vm="2">
        <f t="shared" si="156"/>
        <v>#VALUE!</v>
      </c>
      <c r="BN1218" t="e" vm="2">
        <f t="shared" si="157"/>
        <v>#VALUE!</v>
      </c>
    </row>
    <row r="1219" spans="55:66" x14ac:dyDescent="0.2">
      <c r="BC1219" s="21" t="e" vm="1">
        <v>#REF!</v>
      </c>
      <c r="BD1219" t="e" vm="1">
        <v>#REF!</v>
      </c>
      <c r="BF1219" t="e" vm="2">
        <f t="shared" ref="BF1219:BF1282" si="158">MONTH(BC1219)</f>
        <v>#VALUE!</v>
      </c>
      <c r="BG1219" t="e" vm="2">
        <f t="shared" ref="BG1219:BG1282" si="159">YEAR(BC1219)</f>
        <v>#VALUE!</v>
      </c>
      <c r="BJ1219" s="21" t="e" vm="1">
        <v>#REF!</v>
      </c>
      <c r="BK1219" t="e" vm="1">
        <v>#REF!</v>
      </c>
      <c r="BM1219" t="e" vm="2">
        <f t="shared" si="156"/>
        <v>#VALUE!</v>
      </c>
      <c r="BN1219" t="e" vm="2">
        <f t="shared" si="157"/>
        <v>#VALUE!</v>
      </c>
    </row>
    <row r="1220" spans="55:66" x14ac:dyDescent="0.2">
      <c r="BC1220" s="21" t="e" vm="1">
        <v>#REF!</v>
      </c>
      <c r="BD1220" t="e" vm="1">
        <v>#REF!</v>
      </c>
      <c r="BF1220" t="e" vm="2">
        <f t="shared" si="158"/>
        <v>#VALUE!</v>
      </c>
      <c r="BG1220" t="e" vm="2">
        <f t="shared" si="159"/>
        <v>#VALUE!</v>
      </c>
      <c r="BJ1220" s="21" t="e" vm="1">
        <v>#REF!</v>
      </c>
      <c r="BK1220" t="e" vm="1">
        <v>#REF!</v>
      </c>
      <c r="BM1220" t="e" vm="2">
        <f t="shared" ref="BM1220:BM1283" si="160">MONTH(BJ1220)</f>
        <v>#VALUE!</v>
      </c>
      <c r="BN1220" t="e" vm="2">
        <f t="shared" ref="BN1220:BN1283" si="161">YEAR(BJ1220)</f>
        <v>#VALUE!</v>
      </c>
    </row>
    <row r="1221" spans="55:66" x14ac:dyDescent="0.2">
      <c r="BC1221" s="21" t="e" vm="1">
        <v>#REF!</v>
      </c>
      <c r="BD1221" t="e" vm="1">
        <v>#REF!</v>
      </c>
      <c r="BF1221" t="e" vm="2">
        <f t="shared" si="158"/>
        <v>#VALUE!</v>
      </c>
      <c r="BG1221" t="e" vm="2">
        <f t="shared" si="159"/>
        <v>#VALUE!</v>
      </c>
      <c r="BJ1221" s="21" t="e" vm="1">
        <v>#REF!</v>
      </c>
      <c r="BK1221" t="e" vm="1">
        <v>#REF!</v>
      </c>
      <c r="BM1221" t="e" vm="2">
        <f t="shared" si="160"/>
        <v>#VALUE!</v>
      </c>
      <c r="BN1221" t="e" vm="2">
        <f t="shared" si="161"/>
        <v>#VALUE!</v>
      </c>
    </row>
    <row r="1222" spans="55:66" x14ac:dyDescent="0.2">
      <c r="BC1222" s="21" t="e" vm="1">
        <v>#REF!</v>
      </c>
      <c r="BD1222" t="e" vm="1">
        <v>#REF!</v>
      </c>
      <c r="BF1222" t="e" vm="2">
        <f t="shared" si="158"/>
        <v>#VALUE!</v>
      </c>
      <c r="BG1222" t="e" vm="2">
        <f t="shared" si="159"/>
        <v>#VALUE!</v>
      </c>
      <c r="BJ1222" s="21" t="e" vm="1">
        <v>#REF!</v>
      </c>
      <c r="BK1222" t="e" vm="1">
        <v>#REF!</v>
      </c>
      <c r="BM1222" t="e" vm="2">
        <f t="shared" si="160"/>
        <v>#VALUE!</v>
      </c>
      <c r="BN1222" t="e" vm="2">
        <f t="shared" si="161"/>
        <v>#VALUE!</v>
      </c>
    </row>
    <row r="1223" spans="55:66" x14ac:dyDescent="0.2">
      <c r="BC1223" s="21" t="e" vm="1">
        <v>#REF!</v>
      </c>
      <c r="BD1223" t="e" vm="1">
        <v>#REF!</v>
      </c>
      <c r="BF1223" t="e" vm="2">
        <f t="shared" si="158"/>
        <v>#VALUE!</v>
      </c>
      <c r="BG1223" t="e" vm="2">
        <f t="shared" si="159"/>
        <v>#VALUE!</v>
      </c>
      <c r="BJ1223" s="21" t="e" vm="1">
        <v>#REF!</v>
      </c>
      <c r="BK1223" t="e" vm="1">
        <v>#REF!</v>
      </c>
      <c r="BM1223" t="e" vm="2">
        <f t="shared" si="160"/>
        <v>#VALUE!</v>
      </c>
      <c r="BN1223" t="e" vm="2">
        <f t="shared" si="161"/>
        <v>#VALUE!</v>
      </c>
    </row>
    <row r="1224" spans="55:66" x14ac:dyDescent="0.2">
      <c r="BC1224" s="21" t="e" vm="1">
        <v>#REF!</v>
      </c>
      <c r="BD1224" t="e" vm="1">
        <v>#REF!</v>
      </c>
      <c r="BF1224" t="e" vm="2">
        <f t="shared" si="158"/>
        <v>#VALUE!</v>
      </c>
      <c r="BG1224" t="e" vm="2">
        <f t="shared" si="159"/>
        <v>#VALUE!</v>
      </c>
      <c r="BJ1224" s="21" t="e" vm="1">
        <v>#REF!</v>
      </c>
      <c r="BK1224" t="e" vm="1">
        <v>#REF!</v>
      </c>
      <c r="BM1224" t="e" vm="2">
        <f t="shared" si="160"/>
        <v>#VALUE!</v>
      </c>
      <c r="BN1224" t="e" vm="2">
        <f t="shared" si="161"/>
        <v>#VALUE!</v>
      </c>
    </row>
    <row r="1225" spans="55:66" x14ac:dyDescent="0.2">
      <c r="BC1225" s="21" t="e" vm="1">
        <v>#REF!</v>
      </c>
      <c r="BD1225" t="e" vm="1">
        <v>#REF!</v>
      </c>
      <c r="BF1225" t="e" vm="2">
        <f t="shared" si="158"/>
        <v>#VALUE!</v>
      </c>
      <c r="BG1225" t="e" vm="2">
        <f t="shared" si="159"/>
        <v>#VALUE!</v>
      </c>
      <c r="BJ1225" s="21" t="e" vm="1">
        <v>#REF!</v>
      </c>
      <c r="BK1225" t="e" vm="1">
        <v>#REF!</v>
      </c>
      <c r="BM1225" t="e" vm="2">
        <f t="shared" si="160"/>
        <v>#VALUE!</v>
      </c>
      <c r="BN1225" t="e" vm="2">
        <f t="shared" si="161"/>
        <v>#VALUE!</v>
      </c>
    </row>
    <row r="1226" spans="55:66" x14ac:dyDescent="0.2">
      <c r="BC1226" s="21" t="e" vm="1">
        <v>#REF!</v>
      </c>
      <c r="BD1226" t="e" vm="1">
        <v>#REF!</v>
      </c>
      <c r="BF1226" t="e" vm="2">
        <f t="shared" si="158"/>
        <v>#VALUE!</v>
      </c>
      <c r="BG1226" t="e" vm="2">
        <f t="shared" si="159"/>
        <v>#VALUE!</v>
      </c>
      <c r="BJ1226" s="21" t="e" vm="1">
        <v>#REF!</v>
      </c>
      <c r="BK1226" t="e" vm="1">
        <v>#REF!</v>
      </c>
      <c r="BM1226" t="e" vm="2">
        <f t="shared" si="160"/>
        <v>#VALUE!</v>
      </c>
      <c r="BN1226" t="e" vm="2">
        <f t="shared" si="161"/>
        <v>#VALUE!</v>
      </c>
    </row>
    <row r="1227" spans="55:66" x14ac:dyDescent="0.2">
      <c r="BC1227" s="21" t="e" vm="1">
        <v>#REF!</v>
      </c>
      <c r="BD1227" t="e" vm="1">
        <v>#REF!</v>
      </c>
      <c r="BF1227" t="e" vm="2">
        <f t="shared" si="158"/>
        <v>#VALUE!</v>
      </c>
      <c r="BG1227" t="e" vm="2">
        <f t="shared" si="159"/>
        <v>#VALUE!</v>
      </c>
      <c r="BJ1227" s="21" t="e" vm="1">
        <v>#REF!</v>
      </c>
      <c r="BK1227" t="e" vm="1">
        <v>#REF!</v>
      </c>
      <c r="BM1227" t="e" vm="2">
        <f t="shared" si="160"/>
        <v>#VALUE!</v>
      </c>
      <c r="BN1227" t="e" vm="2">
        <f t="shared" si="161"/>
        <v>#VALUE!</v>
      </c>
    </row>
    <row r="1228" spans="55:66" x14ac:dyDescent="0.2">
      <c r="BC1228" s="21" t="e" vm="1">
        <v>#REF!</v>
      </c>
      <c r="BD1228" t="e" vm="1">
        <v>#REF!</v>
      </c>
      <c r="BF1228" t="e" vm="2">
        <f t="shared" si="158"/>
        <v>#VALUE!</v>
      </c>
      <c r="BG1228" t="e" vm="2">
        <f t="shared" si="159"/>
        <v>#VALUE!</v>
      </c>
      <c r="BJ1228" s="21" t="e" vm="1">
        <v>#REF!</v>
      </c>
      <c r="BK1228" t="e" vm="1">
        <v>#REF!</v>
      </c>
      <c r="BM1228" t="e" vm="2">
        <f t="shared" si="160"/>
        <v>#VALUE!</v>
      </c>
      <c r="BN1228" t="e" vm="2">
        <f t="shared" si="161"/>
        <v>#VALUE!</v>
      </c>
    </row>
    <row r="1229" spans="55:66" x14ac:dyDescent="0.2">
      <c r="BC1229" s="21" t="e" vm="1">
        <v>#REF!</v>
      </c>
      <c r="BD1229" t="e" vm="1">
        <v>#REF!</v>
      </c>
      <c r="BF1229" t="e" vm="2">
        <f t="shared" si="158"/>
        <v>#VALUE!</v>
      </c>
      <c r="BG1229" t="e" vm="2">
        <f t="shared" si="159"/>
        <v>#VALUE!</v>
      </c>
      <c r="BJ1229" s="21" t="e" vm="1">
        <v>#REF!</v>
      </c>
      <c r="BK1229" t="e" vm="1">
        <v>#REF!</v>
      </c>
      <c r="BM1229" t="e" vm="2">
        <f t="shared" si="160"/>
        <v>#VALUE!</v>
      </c>
      <c r="BN1229" t="e" vm="2">
        <f t="shared" si="161"/>
        <v>#VALUE!</v>
      </c>
    </row>
    <row r="1230" spans="55:66" x14ac:dyDescent="0.2">
      <c r="BC1230" s="21" t="e" vm="1">
        <v>#REF!</v>
      </c>
      <c r="BD1230" t="e" vm="1">
        <v>#REF!</v>
      </c>
      <c r="BF1230" t="e" vm="2">
        <f t="shared" si="158"/>
        <v>#VALUE!</v>
      </c>
      <c r="BG1230" t="e" vm="2">
        <f t="shared" si="159"/>
        <v>#VALUE!</v>
      </c>
      <c r="BJ1230" s="21" t="e" vm="1">
        <v>#REF!</v>
      </c>
      <c r="BK1230" t="e" vm="1">
        <v>#REF!</v>
      </c>
      <c r="BM1230" t="e" vm="2">
        <f t="shared" si="160"/>
        <v>#VALUE!</v>
      </c>
      <c r="BN1230" t="e" vm="2">
        <f t="shared" si="161"/>
        <v>#VALUE!</v>
      </c>
    </row>
    <row r="1231" spans="55:66" x14ac:dyDescent="0.2">
      <c r="BC1231" s="21" t="e" vm="1">
        <v>#REF!</v>
      </c>
      <c r="BD1231" t="e" vm="1">
        <v>#REF!</v>
      </c>
      <c r="BF1231" t="e" vm="2">
        <f t="shared" si="158"/>
        <v>#VALUE!</v>
      </c>
      <c r="BG1231" t="e" vm="2">
        <f t="shared" si="159"/>
        <v>#VALUE!</v>
      </c>
      <c r="BJ1231" s="21" t="e" vm="1">
        <v>#REF!</v>
      </c>
      <c r="BK1231" t="e" vm="1">
        <v>#REF!</v>
      </c>
      <c r="BM1231" t="e" vm="2">
        <f t="shared" si="160"/>
        <v>#VALUE!</v>
      </c>
      <c r="BN1231" t="e" vm="2">
        <f t="shared" si="161"/>
        <v>#VALUE!</v>
      </c>
    </row>
    <row r="1232" spans="55:66" x14ac:dyDescent="0.2">
      <c r="BC1232" s="21" t="e" vm="1">
        <v>#REF!</v>
      </c>
      <c r="BD1232" t="e" vm="1">
        <v>#REF!</v>
      </c>
      <c r="BF1232" t="e" vm="2">
        <f t="shared" si="158"/>
        <v>#VALUE!</v>
      </c>
      <c r="BG1232" t="e" vm="2">
        <f t="shared" si="159"/>
        <v>#VALUE!</v>
      </c>
      <c r="BJ1232" s="21" t="e" vm="1">
        <v>#REF!</v>
      </c>
      <c r="BK1232" t="e" vm="1">
        <v>#REF!</v>
      </c>
      <c r="BM1232" t="e" vm="2">
        <f t="shared" si="160"/>
        <v>#VALUE!</v>
      </c>
      <c r="BN1232" t="e" vm="2">
        <f t="shared" si="161"/>
        <v>#VALUE!</v>
      </c>
    </row>
    <row r="1233" spans="55:66" x14ac:dyDescent="0.2">
      <c r="BC1233" s="21" t="e" vm="1">
        <v>#REF!</v>
      </c>
      <c r="BD1233" t="e" vm="1">
        <v>#REF!</v>
      </c>
      <c r="BF1233" t="e" vm="2">
        <f t="shared" si="158"/>
        <v>#VALUE!</v>
      </c>
      <c r="BG1233" t="e" vm="2">
        <f t="shared" si="159"/>
        <v>#VALUE!</v>
      </c>
      <c r="BJ1233" s="21" t="e" vm="1">
        <v>#REF!</v>
      </c>
      <c r="BK1233" t="e" vm="1">
        <v>#REF!</v>
      </c>
      <c r="BM1233" t="e" vm="2">
        <f t="shared" si="160"/>
        <v>#VALUE!</v>
      </c>
      <c r="BN1233" t="e" vm="2">
        <f t="shared" si="161"/>
        <v>#VALUE!</v>
      </c>
    </row>
    <row r="1234" spans="55:66" x14ac:dyDescent="0.2">
      <c r="BC1234" s="21" t="e" vm="1">
        <v>#REF!</v>
      </c>
      <c r="BD1234" t="e" vm="1">
        <v>#REF!</v>
      </c>
      <c r="BF1234" t="e" vm="2">
        <f t="shared" si="158"/>
        <v>#VALUE!</v>
      </c>
      <c r="BG1234" t="e" vm="2">
        <f t="shared" si="159"/>
        <v>#VALUE!</v>
      </c>
      <c r="BJ1234" s="21" t="e" vm="1">
        <v>#REF!</v>
      </c>
      <c r="BK1234" t="e" vm="1">
        <v>#REF!</v>
      </c>
      <c r="BM1234" t="e" vm="2">
        <f t="shared" si="160"/>
        <v>#VALUE!</v>
      </c>
      <c r="BN1234" t="e" vm="2">
        <f t="shared" si="161"/>
        <v>#VALUE!</v>
      </c>
    </row>
    <row r="1235" spans="55:66" x14ac:dyDescent="0.2">
      <c r="BC1235" s="21" t="e" vm="1">
        <v>#REF!</v>
      </c>
      <c r="BD1235" t="e" vm="1">
        <v>#REF!</v>
      </c>
      <c r="BF1235" t="e" vm="2">
        <f t="shared" si="158"/>
        <v>#VALUE!</v>
      </c>
      <c r="BG1235" t="e" vm="2">
        <f t="shared" si="159"/>
        <v>#VALUE!</v>
      </c>
      <c r="BJ1235" s="21" t="e" vm="1">
        <v>#REF!</v>
      </c>
      <c r="BK1235" t="e" vm="1">
        <v>#REF!</v>
      </c>
      <c r="BM1235" t="e" vm="2">
        <f t="shared" si="160"/>
        <v>#VALUE!</v>
      </c>
      <c r="BN1235" t="e" vm="2">
        <f t="shared" si="161"/>
        <v>#VALUE!</v>
      </c>
    </row>
    <row r="1236" spans="55:66" x14ac:dyDescent="0.2">
      <c r="BC1236" s="21" t="e" vm="1">
        <v>#REF!</v>
      </c>
      <c r="BD1236" t="e" vm="1">
        <v>#REF!</v>
      </c>
      <c r="BF1236" t="e" vm="2">
        <f t="shared" si="158"/>
        <v>#VALUE!</v>
      </c>
      <c r="BG1236" t="e" vm="2">
        <f t="shared" si="159"/>
        <v>#VALUE!</v>
      </c>
      <c r="BJ1236" s="21" t="e" vm="1">
        <v>#REF!</v>
      </c>
      <c r="BK1236" t="e" vm="1">
        <v>#REF!</v>
      </c>
      <c r="BM1236" t="e" vm="2">
        <f t="shared" si="160"/>
        <v>#VALUE!</v>
      </c>
      <c r="BN1236" t="e" vm="2">
        <f t="shared" si="161"/>
        <v>#VALUE!</v>
      </c>
    </row>
    <row r="1237" spans="55:66" x14ac:dyDescent="0.2">
      <c r="BC1237" s="21" t="e" vm="1">
        <v>#REF!</v>
      </c>
      <c r="BD1237" t="e" vm="1">
        <v>#REF!</v>
      </c>
      <c r="BF1237" t="e" vm="2">
        <f t="shared" si="158"/>
        <v>#VALUE!</v>
      </c>
      <c r="BG1237" t="e" vm="2">
        <f t="shared" si="159"/>
        <v>#VALUE!</v>
      </c>
      <c r="BJ1237" s="21" t="e" vm="1">
        <v>#REF!</v>
      </c>
      <c r="BK1237" t="e" vm="1">
        <v>#REF!</v>
      </c>
      <c r="BM1237" t="e" vm="2">
        <f t="shared" si="160"/>
        <v>#VALUE!</v>
      </c>
      <c r="BN1237" t="e" vm="2">
        <f t="shared" si="161"/>
        <v>#VALUE!</v>
      </c>
    </row>
    <row r="1238" spans="55:66" x14ac:dyDescent="0.2">
      <c r="BC1238" s="21" t="e" vm="1">
        <v>#REF!</v>
      </c>
      <c r="BD1238" t="e" vm="1">
        <v>#REF!</v>
      </c>
      <c r="BF1238" t="e" vm="2">
        <f t="shared" si="158"/>
        <v>#VALUE!</v>
      </c>
      <c r="BG1238" t="e" vm="2">
        <f t="shared" si="159"/>
        <v>#VALUE!</v>
      </c>
      <c r="BJ1238" s="21" t="e" vm="1">
        <v>#REF!</v>
      </c>
      <c r="BK1238" t="e" vm="1">
        <v>#REF!</v>
      </c>
      <c r="BM1238" t="e" vm="2">
        <f t="shared" si="160"/>
        <v>#VALUE!</v>
      </c>
      <c r="BN1238" t="e" vm="2">
        <f t="shared" si="161"/>
        <v>#VALUE!</v>
      </c>
    </row>
    <row r="1239" spans="55:66" x14ac:dyDescent="0.2">
      <c r="BC1239" s="21" t="e" vm="1">
        <v>#REF!</v>
      </c>
      <c r="BD1239" t="e" vm="1">
        <v>#REF!</v>
      </c>
      <c r="BF1239" t="e" vm="2">
        <f t="shared" si="158"/>
        <v>#VALUE!</v>
      </c>
      <c r="BG1239" t="e" vm="2">
        <f t="shared" si="159"/>
        <v>#VALUE!</v>
      </c>
      <c r="BJ1239" s="21" t="e" vm="1">
        <v>#REF!</v>
      </c>
      <c r="BK1239" t="e" vm="1">
        <v>#REF!</v>
      </c>
      <c r="BM1239" t="e" vm="2">
        <f t="shared" si="160"/>
        <v>#VALUE!</v>
      </c>
      <c r="BN1239" t="e" vm="2">
        <f t="shared" si="161"/>
        <v>#VALUE!</v>
      </c>
    </row>
    <row r="1240" spans="55:66" x14ac:dyDescent="0.2">
      <c r="BC1240" s="21" t="e" vm="1">
        <v>#REF!</v>
      </c>
      <c r="BD1240" t="e" vm="1">
        <v>#REF!</v>
      </c>
      <c r="BF1240" t="e" vm="2">
        <f t="shared" si="158"/>
        <v>#VALUE!</v>
      </c>
      <c r="BG1240" t="e" vm="2">
        <f t="shared" si="159"/>
        <v>#VALUE!</v>
      </c>
      <c r="BJ1240" s="21" t="e" vm="1">
        <v>#REF!</v>
      </c>
      <c r="BK1240" t="e" vm="1">
        <v>#REF!</v>
      </c>
      <c r="BM1240" t="e" vm="2">
        <f t="shared" si="160"/>
        <v>#VALUE!</v>
      </c>
      <c r="BN1240" t="e" vm="2">
        <f t="shared" si="161"/>
        <v>#VALUE!</v>
      </c>
    </row>
    <row r="1241" spans="55:66" x14ac:dyDescent="0.2">
      <c r="BC1241" s="21" t="e" vm="1">
        <v>#REF!</v>
      </c>
      <c r="BD1241" t="e" vm="1">
        <v>#REF!</v>
      </c>
      <c r="BF1241" t="e" vm="2">
        <f t="shared" si="158"/>
        <v>#VALUE!</v>
      </c>
      <c r="BG1241" t="e" vm="2">
        <f t="shared" si="159"/>
        <v>#VALUE!</v>
      </c>
      <c r="BJ1241" s="21" t="e" vm="1">
        <v>#REF!</v>
      </c>
      <c r="BK1241" t="e" vm="1">
        <v>#REF!</v>
      </c>
      <c r="BM1241" t="e" vm="2">
        <f t="shared" si="160"/>
        <v>#VALUE!</v>
      </c>
      <c r="BN1241" t="e" vm="2">
        <f t="shared" si="161"/>
        <v>#VALUE!</v>
      </c>
    </row>
    <row r="1242" spans="55:66" x14ac:dyDescent="0.2">
      <c r="BC1242" s="21" t="e" vm="1">
        <v>#REF!</v>
      </c>
      <c r="BD1242" t="e" vm="1">
        <v>#REF!</v>
      </c>
      <c r="BF1242" t="e" vm="2">
        <f t="shared" si="158"/>
        <v>#VALUE!</v>
      </c>
      <c r="BG1242" t="e" vm="2">
        <f t="shared" si="159"/>
        <v>#VALUE!</v>
      </c>
      <c r="BJ1242" s="21" t="e" vm="1">
        <v>#REF!</v>
      </c>
      <c r="BK1242" t="e" vm="1">
        <v>#REF!</v>
      </c>
      <c r="BM1242" t="e" vm="2">
        <f t="shared" si="160"/>
        <v>#VALUE!</v>
      </c>
      <c r="BN1242" t="e" vm="2">
        <f t="shared" si="161"/>
        <v>#VALUE!</v>
      </c>
    </row>
    <row r="1243" spans="55:66" x14ac:dyDescent="0.2">
      <c r="BC1243" s="21" t="e" vm="1">
        <v>#REF!</v>
      </c>
      <c r="BD1243" t="e" vm="1">
        <v>#REF!</v>
      </c>
      <c r="BF1243" t="e" vm="2">
        <f t="shared" si="158"/>
        <v>#VALUE!</v>
      </c>
      <c r="BG1243" t="e" vm="2">
        <f t="shared" si="159"/>
        <v>#VALUE!</v>
      </c>
      <c r="BJ1243" s="21" t="e" vm="1">
        <v>#REF!</v>
      </c>
      <c r="BK1243" t="e" vm="1">
        <v>#REF!</v>
      </c>
      <c r="BM1243" t="e" vm="2">
        <f t="shared" si="160"/>
        <v>#VALUE!</v>
      </c>
      <c r="BN1243" t="e" vm="2">
        <f t="shared" si="161"/>
        <v>#VALUE!</v>
      </c>
    </row>
    <row r="1244" spans="55:66" x14ac:dyDescent="0.2">
      <c r="BC1244" s="21" t="e" vm="1">
        <v>#REF!</v>
      </c>
      <c r="BD1244" t="e" vm="1">
        <v>#REF!</v>
      </c>
      <c r="BF1244" t="e" vm="2">
        <f t="shared" si="158"/>
        <v>#VALUE!</v>
      </c>
      <c r="BG1244" t="e" vm="2">
        <f t="shared" si="159"/>
        <v>#VALUE!</v>
      </c>
      <c r="BJ1244" s="21" t="e" vm="1">
        <v>#REF!</v>
      </c>
      <c r="BK1244" t="e" vm="1">
        <v>#REF!</v>
      </c>
      <c r="BM1244" t="e" vm="2">
        <f t="shared" si="160"/>
        <v>#VALUE!</v>
      </c>
      <c r="BN1244" t="e" vm="2">
        <f t="shared" si="161"/>
        <v>#VALUE!</v>
      </c>
    </row>
    <row r="1245" spans="55:66" x14ac:dyDescent="0.2">
      <c r="BC1245" s="21" t="e" vm="1">
        <v>#REF!</v>
      </c>
      <c r="BD1245" t="e" vm="1">
        <v>#REF!</v>
      </c>
      <c r="BF1245" t="e" vm="2">
        <f t="shared" si="158"/>
        <v>#VALUE!</v>
      </c>
      <c r="BG1245" t="e" vm="2">
        <f t="shared" si="159"/>
        <v>#VALUE!</v>
      </c>
      <c r="BJ1245" s="21" t="e" vm="1">
        <v>#REF!</v>
      </c>
      <c r="BK1245" t="e" vm="1">
        <v>#REF!</v>
      </c>
      <c r="BM1245" t="e" vm="2">
        <f t="shared" si="160"/>
        <v>#VALUE!</v>
      </c>
      <c r="BN1245" t="e" vm="2">
        <f t="shared" si="161"/>
        <v>#VALUE!</v>
      </c>
    </row>
    <row r="1246" spans="55:66" x14ac:dyDescent="0.2">
      <c r="BC1246" s="21" t="e" vm="1">
        <v>#REF!</v>
      </c>
      <c r="BD1246" t="e" vm="1">
        <v>#REF!</v>
      </c>
      <c r="BF1246" t="e" vm="2">
        <f t="shared" si="158"/>
        <v>#VALUE!</v>
      </c>
      <c r="BG1246" t="e" vm="2">
        <f t="shared" si="159"/>
        <v>#VALUE!</v>
      </c>
      <c r="BJ1246" s="21" t="e" vm="1">
        <v>#REF!</v>
      </c>
      <c r="BK1246" t="e" vm="1">
        <v>#REF!</v>
      </c>
      <c r="BM1246" t="e" vm="2">
        <f t="shared" si="160"/>
        <v>#VALUE!</v>
      </c>
      <c r="BN1246" t="e" vm="2">
        <f t="shared" si="161"/>
        <v>#VALUE!</v>
      </c>
    </row>
    <row r="1247" spans="55:66" x14ac:dyDescent="0.2">
      <c r="BC1247" s="21" t="e" vm="1">
        <v>#REF!</v>
      </c>
      <c r="BD1247" t="e" vm="1">
        <v>#REF!</v>
      </c>
      <c r="BF1247" t="e" vm="2">
        <f t="shared" si="158"/>
        <v>#VALUE!</v>
      </c>
      <c r="BG1247" t="e" vm="2">
        <f t="shared" si="159"/>
        <v>#VALUE!</v>
      </c>
      <c r="BJ1247" s="21" t="e" vm="1">
        <v>#REF!</v>
      </c>
      <c r="BK1247" t="e" vm="1">
        <v>#REF!</v>
      </c>
      <c r="BM1247" t="e" vm="2">
        <f t="shared" si="160"/>
        <v>#VALUE!</v>
      </c>
      <c r="BN1247" t="e" vm="2">
        <f t="shared" si="161"/>
        <v>#VALUE!</v>
      </c>
    </row>
    <row r="1248" spans="55:66" x14ac:dyDescent="0.2">
      <c r="BC1248" s="21" t="e" vm="1">
        <v>#REF!</v>
      </c>
      <c r="BD1248" t="e" vm="1">
        <v>#REF!</v>
      </c>
      <c r="BF1248" t="e" vm="2">
        <f t="shared" si="158"/>
        <v>#VALUE!</v>
      </c>
      <c r="BG1248" t="e" vm="2">
        <f t="shared" si="159"/>
        <v>#VALUE!</v>
      </c>
      <c r="BJ1248" s="21" t="e" vm="1">
        <v>#REF!</v>
      </c>
      <c r="BK1248" t="e" vm="1">
        <v>#REF!</v>
      </c>
      <c r="BM1248" t="e" vm="2">
        <f t="shared" si="160"/>
        <v>#VALUE!</v>
      </c>
      <c r="BN1248" t="e" vm="2">
        <f t="shared" si="161"/>
        <v>#VALUE!</v>
      </c>
    </row>
    <row r="1249" spans="55:66" x14ac:dyDescent="0.2">
      <c r="BC1249" s="21" t="e" vm="1">
        <v>#REF!</v>
      </c>
      <c r="BD1249" t="e" vm="1">
        <v>#REF!</v>
      </c>
      <c r="BF1249" t="e" vm="2">
        <f t="shared" si="158"/>
        <v>#VALUE!</v>
      </c>
      <c r="BG1249" t="e" vm="2">
        <f t="shared" si="159"/>
        <v>#VALUE!</v>
      </c>
      <c r="BJ1249" s="21" t="e" vm="1">
        <v>#REF!</v>
      </c>
      <c r="BK1249" t="e" vm="1">
        <v>#REF!</v>
      </c>
      <c r="BM1249" t="e" vm="2">
        <f t="shared" si="160"/>
        <v>#VALUE!</v>
      </c>
      <c r="BN1249" t="e" vm="2">
        <f t="shared" si="161"/>
        <v>#VALUE!</v>
      </c>
    </row>
    <row r="1250" spans="55:66" x14ac:dyDescent="0.2">
      <c r="BC1250" s="21" t="e" vm="1">
        <v>#REF!</v>
      </c>
      <c r="BD1250" t="e" vm="1">
        <v>#REF!</v>
      </c>
      <c r="BF1250" t="e" vm="2">
        <f t="shared" si="158"/>
        <v>#VALUE!</v>
      </c>
      <c r="BG1250" t="e" vm="2">
        <f t="shared" si="159"/>
        <v>#VALUE!</v>
      </c>
      <c r="BJ1250" s="21" t="e" vm="1">
        <v>#REF!</v>
      </c>
      <c r="BK1250" t="e" vm="1">
        <v>#REF!</v>
      </c>
      <c r="BM1250" t="e" vm="2">
        <f t="shared" si="160"/>
        <v>#VALUE!</v>
      </c>
      <c r="BN1250" t="e" vm="2">
        <f t="shared" si="161"/>
        <v>#VALUE!</v>
      </c>
    </row>
    <row r="1251" spans="55:66" x14ac:dyDescent="0.2">
      <c r="BC1251" s="21" t="e" vm="1">
        <v>#REF!</v>
      </c>
      <c r="BD1251" t="e" vm="1">
        <v>#REF!</v>
      </c>
      <c r="BF1251" t="e" vm="2">
        <f t="shared" si="158"/>
        <v>#VALUE!</v>
      </c>
      <c r="BG1251" t="e" vm="2">
        <f t="shared" si="159"/>
        <v>#VALUE!</v>
      </c>
      <c r="BJ1251" s="21" t="e" vm="1">
        <v>#REF!</v>
      </c>
      <c r="BK1251" t="e" vm="1">
        <v>#REF!</v>
      </c>
      <c r="BM1251" t="e" vm="2">
        <f t="shared" si="160"/>
        <v>#VALUE!</v>
      </c>
      <c r="BN1251" t="e" vm="2">
        <f t="shared" si="161"/>
        <v>#VALUE!</v>
      </c>
    </row>
    <row r="1252" spans="55:66" x14ac:dyDescent="0.2">
      <c r="BC1252" s="21" t="e" vm="1">
        <v>#REF!</v>
      </c>
      <c r="BD1252" t="e" vm="1">
        <v>#REF!</v>
      </c>
      <c r="BF1252" t="e" vm="2">
        <f t="shared" si="158"/>
        <v>#VALUE!</v>
      </c>
      <c r="BG1252" t="e" vm="2">
        <f t="shared" si="159"/>
        <v>#VALUE!</v>
      </c>
      <c r="BJ1252" s="21" t="e" vm="1">
        <v>#REF!</v>
      </c>
      <c r="BK1252" t="e" vm="1">
        <v>#REF!</v>
      </c>
      <c r="BM1252" t="e" vm="2">
        <f t="shared" si="160"/>
        <v>#VALUE!</v>
      </c>
      <c r="BN1252" t="e" vm="2">
        <f t="shared" si="161"/>
        <v>#VALUE!</v>
      </c>
    </row>
    <row r="1253" spans="55:66" x14ac:dyDescent="0.2">
      <c r="BC1253" s="21" t="e" vm="1">
        <v>#REF!</v>
      </c>
      <c r="BD1253" t="e" vm="1">
        <v>#REF!</v>
      </c>
      <c r="BF1253" t="e" vm="2">
        <f t="shared" si="158"/>
        <v>#VALUE!</v>
      </c>
      <c r="BG1253" t="e" vm="2">
        <f t="shared" si="159"/>
        <v>#VALUE!</v>
      </c>
      <c r="BJ1253" s="21" t="e" vm="1">
        <v>#REF!</v>
      </c>
      <c r="BK1253" t="e" vm="1">
        <v>#REF!</v>
      </c>
      <c r="BM1253" t="e" vm="2">
        <f t="shared" si="160"/>
        <v>#VALUE!</v>
      </c>
      <c r="BN1253" t="e" vm="2">
        <f t="shared" si="161"/>
        <v>#VALUE!</v>
      </c>
    </row>
    <row r="1254" spans="55:66" x14ac:dyDescent="0.2">
      <c r="BC1254" s="21" t="e" vm="1">
        <v>#REF!</v>
      </c>
      <c r="BD1254" t="e" vm="1">
        <v>#REF!</v>
      </c>
      <c r="BF1254" t="e" vm="2">
        <f t="shared" si="158"/>
        <v>#VALUE!</v>
      </c>
      <c r="BG1254" t="e" vm="2">
        <f t="shared" si="159"/>
        <v>#VALUE!</v>
      </c>
      <c r="BJ1254" s="21" t="e" vm="1">
        <v>#REF!</v>
      </c>
      <c r="BK1254" t="e" vm="1">
        <v>#REF!</v>
      </c>
      <c r="BM1254" t="e" vm="2">
        <f t="shared" si="160"/>
        <v>#VALUE!</v>
      </c>
      <c r="BN1254" t="e" vm="2">
        <f t="shared" si="161"/>
        <v>#VALUE!</v>
      </c>
    </row>
    <row r="1255" spans="55:66" x14ac:dyDescent="0.2">
      <c r="BC1255" s="21" t="e" vm="1">
        <v>#REF!</v>
      </c>
      <c r="BD1255" t="e" vm="1">
        <v>#REF!</v>
      </c>
      <c r="BF1255" t="e" vm="2">
        <f t="shared" si="158"/>
        <v>#VALUE!</v>
      </c>
      <c r="BG1255" t="e" vm="2">
        <f t="shared" si="159"/>
        <v>#VALUE!</v>
      </c>
      <c r="BJ1255" s="21" t="e" vm="1">
        <v>#REF!</v>
      </c>
      <c r="BK1255" t="e" vm="1">
        <v>#REF!</v>
      </c>
      <c r="BM1255" t="e" vm="2">
        <f t="shared" si="160"/>
        <v>#VALUE!</v>
      </c>
      <c r="BN1255" t="e" vm="2">
        <f t="shared" si="161"/>
        <v>#VALUE!</v>
      </c>
    </row>
    <row r="1256" spans="55:66" x14ac:dyDescent="0.2">
      <c r="BC1256" s="21" t="e" vm="1">
        <v>#REF!</v>
      </c>
      <c r="BD1256" t="e" vm="1">
        <v>#REF!</v>
      </c>
      <c r="BF1256" t="e" vm="2">
        <f t="shared" si="158"/>
        <v>#VALUE!</v>
      </c>
      <c r="BG1256" t="e" vm="2">
        <f t="shared" si="159"/>
        <v>#VALUE!</v>
      </c>
      <c r="BJ1256" s="21" t="e" vm="1">
        <v>#REF!</v>
      </c>
      <c r="BK1256" t="e" vm="1">
        <v>#REF!</v>
      </c>
      <c r="BM1256" t="e" vm="2">
        <f t="shared" si="160"/>
        <v>#VALUE!</v>
      </c>
      <c r="BN1256" t="e" vm="2">
        <f t="shared" si="161"/>
        <v>#VALUE!</v>
      </c>
    </row>
    <row r="1257" spans="55:66" x14ac:dyDescent="0.2">
      <c r="BC1257" s="21" t="e" vm="1">
        <v>#REF!</v>
      </c>
      <c r="BD1257" t="e" vm="1">
        <v>#REF!</v>
      </c>
      <c r="BF1257" t="e" vm="2">
        <f t="shared" si="158"/>
        <v>#VALUE!</v>
      </c>
      <c r="BG1257" t="e" vm="2">
        <f t="shared" si="159"/>
        <v>#VALUE!</v>
      </c>
      <c r="BJ1257" s="21" t="e" vm="1">
        <v>#REF!</v>
      </c>
      <c r="BK1257" t="e" vm="1">
        <v>#REF!</v>
      </c>
      <c r="BM1257" t="e" vm="2">
        <f t="shared" si="160"/>
        <v>#VALUE!</v>
      </c>
      <c r="BN1257" t="e" vm="2">
        <f t="shared" si="161"/>
        <v>#VALUE!</v>
      </c>
    </row>
    <row r="1258" spans="55:66" x14ac:dyDescent="0.2">
      <c r="BC1258" s="21" t="e" vm="1">
        <v>#REF!</v>
      </c>
      <c r="BD1258" t="e" vm="1">
        <v>#REF!</v>
      </c>
      <c r="BF1258" t="e" vm="2">
        <f t="shared" si="158"/>
        <v>#VALUE!</v>
      </c>
      <c r="BG1258" t="e" vm="2">
        <f t="shared" si="159"/>
        <v>#VALUE!</v>
      </c>
      <c r="BJ1258" s="21" t="e" vm="1">
        <v>#REF!</v>
      </c>
      <c r="BK1258" t="e" vm="1">
        <v>#REF!</v>
      </c>
      <c r="BM1258" t="e" vm="2">
        <f t="shared" si="160"/>
        <v>#VALUE!</v>
      </c>
      <c r="BN1258" t="e" vm="2">
        <f t="shared" si="161"/>
        <v>#VALUE!</v>
      </c>
    </row>
    <row r="1259" spans="55:66" x14ac:dyDescent="0.2">
      <c r="BC1259" s="21" t="e" vm="1">
        <v>#REF!</v>
      </c>
      <c r="BD1259" t="e" vm="1">
        <v>#REF!</v>
      </c>
      <c r="BF1259" t="e" vm="2">
        <f t="shared" si="158"/>
        <v>#VALUE!</v>
      </c>
      <c r="BG1259" t="e" vm="2">
        <f t="shared" si="159"/>
        <v>#VALUE!</v>
      </c>
      <c r="BJ1259" s="21" t="e" vm="1">
        <v>#REF!</v>
      </c>
      <c r="BK1259" t="e" vm="1">
        <v>#REF!</v>
      </c>
      <c r="BM1259" t="e" vm="2">
        <f t="shared" si="160"/>
        <v>#VALUE!</v>
      </c>
      <c r="BN1259" t="e" vm="2">
        <f t="shared" si="161"/>
        <v>#VALUE!</v>
      </c>
    </row>
    <row r="1260" spans="55:66" x14ac:dyDescent="0.2">
      <c r="BC1260" s="21" t="e" vm="1">
        <v>#REF!</v>
      </c>
      <c r="BD1260" t="e" vm="1">
        <v>#REF!</v>
      </c>
      <c r="BF1260" t="e" vm="2">
        <f t="shared" si="158"/>
        <v>#VALUE!</v>
      </c>
      <c r="BG1260" t="e" vm="2">
        <f t="shared" si="159"/>
        <v>#VALUE!</v>
      </c>
      <c r="BJ1260" s="21" t="e" vm="1">
        <v>#REF!</v>
      </c>
      <c r="BK1260" t="e" vm="1">
        <v>#REF!</v>
      </c>
      <c r="BM1260" t="e" vm="2">
        <f t="shared" si="160"/>
        <v>#VALUE!</v>
      </c>
      <c r="BN1260" t="e" vm="2">
        <f t="shared" si="161"/>
        <v>#VALUE!</v>
      </c>
    </row>
    <row r="1261" spans="55:66" x14ac:dyDescent="0.2">
      <c r="BC1261" s="21" t="e" vm="1">
        <v>#REF!</v>
      </c>
      <c r="BD1261" t="e" vm="1">
        <v>#REF!</v>
      </c>
      <c r="BF1261" t="e" vm="2">
        <f t="shared" si="158"/>
        <v>#VALUE!</v>
      </c>
      <c r="BG1261" t="e" vm="2">
        <f t="shared" si="159"/>
        <v>#VALUE!</v>
      </c>
      <c r="BJ1261" s="21" t="e" vm="1">
        <v>#REF!</v>
      </c>
      <c r="BK1261" t="e" vm="1">
        <v>#REF!</v>
      </c>
      <c r="BM1261" t="e" vm="2">
        <f t="shared" si="160"/>
        <v>#VALUE!</v>
      </c>
      <c r="BN1261" t="e" vm="2">
        <f t="shared" si="161"/>
        <v>#VALUE!</v>
      </c>
    </row>
    <row r="1262" spans="55:66" x14ac:dyDescent="0.2">
      <c r="BC1262" s="21" t="e" vm="1">
        <v>#REF!</v>
      </c>
      <c r="BD1262" t="e" vm="1">
        <v>#REF!</v>
      </c>
      <c r="BF1262" t="e" vm="2">
        <f t="shared" si="158"/>
        <v>#VALUE!</v>
      </c>
      <c r="BG1262" t="e" vm="2">
        <f t="shared" si="159"/>
        <v>#VALUE!</v>
      </c>
      <c r="BJ1262" s="21" t="e" vm="1">
        <v>#REF!</v>
      </c>
      <c r="BK1262" t="e" vm="1">
        <v>#REF!</v>
      </c>
      <c r="BM1262" t="e" vm="2">
        <f t="shared" si="160"/>
        <v>#VALUE!</v>
      </c>
      <c r="BN1262" t="e" vm="2">
        <f t="shared" si="161"/>
        <v>#VALUE!</v>
      </c>
    </row>
    <row r="1263" spans="55:66" x14ac:dyDescent="0.2">
      <c r="BC1263" s="21" t="e" vm="1">
        <v>#REF!</v>
      </c>
      <c r="BD1263" t="e" vm="1">
        <v>#REF!</v>
      </c>
      <c r="BF1263" t="e" vm="2">
        <f t="shared" si="158"/>
        <v>#VALUE!</v>
      </c>
      <c r="BG1263" t="e" vm="2">
        <f t="shared" si="159"/>
        <v>#VALUE!</v>
      </c>
      <c r="BJ1263" s="21" t="e" vm="1">
        <v>#REF!</v>
      </c>
      <c r="BK1263" t="e" vm="1">
        <v>#REF!</v>
      </c>
      <c r="BM1263" t="e" vm="2">
        <f t="shared" si="160"/>
        <v>#VALUE!</v>
      </c>
      <c r="BN1263" t="e" vm="2">
        <f t="shared" si="161"/>
        <v>#VALUE!</v>
      </c>
    </row>
    <row r="1264" spans="55:66" x14ac:dyDescent="0.2">
      <c r="BC1264" s="21" t="e" vm="1">
        <v>#REF!</v>
      </c>
      <c r="BD1264" t="e" vm="1">
        <v>#REF!</v>
      </c>
      <c r="BF1264" t="e" vm="2">
        <f t="shared" si="158"/>
        <v>#VALUE!</v>
      </c>
      <c r="BG1264" t="e" vm="2">
        <f t="shared" si="159"/>
        <v>#VALUE!</v>
      </c>
      <c r="BJ1264" s="21" t="e" vm="1">
        <v>#REF!</v>
      </c>
      <c r="BK1264" t="e" vm="1">
        <v>#REF!</v>
      </c>
      <c r="BM1264" t="e" vm="2">
        <f t="shared" si="160"/>
        <v>#VALUE!</v>
      </c>
      <c r="BN1264" t="e" vm="2">
        <f t="shared" si="161"/>
        <v>#VALUE!</v>
      </c>
    </row>
    <row r="1265" spans="55:66" x14ac:dyDescent="0.2">
      <c r="BC1265" s="21" t="e" vm="1">
        <v>#REF!</v>
      </c>
      <c r="BD1265" t="e" vm="1">
        <v>#REF!</v>
      </c>
      <c r="BF1265" t="e" vm="2">
        <f t="shared" si="158"/>
        <v>#VALUE!</v>
      </c>
      <c r="BG1265" t="e" vm="2">
        <f t="shared" si="159"/>
        <v>#VALUE!</v>
      </c>
      <c r="BJ1265" s="21" t="e" vm="1">
        <v>#REF!</v>
      </c>
      <c r="BK1265" t="e" vm="1">
        <v>#REF!</v>
      </c>
      <c r="BM1265" t="e" vm="2">
        <f t="shared" si="160"/>
        <v>#VALUE!</v>
      </c>
      <c r="BN1265" t="e" vm="2">
        <f t="shared" si="161"/>
        <v>#VALUE!</v>
      </c>
    </row>
    <row r="1266" spans="55:66" x14ac:dyDescent="0.2">
      <c r="BC1266" s="21" t="e" vm="1">
        <v>#REF!</v>
      </c>
      <c r="BD1266" t="e" vm="1">
        <v>#REF!</v>
      </c>
      <c r="BF1266" t="e" vm="2">
        <f t="shared" si="158"/>
        <v>#VALUE!</v>
      </c>
      <c r="BG1266" t="e" vm="2">
        <f t="shared" si="159"/>
        <v>#VALUE!</v>
      </c>
      <c r="BJ1266" s="21" t="e" vm="1">
        <v>#REF!</v>
      </c>
      <c r="BK1266" t="e" vm="1">
        <v>#REF!</v>
      </c>
      <c r="BM1266" t="e" vm="2">
        <f t="shared" si="160"/>
        <v>#VALUE!</v>
      </c>
      <c r="BN1266" t="e" vm="2">
        <f t="shared" si="161"/>
        <v>#VALUE!</v>
      </c>
    </row>
    <row r="1267" spans="55:66" x14ac:dyDescent="0.2">
      <c r="BC1267" s="21" t="e" vm="1">
        <v>#REF!</v>
      </c>
      <c r="BD1267" t="e" vm="1">
        <v>#REF!</v>
      </c>
      <c r="BF1267" t="e" vm="2">
        <f t="shared" si="158"/>
        <v>#VALUE!</v>
      </c>
      <c r="BG1267" t="e" vm="2">
        <f t="shared" si="159"/>
        <v>#VALUE!</v>
      </c>
      <c r="BJ1267" s="21" t="e" vm="1">
        <v>#REF!</v>
      </c>
      <c r="BK1267" t="e" vm="1">
        <v>#REF!</v>
      </c>
      <c r="BM1267" t="e" vm="2">
        <f t="shared" si="160"/>
        <v>#VALUE!</v>
      </c>
      <c r="BN1267" t="e" vm="2">
        <f t="shared" si="161"/>
        <v>#VALUE!</v>
      </c>
    </row>
    <row r="1268" spans="55:66" x14ac:dyDescent="0.2">
      <c r="BC1268" s="21" t="e" vm="1">
        <v>#REF!</v>
      </c>
      <c r="BD1268" t="e" vm="1">
        <v>#REF!</v>
      </c>
      <c r="BF1268" t="e" vm="2">
        <f t="shared" si="158"/>
        <v>#VALUE!</v>
      </c>
      <c r="BG1268" t="e" vm="2">
        <f t="shared" si="159"/>
        <v>#VALUE!</v>
      </c>
      <c r="BJ1268" s="21" t="e" vm="1">
        <v>#REF!</v>
      </c>
      <c r="BK1268" t="e" vm="1">
        <v>#REF!</v>
      </c>
      <c r="BM1268" t="e" vm="2">
        <f t="shared" si="160"/>
        <v>#VALUE!</v>
      </c>
      <c r="BN1268" t="e" vm="2">
        <f t="shared" si="161"/>
        <v>#VALUE!</v>
      </c>
    </row>
    <row r="1269" spans="55:66" x14ac:dyDescent="0.2">
      <c r="BC1269" s="21" t="e" vm="1">
        <v>#REF!</v>
      </c>
      <c r="BD1269" t="e" vm="1">
        <v>#REF!</v>
      </c>
      <c r="BF1269" t="e" vm="2">
        <f t="shared" si="158"/>
        <v>#VALUE!</v>
      </c>
      <c r="BG1269" t="e" vm="2">
        <f t="shared" si="159"/>
        <v>#VALUE!</v>
      </c>
      <c r="BJ1269" s="21" t="e" vm="1">
        <v>#REF!</v>
      </c>
      <c r="BK1269" t="e" vm="1">
        <v>#REF!</v>
      </c>
      <c r="BM1269" t="e" vm="2">
        <f t="shared" si="160"/>
        <v>#VALUE!</v>
      </c>
      <c r="BN1269" t="e" vm="2">
        <f t="shared" si="161"/>
        <v>#VALUE!</v>
      </c>
    </row>
    <row r="1270" spans="55:66" x14ac:dyDescent="0.2">
      <c r="BC1270" s="21" t="e" vm="1">
        <v>#REF!</v>
      </c>
      <c r="BD1270" t="e" vm="1">
        <v>#REF!</v>
      </c>
      <c r="BF1270" t="e" vm="2">
        <f t="shared" si="158"/>
        <v>#VALUE!</v>
      </c>
      <c r="BG1270" t="e" vm="2">
        <f t="shared" si="159"/>
        <v>#VALUE!</v>
      </c>
      <c r="BJ1270" s="21" t="e" vm="1">
        <v>#REF!</v>
      </c>
      <c r="BK1270" t="e" vm="1">
        <v>#REF!</v>
      </c>
      <c r="BM1270" t="e" vm="2">
        <f t="shared" si="160"/>
        <v>#VALUE!</v>
      </c>
      <c r="BN1270" t="e" vm="2">
        <f t="shared" si="161"/>
        <v>#VALUE!</v>
      </c>
    </row>
    <row r="1271" spans="55:66" x14ac:dyDescent="0.2">
      <c r="BC1271" s="21" t="e" vm="1">
        <v>#REF!</v>
      </c>
      <c r="BD1271" t="e" vm="1">
        <v>#REF!</v>
      </c>
      <c r="BF1271" t="e" vm="2">
        <f t="shared" si="158"/>
        <v>#VALUE!</v>
      </c>
      <c r="BG1271" t="e" vm="2">
        <f t="shared" si="159"/>
        <v>#VALUE!</v>
      </c>
      <c r="BJ1271" s="21" t="e" vm="1">
        <v>#REF!</v>
      </c>
      <c r="BK1271" t="e" vm="1">
        <v>#REF!</v>
      </c>
      <c r="BM1271" t="e" vm="2">
        <f t="shared" si="160"/>
        <v>#VALUE!</v>
      </c>
      <c r="BN1271" t="e" vm="2">
        <f t="shared" si="161"/>
        <v>#VALUE!</v>
      </c>
    </row>
    <row r="1272" spans="55:66" x14ac:dyDescent="0.2">
      <c r="BC1272" s="21" t="e" vm="1">
        <v>#REF!</v>
      </c>
      <c r="BD1272" t="e" vm="1">
        <v>#REF!</v>
      </c>
      <c r="BF1272" t="e" vm="2">
        <f t="shared" si="158"/>
        <v>#VALUE!</v>
      </c>
      <c r="BG1272" t="e" vm="2">
        <f t="shared" si="159"/>
        <v>#VALUE!</v>
      </c>
      <c r="BJ1272" s="21" t="e" vm="1">
        <v>#REF!</v>
      </c>
      <c r="BK1272" t="e" vm="1">
        <v>#REF!</v>
      </c>
      <c r="BM1272" t="e" vm="2">
        <f t="shared" si="160"/>
        <v>#VALUE!</v>
      </c>
      <c r="BN1272" t="e" vm="2">
        <f t="shared" si="161"/>
        <v>#VALUE!</v>
      </c>
    </row>
    <row r="1273" spans="55:66" x14ac:dyDescent="0.2">
      <c r="BC1273" s="21" t="e" vm="1">
        <v>#REF!</v>
      </c>
      <c r="BD1273" t="e" vm="1">
        <v>#REF!</v>
      </c>
      <c r="BF1273" t="e" vm="2">
        <f t="shared" si="158"/>
        <v>#VALUE!</v>
      </c>
      <c r="BG1273" t="e" vm="2">
        <f t="shared" si="159"/>
        <v>#VALUE!</v>
      </c>
      <c r="BJ1273" s="21" t="e" vm="1">
        <v>#REF!</v>
      </c>
      <c r="BK1273" t="e" vm="1">
        <v>#REF!</v>
      </c>
      <c r="BM1273" t="e" vm="2">
        <f t="shared" si="160"/>
        <v>#VALUE!</v>
      </c>
      <c r="BN1273" t="e" vm="2">
        <f t="shared" si="161"/>
        <v>#VALUE!</v>
      </c>
    </row>
    <row r="1274" spans="55:66" x14ac:dyDescent="0.2">
      <c r="BC1274" s="21" t="e" vm="1">
        <v>#REF!</v>
      </c>
      <c r="BD1274" t="e" vm="1">
        <v>#REF!</v>
      </c>
      <c r="BF1274" t="e" vm="2">
        <f t="shared" si="158"/>
        <v>#VALUE!</v>
      </c>
      <c r="BG1274" t="e" vm="2">
        <f t="shared" si="159"/>
        <v>#VALUE!</v>
      </c>
      <c r="BJ1274" s="21" t="e" vm="1">
        <v>#REF!</v>
      </c>
      <c r="BK1274" t="e" vm="1">
        <v>#REF!</v>
      </c>
      <c r="BM1274" t="e" vm="2">
        <f t="shared" si="160"/>
        <v>#VALUE!</v>
      </c>
      <c r="BN1274" t="e" vm="2">
        <f t="shared" si="161"/>
        <v>#VALUE!</v>
      </c>
    </row>
    <row r="1275" spans="55:66" x14ac:dyDescent="0.2">
      <c r="BC1275" s="21" t="e" vm="1">
        <v>#REF!</v>
      </c>
      <c r="BD1275" t="e" vm="1">
        <v>#REF!</v>
      </c>
      <c r="BF1275" t="e" vm="2">
        <f t="shared" si="158"/>
        <v>#VALUE!</v>
      </c>
      <c r="BG1275" t="e" vm="2">
        <f t="shared" si="159"/>
        <v>#VALUE!</v>
      </c>
      <c r="BJ1275" s="21" t="e" vm="1">
        <v>#REF!</v>
      </c>
      <c r="BK1275" t="e" vm="1">
        <v>#REF!</v>
      </c>
      <c r="BM1275" t="e" vm="2">
        <f t="shared" si="160"/>
        <v>#VALUE!</v>
      </c>
      <c r="BN1275" t="e" vm="2">
        <f t="shared" si="161"/>
        <v>#VALUE!</v>
      </c>
    </row>
    <row r="1276" spans="55:66" x14ac:dyDescent="0.2">
      <c r="BC1276" s="21" t="e" vm="1">
        <v>#REF!</v>
      </c>
      <c r="BD1276" t="e" vm="1">
        <v>#REF!</v>
      </c>
      <c r="BF1276" t="e" vm="2">
        <f t="shared" si="158"/>
        <v>#VALUE!</v>
      </c>
      <c r="BG1276" t="e" vm="2">
        <f t="shared" si="159"/>
        <v>#VALUE!</v>
      </c>
      <c r="BJ1276" s="21" t="e" vm="1">
        <v>#REF!</v>
      </c>
      <c r="BK1276" t="e" vm="1">
        <v>#REF!</v>
      </c>
      <c r="BM1276" t="e" vm="2">
        <f t="shared" si="160"/>
        <v>#VALUE!</v>
      </c>
      <c r="BN1276" t="e" vm="2">
        <f t="shared" si="161"/>
        <v>#VALUE!</v>
      </c>
    </row>
    <row r="1277" spans="55:66" x14ac:dyDescent="0.2">
      <c r="BC1277" s="21" t="e" vm="1">
        <v>#REF!</v>
      </c>
      <c r="BD1277" t="e" vm="1">
        <v>#REF!</v>
      </c>
      <c r="BF1277" t="e" vm="2">
        <f t="shared" si="158"/>
        <v>#VALUE!</v>
      </c>
      <c r="BG1277" t="e" vm="2">
        <f t="shared" si="159"/>
        <v>#VALUE!</v>
      </c>
      <c r="BJ1277" s="21" t="e" vm="1">
        <v>#REF!</v>
      </c>
      <c r="BK1277" t="e" vm="1">
        <v>#REF!</v>
      </c>
      <c r="BM1277" t="e" vm="2">
        <f t="shared" si="160"/>
        <v>#VALUE!</v>
      </c>
      <c r="BN1277" t="e" vm="2">
        <f t="shared" si="161"/>
        <v>#VALUE!</v>
      </c>
    </row>
    <row r="1278" spans="55:66" x14ac:dyDescent="0.2">
      <c r="BC1278" s="21" t="e" vm="1">
        <v>#REF!</v>
      </c>
      <c r="BD1278" t="e" vm="1">
        <v>#REF!</v>
      </c>
      <c r="BF1278" t="e" vm="2">
        <f t="shared" si="158"/>
        <v>#VALUE!</v>
      </c>
      <c r="BG1278" t="e" vm="2">
        <f t="shared" si="159"/>
        <v>#VALUE!</v>
      </c>
      <c r="BJ1278" s="21" t="e" vm="1">
        <v>#REF!</v>
      </c>
      <c r="BK1278" t="e" vm="1">
        <v>#REF!</v>
      </c>
      <c r="BM1278" t="e" vm="2">
        <f t="shared" si="160"/>
        <v>#VALUE!</v>
      </c>
      <c r="BN1278" t="e" vm="2">
        <f t="shared" si="161"/>
        <v>#VALUE!</v>
      </c>
    </row>
    <row r="1279" spans="55:66" x14ac:dyDescent="0.2">
      <c r="BC1279" s="21" t="e" vm="1">
        <v>#REF!</v>
      </c>
      <c r="BD1279" t="e" vm="1">
        <v>#REF!</v>
      </c>
      <c r="BF1279" t="e" vm="2">
        <f t="shared" si="158"/>
        <v>#VALUE!</v>
      </c>
      <c r="BG1279" t="e" vm="2">
        <f t="shared" si="159"/>
        <v>#VALUE!</v>
      </c>
      <c r="BJ1279" s="21" t="e" vm="1">
        <v>#REF!</v>
      </c>
      <c r="BK1279" t="e" vm="1">
        <v>#REF!</v>
      </c>
      <c r="BM1279" t="e" vm="2">
        <f t="shared" si="160"/>
        <v>#VALUE!</v>
      </c>
      <c r="BN1279" t="e" vm="2">
        <f t="shared" si="161"/>
        <v>#VALUE!</v>
      </c>
    </row>
    <row r="1280" spans="55:66" x14ac:dyDescent="0.2">
      <c r="BC1280" s="21" t="e" vm="1">
        <v>#REF!</v>
      </c>
      <c r="BD1280" t="e" vm="1">
        <v>#REF!</v>
      </c>
      <c r="BF1280" t="e" vm="2">
        <f t="shared" si="158"/>
        <v>#VALUE!</v>
      </c>
      <c r="BG1280" t="e" vm="2">
        <f t="shared" si="159"/>
        <v>#VALUE!</v>
      </c>
      <c r="BJ1280" s="21" t="e" vm="1">
        <v>#REF!</v>
      </c>
      <c r="BK1280" t="e" vm="1">
        <v>#REF!</v>
      </c>
      <c r="BM1280" t="e" vm="2">
        <f t="shared" si="160"/>
        <v>#VALUE!</v>
      </c>
      <c r="BN1280" t="e" vm="2">
        <f t="shared" si="161"/>
        <v>#VALUE!</v>
      </c>
    </row>
    <row r="1281" spans="55:66" x14ac:dyDescent="0.2">
      <c r="BC1281" s="21" t="e" vm="1">
        <v>#REF!</v>
      </c>
      <c r="BD1281" t="e" vm="1">
        <v>#REF!</v>
      </c>
      <c r="BF1281" t="e" vm="2">
        <f t="shared" si="158"/>
        <v>#VALUE!</v>
      </c>
      <c r="BG1281" t="e" vm="2">
        <f t="shared" si="159"/>
        <v>#VALUE!</v>
      </c>
      <c r="BJ1281" s="21" t="e" vm="1">
        <v>#REF!</v>
      </c>
      <c r="BK1281" t="e" vm="1">
        <v>#REF!</v>
      </c>
      <c r="BM1281" t="e" vm="2">
        <f t="shared" si="160"/>
        <v>#VALUE!</v>
      </c>
      <c r="BN1281" t="e" vm="2">
        <f t="shared" si="161"/>
        <v>#VALUE!</v>
      </c>
    </row>
    <row r="1282" spans="55:66" x14ac:dyDescent="0.2">
      <c r="BC1282" s="21" t="e" vm="1">
        <v>#REF!</v>
      </c>
      <c r="BD1282" t="e" vm="1">
        <v>#REF!</v>
      </c>
      <c r="BF1282" t="e" vm="2">
        <f t="shared" si="158"/>
        <v>#VALUE!</v>
      </c>
      <c r="BG1282" t="e" vm="2">
        <f t="shared" si="159"/>
        <v>#VALUE!</v>
      </c>
      <c r="BJ1282" s="21" t="e" vm="1">
        <v>#REF!</v>
      </c>
      <c r="BK1282" t="e" vm="1">
        <v>#REF!</v>
      </c>
      <c r="BM1282" t="e" vm="2">
        <f t="shared" si="160"/>
        <v>#VALUE!</v>
      </c>
      <c r="BN1282" t="e" vm="2">
        <f t="shared" si="161"/>
        <v>#VALUE!</v>
      </c>
    </row>
    <row r="1283" spans="55:66" x14ac:dyDescent="0.2">
      <c r="BC1283" s="21" t="e" vm="1">
        <v>#REF!</v>
      </c>
      <c r="BD1283" t="e" vm="1">
        <v>#REF!</v>
      </c>
      <c r="BF1283" t="e" vm="2">
        <f t="shared" ref="BF1283:BF1346" si="162">MONTH(BC1283)</f>
        <v>#VALUE!</v>
      </c>
      <c r="BG1283" t="e" vm="2">
        <f t="shared" ref="BG1283:BG1346" si="163">YEAR(BC1283)</f>
        <v>#VALUE!</v>
      </c>
      <c r="BJ1283" s="21" t="e" vm="1">
        <v>#REF!</v>
      </c>
      <c r="BK1283" t="e" vm="1">
        <v>#REF!</v>
      </c>
      <c r="BM1283" t="e" vm="2">
        <f t="shared" si="160"/>
        <v>#VALUE!</v>
      </c>
      <c r="BN1283" t="e" vm="2">
        <f t="shared" si="161"/>
        <v>#VALUE!</v>
      </c>
    </row>
    <row r="1284" spans="55:66" x14ac:dyDescent="0.2">
      <c r="BC1284" s="21" t="e" vm="1">
        <v>#REF!</v>
      </c>
      <c r="BD1284" t="e" vm="1">
        <v>#REF!</v>
      </c>
      <c r="BF1284" t="e" vm="2">
        <f t="shared" si="162"/>
        <v>#VALUE!</v>
      </c>
      <c r="BG1284" t="e" vm="2">
        <f t="shared" si="163"/>
        <v>#VALUE!</v>
      </c>
      <c r="BJ1284" s="21" t="e" vm="1">
        <v>#REF!</v>
      </c>
      <c r="BK1284" t="e" vm="1">
        <v>#REF!</v>
      </c>
      <c r="BM1284" t="e" vm="2">
        <f t="shared" ref="BM1284:BM1347" si="164">MONTH(BJ1284)</f>
        <v>#VALUE!</v>
      </c>
      <c r="BN1284" t="e" vm="2">
        <f t="shared" ref="BN1284:BN1347" si="165">YEAR(BJ1284)</f>
        <v>#VALUE!</v>
      </c>
    </row>
    <row r="1285" spans="55:66" x14ac:dyDescent="0.2">
      <c r="BC1285" s="21" t="e" vm="1">
        <v>#REF!</v>
      </c>
      <c r="BD1285" t="e" vm="1">
        <v>#REF!</v>
      </c>
      <c r="BF1285" t="e" vm="2">
        <f t="shared" si="162"/>
        <v>#VALUE!</v>
      </c>
      <c r="BG1285" t="e" vm="2">
        <f t="shared" si="163"/>
        <v>#VALUE!</v>
      </c>
      <c r="BJ1285" s="21" t="e" vm="1">
        <v>#REF!</v>
      </c>
      <c r="BK1285" t="e" vm="1">
        <v>#REF!</v>
      </c>
      <c r="BM1285" t="e" vm="2">
        <f t="shared" si="164"/>
        <v>#VALUE!</v>
      </c>
      <c r="BN1285" t="e" vm="2">
        <f t="shared" si="165"/>
        <v>#VALUE!</v>
      </c>
    </row>
    <row r="1286" spans="55:66" x14ac:dyDescent="0.2">
      <c r="BC1286" s="21" t="e" vm="1">
        <v>#REF!</v>
      </c>
      <c r="BD1286" t="e" vm="1">
        <v>#REF!</v>
      </c>
      <c r="BF1286" t="e" vm="2">
        <f t="shared" si="162"/>
        <v>#VALUE!</v>
      </c>
      <c r="BG1286" t="e" vm="2">
        <f t="shared" si="163"/>
        <v>#VALUE!</v>
      </c>
      <c r="BJ1286" s="21" t="e" vm="1">
        <v>#REF!</v>
      </c>
      <c r="BK1286" t="e" vm="1">
        <v>#REF!</v>
      </c>
      <c r="BM1286" t="e" vm="2">
        <f t="shared" si="164"/>
        <v>#VALUE!</v>
      </c>
      <c r="BN1286" t="e" vm="2">
        <f t="shared" si="165"/>
        <v>#VALUE!</v>
      </c>
    </row>
    <row r="1287" spans="55:66" x14ac:dyDescent="0.2">
      <c r="BC1287" s="21" t="e" vm="1">
        <v>#REF!</v>
      </c>
      <c r="BD1287" t="e" vm="1">
        <v>#REF!</v>
      </c>
      <c r="BF1287" t="e" vm="2">
        <f t="shared" si="162"/>
        <v>#VALUE!</v>
      </c>
      <c r="BG1287" t="e" vm="2">
        <f t="shared" si="163"/>
        <v>#VALUE!</v>
      </c>
      <c r="BJ1287" s="21" t="e" vm="1">
        <v>#REF!</v>
      </c>
      <c r="BK1287" t="e" vm="1">
        <v>#REF!</v>
      </c>
      <c r="BM1287" t="e" vm="2">
        <f t="shared" si="164"/>
        <v>#VALUE!</v>
      </c>
      <c r="BN1287" t="e" vm="2">
        <f t="shared" si="165"/>
        <v>#VALUE!</v>
      </c>
    </row>
    <row r="1288" spans="55:66" x14ac:dyDescent="0.2">
      <c r="BC1288" s="21" t="e" vm="1">
        <v>#REF!</v>
      </c>
      <c r="BD1288" t="e" vm="1">
        <v>#REF!</v>
      </c>
      <c r="BF1288" t="e" vm="2">
        <f t="shared" si="162"/>
        <v>#VALUE!</v>
      </c>
      <c r="BG1288" t="e" vm="2">
        <f t="shared" si="163"/>
        <v>#VALUE!</v>
      </c>
      <c r="BJ1288" s="21" t="e" vm="1">
        <v>#REF!</v>
      </c>
      <c r="BK1288" t="e" vm="1">
        <v>#REF!</v>
      </c>
      <c r="BM1288" t="e" vm="2">
        <f t="shared" si="164"/>
        <v>#VALUE!</v>
      </c>
      <c r="BN1288" t="e" vm="2">
        <f t="shared" si="165"/>
        <v>#VALUE!</v>
      </c>
    </row>
    <row r="1289" spans="55:66" x14ac:dyDescent="0.2">
      <c r="BC1289" s="21" t="e" vm="1">
        <v>#REF!</v>
      </c>
      <c r="BD1289" t="e" vm="1">
        <v>#REF!</v>
      </c>
      <c r="BF1289" t="e" vm="2">
        <f t="shared" si="162"/>
        <v>#VALUE!</v>
      </c>
      <c r="BG1289" t="e" vm="2">
        <f t="shared" si="163"/>
        <v>#VALUE!</v>
      </c>
      <c r="BJ1289" s="21" t="e" vm="1">
        <v>#REF!</v>
      </c>
      <c r="BK1289" t="e" vm="1">
        <v>#REF!</v>
      </c>
      <c r="BM1289" t="e" vm="2">
        <f t="shared" si="164"/>
        <v>#VALUE!</v>
      </c>
      <c r="BN1289" t="e" vm="2">
        <f t="shared" si="165"/>
        <v>#VALUE!</v>
      </c>
    </row>
    <row r="1290" spans="55:66" x14ac:dyDescent="0.2">
      <c r="BC1290" s="21" t="e" vm="1">
        <v>#REF!</v>
      </c>
      <c r="BD1290" t="e" vm="1">
        <v>#REF!</v>
      </c>
      <c r="BF1290" t="e" vm="2">
        <f t="shared" si="162"/>
        <v>#VALUE!</v>
      </c>
      <c r="BG1290" t="e" vm="2">
        <f t="shared" si="163"/>
        <v>#VALUE!</v>
      </c>
      <c r="BJ1290" s="21" t="e" vm="1">
        <v>#REF!</v>
      </c>
      <c r="BK1290" t="e" vm="1">
        <v>#REF!</v>
      </c>
      <c r="BM1290" t="e" vm="2">
        <f t="shared" si="164"/>
        <v>#VALUE!</v>
      </c>
      <c r="BN1290" t="e" vm="2">
        <f t="shared" si="165"/>
        <v>#VALUE!</v>
      </c>
    </row>
    <row r="1291" spans="55:66" x14ac:dyDescent="0.2">
      <c r="BC1291" s="21" t="e" vm="1">
        <v>#REF!</v>
      </c>
      <c r="BD1291" t="e" vm="1">
        <v>#REF!</v>
      </c>
      <c r="BF1291" t="e" vm="2">
        <f t="shared" si="162"/>
        <v>#VALUE!</v>
      </c>
      <c r="BG1291" t="e" vm="2">
        <f t="shared" si="163"/>
        <v>#VALUE!</v>
      </c>
      <c r="BJ1291" s="21" t="e" vm="1">
        <v>#REF!</v>
      </c>
      <c r="BK1291" t="e" vm="1">
        <v>#REF!</v>
      </c>
      <c r="BM1291" t="e" vm="2">
        <f t="shared" si="164"/>
        <v>#VALUE!</v>
      </c>
      <c r="BN1291" t="e" vm="2">
        <f t="shared" si="165"/>
        <v>#VALUE!</v>
      </c>
    </row>
    <row r="1292" spans="55:66" x14ac:dyDescent="0.2">
      <c r="BC1292" s="21" t="e" vm="1">
        <v>#REF!</v>
      </c>
      <c r="BD1292" t="e" vm="1">
        <v>#REF!</v>
      </c>
      <c r="BF1292" t="e" vm="2">
        <f t="shared" si="162"/>
        <v>#VALUE!</v>
      </c>
      <c r="BG1292" t="e" vm="2">
        <f t="shared" si="163"/>
        <v>#VALUE!</v>
      </c>
      <c r="BJ1292" s="21" t="e" vm="1">
        <v>#REF!</v>
      </c>
      <c r="BK1292" t="e" vm="1">
        <v>#REF!</v>
      </c>
      <c r="BM1292" t="e" vm="2">
        <f t="shared" si="164"/>
        <v>#VALUE!</v>
      </c>
      <c r="BN1292" t="e" vm="2">
        <f t="shared" si="165"/>
        <v>#VALUE!</v>
      </c>
    </row>
    <row r="1293" spans="55:66" x14ac:dyDescent="0.2">
      <c r="BC1293" s="21" t="e" vm="1">
        <v>#REF!</v>
      </c>
      <c r="BD1293" t="e" vm="1">
        <v>#REF!</v>
      </c>
      <c r="BF1293" t="e" vm="2">
        <f t="shared" si="162"/>
        <v>#VALUE!</v>
      </c>
      <c r="BG1293" t="e" vm="2">
        <f t="shared" si="163"/>
        <v>#VALUE!</v>
      </c>
      <c r="BJ1293" s="21" t="e" vm="1">
        <v>#REF!</v>
      </c>
      <c r="BK1293" t="e" vm="1">
        <v>#REF!</v>
      </c>
      <c r="BM1293" t="e" vm="2">
        <f t="shared" si="164"/>
        <v>#VALUE!</v>
      </c>
      <c r="BN1293" t="e" vm="2">
        <f t="shared" si="165"/>
        <v>#VALUE!</v>
      </c>
    </row>
    <row r="1294" spans="55:66" x14ac:dyDescent="0.2">
      <c r="BC1294" s="21" t="e" vm="1">
        <v>#REF!</v>
      </c>
      <c r="BD1294" t="e" vm="1">
        <v>#REF!</v>
      </c>
      <c r="BF1294" t="e" vm="2">
        <f t="shared" si="162"/>
        <v>#VALUE!</v>
      </c>
      <c r="BG1294" t="e" vm="2">
        <f t="shared" si="163"/>
        <v>#VALUE!</v>
      </c>
      <c r="BJ1294" s="21" t="e" vm="1">
        <v>#REF!</v>
      </c>
      <c r="BK1294" t="e" vm="1">
        <v>#REF!</v>
      </c>
      <c r="BM1294" t="e" vm="2">
        <f t="shared" si="164"/>
        <v>#VALUE!</v>
      </c>
      <c r="BN1294" t="e" vm="2">
        <f t="shared" si="165"/>
        <v>#VALUE!</v>
      </c>
    </row>
    <row r="1295" spans="55:66" x14ac:dyDescent="0.2">
      <c r="BC1295" s="21" t="e" vm="1">
        <v>#REF!</v>
      </c>
      <c r="BD1295" t="e" vm="1">
        <v>#REF!</v>
      </c>
      <c r="BF1295" t="e" vm="2">
        <f t="shared" si="162"/>
        <v>#VALUE!</v>
      </c>
      <c r="BG1295" t="e" vm="2">
        <f t="shared" si="163"/>
        <v>#VALUE!</v>
      </c>
      <c r="BJ1295" s="21" t="e" vm="1">
        <v>#REF!</v>
      </c>
      <c r="BK1295" t="e" vm="1">
        <v>#REF!</v>
      </c>
      <c r="BM1295" t="e" vm="2">
        <f t="shared" si="164"/>
        <v>#VALUE!</v>
      </c>
      <c r="BN1295" t="e" vm="2">
        <f t="shared" si="165"/>
        <v>#VALUE!</v>
      </c>
    </row>
    <row r="1296" spans="55:66" x14ac:dyDescent="0.2">
      <c r="BC1296" s="21" t="e" vm="1">
        <v>#REF!</v>
      </c>
      <c r="BD1296" t="e" vm="1">
        <v>#REF!</v>
      </c>
      <c r="BF1296" t="e" vm="2">
        <f t="shared" si="162"/>
        <v>#VALUE!</v>
      </c>
      <c r="BG1296" t="e" vm="2">
        <f t="shared" si="163"/>
        <v>#VALUE!</v>
      </c>
      <c r="BJ1296" s="21" t="e" vm="1">
        <v>#REF!</v>
      </c>
      <c r="BK1296" t="e" vm="1">
        <v>#REF!</v>
      </c>
      <c r="BM1296" t="e" vm="2">
        <f t="shared" si="164"/>
        <v>#VALUE!</v>
      </c>
      <c r="BN1296" t="e" vm="2">
        <f t="shared" si="165"/>
        <v>#VALUE!</v>
      </c>
    </row>
    <row r="1297" spans="55:66" x14ac:dyDescent="0.2">
      <c r="BC1297" s="21" t="e" vm="1">
        <v>#REF!</v>
      </c>
      <c r="BD1297" t="e" vm="1">
        <v>#REF!</v>
      </c>
      <c r="BF1297" t="e" vm="2">
        <f t="shared" si="162"/>
        <v>#VALUE!</v>
      </c>
      <c r="BG1297" t="e" vm="2">
        <f t="shared" si="163"/>
        <v>#VALUE!</v>
      </c>
      <c r="BJ1297" s="21" t="e" vm="1">
        <v>#REF!</v>
      </c>
      <c r="BK1297" t="e" vm="1">
        <v>#REF!</v>
      </c>
      <c r="BM1297" t="e" vm="2">
        <f t="shared" si="164"/>
        <v>#VALUE!</v>
      </c>
      <c r="BN1297" t="e" vm="2">
        <f t="shared" si="165"/>
        <v>#VALUE!</v>
      </c>
    </row>
    <row r="1298" spans="55:66" x14ac:dyDescent="0.2">
      <c r="BC1298" s="21" t="e" vm="1">
        <v>#REF!</v>
      </c>
      <c r="BD1298" t="e" vm="1">
        <v>#REF!</v>
      </c>
      <c r="BF1298" t="e" vm="2">
        <f t="shared" si="162"/>
        <v>#VALUE!</v>
      </c>
      <c r="BG1298" t="e" vm="2">
        <f t="shared" si="163"/>
        <v>#VALUE!</v>
      </c>
      <c r="BJ1298" s="21" t="e" vm="1">
        <v>#REF!</v>
      </c>
      <c r="BK1298" t="e" vm="1">
        <v>#REF!</v>
      </c>
      <c r="BM1298" t="e" vm="2">
        <f t="shared" si="164"/>
        <v>#VALUE!</v>
      </c>
      <c r="BN1298" t="e" vm="2">
        <f t="shared" si="165"/>
        <v>#VALUE!</v>
      </c>
    </row>
    <row r="1299" spans="55:66" x14ac:dyDescent="0.2">
      <c r="BC1299" s="21" t="e" vm="1">
        <v>#REF!</v>
      </c>
      <c r="BD1299" t="e" vm="1">
        <v>#REF!</v>
      </c>
      <c r="BF1299" t="e" vm="2">
        <f t="shared" si="162"/>
        <v>#VALUE!</v>
      </c>
      <c r="BG1299" t="e" vm="2">
        <f t="shared" si="163"/>
        <v>#VALUE!</v>
      </c>
      <c r="BJ1299" s="21" t="e" vm="1">
        <v>#REF!</v>
      </c>
      <c r="BK1299" t="e" vm="1">
        <v>#REF!</v>
      </c>
      <c r="BM1299" t="e" vm="2">
        <f t="shared" si="164"/>
        <v>#VALUE!</v>
      </c>
      <c r="BN1299" t="e" vm="2">
        <f t="shared" si="165"/>
        <v>#VALUE!</v>
      </c>
    </row>
    <row r="1300" spans="55:66" x14ac:dyDescent="0.2">
      <c r="BC1300" s="21" t="e" vm="1">
        <v>#REF!</v>
      </c>
      <c r="BD1300" t="e" vm="1">
        <v>#REF!</v>
      </c>
      <c r="BF1300" t="e" vm="2">
        <f t="shared" si="162"/>
        <v>#VALUE!</v>
      </c>
      <c r="BG1300" t="e" vm="2">
        <f t="shared" si="163"/>
        <v>#VALUE!</v>
      </c>
      <c r="BJ1300" s="21" t="e" vm="1">
        <v>#REF!</v>
      </c>
      <c r="BK1300" t="e" vm="1">
        <v>#REF!</v>
      </c>
      <c r="BM1300" t="e" vm="2">
        <f t="shared" si="164"/>
        <v>#VALUE!</v>
      </c>
      <c r="BN1300" t="e" vm="2">
        <f t="shared" si="165"/>
        <v>#VALUE!</v>
      </c>
    </row>
    <row r="1301" spans="55:66" x14ac:dyDescent="0.2">
      <c r="BC1301" s="21" t="e" vm="1">
        <v>#REF!</v>
      </c>
      <c r="BD1301" t="e" vm="1">
        <v>#REF!</v>
      </c>
      <c r="BF1301" t="e" vm="2">
        <f t="shared" si="162"/>
        <v>#VALUE!</v>
      </c>
      <c r="BG1301" t="e" vm="2">
        <f t="shared" si="163"/>
        <v>#VALUE!</v>
      </c>
      <c r="BJ1301" s="21" t="e" vm="1">
        <v>#REF!</v>
      </c>
      <c r="BK1301" t="e" vm="1">
        <v>#REF!</v>
      </c>
      <c r="BM1301" t="e" vm="2">
        <f t="shared" si="164"/>
        <v>#VALUE!</v>
      </c>
      <c r="BN1301" t="e" vm="2">
        <f t="shared" si="165"/>
        <v>#VALUE!</v>
      </c>
    </row>
    <row r="1302" spans="55:66" x14ac:dyDescent="0.2">
      <c r="BC1302" s="21" t="e" vm="1">
        <v>#REF!</v>
      </c>
      <c r="BD1302" t="e" vm="1">
        <v>#REF!</v>
      </c>
      <c r="BF1302" t="e" vm="2">
        <f t="shared" si="162"/>
        <v>#VALUE!</v>
      </c>
      <c r="BG1302" t="e" vm="2">
        <f t="shared" si="163"/>
        <v>#VALUE!</v>
      </c>
      <c r="BJ1302" s="21" t="e" vm="1">
        <v>#REF!</v>
      </c>
      <c r="BK1302" t="e" vm="1">
        <v>#REF!</v>
      </c>
      <c r="BM1302" t="e" vm="2">
        <f t="shared" si="164"/>
        <v>#VALUE!</v>
      </c>
      <c r="BN1302" t="e" vm="2">
        <f t="shared" si="165"/>
        <v>#VALUE!</v>
      </c>
    </row>
    <row r="1303" spans="55:66" x14ac:dyDescent="0.2">
      <c r="BC1303" s="21" t="e" vm="1">
        <v>#REF!</v>
      </c>
      <c r="BD1303" t="e" vm="1">
        <v>#REF!</v>
      </c>
      <c r="BF1303" t="e" vm="2">
        <f t="shared" si="162"/>
        <v>#VALUE!</v>
      </c>
      <c r="BG1303" t="e" vm="2">
        <f t="shared" si="163"/>
        <v>#VALUE!</v>
      </c>
      <c r="BJ1303" s="21" t="e" vm="1">
        <v>#REF!</v>
      </c>
      <c r="BK1303" t="e" vm="1">
        <v>#REF!</v>
      </c>
      <c r="BM1303" t="e" vm="2">
        <f t="shared" si="164"/>
        <v>#VALUE!</v>
      </c>
      <c r="BN1303" t="e" vm="2">
        <f t="shared" si="165"/>
        <v>#VALUE!</v>
      </c>
    </row>
    <row r="1304" spans="55:66" x14ac:dyDescent="0.2">
      <c r="BC1304" s="21" t="e" vm="1">
        <v>#REF!</v>
      </c>
      <c r="BD1304" t="e" vm="1">
        <v>#REF!</v>
      </c>
      <c r="BF1304" t="e" vm="2">
        <f t="shared" si="162"/>
        <v>#VALUE!</v>
      </c>
      <c r="BG1304" t="e" vm="2">
        <f t="shared" si="163"/>
        <v>#VALUE!</v>
      </c>
      <c r="BJ1304" s="21" t="e" vm="1">
        <v>#REF!</v>
      </c>
      <c r="BK1304" t="e" vm="1">
        <v>#REF!</v>
      </c>
      <c r="BM1304" t="e" vm="2">
        <f t="shared" si="164"/>
        <v>#VALUE!</v>
      </c>
      <c r="BN1304" t="e" vm="2">
        <f t="shared" si="165"/>
        <v>#VALUE!</v>
      </c>
    </row>
    <row r="1305" spans="55:66" x14ac:dyDescent="0.2">
      <c r="BC1305" s="21" t="e" vm="1">
        <v>#REF!</v>
      </c>
      <c r="BD1305" t="e" vm="1">
        <v>#REF!</v>
      </c>
      <c r="BF1305" t="e" vm="2">
        <f t="shared" si="162"/>
        <v>#VALUE!</v>
      </c>
      <c r="BG1305" t="e" vm="2">
        <f t="shared" si="163"/>
        <v>#VALUE!</v>
      </c>
      <c r="BJ1305" s="21" t="e" vm="1">
        <v>#REF!</v>
      </c>
      <c r="BK1305" t="e" vm="1">
        <v>#REF!</v>
      </c>
      <c r="BM1305" t="e" vm="2">
        <f t="shared" si="164"/>
        <v>#VALUE!</v>
      </c>
      <c r="BN1305" t="e" vm="2">
        <f t="shared" si="165"/>
        <v>#VALUE!</v>
      </c>
    </row>
    <row r="1306" spans="55:66" x14ac:dyDescent="0.2">
      <c r="BC1306" s="21" t="e" vm="1">
        <v>#REF!</v>
      </c>
      <c r="BD1306" t="e" vm="1">
        <v>#REF!</v>
      </c>
      <c r="BF1306" t="e" vm="2">
        <f t="shared" si="162"/>
        <v>#VALUE!</v>
      </c>
      <c r="BG1306" t="e" vm="2">
        <f t="shared" si="163"/>
        <v>#VALUE!</v>
      </c>
      <c r="BJ1306" s="21" t="e" vm="1">
        <v>#REF!</v>
      </c>
      <c r="BK1306" t="e" vm="1">
        <v>#REF!</v>
      </c>
      <c r="BM1306" t="e" vm="2">
        <f t="shared" si="164"/>
        <v>#VALUE!</v>
      </c>
      <c r="BN1306" t="e" vm="2">
        <f t="shared" si="165"/>
        <v>#VALUE!</v>
      </c>
    </row>
    <row r="1307" spans="55:66" x14ac:dyDescent="0.2">
      <c r="BC1307" s="21" t="e" vm="1">
        <v>#REF!</v>
      </c>
      <c r="BD1307" t="e" vm="1">
        <v>#REF!</v>
      </c>
      <c r="BF1307" t="e" vm="2">
        <f t="shared" si="162"/>
        <v>#VALUE!</v>
      </c>
      <c r="BG1307" t="e" vm="2">
        <f t="shared" si="163"/>
        <v>#VALUE!</v>
      </c>
      <c r="BJ1307" s="21" t="e" vm="1">
        <v>#REF!</v>
      </c>
      <c r="BK1307" t="e" vm="1">
        <v>#REF!</v>
      </c>
      <c r="BM1307" t="e" vm="2">
        <f t="shared" si="164"/>
        <v>#VALUE!</v>
      </c>
      <c r="BN1307" t="e" vm="2">
        <f t="shared" si="165"/>
        <v>#VALUE!</v>
      </c>
    </row>
    <row r="1308" spans="55:66" x14ac:dyDescent="0.2">
      <c r="BC1308" s="21" t="e" vm="1">
        <v>#REF!</v>
      </c>
      <c r="BD1308" t="e" vm="1">
        <v>#REF!</v>
      </c>
      <c r="BF1308" t="e" vm="2">
        <f t="shared" si="162"/>
        <v>#VALUE!</v>
      </c>
      <c r="BG1308" t="e" vm="2">
        <f t="shared" si="163"/>
        <v>#VALUE!</v>
      </c>
      <c r="BJ1308" s="21" t="e" vm="1">
        <v>#REF!</v>
      </c>
      <c r="BK1308" t="e" vm="1">
        <v>#REF!</v>
      </c>
      <c r="BM1308" t="e" vm="2">
        <f t="shared" si="164"/>
        <v>#VALUE!</v>
      </c>
      <c r="BN1308" t="e" vm="2">
        <f t="shared" si="165"/>
        <v>#VALUE!</v>
      </c>
    </row>
    <row r="1309" spans="55:66" x14ac:dyDescent="0.2">
      <c r="BC1309" s="21" t="e" vm="1">
        <v>#REF!</v>
      </c>
      <c r="BD1309" t="e" vm="1">
        <v>#REF!</v>
      </c>
      <c r="BF1309" t="e" vm="2">
        <f t="shared" si="162"/>
        <v>#VALUE!</v>
      </c>
      <c r="BG1309" t="e" vm="2">
        <f t="shared" si="163"/>
        <v>#VALUE!</v>
      </c>
      <c r="BJ1309" s="21" t="e" vm="1">
        <v>#REF!</v>
      </c>
      <c r="BK1309" t="e" vm="1">
        <v>#REF!</v>
      </c>
      <c r="BM1309" t="e" vm="2">
        <f t="shared" si="164"/>
        <v>#VALUE!</v>
      </c>
      <c r="BN1309" t="e" vm="2">
        <f t="shared" si="165"/>
        <v>#VALUE!</v>
      </c>
    </row>
    <row r="1310" spans="55:66" x14ac:dyDescent="0.2">
      <c r="BC1310" s="21" t="e" vm="1">
        <v>#REF!</v>
      </c>
      <c r="BD1310" t="e" vm="1">
        <v>#REF!</v>
      </c>
      <c r="BF1310" t="e" vm="2">
        <f t="shared" si="162"/>
        <v>#VALUE!</v>
      </c>
      <c r="BG1310" t="e" vm="2">
        <f t="shared" si="163"/>
        <v>#VALUE!</v>
      </c>
      <c r="BJ1310" s="21" t="e" vm="1">
        <v>#REF!</v>
      </c>
      <c r="BK1310" t="e" vm="1">
        <v>#REF!</v>
      </c>
      <c r="BM1310" t="e" vm="2">
        <f t="shared" si="164"/>
        <v>#VALUE!</v>
      </c>
      <c r="BN1310" t="e" vm="2">
        <f t="shared" si="165"/>
        <v>#VALUE!</v>
      </c>
    </row>
    <row r="1311" spans="55:66" x14ac:dyDescent="0.2">
      <c r="BC1311" s="21" t="e" vm="1">
        <v>#REF!</v>
      </c>
      <c r="BD1311" t="e" vm="1">
        <v>#REF!</v>
      </c>
      <c r="BF1311" t="e" vm="2">
        <f t="shared" si="162"/>
        <v>#VALUE!</v>
      </c>
      <c r="BG1311" t="e" vm="2">
        <f t="shared" si="163"/>
        <v>#VALUE!</v>
      </c>
      <c r="BJ1311" s="21" t="e" vm="1">
        <v>#REF!</v>
      </c>
      <c r="BK1311" t="e" vm="1">
        <v>#REF!</v>
      </c>
      <c r="BM1311" t="e" vm="2">
        <f t="shared" si="164"/>
        <v>#VALUE!</v>
      </c>
      <c r="BN1311" t="e" vm="2">
        <f t="shared" si="165"/>
        <v>#VALUE!</v>
      </c>
    </row>
    <row r="1312" spans="55:66" x14ac:dyDescent="0.2">
      <c r="BC1312" s="21" t="e" vm="1">
        <v>#REF!</v>
      </c>
      <c r="BD1312" t="e" vm="1">
        <v>#REF!</v>
      </c>
      <c r="BF1312" t="e" vm="2">
        <f t="shared" si="162"/>
        <v>#VALUE!</v>
      </c>
      <c r="BG1312" t="e" vm="2">
        <f t="shared" si="163"/>
        <v>#VALUE!</v>
      </c>
      <c r="BJ1312" s="21" t="e" vm="1">
        <v>#REF!</v>
      </c>
      <c r="BK1312" t="e" vm="1">
        <v>#REF!</v>
      </c>
      <c r="BM1312" t="e" vm="2">
        <f t="shared" si="164"/>
        <v>#VALUE!</v>
      </c>
      <c r="BN1312" t="e" vm="2">
        <f t="shared" si="165"/>
        <v>#VALUE!</v>
      </c>
    </row>
    <row r="1313" spans="55:66" x14ac:dyDescent="0.2">
      <c r="BC1313" s="21" t="e" vm="1">
        <v>#REF!</v>
      </c>
      <c r="BD1313" t="e" vm="1">
        <v>#REF!</v>
      </c>
      <c r="BF1313" t="e" vm="2">
        <f t="shared" si="162"/>
        <v>#VALUE!</v>
      </c>
      <c r="BG1313" t="e" vm="2">
        <f t="shared" si="163"/>
        <v>#VALUE!</v>
      </c>
      <c r="BJ1313" s="21" t="e" vm="1">
        <v>#REF!</v>
      </c>
      <c r="BK1313" t="e" vm="1">
        <v>#REF!</v>
      </c>
      <c r="BM1313" t="e" vm="2">
        <f t="shared" si="164"/>
        <v>#VALUE!</v>
      </c>
      <c r="BN1313" t="e" vm="2">
        <f t="shared" si="165"/>
        <v>#VALUE!</v>
      </c>
    </row>
    <row r="1314" spans="55:66" x14ac:dyDescent="0.2">
      <c r="BC1314" s="21" t="e" vm="1">
        <v>#REF!</v>
      </c>
      <c r="BD1314" t="e" vm="1">
        <v>#REF!</v>
      </c>
      <c r="BF1314" t="e" vm="2">
        <f t="shared" si="162"/>
        <v>#VALUE!</v>
      </c>
      <c r="BG1314" t="e" vm="2">
        <f t="shared" si="163"/>
        <v>#VALUE!</v>
      </c>
      <c r="BJ1314" s="21" t="e" vm="1">
        <v>#REF!</v>
      </c>
      <c r="BK1314" t="e" vm="1">
        <v>#REF!</v>
      </c>
      <c r="BM1314" t="e" vm="2">
        <f t="shared" si="164"/>
        <v>#VALUE!</v>
      </c>
      <c r="BN1314" t="e" vm="2">
        <f t="shared" si="165"/>
        <v>#VALUE!</v>
      </c>
    </row>
    <row r="1315" spans="55:66" x14ac:dyDescent="0.2">
      <c r="BC1315" s="21" t="e" vm="1">
        <v>#REF!</v>
      </c>
      <c r="BD1315" t="e" vm="1">
        <v>#REF!</v>
      </c>
      <c r="BF1315" t="e" vm="2">
        <f t="shared" si="162"/>
        <v>#VALUE!</v>
      </c>
      <c r="BG1315" t="e" vm="2">
        <f t="shared" si="163"/>
        <v>#VALUE!</v>
      </c>
      <c r="BJ1315" s="21" t="e" vm="1">
        <v>#REF!</v>
      </c>
      <c r="BK1315" t="e" vm="1">
        <v>#REF!</v>
      </c>
      <c r="BM1315" t="e" vm="2">
        <f t="shared" si="164"/>
        <v>#VALUE!</v>
      </c>
      <c r="BN1315" t="e" vm="2">
        <f t="shared" si="165"/>
        <v>#VALUE!</v>
      </c>
    </row>
    <row r="1316" spans="55:66" x14ac:dyDescent="0.2">
      <c r="BC1316" s="21" t="e" vm="1">
        <v>#REF!</v>
      </c>
      <c r="BD1316" t="e" vm="1">
        <v>#REF!</v>
      </c>
      <c r="BF1316" t="e" vm="2">
        <f t="shared" si="162"/>
        <v>#VALUE!</v>
      </c>
      <c r="BG1316" t="e" vm="2">
        <f t="shared" si="163"/>
        <v>#VALUE!</v>
      </c>
      <c r="BJ1316" s="21" t="e" vm="1">
        <v>#REF!</v>
      </c>
      <c r="BK1316" t="e" vm="1">
        <v>#REF!</v>
      </c>
      <c r="BM1316" t="e" vm="2">
        <f t="shared" si="164"/>
        <v>#VALUE!</v>
      </c>
      <c r="BN1316" t="e" vm="2">
        <f t="shared" si="165"/>
        <v>#VALUE!</v>
      </c>
    </row>
    <row r="1317" spans="55:66" x14ac:dyDescent="0.2">
      <c r="BC1317" s="21" t="e" vm="1">
        <v>#REF!</v>
      </c>
      <c r="BD1317" t="e" vm="1">
        <v>#REF!</v>
      </c>
      <c r="BF1317" t="e" vm="2">
        <f t="shared" si="162"/>
        <v>#VALUE!</v>
      </c>
      <c r="BG1317" t="e" vm="2">
        <f t="shared" si="163"/>
        <v>#VALUE!</v>
      </c>
      <c r="BJ1317" s="21" t="e" vm="1">
        <v>#REF!</v>
      </c>
      <c r="BK1317" t="e" vm="1">
        <v>#REF!</v>
      </c>
      <c r="BM1317" t="e" vm="2">
        <f t="shared" si="164"/>
        <v>#VALUE!</v>
      </c>
      <c r="BN1317" t="e" vm="2">
        <f t="shared" si="165"/>
        <v>#VALUE!</v>
      </c>
    </row>
    <row r="1318" spans="55:66" x14ac:dyDescent="0.2">
      <c r="BC1318" s="21" t="e" vm="1">
        <v>#REF!</v>
      </c>
      <c r="BD1318" t="e" vm="1">
        <v>#REF!</v>
      </c>
      <c r="BF1318" t="e" vm="2">
        <f t="shared" si="162"/>
        <v>#VALUE!</v>
      </c>
      <c r="BG1318" t="e" vm="2">
        <f t="shared" si="163"/>
        <v>#VALUE!</v>
      </c>
      <c r="BJ1318" s="21" t="e" vm="1">
        <v>#REF!</v>
      </c>
      <c r="BK1318" t="e" vm="1">
        <v>#REF!</v>
      </c>
      <c r="BM1318" t="e" vm="2">
        <f t="shared" si="164"/>
        <v>#VALUE!</v>
      </c>
      <c r="BN1318" t="e" vm="2">
        <f t="shared" si="165"/>
        <v>#VALUE!</v>
      </c>
    </row>
    <row r="1319" spans="55:66" x14ac:dyDescent="0.2">
      <c r="BC1319" s="21" t="e" vm="1">
        <v>#REF!</v>
      </c>
      <c r="BD1319" t="e" vm="1">
        <v>#REF!</v>
      </c>
      <c r="BF1319" t="e" vm="2">
        <f t="shared" si="162"/>
        <v>#VALUE!</v>
      </c>
      <c r="BG1319" t="e" vm="2">
        <f t="shared" si="163"/>
        <v>#VALUE!</v>
      </c>
      <c r="BJ1319" s="21" t="e" vm="1">
        <v>#REF!</v>
      </c>
      <c r="BK1319" t="e" vm="1">
        <v>#REF!</v>
      </c>
      <c r="BM1319" t="e" vm="2">
        <f t="shared" si="164"/>
        <v>#VALUE!</v>
      </c>
      <c r="BN1319" t="e" vm="2">
        <f t="shared" si="165"/>
        <v>#VALUE!</v>
      </c>
    </row>
    <row r="1320" spans="55:66" x14ac:dyDescent="0.2">
      <c r="BC1320" s="21" t="e" vm="1">
        <v>#REF!</v>
      </c>
      <c r="BD1320" t="e" vm="1">
        <v>#REF!</v>
      </c>
      <c r="BF1320" t="e" vm="2">
        <f t="shared" si="162"/>
        <v>#VALUE!</v>
      </c>
      <c r="BG1320" t="e" vm="2">
        <f t="shared" si="163"/>
        <v>#VALUE!</v>
      </c>
      <c r="BJ1320" s="21" t="e" vm="1">
        <v>#REF!</v>
      </c>
      <c r="BK1320" t="e" vm="1">
        <v>#REF!</v>
      </c>
      <c r="BM1320" t="e" vm="2">
        <f t="shared" si="164"/>
        <v>#VALUE!</v>
      </c>
      <c r="BN1320" t="e" vm="2">
        <f t="shared" si="165"/>
        <v>#VALUE!</v>
      </c>
    </row>
    <row r="1321" spans="55:66" x14ac:dyDescent="0.2">
      <c r="BC1321" s="21" t="e" vm="1">
        <v>#REF!</v>
      </c>
      <c r="BD1321" t="e" vm="1">
        <v>#REF!</v>
      </c>
      <c r="BF1321" t="e" vm="2">
        <f t="shared" si="162"/>
        <v>#VALUE!</v>
      </c>
      <c r="BG1321" t="e" vm="2">
        <f t="shared" si="163"/>
        <v>#VALUE!</v>
      </c>
      <c r="BJ1321" s="21" t="e" vm="1">
        <v>#REF!</v>
      </c>
      <c r="BK1321" t="e" vm="1">
        <v>#REF!</v>
      </c>
      <c r="BM1321" t="e" vm="2">
        <f t="shared" si="164"/>
        <v>#VALUE!</v>
      </c>
      <c r="BN1321" t="e" vm="2">
        <f t="shared" si="165"/>
        <v>#VALUE!</v>
      </c>
    </row>
    <row r="1322" spans="55:66" x14ac:dyDescent="0.2">
      <c r="BC1322" s="21" t="e" vm="1">
        <v>#REF!</v>
      </c>
      <c r="BD1322" t="e" vm="1">
        <v>#REF!</v>
      </c>
      <c r="BF1322" t="e" vm="2">
        <f t="shared" si="162"/>
        <v>#VALUE!</v>
      </c>
      <c r="BG1322" t="e" vm="2">
        <f t="shared" si="163"/>
        <v>#VALUE!</v>
      </c>
      <c r="BJ1322" s="21" t="e" vm="1">
        <v>#REF!</v>
      </c>
      <c r="BK1322" t="e" vm="1">
        <v>#REF!</v>
      </c>
      <c r="BM1322" t="e" vm="2">
        <f t="shared" si="164"/>
        <v>#VALUE!</v>
      </c>
      <c r="BN1322" t="e" vm="2">
        <f t="shared" si="165"/>
        <v>#VALUE!</v>
      </c>
    </row>
    <row r="1323" spans="55:66" x14ac:dyDescent="0.2">
      <c r="BC1323" s="21" t="e" vm="1">
        <v>#REF!</v>
      </c>
      <c r="BD1323" t="e" vm="1">
        <v>#REF!</v>
      </c>
      <c r="BF1323" t="e" vm="2">
        <f t="shared" si="162"/>
        <v>#VALUE!</v>
      </c>
      <c r="BG1323" t="e" vm="2">
        <f t="shared" si="163"/>
        <v>#VALUE!</v>
      </c>
      <c r="BJ1323" s="21" t="e" vm="1">
        <v>#REF!</v>
      </c>
      <c r="BK1323" t="e" vm="1">
        <v>#REF!</v>
      </c>
      <c r="BM1323" t="e" vm="2">
        <f t="shared" si="164"/>
        <v>#VALUE!</v>
      </c>
      <c r="BN1323" t="e" vm="2">
        <f t="shared" si="165"/>
        <v>#VALUE!</v>
      </c>
    </row>
    <row r="1324" spans="55:66" x14ac:dyDescent="0.2">
      <c r="BC1324" s="21" t="e" vm="1">
        <v>#REF!</v>
      </c>
      <c r="BD1324" t="e" vm="1">
        <v>#REF!</v>
      </c>
      <c r="BF1324" t="e" vm="2">
        <f t="shared" si="162"/>
        <v>#VALUE!</v>
      </c>
      <c r="BG1324" t="e" vm="2">
        <f t="shared" si="163"/>
        <v>#VALUE!</v>
      </c>
      <c r="BJ1324" s="21" t="e" vm="1">
        <v>#REF!</v>
      </c>
      <c r="BK1324" t="e" vm="1">
        <v>#REF!</v>
      </c>
      <c r="BM1324" t="e" vm="2">
        <f t="shared" si="164"/>
        <v>#VALUE!</v>
      </c>
      <c r="BN1324" t="e" vm="2">
        <f t="shared" si="165"/>
        <v>#VALUE!</v>
      </c>
    </row>
    <row r="1325" spans="55:66" x14ac:dyDescent="0.2">
      <c r="BC1325" s="21" t="e" vm="1">
        <v>#REF!</v>
      </c>
      <c r="BD1325" t="e" vm="1">
        <v>#REF!</v>
      </c>
      <c r="BF1325" t="e" vm="2">
        <f t="shared" si="162"/>
        <v>#VALUE!</v>
      </c>
      <c r="BG1325" t="e" vm="2">
        <f t="shared" si="163"/>
        <v>#VALUE!</v>
      </c>
      <c r="BJ1325" s="21" t="e" vm="1">
        <v>#REF!</v>
      </c>
      <c r="BK1325" t="e" vm="1">
        <v>#REF!</v>
      </c>
      <c r="BM1325" t="e" vm="2">
        <f t="shared" si="164"/>
        <v>#VALUE!</v>
      </c>
      <c r="BN1325" t="e" vm="2">
        <f t="shared" si="165"/>
        <v>#VALUE!</v>
      </c>
    </row>
    <row r="1326" spans="55:66" x14ac:dyDescent="0.2">
      <c r="BC1326" s="21" t="e" vm="1">
        <v>#REF!</v>
      </c>
      <c r="BD1326" t="e" vm="1">
        <v>#REF!</v>
      </c>
      <c r="BF1326" t="e" vm="2">
        <f t="shared" si="162"/>
        <v>#VALUE!</v>
      </c>
      <c r="BG1326" t="e" vm="2">
        <f t="shared" si="163"/>
        <v>#VALUE!</v>
      </c>
      <c r="BJ1326" s="21" t="e" vm="1">
        <v>#REF!</v>
      </c>
      <c r="BK1326" t="e" vm="1">
        <v>#REF!</v>
      </c>
      <c r="BM1326" t="e" vm="2">
        <f t="shared" si="164"/>
        <v>#VALUE!</v>
      </c>
      <c r="BN1326" t="e" vm="2">
        <f t="shared" si="165"/>
        <v>#VALUE!</v>
      </c>
    </row>
    <row r="1327" spans="55:66" x14ac:dyDescent="0.2">
      <c r="BC1327" s="21" t="e" vm="1">
        <v>#REF!</v>
      </c>
      <c r="BD1327" t="e" vm="1">
        <v>#REF!</v>
      </c>
      <c r="BF1327" t="e" vm="2">
        <f t="shared" si="162"/>
        <v>#VALUE!</v>
      </c>
      <c r="BG1327" t="e" vm="2">
        <f t="shared" si="163"/>
        <v>#VALUE!</v>
      </c>
      <c r="BJ1327" s="21" t="e" vm="1">
        <v>#REF!</v>
      </c>
      <c r="BK1327" t="e" vm="1">
        <v>#REF!</v>
      </c>
      <c r="BM1327" t="e" vm="2">
        <f t="shared" si="164"/>
        <v>#VALUE!</v>
      </c>
      <c r="BN1327" t="e" vm="2">
        <f t="shared" si="165"/>
        <v>#VALUE!</v>
      </c>
    </row>
    <row r="1328" spans="55:66" x14ac:dyDescent="0.2">
      <c r="BC1328" s="21" t="e" vm="1">
        <v>#REF!</v>
      </c>
      <c r="BD1328" t="e" vm="1">
        <v>#REF!</v>
      </c>
      <c r="BF1328" t="e" vm="2">
        <f t="shared" si="162"/>
        <v>#VALUE!</v>
      </c>
      <c r="BG1328" t="e" vm="2">
        <f t="shared" si="163"/>
        <v>#VALUE!</v>
      </c>
      <c r="BJ1328" s="21" t="e" vm="1">
        <v>#REF!</v>
      </c>
      <c r="BK1328" t="e" vm="1">
        <v>#REF!</v>
      </c>
      <c r="BM1328" t="e" vm="2">
        <f t="shared" si="164"/>
        <v>#VALUE!</v>
      </c>
      <c r="BN1328" t="e" vm="2">
        <f t="shared" si="165"/>
        <v>#VALUE!</v>
      </c>
    </row>
    <row r="1329" spans="55:66" x14ac:dyDescent="0.2">
      <c r="BC1329" s="21" t="e" vm="1">
        <v>#REF!</v>
      </c>
      <c r="BD1329" t="e" vm="1">
        <v>#REF!</v>
      </c>
      <c r="BF1329" t="e" vm="2">
        <f t="shared" si="162"/>
        <v>#VALUE!</v>
      </c>
      <c r="BG1329" t="e" vm="2">
        <f t="shared" si="163"/>
        <v>#VALUE!</v>
      </c>
      <c r="BJ1329" s="21" t="e" vm="1">
        <v>#REF!</v>
      </c>
      <c r="BK1329" t="e" vm="1">
        <v>#REF!</v>
      </c>
      <c r="BM1329" t="e" vm="2">
        <f t="shared" si="164"/>
        <v>#VALUE!</v>
      </c>
      <c r="BN1329" t="e" vm="2">
        <f t="shared" si="165"/>
        <v>#VALUE!</v>
      </c>
    </row>
    <row r="1330" spans="55:66" x14ac:dyDescent="0.2">
      <c r="BC1330" s="21" t="e" vm="1">
        <v>#REF!</v>
      </c>
      <c r="BD1330" t="e" vm="1">
        <v>#REF!</v>
      </c>
      <c r="BF1330" t="e" vm="2">
        <f t="shared" si="162"/>
        <v>#VALUE!</v>
      </c>
      <c r="BG1330" t="e" vm="2">
        <f t="shared" si="163"/>
        <v>#VALUE!</v>
      </c>
      <c r="BJ1330" s="21" t="e" vm="1">
        <v>#REF!</v>
      </c>
      <c r="BK1330" t="e" vm="1">
        <v>#REF!</v>
      </c>
      <c r="BM1330" t="e" vm="2">
        <f t="shared" si="164"/>
        <v>#VALUE!</v>
      </c>
      <c r="BN1330" t="e" vm="2">
        <f t="shared" si="165"/>
        <v>#VALUE!</v>
      </c>
    </row>
    <row r="1331" spans="55:66" x14ac:dyDescent="0.2">
      <c r="BC1331" s="21" t="e" vm="1">
        <v>#REF!</v>
      </c>
      <c r="BD1331" t="e" vm="1">
        <v>#REF!</v>
      </c>
      <c r="BF1331" t="e" vm="2">
        <f t="shared" si="162"/>
        <v>#VALUE!</v>
      </c>
      <c r="BG1331" t="e" vm="2">
        <f t="shared" si="163"/>
        <v>#VALUE!</v>
      </c>
      <c r="BJ1331" s="21" t="e" vm="1">
        <v>#REF!</v>
      </c>
      <c r="BK1331" t="e" vm="1">
        <v>#REF!</v>
      </c>
      <c r="BM1331" t="e" vm="2">
        <f t="shared" si="164"/>
        <v>#VALUE!</v>
      </c>
      <c r="BN1331" t="e" vm="2">
        <f t="shared" si="165"/>
        <v>#VALUE!</v>
      </c>
    </row>
    <row r="1332" spans="55:66" x14ac:dyDescent="0.2">
      <c r="BC1332" s="21" t="e" vm="1">
        <v>#REF!</v>
      </c>
      <c r="BD1332" t="e" vm="1">
        <v>#REF!</v>
      </c>
      <c r="BF1332" t="e" vm="2">
        <f t="shared" si="162"/>
        <v>#VALUE!</v>
      </c>
      <c r="BG1332" t="e" vm="2">
        <f t="shared" si="163"/>
        <v>#VALUE!</v>
      </c>
      <c r="BJ1332" s="21" t="e" vm="1">
        <v>#REF!</v>
      </c>
      <c r="BK1332" t="e" vm="1">
        <v>#REF!</v>
      </c>
      <c r="BM1332" t="e" vm="2">
        <f t="shared" si="164"/>
        <v>#VALUE!</v>
      </c>
      <c r="BN1332" t="e" vm="2">
        <f t="shared" si="165"/>
        <v>#VALUE!</v>
      </c>
    </row>
    <row r="1333" spans="55:66" x14ac:dyDescent="0.2">
      <c r="BC1333" s="21" t="e" vm="1">
        <v>#REF!</v>
      </c>
      <c r="BD1333" t="e" vm="1">
        <v>#REF!</v>
      </c>
      <c r="BF1333" t="e" vm="2">
        <f t="shared" si="162"/>
        <v>#VALUE!</v>
      </c>
      <c r="BG1333" t="e" vm="2">
        <f t="shared" si="163"/>
        <v>#VALUE!</v>
      </c>
      <c r="BJ1333" s="21" t="e" vm="1">
        <v>#REF!</v>
      </c>
      <c r="BK1333" t="e" vm="1">
        <v>#REF!</v>
      </c>
      <c r="BM1333" t="e" vm="2">
        <f t="shared" si="164"/>
        <v>#VALUE!</v>
      </c>
      <c r="BN1333" t="e" vm="2">
        <f t="shared" si="165"/>
        <v>#VALUE!</v>
      </c>
    </row>
    <row r="1334" spans="55:66" x14ac:dyDescent="0.2">
      <c r="BC1334" s="21" t="e" vm="1">
        <v>#REF!</v>
      </c>
      <c r="BD1334" t="e" vm="1">
        <v>#REF!</v>
      </c>
      <c r="BF1334" t="e" vm="2">
        <f t="shared" si="162"/>
        <v>#VALUE!</v>
      </c>
      <c r="BG1334" t="e" vm="2">
        <f t="shared" si="163"/>
        <v>#VALUE!</v>
      </c>
      <c r="BJ1334" s="21" t="e" vm="1">
        <v>#REF!</v>
      </c>
      <c r="BK1334" t="e" vm="1">
        <v>#REF!</v>
      </c>
      <c r="BM1334" t="e" vm="2">
        <f t="shared" si="164"/>
        <v>#VALUE!</v>
      </c>
      <c r="BN1334" t="e" vm="2">
        <f t="shared" si="165"/>
        <v>#VALUE!</v>
      </c>
    </row>
    <row r="1335" spans="55:66" x14ac:dyDescent="0.2">
      <c r="BC1335" s="21" t="e" vm="1">
        <v>#REF!</v>
      </c>
      <c r="BD1335" t="e" vm="1">
        <v>#REF!</v>
      </c>
      <c r="BF1335" t="e" vm="2">
        <f t="shared" si="162"/>
        <v>#VALUE!</v>
      </c>
      <c r="BG1335" t="e" vm="2">
        <f t="shared" si="163"/>
        <v>#VALUE!</v>
      </c>
      <c r="BJ1335" s="21" t="e" vm="1">
        <v>#REF!</v>
      </c>
      <c r="BK1335" t="e" vm="1">
        <v>#REF!</v>
      </c>
      <c r="BM1335" t="e" vm="2">
        <f t="shared" si="164"/>
        <v>#VALUE!</v>
      </c>
      <c r="BN1335" t="e" vm="2">
        <f t="shared" si="165"/>
        <v>#VALUE!</v>
      </c>
    </row>
    <row r="1336" spans="55:66" x14ac:dyDescent="0.2">
      <c r="BC1336" s="21" t="e" vm="1">
        <v>#REF!</v>
      </c>
      <c r="BD1336" t="e" vm="1">
        <v>#REF!</v>
      </c>
      <c r="BF1336" t="e" vm="2">
        <f t="shared" si="162"/>
        <v>#VALUE!</v>
      </c>
      <c r="BG1336" t="e" vm="2">
        <f t="shared" si="163"/>
        <v>#VALUE!</v>
      </c>
      <c r="BJ1336" s="21" t="e" vm="1">
        <v>#REF!</v>
      </c>
      <c r="BK1336" t="e" vm="1">
        <v>#REF!</v>
      </c>
      <c r="BM1336" t="e" vm="2">
        <f t="shared" si="164"/>
        <v>#VALUE!</v>
      </c>
      <c r="BN1336" t="e" vm="2">
        <f t="shared" si="165"/>
        <v>#VALUE!</v>
      </c>
    </row>
    <row r="1337" spans="55:66" x14ac:dyDescent="0.2">
      <c r="BC1337" s="21" t="e" vm="1">
        <v>#REF!</v>
      </c>
      <c r="BD1337" t="e" vm="1">
        <v>#REF!</v>
      </c>
      <c r="BF1337" t="e" vm="2">
        <f t="shared" si="162"/>
        <v>#VALUE!</v>
      </c>
      <c r="BG1337" t="e" vm="2">
        <f t="shared" si="163"/>
        <v>#VALUE!</v>
      </c>
      <c r="BJ1337" s="21" t="e" vm="1">
        <v>#REF!</v>
      </c>
      <c r="BK1337" t="e" vm="1">
        <v>#REF!</v>
      </c>
      <c r="BM1337" t="e" vm="2">
        <f t="shared" si="164"/>
        <v>#VALUE!</v>
      </c>
      <c r="BN1337" t="e" vm="2">
        <f t="shared" si="165"/>
        <v>#VALUE!</v>
      </c>
    </row>
    <row r="1338" spans="55:66" x14ac:dyDescent="0.2">
      <c r="BC1338" s="21" t="e" vm="1">
        <v>#REF!</v>
      </c>
      <c r="BD1338" t="e" vm="1">
        <v>#REF!</v>
      </c>
      <c r="BF1338" t="e" vm="2">
        <f t="shared" si="162"/>
        <v>#VALUE!</v>
      </c>
      <c r="BG1338" t="e" vm="2">
        <f t="shared" si="163"/>
        <v>#VALUE!</v>
      </c>
      <c r="BJ1338" s="21" t="e" vm="1">
        <v>#REF!</v>
      </c>
      <c r="BK1338" t="e" vm="1">
        <v>#REF!</v>
      </c>
      <c r="BM1338" t="e" vm="2">
        <f t="shared" si="164"/>
        <v>#VALUE!</v>
      </c>
      <c r="BN1338" t="e" vm="2">
        <f t="shared" si="165"/>
        <v>#VALUE!</v>
      </c>
    </row>
    <row r="1339" spans="55:66" x14ac:dyDescent="0.2">
      <c r="BC1339" s="21" t="e" vm="1">
        <v>#REF!</v>
      </c>
      <c r="BD1339" t="e" vm="1">
        <v>#REF!</v>
      </c>
      <c r="BF1339" t="e" vm="2">
        <f t="shared" si="162"/>
        <v>#VALUE!</v>
      </c>
      <c r="BG1339" t="e" vm="2">
        <f t="shared" si="163"/>
        <v>#VALUE!</v>
      </c>
      <c r="BJ1339" s="21" t="e" vm="1">
        <v>#REF!</v>
      </c>
      <c r="BK1339" t="e" vm="1">
        <v>#REF!</v>
      </c>
      <c r="BM1339" t="e" vm="2">
        <f t="shared" si="164"/>
        <v>#VALUE!</v>
      </c>
      <c r="BN1339" t="e" vm="2">
        <f t="shared" si="165"/>
        <v>#VALUE!</v>
      </c>
    </row>
    <row r="1340" spans="55:66" x14ac:dyDescent="0.2">
      <c r="BC1340" s="21" t="e" vm="1">
        <v>#REF!</v>
      </c>
      <c r="BD1340" t="e" vm="1">
        <v>#REF!</v>
      </c>
      <c r="BF1340" t="e" vm="2">
        <f t="shared" si="162"/>
        <v>#VALUE!</v>
      </c>
      <c r="BG1340" t="e" vm="2">
        <f t="shared" si="163"/>
        <v>#VALUE!</v>
      </c>
      <c r="BJ1340" s="21" t="e" vm="1">
        <v>#REF!</v>
      </c>
      <c r="BK1340" t="e" vm="1">
        <v>#REF!</v>
      </c>
      <c r="BM1340" t="e" vm="2">
        <f t="shared" si="164"/>
        <v>#VALUE!</v>
      </c>
      <c r="BN1340" t="e" vm="2">
        <f t="shared" si="165"/>
        <v>#VALUE!</v>
      </c>
    </row>
    <row r="1341" spans="55:66" x14ac:dyDescent="0.2">
      <c r="BC1341" s="21" t="e" vm="1">
        <v>#REF!</v>
      </c>
      <c r="BD1341" t="e" vm="1">
        <v>#REF!</v>
      </c>
      <c r="BF1341" t="e" vm="2">
        <f t="shared" si="162"/>
        <v>#VALUE!</v>
      </c>
      <c r="BG1341" t="e" vm="2">
        <f t="shared" si="163"/>
        <v>#VALUE!</v>
      </c>
      <c r="BJ1341" s="21" t="e" vm="1">
        <v>#REF!</v>
      </c>
      <c r="BK1341" t="e" vm="1">
        <v>#REF!</v>
      </c>
      <c r="BM1341" t="e" vm="2">
        <f t="shared" si="164"/>
        <v>#VALUE!</v>
      </c>
      <c r="BN1341" t="e" vm="2">
        <f t="shared" si="165"/>
        <v>#VALUE!</v>
      </c>
    </row>
    <row r="1342" spans="55:66" x14ac:dyDescent="0.2">
      <c r="BC1342" s="21" t="e" vm="1">
        <v>#REF!</v>
      </c>
      <c r="BD1342" t="e" vm="1">
        <v>#REF!</v>
      </c>
      <c r="BF1342" t="e" vm="2">
        <f t="shared" si="162"/>
        <v>#VALUE!</v>
      </c>
      <c r="BG1342" t="e" vm="2">
        <f t="shared" si="163"/>
        <v>#VALUE!</v>
      </c>
      <c r="BJ1342" s="21" t="e" vm="1">
        <v>#REF!</v>
      </c>
      <c r="BK1342" t="e" vm="1">
        <v>#REF!</v>
      </c>
      <c r="BM1342" t="e" vm="2">
        <f t="shared" si="164"/>
        <v>#VALUE!</v>
      </c>
      <c r="BN1342" t="e" vm="2">
        <f t="shared" si="165"/>
        <v>#VALUE!</v>
      </c>
    </row>
    <row r="1343" spans="55:66" x14ac:dyDescent="0.2">
      <c r="BC1343" s="21" t="e" vm="1">
        <v>#REF!</v>
      </c>
      <c r="BD1343" t="e" vm="1">
        <v>#REF!</v>
      </c>
      <c r="BF1343" t="e" vm="2">
        <f t="shared" si="162"/>
        <v>#VALUE!</v>
      </c>
      <c r="BG1343" t="e" vm="2">
        <f t="shared" si="163"/>
        <v>#VALUE!</v>
      </c>
      <c r="BJ1343" s="21" t="e" vm="1">
        <v>#REF!</v>
      </c>
      <c r="BK1343" t="e" vm="1">
        <v>#REF!</v>
      </c>
      <c r="BM1343" t="e" vm="2">
        <f t="shared" si="164"/>
        <v>#VALUE!</v>
      </c>
      <c r="BN1343" t="e" vm="2">
        <f t="shared" si="165"/>
        <v>#VALUE!</v>
      </c>
    </row>
    <row r="1344" spans="55:66" x14ac:dyDescent="0.2">
      <c r="BC1344" s="21" t="e" vm="1">
        <v>#REF!</v>
      </c>
      <c r="BD1344" t="e" vm="1">
        <v>#REF!</v>
      </c>
      <c r="BF1344" t="e" vm="2">
        <f t="shared" si="162"/>
        <v>#VALUE!</v>
      </c>
      <c r="BG1344" t="e" vm="2">
        <f t="shared" si="163"/>
        <v>#VALUE!</v>
      </c>
      <c r="BJ1344" s="21" t="e" vm="1">
        <v>#REF!</v>
      </c>
      <c r="BK1344" t="e" vm="1">
        <v>#REF!</v>
      </c>
      <c r="BM1344" t="e" vm="2">
        <f t="shared" si="164"/>
        <v>#VALUE!</v>
      </c>
      <c r="BN1344" t="e" vm="2">
        <f t="shared" si="165"/>
        <v>#VALUE!</v>
      </c>
    </row>
    <row r="1345" spans="55:66" x14ac:dyDescent="0.2">
      <c r="BC1345" s="21" t="e" vm="1">
        <v>#REF!</v>
      </c>
      <c r="BD1345" t="e" vm="1">
        <v>#REF!</v>
      </c>
      <c r="BF1345" t="e" vm="2">
        <f t="shared" si="162"/>
        <v>#VALUE!</v>
      </c>
      <c r="BG1345" t="e" vm="2">
        <f t="shared" si="163"/>
        <v>#VALUE!</v>
      </c>
      <c r="BJ1345" s="21" t="e" vm="1">
        <v>#REF!</v>
      </c>
      <c r="BK1345" t="e" vm="1">
        <v>#REF!</v>
      </c>
      <c r="BM1345" t="e" vm="2">
        <f t="shared" si="164"/>
        <v>#VALUE!</v>
      </c>
      <c r="BN1345" t="e" vm="2">
        <f t="shared" si="165"/>
        <v>#VALUE!</v>
      </c>
    </row>
    <row r="1346" spans="55:66" x14ac:dyDescent="0.2">
      <c r="BC1346" s="21" t="e" vm="1">
        <v>#REF!</v>
      </c>
      <c r="BD1346" t="e" vm="1">
        <v>#REF!</v>
      </c>
      <c r="BF1346" t="e" vm="2">
        <f t="shared" si="162"/>
        <v>#VALUE!</v>
      </c>
      <c r="BG1346" t="e" vm="2">
        <f t="shared" si="163"/>
        <v>#VALUE!</v>
      </c>
      <c r="BJ1346" s="21" t="e" vm="1">
        <v>#REF!</v>
      </c>
      <c r="BK1346" t="e" vm="1">
        <v>#REF!</v>
      </c>
      <c r="BM1346" t="e" vm="2">
        <f t="shared" si="164"/>
        <v>#VALUE!</v>
      </c>
      <c r="BN1346" t="e" vm="2">
        <f t="shared" si="165"/>
        <v>#VALUE!</v>
      </c>
    </row>
    <row r="1347" spans="55:66" x14ac:dyDescent="0.2">
      <c r="BC1347" s="21" t="e" vm="1">
        <v>#REF!</v>
      </c>
      <c r="BD1347" t="e" vm="1">
        <v>#REF!</v>
      </c>
      <c r="BF1347" t="e" vm="2">
        <f t="shared" ref="BF1347:BF1410" si="166">MONTH(BC1347)</f>
        <v>#VALUE!</v>
      </c>
      <c r="BG1347" t="e" vm="2">
        <f t="shared" ref="BG1347:BG1410" si="167">YEAR(BC1347)</f>
        <v>#VALUE!</v>
      </c>
      <c r="BJ1347" s="21" t="e" vm="1">
        <v>#REF!</v>
      </c>
      <c r="BK1347" t="e" vm="1">
        <v>#REF!</v>
      </c>
      <c r="BM1347" t="e" vm="2">
        <f t="shared" si="164"/>
        <v>#VALUE!</v>
      </c>
      <c r="BN1347" t="e" vm="2">
        <f t="shared" si="165"/>
        <v>#VALUE!</v>
      </c>
    </row>
    <row r="1348" spans="55:66" x14ac:dyDescent="0.2">
      <c r="BC1348" s="21" t="e" vm="1">
        <v>#REF!</v>
      </c>
      <c r="BD1348" t="e" vm="1">
        <v>#REF!</v>
      </c>
      <c r="BF1348" t="e" vm="2">
        <f t="shared" si="166"/>
        <v>#VALUE!</v>
      </c>
      <c r="BG1348" t="e" vm="2">
        <f t="shared" si="167"/>
        <v>#VALUE!</v>
      </c>
      <c r="BJ1348" s="21" t="e" vm="1">
        <v>#REF!</v>
      </c>
      <c r="BK1348" t="e" vm="1">
        <v>#REF!</v>
      </c>
      <c r="BM1348" t="e" vm="2">
        <f t="shared" ref="BM1348:BM1411" si="168">MONTH(BJ1348)</f>
        <v>#VALUE!</v>
      </c>
      <c r="BN1348" t="e" vm="2">
        <f t="shared" ref="BN1348:BN1411" si="169">YEAR(BJ1348)</f>
        <v>#VALUE!</v>
      </c>
    </row>
    <row r="1349" spans="55:66" x14ac:dyDescent="0.2">
      <c r="BC1349" s="21" t="e" vm="1">
        <v>#REF!</v>
      </c>
      <c r="BD1349" t="e" vm="1">
        <v>#REF!</v>
      </c>
      <c r="BF1349" t="e" vm="2">
        <f t="shared" si="166"/>
        <v>#VALUE!</v>
      </c>
      <c r="BG1349" t="e" vm="2">
        <f t="shared" si="167"/>
        <v>#VALUE!</v>
      </c>
      <c r="BJ1349" s="21" t="e" vm="1">
        <v>#REF!</v>
      </c>
      <c r="BK1349" t="e" vm="1">
        <v>#REF!</v>
      </c>
      <c r="BM1349" t="e" vm="2">
        <f t="shared" si="168"/>
        <v>#VALUE!</v>
      </c>
      <c r="BN1349" t="e" vm="2">
        <f t="shared" si="169"/>
        <v>#VALUE!</v>
      </c>
    </row>
    <row r="1350" spans="55:66" x14ac:dyDescent="0.2">
      <c r="BC1350" s="21" t="e" vm="1">
        <v>#REF!</v>
      </c>
      <c r="BD1350" t="e" vm="1">
        <v>#REF!</v>
      </c>
      <c r="BF1350" t="e" vm="2">
        <f t="shared" si="166"/>
        <v>#VALUE!</v>
      </c>
      <c r="BG1350" t="e" vm="2">
        <f t="shared" si="167"/>
        <v>#VALUE!</v>
      </c>
      <c r="BJ1350" s="21" t="e" vm="1">
        <v>#REF!</v>
      </c>
      <c r="BK1350" t="e" vm="1">
        <v>#REF!</v>
      </c>
      <c r="BM1350" t="e" vm="2">
        <f t="shared" si="168"/>
        <v>#VALUE!</v>
      </c>
      <c r="BN1350" t="e" vm="2">
        <f t="shared" si="169"/>
        <v>#VALUE!</v>
      </c>
    </row>
    <row r="1351" spans="55:66" x14ac:dyDescent="0.2">
      <c r="BC1351" s="21" t="e" vm="1">
        <v>#REF!</v>
      </c>
      <c r="BD1351" t="e" vm="1">
        <v>#REF!</v>
      </c>
      <c r="BF1351" t="e" vm="2">
        <f t="shared" si="166"/>
        <v>#VALUE!</v>
      </c>
      <c r="BG1351" t="e" vm="2">
        <f t="shared" si="167"/>
        <v>#VALUE!</v>
      </c>
      <c r="BJ1351" s="21" t="e" vm="1">
        <v>#REF!</v>
      </c>
      <c r="BK1351" t="e" vm="1">
        <v>#REF!</v>
      </c>
      <c r="BM1351" t="e" vm="2">
        <f t="shared" si="168"/>
        <v>#VALUE!</v>
      </c>
      <c r="BN1351" t="e" vm="2">
        <f t="shared" si="169"/>
        <v>#VALUE!</v>
      </c>
    </row>
    <row r="1352" spans="55:66" x14ac:dyDescent="0.2">
      <c r="BC1352" s="21" t="e" vm="1">
        <v>#REF!</v>
      </c>
      <c r="BD1352" t="e" vm="1">
        <v>#REF!</v>
      </c>
      <c r="BF1352" t="e" vm="2">
        <f t="shared" si="166"/>
        <v>#VALUE!</v>
      </c>
      <c r="BG1352" t="e" vm="2">
        <f t="shared" si="167"/>
        <v>#VALUE!</v>
      </c>
      <c r="BJ1352" s="21" t="e" vm="1">
        <v>#REF!</v>
      </c>
      <c r="BK1352" t="e" vm="1">
        <v>#REF!</v>
      </c>
      <c r="BM1352" t="e" vm="2">
        <f t="shared" si="168"/>
        <v>#VALUE!</v>
      </c>
      <c r="BN1352" t="e" vm="2">
        <f t="shared" si="169"/>
        <v>#VALUE!</v>
      </c>
    </row>
    <row r="1353" spans="55:66" x14ac:dyDescent="0.2">
      <c r="BC1353" s="21" t="e" vm="1">
        <v>#REF!</v>
      </c>
      <c r="BD1353" t="e" vm="1">
        <v>#REF!</v>
      </c>
      <c r="BF1353" t="e" vm="2">
        <f t="shared" si="166"/>
        <v>#VALUE!</v>
      </c>
      <c r="BG1353" t="e" vm="2">
        <f t="shared" si="167"/>
        <v>#VALUE!</v>
      </c>
      <c r="BJ1353" s="21" t="e" vm="1">
        <v>#REF!</v>
      </c>
      <c r="BK1353" t="e" vm="1">
        <v>#REF!</v>
      </c>
      <c r="BM1353" t="e" vm="2">
        <f t="shared" si="168"/>
        <v>#VALUE!</v>
      </c>
      <c r="BN1353" t="e" vm="2">
        <f t="shared" si="169"/>
        <v>#VALUE!</v>
      </c>
    </row>
    <row r="1354" spans="55:66" x14ac:dyDescent="0.2">
      <c r="BC1354" s="21" t="e" vm="1">
        <v>#REF!</v>
      </c>
      <c r="BD1354" t="e" vm="1">
        <v>#REF!</v>
      </c>
      <c r="BF1354" t="e" vm="2">
        <f t="shared" si="166"/>
        <v>#VALUE!</v>
      </c>
      <c r="BG1354" t="e" vm="2">
        <f t="shared" si="167"/>
        <v>#VALUE!</v>
      </c>
      <c r="BJ1354" s="21" t="e" vm="1">
        <v>#REF!</v>
      </c>
      <c r="BK1354" t="e" vm="1">
        <v>#REF!</v>
      </c>
      <c r="BM1354" t="e" vm="2">
        <f t="shared" si="168"/>
        <v>#VALUE!</v>
      </c>
      <c r="BN1354" t="e" vm="2">
        <f t="shared" si="169"/>
        <v>#VALUE!</v>
      </c>
    </row>
    <row r="1355" spans="55:66" x14ac:dyDescent="0.2">
      <c r="BC1355" s="21" t="e" vm="1">
        <v>#REF!</v>
      </c>
      <c r="BD1355" t="e" vm="1">
        <v>#REF!</v>
      </c>
      <c r="BF1355" t="e" vm="2">
        <f t="shared" si="166"/>
        <v>#VALUE!</v>
      </c>
      <c r="BG1355" t="e" vm="2">
        <f t="shared" si="167"/>
        <v>#VALUE!</v>
      </c>
      <c r="BJ1355" s="21" t="e" vm="1">
        <v>#REF!</v>
      </c>
      <c r="BK1355" t="e" vm="1">
        <v>#REF!</v>
      </c>
      <c r="BM1355" t="e" vm="2">
        <f t="shared" si="168"/>
        <v>#VALUE!</v>
      </c>
      <c r="BN1355" t="e" vm="2">
        <f t="shared" si="169"/>
        <v>#VALUE!</v>
      </c>
    </row>
    <row r="1356" spans="55:66" x14ac:dyDescent="0.2">
      <c r="BC1356" s="21" t="e" vm="1">
        <v>#REF!</v>
      </c>
      <c r="BD1356" t="e" vm="1">
        <v>#REF!</v>
      </c>
      <c r="BF1356" t="e" vm="2">
        <f t="shared" si="166"/>
        <v>#VALUE!</v>
      </c>
      <c r="BG1356" t="e" vm="2">
        <f t="shared" si="167"/>
        <v>#VALUE!</v>
      </c>
      <c r="BJ1356" s="21" t="e" vm="1">
        <v>#REF!</v>
      </c>
      <c r="BK1356" t="e" vm="1">
        <v>#REF!</v>
      </c>
      <c r="BM1356" t="e" vm="2">
        <f t="shared" si="168"/>
        <v>#VALUE!</v>
      </c>
      <c r="BN1356" t="e" vm="2">
        <f t="shared" si="169"/>
        <v>#VALUE!</v>
      </c>
    </row>
    <row r="1357" spans="55:66" x14ac:dyDescent="0.2">
      <c r="BC1357" s="21" t="e" vm="1">
        <v>#REF!</v>
      </c>
      <c r="BD1357" t="e" vm="1">
        <v>#REF!</v>
      </c>
      <c r="BF1357" t="e" vm="2">
        <f t="shared" si="166"/>
        <v>#VALUE!</v>
      </c>
      <c r="BG1357" t="e" vm="2">
        <f t="shared" si="167"/>
        <v>#VALUE!</v>
      </c>
      <c r="BJ1357" s="21" t="e" vm="1">
        <v>#REF!</v>
      </c>
      <c r="BK1357" t="e" vm="1">
        <v>#REF!</v>
      </c>
      <c r="BM1357" t="e" vm="2">
        <f t="shared" si="168"/>
        <v>#VALUE!</v>
      </c>
      <c r="BN1357" t="e" vm="2">
        <f t="shared" si="169"/>
        <v>#VALUE!</v>
      </c>
    </row>
    <row r="1358" spans="55:66" x14ac:dyDescent="0.2">
      <c r="BC1358" s="21" t="e" vm="1">
        <v>#REF!</v>
      </c>
      <c r="BD1358" t="e" vm="1">
        <v>#REF!</v>
      </c>
      <c r="BF1358" t="e" vm="2">
        <f t="shared" si="166"/>
        <v>#VALUE!</v>
      </c>
      <c r="BG1358" t="e" vm="2">
        <f t="shared" si="167"/>
        <v>#VALUE!</v>
      </c>
      <c r="BJ1358" s="21" t="e" vm="1">
        <v>#REF!</v>
      </c>
      <c r="BK1358" t="e" vm="1">
        <v>#REF!</v>
      </c>
      <c r="BM1358" t="e" vm="2">
        <f t="shared" si="168"/>
        <v>#VALUE!</v>
      </c>
      <c r="BN1358" t="e" vm="2">
        <f t="shared" si="169"/>
        <v>#VALUE!</v>
      </c>
    </row>
    <row r="1359" spans="55:66" x14ac:dyDescent="0.2">
      <c r="BC1359" s="21" t="e" vm="1">
        <v>#REF!</v>
      </c>
      <c r="BD1359" t="e" vm="1">
        <v>#REF!</v>
      </c>
      <c r="BF1359" t="e" vm="2">
        <f t="shared" si="166"/>
        <v>#VALUE!</v>
      </c>
      <c r="BG1359" t="e" vm="2">
        <f t="shared" si="167"/>
        <v>#VALUE!</v>
      </c>
      <c r="BJ1359" s="21" t="e" vm="1">
        <v>#REF!</v>
      </c>
      <c r="BK1359" t="e" vm="1">
        <v>#REF!</v>
      </c>
      <c r="BM1359" t="e" vm="2">
        <f t="shared" si="168"/>
        <v>#VALUE!</v>
      </c>
      <c r="BN1359" t="e" vm="2">
        <f t="shared" si="169"/>
        <v>#VALUE!</v>
      </c>
    </row>
    <row r="1360" spans="55:66" x14ac:dyDescent="0.2">
      <c r="BC1360" s="21" t="e" vm="1">
        <v>#REF!</v>
      </c>
      <c r="BD1360" t="e" vm="1">
        <v>#REF!</v>
      </c>
      <c r="BF1360" t="e" vm="2">
        <f t="shared" si="166"/>
        <v>#VALUE!</v>
      </c>
      <c r="BG1360" t="e" vm="2">
        <f t="shared" si="167"/>
        <v>#VALUE!</v>
      </c>
      <c r="BJ1360" s="21" t="e" vm="1">
        <v>#REF!</v>
      </c>
      <c r="BK1360" t="e" vm="1">
        <v>#REF!</v>
      </c>
      <c r="BM1360" t="e" vm="2">
        <f t="shared" si="168"/>
        <v>#VALUE!</v>
      </c>
      <c r="BN1360" t="e" vm="2">
        <f t="shared" si="169"/>
        <v>#VALUE!</v>
      </c>
    </row>
    <row r="1361" spans="55:66" x14ac:dyDescent="0.2">
      <c r="BC1361" s="21" t="e" vm="1">
        <v>#REF!</v>
      </c>
      <c r="BD1361" t="e" vm="1">
        <v>#REF!</v>
      </c>
      <c r="BF1361" t="e" vm="2">
        <f t="shared" si="166"/>
        <v>#VALUE!</v>
      </c>
      <c r="BG1361" t="e" vm="2">
        <f t="shared" si="167"/>
        <v>#VALUE!</v>
      </c>
      <c r="BJ1361" s="21" t="e" vm="1">
        <v>#REF!</v>
      </c>
      <c r="BK1361" t="e" vm="1">
        <v>#REF!</v>
      </c>
      <c r="BM1361" t="e" vm="2">
        <f t="shared" si="168"/>
        <v>#VALUE!</v>
      </c>
      <c r="BN1361" t="e" vm="2">
        <f t="shared" si="169"/>
        <v>#VALUE!</v>
      </c>
    </row>
    <row r="1362" spans="55:66" x14ac:dyDescent="0.2">
      <c r="BC1362" s="21" t="e" vm="1">
        <v>#REF!</v>
      </c>
      <c r="BD1362" t="e" vm="1">
        <v>#REF!</v>
      </c>
      <c r="BF1362" t="e" vm="2">
        <f t="shared" si="166"/>
        <v>#VALUE!</v>
      </c>
      <c r="BG1362" t="e" vm="2">
        <f t="shared" si="167"/>
        <v>#VALUE!</v>
      </c>
      <c r="BJ1362" s="21" t="e" vm="1">
        <v>#REF!</v>
      </c>
      <c r="BK1362" t="e" vm="1">
        <v>#REF!</v>
      </c>
      <c r="BM1362" t="e" vm="2">
        <f t="shared" si="168"/>
        <v>#VALUE!</v>
      </c>
      <c r="BN1362" t="e" vm="2">
        <f t="shared" si="169"/>
        <v>#VALUE!</v>
      </c>
    </row>
    <row r="1363" spans="55:66" x14ac:dyDescent="0.2">
      <c r="BC1363" s="21" t="e" vm="1">
        <v>#REF!</v>
      </c>
      <c r="BD1363" t="e" vm="1">
        <v>#REF!</v>
      </c>
      <c r="BF1363" t="e" vm="2">
        <f t="shared" si="166"/>
        <v>#VALUE!</v>
      </c>
      <c r="BG1363" t="e" vm="2">
        <f t="shared" si="167"/>
        <v>#VALUE!</v>
      </c>
      <c r="BJ1363" s="21" t="e" vm="1">
        <v>#REF!</v>
      </c>
      <c r="BK1363" t="e" vm="1">
        <v>#REF!</v>
      </c>
      <c r="BM1363" t="e" vm="2">
        <f t="shared" si="168"/>
        <v>#VALUE!</v>
      </c>
      <c r="BN1363" t="e" vm="2">
        <f t="shared" si="169"/>
        <v>#VALUE!</v>
      </c>
    </row>
    <row r="1364" spans="55:66" x14ac:dyDescent="0.2">
      <c r="BC1364" s="21" t="e" vm="1">
        <v>#REF!</v>
      </c>
      <c r="BD1364" t="e" vm="1">
        <v>#REF!</v>
      </c>
      <c r="BF1364" t="e" vm="2">
        <f t="shared" si="166"/>
        <v>#VALUE!</v>
      </c>
      <c r="BG1364" t="e" vm="2">
        <f t="shared" si="167"/>
        <v>#VALUE!</v>
      </c>
      <c r="BJ1364" s="21" t="e" vm="1">
        <v>#REF!</v>
      </c>
      <c r="BK1364" t="e" vm="1">
        <v>#REF!</v>
      </c>
      <c r="BM1364" t="e" vm="2">
        <f t="shared" si="168"/>
        <v>#VALUE!</v>
      </c>
      <c r="BN1364" t="e" vm="2">
        <f t="shared" si="169"/>
        <v>#VALUE!</v>
      </c>
    </row>
    <row r="1365" spans="55:66" x14ac:dyDescent="0.2">
      <c r="BC1365" s="21" t="e" vm="1">
        <v>#REF!</v>
      </c>
      <c r="BD1365" t="e" vm="1">
        <v>#REF!</v>
      </c>
      <c r="BF1365" t="e" vm="2">
        <f t="shared" si="166"/>
        <v>#VALUE!</v>
      </c>
      <c r="BG1365" t="e" vm="2">
        <f t="shared" si="167"/>
        <v>#VALUE!</v>
      </c>
      <c r="BJ1365" s="21" t="e" vm="1">
        <v>#REF!</v>
      </c>
      <c r="BK1365" t="e" vm="1">
        <v>#REF!</v>
      </c>
      <c r="BM1365" t="e" vm="2">
        <f t="shared" si="168"/>
        <v>#VALUE!</v>
      </c>
      <c r="BN1365" t="e" vm="2">
        <f t="shared" si="169"/>
        <v>#VALUE!</v>
      </c>
    </row>
    <row r="1366" spans="55:66" x14ac:dyDescent="0.2">
      <c r="BC1366" s="21" t="e" vm="1">
        <v>#REF!</v>
      </c>
      <c r="BD1366" t="e" vm="1">
        <v>#REF!</v>
      </c>
      <c r="BF1366" t="e" vm="2">
        <f t="shared" si="166"/>
        <v>#VALUE!</v>
      </c>
      <c r="BG1366" t="e" vm="2">
        <f t="shared" si="167"/>
        <v>#VALUE!</v>
      </c>
      <c r="BJ1366" s="21" t="e" vm="1">
        <v>#REF!</v>
      </c>
      <c r="BK1366" t="e" vm="1">
        <v>#REF!</v>
      </c>
      <c r="BM1366" t="e" vm="2">
        <f t="shared" si="168"/>
        <v>#VALUE!</v>
      </c>
      <c r="BN1366" t="e" vm="2">
        <f t="shared" si="169"/>
        <v>#VALUE!</v>
      </c>
    </row>
    <row r="1367" spans="55:66" x14ac:dyDescent="0.2">
      <c r="BC1367" s="21" t="e" vm="1">
        <v>#REF!</v>
      </c>
      <c r="BD1367" t="e" vm="1">
        <v>#REF!</v>
      </c>
      <c r="BF1367" t="e" vm="2">
        <f t="shared" si="166"/>
        <v>#VALUE!</v>
      </c>
      <c r="BG1367" t="e" vm="2">
        <f t="shared" si="167"/>
        <v>#VALUE!</v>
      </c>
      <c r="BJ1367" s="21" t="e" vm="1">
        <v>#REF!</v>
      </c>
      <c r="BK1367" t="e" vm="1">
        <v>#REF!</v>
      </c>
      <c r="BM1367" t="e" vm="2">
        <f t="shared" si="168"/>
        <v>#VALUE!</v>
      </c>
      <c r="BN1367" t="e" vm="2">
        <f t="shared" si="169"/>
        <v>#VALUE!</v>
      </c>
    </row>
    <row r="1368" spans="55:66" x14ac:dyDescent="0.2">
      <c r="BC1368" s="21" t="e" vm="1">
        <v>#REF!</v>
      </c>
      <c r="BD1368" t="e" vm="1">
        <v>#REF!</v>
      </c>
      <c r="BF1368" t="e" vm="2">
        <f t="shared" si="166"/>
        <v>#VALUE!</v>
      </c>
      <c r="BG1368" t="e" vm="2">
        <f t="shared" si="167"/>
        <v>#VALUE!</v>
      </c>
      <c r="BJ1368" s="21" t="e" vm="1">
        <v>#REF!</v>
      </c>
      <c r="BK1368" t="e" vm="1">
        <v>#REF!</v>
      </c>
      <c r="BM1368" t="e" vm="2">
        <f t="shared" si="168"/>
        <v>#VALUE!</v>
      </c>
      <c r="BN1368" t="e" vm="2">
        <f t="shared" si="169"/>
        <v>#VALUE!</v>
      </c>
    </row>
    <row r="1369" spans="55:66" x14ac:dyDescent="0.2">
      <c r="BC1369" s="21" t="e" vm="1">
        <v>#REF!</v>
      </c>
      <c r="BD1369" t="e" vm="1">
        <v>#REF!</v>
      </c>
      <c r="BF1369" t="e" vm="2">
        <f t="shared" si="166"/>
        <v>#VALUE!</v>
      </c>
      <c r="BG1369" t="e" vm="2">
        <f t="shared" si="167"/>
        <v>#VALUE!</v>
      </c>
      <c r="BJ1369" s="21" t="e" vm="1">
        <v>#REF!</v>
      </c>
      <c r="BK1369" t="e" vm="1">
        <v>#REF!</v>
      </c>
      <c r="BM1369" t="e" vm="2">
        <f t="shared" si="168"/>
        <v>#VALUE!</v>
      </c>
      <c r="BN1369" t="e" vm="2">
        <f t="shared" si="169"/>
        <v>#VALUE!</v>
      </c>
    </row>
    <row r="1370" spans="55:66" x14ac:dyDescent="0.2">
      <c r="BC1370" s="21" t="e" vm="1">
        <v>#REF!</v>
      </c>
      <c r="BD1370" t="e" vm="1">
        <v>#REF!</v>
      </c>
      <c r="BF1370" t="e" vm="2">
        <f t="shared" si="166"/>
        <v>#VALUE!</v>
      </c>
      <c r="BG1370" t="e" vm="2">
        <f t="shared" si="167"/>
        <v>#VALUE!</v>
      </c>
      <c r="BJ1370" s="21" t="e" vm="1">
        <v>#REF!</v>
      </c>
      <c r="BK1370" t="e" vm="1">
        <v>#REF!</v>
      </c>
      <c r="BM1370" t="e" vm="2">
        <f t="shared" si="168"/>
        <v>#VALUE!</v>
      </c>
      <c r="BN1370" t="e" vm="2">
        <f t="shared" si="169"/>
        <v>#VALUE!</v>
      </c>
    </row>
    <row r="1371" spans="55:66" x14ac:dyDescent="0.2">
      <c r="BC1371" s="21" t="e" vm="1">
        <v>#REF!</v>
      </c>
      <c r="BD1371" t="e" vm="1">
        <v>#REF!</v>
      </c>
      <c r="BF1371" t="e" vm="2">
        <f t="shared" si="166"/>
        <v>#VALUE!</v>
      </c>
      <c r="BG1371" t="e" vm="2">
        <f t="shared" si="167"/>
        <v>#VALUE!</v>
      </c>
      <c r="BJ1371" s="21" t="e" vm="1">
        <v>#REF!</v>
      </c>
      <c r="BK1371" t="e" vm="1">
        <v>#REF!</v>
      </c>
      <c r="BM1371" t="e" vm="2">
        <f t="shared" si="168"/>
        <v>#VALUE!</v>
      </c>
      <c r="BN1371" t="e" vm="2">
        <f t="shared" si="169"/>
        <v>#VALUE!</v>
      </c>
    </row>
    <row r="1372" spans="55:66" x14ac:dyDescent="0.2">
      <c r="BC1372" s="21" t="e" vm="1">
        <v>#REF!</v>
      </c>
      <c r="BD1372" t="e" vm="1">
        <v>#REF!</v>
      </c>
      <c r="BF1372" t="e" vm="2">
        <f t="shared" si="166"/>
        <v>#VALUE!</v>
      </c>
      <c r="BG1372" t="e" vm="2">
        <f t="shared" si="167"/>
        <v>#VALUE!</v>
      </c>
      <c r="BJ1372" s="21" t="e" vm="1">
        <v>#REF!</v>
      </c>
      <c r="BK1372" t="e" vm="1">
        <v>#REF!</v>
      </c>
      <c r="BM1372" t="e" vm="2">
        <f t="shared" si="168"/>
        <v>#VALUE!</v>
      </c>
      <c r="BN1372" t="e" vm="2">
        <f t="shared" si="169"/>
        <v>#VALUE!</v>
      </c>
    </row>
    <row r="1373" spans="55:66" x14ac:dyDescent="0.2">
      <c r="BC1373" s="21" t="e" vm="1">
        <v>#REF!</v>
      </c>
      <c r="BD1373" t="e" vm="1">
        <v>#REF!</v>
      </c>
      <c r="BF1373" t="e" vm="2">
        <f t="shared" si="166"/>
        <v>#VALUE!</v>
      </c>
      <c r="BG1373" t="e" vm="2">
        <f t="shared" si="167"/>
        <v>#VALUE!</v>
      </c>
      <c r="BJ1373" s="21" t="e" vm="1">
        <v>#REF!</v>
      </c>
      <c r="BK1373" t="e" vm="1">
        <v>#REF!</v>
      </c>
      <c r="BM1373" t="e" vm="2">
        <f t="shared" si="168"/>
        <v>#VALUE!</v>
      </c>
      <c r="BN1373" t="e" vm="2">
        <f t="shared" si="169"/>
        <v>#VALUE!</v>
      </c>
    </row>
    <row r="1374" spans="55:66" x14ac:dyDescent="0.2">
      <c r="BC1374" s="21" t="e" vm="1">
        <v>#REF!</v>
      </c>
      <c r="BD1374" t="e" vm="1">
        <v>#REF!</v>
      </c>
      <c r="BF1374" t="e" vm="2">
        <f t="shared" si="166"/>
        <v>#VALUE!</v>
      </c>
      <c r="BG1374" t="e" vm="2">
        <f t="shared" si="167"/>
        <v>#VALUE!</v>
      </c>
      <c r="BJ1374" s="21" t="e" vm="1">
        <v>#REF!</v>
      </c>
      <c r="BK1374" t="e" vm="1">
        <v>#REF!</v>
      </c>
      <c r="BM1374" t="e" vm="2">
        <f t="shared" si="168"/>
        <v>#VALUE!</v>
      </c>
      <c r="BN1374" t="e" vm="2">
        <f t="shared" si="169"/>
        <v>#VALUE!</v>
      </c>
    </row>
    <row r="1375" spans="55:66" x14ac:dyDescent="0.2">
      <c r="BC1375" s="21" t="e" vm="1">
        <v>#REF!</v>
      </c>
      <c r="BD1375" t="e" vm="1">
        <v>#REF!</v>
      </c>
      <c r="BF1375" t="e" vm="2">
        <f t="shared" si="166"/>
        <v>#VALUE!</v>
      </c>
      <c r="BG1375" t="e" vm="2">
        <f t="shared" si="167"/>
        <v>#VALUE!</v>
      </c>
      <c r="BJ1375" s="21" t="e" vm="1">
        <v>#REF!</v>
      </c>
      <c r="BK1375" t="e" vm="1">
        <v>#REF!</v>
      </c>
      <c r="BM1375" t="e" vm="2">
        <f t="shared" si="168"/>
        <v>#VALUE!</v>
      </c>
      <c r="BN1375" t="e" vm="2">
        <f t="shared" si="169"/>
        <v>#VALUE!</v>
      </c>
    </row>
    <row r="1376" spans="55:66" x14ac:dyDescent="0.2">
      <c r="BC1376" s="21" t="e" vm="1">
        <v>#REF!</v>
      </c>
      <c r="BD1376" t="e" vm="1">
        <v>#REF!</v>
      </c>
      <c r="BF1376" t="e" vm="2">
        <f t="shared" si="166"/>
        <v>#VALUE!</v>
      </c>
      <c r="BG1376" t="e" vm="2">
        <f t="shared" si="167"/>
        <v>#VALUE!</v>
      </c>
      <c r="BJ1376" s="21" t="e" vm="1">
        <v>#REF!</v>
      </c>
      <c r="BK1376" t="e" vm="1">
        <v>#REF!</v>
      </c>
      <c r="BM1376" t="e" vm="2">
        <f t="shared" si="168"/>
        <v>#VALUE!</v>
      </c>
      <c r="BN1376" t="e" vm="2">
        <f t="shared" si="169"/>
        <v>#VALUE!</v>
      </c>
    </row>
    <row r="1377" spans="55:66" x14ac:dyDescent="0.2">
      <c r="BC1377" s="21" t="e" vm="1">
        <v>#REF!</v>
      </c>
      <c r="BD1377" t="e" vm="1">
        <v>#REF!</v>
      </c>
      <c r="BF1377" t="e" vm="2">
        <f t="shared" si="166"/>
        <v>#VALUE!</v>
      </c>
      <c r="BG1377" t="e" vm="2">
        <f t="shared" si="167"/>
        <v>#VALUE!</v>
      </c>
      <c r="BJ1377" s="21" t="e" vm="1">
        <v>#REF!</v>
      </c>
      <c r="BK1377" t="e" vm="1">
        <v>#REF!</v>
      </c>
      <c r="BM1377" t="e" vm="2">
        <f t="shared" si="168"/>
        <v>#VALUE!</v>
      </c>
      <c r="BN1377" t="e" vm="2">
        <f t="shared" si="169"/>
        <v>#VALUE!</v>
      </c>
    </row>
    <row r="1378" spans="55:66" x14ac:dyDescent="0.2">
      <c r="BC1378" s="21" t="e" vm="1">
        <v>#REF!</v>
      </c>
      <c r="BD1378" t="e" vm="1">
        <v>#REF!</v>
      </c>
      <c r="BF1378" t="e" vm="2">
        <f t="shared" si="166"/>
        <v>#VALUE!</v>
      </c>
      <c r="BG1378" t="e" vm="2">
        <f t="shared" si="167"/>
        <v>#VALUE!</v>
      </c>
      <c r="BJ1378" s="21" t="e" vm="1">
        <v>#REF!</v>
      </c>
      <c r="BK1378" t="e" vm="1">
        <v>#REF!</v>
      </c>
      <c r="BM1378" t="e" vm="2">
        <f t="shared" si="168"/>
        <v>#VALUE!</v>
      </c>
      <c r="BN1378" t="e" vm="2">
        <f t="shared" si="169"/>
        <v>#VALUE!</v>
      </c>
    </row>
    <row r="1379" spans="55:66" x14ac:dyDescent="0.2">
      <c r="BC1379" s="21" t="e" vm="1">
        <v>#REF!</v>
      </c>
      <c r="BD1379" t="e" vm="1">
        <v>#REF!</v>
      </c>
      <c r="BF1379" t="e" vm="2">
        <f t="shared" si="166"/>
        <v>#VALUE!</v>
      </c>
      <c r="BG1379" t="e" vm="2">
        <f t="shared" si="167"/>
        <v>#VALUE!</v>
      </c>
      <c r="BJ1379" s="21" t="e" vm="1">
        <v>#REF!</v>
      </c>
      <c r="BK1379" t="e" vm="1">
        <v>#REF!</v>
      </c>
      <c r="BM1379" t="e" vm="2">
        <f t="shared" si="168"/>
        <v>#VALUE!</v>
      </c>
      <c r="BN1379" t="e" vm="2">
        <f t="shared" si="169"/>
        <v>#VALUE!</v>
      </c>
    </row>
    <row r="1380" spans="55:66" x14ac:dyDescent="0.2">
      <c r="BC1380" s="21" t="e" vm="1">
        <v>#REF!</v>
      </c>
      <c r="BD1380" t="e" vm="1">
        <v>#REF!</v>
      </c>
      <c r="BF1380" t="e" vm="2">
        <f t="shared" si="166"/>
        <v>#VALUE!</v>
      </c>
      <c r="BG1380" t="e" vm="2">
        <f t="shared" si="167"/>
        <v>#VALUE!</v>
      </c>
      <c r="BJ1380" s="21" t="e" vm="1">
        <v>#REF!</v>
      </c>
      <c r="BK1380" t="e" vm="1">
        <v>#REF!</v>
      </c>
      <c r="BM1380" t="e" vm="2">
        <f t="shared" si="168"/>
        <v>#VALUE!</v>
      </c>
      <c r="BN1380" t="e" vm="2">
        <f t="shared" si="169"/>
        <v>#VALUE!</v>
      </c>
    </row>
    <row r="1381" spans="55:66" x14ac:dyDescent="0.2">
      <c r="BC1381" s="21" t="e" vm="1">
        <v>#REF!</v>
      </c>
      <c r="BD1381" t="e" vm="1">
        <v>#REF!</v>
      </c>
      <c r="BF1381" t="e" vm="2">
        <f t="shared" si="166"/>
        <v>#VALUE!</v>
      </c>
      <c r="BG1381" t="e" vm="2">
        <f t="shared" si="167"/>
        <v>#VALUE!</v>
      </c>
      <c r="BJ1381" s="21" t="e" vm="1">
        <v>#REF!</v>
      </c>
      <c r="BK1381" t="e" vm="1">
        <v>#REF!</v>
      </c>
      <c r="BM1381" t="e" vm="2">
        <f t="shared" si="168"/>
        <v>#VALUE!</v>
      </c>
      <c r="BN1381" t="e" vm="2">
        <f t="shared" si="169"/>
        <v>#VALUE!</v>
      </c>
    </row>
    <row r="1382" spans="55:66" x14ac:dyDescent="0.2">
      <c r="BC1382" s="21" t="e" vm="1">
        <v>#REF!</v>
      </c>
      <c r="BD1382" t="e" vm="1">
        <v>#REF!</v>
      </c>
      <c r="BF1382" t="e" vm="2">
        <f t="shared" si="166"/>
        <v>#VALUE!</v>
      </c>
      <c r="BG1382" t="e" vm="2">
        <f t="shared" si="167"/>
        <v>#VALUE!</v>
      </c>
      <c r="BJ1382" s="21" t="e" vm="1">
        <v>#REF!</v>
      </c>
      <c r="BK1382" t="e" vm="1">
        <v>#REF!</v>
      </c>
      <c r="BM1382" t="e" vm="2">
        <f t="shared" si="168"/>
        <v>#VALUE!</v>
      </c>
      <c r="BN1382" t="e" vm="2">
        <f t="shared" si="169"/>
        <v>#VALUE!</v>
      </c>
    </row>
    <row r="1383" spans="55:66" x14ac:dyDescent="0.2">
      <c r="BC1383" s="21" t="e" vm="1">
        <v>#REF!</v>
      </c>
      <c r="BD1383" t="e" vm="1">
        <v>#REF!</v>
      </c>
      <c r="BF1383" t="e" vm="2">
        <f t="shared" si="166"/>
        <v>#VALUE!</v>
      </c>
      <c r="BG1383" t="e" vm="2">
        <f t="shared" si="167"/>
        <v>#VALUE!</v>
      </c>
      <c r="BJ1383" s="21" t="e" vm="1">
        <v>#REF!</v>
      </c>
      <c r="BK1383" t="e" vm="1">
        <v>#REF!</v>
      </c>
      <c r="BM1383" t="e" vm="2">
        <f t="shared" si="168"/>
        <v>#VALUE!</v>
      </c>
      <c r="BN1383" t="e" vm="2">
        <f t="shared" si="169"/>
        <v>#VALUE!</v>
      </c>
    </row>
    <row r="1384" spans="55:66" x14ac:dyDescent="0.2">
      <c r="BC1384" s="21" t="e" vm="1">
        <v>#REF!</v>
      </c>
      <c r="BD1384" t="e" vm="1">
        <v>#REF!</v>
      </c>
      <c r="BF1384" t="e" vm="2">
        <f t="shared" si="166"/>
        <v>#VALUE!</v>
      </c>
      <c r="BG1384" t="e" vm="2">
        <f t="shared" si="167"/>
        <v>#VALUE!</v>
      </c>
      <c r="BJ1384" s="21" t="e" vm="1">
        <v>#REF!</v>
      </c>
      <c r="BK1384" t="e" vm="1">
        <v>#REF!</v>
      </c>
      <c r="BM1384" t="e" vm="2">
        <f t="shared" si="168"/>
        <v>#VALUE!</v>
      </c>
      <c r="BN1384" t="e" vm="2">
        <f t="shared" si="169"/>
        <v>#VALUE!</v>
      </c>
    </row>
    <row r="1385" spans="55:66" x14ac:dyDescent="0.2">
      <c r="BC1385" s="21" t="e" vm="1">
        <v>#REF!</v>
      </c>
      <c r="BD1385" t="e" vm="1">
        <v>#REF!</v>
      </c>
      <c r="BF1385" t="e" vm="2">
        <f t="shared" si="166"/>
        <v>#VALUE!</v>
      </c>
      <c r="BG1385" t="e" vm="2">
        <f t="shared" si="167"/>
        <v>#VALUE!</v>
      </c>
      <c r="BJ1385" s="21" t="e" vm="1">
        <v>#REF!</v>
      </c>
      <c r="BK1385" t="e" vm="1">
        <v>#REF!</v>
      </c>
      <c r="BM1385" t="e" vm="2">
        <f t="shared" si="168"/>
        <v>#VALUE!</v>
      </c>
      <c r="BN1385" t="e" vm="2">
        <f t="shared" si="169"/>
        <v>#VALUE!</v>
      </c>
    </row>
    <row r="1386" spans="55:66" x14ac:dyDescent="0.2">
      <c r="BC1386" s="21" t="e" vm="1">
        <v>#REF!</v>
      </c>
      <c r="BD1386" t="e" vm="1">
        <v>#REF!</v>
      </c>
      <c r="BF1386" t="e" vm="2">
        <f t="shared" si="166"/>
        <v>#VALUE!</v>
      </c>
      <c r="BG1386" t="e" vm="2">
        <f t="shared" si="167"/>
        <v>#VALUE!</v>
      </c>
      <c r="BJ1386" s="21" t="e" vm="1">
        <v>#REF!</v>
      </c>
      <c r="BK1386" t="e" vm="1">
        <v>#REF!</v>
      </c>
      <c r="BM1386" t="e" vm="2">
        <f t="shared" si="168"/>
        <v>#VALUE!</v>
      </c>
      <c r="BN1386" t="e" vm="2">
        <f t="shared" si="169"/>
        <v>#VALUE!</v>
      </c>
    </row>
    <row r="1387" spans="55:66" x14ac:dyDescent="0.2">
      <c r="BC1387" s="21" t="e" vm="1">
        <v>#REF!</v>
      </c>
      <c r="BD1387" t="e" vm="1">
        <v>#REF!</v>
      </c>
      <c r="BF1387" t="e" vm="2">
        <f t="shared" si="166"/>
        <v>#VALUE!</v>
      </c>
      <c r="BG1387" t="e" vm="2">
        <f t="shared" si="167"/>
        <v>#VALUE!</v>
      </c>
      <c r="BJ1387" s="21" t="e" vm="1">
        <v>#REF!</v>
      </c>
      <c r="BK1387" t="e" vm="1">
        <v>#REF!</v>
      </c>
      <c r="BM1387" t="e" vm="2">
        <f t="shared" si="168"/>
        <v>#VALUE!</v>
      </c>
      <c r="BN1387" t="e" vm="2">
        <f t="shared" si="169"/>
        <v>#VALUE!</v>
      </c>
    </row>
    <row r="1388" spans="55:66" x14ac:dyDescent="0.2">
      <c r="BC1388" s="21" t="e" vm="1">
        <v>#REF!</v>
      </c>
      <c r="BD1388" t="e" vm="1">
        <v>#REF!</v>
      </c>
      <c r="BF1388" t="e" vm="2">
        <f t="shared" si="166"/>
        <v>#VALUE!</v>
      </c>
      <c r="BG1388" t="e" vm="2">
        <f t="shared" si="167"/>
        <v>#VALUE!</v>
      </c>
      <c r="BJ1388" s="21" t="e" vm="1">
        <v>#REF!</v>
      </c>
      <c r="BK1388" t="e" vm="1">
        <v>#REF!</v>
      </c>
      <c r="BM1388" t="e" vm="2">
        <f t="shared" si="168"/>
        <v>#VALUE!</v>
      </c>
      <c r="BN1388" t="e" vm="2">
        <f t="shared" si="169"/>
        <v>#VALUE!</v>
      </c>
    </row>
    <row r="1389" spans="55:66" x14ac:dyDescent="0.2">
      <c r="BC1389" s="21" t="e" vm="1">
        <v>#REF!</v>
      </c>
      <c r="BD1389" t="e" vm="1">
        <v>#REF!</v>
      </c>
      <c r="BF1389" t="e" vm="2">
        <f t="shared" si="166"/>
        <v>#VALUE!</v>
      </c>
      <c r="BG1389" t="e" vm="2">
        <f t="shared" si="167"/>
        <v>#VALUE!</v>
      </c>
      <c r="BJ1389" s="21" t="e" vm="1">
        <v>#REF!</v>
      </c>
      <c r="BK1389" t="e" vm="1">
        <v>#REF!</v>
      </c>
      <c r="BM1389" t="e" vm="2">
        <f t="shared" si="168"/>
        <v>#VALUE!</v>
      </c>
      <c r="BN1389" t="e" vm="2">
        <f t="shared" si="169"/>
        <v>#VALUE!</v>
      </c>
    </row>
    <row r="1390" spans="55:66" x14ac:dyDescent="0.2">
      <c r="BC1390" s="21" t="e" vm="1">
        <v>#REF!</v>
      </c>
      <c r="BD1390" t="e" vm="1">
        <v>#REF!</v>
      </c>
      <c r="BF1390" t="e" vm="2">
        <f t="shared" si="166"/>
        <v>#VALUE!</v>
      </c>
      <c r="BG1390" t="e" vm="2">
        <f t="shared" si="167"/>
        <v>#VALUE!</v>
      </c>
      <c r="BJ1390" s="21" t="e" vm="1">
        <v>#REF!</v>
      </c>
      <c r="BK1390" t="e" vm="1">
        <v>#REF!</v>
      </c>
      <c r="BM1390" t="e" vm="2">
        <f t="shared" si="168"/>
        <v>#VALUE!</v>
      </c>
      <c r="BN1390" t="e" vm="2">
        <f t="shared" si="169"/>
        <v>#VALUE!</v>
      </c>
    </row>
    <row r="1391" spans="55:66" x14ac:dyDescent="0.2">
      <c r="BC1391" s="21" t="e" vm="1">
        <v>#REF!</v>
      </c>
      <c r="BD1391" t="e" vm="1">
        <v>#REF!</v>
      </c>
      <c r="BF1391" t="e" vm="2">
        <f t="shared" si="166"/>
        <v>#VALUE!</v>
      </c>
      <c r="BG1391" t="e" vm="2">
        <f t="shared" si="167"/>
        <v>#VALUE!</v>
      </c>
      <c r="BJ1391" s="21" t="e" vm="1">
        <v>#REF!</v>
      </c>
      <c r="BK1391" t="e" vm="1">
        <v>#REF!</v>
      </c>
      <c r="BM1391" t="e" vm="2">
        <f t="shared" si="168"/>
        <v>#VALUE!</v>
      </c>
      <c r="BN1391" t="e" vm="2">
        <f t="shared" si="169"/>
        <v>#VALUE!</v>
      </c>
    </row>
    <row r="1392" spans="55:66" x14ac:dyDescent="0.2">
      <c r="BC1392" s="21" t="e" vm="1">
        <v>#REF!</v>
      </c>
      <c r="BD1392" t="e" vm="1">
        <v>#REF!</v>
      </c>
      <c r="BF1392" t="e" vm="2">
        <f t="shared" si="166"/>
        <v>#VALUE!</v>
      </c>
      <c r="BG1392" t="e" vm="2">
        <f t="shared" si="167"/>
        <v>#VALUE!</v>
      </c>
      <c r="BJ1392" s="21" t="e" vm="1">
        <v>#REF!</v>
      </c>
      <c r="BK1392" t="e" vm="1">
        <v>#REF!</v>
      </c>
      <c r="BM1392" t="e" vm="2">
        <f t="shared" si="168"/>
        <v>#VALUE!</v>
      </c>
      <c r="BN1392" t="e" vm="2">
        <f t="shared" si="169"/>
        <v>#VALUE!</v>
      </c>
    </row>
    <row r="1393" spans="55:66" x14ac:dyDescent="0.2">
      <c r="BC1393" s="21" t="e" vm="1">
        <v>#REF!</v>
      </c>
      <c r="BD1393" t="e" vm="1">
        <v>#REF!</v>
      </c>
      <c r="BF1393" t="e" vm="2">
        <f t="shared" si="166"/>
        <v>#VALUE!</v>
      </c>
      <c r="BG1393" t="e" vm="2">
        <f t="shared" si="167"/>
        <v>#VALUE!</v>
      </c>
      <c r="BJ1393" s="21" t="e" vm="1">
        <v>#REF!</v>
      </c>
      <c r="BK1393" t="e" vm="1">
        <v>#REF!</v>
      </c>
      <c r="BM1393" t="e" vm="2">
        <f t="shared" si="168"/>
        <v>#VALUE!</v>
      </c>
      <c r="BN1393" t="e" vm="2">
        <f t="shared" si="169"/>
        <v>#VALUE!</v>
      </c>
    </row>
    <row r="1394" spans="55:66" x14ac:dyDescent="0.2">
      <c r="BC1394" s="21" t="e" vm="1">
        <v>#REF!</v>
      </c>
      <c r="BD1394" t="e" vm="1">
        <v>#REF!</v>
      </c>
      <c r="BF1394" t="e" vm="2">
        <f t="shared" si="166"/>
        <v>#VALUE!</v>
      </c>
      <c r="BG1394" t="e" vm="2">
        <f t="shared" si="167"/>
        <v>#VALUE!</v>
      </c>
      <c r="BJ1394" s="21" t="e" vm="1">
        <v>#REF!</v>
      </c>
      <c r="BK1394" t="e" vm="1">
        <v>#REF!</v>
      </c>
      <c r="BM1394" t="e" vm="2">
        <f t="shared" si="168"/>
        <v>#VALUE!</v>
      </c>
      <c r="BN1394" t="e" vm="2">
        <f t="shared" si="169"/>
        <v>#VALUE!</v>
      </c>
    </row>
    <row r="1395" spans="55:66" x14ac:dyDescent="0.2">
      <c r="BC1395" s="21" t="e" vm="1">
        <v>#REF!</v>
      </c>
      <c r="BD1395" t="e" vm="1">
        <v>#REF!</v>
      </c>
      <c r="BF1395" t="e" vm="2">
        <f t="shared" si="166"/>
        <v>#VALUE!</v>
      </c>
      <c r="BG1395" t="e" vm="2">
        <f t="shared" si="167"/>
        <v>#VALUE!</v>
      </c>
      <c r="BJ1395" s="21" t="e" vm="1">
        <v>#REF!</v>
      </c>
      <c r="BK1395" t="e" vm="1">
        <v>#REF!</v>
      </c>
      <c r="BM1395" t="e" vm="2">
        <f t="shared" si="168"/>
        <v>#VALUE!</v>
      </c>
      <c r="BN1395" t="e" vm="2">
        <f t="shared" si="169"/>
        <v>#VALUE!</v>
      </c>
    </row>
    <row r="1396" spans="55:66" x14ac:dyDescent="0.2">
      <c r="BC1396" s="21" t="e" vm="1">
        <v>#REF!</v>
      </c>
      <c r="BD1396" t="e" vm="1">
        <v>#REF!</v>
      </c>
      <c r="BF1396" t="e" vm="2">
        <f t="shared" si="166"/>
        <v>#VALUE!</v>
      </c>
      <c r="BG1396" t="e" vm="2">
        <f t="shared" si="167"/>
        <v>#VALUE!</v>
      </c>
      <c r="BJ1396" s="21" t="e" vm="1">
        <v>#REF!</v>
      </c>
      <c r="BK1396" t="e" vm="1">
        <v>#REF!</v>
      </c>
      <c r="BM1396" t="e" vm="2">
        <f t="shared" si="168"/>
        <v>#VALUE!</v>
      </c>
      <c r="BN1396" t="e" vm="2">
        <f t="shared" si="169"/>
        <v>#VALUE!</v>
      </c>
    </row>
    <row r="1397" spans="55:66" x14ac:dyDescent="0.2">
      <c r="BC1397" s="21" t="e" vm="1">
        <v>#REF!</v>
      </c>
      <c r="BD1397" t="e" vm="1">
        <v>#REF!</v>
      </c>
      <c r="BF1397" t="e" vm="2">
        <f t="shared" si="166"/>
        <v>#VALUE!</v>
      </c>
      <c r="BG1397" t="e" vm="2">
        <f t="shared" si="167"/>
        <v>#VALUE!</v>
      </c>
      <c r="BJ1397" s="21" t="e" vm="1">
        <v>#REF!</v>
      </c>
      <c r="BK1397" t="e" vm="1">
        <v>#REF!</v>
      </c>
      <c r="BM1397" t="e" vm="2">
        <f t="shared" si="168"/>
        <v>#VALUE!</v>
      </c>
      <c r="BN1397" t="e" vm="2">
        <f t="shared" si="169"/>
        <v>#VALUE!</v>
      </c>
    </row>
    <row r="1398" spans="55:66" x14ac:dyDescent="0.2">
      <c r="BC1398" s="21" t="e" vm="1">
        <v>#REF!</v>
      </c>
      <c r="BD1398" t="e" vm="1">
        <v>#REF!</v>
      </c>
      <c r="BF1398" t="e" vm="2">
        <f t="shared" si="166"/>
        <v>#VALUE!</v>
      </c>
      <c r="BG1398" t="e" vm="2">
        <f t="shared" si="167"/>
        <v>#VALUE!</v>
      </c>
      <c r="BJ1398" s="21" t="e" vm="1">
        <v>#REF!</v>
      </c>
      <c r="BK1398" t="e" vm="1">
        <v>#REF!</v>
      </c>
      <c r="BM1398" t="e" vm="2">
        <f t="shared" si="168"/>
        <v>#VALUE!</v>
      </c>
      <c r="BN1398" t="e" vm="2">
        <f t="shared" si="169"/>
        <v>#VALUE!</v>
      </c>
    </row>
    <row r="1399" spans="55:66" x14ac:dyDescent="0.2">
      <c r="BC1399" s="21" t="e" vm="1">
        <v>#REF!</v>
      </c>
      <c r="BD1399" t="e" vm="1">
        <v>#REF!</v>
      </c>
      <c r="BF1399" t="e" vm="2">
        <f t="shared" si="166"/>
        <v>#VALUE!</v>
      </c>
      <c r="BG1399" t="e" vm="2">
        <f t="shared" si="167"/>
        <v>#VALUE!</v>
      </c>
      <c r="BJ1399" s="21" t="e" vm="1">
        <v>#REF!</v>
      </c>
      <c r="BK1399" t="e" vm="1">
        <v>#REF!</v>
      </c>
      <c r="BM1399" t="e" vm="2">
        <f t="shared" si="168"/>
        <v>#VALUE!</v>
      </c>
      <c r="BN1399" t="e" vm="2">
        <f t="shared" si="169"/>
        <v>#VALUE!</v>
      </c>
    </row>
    <row r="1400" spans="55:66" x14ac:dyDescent="0.2">
      <c r="BC1400" s="21" t="e" vm="1">
        <v>#REF!</v>
      </c>
      <c r="BD1400" t="e" vm="1">
        <v>#REF!</v>
      </c>
      <c r="BF1400" t="e" vm="2">
        <f t="shared" si="166"/>
        <v>#VALUE!</v>
      </c>
      <c r="BG1400" t="e" vm="2">
        <f t="shared" si="167"/>
        <v>#VALUE!</v>
      </c>
      <c r="BJ1400" s="21" t="e" vm="1">
        <v>#REF!</v>
      </c>
      <c r="BK1400" t="e" vm="1">
        <v>#REF!</v>
      </c>
      <c r="BM1400" t="e" vm="2">
        <f t="shared" si="168"/>
        <v>#VALUE!</v>
      </c>
      <c r="BN1400" t="e" vm="2">
        <f t="shared" si="169"/>
        <v>#VALUE!</v>
      </c>
    </row>
    <row r="1401" spans="55:66" x14ac:dyDescent="0.2">
      <c r="BC1401" s="21" t="e" vm="1">
        <v>#REF!</v>
      </c>
      <c r="BD1401" t="e" vm="1">
        <v>#REF!</v>
      </c>
      <c r="BF1401" t="e" vm="2">
        <f t="shared" si="166"/>
        <v>#VALUE!</v>
      </c>
      <c r="BG1401" t="e" vm="2">
        <f t="shared" si="167"/>
        <v>#VALUE!</v>
      </c>
      <c r="BJ1401" s="21" t="e" vm="1">
        <v>#REF!</v>
      </c>
      <c r="BK1401" t="e" vm="1">
        <v>#REF!</v>
      </c>
      <c r="BM1401" t="e" vm="2">
        <f t="shared" si="168"/>
        <v>#VALUE!</v>
      </c>
      <c r="BN1401" t="e" vm="2">
        <f t="shared" si="169"/>
        <v>#VALUE!</v>
      </c>
    </row>
    <row r="1402" spans="55:66" x14ac:dyDescent="0.2">
      <c r="BC1402" s="21" t="e" vm="1">
        <v>#REF!</v>
      </c>
      <c r="BD1402" t="e" vm="1">
        <v>#REF!</v>
      </c>
      <c r="BF1402" t="e" vm="2">
        <f t="shared" si="166"/>
        <v>#VALUE!</v>
      </c>
      <c r="BG1402" t="e" vm="2">
        <f t="shared" si="167"/>
        <v>#VALUE!</v>
      </c>
      <c r="BJ1402" s="21" t="e" vm="1">
        <v>#REF!</v>
      </c>
      <c r="BK1402" t="e" vm="1">
        <v>#REF!</v>
      </c>
      <c r="BM1402" t="e" vm="2">
        <f t="shared" si="168"/>
        <v>#VALUE!</v>
      </c>
      <c r="BN1402" t="e" vm="2">
        <f t="shared" si="169"/>
        <v>#VALUE!</v>
      </c>
    </row>
    <row r="1403" spans="55:66" x14ac:dyDescent="0.2">
      <c r="BC1403" s="21" t="e" vm="1">
        <v>#REF!</v>
      </c>
      <c r="BD1403" t="e" vm="1">
        <v>#REF!</v>
      </c>
      <c r="BF1403" t="e" vm="2">
        <f t="shared" si="166"/>
        <v>#VALUE!</v>
      </c>
      <c r="BG1403" t="e" vm="2">
        <f t="shared" si="167"/>
        <v>#VALUE!</v>
      </c>
      <c r="BJ1403" s="21" t="e" vm="1">
        <v>#REF!</v>
      </c>
      <c r="BK1403" t="e" vm="1">
        <v>#REF!</v>
      </c>
      <c r="BM1403" t="e" vm="2">
        <f t="shared" si="168"/>
        <v>#VALUE!</v>
      </c>
      <c r="BN1403" t="e" vm="2">
        <f t="shared" si="169"/>
        <v>#VALUE!</v>
      </c>
    </row>
    <row r="1404" spans="55:66" x14ac:dyDescent="0.2">
      <c r="BC1404" s="21" t="e" vm="1">
        <v>#REF!</v>
      </c>
      <c r="BD1404" t="e" vm="1">
        <v>#REF!</v>
      </c>
      <c r="BF1404" t="e" vm="2">
        <f t="shared" si="166"/>
        <v>#VALUE!</v>
      </c>
      <c r="BG1404" t="e" vm="2">
        <f t="shared" si="167"/>
        <v>#VALUE!</v>
      </c>
      <c r="BJ1404" s="21" t="e" vm="1">
        <v>#REF!</v>
      </c>
      <c r="BK1404" t="e" vm="1">
        <v>#REF!</v>
      </c>
      <c r="BM1404" t="e" vm="2">
        <f t="shared" si="168"/>
        <v>#VALUE!</v>
      </c>
      <c r="BN1404" t="e" vm="2">
        <f t="shared" si="169"/>
        <v>#VALUE!</v>
      </c>
    </row>
    <row r="1405" spans="55:66" x14ac:dyDescent="0.2">
      <c r="BC1405" s="21" t="e" vm="1">
        <v>#REF!</v>
      </c>
      <c r="BD1405" t="e" vm="1">
        <v>#REF!</v>
      </c>
      <c r="BF1405" t="e" vm="2">
        <f t="shared" si="166"/>
        <v>#VALUE!</v>
      </c>
      <c r="BG1405" t="e" vm="2">
        <f t="shared" si="167"/>
        <v>#VALUE!</v>
      </c>
      <c r="BJ1405" s="21" t="e" vm="1">
        <v>#REF!</v>
      </c>
      <c r="BK1405" t="e" vm="1">
        <v>#REF!</v>
      </c>
      <c r="BM1405" t="e" vm="2">
        <f t="shared" si="168"/>
        <v>#VALUE!</v>
      </c>
      <c r="BN1405" t="e" vm="2">
        <f t="shared" si="169"/>
        <v>#VALUE!</v>
      </c>
    </row>
    <row r="1406" spans="55:66" x14ac:dyDescent="0.2">
      <c r="BC1406" s="21" t="e" vm="1">
        <v>#REF!</v>
      </c>
      <c r="BD1406" t="e" vm="1">
        <v>#REF!</v>
      </c>
      <c r="BF1406" t="e" vm="2">
        <f t="shared" si="166"/>
        <v>#VALUE!</v>
      </c>
      <c r="BG1406" t="e" vm="2">
        <f t="shared" si="167"/>
        <v>#VALUE!</v>
      </c>
      <c r="BJ1406" s="21" t="e" vm="1">
        <v>#REF!</v>
      </c>
      <c r="BK1406" t="e" vm="1">
        <v>#REF!</v>
      </c>
      <c r="BM1406" t="e" vm="2">
        <f t="shared" si="168"/>
        <v>#VALUE!</v>
      </c>
      <c r="BN1406" t="e" vm="2">
        <f t="shared" si="169"/>
        <v>#VALUE!</v>
      </c>
    </row>
    <row r="1407" spans="55:66" x14ac:dyDescent="0.2">
      <c r="BC1407" s="21" t="e" vm="1">
        <v>#REF!</v>
      </c>
      <c r="BD1407" t="e" vm="1">
        <v>#REF!</v>
      </c>
      <c r="BF1407" t="e" vm="2">
        <f t="shared" si="166"/>
        <v>#VALUE!</v>
      </c>
      <c r="BG1407" t="e" vm="2">
        <f t="shared" si="167"/>
        <v>#VALUE!</v>
      </c>
      <c r="BJ1407" s="21" t="e" vm="1">
        <v>#REF!</v>
      </c>
      <c r="BK1407" t="e" vm="1">
        <v>#REF!</v>
      </c>
      <c r="BM1407" t="e" vm="2">
        <f t="shared" si="168"/>
        <v>#VALUE!</v>
      </c>
      <c r="BN1407" t="e" vm="2">
        <f t="shared" si="169"/>
        <v>#VALUE!</v>
      </c>
    </row>
    <row r="1408" spans="55:66" x14ac:dyDescent="0.2">
      <c r="BC1408" s="21" t="e" vm="1">
        <v>#REF!</v>
      </c>
      <c r="BD1408" t="e" vm="1">
        <v>#REF!</v>
      </c>
      <c r="BF1408" t="e" vm="2">
        <f t="shared" si="166"/>
        <v>#VALUE!</v>
      </c>
      <c r="BG1408" t="e" vm="2">
        <f t="shared" si="167"/>
        <v>#VALUE!</v>
      </c>
      <c r="BJ1408" s="21" t="e" vm="1">
        <v>#REF!</v>
      </c>
      <c r="BK1408" t="e" vm="1">
        <v>#REF!</v>
      </c>
      <c r="BM1408" t="e" vm="2">
        <f t="shared" si="168"/>
        <v>#VALUE!</v>
      </c>
      <c r="BN1408" t="e" vm="2">
        <f t="shared" si="169"/>
        <v>#VALUE!</v>
      </c>
    </row>
    <row r="1409" spans="55:66" x14ac:dyDescent="0.2">
      <c r="BC1409" s="21" t="e" vm="1">
        <v>#REF!</v>
      </c>
      <c r="BD1409" t="e" vm="1">
        <v>#REF!</v>
      </c>
      <c r="BF1409" t="e" vm="2">
        <f t="shared" si="166"/>
        <v>#VALUE!</v>
      </c>
      <c r="BG1409" t="e" vm="2">
        <f t="shared" si="167"/>
        <v>#VALUE!</v>
      </c>
      <c r="BJ1409" s="21" t="e" vm="1">
        <v>#REF!</v>
      </c>
      <c r="BK1409" t="e" vm="1">
        <v>#REF!</v>
      </c>
      <c r="BM1409" t="e" vm="2">
        <f t="shared" si="168"/>
        <v>#VALUE!</v>
      </c>
      <c r="BN1409" t="e" vm="2">
        <f t="shared" si="169"/>
        <v>#VALUE!</v>
      </c>
    </row>
    <row r="1410" spans="55:66" x14ac:dyDescent="0.2">
      <c r="BC1410" s="21" t="e" vm="1">
        <v>#REF!</v>
      </c>
      <c r="BD1410" t="e" vm="1">
        <v>#REF!</v>
      </c>
      <c r="BF1410" t="e" vm="2">
        <f t="shared" si="166"/>
        <v>#VALUE!</v>
      </c>
      <c r="BG1410" t="e" vm="2">
        <f t="shared" si="167"/>
        <v>#VALUE!</v>
      </c>
      <c r="BJ1410" s="21" t="e" vm="1">
        <v>#REF!</v>
      </c>
      <c r="BK1410" t="e" vm="1">
        <v>#REF!</v>
      </c>
      <c r="BM1410" t="e" vm="2">
        <f t="shared" si="168"/>
        <v>#VALUE!</v>
      </c>
      <c r="BN1410" t="e" vm="2">
        <f t="shared" si="169"/>
        <v>#VALUE!</v>
      </c>
    </row>
    <row r="1411" spans="55:66" x14ac:dyDescent="0.2">
      <c r="BC1411" s="21" t="e" vm="1">
        <v>#REF!</v>
      </c>
      <c r="BD1411" t="e" vm="1">
        <v>#REF!</v>
      </c>
      <c r="BF1411" t="e" vm="2">
        <f t="shared" ref="BF1411:BF1474" si="170">MONTH(BC1411)</f>
        <v>#VALUE!</v>
      </c>
      <c r="BG1411" t="e" vm="2">
        <f t="shared" ref="BG1411:BG1474" si="171">YEAR(BC1411)</f>
        <v>#VALUE!</v>
      </c>
      <c r="BJ1411" s="21" t="e" vm="1">
        <v>#REF!</v>
      </c>
      <c r="BK1411" t="e" vm="1">
        <v>#REF!</v>
      </c>
      <c r="BM1411" t="e" vm="2">
        <f t="shared" si="168"/>
        <v>#VALUE!</v>
      </c>
      <c r="BN1411" t="e" vm="2">
        <f t="shared" si="169"/>
        <v>#VALUE!</v>
      </c>
    </row>
    <row r="1412" spans="55:66" x14ac:dyDescent="0.2">
      <c r="BC1412" s="21" t="e" vm="1">
        <v>#REF!</v>
      </c>
      <c r="BD1412" t="e" vm="1">
        <v>#REF!</v>
      </c>
      <c r="BF1412" t="e" vm="2">
        <f t="shared" si="170"/>
        <v>#VALUE!</v>
      </c>
      <c r="BG1412" t="e" vm="2">
        <f t="shared" si="171"/>
        <v>#VALUE!</v>
      </c>
      <c r="BJ1412" s="21" t="e" vm="1">
        <v>#REF!</v>
      </c>
      <c r="BK1412" t="e" vm="1">
        <v>#REF!</v>
      </c>
      <c r="BM1412" t="e" vm="2">
        <f t="shared" ref="BM1412:BM1475" si="172">MONTH(BJ1412)</f>
        <v>#VALUE!</v>
      </c>
      <c r="BN1412" t="e" vm="2">
        <f t="shared" ref="BN1412:BN1475" si="173">YEAR(BJ1412)</f>
        <v>#VALUE!</v>
      </c>
    </row>
    <row r="1413" spans="55:66" x14ac:dyDescent="0.2">
      <c r="BC1413" s="21" t="e" vm="1">
        <v>#REF!</v>
      </c>
      <c r="BD1413" t="e" vm="1">
        <v>#REF!</v>
      </c>
      <c r="BF1413" t="e" vm="2">
        <f t="shared" si="170"/>
        <v>#VALUE!</v>
      </c>
      <c r="BG1413" t="e" vm="2">
        <f t="shared" si="171"/>
        <v>#VALUE!</v>
      </c>
      <c r="BJ1413" s="21" t="e" vm="1">
        <v>#REF!</v>
      </c>
      <c r="BK1413" t="e" vm="1">
        <v>#REF!</v>
      </c>
      <c r="BM1413" t="e" vm="2">
        <f t="shared" si="172"/>
        <v>#VALUE!</v>
      </c>
      <c r="BN1413" t="e" vm="2">
        <f t="shared" si="173"/>
        <v>#VALUE!</v>
      </c>
    </row>
    <row r="1414" spans="55:66" x14ac:dyDescent="0.2">
      <c r="BC1414" s="21" t="e" vm="1">
        <v>#REF!</v>
      </c>
      <c r="BD1414" t="e" vm="1">
        <v>#REF!</v>
      </c>
      <c r="BF1414" t="e" vm="2">
        <f t="shared" si="170"/>
        <v>#VALUE!</v>
      </c>
      <c r="BG1414" t="e" vm="2">
        <f t="shared" si="171"/>
        <v>#VALUE!</v>
      </c>
      <c r="BJ1414" s="21" t="e" vm="1">
        <v>#REF!</v>
      </c>
      <c r="BK1414" t="e" vm="1">
        <v>#REF!</v>
      </c>
      <c r="BM1414" t="e" vm="2">
        <f t="shared" si="172"/>
        <v>#VALUE!</v>
      </c>
      <c r="BN1414" t="e" vm="2">
        <f t="shared" si="173"/>
        <v>#VALUE!</v>
      </c>
    </row>
    <row r="1415" spans="55:66" x14ac:dyDescent="0.2">
      <c r="BC1415" s="21" t="e" vm="1">
        <v>#REF!</v>
      </c>
      <c r="BD1415" t="e" vm="1">
        <v>#REF!</v>
      </c>
      <c r="BF1415" t="e" vm="2">
        <f t="shared" si="170"/>
        <v>#VALUE!</v>
      </c>
      <c r="BG1415" t="e" vm="2">
        <f t="shared" si="171"/>
        <v>#VALUE!</v>
      </c>
      <c r="BJ1415" s="21" t="e" vm="1">
        <v>#REF!</v>
      </c>
      <c r="BK1415" t="e" vm="1">
        <v>#REF!</v>
      </c>
      <c r="BM1415" t="e" vm="2">
        <f t="shared" si="172"/>
        <v>#VALUE!</v>
      </c>
      <c r="BN1415" t="e" vm="2">
        <f t="shared" si="173"/>
        <v>#VALUE!</v>
      </c>
    </row>
    <row r="1416" spans="55:66" x14ac:dyDescent="0.2">
      <c r="BC1416" s="21" t="e" vm="1">
        <v>#REF!</v>
      </c>
      <c r="BD1416" t="e" vm="1">
        <v>#REF!</v>
      </c>
      <c r="BF1416" t="e" vm="2">
        <f t="shared" si="170"/>
        <v>#VALUE!</v>
      </c>
      <c r="BG1416" t="e" vm="2">
        <f t="shared" si="171"/>
        <v>#VALUE!</v>
      </c>
      <c r="BJ1416" s="21" t="e" vm="1">
        <v>#REF!</v>
      </c>
      <c r="BK1416" t="e" vm="1">
        <v>#REF!</v>
      </c>
      <c r="BM1416" t="e" vm="2">
        <f t="shared" si="172"/>
        <v>#VALUE!</v>
      </c>
      <c r="BN1416" t="e" vm="2">
        <f t="shared" si="173"/>
        <v>#VALUE!</v>
      </c>
    </row>
    <row r="1417" spans="55:66" x14ac:dyDescent="0.2">
      <c r="BC1417" s="21" t="e" vm="1">
        <v>#REF!</v>
      </c>
      <c r="BD1417" t="e" vm="1">
        <v>#REF!</v>
      </c>
      <c r="BF1417" t="e" vm="2">
        <f t="shared" si="170"/>
        <v>#VALUE!</v>
      </c>
      <c r="BG1417" t="e" vm="2">
        <f t="shared" si="171"/>
        <v>#VALUE!</v>
      </c>
      <c r="BJ1417" s="21" t="e" vm="1">
        <v>#REF!</v>
      </c>
      <c r="BK1417" t="e" vm="1">
        <v>#REF!</v>
      </c>
      <c r="BM1417" t="e" vm="2">
        <f t="shared" si="172"/>
        <v>#VALUE!</v>
      </c>
      <c r="BN1417" t="e" vm="2">
        <f t="shared" si="173"/>
        <v>#VALUE!</v>
      </c>
    </row>
    <row r="1418" spans="55:66" x14ac:dyDescent="0.2">
      <c r="BC1418" s="21" t="e" vm="1">
        <v>#REF!</v>
      </c>
      <c r="BD1418" t="e" vm="1">
        <v>#REF!</v>
      </c>
      <c r="BF1418" t="e" vm="2">
        <f t="shared" si="170"/>
        <v>#VALUE!</v>
      </c>
      <c r="BG1418" t="e" vm="2">
        <f t="shared" si="171"/>
        <v>#VALUE!</v>
      </c>
      <c r="BJ1418" s="21" t="e" vm="1">
        <v>#REF!</v>
      </c>
      <c r="BK1418" t="e" vm="1">
        <v>#REF!</v>
      </c>
      <c r="BM1418" t="e" vm="2">
        <f t="shared" si="172"/>
        <v>#VALUE!</v>
      </c>
      <c r="BN1418" t="e" vm="2">
        <f t="shared" si="173"/>
        <v>#VALUE!</v>
      </c>
    </row>
    <row r="1419" spans="55:66" x14ac:dyDescent="0.2">
      <c r="BC1419" s="21" t="e" vm="1">
        <v>#REF!</v>
      </c>
      <c r="BD1419" t="e" vm="1">
        <v>#REF!</v>
      </c>
      <c r="BF1419" t="e" vm="2">
        <f t="shared" si="170"/>
        <v>#VALUE!</v>
      </c>
      <c r="BG1419" t="e" vm="2">
        <f t="shared" si="171"/>
        <v>#VALUE!</v>
      </c>
      <c r="BJ1419" s="21" t="e" vm="1">
        <v>#REF!</v>
      </c>
      <c r="BK1419" t="e" vm="1">
        <v>#REF!</v>
      </c>
      <c r="BM1419" t="e" vm="2">
        <f t="shared" si="172"/>
        <v>#VALUE!</v>
      </c>
      <c r="BN1419" t="e" vm="2">
        <f t="shared" si="173"/>
        <v>#VALUE!</v>
      </c>
    </row>
    <row r="1420" spans="55:66" x14ac:dyDescent="0.2">
      <c r="BC1420" s="21" t="e" vm="1">
        <v>#REF!</v>
      </c>
      <c r="BD1420" t="e" vm="1">
        <v>#REF!</v>
      </c>
      <c r="BF1420" t="e" vm="2">
        <f t="shared" si="170"/>
        <v>#VALUE!</v>
      </c>
      <c r="BG1420" t="e" vm="2">
        <f t="shared" si="171"/>
        <v>#VALUE!</v>
      </c>
      <c r="BJ1420" s="21" t="e" vm="1">
        <v>#REF!</v>
      </c>
      <c r="BK1420" t="e" vm="1">
        <v>#REF!</v>
      </c>
      <c r="BM1420" t="e" vm="2">
        <f t="shared" si="172"/>
        <v>#VALUE!</v>
      </c>
      <c r="BN1420" t="e" vm="2">
        <f t="shared" si="173"/>
        <v>#VALUE!</v>
      </c>
    </row>
    <row r="1421" spans="55:66" x14ac:dyDescent="0.2">
      <c r="BC1421" s="21" t="e" vm="1">
        <v>#REF!</v>
      </c>
      <c r="BD1421" t="e" vm="1">
        <v>#REF!</v>
      </c>
      <c r="BF1421" t="e" vm="2">
        <f t="shared" si="170"/>
        <v>#VALUE!</v>
      </c>
      <c r="BG1421" t="e" vm="2">
        <f t="shared" si="171"/>
        <v>#VALUE!</v>
      </c>
      <c r="BJ1421" s="21" t="e" vm="1">
        <v>#REF!</v>
      </c>
      <c r="BK1421" t="e" vm="1">
        <v>#REF!</v>
      </c>
      <c r="BM1421" t="e" vm="2">
        <f t="shared" si="172"/>
        <v>#VALUE!</v>
      </c>
      <c r="BN1421" t="e" vm="2">
        <f t="shared" si="173"/>
        <v>#VALUE!</v>
      </c>
    </row>
    <row r="1422" spans="55:66" x14ac:dyDescent="0.2">
      <c r="BC1422" s="21" t="e" vm="1">
        <v>#REF!</v>
      </c>
      <c r="BD1422" t="e" vm="1">
        <v>#REF!</v>
      </c>
      <c r="BF1422" t="e" vm="2">
        <f t="shared" si="170"/>
        <v>#VALUE!</v>
      </c>
      <c r="BG1422" t="e" vm="2">
        <f t="shared" si="171"/>
        <v>#VALUE!</v>
      </c>
      <c r="BJ1422" s="21" t="e" vm="1">
        <v>#REF!</v>
      </c>
      <c r="BK1422" t="e" vm="1">
        <v>#REF!</v>
      </c>
      <c r="BM1422" t="e" vm="2">
        <f t="shared" si="172"/>
        <v>#VALUE!</v>
      </c>
      <c r="BN1422" t="e" vm="2">
        <f t="shared" si="173"/>
        <v>#VALUE!</v>
      </c>
    </row>
    <row r="1423" spans="55:66" x14ac:dyDescent="0.2">
      <c r="BC1423" s="21" t="e" vm="1">
        <v>#REF!</v>
      </c>
      <c r="BD1423" t="e" vm="1">
        <v>#REF!</v>
      </c>
      <c r="BF1423" t="e" vm="2">
        <f t="shared" si="170"/>
        <v>#VALUE!</v>
      </c>
      <c r="BG1423" t="e" vm="2">
        <f t="shared" si="171"/>
        <v>#VALUE!</v>
      </c>
      <c r="BJ1423" s="21" t="e" vm="1">
        <v>#REF!</v>
      </c>
      <c r="BK1423" t="e" vm="1">
        <v>#REF!</v>
      </c>
      <c r="BM1423" t="e" vm="2">
        <f t="shared" si="172"/>
        <v>#VALUE!</v>
      </c>
      <c r="BN1423" t="e" vm="2">
        <f t="shared" si="173"/>
        <v>#VALUE!</v>
      </c>
    </row>
    <row r="1424" spans="55:66" x14ac:dyDescent="0.2">
      <c r="BC1424" s="21" t="e" vm="1">
        <v>#REF!</v>
      </c>
      <c r="BD1424" t="e" vm="1">
        <v>#REF!</v>
      </c>
      <c r="BF1424" t="e" vm="2">
        <f t="shared" si="170"/>
        <v>#VALUE!</v>
      </c>
      <c r="BG1424" t="e" vm="2">
        <f t="shared" si="171"/>
        <v>#VALUE!</v>
      </c>
      <c r="BJ1424" s="21" t="e" vm="1">
        <v>#REF!</v>
      </c>
      <c r="BK1424" t="e" vm="1">
        <v>#REF!</v>
      </c>
      <c r="BM1424" t="e" vm="2">
        <f t="shared" si="172"/>
        <v>#VALUE!</v>
      </c>
      <c r="BN1424" t="e" vm="2">
        <f t="shared" si="173"/>
        <v>#VALUE!</v>
      </c>
    </row>
    <row r="1425" spans="55:66" x14ac:dyDescent="0.2">
      <c r="BC1425" s="21" t="e" vm="1">
        <v>#REF!</v>
      </c>
      <c r="BD1425" t="e" vm="1">
        <v>#REF!</v>
      </c>
      <c r="BF1425" t="e" vm="2">
        <f t="shared" si="170"/>
        <v>#VALUE!</v>
      </c>
      <c r="BG1425" t="e" vm="2">
        <f t="shared" si="171"/>
        <v>#VALUE!</v>
      </c>
      <c r="BJ1425" s="21" t="e" vm="1">
        <v>#REF!</v>
      </c>
      <c r="BK1425" t="e" vm="1">
        <v>#REF!</v>
      </c>
      <c r="BM1425" t="e" vm="2">
        <f t="shared" si="172"/>
        <v>#VALUE!</v>
      </c>
      <c r="BN1425" t="e" vm="2">
        <f t="shared" si="173"/>
        <v>#VALUE!</v>
      </c>
    </row>
    <row r="1426" spans="55:66" x14ac:dyDescent="0.2">
      <c r="BC1426" s="21" t="e" vm="1">
        <v>#REF!</v>
      </c>
      <c r="BD1426" t="e" vm="1">
        <v>#REF!</v>
      </c>
      <c r="BF1426" t="e" vm="2">
        <f t="shared" si="170"/>
        <v>#VALUE!</v>
      </c>
      <c r="BG1426" t="e" vm="2">
        <f t="shared" si="171"/>
        <v>#VALUE!</v>
      </c>
      <c r="BJ1426" s="21" t="e" vm="1">
        <v>#REF!</v>
      </c>
      <c r="BK1426" t="e" vm="1">
        <v>#REF!</v>
      </c>
      <c r="BM1426" t="e" vm="2">
        <f t="shared" si="172"/>
        <v>#VALUE!</v>
      </c>
      <c r="BN1426" t="e" vm="2">
        <f t="shared" si="173"/>
        <v>#VALUE!</v>
      </c>
    </row>
    <row r="1427" spans="55:66" x14ac:dyDescent="0.2">
      <c r="BC1427" s="21" t="e" vm="1">
        <v>#REF!</v>
      </c>
      <c r="BD1427" t="e" vm="1">
        <v>#REF!</v>
      </c>
      <c r="BF1427" t="e" vm="2">
        <f t="shared" si="170"/>
        <v>#VALUE!</v>
      </c>
      <c r="BG1427" t="e" vm="2">
        <f t="shared" si="171"/>
        <v>#VALUE!</v>
      </c>
      <c r="BJ1427" s="21" t="e" vm="1">
        <v>#REF!</v>
      </c>
      <c r="BK1427" t="e" vm="1">
        <v>#REF!</v>
      </c>
      <c r="BM1427" t="e" vm="2">
        <f t="shared" si="172"/>
        <v>#VALUE!</v>
      </c>
      <c r="BN1427" t="e" vm="2">
        <f t="shared" si="173"/>
        <v>#VALUE!</v>
      </c>
    </row>
    <row r="1428" spans="55:66" x14ac:dyDescent="0.2">
      <c r="BC1428" s="21" t="e" vm="1">
        <v>#REF!</v>
      </c>
      <c r="BD1428" t="e" vm="1">
        <v>#REF!</v>
      </c>
      <c r="BF1428" t="e" vm="2">
        <f t="shared" si="170"/>
        <v>#VALUE!</v>
      </c>
      <c r="BG1428" t="e" vm="2">
        <f t="shared" si="171"/>
        <v>#VALUE!</v>
      </c>
      <c r="BJ1428" s="21" t="e" vm="1">
        <v>#REF!</v>
      </c>
      <c r="BK1428" t="e" vm="1">
        <v>#REF!</v>
      </c>
      <c r="BM1428" t="e" vm="2">
        <f t="shared" si="172"/>
        <v>#VALUE!</v>
      </c>
      <c r="BN1428" t="e" vm="2">
        <f t="shared" si="173"/>
        <v>#VALUE!</v>
      </c>
    </row>
    <row r="1429" spans="55:66" x14ac:dyDescent="0.2">
      <c r="BC1429" s="21" t="e" vm="1">
        <v>#REF!</v>
      </c>
      <c r="BD1429" t="e" vm="1">
        <v>#REF!</v>
      </c>
      <c r="BF1429" t="e" vm="2">
        <f t="shared" si="170"/>
        <v>#VALUE!</v>
      </c>
      <c r="BG1429" t="e" vm="2">
        <f t="shared" si="171"/>
        <v>#VALUE!</v>
      </c>
      <c r="BJ1429" s="21" t="e" vm="1">
        <v>#REF!</v>
      </c>
      <c r="BK1429" t="e" vm="1">
        <v>#REF!</v>
      </c>
      <c r="BM1429" t="e" vm="2">
        <f t="shared" si="172"/>
        <v>#VALUE!</v>
      </c>
      <c r="BN1429" t="e" vm="2">
        <f t="shared" si="173"/>
        <v>#VALUE!</v>
      </c>
    </row>
    <row r="1430" spans="55:66" x14ac:dyDescent="0.2">
      <c r="BC1430" s="21" t="e" vm="1">
        <v>#REF!</v>
      </c>
      <c r="BD1430" t="e" vm="1">
        <v>#REF!</v>
      </c>
      <c r="BF1430" t="e" vm="2">
        <f t="shared" si="170"/>
        <v>#VALUE!</v>
      </c>
      <c r="BG1430" t="e" vm="2">
        <f t="shared" si="171"/>
        <v>#VALUE!</v>
      </c>
      <c r="BJ1430" s="21" t="e" vm="1">
        <v>#REF!</v>
      </c>
      <c r="BK1430" t="e" vm="1">
        <v>#REF!</v>
      </c>
      <c r="BM1430" t="e" vm="2">
        <f t="shared" si="172"/>
        <v>#VALUE!</v>
      </c>
      <c r="BN1430" t="e" vm="2">
        <f t="shared" si="173"/>
        <v>#VALUE!</v>
      </c>
    </row>
    <row r="1431" spans="55:66" x14ac:dyDescent="0.2">
      <c r="BC1431" s="21" t="e" vm="1">
        <v>#REF!</v>
      </c>
      <c r="BD1431" t="e" vm="1">
        <v>#REF!</v>
      </c>
      <c r="BF1431" t="e" vm="2">
        <f t="shared" si="170"/>
        <v>#VALUE!</v>
      </c>
      <c r="BG1431" t="e" vm="2">
        <f t="shared" si="171"/>
        <v>#VALUE!</v>
      </c>
      <c r="BJ1431" s="21" t="e" vm="1">
        <v>#REF!</v>
      </c>
      <c r="BK1431" t="e" vm="1">
        <v>#REF!</v>
      </c>
      <c r="BM1431" t="e" vm="2">
        <f t="shared" si="172"/>
        <v>#VALUE!</v>
      </c>
      <c r="BN1431" t="e" vm="2">
        <f t="shared" si="173"/>
        <v>#VALUE!</v>
      </c>
    </row>
    <row r="1432" spans="55:66" x14ac:dyDescent="0.2">
      <c r="BC1432" s="21" t="e" vm="1">
        <v>#REF!</v>
      </c>
      <c r="BD1432" t="e" vm="1">
        <v>#REF!</v>
      </c>
      <c r="BF1432" t="e" vm="2">
        <f t="shared" si="170"/>
        <v>#VALUE!</v>
      </c>
      <c r="BG1432" t="e" vm="2">
        <f t="shared" si="171"/>
        <v>#VALUE!</v>
      </c>
      <c r="BJ1432" s="21" t="e" vm="1">
        <v>#REF!</v>
      </c>
      <c r="BK1432" t="e" vm="1">
        <v>#REF!</v>
      </c>
      <c r="BM1432" t="e" vm="2">
        <f t="shared" si="172"/>
        <v>#VALUE!</v>
      </c>
      <c r="BN1432" t="e" vm="2">
        <f t="shared" si="173"/>
        <v>#VALUE!</v>
      </c>
    </row>
    <row r="1433" spans="55:66" x14ac:dyDescent="0.2">
      <c r="BC1433" s="21" t="e" vm="1">
        <v>#REF!</v>
      </c>
      <c r="BD1433" t="e" vm="1">
        <v>#REF!</v>
      </c>
      <c r="BF1433" t="e" vm="2">
        <f t="shared" si="170"/>
        <v>#VALUE!</v>
      </c>
      <c r="BG1433" t="e" vm="2">
        <f t="shared" si="171"/>
        <v>#VALUE!</v>
      </c>
      <c r="BJ1433" s="21" t="e" vm="1">
        <v>#REF!</v>
      </c>
      <c r="BK1433" t="e" vm="1">
        <v>#REF!</v>
      </c>
      <c r="BM1433" t="e" vm="2">
        <f t="shared" si="172"/>
        <v>#VALUE!</v>
      </c>
      <c r="BN1433" t="e" vm="2">
        <f t="shared" si="173"/>
        <v>#VALUE!</v>
      </c>
    </row>
    <row r="1434" spans="55:66" x14ac:dyDescent="0.2">
      <c r="BC1434" s="21" t="e" vm="1">
        <v>#REF!</v>
      </c>
      <c r="BD1434" t="e" vm="1">
        <v>#REF!</v>
      </c>
      <c r="BF1434" t="e" vm="2">
        <f t="shared" si="170"/>
        <v>#VALUE!</v>
      </c>
      <c r="BG1434" t="e" vm="2">
        <f t="shared" si="171"/>
        <v>#VALUE!</v>
      </c>
      <c r="BJ1434" s="21" t="e" vm="1">
        <v>#REF!</v>
      </c>
      <c r="BK1434" t="e" vm="1">
        <v>#REF!</v>
      </c>
      <c r="BM1434" t="e" vm="2">
        <f t="shared" si="172"/>
        <v>#VALUE!</v>
      </c>
      <c r="BN1434" t="e" vm="2">
        <f t="shared" si="173"/>
        <v>#VALUE!</v>
      </c>
    </row>
    <row r="1435" spans="55:66" x14ac:dyDescent="0.2">
      <c r="BC1435" s="21" t="e" vm="1">
        <v>#REF!</v>
      </c>
      <c r="BD1435" t="e" vm="1">
        <v>#REF!</v>
      </c>
      <c r="BF1435" t="e" vm="2">
        <f t="shared" si="170"/>
        <v>#VALUE!</v>
      </c>
      <c r="BG1435" t="e" vm="2">
        <f t="shared" si="171"/>
        <v>#VALUE!</v>
      </c>
      <c r="BJ1435" s="21" t="e" vm="1">
        <v>#REF!</v>
      </c>
      <c r="BK1435" t="e" vm="1">
        <v>#REF!</v>
      </c>
      <c r="BM1435" t="e" vm="2">
        <f t="shared" si="172"/>
        <v>#VALUE!</v>
      </c>
      <c r="BN1435" t="e" vm="2">
        <f t="shared" si="173"/>
        <v>#VALUE!</v>
      </c>
    </row>
    <row r="1436" spans="55:66" x14ac:dyDescent="0.2">
      <c r="BC1436" s="21" t="e" vm="1">
        <v>#REF!</v>
      </c>
      <c r="BD1436" t="e" vm="1">
        <v>#REF!</v>
      </c>
      <c r="BF1436" t="e" vm="2">
        <f t="shared" si="170"/>
        <v>#VALUE!</v>
      </c>
      <c r="BG1436" t="e" vm="2">
        <f t="shared" si="171"/>
        <v>#VALUE!</v>
      </c>
      <c r="BJ1436" s="21" t="e" vm="1">
        <v>#REF!</v>
      </c>
      <c r="BK1436" t="e" vm="1">
        <v>#REF!</v>
      </c>
      <c r="BM1436" t="e" vm="2">
        <f t="shared" si="172"/>
        <v>#VALUE!</v>
      </c>
      <c r="BN1436" t="e" vm="2">
        <f t="shared" si="173"/>
        <v>#VALUE!</v>
      </c>
    </row>
    <row r="1437" spans="55:66" x14ac:dyDescent="0.2">
      <c r="BC1437" s="21" t="e" vm="1">
        <v>#REF!</v>
      </c>
      <c r="BD1437" t="e" vm="1">
        <v>#REF!</v>
      </c>
      <c r="BF1437" t="e" vm="2">
        <f t="shared" si="170"/>
        <v>#VALUE!</v>
      </c>
      <c r="BG1437" t="e" vm="2">
        <f t="shared" si="171"/>
        <v>#VALUE!</v>
      </c>
      <c r="BJ1437" s="21" t="e" vm="1">
        <v>#REF!</v>
      </c>
      <c r="BK1437" t="e" vm="1">
        <v>#REF!</v>
      </c>
      <c r="BM1437" t="e" vm="2">
        <f t="shared" si="172"/>
        <v>#VALUE!</v>
      </c>
      <c r="BN1437" t="e" vm="2">
        <f t="shared" si="173"/>
        <v>#VALUE!</v>
      </c>
    </row>
    <row r="1438" spans="55:66" x14ac:dyDescent="0.2">
      <c r="BC1438" s="21" t="e" vm="1">
        <v>#REF!</v>
      </c>
      <c r="BD1438" t="e" vm="1">
        <v>#REF!</v>
      </c>
      <c r="BF1438" t="e" vm="2">
        <f t="shared" si="170"/>
        <v>#VALUE!</v>
      </c>
      <c r="BG1438" t="e" vm="2">
        <f t="shared" si="171"/>
        <v>#VALUE!</v>
      </c>
      <c r="BJ1438" s="21" t="e" vm="1">
        <v>#REF!</v>
      </c>
      <c r="BK1438" t="e" vm="1">
        <v>#REF!</v>
      </c>
      <c r="BM1438" t="e" vm="2">
        <f t="shared" si="172"/>
        <v>#VALUE!</v>
      </c>
      <c r="BN1438" t="e" vm="2">
        <f t="shared" si="173"/>
        <v>#VALUE!</v>
      </c>
    </row>
    <row r="1439" spans="55:66" x14ac:dyDescent="0.2">
      <c r="BC1439" s="21" t="e" vm="1">
        <v>#REF!</v>
      </c>
      <c r="BD1439" t="e" vm="1">
        <v>#REF!</v>
      </c>
      <c r="BF1439" t="e" vm="2">
        <f t="shared" si="170"/>
        <v>#VALUE!</v>
      </c>
      <c r="BG1439" t="e" vm="2">
        <f t="shared" si="171"/>
        <v>#VALUE!</v>
      </c>
      <c r="BJ1439" s="21" t="e" vm="1">
        <v>#REF!</v>
      </c>
      <c r="BK1439" t="e" vm="1">
        <v>#REF!</v>
      </c>
      <c r="BM1439" t="e" vm="2">
        <f t="shared" si="172"/>
        <v>#VALUE!</v>
      </c>
      <c r="BN1439" t="e" vm="2">
        <f t="shared" si="173"/>
        <v>#VALUE!</v>
      </c>
    </row>
    <row r="1440" spans="55:66" x14ac:dyDescent="0.2">
      <c r="BC1440" s="21" t="e" vm="1">
        <v>#REF!</v>
      </c>
      <c r="BD1440" t="e" vm="1">
        <v>#REF!</v>
      </c>
      <c r="BF1440" t="e" vm="2">
        <f t="shared" si="170"/>
        <v>#VALUE!</v>
      </c>
      <c r="BG1440" t="e" vm="2">
        <f t="shared" si="171"/>
        <v>#VALUE!</v>
      </c>
      <c r="BJ1440" s="21" t="e" vm="1">
        <v>#REF!</v>
      </c>
      <c r="BK1440" t="e" vm="1">
        <v>#REF!</v>
      </c>
      <c r="BM1440" t="e" vm="2">
        <f t="shared" si="172"/>
        <v>#VALUE!</v>
      </c>
      <c r="BN1440" t="e" vm="2">
        <f t="shared" si="173"/>
        <v>#VALUE!</v>
      </c>
    </row>
    <row r="1441" spans="55:66" x14ac:dyDescent="0.2">
      <c r="BC1441" s="21" t="e" vm="1">
        <v>#REF!</v>
      </c>
      <c r="BD1441" t="e" vm="1">
        <v>#REF!</v>
      </c>
      <c r="BF1441" t="e" vm="2">
        <f t="shared" si="170"/>
        <v>#VALUE!</v>
      </c>
      <c r="BG1441" t="e" vm="2">
        <f t="shared" si="171"/>
        <v>#VALUE!</v>
      </c>
      <c r="BJ1441" s="21" t="e" vm="1">
        <v>#REF!</v>
      </c>
      <c r="BK1441" t="e" vm="1">
        <v>#REF!</v>
      </c>
      <c r="BM1441" t="e" vm="2">
        <f t="shared" si="172"/>
        <v>#VALUE!</v>
      </c>
      <c r="BN1441" t="e" vm="2">
        <f t="shared" si="173"/>
        <v>#VALUE!</v>
      </c>
    </row>
    <row r="1442" spans="55:66" x14ac:dyDescent="0.2">
      <c r="BC1442" s="21" t="e" vm="1">
        <v>#REF!</v>
      </c>
      <c r="BD1442" t="e" vm="1">
        <v>#REF!</v>
      </c>
      <c r="BF1442" t="e" vm="2">
        <f t="shared" si="170"/>
        <v>#VALUE!</v>
      </c>
      <c r="BG1442" t="e" vm="2">
        <f t="shared" si="171"/>
        <v>#VALUE!</v>
      </c>
      <c r="BJ1442" s="21" t="e" vm="1">
        <v>#REF!</v>
      </c>
      <c r="BK1442" t="e" vm="1">
        <v>#REF!</v>
      </c>
      <c r="BM1442" t="e" vm="2">
        <f t="shared" si="172"/>
        <v>#VALUE!</v>
      </c>
      <c r="BN1442" t="e" vm="2">
        <f t="shared" si="173"/>
        <v>#VALUE!</v>
      </c>
    </row>
    <row r="1443" spans="55:66" x14ac:dyDescent="0.2">
      <c r="BC1443" s="21" t="e" vm="1">
        <v>#REF!</v>
      </c>
      <c r="BD1443" t="e" vm="1">
        <v>#REF!</v>
      </c>
      <c r="BF1443" t="e" vm="2">
        <f t="shared" si="170"/>
        <v>#VALUE!</v>
      </c>
      <c r="BG1443" t="e" vm="2">
        <f t="shared" si="171"/>
        <v>#VALUE!</v>
      </c>
      <c r="BJ1443" s="21" t="e" vm="1">
        <v>#REF!</v>
      </c>
      <c r="BK1443" t="e" vm="1">
        <v>#REF!</v>
      </c>
      <c r="BM1443" t="e" vm="2">
        <f t="shared" si="172"/>
        <v>#VALUE!</v>
      </c>
      <c r="BN1443" t="e" vm="2">
        <f t="shared" si="173"/>
        <v>#VALUE!</v>
      </c>
    </row>
    <row r="1444" spans="55:66" x14ac:dyDescent="0.2">
      <c r="BC1444" s="21" t="e" vm="1">
        <v>#REF!</v>
      </c>
      <c r="BD1444" t="e" vm="1">
        <v>#REF!</v>
      </c>
      <c r="BF1444" t="e" vm="2">
        <f t="shared" si="170"/>
        <v>#VALUE!</v>
      </c>
      <c r="BG1444" t="e" vm="2">
        <f t="shared" si="171"/>
        <v>#VALUE!</v>
      </c>
      <c r="BJ1444" s="21" t="e" vm="1">
        <v>#REF!</v>
      </c>
      <c r="BK1444" t="e" vm="1">
        <v>#REF!</v>
      </c>
      <c r="BM1444" t="e" vm="2">
        <f t="shared" si="172"/>
        <v>#VALUE!</v>
      </c>
      <c r="BN1444" t="e" vm="2">
        <f t="shared" si="173"/>
        <v>#VALUE!</v>
      </c>
    </row>
    <row r="1445" spans="55:66" x14ac:dyDescent="0.2">
      <c r="BC1445" s="21" t="e" vm="1">
        <v>#REF!</v>
      </c>
      <c r="BD1445" t="e" vm="1">
        <v>#REF!</v>
      </c>
      <c r="BF1445" t="e" vm="2">
        <f t="shared" si="170"/>
        <v>#VALUE!</v>
      </c>
      <c r="BG1445" t="e" vm="2">
        <f t="shared" si="171"/>
        <v>#VALUE!</v>
      </c>
      <c r="BJ1445" s="21" t="e" vm="1">
        <v>#REF!</v>
      </c>
      <c r="BK1445" t="e" vm="1">
        <v>#REF!</v>
      </c>
      <c r="BM1445" t="e" vm="2">
        <f t="shared" si="172"/>
        <v>#VALUE!</v>
      </c>
      <c r="BN1445" t="e" vm="2">
        <f t="shared" si="173"/>
        <v>#VALUE!</v>
      </c>
    </row>
    <row r="1446" spans="55:66" x14ac:dyDescent="0.2">
      <c r="BC1446" s="21" t="e" vm="1">
        <v>#REF!</v>
      </c>
      <c r="BD1446" t="e" vm="1">
        <v>#REF!</v>
      </c>
      <c r="BF1446" t="e" vm="2">
        <f t="shared" si="170"/>
        <v>#VALUE!</v>
      </c>
      <c r="BG1446" t="e" vm="2">
        <f t="shared" si="171"/>
        <v>#VALUE!</v>
      </c>
      <c r="BJ1446" s="21" t="e" vm="1">
        <v>#REF!</v>
      </c>
      <c r="BK1446" t="e" vm="1">
        <v>#REF!</v>
      </c>
      <c r="BM1446" t="e" vm="2">
        <f t="shared" si="172"/>
        <v>#VALUE!</v>
      </c>
      <c r="BN1446" t="e" vm="2">
        <f t="shared" si="173"/>
        <v>#VALUE!</v>
      </c>
    </row>
    <row r="1447" spans="55:66" x14ac:dyDescent="0.2">
      <c r="BC1447" s="21" t="e" vm="1">
        <v>#REF!</v>
      </c>
      <c r="BD1447" t="e" vm="1">
        <v>#REF!</v>
      </c>
      <c r="BF1447" t="e" vm="2">
        <f t="shared" si="170"/>
        <v>#VALUE!</v>
      </c>
      <c r="BG1447" t="e" vm="2">
        <f t="shared" si="171"/>
        <v>#VALUE!</v>
      </c>
      <c r="BJ1447" s="21" t="e" vm="1">
        <v>#REF!</v>
      </c>
      <c r="BK1447" t="e" vm="1">
        <v>#REF!</v>
      </c>
      <c r="BM1447" t="e" vm="2">
        <f t="shared" si="172"/>
        <v>#VALUE!</v>
      </c>
      <c r="BN1447" t="e" vm="2">
        <f t="shared" si="173"/>
        <v>#VALUE!</v>
      </c>
    </row>
    <row r="1448" spans="55:66" x14ac:dyDescent="0.2">
      <c r="BC1448" s="21" t="e" vm="1">
        <v>#REF!</v>
      </c>
      <c r="BD1448" t="e" vm="1">
        <v>#REF!</v>
      </c>
      <c r="BF1448" t="e" vm="2">
        <f t="shared" si="170"/>
        <v>#VALUE!</v>
      </c>
      <c r="BG1448" t="e" vm="2">
        <f t="shared" si="171"/>
        <v>#VALUE!</v>
      </c>
      <c r="BJ1448" s="21" t="e" vm="1">
        <v>#REF!</v>
      </c>
      <c r="BK1448" t="e" vm="1">
        <v>#REF!</v>
      </c>
      <c r="BM1448" t="e" vm="2">
        <f t="shared" si="172"/>
        <v>#VALUE!</v>
      </c>
      <c r="BN1448" t="e" vm="2">
        <f t="shared" si="173"/>
        <v>#VALUE!</v>
      </c>
    </row>
    <row r="1449" spans="55:66" x14ac:dyDescent="0.2">
      <c r="BC1449" s="21" t="e" vm="1">
        <v>#REF!</v>
      </c>
      <c r="BD1449" t="e" vm="1">
        <v>#REF!</v>
      </c>
      <c r="BF1449" t="e" vm="2">
        <f t="shared" si="170"/>
        <v>#VALUE!</v>
      </c>
      <c r="BG1449" t="e" vm="2">
        <f t="shared" si="171"/>
        <v>#VALUE!</v>
      </c>
      <c r="BJ1449" s="21" t="e" vm="1">
        <v>#REF!</v>
      </c>
      <c r="BK1449" t="e" vm="1">
        <v>#REF!</v>
      </c>
      <c r="BM1449" t="e" vm="2">
        <f t="shared" si="172"/>
        <v>#VALUE!</v>
      </c>
      <c r="BN1449" t="e" vm="2">
        <f t="shared" si="173"/>
        <v>#VALUE!</v>
      </c>
    </row>
    <row r="1450" spans="55:66" x14ac:dyDescent="0.2">
      <c r="BC1450" s="21" t="e" vm="1">
        <v>#REF!</v>
      </c>
      <c r="BD1450" t="e" vm="1">
        <v>#REF!</v>
      </c>
      <c r="BF1450" t="e" vm="2">
        <f t="shared" si="170"/>
        <v>#VALUE!</v>
      </c>
      <c r="BG1450" t="e" vm="2">
        <f t="shared" si="171"/>
        <v>#VALUE!</v>
      </c>
      <c r="BJ1450" s="21" t="e" vm="1">
        <v>#REF!</v>
      </c>
      <c r="BK1450" t="e" vm="1">
        <v>#REF!</v>
      </c>
      <c r="BM1450" t="e" vm="2">
        <f t="shared" si="172"/>
        <v>#VALUE!</v>
      </c>
      <c r="BN1450" t="e" vm="2">
        <f t="shared" si="173"/>
        <v>#VALUE!</v>
      </c>
    </row>
    <row r="1451" spans="55:66" x14ac:dyDescent="0.2">
      <c r="BC1451" s="21" t="e" vm="1">
        <v>#REF!</v>
      </c>
      <c r="BD1451" t="e" vm="1">
        <v>#REF!</v>
      </c>
      <c r="BF1451" t="e" vm="2">
        <f t="shared" si="170"/>
        <v>#VALUE!</v>
      </c>
      <c r="BG1451" t="e" vm="2">
        <f t="shared" si="171"/>
        <v>#VALUE!</v>
      </c>
      <c r="BJ1451" s="21" t="e" vm="1">
        <v>#REF!</v>
      </c>
      <c r="BK1451" t="e" vm="1">
        <v>#REF!</v>
      </c>
      <c r="BM1451" t="e" vm="2">
        <f t="shared" si="172"/>
        <v>#VALUE!</v>
      </c>
      <c r="BN1451" t="e" vm="2">
        <f t="shared" si="173"/>
        <v>#VALUE!</v>
      </c>
    </row>
    <row r="1452" spans="55:66" x14ac:dyDescent="0.2">
      <c r="BC1452" s="21" t="e" vm="1">
        <v>#REF!</v>
      </c>
      <c r="BD1452" t="e" vm="1">
        <v>#REF!</v>
      </c>
      <c r="BF1452" t="e" vm="2">
        <f t="shared" si="170"/>
        <v>#VALUE!</v>
      </c>
      <c r="BG1452" t="e" vm="2">
        <f t="shared" si="171"/>
        <v>#VALUE!</v>
      </c>
      <c r="BJ1452" s="21" t="e" vm="1">
        <v>#REF!</v>
      </c>
      <c r="BK1452" t="e" vm="1">
        <v>#REF!</v>
      </c>
      <c r="BM1452" t="e" vm="2">
        <f t="shared" si="172"/>
        <v>#VALUE!</v>
      </c>
      <c r="BN1452" t="e" vm="2">
        <f t="shared" si="173"/>
        <v>#VALUE!</v>
      </c>
    </row>
    <row r="1453" spans="55:66" x14ac:dyDescent="0.2">
      <c r="BC1453" s="21" t="e" vm="1">
        <v>#REF!</v>
      </c>
      <c r="BD1453" t="e" vm="1">
        <v>#REF!</v>
      </c>
      <c r="BF1453" t="e" vm="2">
        <f t="shared" si="170"/>
        <v>#VALUE!</v>
      </c>
      <c r="BG1453" t="e" vm="2">
        <f t="shared" si="171"/>
        <v>#VALUE!</v>
      </c>
      <c r="BJ1453" s="21" t="e" vm="1">
        <v>#REF!</v>
      </c>
      <c r="BK1453" t="e" vm="1">
        <v>#REF!</v>
      </c>
      <c r="BM1453" t="e" vm="2">
        <f t="shared" si="172"/>
        <v>#VALUE!</v>
      </c>
      <c r="BN1453" t="e" vm="2">
        <f t="shared" si="173"/>
        <v>#VALUE!</v>
      </c>
    </row>
    <row r="1454" spans="55:66" x14ac:dyDescent="0.2">
      <c r="BC1454" s="21" t="e" vm="1">
        <v>#REF!</v>
      </c>
      <c r="BD1454" t="e" vm="1">
        <v>#REF!</v>
      </c>
      <c r="BF1454" t="e" vm="2">
        <f t="shared" si="170"/>
        <v>#VALUE!</v>
      </c>
      <c r="BG1454" t="e" vm="2">
        <f t="shared" si="171"/>
        <v>#VALUE!</v>
      </c>
      <c r="BJ1454" s="21" t="e" vm="1">
        <v>#REF!</v>
      </c>
      <c r="BK1454" t="e" vm="1">
        <v>#REF!</v>
      </c>
      <c r="BM1454" t="e" vm="2">
        <f t="shared" si="172"/>
        <v>#VALUE!</v>
      </c>
      <c r="BN1454" t="e" vm="2">
        <f t="shared" si="173"/>
        <v>#VALUE!</v>
      </c>
    </row>
    <row r="1455" spans="55:66" x14ac:dyDescent="0.2">
      <c r="BC1455" s="21" t="e" vm="1">
        <v>#REF!</v>
      </c>
      <c r="BD1455" t="e" vm="1">
        <v>#REF!</v>
      </c>
      <c r="BF1455" t="e" vm="2">
        <f t="shared" si="170"/>
        <v>#VALUE!</v>
      </c>
      <c r="BG1455" t="e" vm="2">
        <f t="shared" si="171"/>
        <v>#VALUE!</v>
      </c>
      <c r="BJ1455" s="21" t="e" vm="1">
        <v>#REF!</v>
      </c>
      <c r="BK1455" t="e" vm="1">
        <v>#REF!</v>
      </c>
      <c r="BM1455" t="e" vm="2">
        <f t="shared" si="172"/>
        <v>#VALUE!</v>
      </c>
      <c r="BN1455" t="e" vm="2">
        <f t="shared" si="173"/>
        <v>#VALUE!</v>
      </c>
    </row>
    <row r="1456" spans="55:66" x14ac:dyDescent="0.2">
      <c r="BC1456" s="21" t="e" vm="1">
        <v>#REF!</v>
      </c>
      <c r="BD1456" t="e" vm="1">
        <v>#REF!</v>
      </c>
      <c r="BF1456" t="e" vm="2">
        <f t="shared" si="170"/>
        <v>#VALUE!</v>
      </c>
      <c r="BG1456" t="e" vm="2">
        <f t="shared" si="171"/>
        <v>#VALUE!</v>
      </c>
      <c r="BJ1456" s="21" t="e" vm="1">
        <v>#REF!</v>
      </c>
      <c r="BK1456" t="e" vm="1">
        <v>#REF!</v>
      </c>
      <c r="BM1456" t="e" vm="2">
        <f t="shared" si="172"/>
        <v>#VALUE!</v>
      </c>
      <c r="BN1456" t="e" vm="2">
        <f t="shared" si="173"/>
        <v>#VALUE!</v>
      </c>
    </row>
    <row r="1457" spans="55:66" x14ac:dyDescent="0.2">
      <c r="BC1457" s="21" t="e" vm="1">
        <v>#REF!</v>
      </c>
      <c r="BD1457" t="e" vm="1">
        <v>#REF!</v>
      </c>
      <c r="BF1457" t="e" vm="2">
        <f t="shared" si="170"/>
        <v>#VALUE!</v>
      </c>
      <c r="BG1457" t="e" vm="2">
        <f t="shared" si="171"/>
        <v>#VALUE!</v>
      </c>
      <c r="BJ1457" s="21" t="e" vm="1">
        <v>#REF!</v>
      </c>
      <c r="BK1457" t="e" vm="1">
        <v>#REF!</v>
      </c>
      <c r="BM1457" t="e" vm="2">
        <f t="shared" si="172"/>
        <v>#VALUE!</v>
      </c>
      <c r="BN1457" t="e" vm="2">
        <f t="shared" si="173"/>
        <v>#VALUE!</v>
      </c>
    </row>
    <row r="1458" spans="55:66" x14ac:dyDescent="0.2">
      <c r="BC1458" s="21" t="e" vm="1">
        <v>#REF!</v>
      </c>
      <c r="BD1458" t="e" vm="1">
        <v>#REF!</v>
      </c>
      <c r="BF1458" t="e" vm="2">
        <f t="shared" si="170"/>
        <v>#VALUE!</v>
      </c>
      <c r="BG1458" t="e" vm="2">
        <f t="shared" si="171"/>
        <v>#VALUE!</v>
      </c>
      <c r="BJ1458" s="21" t="e" vm="1">
        <v>#REF!</v>
      </c>
      <c r="BK1458" t="e" vm="1">
        <v>#REF!</v>
      </c>
      <c r="BM1458" t="e" vm="2">
        <f t="shared" si="172"/>
        <v>#VALUE!</v>
      </c>
      <c r="BN1458" t="e" vm="2">
        <f t="shared" si="173"/>
        <v>#VALUE!</v>
      </c>
    </row>
    <row r="1459" spans="55:66" x14ac:dyDescent="0.2">
      <c r="BC1459" s="21" t="e" vm="1">
        <v>#REF!</v>
      </c>
      <c r="BD1459" t="e" vm="1">
        <v>#REF!</v>
      </c>
      <c r="BF1459" t="e" vm="2">
        <f t="shared" si="170"/>
        <v>#VALUE!</v>
      </c>
      <c r="BG1459" t="e" vm="2">
        <f t="shared" si="171"/>
        <v>#VALUE!</v>
      </c>
      <c r="BJ1459" s="21" t="e" vm="1">
        <v>#REF!</v>
      </c>
      <c r="BK1459" t="e" vm="1">
        <v>#REF!</v>
      </c>
      <c r="BM1459" t="e" vm="2">
        <f t="shared" si="172"/>
        <v>#VALUE!</v>
      </c>
      <c r="BN1459" t="e" vm="2">
        <f t="shared" si="173"/>
        <v>#VALUE!</v>
      </c>
    </row>
    <row r="1460" spans="55:66" x14ac:dyDescent="0.2">
      <c r="BC1460" s="21" t="e" vm="1">
        <v>#REF!</v>
      </c>
      <c r="BD1460" t="e" vm="1">
        <v>#REF!</v>
      </c>
      <c r="BF1460" t="e" vm="2">
        <f t="shared" si="170"/>
        <v>#VALUE!</v>
      </c>
      <c r="BG1460" t="e" vm="2">
        <f t="shared" si="171"/>
        <v>#VALUE!</v>
      </c>
      <c r="BJ1460" s="21" t="e" vm="1">
        <v>#REF!</v>
      </c>
      <c r="BK1460" t="e" vm="1">
        <v>#REF!</v>
      </c>
      <c r="BM1460" t="e" vm="2">
        <f t="shared" si="172"/>
        <v>#VALUE!</v>
      </c>
      <c r="BN1460" t="e" vm="2">
        <f t="shared" si="173"/>
        <v>#VALUE!</v>
      </c>
    </row>
    <row r="1461" spans="55:66" x14ac:dyDescent="0.2">
      <c r="BC1461" s="21" t="e" vm="1">
        <v>#REF!</v>
      </c>
      <c r="BD1461" t="e" vm="1">
        <v>#REF!</v>
      </c>
      <c r="BF1461" t="e" vm="2">
        <f t="shared" si="170"/>
        <v>#VALUE!</v>
      </c>
      <c r="BG1461" t="e" vm="2">
        <f t="shared" si="171"/>
        <v>#VALUE!</v>
      </c>
      <c r="BJ1461" s="21" t="e" vm="1">
        <v>#REF!</v>
      </c>
      <c r="BK1461" t="e" vm="1">
        <v>#REF!</v>
      </c>
      <c r="BM1461" t="e" vm="2">
        <f t="shared" si="172"/>
        <v>#VALUE!</v>
      </c>
      <c r="BN1461" t="e" vm="2">
        <f t="shared" si="173"/>
        <v>#VALUE!</v>
      </c>
    </row>
    <row r="1462" spans="55:66" x14ac:dyDescent="0.2">
      <c r="BC1462" s="21" t="e" vm="1">
        <v>#REF!</v>
      </c>
      <c r="BD1462" t="e" vm="1">
        <v>#REF!</v>
      </c>
      <c r="BF1462" t="e" vm="2">
        <f t="shared" si="170"/>
        <v>#VALUE!</v>
      </c>
      <c r="BG1462" t="e" vm="2">
        <f t="shared" si="171"/>
        <v>#VALUE!</v>
      </c>
      <c r="BJ1462" s="21" t="e" vm="1">
        <v>#REF!</v>
      </c>
      <c r="BK1462" t="e" vm="1">
        <v>#REF!</v>
      </c>
      <c r="BM1462" t="e" vm="2">
        <f t="shared" si="172"/>
        <v>#VALUE!</v>
      </c>
      <c r="BN1462" t="e" vm="2">
        <f t="shared" si="173"/>
        <v>#VALUE!</v>
      </c>
    </row>
    <row r="1463" spans="55:66" x14ac:dyDescent="0.2">
      <c r="BC1463" s="21" t="e" vm="1">
        <v>#REF!</v>
      </c>
      <c r="BD1463" t="e" vm="1">
        <v>#REF!</v>
      </c>
      <c r="BF1463" t="e" vm="2">
        <f t="shared" si="170"/>
        <v>#VALUE!</v>
      </c>
      <c r="BG1463" t="e" vm="2">
        <f t="shared" si="171"/>
        <v>#VALUE!</v>
      </c>
      <c r="BJ1463" s="21" t="e" vm="1">
        <v>#REF!</v>
      </c>
      <c r="BK1463" t="e" vm="1">
        <v>#REF!</v>
      </c>
      <c r="BM1463" t="e" vm="2">
        <f t="shared" si="172"/>
        <v>#VALUE!</v>
      </c>
      <c r="BN1463" t="e" vm="2">
        <f t="shared" si="173"/>
        <v>#VALUE!</v>
      </c>
    </row>
    <row r="1464" spans="55:66" x14ac:dyDescent="0.2">
      <c r="BC1464" s="21" t="e" vm="1">
        <v>#REF!</v>
      </c>
      <c r="BD1464" t="e" vm="1">
        <v>#REF!</v>
      </c>
      <c r="BF1464" t="e" vm="2">
        <f t="shared" si="170"/>
        <v>#VALUE!</v>
      </c>
      <c r="BG1464" t="e" vm="2">
        <f t="shared" si="171"/>
        <v>#VALUE!</v>
      </c>
      <c r="BJ1464" s="21" t="e" vm="1">
        <v>#REF!</v>
      </c>
      <c r="BK1464" t="e" vm="1">
        <v>#REF!</v>
      </c>
      <c r="BM1464" t="e" vm="2">
        <f t="shared" si="172"/>
        <v>#VALUE!</v>
      </c>
      <c r="BN1464" t="e" vm="2">
        <f t="shared" si="173"/>
        <v>#VALUE!</v>
      </c>
    </row>
    <row r="1465" spans="55:66" x14ac:dyDescent="0.2">
      <c r="BC1465" s="21" t="e" vm="1">
        <v>#REF!</v>
      </c>
      <c r="BD1465" t="e" vm="1">
        <v>#REF!</v>
      </c>
      <c r="BF1465" t="e" vm="2">
        <f t="shared" si="170"/>
        <v>#VALUE!</v>
      </c>
      <c r="BG1465" t="e" vm="2">
        <f t="shared" si="171"/>
        <v>#VALUE!</v>
      </c>
      <c r="BJ1465" s="21" t="e" vm="1">
        <v>#REF!</v>
      </c>
      <c r="BK1465" t="e" vm="1">
        <v>#REF!</v>
      </c>
      <c r="BM1465" t="e" vm="2">
        <f t="shared" si="172"/>
        <v>#VALUE!</v>
      </c>
      <c r="BN1465" t="e" vm="2">
        <f t="shared" si="173"/>
        <v>#VALUE!</v>
      </c>
    </row>
    <row r="1466" spans="55:66" x14ac:dyDescent="0.2">
      <c r="BC1466" s="21" t="e" vm="1">
        <v>#REF!</v>
      </c>
      <c r="BD1466" t="e" vm="1">
        <v>#REF!</v>
      </c>
      <c r="BF1466" t="e" vm="2">
        <f t="shared" si="170"/>
        <v>#VALUE!</v>
      </c>
      <c r="BG1466" t="e" vm="2">
        <f t="shared" si="171"/>
        <v>#VALUE!</v>
      </c>
      <c r="BJ1466" s="21" t="e" vm="1">
        <v>#REF!</v>
      </c>
      <c r="BK1466" t="e" vm="1">
        <v>#REF!</v>
      </c>
      <c r="BM1466" t="e" vm="2">
        <f t="shared" si="172"/>
        <v>#VALUE!</v>
      </c>
      <c r="BN1466" t="e" vm="2">
        <f t="shared" si="173"/>
        <v>#VALUE!</v>
      </c>
    </row>
    <row r="1467" spans="55:66" x14ac:dyDescent="0.2">
      <c r="BC1467" s="21" t="e" vm="1">
        <v>#REF!</v>
      </c>
      <c r="BD1467" t="e" vm="1">
        <v>#REF!</v>
      </c>
      <c r="BF1467" t="e" vm="2">
        <f t="shared" si="170"/>
        <v>#VALUE!</v>
      </c>
      <c r="BG1467" t="e" vm="2">
        <f t="shared" si="171"/>
        <v>#VALUE!</v>
      </c>
      <c r="BJ1467" s="21" t="e" vm="1">
        <v>#REF!</v>
      </c>
      <c r="BK1467" t="e" vm="1">
        <v>#REF!</v>
      </c>
      <c r="BM1467" t="e" vm="2">
        <f t="shared" si="172"/>
        <v>#VALUE!</v>
      </c>
      <c r="BN1467" t="e" vm="2">
        <f t="shared" si="173"/>
        <v>#VALUE!</v>
      </c>
    </row>
    <row r="1468" spans="55:66" x14ac:dyDescent="0.2">
      <c r="BC1468" s="21" t="e" vm="1">
        <v>#REF!</v>
      </c>
      <c r="BD1468" t="e" vm="1">
        <v>#REF!</v>
      </c>
      <c r="BF1468" t="e" vm="2">
        <f t="shared" si="170"/>
        <v>#VALUE!</v>
      </c>
      <c r="BG1468" t="e" vm="2">
        <f t="shared" si="171"/>
        <v>#VALUE!</v>
      </c>
      <c r="BJ1468" s="21" t="e" vm="1">
        <v>#REF!</v>
      </c>
      <c r="BK1468" t="e" vm="1">
        <v>#REF!</v>
      </c>
      <c r="BM1468" t="e" vm="2">
        <f t="shared" si="172"/>
        <v>#VALUE!</v>
      </c>
      <c r="BN1468" t="e" vm="2">
        <f t="shared" si="173"/>
        <v>#VALUE!</v>
      </c>
    </row>
    <row r="1469" spans="55:66" x14ac:dyDescent="0.2">
      <c r="BC1469" s="21" t="e" vm="1">
        <v>#REF!</v>
      </c>
      <c r="BD1469" t="e" vm="1">
        <v>#REF!</v>
      </c>
      <c r="BF1469" t="e" vm="2">
        <f t="shared" si="170"/>
        <v>#VALUE!</v>
      </c>
      <c r="BG1469" t="e" vm="2">
        <f t="shared" si="171"/>
        <v>#VALUE!</v>
      </c>
      <c r="BJ1469" s="21" t="e" vm="1">
        <v>#REF!</v>
      </c>
      <c r="BK1469" t="e" vm="1">
        <v>#REF!</v>
      </c>
      <c r="BM1469" t="e" vm="2">
        <f t="shared" si="172"/>
        <v>#VALUE!</v>
      </c>
      <c r="BN1469" t="e" vm="2">
        <f t="shared" si="173"/>
        <v>#VALUE!</v>
      </c>
    </row>
    <row r="1470" spans="55:66" x14ac:dyDescent="0.2">
      <c r="BC1470" s="21" t="e" vm="1">
        <v>#REF!</v>
      </c>
      <c r="BD1470" t="e" vm="1">
        <v>#REF!</v>
      </c>
      <c r="BF1470" t="e" vm="2">
        <f t="shared" si="170"/>
        <v>#VALUE!</v>
      </c>
      <c r="BG1470" t="e" vm="2">
        <f t="shared" si="171"/>
        <v>#VALUE!</v>
      </c>
      <c r="BJ1470" s="21" t="e" vm="1">
        <v>#REF!</v>
      </c>
      <c r="BK1470" t="e" vm="1">
        <v>#REF!</v>
      </c>
      <c r="BM1470" t="e" vm="2">
        <f t="shared" si="172"/>
        <v>#VALUE!</v>
      </c>
      <c r="BN1470" t="e" vm="2">
        <f t="shared" si="173"/>
        <v>#VALUE!</v>
      </c>
    </row>
    <row r="1471" spans="55:66" x14ac:dyDescent="0.2">
      <c r="BC1471" s="21" t="e" vm="1">
        <v>#REF!</v>
      </c>
      <c r="BD1471" t="e" vm="1">
        <v>#REF!</v>
      </c>
      <c r="BF1471" t="e" vm="2">
        <f t="shared" si="170"/>
        <v>#VALUE!</v>
      </c>
      <c r="BG1471" t="e" vm="2">
        <f t="shared" si="171"/>
        <v>#VALUE!</v>
      </c>
      <c r="BJ1471" s="21" t="e" vm="1">
        <v>#REF!</v>
      </c>
      <c r="BK1471" t="e" vm="1">
        <v>#REF!</v>
      </c>
      <c r="BM1471" t="e" vm="2">
        <f t="shared" si="172"/>
        <v>#VALUE!</v>
      </c>
      <c r="BN1471" t="e" vm="2">
        <f t="shared" si="173"/>
        <v>#VALUE!</v>
      </c>
    </row>
    <row r="1472" spans="55:66" x14ac:dyDescent="0.2">
      <c r="BC1472" s="21" t="e" vm="1">
        <v>#REF!</v>
      </c>
      <c r="BD1472" t="e" vm="1">
        <v>#REF!</v>
      </c>
      <c r="BF1472" t="e" vm="2">
        <f t="shared" si="170"/>
        <v>#VALUE!</v>
      </c>
      <c r="BG1472" t="e" vm="2">
        <f t="shared" si="171"/>
        <v>#VALUE!</v>
      </c>
      <c r="BJ1472" s="21" t="e" vm="1">
        <v>#REF!</v>
      </c>
      <c r="BK1472" t="e" vm="1">
        <v>#REF!</v>
      </c>
      <c r="BM1472" t="e" vm="2">
        <f t="shared" si="172"/>
        <v>#VALUE!</v>
      </c>
      <c r="BN1472" t="e" vm="2">
        <f t="shared" si="173"/>
        <v>#VALUE!</v>
      </c>
    </row>
    <row r="1473" spans="55:66" x14ac:dyDescent="0.2">
      <c r="BC1473" s="21" t="e" vm="1">
        <v>#REF!</v>
      </c>
      <c r="BD1473" t="e" vm="1">
        <v>#REF!</v>
      </c>
      <c r="BF1473" t="e" vm="2">
        <f t="shared" si="170"/>
        <v>#VALUE!</v>
      </c>
      <c r="BG1473" t="e" vm="2">
        <f t="shared" si="171"/>
        <v>#VALUE!</v>
      </c>
      <c r="BJ1473" s="21" t="e" vm="1">
        <v>#REF!</v>
      </c>
      <c r="BK1473" t="e" vm="1">
        <v>#REF!</v>
      </c>
      <c r="BM1473" t="e" vm="2">
        <f t="shared" si="172"/>
        <v>#VALUE!</v>
      </c>
      <c r="BN1473" t="e" vm="2">
        <f t="shared" si="173"/>
        <v>#VALUE!</v>
      </c>
    </row>
    <row r="1474" spans="55:66" x14ac:dyDescent="0.2">
      <c r="BC1474" s="21" t="e" vm="1">
        <v>#REF!</v>
      </c>
      <c r="BD1474" t="e" vm="1">
        <v>#REF!</v>
      </c>
      <c r="BF1474" t="e" vm="2">
        <f t="shared" si="170"/>
        <v>#VALUE!</v>
      </c>
      <c r="BG1474" t="e" vm="2">
        <f t="shared" si="171"/>
        <v>#VALUE!</v>
      </c>
      <c r="BJ1474" s="21" t="e" vm="1">
        <v>#REF!</v>
      </c>
      <c r="BK1474" t="e" vm="1">
        <v>#REF!</v>
      </c>
      <c r="BM1474" t="e" vm="2">
        <f t="shared" si="172"/>
        <v>#VALUE!</v>
      </c>
      <c r="BN1474" t="e" vm="2">
        <f t="shared" si="173"/>
        <v>#VALUE!</v>
      </c>
    </row>
    <row r="1475" spans="55:66" x14ac:dyDescent="0.2">
      <c r="BC1475" s="21" t="e" vm="1">
        <v>#REF!</v>
      </c>
      <c r="BD1475" t="e" vm="1">
        <v>#REF!</v>
      </c>
      <c r="BF1475" t="e" vm="2">
        <f t="shared" ref="BF1475:BF1538" si="174">MONTH(BC1475)</f>
        <v>#VALUE!</v>
      </c>
      <c r="BG1475" t="e" vm="2">
        <f t="shared" ref="BG1475:BG1538" si="175">YEAR(BC1475)</f>
        <v>#VALUE!</v>
      </c>
      <c r="BJ1475" s="21" t="e" vm="1">
        <v>#REF!</v>
      </c>
      <c r="BK1475" t="e" vm="1">
        <v>#REF!</v>
      </c>
      <c r="BM1475" t="e" vm="2">
        <f t="shared" si="172"/>
        <v>#VALUE!</v>
      </c>
      <c r="BN1475" t="e" vm="2">
        <f t="shared" si="173"/>
        <v>#VALUE!</v>
      </c>
    </row>
    <row r="1476" spans="55:66" x14ac:dyDescent="0.2">
      <c r="BC1476" s="21" t="e" vm="1">
        <v>#REF!</v>
      </c>
      <c r="BD1476" t="e" vm="1">
        <v>#REF!</v>
      </c>
      <c r="BF1476" t="e" vm="2">
        <f t="shared" si="174"/>
        <v>#VALUE!</v>
      </c>
      <c r="BG1476" t="e" vm="2">
        <f t="shared" si="175"/>
        <v>#VALUE!</v>
      </c>
      <c r="BJ1476" s="21" t="e" vm="1">
        <v>#REF!</v>
      </c>
      <c r="BK1476" t="e" vm="1">
        <v>#REF!</v>
      </c>
      <c r="BM1476" t="e" vm="2">
        <f t="shared" ref="BM1476:BM1539" si="176">MONTH(BJ1476)</f>
        <v>#VALUE!</v>
      </c>
      <c r="BN1476" t="e" vm="2">
        <f t="shared" ref="BN1476:BN1539" si="177">YEAR(BJ1476)</f>
        <v>#VALUE!</v>
      </c>
    </row>
    <row r="1477" spans="55:66" x14ac:dyDescent="0.2">
      <c r="BC1477" s="21" t="e" vm="1">
        <v>#REF!</v>
      </c>
      <c r="BD1477" t="e" vm="1">
        <v>#REF!</v>
      </c>
      <c r="BF1477" t="e" vm="2">
        <f t="shared" si="174"/>
        <v>#VALUE!</v>
      </c>
      <c r="BG1477" t="e" vm="2">
        <f t="shared" si="175"/>
        <v>#VALUE!</v>
      </c>
      <c r="BJ1477" s="21" t="e" vm="1">
        <v>#REF!</v>
      </c>
      <c r="BK1477" t="e" vm="1">
        <v>#REF!</v>
      </c>
      <c r="BM1477" t="e" vm="2">
        <f t="shared" si="176"/>
        <v>#VALUE!</v>
      </c>
      <c r="BN1477" t="e" vm="2">
        <f t="shared" si="177"/>
        <v>#VALUE!</v>
      </c>
    </row>
    <row r="1478" spans="55:66" x14ac:dyDescent="0.2">
      <c r="BC1478" s="21" t="e" vm="1">
        <v>#REF!</v>
      </c>
      <c r="BD1478" t="e" vm="1">
        <v>#REF!</v>
      </c>
      <c r="BF1478" t="e" vm="2">
        <f t="shared" si="174"/>
        <v>#VALUE!</v>
      </c>
      <c r="BG1478" t="e" vm="2">
        <f t="shared" si="175"/>
        <v>#VALUE!</v>
      </c>
      <c r="BJ1478" s="21" t="e" vm="1">
        <v>#REF!</v>
      </c>
      <c r="BK1478" t="e" vm="1">
        <v>#REF!</v>
      </c>
      <c r="BM1478" t="e" vm="2">
        <f t="shared" si="176"/>
        <v>#VALUE!</v>
      </c>
      <c r="BN1478" t="e" vm="2">
        <f t="shared" si="177"/>
        <v>#VALUE!</v>
      </c>
    </row>
    <row r="1479" spans="55:66" x14ac:dyDescent="0.2">
      <c r="BC1479" s="21" t="e" vm="1">
        <v>#REF!</v>
      </c>
      <c r="BD1479" t="e" vm="1">
        <v>#REF!</v>
      </c>
      <c r="BF1479" t="e" vm="2">
        <f t="shared" si="174"/>
        <v>#VALUE!</v>
      </c>
      <c r="BG1479" t="e" vm="2">
        <f t="shared" si="175"/>
        <v>#VALUE!</v>
      </c>
      <c r="BJ1479" s="21" t="e" vm="1">
        <v>#REF!</v>
      </c>
      <c r="BK1479" t="e" vm="1">
        <v>#REF!</v>
      </c>
      <c r="BM1479" t="e" vm="2">
        <f t="shared" si="176"/>
        <v>#VALUE!</v>
      </c>
      <c r="BN1479" t="e" vm="2">
        <f t="shared" si="177"/>
        <v>#VALUE!</v>
      </c>
    </row>
    <row r="1480" spans="55:66" x14ac:dyDescent="0.2">
      <c r="BC1480" s="21" t="e" vm="1">
        <v>#REF!</v>
      </c>
      <c r="BD1480" t="e" vm="1">
        <v>#REF!</v>
      </c>
      <c r="BF1480" t="e" vm="2">
        <f t="shared" si="174"/>
        <v>#VALUE!</v>
      </c>
      <c r="BG1480" t="e" vm="2">
        <f t="shared" si="175"/>
        <v>#VALUE!</v>
      </c>
      <c r="BJ1480" s="21" t="e" vm="1">
        <v>#REF!</v>
      </c>
      <c r="BK1480" t="e" vm="1">
        <v>#REF!</v>
      </c>
      <c r="BM1480" t="e" vm="2">
        <f t="shared" si="176"/>
        <v>#VALUE!</v>
      </c>
      <c r="BN1480" t="e" vm="2">
        <f t="shared" si="177"/>
        <v>#VALUE!</v>
      </c>
    </row>
    <row r="1481" spans="55:66" x14ac:dyDescent="0.2">
      <c r="BC1481" s="21" t="e" vm="1">
        <v>#REF!</v>
      </c>
      <c r="BD1481" t="e" vm="1">
        <v>#REF!</v>
      </c>
      <c r="BF1481" t="e" vm="2">
        <f t="shared" si="174"/>
        <v>#VALUE!</v>
      </c>
      <c r="BG1481" t="e" vm="2">
        <f t="shared" si="175"/>
        <v>#VALUE!</v>
      </c>
      <c r="BJ1481" s="21" t="e" vm="1">
        <v>#REF!</v>
      </c>
      <c r="BK1481" t="e" vm="1">
        <v>#REF!</v>
      </c>
      <c r="BM1481" t="e" vm="2">
        <f t="shared" si="176"/>
        <v>#VALUE!</v>
      </c>
      <c r="BN1481" t="e" vm="2">
        <f t="shared" si="177"/>
        <v>#VALUE!</v>
      </c>
    </row>
    <row r="1482" spans="55:66" x14ac:dyDescent="0.2">
      <c r="BC1482" s="21" t="e" vm="1">
        <v>#REF!</v>
      </c>
      <c r="BD1482" t="e" vm="1">
        <v>#REF!</v>
      </c>
      <c r="BF1482" t="e" vm="2">
        <f t="shared" si="174"/>
        <v>#VALUE!</v>
      </c>
      <c r="BG1482" t="e" vm="2">
        <f t="shared" si="175"/>
        <v>#VALUE!</v>
      </c>
      <c r="BJ1482" s="21" t="e" vm="1">
        <v>#REF!</v>
      </c>
      <c r="BK1482" t="e" vm="1">
        <v>#REF!</v>
      </c>
      <c r="BM1482" t="e" vm="2">
        <f t="shared" si="176"/>
        <v>#VALUE!</v>
      </c>
      <c r="BN1482" t="e" vm="2">
        <f t="shared" si="177"/>
        <v>#VALUE!</v>
      </c>
    </row>
    <row r="1483" spans="55:66" x14ac:dyDescent="0.2">
      <c r="BC1483" s="21" t="e" vm="1">
        <v>#REF!</v>
      </c>
      <c r="BD1483" t="e" vm="1">
        <v>#REF!</v>
      </c>
      <c r="BF1483" t="e" vm="2">
        <f t="shared" si="174"/>
        <v>#VALUE!</v>
      </c>
      <c r="BG1483" t="e" vm="2">
        <f t="shared" si="175"/>
        <v>#VALUE!</v>
      </c>
      <c r="BJ1483" s="21" t="e" vm="1">
        <v>#REF!</v>
      </c>
      <c r="BK1483" t="e" vm="1">
        <v>#REF!</v>
      </c>
      <c r="BM1483" t="e" vm="2">
        <f t="shared" si="176"/>
        <v>#VALUE!</v>
      </c>
      <c r="BN1483" t="e" vm="2">
        <f t="shared" si="177"/>
        <v>#VALUE!</v>
      </c>
    </row>
    <row r="1484" spans="55:66" x14ac:dyDescent="0.2">
      <c r="BC1484" s="21" t="e" vm="1">
        <v>#REF!</v>
      </c>
      <c r="BD1484" t="e" vm="1">
        <v>#REF!</v>
      </c>
      <c r="BF1484" t="e" vm="2">
        <f t="shared" si="174"/>
        <v>#VALUE!</v>
      </c>
      <c r="BG1484" t="e" vm="2">
        <f t="shared" si="175"/>
        <v>#VALUE!</v>
      </c>
      <c r="BJ1484" s="21" t="e" vm="1">
        <v>#REF!</v>
      </c>
      <c r="BK1484" t="e" vm="1">
        <v>#REF!</v>
      </c>
      <c r="BM1484" t="e" vm="2">
        <f t="shared" si="176"/>
        <v>#VALUE!</v>
      </c>
      <c r="BN1484" t="e" vm="2">
        <f t="shared" si="177"/>
        <v>#VALUE!</v>
      </c>
    </row>
    <row r="1485" spans="55:66" x14ac:dyDescent="0.2">
      <c r="BC1485" s="21" t="e" vm="1">
        <v>#REF!</v>
      </c>
      <c r="BD1485" t="e" vm="1">
        <v>#REF!</v>
      </c>
      <c r="BF1485" t="e" vm="2">
        <f t="shared" si="174"/>
        <v>#VALUE!</v>
      </c>
      <c r="BG1485" t="e" vm="2">
        <f t="shared" si="175"/>
        <v>#VALUE!</v>
      </c>
      <c r="BJ1485" s="21" t="e" vm="1">
        <v>#REF!</v>
      </c>
      <c r="BK1485" t="e" vm="1">
        <v>#REF!</v>
      </c>
      <c r="BM1485" t="e" vm="2">
        <f t="shared" si="176"/>
        <v>#VALUE!</v>
      </c>
      <c r="BN1485" t="e" vm="2">
        <f t="shared" si="177"/>
        <v>#VALUE!</v>
      </c>
    </row>
    <row r="1486" spans="55:66" x14ac:dyDescent="0.2">
      <c r="BC1486" s="21" t="e" vm="1">
        <v>#REF!</v>
      </c>
      <c r="BD1486" t="e" vm="1">
        <v>#REF!</v>
      </c>
      <c r="BF1486" t="e" vm="2">
        <f t="shared" si="174"/>
        <v>#VALUE!</v>
      </c>
      <c r="BG1486" t="e" vm="2">
        <f t="shared" si="175"/>
        <v>#VALUE!</v>
      </c>
      <c r="BJ1486" s="21" t="e" vm="1">
        <v>#REF!</v>
      </c>
      <c r="BK1486" t="e" vm="1">
        <v>#REF!</v>
      </c>
      <c r="BM1486" t="e" vm="2">
        <f t="shared" si="176"/>
        <v>#VALUE!</v>
      </c>
      <c r="BN1486" t="e" vm="2">
        <f t="shared" si="177"/>
        <v>#VALUE!</v>
      </c>
    </row>
    <row r="1487" spans="55:66" x14ac:dyDescent="0.2">
      <c r="BC1487" s="21" t="e" vm="1">
        <v>#REF!</v>
      </c>
      <c r="BD1487" t="e" vm="1">
        <v>#REF!</v>
      </c>
      <c r="BF1487" t="e" vm="2">
        <f t="shared" si="174"/>
        <v>#VALUE!</v>
      </c>
      <c r="BG1487" t="e" vm="2">
        <f t="shared" si="175"/>
        <v>#VALUE!</v>
      </c>
      <c r="BJ1487" s="21" t="e" vm="1">
        <v>#REF!</v>
      </c>
      <c r="BK1487" t="e" vm="1">
        <v>#REF!</v>
      </c>
      <c r="BM1487" t="e" vm="2">
        <f t="shared" si="176"/>
        <v>#VALUE!</v>
      </c>
      <c r="BN1487" t="e" vm="2">
        <f t="shared" si="177"/>
        <v>#VALUE!</v>
      </c>
    </row>
    <row r="1488" spans="55:66" x14ac:dyDescent="0.2">
      <c r="BC1488" s="21" t="e" vm="1">
        <v>#REF!</v>
      </c>
      <c r="BD1488" t="e" vm="1">
        <v>#REF!</v>
      </c>
      <c r="BF1488" t="e" vm="2">
        <f t="shared" si="174"/>
        <v>#VALUE!</v>
      </c>
      <c r="BG1488" t="e" vm="2">
        <f t="shared" si="175"/>
        <v>#VALUE!</v>
      </c>
      <c r="BJ1488" s="21" t="e" vm="1">
        <v>#REF!</v>
      </c>
      <c r="BK1488" t="e" vm="1">
        <v>#REF!</v>
      </c>
      <c r="BM1488" t="e" vm="2">
        <f t="shared" si="176"/>
        <v>#VALUE!</v>
      </c>
      <c r="BN1488" t="e" vm="2">
        <f t="shared" si="177"/>
        <v>#VALUE!</v>
      </c>
    </row>
    <row r="1489" spans="55:66" x14ac:dyDescent="0.2">
      <c r="BC1489" s="21" t="e" vm="1">
        <v>#REF!</v>
      </c>
      <c r="BD1489" t="e" vm="1">
        <v>#REF!</v>
      </c>
      <c r="BF1489" t="e" vm="2">
        <f t="shared" si="174"/>
        <v>#VALUE!</v>
      </c>
      <c r="BG1489" t="e" vm="2">
        <f t="shared" si="175"/>
        <v>#VALUE!</v>
      </c>
      <c r="BJ1489" s="21" t="e" vm="1">
        <v>#REF!</v>
      </c>
      <c r="BK1489" t="e" vm="1">
        <v>#REF!</v>
      </c>
      <c r="BM1489" t="e" vm="2">
        <f t="shared" si="176"/>
        <v>#VALUE!</v>
      </c>
      <c r="BN1489" t="e" vm="2">
        <f t="shared" si="177"/>
        <v>#VALUE!</v>
      </c>
    </row>
    <row r="1490" spans="55:66" x14ac:dyDescent="0.2">
      <c r="BC1490" s="21" t="e" vm="1">
        <v>#REF!</v>
      </c>
      <c r="BD1490" t="e" vm="1">
        <v>#REF!</v>
      </c>
      <c r="BF1490" t="e" vm="2">
        <f t="shared" si="174"/>
        <v>#VALUE!</v>
      </c>
      <c r="BG1490" t="e" vm="2">
        <f t="shared" si="175"/>
        <v>#VALUE!</v>
      </c>
      <c r="BJ1490" s="21" t="e" vm="1">
        <v>#REF!</v>
      </c>
      <c r="BK1490" t="e" vm="1">
        <v>#REF!</v>
      </c>
      <c r="BM1490" t="e" vm="2">
        <f t="shared" si="176"/>
        <v>#VALUE!</v>
      </c>
      <c r="BN1490" t="e" vm="2">
        <f t="shared" si="177"/>
        <v>#VALUE!</v>
      </c>
    </row>
    <row r="1491" spans="55:66" x14ac:dyDescent="0.2">
      <c r="BC1491" s="21" t="e" vm="1">
        <v>#REF!</v>
      </c>
      <c r="BD1491" t="e" vm="1">
        <v>#REF!</v>
      </c>
      <c r="BF1491" t="e" vm="2">
        <f t="shared" si="174"/>
        <v>#VALUE!</v>
      </c>
      <c r="BG1491" t="e" vm="2">
        <f t="shared" si="175"/>
        <v>#VALUE!</v>
      </c>
      <c r="BJ1491" s="21" t="e" vm="1">
        <v>#REF!</v>
      </c>
      <c r="BK1491" t="e" vm="1">
        <v>#REF!</v>
      </c>
      <c r="BM1491" t="e" vm="2">
        <f t="shared" si="176"/>
        <v>#VALUE!</v>
      </c>
      <c r="BN1491" t="e" vm="2">
        <f t="shared" si="177"/>
        <v>#VALUE!</v>
      </c>
    </row>
    <row r="1492" spans="55:66" x14ac:dyDescent="0.2">
      <c r="BC1492" s="21" t="e" vm="1">
        <v>#REF!</v>
      </c>
      <c r="BD1492" t="e" vm="1">
        <v>#REF!</v>
      </c>
      <c r="BF1492" t="e" vm="2">
        <f t="shared" si="174"/>
        <v>#VALUE!</v>
      </c>
      <c r="BG1492" t="e" vm="2">
        <f t="shared" si="175"/>
        <v>#VALUE!</v>
      </c>
      <c r="BJ1492" s="21" t="e" vm="1">
        <v>#REF!</v>
      </c>
      <c r="BK1492" t="e" vm="1">
        <v>#REF!</v>
      </c>
      <c r="BM1492" t="e" vm="2">
        <f t="shared" si="176"/>
        <v>#VALUE!</v>
      </c>
      <c r="BN1492" t="e" vm="2">
        <f t="shared" si="177"/>
        <v>#VALUE!</v>
      </c>
    </row>
    <row r="1493" spans="55:66" x14ac:dyDescent="0.2">
      <c r="BC1493" s="21" t="e" vm="1">
        <v>#REF!</v>
      </c>
      <c r="BD1493" t="e" vm="1">
        <v>#REF!</v>
      </c>
      <c r="BF1493" t="e" vm="2">
        <f t="shared" si="174"/>
        <v>#VALUE!</v>
      </c>
      <c r="BG1493" t="e" vm="2">
        <f t="shared" si="175"/>
        <v>#VALUE!</v>
      </c>
      <c r="BJ1493" s="21" t="e" vm="1">
        <v>#REF!</v>
      </c>
      <c r="BK1493" t="e" vm="1">
        <v>#REF!</v>
      </c>
      <c r="BM1493" t="e" vm="2">
        <f t="shared" si="176"/>
        <v>#VALUE!</v>
      </c>
      <c r="BN1493" t="e" vm="2">
        <f t="shared" si="177"/>
        <v>#VALUE!</v>
      </c>
    </row>
    <row r="1494" spans="55:66" x14ac:dyDescent="0.2">
      <c r="BC1494" s="21" t="e" vm="1">
        <v>#REF!</v>
      </c>
      <c r="BD1494" t="e" vm="1">
        <v>#REF!</v>
      </c>
      <c r="BF1494" t="e" vm="2">
        <f t="shared" si="174"/>
        <v>#VALUE!</v>
      </c>
      <c r="BG1494" t="e" vm="2">
        <f t="shared" si="175"/>
        <v>#VALUE!</v>
      </c>
      <c r="BJ1494" s="21" t="e" vm="1">
        <v>#REF!</v>
      </c>
      <c r="BK1494" t="e" vm="1">
        <v>#REF!</v>
      </c>
      <c r="BM1494" t="e" vm="2">
        <f t="shared" si="176"/>
        <v>#VALUE!</v>
      </c>
      <c r="BN1494" t="e" vm="2">
        <f t="shared" si="177"/>
        <v>#VALUE!</v>
      </c>
    </row>
    <row r="1495" spans="55:66" x14ac:dyDescent="0.2">
      <c r="BC1495" s="21" t="e" vm="1">
        <v>#REF!</v>
      </c>
      <c r="BD1495" t="e" vm="1">
        <v>#REF!</v>
      </c>
      <c r="BF1495" t="e" vm="2">
        <f t="shared" si="174"/>
        <v>#VALUE!</v>
      </c>
      <c r="BG1495" t="e" vm="2">
        <f t="shared" si="175"/>
        <v>#VALUE!</v>
      </c>
      <c r="BJ1495" s="21" t="e" vm="1">
        <v>#REF!</v>
      </c>
      <c r="BK1495" t="e" vm="1">
        <v>#REF!</v>
      </c>
      <c r="BM1495" t="e" vm="2">
        <f t="shared" si="176"/>
        <v>#VALUE!</v>
      </c>
      <c r="BN1495" t="e" vm="2">
        <f t="shared" si="177"/>
        <v>#VALUE!</v>
      </c>
    </row>
    <row r="1496" spans="55:66" x14ac:dyDescent="0.2">
      <c r="BC1496" s="21" t="e" vm="1">
        <v>#REF!</v>
      </c>
      <c r="BD1496" t="e" vm="1">
        <v>#REF!</v>
      </c>
      <c r="BF1496" t="e" vm="2">
        <f t="shared" si="174"/>
        <v>#VALUE!</v>
      </c>
      <c r="BG1496" t="e" vm="2">
        <f t="shared" si="175"/>
        <v>#VALUE!</v>
      </c>
      <c r="BJ1496" s="21" t="e" vm="1">
        <v>#REF!</v>
      </c>
      <c r="BK1496" t="e" vm="1">
        <v>#REF!</v>
      </c>
      <c r="BM1496" t="e" vm="2">
        <f t="shared" si="176"/>
        <v>#VALUE!</v>
      </c>
      <c r="BN1496" t="e" vm="2">
        <f t="shared" si="177"/>
        <v>#VALUE!</v>
      </c>
    </row>
    <row r="1497" spans="55:66" x14ac:dyDescent="0.2">
      <c r="BC1497" s="21" t="e" vm="1">
        <v>#REF!</v>
      </c>
      <c r="BD1497" t="e" vm="1">
        <v>#REF!</v>
      </c>
      <c r="BF1497" t="e" vm="2">
        <f t="shared" si="174"/>
        <v>#VALUE!</v>
      </c>
      <c r="BG1497" t="e" vm="2">
        <f t="shared" si="175"/>
        <v>#VALUE!</v>
      </c>
      <c r="BJ1497" s="21" t="e" vm="1">
        <v>#REF!</v>
      </c>
      <c r="BK1497" t="e" vm="1">
        <v>#REF!</v>
      </c>
      <c r="BM1497" t="e" vm="2">
        <f t="shared" si="176"/>
        <v>#VALUE!</v>
      </c>
      <c r="BN1497" t="e" vm="2">
        <f t="shared" si="177"/>
        <v>#VALUE!</v>
      </c>
    </row>
    <row r="1498" spans="55:66" x14ac:dyDescent="0.2">
      <c r="BC1498" s="21" t="e" vm="1">
        <v>#REF!</v>
      </c>
      <c r="BD1498" t="e" vm="1">
        <v>#REF!</v>
      </c>
      <c r="BF1498" t="e" vm="2">
        <f t="shared" si="174"/>
        <v>#VALUE!</v>
      </c>
      <c r="BG1498" t="e" vm="2">
        <f t="shared" si="175"/>
        <v>#VALUE!</v>
      </c>
      <c r="BJ1498" s="21" t="e" vm="1">
        <v>#REF!</v>
      </c>
      <c r="BK1498" t="e" vm="1">
        <v>#REF!</v>
      </c>
      <c r="BM1498" t="e" vm="2">
        <f t="shared" si="176"/>
        <v>#VALUE!</v>
      </c>
      <c r="BN1498" t="e" vm="2">
        <f t="shared" si="177"/>
        <v>#VALUE!</v>
      </c>
    </row>
    <row r="1499" spans="55:66" x14ac:dyDescent="0.2">
      <c r="BC1499" s="21" t="e" vm="1">
        <v>#REF!</v>
      </c>
      <c r="BD1499" t="e" vm="1">
        <v>#REF!</v>
      </c>
      <c r="BF1499" t="e" vm="2">
        <f t="shared" si="174"/>
        <v>#VALUE!</v>
      </c>
      <c r="BG1499" t="e" vm="2">
        <f t="shared" si="175"/>
        <v>#VALUE!</v>
      </c>
      <c r="BJ1499" s="21" t="e" vm="1">
        <v>#REF!</v>
      </c>
      <c r="BK1499" t="e" vm="1">
        <v>#REF!</v>
      </c>
      <c r="BM1499" t="e" vm="2">
        <f t="shared" si="176"/>
        <v>#VALUE!</v>
      </c>
      <c r="BN1499" t="e" vm="2">
        <f t="shared" si="177"/>
        <v>#VALUE!</v>
      </c>
    </row>
    <row r="1500" spans="55:66" x14ac:dyDescent="0.2">
      <c r="BC1500" s="21" t="e" vm="1">
        <v>#REF!</v>
      </c>
      <c r="BD1500" t="e" vm="1">
        <v>#REF!</v>
      </c>
      <c r="BF1500" t="e" vm="2">
        <f t="shared" si="174"/>
        <v>#VALUE!</v>
      </c>
      <c r="BG1500" t="e" vm="2">
        <f t="shared" si="175"/>
        <v>#VALUE!</v>
      </c>
      <c r="BJ1500" s="21" t="e" vm="1">
        <v>#REF!</v>
      </c>
      <c r="BK1500" t="e" vm="1">
        <v>#REF!</v>
      </c>
      <c r="BM1500" t="e" vm="2">
        <f t="shared" si="176"/>
        <v>#VALUE!</v>
      </c>
      <c r="BN1500" t="e" vm="2">
        <f t="shared" si="177"/>
        <v>#VALUE!</v>
      </c>
    </row>
    <row r="1501" spans="55:66" x14ac:dyDescent="0.2">
      <c r="BC1501" s="21" t="e" vm="1">
        <v>#REF!</v>
      </c>
      <c r="BD1501" t="e" vm="1">
        <v>#REF!</v>
      </c>
      <c r="BF1501" t="e" vm="2">
        <f t="shared" si="174"/>
        <v>#VALUE!</v>
      </c>
      <c r="BG1501" t="e" vm="2">
        <f t="shared" si="175"/>
        <v>#VALUE!</v>
      </c>
      <c r="BJ1501" s="21" t="e" vm="1">
        <v>#REF!</v>
      </c>
      <c r="BK1501" t="e" vm="1">
        <v>#REF!</v>
      </c>
      <c r="BM1501" t="e" vm="2">
        <f t="shared" si="176"/>
        <v>#VALUE!</v>
      </c>
      <c r="BN1501" t="e" vm="2">
        <f t="shared" si="177"/>
        <v>#VALUE!</v>
      </c>
    </row>
    <row r="1502" spans="55:66" x14ac:dyDescent="0.2">
      <c r="BC1502" s="21" t="e" vm="1">
        <v>#REF!</v>
      </c>
      <c r="BD1502" t="e" vm="1">
        <v>#REF!</v>
      </c>
      <c r="BF1502" t="e" vm="2">
        <f t="shared" si="174"/>
        <v>#VALUE!</v>
      </c>
      <c r="BG1502" t="e" vm="2">
        <f t="shared" si="175"/>
        <v>#VALUE!</v>
      </c>
      <c r="BJ1502" s="21" t="e" vm="1">
        <v>#REF!</v>
      </c>
      <c r="BK1502" t="e" vm="1">
        <v>#REF!</v>
      </c>
      <c r="BM1502" t="e" vm="2">
        <f t="shared" si="176"/>
        <v>#VALUE!</v>
      </c>
      <c r="BN1502" t="e" vm="2">
        <f t="shared" si="177"/>
        <v>#VALUE!</v>
      </c>
    </row>
    <row r="1503" spans="55:66" x14ac:dyDescent="0.2">
      <c r="BC1503" s="21" t="e" vm="1">
        <v>#REF!</v>
      </c>
      <c r="BD1503" t="e" vm="1">
        <v>#REF!</v>
      </c>
      <c r="BF1503" t="e" vm="2">
        <f t="shared" si="174"/>
        <v>#VALUE!</v>
      </c>
      <c r="BG1503" t="e" vm="2">
        <f t="shared" si="175"/>
        <v>#VALUE!</v>
      </c>
      <c r="BJ1503" s="21" t="e" vm="1">
        <v>#REF!</v>
      </c>
      <c r="BK1503" t="e" vm="1">
        <v>#REF!</v>
      </c>
      <c r="BM1503" t="e" vm="2">
        <f t="shared" si="176"/>
        <v>#VALUE!</v>
      </c>
      <c r="BN1503" t="e" vm="2">
        <f t="shared" si="177"/>
        <v>#VALUE!</v>
      </c>
    </row>
    <row r="1504" spans="55:66" x14ac:dyDescent="0.2">
      <c r="BC1504" s="21" t="e" vm="1">
        <v>#REF!</v>
      </c>
      <c r="BD1504" t="e" vm="1">
        <v>#REF!</v>
      </c>
      <c r="BF1504" t="e" vm="2">
        <f t="shared" si="174"/>
        <v>#VALUE!</v>
      </c>
      <c r="BG1504" t="e" vm="2">
        <f t="shared" si="175"/>
        <v>#VALUE!</v>
      </c>
      <c r="BJ1504" s="21" t="e" vm="1">
        <v>#REF!</v>
      </c>
      <c r="BK1504" t="e" vm="1">
        <v>#REF!</v>
      </c>
      <c r="BM1504" t="e" vm="2">
        <f t="shared" si="176"/>
        <v>#VALUE!</v>
      </c>
      <c r="BN1504" t="e" vm="2">
        <f t="shared" si="177"/>
        <v>#VALUE!</v>
      </c>
    </row>
    <row r="1505" spans="55:66" x14ac:dyDescent="0.2">
      <c r="BC1505" s="21" t="e" vm="1">
        <v>#REF!</v>
      </c>
      <c r="BD1505" t="e" vm="1">
        <v>#REF!</v>
      </c>
      <c r="BF1505" t="e" vm="2">
        <f t="shared" si="174"/>
        <v>#VALUE!</v>
      </c>
      <c r="BG1505" t="e" vm="2">
        <f t="shared" si="175"/>
        <v>#VALUE!</v>
      </c>
      <c r="BJ1505" s="21" t="e" vm="1">
        <v>#REF!</v>
      </c>
      <c r="BK1505" t="e" vm="1">
        <v>#REF!</v>
      </c>
      <c r="BM1505" t="e" vm="2">
        <f t="shared" si="176"/>
        <v>#VALUE!</v>
      </c>
      <c r="BN1505" t="e" vm="2">
        <f t="shared" si="177"/>
        <v>#VALUE!</v>
      </c>
    </row>
    <row r="1506" spans="55:66" x14ac:dyDescent="0.2">
      <c r="BC1506" s="21" t="e" vm="1">
        <v>#REF!</v>
      </c>
      <c r="BD1506" t="e" vm="1">
        <v>#REF!</v>
      </c>
      <c r="BF1506" t="e" vm="2">
        <f t="shared" si="174"/>
        <v>#VALUE!</v>
      </c>
      <c r="BG1506" t="e" vm="2">
        <f t="shared" si="175"/>
        <v>#VALUE!</v>
      </c>
      <c r="BJ1506" s="21" t="e" vm="1">
        <v>#REF!</v>
      </c>
      <c r="BK1506" t="e" vm="1">
        <v>#REF!</v>
      </c>
      <c r="BM1506" t="e" vm="2">
        <f t="shared" si="176"/>
        <v>#VALUE!</v>
      </c>
      <c r="BN1506" t="e" vm="2">
        <f t="shared" si="177"/>
        <v>#VALUE!</v>
      </c>
    </row>
    <row r="1507" spans="55:66" x14ac:dyDescent="0.2">
      <c r="BC1507" s="21" t="e" vm="1">
        <v>#REF!</v>
      </c>
      <c r="BD1507" t="e" vm="1">
        <v>#REF!</v>
      </c>
      <c r="BF1507" t="e" vm="2">
        <f t="shared" si="174"/>
        <v>#VALUE!</v>
      </c>
      <c r="BG1507" t="e" vm="2">
        <f t="shared" si="175"/>
        <v>#VALUE!</v>
      </c>
      <c r="BJ1507" s="21" t="e" vm="1">
        <v>#REF!</v>
      </c>
      <c r="BK1507" t="e" vm="1">
        <v>#REF!</v>
      </c>
      <c r="BM1507" t="e" vm="2">
        <f t="shared" si="176"/>
        <v>#VALUE!</v>
      </c>
      <c r="BN1507" t="e" vm="2">
        <f t="shared" si="177"/>
        <v>#VALUE!</v>
      </c>
    </row>
    <row r="1508" spans="55:66" x14ac:dyDescent="0.2">
      <c r="BC1508" s="21" t="e" vm="1">
        <v>#REF!</v>
      </c>
      <c r="BD1508" t="e" vm="1">
        <v>#REF!</v>
      </c>
      <c r="BF1508" t="e" vm="2">
        <f t="shared" si="174"/>
        <v>#VALUE!</v>
      </c>
      <c r="BG1508" t="e" vm="2">
        <f t="shared" si="175"/>
        <v>#VALUE!</v>
      </c>
      <c r="BJ1508" s="21" t="e" vm="1">
        <v>#REF!</v>
      </c>
      <c r="BK1508" t="e" vm="1">
        <v>#REF!</v>
      </c>
      <c r="BM1508" t="e" vm="2">
        <f t="shared" si="176"/>
        <v>#VALUE!</v>
      </c>
      <c r="BN1508" t="e" vm="2">
        <f t="shared" si="177"/>
        <v>#VALUE!</v>
      </c>
    </row>
    <row r="1509" spans="55:66" x14ac:dyDescent="0.2">
      <c r="BC1509" s="21" t="e" vm="1">
        <v>#REF!</v>
      </c>
      <c r="BD1509" t="e" vm="1">
        <v>#REF!</v>
      </c>
      <c r="BF1509" t="e" vm="2">
        <f t="shared" si="174"/>
        <v>#VALUE!</v>
      </c>
      <c r="BG1509" t="e" vm="2">
        <f t="shared" si="175"/>
        <v>#VALUE!</v>
      </c>
      <c r="BJ1509" s="21" t="e" vm="1">
        <v>#REF!</v>
      </c>
      <c r="BK1509" t="e" vm="1">
        <v>#REF!</v>
      </c>
      <c r="BM1509" t="e" vm="2">
        <f t="shared" si="176"/>
        <v>#VALUE!</v>
      </c>
      <c r="BN1509" t="e" vm="2">
        <f t="shared" si="177"/>
        <v>#VALUE!</v>
      </c>
    </row>
    <row r="1510" spans="55:66" x14ac:dyDescent="0.2">
      <c r="BC1510" s="21" t="e" vm="1">
        <v>#REF!</v>
      </c>
      <c r="BD1510" t="e" vm="1">
        <v>#REF!</v>
      </c>
      <c r="BF1510" t="e" vm="2">
        <f t="shared" si="174"/>
        <v>#VALUE!</v>
      </c>
      <c r="BG1510" t="e" vm="2">
        <f t="shared" si="175"/>
        <v>#VALUE!</v>
      </c>
      <c r="BJ1510" s="21" t="e" vm="1">
        <v>#REF!</v>
      </c>
      <c r="BK1510" t="e" vm="1">
        <v>#REF!</v>
      </c>
      <c r="BM1510" t="e" vm="2">
        <f t="shared" si="176"/>
        <v>#VALUE!</v>
      </c>
      <c r="BN1510" t="e" vm="2">
        <f t="shared" si="177"/>
        <v>#VALUE!</v>
      </c>
    </row>
    <row r="1511" spans="55:66" x14ac:dyDescent="0.2">
      <c r="BC1511" s="21" t="e" vm="1">
        <v>#REF!</v>
      </c>
      <c r="BD1511" t="e" vm="1">
        <v>#REF!</v>
      </c>
      <c r="BF1511" t="e" vm="2">
        <f t="shared" si="174"/>
        <v>#VALUE!</v>
      </c>
      <c r="BG1511" t="e" vm="2">
        <f t="shared" si="175"/>
        <v>#VALUE!</v>
      </c>
      <c r="BJ1511" s="21" t="e" vm="1">
        <v>#REF!</v>
      </c>
      <c r="BK1511" t="e" vm="1">
        <v>#REF!</v>
      </c>
      <c r="BM1511" t="e" vm="2">
        <f t="shared" si="176"/>
        <v>#VALUE!</v>
      </c>
      <c r="BN1511" t="e" vm="2">
        <f t="shared" si="177"/>
        <v>#VALUE!</v>
      </c>
    </row>
    <row r="1512" spans="55:66" x14ac:dyDescent="0.2">
      <c r="BC1512" s="21" t="e" vm="1">
        <v>#REF!</v>
      </c>
      <c r="BD1512" t="e" vm="1">
        <v>#REF!</v>
      </c>
      <c r="BF1512" t="e" vm="2">
        <f t="shared" si="174"/>
        <v>#VALUE!</v>
      </c>
      <c r="BG1512" t="e" vm="2">
        <f t="shared" si="175"/>
        <v>#VALUE!</v>
      </c>
      <c r="BJ1512" s="21" t="e" vm="1">
        <v>#REF!</v>
      </c>
      <c r="BK1512" t="e" vm="1">
        <v>#REF!</v>
      </c>
      <c r="BM1512" t="e" vm="2">
        <f t="shared" si="176"/>
        <v>#VALUE!</v>
      </c>
      <c r="BN1512" t="e" vm="2">
        <f t="shared" si="177"/>
        <v>#VALUE!</v>
      </c>
    </row>
    <row r="1513" spans="55:66" x14ac:dyDescent="0.2">
      <c r="BC1513" s="21" t="e" vm="1">
        <v>#REF!</v>
      </c>
      <c r="BD1513" t="e" vm="1">
        <v>#REF!</v>
      </c>
      <c r="BF1513" t="e" vm="2">
        <f t="shared" si="174"/>
        <v>#VALUE!</v>
      </c>
      <c r="BG1513" t="e" vm="2">
        <f t="shared" si="175"/>
        <v>#VALUE!</v>
      </c>
      <c r="BJ1513" s="21" t="e" vm="1">
        <v>#REF!</v>
      </c>
      <c r="BK1513" t="e" vm="1">
        <v>#REF!</v>
      </c>
      <c r="BM1513" t="e" vm="2">
        <f t="shared" si="176"/>
        <v>#VALUE!</v>
      </c>
      <c r="BN1513" t="e" vm="2">
        <f t="shared" si="177"/>
        <v>#VALUE!</v>
      </c>
    </row>
    <row r="1514" spans="55:66" x14ac:dyDescent="0.2">
      <c r="BC1514" s="21" t="e" vm="1">
        <v>#REF!</v>
      </c>
      <c r="BD1514" t="e" vm="1">
        <v>#REF!</v>
      </c>
      <c r="BF1514" t="e" vm="2">
        <f t="shared" si="174"/>
        <v>#VALUE!</v>
      </c>
      <c r="BG1514" t="e" vm="2">
        <f t="shared" si="175"/>
        <v>#VALUE!</v>
      </c>
      <c r="BJ1514" s="21" t="e" vm="1">
        <v>#REF!</v>
      </c>
      <c r="BK1514" t="e" vm="1">
        <v>#REF!</v>
      </c>
      <c r="BM1514" t="e" vm="2">
        <f t="shared" si="176"/>
        <v>#VALUE!</v>
      </c>
      <c r="BN1514" t="e" vm="2">
        <f t="shared" si="177"/>
        <v>#VALUE!</v>
      </c>
    </row>
    <row r="1515" spans="55:66" x14ac:dyDescent="0.2">
      <c r="BC1515" s="21" t="e" vm="1">
        <v>#REF!</v>
      </c>
      <c r="BD1515" t="e" vm="1">
        <v>#REF!</v>
      </c>
      <c r="BF1515" t="e" vm="2">
        <f t="shared" si="174"/>
        <v>#VALUE!</v>
      </c>
      <c r="BG1515" t="e" vm="2">
        <f t="shared" si="175"/>
        <v>#VALUE!</v>
      </c>
      <c r="BJ1515" s="21" t="e" vm="1">
        <v>#REF!</v>
      </c>
      <c r="BK1515" t="e" vm="1">
        <v>#REF!</v>
      </c>
      <c r="BM1515" t="e" vm="2">
        <f t="shared" si="176"/>
        <v>#VALUE!</v>
      </c>
      <c r="BN1515" t="e" vm="2">
        <f t="shared" si="177"/>
        <v>#VALUE!</v>
      </c>
    </row>
    <row r="1516" spans="55:66" x14ac:dyDescent="0.2">
      <c r="BC1516" s="21" t="e" vm="1">
        <v>#REF!</v>
      </c>
      <c r="BD1516" t="e" vm="1">
        <v>#REF!</v>
      </c>
      <c r="BF1516" t="e" vm="2">
        <f t="shared" si="174"/>
        <v>#VALUE!</v>
      </c>
      <c r="BG1516" t="e" vm="2">
        <f t="shared" si="175"/>
        <v>#VALUE!</v>
      </c>
      <c r="BJ1516" s="21" t="e" vm="1">
        <v>#REF!</v>
      </c>
      <c r="BK1516" t="e" vm="1">
        <v>#REF!</v>
      </c>
      <c r="BM1516" t="e" vm="2">
        <f t="shared" si="176"/>
        <v>#VALUE!</v>
      </c>
      <c r="BN1516" t="e" vm="2">
        <f t="shared" si="177"/>
        <v>#VALUE!</v>
      </c>
    </row>
    <row r="1517" spans="55:66" x14ac:dyDescent="0.2">
      <c r="BC1517" s="21" t="e" vm="1">
        <v>#REF!</v>
      </c>
      <c r="BD1517" t="e" vm="1">
        <v>#REF!</v>
      </c>
      <c r="BF1517" t="e" vm="2">
        <f t="shared" si="174"/>
        <v>#VALUE!</v>
      </c>
      <c r="BG1517" t="e" vm="2">
        <f t="shared" si="175"/>
        <v>#VALUE!</v>
      </c>
      <c r="BJ1517" s="21" t="e" vm="1">
        <v>#REF!</v>
      </c>
      <c r="BK1517" t="e" vm="1">
        <v>#REF!</v>
      </c>
      <c r="BM1517" t="e" vm="2">
        <f t="shared" si="176"/>
        <v>#VALUE!</v>
      </c>
      <c r="BN1517" t="e" vm="2">
        <f t="shared" si="177"/>
        <v>#VALUE!</v>
      </c>
    </row>
    <row r="1518" spans="55:66" x14ac:dyDescent="0.2">
      <c r="BC1518" s="21" t="e" vm="1">
        <v>#REF!</v>
      </c>
      <c r="BD1518" t="e" vm="1">
        <v>#REF!</v>
      </c>
      <c r="BF1518" t="e" vm="2">
        <f t="shared" si="174"/>
        <v>#VALUE!</v>
      </c>
      <c r="BG1518" t="e" vm="2">
        <f t="shared" si="175"/>
        <v>#VALUE!</v>
      </c>
      <c r="BJ1518" s="21" t="e" vm="1">
        <v>#REF!</v>
      </c>
      <c r="BK1518" t="e" vm="1">
        <v>#REF!</v>
      </c>
      <c r="BM1518" t="e" vm="2">
        <f t="shared" si="176"/>
        <v>#VALUE!</v>
      </c>
      <c r="BN1518" t="e" vm="2">
        <f t="shared" si="177"/>
        <v>#VALUE!</v>
      </c>
    </row>
    <row r="1519" spans="55:66" x14ac:dyDescent="0.2">
      <c r="BC1519" s="21" t="e" vm="1">
        <v>#REF!</v>
      </c>
      <c r="BD1519" t="e" vm="1">
        <v>#REF!</v>
      </c>
      <c r="BF1519" t="e" vm="2">
        <f t="shared" si="174"/>
        <v>#VALUE!</v>
      </c>
      <c r="BG1519" t="e" vm="2">
        <f t="shared" si="175"/>
        <v>#VALUE!</v>
      </c>
      <c r="BJ1519" s="21" t="e" vm="1">
        <v>#REF!</v>
      </c>
      <c r="BK1519" t="e" vm="1">
        <v>#REF!</v>
      </c>
      <c r="BM1519" t="e" vm="2">
        <f t="shared" si="176"/>
        <v>#VALUE!</v>
      </c>
      <c r="BN1519" t="e" vm="2">
        <f t="shared" si="177"/>
        <v>#VALUE!</v>
      </c>
    </row>
    <row r="1520" spans="55:66" x14ac:dyDescent="0.2">
      <c r="BC1520" s="21" t="e" vm="1">
        <v>#REF!</v>
      </c>
      <c r="BD1520" t="e" vm="1">
        <v>#REF!</v>
      </c>
      <c r="BF1520" t="e" vm="2">
        <f t="shared" si="174"/>
        <v>#VALUE!</v>
      </c>
      <c r="BG1520" t="e" vm="2">
        <f t="shared" si="175"/>
        <v>#VALUE!</v>
      </c>
      <c r="BJ1520" s="21" t="e" vm="1">
        <v>#REF!</v>
      </c>
      <c r="BK1520" t="e" vm="1">
        <v>#REF!</v>
      </c>
      <c r="BM1520" t="e" vm="2">
        <f t="shared" si="176"/>
        <v>#VALUE!</v>
      </c>
      <c r="BN1520" t="e" vm="2">
        <f t="shared" si="177"/>
        <v>#VALUE!</v>
      </c>
    </row>
    <row r="1521" spans="55:66" x14ac:dyDescent="0.2">
      <c r="BC1521" s="21" t="e" vm="1">
        <v>#REF!</v>
      </c>
      <c r="BD1521" t="e" vm="1">
        <v>#REF!</v>
      </c>
      <c r="BF1521" t="e" vm="2">
        <f t="shared" si="174"/>
        <v>#VALUE!</v>
      </c>
      <c r="BG1521" t="e" vm="2">
        <f t="shared" si="175"/>
        <v>#VALUE!</v>
      </c>
      <c r="BJ1521" s="21" t="e" vm="1">
        <v>#REF!</v>
      </c>
      <c r="BK1521" t="e" vm="1">
        <v>#REF!</v>
      </c>
      <c r="BM1521" t="e" vm="2">
        <f t="shared" si="176"/>
        <v>#VALUE!</v>
      </c>
      <c r="BN1521" t="e" vm="2">
        <f t="shared" si="177"/>
        <v>#VALUE!</v>
      </c>
    </row>
    <row r="1522" spans="55:66" x14ac:dyDescent="0.2">
      <c r="BC1522" s="21" t="e" vm="1">
        <v>#REF!</v>
      </c>
      <c r="BD1522" t="e" vm="1">
        <v>#REF!</v>
      </c>
      <c r="BF1522" t="e" vm="2">
        <f t="shared" si="174"/>
        <v>#VALUE!</v>
      </c>
      <c r="BG1522" t="e" vm="2">
        <f t="shared" si="175"/>
        <v>#VALUE!</v>
      </c>
      <c r="BJ1522" s="21" t="e" vm="1">
        <v>#REF!</v>
      </c>
      <c r="BK1522" t="e" vm="1">
        <v>#REF!</v>
      </c>
      <c r="BM1522" t="e" vm="2">
        <f t="shared" si="176"/>
        <v>#VALUE!</v>
      </c>
      <c r="BN1522" t="e" vm="2">
        <f t="shared" si="177"/>
        <v>#VALUE!</v>
      </c>
    </row>
    <row r="1523" spans="55:66" x14ac:dyDescent="0.2">
      <c r="BC1523" s="21" t="e" vm="1">
        <v>#REF!</v>
      </c>
      <c r="BD1523" t="e" vm="1">
        <v>#REF!</v>
      </c>
      <c r="BF1523" t="e" vm="2">
        <f t="shared" si="174"/>
        <v>#VALUE!</v>
      </c>
      <c r="BG1523" t="e" vm="2">
        <f t="shared" si="175"/>
        <v>#VALUE!</v>
      </c>
      <c r="BJ1523" s="21" t="e" vm="1">
        <v>#REF!</v>
      </c>
      <c r="BK1523" t="e" vm="1">
        <v>#REF!</v>
      </c>
      <c r="BM1523" t="e" vm="2">
        <f t="shared" si="176"/>
        <v>#VALUE!</v>
      </c>
      <c r="BN1523" t="e" vm="2">
        <f t="shared" si="177"/>
        <v>#VALUE!</v>
      </c>
    </row>
    <row r="1524" spans="55:66" x14ac:dyDescent="0.2">
      <c r="BC1524" s="21" t="e" vm="1">
        <v>#REF!</v>
      </c>
      <c r="BD1524" t="e" vm="1">
        <v>#REF!</v>
      </c>
      <c r="BF1524" t="e" vm="2">
        <f t="shared" si="174"/>
        <v>#VALUE!</v>
      </c>
      <c r="BG1524" t="e" vm="2">
        <f t="shared" si="175"/>
        <v>#VALUE!</v>
      </c>
      <c r="BJ1524" s="21" t="e" vm="1">
        <v>#REF!</v>
      </c>
      <c r="BK1524" t="e" vm="1">
        <v>#REF!</v>
      </c>
      <c r="BM1524" t="e" vm="2">
        <f t="shared" si="176"/>
        <v>#VALUE!</v>
      </c>
      <c r="BN1524" t="e" vm="2">
        <f t="shared" si="177"/>
        <v>#VALUE!</v>
      </c>
    </row>
    <row r="1525" spans="55:66" x14ac:dyDescent="0.2">
      <c r="BC1525" s="21" t="e" vm="1">
        <v>#REF!</v>
      </c>
      <c r="BD1525" t="e" vm="1">
        <v>#REF!</v>
      </c>
      <c r="BF1525" t="e" vm="2">
        <f t="shared" si="174"/>
        <v>#VALUE!</v>
      </c>
      <c r="BG1525" t="e" vm="2">
        <f t="shared" si="175"/>
        <v>#VALUE!</v>
      </c>
      <c r="BJ1525" s="21" t="e" vm="1">
        <v>#REF!</v>
      </c>
      <c r="BK1525" t="e" vm="1">
        <v>#REF!</v>
      </c>
      <c r="BM1525" t="e" vm="2">
        <f t="shared" si="176"/>
        <v>#VALUE!</v>
      </c>
      <c r="BN1525" t="e" vm="2">
        <f t="shared" si="177"/>
        <v>#VALUE!</v>
      </c>
    </row>
    <row r="1526" spans="55:66" x14ac:dyDescent="0.2">
      <c r="BC1526" s="21" t="e" vm="1">
        <v>#REF!</v>
      </c>
      <c r="BD1526" t="e" vm="1">
        <v>#REF!</v>
      </c>
      <c r="BF1526" t="e" vm="2">
        <f t="shared" si="174"/>
        <v>#VALUE!</v>
      </c>
      <c r="BG1526" t="e" vm="2">
        <f t="shared" si="175"/>
        <v>#VALUE!</v>
      </c>
      <c r="BJ1526" s="21" t="e" vm="1">
        <v>#REF!</v>
      </c>
      <c r="BK1526" t="e" vm="1">
        <v>#REF!</v>
      </c>
      <c r="BM1526" t="e" vm="2">
        <f t="shared" si="176"/>
        <v>#VALUE!</v>
      </c>
      <c r="BN1526" t="e" vm="2">
        <f t="shared" si="177"/>
        <v>#VALUE!</v>
      </c>
    </row>
    <row r="1527" spans="55:66" x14ac:dyDescent="0.2">
      <c r="BC1527" s="21" t="e" vm="1">
        <v>#REF!</v>
      </c>
      <c r="BD1527" t="e" vm="1">
        <v>#REF!</v>
      </c>
      <c r="BF1527" t="e" vm="2">
        <f t="shared" si="174"/>
        <v>#VALUE!</v>
      </c>
      <c r="BG1527" t="e" vm="2">
        <f t="shared" si="175"/>
        <v>#VALUE!</v>
      </c>
      <c r="BJ1527" s="21" t="e" vm="1">
        <v>#REF!</v>
      </c>
      <c r="BK1527" t="e" vm="1">
        <v>#REF!</v>
      </c>
      <c r="BM1527" t="e" vm="2">
        <f t="shared" si="176"/>
        <v>#VALUE!</v>
      </c>
      <c r="BN1527" t="e" vm="2">
        <f t="shared" si="177"/>
        <v>#VALUE!</v>
      </c>
    </row>
    <row r="1528" spans="55:66" x14ac:dyDescent="0.2">
      <c r="BC1528" s="21" t="e" vm="1">
        <v>#REF!</v>
      </c>
      <c r="BD1528" t="e" vm="1">
        <v>#REF!</v>
      </c>
      <c r="BF1528" t="e" vm="2">
        <f t="shared" si="174"/>
        <v>#VALUE!</v>
      </c>
      <c r="BG1528" t="e" vm="2">
        <f t="shared" si="175"/>
        <v>#VALUE!</v>
      </c>
      <c r="BJ1528" s="21" t="e" vm="1">
        <v>#REF!</v>
      </c>
      <c r="BK1528" t="e" vm="1">
        <v>#REF!</v>
      </c>
      <c r="BM1528" t="e" vm="2">
        <f t="shared" si="176"/>
        <v>#VALUE!</v>
      </c>
      <c r="BN1528" t="e" vm="2">
        <f t="shared" si="177"/>
        <v>#VALUE!</v>
      </c>
    </row>
    <row r="1529" spans="55:66" x14ac:dyDescent="0.2">
      <c r="BC1529" s="21" t="e" vm="1">
        <v>#REF!</v>
      </c>
      <c r="BD1529" t="e" vm="1">
        <v>#REF!</v>
      </c>
      <c r="BF1529" t="e" vm="2">
        <f t="shared" si="174"/>
        <v>#VALUE!</v>
      </c>
      <c r="BG1529" t="e" vm="2">
        <f t="shared" si="175"/>
        <v>#VALUE!</v>
      </c>
      <c r="BJ1529" s="21" t="e" vm="1">
        <v>#REF!</v>
      </c>
      <c r="BK1529" t="e" vm="1">
        <v>#REF!</v>
      </c>
      <c r="BM1529" t="e" vm="2">
        <f t="shared" si="176"/>
        <v>#VALUE!</v>
      </c>
      <c r="BN1529" t="e" vm="2">
        <f t="shared" si="177"/>
        <v>#VALUE!</v>
      </c>
    </row>
    <row r="1530" spans="55:66" x14ac:dyDescent="0.2">
      <c r="BC1530" s="21" t="e" vm="1">
        <v>#REF!</v>
      </c>
      <c r="BD1530" t="e" vm="1">
        <v>#REF!</v>
      </c>
      <c r="BF1530" t="e" vm="2">
        <f t="shared" si="174"/>
        <v>#VALUE!</v>
      </c>
      <c r="BG1530" t="e" vm="2">
        <f t="shared" si="175"/>
        <v>#VALUE!</v>
      </c>
      <c r="BJ1530" s="21" t="e" vm="1">
        <v>#REF!</v>
      </c>
      <c r="BK1530" t="e" vm="1">
        <v>#REF!</v>
      </c>
      <c r="BM1530" t="e" vm="2">
        <f t="shared" si="176"/>
        <v>#VALUE!</v>
      </c>
      <c r="BN1530" t="e" vm="2">
        <f t="shared" si="177"/>
        <v>#VALUE!</v>
      </c>
    </row>
    <row r="1531" spans="55:66" x14ac:dyDescent="0.2">
      <c r="BC1531" s="21" t="e" vm="1">
        <v>#REF!</v>
      </c>
      <c r="BD1531" t="e" vm="1">
        <v>#REF!</v>
      </c>
      <c r="BF1531" t="e" vm="2">
        <f t="shared" si="174"/>
        <v>#VALUE!</v>
      </c>
      <c r="BG1531" t="e" vm="2">
        <f t="shared" si="175"/>
        <v>#VALUE!</v>
      </c>
      <c r="BJ1531" s="21" t="e" vm="1">
        <v>#REF!</v>
      </c>
      <c r="BK1531" t="e" vm="1">
        <v>#REF!</v>
      </c>
      <c r="BM1531" t="e" vm="2">
        <f t="shared" si="176"/>
        <v>#VALUE!</v>
      </c>
      <c r="BN1531" t="e" vm="2">
        <f t="shared" si="177"/>
        <v>#VALUE!</v>
      </c>
    </row>
    <row r="1532" spans="55:66" x14ac:dyDescent="0.2">
      <c r="BC1532" s="21" t="e" vm="1">
        <v>#REF!</v>
      </c>
      <c r="BD1532" t="e" vm="1">
        <v>#REF!</v>
      </c>
      <c r="BF1532" t="e" vm="2">
        <f t="shared" si="174"/>
        <v>#VALUE!</v>
      </c>
      <c r="BG1532" t="e" vm="2">
        <f t="shared" si="175"/>
        <v>#VALUE!</v>
      </c>
      <c r="BJ1532" s="21" t="e" vm="1">
        <v>#REF!</v>
      </c>
      <c r="BK1532" t="e" vm="1">
        <v>#REF!</v>
      </c>
      <c r="BM1532" t="e" vm="2">
        <f t="shared" si="176"/>
        <v>#VALUE!</v>
      </c>
      <c r="BN1532" t="e" vm="2">
        <f t="shared" si="177"/>
        <v>#VALUE!</v>
      </c>
    </row>
    <row r="1533" spans="55:66" x14ac:dyDescent="0.2">
      <c r="BC1533" s="21" t="e" vm="1">
        <v>#REF!</v>
      </c>
      <c r="BD1533" t="e" vm="1">
        <v>#REF!</v>
      </c>
      <c r="BF1533" t="e" vm="2">
        <f t="shared" si="174"/>
        <v>#VALUE!</v>
      </c>
      <c r="BG1533" t="e" vm="2">
        <f t="shared" si="175"/>
        <v>#VALUE!</v>
      </c>
      <c r="BJ1533" s="21" t="e" vm="1">
        <v>#REF!</v>
      </c>
      <c r="BK1533" t="e" vm="1">
        <v>#REF!</v>
      </c>
      <c r="BM1533" t="e" vm="2">
        <f t="shared" si="176"/>
        <v>#VALUE!</v>
      </c>
      <c r="BN1533" t="e" vm="2">
        <f t="shared" si="177"/>
        <v>#VALUE!</v>
      </c>
    </row>
    <row r="1534" spans="55:66" x14ac:dyDescent="0.2">
      <c r="BC1534" s="21" t="e" vm="1">
        <v>#REF!</v>
      </c>
      <c r="BD1534" t="e" vm="1">
        <v>#REF!</v>
      </c>
      <c r="BF1534" t="e" vm="2">
        <f t="shared" si="174"/>
        <v>#VALUE!</v>
      </c>
      <c r="BG1534" t="e" vm="2">
        <f t="shared" si="175"/>
        <v>#VALUE!</v>
      </c>
      <c r="BJ1534" s="21" t="e" vm="1">
        <v>#REF!</v>
      </c>
      <c r="BK1534" t="e" vm="1">
        <v>#REF!</v>
      </c>
      <c r="BM1534" t="e" vm="2">
        <f t="shared" si="176"/>
        <v>#VALUE!</v>
      </c>
      <c r="BN1534" t="e" vm="2">
        <f t="shared" si="177"/>
        <v>#VALUE!</v>
      </c>
    </row>
    <row r="1535" spans="55:66" x14ac:dyDescent="0.2">
      <c r="BC1535" s="21" t="e" vm="1">
        <v>#REF!</v>
      </c>
      <c r="BD1535" t="e" vm="1">
        <v>#REF!</v>
      </c>
      <c r="BF1535" t="e" vm="2">
        <f t="shared" si="174"/>
        <v>#VALUE!</v>
      </c>
      <c r="BG1535" t="e" vm="2">
        <f t="shared" si="175"/>
        <v>#VALUE!</v>
      </c>
      <c r="BJ1535" s="21" t="e" vm="1">
        <v>#REF!</v>
      </c>
      <c r="BK1535" t="e" vm="1">
        <v>#REF!</v>
      </c>
      <c r="BM1535" t="e" vm="2">
        <f t="shared" si="176"/>
        <v>#VALUE!</v>
      </c>
      <c r="BN1535" t="e" vm="2">
        <f t="shared" si="177"/>
        <v>#VALUE!</v>
      </c>
    </row>
    <row r="1536" spans="55:66" x14ac:dyDescent="0.2">
      <c r="BC1536" s="21" t="e" vm="1">
        <v>#REF!</v>
      </c>
      <c r="BD1536" t="e" vm="1">
        <v>#REF!</v>
      </c>
      <c r="BF1536" t="e" vm="2">
        <f t="shared" si="174"/>
        <v>#VALUE!</v>
      </c>
      <c r="BG1536" t="e" vm="2">
        <f t="shared" si="175"/>
        <v>#VALUE!</v>
      </c>
      <c r="BJ1536" s="21" t="e" vm="1">
        <v>#REF!</v>
      </c>
      <c r="BK1536" t="e" vm="1">
        <v>#REF!</v>
      </c>
      <c r="BM1536" t="e" vm="2">
        <f t="shared" si="176"/>
        <v>#VALUE!</v>
      </c>
      <c r="BN1536" t="e" vm="2">
        <f t="shared" si="177"/>
        <v>#VALUE!</v>
      </c>
    </row>
    <row r="1537" spans="55:66" x14ac:dyDescent="0.2">
      <c r="BC1537" s="21" t="e" vm="1">
        <v>#REF!</v>
      </c>
      <c r="BD1537" t="e" vm="1">
        <v>#REF!</v>
      </c>
      <c r="BF1537" t="e" vm="2">
        <f t="shared" si="174"/>
        <v>#VALUE!</v>
      </c>
      <c r="BG1537" t="e" vm="2">
        <f t="shared" si="175"/>
        <v>#VALUE!</v>
      </c>
      <c r="BJ1537" s="21" t="e" vm="1">
        <v>#REF!</v>
      </c>
      <c r="BK1537" t="e" vm="1">
        <v>#REF!</v>
      </c>
      <c r="BM1537" t="e" vm="2">
        <f t="shared" si="176"/>
        <v>#VALUE!</v>
      </c>
      <c r="BN1537" t="e" vm="2">
        <f t="shared" si="177"/>
        <v>#VALUE!</v>
      </c>
    </row>
    <row r="1538" spans="55:66" x14ac:dyDescent="0.2">
      <c r="BC1538" s="21" t="e" vm="1">
        <v>#REF!</v>
      </c>
      <c r="BD1538" t="e" vm="1">
        <v>#REF!</v>
      </c>
      <c r="BF1538" t="e" vm="2">
        <f t="shared" si="174"/>
        <v>#VALUE!</v>
      </c>
      <c r="BG1538" t="e" vm="2">
        <f t="shared" si="175"/>
        <v>#VALUE!</v>
      </c>
      <c r="BJ1538" s="21" t="e" vm="1">
        <v>#REF!</v>
      </c>
      <c r="BK1538" t="e" vm="1">
        <v>#REF!</v>
      </c>
      <c r="BM1538" t="e" vm="2">
        <f t="shared" si="176"/>
        <v>#VALUE!</v>
      </c>
      <c r="BN1538" t="e" vm="2">
        <f t="shared" si="177"/>
        <v>#VALUE!</v>
      </c>
    </row>
    <row r="1539" spans="55:66" x14ac:dyDescent="0.2">
      <c r="BC1539" s="21" t="e" vm="1">
        <v>#REF!</v>
      </c>
      <c r="BD1539" t="e" vm="1">
        <v>#REF!</v>
      </c>
      <c r="BF1539" t="e" vm="2">
        <f t="shared" ref="BF1539:BF1602" si="178">MONTH(BC1539)</f>
        <v>#VALUE!</v>
      </c>
      <c r="BG1539" t="e" vm="2">
        <f t="shared" ref="BG1539:BG1602" si="179">YEAR(BC1539)</f>
        <v>#VALUE!</v>
      </c>
      <c r="BJ1539" s="21" t="e" vm="1">
        <v>#REF!</v>
      </c>
      <c r="BK1539" t="e" vm="1">
        <v>#REF!</v>
      </c>
      <c r="BM1539" t="e" vm="2">
        <f t="shared" si="176"/>
        <v>#VALUE!</v>
      </c>
      <c r="BN1539" t="e" vm="2">
        <f t="shared" si="177"/>
        <v>#VALUE!</v>
      </c>
    </row>
    <row r="1540" spans="55:66" x14ac:dyDescent="0.2">
      <c r="BC1540" s="21" t="e" vm="1">
        <v>#REF!</v>
      </c>
      <c r="BD1540" t="e" vm="1">
        <v>#REF!</v>
      </c>
      <c r="BF1540" t="e" vm="2">
        <f t="shared" si="178"/>
        <v>#VALUE!</v>
      </c>
      <c r="BG1540" t="e" vm="2">
        <f t="shared" si="179"/>
        <v>#VALUE!</v>
      </c>
      <c r="BJ1540" s="21" t="e" vm="1">
        <v>#REF!</v>
      </c>
      <c r="BK1540" t="e" vm="1">
        <v>#REF!</v>
      </c>
      <c r="BM1540" t="e" vm="2">
        <f t="shared" ref="BM1540:BM1603" si="180">MONTH(BJ1540)</f>
        <v>#VALUE!</v>
      </c>
      <c r="BN1540" t="e" vm="2">
        <f t="shared" ref="BN1540:BN1603" si="181">YEAR(BJ1540)</f>
        <v>#VALUE!</v>
      </c>
    </row>
    <row r="1541" spans="55:66" x14ac:dyDescent="0.2">
      <c r="BC1541" s="21" t="e" vm="1">
        <v>#REF!</v>
      </c>
      <c r="BD1541" t="e" vm="1">
        <v>#REF!</v>
      </c>
      <c r="BF1541" t="e" vm="2">
        <f t="shared" si="178"/>
        <v>#VALUE!</v>
      </c>
      <c r="BG1541" t="e" vm="2">
        <f t="shared" si="179"/>
        <v>#VALUE!</v>
      </c>
      <c r="BJ1541" s="21" t="e" vm="1">
        <v>#REF!</v>
      </c>
      <c r="BK1541" t="e" vm="1">
        <v>#REF!</v>
      </c>
      <c r="BM1541" t="e" vm="2">
        <f t="shared" si="180"/>
        <v>#VALUE!</v>
      </c>
      <c r="BN1541" t="e" vm="2">
        <f t="shared" si="181"/>
        <v>#VALUE!</v>
      </c>
    </row>
    <row r="1542" spans="55:66" x14ac:dyDescent="0.2">
      <c r="BC1542" s="21" t="e" vm="1">
        <v>#REF!</v>
      </c>
      <c r="BD1542" t="e" vm="1">
        <v>#REF!</v>
      </c>
      <c r="BF1542" t="e" vm="2">
        <f t="shared" si="178"/>
        <v>#VALUE!</v>
      </c>
      <c r="BG1542" t="e" vm="2">
        <f t="shared" si="179"/>
        <v>#VALUE!</v>
      </c>
      <c r="BJ1542" s="21" t="e" vm="1">
        <v>#REF!</v>
      </c>
      <c r="BK1542" t="e" vm="1">
        <v>#REF!</v>
      </c>
      <c r="BM1542" t="e" vm="2">
        <f t="shared" si="180"/>
        <v>#VALUE!</v>
      </c>
      <c r="BN1542" t="e" vm="2">
        <f t="shared" si="181"/>
        <v>#VALUE!</v>
      </c>
    </row>
    <row r="1543" spans="55:66" x14ac:dyDescent="0.2">
      <c r="BC1543" s="21" t="e" vm="1">
        <v>#REF!</v>
      </c>
      <c r="BD1543" t="e" vm="1">
        <v>#REF!</v>
      </c>
      <c r="BF1543" t="e" vm="2">
        <f t="shared" si="178"/>
        <v>#VALUE!</v>
      </c>
      <c r="BG1543" t="e" vm="2">
        <f t="shared" si="179"/>
        <v>#VALUE!</v>
      </c>
      <c r="BJ1543" s="21" t="e" vm="1">
        <v>#REF!</v>
      </c>
      <c r="BK1543" t="e" vm="1">
        <v>#REF!</v>
      </c>
      <c r="BM1543" t="e" vm="2">
        <f t="shared" si="180"/>
        <v>#VALUE!</v>
      </c>
      <c r="BN1543" t="e" vm="2">
        <f t="shared" si="181"/>
        <v>#VALUE!</v>
      </c>
    </row>
    <row r="1544" spans="55:66" x14ac:dyDescent="0.2">
      <c r="BC1544" s="21" t="e" vm="1">
        <v>#REF!</v>
      </c>
      <c r="BD1544" t="e" vm="1">
        <v>#REF!</v>
      </c>
      <c r="BF1544" t="e" vm="2">
        <f t="shared" si="178"/>
        <v>#VALUE!</v>
      </c>
      <c r="BG1544" t="e" vm="2">
        <f t="shared" si="179"/>
        <v>#VALUE!</v>
      </c>
      <c r="BJ1544" s="21" t="e" vm="1">
        <v>#REF!</v>
      </c>
      <c r="BK1544" t="e" vm="1">
        <v>#REF!</v>
      </c>
      <c r="BM1544" t="e" vm="2">
        <f t="shared" si="180"/>
        <v>#VALUE!</v>
      </c>
      <c r="BN1544" t="e" vm="2">
        <f t="shared" si="181"/>
        <v>#VALUE!</v>
      </c>
    </row>
    <row r="1545" spans="55:66" x14ac:dyDescent="0.2">
      <c r="BC1545" s="21" t="e" vm="1">
        <v>#REF!</v>
      </c>
      <c r="BD1545" t="e" vm="1">
        <v>#REF!</v>
      </c>
      <c r="BF1545" t="e" vm="2">
        <f t="shared" si="178"/>
        <v>#VALUE!</v>
      </c>
      <c r="BG1545" t="e" vm="2">
        <f t="shared" si="179"/>
        <v>#VALUE!</v>
      </c>
      <c r="BJ1545" s="21" t="e" vm="1">
        <v>#REF!</v>
      </c>
      <c r="BK1545" t="e" vm="1">
        <v>#REF!</v>
      </c>
      <c r="BM1545" t="e" vm="2">
        <f t="shared" si="180"/>
        <v>#VALUE!</v>
      </c>
      <c r="BN1545" t="e" vm="2">
        <f t="shared" si="181"/>
        <v>#VALUE!</v>
      </c>
    </row>
    <row r="1546" spans="55:66" x14ac:dyDescent="0.2">
      <c r="BC1546" s="21" t="e" vm="1">
        <v>#REF!</v>
      </c>
      <c r="BD1546" t="e" vm="1">
        <v>#REF!</v>
      </c>
      <c r="BF1546" t="e" vm="2">
        <f t="shared" si="178"/>
        <v>#VALUE!</v>
      </c>
      <c r="BG1546" t="e" vm="2">
        <f t="shared" si="179"/>
        <v>#VALUE!</v>
      </c>
      <c r="BJ1546" s="21" t="e" vm="1">
        <v>#REF!</v>
      </c>
      <c r="BK1546" t="e" vm="1">
        <v>#REF!</v>
      </c>
      <c r="BM1546" t="e" vm="2">
        <f t="shared" si="180"/>
        <v>#VALUE!</v>
      </c>
      <c r="BN1546" t="e" vm="2">
        <f t="shared" si="181"/>
        <v>#VALUE!</v>
      </c>
    </row>
    <row r="1547" spans="55:66" x14ac:dyDescent="0.2">
      <c r="BC1547" s="21" t="e" vm="1">
        <v>#REF!</v>
      </c>
      <c r="BD1547" t="e" vm="1">
        <v>#REF!</v>
      </c>
      <c r="BF1547" t="e" vm="2">
        <f t="shared" si="178"/>
        <v>#VALUE!</v>
      </c>
      <c r="BG1547" t="e" vm="2">
        <f t="shared" si="179"/>
        <v>#VALUE!</v>
      </c>
      <c r="BJ1547" s="21" t="e" vm="1">
        <v>#REF!</v>
      </c>
      <c r="BK1547" t="e" vm="1">
        <v>#REF!</v>
      </c>
      <c r="BM1547" t="e" vm="2">
        <f t="shared" si="180"/>
        <v>#VALUE!</v>
      </c>
      <c r="BN1547" t="e" vm="2">
        <f t="shared" si="181"/>
        <v>#VALUE!</v>
      </c>
    </row>
    <row r="1548" spans="55:66" x14ac:dyDescent="0.2">
      <c r="BC1548" s="21" t="e" vm="1">
        <v>#REF!</v>
      </c>
      <c r="BD1548" t="e" vm="1">
        <v>#REF!</v>
      </c>
      <c r="BF1548" t="e" vm="2">
        <f t="shared" si="178"/>
        <v>#VALUE!</v>
      </c>
      <c r="BG1548" t="e" vm="2">
        <f t="shared" si="179"/>
        <v>#VALUE!</v>
      </c>
      <c r="BJ1548" s="21" t="e" vm="1">
        <v>#REF!</v>
      </c>
      <c r="BK1548" t="e" vm="1">
        <v>#REF!</v>
      </c>
      <c r="BM1548" t="e" vm="2">
        <f t="shared" si="180"/>
        <v>#VALUE!</v>
      </c>
      <c r="BN1548" t="e" vm="2">
        <f t="shared" si="181"/>
        <v>#VALUE!</v>
      </c>
    </row>
    <row r="1549" spans="55:66" x14ac:dyDescent="0.2">
      <c r="BC1549" s="21" t="e" vm="1">
        <v>#REF!</v>
      </c>
      <c r="BD1549" t="e" vm="1">
        <v>#REF!</v>
      </c>
      <c r="BF1549" t="e" vm="2">
        <f t="shared" si="178"/>
        <v>#VALUE!</v>
      </c>
      <c r="BG1549" t="e" vm="2">
        <f t="shared" si="179"/>
        <v>#VALUE!</v>
      </c>
      <c r="BJ1549" s="21" t="e" vm="1">
        <v>#REF!</v>
      </c>
      <c r="BK1549" t="e" vm="1">
        <v>#REF!</v>
      </c>
      <c r="BM1549" t="e" vm="2">
        <f t="shared" si="180"/>
        <v>#VALUE!</v>
      </c>
      <c r="BN1549" t="e" vm="2">
        <f t="shared" si="181"/>
        <v>#VALUE!</v>
      </c>
    </row>
    <row r="1550" spans="55:66" x14ac:dyDescent="0.2">
      <c r="BC1550" s="21" t="e" vm="1">
        <v>#REF!</v>
      </c>
      <c r="BD1550" t="e" vm="1">
        <v>#REF!</v>
      </c>
      <c r="BF1550" t="e" vm="2">
        <f t="shared" si="178"/>
        <v>#VALUE!</v>
      </c>
      <c r="BG1550" t="e" vm="2">
        <f t="shared" si="179"/>
        <v>#VALUE!</v>
      </c>
      <c r="BJ1550" s="21" t="e" vm="1">
        <v>#REF!</v>
      </c>
      <c r="BK1550" t="e" vm="1">
        <v>#REF!</v>
      </c>
      <c r="BM1550" t="e" vm="2">
        <f t="shared" si="180"/>
        <v>#VALUE!</v>
      </c>
      <c r="BN1550" t="e" vm="2">
        <f t="shared" si="181"/>
        <v>#VALUE!</v>
      </c>
    </row>
    <row r="1551" spans="55:66" x14ac:dyDescent="0.2">
      <c r="BC1551" s="21" t="e" vm="1">
        <v>#REF!</v>
      </c>
      <c r="BD1551" t="e" vm="1">
        <v>#REF!</v>
      </c>
      <c r="BF1551" t="e" vm="2">
        <f t="shared" si="178"/>
        <v>#VALUE!</v>
      </c>
      <c r="BG1551" t="e" vm="2">
        <f t="shared" si="179"/>
        <v>#VALUE!</v>
      </c>
      <c r="BJ1551" s="21" t="e" vm="1">
        <v>#REF!</v>
      </c>
      <c r="BK1551" t="e" vm="1">
        <v>#REF!</v>
      </c>
      <c r="BM1551" t="e" vm="2">
        <f t="shared" si="180"/>
        <v>#VALUE!</v>
      </c>
      <c r="BN1551" t="e" vm="2">
        <f t="shared" si="181"/>
        <v>#VALUE!</v>
      </c>
    </row>
    <row r="1552" spans="55:66" x14ac:dyDescent="0.2">
      <c r="BC1552" s="21" t="e" vm="1">
        <v>#REF!</v>
      </c>
      <c r="BD1552" t="e" vm="1">
        <v>#REF!</v>
      </c>
      <c r="BF1552" t="e" vm="2">
        <f t="shared" si="178"/>
        <v>#VALUE!</v>
      </c>
      <c r="BG1552" t="e" vm="2">
        <f t="shared" si="179"/>
        <v>#VALUE!</v>
      </c>
      <c r="BJ1552" s="21" t="e" vm="1">
        <v>#REF!</v>
      </c>
      <c r="BK1552" t="e" vm="1">
        <v>#REF!</v>
      </c>
      <c r="BM1552" t="e" vm="2">
        <f t="shared" si="180"/>
        <v>#VALUE!</v>
      </c>
      <c r="BN1552" t="e" vm="2">
        <f t="shared" si="181"/>
        <v>#VALUE!</v>
      </c>
    </row>
    <row r="1553" spans="55:66" x14ac:dyDescent="0.2">
      <c r="BC1553" s="21" t="e" vm="1">
        <v>#REF!</v>
      </c>
      <c r="BD1553" t="e" vm="1">
        <v>#REF!</v>
      </c>
      <c r="BF1553" t="e" vm="2">
        <f t="shared" si="178"/>
        <v>#VALUE!</v>
      </c>
      <c r="BG1553" t="e" vm="2">
        <f t="shared" si="179"/>
        <v>#VALUE!</v>
      </c>
      <c r="BJ1553" s="21" t="e" vm="1">
        <v>#REF!</v>
      </c>
      <c r="BK1553" t="e" vm="1">
        <v>#REF!</v>
      </c>
      <c r="BM1553" t="e" vm="2">
        <f t="shared" si="180"/>
        <v>#VALUE!</v>
      </c>
      <c r="BN1553" t="e" vm="2">
        <f t="shared" si="181"/>
        <v>#VALUE!</v>
      </c>
    </row>
    <row r="1554" spans="55:66" x14ac:dyDescent="0.2">
      <c r="BC1554" s="21" t="e" vm="1">
        <v>#REF!</v>
      </c>
      <c r="BD1554" t="e" vm="1">
        <v>#REF!</v>
      </c>
      <c r="BF1554" t="e" vm="2">
        <f t="shared" si="178"/>
        <v>#VALUE!</v>
      </c>
      <c r="BG1554" t="e" vm="2">
        <f t="shared" si="179"/>
        <v>#VALUE!</v>
      </c>
      <c r="BJ1554" s="21" t="e" vm="1">
        <v>#REF!</v>
      </c>
      <c r="BK1554" t="e" vm="1">
        <v>#REF!</v>
      </c>
      <c r="BM1554" t="e" vm="2">
        <f t="shared" si="180"/>
        <v>#VALUE!</v>
      </c>
      <c r="BN1554" t="e" vm="2">
        <f t="shared" si="181"/>
        <v>#VALUE!</v>
      </c>
    </row>
    <row r="1555" spans="55:66" x14ac:dyDescent="0.2">
      <c r="BC1555" s="21" t="e" vm="1">
        <v>#REF!</v>
      </c>
      <c r="BD1555" t="e" vm="1">
        <v>#REF!</v>
      </c>
      <c r="BF1555" t="e" vm="2">
        <f t="shared" si="178"/>
        <v>#VALUE!</v>
      </c>
      <c r="BG1555" t="e" vm="2">
        <f t="shared" si="179"/>
        <v>#VALUE!</v>
      </c>
      <c r="BJ1555" s="21" t="e" vm="1">
        <v>#REF!</v>
      </c>
      <c r="BK1555" t="e" vm="1">
        <v>#REF!</v>
      </c>
      <c r="BM1555" t="e" vm="2">
        <f t="shared" si="180"/>
        <v>#VALUE!</v>
      </c>
      <c r="BN1555" t="e" vm="2">
        <f t="shared" si="181"/>
        <v>#VALUE!</v>
      </c>
    </row>
    <row r="1556" spans="55:66" x14ac:dyDescent="0.2">
      <c r="BC1556" s="21" t="e" vm="1">
        <v>#REF!</v>
      </c>
      <c r="BD1556" t="e" vm="1">
        <v>#REF!</v>
      </c>
      <c r="BF1556" t="e" vm="2">
        <f t="shared" si="178"/>
        <v>#VALUE!</v>
      </c>
      <c r="BG1556" t="e" vm="2">
        <f t="shared" si="179"/>
        <v>#VALUE!</v>
      </c>
      <c r="BJ1556" s="21" t="e" vm="1">
        <v>#REF!</v>
      </c>
      <c r="BK1556" t="e" vm="1">
        <v>#REF!</v>
      </c>
      <c r="BM1556" t="e" vm="2">
        <f t="shared" si="180"/>
        <v>#VALUE!</v>
      </c>
      <c r="BN1556" t="e" vm="2">
        <f t="shared" si="181"/>
        <v>#VALUE!</v>
      </c>
    </row>
    <row r="1557" spans="55:66" x14ac:dyDescent="0.2">
      <c r="BC1557" s="21" t="e" vm="1">
        <v>#REF!</v>
      </c>
      <c r="BD1557" t="e" vm="1">
        <v>#REF!</v>
      </c>
      <c r="BF1557" t="e" vm="2">
        <f t="shared" si="178"/>
        <v>#VALUE!</v>
      </c>
      <c r="BG1557" t="e" vm="2">
        <f t="shared" si="179"/>
        <v>#VALUE!</v>
      </c>
      <c r="BJ1557" s="21" t="e" vm="1">
        <v>#REF!</v>
      </c>
      <c r="BK1557" t="e" vm="1">
        <v>#REF!</v>
      </c>
      <c r="BM1557" t="e" vm="2">
        <f t="shared" si="180"/>
        <v>#VALUE!</v>
      </c>
      <c r="BN1557" t="e" vm="2">
        <f t="shared" si="181"/>
        <v>#VALUE!</v>
      </c>
    </row>
    <row r="1558" spans="55:66" x14ac:dyDescent="0.2">
      <c r="BC1558" s="21" t="e" vm="1">
        <v>#REF!</v>
      </c>
      <c r="BD1558" t="e" vm="1">
        <v>#REF!</v>
      </c>
      <c r="BF1558" t="e" vm="2">
        <f t="shared" si="178"/>
        <v>#VALUE!</v>
      </c>
      <c r="BG1558" t="e" vm="2">
        <f t="shared" si="179"/>
        <v>#VALUE!</v>
      </c>
      <c r="BJ1558" s="21" t="e" vm="1">
        <v>#REF!</v>
      </c>
      <c r="BK1558" t="e" vm="1">
        <v>#REF!</v>
      </c>
      <c r="BM1558" t="e" vm="2">
        <f t="shared" si="180"/>
        <v>#VALUE!</v>
      </c>
      <c r="BN1558" t="e" vm="2">
        <f t="shared" si="181"/>
        <v>#VALUE!</v>
      </c>
    </row>
    <row r="1559" spans="55:66" x14ac:dyDescent="0.2">
      <c r="BC1559" s="21" t="e" vm="1">
        <v>#REF!</v>
      </c>
      <c r="BD1559" t="e" vm="1">
        <v>#REF!</v>
      </c>
      <c r="BF1559" t="e" vm="2">
        <f t="shared" si="178"/>
        <v>#VALUE!</v>
      </c>
      <c r="BG1559" t="e" vm="2">
        <f t="shared" si="179"/>
        <v>#VALUE!</v>
      </c>
      <c r="BJ1559" s="21" t="e" vm="1">
        <v>#REF!</v>
      </c>
      <c r="BK1559" t="e" vm="1">
        <v>#REF!</v>
      </c>
      <c r="BM1559" t="e" vm="2">
        <f t="shared" si="180"/>
        <v>#VALUE!</v>
      </c>
      <c r="BN1559" t="e" vm="2">
        <f t="shared" si="181"/>
        <v>#VALUE!</v>
      </c>
    </row>
    <row r="1560" spans="55:66" x14ac:dyDescent="0.2">
      <c r="BC1560" s="21" t="e" vm="1">
        <v>#REF!</v>
      </c>
      <c r="BD1560" t="e" vm="1">
        <v>#REF!</v>
      </c>
      <c r="BF1560" t="e" vm="2">
        <f t="shared" si="178"/>
        <v>#VALUE!</v>
      </c>
      <c r="BG1560" t="e" vm="2">
        <f t="shared" si="179"/>
        <v>#VALUE!</v>
      </c>
      <c r="BJ1560" s="21" t="e" vm="1">
        <v>#REF!</v>
      </c>
      <c r="BK1560" t="e" vm="1">
        <v>#REF!</v>
      </c>
      <c r="BM1560" t="e" vm="2">
        <f t="shared" si="180"/>
        <v>#VALUE!</v>
      </c>
      <c r="BN1560" t="e" vm="2">
        <f t="shared" si="181"/>
        <v>#VALUE!</v>
      </c>
    </row>
    <row r="1561" spans="55:66" x14ac:dyDescent="0.2">
      <c r="BC1561" s="21" t="e" vm="1">
        <v>#REF!</v>
      </c>
      <c r="BD1561" t="e" vm="1">
        <v>#REF!</v>
      </c>
      <c r="BF1561" t="e" vm="2">
        <f t="shared" si="178"/>
        <v>#VALUE!</v>
      </c>
      <c r="BG1561" t="e" vm="2">
        <f t="shared" si="179"/>
        <v>#VALUE!</v>
      </c>
      <c r="BJ1561" s="21" t="e" vm="1">
        <v>#REF!</v>
      </c>
      <c r="BK1561" t="e" vm="1">
        <v>#REF!</v>
      </c>
      <c r="BM1561" t="e" vm="2">
        <f t="shared" si="180"/>
        <v>#VALUE!</v>
      </c>
      <c r="BN1561" t="e" vm="2">
        <f t="shared" si="181"/>
        <v>#VALUE!</v>
      </c>
    </row>
    <row r="1562" spans="55:66" x14ac:dyDescent="0.2">
      <c r="BC1562" s="21" t="e" vm="1">
        <v>#REF!</v>
      </c>
      <c r="BD1562" t="e" vm="1">
        <v>#REF!</v>
      </c>
      <c r="BF1562" t="e" vm="2">
        <f t="shared" si="178"/>
        <v>#VALUE!</v>
      </c>
      <c r="BG1562" t="e" vm="2">
        <f t="shared" si="179"/>
        <v>#VALUE!</v>
      </c>
      <c r="BJ1562" s="21" t="e" vm="1">
        <v>#REF!</v>
      </c>
      <c r="BK1562" t="e" vm="1">
        <v>#REF!</v>
      </c>
      <c r="BM1562" t="e" vm="2">
        <f t="shared" si="180"/>
        <v>#VALUE!</v>
      </c>
      <c r="BN1562" t="e" vm="2">
        <f t="shared" si="181"/>
        <v>#VALUE!</v>
      </c>
    </row>
    <row r="1563" spans="55:66" x14ac:dyDescent="0.2">
      <c r="BC1563" s="21" t="e" vm="1">
        <v>#REF!</v>
      </c>
      <c r="BD1563" t="e" vm="1">
        <v>#REF!</v>
      </c>
      <c r="BF1563" t="e" vm="2">
        <f t="shared" si="178"/>
        <v>#VALUE!</v>
      </c>
      <c r="BG1563" t="e" vm="2">
        <f t="shared" si="179"/>
        <v>#VALUE!</v>
      </c>
      <c r="BJ1563" s="21" t="e" vm="1">
        <v>#REF!</v>
      </c>
      <c r="BK1563" t="e" vm="1">
        <v>#REF!</v>
      </c>
      <c r="BM1563" t="e" vm="2">
        <f t="shared" si="180"/>
        <v>#VALUE!</v>
      </c>
      <c r="BN1563" t="e" vm="2">
        <f t="shared" si="181"/>
        <v>#VALUE!</v>
      </c>
    </row>
    <row r="1564" spans="55:66" x14ac:dyDescent="0.2">
      <c r="BC1564" s="21" t="e" vm="1">
        <v>#REF!</v>
      </c>
      <c r="BD1564" t="e" vm="1">
        <v>#REF!</v>
      </c>
      <c r="BF1564" t="e" vm="2">
        <f t="shared" si="178"/>
        <v>#VALUE!</v>
      </c>
      <c r="BG1564" t="e" vm="2">
        <f t="shared" si="179"/>
        <v>#VALUE!</v>
      </c>
      <c r="BJ1564" s="21" t="e" vm="1">
        <v>#REF!</v>
      </c>
      <c r="BK1564" t="e" vm="1">
        <v>#REF!</v>
      </c>
      <c r="BM1564" t="e" vm="2">
        <f t="shared" si="180"/>
        <v>#VALUE!</v>
      </c>
      <c r="BN1564" t="e" vm="2">
        <f t="shared" si="181"/>
        <v>#VALUE!</v>
      </c>
    </row>
    <row r="1565" spans="55:66" x14ac:dyDescent="0.2">
      <c r="BC1565" s="21" t="e" vm="1">
        <v>#REF!</v>
      </c>
      <c r="BD1565" t="e" vm="1">
        <v>#REF!</v>
      </c>
      <c r="BF1565" t="e" vm="2">
        <f t="shared" si="178"/>
        <v>#VALUE!</v>
      </c>
      <c r="BG1565" t="e" vm="2">
        <f t="shared" si="179"/>
        <v>#VALUE!</v>
      </c>
      <c r="BJ1565" s="21" t="e" vm="1">
        <v>#REF!</v>
      </c>
      <c r="BK1565" t="e" vm="1">
        <v>#REF!</v>
      </c>
      <c r="BM1565" t="e" vm="2">
        <f t="shared" si="180"/>
        <v>#VALUE!</v>
      </c>
      <c r="BN1565" t="e" vm="2">
        <f t="shared" si="181"/>
        <v>#VALUE!</v>
      </c>
    </row>
    <row r="1566" spans="55:66" x14ac:dyDescent="0.2">
      <c r="BC1566" s="21" t="e" vm="1">
        <v>#REF!</v>
      </c>
      <c r="BD1566" t="e" vm="1">
        <v>#REF!</v>
      </c>
      <c r="BF1566" t="e" vm="2">
        <f t="shared" si="178"/>
        <v>#VALUE!</v>
      </c>
      <c r="BG1566" t="e" vm="2">
        <f t="shared" si="179"/>
        <v>#VALUE!</v>
      </c>
      <c r="BJ1566" s="21" t="e" vm="1">
        <v>#REF!</v>
      </c>
      <c r="BK1566" t="e" vm="1">
        <v>#REF!</v>
      </c>
      <c r="BM1566" t="e" vm="2">
        <f t="shared" si="180"/>
        <v>#VALUE!</v>
      </c>
      <c r="BN1566" t="e" vm="2">
        <f t="shared" si="181"/>
        <v>#VALUE!</v>
      </c>
    </row>
    <row r="1567" spans="55:66" x14ac:dyDescent="0.2">
      <c r="BC1567" s="21" t="e" vm="1">
        <v>#REF!</v>
      </c>
      <c r="BD1567" t="e" vm="1">
        <v>#REF!</v>
      </c>
      <c r="BF1567" t="e" vm="2">
        <f t="shared" si="178"/>
        <v>#VALUE!</v>
      </c>
      <c r="BG1567" t="e" vm="2">
        <f t="shared" si="179"/>
        <v>#VALUE!</v>
      </c>
      <c r="BJ1567" s="21" t="e" vm="1">
        <v>#REF!</v>
      </c>
      <c r="BK1567" t="e" vm="1">
        <v>#REF!</v>
      </c>
      <c r="BM1567" t="e" vm="2">
        <f t="shared" si="180"/>
        <v>#VALUE!</v>
      </c>
      <c r="BN1567" t="e" vm="2">
        <f t="shared" si="181"/>
        <v>#VALUE!</v>
      </c>
    </row>
    <row r="1568" spans="55:66" x14ac:dyDescent="0.2">
      <c r="BC1568" s="21" t="e" vm="1">
        <v>#REF!</v>
      </c>
      <c r="BD1568" t="e" vm="1">
        <v>#REF!</v>
      </c>
      <c r="BF1568" t="e" vm="2">
        <f t="shared" si="178"/>
        <v>#VALUE!</v>
      </c>
      <c r="BG1568" t="e" vm="2">
        <f t="shared" si="179"/>
        <v>#VALUE!</v>
      </c>
      <c r="BJ1568" s="21" t="e" vm="1">
        <v>#REF!</v>
      </c>
      <c r="BK1568" t="e" vm="1">
        <v>#REF!</v>
      </c>
      <c r="BM1568" t="e" vm="2">
        <f t="shared" si="180"/>
        <v>#VALUE!</v>
      </c>
      <c r="BN1568" t="e" vm="2">
        <f t="shared" si="181"/>
        <v>#VALUE!</v>
      </c>
    </row>
    <row r="1569" spans="55:66" x14ac:dyDescent="0.2">
      <c r="BC1569" s="21" t="e" vm="1">
        <v>#REF!</v>
      </c>
      <c r="BD1569" t="e" vm="1">
        <v>#REF!</v>
      </c>
      <c r="BF1569" t="e" vm="2">
        <f t="shared" si="178"/>
        <v>#VALUE!</v>
      </c>
      <c r="BG1569" t="e" vm="2">
        <f t="shared" si="179"/>
        <v>#VALUE!</v>
      </c>
      <c r="BJ1569" s="21" t="e" vm="1">
        <v>#REF!</v>
      </c>
      <c r="BK1569" t="e" vm="1">
        <v>#REF!</v>
      </c>
      <c r="BM1569" t="e" vm="2">
        <f t="shared" si="180"/>
        <v>#VALUE!</v>
      </c>
      <c r="BN1569" t="e" vm="2">
        <f t="shared" si="181"/>
        <v>#VALUE!</v>
      </c>
    </row>
    <row r="1570" spans="55:66" x14ac:dyDescent="0.2">
      <c r="BC1570" s="21" t="e" vm="1">
        <v>#REF!</v>
      </c>
      <c r="BD1570" t="e" vm="1">
        <v>#REF!</v>
      </c>
      <c r="BF1570" t="e" vm="2">
        <f t="shared" si="178"/>
        <v>#VALUE!</v>
      </c>
      <c r="BG1570" t="e" vm="2">
        <f t="shared" si="179"/>
        <v>#VALUE!</v>
      </c>
      <c r="BJ1570" s="21" t="e" vm="1">
        <v>#REF!</v>
      </c>
      <c r="BK1570" t="e" vm="1">
        <v>#REF!</v>
      </c>
      <c r="BM1570" t="e" vm="2">
        <f t="shared" si="180"/>
        <v>#VALUE!</v>
      </c>
      <c r="BN1570" t="e" vm="2">
        <f t="shared" si="181"/>
        <v>#VALUE!</v>
      </c>
    </row>
    <row r="1571" spans="55:66" x14ac:dyDescent="0.2">
      <c r="BC1571" s="21" t="e" vm="1">
        <v>#REF!</v>
      </c>
      <c r="BD1571" t="e" vm="1">
        <v>#REF!</v>
      </c>
      <c r="BF1571" t="e" vm="2">
        <f t="shared" si="178"/>
        <v>#VALUE!</v>
      </c>
      <c r="BG1571" t="e" vm="2">
        <f t="shared" si="179"/>
        <v>#VALUE!</v>
      </c>
      <c r="BJ1571" s="21" t="e" vm="1">
        <v>#REF!</v>
      </c>
      <c r="BK1571" t="e" vm="1">
        <v>#REF!</v>
      </c>
      <c r="BM1571" t="e" vm="2">
        <f t="shared" si="180"/>
        <v>#VALUE!</v>
      </c>
      <c r="BN1571" t="e" vm="2">
        <f t="shared" si="181"/>
        <v>#VALUE!</v>
      </c>
    </row>
    <row r="1572" spans="55:66" x14ac:dyDescent="0.2">
      <c r="BC1572" s="21" t="e" vm="1">
        <v>#REF!</v>
      </c>
      <c r="BD1572" t="e" vm="1">
        <v>#REF!</v>
      </c>
      <c r="BF1572" t="e" vm="2">
        <f t="shared" si="178"/>
        <v>#VALUE!</v>
      </c>
      <c r="BG1572" t="e" vm="2">
        <f t="shared" si="179"/>
        <v>#VALUE!</v>
      </c>
      <c r="BJ1572" s="21" t="e" vm="1">
        <v>#REF!</v>
      </c>
      <c r="BK1572" t="e" vm="1">
        <v>#REF!</v>
      </c>
      <c r="BM1572" t="e" vm="2">
        <f t="shared" si="180"/>
        <v>#VALUE!</v>
      </c>
      <c r="BN1572" t="e" vm="2">
        <f t="shared" si="181"/>
        <v>#VALUE!</v>
      </c>
    </row>
    <row r="1573" spans="55:66" x14ac:dyDescent="0.2">
      <c r="BC1573" s="21" t="e" vm="1">
        <v>#REF!</v>
      </c>
      <c r="BD1573" t="e" vm="1">
        <v>#REF!</v>
      </c>
      <c r="BF1573" t="e" vm="2">
        <f t="shared" si="178"/>
        <v>#VALUE!</v>
      </c>
      <c r="BG1573" t="e" vm="2">
        <f t="shared" si="179"/>
        <v>#VALUE!</v>
      </c>
      <c r="BJ1573" s="21" t="e" vm="1">
        <v>#REF!</v>
      </c>
      <c r="BK1573" t="e" vm="1">
        <v>#REF!</v>
      </c>
      <c r="BM1573" t="e" vm="2">
        <f t="shared" si="180"/>
        <v>#VALUE!</v>
      </c>
      <c r="BN1573" t="e" vm="2">
        <f t="shared" si="181"/>
        <v>#VALUE!</v>
      </c>
    </row>
    <row r="1574" spans="55:66" x14ac:dyDescent="0.2">
      <c r="BC1574" s="21" t="e" vm="1">
        <v>#REF!</v>
      </c>
      <c r="BD1574" t="e" vm="1">
        <v>#REF!</v>
      </c>
      <c r="BF1574" t="e" vm="2">
        <f t="shared" si="178"/>
        <v>#VALUE!</v>
      </c>
      <c r="BG1574" t="e" vm="2">
        <f t="shared" si="179"/>
        <v>#VALUE!</v>
      </c>
      <c r="BJ1574" s="21" t="e" vm="1">
        <v>#REF!</v>
      </c>
      <c r="BK1574" t="e" vm="1">
        <v>#REF!</v>
      </c>
      <c r="BM1574" t="e" vm="2">
        <f t="shared" si="180"/>
        <v>#VALUE!</v>
      </c>
      <c r="BN1574" t="e" vm="2">
        <f t="shared" si="181"/>
        <v>#VALUE!</v>
      </c>
    </row>
    <row r="1575" spans="55:66" x14ac:dyDescent="0.2">
      <c r="BC1575" s="21" t="e" vm="1">
        <v>#REF!</v>
      </c>
      <c r="BD1575" t="e" vm="1">
        <v>#REF!</v>
      </c>
      <c r="BF1575" t="e" vm="2">
        <f t="shared" si="178"/>
        <v>#VALUE!</v>
      </c>
      <c r="BG1575" t="e" vm="2">
        <f t="shared" si="179"/>
        <v>#VALUE!</v>
      </c>
      <c r="BJ1575" s="21" t="e" vm="1">
        <v>#REF!</v>
      </c>
      <c r="BK1575" t="e" vm="1">
        <v>#REF!</v>
      </c>
      <c r="BM1575" t="e" vm="2">
        <f t="shared" si="180"/>
        <v>#VALUE!</v>
      </c>
      <c r="BN1575" t="e" vm="2">
        <f t="shared" si="181"/>
        <v>#VALUE!</v>
      </c>
    </row>
    <row r="1576" spans="55:66" x14ac:dyDescent="0.2">
      <c r="BC1576" s="21" t="e" vm="1">
        <v>#REF!</v>
      </c>
      <c r="BD1576" t="e" vm="1">
        <v>#REF!</v>
      </c>
      <c r="BF1576" t="e" vm="2">
        <f t="shared" si="178"/>
        <v>#VALUE!</v>
      </c>
      <c r="BG1576" t="e" vm="2">
        <f t="shared" si="179"/>
        <v>#VALUE!</v>
      </c>
      <c r="BJ1576" s="21" t="e" vm="1">
        <v>#REF!</v>
      </c>
      <c r="BK1576" t="e" vm="1">
        <v>#REF!</v>
      </c>
      <c r="BM1576" t="e" vm="2">
        <f t="shared" si="180"/>
        <v>#VALUE!</v>
      </c>
      <c r="BN1576" t="e" vm="2">
        <f t="shared" si="181"/>
        <v>#VALUE!</v>
      </c>
    </row>
    <row r="1577" spans="55:66" x14ac:dyDescent="0.2">
      <c r="BC1577" s="21" t="e" vm="1">
        <v>#REF!</v>
      </c>
      <c r="BD1577" t="e" vm="1">
        <v>#REF!</v>
      </c>
      <c r="BF1577" t="e" vm="2">
        <f t="shared" si="178"/>
        <v>#VALUE!</v>
      </c>
      <c r="BG1577" t="e" vm="2">
        <f t="shared" si="179"/>
        <v>#VALUE!</v>
      </c>
      <c r="BJ1577" s="21" t="e" vm="1">
        <v>#REF!</v>
      </c>
      <c r="BK1577" t="e" vm="1">
        <v>#REF!</v>
      </c>
      <c r="BM1577" t="e" vm="2">
        <f t="shared" si="180"/>
        <v>#VALUE!</v>
      </c>
      <c r="BN1577" t="e" vm="2">
        <f t="shared" si="181"/>
        <v>#VALUE!</v>
      </c>
    </row>
    <row r="1578" spans="55:66" x14ac:dyDescent="0.2">
      <c r="BC1578" s="21" t="e" vm="1">
        <v>#REF!</v>
      </c>
      <c r="BD1578" t="e" vm="1">
        <v>#REF!</v>
      </c>
      <c r="BF1578" t="e" vm="2">
        <f t="shared" si="178"/>
        <v>#VALUE!</v>
      </c>
      <c r="BG1578" t="e" vm="2">
        <f t="shared" si="179"/>
        <v>#VALUE!</v>
      </c>
      <c r="BJ1578" s="21" t="e" vm="1">
        <v>#REF!</v>
      </c>
      <c r="BK1578" t="e" vm="1">
        <v>#REF!</v>
      </c>
      <c r="BM1578" t="e" vm="2">
        <f t="shared" si="180"/>
        <v>#VALUE!</v>
      </c>
      <c r="BN1578" t="e" vm="2">
        <f t="shared" si="181"/>
        <v>#VALUE!</v>
      </c>
    </row>
    <row r="1579" spans="55:66" x14ac:dyDescent="0.2">
      <c r="BC1579" s="21" t="e" vm="1">
        <v>#REF!</v>
      </c>
      <c r="BD1579" t="e" vm="1">
        <v>#REF!</v>
      </c>
      <c r="BF1579" t="e" vm="2">
        <f t="shared" si="178"/>
        <v>#VALUE!</v>
      </c>
      <c r="BG1579" t="e" vm="2">
        <f t="shared" si="179"/>
        <v>#VALUE!</v>
      </c>
      <c r="BJ1579" s="21" t="e" vm="1">
        <v>#REF!</v>
      </c>
      <c r="BK1579" t="e" vm="1">
        <v>#REF!</v>
      </c>
      <c r="BM1579" t="e" vm="2">
        <f t="shared" si="180"/>
        <v>#VALUE!</v>
      </c>
      <c r="BN1579" t="e" vm="2">
        <f t="shared" si="181"/>
        <v>#VALUE!</v>
      </c>
    </row>
    <row r="1580" spans="55:66" x14ac:dyDescent="0.2">
      <c r="BC1580" s="21" t="e" vm="1">
        <v>#REF!</v>
      </c>
      <c r="BD1580" t="e" vm="1">
        <v>#REF!</v>
      </c>
      <c r="BF1580" t="e" vm="2">
        <f t="shared" si="178"/>
        <v>#VALUE!</v>
      </c>
      <c r="BG1580" t="e" vm="2">
        <f t="shared" si="179"/>
        <v>#VALUE!</v>
      </c>
      <c r="BJ1580" s="21" t="e" vm="1">
        <v>#REF!</v>
      </c>
      <c r="BK1580" t="e" vm="1">
        <v>#REF!</v>
      </c>
      <c r="BM1580" t="e" vm="2">
        <f t="shared" si="180"/>
        <v>#VALUE!</v>
      </c>
      <c r="BN1580" t="e" vm="2">
        <f t="shared" si="181"/>
        <v>#VALUE!</v>
      </c>
    </row>
    <row r="1581" spans="55:66" x14ac:dyDescent="0.2">
      <c r="BC1581" s="21" t="e" vm="1">
        <v>#REF!</v>
      </c>
      <c r="BD1581" t="e" vm="1">
        <v>#REF!</v>
      </c>
      <c r="BF1581" t="e" vm="2">
        <f t="shared" si="178"/>
        <v>#VALUE!</v>
      </c>
      <c r="BG1581" t="e" vm="2">
        <f t="shared" si="179"/>
        <v>#VALUE!</v>
      </c>
      <c r="BJ1581" s="21" t="e" vm="1">
        <v>#REF!</v>
      </c>
      <c r="BK1581" t="e" vm="1">
        <v>#REF!</v>
      </c>
      <c r="BM1581" t="e" vm="2">
        <f t="shared" si="180"/>
        <v>#VALUE!</v>
      </c>
      <c r="BN1581" t="e" vm="2">
        <f t="shared" si="181"/>
        <v>#VALUE!</v>
      </c>
    </row>
    <row r="1582" spans="55:66" x14ac:dyDescent="0.2">
      <c r="BC1582" s="21" t="e" vm="1">
        <v>#REF!</v>
      </c>
      <c r="BD1582" t="e" vm="1">
        <v>#REF!</v>
      </c>
      <c r="BF1582" t="e" vm="2">
        <f t="shared" si="178"/>
        <v>#VALUE!</v>
      </c>
      <c r="BG1582" t="e" vm="2">
        <f t="shared" si="179"/>
        <v>#VALUE!</v>
      </c>
      <c r="BJ1582" s="21" t="e" vm="1">
        <v>#REF!</v>
      </c>
      <c r="BK1582" t="e" vm="1">
        <v>#REF!</v>
      </c>
      <c r="BM1582" t="e" vm="2">
        <f t="shared" si="180"/>
        <v>#VALUE!</v>
      </c>
      <c r="BN1582" t="e" vm="2">
        <f t="shared" si="181"/>
        <v>#VALUE!</v>
      </c>
    </row>
    <row r="1583" spans="55:66" x14ac:dyDescent="0.2">
      <c r="BC1583" s="21" t="e" vm="1">
        <v>#REF!</v>
      </c>
      <c r="BD1583" t="e" vm="1">
        <v>#REF!</v>
      </c>
      <c r="BF1583" t="e" vm="2">
        <f t="shared" si="178"/>
        <v>#VALUE!</v>
      </c>
      <c r="BG1583" t="e" vm="2">
        <f t="shared" si="179"/>
        <v>#VALUE!</v>
      </c>
      <c r="BJ1583" s="21" t="e" vm="1">
        <v>#REF!</v>
      </c>
      <c r="BK1583" t="e" vm="1">
        <v>#REF!</v>
      </c>
      <c r="BM1583" t="e" vm="2">
        <f t="shared" si="180"/>
        <v>#VALUE!</v>
      </c>
      <c r="BN1583" t="e" vm="2">
        <f t="shared" si="181"/>
        <v>#VALUE!</v>
      </c>
    </row>
    <row r="1584" spans="55:66" x14ac:dyDescent="0.2">
      <c r="BC1584" s="21" t="e" vm="1">
        <v>#REF!</v>
      </c>
      <c r="BD1584" t="e" vm="1">
        <v>#REF!</v>
      </c>
      <c r="BF1584" t="e" vm="2">
        <f t="shared" si="178"/>
        <v>#VALUE!</v>
      </c>
      <c r="BG1584" t="e" vm="2">
        <f t="shared" si="179"/>
        <v>#VALUE!</v>
      </c>
      <c r="BJ1584" s="21" t="e" vm="1">
        <v>#REF!</v>
      </c>
      <c r="BK1584" t="e" vm="1">
        <v>#REF!</v>
      </c>
      <c r="BM1584" t="e" vm="2">
        <f t="shared" si="180"/>
        <v>#VALUE!</v>
      </c>
      <c r="BN1584" t="e" vm="2">
        <f t="shared" si="181"/>
        <v>#VALUE!</v>
      </c>
    </row>
    <row r="1585" spans="55:66" x14ac:dyDescent="0.2">
      <c r="BC1585" s="21" t="e" vm="1">
        <v>#REF!</v>
      </c>
      <c r="BD1585" t="e" vm="1">
        <v>#REF!</v>
      </c>
      <c r="BF1585" t="e" vm="2">
        <f t="shared" si="178"/>
        <v>#VALUE!</v>
      </c>
      <c r="BG1585" t="e" vm="2">
        <f t="shared" si="179"/>
        <v>#VALUE!</v>
      </c>
      <c r="BJ1585" s="21" t="e" vm="1">
        <v>#REF!</v>
      </c>
      <c r="BK1585" t="e" vm="1">
        <v>#REF!</v>
      </c>
      <c r="BM1585" t="e" vm="2">
        <f t="shared" si="180"/>
        <v>#VALUE!</v>
      </c>
      <c r="BN1585" t="e" vm="2">
        <f t="shared" si="181"/>
        <v>#VALUE!</v>
      </c>
    </row>
    <row r="1586" spans="55:66" x14ac:dyDescent="0.2">
      <c r="BC1586" s="21" t="e" vm="1">
        <v>#REF!</v>
      </c>
      <c r="BD1586" t="e" vm="1">
        <v>#REF!</v>
      </c>
      <c r="BF1586" t="e" vm="2">
        <f t="shared" si="178"/>
        <v>#VALUE!</v>
      </c>
      <c r="BG1586" t="e" vm="2">
        <f t="shared" si="179"/>
        <v>#VALUE!</v>
      </c>
      <c r="BJ1586" s="21" t="e" vm="1">
        <v>#REF!</v>
      </c>
      <c r="BK1586" t="e" vm="1">
        <v>#REF!</v>
      </c>
      <c r="BM1586" t="e" vm="2">
        <f t="shared" si="180"/>
        <v>#VALUE!</v>
      </c>
      <c r="BN1586" t="e" vm="2">
        <f t="shared" si="181"/>
        <v>#VALUE!</v>
      </c>
    </row>
    <row r="1587" spans="55:66" x14ac:dyDescent="0.2">
      <c r="BC1587" s="21" t="e" vm="1">
        <v>#REF!</v>
      </c>
      <c r="BD1587" t="e" vm="1">
        <v>#REF!</v>
      </c>
      <c r="BF1587" t="e" vm="2">
        <f t="shared" si="178"/>
        <v>#VALUE!</v>
      </c>
      <c r="BG1587" t="e" vm="2">
        <f t="shared" si="179"/>
        <v>#VALUE!</v>
      </c>
      <c r="BJ1587" s="21" t="e" vm="1">
        <v>#REF!</v>
      </c>
      <c r="BK1587" t="e" vm="1">
        <v>#REF!</v>
      </c>
      <c r="BM1587" t="e" vm="2">
        <f t="shared" si="180"/>
        <v>#VALUE!</v>
      </c>
      <c r="BN1587" t="e" vm="2">
        <f t="shared" si="181"/>
        <v>#VALUE!</v>
      </c>
    </row>
    <row r="1588" spans="55:66" x14ac:dyDescent="0.2">
      <c r="BC1588" s="21" t="e" vm="1">
        <v>#REF!</v>
      </c>
      <c r="BD1588" t="e" vm="1">
        <v>#REF!</v>
      </c>
      <c r="BF1588" t="e" vm="2">
        <f t="shared" si="178"/>
        <v>#VALUE!</v>
      </c>
      <c r="BG1588" t="e" vm="2">
        <f t="shared" si="179"/>
        <v>#VALUE!</v>
      </c>
      <c r="BJ1588" s="21" t="e" vm="1">
        <v>#REF!</v>
      </c>
      <c r="BK1588" t="e" vm="1">
        <v>#REF!</v>
      </c>
      <c r="BM1588" t="e" vm="2">
        <f t="shared" si="180"/>
        <v>#VALUE!</v>
      </c>
      <c r="BN1588" t="e" vm="2">
        <f t="shared" si="181"/>
        <v>#VALUE!</v>
      </c>
    </row>
    <row r="1589" spans="55:66" x14ac:dyDescent="0.2">
      <c r="BC1589" s="21" t="e" vm="1">
        <v>#REF!</v>
      </c>
      <c r="BD1589" t="e" vm="1">
        <v>#REF!</v>
      </c>
      <c r="BF1589" t="e" vm="2">
        <f t="shared" si="178"/>
        <v>#VALUE!</v>
      </c>
      <c r="BG1589" t="e" vm="2">
        <f t="shared" si="179"/>
        <v>#VALUE!</v>
      </c>
      <c r="BJ1589" s="21" t="e" vm="1">
        <v>#REF!</v>
      </c>
      <c r="BK1589" t="e" vm="1">
        <v>#REF!</v>
      </c>
      <c r="BM1589" t="e" vm="2">
        <f t="shared" si="180"/>
        <v>#VALUE!</v>
      </c>
      <c r="BN1589" t="e" vm="2">
        <f t="shared" si="181"/>
        <v>#VALUE!</v>
      </c>
    </row>
    <row r="1590" spans="55:66" x14ac:dyDescent="0.2">
      <c r="BC1590" s="21" t="e" vm="1">
        <v>#REF!</v>
      </c>
      <c r="BD1590" t="e" vm="1">
        <v>#REF!</v>
      </c>
      <c r="BF1590" t="e" vm="2">
        <f t="shared" si="178"/>
        <v>#VALUE!</v>
      </c>
      <c r="BG1590" t="e" vm="2">
        <f t="shared" si="179"/>
        <v>#VALUE!</v>
      </c>
      <c r="BJ1590" s="21" t="e" vm="1">
        <v>#REF!</v>
      </c>
      <c r="BK1590" t="e" vm="1">
        <v>#REF!</v>
      </c>
      <c r="BM1590" t="e" vm="2">
        <f t="shared" si="180"/>
        <v>#VALUE!</v>
      </c>
      <c r="BN1590" t="e" vm="2">
        <f t="shared" si="181"/>
        <v>#VALUE!</v>
      </c>
    </row>
    <row r="1591" spans="55:66" x14ac:dyDescent="0.2">
      <c r="BC1591" s="21" t="e" vm="1">
        <v>#REF!</v>
      </c>
      <c r="BD1591" t="e" vm="1">
        <v>#REF!</v>
      </c>
      <c r="BF1591" t="e" vm="2">
        <f t="shared" si="178"/>
        <v>#VALUE!</v>
      </c>
      <c r="BG1591" t="e" vm="2">
        <f t="shared" si="179"/>
        <v>#VALUE!</v>
      </c>
      <c r="BJ1591" s="21" t="e" vm="1">
        <v>#REF!</v>
      </c>
      <c r="BK1591" t="e" vm="1">
        <v>#REF!</v>
      </c>
      <c r="BM1591" t="e" vm="2">
        <f t="shared" si="180"/>
        <v>#VALUE!</v>
      </c>
      <c r="BN1591" t="e" vm="2">
        <f t="shared" si="181"/>
        <v>#VALUE!</v>
      </c>
    </row>
    <row r="1592" spans="55:66" x14ac:dyDescent="0.2">
      <c r="BC1592" s="21" t="e" vm="1">
        <v>#REF!</v>
      </c>
      <c r="BD1592" t="e" vm="1">
        <v>#REF!</v>
      </c>
      <c r="BF1592" t="e" vm="2">
        <f t="shared" si="178"/>
        <v>#VALUE!</v>
      </c>
      <c r="BG1592" t="e" vm="2">
        <f t="shared" si="179"/>
        <v>#VALUE!</v>
      </c>
      <c r="BJ1592" s="21" t="e" vm="1">
        <v>#REF!</v>
      </c>
      <c r="BK1592" t="e" vm="1">
        <v>#REF!</v>
      </c>
      <c r="BM1592" t="e" vm="2">
        <f t="shared" si="180"/>
        <v>#VALUE!</v>
      </c>
      <c r="BN1592" t="e" vm="2">
        <f t="shared" si="181"/>
        <v>#VALUE!</v>
      </c>
    </row>
    <row r="1593" spans="55:66" x14ac:dyDescent="0.2">
      <c r="BC1593" s="21" t="e" vm="1">
        <v>#REF!</v>
      </c>
      <c r="BD1593" t="e" vm="1">
        <v>#REF!</v>
      </c>
      <c r="BF1593" t="e" vm="2">
        <f t="shared" si="178"/>
        <v>#VALUE!</v>
      </c>
      <c r="BG1593" t="e" vm="2">
        <f t="shared" si="179"/>
        <v>#VALUE!</v>
      </c>
      <c r="BJ1593" s="21" t="e" vm="1">
        <v>#REF!</v>
      </c>
      <c r="BK1593" t="e" vm="1">
        <v>#REF!</v>
      </c>
      <c r="BM1593" t="e" vm="2">
        <f t="shared" si="180"/>
        <v>#VALUE!</v>
      </c>
      <c r="BN1593" t="e" vm="2">
        <f t="shared" si="181"/>
        <v>#VALUE!</v>
      </c>
    </row>
    <row r="1594" spans="55:66" x14ac:dyDescent="0.2">
      <c r="BC1594" s="21" t="e" vm="1">
        <v>#REF!</v>
      </c>
      <c r="BD1594" t="e" vm="1">
        <v>#REF!</v>
      </c>
      <c r="BF1594" t="e" vm="2">
        <f t="shared" si="178"/>
        <v>#VALUE!</v>
      </c>
      <c r="BG1594" t="e" vm="2">
        <f t="shared" si="179"/>
        <v>#VALUE!</v>
      </c>
      <c r="BJ1594" s="21" t="e" vm="1">
        <v>#REF!</v>
      </c>
      <c r="BK1594" t="e" vm="1">
        <v>#REF!</v>
      </c>
      <c r="BM1594" t="e" vm="2">
        <f t="shared" si="180"/>
        <v>#VALUE!</v>
      </c>
      <c r="BN1594" t="e" vm="2">
        <f t="shared" si="181"/>
        <v>#VALUE!</v>
      </c>
    </row>
    <row r="1595" spans="55:66" x14ac:dyDescent="0.2">
      <c r="BC1595" s="21" t="e" vm="1">
        <v>#REF!</v>
      </c>
      <c r="BD1595" t="e" vm="1">
        <v>#REF!</v>
      </c>
      <c r="BF1595" t="e" vm="2">
        <f t="shared" si="178"/>
        <v>#VALUE!</v>
      </c>
      <c r="BG1595" t="e" vm="2">
        <f t="shared" si="179"/>
        <v>#VALUE!</v>
      </c>
      <c r="BJ1595" s="21" t="e" vm="1">
        <v>#REF!</v>
      </c>
      <c r="BK1595" t="e" vm="1">
        <v>#REF!</v>
      </c>
      <c r="BM1595" t="e" vm="2">
        <f t="shared" si="180"/>
        <v>#VALUE!</v>
      </c>
      <c r="BN1595" t="e" vm="2">
        <f t="shared" si="181"/>
        <v>#VALUE!</v>
      </c>
    </row>
    <row r="1596" spans="55:66" x14ac:dyDescent="0.2">
      <c r="BC1596" s="21" t="e" vm="1">
        <v>#REF!</v>
      </c>
      <c r="BD1596" t="e" vm="1">
        <v>#REF!</v>
      </c>
      <c r="BF1596" t="e" vm="2">
        <f t="shared" si="178"/>
        <v>#VALUE!</v>
      </c>
      <c r="BG1596" t="e" vm="2">
        <f t="shared" si="179"/>
        <v>#VALUE!</v>
      </c>
      <c r="BJ1596" s="21" t="e" vm="1">
        <v>#REF!</v>
      </c>
      <c r="BK1596" t="e" vm="1">
        <v>#REF!</v>
      </c>
      <c r="BM1596" t="e" vm="2">
        <f t="shared" si="180"/>
        <v>#VALUE!</v>
      </c>
      <c r="BN1596" t="e" vm="2">
        <f t="shared" si="181"/>
        <v>#VALUE!</v>
      </c>
    </row>
    <row r="1597" spans="55:66" x14ac:dyDescent="0.2">
      <c r="BC1597" s="21" t="e" vm="1">
        <v>#REF!</v>
      </c>
      <c r="BD1597" t="e" vm="1">
        <v>#REF!</v>
      </c>
      <c r="BF1597" t="e" vm="2">
        <f t="shared" si="178"/>
        <v>#VALUE!</v>
      </c>
      <c r="BG1597" t="e" vm="2">
        <f t="shared" si="179"/>
        <v>#VALUE!</v>
      </c>
      <c r="BJ1597" s="21" t="e" vm="1">
        <v>#REF!</v>
      </c>
      <c r="BK1597" t="e" vm="1">
        <v>#REF!</v>
      </c>
      <c r="BM1597" t="e" vm="2">
        <f t="shared" si="180"/>
        <v>#VALUE!</v>
      </c>
      <c r="BN1597" t="e" vm="2">
        <f t="shared" si="181"/>
        <v>#VALUE!</v>
      </c>
    </row>
    <row r="1598" spans="55:66" x14ac:dyDescent="0.2">
      <c r="BC1598" s="21" t="e" vm="1">
        <v>#REF!</v>
      </c>
      <c r="BD1598" t="e" vm="1">
        <v>#REF!</v>
      </c>
      <c r="BF1598" t="e" vm="2">
        <f t="shared" si="178"/>
        <v>#VALUE!</v>
      </c>
      <c r="BG1598" t="e" vm="2">
        <f t="shared" si="179"/>
        <v>#VALUE!</v>
      </c>
      <c r="BJ1598" s="21" t="e" vm="1">
        <v>#REF!</v>
      </c>
      <c r="BK1598" t="e" vm="1">
        <v>#REF!</v>
      </c>
      <c r="BM1598" t="e" vm="2">
        <f t="shared" si="180"/>
        <v>#VALUE!</v>
      </c>
      <c r="BN1598" t="e" vm="2">
        <f t="shared" si="181"/>
        <v>#VALUE!</v>
      </c>
    </row>
    <row r="1599" spans="55:66" x14ac:dyDescent="0.2">
      <c r="BC1599" s="21" t="e" vm="1">
        <v>#REF!</v>
      </c>
      <c r="BD1599" t="e" vm="1">
        <v>#REF!</v>
      </c>
      <c r="BF1599" t="e" vm="2">
        <f t="shared" si="178"/>
        <v>#VALUE!</v>
      </c>
      <c r="BG1599" t="e" vm="2">
        <f t="shared" si="179"/>
        <v>#VALUE!</v>
      </c>
      <c r="BJ1599" s="21" t="e" vm="1">
        <v>#REF!</v>
      </c>
      <c r="BK1599" t="e" vm="1">
        <v>#REF!</v>
      </c>
      <c r="BM1599" t="e" vm="2">
        <f t="shared" si="180"/>
        <v>#VALUE!</v>
      </c>
      <c r="BN1599" t="e" vm="2">
        <f t="shared" si="181"/>
        <v>#VALUE!</v>
      </c>
    </row>
    <row r="1600" spans="55:66" x14ac:dyDescent="0.2">
      <c r="BC1600" s="21" t="e" vm="1">
        <v>#REF!</v>
      </c>
      <c r="BD1600" t="e" vm="1">
        <v>#REF!</v>
      </c>
      <c r="BF1600" t="e" vm="2">
        <f t="shared" si="178"/>
        <v>#VALUE!</v>
      </c>
      <c r="BG1600" t="e" vm="2">
        <f t="shared" si="179"/>
        <v>#VALUE!</v>
      </c>
      <c r="BJ1600" s="21" t="e" vm="1">
        <v>#REF!</v>
      </c>
      <c r="BK1600" t="e" vm="1">
        <v>#REF!</v>
      </c>
      <c r="BM1600" t="e" vm="2">
        <f t="shared" si="180"/>
        <v>#VALUE!</v>
      </c>
      <c r="BN1600" t="e" vm="2">
        <f t="shared" si="181"/>
        <v>#VALUE!</v>
      </c>
    </row>
    <row r="1601" spans="55:66" x14ac:dyDescent="0.2">
      <c r="BC1601" s="21" t="e" vm="1">
        <v>#REF!</v>
      </c>
      <c r="BD1601" t="e" vm="1">
        <v>#REF!</v>
      </c>
      <c r="BF1601" t="e" vm="2">
        <f t="shared" si="178"/>
        <v>#VALUE!</v>
      </c>
      <c r="BG1601" t="e" vm="2">
        <f t="shared" si="179"/>
        <v>#VALUE!</v>
      </c>
      <c r="BJ1601" s="21" t="e" vm="1">
        <v>#REF!</v>
      </c>
      <c r="BK1601" t="e" vm="1">
        <v>#REF!</v>
      </c>
      <c r="BM1601" t="e" vm="2">
        <f t="shared" si="180"/>
        <v>#VALUE!</v>
      </c>
      <c r="BN1601" t="e" vm="2">
        <f t="shared" si="181"/>
        <v>#VALUE!</v>
      </c>
    </row>
    <row r="1602" spans="55:66" x14ac:dyDescent="0.2">
      <c r="BC1602" s="21" t="e" vm="1">
        <v>#REF!</v>
      </c>
      <c r="BD1602" t="e" vm="1">
        <v>#REF!</v>
      </c>
      <c r="BF1602" t="e" vm="2">
        <f t="shared" si="178"/>
        <v>#VALUE!</v>
      </c>
      <c r="BG1602" t="e" vm="2">
        <f t="shared" si="179"/>
        <v>#VALUE!</v>
      </c>
      <c r="BJ1602" s="21" t="e" vm="1">
        <v>#REF!</v>
      </c>
      <c r="BK1602" t="e" vm="1">
        <v>#REF!</v>
      </c>
      <c r="BM1602" t="e" vm="2">
        <f t="shared" si="180"/>
        <v>#VALUE!</v>
      </c>
      <c r="BN1602" t="e" vm="2">
        <f t="shared" si="181"/>
        <v>#VALUE!</v>
      </c>
    </row>
    <row r="1603" spans="55:66" x14ac:dyDescent="0.2">
      <c r="BC1603" s="21" t="e" vm="1">
        <v>#REF!</v>
      </c>
      <c r="BD1603" t="e" vm="1">
        <v>#REF!</v>
      </c>
      <c r="BF1603" t="e" vm="2">
        <f t="shared" ref="BF1603:BF1666" si="182">MONTH(BC1603)</f>
        <v>#VALUE!</v>
      </c>
      <c r="BG1603" t="e" vm="2">
        <f t="shared" ref="BG1603:BG1666" si="183">YEAR(BC1603)</f>
        <v>#VALUE!</v>
      </c>
      <c r="BJ1603" s="21" t="e" vm="1">
        <v>#REF!</v>
      </c>
      <c r="BK1603" t="e" vm="1">
        <v>#REF!</v>
      </c>
      <c r="BM1603" t="e" vm="2">
        <f t="shared" si="180"/>
        <v>#VALUE!</v>
      </c>
      <c r="BN1603" t="e" vm="2">
        <f t="shared" si="181"/>
        <v>#VALUE!</v>
      </c>
    </row>
    <row r="1604" spans="55:66" x14ac:dyDescent="0.2">
      <c r="BC1604" s="21" t="e" vm="1">
        <v>#REF!</v>
      </c>
      <c r="BD1604" t="e" vm="1">
        <v>#REF!</v>
      </c>
      <c r="BF1604" t="e" vm="2">
        <f t="shared" si="182"/>
        <v>#VALUE!</v>
      </c>
      <c r="BG1604" t="e" vm="2">
        <f t="shared" si="183"/>
        <v>#VALUE!</v>
      </c>
      <c r="BJ1604" s="21" t="e" vm="1">
        <v>#REF!</v>
      </c>
      <c r="BK1604" t="e" vm="1">
        <v>#REF!</v>
      </c>
      <c r="BM1604" t="e" vm="2">
        <f t="shared" ref="BM1604:BM1667" si="184">MONTH(BJ1604)</f>
        <v>#VALUE!</v>
      </c>
      <c r="BN1604" t="e" vm="2">
        <f t="shared" ref="BN1604:BN1667" si="185">YEAR(BJ1604)</f>
        <v>#VALUE!</v>
      </c>
    </row>
    <row r="1605" spans="55:66" x14ac:dyDescent="0.2">
      <c r="BC1605" s="21" t="e" vm="1">
        <v>#REF!</v>
      </c>
      <c r="BD1605" t="e" vm="1">
        <v>#REF!</v>
      </c>
      <c r="BF1605" t="e" vm="2">
        <f t="shared" si="182"/>
        <v>#VALUE!</v>
      </c>
      <c r="BG1605" t="e" vm="2">
        <f t="shared" si="183"/>
        <v>#VALUE!</v>
      </c>
      <c r="BJ1605" s="21" t="e" vm="1">
        <v>#REF!</v>
      </c>
      <c r="BK1605" t="e" vm="1">
        <v>#REF!</v>
      </c>
      <c r="BM1605" t="e" vm="2">
        <f t="shared" si="184"/>
        <v>#VALUE!</v>
      </c>
      <c r="BN1605" t="e" vm="2">
        <f t="shared" si="185"/>
        <v>#VALUE!</v>
      </c>
    </row>
    <row r="1606" spans="55:66" x14ac:dyDescent="0.2">
      <c r="BC1606" s="21" t="e" vm="1">
        <v>#REF!</v>
      </c>
      <c r="BD1606" t="e" vm="1">
        <v>#REF!</v>
      </c>
      <c r="BF1606" t="e" vm="2">
        <f t="shared" si="182"/>
        <v>#VALUE!</v>
      </c>
      <c r="BG1606" t="e" vm="2">
        <f t="shared" si="183"/>
        <v>#VALUE!</v>
      </c>
      <c r="BJ1606" s="21" t="e" vm="1">
        <v>#REF!</v>
      </c>
      <c r="BK1606" t="e" vm="1">
        <v>#REF!</v>
      </c>
      <c r="BM1606" t="e" vm="2">
        <f t="shared" si="184"/>
        <v>#VALUE!</v>
      </c>
      <c r="BN1606" t="e" vm="2">
        <f t="shared" si="185"/>
        <v>#VALUE!</v>
      </c>
    </row>
    <row r="1607" spans="55:66" x14ac:dyDescent="0.2">
      <c r="BC1607" s="21" t="e" vm="1">
        <v>#REF!</v>
      </c>
      <c r="BD1607" t="e" vm="1">
        <v>#REF!</v>
      </c>
      <c r="BF1607" t="e" vm="2">
        <f t="shared" si="182"/>
        <v>#VALUE!</v>
      </c>
      <c r="BG1607" t="e" vm="2">
        <f t="shared" si="183"/>
        <v>#VALUE!</v>
      </c>
      <c r="BJ1607" s="21" t="e" vm="1">
        <v>#REF!</v>
      </c>
      <c r="BK1607" t="e" vm="1">
        <v>#REF!</v>
      </c>
      <c r="BM1607" t="e" vm="2">
        <f t="shared" si="184"/>
        <v>#VALUE!</v>
      </c>
      <c r="BN1607" t="e" vm="2">
        <f t="shared" si="185"/>
        <v>#VALUE!</v>
      </c>
    </row>
    <row r="1608" spans="55:66" x14ac:dyDescent="0.2">
      <c r="BC1608" s="21" t="e" vm="1">
        <v>#REF!</v>
      </c>
      <c r="BD1608" t="e" vm="1">
        <v>#REF!</v>
      </c>
      <c r="BF1608" t="e" vm="2">
        <f t="shared" si="182"/>
        <v>#VALUE!</v>
      </c>
      <c r="BG1608" t="e" vm="2">
        <f t="shared" si="183"/>
        <v>#VALUE!</v>
      </c>
      <c r="BJ1608" s="21" t="e" vm="1">
        <v>#REF!</v>
      </c>
      <c r="BK1608" t="e" vm="1">
        <v>#REF!</v>
      </c>
      <c r="BM1608" t="e" vm="2">
        <f t="shared" si="184"/>
        <v>#VALUE!</v>
      </c>
      <c r="BN1608" t="e" vm="2">
        <f t="shared" si="185"/>
        <v>#VALUE!</v>
      </c>
    </row>
    <row r="1609" spans="55:66" x14ac:dyDescent="0.2">
      <c r="BC1609" s="21" t="e" vm="1">
        <v>#REF!</v>
      </c>
      <c r="BD1609" t="e" vm="1">
        <v>#REF!</v>
      </c>
      <c r="BF1609" t="e" vm="2">
        <f t="shared" si="182"/>
        <v>#VALUE!</v>
      </c>
      <c r="BG1609" t="e" vm="2">
        <f t="shared" si="183"/>
        <v>#VALUE!</v>
      </c>
      <c r="BJ1609" s="21" t="e" vm="1">
        <v>#REF!</v>
      </c>
      <c r="BK1609" t="e" vm="1">
        <v>#REF!</v>
      </c>
      <c r="BM1609" t="e" vm="2">
        <f t="shared" si="184"/>
        <v>#VALUE!</v>
      </c>
      <c r="BN1609" t="e" vm="2">
        <f t="shared" si="185"/>
        <v>#VALUE!</v>
      </c>
    </row>
    <row r="1610" spans="55:66" x14ac:dyDescent="0.2">
      <c r="BC1610" s="21" t="e" vm="1">
        <v>#REF!</v>
      </c>
      <c r="BD1610" t="e" vm="1">
        <v>#REF!</v>
      </c>
      <c r="BF1610" t="e" vm="2">
        <f t="shared" si="182"/>
        <v>#VALUE!</v>
      </c>
      <c r="BG1610" t="e" vm="2">
        <f t="shared" si="183"/>
        <v>#VALUE!</v>
      </c>
      <c r="BJ1610" s="21" t="e" vm="1">
        <v>#REF!</v>
      </c>
      <c r="BK1610" t="e" vm="1">
        <v>#REF!</v>
      </c>
      <c r="BM1610" t="e" vm="2">
        <f t="shared" si="184"/>
        <v>#VALUE!</v>
      </c>
      <c r="BN1610" t="e" vm="2">
        <f t="shared" si="185"/>
        <v>#VALUE!</v>
      </c>
    </row>
    <row r="1611" spans="55:66" x14ac:dyDescent="0.2">
      <c r="BC1611" s="21" t="e" vm="1">
        <v>#REF!</v>
      </c>
      <c r="BD1611" t="e" vm="1">
        <v>#REF!</v>
      </c>
      <c r="BF1611" t="e" vm="2">
        <f t="shared" si="182"/>
        <v>#VALUE!</v>
      </c>
      <c r="BG1611" t="e" vm="2">
        <f t="shared" si="183"/>
        <v>#VALUE!</v>
      </c>
      <c r="BJ1611" s="21" t="e" vm="1">
        <v>#REF!</v>
      </c>
      <c r="BK1611" t="e" vm="1">
        <v>#REF!</v>
      </c>
      <c r="BM1611" t="e" vm="2">
        <f t="shared" si="184"/>
        <v>#VALUE!</v>
      </c>
      <c r="BN1611" t="e" vm="2">
        <f t="shared" si="185"/>
        <v>#VALUE!</v>
      </c>
    </row>
    <row r="1612" spans="55:66" x14ac:dyDescent="0.2">
      <c r="BC1612" s="21" t="e" vm="1">
        <v>#REF!</v>
      </c>
      <c r="BD1612" t="e" vm="1">
        <v>#REF!</v>
      </c>
      <c r="BF1612" t="e" vm="2">
        <f t="shared" si="182"/>
        <v>#VALUE!</v>
      </c>
      <c r="BG1612" t="e" vm="2">
        <f t="shared" si="183"/>
        <v>#VALUE!</v>
      </c>
      <c r="BJ1612" s="21" t="e" vm="1">
        <v>#REF!</v>
      </c>
      <c r="BK1612" t="e" vm="1">
        <v>#REF!</v>
      </c>
      <c r="BM1612" t="e" vm="2">
        <f t="shared" si="184"/>
        <v>#VALUE!</v>
      </c>
      <c r="BN1612" t="e" vm="2">
        <f t="shared" si="185"/>
        <v>#VALUE!</v>
      </c>
    </row>
    <row r="1613" spans="55:66" x14ac:dyDescent="0.2">
      <c r="BC1613" s="21" t="e" vm="1">
        <v>#REF!</v>
      </c>
      <c r="BD1613" t="e" vm="1">
        <v>#REF!</v>
      </c>
      <c r="BF1613" t="e" vm="2">
        <f t="shared" si="182"/>
        <v>#VALUE!</v>
      </c>
      <c r="BG1613" t="e" vm="2">
        <f t="shared" si="183"/>
        <v>#VALUE!</v>
      </c>
      <c r="BJ1613" s="21" t="e" vm="1">
        <v>#REF!</v>
      </c>
      <c r="BK1613" t="e" vm="1">
        <v>#REF!</v>
      </c>
      <c r="BM1613" t="e" vm="2">
        <f t="shared" si="184"/>
        <v>#VALUE!</v>
      </c>
      <c r="BN1613" t="e" vm="2">
        <f t="shared" si="185"/>
        <v>#VALUE!</v>
      </c>
    </row>
    <row r="1614" spans="55:66" x14ac:dyDescent="0.2">
      <c r="BC1614" s="21" t="e" vm="1">
        <v>#REF!</v>
      </c>
      <c r="BD1614" t="e" vm="1">
        <v>#REF!</v>
      </c>
      <c r="BF1614" t="e" vm="2">
        <f t="shared" si="182"/>
        <v>#VALUE!</v>
      </c>
      <c r="BG1614" t="e" vm="2">
        <f t="shared" si="183"/>
        <v>#VALUE!</v>
      </c>
      <c r="BJ1614" s="21" t="e" vm="1">
        <v>#REF!</v>
      </c>
      <c r="BK1614" t="e" vm="1">
        <v>#REF!</v>
      </c>
      <c r="BM1614" t="e" vm="2">
        <f t="shared" si="184"/>
        <v>#VALUE!</v>
      </c>
      <c r="BN1614" t="e" vm="2">
        <f t="shared" si="185"/>
        <v>#VALUE!</v>
      </c>
    </row>
    <row r="1615" spans="55:66" x14ac:dyDescent="0.2">
      <c r="BC1615" s="21" t="e" vm="1">
        <v>#REF!</v>
      </c>
      <c r="BD1615" t="e" vm="1">
        <v>#REF!</v>
      </c>
      <c r="BF1615" t="e" vm="2">
        <f t="shared" si="182"/>
        <v>#VALUE!</v>
      </c>
      <c r="BG1615" t="e" vm="2">
        <f t="shared" si="183"/>
        <v>#VALUE!</v>
      </c>
      <c r="BJ1615" s="21" t="e" vm="1">
        <v>#REF!</v>
      </c>
      <c r="BK1615" t="e" vm="1">
        <v>#REF!</v>
      </c>
      <c r="BM1615" t="e" vm="2">
        <f t="shared" si="184"/>
        <v>#VALUE!</v>
      </c>
      <c r="BN1615" t="e" vm="2">
        <f t="shared" si="185"/>
        <v>#VALUE!</v>
      </c>
    </row>
    <row r="1616" spans="55:66" x14ac:dyDescent="0.2">
      <c r="BC1616" s="21" t="e" vm="1">
        <v>#REF!</v>
      </c>
      <c r="BD1616" t="e" vm="1">
        <v>#REF!</v>
      </c>
      <c r="BF1616" t="e" vm="2">
        <f t="shared" si="182"/>
        <v>#VALUE!</v>
      </c>
      <c r="BG1616" t="e" vm="2">
        <f t="shared" si="183"/>
        <v>#VALUE!</v>
      </c>
      <c r="BJ1616" s="21" t="e" vm="1">
        <v>#REF!</v>
      </c>
      <c r="BK1616" t="e" vm="1">
        <v>#REF!</v>
      </c>
      <c r="BM1616" t="e" vm="2">
        <f t="shared" si="184"/>
        <v>#VALUE!</v>
      </c>
      <c r="BN1616" t="e" vm="2">
        <f t="shared" si="185"/>
        <v>#VALUE!</v>
      </c>
    </row>
    <row r="1617" spans="55:66" x14ac:dyDescent="0.2">
      <c r="BC1617" s="21" t="e" vm="1">
        <v>#REF!</v>
      </c>
      <c r="BD1617" t="e" vm="1">
        <v>#REF!</v>
      </c>
      <c r="BF1617" t="e" vm="2">
        <f t="shared" si="182"/>
        <v>#VALUE!</v>
      </c>
      <c r="BG1617" t="e" vm="2">
        <f t="shared" si="183"/>
        <v>#VALUE!</v>
      </c>
      <c r="BJ1617" s="21" t="e" vm="1">
        <v>#REF!</v>
      </c>
      <c r="BK1617" t="e" vm="1">
        <v>#REF!</v>
      </c>
      <c r="BM1617" t="e" vm="2">
        <f t="shared" si="184"/>
        <v>#VALUE!</v>
      </c>
      <c r="BN1617" t="e" vm="2">
        <f t="shared" si="185"/>
        <v>#VALUE!</v>
      </c>
    </row>
    <row r="1618" spans="55:66" x14ac:dyDescent="0.2">
      <c r="BC1618" s="21" t="e" vm="1">
        <v>#REF!</v>
      </c>
      <c r="BD1618" t="e" vm="1">
        <v>#REF!</v>
      </c>
      <c r="BF1618" t="e" vm="2">
        <f t="shared" si="182"/>
        <v>#VALUE!</v>
      </c>
      <c r="BG1618" t="e" vm="2">
        <f t="shared" si="183"/>
        <v>#VALUE!</v>
      </c>
      <c r="BJ1618" s="21" t="e" vm="1">
        <v>#REF!</v>
      </c>
      <c r="BK1618" t="e" vm="1">
        <v>#REF!</v>
      </c>
      <c r="BM1618" t="e" vm="2">
        <f t="shared" si="184"/>
        <v>#VALUE!</v>
      </c>
      <c r="BN1618" t="e" vm="2">
        <f t="shared" si="185"/>
        <v>#VALUE!</v>
      </c>
    </row>
    <row r="1619" spans="55:66" x14ac:dyDescent="0.2">
      <c r="BC1619" s="21" t="e" vm="1">
        <v>#REF!</v>
      </c>
      <c r="BD1619" t="e" vm="1">
        <v>#REF!</v>
      </c>
      <c r="BF1619" t="e" vm="2">
        <f t="shared" si="182"/>
        <v>#VALUE!</v>
      </c>
      <c r="BG1619" t="e" vm="2">
        <f t="shared" si="183"/>
        <v>#VALUE!</v>
      </c>
      <c r="BJ1619" s="21" t="e" vm="1">
        <v>#REF!</v>
      </c>
      <c r="BK1619" t="e" vm="1">
        <v>#REF!</v>
      </c>
      <c r="BM1619" t="e" vm="2">
        <f t="shared" si="184"/>
        <v>#VALUE!</v>
      </c>
      <c r="BN1619" t="e" vm="2">
        <f t="shared" si="185"/>
        <v>#VALUE!</v>
      </c>
    </row>
    <row r="1620" spans="55:66" x14ac:dyDescent="0.2">
      <c r="BC1620" s="21" t="e" vm="1">
        <v>#REF!</v>
      </c>
      <c r="BD1620" t="e" vm="1">
        <v>#REF!</v>
      </c>
      <c r="BF1620" t="e" vm="2">
        <f t="shared" si="182"/>
        <v>#VALUE!</v>
      </c>
      <c r="BG1620" t="e" vm="2">
        <f t="shared" si="183"/>
        <v>#VALUE!</v>
      </c>
      <c r="BJ1620" s="21" t="e" vm="1">
        <v>#REF!</v>
      </c>
      <c r="BK1620" t="e" vm="1">
        <v>#REF!</v>
      </c>
      <c r="BM1620" t="e" vm="2">
        <f t="shared" si="184"/>
        <v>#VALUE!</v>
      </c>
      <c r="BN1620" t="e" vm="2">
        <f t="shared" si="185"/>
        <v>#VALUE!</v>
      </c>
    </row>
    <row r="1621" spans="55:66" x14ac:dyDescent="0.2">
      <c r="BC1621" s="21" t="e" vm="1">
        <v>#REF!</v>
      </c>
      <c r="BD1621" t="e" vm="1">
        <v>#REF!</v>
      </c>
      <c r="BF1621" t="e" vm="2">
        <f t="shared" si="182"/>
        <v>#VALUE!</v>
      </c>
      <c r="BG1621" t="e" vm="2">
        <f t="shared" si="183"/>
        <v>#VALUE!</v>
      </c>
      <c r="BJ1621" s="21" t="e" vm="1">
        <v>#REF!</v>
      </c>
      <c r="BK1621" t="e" vm="1">
        <v>#REF!</v>
      </c>
      <c r="BM1621" t="e" vm="2">
        <f t="shared" si="184"/>
        <v>#VALUE!</v>
      </c>
      <c r="BN1621" t="e" vm="2">
        <f t="shared" si="185"/>
        <v>#VALUE!</v>
      </c>
    </row>
    <row r="1622" spans="55:66" x14ac:dyDescent="0.2">
      <c r="BC1622" s="21" t="e" vm="1">
        <v>#REF!</v>
      </c>
      <c r="BD1622" t="e" vm="1">
        <v>#REF!</v>
      </c>
      <c r="BF1622" t="e" vm="2">
        <f t="shared" si="182"/>
        <v>#VALUE!</v>
      </c>
      <c r="BG1622" t="e" vm="2">
        <f t="shared" si="183"/>
        <v>#VALUE!</v>
      </c>
      <c r="BJ1622" s="21" t="e" vm="1">
        <v>#REF!</v>
      </c>
      <c r="BK1622" t="e" vm="1">
        <v>#REF!</v>
      </c>
      <c r="BM1622" t="e" vm="2">
        <f t="shared" si="184"/>
        <v>#VALUE!</v>
      </c>
      <c r="BN1622" t="e" vm="2">
        <f t="shared" si="185"/>
        <v>#VALUE!</v>
      </c>
    </row>
    <row r="1623" spans="55:66" x14ac:dyDescent="0.2">
      <c r="BC1623" s="21" t="e" vm="1">
        <v>#REF!</v>
      </c>
      <c r="BD1623" t="e" vm="1">
        <v>#REF!</v>
      </c>
      <c r="BF1623" t="e" vm="2">
        <f t="shared" si="182"/>
        <v>#VALUE!</v>
      </c>
      <c r="BG1623" t="e" vm="2">
        <f t="shared" si="183"/>
        <v>#VALUE!</v>
      </c>
      <c r="BJ1623" s="21" t="e" vm="1">
        <v>#REF!</v>
      </c>
      <c r="BK1623" t="e" vm="1">
        <v>#REF!</v>
      </c>
      <c r="BM1623" t="e" vm="2">
        <f t="shared" si="184"/>
        <v>#VALUE!</v>
      </c>
      <c r="BN1623" t="e" vm="2">
        <f t="shared" si="185"/>
        <v>#VALUE!</v>
      </c>
    </row>
    <row r="1624" spans="55:66" x14ac:dyDescent="0.2">
      <c r="BC1624" s="21" t="e" vm="1">
        <v>#REF!</v>
      </c>
      <c r="BD1624" t="e" vm="1">
        <v>#REF!</v>
      </c>
      <c r="BF1624" t="e" vm="2">
        <f t="shared" si="182"/>
        <v>#VALUE!</v>
      </c>
      <c r="BG1624" t="e" vm="2">
        <f t="shared" si="183"/>
        <v>#VALUE!</v>
      </c>
      <c r="BJ1624" s="21" t="e" vm="1">
        <v>#REF!</v>
      </c>
      <c r="BK1624" t="e" vm="1">
        <v>#REF!</v>
      </c>
      <c r="BM1624" t="e" vm="2">
        <f t="shared" si="184"/>
        <v>#VALUE!</v>
      </c>
      <c r="BN1624" t="e" vm="2">
        <f t="shared" si="185"/>
        <v>#VALUE!</v>
      </c>
    </row>
    <row r="1625" spans="55:66" x14ac:dyDescent="0.2">
      <c r="BC1625" s="21" t="e" vm="1">
        <v>#REF!</v>
      </c>
      <c r="BD1625" t="e" vm="1">
        <v>#REF!</v>
      </c>
      <c r="BF1625" t="e" vm="2">
        <f t="shared" si="182"/>
        <v>#VALUE!</v>
      </c>
      <c r="BG1625" t="e" vm="2">
        <f t="shared" si="183"/>
        <v>#VALUE!</v>
      </c>
      <c r="BJ1625" s="21" t="e" vm="1">
        <v>#REF!</v>
      </c>
      <c r="BK1625" t="e" vm="1">
        <v>#REF!</v>
      </c>
      <c r="BM1625" t="e" vm="2">
        <f t="shared" si="184"/>
        <v>#VALUE!</v>
      </c>
      <c r="BN1625" t="e" vm="2">
        <f t="shared" si="185"/>
        <v>#VALUE!</v>
      </c>
    </row>
    <row r="1626" spans="55:66" x14ac:dyDescent="0.2">
      <c r="BC1626" s="21" t="e" vm="1">
        <v>#REF!</v>
      </c>
      <c r="BD1626" t="e" vm="1">
        <v>#REF!</v>
      </c>
      <c r="BF1626" t="e" vm="2">
        <f t="shared" si="182"/>
        <v>#VALUE!</v>
      </c>
      <c r="BG1626" t="e" vm="2">
        <f t="shared" si="183"/>
        <v>#VALUE!</v>
      </c>
      <c r="BJ1626" s="21" t="e" vm="1">
        <v>#REF!</v>
      </c>
      <c r="BK1626" t="e" vm="1">
        <v>#REF!</v>
      </c>
      <c r="BM1626" t="e" vm="2">
        <f t="shared" si="184"/>
        <v>#VALUE!</v>
      </c>
      <c r="BN1626" t="e" vm="2">
        <f t="shared" si="185"/>
        <v>#VALUE!</v>
      </c>
    </row>
    <row r="1627" spans="55:66" x14ac:dyDescent="0.2">
      <c r="BC1627" s="21" t="e" vm="1">
        <v>#REF!</v>
      </c>
      <c r="BD1627" t="e" vm="1">
        <v>#REF!</v>
      </c>
      <c r="BF1627" t="e" vm="2">
        <f t="shared" si="182"/>
        <v>#VALUE!</v>
      </c>
      <c r="BG1627" t="e" vm="2">
        <f t="shared" si="183"/>
        <v>#VALUE!</v>
      </c>
      <c r="BJ1627" s="21" t="e" vm="1">
        <v>#REF!</v>
      </c>
      <c r="BK1627" t="e" vm="1">
        <v>#REF!</v>
      </c>
      <c r="BM1627" t="e" vm="2">
        <f t="shared" si="184"/>
        <v>#VALUE!</v>
      </c>
      <c r="BN1627" t="e" vm="2">
        <f t="shared" si="185"/>
        <v>#VALUE!</v>
      </c>
    </row>
    <row r="1628" spans="55:66" x14ac:dyDescent="0.2">
      <c r="BC1628" s="21" t="e" vm="1">
        <v>#REF!</v>
      </c>
      <c r="BD1628" t="e" vm="1">
        <v>#REF!</v>
      </c>
      <c r="BF1628" t="e" vm="2">
        <f t="shared" si="182"/>
        <v>#VALUE!</v>
      </c>
      <c r="BG1628" t="e" vm="2">
        <f t="shared" si="183"/>
        <v>#VALUE!</v>
      </c>
      <c r="BJ1628" s="21" t="e" vm="1">
        <v>#REF!</v>
      </c>
      <c r="BK1628" t="e" vm="1">
        <v>#REF!</v>
      </c>
      <c r="BM1628" t="e" vm="2">
        <f t="shared" si="184"/>
        <v>#VALUE!</v>
      </c>
      <c r="BN1628" t="e" vm="2">
        <f t="shared" si="185"/>
        <v>#VALUE!</v>
      </c>
    </row>
    <row r="1629" spans="55:66" x14ac:dyDescent="0.2">
      <c r="BC1629" s="21" t="e" vm="1">
        <v>#REF!</v>
      </c>
      <c r="BD1629" t="e" vm="1">
        <v>#REF!</v>
      </c>
      <c r="BF1629" t="e" vm="2">
        <f t="shared" si="182"/>
        <v>#VALUE!</v>
      </c>
      <c r="BG1629" t="e" vm="2">
        <f t="shared" si="183"/>
        <v>#VALUE!</v>
      </c>
      <c r="BJ1629" s="21" t="e" vm="1">
        <v>#REF!</v>
      </c>
      <c r="BK1629" t="e" vm="1">
        <v>#REF!</v>
      </c>
      <c r="BM1629" t="e" vm="2">
        <f t="shared" si="184"/>
        <v>#VALUE!</v>
      </c>
      <c r="BN1629" t="e" vm="2">
        <f t="shared" si="185"/>
        <v>#VALUE!</v>
      </c>
    </row>
    <row r="1630" spans="55:66" x14ac:dyDescent="0.2">
      <c r="BC1630" s="21" t="e" vm="1">
        <v>#REF!</v>
      </c>
      <c r="BD1630" t="e" vm="1">
        <v>#REF!</v>
      </c>
      <c r="BF1630" t="e" vm="2">
        <f t="shared" si="182"/>
        <v>#VALUE!</v>
      </c>
      <c r="BG1630" t="e" vm="2">
        <f t="shared" si="183"/>
        <v>#VALUE!</v>
      </c>
      <c r="BJ1630" s="21" t="e" vm="1">
        <v>#REF!</v>
      </c>
      <c r="BK1630" t="e" vm="1">
        <v>#REF!</v>
      </c>
      <c r="BM1630" t="e" vm="2">
        <f t="shared" si="184"/>
        <v>#VALUE!</v>
      </c>
      <c r="BN1630" t="e" vm="2">
        <f t="shared" si="185"/>
        <v>#VALUE!</v>
      </c>
    </row>
    <row r="1631" spans="55:66" x14ac:dyDescent="0.2">
      <c r="BC1631" s="21" t="e" vm="1">
        <v>#REF!</v>
      </c>
      <c r="BD1631" t="e" vm="1">
        <v>#REF!</v>
      </c>
      <c r="BF1631" t="e" vm="2">
        <f t="shared" si="182"/>
        <v>#VALUE!</v>
      </c>
      <c r="BG1631" t="e" vm="2">
        <f t="shared" si="183"/>
        <v>#VALUE!</v>
      </c>
      <c r="BJ1631" s="21" t="e" vm="1">
        <v>#REF!</v>
      </c>
      <c r="BK1631" t="e" vm="1">
        <v>#REF!</v>
      </c>
      <c r="BM1631" t="e" vm="2">
        <f t="shared" si="184"/>
        <v>#VALUE!</v>
      </c>
      <c r="BN1631" t="e" vm="2">
        <f t="shared" si="185"/>
        <v>#VALUE!</v>
      </c>
    </row>
    <row r="1632" spans="55:66" x14ac:dyDescent="0.2">
      <c r="BC1632" s="21" t="e" vm="1">
        <v>#REF!</v>
      </c>
      <c r="BD1632" t="e" vm="1">
        <v>#REF!</v>
      </c>
      <c r="BF1632" t="e" vm="2">
        <f t="shared" si="182"/>
        <v>#VALUE!</v>
      </c>
      <c r="BG1632" t="e" vm="2">
        <f t="shared" si="183"/>
        <v>#VALUE!</v>
      </c>
      <c r="BJ1632" s="21" t="e" vm="1">
        <v>#REF!</v>
      </c>
      <c r="BK1632" t="e" vm="1">
        <v>#REF!</v>
      </c>
      <c r="BM1632" t="e" vm="2">
        <f t="shared" si="184"/>
        <v>#VALUE!</v>
      </c>
      <c r="BN1632" t="e" vm="2">
        <f t="shared" si="185"/>
        <v>#VALUE!</v>
      </c>
    </row>
    <row r="1633" spans="55:66" x14ac:dyDescent="0.2">
      <c r="BC1633" s="21" t="e" vm="1">
        <v>#REF!</v>
      </c>
      <c r="BD1633" t="e" vm="1">
        <v>#REF!</v>
      </c>
      <c r="BF1633" t="e" vm="2">
        <f t="shared" si="182"/>
        <v>#VALUE!</v>
      </c>
      <c r="BG1633" t="e" vm="2">
        <f t="shared" si="183"/>
        <v>#VALUE!</v>
      </c>
      <c r="BJ1633" s="21" t="e" vm="1">
        <v>#REF!</v>
      </c>
      <c r="BK1633" t="e" vm="1">
        <v>#REF!</v>
      </c>
      <c r="BM1633" t="e" vm="2">
        <f t="shared" si="184"/>
        <v>#VALUE!</v>
      </c>
      <c r="BN1633" t="e" vm="2">
        <f t="shared" si="185"/>
        <v>#VALUE!</v>
      </c>
    </row>
    <row r="1634" spans="55:66" x14ac:dyDescent="0.2">
      <c r="BC1634" s="21" t="e" vm="1">
        <v>#REF!</v>
      </c>
      <c r="BD1634" t="e" vm="1">
        <v>#REF!</v>
      </c>
      <c r="BF1634" t="e" vm="2">
        <f t="shared" si="182"/>
        <v>#VALUE!</v>
      </c>
      <c r="BG1634" t="e" vm="2">
        <f t="shared" si="183"/>
        <v>#VALUE!</v>
      </c>
      <c r="BJ1634" s="21" t="e" vm="1">
        <v>#REF!</v>
      </c>
      <c r="BK1634" t="e" vm="1">
        <v>#REF!</v>
      </c>
      <c r="BM1634" t="e" vm="2">
        <f t="shared" si="184"/>
        <v>#VALUE!</v>
      </c>
      <c r="BN1634" t="e" vm="2">
        <f t="shared" si="185"/>
        <v>#VALUE!</v>
      </c>
    </row>
    <row r="1635" spans="55:66" x14ac:dyDescent="0.2">
      <c r="BC1635" s="21" t="e" vm="1">
        <v>#REF!</v>
      </c>
      <c r="BD1635" t="e" vm="1">
        <v>#REF!</v>
      </c>
      <c r="BF1635" t="e" vm="2">
        <f t="shared" si="182"/>
        <v>#VALUE!</v>
      </c>
      <c r="BG1635" t="e" vm="2">
        <f t="shared" si="183"/>
        <v>#VALUE!</v>
      </c>
      <c r="BJ1635" s="21" t="e" vm="1">
        <v>#REF!</v>
      </c>
      <c r="BK1635" t="e" vm="1">
        <v>#REF!</v>
      </c>
      <c r="BM1635" t="e" vm="2">
        <f t="shared" si="184"/>
        <v>#VALUE!</v>
      </c>
      <c r="BN1635" t="e" vm="2">
        <f t="shared" si="185"/>
        <v>#VALUE!</v>
      </c>
    </row>
    <row r="1636" spans="55:66" x14ac:dyDescent="0.2">
      <c r="BC1636" s="21" t="e" vm="1">
        <v>#REF!</v>
      </c>
      <c r="BD1636" t="e" vm="1">
        <v>#REF!</v>
      </c>
      <c r="BF1636" t="e" vm="2">
        <f t="shared" si="182"/>
        <v>#VALUE!</v>
      </c>
      <c r="BG1636" t="e" vm="2">
        <f t="shared" si="183"/>
        <v>#VALUE!</v>
      </c>
      <c r="BJ1636" s="21" t="e" vm="1">
        <v>#REF!</v>
      </c>
      <c r="BK1636" t="e" vm="1">
        <v>#REF!</v>
      </c>
      <c r="BM1636" t="e" vm="2">
        <f t="shared" si="184"/>
        <v>#VALUE!</v>
      </c>
      <c r="BN1636" t="e" vm="2">
        <f t="shared" si="185"/>
        <v>#VALUE!</v>
      </c>
    </row>
    <row r="1637" spans="55:66" x14ac:dyDescent="0.2">
      <c r="BC1637" s="21" t="e" vm="1">
        <v>#REF!</v>
      </c>
      <c r="BD1637" t="e" vm="1">
        <v>#REF!</v>
      </c>
      <c r="BF1637" t="e" vm="2">
        <f t="shared" si="182"/>
        <v>#VALUE!</v>
      </c>
      <c r="BG1637" t="e" vm="2">
        <f t="shared" si="183"/>
        <v>#VALUE!</v>
      </c>
      <c r="BJ1637" s="21" t="e" vm="1">
        <v>#REF!</v>
      </c>
      <c r="BK1637" t="e" vm="1">
        <v>#REF!</v>
      </c>
      <c r="BM1637" t="e" vm="2">
        <f t="shared" si="184"/>
        <v>#VALUE!</v>
      </c>
      <c r="BN1637" t="e" vm="2">
        <f t="shared" si="185"/>
        <v>#VALUE!</v>
      </c>
    </row>
    <row r="1638" spans="55:66" x14ac:dyDescent="0.2">
      <c r="BC1638" s="21" t="e" vm="1">
        <v>#REF!</v>
      </c>
      <c r="BD1638" t="e" vm="1">
        <v>#REF!</v>
      </c>
      <c r="BF1638" t="e" vm="2">
        <f t="shared" si="182"/>
        <v>#VALUE!</v>
      </c>
      <c r="BG1638" t="e" vm="2">
        <f t="shared" si="183"/>
        <v>#VALUE!</v>
      </c>
      <c r="BJ1638" s="21" t="e" vm="1">
        <v>#REF!</v>
      </c>
      <c r="BK1638" t="e" vm="1">
        <v>#REF!</v>
      </c>
      <c r="BM1638" t="e" vm="2">
        <f t="shared" si="184"/>
        <v>#VALUE!</v>
      </c>
      <c r="BN1638" t="e" vm="2">
        <f t="shared" si="185"/>
        <v>#VALUE!</v>
      </c>
    </row>
    <row r="1639" spans="55:66" x14ac:dyDescent="0.2">
      <c r="BC1639" s="21" t="e" vm="1">
        <v>#REF!</v>
      </c>
      <c r="BD1639" t="e" vm="1">
        <v>#REF!</v>
      </c>
      <c r="BF1639" t="e" vm="2">
        <f t="shared" si="182"/>
        <v>#VALUE!</v>
      </c>
      <c r="BG1639" t="e" vm="2">
        <f t="shared" si="183"/>
        <v>#VALUE!</v>
      </c>
      <c r="BJ1639" s="21" t="e" vm="1">
        <v>#REF!</v>
      </c>
      <c r="BK1639" t="e" vm="1">
        <v>#REF!</v>
      </c>
      <c r="BM1639" t="e" vm="2">
        <f t="shared" si="184"/>
        <v>#VALUE!</v>
      </c>
      <c r="BN1639" t="e" vm="2">
        <f t="shared" si="185"/>
        <v>#VALUE!</v>
      </c>
    </row>
    <row r="1640" spans="55:66" x14ac:dyDescent="0.2">
      <c r="BC1640" s="21" t="e" vm="1">
        <v>#REF!</v>
      </c>
      <c r="BD1640" t="e" vm="1">
        <v>#REF!</v>
      </c>
      <c r="BF1640" t="e" vm="2">
        <f t="shared" si="182"/>
        <v>#VALUE!</v>
      </c>
      <c r="BG1640" t="e" vm="2">
        <f t="shared" si="183"/>
        <v>#VALUE!</v>
      </c>
      <c r="BJ1640" s="21" t="e" vm="1">
        <v>#REF!</v>
      </c>
      <c r="BK1640" t="e" vm="1">
        <v>#REF!</v>
      </c>
      <c r="BM1640" t="e" vm="2">
        <f t="shared" si="184"/>
        <v>#VALUE!</v>
      </c>
      <c r="BN1640" t="e" vm="2">
        <f t="shared" si="185"/>
        <v>#VALUE!</v>
      </c>
    </row>
    <row r="1641" spans="55:66" x14ac:dyDescent="0.2">
      <c r="BC1641" s="21" t="e" vm="1">
        <v>#REF!</v>
      </c>
      <c r="BD1641" t="e" vm="1">
        <v>#REF!</v>
      </c>
      <c r="BF1641" t="e" vm="2">
        <f t="shared" si="182"/>
        <v>#VALUE!</v>
      </c>
      <c r="BG1641" t="e" vm="2">
        <f t="shared" si="183"/>
        <v>#VALUE!</v>
      </c>
      <c r="BJ1641" s="21" t="e" vm="1">
        <v>#REF!</v>
      </c>
      <c r="BK1641" t="e" vm="1">
        <v>#REF!</v>
      </c>
      <c r="BM1641" t="e" vm="2">
        <f t="shared" si="184"/>
        <v>#VALUE!</v>
      </c>
      <c r="BN1641" t="e" vm="2">
        <f t="shared" si="185"/>
        <v>#VALUE!</v>
      </c>
    </row>
    <row r="1642" spans="55:66" x14ac:dyDescent="0.2">
      <c r="BC1642" s="21" t="e" vm="1">
        <v>#REF!</v>
      </c>
      <c r="BD1642" t="e" vm="1">
        <v>#REF!</v>
      </c>
      <c r="BF1642" t="e" vm="2">
        <f t="shared" si="182"/>
        <v>#VALUE!</v>
      </c>
      <c r="BG1642" t="e" vm="2">
        <f t="shared" si="183"/>
        <v>#VALUE!</v>
      </c>
      <c r="BJ1642" s="21" t="e" vm="1">
        <v>#REF!</v>
      </c>
      <c r="BK1642" t="e" vm="1">
        <v>#REF!</v>
      </c>
      <c r="BM1642" t="e" vm="2">
        <f t="shared" si="184"/>
        <v>#VALUE!</v>
      </c>
      <c r="BN1642" t="e" vm="2">
        <f t="shared" si="185"/>
        <v>#VALUE!</v>
      </c>
    </row>
    <row r="1643" spans="55:66" x14ac:dyDescent="0.2">
      <c r="BC1643" s="21" t="e" vm="1">
        <v>#REF!</v>
      </c>
      <c r="BD1643" t="e" vm="1">
        <v>#REF!</v>
      </c>
      <c r="BF1643" t="e" vm="2">
        <f t="shared" si="182"/>
        <v>#VALUE!</v>
      </c>
      <c r="BG1643" t="e" vm="2">
        <f t="shared" si="183"/>
        <v>#VALUE!</v>
      </c>
      <c r="BJ1643" s="21" t="e" vm="1">
        <v>#REF!</v>
      </c>
      <c r="BK1643" t="e" vm="1">
        <v>#REF!</v>
      </c>
      <c r="BM1643" t="e" vm="2">
        <f t="shared" si="184"/>
        <v>#VALUE!</v>
      </c>
      <c r="BN1643" t="e" vm="2">
        <f t="shared" si="185"/>
        <v>#VALUE!</v>
      </c>
    </row>
    <row r="1644" spans="55:66" x14ac:dyDescent="0.2">
      <c r="BC1644" s="21" t="e" vm="1">
        <v>#REF!</v>
      </c>
      <c r="BD1644" t="e" vm="1">
        <v>#REF!</v>
      </c>
      <c r="BF1644" t="e" vm="2">
        <f t="shared" si="182"/>
        <v>#VALUE!</v>
      </c>
      <c r="BG1644" t="e" vm="2">
        <f t="shared" si="183"/>
        <v>#VALUE!</v>
      </c>
      <c r="BJ1644" s="21" t="e" vm="1">
        <v>#REF!</v>
      </c>
      <c r="BK1644" t="e" vm="1">
        <v>#REF!</v>
      </c>
      <c r="BM1644" t="e" vm="2">
        <f t="shared" si="184"/>
        <v>#VALUE!</v>
      </c>
      <c r="BN1644" t="e" vm="2">
        <f t="shared" si="185"/>
        <v>#VALUE!</v>
      </c>
    </row>
    <row r="1645" spans="55:66" x14ac:dyDescent="0.2">
      <c r="BC1645" s="21" t="e" vm="1">
        <v>#REF!</v>
      </c>
      <c r="BD1645" t="e" vm="1">
        <v>#REF!</v>
      </c>
      <c r="BF1645" t="e" vm="2">
        <f t="shared" si="182"/>
        <v>#VALUE!</v>
      </c>
      <c r="BG1645" t="e" vm="2">
        <f t="shared" si="183"/>
        <v>#VALUE!</v>
      </c>
      <c r="BJ1645" s="21" t="e" vm="1">
        <v>#REF!</v>
      </c>
      <c r="BK1645" t="e" vm="1">
        <v>#REF!</v>
      </c>
      <c r="BM1645" t="e" vm="2">
        <f t="shared" si="184"/>
        <v>#VALUE!</v>
      </c>
      <c r="BN1645" t="e" vm="2">
        <f t="shared" si="185"/>
        <v>#VALUE!</v>
      </c>
    </row>
    <row r="1646" spans="55:66" x14ac:dyDescent="0.2">
      <c r="BC1646" s="21" t="e" vm="1">
        <v>#REF!</v>
      </c>
      <c r="BD1646" t="e" vm="1">
        <v>#REF!</v>
      </c>
      <c r="BF1646" t="e" vm="2">
        <f t="shared" si="182"/>
        <v>#VALUE!</v>
      </c>
      <c r="BG1646" t="e" vm="2">
        <f t="shared" si="183"/>
        <v>#VALUE!</v>
      </c>
      <c r="BJ1646" s="21" t="e" vm="1">
        <v>#REF!</v>
      </c>
      <c r="BK1646" t="e" vm="1">
        <v>#REF!</v>
      </c>
      <c r="BM1646" t="e" vm="2">
        <f t="shared" si="184"/>
        <v>#VALUE!</v>
      </c>
      <c r="BN1646" t="e" vm="2">
        <f t="shared" si="185"/>
        <v>#VALUE!</v>
      </c>
    </row>
    <row r="1647" spans="55:66" x14ac:dyDescent="0.2">
      <c r="BC1647" s="21" t="e" vm="1">
        <v>#REF!</v>
      </c>
      <c r="BD1647" t="e" vm="1">
        <v>#REF!</v>
      </c>
      <c r="BF1647" t="e" vm="2">
        <f t="shared" si="182"/>
        <v>#VALUE!</v>
      </c>
      <c r="BG1647" t="e" vm="2">
        <f t="shared" si="183"/>
        <v>#VALUE!</v>
      </c>
      <c r="BJ1647" s="21" t="e" vm="1">
        <v>#REF!</v>
      </c>
      <c r="BK1647" t="e" vm="1">
        <v>#REF!</v>
      </c>
      <c r="BM1647" t="e" vm="2">
        <f t="shared" si="184"/>
        <v>#VALUE!</v>
      </c>
      <c r="BN1647" t="e" vm="2">
        <f t="shared" si="185"/>
        <v>#VALUE!</v>
      </c>
    </row>
    <row r="1648" spans="55:66" x14ac:dyDescent="0.2">
      <c r="BC1648" s="21" t="e" vm="1">
        <v>#REF!</v>
      </c>
      <c r="BD1648" t="e" vm="1">
        <v>#REF!</v>
      </c>
      <c r="BF1648" t="e" vm="2">
        <f t="shared" si="182"/>
        <v>#VALUE!</v>
      </c>
      <c r="BG1648" t="e" vm="2">
        <f t="shared" si="183"/>
        <v>#VALUE!</v>
      </c>
      <c r="BJ1648" s="21" t="e" vm="1">
        <v>#REF!</v>
      </c>
      <c r="BK1648" t="e" vm="1">
        <v>#REF!</v>
      </c>
      <c r="BM1648" t="e" vm="2">
        <f t="shared" si="184"/>
        <v>#VALUE!</v>
      </c>
      <c r="BN1648" t="e" vm="2">
        <f t="shared" si="185"/>
        <v>#VALUE!</v>
      </c>
    </row>
    <row r="1649" spans="55:66" x14ac:dyDescent="0.2">
      <c r="BC1649" s="21" t="e" vm="1">
        <v>#REF!</v>
      </c>
      <c r="BD1649" t="e" vm="1">
        <v>#REF!</v>
      </c>
      <c r="BF1649" t="e" vm="2">
        <f t="shared" si="182"/>
        <v>#VALUE!</v>
      </c>
      <c r="BG1649" t="e" vm="2">
        <f t="shared" si="183"/>
        <v>#VALUE!</v>
      </c>
      <c r="BJ1649" s="21" t="e" vm="1">
        <v>#REF!</v>
      </c>
      <c r="BK1649" t="e" vm="1">
        <v>#REF!</v>
      </c>
      <c r="BM1649" t="e" vm="2">
        <f t="shared" si="184"/>
        <v>#VALUE!</v>
      </c>
      <c r="BN1649" t="e" vm="2">
        <f t="shared" si="185"/>
        <v>#VALUE!</v>
      </c>
    </row>
    <row r="1650" spans="55:66" x14ac:dyDescent="0.2">
      <c r="BC1650" s="21" t="e" vm="1">
        <v>#REF!</v>
      </c>
      <c r="BD1650" t="e" vm="1">
        <v>#REF!</v>
      </c>
      <c r="BF1650" t="e" vm="2">
        <f t="shared" si="182"/>
        <v>#VALUE!</v>
      </c>
      <c r="BG1650" t="e" vm="2">
        <f t="shared" si="183"/>
        <v>#VALUE!</v>
      </c>
      <c r="BJ1650" s="21" t="e" vm="1">
        <v>#REF!</v>
      </c>
      <c r="BK1650" t="e" vm="1">
        <v>#REF!</v>
      </c>
      <c r="BM1650" t="e" vm="2">
        <f t="shared" si="184"/>
        <v>#VALUE!</v>
      </c>
      <c r="BN1650" t="e" vm="2">
        <f t="shared" si="185"/>
        <v>#VALUE!</v>
      </c>
    </row>
    <row r="1651" spans="55:66" x14ac:dyDescent="0.2">
      <c r="BC1651" s="21" t="e" vm="1">
        <v>#REF!</v>
      </c>
      <c r="BD1651" t="e" vm="1">
        <v>#REF!</v>
      </c>
      <c r="BF1651" t="e" vm="2">
        <f t="shared" si="182"/>
        <v>#VALUE!</v>
      </c>
      <c r="BG1651" t="e" vm="2">
        <f t="shared" si="183"/>
        <v>#VALUE!</v>
      </c>
      <c r="BJ1651" s="21" t="e" vm="1">
        <v>#REF!</v>
      </c>
      <c r="BK1651" t="e" vm="1">
        <v>#REF!</v>
      </c>
      <c r="BM1651" t="e" vm="2">
        <f t="shared" si="184"/>
        <v>#VALUE!</v>
      </c>
      <c r="BN1651" t="e" vm="2">
        <f t="shared" si="185"/>
        <v>#VALUE!</v>
      </c>
    </row>
    <row r="1652" spans="55:66" x14ac:dyDescent="0.2">
      <c r="BC1652" s="21" t="e" vm="1">
        <v>#REF!</v>
      </c>
      <c r="BD1652" t="e" vm="1">
        <v>#REF!</v>
      </c>
      <c r="BF1652" t="e" vm="2">
        <f t="shared" si="182"/>
        <v>#VALUE!</v>
      </c>
      <c r="BG1652" t="e" vm="2">
        <f t="shared" si="183"/>
        <v>#VALUE!</v>
      </c>
      <c r="BJ1652" s="21" t="e" vm="1">
        <v>#REF!</v>
      </c>
      <c r="BK1652" t="e" vm="1">
        <v>#REF!</v>
      </c>
      <c r="BM1652" t="e" vm="2">
        <f t="shared" si="184"/>
        <v>#VALUE!</v>
      </c>
      <c r="BN1652" t="e" vm="2">
        <f t="shared" si="185"/>
        <v>#VALUE!</v>
      </c>
    </row>
    <row r="1653" spans="55:66" x14ac:dyDescent="0.2">
      <c r="BC1653" s="21" t="e" vm="1">
        <v>#REF!</v>
      </c>
      <c r="BD1653" t="e" vm="1">
        <v>#REF!</v>
      </c>
      <c r="BF1653" t="e" vm="2">
        <f t="shared" si="182"/>
        <v>#VALUE!</v>
      </c>
      <c r="BG1653" t="e" vm="2">
        <f t="shared" si="183"/>
        <v>#VALUE!</v>
      </c>
      <c r="BJ1653" s="21" t="e" vm="1">
        <v>#REF!</v>
      </c>
      <c r="BK1653" t="e" vm="1">
        <v>#REF!</v>
      </c>
      <c r="BM1653" t="e" vm="2">
        <f t="shared" si="184"/>
        <v>#VALUE!</v>
      </c>
      <c r="BN1653" t="e" vm="2">
        <f t="shared" si="185"/>
        <v>#VALUE!</v>
      </c>
    </row>
    <row r="1654" spans="55:66" x14ac:dyDescent="0.2">
      <c r="BC1654" s="21" t="e" vm="1">
        <v>#REF!</v>
      </c>
      <c r="BD1654" t="e" vm="1">
        <v>#REF!</v>
      </c>
      <c r="BF1654" t="e" vm="2">
        <f t="shared" si="182"/>
        <v>#VALUE!</v>
      </c>
      <c r="BG1654" t="e" vm="2">
        <f t="shared" si="183"/>
        <v>#VALUE!</v>
      </c>
      <c r="BJ1654" s="21" t="e" vm="1">
        <v>#REF!</v>
      </c>
      <c r="BK1654" t="e" vm="1">
        <v>#REF!</v>
      </c>
      <c r="BM1654" t="e" vm="2">
        <f t="shared" si="184"/>
        <v>#VALUE!</v>
      </c>
      <c r="BN1654" t="e" vm="2">
        <f t="shared" si="185"/>
        <v>#VALUE!</v>
      </c>
    </row>
    <row r="1655" spans="55:66" x14ac:dyDescent="0.2">
      <c r="BC1655" s="21" t="e" vm="1">
        <v>#REF!</v>
      </c>
      <c r="BD1655" t="e" vm="1">
        <v>#REF!</v>
      </c>
      <c r="BF1655" t="e" vm="2">
        <f t="shared" si="182"/>
        <v>#VALUE!</v>
      </c>
      <c r="BG1655" t="e" vm="2">
        <f t="shared" si="183"/>
        <v>#VALUE!</v>
      </c>
      <c r="BJ1655" s="21" t="e" vm="1">
        <v>#REF!</v>
      </c>
      <c r="BK1655" t="e" vm="1">
        <v>#REF!</v>
      </c>
      <c r="BM1655" t="e" vm="2">
        <f t="shared" si="184"/>
        <v>#VALUE!</v>
      </c>
      <c r="BN1655" t="e" vm="2">
        <f t="shared" si="185"/>
        <v>#VALUE!</v>
      </c>
    </row>
    <row r="1656" spans="55:66" x14ac:dyDescent="0.2">
      <c r="BC1656" s="21" t="e" vm="1">
        <v>#REF!</v>
      </c>
      <c r="BD1656" t="e" vm="1">
        <v>#REF!</v>
      </c>
      <c r="BF1656" t="e" vm="2">
        <f t="shared" si="182"/>
        <v>#VALUE!</v>
      </c>
      <c r="BG1656" t="e" vm="2">
        <f t="shared" si="183"/>
        <v>#VALUE!</v>
      </c>
      <c r="BJ1656" s="21" t="e" vm="1">
        <v>#REF!</v>
      </c>
      <c r="BK1656" t="e" vm="1">
        <v>#REF!</v>
      </c>
      <c r="BM1656" t="e" vm="2">
        <f t="shared" si="184"/>
        <v>#VALUE!</v>
      </c>
      <c r="BN1656" t="e" vm="2">
        <f t="shared" si="185"/>
        <v>#VALUE!</v>
      </c>
    </row>
    <row r="1657" spans="55:66" x14ac:dyDescent="0.2">
      <c r="BC1657" s="21" t="e" vm="1">
        <v>#REF!</v>
      </c>
      <c r="BD1657" t="e" vm="1">
        <v>#REF!</v>
      </c>
      <c r="BF1657" t="e" vm="2">
        <f t="shared" si="182"/>
        <v>#VALUE!</v>
      </c>
      <c r="BG1657" t="e" vm="2">
        <f t="shared" si="183"/>
        <v>#VALUE!</v>
      </c>
      <c r="BJ1657" s="21" t="e" vm="1">
        <v>#REF!</v>
      </c>
      <c r="BK1657" t="e" vm="1">
        <v>#REF!</v>
      </c>
      <c r="BM1657" t="e" vm="2">
        <f t="shared" si="184"/>
        <v>#VALUE!</v>
      </c>
      <c r="BN1657" t="e" vm="2">
        <f t="shared" si="185"/>
        <v>#VALUE!</v>
      </c>
    </row>
    <row r="1658" spans="55:66" x14ac:dyDescent="0.2">
      <c r="BC1658" s="21" t="e" vm="1">
        <v>#REF!</v>
      </c>
      <c r="BD1658" t="e" vm="1">
        <v>#REF!</v>
      </c>
      <c r="BF1658" t="e" vm="2">
        <f t="shared" si="182"/>
        <v>#VALUE!</v>
      </c>
      <c r="BG1658" t="e" vm="2">
        <f t="shared" si="183"/>
        <v>#VALUE!</v>
      </c>
      <c r="BJ1658" s="21" t="e" vm="1">
        <v>#REF!</v>
      </c>
      <c r="BK1658" t="e" vm="1">
        <v>#REF!</v>
      </c>
      <c r="BM1658" t="e" vm="2">
        <f t="shared" si="184"/>
        <v>#VALUE!</v>
      </c>
      <c r="BN1658" t="e" vm="2">
        <f t="shared" si="185"/>
        <v>#VALUE!</v>
      </c>
    </row>
    <row r="1659" spans="55:66" x14ac:dyDescent="0.2">
      <c r="BC1659" s="21" t="e" vm="1">
        <v>#REF!</v>
      </c>
      <c r="BD1659" t="e" vm="1">
        <v>#REF!</v>
      </c>
      <c r="BF1659" t="e" vm="2">
        <f t="shared" si="182"/>
        <v>#VALUE!</v>
      </c>
      <c r="BG1659" t="e" vm="2">
        <f t="shared" si="183"/>
        <v>#VALUE!</v>
      </c>
      <c r="BJ1659" s="21" t="e" vm="1">
        <v>#REF!</v>
      </c>
      <c r="BK1659" t="e" vm="1">
        <v>#REF!</v>
      </c>
      <c r="BM1659" t="e" vm="2">
        <f t="shared" si="184"/>
        <v>#VALUE!</v>
      </c>
      <c r="BN1659" t="e" vm="2">
        <f t="shared" si="185"/>
        <v>#VALUE!</v>
      </c>
    </row>
    <row r="1660" spans="55:66" x14ac:dyDescent="0.2">
      <c r="BC1660" s="21" t="e" vm="1">
        <v>#REF!</v>
      </c>
      <c r="BD1660" t="e" vm="1">
        <v>#REF!</v>
      </c>
      <c r="BF1660" t="e" vm="2">
        <f t="shared" si="182"/>
        <v>#VALUE!</v>
      </c>
      <c r="BG1660" t="e" vm="2">
        <f t="shared" si="183"/>
        <v>#VALUE!</v>
      </c>
      <c r="BJ1660" s="21" t="e" vm="1">
        <v>#REF!</v>
      </c>
      <c r="BK1660" t="e" vm="1">
        <v>#REF!</v>
      </c>
      <c r="BM1660" t="e" vm="2">
        <f t="shared" si="184"/>
        <v>#VALUE!</v>
      </c>
      <c r="BN1660" t="e" vm="2">
        <f t="shared" si="185"/>
        <v>#VALUE!</v>
      </c>
    </row>
    <row r="1661" spans="55:66" x14ac:dyDescent="0.2">
      <c r="BC1661" s="21" t="e" vm="1">
        <v>#REF!</v>
      </c>
      <c r="BD1661" t="e" vm="1">
        <v>#REF!</v>
      </c>
      <c r="BF1661" t="e" vm="2">
        <f t="shared" si="182"/>
        <v>#VALUE!</v>
      </c>
      <c r="BG1661" t="e" vm="2">
        <f t="shared" si="183"/>
        <v>#VALUE!</v>
      </c>
      <c r="BJ1661" s="21" t="e" vm="1">
        <v>#REF!</v>
      </c>
      <c r="BK1661" t="e" vm="1">
        <v>#REF!</v>
      </c>
      <c r="BM1661" t="e" vm="2">
        <f t="shared" si="184"/>
        <v>#VALUE!</v>
      </c>
      <c r="BN1661" t="e" vm="2">
        <f t="shared" si="185"/>
        <v>#VALUE!</v>
      </c>
    </row>
    <row r="1662" spans="55:66" x14ac:dyDescent="0.2">
      <c r="BC1662" s="21" t="e" vm="1">
        <v>#REF!</v>
      </c>
      <c r="BD1662" t="e" vm="1">
        <v>#REF!</v>
      </c>
      <c r="BF1662" t="e" vm="2">
        <f t="shared" si="182"/>
        <v>#VALUE!</v>
      </c>
      <c r="BG1662" t="e" vm="2">
        <f t="shared" si="183"/>
        <v>#VALUE!</v>
      </c>
      <c r="BJ1662" s="21" t="e" vm="1">
        <v>#REF!</v>
      </c>
      <c r="BK1662" t="e" vm="1">
        <v>#REF!</v>
      </c>
      <c r="BM1662" t="e" vm="2">
        <f t="shared" si="184"/>
        <v>#VALUE!</v>
      </c>
      <c r="BN1662" t="e" vm="2">
        <f t="shared" si="185"/>
        <v>#VALUE!</v>
      </c>
    </row>
    <row r="1663" spans="55:66" x14ac:dyDescent="0.2">
      <c r="BC1663" s="21" t="e" vm="1">
        <v>#REF!</v>
      </c>
      <c r="BD1663" t="e" vm="1">
        <v>#REF!</v>
      </c>
      <c r="BF1663" t="e" vm="2">
        <f t="shared" si="182"/>
        <v>#VALUE!</v>
      </c>
      <c r="BG1663" t="e" vm="2">
        <f t="shared" si="183"/>
        <v>#VALUE!</v>
      </c>
      <c r="BJ1663" s="21" t="e" vm="1">
        <v>#REF!</v>
      </c>
      <c r="BK1663" t="e" vm="1">
        <v>#REF!</v>
      </c>
      <c r="BM1663" t="e" vm="2">
        <f t="shared" si="184"/>
        <v>#VALUE!</v>
      </c>
      <c r="BN1663" t="e" vm="2">
        <f t="shared" si="185"/>
        <v>#VALUE!</v>
      </c>
    </row>
    <row r="1664" spans="55:66" x14ac:dyDescent="0.2">
      <c r="BC1664" s="21" t="e" vm="1">
        <v>#REF!</v>
      </c>
      <c r="BD1664" t="e" vm="1">
        <v>#REF!</v>
      </c>
      <c r="BF1664" t="e" vm="2">
        <f t="shared" si="182"/>
        <v>#VALUE!</v>
      </c>
      <c r="BG1664" t="e" vm="2">
        <f t="shared" si="183"/>
        <v>#VALUE!</v>
      </c>
      <c r="BJ1664" s="21" t="e" vm="1">
        <v>#REF!</v>
      </c>
      <c r="BK1664" t="e" vm="1">
        <v>#REF!</v>
      </c>
      <c r="BM1664" t="e" vm="2">
        <f t="shared" si="184"/>
        <v>#VALUE!</v>
      </c>
      <c r="BN1664" t="e" vm="2">
        <f t="shared" si="185"/>
        <v>#VALUE!</v>
      </c>
    </row>
    <row r="1665" spans="55:66" x14ac:dyDescent="0.2">
      <c r="BC1665" s="21" t="e" vm="1">
        <v>#REF!</v>
      </c>
      <c r="BD1665" t="e" vm="1">
        <v>#REF!</v>
      </c>
      <c r="BF1665" t="e" vm="2">
        <f t="shared" si="182"/>
        <v>#VALUE!</v>
      </c>
      <c r="BG1665" t="e" vm="2">
        <f t="shared" si="183"/>
        <v>#VALUE!</v>
      </c>
      <c r="BJ1665" s="21" t="e" vm="1">
        <v>#REF!</v>
      </c>
      <c r="BK1665" t="e" vm="1">
        <v>#REF!</v>
      </c>
      <c r="BM1665" t="e" vm="2">
        <f t="shared" si="184"/>
        <v>#VALUE!</v>
      </c>
      <c r="BN1665" t="e" vm="2">
        <f t="shared" si="185"/>
        <v>#VALUE!</v>
      </c>
    </row>
    <row r="1666" spans="55:66" x14ac:dyDescent="0.2">
      <c r="BC1666" s="21" t="e" vm="1">
        <v>#REF!</v>
      </c>
      <c r="BD1666" t="e" vm="1">
        <v>#REF!</v>
      </c>
      <c r="BF1666" t="e" vm="2">
        <f t="shared" si="182"/>
        <v>#VALUE!</v>
      </c>
      <c r="BG1666" t="e" vm="2">
        <f t="shared" si="183"/>
        <v>#VALUE!</v>
      </c>
      <c r="BJ1666" s="21" t="e" vm="1">
        <v>#REF!</v>
      </c>
      <c r="BK1666" t="e" vm="1">
        <v>#REF!</v>
      </c>
      <c r="BM1666" t="e" vm="2">
        <f t="shared" si="184"/>
        <v>#VALUE!</v>
      </c>
      <c r="BN1666" t="e" vm="2">
        <f t="shared" si="185"/>
        <v>#VALUE!</v>
      </c>
    </row>
    <row r="1667" spans="55:66" x14ac:dyDescent="0.2">
      <c r="BC1667" s="21" t="e" vm="1">
        <v>#REF!</v>
      </c>
      <c r="BD1667" t="e" vm="1">
        <v>#REF!</v>
      </c>
      <c r="BF1667" t="e" vm="2">
        <f t="shared" ref="BF1667:BF1730" si="186">MONTH(BC1667)</f>
        <v>#VALUE!</v>
      </c>
      <c r="BG1667" t="e" vm="2">
        <f t="shared" ref="BG1667:BG1730" si="187">YEAR(BC1667)</f>
        <v>#VALUE!</v>
      </c>
      <c r="BJ1667" s="21" t="e" vm="1">
        <v>#REF!</v>
      </c>
      <c r="BK1667" t="e" vm="1">
        <v>#REF!</v>
      </c>
      <c r="BM1667" t="e" vm="2">
        <f t="shared" si="184"/>
        <v>#VALUE!</v>
      </c>
      <c r="BN1667" t="e" vm="2">
        <f t="shared" si="185"/>
        <v>#VALUE!</v>
      </c>
    </row>
    <row r="1668" spans="55:66" x14ac:dyDescent="0.2">
      <c r="BC1668" s="21" t="e" vm="1">
        <v>#REF!</v>
      </c>
      <c r="BD1668" t="e" vm="1">
        <v>#REF!</v>
      </c>
      <c r="BF1668" t="e" vm="2">
        <f t="shared" si="186"/>
        <v>#VALUE!</v>
      </c>
      <c r="BG1668" t="e" vm="2">
        <f t="shared" si="187"/>
        <v>#VALUE!</v>
      </c>
      <c r="BJ1668" s="21" t="e" vm="1">
        <v>#REF!</v>
      </c>
      <c r="BK1668" t="e" vm="1">
        <v>#REF!</v>
      </c>
      <c r="BM1668" t="e" vm="2">
        <f t="shared" ref="BM1668:BM1731" si="188">MONTH(BJ1668)</f>
        <v>#VALUE!</v>
      </c>
      <c r="BN1668" t="e" vm="2">
        <f t="shared" ref="BN1668:BN1731" si="189">YEAR(BJ1668)</f>
        <v>#VALUE!</v>
      </c>
    </row>
    <row r="1669" spans="55:66" x14ac:dyDescent="0.2">
      <c r="BC1669" s="21" t="e" vm="1">
        <v>#REF!</v>
      </c>
      <c r="BD1669" t="e" vm="1">
        <v>#REF!</v>
      </c>
      <c r="BF1669" t="e" vm="2">
        <f t="shared" si="186"/>
        <v>#VALUE!</v>
      </c>
      <c r="BG1669" t="e" vm="2">
        <f t="shared" si="187"/>
        <v>#VALUE!</v>
      </c>
      <c r="BJ1669" s="21" t="e" vm="1">
        <v>#REF!</v>
      </c>
      <c r="BK1669" t="e" vm="1">
        <v>#REF!</v>
      </c>
      <c r="BM1669" t="e" vm="2">
        <f t="shared" si="188"/>
        <v>#VALUE!</v>
      </c>
      <c r="BN1669" t="e" vm="2">
        <f t="shared" si="189"/>
        <v>#VALUE!</v>
      </c>
    </row>
    <row r="1670" spans="55:66" x14ac:dyDescent="0.2">
      <c r="BC1670" s="21" t="e" vm="1">
        <v>#REF!</v>
      </c>
      <c r="BD1670" t="e" vm="1">
        <v>#REF!</v>
      </c>
      <c r="BF1670" t="e" vm="2">
        <f t="shared" si="186"/>
        <v>#VALUE!</v>
      </c>
      <c r="BG1670" t="e" vm="2">
        <f t="shared" si="187"/>
        <v>#VALUE!</v>
      </c>
      <c r="BJ1670" s="21" t="e" vm="1">
        <v>#REF!</v>
      </c>
      <c r="BK1670" t="e" vm="1">
        <v>#REF!</v>
      </c>
      <c r="BM1670" t="e" vm="2">
        <f t="shared" si="188"/>
        <v>#VALUE!</v>
      </c>
      <c r="BN1670" t="e" vm="2">
        <f t="shared" si="189"/>
        <v>#VALUE!</v>
      </c>
    </row>
    <row r="1671" spans="55:66" x14ac:dyDescent="0.2">
      <c r="BC1671" s="21" t="e" vm="1">
        <v>#REF!</v>
      </c>
      <c r="BD1671" t="e" vm="1">
        <v>#REF!</v>
      </c>
      <c r="BF1671" t="e" vm="2">
        <f t="shared" si="186"/>
        <v>#VALUE!</v>
      </c>
      <c r="BG1671" t="e" vm="2">
        <f t="shared" si="187"/>
        <v>#VALUE!</v>
      </c>
      <c r="BJ1671" s="21" t="e" vm="1">
        <v>#REF!</v>
      </c>
      <c r="BK1671" t="e" vm="1">
        <v>#REF!</v>
      </c>
      <c r="BM1671" t="e" vm="2">
        <f t="shared" si="188"/>
        <v>#VALUE!</v>
      </c>
      <c r="BN1671" t="e" vm="2">
        <f t="shared" si="189"/>
        <v>#VALUE!</v>
      </c>
    </row>
    <row r="1672" spans="55:66" x14ac:dyDescent="0.2">
      <c r="BC1672" s="21" t="e" vm="1">
        <v>#REF!</v>
      </c>
      <c r="BD1672" t="e" vm="1">
        <v>#REF!</v>
      </c>
      <c r="BF1672" t="e" vm="2">
        <f t="shared" si="186"/>
        <v>#VALUE!</v>
      </c>
      <c r="BG1672" t="e" vm="2">
        <f t="shared" si="187"/>
        <v>#VALUE!</v>
      </c>
      <c r="BJ1672" s="21" t="e" vm="1">
        <v>#REF!</v>
      </c>
      <c r="BK1672" t="e" vm="1">
        <v>#REF!</v>
      </c>
      <c r="BM1672" t="e" vm="2">
        <f t="shared" si="188"/>
        <v>#VALUE!</v>
      </c>
      <c r="BN1672" t="e" vm="2">
        <f t="shared" si="189"/>
        <v>#VALUE!</v>
      </c>
    </row>
    <row r="1673" spans="55:66" x14ac:dyDescent="0.2">
      <c r="BC1673" s="21" t="e" vm="1">
        <v>#REF!</v>
      </c>
      <c r="BD1673" t="e" vm="1">
        <v>#REF!</v>
      </c>
      <c r="BF1673" t="e" vm="2">
        <f t="shared" si="186"/>
        <v>#VALUE!</v>
      </c>
      <c r="BG1673" t="e" vm="2">
        <f t="shared" si="187"/>
        <v>#VALUE!</v>
      </c>
      <c r="BJ1673" s="21" t="e" vm="1">
        <v>#REF!</v>
      </c>
      <c r="BK1673" t="e" vm="1">
        <v>#REF!</v>
      </c>
      <c r="BM1673" t="e" vm="2">
        <f t="shared" si="188"/>
        <v>#VALUE!</v>
      </c>
      <c r="BN1673" t="e" vm="2">
        <f t="shared" si="189"/>
        <v>#VALUE!</v>
      </c>
    </row>
    <row r="1674" spans="55:66" x14ac:dyDescent="0.2">
      <c r="BC1674" s="21" t="e" vm="1">
        <v>#REF!</v>
      </c>
      <c r="BD1674" t="e" vm="1">
        <v>#REF!</v>
      </c>
      <c r="BF1674" t="e" vm="2">
        <f t="shared" si="186"/>
        <v>#VALUE!</v>
      </c>
      <c r="BG1674" t="e" vm="2">
        <f t="shared" si="187"/>
        <v>#VALUE!</v>
      </c>
      <c r="BJ1674" s="21" t="e" vm="1">
        <v>#REF!</v>
      </c>
      <c r="BK1674" t="e" vm="1">
        <v>#REF!</v>
      </c>
      <c r="BM1674" t="e" vm="2">
        <f t="shared" si="188"/>
        <v>#VALUE!</v>
      </c>
      <c r="BN1674" t="e" vm="2">
        <f t="shared" si="189"/>
        <v>#VALUE!</v>
      </c>
    </row>
    <row r="1675" spans="55:66" x14ac:dyDescent="0.2">
      <c r="BC1675" s="21" t="e" vm="1">
        <v>#REF!</v>
      </c>
      <c r="BD1675" t="e" vm="1">
        <v>#REF!</v>
      </c>
      <c r="BF1675" t="e" vm="2">
        <f t="shared" si="186"/>
        <v>#VALUE!</v>
      </c>
      <c r="BG1675" t="e" vm="2">
        <f t="shared" si="187"/>
        <v>#VALUE!</v>
      </c>
      <c r="BJ1675" s="21" t="e" vm="1">
        <v>#REF!</v>
      </c>
      <c r="BK1675" t="e" vm="1">
        <v>#REF!</v>
      </c>
      <c r="BM1675" t="e" vm="2">
        <f t="shared" si="188"/>
        <v>#VALUE!</v>
      </c>
      <c r="BN1675" t="e" vm="2">
        <f t="shared" si="189"/>
        <v>#VALUE!</v>
      </c>
    </row>
    <row r="1676" spans="55:66" x14ac:dyDescent="0.2">
      <c r="BC1676" s="21" t="e" vm="1">
        <v>#REF!</v>
      </c>
      <c r="BD1676" t="e" vm="1">
        <v>#REF!</v>
      </c>
      <c r="BF1676" t="e" vm="2">
        <f t="shared" si="186"/>
        <v>#VALUE!</v>
      </c>
      <c r="BG1676" t="e" vm="2">
        <f t="shared" si="187"/>
        <v>#VALUE!</v>
      </c>
      <c r="BJ1676" s="21" t="e" vm="1">
        <v>#REF!</v>
      </c>
      <c r="BK1676" t="e" vm="1">
        <v>#REF!</v>
      </c>
      <c r="BM1676" t="e" vm="2">
        <f t="shared" si="188"/>
        <v>#VALUE!</v>
      </c>
      <c r="BN1676" t="e" vm="2">
        <f t="shared" si="189"/>
        <v>#VALUE!</v>
      </c>
    </row>
    <row r="1677" spans="55:66" x14ac:dyDescent="0.2">
      <c r="BC1677" s="21" t="e" vm="1">
        <v>#REF!</v>
      </c>
      <c r="BD1677" t="e" vm="1">
        <v>#REF!</v>
      </c>
      <c r="BF1677" t="e" vm="2">
        <f t="shared" si="186"/>
        <v>#VALUE!</v>
      </c>
      <c r="BG1677" t="e" vm="2">
        <f t="shared" si="187"/>
        <v>#VALUE!</v>
      </c>
      <c r="BJ1677" s="21" t="e" vm="1">
        <v>#REF!</v>
      </c>
      <c r="BK1677" t="e" vm="1">
        <v>#REF!</v>
      </c>
      <c r="BM1677" t="e" vm="2">
        <f t="shared" si="188"/>
        <v>#VALUE!</v>
      </c>
      <c r="BN1677" t="e" vm="2">
        <f t="shared" si="189"/>
        <v>#VALUE!</v>
      </c>
    </row>
    <row r="1678" spans="55:66" x14ac:dyDescent="0.2">
      <c r="BC1678" s="21" t="e" vm="1">
        <v>#REF!</v>
      </c>
      <c r="BD1678" t="e" vm="1">
        <v>#REF!</v>
      </c>
      <c r="BF1678" t="e" vm="2">
        <f t="shared" si="186"/>
        <v>#VALUE!</v>
      </c>
      <c r="BG1678" t="e" vm="2">
        <f t="shared" si="187"/>
        <v>#VALUE!</v>
      </c>
      <c r="BJ1678" s="21" t="e" vm="1">
        <v>#REF!</v>
      </c>
      <c r="BK1678" t="e" vm="1">
        <v>#REF!</v>
      </c>
      <c r="BM1678" t="e" vm="2">
        <f t="shared" si="188"/>
        <v>#VALUE!</v>
      </c>
      <c r="BN1678" t="e" vm="2">
        <f t="shared" si="189"/>
        <v>#VALUE!</v>
      </c>
    </row>
    <row r="1679" spans="55:66" x14ac:dyDescent="0.2">
      <c r="BC1679" s="21" t="e" vm="1">
        <v>#REF!</v>
      </c>
      <c r="BD1679" t="e" vm="1">
        <v>#REF!</v>
      </c>
      <c r="BF1679" t="e" vm="2">
        <f t="shared" si="186"/>
        <v>#VALUE!</v>
      </c>
      <c r="BG1679" t="e" vm="2">
        <f t="shared" si="187"/>
        <v>#VALUE!</v>
      </c>
      <c r="BJ1679" s="21" t="e" vm="1">
        <v>#REF!</v>
      </c>
      <c r="BK1679" t="e" vm="1">
        <v>#REF!</v>
      </c>
      <c r="BM1679" t="e" vm="2">
        <f t="shared" si="188"/>
        <v>#VALUE!</v>
      </c>
      <c r="BN1679" t="e" vm="2">
        <f t="shared" si="189"/>
        <v>#VALUE!</v>
      </c>
    </row>
    <row r="1680" spans="55:66" x14ac:dyDescent="0.2">
      <c r="BC1680" s="21" t="e" vm="1">
        <v>#REF!</v>
      </c>
      <c r="BD1680" t="e" vm="1">
        <v>#REF!</v>
      </c>
      <c r="BF1680" t="e" vm="2">
        <f t="shared" si="186"/>
        <v>#VALUE!</v>
      </c>
      <c r="BG1680" t="e" vm="2">
        <f t="shared" si="187"/>
        <v>#VALUE!</v>
      </c>
      <c r="BJ1680" s="21" t="e" vm="1">
        <v>#REF!</v>
      </c>
      <c r="BK1680" t="e" vm="1">
        <v>#REF!</v>
      </c>
      <c r="BM1680" t="e" vm="2">
        <f t="shared" si="188"/>
        <v>#VALUE!</v>
      </c>
      <c r="BN1680" t="e" vm="2">
        <f t="shared" si="189"/>
        <v>#VALUE!</v>
      </c>
    </row>
    <row r="1681" spans="55:66" x14ac:dyDescent="0.2">
      <c r="BC1681" s="21" t="e" vm="1">
        <v>#REF!</v>
      </c>
      <c r="BD1681" t="e" vm="1">
        <v>#REF!</v>
      </c>
      <c r="BF1681" t="e" vm="2">
        <f t="shared" si="186"/>
        <v>#VALUE!</v>
      </c>
      <c r="BG1681" t="e" vm="2">
        <f t="shared" si="187"/>
        <v>#VALUE!</v>
      </c>
      <c r="BJ1681" s="21" t="e" vm="1">
        <v>#REF!</v>
      </c>
      <c r="BK1681" t="e" vm="1">
        <v>#REF!</v>
      </c>
      <c r="BM1681" t="e" vm="2">
        <f t="shared" si="188"/>
        <v>#VALUE!</v>
      </c>
      <c r="BN1681" t="e" vm="2">
        <f t="shared" si="189"/>
        <v>#VALUE!</v>
      </c>
    </row>
    <row r="1682" spans="55:66" x14ac:dyDescent="0.2">
      <c r="BC1682" s="21" t="e" vm="1">
        <v>#REF!</v>
      </c>
      <c r="BD1682" t="e" vm="1">
        <v>#REF!</v>
      </c>
      <c r="BF1682" t="e" vm="2">
        <f t="shared" si="186"/>
        <v>#VALUE!</v>
      </c>
      <c r="BG1682" t="e" vm="2">
        <f t="shared" si="187"/>
        <v>#VALUE!</v>
      </c>
      <c r="BJ1682" s="21" t="e" vm="1">
        <v>#REF!</v>
      </c>
      <c r="BK1682" t="e" vm="1">
        <v>#REF!</v>
      </c>
      <c r="BM1682" t="e" vm="2">
        <f t="shared" si="188"/>
        <v>#VALUE!</v>
      </c>
      <c r="BN1682" t="e" vm="2">
        <f t="shared" si="189"/>
        <v>#VALUE!</v>
      </c>
    </row>
    <row r="1683" spans="55:66" x14ac:dyDescent="0.2">
      <c r="BC1683" s="21" t="e" vm="1">
        <v>#REF!</v>
      </c>
      <c r="BD1683" t="e" vm="1">
        <v>#REF!</v>
      </c>
      <c r="BF1683" t="e" vm="2">
        <f t="shared" si="186"/>
        <v>#VALUE!</v>
      </c>
      <c r="BG1683" t="e" vm="2">
        <f t="shared" si="187"/>
        <v>#VALUE!</v>
      </c>
      <c r="BJ1683" s="21" t="e" vm="1">
        <v>#REF!</v>
      </c>
      <c r="BK1683" t="e" vm="1">
        <v>#REF!</v>
      </c>
      <c r="BM1683" t="e" vm="2">
        <f t="shared" si="188"/>
        <v>#VALUE!</v>
      </c>
      <c r="BN1683" t="e" vm="2">
        <f t="shared" si="189"/>
        <v>#VALUE!</v>
      </c>
    </row>
    <row r="1684" spans="55:66" x14ac:dyDescent="0.2">
      <c r="BC1684" s="21" t="e" vm="1">
        <v>#REF!</v>
      </c>
      <c r="BD1684" t="e" vm="1">
        <v>#REF!</v>
      </c>
      <c r="BF1684" t="e" vm="2">
        <f t="shared" si="186"/>
        <v>#VALUE!</v>
      </c>
      <c r="BG1684" t="e" vm="2">
        <f t="shared" si="187"/>
        <v>#VALUE!</v>
      </c>
      <c r="BJ1684" s="21" t="e" vm="1">
        <v>#REF!</v>
      </c>
      <c r="BK1684" t="e" vm="1">
        <v>#REF!</v>
      </c>
      <c r="BM1684" t="e" vm="2">
        <f t="shared" si="188"/>
        <v>#VALUE!</v>
      </c>
      <c r="BN1684" t="e" vm="2">
        <f t="shared" si="189"/>
        <v>#VALUE!</v>
      </c>
    </row>
    <row r="1685" spans="55:66" x14ac:dyDescent="0.2">
      <c r="BC1685" s="21" t="e" vm="1">
        <v>#REF!</v>
      </c>
      <c r="BD1685" t="e" vm="1">
        <v>#REF!</v>
      </c>
      <c r="BF1685" t="e" vm="2">
        <f t="shared" si="186"/>
        <v>#VALUE!</v>
      </c>
      <c r="BG1685" t="e" vm="2">
        <f t="shared" si="187"/>
        <v>#VALUE!</v>
      </c>
      <c r="BJ1685" s="21" t="e" vm="1">
        <v>#REF!</v>
      </c>
      <c r="BK1685" t="e" vm="1">
        <v>#REF!</v>
      </c>
      <c r="BM1685" t="e" vm="2">
        <f t="shared" si="188"/>
        <v>#VALUE!</v>
      </c>
      <c r="BN1685" t="e" vm="2">
        <f t="shared" si="189"/>
        <v>#VALUE!</v>
      </c>
    </row>
    <row r="1686" spans="55:66" x14ac:dyDescent="0.2">
      <c r="BC1686" s="21" t="e" vm="1">
        <v>#REF!</v>
      </c>
      <c r="BD1686" t="e" vm="1">
        <v>#REF!</v>
      </c>
      <c r="BF1686" t="e" vm="2">
        <f t="shared" si="186"/>
        <v>#VALUE!</v>
      </c>
      <c r="BG1686" t="e" vm="2">
        <f t="shared" si="187"/>
        <v>#VALUE!</v>
      </c>
      <c r="BJ1686" s="21" t="e" vm="1">
        <v>#REF!</v>
      </c>
      <c r="BK1686" t="e" vm="1">
        <v>#REF!</v>
      </c>
      <c r="BM1686" t="e" vm="2">
        <f t="shared" si="188"/>
        <v>#VALUE!</v>
      </c>
      <c r="BN1686" t="e" vm="2">
        <f t="shared" si="189"/>
        <v>#VALUE!</v>
      </c>
    </row>
    <row r="1687" spans="55:66" x14ac:dyDescent="0.2">
      <c r="BC1687" s="21" t="e" vm="1">
        <v>#REF!</v>
      </c>
      <c r="BD1687" t="e" vm="1">
        <v>#REF!</v>
      </c>
      <c r="BF1687" t="e" vm="2">
        <f t="shared" si="186"/>
        <v>#VALUE!</v>
      </c>
      <c r="BG1687" t="e" vm="2">
        <f t="shared" si="187"/>
        <v>#VALUE!</v>
      </c>
      <c r="BJ1687" s="21" t="e" vm="1">
        <v>#REF!</v>
      </c>
      <c r="BK1687" t="e" vm="1">
        <v>#REF!</v>
      </c>
      <c r="BM1687" t="e" vm="2">
        <f t="shared" si="188"/>
        <v>#VALUE!</v>
      </c>
      <c r="BN1687" t="e" vm="2">
        <f t="shared" si="189"/>
        <v>#VALUE!</v>
      </c>
    </row>
    <row r="1688" spans="55:66" x14ac:dyDescent="0.2">
      <c r="BC1688" s="21" t="e" vm="1">
        <v>#REF!</v>
      </c>
      <c r="BD1688" t="e" vm="1">
        <v>#REF!</v>
      </c>
      <c r="BF1688" t="e" vm="2">
        <f t="shared" si="186"/>
        <v>#VALUE!</v>
      </c>
      <c r="BG1688" t="e" vm="2">
        <f t="shared" si="187"/>
        <v>#VALUE!</v>
      </c>
      <c r="BJ1688" s="21" t="e" vm="1">
        <v>#REF!</v>
      </c>
      <c r="BK1688" t="e" vm="1">
        <v>#REF!</v>
      </c>
      <c r="BM1688" t="e" vm="2">
        <f t="shared" si="188"/>
        <v>#VALUE!</v>
      </c>
      <c r="BN1688" t="e" vm="2">
        <f t="shared" si="189"/>
        <v>#VALUE!</v>
      </c>
    </row>
    <row r="1689" spans="55:66" x14ac:dyDescent="0.2">
      <c r="BC1689" s="21" t="e" vm="1">
        <v>#REF!</v>
      </c>
      <c r="BD1689" t="e" vm="1">
        <v>#REF!</v>
      </c>
      <c r="BF1689" t="e" vm="2">
        <f t="shared" si="186"/>
        <v>#VALUE!</v>
      </c>
      <c r="BG1689" t="e" vm="2">
        <f t="shared" si="187"/>
        <v>#VALUE!</v>
      </c>
      <c r="BJ1689" s="21" t="e" vm="1">
        <v>#REF!</v>
      </c>
      <c r="BK1689" t="e" vm="1">
        <v>#REF!</v>
      </c>
      <c r="BM1689" t="e" vm="2">
        <f t="shared" si="188"/>
        <v>#VALUE!</v>
      </c>
      <c r="BN1689" t="e" vm="2">
        <f t="shared" si="189"/>
        <v>#VALUE!</v>
      </c>
    </row>
    <row r="1690" spans="55:66" x14ac:dyDescent="0.2">
      <c r="BC1690" s="21" t="e" vm="1">
        <v>#REF!</v>
      </c>
      <c r="BD1690" t="e" vm="1">
        <v>#REF!</v>
      </c>
      <c r="BF1690" t="e" vm="2">
        <f t="shared" si="186"/>
        <v>#VALUE!</v>
      </c>
      <c r="BG1690" t="e" vm="2">
        <f t="shared" si="187"/>
        <v>#VALUE!</v>
      </c>
      <c r="BJ1690" s="21" t="e" vm="1">
        <v>#REF!</v>
      </c>
      <c r="BK1690" t="e" vm="1">
        <v>#REF!</v>
      </c>
      <c r="BM1690" t="e" vm="2">
        <f t="shared" si="188"/>
        <v>#VALUE!</v>
      </c>
      <c r="BN1690" t="e" vm="2">
        <f t="shared" si="189"/>
        <v>#VALUE!</v>
      </c>
    </row>
    <row r="1691" spans="55:66" x14ac:dyDescent="0.2">
      <c r="BC1691" s="21" t="e" vm="1">
        <v>#REF!</v>
      </c>
      <c r="BD1691" t="e" vm="1">
        <v>#REF!</v>
      </c>
      <c r="BF1691" t="e" vm="2">
        <f t="shared" si="186"/>
        <v>#VALUE!</v>
      </c>
      <c r="BG1691" t="e" vm="2">
        <f t="shared" si="187"/>
        <v>#VALUE!</v>
      </c>
      <c r="BJ1691" s="21" t="e" vm="1">
        <v>#REF!</v>
      </c>
      <c r="BK1691" t="e" vm="1">
        <v>#REF!</v>
      </c>
      <c r="BM1691" t="e" vm="2">
        <f t="shared" si="188"/>
        <v>#VALUE!</v>
      </c>
      <c r="BN1691" t="e" vm="2">
        <f t="shared" si="189"/>
        <v>#VALUE!</v>
      </c>
    </row>
    <row r="1692" spans="55:66" x14ac:dyDescent="0.2">
      <c r="BC1692" s="21" t="e" vm="1">
        <v>#REF!</v>
      </c>
      <c r="BD1692" t="e" vm="1">
        <v>#REF!</v>
      </c>
      <c r="BF1692" t="e" vm="2">
        <f t="shared" si="186"/>
        <v>#VALUE!</v>
      </c>
      <c r="BG1692" t="e" vm="2">
        <f t="shared" si="187"/>
        <v>#VALUE!</v>
      </c>
      <c r="BJ1692" s="21" t="e" vm="1">
        <v>#REF!</v>
      </c>
      <c r="BK1692" t="e" vm="1">
        <v>#REF!</v>
      </c>
      <c r="BM1692" t="e" vm="2">
        <f t="shared" si="188"/>
        <v>#VALUE!</v>
      </c>
      <c r="BN1692" t="e" vm="2">
        <f t="shared" si="189"/>
        <v>#VALUE!</v>
      </c>
    </row>
    <row r="1693" spans="55:66" x14ac:dyDescent="0.2">
      <c r="BC1693" s="21" t="e" vm="1">
        <v>#REF!</v>
      </c>
      <c r="BD1693" t="e" vm="1">
        <v>#REF!</v>
      </c>
      <c r="BF1693" t="e" vm="2">
        <f t="shared" si="186"/>
        <v>#VALUE!</v>
      </c>
      <c r="BG1693" t="e" vm="2">
        <f t="shared" si="187"/>
        <v>#VALUE!</v>
      </c>
      <c r="BJ1693" s="21" t="e" vm="1">
        <v>#REF!</v>
      </c>
      <c r="BK1693" t="e" vm="1">
        <v>#REF!</v>
      </c>
      <c r="BM1693" t="e" vm="2">
        <f t="shared" si="188"/>
        <v>#VALUE!</v>
      </c>
      <c r="BN1693" t="e" vm="2">
        <f t="shared" si="189"/>
        <v>#VALUE!</v>
      </c>
    </row>
    <row r="1694" spans="55:66" x14ac:dyDescent="0.2">
      <c r="BC1694" s="21" t="e" vm="1">
        <v>#REF!</v>
      </c>
      <c r="BD1694" t="e" vm="1">
        <v>#REF!</v>
      </c>
      <c r="BF1694" t="e" vm="2">
        <f t="shared" si="186"/>
        <v>#VALUE!</v>
      </c>
      <c r="BG1694" t="e" vm="2">
        <f t="shared" si="187"/>
        <v>#VALUE!</v>
      </c>
      <c r="BJ1694" s="21" t="e" vm="1">
        <v>#REF!</v>
      </c>
      <c r="BK1694" t="e" vm="1">
        <v>#REF!</v>
      </c>
      <c r="BM1694" t="e" vm="2">
        <f t="shared" si="188"/>
        <v>#VALUE!</v>
      </c>
      <c r="BN1694" t="e" vm="2">
        <f t="shared" si="189"/>
        <v>#VALUE!</v>
      </c>
    </row>
    <row r="1695" spans="55:66" x14ac:dyDescent="0.2">
      <c r="BC1695" s="21" t="e" vm="1">
        <v>#REF!</v>
      </c>
      <c r="BD1695" t="e" vm="1">
        <v>#REF!</v>
      </c>
      <c r="BF1695" t="e" vm="2">
        <f t="shared" si="186"/>
        <v>#VALUE!</v>
      </c>
      <c r="BG1695" t="e" vm="2">
        <f t="shared" si="187"/>
        <v>#VALUE!</v>
      </c>
      <c r="BJ1695" s="21" t="e" vm="1">
        <v>#REF!</v>
      </c>
      <c r="BK1695" t="e" vm="1">
        <v>#REF!</v>
      </c>
      <c r="BM1695" t="e" vm="2">
        <f t="shared" si="188"/>
        <v>#VALUE!</v>
      </c>
      <c r="BN1695" t="e" vm="2">
        <f t="shared" si="189"/>
        <v>#VALUE!</v>
      </c>
    </row>
    <row r="1696" spans="55:66" x14ac:dyDescent="0.2">
      <c r="BC1696" s="21" t="e" vm="1">
        <v>#REF!</v>
      </c>
      <c r="BD1696" t="e" vm="1">
        <v>#REF!</v>
      </c>
      <c r="BF1696" t="e" vm="2">
        <f t="shared" si="186"/>
        <v>#VALUE!</v>
      </c>
      <c r="BG1696" t="e" vm="2">
        <f t="shared" si="187"/>
        <v>#VALUE!</v>
      </c>
      <c r="BJ1696" s="21" t="e" vm="1">
        <v>#REF!</v>
      </c>
      <c r="BK1696" t="e" vm="1">
        <v>#REF!</v>
      </c>
      <c r="BM1696" t="e" vm="2">
        <f t="shared" si="188"/>
        <v>#VALUE!</v>
      </c>
      <c r="BN1696" t="e" vm="2">
        <f t="shared" si="189"/>
        <v>#VALUE!</v>
      </c>
    </row>
    <row r="1697" spans="55:66" x14ac:dyDescent="0.2">
      <c r="BC1697" s="21" t="e" vm="1">
        <v>#REF!</v>
      </c>
      <c r="BD1697" t="e" vm="1">
        <v>#REF!</v>
      </c>
      <c r="BF1697" t="e" vm="2">
        <f t="shared" si="186"/>
        <v>#VALUE!</v>
      </c>
      <c r="BG1697" t="e" vm="2">
        <f t="shared" si="187"/>
        <v>#VALUE!</v>
      </c>
      <c r="BJ1697" s="21" t="e" vm="1">
        <v>#REF!</v>
      </c>
      <c r="BK1697" t="e" vm="1">
        <v>#REF!</v>
      </c>
      <c r="BM1697" t="e" vm="2">
        <f t="shared" si="188"/>
        <v>#VALUE!</v>
      </c>
      <c r="BN1697" t="e" vm="2">
        <f t="shared" si="189"/>
        <v>#VALUE!</v>
      </c>
    </row>
    <row r="1698" spans="55:66" x14ac:dyDescent="0.2">
      <c r="BC1698" s="21" t="e" vm="1">
        <v>#REF!</v>
      </c>
      <c r="BD1698" t="e" vm="1">
        <v>#REF!</v>
      </c>
      <c r="BF1698" t="e" vm="2">
        <f t="shared" si="186"/>
        <v>#VALUE!</v>
      </c>
      <c r="BG1698" t="e" vm="2">
        <f t="shared" si="187"/>
        <v>#VALUE!</v>
      </c>
      <c r="BJ1698" s="21" t="e" vm="1">
        <v>#REF!</v>
      </c>
      <c r="BK1698" t="e" vm="1">
        <v>#REF!</v>
      </c>
      <c r="BM1698" t="e" vm="2">
        <f t="shared" si="188"/>
        <v>#VALUE!</v>
      </c>
      <c r="BN1698" t="e" vm="2">
        <f t="shared" si="189"/>
        <v>#VALUE!</v>
      </c>
    </row>
    <row r="1699" spans="55:66" x14ac:dyDescent="0.2">
      <c r="BC1699" s="21" t="e" vm="1">
        <v>#REF!</v>
      </c>
      <c r="BD1699" t="e" vm="1">
        <v>#REF!</v>
      </c>
      <c r="BF1699" t="e" vm="2">
        <f t="shared" si="186"/>
        <v>#VALUE!</v>
      </c>
      <c r="BG1699" t="e" vm="2">
        <f t="shared" si="187"/>
        <v>#VALUE!</v>
      </c>
      <c r="BJ1699" s="21" t="e" vm="1">
        <v>#REF!</v>
      </c>
      <c r="BK1699" t="e" vm="1">
        <v>#REF!</v>
      </c>
      <c r="BM1699" t="e" vm="2">
        <f t="shared" si="188"/>
        <v>#VALUE!</v>
      </c>
      <c r="BN1699" t="e" vm="2">
        <f t="shared" si="189"/>
        <v>#VALUE!</v>
      </c>
    </row>
    <row r="1700" spans="55:66" x14ac:dyDescent="0.2">
      <c r="BC1700" s="21" t="e" vm="1">
        <v>#REF!</v>
      </c>
      <c r="BD1700" t="e" vm="1">
        <v>#REF!</v>
      </c>
      <c r="BF1700" t="e" vm="2">
        <f t="shared" si="186"/>
        <v>#VALUE!</v>
      </c>
      <c r="BG1700" t="e" vm="2">
        <f t="shared" si="187"/>
        <v>#VALUE!</v>
      </c>
      <c r="BJ1700" s="21" t="e" vm="1">
        <v>#REF!</v>
      </c>
      <c r="BK1700" t="e" vm="1">
        <v>#REF!</v>
      </c>
      <c r="BM1700" t="e" vm="2">
        <f t="shared" si="188"/>
        <v>#VALUE!</v>
      </c>
      <c r="BN1700" t="e" vm="2">
        <f t="shared" si="189"/>
        <v>#VALUE!</v>
      </c>
    </row>
    <row r="1701" spans="55:66" x14ac:dyDescent="0.2">
      <c r="BC1701" s="21" t="e" vm="1">
        <v>#REF!</v>
      </c>
      <c r="BD1701" t="e" vm="1">
        <v>#REF!</v>
      </c>
      <c r="BF1701" t="e" vm="2">
        <f t="shared" si="186"/>
        <v>#VALUE!</v>
      </c>
      <c r="BG1701" t="e" vm="2">
        <f t="shared" si="187"/>
        <v>#VALUE!</v>
      </c>
      <c r="BJ1701" s="21" t="e" vm="1">
        <v>#REF!</v>
      </c>
      <c r="BK1701" t="e" vm="1">
        <v>#REF!</v>
      </c>
      <c r="BM1701" t="e" vm="2">
        <f t="shared" si="188"/>
        <v>#VALUE!</v>
      </c>
      <c r="BN1701" t="e" vm="2">
        <f t="shared" si="189"/>
        <v>#VALUE!</v>
      </c>
    </row>
    <row r="1702" spans="55:66" x14ac:dyDescent="0.2">
      <c r="BC1702" s="21" t="e" vm="1">
        <v>#REF!</v>
      </c>
      <c r="BD1702" t="e" vm="1">
        <v>#REF!</v>
      </c>
      <c r="BF1702" t="e" vm="2">
        <f t="shared" si="186"/>
        <v>#VALUE!</v>
      </c>
      <c r="BG1702" t="e" vm="2">
        <f t="shared" si="187"/>
        <v>#VALUE!</v>
      </c>
      <c r="BJ1702" s="21" t="e" vm="1">
        <v>#REF!</v>
      </c>
      <c r="BK1702" t="e" vm="1">
        <v>#REF!</v>
      </c>
      <c r="BM1702" t="e" vm="2">
        <f t="shared" si="188"/>
        <v>#VALUE!</v>
      </c>
      <c r="BN1702" t="e" vm="2">
        <f t="shared" si="189"/>
        <v>#VALUE!</v>
      </c>
    </row>
    <row r="1703" spans="55:66" x14ac:dyDescent="0.2">
      <c r="BC1703" s="21" t="e" vm="1">
        <v>#REF!</v>
      </c>
      <c r="BD1703" t="e" vm="1">
        <v>#REF!</v>
      </c>
      <c r="BF1703" t="e" vm="2">
        <f t="shared" si="186"/>
        <v>#VALUE!</v>
      </c>
      <c r="BG1703" t="e" vm="2">
        <f t="shared" si="187"/>
        <v>#VALUE!</v>
      </c>
      <c r="BJ1703" s="21" t="e" vm="1">
        <v>#REF!</v>
      </c>
      <c r="BK1703" t="e" vm="1">
        <v>#REF!</v>
      </c>
      <c r="BM1703" t="e" vm="2">
        <f t="shared" si="188"/>
        <v>#VALUE!</v>
      </c>
      <c r="BN1703" t="e" vm="2">
        <f t="shared" si="189"/>
        <v>#VALUE!</v>
      </c>
    </row>
    <row r="1704" spans="55:66" x14ac:dyDescent="0.2">
      <c r="BC1704" s="21" t="e" vm="1">
        <v>#REF!</v>
      </c>
      <c r="BD1704" t="e" vm="1">
        <v>#REF!</v>
      </c>
      <c r="BF1704" t="e" vm="2">
        <f t="shared" si="186"/>
        <v>#VALUE!</v>
      </c>
      <c r="BG1704" t="e" vm="2">
        <f t="shared" si="187"/>
        <v>#VALUE!</v>
      </c>
      <c r="BJ1704" s="21" t="e" vm="1">
        <v>#REF!</v>
      </c>
      <c r="BK1704" t="e" vm="1">
        <v>#REF!</v>
      </c>
      <c r="BM1704" t="e" vm="2">
        <f t="shared" si="188"/>
        <v>#VALUE!</v>
      </c>
      <c r="BN1704" t="e" vm="2">
        <f t="shared" si="189"/>
        <v>#VALUE!</v>
      </c>
    </row>
    <row r="1705" spans="55:66" x14ac:dyDescent="0.2">
      <c r="BC1705" s="21" t="e" vm="1">
        <v>#REF!</v>
      </c>
      <c r="BD1705" t="e" vm="1">
        <v>#REF!</v>
      </c>
      <c r="BF1705" t="e" vm="2">
        <f t="shared" si="186"/>
        <v>#VALUE!</v>
      </c>
      <c r="BG1705" t="e" vm="2">
        <f t="shared" si="187"/>
        <v>#VALUE!</v>
      </c>
      <c r="BJ1705" s="21" t="e" vm="1">
        <v>#REF!</v>
      </c>
      <c r="BK1705" t="e" vm="1">
        <v>#REF!</v>
      </c>
      <c r="BM1705" t="e" vm="2">
        <f t="shared" si="188"/>
        <v>#VALUE!</v>
      </c>
      <c r="BN1705" t="e" vm="2">
        <f t="shared" si="189"/>
        <v>#VALUE!</v>
      </c>
    </row>
    <row r="1706" spans="55:66" x14ac:dyDescent="0.2">
      <c r="BC1706" s="21" t="e" vm="1">
        <v>#REF!</v>
      </c>
      <c r="BD1706" t="e" vm="1">
        <v>#REF!</v>
      </c>
      <c r="BF1706" t="e" vm="2">
        <f t="shared" si="186"/>
        <v>#VALUE!</v>
      </c>
      <c r="BG1706" t="e" vm="2">
        <f t="shared" si="187"/>
        <v>#VALUE!</v>
      </c>
      <c r="BJ1706" s="21" t="e" vm="1">
        <v>#REF!</v>
      </c>
      <c r="BK1706" t="e" vm="1">
        <v>#REF!</v>
      </c>
      <c r="BM1706" t="e" vm="2">
        <f t="shared" si="188"/>
        <v>#VALUE!</v>
      </c>
      <c r="BN1706" t="e" vm="2">
        <f t="shared" si="189"/>
        <v>#VALUE!</v>
      </c>
    </row>
    <row r="1707" spans="55:66" x14ac:dyDescent="0.2">
      <c r="BC1707" s="21" t="e" vm="1">
        <v>#REF!</v>
      </c>
      <c r="BD1707" t="e" vm="1">
        <v>#REF!</v>
      </c>
      <c r="BF1707" t="e" vm="2">
        <f t="shared" si="186"/>
        <v>#VALUE!</v>
      </c>
      <c r="BG1707" t="e" vm="2">
        <f t="shared" si="187"/>
        <v>#VALUE!</v>
      </c>
      <c r="BJ1707" s="21" t="e" vm="1">
        <v>#REF!</v>
      </c>
      <c r="BK1707" t="e" vm="1">
        <v>#REF!</v>
      </c>
      <c r="BM1707" t="e" vm="2">
        <f t="shared" si="188"/>
        <v>#VALUE!</v>
      </c>
      <c r="BN1707" t="e" vm="2">
        <f t="shared" si="189"/>
        <v>#VALUE!</v>
      </c>
    </row>
    <row r="1708" spans="55:66" x14ac:dyDescent="0.2">
      <c r="BC1708" s="21" t="e" vm="1">
        <v>#REF!</v>
      </c>
      <c r="BD1708" t="e" vm="1">
        <v>#REF!</v>
      </c>
      <c r="BF1708" t="e" vm="2">
        <f t="shared" si="186"/>
        <v>#VALUE!</v>
      </c>
      <c r="BG1708" t="e" vm="2">
        <f t="shared" si="187"/>
        <v>#VALUE!</v>
      </c>
      <c r="BJ1708" s="21" t="e" vm="1">
        <v>#REF!</v>
      </c>
      <c r="BK1708" t="e" vm="1">
        <v>#REF!</v>
      </c>
      <c r="BM1708" t="e" vm="2">
        <f t="shared" si="188"/>
        <v>#VALUE!</v>
      </c>
      <c r="BN1708" t="e" vm="2">
        <f t="shared" si="189"/>
        <v>#VALUE!</v>
      </c>
    </row>
    <row r="1709" spans="55:66" x14ac:dyDescent="0.2">
      <c r="BC1709" s="21" t="e" vm="1">
        <v>#REF!</v>
      </c>
      <c r="BD1709" t="e" vm="1">
        <v>#REF!</v>
      </c>
      <c r="BF1709" t="e" vm="2">
        <f t="shared" si="186"/>
        <v>#VALUE!</v>
      </c>
      <c r="BG1709" t="e" vm="2">
        <f t="shared" si="187"/>
        <v>#VALUE!</v>
      </c>
      <c r="BJ1709" s="21" t="e" vm="1">
        <v>#REF!</v>
      </c>
      <c r="BK1709" t="e" vm="1">
        <v>#REF!</v>
      </c>
      <c r="BM1709" t="e" vm="2">
        <f t="shared" si="188"/>
        <v>#VALUE!</v>
      </c>
      <c r="BN1709" t="e" vm="2">
        <f t="shared" si="189"/>
        <v>#VALUE!</v>
      </c>
    </row>
    <row r="1710" spans="55:66" x14ac:dyDescent="0.2">
      <c r="BC1710" s="21" t="e" vm="1">
        <v>#REF!</v>
      </c>
      <c r="BD1710" t="e" vm="1">
        <v>#REF!</v>
      </c>
      <c r="BF1710" t="e" vm="2">
        <f t="shared" si="186"/>
        <v>#VALUE!</v>
      </c>
      <c r="BG1710" t="e" vm="2">
        <f t="shared" si="187"/>
        <v>#VALUE!</v>
      </c>
      <c r="BJ1710" s="21" t="e" vm="1">
        <v>#REF!</v>
      </c>
      <c r="BK1710" t="e" vm="1">
        <v>#REF!</v>
      </c>
      <c r="BM1710" t="e" vm="2">
        <f t="shared" si="188"/>
        <v>#VALUE!</v>
      </c>
      <c r="BN1710" t="e" vm="2">
        <f t="shared" si="189"/>
        <v>#VALUE!</v>
      </c>
    </row>
    <row r="1711" spans="55:66" x14ac:dyDescent="0.2">
      <c r="BC1711" s="21" t="e" vm="1">
        <v>#REF!</v>
      </c>
      <c r="BD1711" t="e" vm="1">
        <v>#REF!</v>
      </c>
      <c r="BF1711" t="e" vm="2">
        <f t="shared" si="186"/>
        <v>#VALUE!</v>
      </c>
      <c r="BG1711" t="e" vm="2">
        <f t="shared" si="187"/>
        <v>#VALUE!</v>
      </c>
      <c r="BJ1711" s="21" t="e" vm="1">
        <v>#REF!</v>
      </c>
      <c r="BK1711" t="e" vm="1">
        <v>#REF!</v>
      </c>
      <c r="BM1711" t="e" vm="2">
        <f t="shared" si="188"/>
        <v>#VALUE!</v>
      </c>
      <c r="BN1711" t="e" vm="2">
        <f t="shared" si="189"/>
        <v>#VALUE!</v>
      </c>
    </row>
    <row r="1712" spans="55:66" x14ac:dyDescent="0.2">
      <c r="BC1712" s="21" t="e" vm="1">
        <v>#REF!</v>
      </c>
      <c r="BD1712" t="e" vm="1">
        <v>#REF!</v>
      </c>
      <c r="BF1712" t="e" vm="2">
        <f t="shared" si="186"/>
        <v>#VALUE!</v>
      </c>
      <c r="BG1712" t="e" vm="2">
        <f t="shared" si="187"/>
        <v>#VALUE!</v>
      </c>
      <c r="BJ1712" s="21" t="e" vm="1">
        <v>#REF!</v>
      </c>
      <c r="BK1712" t="e" vm="1">
        <v>#REF!</v>
      </c>
      <c r="BM1712" t="e" vm="2">
        <f t="shared" si="188"/>
        <v>#VALUE!</v>
      </c>
      <c r="BN1712" t="e" vm="2">
        <f t="shared" si="189"/>
        <v>#VALUE!</v>
      </c>
    </row>
    <row r="1713" spans="55:66" x14ac:dyDescent="0.2">
      <c r="BC1713" s="21" t="e" vm="1">
        <v>#REF!</v>
      </c>
      <c r="BD1713" t="e" vm="1">
        <v>#REF!</v>
      </c>
      <c r="BF1713" t="e" vm="2">
        <f t="shared" si="186"/>
        <v>#VALUE!</v>
      </c>
      <c r="BG1713" t="e" vm="2">
        <f t="shared" si="187"/>
        <v>#VALUE!</v>
      </c>
      <c r="BJ1713" s="21" t="e" vm="1">
        <v>#REF!</v>
      </c>
      <c r="BK1713" t="e" vm="1">
        <v>#REF!</v>
      </c>
      <c r="BM1713" t="e" vm="2">
        <f t="shared" si="188"/>
        <v>#VALUE!</v>
      </c>
      <c r="BN1713" t="e" vm="2">
        <f t="shared" si="189"/>
        <v>#VALUE!</v>
      </c>
    </row>
    <row r="1714" spans="55:66" x14ac:dyDescent="0.2">
      <c r="BC1714" s="21" t="e" vm="1">
        <v>#REF!</v>
      </c>
      <c r="BD1714" t="e" vm="1">
        <v>#REF!</v>
      </c>
      <c r="BF1714" t="e" vm="2">
        <f t="shared" si="186"/>
        <v>#VALUE!</v>
      </c>
      <c r="BG1714" t="e" vm="2">
        <f t="shared" si="187"/>
        <v>#VALUE!</v>
      </c>
      <c r="BJ1714" s="21" t="e" vm="1">
        <v>#REF!</v>
      </c>
      <c r="BK1714" t="e" vm="1">
        <v>#REF!</v>
      </c>
      <c r="BM1714" t="e" vm="2">
        <f t="shared" si="188"/>
        <v>#VALUE!</v>
      </c>
      <c r="BN1714" t="e" vm="2">
        <f t="shared" si="189"/>
        <v>#VALUE!</v>
      </c>
    </row>
    <row r="1715" spans="55:66" x14ac:dyDescent="0.2">
      <c r="BC1715" s="21" t="e" vm="1">
        <v>#REF!</v>
      </c>
      <c r="BD1715" t="e" vm="1">
        <v>#REF!</v>
      </c>
      <c r="BF1715" t="e" vm="2">
        <f t="shared" si="186"/>
        <v>#VALUE!</v>
      </c>
      <c r="BG1715" t="e" vm="2">
        <f t="shared" si="187"/>
        <v>#VALUE!</v>
      </c>
      <c r="BJ1715" s="21" t="e" vm="1">
        <v>#REF!</v>
      </c>
      <c r="BK1715" t="e" vm="1">
        <v>#REF!</v>
      </c>
      <c r="BM1715" t="e" vm="2">
        <f t="shared" si="188"/>
        <v>#VALUE!</v>
      </c>
      <c r="BN1715" t="e" vm="2">
        <f t="shared" si="189"/>
        <v>#VALUE!</v>
      </c>
    </row>
    <row r="1716" spans="55:66" x14ac:dyDescent="0.2">
      <c r="BC1716" s="21" t="e" vm="1">
        <v>#REF!</v>
      </c>
      <c r="BD1716" t="e" vm="1">
        <v>#REF!</v>
      </c>
      <c r="BF1716" t="e" vm="2">
        <f t="shared" si="186"/>
        <v>#VALUE!</v>
      </c>
      <c r="BG1716" t="e" vm="2">
        <f t="shared" si="187"/>
        <v>#VALUE!</v>
      </c>
      <c r="BJ1716" s="21" t="e" vm="1">
        <v>#REF!</v>
      </c>
      <c r="BK1716" t="e" vm="1">
        <v>#REF!</v>
      </c>
      <c r="BM1716" t="e" vm="2">
        <f t="shared" si="188"/>
        <v>#VALUE!</v>
      </c>
      <c r="BN1716" t="e" vm="2">
        <f t="shared" si="189"/>
        <v>#VALUE!</v>
      </c>
    </row>
    <row r="1717" spans="55:66" x14ac:dyDescent="0.2">
      <c r="BC1717" s="21" t="e" vm="1">
        <v>#REF!</v>
      </c>
      <c r="BD1717" t="e" vm="1">
        <v>#REF!</v>
      </c>
      <c r="BF1717" t="e" vm="2">
        <f t="shared" si="186"/>
        <v>#VALUE!</v>
      </c>
      <c r="BG1717" t="e" vm="2">
        <f t="shared" si="187"/>
        <v>#VALUE!</v>
      </c>
      <c r="BJ1717" s="21" t="e" vm="1">
        <v>#REF!</v>
      </c>
      <c r="BK1717" t="e" vm="1">
        <v>#REF!</v>
      </c>
      <c r="BM1717" t="e" vm="2">
        <f t="shared" si="188"/>
        <v>#VALUE!</v>
      </c>
      <c r="BN1717" t="e" vm="2">
        <f t="shared" si="189"/>
        <v>#VALUE!</v>
      </c>
    </row>
    <row r="1718" spans="55:66" x14ac:dyDescent="0.2">
      <c r="BC1718" s="21" t="e" vm="1">
        <v>#REF!</v>
      </c>
      <c r="BD1718" t="e" vm="1">
        <v>#REF!</v>
      </c>
      <c r="BF1718" t="e" vm="2">
        <f t="shared" si="186"/>
        <v>#VALUE!</v>
      </c>
      <c r="BG1718" t="e" vm="2">
        <f t="shared" si="187"/>
        <v>#VALUE!</v>
      </c>
      <c r="BJ1718" s="21" t="e" vm="1">
        <v>#REF!</v>
      </c>
      <c r="BK1718" t="e" vm="1">
        <v>#REF!</v>
      </c>
      <c r="BM1718" t="e" vm="2">
        <f t="shared" si="188"/>
        <v>#VALUE!</v>
      </c>
      <c r="BN1718" t="e" vm="2">
        <f t="shared" si="189"/>
        <v>#VALUE!</v>
      </c>
    </row>
    <row r="1719" spans="55:66" x14ac:dyDescent="0.2">
      <c r="BC1719" s="21" t="e" vm="1">
        <v>#REF!</v>
      </c>
      <c r="BD1719" t="e" vm="1">
        <v>#REF!</v>
      </c>
      <c r="BF1719" t="e" vm="2">
        <f t="shared" si="186"/>
        <v>#VALUE!</v>
      </c>
      <c r="BG1719" t="e" vm="2">
        <f t="shared" si="187"/>
        <v>#VALUE!</v>
      </c>
      <c r="BJ1719" s="21" t="e" vm="1">
        <v>#REF!</v>
      </c>
      <c r="BK1719" t="e" vm="1">
        <v>#REF!</v>
      </c>
      <c r="BM1719" t="e" vm="2">
        <f t="shared" si="188"/>
        <v>#VALUE!</v>
      </c>
      <c r="BN1719" t="e" vm="2">
        <f t="shared" si="189"/>
        <v>#VALUE!</v>
      </c>
    </row>
    <row r="1720" spans="55:66" x14ac:dyDescent="0.2">
      <c r="BC1720" s="21" t="e" vm="1">
        <v>#REF!</v>
      </c>
      <c r="BD1720" t="e" vm="1">
        <v>#REF!</v>
      </c>
      <c r="BF1720" t="e" vm="2">
        <f t="shared" si="186"/>
        <v>#VALUE!</v>
      </c>
      <c r="BG1720" t="e" vm="2">
        <f t="shared" si="187"/>
        <v>#VALUE!</v>
      </c>
      <c r="BJ1720" s="21" t="e" vm="1">
        <v>#REF!</v>
      </c>
      <c r="BK1720" t="e" vm="1">
        <v>#REF!</v>
      </c>
      <c r="BM1720" t="e" vm="2">
        <f t="shared" si="188"/>
        <v>#VALUE!</v>
      </c>
      <c r="BN1720" t="e" vm="2">
        <f t="shared" si="189"/>
        <v>#VALUE!</v>
      </c>
    </row>
    <row r="1721" spans="55:66" x14ac:dyDescent="0.2">
      <c r="BC1721" s="21" t="e" vm="1">
        <v>#REF!</v>
      </c>
      <c r="BD1721" t="e" vm="1">
        <v>#REF!</v>
      </c>
      <c r="BF1721" t="e" vm="2">
        <f t="shared" si="186"/>
        <v>#VALUE!</v>
      </c>
      <c r="BG1721" t="e" vm="2">
        <f t="shared" si="187"/>
        <v>#VALUE!</v>
      </c>
      <c r="BJ1721" s="21" t="e" vm="1">
        <v>#REF!</v>
      </c>
      <c r="BK1721" t="e" vm="1">
        <v>#REF!</v>
      </c>
      <c r="BM1721" t="e" vm="2">
        <f t="shared" si="188"/>
        <v>#VALUE!</v>
      </c>
      <c r="BN1721" t="e" vm="2">
        <f t="shared" si="189"/>
        <v>#VALUE!</v>
      </c>
    </row>
    <row r="1722" spans="55:66" x14ac:dyDescent="0.2">
      <c r="BC1722" s="21" t="e" vm="1">
        <v>#REF!</v>
      </c>
      <c r="BD1722" t="e" vm="1">
        <v>#REF!</v>
      </c>
      <c r="BF1722" t="e" vm="2">
        <f t="shared" si="186"/>
        <v>#VALUE!</v>
      </c>
      <c r="BG1722" t="e" vm="2">
        <f t="shared" si="187"/>
        <v>#VALUE!</v>
      </c>
      <c r="BJ1722" s="21" t="e" vm="1">
        <v>#REF!</v>
      </c>
      <c r="BK1722" t="e" vm="1">
        <v>#REF!</v>
      </c>
      <c r="BM1722" t="e" vm="2">
        <f t="shared" si="188"/>
        <v>#VALUE!</v>
      </c>
      <c r="BN1722" t="e" vm="2">
        <f t="shared" si="189"/>
        <v>#VALUE!</v>
      </c>
    </row>
    <row r="1723" spans="55:66" x14ac:dyDescent="0.2">
      <c r="BC1723" s="21" t="e" vm="1">
        <v>#REF!</v>
      </c>
      <c r="BD1723" t="e" vm="1">
        <v>#REF!</v>
      </c>
      <c r="BF1723" t="e" vm="2">
        <f t="shared" si="186"/>
        <v>#VALUE!</v>
      </c>
      <c r="BG1723" t="e" vm="2">
        <f t="shared" si="187"/>
        <v>#VALUE!</v>
      </c>
      <c r="BJ1723" s="21" t="e" vm="1">
        <v>#REF!</v>
      </c>
      <c r="BK1723" t="e" vm="1">
        <v>#REF!</v>
      </c>
      <c r="BM1723" t="e" vm="2">
        <f t="shared" si="188"/>
        <v>#VALUE!</v>
      </c>
      <c r="BN1723" t="e" vm="2">
        <f t="shared" si="189"/>
        <v>#VALUE!</v>
      </c>
    </row>
    <row r="1724" spans="55:66" x14ac:dyDescent="0.2">
      <c r="BC1724" s="21" t="e" vm="1">
        <v>#REF!</v>
      </c>
      <c r="BD1724" t="e" vm="1">
        <v>#REF!</v>
      </c>
      <c r="BF1724" t="e" vm="2">
        <f t="shared" si="186"/>
        <v>#VALUE!</v>
      </c>
      <c r="BG1724" t="e" vm="2">
        <f t="shared" si="187"/>
        <v>#VALUE!</v>
      </c>
      <c r="BJ1724" s="21" t="e" vm="1">
        <v>#REF!</v>
      </c>
      <c r="BK1724" t="e" vm="1">
        <v>#REF!</v>
      </c>
      <c r="BM1724" t="e" vm="2">
        <f t="shared" si="188"/>
        <v>#VALUE!</v>
      </c>
      <c r="BN1724" t="e" vm="2">
        <f t="shared" si="189"/>
        <v>#VALUE!</v>
      </c>
    </row>
    <row r="1725" spans="55:66" x14ac:dyDescent="0.2">
      <c r="BC1725" s="21" t="e" vm="1">
        <v>#REF!</v>
      </c>
      <c r="BD1725" t="e" vm="1">
        <v>#REF!</v>
      </c>
      <c r="BF1725" t="e" vm="2">
        <f t="shared" si="186"/>
        <v>#VALUE!</v>
      </c>
      <c r="BG1725" t="e" vm="2">
        <f t="shared" si="187"/>
        <v>#VALUE!</v>
      </c>
      <c r="BJ1725" s="21" t="e" vm="1">
        <v>#REF!</v>
      </c>
      <c r="BK1725" t="e" vm="1">
        <v>#REF!</v>
      </c>
      <c r="BM1725" t="e" vm="2">
        <f t="shared" si="188"/>
        <v>#VALUE!</v>
      </c>
      <c r="BN1725" t="e" vm="2">
        <f t="shared" si="189"/>
        <v>#VALUE!</v>
      </c>
    </row>
    <row r="1726" spans="55:66" x14ac:dyDescent="0.2">
      <c r="BC1726" s="21" t="e" vm="1">
        <v>#REF!</v>
      </c>
      <c r="BD1726" t="e" vm="1">
        <v>#REF!</v>
      </c>
      <c r="BF1726" t="e" vm="2">
        <f t="shared" si="186"/>
        <v>#VALUE!</v>
      </c>
      <c r="BG1726" t="e" vm="2">
        <f t="shared" si="187"/>
        <v>#VALUE!</v>
      </c>
      <c r="BJ1726" s="21" t="e" vm="1">
        <v>#REF!</v>
      </c>
      <c r="BK1726" t="e" vm="1">
        <v>#REF!</v>
      </c>
      <c r="BM1726" t="e" vm="2">
        <f t="shared" si="188"/>
        <v>#VALUE!</v>
      </c>
      <c r="BN1726" t="e" vm="2">
        <f t="shared" si="189"/>
        <v>#VALUE!</v>
      </c>
    </row>
    <row r="1727" spans="55:66" x14ac:dyDescent="0.2">
      <c r="BC1727" s="21" t="e" vm="1">
        <v>#REF!</v>
      </c>
      <c r="BD1727" t="e" vm="1">
        <v>#REF!</v>
      </c>
      <c r="BF1727" t="e" vm="2">
        <f t="shared" si="186"/>
        <v>#VALUE!</v>
      </c>
      <c r="BG1727" t="e" vm="2">
        <f t="shared" si="187"/>
        <v>#VALUE!</v>
      </c>
      <c r="BJ1727" s="21" t="e" vm="1">
        <v>#REF!</v>
      </c>
      <c r="BK1727" t="e" vm="1">
        <v>#REF!</v>
      </c>
      <c r="BM1727" t="e" vm="2">
        <f t="shared" si="188"/>
        <v>#VALUE!</v>
      </c>
      <c r="BN1727" t="e" vm="2">
        <f t="shared" si="189"/>
        <v>#VALUE!</v>
      </c>
    </row>
    <row r="1728" spans="55:66" x14ac:dyDescent="0.2">
      <c r="BC1728" s="21" t="e" vm="1">
        <v>#REF!</v>
      </c>
      <c r="BD1728" t="e" vm="1">
        <v>#REF!</v>
      </c>
      <c r="BF1728" t="e" vm="2">
        <f t="shared" si="186"/>
        <v>#VALUE!</v>
      </c>
      <c r="BG1728" t="e" vm="2">
        <f t="shared" si="187"/>
        <v>#VALUE!</v>
      </c>
      <c r="BJ1728" s="21" t="e" vm="1">
        <v>#REF!</v>
      </c>
      <c r="BK1728" t="e" vm="1">
        <v>#REF!</v>
      </c>
      <c r="BM1728" t="e" vm="2">
        <f t="shared" si="188"/>
        <v>#VALUE!</v>
      </c>
      <c r="BN1728" t="e" vm="2">
        <f t="shared" si="189"/>
        <v>#VALUE!</v>
      </c>
    </row>
    <row r="1729" spans="55:66" x14ac:dyDescent="0.2">
      <c r="BC1729" s="21" t="e" vm="1">
        <v>#REF!</v>
      </c>
      <c r="BD1729" t="e" vm="1">
        <v>#REF!</v>
      </c>
      <c r="BF1729" t="e" vm="2">
        <f t="shared" si="186"/>
        <v>#VALUE!</v>
      </c>
      <c r="BG1729" t="e" vm="2">
        <f t="shared" si="187"/>
        <v>#VALUE!</v>
      </c>
      <c r="BJ1729" s="21" t="e" vm="1">
        <v>#REF!</v>
      </c>
      <c r="BK1729" t="e" vm="1">
        <v>#REF!</v>
      </c>
      <c r="BM1729" t="e" vm="2">
        <f t="shared" si="188"/>
        <v>#VALUE!</v>
      </c>
      <c r="BN1729" t="e" vm="2">
        <f t="shared" si="189"/>
        <v>#VALUE!</v>
      </c>
    </row>
    <row r="1730" spans="55:66" x14ac:dyDescent="0.2">
      <c r="BC1730" s="21" t="e" vm="1">
        <v>#REF!</v>
      </c>
      <c r="BD1730" t="e" vm="1">
        <v>#REF!</v>
      </c>
      <c r="BF1730" t="e" vm="2">
        <f t="shared" si="186"/>
        <v>#VALUE!</v>
      </c>
      <c r="BG1730" t="e" vm="2">
        <f t="shared" si="187"/>
        <v>#VALUE!</v>
      </c>
      <c r="BJ1730" s="21" t="e" vm="1">
        <v>#REF!</v>
      </c>
      <c r="BK1730" t="e" vm="1">
        <v>#REF!</v>
      </c>
      <c r="BM1730" t="e" vm="2">
        <f t="shared" si="188"/>
        <v>#VALUE!</v>
      </c>
      <c r="BN1730" t="e" vm="2">
        <f t="shared" si="189"/>
        <v>#VALUE!</v>
      </c>
    </row>
    <row r="1731" spans="55:66" x14ac:dyDescent="0.2">
      <c r="BC1731" s="21" t="e" vm="1">
        <v>#REF!</v>
      </c>
      <c r="BD1731" t="e" vm="1">
        <v>#REF!</v>
      </c>
      <c r="BF1731" t="e" vm="2">
        <f t="shared" ref="BF1731:BF1794" si="190">MONTH(BC1731)</f>
        <v>#VALUE!</v>
      </c>
      <c r="BG1731" t="e" vm="2">
        <f t="shared" ref="BG1731:BG1794" si="191">YEAR(BC1731)</f>
        <v>#VALUE!</v>
      </c>
      <c r="BJ1731" s="21" t="e" vm="1">
        <v>#REF!</v>
      </c>
      <c r="BK1731" t="e" vm="1">
        <v>#REF!</v>
      </c>
      <c r="BM1731" t="e" vm="2">
        <f t="shared" si="188"/>
        <v>#VALUE!</v>
      </c>
      <c r="BN1731" t="e" vm="2">
        <f t="shared" si="189"/>
        <v>#VALUE!</v>
      </c>
    </row>
    <row r="1732" spans="55:66" x14ac:dyDescent="0.2">
      <c r="BC1732" s="21" t="e" vm="1">
        <v>#REF!</v>
      </c>
      <c r="BD1732" t="e" vm="1">
        <v>#REF!</v>
      </c>
      <c r="BF1732" t="e" vm="2">
        <f t="shared" si="190"/>
        <v>#VALUE!</v>
      </c>
      <c r="BG1732" t="e" vm="2">
        <f t="shared" si="191"/>
        <v>#VALUE!</v>
      </c>
      <c r="BJ1732" s="21" t="e" vm="1">
        <v>#REF!</v>
      </c>
      <c r="BK1732" t="e" vm="1">
        <v>#REF!</v>
      </c>
      <c r="BM1732" t="e" vm="2">
        <f t="shared" ref="BM1732:BM1795" si="192">MONTH(BJ1732)</f>
        <v>#VALUE!</v>
      </c>
      <c r="BN1732" t="e" vm="2">
        <f t="shared" ref="BN1732:BN1795" si="193">YEAR(BJ1732)</f>
        <v>#VALUE!</v>
      </c>
    </row>
    <row r="1733" spans="55:66" x14ac:dyDescent="0.2">
      <c r="BC1733" s="21" t="e" vm="1">
        <v>#REF!</v>
      </c>
      <c r="BD1733" t="e" vm="1">
        <v>#REF!</v>
      </c>
      <c r="BF1733" t="e" vm="2">
        <f t="shared" si="190"/>
        <v>#VALUE!</v>
      </c>
      <c r="BG1733" t="e" vm="2">
        <f t="shared" si="191"/>
        <v>#VALUE!</v>
      </c>
      <c r="BJ1733" s="21" t="e" vm="1">
        <v>#REF!</v>
      </c>
      <c r="BK1733" t="e" vm="1">
        <v>#REF!</v>
      </c>
      <c r="BM1733" t="e" vm="2">
        <f t="shared" si="192"/>
        <v>#VALUE!</v>
      </c>
      <c r="BN1733" t="e" vm="2">
        <f t="shared" si="193"/>
        <v>#VALUE!</v>
      </c>
    </row>
    <row r="1734" spans="55:66" x14ac:dyDescent="0.2">
      <c r="BC1734" s="21" t="e" vm="1">
        <v>#REF!</v>
      </c>
      <c r="BD1734" t="e" vm="1">
        <v>#REF!</v>
      </c>
      <c r="BF1734" t="e" vm="2">
        <f t="shared" si="190"/>
        <v>#VALUE!</v>
      </c>
      <c r="BG1734" t="e" vm="2">
        <f t="shared" si="191"/>
        <v>#VALUE!</v>
      </c>
      <c r="BJ1734" s="21" t="e" vm="1">
        <v>#REF!</v>
      </c>
      <c r="BK1734" t="e" vm="1">
        <v>#REF!</v>
      </c>
      <c r="BM1734" t="e" vm="2">
        <f t="shared" si="192"/>
        <v>#VALUE!</v>
      </c>
      <c r="BN1734" t="e" vm="2">
        <f t="shared" si="193"/>
        <v>#VALUE!</v>
      </c>
    </row>
    <row r="1735" spans="55:66" x14ac:dyDescent="0.2">
      <c r="BC1735" s="21" t="e" vm="1">
        <v>#REF!</v>
      </c>
      <c r="BD1735" t="e" vm="1">
        <v>#REF!</v>
      </c>
      <c r="BF1735" t="e" vm="2">
        <f t="shared" si="190"/>
        <v>#VALUE!</v>
      </c>
      <c r="BG1735" t="e" vm="2">
        <f t="shared" si="191"/>
        <v>#VALUE!</v>
      </c>
      <c r="BJ1735" s="21" t="e" vm="1">
        <v>#REF!</v>
      </c>
      <c r="BK1735" t="e" vm="1">
        <v>#REF!</v>
      </c>
      <c r="BM1735" t="e" vm="2">
        <f t="shared" si="192"/>
        <v>#VALUE!</v>
      </c>
      <c r="BN1735" t="e" vm="2">
        <f t="shared" si="193"/>
        <v>#VALUE!</v>
      </c>
    </row>
    <row r="1736" spans="55:66" x14ac:dyDescent="0.2">
      <c r="BC1736" s="21" t="e" vm="1">
        <v>#REF!</v>
      </c>
      <c r="BD1736" t="e" vm="1">
        <v>#REF!</v>
      </c>
      <c r="BF1736" t="e" vm="2">
        <f t="shared" si="190"/>
        <v>#VALUE!</v>
      </c>
      <c r="BG1736" t="e" vm="2">
        <f t="shared" si="191"/>
        <v>#VALUE!</v>
      </c>
      <c r="BJ1736" s="21" t="e" vm="1">
        <v>#REF!</v>
      </c>
      <c r="BK1736" t="e" vm="1">
        <v>#REF!</v>
      </c>
      <c r="BM1736" t="e" vm="2">
        <f t="shared" si="192"/>
        <v>#VALUE!</v>
      </c>
      <c r="BN1736" t="e" vm="2">
        <f t="shared" si="193"/>
        <v>#VALUE!</v>
      </c>
    </row>
    <row r="1737" spans="55:66" x14ac:dyDescent="0.2">
      <c r="BC1737" s="21" t="e" vm="1">
        <v>#REF!</v>
      </c>
      <c r="BD1737" t="e" vm="1">
        <v>#REF!</v>
      </c>
      <c r="BF1737" t="e" vm="2">
        <f t="shared" si="190"/>
        <v>#VALUE!</v>
      </c>
      <c r="BG1737" t="e" vm="2">
        <f t="shared" si="191"/>
        <v>#VALUE!</v>
      </c>
      <c r="BJ1737" s="21" t="e" vm="1">
        <v>#REF!</v>
      </c>
      <c r="BK1737" t="e" vm="1">
        <v>#REF!</v>
      </c>
      <c r="BM1737" t="e" vm="2">
        <f t="shared" si="192"/>
        <v>#VALUE!</v>
      </c>
      <c r="BN1737" t="e" vm="2">
        <f t="shared" si="193"/>
        <v>#VALUE!</v>
      </c>
    </row>
    <row r="1738" spans="55:66" x14ac:dyDescent="0.2">
      <c r="BC1738" s="21" t="e" vm="1">
        <v>#REF!</v>
      </c>
      <c r="BD1738" t="e" vm="1">
        <v>#REF!</v>
      </c>
      <c r="BF1738" t="e" vm="2">
        <f t="shared" si="190"/>
        <v>#VALUE!</v>
      </c>
      <c r="BG1738" t="e" vm="2">
        <f t="shared" si="191"/>
        <v>#VALUE!</v>
      </c>
      <c r="BJ1738" s="21" t="e" vm="1">
        <v>#REF!</v>
      </c>
      <c r="BK1738" t="e" vm="1">
        <v>#REF!</v>
      </c>
      <c r="BM1738" t="e" vm="2">
        <f t="shared" si="192"/>
        <v>#VALUE!</v>
      </c>
      <c r="BN1738" t="e" vm="2">
        <f t="shared" si="193"/>
        <v>#VALUE!</v>
      </c>
    </row>
    <row r="1739" spans="55:66" x14ac:dyDescent="0.2">
      <c r="BC1739" s="21" t="e" vm="1">
        <v>#REF!</v>
      </c>
      <c r="BD1739" t="e" vm="1">
        <v>#REF!</v>
      </c>
      <c r="BF1739" t="e" vm="2">
        <f t="shared" si="190"/>
        <v>#VALUE!</v>
      </c>
      <c r="BG1739" t="e" vm="2">
        <f t="shared" si="191"/>
        <v>#VALUE!</v>
      </c>
      <c r="BJ1739" s="21" t="e" vm="1">
        <v>#REF!</v>
      </c>
      <c r="BK1739" t="e" vm="1">
        <v>#REF!</v>
      </c>
      <c r="BM1739" t="e" vm="2">
        <f t="shared" si="192"/>
        <v>#VALUE!</v>
      </c>
      <c r="BN1739" t="e" vm="2">
        <f t="shared" si="193"/>
        <v>#VALUE!</v>
      </c>
    </row>
    <row r="1740" spans="55:66" x14ac:dyDescent="0.2">
      <c r="BC1740" s="21" t="e" vm="1">
        <v>#REF!</v>
      </c>
      <c r="BD1740" t="e" vm="1">
        <v>#REF!</v>
      </c>
      <c r="BF1740" t="e" vm="2">
        <f t="shared" si="190"/>
        <v>#VALUE!</v>
      </c>
      <c r="BG1740" t="e" vm="2">
        <f t="shared" si="191"/>
        <v>#VALUE!</v>
      </c>
      <c r="BJ1740" s="21" t="e" vm="1">
        <v>#REF!</v>
      </c>
      <c r="BK1740" t="e" vm="1">
        <v>#REF!</v>
      </c>
      <c r="BM1740" t="e" vm="2">
        <f t="shared" si="192"/>
        <v>#VALUE!</v>
      </c>
      <c r="BN1740" t="e" vm="2">
        <f t="shared" si="193"/>
        <v>#VALUE!</v>
      </c>
    </row>
    <row r="1741" spans="55:66" x14ac:dyDescent="0.2">
      <c r="BC1741" s="21" t="e" vm="1">
        <v>#REF!</v>
      </c>
      <c r="BD1741" t="e" vm="1">
        <v>#REF!</v>
      </c>
      <c r="BF1741" t="e" vm="2">
        <f t="shared" si="190"/>
        <v>#VALUE!</v>
      </c>
      <c r="BG1741" t="e" vm="2">
        <f t="shared" si="191"/>
        <v>#VALUE!</v>
      </c>
      <c r="BJ1741" s="21" t="e" vm="1">
        <v>#REF!</v>
      </c>
      <c r="BK1741" t="e" vm="1">
        <v>#REF!</v>
      </c>
      <c r="BM1741" t="e" vm="2">
        <f t="shared" si="192"/>
        <v>#VALUE!</v>
      </c>
      <c r="BN1741" t="e" vm="2">
        <f t="shared" si="193"/>
        <v>#VALUE!</v>
      </c>
    </row>
    <row r="1742" spans="55:66" x14ac:dyDescent="0.2">
      <c r="BC1742" s="21" t="e" vm="1">
        <v>#REF!</v>
      </c>
      <c r="BD1742" t="e" vm="1">
        <v>#REF!</v>
      </c>
      <c r="BF1742" t="e" vm="2">
        <f t="shared" si="190"/>
        <v>#VALUE!</v>
      </c>
      <c r="BG1742" t="e" vm="2">
        <f t="shared" si="191"/>
        <v>#VALUE!</v>
      </c>
      <c r="BJ1742" s="21" t="e" vm="1">
        <v>#REF!</v>
      </c>
      <c r="BK1742" t="e" vm="1">
        <v>#REF!</v>
      </c>
      <c r="BM1742" t="e" vm="2">
        <f t="shared" si="192"/>
        <v>#VALUE!</v>
      </c>
      <c r="BN1742" t="e" vm="2">
        <f t="shared" si="193"/>
        <v>#VALUE!</v>
      </c>
    </row>
    <row r="1743" spans="55:66" x14ac:dyDescent="0.2">
      <c r="BC1743" s="21" t="e" vm="1">
        <v>#REF!</v>
      </c>
      <c r="BD1743" t="e" vm="1">
        <v>#REF!</v>
      </c>
      <c r="BF1743" t="e" vm="2">
        <f t="shared" si="190"/>
        <v>#VALUE!</v>
      </c>
      <c r="BG1743" t="e" vm="2">
        <f t="shared" si="191"/>
        <v>#VALUE!</v>
      </c>
      <c r="BJ1743" s="21" t="e" vm="1">
        <v>#REF!</v>
      </c>
      <c r="BK1743" t="e" vm="1">
        <v>#REF!</v>
      </c>
      <c r="BM1743" t="e" vm="2">
        <f t="shared" si="192"/>
        <v>#VALUE!</v>
      </c>
      <c r="BN1743" t="e" vm="2">
        <f t="shared" si="193"/>
        <v>#VALUE!</v>
      </c>
    </row>
    <row r="1744" spans="55:66" x14ac:dyDescent="0.2">
      <c r="BC1744" s="21" t="e" vm="1">
        <v>#REF!</v>
      </c>
      <c r="BD1744" t="e" vm="1">
        <v>#REF!</v>
      </c>
      <c r="BF1744" t="e" vm="2">
        <f t="shared" si="190"/>
        <v>#VALUE!</v>
      </c>
      <c r="BG1744" t="e" vm="2">
        <f t="shared" si="191"/>
        <v>#VALUE!</v>
      </c>
      <c r="BJ1744" s="21" t="e" vm="1">
        <v>#REF!</v>
      </c>
      <c r="BK1744" t="e" vm="1">
        <v>#REF!</v>
      </c>
      <c r="BM1744" t="e" vm="2">
        <f t="shared" si="192"/>
        <v>#VALUE!</v>
      </c>
      <c r="BN1744" t="e" vm="2">
        <f t="shared" si="193"/>
        <v>#VALUE!</v>
      </c>
    </row>
    <row r="1745" spans="55:66" x14ac:dyDescent="0.2">
      <c r="BC1745" s="21" t="e" vm="1">
        <v>#REF!</v>
      </c>
      <c r="BD1745" t="e" vm="1">
        <v>#REF!</v>
      </c>
      <c r="BF1745" t="e" vm="2">
        <f t="shared" si="190"/>
        <v>#VALUE!</v>
      </c>
      <c r="BG1745" t="e" vm="2">
        <f t="shared" si="191"/>
        <v>#VALUE!</v>
      </c>
      <c r="BJ1745" s="21" t="e" vm="1">
        <v>#REF!</v>
      </c>
      <c r="BK1745" t="e" vm="1">
        <v>#REF!</v>
      </c>
      <c r="BM1745" t="e" vm="2">
        <f t="shared" si="192"/>
        <v>#VALUE!</v>
      </c>
      <c r="BN1745" t="e" vm="2">
        <f t="shared" si="193"/>
        <v>#VALUE!</v>
      </c>
    </row>
    <row r="1746" spans="55:66" x14ac:dyDescent="0.2">
      <c r="BC1746" s="21" t="e" vm="1">
        <v>#REF!</v>
      </c>
      <c r="BD1746" t="e" vm="1">
        <v>#REF!</v>
      </c>
      <c r="BF1746" t="e" vm="2">
        <f t="shared" si="190"/>
        <v>#VALUE!</v>
      </c>
      <c r="BG1746" t="e" vm="2">
        <f t="shared" si="191"/>
        <v>#VALUE!</v>
      </c>
      <c r="BJ1746" s="21" t="e" vm="1">
        <v>#REF!</v>
      </c>
      <c r="BK1746" t="e" vm="1">
        <v>#REF!</v>
      </c>
      <c r="BM1746" t="e" vm="2">
        <f t="shared" si="192"/>
        <v>#VALUE!</v>
      </c>
      <c r="BN1746" t="e" vm="2">
        <f t="shared" si="193"/>
        <v>#VALUE!</v>
      </c>
    </row>
    <row r="1747" spans="55:66" x14ac:dyDescent="0.2">
      <c r="BC1747" s="21" t="e" vm="1">
        <v>#REF!</v>
      </c>
      <c r="BD1747" t="e" vm="1">
        <v>#REF!</v>
      </c>
      <c r="BF1747" t="e" vm="2">
        <f t="shared" si="190"/>
        <v>#VALUE!</v>
      </c>
      <c r="BG1747" t="e" vm="2">
        <f t="shared" si="191"/>
        <v>#VALUE!</v>
      </c>
      <c r="BJ1747" s="21" t="e" vm="1">
        <v>#REF!</v>
      </c>
      <c r="BK1747" t="e" vm="1">
        <v>#REF!</v>
      </c>
      <c r="BM1747" t="e" vm="2">
        <f t="shared" si="192"/>
        <v>#VALUE!</v>
      </c>
      <c r="BN1747" t="e" vm="2">
        <f t="shared" si="193"/>
        <v>#VALUE!</v>
      </c>
    </row>
    <row r="1748" spans="55:66" x14ac:dyDescent="0.2">
      <c r="BC1748" s="21" t="e" vm="1">
        <v>#REF!</v>
      </c>
      <c r="BD1748" t="e" vm="1">
        <v>#REF!</v>
      </c>
      <c r="BF1748" t="e" vm="2">
        <f t="shared" si="190"/>
        <v>#VALUE!</v>
      </c>
      <c r="BG1748" t="e" vm="2">
        <f t="shared" si="191"/>
        <v>#VALUE!</v>
      </c>
      <c r="BJ1748" s="21" t="e" vm="1">
        <v>#REF!</v>
      </c>
      <c r="BK1748" t="e" vm="1">
        <v>#REF!</v>
      </c>
      <c r="BM1748" t="e" vm="2">
        <f t="shared" si="192"/>
        <v>#VALUE!</v>
      </c>
      <c r="BN1748" t="e" vm="2">
        <f t="shared" si="193"/>
        <v>#VALUE!</v>
      </c>
    </row>
    <row r="1749" spans="55:66" x14ac:dyDescent="0.2">
      <c r="BC1749" s="21" t="e" vm="1">
        <v>#REF!</v>
      </c>
      <c r="BD1749" t="e" vm="1">
        <v>#REF!</v>
      </c>
      <c r="BF1749" t="e" vm="2">
        <f t="shared" si="190"/>
        <v>#VALUE!</v>
      </c>
      <c r="BG1749" t="e" vm="2">
        <f t="shared" si="191"/>
        <v>#VALUE!</v>
      </c>
      <c r="BJ1749" s="21" t="e" vm="1">
        <v>#REF!</v>
      </c>
      <c r="BK1749" t="e" vm="1">
        <v>#REF!</v>
      </c>
      <c r="BM1749" t="e" vm="2">
        <f t="shared" si="192"/>
        <v>#VALUE!</v>
      </c>
      <c r="BN1749" t="e" vm="2">
        <f t="shared" si="193"/>
        <v>#VALUE!</v>
      </c>
    </row>
    <row r="1750" spans="55:66" x14ac:dyDescent="0.2">
      <c r="BC1750" s="21" t="e" vm="1">
        <v>#REF!</v>
      </c>
      <c r="BD1750" t="e" vm="1">
        <v>#REF!</v>
      </c>
      <c r="BF1750" t="e" vm="2">
        <f t="shared" si="190"/>
        <v>#VALUE!</v>
      </c>
      <c r="BG1750" t="e" vm="2">
        <f t="shared" si="191"/>
        <v>#VALUE!</v>
      </c>
      <c r="BJ1750" s="21" t="e" vm="1">
        <v>#REF!</v>
      </c>
      <c r="BK1750" t="e" vm="1">
        <v>#REF!</v>
      </c>
      <c r="BM1750" t="e" vm="2">
        <f t="shared" si="192"/>
        <v>#VALUE!</v>
      </c>
      <c r="BN1750" t="e" vm="2">
        <f t="shared" si="193"/>
        <v>#VALUE!</v>
      </c>
    </row>
    <row r="1751" spans="55:66" x14ac:dyDescent="0.2">
      <c r="BC1751" s="21" t="e" vm="1">
        <v>#REF!</v>
      </c>
      <c r="BD1751" t="e" vm="1">
        <v>#REF!</v>
      </c>
      <c r="BF1751" t="e" vm="2">
        <f t="shared" si="190"/>
        <v>#VALUE!</v>
      </c>
      <c r="BG1751" t="e" vm="2">
        <f t="shared" si="191"/>
        <v>#VALUE!</v>
      </c>
      <c r="BJ1751" s="21" t="e" vm="1">
        <v>#REF!</v>
      </c>
      <c r="BK1751" t="e" vm="1">
        <v>#REF!</v>
      </c>
      <c r="BM1751" t="e" vm="2">
        <f t="shared" si="192"/>
        <v>#VALUE!</v>
      </c>
      <c r="BN1751" t="e" vm="2">
        <f t="shared" si="193"/>
        <v>#VALUE!</v>
      </c>
    </row>
    <row r="1752" spans="55:66" x14ac:dyDescent="0.2">
      <c r="BC1752" s="21" t="e" vm="1">
        <v>#REF!</v>
      </c>
      <c r="BD1752" t="e" vm="1">
        <v>#REF!</v>
      </c>
      <c r="BF1752" t="e" vm="2">
        <f t="shared" si="190"/>
        <v>#VALUE!</v>
      </c>
      <c r="BG1752" t="e" vm="2">
        <f t="shared" si="191"/>
        <v>#VALUE!</v>
      </c>
      <c r="BJ1752" s="21" t="e" vm="1">
        <v>#REF!</v>
      </c>
      <c r="BK1752" t="e" vm="1">
        <v>#REF!</v>
      </c>
      <c r="BM1752" t="e" vm="2">
        <f t="shared" si="192"/>
        <v>#VALUE!</v>
      </c>
      <c r="BN1752" t="e" vm="2">
        <f t="shared" si="193"/>
        <v>#VALUE!</v>
      </c>
    </row>
    <row r="1753" spans="55:66" x14ac:dyDescent="0.2">
      <c r="BC1753" s="21" t="e" vm="1">
        <v>#REF!</v>
      </c>
      <c r="BD1753" t="e" vm="1">
        <v>#REF!</v>
      </c>
      <c r="BF1753" t="e" vm="2">
        <f t="shared" si="190"/>
        <v>#VALUE!</v>
      </c>
      <c r="BG1753" t="e" vm="2">
        <f t="shared" si="191"/>
        <v>#VALUE!</v>
      </c>
      <c r="BJ1753" s="21" t="e" vm="1">
        <v>#REF!</v>
      </c>
      <c r="BK1753" t="e" vm="1">
        <v>#REF!</v>
      </c>
      <c r="BM1753" t="e" vm="2">
        <f t="shared" si="192"/>
        <v>#VALUE!</v>
      </c>
      <c r="BN1753" t="e" vm="2">
        <f t="shared" si="193"/>
        <v>#VALUE!</v>
      </c>
    </row>
    <row r="1754" spans="55:66" x14ac:dyDescent="0.2">
      <c r="BC1754" s="21" t="e" vm="1">
        <v>#REF!</v>
      </c>
      <c r="BD1754" t="e" vm="1">
        <v>#REF!</v>
      </c>
      <c r="BF1754" t="e" vm="2">
        <f t="shared" si="190"/>
        <v>#VALUE!</v>
      </c>
      <c r="BG1754" t="e" vm="2">
        <f t="shared" si="191"/>
        <v>#VALUE!</v>
      </c>
      <c r="BJ1754" s="21" t="e" vm="1">
        <v>#REF!</v>
      </c>
      <c r="BK1754" t="e" vm="1">
        <v>#REF!</v>
      </c>
      <c r="BM1754" t="e" vm="2">
        <f t="shared" si="192"/>
        <v>#VALUE!</v>
      </c>
      <c r="BN1754" t="e" vm="2">
        <f t="shared" si="193"/>
        <v>#VALUE!</v>
      </c>
    </row>
    <row r="1755" spans="55:66" x14ac:dyDescent="0.2">
      <c r="BC1755" s="21" t="e" vm="1">
        <v>#REF!</v>
      </c>
      <c r="BD1755" t="e" vm="1">
        <v>#REF!</v>
      </c>
      <c r="BF1755" t="e" vm="2">
        <f t="shared" si="190"/>
        <v>#VALUE!</v>
      </c>
      <c r="BG1755" t="e" vm="2">
        <f t="shared" si="191"/>
        <v>#VALUE!</v>
      </c>
      <c r="BJ1755" s="21" t="e" vm="1">
        <v>#REF!</v>
      </c>
      <c r="BK1755" t="e" vm="1">
        <v>#REF!</v>
      </c>
      <c r="BM1755" t="e" vm="2">
        <f t="shared" si="192"/>
        <v>#VALUE!</v>
      </c>
      <c r="BN1755" t="e" vm="2">
        <f t="shared" si="193"/>
        <v>#VALUE!</v>
      </c>
    </row>
    <row r="1756" spans="55:66" x14ac:dyDescent="0.2">
      <c r="BC1756" s="21" t="e" vm="1">
        <v>#REF!</v>
      </c>
      <c r="BD1756" t="e" vm="1">
        <v>#REF!</v>
      </c>
      <c r="BF1756" t="e" vm="2">
        <f t="shared" si="190"/>
        <v>#VALUE!</v>
      </c>
      <c r="BG1756" t="e" vm="2">
        <f t="shared" si="191"/>
        <v>#VALUE!</v>
      </c>
      <c r="BJ1756" s="21" t="e" vm="1">
        <v>#REF!</v>
      </c>
      <c r="BK1756" t="e" vm="1">
        <v>#REF!</v>
      </c>
      <c r="BM1756" t="e" vm="2">
        <f t="shared" si="192"/>
        <v>#VALUE!</v>
      </c>
      <c r="BN1756" t="e" vm="2">
        <f t="shared" si="193"/>
        <v>#VALUE!</v>
      </c>
    </row>
    <row r="1757" spans="55:66" x14ac:dyDescent="0.2">
      <c r="BC1757" s="21" t="e" vm="1">
        <v>#REF!</v>
      </c>
      <c r="BD1757" t="e" vm="1">
        <v>#REF!</v>
      </c>
      <c r="BF1757" t="e" vm="2">
        <f t="shared" si="190"/>
        <v>#VALUE!</v>
      </c>
      <c r="BG1757" t="e" vm="2">
        <f t="shared" si="191"/>
        <v>#VALUE!</v>
      </c>
      <c r="BJ1757" s="21" t="e" vm="1">
        <v>#REF!</v>
      </c>
      <c r="BK1757" t="e" vm="1">
        <v>#REF!</v>
      </c>
      <c r="BM1757" t="e" vm="2">
        <f t="shared" si="192"/>
        <v>#VALUE!</v>
      </c>
      <c r="BN1757" t="e" vm="2">
        <f t="shared" si="193"/>
        <v>#VALUE!</v>
      </c>
    </row>
    <row r="1758" spans="55:66" x14ac:dyDescent="0.2">
      <c r="BC1758" s="21" t="e" vm="1">
        <v>#REF!</v>
      </c>
      <c r="BD1758" t="e" vm="1">
        <v>#REF!</v>
      </c>
      <c r="BF1758" t="e" vm="2">
        <f t="shared" si="190"/>
        <v>#VALUE!</v>
      </c>
      <c r="BG1758" t="e" vm="2">
        <f t="shared" si="191"/>
        <v>#VALUE!</v>
      </c>
      <c r="BJ1758" s="21" t="e" vm="1">
        <v>#REF!</v>
      </c>
      <c r="BK1758" t="e" vm="1">
        <v>#REF!</v>
      </c>
      <c r="BM1758" t="e" vm="2">
        <f t="shared" si="192"/>
        <v>#VALUE!</v>
      </c>
      <c r="BN1758" t="e" vm="2">
        <f t="shared" si="193"/>
        <v>#VALUE!</v>
      </c>
    </row>
    <row r="1759" spans="55:66" x14ac:dyDescent="0.2">
      <c r="BC1759" s="21" t="e" vm="1">
        <v>#REF!</v>
      </c>
      <c r="BD1759" t="e" vm="1">
        <v>#REF!</v>
      </c>
      <c r="BF1759" t="e" vm="2">
        <f t="shared" si="190"/>
        <v>#VALUE!</v>
      </c>
      <c r="BG1759" t="e" vm="2">
        <f t="shared" si="191"/>
        <v>#VALUE!</v>
      </c>
      <c r="BJ1759" s="21" t="e" vm="1">
        <v>#REF!</v>
      </c>
      <c r="BK1759" t="e" vm="1">
        <v>#REF!</v>
      </c>
      <c r="BM1759" t="e" vm="2">
        <f t="shared" si="192"/>
        <v>#VALUE!</v>
      </c>
      <c r="BN1759" t="e" vm="2">
        <f t="shared" si="193"/>
        <v>#VALUE!</v>
      </c>
    </row>
    <row r="1760" spans="55:66" x14ac:dyDescent="0.2">
      <c r="BC1760" s="21" t="e" vm="1">
        <v>#REF!</v>
      </c>
      <c r="BD1760" t="e" vm="1">
        <v>#REF!</v>
      </c>
      <c r="BF1760" t="e" vm="2">
        <f t="shared" si="190"/>
        <v>#VALUE!</v>
      </c>
      <c r="BG1760" t="e" vm="2">
        <f t="shared" si="191"/>
        <v>#VALUE!</v>
      </c>
      <c r="BJ1760" s="21" t="e" vm="1">
        <v>#REF!</v>
      </c>
      <c r="BK1760" t="e" vm="1">
        <v>#REF!</v>
      </c>
      <c r="BM1760" t="e" vm="2">
        <f t="shared" si="192"/>
        <v>#VALUE!</v>
      </c>
      <c r="BN1760" t="e" vm="2">
        <f t="shared" si="193"/>
        <v>#VALUE!</v>
      </c>
    </row>
    <row r="1761" spans="55:66" x14ac:dyDescent="0.2">
      <c r="BC1761" s="21" t="e" vm="1">
        <v>#REF!</v>
      </c>
      <c r="BD1761" t="e" vm="1">
        <v>#REF!</v>
      </c>
      <c r="BF1761" t="e" vm="2">
        <f t="shared" si="190"/>
        <v>#VALUE!</v>
      </c>
      <c r="BG1761" t="e" vm="2">
        <f t="shared" si="191"/>
        <v>#VALUE!</v>
      </c>
      <c r="BJ1761" s="21" t="e" vm="1">
        <v>#REF!</v>
      </c>
      <c r="BK1761" t="e" vm="1">
        <v>#REF!</v>
      </c>
      <c r="BM1761" t="e" vm="2">
        <f t="shared" si="192"/>
        <v>#VALUE!</v>
      </c>
      <c r="BN1761" t="e" vm="2">
        <f t="shared" si="193"/>
        <v>#VALUE!</v>
      </c>
    </row>
    <row r="1762" spans="55:66" x14ac:dyDescent="0.2">
      <c r="BC1762" s="21" t="e" vm="1">
        <v>#REF!</v>
      </c>
      <c r="BD1762" t="e" vm="1">
        <v>#REF!</v>
      </c>
      <c r="BF1762" t="e" vm="2">
        <f t="shared" si="190"/>
        <v>#VALUE!</v>
      </c>
      <c r="BG1762" t="e" vm="2">
        <f t="shared" si="191"/>
        <v>#VALUE!</v>
      </c>
      <c r="BJ1762" s="21" t="e" vm="1">
        <v>#REF!</v>
      </c>
      <c r="BK1762" t="e" vm="1">
        <v>#REF!</v>
      </c>
      <c r="BM1762" t="e" vm="2">
        <f t="shared" si="192"/>
        <v>#VALUE!</v>
      </c>
      <c r="BN1762" t="e" vm="2">
        <f t="shared" si="193"/>
        <v>#VALUE!</v>
      </c>
    </row>
    <row r="1763" spans="55:66" x14ac:dyDescent="0.2">
      <c r="BC1763" s="21" t="e" vm="1">
        <v>#REF!</v>
      </c>
      <c r="BD1763" t="e" vm="1">
        <v>#REF!</v>
      </c>
      <c r="BF1763" t="e" vm="2">
        <f t="shared" si="190"/>
        <v>#VALUE!</v>
      </c>
      <c r="BG1763" t="e" vm="2">
        <f t="shared" si="191"/>
        <v>#VALUE!</v>
      </c>
      <c r="BJ1763" s="21" t="e" vm="1">
        <v>#REF!</v>
      </c>
      <c r="BK1763" t="e" vm="1">
        <v>#REF!</v>
      </c>
      <c r="BM1763" t="e" vm="2">
        <f t="shared" si="192"/>
        <v>#VALUE!</v>
      </c>
      <c r="BN1763" t="e" vm="2">
        <f t="shared" si="193"/>
        <v>#VALUE!</v>
      </c>
    </row>
    <row r="1764" spans="55:66" x14ac:dyDescent="0.2">
      <c r="BC1764" s="21" t="e" vm="1">
        <v>#REF!</v>
      </c>
      <c r="BD1764" t="e" vm="1">
        <v>#REF!</v>
      </c>
      <c r="BF1764" t="e" vm="2">
        <f t="shared" si="190"/>
        <v>#VALUE!</v>
      </c>
      <c r="BG1764" t="e" vm="2">
        <f t="shared" si="191"/>
        <v>#VALUE!</v>
      </c>
      <c r="BJ1764" s="21" t="e" vm="1">
        <v>#REF!</v>
      </c>
      <c r="BK1764" t="e" vm="1">
        <v>#REF!</v>
      </c>
      <c r="BM1764" t="e" vm="2">
        <f t="shared" si="192"/>
        <v>#VALUE!</v>
      </c>
      <c r="BN1764" t="e" vm="2">
        <f t="shared" si="193"/>
        <v>#VALUE!</v>
      </c>
    </row>
    <row r="1765" spans="55:66" x14ac:dyDescent="0.2">
      <c r="BC1765" s="21" t="e" vm="1">
        <v>#REF!</v>
      </c>
      <c r="BD1765" t="e" vm="1">
        <v>#REF!</v>
      </c>
      <c r="BF1765" t="e" vm="2">
        <f t="shared" si="190"/>
        <v>#VALUE!</v>
      </c>
      <c r="BG1765" t="e" vm="2">
        <f t="shared" si="191"/>
        <v>#VALUE!</v>
      </c>
      <c r="BJ1765" s="21" t="e" vm="1">
        <v>#REF!</v>
      </c>
      <c r="BK1765" t="e" vm="1">
        <v>#REF!</v>
      </c>
      <c r="BM1765" t="e" vm="2">
        <f t="shared" si="192"/>
        <v>#VALUE!</v>
      </c>
      <c r="BN1765" t="e" vm="2">
        <f t="shared" si="193"/>
        <v>#VALUE!</v>
      </c>
    </row>
    <row r="1766" spans="55:66" x14ac:dyDescent="0.2">
      <c r="BC1766" s="21" t="e" vm="1">
        <v>#REF!</v>
      </c>
      <c r="BD1766" t="e" vm="1">
        <v>#REF!</v>
      </c>
      <c r="BF1766" t="e" vm="2">
        <f t="shared" si="190"/>
        <v>#VALUE!</v>
      </c>
      <c r="BG1766" t="e" vm="2">
        <f t="shared" si="191"/>
        <v>#VALUE!</v>
      </c>
      <c r="BJ1766" s="21" t="e" vm="1">
        <v>#REF!</v>
      </c>
      <c r="BK1766" t="e" vm="1">
        <v>#REF!</v>
      </c>
      <c r="BM1766" t="e" vm="2">
        <f t="shared" si="192"/>
        <v>#VALUE!</v>
      </c>
      <c r="BN1766" t="e" vm="2">
        <f t="shared" si="193"/>
        <v>#VALUE!</v>
      </c>
    </row>
    <row r="1767" spans="55:66" x14ac:dyDescent="0.2">
      <c r="BC1767" s="21" t="e" vm="1">
        <v>#REF!</v>
      </c>
      <c r="BD1767" t="e" vm="1">
        <v>#REF!</v>
      </c>
      <c r="BF1767" t="e" vm="2">
        <f t="shared" si="190"/>
        <v>#VALUE!</v>
      </c>
      <c r="BG1767" t="e" vm="2">
        <f t="shared" si="191"/>
        <v>#VALUE!</v>
      </c>
      <c r="BJ1767" s="21" t="e" vm="1">
        <v>#REF!</v>
      </c>
      <c r="BK1767" t="e" vm="1">
        <v>#REF!</v>
      </c>
      <c r="BM1767" t="e" vm="2">
        <f t="shared" si="192"/>
        <v>#VALUE!</v>
      </c>
      <c r="BN1767" t="e" vm="2">
        <f t="shared" si="193"/>
        <v>#VALUE!</v>
      </c>
    </row>
    <row r="1768" spans="55:66" x14ac:dyDescent="0.2">
      <c r="BC1768" s="21" t="e" vm="1">
        <v>#REF!</v>
      </c>
      <c r="BD1768" t="e" vm="1">
        <v>#REF!</v>
      </c>
      <c r="BF1768" t="e" vm="2">
        <f t="shared" si="190"/>
        <v>#VALUE!</v>
      </c>
      <c r="BG1768" t="e" vm="2">
        <f t="shared" si="191"/>
        <v>#VALUE!</v>
      </c>
      <c r="BJ1768" s="21" t="e" vm="1">
        <v>#REF!</v>
      </c>
      <c r="BK1768" t="e" vm="1">
        <v>#REF!</v>
      </c>
      <c r="BM1768" t="e" vm="2">
        <f t="shared" si="192"/>
        <v>#VALUE!</v>
      </c>
      <c r="BN1768" t="e" vm="2">
        <f t="shared" si="193"/>
        <v>#VALUE!</v>
      </c>
    </row>
    <row r="1769" spans="55:66" x14ac:dyDescent="0.2">
      <c r="BC1769" s="21" t="e" vm="1">
        <v>#REF!</v>
      </c>
      <c r="BD1769" t="e" vm="1">
        <v>#REF!</v>
      </c>
      <c r="BF1769" t="e" vm="2">
        <f t="shared" si="190"/>
        <v>#VALUE!</v>
      </c>
      <c r="BG1769" t="e" vm="2">
        <f t="shared" si="191"/>
        <v>#VALUE!</v>
      </c>
      <c r="BJ1769" s="21" t="e" vm="1">
        <v>#REF!</v>
      </c>
      <c r="BK1769" t="e" vm="1">
        <v>#REF!</v>
      </c>
      <c r="BM1769" t="e" vm="2">
        <f t="shared" si="192"/>
        <v>#VALUE!</v>
      </c>
      <c r="BN1769" t="e" vm="2">
        <f t="shared" si="193"/>
        <v>#VALUE!</v>
      </c>
    </row>
    <row r="1770" spans="55:66" x14ac:dyDescent="0.2">
      <c r="BC1770" s="21" t="e" vm="1">
        <v>#REF!</v>
      </c>
      <c r="BD1770" t="e" vm="1">
        <v>#REF!</v>
      </c>
      <c r="BF1770" t="e" vm="2">
        <f t="shared" si="190"/>
        <v>#VALUE!</v>
      </c>
      <c r="BG1770" t="e" vm="2">
        <f t="shared" si="191"/>
        <v>#VALUE!</v>
      </c>
      <c r="BJ1770" s="21" t="e" vm="1">
        <v>#REF!</v>
      </c>
      <c r="BK1770" t="e" vm="1">
        <v>#REF!</v>
      </c>
      <c r="BM1770" t="e" vm="2">
        <f t="shared" si="192"/>
        <v>#VALUE!</v>
      </c>
      <c r="BN1770" t="e" vm="2">
        <f t="shared" si="193"/>
        <v>#VALUE!</v>
      </c>
    </row>
    <row r="1771" spans="55:66" x14ac:dyDescent="0.2">
      <c r="BC1771" s="21" t="e" vm="1">
        <v>#REF!</v>
      </c>
      <c r="BD1771" t="e" vm="1">
        <v>#REF!</v>
      </c>
      <c r="BF1771" t="e" vm="2">
        <f t="shared" si="190"/>
        <v>#VALUE!</v>
      </c>
      <c r="BG1771" t="e" vm="2">
        <f t="shared" si="191"/>
        <v>#VALUE!</v>
      </c>
      <c r="BJ1771" s="21" t="e" vm="1">
        <v>#REF!</v>
      </c>
      <c r="BK1771" t="e" vm="1">
        <v>#REF!</v>
      </c>
      <c r="BM1771" t="e" vm="2">
        <f t="shared" si="192"/>
        <v>#VALUE!</v>
      </c>
      <c r="BN1771" t="e" vm="2">
        <f t="shared" si="193"/>
        <v>#VALUE!</v>
      </c>
    </row>
    <row r="1772" spans="55:66" x14ac:dyDescent="0.2">
      <c r="BC1772" s="21" t="e" vm="1">
        <v>#REF!</v>
      </c>
      <c r="BD1772" t="e" vm="1">
        <v>#REF!</v>
      </c>
      <c r="BF1772" t="e" vm="2">
        <f t="shared" si="190"/>
        <v>#VALUE!</v>
      </c>
      <c r="BG1772" t="e" vm="2">
        <f t="shared" si="191"/>
        <v>#VALUE!</v>
      </c>
      <c r="BJ1772" s="21" t="e" vm="1">
        <v>#REF!</v>
      </c>
      <c r="BK1772" t="e" vm="1">
        <v>#REF!</v>
      </c>
      <c r="BM1772" t="e" vm="2">
        <f t="shared" si="192"/>
        <v>#VALUE!</v>
      </c>
      <c r="BN1772" t="e" vm="2">
        <f t="shared" si="193"/>
        <v>#VALUE!</v>
      </c>
    </row>
    <row r="1773" spans="55:66" x14ac:dyDescent="0.2">
      <c r="BC1773" s="21" t="e" vm="1">
        <v>#REF!</v>
      </c>
      <c r="BD1773" t="e" vm="1">
        <v>#REF!</v>
      </c>
      <c r="BF1773" t="e" vm="2">
        <f t="shared" si="190"/>
        <v>#VALUE!</v>
      </c>
      <c r="BG1773" t="e" vm="2">
        <f t="shared" si="191"/>
        <v>#VALUE!</v>
      </c>
      <c r="BJ1773" s="21" t="e" vm="1">
        <v>#REF!</v>
      </c>
      <c r="BK1773" t="e" vm="1">
        <v>#REF!</v>
      </c>
      <c r="BM1773" t="e" vm="2">
        <f t="shared" si="192"/>
        <v>#VALUE!</v>
      </c>
      <c r="BN1773" t="e" vm="2">
        <f t="shared" si="193"/>
        <v>#VALUE!</v>
      </c>
    </row>
    <row r="1774" spans="55:66" x14ac:dyDescent="0.2">
      <c r="BC1774" s="21" t="e" vm="1">
        <v>#REF!</v>
      </c>
      <c r="BD1774" t="e" vm="1">
        <v>#REF!</v>
      </c>
      <c r="BF1774" t="e" vm="2">
        <f t="shared" si="190"/>
        <v>#VALUE!</v>
      </c>
      <c r="BG1774" t="e" vm="2">
        <f t="shared" si="191"/>
        <v>#VALUE!</v>
      </c>
      <c r="BJ1774" s="21" t="e" vm="1">
        <v>#REF!</v>
      </c>
      <c r="BK1774" t="e" vm="1">
        <v>#REF!</v>
      </c>
      <c r="BM1774" t="e" vm="2">
        <f t="shared" si="192"/>
        <v>#VALUE!</v>
      </c>
      <c r="BN1774" t="e" vm="2">
        <f t="shared" si="193"/>
        <v>#VALUE!</v>
      </c>
    </row>
    <row r="1775" spans="55:66" x14ac:dyDescent="0.2">
      <c r="BC1775" s="21" t="e" vm="1">
        <v>#REF!</v>
      </c>
      <c r="BD1775" t="e" vm="1">
        <v>#REF!</v>
      </c>
      <c r="BF1775" t="e" vm="2">
        <f t="shared" si="190"/>
        <v>#VALUE!</v>
      </c>
      <c r="BG1775" t="e" vm="2">
        <f t="shared" si="191"/>
        <v>#VALUE!</v>
      </c>
      <c r="BJ1775" s="21" t="e" vm="1">
        <v>#REF!</v>
      </c>
      <c r="BK1775" t="e" vm="1">
        <v>#REF!</v>
      </c>
      <c r="BM1775" t="e" vm="2">
        <f t="shared" si="192"/>
        <v>#VALUE!</v>
      </c>
      <c r="BN1775" t="e" vm="2">
        <f t="shared" si="193"/>
        <v>#VALUE!</v>
      </c>
    </row>
    <row r="1776" spans="55:66" x14ac:dyDescent="0.2">
      <c r="BC1776" s="21" t="e" vm="1">
        <v>#REF!</v>
      </c>
      <c r="BD1776" t="e" vm="1">
        <v>#REF!</v>
      </c>
      <c r="BF1776" t="e" vm="2">
        <f t="shared" si="190"/>
        <v>#VALUE!</v>
      </c>
      <c r="BG1776" t="e" vm="2">
        <f t="shared" si="191"/>
        <v>#VALUE!</v>
      </c>
      <c r="BJ1776" s="21" t="e" vm="1">
        <v>#REF!</v>
      </c>
      <c r="BK1776" t="e" vm="1">
        <v>#REF!</v>
      </c>
      <c r="BM1776" t="e" vm="2">
        <f t="shared" si="192"/>
        <v>#VALUE!</v>
      </c>
      <c r="BN1776" t="e" vm="2">
        <f t="shared" si="193"/>
        <v>#VALUE!</v>
      </c>
    </row>
    <row r="1777" spans="55:66" x14ac:dyDescent="0.2">
      <c r="BC1777" s="21" t="e" vm="1">
        <v>#REF!</v>
      </c>
      <c r="BD1777" t="e" vm="1">
        <v>#REF!</v>
      </c>
      <c r="BF1777" t="e" vm="2">
        <f t="shared" si="190"/>
        <v>#VALUE!</v>
      </c>
      <c r="BG1777" t="e" vm="2">
        <f t="shared" si="191"/>
        <v>#VALUE!</v>
      </c>
      <c r="BJ1777" s="21" t="e" vm="1">
        <v>#REF!</v>
      </c>
      <c r="BK1777" t="e" vm="1">
        <v>#REF!</v>
      </c>
      <c r="BM1777" t="e" vm="2">
        <f t="shared" si="192"/>
        <v>#VALUE!</v>
      </c>
      <c r="BN1777" t="e" vm="2">
        <f t="shared" si="193"/>
        <v>#VALUE!</v>
      </c>
    </row>
    <row r="1778" spans="55:66" x14ac:dyDescent="0.2">
      <c r="BC1778" s="21" t="e" vm="1">
        <v>#REF!</v>
      </c>
      <c r="BD1778" t="e" vm="1">
        <v>#REF!</v>
      </c>
      <c r="BF1778" t="e" vm="2">
        <f t="shared" si="190"/>
        <v>#VALUE!</v>
      </c>
      <c r="BG1778" t="e" vm="2">
        <f t="shared" si="191"/>
        <v>#VALUE!</v>
      </c>
      <c r="BJ1778" s="21" t="e" vm="1">
        <v>#REF!</v>
      </c>
      <c r="BK1778" t="e" vm="1">
        <v>#REF!</v>
      </c>
      <c r="BM1778" t="e" vm="2">
        <f t="shared" si="192"/>
        <v>#VALUE!</v>
      </c>
      <c r="BN1778" t="e" vm="2">
        <f t="shared" si="193"/>
        <v>#VALUE!</v>
      </c>
    </row>
    <row r="1779" spans="55:66" x14ac:dyDescent="0.2">
      <c r="BC1779" s="21" t="e" vm="1">
        <v>#REF!</v>
      </c>
      <c r="BD1779" t="e" vm="1">
        <v>#REF!</v>
      </c>
      <c r="BF1779" t="e" vm="2">
        <f t="shared" si="190"/>
        <v>#VALUE!</v>
      </c>
      <c r="BG1779" t="e" vm="2">
        <f t="shared" si="191"/>
        <v>#VALUE!</v>
      </c>
      <c r="BJ1779" s="21" t="e" vm="1">
        <v>#REF!</v>
      </c>
      <c r="BK1779" t="e" vm="1">
        <v>#REF!</v>
      </c>
      <c r="BM1779" t="e" vm="2">
        <f t="shared" si="192"/>
        <v>#VALUE!</v>
      </c>
      <c r="BN1779" t="e" vm="2">
        <f t="shared" si="193"/>
        <v>#VALUE!</v>
      </c>
    </row>
    <row r="1780" spans="55:66" x14ac:dyDescent="0.2">
      <c r="BC1780" s="21" t="e" vm="1">
        <v>#REF!</v>
      </c>
      <c r="BD1780" t="e" vm="1">
        <v>#REF!</v>
      </c>
      <c r="BF1780" t="e" vm="2">
        <f t="shared" si="190"/>
        <v>#VALUE!</v>
      </c>
      <c r="BG1780" t="e" vm="2">
        <f t="shared" si="191"/>
        <v>#VALUE!</v>
      </c>
      <c r="BJ1780" s="21" t="e" vm="1">
        <v>#REF!</v>
      </c>
      <c r="BK1780" t="e" vm="1">
        <v>#REF!</v>
      </c>
      <c r="BM1780" t="e" vm="2">
        <f t="shared" si="192"/>
        <v>#VALUE!</v>
      </c>
      <c r="BN1780" t="e" vm="2">
        <f t="shared" si="193"/>
        <v>#VALUE!</v>
      </c>
    </row>
    <row r="1781" spans="55:66" x14ac:dyDescent="0.2">
      <c r="BC1781" s="21" t="e" vm="1">
        <v>#REF!</v>
      </c>
      <c r="BD1781" t="e" vm="1">
        <v>#REF!</v>
      </c>
      <c r="BF1781" t="e" vm="2">
        <f t="shared" si="190"/>
        <v>#VALUE!</v>
      </c>
      <c r="BG1781" t="e" vm="2">
        <f t="shared" si="191"/>
        <v>#VALUE!</v>
      </c>
      <c r="BJ1781" s="21" t="e" vm="1">
        <v>#REF!</v>
      </c>
      <c r="BK1781" t="e" vm="1">
        <v>#REF!</v>
      </c>
      <c r="BM1781" t="e" vm="2">
        <f t="shared" si="192"/>
        <v>#VALUE!</v>
      </c>
      <c r="BN1781" t="e" vm="2">
        <f t="shared" si="193"/>
        <v>#VALUE!</v>
      </c>
    </row>
    <row r="1782" spans="55:66" x14ac:dyDescent="0.2">
      <c r="BC1782" s="21" t="e" vm="1">
        <v>#REF!</v>
      </c>
      <c r="BD1782" t="e" vm="1">
        <v>#REF!</v>
      </c>
      <c r="BF1782" t="e" vm="2">
        <f t="shared" si="190"/>
        <v>#VALUE!</v>
      </c>
      <c r="BG1782" t="e" vm="2">
        <f t="shared" si="191"/>
        <v>#VALUE!</v>
      </c>
      <c r="BJ1782" s="21" t="e" vm="1">
        <v>#REF!</v>
      </c>
      <c r="BK1782" t="e" vm="1">
        <v>#REF!</v>
      </c>
      <c r="BM1782" t="e" vm="2">
        <f t="shared" si="192"/>
        <v>#VALUE!</v>
      </c>
      <c r="BN1782" t="e" vm="2">
        <f t="shared" si="193"/>
        <v>#VALUE!</v>
      </c>
    </row>
    <row r="1783" spans="55:66" x14ac:dyDescent="0.2">
      <c r="BC1783" s="21" t="e" vm="1">
        <v>#REF!</v>
      </c>
      <c r="BD1783" t="e" vm="1">
        <v>#REF!</v>
      </c>
      <c r="BF1783" t="e" vm="2">
        <f t="shared" si="190"/>
        <v>#VALUE!</v>
      </c>
      <c r="BG1783" t="e" vm="2">
        <f t="shared" si="191"/>
        <v>#VALUE!</v>
      </c>
      <c r="BJ1783" s="21" t="e" vm="1">
        <v>#REF!</v>
      </c>
      <c r="BK1783" t="e" vm="1">
        <v>#REF!</v>
      </c>
      <c r="BM1783" t="e" vm="2">
        <f t="shared" si="192"/>
        <v>#VALUE!</v>
      </c>
      <c r="BN1783" t="e" vm="2">
        <f t="shared" si="193"/>
        <v>#VALUE!</v>
      </c>
    </row>
    <row r="1784" spans="55:66" x14ac:dyDescent="0.2">
      <c r="BC1784" s="21" t="e" vm="1">
        <v>#REF!</v>
      </c>
      <c r="BD1784" t="e" vm="1">
        <v>#REF!</v>
      </c>
      <c r="BF1784" t="e" vm="2">
        <f t="shared" si="190"/>
        <v>#VALUE!</v>
      </c>
      <c r="BG1784" t="e" vm="2">
        <f t="shared" si="191"/>
        <v>#VALUE!</v>
      </c>
      <c r="BJ1784" s="21" t="e" vm="1">
        <v>#REF!</v>
      </c>
      <c r="BK1784" t="e" vm="1">
        <v>#REF!</v>
      </c>
      <c r="BM1784" t="e" vm="2">
        <f t="shared" si="192"/>
        <v>#VALUE!</v>
      </c>
      <c r="BN1784" t="e" vm="2">
        <f t="shared" si="193"/>
        <v>#VALUE!</v>
      </c>
    </row>
    <row r="1785" spans="55:66" x14ac:dyDescent="0.2">
      <c r="BC1785" s="21" t="e" vm="1">
        <v>#REF!</v>
      </c>
      <c r="BD1785" t="e" vm="1">
        <v>#REF!</v>
      </c>
      <c r="BF1785" t="e" vm="2">
        <f t="shared" si="190"/>
        <v>#VALUE!</v>
      </c>
      <c r="BG1785" t="e" vm="2">
        <f t="shared" si="191"/>
        <v>#VALUE!</v>
      </c>
      <c r="BJ1785" s="21" t="e" vm="1">
        <v>#REF!</v>
      </c>
      <c r="BK1785" t="e" vm="1">
        <v>#REF!</v>
      </c>
      <c r="BM1785" t="e" vm="2">
        <f t="shared" si="192"/>
        <v>#VALUE!</v>
      </c>
      <c r="BN1785" t="e" vm="2">
        <f t="shared" si="193"/>
        <v>#VALUE!</v>
      </c>
    </row>
    <row r="1786" spans="55:66" x14ac:dyDescent="0.2">
      <c r="BC1786" s="21" t="e" vm="1">
        <v>#REF!</v>
      </c>
      <c r="BD1786" t="e" vm="1">
        <v>#REF!</v>
      </c>
      <c r="BF1786" t="e" vm="2">
        <f t="shared" si="190"/>
        <v>#VALUE!</v>
      </c>
      <c r="BG1786" t="e" vm="2">
        <f t="shared" si="191"/>
        <v>#VALUE!</v>
      </c>
      <c r="BJ1786" s="21" t="e" vm="1">
        <v>#REF!</v>
      </c>
      <c r="BK1786" t="e" vm="1">
        <v>#REF!</v>
      </c>
      <c r="BM1786" t="e" vm="2">
        <f t="shared" si="192"/>
        <v>#VALUE!</v>
      </c>
      <c r="BN1786" t="e" vm="2">
        <f t="shared" si="193"/>
        <v>#VALUE!</v>
      </c>
    </row>
    <row r="1787" spans="55:66" x14ac:dyDescent="0.2">
      <c r="BC1787" s="21" t="e" vm="1">
        <v>#REF!</v>
      </c>
      <c r="BD1787" t="e" vm="1">
        <v>#REF!</v>
      </c>
      <c r="BF1787" t="e" vm="2">
        <f t="shared" si="190"/>
        <v>#VALUE!</v>
      </c>
      <c r="BG1787" t="e" vm="2">
        <f t="shared" si="191"/>
        <v>#VALUE!</v>
      </c>
      <c r="BJ1787" s="21" t="e" vm="1">
        <v>#REF!</v>
      </c>
      <c r="BK1787" t="e" vm="1">
        <v>#REF!</v>
      </c>
      <c r="BM1787" t="e" vm="2">
        <f t="shared" si="192"/>
        <v>#VALUE!</v>
      </c>
      <c r="BN1787" t="e" vm="2">
        <f t="shared" si="193"/>
        <v>#VALUE!</v>
      </c>
    </row>
    <row r="1788" spans="55:66" x14ac:dyDescent="0.2">
      <c r="BC1788" s="21" t="e" vm="1">
        <v>#REF!</v>
      </c>
      <c r="BD1788" t="e" vm="1">
        <v>#REF!</v>
      </c>
      <c r="BF1788" t="e" vm="2">
        <f t="shared" si="190"/>
        <v>#VALUE!</v>
      </c>
      <c r="BG1788" t="e" vm="2">
        <f t="shared" si="191"/>
        <v>#VALUE!</v>
      </c>
      <c r="BJ1788" s="21" t="e" vm="1">
        <v>#REF!</v>
      </c>
      <c r="BK1788" t="e" vm="1">
        <v>#REF!</v>
      </c>
      <c r="BM1788" t="e" vm="2">
        <f t="shared" si="192"/>
        <v>#VALUE!</v>
      </c>
      <c r="BN1788" t="e" vm="2">
        <f t="shared" si="193"/>
        <v>#VALUE!</v>
      </c>
    </row>
    <row r="1789" spans="55:66" x14ac:dyDescent="0.2">
      <c r="BC1789" s="21" t="e" vm="1">
        <v>#REF!</v>
      </c>
      <c r="BD1789" t="e" vm="1">
        <v>#REF!</v>
      </c>
      <c r="BF1789" t="e" vm="2">
        <f t="shared" si="190"/>
        <v>#VALUE!</v>
      </c>
      <c r="BG1789" t="e" vm="2">
        <f t="shared" si="191"/>
        <v>#VALUE!</v>
      </c>
      <c r="BJ1789" s="21" t="e" vm="1">
        <v>#REF!</v>
      </c>
      <c r="BK1789" t="e" vm="1">
        <v>#REF!</v>
      </c>
      <c r="BM1789" t="e" vm="2">
        <f t="shared" si="192"/>
        <v>#VALUE!</v>
      </c>
      <c r="BN1789" t="e" vm="2">
        <f t="shared" si="193"/>
        <v>#VALUE!</v>
      </c>
    </row>
    <row r="1790" spans="55:66" x14ac:dyDescent="0.2">
      <c r="BC1790" s="21" t="e" vm="1">
        <v>#REF!</v>
      </c>
      <c r="BD1790" t="e" vm="1">
        <v>#REF!</v>
      </c>
      <c r="BF1790" t="e" vm="2">
        <f t="shared" si="190"/>
        <v>#VALUE!</v>
      </c>
      <c r="BG1790" t="e" vm="2">
        <f t="shared" si="191"/>
        <v>#VALUE!</v>
      </c>
      <c r="BJ1790" s="21" t="e" vm="1">
        <v>#REF!</v>
      </c>
      <c r="BK1790" t="e" vm="1">
        <v>#REF!</v>
      </c>
      <c r="BM1790" t="e" vm="2">
        <f t="shared" si="192"/>
        <v>#VALUE!</v>
      </c>
      <c r="BN1790" t="e" vm="2">
        <f t="shared" si="193"/>
        <v>#VALUE!</v>
      </c>
    </row>
    <row r="1791" spans="55:66" x14ac:dyDescent="0.2">
      <c r="BC1791" s="21" t="e" vm="1">
        <v>#REF!</v>
      </c>
      <c r="BD1791" t="e" vm="1">
        <v>#REF!</v>
      </c>
      <c r="BF1791" t="e" vm="2">
        <f t="shared" si="190"/>
        <v>#VALUE!</v>
      </c>
      <c r="BG1791" t="e" vm="2">
        <f t="shared" si="191"/>
        <v>#VALUE!</v>
      </c>
      <c r="BJ1791" s="21" t="e" vm="1">
        <v>#REF!</v>
      </c>
      <c r="BK1791" t="e" vm="1">
        <v>#REF!</v>
      </c>
      <c r="BM1791" t="e" vm="2">
        <f t="shared" si="192"/>
        <v>#VALUE!</v>
      </c>
      <c r="BN1791" t="e" vm="2">
        <f t="shared" si="193"/>
        <v>#VALUE!</v>
      </c>
    </row>
    <row r="1792" spans="55:66" x14ac:dyDescent="0.2">
      <c r="BC1792" s="21" t="e" vm="1">
        <v>#REF!</v>
      </c>
      <c r="BD1792" t="e" vm="1">
        <v>#REF!</v>
      </c>
      <c r="BF1792" t="e" vm="2">
        <f t="shared" si="190"/>
        <v>#VALUE!</v>
      </c>
      <c r="BG1792" t="e" vm="2">
        <f t="shared" si="191"/>
        <v>#VALUE!</v>
      </c>
      <c r="BJ1792" s="21" t="e" vm="1">
        <v>#REF!</v>
      </c>
      <c r="BK1792" t="e" vm="1">
        <v>#REF!</v>
      </c>
      <c r="BM1792" t="e" vm="2">
        <f t="shared" si="192"/>
        <v>#VALUE!</v>
      </c>
      <c r="BN1792" t="e" vm="2">
        <f t="shared" si="193"/>
        <v>#VALUE!</v>
      </c>
    </row>
    <row r="1793" spans="55:66" x14ac:dyDescent="0.2">
      <c r="BC1793" s="21" t="e" vm="1">
        <v>#REF!</v>
      </c>
      <c r="BD1793" t="e" vm="1">
        <v>#REF!</v>
      </c>
      <c r="BF1793" t="e" vm="2">
        <f t="shared" si="190"/>
        <v>#VALUE!</v>
      </c>
      <c r="BG1793" t="e" vm="2">
        <f t="shared" si="191"/>
        <v>#VALUE!</v>
      </c>
      <c r="BJ1793" s="21" t="e" vm="1">
        <v>#REF!</v>
      </c>
      <c r="BK1793" t="e" vm="1">
        <v>#REF!</v>
      </c>
      <c r="BM1793" t="e" vm="2">
        <f t="shared" si="192"/>
        <v>#VALUE!</v>
      </c>
      <c r="BN1793" t="e" vm="2">
        <f t="shared" si="193"/>
        <v>#VALUE!</v>
      </c>
    </row>
    <row r="1794" spans="55:66" x14ac:dyDescent="0.2">
      <c r="BC1794" s="21" t="e" vm="1">
        <v>#REF!</v>
      </c>
      <c r="BD1794" t="e" vm="1">
        <v>#REF!</v>
      </c>
      <c r="BF1794" t="e" vm="2">
        <f t="shared" si="190"/>
        <v>#VALUE!</v>
      </c>
      <c r="BG1794" t="e" vm="2">
        <f t="shared" si="191"/>
        <v>#VALUE!</v>
      </c>
      <c r="BJ1794" s="21" t="e" vm="1">
        <v>#REF!</v>
      </c>
      <c r="BK1794" t="e" vm="1">
        <v>#REF!</v>
      </c>
      <c r="BM1794" t="e" vm="2">
        <f t="shared" si="192"/>
        <v>#VALUE!</v>
      </c>
      <c r="BN1794" t="e" vm="2">
        <f t="shared" si="193"/>
        <v>#VALUE!</v>
      </c>
    </row>
    <row r="1795" spans="55:66" x14ac:dyDescent="0.2">
      <c r="BC1795" s="21" t="e" vm="1">
        <v>#REF!</v>
      </c>
      <c r="BD1795" t="e" vm="1">
        <v>#REF!</v>
      </c>
      <c r="BF1795" t="e" vm="2">
        <f t="shared" ref="BF1795:BF1858" si="194">MONTH(BC1795)</f>
        <v>#VALUE!</v>
      </c>
      <c r="BG1795" t="e" vm="2">
        <f t="shared" ref="BG1795:BG1858" si="195">YEAR(BC1795)</f>
        <v>#VALUE!</v>
      </c>
      <c r="BJ1795" s="21" t="e" vm="1">
        <v>#REF!</v>
      </c>
      <c r="BK1795" t="e" vm="1">
        <v>#REF!</v>
      </c>
      <c r="BM1795" t="e" vm="2">
        <f t="shared" si="192"/>
        <v>#VALUE!</v>
      </c>
      <c r="BN1795" t="e" vm="2">
        <f t="shared" si="193"/>
        <v>#VALUE!</v>
      </c>
    </row>
    <row r="1796" spans="55:66" x14ac:dyDescent="0.2">
      <c r="BC1796" s="21" t="e" vm="1">
        <v>#REF!</v>
      </c>
      <c r="BD1796" t="e" vm="1">
        <v>#REF!</v>
      </c>
      <c r="BF1796" t="e" vm="2">
        <f t="shared" si="194"/>
        <v>#VALUE!</v>
      </c>
      <c r="BG1796" t="e" vm="2">
        <f t="shared" si="195"/>
        <v>#VALUE!</v>
      </c>
      <c r="BJ1796" s="21" t="e" vm="1">
        <v>#REF!</v>
      </c>
      <c r="BK1796" t="e" vm="1">
        <v>#REF!</v>
      </c>
      <c r="BM1796" t="e" vm="2">
        <f t="shared" ref="BM1796:BM1859" si="196">MONTH(BJ1796)</f>
        <v>#VALUE!</v>
      </c>
      <c r="BN1796" t="e" vm="2">
        <f t="shared" ref="BN1796:BN1859" si="197">YEAR(BJ1796)</f>
        <v>#VALUE!</v>
      </c>
    </row>
    <row r="1797" spans="55:66" x14ac:dyDescent="0.2">
      <c r="BC1797" s="21" t="e" vm="1">
        <v>#REF!</v>
      </c>
      <c r="BD1797" t="e" vm="1">
        <v>#REF!</v>
      </c>
      <c r="BF1797" t="e" vm="2">
        <f t="shared" si="194"/>
        <v>#VALUE!</v>
      </c>
      <c r="BG1797" t="e" vm="2">
        <f t="shared" si="195"/>
        <v>#VALUE!</v>
      </c>
      <c r="BJ1797" s="21" t="e" vm="1">
        <v>#REF!</v>
      </c>
      <c r="BK1797" t="e" vm="1">
        <v>#REF!</v>
      </c>
      <c r="BM1797" t="e" vm="2">
        <f t="shared" si="196"/>
        <v>#VALUE!</v>
      </c>
      <c r="BN1797" t="e" vm="2">
        <f t="shared" si="197"/>
        <v>#VALUE!</v>
      </c>
    </row>
    <row r="1798" spans="55:66" x14ac:dyDescent="0.2">
      <c r="BC1798" s="21" t="e" vm="1">
        <v>#REF!</v>
      </c>
      <c r="BD1798" t="e" vm="1">
        <v>#REF!</v>
      </c>
      <c r="BF1798" t="e" vm="2">
        <f t="shared" si="194"/>
        <v>#VALUE!</v>
      </c>
      <c r="BG1798" t="e" vm="2">
        <f t="shared" si="195"/>
        <v>#VALUE!</v>
      </c>
      <c r="BJ1798" s="21" t="e" vm="1">
        <v>#REF!</v>
      </c>
      <c r="BK1798" t="e" vm="1">
        <v>#REF!</v>
      </c>
      <c r="BM1798" t="e" vm="2">
        <f t="shared" si="196"/>
        <v>#VALUE!</v>
      </c>
      <c r="BN1798" t="e" vm="2">
        <f t="shared" si="197"/>
        <v>#VALUE!</v>
      </c>
    </row>
    <row r="1799" spans="55:66" x14ac:dyDescent="0.2">
      <c r="BC1799" s="21" t="e" vm="1">
        <v>#REF!</v>
      </c>
      <c r="BD1799" t="e" vm="1">
        <v>#REF!</v>
      </c>
      <c r="BF1799" t="e" vm="2">
        <f t="shared" si="194"/>
        <v>#VALUE!</v>
      </c>
      <c r="BG1799" t="e" vm="2">
        <f t="shared" si="195"/>
        <v>#VALUE!</v>
      </c>
      <c r="BJ1799" s="21" t="e" vm="1">
        <v>#REF!</v>
      </c>
      <c r="BK1799" t="e" vm="1">
        <v>#REF!</v>
      </c>
      <c r="BM1799" t="e" vm="2">
        <f t="shared" si="196"/>
        <v>#VALUE!</v>
      </c>
      <c r="BN1799" t="e" vm="2">
        <f t="shared" si="197"/>
        <v>#VALUE!</v>
      </c>
    </row>
    <row r="1800" spans="55:66" x14ac:dyDescent="0.2">
      <c r="BC1800" s="21" t="e" vm="1">
        <v>#REF!</v>
      </c>
      <c r="BD1800" t="e" vm="1">
        <v>#REF!</v>
      </c>
      <c r="BF1800" t="e" vm="2">
        <f t="shared" si="194"/>
        <v>#VALUE!</v>
      </c>
      <c r="BG1800" t="e" vm="2">
        <f t="shared" si="195"/>
        <v>#VALUE!</v>
      </c>
      <c r="BJ1800" s="21" t="e" vm="1">
        <v>#REF!</v>
      </c>
      <c r="BK1800" t="e" vm="1">
        <v>#REF!</v>
      </c>
      <c r="BM1800" t="e" vm="2">
        <f t="shared" si="196"/>
        <v>#VALUE!</v>
      </c>
      <c r="BN1800" t="e" vm="2">
        <f t="shared" si="197"/>
        <v>#VALUE!</v>
      </c>
    </row>
    <row r="1801" spans="55:66" x14ac:dyDescent="0.2">
      <c r="BC1801" s="21" t="e" vm="1">
        <v>#REF!</v>
      </c>
      <c r="BD1801" t="e" vm="1">
        <v>#REF!</v>
      </c>
      <c r="BF1801" t="e" vm="2">
        <f t="shared" si="194"/>
        <v>#VALUE!</v>
      </c>
      <c r="BG1801" t="e" vm="2">
        <f t="shared" si="195"/>
        <v>#VALUE!</v>
      </c>
      <c r="BJ1801" s="21" t="e" vm="1">
        <v>#REF!</v>
      </c>
      <c r="BK1801" t="e" vm="1">
        <v>#REF!</v>
      </c>
      <c r="BM1801" t="e" vm="2">
        <f t="shared" si="196"/>
        <v>#VALUE!</v>
      </c>
      <c r="BN1801" t="e" vm="2">
        <f t="shared" si="197"/>
        <v>#VALUE!</v>
      </c>
    </row>
    <row r="1802" spans="55:66" x14ac:dyDescent="0.2">
      <c r="BC1802" s="21" t="e" vm="1">
        <v>#REF!</v>
      </c>
      <c r="BD1802" t="e" vm="1">
        <v>#REF!</v>
      </c>
      <c r="BF1802" t="e" vm="2">
        <f t="shared" si="194"/>
        <v>#VALUE!</v>
      </c>
      <c r="BG1802" t="e" vm="2">
        <f t="shared" si="195"/>
        <v>#VALUE!</v>
      </c>
      <c r="BJ1802" s="21" t="e" vm="1">
        <v>#REF!</v>
      </c>
      <c r="BK1802" t="e" vm="1">
        <v>#REF!</v>
      </c>
      <c r="BM1802" t="e" vm="2">
        <f t="shared" si="196"/>
        <v>#VALUE!</v>
      </c>
      <c r="BN1802" t="e" vm="2">
        <f t="shared" si="197"/>
        <v>#VALUE!</v>
      </c>
    </row>
    <row r="1803" spans="55:66" x14ac:dyDescent="0.2">
      <c r="BC1803" s="21" t="e" vm="1">
        <v>#REF!</v>
      </c>
      <c r="BD1803" t="e" vm="1">
        <v>#REF!</v>
      </c>
      <c r="BF1803" t="e" vm="2">
        <f t="shared" si="194"/>
        <v>#VALUE!</v>
      </c>
      <c r="BG1803" t="e" vm="2">
        <f t="shared" si="195"/>
        <v>#VALUE!</v>
      </c>
      <c r="BJ1803" s="21" t="e" vm="1">
        <v>#REF!</v>
      </c>
      <c r="BK1803" t="e" vm="1">
        <v>#REF!</v>
      </c>
      <c r="BM1803" t="e" vm="2">
        <f t="shared" si="196"/>
        <v>#VALUE!</v>
      </c>
      <c r="BN1803" t="e" vm="2">
        <f t="shared" si="197"/>
        <v>#VALUE!</v>
      </c>
    </row>
    <row r="1804" spans="55:66" x14ac:dyDescent="0.2">
      <c r="BC1804" s="21" t="e" vm="1">
        <v>#REF!</v>
      </c>
      <c r="BD1804" t="e" vm="1">
        <v>#REF!</v>
      </c>
      <c r="BF1804" t="e" vm="2">
        <f t="shared" si="194"/>
        <v>#VALUE!</v>
      </c>
      <c r="BG1804" t="e" vm="2">
        <f t="shared" si="195"/>
        <v>#VALUE!</v>
      </c>
      <c r="BJ1804" s="21" t="e" vm="1">
        <v>#REF!</v>
      </c>
      <c r="BK1804" t="e" vm="1">
        <v>#REF!</v>
      </c>
      <c r="BM1804" t="e" vm="2">
        <f t="shared" si="196"/>
        <v>#VALUE!</v>
      </c>
      <c r="BN1804" t="e" vm="2">
        <f t="shared" si="197"/>
        <v>#VALUE!</v>
      </c>
    </row>
    <row r="1805" spans="55:66" x14ac:dyDescent="0.2">
      <c r="BC1805" s="21" t="e" vm="1">
        <v>#REF!</v>
      </c>
      <c r="BD1805" t="e" vm="1">
        <v>#REF!</v>
      </c>
      <c r="BF1805" t="e" vm="2">
        <f t="shared" si="194"/>
        <v>#VALUE!</v>
      </c>
      <c r="BG1805" t="e" vm="2">
        <f t="shared" si="195"/>
        <v>#VALUE!</v>
      </c>
      <c r="BJ1805" s="21" t="e" vm="1">
        <v>#REF!</v>
      </c>
      <c r="BK1805" t="e" vm="1">
        <v>#REF!</v>
      </c>
      <c r="BM1805" t="e" vm="2">
        <f t="shared" si="196"/>
        <v>#VALUE!</v>
      </c>
      <c r="BN1805" t="e" vm="2">
        <f t="shared" si="197"/>
        <v>#VALUE!</v>
      </c>
    </row>
    <row r="1806" spans="55:66" x14ac:dyDescent="0.2">
      <c r="BC1806" s="21" t="e" vm="1">
        <v>#REF!</v>
      </c>
      <c r="BD1806" t="e" vm="1">
        <v>#REF!</v>
      </c>
      <c r="BF1806" t="e" vm="2">
        <f t="shared" si="194"/>
        <v>#VALUE!</v>
      </c>
      <c r="BG1806" t="e" vm="2">
        <f t="shared" si="195"/>
        <v>#VALUE!</v>
      </c>
      <c r="BJ1806" s="21" t="e" vm="1">
        <v>#REF!</v>
      </c>
      <c r="BK1806" t="e" vm="1">
        <v>#REF!</v>
      </c>
      <c r="BM1806" t="e" vm="2">
        <f t="shared" si="196"/>
        <v>#VALUE!</v>
      </c>
      <c r="BN1806" t="e" vm="2">
        <f t="shared" si="197"/>
        <v>#VALUE!</v>
      </c>
    </row>
    <row r="1807" spans="55:66" x14ac:dyDescent="0.2">
      <c r="BC1807" s="21" t="e" vm="1">
        <v>#REF!</v>
      </c>
      <c r="BD1807" t="e" vm="1">
        <v>#REF!</v>
      </c>
      <c r="BF1807" t="e" vm="2">
        <f t="shared" si="194"/>
        <v>#VALUE!</v>
      </c>
      <c r="BG1807" t="e" vm="2">
        <f t="shared" si="195"/>
        <v>#VALUE!</v>
      </c>
      <c r="BJ1807" s="21" t="e" vm="1">
        <v>#REF!</v>
      </c>
      <c r="BK1807" t="e" vm="1">
        <v>#REF!</v>
      </c>
      <c r="BM1807" t="e" vm="2">
        <f t="shared" si="196"/>
        <v>#VALUE!</v>
      </c>
      <c r="BN1807" t="e" vm="2">
        <f t="shared" si="197"/>
        <v>#VALUE!</v>
      </c>
    </row>
    <row r="1808" spans="55:66" x14ac:dyDescent="0.2">
      <c r="BC1808" s="21" t="e" vm="1">
        <v>#REF!</v>
      </c>
      <c r="BD1808" t="e" vm="1">
        <v>#REF!</v>
      </c>
      <c r="BF1808" t="e" vm="2">
        <f t="shared" si="194"/>
        <v>#VALUE!</v>
      </c>
      <c r="BG1808" t="e" vm="2">
        <f t="shared" si="195"/>
        <v>#VALUE!</v>
      </c>
      <c r="BJ1808" s="21" t="e" vm="1">
        <v>#REF!</v>
      </c>
      <c r="BK1808" t="e" vm="1">
        <v>#REF!</v>
      </c>
      <c r="BM1808" t="e" vm="2">
        <f t="shared" si="196"/>
        <v>#VALUE!</v>
      </c>
      <c r="BN1808" t="e" vm="2">
        <f t="shared" si="197"/>
        <v>#VALUE!</v>
      </c>
    </row>
    <row r="1809" spans="55:66" x14ac:dyDescent="0.2">
      <c r="BC1809" s="21" t="e" vm="1">
        <v>#REF!</v>
      </c>
      <c r="BD1809" t="e" vm="1">
        <v>#REF!</v>
      </c>
      <c r="BF1809" t="e" vm="2">
        <f t="shared" si="194"/>
        <v>#VALUE!</v>
      </c>
      <c r="BG1809" t="e" vm="2">
        <f t="shared" si="195"/>
        <v>#VALUE!</v>
      </c>
      <c r="BJ1809" s="21" t="e" vm="1">
        <v>#REF!</v>
      </c>
      <c r="BK1809" t="e" vm="1">
        <v>#REF!</v>
      </c>
      <c r="BM1809" t="e" vm="2">
        <f t="shared" si="196"/>
        <v>#VALUE!</v>
      </c>
      <c r="BN1809" t="e" vm="2">
        <f t="shared" si="197"/>
        <v>#VALUE!</v>
      </c>
    </row>
    <row r="1810" spans="55:66" x14ac:dyDescent="0.2">
      <c r="BC1810" s="21" t="e" vm="1">
        <v>#REF!</v>
      </c>
      <c r="BD1810" t="e" vm="1">
        <v>#REF!</v>
      </c>
      <c r="BF1810" t="e" vm="2">
        <f t="shared" si="194"/>
        <v>#VALUE!</v>
      </c>
      <c r="BG1810" t="e" vm="2">
        <f t="shared" si="195"/>
        <v>#VALUE!</v>
      </c>
      <c r="BJ1810" s="21" t="e" vm="1">
        <v>#REF!</v>
      </c>
      <c r="BK1810" t="e" vm="1">
        <v>#REF!</v>
      </c>
      <c r="BM1810" t="e" vm="2">
        <f t="shared" si="196"/>
        <v>#VALUE!</v>
      </c>
      <c r="BN1810" t="e" vm="2">
        <f t="shared" si="197"/>
        <v>#VALUE!</v>
      </c>
    </row>
    <row r="1811" spans="55:66" x14ac:dyDescent="0.2">
      <c r="BC1811" s="21" t="e" vm="1">
        <v>#REF!</v>
      </c>
      <c r="BD1811" t="e" vm="1">
        <v>#REF!</v>
      </c>
      <c r="BF1811" t="e" vm="2">
        <f t="shared" si="194"/>
        <v>#VALUE!</v>
      </c>
      <c r="BG1811" t="e" vm="2">
        <f t="shared" si="195"/>
        <v>#VALUE!</v>
      </c>
      <c r="BJ1811" s="21" t="e" vm="1">
        <v>#REF!</v>
      </c>
      <c r="BK1811" t="e" vm="1">
        <v>#REF!</v>
      </c>
      <c r="BM1811" t="e" vm="2">
        <f t="shared" si="196"/>
        <v>#VALUE!</v>
      </c>
      <c r="BN1811" t="e" vm="2">
        <f t="shared" si="197"/>
        <v>#VALUE!</v>
      </c>
    </row>
    <row r="1812" spans="55:66" x14ac:dyDescent="0.2">
      <c r="BC1812" s="21" t="e" vm="1">
        <v>#REF!</v>
      </c>
      <c r="BD1812" t="e" vm="1">
        <v>#REF!</v>
      </c>
      <c r="BF1812" t="e" vm="2">
        <f t="shared" si="194"/>
        <v>#VALUE!</v>
      </c>
      <c r="BG1812" t="e" vm="2">
        <f t="shared" si="195"/>
        <v>#VALUE!</v>
      </c>
      <c r="BJ1812" s="21" t="e" vm="1">
        <v>#REF!</v>
      </c>
      <c r="BK1812" t="e" vm="1">
        <v>#REF!</v>
      </c>
      <c r="BM1812" t="e" vm="2">
        <f t="shared" si="196"/>
        <v>#VALUE!</v>
      </c>
      <c r="BN1812" t="e" vm="2">
        <f t="shared" si="197"/>
        <v>#VALUE!</v>
      </c>
    </row>
    <row r="1813" spans="55:66" x14ac:dyDescent="0.2">
      <c r="BC1813" s="21" t="e" vm="1">
        <v>#REF!</v>
      </c>
      <c r="BD1813" t="e" vm="1">
        <v>#REF!</v>
      </c>
      <c r="BF1813" t="e" vm="2">
        <f t="shared" si="194"/>
        <v>#VALUE!</v>
      </c>
      <c r="BG1813" t="e" vm="2">
        <f t="shared" si="195"/>
        <v>#VALUE!</v>
      </c>
      <c r="BJ1813" s="21" t="e" vm="1">
        <v>#REF!</v>
      </c>
      <c r="BK1813" t="e" vm="1">
        <v>#REF!</v>
      </c>
      <c r="BM1813" t="e" vm="2">
        <f t="shared" si="196"/>
        <v>#VALUE!</v>
      </c>
      <c r="BN1813" t="e" vm="2">
        <f t="shared" si="197"/>
        <v>#VALUE!</v>
      </c>
    </row>
    <row r="1814" spans="55:66" x14ac:dyDescent="0.2">
      <c r="BC1814" s="21" t="e" vm="1">
        <v>#REF!</v>
      </c>
      <c r="BD1814" t="e" vm="1">
        <v>#REF!</v>
      </c>
      <c r="BF1814" t="e" vm="2">
        <f t="shared" si="194"/>
        <v>#VALUE!</v>
      </c>
      <c r="BG1814" t="e" vm="2">
        <f t="shared" si="195"/>
        <v>#VALUE!</v>
      </c>
      <c r="BJ1814" s="21" t="e" vm="1">
        <v>#REF!</v>
      </c>
      <c r="BK1814" t="e" vm="1">
        <v>#REF!</v>
      </c>
      <c r="BM1814" t="e" vm="2">
        <f t="shared" si="196"/>
        <v>#VALUE!</v>
      </c>
      <c r="BN1814" t="e" vm="2">
        <f t="shared" si="197"/>
        <v>#VALUE!</v>
      </c>
    </row>
    <row r="1815" spans="55:66" x14ac:dyDescent="0.2">
      <c r="BC1815" s="21" t="e" vm="1">
        <v>#REF!</v>
      </c>
      <c r="BD1815" t="e" vm="1">
        <v>#REF!</v>
      </c>
      <c r="BF1815" t="e" vm="2">
        <f t="shared" si="194"/>
        <v>#VALUE!</v>
      </c>
      <c r="BG1815" t="e" vm="2">
        <f t="shared" si="195"/>
        <v>#VALUE!</v>
      </c>
      <c r="BJ1815" s="21" t="e" vm="1">
        <v>#REF!</v>
      </c>
      <c r="BK1815" t="e" vm="1">
        <v>#REF!</v>
      </c>
      <c r="BM1815" t="e" vm="2">
        <f t="shared" si="196"/>
        <v>#VALUE!</v>
      </c>
      <c r="BN1815" t="e" vm="2">
        <f t="shared" si="197"/>
        <v>#VALUE!</v>
      </c>
    </row>
    <row r="1816" spans="55:66" x14ac:dyDescent="0.2">
      <c r="BC1816" s="21" t="e" vm="1">
        <v>#REF!</v>
      </c>
      <c r="BD1816" t="e" vm="1">
        <v>#REF!</v>
      </c>
      <c r="BF1816" t="e" vm="2">
        <f t="shared" si="194"/>
        <v>#VALUE!</v>
      </c>
      <c r="BG1816" t="e" vm="2">
        <f t="shared" si="195"/>
        <v>#VALUE!</v>
      </c>
      <c r="BJ1816" s="21" t="e" vm="1">
        <v>#REF!</v>
      </c>
      <c r="BK1816" t="e" vm="1">
        <v>#REF!</v>
      </c>
      <c r="BM1816" t="e" vm="2">
        <f t="shared" si="196"/>
        <v>#VALUE!</v>
      </c>
      <c r="BN1816" t="e" vm="2">
        <f t="shared" si="197"/>
        <v>#VALUE!</v>
      </c>
    </row>
    <row r="1817" spans="55:66" x14ac:dyDescent="0.2">
      <c r="BC1817" s="21" t="e" vm="1">
        <v>#REF!</v>
      </c>
      <c r="BD1817" t="e" vm="1">
        <v>#REF!</v>
      </c>
      <c r="BF1817" t="e" vm="2">
        <f t="shared" si="194"/>
        <v>#VALUE!</v>
      </c>
      <c r="BG1817" t="e" vm="2">
        <f t="shared" si="195"/>
        <v>#VALUE!</v>
      </c>
      <c r="BJ1817" s="21" t="e" vm="1">
        <v>#REF!</v>
      </c>
      <c r="BK1817" t="e" vm="1">
        <v>#REF!</v>
      </c>
      <c r="BM1817" t="e" vm="2">
        <f t="shared" si="196"/>
        <v>#VALUE!</v>
      </c>
      <c r="BN1817" t="e" vm="2">
        <f t="shared" si="197"/>
        <v>#VALUE!</v>
      </c>
    </row>
    <row r="1818" spans="55:66" x14ac:dyDescent="0.2">
      <c r="BC1818" s="21" t="e" vm="1">
        <v>#REF!</v>
      </c>
      <c r="BD1818" t="e" vm="1">
        <v>#REF!</v>
      </c>
      <c r="BF1818" t="e" vm="2">
        <f t="shared" si="194"/>
        <v>#VALUE!</v>
      </c>
      <c r="BG1818" t="e" vm="2">
        <f t="shared" si="195"/>
        <v>#VALUE!</v>
      </c>
      <c r="BJ1818" s="21" t="e" vm="1">
        <v>#REF!</v>
      </c>
      <c r="BK1818" t="e" vm="1">
        <v>#REF!</v>
      </c>
      <c r="BM1818" t="e" vm="2">
        <f t="shared" si="196"/>
        <v>#VALUE!</v>
      </c>
      <c r="BN1818" t="e" vm="2">
        <f t="shared" si="197"/>
        <v>#VALUE!</v>
      </c>
    </row>
    <row r="1819" spans="55:66" x14ac:dyDescent="0.2">
      <c r="BC1819" s="21" t="e" vm="1">
        <v>#REF!</v>
      </c>
      <c r="BD1819" t="e" vm="1">
        <v>#REF!</v>
      </c>
      <c r="BF1819" t="e" vm="2">
        <f t="shared" si="194"/>
        <v>#VALUE!</v>
      </c>
      <c r="BG1819" t="e" vm="2">
        <f t="shared" si="195"/>
        <v>#VALUE!</v>
      </c>
      <c r="BJ1819" s="21" t="e" vm="1">
        <v>#REF!</v>
      </c>
      <c r="BK1819" t="e" vm="1">
        <v>#REF!</v>
      </c>
      <c r="BM1819" t="e" vm="2">
        <f t="shared" si="196"/>
        <v>#VALUE!</v>
      </c>
      <c r="BN1819" t="e" vm="2">
        <f t="shared" si="197"/>
        <v>#VALUE!</v>
      </c>
    </row>
    <row r="1820" spans="55:66" x14ac:dyDescent="0.2">
      <c r="BC1820" s="21" t="e" vm="1">
        <v>#REF!</v>
      </c>
      <c r="BD1820" t="e" vm="1">
        <v>#REF!</v>
      </c>
      <c r="BF1820" t="e" vm="2">
        <f t="shared" si="194"/>
        <v>#VALUE!</v>
      </c>
      <c r="BG1820" t="e" vm="2">
        <f t="shared" si="195"/>
        <v>#VALUE!</v>
      </c>
      <c r="BJ1820" s="21" t="e" vm="1">
        <v>#REF!</v>
      </c>
      <c r="BK1820" t="e" vm="1">
        <v>#REF!</v>
      </c>
      <c r="BM1820" t="e" vm="2">
        <f t="shared" si="196"/>
        <v>#VALUE!</v>
      </c>
      <c r="BN1820" t="e" vm="2">
        <f t="shared" si="197"/>
        <v>#VALUE!</v>
      </c>
    </row>
    <row r="1821" spans="55:66" x14ac:dyDescent="0.2">
      <c r="BC1821" s="21" t="e" vm="1">
        <v>#REF!</v>
      </c>
      <c r="BD1821" t="e" vm="1">
        <v>#REF!</v>
      </c>
      <c r="BF1821" t="e" vm="2">
        <f t="shared" si="194"/>
        <v>#VALUE!</v>
      </c>
      <c r="BG1821" t="e" vm="2">
        <f t="shared" si="195"/>
        <v>#VALUE!</v>
      </c>
      <c r="BJ1821" s="21" t="e" vm="1">
        <v>#REF!</v>
      </c>
      <c r="BK1821" t="e" vm="1">
        <v>#REF!</v>
      </c>
      <c r="BM1821" t="e" vm="2">
        <f t="shared" si="196"/>
        <v>#VALUE!</v>
      </c>
      <c r="BN1821" t="e" vm="2">
        <f t="shared" si="197"/>
        <v>#VALUE!</v>
      </c>
    </row>
    <row r="1822" spans="55:66" x14ac:dyDescent="0.2">
      <c r="BC1822" s="21" t="e" vm="1">
        <v>#REF!</v>
      </c>
      <c r="BD1822" t="e" vm="1">
        <v>#REF!</v>
      </c>
      <c r="BF1822" t="e" vm="2">
        <f t="shared" si="194"/>
        <v>#VALUE!</v>
      </c>
      <c r="BG1822" t="e" vm="2">
        <f t="shared" si="195"/>
        <v>#VALUE!</v>
      </c>
      <c r="BJ1822" s="21" t="e" vm="1">
        <v>#REF!</v>
      </c>
      <c r="BK1822" t="e" vm="1">
        <v>#REF!</v>
      </c>
      <c r="BM1822" t="e" vm="2">
        <f t="shared" si="196"/>
        <v>#VALUE!</v>
      </c>
      <c r="BN1822" t="e" vm="2">
        <f t="shared" si="197"/>
        <v>#VALUE!</v>
      </c>
    </row>
    <row r="1823" spans="55:66" x14ac:dyDescent="0.2">
      <c r="BC1823" s="21" t="e" vm="1">
        <v>#REF!</v>
      </c>
      <c r="BD1823" t="e" vm="1">
        <v>#REF!</v>
      </c>
      <c r="BF1823" t="e" vm="2">
        <f t="shared" si="194"/>
        <v>#VALUE!</v>
      </c>
      <c r="BG1823" t="e" vm="2">
        <f t="shared" si="195"/>
        <v>#VALUE!</v>
      </c>
      <c r="BJ1823" s="21" t="e" vm="1">
        <v>#REF!</v>
      </c>
      <c r="BK1823" t="e" vm="1">
        <v>#REF!</v>
      </c>
      <c r="BM1823" t="e" vm="2">
        <f t="shared" si="196"/>
        <v>#VALUE!</v>
      </c>
      <c r="BN1823" t="e" vm="2">
        <f t="shared" si="197"/>
        <v>#VALUE!</v>
      </c>
    </row>
    <row r="1824" spans="55:66" x14ac:dyDescent="0.2">
      <c r="BC1824" s="21" t="e" vm="1">
        <v>#REF!</v>
      </c>
      <c r="BD1824" t="e" vm="1">
        <v>#REF!</v>
      </c>
      <c r="BF1824" t="e" vm="2">
        <f t="shared" si="194"/>
        <v>#VALUE!</v>
      </c>
      <c r="BG1824" t="e" vm="2">
        <f t="shared" si="195"/>
        <v>#VALUE!</v>
      </c>
      <c r="BJ1824" s="21" t="e" vm="1">
        <v>#REF!</v>
      </c>
      <c r="BK1824" t="e" vm="1">
        <v>#REF!</v>
      </c>
      <c r="BM1824" t="e" vm="2">
        <f t="shared" si="196"/>
        <v>#VALUE!</v>
      </c>
      <c r="BN1824" t="e" vm="2">
        <f t="shared" si="197"/>
        <v>#VALUE!</v>
      </c>
    </row>
    <row r="1825" spans="55:66" x14ac:dyDescent="0.2">
      <c r="BC1825" s="21" t="e" vm="1">
        <v>#REF!</v>
      </c>
      <c r="BD1825" t="e" vm="1">
        <v>#REF!</v>
      </c>
      <c r="BF1825" t="e" vm="2">
        <f t="shared" si="194"/>
        <v>#VALUE!</v>
      </c>
      <c r="BG1825" t="e" vm="2">
        <f t="shared" si="195"/>
        <v>#VALUE!</v>
      </c>
      <c r="BJ1825" s="21" t="e" vm="1">
        <v>#REF!</v>
      </c>
      <c r="BK1825" t="e" vm="1">
        <v>#REF!</v>
      </c>
      <c r="BM1825" t="e" vm="2">
        <f t="shared" si="196"/>
        <v>#VALUE!</v>
      </c>
      <c r="BN1825" t="e" vm="2">
        <f t="shared" si="197"/>
        <v>#VALUE!</v>
      </c>
    </row>
    <row r="1826" spans="55:66" x14ac:dyDescent="0.2">
      <c r="BC1826" s="21" t="e" vm="1">
        <v>#REF!</v>
      </c>
      <c r="BD1826" t="e" vm="1">
        <v>#REF!</v>
      </c>
      <c r="BF1826" t="e" vm="2">
        <f t="shared" si="194"/>
        <v>#VALUE!</v>
      </c>
      <c r="BG1826" t="e" vm="2">
        <f t="shared" si="195"/>
        <v>#VALUE!</v>
      </c>
      <c r="BJ1826" s="21" t="e" vm="1">
        <v>#REF!</v>
      </c>
      <c r="BK1826" t="e" vm="1">
        <v>#REF!</v>
      </c>
      <c r="BM1826" t="e" vm="2">
        <f t="shared" si="196"/>
        <v>#VALUE!</v>
      </c>
      <c r="BN1826" t="e" vm="2">
        <f t="shared" si="197"/>
        <v>#VALUE!</v>
      </c>
    </row>
    <row r="1827" spans="55:66" x14ac:dyDescent="0.2">
      <c r="BC1827" s="21" t="e" vm="1">
        <v>#REF!</v>
      </c>
      <c r="BD1827" t="e" vm="1">
        <v>#REF!</v>
      </c>
      <c r="BF1827" t="e" vm="2">
        <f t="shared" si="194"/>
        <v>#VALUE!</v>
      </c>
      <c r="BG1827" t="e" vm="2">
        <f t="shared" si="195"/>
        <v>#VALUE!</v>
      </c>
      <c r="BJ1827" s="21" t="e" vm="1">
        <v>#REF!</v>
      </c>
      <c r="BK1827" t="e" vm="1">
        <v>#REF!</v>
      </c>
      <c r="BM1827" t="e" vm="2">
        <f t="shared" si="196"/>
        <v>#VALUE!</v>
      </c>
      <c r="BN1827" t="e" vm="2">
        <f t="shared" si="197"/>
        <v>#VALUE!</v>
      </c>
    </row>
    <row r="1828" spans="55:66" x14ac:dyDescent="0.2">
      <c r="BC1828" s="21" t="e" vm="1">
        <v>#REF!</v>
      </c>
      <c r="BD1828" t="e" vm="1">
        <v>#REF!</v>
      </c>
      <c r="BF1828" t="e" vm="2">
        <f t="shared" si="194"/>
        <v>#VALUE!</v>
      </c>
      <c r="BG1828" t="e" vm="2">
        <f t="shared" si="195"/>
        <v>#VALUE!</v>
      </c>
      <c r="BJ1828" s="21" t="e" vm="1">
        <v>#REF!</v>
      </c>
      <c r="BK1828" t="e" vm="1">
        <v>#REF!</v>
      </c>
      <c r="BM1828" t="e" vm="2">
        <f t="shared" si="196"/>
        <v>#VALUE!</v>
      </c>
      <c r="BN1828" t="e" vm="2">
        <f t="shared" si="197"/>
        <v>#VALUE!</v>
      </c>
    </row>
    <row r="1829" spans="55:66" x14ac:dyDescent="0.2">
      <c r="BC1829" s="21" t="e" vm="1">
        <v>#REF!</v>
      </c>
      <c r="BD1829" t="e" vm="1">
        <v>#REF!</v>
      </c>
      <c r="BF1829" t="e" vm="2">
        <f t="shared" si="194"/>
        <v>#VALUE!</v>
      </c>
      <c r="BG1829" t="e" vm="2">
        <f t="shared" si="195"/>
        <v>#VALUE!</v>
      </c>
      <c r="BJ1829" s="21" t="e" vm="1">
        <v>#REF!</v>
      </c>
      <c r="BK1829" t="e" vm="1">
        <v>#REF!</v>
      </c>
      <c r="BM1829" t="e" vm="2">
        <f t="shared" si="196"/>
        <v>#VALUE!</v>
      </c>
      <c r="BN1829" t="e" vm="2">
        <f t="shared" si="197"/>
        <v>#VALUE!</v>
      </c>
    </row>
    <row r="1830" spans="55:66" x14ac:dyDescent="0.2">
      <c r="BC1830" s="21" t="e" vm="1">
        <v>#REF!</v>
      </c>
      <c r="BD1830" t="e" vm="1">
        <v>#REF!</v>
      </c>
      <c r="BF1830" t="e" vm="2">
        <f t="shared" si="194"/>
        <v>#VALUE!</v>
      </c>
      <c r="BG1830" t="e" vm="2">
        <f t="shared" si="195"/>
        <v>#VALUE!</v>
      </c>
      <c r="BJ1830" s="21" t="e" vm="1">
        <v>#REF!</v>
      </c>
      <c r="BK1830" t="e" vm="1">
        <v>#REF!</v>
      </c>
      <c r="BM1830" t="e" vm="2">
        <f t="shared" si="196"/>
        <v>#VALUE!</v>
      </c>
      <c r="BN1830" t="e" vm="2">
        <f t="shared" si="197"/>
        <v>#VALUE!</v>
      </c>
    </row>
    <row r="1831" spans="55:66" x14ac:dyDescent="0.2">
      <c r="BC1831" s="21" t="e" vm="1">
        <v>#REF!</v>
      </c>
      <c r="BD1831" t="e" vm="1">
        <v>#REF!</v>
      </c>
      <c r="BF1831" t="e" vm="2">
        <f t="shared" si="194"/>
        <v>#VALUE!</v>
      </c>
      <c r="BG1831" t="e" vm="2">
        <f t="shared" si="195"/>
        <v>#VALUE!</v>
      </c>
      <c r="BJ1831" s="21" t="e" vm="1">
        <v>#REF!</v>
      </c>
      <c r="BK1831" t="e" vm="1">
        <v>#REF!</v>
      </c>
      <c r="BM1831" t="e" vm="2">
        <f t="shared" si="196"/>
        <v>#VALUE!</v>
      </c>
      <c r="BN1831" t="e" vm="2">
        <f t="shared" si="197"/>
        <v>#VALUE!</v>
      </c>
    </row>
    <row r="1832" spans="55:66" x14ac:dyDescent="0.2">
      <c r="BC1832" s="21" t="e" vm="1">
        <v>#REF!</v>
      </c>
      <c r="BD1832" t="e" vm="1">
        <v>#REF!</v>
      </c>
      <c r="BF1832" t="e" vm="2">
        <f t="shared" si="194"/>
        <v>#VALUE!</v>
      </c>
      <c r="BG1832" t="e" vm="2">
        <f t="shared" si="195"/>
        <v>#VALUE!</v>
      </c>
      <c r="BJ1832" s="21" t="e" vm="1">
        <v>#REF!</v>
      </c>
      <c r="BK1832" t="e" vm="1">
        <v>#REF!</v>
      </c>
      <c r="BM1832" t="e" vm="2">
        <f t="shared" si="196"/>
        <v>#VALUE!</v>
      </c>
      <c r="BN1832" t="e" vm="2">
        <f t="shared" si="197"/>
        <v>#VALUE!</v>
      </c>
    </row>
    <row r="1833" spans="55:66" x14ac:dyDescent="0.2">
      <c r="BC1833" s="21" t="e" vm="1">
        <v>#REF!</v>
      </c>
      <c r="BD1833" t="e" vm="1">
        <v>#REF!</v>
      </c>
      <c r="BF1833" t="e" vm="2">
        <f t="shared" si="194"/>
        <v>#VALUE!</v>
      </c>
      <c r="BG1833" t="e" vm="2">
        <f t="shared" si="195"/>
        <v>#VALUE!</v>
      </c>
      <c r="BJ1833" s="21" t="e" vm="1">
        <v>#REF!</v>
      </c>
      <c r="BK1833" t="e" vm="1">
        <v>#REF!</v>
      </c>
      <c r="BM1833" t="e" vm="2">
        <f t="shared" si="196"/>
        <v>#VALUE!</v>
      </c>
      <c r="BN1833" t="e" vm="2">
        <f t="shared" si="197"/>
        <v>#VALUE!</v>
      </c>
    </row>
    <row r="1834" spans="55:66" x14ac:dyDescent="0.2">
      <c r="BC1834" s="21" t="e" vm="1">
        <v>#REF!</v>
      </c>
      <c r="BD1834" t="e" vm="1">
        <v>#REF!</v>
      </c>
      <c r="BF1834" t="e" vm="2">
        <f t="shared" si="194"/>
        <v>#VALUE!</v>
      </c>
      <c r="BG1834" t="e" vm="2">
        <f t="shared" si="195"/>
        <v>#VALUE!</v>
      </c>
      <c r="BJ1834" s="21" t="e" vm="1">
        <v>#REF!</v>
      </c>
      <c r="BK1834" t="e" vm="1">
        <v>#REF!</v>
      </c>
      <c r="BM1834" t="e" vm="2">
        <f t="shared" si="196"/>
        <v>#VALUE!</v>
      </c>
      <c r="BN1834" t="e" vm="2">
        <f t="shared" si="197"/>
        <v>#VALUE!</v>
      </c>
    </row>
    <row r="1835" spans="55:66" x14ac:dyDescent="0.2">
      <c r="BC1835" s="21" t="e" vm="1">
        <v>#REF!</v>
      </c>
      <c r="BD1835" t="e" vm="1">
        <v>#REF!</v>
      </c>
      <c r="BF1835" t="e" vm="2">
        <f t="shared" si="194"/>
        <v>#VALUE!</v>
      </c>
      <c r="BG1835" t="e" vm="2">
        <f t="shared" si="195"/>
        <v>#VALUE!</v>
      </c>
      <c r="BJ1835" s="21" t="e" vm="1">
        <v>#REF!</v>
      </c>
      <c r="BK1835" t="e" vm="1">
        <v>#REF!</v>
      </c>
      <c r="BM1835" t="e" vm="2">
        <f t="shared" si="196"/>
        <v>#VALUE!</v>
      </c>
      <c r="BN1835" t="e" vm="2">
        <f t="shared" si="197"/>
        <v>#VALUE!</v>
      </c>
    </row>
    <row r="1836" spans="55:66" x14ac:dyDescent="0.2">
      <c r="BC1836" s="21" t="e" vm="1">
        <v>#REF!</v>
      </c>
      <c r="BD1836" t="e" vm="1">
        <v>#REF!</v>
      </c>
      <c r="BF1836" t="e" vm="2">
        <f t="shared" si="194"/>
        <v>#VALUE!</v>
      </c>
      <c r="BG1836" t="e" vm="2">
        <f t="shared" si="195"/>
        <v>#VALUE!</v>
      </c>
      <c r="BJ1836" s="21" t="e" vm="1">
        <v>#REF!</v>
      </c>
      <c r="BK1836" t="e" vm="1">
        <v>#REF!</v>
      </c>
      <c r="BM1836" t="e" vm="2">
        <f t="shared" si="196"/>
        <v>#VALUE!</v>
      </c>
      <c r="BN1836" t="e" vm="2">
        <f t="shared" si="197"/>
        <v>#VALUE!</v>
      </c>
    </row>
    <row r="1837" spans="55:66" x14ac:dyDescent="0.2">
      <c r="BC1837" s="21" t="e" vm="1">
        <v>#REF!</v>
      </c>
      <c r="BD1837" t="e" vm="1">
        <v>#REF!</v>
      </c>
      <c r="BF1837" t="e" vm="2">
        <f t="shared" si="194"/>
        <v>#VALUE!</v>
      </c>
      <c r="BG1837" t="e" vm="2">
        <f t="shared" si="195"/>
        <v>#VALUE!</v>
      </c>
      <c r="BJ1837" s="21" t="e" vm="1">
        <v>#REF!</v>
      </c>
      <c r="BK1837" t="e" vm="1">
        <v>#REF!</v>
      </c>
      <c r="BM1837" t="e" vm="2">
        <f t="shared" si="196"/>
        <v>#VALUE!</v>
      </c>
      <c r="BN1837" t="e" vm="2">
        <f t="shared" si="197"/>
        <v>#VALUE!</v>
      </c>
    </row>
    <row r="1838" spans="55:66" x14ac:dyDescent="0.2">
      <c r="BC1838" s="21" t="e" vm="1">
        <v>#REF!</v>
      </c>
      <c r="BD1838" t="e" vm="1">
        <v>#REF!</v>
      </c>
      <c r="BF1838" t="e" vm="2">
        <f t="shared" si="194"/>
        <v>#VALUE!</v>
      </c>
      <c r="BG1838" t="e" vm="2">
        <f t="shared" si="195"/>
        <v>#VALUE!</v>
      </c>
      <c r="BJ1838" s="21" t="e" vm="1">
        <v>#REF!</v>
      </c>
      <c r="BK1838" t="e" vm="1">
        <v>#REF!</v>
      </c>
      <c r="BM1838" t="e" vm="2">
        <f t="shared" si="196"/>
        <v>#VALUE!</v>
      </c>
      <c r="BN1838" t="e" vm="2">
        <f t="shared" si="197"/>
        <v>#VALUE!</v>
      </c>
    </row>
    <row r="1839" spans="55:66" x14ac:dyDescent="0.2">
      <c r="BC1839" s="21" t="e" vm="1">
        <v>#REF!</v>
      </c>
      <c r="BD1839" t="e" vm="1">
        <v>#REF!</v>
      </c>
      <c r="BF1839" t="e" vm="2">
        <f t="shared" si="194"/>
        <v>#VALUE!</v>
      </c>
      <c r="BG1839" t="e" vm="2">
        <f t="shared" si="195"/>
        <v>#VALUE!</v>
      </c>
      <c r="BJ1839" s="21" t="e" vm="1">
        <v>#REF!</v>
      </c>
      <c r="BK1839" t="e" vm="1">
        <v>#REF!</v>
      </c>
      <c r="BM1839" t="e" vm="2">
        <f t="shared" si="196"/>
        <v>#VALUE!</v>
      </c>
      <c r="BN1839" t="e" vm="2">
        <f t="shared" si="197"/>
        <v>#VALUE!</v>
      </c>
    </row>
    <row r="1840" spans="55:66" x14ac:dyDescent="0.2">
      <c r="BC1840" s="21" t="e" vm="1">
        <v>#REF!</v>
      </c>
      <c r="BD1840" t="e" vm="1">
        <v>#REF!</v>
      </c>
      <c r="BF1840" t="e" vm="2">
        <f t="shared" si="194"/>
        <v>#VALUE!</v>
      </c>
      <c r="BG1840" t="e" vm="2">
        <f t="shared" si="195"/>
        <v>#VALUE!</v>
      </c>
      <c r="BJ1840" s="21" t="e" vm="1">
        <v>#REF!</v>
      </c>
      <c r="BK1840" t="e" vm="1">
        <v>#REF!</v>
      </c>
      <c r="BM1840" t="e" vm="2">
        <f t="shared" si="196"/>
        <v>#VALUE!</v>
      </c>
      <c r="BN1840" t="e" vm="2">
        <f t="shared" si="197"/>
        <v>#VALUE!</v>
      </c>
    </row>
    <row r="1841" spans="55:66" x14ac:dyDescent="0.2">
      <c r="BC1841" s="21" t="e" vm="1">
        <v>#REF!</v>
      </c>
      <c r="BD1841" t="e" vm="1">
        <v>#REF!</v>
      </c>
      <c r="BF1841" t="e" vm="2">
        <f t="shared" si="194"/>
        <v>#VALUE!</v>
      </c>
      <c r="BG1841" t="e" vm="2">
        <f t="shared" si="195"/>
        <v>#VALUE!</v>
      </c>
      <c r="BJ1841" s="21" t="e" vm="1">
        <v>#REF!</v>
      </c>
      <c r="BK1841" t="e" vm="1">
        <v>#REF!</v>
      </c>
      <c r="BM1841" t="e" vm="2">
        <f t="shared" si="196"/>
        <v>#VALUE!</v>
      </c>
      <c r="BN1841" t="e" vm="2">
        <f t="shared" si="197"/>
        <v>#VALUE!</v>
      </c>
    </row>
    <row r="1842" spans="55:66" x14ac:dyDescent="0.2">
      <c r="BC1842" s="21" t="e" vm="1">
        <v>#REF!</v>
      </c>
      <c r="BD1842" t="e" vm="1">
        <v>#REF!</v>
      </c>
      <c r="BF1842" t="e" vm="2">
        <f t="shared" si="194"/>
        <v>#VALUE!</v>
      </c>
      <c r="BG1842" t="e" vm="2">
        <f t="shared" si="195"/>
        <v>#VALUE!</v>
      </c>
      <c r="BJ1842" s="21" t="e" vm="1">
        <v>#REF!</v>
      </c>
      <c r="BK1842" t="e" vm="1">
        <v>#REF!</v>
      </c>
      <c r="BM1842" t="e" vm="2">
        <f t="shared" si="196"/>
        <v>#VALUE!</v>
      </c>
      <c r="BN1842" t="e" vm="2">
        <f t="shared" si="197"/>
        <v>#VALUE!</v>
      </c>
    </row>
    <row r="1843" spans="55:66" x14ac:dyDescent="0.2">
      <c r="BC1843" s="21" t="e" vm="1">
        <v>#REF!</v>
      </c>
      <c r="BD1843" t="e" vm="1">
        <v>#REF!</v>
      </c>
      <c r="BF1843" t="e" vm="2">
        <f t="shared" si="194"/>
        <v>#VALUE!</v>
      </c>
      <c r="BG1843" t="e" vm="2">
        <f t="shared" si="195"/>
        <v>#VALUE!</v>
      </c>
      <c r="BJ1843" s="21" t="e" vm="1">
        <v>#REF!</v>
      </c>
      <c r="BK1843" t="e" vm="1">
        <v>#REF!</v>
      </c>
      <c r="BM1843" t="e" vm="2">
        <f t="shared" si="196"/>
        <v>#VALUE!</v>
      </c>
      <c r="BN1843" t="e" vm="2">
        <f t="shared" si="197"/>
        <v>#VALUE!</v>
      </c>
    </row>
    <row r="1844" spans="55:66" x14ac:dyDescent="0.2">
      <c r="BC1844" s="21" t="e" vm="1">
        <v>#REF!</v>
      </c>
      <c r="BD1844" t="e" vm="1">
        <v>#REF!</v>
      </c>
      <c r="BF1844" t="e" vm="2">
        <f t="shared" si="194"/>
        <v>#VALUE!</v>
      </c>
      <c r="BG1844" t="e" vm="2">
        <f t="shared" si="195"/>
        <v>#VALUE!</v>
      </c>
      <c r="BJ1844" s="21" t="e" vm="1">
        <v>#REF!</v>
      </c>
      <c r="BK1844" t="e" vm="1">
        <v>#REF!</v>
      </c>
      <c r="BM1844" t="e" vm="2">
        <f t="shared" si="196"/>
        <v>#VALUE!</v>
      </c>
      <c r="BN1844" t="e" vm="2">
        <f t="shared" si="197"/>
        <v>#VALUE!</v>
      </c>
    </row>
    <row r="1845" spans="55:66" x14ac:dyDescent="0.2">
      <c r="BC1845" s="21" t="e" vm="1">
        <v>#REF!</v>
      </c>
      <c r="BD1845" t="e" vm="1">
        <v>#REF!</v>
      </c>
      <c r="BF1845" t="e" vm="2">
        <f t="shared" si="194"/>
        <v>#VALUE!</v>
      </c>
      <c r="BG1845" t="e" vm="2">
        <f t="shared" si="195"/>
        <v>#VALUE!</v>
      </c>
      <c r="BJ1845" s="21" t="e" vm="1">
        <v>#REF!</v>
      </c>
      <c r="BK1845" t="e" vm="1">
        <v>#REF!</v>
      </c>
      <c r="BM1845" t="e" vm="2">
        <f t="shared" si="196"/>
        <v>#VALUE!</v>
      </c>
      <c r="BN1845" t="e" vm="2">
        <f t="shared" si="197"/>
        <v>#VALUE!</v>
      </c>
    </row>
    <row r="1846" spans="55:66" x14ac:dyDescent="0.2">
      <c r="BC1846" s="21" t="e" vm="1">
        <v>#REF!</v>
      </c>
      <c r="BD1846" t="e" vm="1">
        <v>#REF!</v>
      </c>
      <c r="BF1846" t="e" vm="2">
        <f t="shared" si="194"/>
        <v>#VALUE!</v>
      </c>
      <c r="BG1846" t="e" vm="2">
        <f t="shared" si="195"/>
        <v>#VALUE!</v>
      </c>
      <c r="BJ1846" s="21" t="e" vm="1">
        <v>#REF!</v>
      </c>
      <c r="BK1846" t="e" vm="1">
        <v>#REF!</v>
      </c>
      <c r="BM1846" t="e" vm="2">
        <f t="shared" si="196"/>
        <v>#VALUE!</v>
      </c>
      <c r="BN1846" t="e" vm="2">
        <f t="shared" si="197"/>
        <v>#VALUE!</v>
      </c>
    </row>
    <row r="1847" spans="55:66" x14ac:dyDescent="0.2">
      <c r="BC1847" s="21" t="e" vm="1">
        <v>#REF!</v>
      </c>
      <c r="BD1847" t="e" vm="1">
        <v>#REF!</v>
      </c>
      <c r="BF1847" t="e" vm="2">
        <f t="shared" si="194"/>
        <v>#VALUE!</v>
      </c>
      <c r="BG1847" t="e" vm="2">
        <f t="shared" si="195"/>
        <v>#VALUE!</v>
      </c>
      <c r="BJ1847" s="21" t="e" vm="1">
        <v>#REF!</v>
      </c>
      <c r="BK1847" t="e" vm="1">
        <v>#REF!</v>
      </c>
      <c r="BM1847" t="e" vm="2">
        <f t="shared" si="196"/>
        <v>#VALUE!</v>
      </c>
      <c r="BN1847" t="e" vm="2">
        <f t="shared" si="197"/>
        <v>#VALUE!</v>
      </c>
    </row>
    <row r="1848" spans="55:66" x14ac:dyDescent="0.2">
      <c r="BC1848" s="21" t="e" vm="1">
        <v>#REF!</v>
      </c>
      <c r="BD1848" t="e" vm="1">
        <v>#REF!</v>
      </c>
      <c r="BF1848" t="e" vm="2">
        <f t="shared" si="194"/>
        <v>#VALUE!</v>
      </c>
      <c r="BG1848" t="e" vm="2">
        <f t="shared" si="195"/>
        <v>#VALUE!</v>
      </c>
      <c r="BJ1848" s="21" t="e" vm="1">
        <v>#REF!</v>
      </c>
      <c r="BK1848" t="e" vm="1">
        <v>#REF!</v>
      </c>
      <c r="BM1848" t="e" vm="2">
        <f t="shared" si="196"/>
        <v>#VALUE!</v>
      </c>
      <c r="BN1848" t="e" vm="2">
        <f t="shared" si="197"/>
        <v>#VALUE!</v>
      </c>
    </row>
    <row r="1849" spans="55:66" x14ac:dyDescent="0.2">
      <c r="BC1849" s="21" t="e" vm="1">
        <v>#REF!</v>
      </c>
      <c r="BD1849" t="e" vm="1">
        <v>#REF!</v>
      </c>
      <c r="BF1849" t="e" vm="2">
        <f t="shared" si="194"/>
        <v>#VALUE!</v>
      </c>
      <c r="BG1849" t="e" vm="2">
        <f t="shared" si="195"/>
        <v>#VALUE!</v>
      </c>
      <c r="BJ1849" s="21" t="e" vm="1">
        <v>#REF!</v>
      </c>
      <c r="BK1849" t="e" vm="1">
        <v>#REF!</v>
      </c>
      <c r="BM1849" t="e" vm="2">
        <f t="shared" si="196"/>
        <v>#VALUE!</v>
      </c>
      <c r="BN1849" t="e" vm="2">
        <f t="shared" si="197"/>
        <v>#VALUE!</v>
      </c>
    </row>
    <row r="1850" spans="55:66" x14ac:dyDescent="0.2">
      <c r="BC1850" s="21" t="e" vm="1">
        <v>#REF!</v>
      </c>
      <c r="BD1850" t="e" vm="1">
        <v>#REF!</v>
      </c>
      <c r="BF1850" t="e" vm="2">
        <f t="shared" si="194"/>
        <v>#VALUE!</v>
      </c>
      <c r="BG1850" t="e" vm="2">
        <f t="shared" si="195"/>
        <v>#VALUE!</v>
      </c>
      <c r="BJ1850" s="21" t="e" vm="1">
        <v>#REF!</v>
      </c>
      <c r="BK1850" t="e" vm="1">
        <v>#REF!</v>
      </c>
      <c r="BM1850" t="e" vm="2">
        <f t="shared" si="196"/>
        <v>#VALUE!</v>
      </c>
      <c r="BN1850" t="e" vm="2">
        <f t="shared" si="197"/>
        <v>#VALUE!</v>
      </c>
    </row>
    <row r="1851" spans="55:66" x14ac:dyDescent="0.2">
      <c r="BC1851" s="21" t="e" vm="1">
        <v>#REF!</v>
      </c>
      <c r="BD1851" t="e" vm="1">
        <v>#REF!</v>
      </c>
      <c r="BF1851" t="e" vm="2">
        <f t="shared" si="194"/>
        <v>#VALUE!</v>
      </c>
      <c r="BG1851" t="e" vm="2">
        <f t="shared" si="195"/>
        <v>#VALUE!</v>
      </c>
      <c r="BJ1851" s="21" t="e" vm="1">
        <v>#REF!</v>
      </c>
      <c r="BK1851" t="e" vm="1">
        <v>#REF!</v>
      </c>
      <c r="BM1851" t="e" vm="2">
        <f t="shared" si="196"/>
        <v>#VALUE!</v>
      </c>
      <c r="BN1851" t="e" vm="2">
        <f t="shared" si="197"/>
        <v>#VALUE!</v>
      </c>
    </row>
    <row r="1852" spans="55:66" x14ac:dyDescent="0.2">
      <c r="BC1852" s="21" t="e" vm="1">
        <v>#REF!</v>
      </c>
      <c r="BD1852" t="e" vm="1">
        <v>#REF!</v>
      </c>
      <c r="BF1852" t="e" vm="2">
        <f t="shared" si="194"/>
        <v>#VALUE!</v>
      </c>
      <c r="BG1852" t="e" vm="2">
        <f t="shared" si="195"/>
        <v>#VALUE!</v>
      </c>
      <c r="BJ1852" s="21" t="e" vm="1">
        <v>#REF!</v>
      </c>
      <c r="BK1852" t="e" vm="1">
        <v>#REF!</v>
      </c>
      <c r="BM1852" t="e" vm="2">
        <f t="shared" si="196"/>
        <v>#VALUE!</v>
      </c>
      <c r="BN1852" t="e" vm="2">
        <f t="shared" si="197"/>
        <v>#VALUE!</v>
      </c>
    </row>
    <row r="1853" spans="55:66" x14ac:dyDescent="0.2">
      <c r="BC1853" s="21" t="e" vm="1">
        <v>#REF!</v>
      </c>
      <c r="BD1853" t="e" vm="1">
        <v>#REF!</v>
      </c>
      <c r="BF1853" t="e" vm="2">
        <f t="shared" si="194"/>
        <v>#VALUE!</v>
      </c>
      <c r="BG1853" t="e" vm="2">
        <f t="shared" si="195"/>
        <v>#VALUE!</v>
      </c>
      <c r="BJ1853" s="21" t="e" vm="1">
        <v>#REF!</v>
      </c>
      <c r="BK1853" t="e" vm="1">
        <v>#REF!</v>
      </c>
      <c r="BM1853" t="e" vm="2">
        <f t="shared" si="196"/>
        <v>#VALUE!</v>
      </c>
      <c r="BN1853" t="e" vm="2">
        <f t="shared" si="197"/>
        <v>#VALUE!</v>
      </c>
    </row>
    <row r="1854" spans="55:66" x14ac:dyDescent="0.2">
      <c r="BC1854" s="21" t="e" vm="1">
        <v>#REF!</v>
      </c>
      <c r="BD1854" t="e" vm="1">
        <v>#REF!</v>
      </c>
      <c r="BF1854" t="e" vm="2">
        <f t="shared" si="194"/>
        <v>#VALUE!</v>
      </c>
      <c r="BG1854" t="e" vm="2">
        <f t="shared" si="195"/>
        <v>#VALUE!</v>
      </c>
      <c r="BJ1854" s="21" t="e" vm="1">
        <v>#REF!</v>
      </c>
      <c r="BK1854" t="e" vm="1">
        <v>#REF!</v>
      </c>
      <c r="BM1854" t="e" vm="2">
        <f t="shared" si="196"/>
        <v>#VALUE!</v>
      </c>
      <c r="BN1854" t="e" vm="2">
        <f t="shared" si="197"/>
        <v>#VALUE!</v>
      </c>
    </row>
    <row r="1855" spans="55:66" x14ac:dyDescent="0.2">
      <c r="BC1855" s="21" t="e" vm="1">
        <v>#REF!</v>
      </c>
      <c r="BD1855" t="e" vm="1">
        <v>#REF!</v>
      </c>
      <c r="BF1855" t="e" vm="2">
        <f t="shared" si="194"/>
        <v>#VALUE!</v>
      </c>
      <c r="BG1855" t="e" vm="2">
        <f t="shared" si="195"/>
        <v>#VALUE!</v>
      </c>
      <c r="BJ1855" s="21" t="e" vm="1">
        <v>#REF!</v>
      </c>
      <c r="BK1855" t="e" vm="1">
        <v>#REF!</v>
      </c>
      <c r="BM1855" t="e" vm="2">
        <f t="shared" si="196"/>
        <v>#VALUE!</v>
      </c>
      <c r="BN1855" t="e" vm="2">
        <f t="shared" si="197"/>
        <v>#VALUE!</v>
      </c>
    </row>
    <row r="1856" spans="55:66" x14ac:dyDescent="0.2">
      <c r="BC1856" s="21" t="e" vm="1">
        <v>#REF!</v>
      </c>
      <c r="BD1856" t="e" vm="1">
        <v>#REF!</v>
      </c>
      <c r="BF1856" t="e" vm="2">
        <f t="shared" si="194"/>
        <v>#VALUE!</v>
      </c>
      <c r="BG1856" t="e" vm="2">
        <f t="shared" si="195"/>
        <v>#VALUE!</v>
      </c>
      <c r="BJ1856" s="21" t="e" vm="1">
        <v>#REF!</v>
      </c>
      <c r="BK1856" t="e" vm="1">
        <v>#REF!</v>
      </c>
      <c r="BM1856" t="e" vm="2">
        <f t="shared" si="196"/>
        <v>#VALUE!</v>
      </c>
      <c r="BN1856" t="e" vm="2">
        <f t="shared" si="197"/>
        <v>#VALUE!</v>
      </c>
    </row>
    <row r="1857" spans="55:66" x14ac:dyDescent="0.2">
      <c r="BC1857" s="21" t="e" vm="1">
        <v>#REF!</v>
      </c>
      <c r="BD1857" t="e" vm="1">
        <v>#REF!</v>
      </c>
      <c r="BF1857" t="e" vm="2">
        <f t="shared" si="194"/>
        <v>#VALUE!</v>
      </c>
      <c r="BG1857" t="e" vm="2">
        <f t="shared" si="195"/>
        <v>#VALUE!</v>
      </c>
      <c r="BJ1857" s="21" t="e" vm="1">
        <v>#REF!</v>
      </c>
      <c r="BK1857" t="e" vm="1">
        <v>#REF!</v>
      </c>
      <c r="BM1857" t="e" vm="2">
        <f t="shared" si="196"/>
        <v>#VALUE!</v>
      </c>
      <c r="BN1857" t="e" vm="2">
        <f t="shared" si="197"/>
        <v>#VALUE!</v>
      </c>
    </row>
    <row r="1858" spans="55:66" x14ac:dyDescent="0.2">
      <c r="BC1858" s="21" t="e" vm="1">
        <v>#REF!</v>
      </c>
      <c r="BD1858" t="e" vm="1">
        <v>#REF!</v>
      </c>
      <c r="BF1858" t="e" vm="2">
        <f t="shared" si="194"/>
        <v>#VALUE!</v>
      </c>
      <c r="BG1858" t="e" vm="2">
        <f t="shared" si="195"/>
        <v>#VALUE!</v>
      </c>
      <c r="BJ1858" s="21" t="e" vm="1">
        <v>#REF!</v>
      </c>
      <c r="BK1858" t="e" vm="1">
        <v>#REF!</v>
      </c>
      <c r="BM1858" t="e" vm="2">
        <f t="shared" si="196"/>
        <v>#VALUE!</v>
      </c>
      <c r="BN1858" t="e" vm="2">
        <f t="shared" si="197"/>
        <v>#VALUE!</v>
      </c>
    </row>
    <row r="1859" spans="55:66" x14ac:dyDescent="0.2">
      <c r="BC1859" s="21" t="e" vm="1">
        <v>#REF!</v>
      </c>
      <c r="BD1859" t="e" vm="1">
        <v>#REF!</v>
      </c>
      <c r="BF1859" t="e" vm="2">
        <f t="shared" ref="BF1859:BF1922" si="198">MONTH(BC1859)</f>
        <v>#VALUE!</v>
      </c>
      <c r="BG1859" t="e" vm="2">
        <f t="shared" ref="BG1859:BG1922" si="199">YEAR(BC1859)</f>
        <v>#VALUE!</v>
      </c>
      <c r="BJ1859" s="21" t="e" vm="1">
        <v>#REF!</v>
      </c>
      <c r="BK1859" t="e" vm="1">
        <v>#REF!</v>
      </c>
      <c r="BM1859" t="e" vm="2">
        <f t="shared" si="196"/>
        <v>#VALUE!</v>
      </c>
      <c r="BN1859" t="e" vm="2">
        <f t="shared" si="197"/>
        <v>#VALUE!</v>
      </c>
    </row>
    <row r="1860" spans="55:66" x14ac:dyDescent="0.2">
      <c r="BC1860" s="21" t="e" vm="1">
        <v>#REF!</v>
      </c>
      <c r="BD1860" t="e" vm="1">
        <v>#REF!</v>
      </c>
      <c r="BF1860" t="e" vm="2">
        <f t="shared" si="198"/>
        <v>#VALUE!</v>
      </c>
      <c r="BG1860" t="e" vm="2">
        <f t="shared" si="199"/>
        <v>#VALUE!</v>
      </c>
      <c r="BJ1860" s="21" t="e" vm="1">
        <v>#REF!</v>
      </c>
      <c r="BK1860" t="e" vm="1">
        <v>#REF!</v>
      </c>
      <c r="BM1860" t="e" vm="2">
        <f t="shared" ref="BM1860:BM1923" si="200">MONTH(BJ1860)</f>
        <v>#VALUE!</v>
      </c>
      <c r="BN1860" t="e" vm="2">
        <f t="shared" ref="BN1860:BN1923" si="201">YEAR(BJ1860)</f>
        <v>#VALUE!</v>
      </c>
    </row>
    <row r="1861" spans="55:66" x14ac:dyDescent="0.2">
      <c r="BC1861" s="21" t="e" vm="1">
        <v>#REF!</v>
      </c>
      <c r="BD1861" t="e" vm="1">
        <v>#REF!</v>
      </c>
      <c r="BF1861" t="e" vm="2">
        <f t="shared" si="198"/>
        <v>#VALUE!</v>
      </c>
      <c r="BG1861" t="e" vm="2">
        <f t="shared" si="199"/>
        <v>#VALUE!</v>
      </c>
      <c r="BJ1861" s="21" t="e" vm="1">
        <v>#REF!</v>
      </c>
      <c r="BK1861" t="e" vm="1">
        <v>#REF!</v>
      </c>
      <c r="BM1861" t="e" vm="2">
        <f t="shared" si="200"/>
        <v>#VALUE!</v>
      </c>
      <c r="BN1861" t="e" vm="2">
        <f t="shared" si="201"/>
        <v>#VALUE!</v>
      </c>
    </row>
    <row r="1862" spans="55:66" x14ac:dyDescent="0.2">
      <c r="BC1862" s="21" t="e" vm="1">
        <v>#REF!</v>
      </c>
      <c r="BD1862" t="e" vm="1">
        <v>#REF!</v>
      </c>
      <c r="BF1862" t="e" vm="2">
        <f t="shared" si="198"/>
        <v>#VALUE!</v>
      </c>
      <c r="BG1862" t="e" vm="2">
        <f t="shared" si="199"/>
        <v>#VALUE!</v>
      </c>
      <c r="BJ1862" s="21" t="e" vm="1">
        <v>#REF!</v>
      </c>
      <c r="BK1862" t="e" vm="1">
        <v>#REF!</v>
      </c>
      <c r="BM1862" t="e" vm="2">
        <f t="shared" si="200"/>
        <v>#VALUE!</v>
      </c>
      <c r="BN1862" t="e" vm="2">
        <f t="shared" si="201"/>
        <v>#VALUE!</v>
      </c>
    </row>
    <row r="1863" spans="55:66" x14ac:dyDescent="0.2">
      <c r="BC1863" s="21" t="e" vm="1">
        <v>#REF!</v>
      </c>
      <c r="BD1863" t="e" vm="1">
        <v>#REF!</v>
      </c>
      <c r="BF1863" t="e" vm="2">
        <f t="shared" si="198"/>
        <v>#VALUE!</v>
      </c>
      <c r="BG1863" t="e" vm="2">
        <f t="shared" si="199"/>
        <v>#VALUE!</v>
      </c>
      <c r="BJ1863" s="21" t="e" vm="1">
        <v>#REF!</v>
      </c>
      <c r="BK1863" t="e" vm="1">
        <v>#REF!</v>
      </c>
      <c r="BM1863" t="e" vm="2">
        <f t="shared" si="200"/>
        <v>#VALUE!</v>
      </c>
      <c r="BN1863" t="e" vm="2">
        <f t="shared" si="201"/>
        <v>#VALUE!</v>
      </c>
    </row>
    <row r="1864" spans="55:66" x14ac:dyDescent="0.2">
      <c r="BC1864" s="21" t="e" vm="1">
        <v>#REF!</v>
      </c>
      <c r="BD1864" t="e" vm="1">
        <v>#REF!</v>
      </c>
      <c r="BF1864" t="e" vm="2">
        <f t="shared" si="198"/>
        <v>#VALUE!</v>
      </c>
      <c r="BG1864" t="e" vm="2">
        <f t="shared" si="199"/>
        <v>#VALUE!</v>
      </c>
      <c r="BJ1864" s="21" t="e" vm="1">
        <v>#REF!</v>
      </c>
      <c r="BK1864" t="e" vm="1">
        <v>#REF!</v>
      </c>
      <c r="BM1864" t="e" vm="2">
        <f t="shared" si="200"/>
        <v>#VALUE!</v>
      </c>
      <c r="BN1864" t="e" vm="2">
        <f t="shared" si="201"/>
        <v>#VALUE!</v>
      </c>
    </row>
    <row r="1865" spans="55:66" x14ac:dyDescent="0.2">
      <c r="BC1865" s="21" t="e" vm="1">
        <v>#REF!</v>
      </c>
      <c r="BD1865" t="e" vm="1">
        <v>#REF!</v>
      </c>
      <c r="BF1865" t="e" vm="2">
        <f t="shared" si="198"/>
        <v>#VALUE!</v>
      </c>
      <c r="BG1865" t="e" vm="2">
        <f t="shared" si="199"/>
        <v>#VALUE!</v>
      </c>
      <c r="BJ1865" s="21" t="e" vm="1">
        <v>#REF!</v>
      </c>
      <c r="BK1865" t="e" vm="1">
        <v>#REF!</v>
      </c>
      <c r="BM1865" t="e" vm="2">
        <f t="shared" si="200"/>
        <v>#VALUE!</v>
      </c>
      <c r="BN1865" t="e" vm="2">
        <f t="shared" si="201"/>
        <v>#VALUE!</v>
      </c>
    </row>
    <row r="1866" spans="55:66" x14ac:dyDescent="0.2">
      <c r="BC1866" s="21" t="e" vm="1">
        <v>#REF!</v>
      </c>
      <c r="BD1866" t="e" vm="1">
        <v>#REF!</v>
      </c>
      <c r="BF1866" t="e" vm="2">
        <f t="shared" si="198"/>
        <v>#VALUE!</v>
      </c>
      <c r="BG1866" t="e" vm="2">
        <f t="shared" si="199"/>
        <v>#VALUE!</v>
      </c>
      <c r="BJ1866" s="21" t="e" vm="1">
        <v>#REF!</v>
      </c>
      <c r="BK1866" t="e" vm="1">
        <v>#REF!</v>
      </c>
      <c r="BM1866" t="e" vm="2">
        <f t="shared" si="200"/>
        <v>#VALUE!</v>
      </c>
      <c r="BN1866" t="e" vm="2">
        <f t="shared" si="201"/>
        <v>#VALUE!</v>
      </c>
    </row>
    <row r="1867" spans="55:66" x14ac:dyDescent="0.2">
      <c r="BC1867" s="21" t="e" vm="1">
        <v>#REF!</v>
      </c>
      <c r="BD1867" t="e" vm="1">
        <v>#REF!</v>
      </c>
      <c r="BF1867" t="e" vm="2">
        <f t="shared" si="198"/>
        <v>#VALUE!</v>
      </c>
      <c r="BG1867" t="e" vm="2">
        <f t="shared" si="199"/>
        <v>#VALUE!</v>
      </c>
      <c r="BJ1867" s="21" t="e" vm="1">
        <v>#REF!</v>
      </c>
      <c r="BK1867" t="e" vm="1">
        <v>#REF!</v>
      </c>
      <c r="BM1867" t="e" vm="2">
        <f t="shared" si="200"/>
        <v>#VALUE!</v>
      </c>
      <c r="BN1867" t="e" vm="2">
        <f t="shared" si="201"/>
        <v>#VALUE!</v>
      </c>
    </row>
    <row r="1868" spans="55:66" x14ac:dyDescent="0.2">
      <c r="BC1868" s="21" t="e" vm="1">
        <v>#REF!</v>
      </c>
      <c r="BD1868" t="e" vm="1">
        <v>#REF!</v>
      </c>
      <c r="BF1868" t="e" vm="2">
        <f t="shared" si="198"/>
        <v>#VALUE!</v>
      </c>
      <c r="BG1868" t="e" vm="2">
        <f t="shared" si="199"/>
        <v>#VALUE!</v>
      </c>
      <c r="BJ1868" s="21" t="e" vm="1">
        <v>#REF!</v>
      </c>
      <c r="BK1868" t="e" vm="1">
        <v>#REF!</v>
      </c>
      <c r="BM1868" t="e" vm="2">
        <f t="shared" si="200"/>
        <v>#VALUE!</v>
      </c>
      <c r="BN1868" t="e" vm="2">
        <f t="shared" si="201"/>
        <v>#VALUE!</v>
      </c>
    </row>
    <row r="1869" spans="55:66" x14ac:dyDescent="0.2">
      <c r="BC1869" s="21" t="e" vm="1">
        <v>#REF!</v>
      </c>
      <c r="BD1869" t="e" vm="1">
        <v>#REF!</v>
      </c>
      <c r="BF1869" t="e" vm="2">
        <f t="shared" si="198"/>
        <v>#VALUE!</v>
      </c>
      <c r="BG1869" t="e" vm="2">
        <f t="shared" si="199"/>
        <v>#VALUE!</v>
      </c>
      <c r="BJ1869" s="21" t="e" vm="1">
        <v>#REF!</v>
      </c>
      <c r="BK1869" t="e" vm="1">
        <v>#REF!</v>
      </c>
      <c r="BM1869" t="e" vm="2">
        <f t="shared" si="200"/>
        <v>#VALUE!</v>
      </c>
      <c r="BN1869" t="e" vm="2">
        <f t="shared" si="201"/>
        <v>#VALUE!</v>
      </c>
    </row>
    <row r="1870" spans="55:66" x14ac:dyDescent="0.2">
      <c r="BC1870" s="21" t="e" vm="1">
        <v>#REF!</v>
      </c>
      <c r="BD1870" t="e" vm="1">
        <v>#REF!</v>
      </c>
      <c r="BF1870" t="e" vm="2">
        <f t="shared" si="198"/>
        <v>#VALUE!</v>
      </c>
      <c r="BG1870" t="e" vm="2">
        <f t="shared" si="199"/>
        <v>#VALUE!</v>
      </c>
      <c r="BJ1870" s="21" t="e" vm="1">
        <v>#REF!</v>
      </c>
      <c r="BK1870" t="e" vm="1">
        <v>#REF!</v>
      </c>
      <c r="BM1870" t="e" vm="2">
        <f t="shared" si="200"/>
        <v>#VALUE!</v>
      </c>
      <c r="BN1870" t="e" vm="2">
        <f t="shared" si="201"/>
        <v>#VALUE!</v>
      </c>
    </row>
    <row r="1871" spans="55:66" x14ac:dyDescent="0.2">
      <c r="BC1871" s="21" t="e" vm="1">
        <v>#REF!</v>
      </c>
      <c r="BD1871" t="e" vm="1">
        <v>#REF!</v>
      </c>
      <c r="BF1871" t="e" vm="2">
        <f t="shared" si="198"/>
        <v>#VALUE!</v>
      </c>
      <c r="BG1871" t="e" vm="2">
        <f t="shared" si="199"/>
        <v>#VALUE!</v>
      </c>
      <c r="BJ1871" s="21" t="e" vm="1">
        <v>#REF!</v>
      </c>
      <c r="BK1871" t="e" vm="1">
        <v>#REF!</v>
      </c>
      <c r="BM1871" t="e" vm="2">
        <f t="shared" si="200"/>
        <v>#VALUE!</v>
      </c>
      <c r="BN1871" t="e" vm="2">
        <f t="shared" si="201"/>
        <v>#VALUE!</v>
      </c>
    </row>
    <row r="1872" spans="55:66" x14ac:dyDescent="0.2">
      <c r="BC1872" s="21" t="e" vm="1">
        <v>#REF!</v>
      </c>
      <c r="BD1872" t="e" vm="1">
        <v>#REF!</v>
      </c>
      <c r="BF1872" t="e" vm="2">
        <f t="shared" si="198"/>
        <v>#VALUE!</v>
      </c>
      <c r="BG1872" t="e" vm="2">
        <f t="shared" si="199"/>
        <v>#VALUE!</v>
      </c>
      <c r="BJ1872" s="21" t="e" vm="1">
        <v>#REF!</v>
      </c>
      <c r="BK1872" t="e" vm="1">
        <v>#REF!</v>
      </c>
      <c r="BM1872" t="e" vm="2">
        <f t="shared" si="200"/>
        <v>#VALUE!</v>
      </c>
      <c r="BN1872" t="e" vm="2">
        <f t="shared" si="201"/>
        <v>#VALUE!</v>
      </c>
    </row>
    <row r="1873" spans="55:66" x14ac:dyDescent="0.2">
      <c r="BC1873" s="21" t="e" vm="1">
        <v>#REF!</v>
      </c>
      <c r="BD1873" t="e" vm="1">
        <v>#REF!</v>
      </c>
      <c r="BF1873" t="e" vm="2">
        <f t="shared" si="198"/>
        <v>#VALUE!</v>
      </c>
      <c r="BG1873" t="e" vm="2">
        <f t="shared" si="199"/>
        <v>#VALUE!</v>
      </c>
      <c r="BJ1873" s="21" t="e" vm="1">
        <v>#REF!</v>
      </c>
      <c r="BK1873" t="e" vm="1">
        <v>#REF!</v>
      </c>
      <c r="BM1873" t="e" vm="2">
        <f t="shared" si="200"/>
        <v>#VALUE!</v>
      </c>
      <c r="BN1873" t="e" vm="2">
        <f t="shared" si="201"/>
        <v>#VALUE!</v>
      </c>
    </row>
    <row r="1874" spans="55:66" x14ac:dyDescent="0.2">
      <c r="BC1874" s="21" t="e" vm="1">
        <v>#REF!</v>
      </c>
      <c r="BD1874" t="e" vm="1">
        <v>#REF!</v>
      </c>
      <c r="BF1874" t="e" vm="2">
        <f t="shared" si="198"/>
        <v>#VALUE!</v>
      </c>
      <c r="BG1874" t="e" vm="2">
        <f t="shared" si="199"/>
        <v>#VALUE!</v>
      </c>
      <c r="BJ1874" s="21" t="e" vm="1">
        <v>#REF!</v>
      </c>
      <c r="BK1874" t="e" vm="1">
        <v>#REF!</v>
      </c>
      <c r="BM1874" t="e" vm="2">
        <f t="shared" si="200"/>
        <v>#VALUE!</v>
      </c>
      <c r="BN1874" t="e" vm="2">
        <f t="shared" si="201"/>
        <v>#VALUE!</v>
      </c>
    </row>
    <row r="1875" spans="55:66" x14ac:dyDescent="0.2">
      <c r="BC1875" s="21" t="e" vm="1">
        <v>#REF!</v>
      </c>
      <c r="BD1875" t="e" vm="1">
        <v>#REF!</v>
      </c>
      <c r="BF1875" t="e" vm="2">
        <f t="shared" si="198"/>
        <v>#VALUE!</v>
      </c>
      <c r="BG1875" t="e" vm="2">
        <f t="shared" si="199"/>
        <v>#VALUE!</v>
      </c>
      <c r="BJ1875" s="21" t="e" vm="1">
        <v>#REF!</v>
      </c>
      <c r="BK1875" t="e" vm="1">
        <v>#REF!</v>
      </c>
      <c r="BM1875" t="e" vm="2">
        <f t="shared" si="200"/>
        <v>#VALUE!</v>
      </c>
      <c r="BN1875" t="e" vm="2">
        <f t="shared" si="201"/>
        <v>#VALUE!</v>
      </c>
    </row>
    <row r="1876" spans="55:66" x14ac:dyDescent="0.2">
      <c r="BC1876" s="21" t="e" vm="1">
        <v>#REF!</v>
      </c>
      <c r="BD1876" t="e" vm="1">
        <v>#REF!</v>
      </c>
      <c r="BF1876" t="e" vm="2">
        <f t="shared" si="198"/>
        <v>#VALUE!</v>
      </c>
      <c r="BG1876" t="e" vm="2">
        <f t="shared" si="199"/>
        <v>#VALUE!</v>
      </c>
      <c r="BJ1876" s="21" t="e" vm="1">
        <v>#REF!</v>
      </c>
      <c r="BK1876" t="e" vm="1">
        <v>#REF!</v>
      </c>
      <c r="BM1876" t="e" vm="2">
        <f t="shared" si="200"/>
        <v>#VALUE!</v>
      </c>
      <c r="BN1876" t="e" vm="2">
        <f t="shared" si="201"/>
        <v>#VALUE!</v>
      </c>
    </row>
    <row r="1877" spans="55:66" x14ac:dyDescent="0.2">
      <c r="BC1877" s="21" t="e" vm="1">
        <v>#REF!</v>
      </c>
      <c r="BD1877" t="e" vm="1">
        <v>#REF!</v>
      </c>
      <c r="BF1877" t="e" vm="2">
        <f t="shared" si="198"/>
        <v>#VALUE!</v>
      </c>
      <c r="BG1877" t="e" vm="2">
        <f t="shared" si="199"/>
        <v>#VALUE!</v>
      </c>
      <c r="BJ1877" s="21" t="e" vm="1">
        <v>#REF!</v>
      </c>
      <c r="BK1877" t="e" vm="1">
        <v>#REF!</v>
      </c>
      <c r="BM1877" t="e" vm="2">
        <f t="shared" si="200"/>
        <v>#VALUE!</v>
      </c>
      <c r="BN1877" t="e" vm="2">
        <f t="shared" si="201"/>
        <v>#VALUE!</v>
      </c>
    </row>
    <row r="1878" spans="55:66" x14ac:dyDescent="0.2">
      <c r="BC1878" s="21" t="e" vm="1">
        <v>#REF!</v>
      </c>
      <c r="BD1878" t="e" vm="1">
        <v>#REF!</v>
      </c>
      <c r="BF1878" t="e" vm="2">
        <f t="shared" si="198"/>
        <v>#VALUE!</v>
      </c>
      <c r="BG1878" t="e" vm="2">
        <f t="shared" si="199"/>
        <v>#VALUE!</v>
      </c>
      <c r="BJ1878" s="21" t="e" vm="1">
        <v>#REF!</v>
      </c>
      <c r="BK1878" t="e" vm="1">
        <v>#REF!</v>
      </c>
      <c r="BM1878" t="e" vm="2">
        <f t="shared" si="200"/>
        <v>#VALUE!</v>
      </c>
      <c r="BN1878" t="e" vm="2">
        <f t="shared" si="201"/>
        <v>#VALUE!</v>
      </c>
    </row>
    <row r="1879" spans="55:66" x14ac:dyDescent="0.2">
      <c r="BC1879" s="21" t="e" vm="1">
        <v>#REF!</v>
      </c>
      <c r="BD1879" t="e" vm="1">
        <v>#REF!</v>
      </c>
      <c r="BF1879" t="e" vm="2">
        <f t="shared" si="198"/>
        <v>#VALUE!</v>
      </c>
      <c r="BG1879" t="e" vm="2">
        <f t="shared" si="199"/>
        <v>#VALUE!</v>
      </c>
      <c r="BJ1879" s="21" t="e" vm="1">
        <v>#REF!</v>
      </c>
      <c r="BK1879" t="e" vm="1">
        <v>#REF!</v>
      </c>
      <c r="BM1879" t="e" vm="2">
        <f t="shared" si="200"/>
        <v>#VALUE!</v>
      </c>
      <c r="BN1879" t="e" vm="2">
        <f t="shared" si="201"/>
        <v>#VALUE!</v>
      </c>
    </row>
    <row r="1880" spans="55:66" x14ac:dyDescent="0.2">
      <c r="BC1880" s="21" t="e" vm="1">
        <v>#REF!</v>
      </c>
      <c r="BD1880" t="e" vm="1">
        <v>#REF!</v>
      </c>
      <c r="BF1880" t="e" vm="2">
        <f t="shared" si="198"/>
        <v>#VALUE!</v>
      </c>
      <c r="BG1880" t="e" vm="2">
        <f t="shared" si="199"/>
        <v>#VALUE!</v>
      </c>
      <c r="BJ1880" s="21" t="e" vm="1">
        <v>#REF!</v>
      </c>
      <c r="BK1880" t="e" vm="1">
        <v>#REF!</v>
      </c>
      <c r="BM1880" t="e" vm="2">
        <f t="shared" si="200"/>
        <v>#VALUE!</v>
      </c>
      <c r="BN1880" t="e" vm="2">
        <f t="shared" si="201"/>
        <v>#VALUE!</v>
      </c>
    </row>
    <row r="1881" spans="55:66" x14ac:dyDescent="0.2">
      <c r="BC1881" s="21" t="e" vm="1">
        <v>#REF!</v>
      </c>
      <c r="BD1881" t="e" vm="1">
        <v>#REF!</v>
      </c>
      <c r="BF1881" t="e" vm="2">
        <f t="shared" si="198"/>
        <v>#VALUE!</v>
      </c>
      <c r="BG1881" t="e" vm="2">
        <f t="shared" si="199"/>
        <v>#VALUE!</v>
      </c>
      <c r="BJ1881" s="21" t="e" vm="1">
        <v>#REF!</v>
      </c>
      <c r="BK1881" t="e" vm="1">
        <v>#REF!</v>
      </c>
      <c r="BM1881" t="e" vm="2">
        <f t="shared" si="200"/>
        <v>#VALUE!</v>
      </c>
      <c r="BN1881" t="e" vm="2">
        <f t="shared" si="201"/>
        <v>#VALUE!</v>
      </c>
    </row>
    <row r="1882" spans="55:66" x14ac:dyDescent="0.2">
      <c r="BC1882" s="21" t="e" vm="1">
        <v>#REF!</v>
      </c>
      <c r="BD1882" t="e" vm="1">
        <v>#REF!</v>
      </c>
      <c r="BF1882" t="e" vm="2">
        <f t="shared" si="198"/>
        <v>#VALUE!</v>
      </c>
      <c r="BG1882" t="e" vm="2">
        <f t="shared" si="199"/>
        <v>#VALUE!</v>
      </c>
      <c r="BJ1882" s="21" t="e" vm="1">
        <v>#REF!</v>
      </c>
      <c r="BK1882" t="e" vm="1">
        <v>#REF!</v>
      </c>
      <c r="BM1882" t="e" vm="2">
        <f t="shared" si="200"/>
        <v>#VALUE!</v>
      </c>
      <c r="BN1882" t="e" vm="2">
        <f t="shared" si="201"/>
        <v>#VALUE!</v>
      </c>
    </row>
    <row r="1883" spans="55:66" x14ac:dyDescent="0.2">
      <c r="BC1883" s="21" t="e" vm="1">
        <v>#REF!</v>
      </c>
      <c r="BD1883" t="e" vm="1">
        <v>#REF!</v>
      </c>
      <c r="BF1883" t="e" vm="2">
        <f t="shared" si="198"/>
        <v>#VALUE!</v>
      </c>
      <c r="BG1883" t="e" vm="2">
        <f t="shared" si="199"/>
        <v>#VALUE!</v>
      </c>
      <c r="BJ1883" s="21" t="e" vm="1">
        <v>#REF!</v>
      </c>
      <c r="BK1883" t="e" vm="1">
        <v>#REF!</v>
      </c>
      <c r="BM1883" t="e" vm="2">
        <f t="shared" si="200"/>
        <v>#VALUE!</v>
      </c>
      <c r="BN1883" t="e" vm="2">
        <f t="shared" si="201"/>
        <v>#VALUE!</v>
      </c>
    </row>
    <row r="1884" spans="55:66" x14ac:dyDescent="0.2">
      <c r="BC1884" s="21" t="e" vm="1">
        <v>#REF!</v>
      </c>
      <c r="BD1884" t="e" vm="1">
        <v>#REF!</v>
      </c>
      <c r="BF1884" t="e" vm="2">
        <f t="shared" si="198"/>
        <v>#VALUE!</v>
      </c>
      <c r="BG1884" t="e" vm="2">
        <f t="shared" si="199"/>
        <v>#VALUE!</v>
      </c>
      <c r="BJ1884" s="21" t="e" vm="1">
        <v>#REF!</v>
      </c>
      <c r="BK1884" t="e" vm="1">
        <v>#REF!</v>
      </c>
      <c r="BM1884" t="e" vm="2">
        <f t="shared" si="200"/>
        <v>#VALUE!</v>
      </c>
      <c r="BN1884" t="e" vm="2">
        <f t="shared" si="201"/>
        <v>#VALUE!</v>
      </c>
    </row>
    <row r="1885" spans="55:66" x14ac:dyDescent="0.2">
      <c r="BC1885" s="21" t="e" vm="1">
        <v>#REF!</v>
      </c>
      <c r="BD1885" t="e" vm="1">
        <v>#REF!</v>
      </c>
      <c r="BF1885" t="e" vm="2">
        <f t="shared" si="198"/>
        <v>#VALUE!</v>
      </c>
      <c r="BG1885" t="e" vm="2">
        <f t="shared" si="199"/>
        <v>#VALUE!</v>
      </c>
      <c r="BJ1885" s="21" t="e" vm="1">
        <v>#REF!</v>
      </c>
      <c r="BK1885" t="e" vm="1">
        <v>#REF!</v>
      </c>
      <c r="BM1885" t="e" vm="2">
        <f t="shared" si="200"/>
        <v>#VALUE!</v>
      </c>
      <c r="BN1885" t="e" vm="2">
        <f t="shared" si="201"/>
        <v>#VALUE!</v>
      </c>
    </row>
    <row r="1886" spans="55:66" x14ac:dyDescent="0.2">
      <c r="BC1886" s="21" t="e" vm="1">
        <v>#REF!</v>
      </c>
      <c r="BD1886" t="e" vm="1">
        <v>#REF!</v>
      </c>
      <c r="BF1886" t="e" vm="2">
        <f t="shared" si="198"/>
        <v>#VALUE!</v>
      </c>
      <c r="BG1886" t="e" vm="2">
        <f t="shared" si="199"/>
        <v>#VALUE!</v>
      </c>
      <c r="BJ1886" s="21" t="e" vm="1">
        <v>#REF!</v>
      </c>
      <c r="BK1886" t="e" vm="1">
        <v>#REF!</v>
      </c>
      <c r="BM1886" t="e" vm="2">
        <f t="shared" si="200"/>
        <v>#VALUE!</v>
      </c>
      <c r="BN1886" t="e" vm="2">
        <f t="shared" si="201"/>
        <v>#VALUE!</v>
      </c>
    </row>
    <row r="1887" spans="55:66" x14ac:dyDescent="0.2">
      <c r="BC1887" s="21" t="e" vm="1">
        <v>#REF!</v>
      </c>
      <c r="BD1887" t="e" vm="1">
        <v>#REF!</v>
      </c>
      <c r="BF1887" t="e" vm="2">
        <f t="shared" si="198"/>
        <v>#VALUE!</v>
      </c>
      <c r="BG1887" t="e" vm="2">
        <f t="shared" si="199"/>
        <v>#VALUE!</v>
      </c>
      <c r="BJ1887" s="21" t="e" vm="1">
        <v>#REF!</v>
      </c>
      <c r="BK1887" t="e" vm="1">
        <v>#REF!</v>
      </c>
      <c r="BM1887" t="e" vm="2">
        <f t="shared" si="200"/>
        <v>#VALUE!</v>
      </c>
      <c r="BN1887" t="e" vm="2">
        <f t="shared" si="201"/>
        <v>#VALUE!</v>
      </c>
    </row>
    <row r="1888" spans="55:66" x14ac:dyDescent="0.2">
      <c r="BC1888" s="21" t="e" vm="1">
        <v>#REF!</v>
      </c>
      <c r="BD1888" t="e" vm="1">
        <v>#REF!</v>
      </c>
      <c r="BF1888" t="e" vm="2">
        <f t="shared" si="198"/>
        <v>#VALUE!</v>
      </c>
      <c r="BG1888" t="e" vm="2">
        <f t="shared" si="199"/>
        <v>#VALUE!</v>
      </c>
      <c r="BJ1888" s="21" t="e" vm="1">
        <v>#REF!</v>
      </c>
      <c r="BK1888" t="e" vm="1">
        <v>#REF!</v>
      </c>
      <c r="BM1888" t="e" vm="2">
        <f t="shared" si="200"/>
        <v>#VALUE!</v>
      </c>
      <c r="BN1888" t="e" vm="2">
        <f t="shared" si="201"/>
        <v>#VALUE!</v>
      </c>
    </row>
    <row r="1889" spans="55:66" x14ac:dyDescent="0.2">
      <c r="BC1889" s="21" t="e" vm="1">
        <v>#REF!</v>
      </c>
      <c r="BD1889" t="e" vm="1">
        <v>#REF!</v>
      </c>
      <c r="BF1889" t="e" vm="2">
        <f t="shared" si="198"/>
        <v>#VALUE!</v>
      </c>
      <c r="BG1889" t="e" vm="2">
        <f t="shared" si="199"/>
        <v>#VALUE!</v>
      </c>
      <c r="BJ1889" s="21" t="e" vm="1">
        <v>#REF!</v>
      </c>
      <c r="BK1889" t="e" vm="1">
        <v>#REF!</v>
      </c>
      <c r="BM1889" t="e" vm="2">
        <f t="shared" si="200"/>
        <v>#VALUE!</v>
      </c>
      <c r="BN1889" t="e" vm="2">
        <f t="shared" si="201"/>
        <v>#VALUE!</v>
      </c>
    </row>
    <row r="1890" spans="55:66" x14ac:dyDescent="0.2">
      <c r="BC1890" s="21" t="e" vm="1">
        <v>#REF!</v>
      </c>
      <c r="BD1890" t="e" vm="1">
        <v>#REF!</v>
      </c>
      <c r="BF1890" t="e" vm="2">
        <f t="shared" si="198"/>
        <v>#VALUE!</v>
      </c>
      <c r="BG1890" t="e" vm="2">
        <f t="shared" si="199"/>
        <v>#VALUE!</v>
      </c>
      <c r="BJ1890" s="21" t="e" vm="1">
        <v>#REF!</v>
      </c>
      <c r="BK1890" t="e" vm="1">
        <v>#REF!</v>
      </c>
      <c r="BM1890" t="e" vm="2">
        <f t="shared" si="200"/>
        <v>#VALUE!</v>
      </c>
      <c r="BN1890" t="e" vm="2">
        <f t="shared" si="201"/>
        <v>#VALUE!</v>
      </c>
    </row>
    <row r="1891" spans="55:66" x14ac:dyDescent="0.2">
      <c r="BC1891" s="21" t="e" vm="1">
        <v>#REF!</v>
      </c>
      <c r="BD1891" t="e" vm="1">
        <v>#REF!</v>
      </c>
      <c r="BF1891" t="e" vm="2">
        <f t="shared" si="198"/>
        <v>#VALUE!</v>
      </c>
      <c r="BG1891" t="e" vm="2">
        <f t="shared" si="199"/>
        <v>#VALUE!</v>
      </c>
      <c r="BJ1891" s="21" t="e" vm="1">
        <v>#REF!</v>
      </c>
      <c r="BK1891" t="e" vm="1">
        <v>#REF!</v>
      </c>
      <c r="BM1891" t="e" vm="2">
        <f t="shared" si="200"/>
        <v>#VALUE!</v>
      </c>
      <c r="BN1891" t="e" vm="2">
        <f t="shared" si="201"/>
        <v>#VALUE!</v>
      </c>
    </row>
    <row r="1892" spans="55:66" x14ac:dyDescent="0.2">
      <c r="BC1892" s="21" t="e" vm="1">
        <v>#REF!</v>
      </c>
      <c r="BD1892" t="e" vm="1">
        <v>#REF!</v>
      </c>
      <c r="BF1892" t="e" vm="2">
        <f t="shared" si="198"/>
        <v>#VALUE!</v>
      </c>
      <c r="BG1892" t="e" vm="2">
        <f t="shared" si="199"/>
        <v>#VALUE!</v>
      </c>
      <c r="BJ1892" s="21" t="e" vm="1">
        <v>#REF!</v>
      </c>
      <c r="BK1892" t="e" vm="1">
        <v>#REF!</v>
      </c>
      <c r="BM1892" t="e" vm="2">
        <f t="shared" si="200"/>
        <v>#VALUE!</v>
      </c>
      <c r="BN1892" t="e" vm="2">
        <f t="shared" si="201"/>
        <v>#VALUE!</v>
      </c>
    </row>
    <row r="1893" spans="55:66" x14ac:dyDescent="0.2">
      <c r="BC1893" s="21" t="e" vm="1">
        <v>#REF!</v>
      </c>
      <c r="BD1893" t="e" vm="1">
        <v>#REF!</v>
      </c>
      <c r="BF1893" t="e" vm="2">
        <f t="shared" si="198"/>
        <v>#VALUE!</v>
      </c>
      <c r="BG1893" t="e" vm="2">
        <f t="shared" si="199"/>
        <v>#VALUE!</v>
      </c>
      <c r="BJ1893" s="21" t="e" vm="1">
        <v>#REF!</v>
      </c>
      <c r="BK1893" t="e" vm="1">
        <v>#REF!</v>
      </c>
      <c r="BM1893" t="e" vm="2">
        <f t="shared" si="200"/>
        <v>#VALUE!</v>
      </c>
      <c r="BN1893" t="e" vm="2">
        <f t="shared" si="201"/>
        <v>#VALUE!</v>
      </c>
    </row>
    <row r="1894" spans="55:66" x14ac:dyDescent="0.2">
      <c r="BC1894" s="21" t="e" vm="1">
        <v>#REF!</v>
      </c>
      <c r="BD1894" t="e" vm="1">
        <v>#REF!</v>
      </c>
      <c r="BF1894" t="e" vm="2">
        <f t="shared" si="198"/>
        <v>#VALUE!</v>
      </c>
      <c r="BG1894" t="e" vm="2">
        <f t="shared" si="199"/>
        <v>#VALUE!</v>
      </c>
      <c r="BJ1894" s="21" t="e" vm="1">
        <v>#REF!</v>
      </c>
      <c r="BK1894" t="e" vm="1">
        <v>#REF!</v>
      </c>
      <c r="BM1894" t="e" vm="2">
        <f t="shared" si="200"/>
        <v>#VALUE!</v>
      </c>
      <c r="BN1894" t="e" vm="2">
        <f t="shared" si="201"/>
        <v>#VALUE!</v>
      </c>
    </row>
    <row r="1895" spans="55:66" x14ac:dyDescent="0.2">
      <c r="BC1895" s="21" t="e" vm="1">
        <v>#REF!</v>
      </c>
      <c r="BD1895" t="e" vm="1">
        <v>#REF!</v>
      </c>
      <c r="BF1895" t="e" vm="2">
        <f t="shared" si="198"/>
        <v>#VALUE!</v>
      </c>
      <c r="BG1895" t="e" vm="2">
        <f t="shared" si="199"/>
        <v>#VALUE!</v>
      </c>
      <c r="BJ1895" s="21" t="e" vm="1">
        <v>#REF!</v>
      </c>
      <c r="BK1895" t="e" vm="1">
        <v>#REF!</v>
      </c>
      <c r="BM1895" t="e" vm="2">
        <f t="shared" si="200"/>
        <v>#VALUE!</v>
      </c>
      <c r="BN1895" t="e" vm="2">
        <f t="shared" si="201"/>
        <v>#VALUE!</v>
      </c>
    </row>
    <row r="1896" spans="55:66" x14ac:dyDescent="0.2">
      <c r="BC1896" s="21" t="e" vm="1">
        <v>#REF!</v>
      </c>
      <c r="BD1896" t="e" vm="1">
        <v>#REF!</v>
      </c>
      <c r="BF1896" t="e" vm="2">
        <f t="shared" si="198"/>
        <v>#VALUE!</v>
      </c>
      <c r="BG1896" t="e" vm="2">
        <f t="shared" si="199"/>
        <v>#VALUE!</v>
      </c>
      <c r="BJ1896" s="21" t="e" vm="1">
        <v>#REF!</v>
      </c>
      <c r="BK1896" t="e" vm="1">
        <v>#REF!</v>
      </c>
      <c r="BM1896" t="e" vm="2">
        <f t="shared" si="200"/>
        <v>#VALUE!</v>
      </c>
      <c r="BN1896" t="e" vm="2">
        <f t="shared" si="201"/>
        <v>#VALUE!</v>
      </c>
    </row>
    <row r="1897" spans="55:66" x14ac:dyDescent="0.2">
      <c r="BC1897" s="21" t="e" vm="1">
        <v>#REF!</v>
      </c>
      <c r="BD1897" t="e" vm="1">
        <v>#REF!</v>
      </c>
      <c r="BF1897" t="e" vm="2">
        <f t="shared" si="198"/>
        <v>#VALUE!</v>
      </c>
      <c r="BG1897" t="e" vm="2">
        <f t="shared" si="199"/>
        <v>#VALUE!</v>
      </c>
      <c r="BJ1897" s="21" t="e" vm="1">
        <v>#REF!</v>
      </c>
      <c r="BK1897" t="e" vm="1">
        <v>#REF!</v>
      </c>
      <c r="BM1897" t="e" vm="2">
        <f t="shared" si="200"/>
        <v>#VALUE!</v>
      </c>
      <c r="BN1897" t="e" vm="2">
        <f t="shared" si="201"/>
        <v>#VALUE!</v>
      </c>
    </row>
    <row r="1898" spans="55:66" x14ac:dyDescent="0.2">
      <c r="BC1898" s="21" t="e" vm="1">
        <v>#REF!</v>
      </c>
      <c r="BD1898" t="e" vm="1">
        <v>#REF!</v>
      </c>
      <c r="BF1898" t="e" vm="2">
        <f t="shared" si="198"/>
        <v>#VALUE!</v>
      </c>
      <c r="BG1898" t="e" vm="2">
        <f t="shared" si="199"/>
        <v>#VALUE!</v>
      </c>
      <c r="BJ1898" s="21" t="e" vm="1">
        <v>#REF!</v>
      </c>
      <c r="BK1898" t="e" vm="1">
        <v>#REF!</v>
      </c>
      <c r="BM1898" t="e" vm="2">
        <f t="shared" si="200"/>
        <v>#VALUE!</v>
      </c>
      <c r="BN1898" t="e" vm="2">
        <f t="shared" si="201"/>
        <v>#VALUE!</v>
      </c>
    </row>
    <row r="1899" spans="55:66" x14ac:dyDescent="0.2">
      <c r="BC1899" s="21" t="e" vm="1">
        <v>#REF!</v>
      </c>
      <c r="BD1899" t="e" vm="1">
        <v>#REF!</v>
      </c>
      <c r="BF1899" t="e" vm="2">
        <f t="shared" si="198"/>
        <v>#VALUE!</v>
      </c>
      <c r="BG1899" t="e" vm="2">
        <f t="shared" si="199"/>
        <v>#VALUE!</v>
      </c>
      <c r="BJ1899" s="21" t="e" vm="1">
        <v>#REF!</v>
      </c>
      <c r="BK1899" t="e" vm="1">
        <v>#REF!</v>
      </c>
      <c r="BM1899" t="e" vm="2">
        <f t="shared" si="200"/>
        <v>#VALUE!</v>
      </c>
      <c r="BN1899" t="e" vm="2">
        <f t="shared" si="201"/>
        <v>#VALUE!</v>
      </c>
    </row>
    <row r="1900" spans="55:66" x14ac:dyDescent="0.2">
      <c r="BC1900" s="21" t="e" vm="1">
        <v>#REF!</v>
      </c>
      <c r="BD1900" t="e" vm="1">
        <v>#REF!</v>
      </c>
      <c r="BF1900" t="e" vm="2">
        <f t="shared" si="198"/>
        <v>#VALUE!</v>
      </c>
      <c r="BG1900" t="e" vm="2">
        <f t="shared" si="199"/>
        <v>#VALUE!</v>
      </c>
      <c r="BJ1900" s="21" t="e" vm="1">
        <v>#REF!</v>
      </c>
      <c r="BK1900" t="e" vm="1">
        <v>#REF!</v>
      </c>
      <c r="BM1900" t="e" vm="2">
        <f t="shared" si="200"/>
        <v>#VALUE!</v>
      </c>
      <c r="BN1900" t="e" vm="2">
        <f t="shared" si="201"/>
        <v>#VALUE!</v>
      </c>
    </row>
    <row r="1901" spans="55:66" x14ac:dyDescent="0.2">
      <c r="BC1901" s="21" t="e" vm="1">
        <v>#REF!</v>
      </c>
      <c r="BD1901" t="e" vm="1">
        <v>#REF!</v>
      </c>
      <c r="BF1901" t="e" vm="2">
        <f t="shared" si="198"/>
        <v>#VALUE!</v>
      </c>
      <c r="BG1901" t="e" vm="2">
        <f t="shared" si="199"/>
        <v>#VALUE!</v>
      </c>
      <c r="BJ1901" s="21" t="e" vm="1">
        <v>#REF!</v>
      </c>
      <c r="BK1901" t="e" vm="1">
        <v>#REF!</v>
      </c>
      <c r="BM1901" t="e" vm="2">
        <f t="shared" si="200"/>
        <v>#VALUE!</v>
      </c>
      <c r="BN1901" t="e" vm="2">
        <f t="shared" si="201"/>
        <v>#VALUE!</v>
      </c>
    </row>
    <row r="1902" spans="55:66" x14ac:dyDescent="0.2">
      <c r="BC1902" s="21" t="e" vm="1">
        <v>#REF!</v>
      </c>
      <c r="BD1902" t="e" vm="1">
        <v>#REF!</v>
      </c>
      <c r="BF1902" t="e" vm="2">
        <f t="shared" si="198"/>
        <v>#VALUE!</v>
      </c>
      <c r="BG1902" t="e" vm="2">
        <f t="shared" si="199"/>
        <v>#VALUE!</v>
      </c>
      <c r="BJ1902" s="21" t="e" vm="1">
        <v>#REF!</v>
      </c>
      <c r="BK1902" t="e" vm="1">
        <v>#REF!</v>
      </c>
      <c r="BM1902" t="e" vm="2">
        <f t="shared" si="200"/>
        <v>#VALUE!</v>
      </c>
      <c r="BN1902" t="e" vm="2">
        <f t="shared" si="201"/>
        <v>#VALUE!</v>
      </c>
    </row>
    <row r="1903" spans="55:66" x14ac:dyDescent="0.2">
      <c r="BC1903" s="21" t="e" vm="1">
        <v>#REF!</v>
      </c>
      <c r="BD1903" t="e" vm="1">
        <v>#REF!</v>
      </c>
      <c r="BF1903" t="e" vm="2">
        <f t="shared" si="198"/>
        <v>#VALUE!</v>
      </c>
      <c r="BG1903" t="e" vm="2">
        <f t="shared" si="199"/>
        <v>#VALUE!</v>
      </c>
      <c r="BJ1903" s="21" t="e" vm="1">
        <v>#REF!</v>
      </c>
      <c r="BK1903" t="e" vm="1">
        <v>#REF!</v>
      </c>
      <c r="BM1903" t="e" vm="2">
        <f t="shared" si="200"/>
        <v>#VALUE!</v>
      </c>
      <c r="BN1903" t="e" vm="2">
        <f t="shared" si="201"/>
        <v>#VALUE!</v>
      </c>
    </row>
    <row r="1904" spans="55:66" x14ac:dyDescent="0.2">
      <c r="BC1904" s="21" t="e" vm="1">
        <v>#REF!</v>
      </c>
      <c r="BD1904" t="e" vm="1">
        <v>#REF!</v>
      </c>
      <c r="BF1904" t="e" vm="2">
        <f t="shared" si="198"/>
        <v>#VALUE!</v>
      </c>
      <c r="BG1904" t="e" vm="2">
        <f t="shared" si="199"/>
        <v>#VALUE!</v>
      </c>
      <c r="BJ1904" s="21" t="e" vm="1">
        <v>#REF!</v>
      </c>
      <c r="BK1904" t="e" vm="1">
        <v>#REF!</v>
      </c>
      <c r="BM1904" t="e" vm="2">
        <f t="shared" si="200"/>
        <v>#VALUE!</v>
      </c>
      <c r="BN1904" t="e" vm="2">
        <f t="shared" si="201"/>
        <v>#VALUE!</v>
      </c>
    </row>
    <row r="1905" spans="55:66" x14ac:dyDescent="0.2">
      <c r="BC1905" s="21" t="e" vm="1">
        <v>#REF!</v>
      </c>
      <c r="BD1905" t="e" vm="1">
        <v>#REF!</v>
      </c>
      <c r="BF1905" t="e" vm="2">
        <f t="shared" si="198"/>
        <v>#VALUE!</v>
      </c>
      <c r="BG1905" t="e" vm="2">
        <f t="shared" si="199"/>
        <v>#VALUE!</v>
      </c>
      <c r="BJ1905" s="21" t="e" vm="1">
        <v>#REF!</v>
      </c>
      <c r="BK1905" t="e" vm="1">
        <v>#REF!</v>
      </c>
      <c r="BM1905" t="e" vm="2">
        <f t="shared" si="200"/>
        <v>#VALUE!</v>
      </c>
      <c r="BN1905" t="e" vm="2">
        <f t="shared" si="201"/>
        <v>#VALUE!</v>
      </c>
    </row>
    <row r="1906" spans="55:66" x14ac:dyDescent="0.2">
      <c r="BC1906" s="21" t="e" vm="1">
        <v>#REF!</v>
      </c>
      <c r="BD1906" t="e" vm="1">
        <v>#REF!</v>
      </c>
      <c r="BF1906" t="e" vm="2">
        <f t="shared" si="198"/>
        <v>#VALUE!</v>
      </c>
      <c r="BG1906" t="e" vm="2">
        <f t="shared" si="199"/>
        <v>#VALUE!</v>
      </c>
      <c r="BJ1906" s="21" t="e" vm="1">
        <v>#REF!</v>
      </c>
      <c r="BK1906" t="e" vm="1">
        <v>#REF!</v>
      </c>
      <c r="BM1906" t="e" vm="2">
        <f t="shared" si="200"/>
        <v>#VALUE!</v>
      </c>
      <c r="BN1906" t="e" vm="2">
        <f t="shared" si="201"/>
        <v>#VALUE!</v>
      </c>
    </row>
    <row r="1907" spans="55:66" x14ac:dyDescent="0.2">
      <c r="BC1907" s="21" t="e" vm="1">
        <v>#REF!</v>
      </c>
      <c r="BD1907" t="e" vm="1">
        <v>#REF!</v>
      </c>
      <c r="BF1907" t="e" vm="2">
        <f t="shared" si="198"/>
        <v>#VALUE!</v>
      </c>
      <c r="BG1907" t="e" vm="2">
        <f t="shared" si="199"/>
        <v>#VALUE!</v>
      </c>
      <c r="BJ1907" s="21" t="e" vm="1">
        <v>#REF!</v>
      </c>
      <c r="BK1907" t="e" vm="1">
        <v>#REF!</v>
      </c>
      <c r="BM1907" t="e" vm="2">
        <f t="shared" si="200"/>
        <v>#VALUE!</v>
      </c>
      <c r="BN1907" t="e" vm="2">
        <f t="shared" si="201"/>
        <v>#VALUE!</v>
      </c>
    </row>
    <row r="1908" spans="55:66" x14ac:dyDescent="0.2">
      <c r="BC1908" s="21" t="e" vm="1">
        <v>#REF!</v>
      </c>
      <c r="BD1908" t="e" vm="1">
        <v>#REF!</v>
      </c>
      <c r="BF1908" t="e" vm="2">
        <f t="shared" si="198"/>
        <v>#VALUE!</v>
      </c>
      <c r="BG1908" t="e" vm="2">
        <f t="shared" si="199"/>
        <v>#VALUE!</v>
      </c>
      <c r="BJ1908" s="21" t="e" vm="1">
        <v>#REF!</v>
      </c>
      <c r="BK1908" t="e" vm="1">
        <v>#REF!</v>
      </c>
      <c r="BM1908" t="e" vm="2">
        <f t="shared" si="200"/>
        <v>#VALUE!</v>
      </c>
      <c r="BN1908" t="e" vm="2">
        <f t="shared" si="201"/>
        <v>#VALUE!</v>
      </c>
    </row>
    <row r="1909" spans="55:66" x14ac:dyDescent="0.2">
      <c r="BC1909" s="21" t="e" vm="1">
        <v>#REF!</v>
      </c>
      <c r="BD1909" t="e" vm="1">
        <v>#REF!</v>
      </c>
      <c r="BF1909" t="e" vm="2">
        <f t="shared" si="198"/>
        <v>#VALUE!</v>
      </c>
      <c r="BG1909" t="e" vm="2">
        <f t="shared" si="199"/>
        <v>#VALUE!</v>
      </c>
      <c r="BJ1909" s="21" t="e" vm="1">
        <v>#REF!</v>
      </c>
      <c r="BK1909" t="e" vm="1">
        <v>#REF!</v>
      </c>
      <c r="BM1909" t="e" vm="2">
        <f t="shared" si="200"/>
        <v>#VALUE!</v>
      </c>
      <c r="BN1909" t="e" vm="2">
        <f t="shared" si="201"/>
        <v>#VALUE!</v>
      </c>
    </row>
    <row r="1910" spans="55:66" x14ac:dyDescent="0.2">
      <c r="BC1910" s="21" t="e" vm="1">
        <v>#REF!</v>
      </c>
      <c r="BD1910" t="e" vm="1">
        <v>#REF!</v>
      </c>
      <c r="BF1910" t="e" vm="2">
        <f t="shared" si="198"/>
        <v>#VALUE!</v>
      </c>
      <c r="BG1910" t="e" vm="2">
        <f t="shared" si="199"/>
        <v>#VALUE!</v>
      </c>
      <c r="BJ1910" s="21" t="e" vm="1">
        <v>#REF!</v>
      </c>
      <c r="BK1910" t="e" vm="1">
        <v>#REF!</v>
      </c>
      <c r="BM1910" t="e" vm="2">
        <f t="shared" si="200"/>
        <v>#VALUE!</v>
      </c>
      <c r="BN1910" t="e" vm="2">
        <f t="shared" si="201"/>
        <v>#VALUE!</v>
      </c>
    </row>
    <row r="1911" spans="55:66" x14ac:dyDescent="0.2">
      <c r="BC1911" s="21" t="e" vm="1">
        <v>#REF!</v>
      </c>
      <c r="BD1911" t="e" vm="1">
        <v>#REF!</v>
      </c>
      <c r="BF1911" t="e" vm="2">
        <f t="shared" si="198"/>
        <v>#VALUE!</v>
      </c>
      <c r="BG1911" t="e" vm="2">
        <f t="shared" si="199"/>
        <v>#VALUE!</v>
      </c>
      <c r="BJ1911" s="21" t="e" vm="1">
        <v>#REF!</v>
      </c>
      <c r="BK1911" t="e" vm="1">
        <v>#REF!</v>
      </c>
      <c r="BM1911" t="e" vm="2">
        <f t="shared" si="200"/>
        <v>#VALUE!</v>
      </c>
      <c r="BN1911" t="e" vm="2">
        <f t="shared" si="201"/>
        <v>#VALUE!</v>
      </c>
    </row>
    <row r="1912" spans="55:66" x14ac:dyDescent="0.2">
      <c r="BC1912" s="21" t="e" vm="1">
        <v>#REF!</v>
      </c>
      <c r="BD1912" t="e" vm="1">
        <v>#REF!</v>
      </c>
      <c r="BF1912" t="e" vm="2">
        <f t="shared" si="198"/>
        <v>#VALUE!</v>
      </c>
      <c r="BG1912" t="e" vm="2">
        <f t="shared" si="199"/>
        <v>#VALUE!</v>
      </c>
      <c r="BJ1912" s="21" t="e" vm="1">
        <v>#REF!</v>
      </c>
      <c r="BK1912" t="e" vm="1">
        <v>#REF!</v>
      </c>
      <c r="BM1912" t="e" vm="2">
        <f t="shared" si="200"/>
        <v>#VALUE!</v>
      </c>
      <c r="BN1912" t="e" vm="2">
        <f t="shared" si="201"/>
        <v>#VALUE!</v>
      </c>
    </row>
    <row r="1913" spans="55:66" x14ac:dyDescent="0.2">
      <c r="BC1913" s="21" t="e" vm="1">
        <v>#REF!</v>
      </c>
      <c r="BD1913" t="e" vm="1">
        <v>#REF!</v>
      </c>
      <c r="BF1913" t="e" vm="2">
        <f t="shared" si="198"/>
        <v>#VALUE!</v>
      </c>
      <c r="BG1913" t="e" vm="2">
        <f t="shared" si="199"/>
        <v>#VALUE!</v>
      </c>
      <c r="BJ1913" s="21" t="e" vm="1">
        <v>#REF!</v>
      </c>
      <c r="BK1913" t="e" vm="1">
        <v>#REF!</v>
      </c>
      <c r="BM1913" t="e" vm="2">
        <f t="shared" si="200"/>
        <v>#VALUE!</v>
      </c>
      <c r="BN1913" t="e" vm="2">
        <f t="shared" si="201"/>
        <v>#VALUE!</v>
      </c>
    </row>
    <row r="1914" spans="55:66" x14ac:dyDescent="0.2">
      <c r="BC1914" s="21" t="e" vm="1">
        <v>#REF!</v>
      </c>
      <c r="BD1914" t="e" vm="1">
        <v>#REF!</v>
      </c>
      <c r="BF1914" t="e" vm="2">
        <f t="shared" si="198"/>
        <v>#VALUE!</v>
      </c>
      <c r="BG1914" t="e" vm="2">
        <f t="shared" si="199"/>
        <v>#VALUE!</v>
      </c>
      <c r="BJ1914" s="21" t="e" vm="1">
        <v>#REF!</v>
      </c>
      <c r="BK1914" t="e" vm="1">
        <v>#REF!</v>
      </c>
      <c r="BM1914" t="e" vm="2">
        <f t="shared" si="200"/>
        <v>#VALUE!</v>
      </c>
      <c r="BN1914" t="e" vm="2">
        <f t="shared" si="201"/>
        <v>#VALUE!</v>
      </c>
    </row>
    <row r="1915" spans="55:66" x14ac:dyDescent="0.2">
      <c r="BC1915" s="21" t="e" vm="1">
        <v>#REF!</v>
      </c>
      <c r="BD1915" t="e" vm="1">
        <v>#REF!</v>
      </c>
      <c r="BF1915" t="e" vm="2">
        <f t="shared" si="198"/>
        <v>#VALUE!</v>
      </c>
      <c r="BG1915" t="e" vm="2">
        <f t="shared" si="199"/>
        <v>#VALUE!</v>
      </c>
      <c r="BJ1915" s="21" t="e" vm="1">
        <v>#REF!</v>
      </c>
      <c r="BK1915" t="e" vm="1">
        <v>#REF!</v>
      </c>
      <c r="BM1915" t="e" vm="2">
        <f t="shared" si="200"/>
        <v>#VALUE!</v>
      </c>
      <c r="BN1915" t="e" vm="2">
        <f t="shared" si="201"/>
        <v>#VALUE!</v>
      </c>
    </row>
    <row r="1916" spans="55:66" x14ac:dyDescent="0.2">
      <c r="BC1916" s="21" t="e" vm="1">
        <v>#REF!</v>
      </c>
      <c r="BD1916" t="e" vm="1">
        <v>#REF!</v>
      </c>
      <c r="BF1916" t="e" vm="2">
        <f t="shared" si="198"/>
        <v>#VALUE!</v>
      </c>
      <c r="BG1916" t="e" vm="2">
        <f t="shared" si="199"/>
        <v>#VALUE!</v>
      </c>
      <c r="BJ1916" s="21" t="e" vm="1">
        <v>#REF!</v>
      </c>
      <c r="BK1916" t="e" vm="1">
        <v>#REF!</v>
      </c>
      <c r="BM1916" t="e" vm="2">
        <f t="shared" si="200"/>
        <v>#VALUE!</v>
      </c>
      <c r="BN1916" t="e" vm="2">
        <f t="shared" si="201"/>
        <v>#VALUE!</v>
      </c>
    </row>
    <row r="1917" spans="55:66" x14ac:dyDescent="0.2">
      <c r="BC1917" s="21" t="e" vm="1">
        <v>#REF!</v>
      </c>
      <c r="BD1917" t="e" vm="1">
        <v>#REF!</v>
      </c>
      <c r="BF1917" t="e" vm="2">
        <f t="shared" si="198"/>
        <v>#VALUE!</v>
      </c>
      <c r="BG1917" t="e" vm="2">
        <f t="shared" si="199"/>
        <v>#VALUE!</v>
      </c>
      <c r="BJ1917" s="21" t="e" vm="1">
        <v>#REF!</v>
      </c>
      <c r="BK1917" t="e" vm="1">
        <v>#REF!</v>
      </c>
      <c r="BM1917" t="e" vm="2">
        <f t="shared" si="200"/>
        <v>#VALUE!</v>
      </c>
      <c r="BN1917" t="e" vm="2">
        <f t="shared" si="201"/>
        <v>#VALUE!</v>
      </c>
    </row>
    <row r="1918" spans="55:66" x14ac:dyDescent="0.2">
      <c r="BC1918" s="21" t="e" vm="1">
        <v>#REF!</v>
      </c>
      <c r="BD1918" t="e" vm="1">
        <v>#REF!</v>
      </c>
      <c r="BF1918" t="e" vm="2">
        <f t="shared" si="198"/>
        <v>#VALUE!</v>
      </c>
      <c r="BG1918" t="e" vm="2">
        <f t="shared" si="199"/>
        <v>#VALUE!</v>
      </c>
      <c r="BJ1918" s="21" t="e" vm="1">
        <v>#REF!</v>
      </c>
      <c r="BK1918" t="e" vm="1">
        <v>#REF!</v>
      </c>
      <c r="BM1918" t="e" vm="2">
        <f t="shared" si="200"/>
        <v>#VALUE!</v>
      </c>
      <c r="BN1918" t="e" vm="2">
        <f t="shared" si="201"/>
        <v>#VALUE!</v>
      </c>
    </row>
    <row r="1919" spans="55:66" x14ac:dyDescent="0.2">
      <c r="BC1919" s="21" t="e" vm="1">
        <v>#REF!</v>
      </c>
      <c r="BD1919" t="e" vm="1">
        <v>#REF!</v>
      </c>
      <c r="BF1919" t="e" vm="2">
        <f t="shared" si="198"/>
        <v>#VALUE!</v>
      </c>
      <c r="BG1919" t="e" vm="2">
        <f t="shared" si="199"/>
        <v>#VALUE!</v>
      </c>
      <c r="BJ1919" s="21" t="e" vm="1">
        <v>#REF!</v>
      </c>
      <c r="BK1919" t="e" vm="1">
        <v>#REF!</v>
      </c>
      <c r="BM1919" t="e" vm="2">
        <f t="shared" si="200"/>
        <v>#VALUE!</v>
      </c>
      <c r="BN1919" t="e" vm="2">
        <f t="shared" si="201"/>
        <v>#VALUE!</v>
      </c>
    </row>
    <row r="1920" spans="55:66" x14ac:dyDescent="0.2">
      <c r="BC1920" s="21" t="e" vm="1">
        <v>#REF!</v>
      </c>
      <c r="BD1920" t="e" vm="1">
        <v>#REF!</v>
      </c>
      <c r="BF1920" t="e" vm="2">
        <f t="shared" si="198"/>
        <v>#VALUE!</v>
      </c>
      <c r="BG1920" t="e" vm="2">
        <f t="shared" si="199"/>
        <v>#VALUE!</v>
      </c>
      <c r="BJ1920" s="21" t="e" vm="1">
        <v>#REF!</v>
      </c>
      <c r="BK1920" t="e" vm="1">
        <v>#REF!</v>
      </c>
      <c r="BM1920" t="e" vm="2">
        <f t="shared" si="200"/>
        <v>#VALUE!</v>
      </c>
      <c r="BN1920" t="e" vm="2">
        <f t="shared" si="201"/>
        <v>#VALUE!</v>
      </c>
    </row>
    <row r="1921" spans="55:66" x14ac:dyDescent="0.2">
      <c r="BC1921" s="21" t="e" vm="1">
        <v>#REF!</v>
      </c>
      <c r="BD1921" t="e" vm="1">
        <v>#REF!</v>
      </c>
      <c r="BF1921" t="e" vm="2">
        <f t="shared" si="198"/>
        <v>#VALUE!</v>
      </c>
      <c r="BG1921" t="e" vm="2">
        <f t="shared" si="199"/>
        <v>#VALUE!</v>
      </c>
      <c r="BJ1921" s="21" t="e" vm="1">
        <v>#REF!</v>
      </c>
      <c r="BK1921" t="e" vm="1">
        <v>#REF!</v>
      </c>
      <c r="BM1921" t="e" vm="2">
        <f t="shared" si="200"/>
        <v>#VALUE!</v>
      </c>
      <c r="BN1921" t="e" vm="2">
        <f t="shared" si="201"/>
        <v>#VALUE!</v>
      </c>
    </row>
    <row r="1922" spans="55:66" x14ac:dyDescent="0.2">
      <c r="BC1922" s="21" t="e" vm="1">
        <v>#REF!</v>
      </c>
      <c r="BD1922" t="e" vm="1">
        <v>#REF!</v>
      </c>
      <c r="BF1922" t="e" vm="2">
        <f t="shared" si="198"/>
        <v>#VALUE!</v>
      </c>
      <c r="BG1922" t="e" vm="2">
        <f t="shared" si="199"/>
        <v>#VALUE!</v>
      </c>
      <c r="BJ1922" s="21" t="e" vm="1">
        <v>#REF!</v>
      </c>
      <c r="BK1922" t="e" vm="1">
        <v>#REF!</v>
      </c>
      <c r="BM1922" t="e" vm="2">
        <f t="shared" si="200"/>
        <v>#VALUE!</v>
      </c>
      <c r="BN1922" t="e" vm="2">
        <f t="shared" si="201"/>
        <v>#VALUE!</v>
      </c>
    </row>
    <row r="1923" spans="55:66" x14ac:dyDescent="0.2">
      <c r="BC1923" s="21" t="e" vm="1">
        <v>#REF!</v>
      </c>
      <c r="BD1923" t="e" vm="1">
        <v>#REF!</v>
      </c>
      <c r="BF1923" t="e" vm="2">
        <f t="shared" ref="BF1923:BF1986" si="202">MONTH(BC1923)</f>
        <v>#VALUE!</v>
      </c>
      <c r="BG1923" t="e" vm="2">
        <f t="shared" ref="BG1923:BG1986" si="203">YEAR(BC1923)</f>
        <v>#VALUE!</v>
      </c>
      <c r="BJ1923" s="21" t="e" vm="1">
        <v>#REF!</v>
      </c>
      <c r="BK1923" t="e" vm="1">
        <v>#REF!</v>
      </c>
      <c r="BM1923" t="e" vm="2">
        <f t="shared" si="200"/>
        <v>#VALUE!</v>
      </c>
      <c r="BN1923" t="e" vm="2">
        <f t="shared" si="201"/>
        <v>#VALUE!</v>
      </c>
    </row>
    <row r="1924" spans="55:66" x14ac:dyDescent="0.2">
      <c r="BC1924" s="21" t="e" vm="1">
        <v>#REF!</v>
      </c>
      <c r="BD1924" t="e" vm="1">
        <v>#REF!</v>
      </c>
      <c r="BF1924" t="e" vm="2">
        <f t="shared" si="202"/>
        <v>#VALUE!</v>
      </c>
      <c r="BG1924" t="e" vm="2">
        <f t="shared" si="203"/>
        <v>#VALUE!</v>
      </c>
      <c r="BJ1924" s="21" t="e" vm="1">
        <v>#REF!</v>
      </c>
      <c r="BK1924" t="e" vm="1">
        <v>#REF!</v>
      </c>
      <c r="BM1924" t="e" vm="2">
        <f t="shared" ref="BM1924:BM1987" si="204">MONTH(BJ1924)</f>
        <v>#VALUE!</v>
      </c>
      <c r="BN1924" t="e" vm="2">
        <f t="shared" ref="BN1924:BN1987" si="205">YEAR(BJ1924)</f>
        <v>#VALUE!</v>
      </c>
    </row>
    <row r="1925" spans="55:66" x14ac:dyDescent="0.2">
      <c r="BC1925" s="21" t="e" vm="1">
        <v>#REF!</v>
      </c>
      <c r="BD1925" t="e" vm="1">
        <v>#REF!</v>
      </c>
      <c r="BF1925" t="e" vm="2">
        <f t="shared" si="202"/>
        <v>#VALUE!</v>
      </c>
      <c r="BG1925" t="e" vm="2">
        <f t="shared" si="203"/>
        <v>#VALUE!</v>
      </c>
      <c r="BJ1925" s="21" t="e" vm="1">
        <v>#REF!</v>
      </c>
      <c r="BK1925" t="e" vm="1">
        <v>#REF!</v>
      </c>
      <c r="BM1925" t="e" vm="2">
        <f t="shared" si="204"/>
        <v>#VALUE!</v>
      </c>
      <c r="BN1925" t="e" vm="2">
        <f t="shared" si="205"/>
        <v>#VALUE!</v>
      </c>
    </row>
    <row r="1926" spans="55:66" x14ac:dyDescent="0.2">
      <c r="BC1926" s="21" t="e" vm="1">
        <v>#REF!</v>
      </c>
      <c r="BD1926" t="e" vm="1">
        <v>#REF!</v>
      </c>
      <c r="BF1926" t="e" vm="2">
        <f t="shared" si="202"/>
        <v>#VALUE!</v>
      </c>
      <c r="BG1926" t="e" vm="2">
        <f t="shared" si="203"/>
        <v>#VALUE!</v>
      </c>
      <c r="BJ1926" s="21" t="e" vm="1">
        <v>#REF!</v>
      </c>
      <c r="BK1926" t="e" vm="1">
        <v>#REF!</v>
      </c>
      <c r="BM1926" t="e" vm="2">
        <f t="shared" si="204"/>
        <v>#VALUE!</v>
      </c>
      <c r="BN1926" t="e" vm="2">
        <f t="shared" si="205"/>
        <v>#VALUE!</v>
      </c>
    </row>
    <row r="1927" spans="55:66" x14ac:dyDescent="0.2">
      <c r="BC1927" s="21" t="e" vm="1">
        <v>#REF!</v>
      </c>
      <c r="BD1927" t="e" vm="1">
        <v>#REF!</v>
      </c>
      <c r="BF1927" t="e" vm="2">
        <f t="shared" si="202"/>
        <v>#VALUE!</v>
      </c>
      <c r="BG1927" t="e" vm="2">
        <f t="shared" si="203"/>
        <v>#VALUE!</v>
      </c>
      <c r="BJ1927" s="21" t="e" vm="1">
        <v>#REF!</v>
      </c>
      <c r="BK1927" t="e" vm="1">
        <v>#REF!</v>
      </c>
      <c r="BM1927" t="e" vm="2">
        <f t="shared" si="204"/>
        <v>#VALUE!</v>
      </c>
      <c r="BN1927" t="e" vm="2">
        <f t="shared" si="205"/>
        <v>#VALUE!</v>
      </c>
    </row>
    <row r="1928" spans="55:66" x14ac:dyDescent="0.2">
      <c r="BC1928" s="21" t="e" vm="1">
        <v>#REF!</v>
      </c>
      <c r="BD1928" t="e" vm="1">
        <v>#REF!</v>
      </c>
      <c r="BF1928" t="e" vm="2">
        <f t="shared" si="202"/>
        <v>#VALUE!</v>
      </c>
      <c r="BG1928" t="e" vm="2">
        <f t="shared" si="203"/>
        <v>#VALUE!</v>
      </c>
      <c r="BJ1928" s="21" t="e" vm="1">
        <v>#REF!</v>
      </c>
      <c r="BK1928" t="e" vm="1">
        <v>#REF!</v>
      </c>
      <c r="BM1928" t="e" vm="2">
        <f t="shared" si="204"/>
        <v>#VALUE!</v>
      </c>
      <c r="BN1928" t="e" vm="2">
        <f t="shared" si="205"/>
        <v>#VALUE!</v>
      </c>
    </row>
    <row r="1929" spans="55:66" x14ac:dyDescent="0.2">
      <c r="BC1929" s="21" t="e" vm="1">
        <v>#REF!</v>
      </c>
      <c r="BD1929" t="e" vm="1">
        <v>#REF!</v>
      </c>
      <c r="BF1929" t="e" vm="2">
        <f t="shared" si="202"/>
        <v>#VALUE!</v>
      </c>
      <c r="BG1929" t="e" vm="2">
        <f t="shared" si="203"/>
        <v>#VALUE!</v>
      </c>
      <c r="BJ1929" s="21" t="e" vm="1">
        <v>#REF!</v>
      </c>
      <c r="BK1929" t="e" vm="1">
        <v>#REF!</v>
      </c>
      <c r="BM1929" t="e" vm="2">
        <f t="shared" si="204"/>
        <v>#VALUE!</v>
      </c>
      <c r="BN1929" t="e" vm="2">
        <f t="shared" si="205"/>
        <v>#VALUE!</v>
      </c>
    </row>
    <row r="1930" spans="55:66" x14ac:dyDescent="0.2">
      <c r="BC1930" s="21" t="e" vm="1">
        <v>#REF!</v>
      </c>
      <c r="BD1930" t="e" vm="1">
        <v>#REF!</v>
      </c>
      <c r="BF1930" t="e" vm="2">
        <f t="shared" si="202"/>
        <v>#VALUE!</v>
      </c>
      <c r="BG1930" t="e" vm="2">
        <f t="shared" si="203"/>
        <v>#VALUE!</v>
      </c>
      <c r="BJ1930" s="21" t="e" vm="1">
        <v>#REF!</v>
      </c>
      <c r="BK1930" t="e" vm="1">
        <v>#REF!</v>
      </c>
      <c r="BM1930" t="e" vm="2">
        <f t="shared" si="204"/>
        <v>#VALUE!</v>
      </c>
      <c r="BN1930" t="e" vm="2">
        <f t="shared" si="205"/>
        <v>#VALUE!</v>
      </c>
    </row>
    <row r="1931" spans="55:66" x14ac:dyDescent="0.2">
      <c r="BC1931" s="21" t="e" vm="1">
        <v>#REF!</v>
      </c>
      <c r="BD1931" t="e" vm="1">
        <v>#REF!</v>
      </c>
      <c r="BF1931" t="e" vm="2">
        <f t="shared" si="202"/>
        <v>#VALUE!</v>
      </c>
      <c r="BG1931" t="e" vm="2">
        <f t="shared" si="203"/>
        <v>#VALUE!</v>
      </c>
      <c r="BJ1931" s="21" t="e" vm="1">
        <v>#REF!</v>
      </c>
      <c r="BK1931" t="e" vm="1">
        <v>#REF!</v>
      </c>
      <c r="BM1931" t="e" vm="2">
        <f t="shared" si="204"/>
        <v>#VALUE!</v>
      </c>
      <c r="BN1931" t="e" vm="2">
        <f t="shared" si="205"/>
        <v>#VALUE!</v>
      </c>
    </row>
    <row r="1932" spans="55:66" x14ac:dyDescent="0.2">
      <c r="BC1932" s="21" t="e" vm="1">
        <v>#REF!</v>
      </c>
      <c r="BD1932" t="e" vm="1">
        <v>#REF!</v>
      </c>
      <c r="BF1932" t="e" vm="2">
        <f t="shared" si="202"/>
        <v>#VALUE!</v>
      </c>
      <c r="BG1932" t="e" vm="2">
        <f t="shared" si="203"/>
        <v>#VALUE!</v>
      </c>
      <c r="BJ1932" s="21" t="e" vm="1">
        <v>#REF!</v>
      </c>
      <c r="BK1932" t="e" vm="1">
        <v>#REF!</v>
      </c>
      <c r="BM1932" t="e" vm="2">
        <f t="shared" si="204"/>
        <v>#VALUE!</v>
      </c>
      <c r="BN1932" t="e" vm="2">
        <f t="shared" si="205"/>
        <v>#VALUE!</v>
      </c>
    </row>
    <row r="1933" spans="55:66" x14ac:dyDescent="0.2">
      <c r="BC1933" s="21" t="e" vm="1">
        <v>#REF!</v>
      </c>
      <c r="BD1933" t="e" vm="1">
        <v>#REF!</v>
      </c>
      <c r="BF1933" t="e" vm="2">
        <f t="shared" si="202"/>
        <v>#VALUE!</v>
      </c>
      <c r="BG1933" t="e" vm="2">
        <f t="shared" si="203"/>
        <v>#VALUE!</v>
      </c>
      <c r="BJ1933" s="21" t="e" vm="1">
        <v>#REF!</v>
      </c>
      <c r="BK1933" t="e" vm="1">
        <v>#REF!</v>
      </c>
      <c r="BM1933" t="e" vm="2">
        <f t="shared" si="204"/>
        <v>#VALUE!</v>
      </c>
      <c r="BN1933" t="e" vm="2">
        <f t="shared" si="205"/>
        <v>#VALUE!</v>
      </c>
    </row>
    <row r="1934" spans="55:66" x14ac:dyDescent="0.2">
      <c r="BC1934" s="21" t="e" vm="1">
        <v>#REF!</v>
      </c>
      <c r="BD1934" t="e" vm="1">
        <v>#REF!</v>
      </c>
      <c r="BF1934" t="e" vm="2">
        <f t="shared" si="202"/>
        <v>#VALUE!</v>
      </c>
      <c r="BG1934" t="e" vm="2">
        <f t="shared" si="203"/>
        <v>#VALUE!</v>
      </c>
      <c r="BJ1934" s="21" t="e" vm="1">
        <v>#REF!</v>
      </c>
      <c r="BK1934" t="e" vm="1">
        <v>#REF!</v>
      </c>
      <c r="BM1934" t="e" vm="2">
        <f t="shared" si="204"/>
        <v>#VALUE!</v>
      </c>
      <c r="BN1934" t="e" vm="2">
        <f t="shared" si="205"/>
        <v>#VALUE!</v>
      </c>
    </row>
    <row r="1935" spans="55:66" x14ac:dyDescent="0.2">
      <c r="BC1935" s="21" t="e" vm="1">
        <v>#REF!</v>
      </c>
      <c r="BD1935" t="e" vm="1">
        <v>#REF!</v>
      </c>
      <c r="BF1935" t="e" vm="2">
        <f t="shared" si="202"/>
        <v>#VALUE!</v>
      </c>
      <c r="BG1935" t="e" vm="2">
        <f t="shared" si="203"/>
        <v>#VALUE!</v>
      </c>
      <c r="BJ1935" s="21" t="e" vm="1">
        <v>#REF!</v>
      </c>
      <c r="BK1935" t="e" vm="1">
        <v>#REF!</v>
      </c>
      <c r="BM1935" t="e" vm="2">
        <f t="shared" si="204"/>
        <v>#VALUE!</v>
      </c>
      <c r="BN1935" t="e" vm="2">
        <f t="shared" si="205"/>
        <v>#VALUE!</v>
      </c>
    </row>
    <row r="1936" spans="55:66" x14ac:dyDescent="0.2">
      <c r="BC1936" s="21" t="e" vm="1">
        <v>#REF!</v>
      </c>
      <c r="BD1936" t="e" vm="1">
        <v>#REF!</v>
      </c>
      <c r="BF1936" t="e" vm="2">
        <f t="shared" si="202"/>
        <v>#VALUE!</v>
      </c>
      <c r="BG1936" t="e" vm="2">
        <f t="shared" si="203"/>
        <v>#VALUE!</v>
      </c>
      <c r="BJ1936" s="21" t="e" vm="1">
        <v>#REF!</v>
      </c>
      <c r="BK1936" t="e" vm="1">
        <v>#REF!</v>
      </c>
      <c r="BM1936" t="e" vm="2">
        <f t="shared" si="204"/>
        <v>#VALUE!</v>
      </c>
      <c r="BN1936" t="e" vm="2">
        <f t="shared" si="205"/>
        <v>#VALUE!</v>
      </c>
    </row>
    <row r="1937" spans="55:66" x14ac:dyDescent="0.2">
      <c r="BC1937" s="21" t="e" vm="1">
        <v>#REF!</v>
      </c>
      <c r="BD1937" t="e" vm="1">
        <v>#REF!</v>
      </c>
      <c r="BF1937" t="e" vm="2">
        <f t="shared" si="202"/>
        <v>#VALUE!</v>
      </c>
      <c r="BG1937" t="e" vm="2">
        <f t="shared" si="203"/>
        <v>#VALUE!</v>
      </c>
      <c r="BJ1937" s="21" t="e" vm="1">
        <v>#REF!</v>
      </c>
      <c r="BK1937" t="e" vm="1">
        <v>#REF!</v>
      </c>
      <c r="BM1937" t="e" vm="2">
        <f t="shared" si="204"/>
        <v>#VALUE!</v>
      </c>
      <c r="BN1937" t="e" vm="2">
        <f t="shared" si="205"/>
        <v>#VALUE!</v>
      </c>
    </row>
    <row r="1938" spans="55:66" x14ac:dyDescent="0.2">
      <c r="BC1938" s="21" t="e" vm="1">
        <v>#REF!</v>
      </c>
      <c r="BD1938" t="e" vm="1">
        <v>#REF!</v>
      </c>
      <c r="BF1938" t="e" vm="2">
        <f t="shared" si="202"/>
        <v>#VALUE!</v>
      </c>
      <c r="BG1938" t="e" vm="2">
        <f t="shared" si="203"/>
        <v>#VALUE!</v>
      </c>
      <c r="BJ1938" s="21" t="e" vm="1">
        <v>#REF!</v>
      </c>
      <c r="BK1938" t="e" vm="1">
        <v>#REF!</v>
      </c>
      <c r="BM1938" t="e" vm="2">
        <f t="shared" si="204"/>
        <v>#VALUE!</v>
      </c>
      <c r="BN1938" t="e" vm="2">
        <f t="shared" si="205"/>
        <v>#VALUE!</v>
      </c>
    </row>
    <row r="1939" spans="55:66" x14ac:dyDescent="0.2">
      <c r="BC1939" s="21" t="e" vm="1">
        <v>#REF!</v>
      </c>
      <c r="BD1939" t="e" vm="1">
        <v>#REF!</v>
      </c>
      <c r="BF1939" t="e" vm="2">
        <f t="shared" si="202"/>
        <v>#VALUE!</v>
      </c>
      <c r="BG1939" t="e" vm="2">
        <f t="shared" si="203"/>
        <v>#VALUE!</v>
      </c>
      <c r="BJ1939" s="21" t="e" vm="1">
        <v>#REF!</v>
      </c>
      <c r="BK1939" t="e" vm="1">
        <v>#REF!</v>
      </c>
      <c r="BM1939" t="e" vm="2">
        <f t="shared" si="204"/>
        <v>#VALUE!</v>
      </c>
      <c r="BN1939" t="e" vm="2">
        <f t="shared" si="205"/>
        <v>#VALUE!</v>
      </c>
    </row>
    <row r="1940" spans="55:66" x14ac:dyDescent="0.2">
      <c r="BC1940" s="21" t="e" vm="1">
        <v>#REF!</v>
      </c>
      <c r="BD1940" t="e" vm="1">
        <v>#REF!</v>
      </c>
      <c r="BF1940" t="e" vm="2">
        <f t="shared" si="202"/>
        <v>#VALUE!</v>
      </c>
      <c r="BG1940" t="e" vm="2">
        <f t="shared" si="203"/>
        <v>#VALUE!</v>
      </c>
      <c r="BJ1940" s="21" t="e" vm="1">
        <v>#REF!</v>
      </c>
      <c r="BK1940" t="e" vm="1">
        <v>#REF!</v>
      </c>
      <c r="BM1940" t="e" vm="2">
        <f t="shared" si="204"/>
        <v>#VALUE!</v>
      </c>
      <c r="BN1940" t="e" vm="2">
        <f t="shared" si="205"/>
        <v>#VALUE!</v>
      </c>
    </row>
    <row r="1941" spans="55:66" x14ac:dyDescent="0.2">
      <c r="BC1941" s="21" t="e" vm="1">
        <v>#REF!</v>
      </c>
      <c r="BD1941" t="e" vm="1">
        <v>#REF!</v>
      </c>
      <c r="BF1941" t="e" vm="2">
        <f t="shared" si="202"/>
        <v>#VALUE!</v>
      </c>
      <c r="BG1941" t="e" vm="2">
        <f t="shared" si="203"/>
        <v>#VALUE!</v>
      </c>
      <c r="BJ1941" s="21" t="e" vm="1">
        <v>#REF!</v>
      </c>
      <c r="BK1941" t="e" vm="1">
        <v>#REF!</v>
      </c>
      <c r="BM1941" t="e" vm="2">
        <f t="shared" si="204"/>
        <v>#VALUE!</v>
      </c>
      <c r="BN1941" t="e" vm="2">
        <f t="shared" si="205"/>
        <v>#VALUE!</v>
      </c>
    </row>
    <row r="1942" spans="55:66" x14ac:dyDescent="0.2">
      <c r="BC1942" s="21" t="e" vm="1">
        <v>#REF!</v>
      </c>
      <c r="BD1942" t="e" vm="1">
        <v>#REF!</v>
      </c>
      <c r="BF1942" t="e" vm="2">
        <f t="shared" si="202"/>
        <v>#VALUE!</v>
      </c>
      <c r="BG1942" t="e" vm="2">
        <f t="shared" si="203"/>
        <v>#VALUE!</v>
      </c>
      <c r="BJ1942" s="21" t="e" vm="1">
        <v>#REF!</v>
      </c>
      <c r="BK1942" t="e" vm="1">
        <v>#REF!</v>
      </c>
      <c r="BM1942" t="e" vm="2">
        <f t="shared" si="204"/>
        <v>#VALUE!</v>
      </c>
      <c r="BN1942" t="e" vm="2">
        <f t="shared" si="205"/>
        <v>#VALUE!</v>
      </c>
    </row>
    <row r="1943" spans="55:66" x14ac:dyDescent="0.2">
      <c r="BC1943" s="21" t="e" vm="1">
        <v>#REF!</v>
      </c>
      <c r="BD1943" t="e" vm="1">
        <v>#REF!</v>
      </c>
      <c r="BF1943" t="e" vm="2">
        <f t="shared" si="202"/>
        <v>#VALUE!</v>
      </c>
      <c r="BG1943" t="e" vm="2">
        <f t="shared" si="203"/>
        <v>#VALUE!</v>
      </c>
      <c r="BJ1943" s="21" t="e" vm="1">
        <v>#REF!</v>
      </c>
      <c r="BK1943" t="e" vm="1">
        <v>#REF!</v>
      </c>
      <c r="BM1943" t="e" vm="2">
        <f t="shared" si="204"/>
        <v>#VALUE!</v>
      </c>
      <c r="BN1943" t="e" vm="2">
        <f t="shared" si="205"/>
        <v>#VALUE!</v>
      </c>
    </row>
    <row r="1944" spans="55:66" x14ac:dyDescent="0.2">
      <c r="BC1944" s="21" t="e" vm="1">
        <v>#REF!</v>
      </c>
      <c r="BD1944" t="e" vm="1">
        <v>#REF!</v>
      </c>
      <c r="BF1944" t="e" vm="2">
        <f t="shared" si="202"/>
        <v>#VALUE!</v>
      </c>
      <c r="BG1944" t="e" vm="2">
        <f t="shared" si="203"/>
        <v>#VALUE!</v>
      </c>
      <c r="BJ1944" s="21" t="e" vm="1">
        <v>#REF!</v>
      </c>
      <c r="BK1944" t="e" vm="1">
        <v>#REF!</v>
      </c>
      <c r="BM1944" t="e" vm="2">
        <f t="shared" si="204"/>
        <v>#VALUE!</v>
      </c>
      <c r="BN1944" t="e" vm="2">
        <f t="shared" si="205"/>
        <v>#VALUE!</v>
      </c>
    </row>
    <row r="1945" spans="55:66" x14ac:dyDescent="0.2">
      <c r="BC1945" s="21" t="e" vm="1">
        <v>#REF!</v>
      </c>
      <c r="BD1945" t="e" vm="1">
        <v>#REF!</v>
      </c>
      <c r="BF1945" t="e" vm="2">
        <f t="shared" si="202"/>
        <v>#VALUE!</v>
      </c>
      <c r="BG1945" t="e" vm="2">
        <f t="shared" si="203"/>
        <v>#VALUE!</v>
      </c>
      <c r="BJ1945" s="21" t="e" vm="1">
        <v>#REF!</v>
      </c>
      <c r="BK1945" t="e" vm="1">
        <v>#REF!</v>
      </c>
      <c r="BM1945" t="e" vm="2">
        <f t="shared" si="204"/>
        <v>#VALUE!</v>
      </c>
      <c r="BN1945" t="e" vm="2">
        <f t="shared" si="205"/>
        <v>#VALUE!</v>
      </c>
    </row>
    <row r="1946" spans="55:66" x14ac:dyDescent="0.2">
      <c r="BC1946" s="21" t="e" vm="1">
        <v>#REF!</v>
      </c>
      <c r="BD1946" t="e" vm="1">
        <v>#REF!</v>
      </c>
      <c r="BF1946" t="e" vm="2">
        <f t="shared" si="202"/>
        <v>#VALUE!</v>
      </c>
      <c r="BG1946" t="e" vm="2">
        <f t="shared" si="203"/>
        <v>#VALUE!</v>
      </c>
      <c r="BJ1946" s="21" t="e" vm="1">
        <v>#REF!</v>
      </c>
      <c r="BK1946" t="e" vm="1">
        <v>#REF!</v>
      </c>
      <c r="BM1946" t="e" vm="2">
        <f t="shared" si="204"/>
        <v>#VALUE!</v>
      </c>
      <c r="BN1946" t="e" vm="2">
        <f t="shared" si="205"/>
        <v>#VALUE!</v>
      </c>
    </row>
    <row r="1947" spans="55:66" x14ac:dyDescent="0.2">
      <c r="BC1947" s="21" t="e" vm="1">
        <v>#REF!</v>
      </c>
      <c r="BD1947" t="e" vm="1">
        <v>#REF!</v>
      </c>
      <c r="BF1947" t="e" vm="2">
        <f t="shared" si="202"/>
        <v>#VALUE!</v>
      </c>
      <c r="BG1947" t="e" vm="2">
        <f t="shared" si="203"/>
        <v>#VALUE!</v>
      </c>
      <c r="BJ1947" s="21" t="e" vm="1">
        <v>#REF!</v>
      </c>
      <c r="BK1947" t="e" vm="1">
        <v>#REF!</v>
      </c>
      <c r="BM1947" t="e" vm="2">
        <f t="shared" si="204"/>
        <v>#VALUE!</v>
      </c>
      <c r="BN1947" t="e" vm="2">
        <f t="shared" si="205"/>
        <v>#VALUE!</v>
      </c>
    </row>
    <row r="1948" spans="55:66" x14ac:dyDescent="0.2">
      <c r="BC1948" s="21" t="e" vm="1">
        <v>#REF!</v>
      </c>
      <c r="BD1948" t="e" vm="1">
        <v>#REF!</v>
      </c>
      <c r="BF1948" t="e" vm="2">
        <f t="shared" si="202"/>
        <v>#VALUE!</v>
      </c>
      <c r="BG1948" t="e" vm="2">
        <f t="shared" si="203"/>
        <v>#VALUE!</v>
      </c>
      <c r="BJ1948" s="21" t="e" vm="1">
        <v>#REF!</v>
      </c>
      <c r="BK1948" t="e" vm="1">
        <v>#REF!</v>
      </c>
      <c r="BM1948" t="e" vm="2">
        <f t="shared" si="204"/>
        <v>#VALUE!</v>
      </c>
      <c r="BN1948" t="e" vm="2">
        <f t="shared" si="205"/>
        <v>#VALUE!</v>
      </c>
    </row>
    <row r="1949" spans="55:66" x14ac:dyDescent="0.2">
      <c r="BC1949" s="21" t="e" vm="1">
        <v>#REF!</v>
      </c>
      <c r="BD1949" t="e" vm="1">
        <v>#REF!</v>
      </c>
      <c r="BF1949" t="e" vm="2">
        <f t="shared" si="202"/>
        <v>#VALUE!</v>
      </c>
      <c r="BG1949" t="e" vm="2">
        <f t="shared" si="203"/>
        <v>#VALUE!</v>
      </c>
      <c r="BJ1949" s="21" t="e" vm="1">
        <v>#REF!</v>
      </c>
      <c r="BK1949" t="e" vm="1">
        <v>#REF!</v>
      </c>
      <c r="BM1949" t="e" vm="2">
        <f t="shared" si="204"/>
        <v>#VALUE!</v>
      </c>
      <c r="BN1949" t="e" vm="2">
        <f t="shared" si="205"/>
        <v>#VALUE!</v>
      </c>
    </row>
    <row r="1950" spans="55:66" x14ac:dyDescent="0.2">
      <c r="BC1950" s="21" t="e" vm="1">
        <v>#REF!</v>
      </c>
      <c r="BD1950" t="e" vm="1">
        <v>#REF!</v>
      </c>
      <c r="BF1950" t="e" vm="2">
        <f t="shared" si="202"/>
        <v>#VALUE!</v>
      </c>
      <c r="BG1950" t="e" vm="2">
        <f t="shared" si="203"/>
        <v>#VALUE!</v>
      </c>
      <c r="BJ1950" s="21" t="e" vm="1">
        <v>#REF!</v>
      </c>
      <c r="BK1950" t="e" vm="1">
        <v>#REF!</v>
      </c>
      <c r="BM1950" t="e" vm="2">
        <f t="shared" si="204"/>
        <v>#VALUE!</v>
      </c>
      <c r="BN1950" t="e" vm="2">
        <f t="shared" si="205"/>
        <v>#VALUE!</v>
      </c>
    </row>
    <row r="1951" spans="55:66" x14ac:dyDescent="0.2">
      <c r="BC1951" s="21" t="e" vm="1">
        <v>#REF!</v>
      </c>
      <c r="BD1951" t="e" vm="1">
        <v>#REF!</v>
      </c>
      <c r="BF1951" t="e" vm="2">
        <f t="shared" si="202"/>
        <v>#VALUE!</v>
      </c>
      <c r="BG1951" t="e" vm="2">
        <f t="shared" si="203"/>
        <v>#VALUE!</v>
      </c>
      <c r="BJ1951" s="21" t="e" vm="1">
        <v>#REF!</v>
      </c>
      <c r="BK1951" t="e" vm="1">
        <v>#REF!</v>
      </c>
      <c r="BM1951" t="e" vm="2">
        <f t="shared" si="204"/>
        <v>#VALUE!</v>
      </c>
      <c r="BN1951" t="e" vm="2">
        <f t="shared" si="205"/>
        <v>#VALUE!</v>
      </c>
    </row>
    <row r="1952" spans="55:66" x14ac:dyDescent="0.2">
      <c r="BC1952" s="21" t="e" vm="1">
        <v>#REF!</v>
      </c>
      <c r="BD1952" t="e" vm="1">
        <v>#REF!</v>
      </c>
      <c r="BF1952" t="e" vm="2">
        <f t="shared" si="202"/>
        <v>#VALUE!</v>
      </c>
      <c r="BG1952" t="e" vm="2">
        <f t="shared" si="203"/>
        <v>#VALUE!</v>
      </c>
      <c r="BJ1952" s="21" t="e" vm="1">
        <v>#REF!</v>
      </c>
      <c r="BK1952" t="e" vm="1">
        <v>#REF!</v>
      </c>
      <c r="BM1952" t="e" vm="2">
        <f t="shared" si="204"/>
        <v>#VALUE!</v>
      </c>
      <c r="BN1952" t="e" vm="2">
        <f t="shared" si="205"/>
        <v>#VALUE!</v>
      </c>
    </row>
    <row r="1953" spans="55:66" x14ac:dyDescent="0.2">
      <c r="BC1953" s="21" t="e" vm="1">
        <v>#REF!</v>
      </c>
      <c r="BD1953" t="e" vm="1">
        <v>#REF!</v>
      </c>
      <c r="BF1953" t="e" vm="2">
        <f t="shared" si="202"/>
        <v>#VALUE!</v>
      </c>
      <c r="BG1953" t="e" vm="2">
        <f t="shared" si="203"/>
        <v>#VALUE!</v>
      </c>
      <c r="BJ1953" s="21" t="e" vm="1">
        <v>#REF!</v>
      </c>
      <c r="BK1953" t="e" vm="1">
        <v>#REF!</v>
      </c>
      <c r="BM1953" t="e" vm="2">
        <f t="shared" si="204"/>
        <v>#VALUE!</v>
      </c>
      <c r="BN1953" t="e" vm="2">
        <f t="shared" si="205"/>
        <v>#VALUE!</v>
      </c>
    </row>
    <row r="1954" spans="55:66" x14ac:dyDescent="0.2">
      <c r="BC1954" s="21" t="e" vm="1">
        <v>#REF!</v>
      </c>
      <c r="BD1954" t="e" vm="1">
        <v>#REF!</v>
      </c>
      <c r="BF1954" t="e" vm="2">
        <f t="shared" si="202"/>
        <v>#VALUE!</v>
      </c>
      <c r="BG1954" t="e" vm="2">
        <f t="shared" si="203"/>
        <v>#VALUE!</v>
      </c>
      <c r="BJ1954" s="21" t="e" vm="1">
        <v>#REF!</v>
      </c>
      <c r="BK1954" t="e" vm="1">
        <v>#REF!</v>
      </c>
      <c r="BM1954" t="e" vm="2">
        <f t="shared" si="204"/>
        <v>#VALUE!</v>
      </c>
      <c r="BN1954" t="e" vm="2">
        <f t="shared" si="205"/>
        <v>#VALUE!</v>
      </c>
    </row>
    <row r="1955" spans="55:66" x14ac:dyDescent="0.2">
      <c r="BC1955" s="21" t="e" vm="1">
        <v>#REF!</v>
      </c>
      <c r="BD1955" t="e" vm="1">
        <v>#REF!</v>
      </c>
      <c r="BF1955" t="e" vm="2">
        <f t="shared" si="202"/>
        <v>#VALUE!</v>
      </c>
      <c r="BG1955" t="e" vm="2">
        <f t="shared" si="203"/>
        <v>#VALUE!</v>
      </c>
      <c r="BJ1955" s="21" t="e" vm="1">
        <v>#REF!</v>
      </c>
      <c r="BK1955" t="e" vm="1">
        <v>#REF!</v>
      </c>
      <c r="BM1955" t="e" vm="2">
        <f t="shared" si="204"/>
        <v>#VALUE!</v>
      </c>
      <c r="BN1955" t="e" vm="2">
        <f t="shared" si="205"/>
        <v>#VALUE!</v>
      </c>
    </row>
    <row r="1956" spans="55:66" x14ac:dyDescent="0.2">
      <c r="BC1956" s="21" t="e" vm="1">
        <v>#REF!</v>
      </c>
      <c r="BD1956" t="e" vm="1">
        <v>#REF!</v>
      </c>
      <c r="BF1956" t="e" vm="2">
        <f t="shared" si="202"/>
        <v>#VALUE!</v>
      </c>
      <c r="BG1956" t="e" vm="2">
        <f t="shared" si="203"/>
        <v>#VALUE!</v>
      </c>
      <c r="BJ1956" s="21" t="e" vm="1">
        <v>#REF!</v>
      </c>
      <c r="BK1956" t="e" vm="1">
        <v>#REF!</v>
      </c>
      <c r="BM1956" t="e" vm="2">
        <f t="shared" si="204"/>
        <v>#VALUE!</v>
      </c>
      <c r="BN1956" t="e" vm="2">
        <f t="shared" si="205"/>
        <v>#VALUE!</v>
      </c>
    </row>
    <row r="1957" spans="55:66" x14ac:dyDescent="0.2">
      <c r="BC1957" s="21" t="e" vm="1">
        <v>#REF!</v>
      </c>
      <c r="BD1957" t="e" vm="1">
        <v>#REF!</v>
      </c>
      <c r="BF1957" t="e" vm="2">
        <f t="shared" si="202"/>
        <v>#VALUE!</v>
      </c>
      <c r="BG1957" t="e" vm="2">
        <f t="shared" si="203"/>
        <v>#VALUE!</v>
      </c>
      <c r="BJ1957" s="21" t="e" vm="1">
        <v>#REF!</v>
      </c>
      <c r="BK1957" t="e" vm="1">
        <v>#REF!</v>
      </c>
      <c r="BM1957" t="e" vm="2">
        <f t="shared" si="204"/>
        <v>#VALUE!</v>
      </c>
      <c r="BN1957" t="e" vm="2">
        <f t="shared" si="205"/>
        <v>#VALUE!</v>
      </c>
    </row>
    <row r="1958" spans="55:66" x14ac:dyDescent="0.2">
      <c r="BC1958" s="21" t="e" vm="1">
        <v>#REF!</v>
      </c>
      <c r="BD1958" t="e" vm="1">
        <v>#REF!</v>
      </c>
      <c r="BF1958" t="e" vm="2">
        <f t="shared" si="202"/>
        <v>#VALUE!</v>
      </c>
      <c r="BG1958" t="e" vm="2">
        <f t="shared" si="203"/>
        <v>#VALUE!</v>
      </c>
      <c r="BJ1958" s="21" t="e" vm="1">
        <v>#REF!</v>
      </c>
      <c r="BK1958" t="e" vm="1">
        <v>#REF!</v>
      </c>
      <c r="BM1958" t="e" vm="2">
        <f t="shared" si="204"/>
        <v>#VALUE!</v>
      </c>
      <c r="BN1958" t="e" vm="2">
        <f t="shared" si="205"/>
        <v>#VALUE!</v>
      </c>
    </row>
    <row r="1959" spans="55:66" x14ac:dyDescent="0.2">
      <c r="BC1959" s="21" t="e" vm="1">
        <v>#REF!</v>
      </c>
      <c r="BD1959" t="e" vm="1">
        <v>#REF!</v>
      </c>
      <c r="BF1959" t="e" vm="2">
        <f t="shared" si="202"/>
        <v>#VALUE!</v>
      </c>
      <c r="BG1959" t="e" vm="2">
        <f t="shared" si="203"/>
        <v>#VALUE!</v>
      </c>
      <c r="BJ1959" s="21" t="e" vm="1">
        <v>#REF!</v>
      </c>
      <c r="BK1959" t="e" vm="1">
        <v>#REF!</v>
      </c>
      <c r="BM1959" t="e" vm="2">
        <f t="shared" si="204"/>
        <v>#VALUE!</v>
      </c>
      <c r="BN1959" t="e" vm="2">
        <f t="shared" si="205"/>
        <v>#VALUE!</v>
      </c>
    </row>
    <row r="1960" spans="55:66" x14ac:dyDescent="0.2">
      <c r="BC1960" s="21" t="e" vm="1">
        <v>#REF!</v>
      </c>
      <c r="BD1960" t="e" vm="1">
        <v>#REF!</v>
      </c>
      <c r="BF1960" t="e" vm="2">
        <f t="shared" si="202"/>
        <v>#VALUE!</v>
      </c>
      <c r="BG1960" t="e" vm="2">
        <f t="shared" si="203"/>
        <v>#VALUE!</v>
      </c>
      <c r="BJ1960" s="21" t="e" vm="1">
        <v>#REF!</v>
      </c>
      <c r="BK1960" t="e" vm="1">
        <v>#REF!</v>
      </c>
      <c r="BM1960" t="e" vm="2">
        <f t="shared" si="204"/>
        <v>#VALUE!</v>
      </c>
      <c r="BN1960" t="e" vm="2">
        <f t="shared" si="205"/>
        <v>#VALUE!</v>
      </c>
    </row>
    <row r="1961" spans="55:66" x14ac:dyDescent="0.2">
      <c r="BC1961" s="21" t="e" vm="1">
        <v>#REF!</v>
      </c>
      <c r="BD1961" t="e" vm="1">
        <v>#REF!</v>
      </c>
      <c r="BF1961" t="e" vm="2">
        <f t="shared" si="202"/>
        <v>#VALUE!</v>
      </c>
      <c r="BG1961" t="e" vm="2">
        <f t="shared" si="203"/>
        <v>#VALUE!</v>
      </c>
      <c r="BJ1961" s="21" t="e" vm="1">
        <v>#REF!</v>
      </c>
      <c r="BK1961" t="e" vm="1">
        <v>#REF!</v>
      </c>
      <c r="BM1961" t="e" vm="2">
        <f t="shared" si="204"/>
        <v>#VALUE!</v>
      </c>
      <c r="BN1961" t="e" vm="2">
        <f t="shared" si="205"/>
        <v>#VALUE!</v>
      </c>
    </row>
    <row r="1962" spans="55:66" x14ac:dyDescent="0.2">
      <c r="BC1962" s="21" t="e" vm="1">
        <v>#REF!</v>
      </c>
      <c r="BD1962" t="e" vm="1">
        <v>#REF!</v>
      </c>
      <c r="BF1962" t="e" vm="2">
        <f t="shared" si="202"/>
        <v>#VALUE!</v>
      </c>
      <c r="BG1962" t="e" vm="2">
        <f t="shared" si="203"/>
        <v>#VALUE!</v>
      </c>
      <c r="BJ1962" s="21" t="e" vm="1">
        <v>#REF!</v>
      </c>
      <c r="BK1962" t="e" vm="1">
        <v>#REF!</v>
      </c>
      <c r="BM1962" t="e" vm="2">
        <f t="shared" si="204"/>
        <v>#VALUE!</v>
      </c>
      <c r="BN1962" t="e" vm="2">
        <f t="shared" si="205"/>
        <v>#VALUE!</v>
      </c>
    </row>
    <row r="1963" spans="55:66" x14ac:dyDescent="0.2">
      <c r="BC1963" s="21" t="e" vm="1">
        <v>#REF!</v>
      </c>
      <c r="BD1963" t="e" vm="1">
        <v>#REF!</v>
      </c>
      <c r="BF1963" t="e" vm="2">
        <f t="shared" si="202"/>
        <v>#VALUE!</v>
      </c>
      <c r="BG1963" t="e" vm="2">
        <f t="shared" si="203"/>
        <v>#VALUE!</v>
      </c>
      <c r="BJ1963" s="21" t="e" vm="1">
        <v>#REF!</v>
      </c>
      <c r="BK1963" t="e" vm="1">
        <v>#REF!</v>
      </c>
      <c r="BM1963" t="e" vm="2">
        <f t="shared" si="204"/>
        <v>#VALUE!</v>
      </c>
      <c r="BN1963" t="e" vm="2">
        <f t="shared" si="205"/>
        <v>#VALUE!</v>
      </c>
    </row>
    <row r="1964" spans="55:66" x14ac:dyDescent="0.2">
      <c r="BC1964" s="21" t="e" vm="1">
        <v>#REF!</v>
      </c>
      <c r="BD1964" t="e" vm="1">
        <v>#REF!</v>
      </c>
      <c r="BF1964" t="e" vm="2">
        <f t="shared" si="202"/>
        <v>#VALUE!</v>
      </c>
      <c r="BG1964" t="e" vm="2">
        <f t="shared" si="203"/>
        <v>#VALUE!</v>
      </c>
      <c r="BJ1964" s="21" t="e" vm="1">
        <v>#REF!</v>
      </c>
      <c r="BK1964" t="e" vm="1">
        <v>#REF!</v>
      </c>
      <c r="BM1964" t="e" vm="2">
        <f t="shared" si="204"/>
        <v>#VALUE!</v>
      </c>
      <c r="BN1964" t="e" vm="2">
        <f t="shared" si="205"/>
        <v>#VALUE!</v>
      </c>
    </row>
    <row r="1965" spans="55:66" x14ac:dyDescent="0.2">
      <c r="BC1965" s="21" t="e" vm="1">
        <v>#REF!</v>
      </c>
      <c r="BD1965" t="e" vm="1">
        <v>#REF!</v>
      </c>
      <c r="BF1965" t="e" vm="2">
        <f t="shared" si="202"/>
        <v>#VALUE!</v>
      </c>
      <c r="BG1965" t="e" vm="2">
        <f t="shared" si="203"/>
        <v>#VALUE!</v>
      </c>
      <c r="BJ1965" s="21" t="e" vm="1">
        <v>#REF!</v>
      </c>
      <c r="BK1965" t="e" vm="1">
        <v>#REF!</v>
      </c>
      <c r="BM1965" t="e" vm="2">
        <f t="shared" si="204"/>
        <v>#VALUE!</v>
      </c>
      <c r="BN1965" t="e" vm="2">
        <f t="shared" si="205"/>
        <v>#VALUE!</v>
      </c>
    </row>
    <row r="1966" spans="55:66" x14ac:dyDescent="0.2">
      <c r="BC1966" s="21" t="e" vm="1">
        <v>#REF!</v>
      </c>
      <c r="BD1966" t="e" vm="1">
        <v>#REF!</v>
      </c>
      <c r="BF1966" t="e" vm="2">
        <f t="shared" si="202"/>
        <v>#VALUE!</v>
      </c>
      <c r="BG1966" t="e" vm="2">
        <f t="shared" si="203"/>
        <v>#VALUE!</v>
      </c>
      <c r="BJ1966" s="21" t="e" vm="1">
        <v>#REF!</v>
      </c>
      <c r="BK1966" t="e" vm="1">
        <v>#REF!</v>
      </c>
      <c r="BM1966" t="e" vm="2">
        <f t="shared" si="204"/>
        <v>#VALUE!</v>
      </c>
      <c r="BN1966" t="e" vm="2">
        <f t="shared" si="205"/>
        <v>#VALUE!</v>
      </c>
    </row>
    <row r="1967" spans="55:66" x14ac:dyDescent="0.2">
      <c r="BC1967" s="21" t="e" vm="1">
        <v>#REF!</v>
      </c>
      <c r="BD1967" t="e" vm="1">
        <v>#REF!</v>
      </c>
      <c r="BF1967" t="e" vm="2">
        <f t="shared" si="202"/>
        <v>#VALUE!</v>
      </c>
      <c r="BG1967" t="e" vm="2">
        <f t="shared" si="203"/>
        <v>#VALUE!</v>
      </c>
      <c r="BJ1967" s="21" t="e" vm="1">
        <v>#REF!</v>
      </c>
      <c r="BK1967" t="e" vm="1">
        <v>#REF!</v>
      </c>
      <c r="BM1967" t="e" vm="2">
        <f t="shared" si="204"/>
        <v>#VALUE!</v>
      </c>
      <c r="BN1967" t="e" vm="2">
        <f t="shared" si="205"/>
        <v>#VALUE!</v>
      </c>
    </row>
    <row r="1968" spans="55:66" x14ac:dyDescent="0.2">
      <c r="BC1968" s="21" t="e" vm="1">
        <v>#REF!</v>
      </c>
      <c r="BD1968" t="e" vm="1">
        <v>#REF!</v>
      </c>
      <c r="BF1968" t="e" vm="2">
        <f t="shared" si="202"/>
        <v>#VALUE!</v>
      </c>
      <c r="BG1968" t="e" vm="2">
        <f t="shared" si="203"/>
        <v>#VALUE!</v>
      </c>
      <c r="BJ1968" s="21" t="e" vm="1">
        <v>#REF!</v>
      </c>
      <c r="BK1968" t="e" vm="1">
        <v>#REF!</v>
      </c>
      <c r="BM1968" t="e" vm="2">
        <f t="shared" si="204"/>
        <v>#VALUE!</v>
      </c>
      <c r="BN1968" t="e" vm="2">
        <f t="shared" si="205"/>
        <v>#VALUE!</v>
      </c>
    </row>
    <row r="1969" spans="55:66" x14ac:dyDescent="0.2">
      <c r="BC1969" s="21" t="e" vm="1">
        <v>#REF!</v>
      </c>
      <c r="BD1969" t="e" vm="1">
        <v>#REF!</v>
      </c>
      <c r="BF1969" t="e" vm="2">
        <f t="shared" si="202"/>
        <v>#VALUE!</v>
      </c>
      <c r="BG1969" t="e" vm="2">
        <f t="shared" si="203"/>
        <v>#VALUE!</v>
      </c>
      <c r="BJ1969" s="21" t="e" vm="1">
        <v>#REF!</v>
      </c>
      <c r="BK1969" t="e" vm="1">
        <v>#REF!</v>
      </c>
      <c r="BM1969" t="e" vm="2">
        <f t="shared" si="204"/>
        <v>#VALUE!</v>
      </c>
      <c r="BN1969" t="e" vm="2">
        <f t="shared" si="205"/>
        <v>#VALUE!</v>
      </c>
    </row>
    <row r="1970" spans="55:66" x14ac:dyDescent="0.2">
      <c r="BC1970" s="21" t="e" vm="1">
        <v>#REF!</v>
      </c>
      <c r="BD1970" t="e" vm="1">
        <v>#REF!</v>
      </c>
      <c r="BF1970" t="e" vm="2">
        <f t="shared" si="202"/>
        <v>#VALUE!</v>
      </c>
      <c r="BG1970" t="e" vm="2">
        <f t="shared" si="203"/>
        <v>#VALUE!</v>
      </c>
      <c r="BJ1970" s="21" t="e" vm="1">
        <v>#REF!</v>
      </c>
      <c r="BK1970" t="e" vm="1">
        <v>#REF!</v>
      </c>
      <c r="BM1970" t="e" vm="2">
        <f t="shared" si="204"/>
        <v>#VALUE!</v>
      </c>
      <c r="BN1970" t="e" vm="2">
        <f t="shared" si="205"/>
        <v>#VALUE!</v>
      </c>
    </row>
    <row r="1971" spans="55:66" x14ac:dyDescent="0.2">
      <c r="BC1971" s="21" t="e" vm="1">
        <v>#REF!</v>
      </c>
      <c r="BD1971" t="e" vm="1">
        <v>#REF!</v>
      </c>
      <c r="BF1971" t="e" vm="2">
        <f t="shared" si="202"/>
        <v>#VALUE!</v>
      </c>
      <c r="BG1971" t="e" vm="2">
        <f t="shared" si="203"/>
        <v>#VALUE!</v>
      </c>
      <c r="BJ1971" s="21" t="e" vm="1">
        <v>#REF!</v>
      </c>
      <c r="BK1971" t="e" vm="1">
        <v>#REF!</v>
      </c>
      <c r="BM1971" t="e" vm="2">
        <f t="shared" si="204"/>
        <v>#VALUE!</v>
      </c>
      <c r="BN1971" t="e" vm="2">
        <f t="shared" si="205"/>
        <v>#VALUE!</v>
      </c>
    </row>
    <row r="1972" spans="55:66" x14ac:dyDescent="0.2">
      <c r="BC1972" s="21" t="e" vm="1">
        <v>#REF!</v>
      </c>
      <c r="BD1972" t="e" vm="1">
        <v>#REF!</v>
      </c>
      <c r="BF1972" t="e" vm="2">
        <f t="shared" si="202"/>
        <v>#VALUE!</v>
      </c>
      <c r="BG1972" t="e" vm="2">
        <f t="shared" si="203"/>
        <v>#VALUE!</v>
      </c>
      <c r="BJ1972" s="21" t="e" vm="1">
        <v>#REF!</v>
      </c>
      <c r="BK1972" t="e" vm="1">
        <v>#REF!</v>
      </c>
      <c r="BM1972" t="e" vm="2">
        <f t="shared" si="204"/>
        <v>#VALUE!</v>
      </c>
      <c r="BN1972" t="e" vm="2">
        <f t="shared" si="205"/>
        <v>#VALUE!</v>
      </c>
    </row>
    <row r="1973" spans="55:66" x14ac:dyDescent="0.2">
      <c r="BC1973" s="21" t="e" vm="1">
        <v>#REF!</v>
      </c>
      <c r="BD1973" t="e" vm="1">
        <v>#REF!</v>
      </c>
      <c r="BF1973" t="e" vm="2">
        <f t="shared" si="202"/>
        <v>#VALUE!</v>
      </c>
      <c r="BG1973" t="e" vm="2">
        <f t="shared" si="203"/>
        <v>#VALUE!</v>
      </c>
      <c r="BJ1973" s="21" t="e" vm="1">
        <v>#REF!</v>
      </c>
      <c r="BK1973" t="e" vm="1">
        <v>#REF!</v>
      </c>
      <c r="BM1973" t="e" vm="2">
        <f t="shared" si="204"/>
        <v>#VALUE!</v>
      </c>
      <c r="BN1973" t="e" vm="2">
        <f t="shared" si="205"/>
        <v>#VALUE!</v>
      </c>
    </row>
    <row r="1974" spans="55:66" x14ac:dyDescent="0.2">
      <c r="BC1974" s="21" t="e" vm="1">
        <v>#REF!</v>
      </c>
      <c r="BD1974" t="e" vm="1">
        <v>#REF!</v>
      </c>
      <c r="BF1974" t="e" vm="2">
        <f t="shared" si="202"/>
        <v>#VALUE!</v>
      </c>
      <c r="BG1974" t="e" vm="2">
        <f t="shared" si="203"/>
        <v>#VALUE!</v>
      </c>
      <c r="BJ1974" s="21" t="e" vm="1">
        <v>#REF!</v>
      </c>
      <c r="BK1974" t="e" vm="1">
        <v>#REF!</v>
      </c>
      <c r="BM1974" t="e" vm="2">
        <f t="shared" si="204"/>
        <v>#VALUE!</v>
      </c>
      <c r="BN1974" t="e" vm="2">
        <f t="shared" si="205"/>
        <v>#VALUE!</v>
      </c>
    </row>
    <row r="1975" spans="55:66" x14ac:dyDescent="0.2">
      <c r="BC1975" s="21" t="e" vm="1">
        <v>#REF!</v>
      </c>
      <c r="BD1975" t="e" vm="1">
        <v>#REF!</v>
      </c>
      <c r="BF1975" t="e" vm="2">
        <f t="shared" si="202"/>
        <v>#VALUE!</v>
      </c>
      <c r="BG1975" t="e" vm="2">
        <f t="shared" si="203"/>
        <v>#VALUE!</v>
      </c>
      <c r="BJ1975" s="21" t="e" vm="1">
        <v>#REF!</v>
      </c>
      <c r="BK1975" t="e" vm="1">
        <v>#REF!</v>
      </c>
      <c r="BM1975" t="e" vm="2">
        <f t="shared" si="204"/>
        <v>#VALUE!</v>
      </c>
      <c r="BN1975" t="e" vm="2">
        <f t="shared" si="205"/>
        <v>#VALUE!</v>
      </c>
    </row>
    <row r="1976" spans="55:66" x14ac:dyDescent="0.2">
      <c r="BC1976" s="21" t="e" vm="1">
        <v>#REF!</v>
      </c>
      <c r="BD1976" t="e" vm="1">
        <v>#REF!</v>
      </c>
      <c r="BF1976" t="e" vm="2">
        <f t="shared" si="202"/>
        <v>#VALUE!</v>
      </c>
      <c r="BG1976" t="e" vm="2">
        <f t="shared" si="203"/>
        <v>#VALUE!</v>
      </c>
      <c r="BJ1976" s="21" t="e" vm="1">
        <v>#REF!</v>
      </c>
      <c r="BK1976" t="e" vm="1">
        <v>#REF!</v>
      </c>
      <c r="BM1976" t="e" vm="2">
        <f t="shared" si="204"/>
        <v>#VALUE!</v>
      </c>
      <c r="BN1976" t="e" vm="2">
        <f t="shared" si="205"/>
        <v>#VALUE!</v>
      </c>
    </row>
    <row r="1977" spans="55:66" x14ac:dyDescent="0.2">
      <c r="BC1977" s="21" t="e" vm="1">
        <v>#REF!</v>
      </c>
      <c r="BD1977" t="e" vm="1">
        <v>#REF!</v>
      </c>
      <c r="BF1977" t="e" vm="2">
        <f t="shared" si="202"/>
        <v>#VALUE!</v>
      </c>
      <c r="BG1977" t="e" vm="2">
        <f t="shared" si="203"/>
        <v>#VALUE!</v>
      </c>
      <c r="BJ1977" s="21" t="e" vm="1">
        <v>#REF!</v>
      </c>
      <c r="BK1977" t="e" vm="1">
        <v>#REF!</v>
      </c>
      <c r="BM1977" t="e" vm="2">
        <f t="shared" si="204"/>
        <v>#VALUE!</v>
      </c>
      <c r="BN1977" t="e" vm="2">
        <f t="shared" si="205"/>
        <v>#VALUE!</v>
      </c>
    </row>
    <row r="1978" spans="55:66" x14ac:dyDescent="0.2">
      <c r="BC1978" s="21" t="e" vm="1">
        <v>#REF!</v>
      </c>
      <c r="BD1978" t="e" vm="1">
        <v>#REF!</v>
      </c>
      <c r="BF1978" t="e" vm="2">
        <f t="shared" si="202"/>
        <v>#VALUE!</v>
      </c>
      <c r="BG1978" t="e" vm="2">
        <f t="shared" si="203"/>
        <v>#VALUE!</v>
      </c>
      <c r="BJ1978" s="21" t="e" vm="1">
        <v>#REF!</v>
      </c>
      <c r="BK1978" t="e" vm="1">
        <v>#REF!</v>
      </c>
      <c r="BM1978" t="e" vm="2">
        <f t="shared" si="204"/>
        <v>#VALUE!</v>
      </c>
      <c r="BN1978" t="e" vm="2">
        <f t="shared" si="205"/>
        <v>#VALUE!</v>
      </c>
    </row>
    <row r="1979" spans="55:66" x14ac:dyDescent="0.2">
      <c r="BC1979" s="21" t="e" vm="1">
        <v>#REF!</v>
      </c>
      <c r="BD1979" t="e" vm="1">
        <v>#REF!</v>
      </c>
      <c r="BF1979" t="e" vm="2">
        <f t="shared" si="202"/>
        <v>#VALUE!</v>
      </c>
      <c r="BG1979" t="e" vm="2">
        <f t="shared" si="203"/>
        <v>#VALUE!</v>
      </c>
      <c r="BJ1979" s="21" t="e" vm="1">
        <v>#REF!</v>
      </c>
      <c r="BK1979" t="e" vm="1">
        <v>#REF!</v>
      </c>
      <c r="BM1979" t="e" vm="2">
        <f t="shared" si="204"/>
        <v>#VALUE!</v>
      </c>
      <c r="BN1979" t="e" vm="2">
        <f t="shared" si="205"/>
        <v>#VALUE!</v>
      </c>
    </row>
    <row r="1980" spans="55:66" x14ac:dyDescent="0.2">
      <c r="BC1980" s="21" t="e" vm="1">
        <v>#REF!</v>
      </c>
      <c r="BD1980" t="e" vm="1">
        <v>#REF!</v>
      </c>
      <c r="BF1980" t="e" vm="2">
        <f t="shared" si="202"/>
        <v>#VALUE!</v>
      </c>
      <c r="BG1980" t="e" vm="2">
        <f t="shared" si="203"/>
        <v>#VALUE!</v>
      </c>
      <c r="BJ1980" s="21" t="e" vm="1">
        <v>#REF!</v>
      </c>
      <c r="BK1980" t="e" vm="1">
        <v>#REF!</v>
      </c>
      <c r="BM1980" t="e" vm="2">
        <f t="shared" si="204"/>
        <v>#VALUE!</v>
      </c>
      <c r="BN1980" t="e" vm="2">
        <f t="shared" si="205"/>
        <v>#VALUE!</v>
      </c>
    </row>
    <row r="1981" spans="55:66" x14ac:dyDescent="0.2">
      <c r="BC1981" s="21" t="e" vm="1">
        <v>#REF!</v>
      </c>
      <c r="BD1981" t="e" vm="1">
        <v>#REF!</v>
      </c>
      <c r="BF1981" t="e" vm="2">
        <f t="shared" si="202"/>
        <v>#VALUE!</v>
      </c>
      <c r="BG1981" t="e" vm="2">
        <f t="shared" si="203"/>
        <v>#VALUE!</v>
      </c>
      <c r="BJ1981" s="21" t="e" vm="1">
        <v>#REF!</v>
      </c>
      <c r="BK1981" t="e" vm="1">
        <v>#REF!</v>
      </c>
      <c r="BM1981" t="e" vm="2">
        <f t="shared" si="204"/>
        <v>#VALUE!</v>
      </c>
      <c r="BN1981" t="e" vm="2">
        <f t="shared" si="205"/>
        <v>#VALUE!</v>
      </c>
    </row>
    <row r="1982" spans="55:66" x14ac:dyDescent="0.2">
      <c r="BC1982" s="21" t="e" vm="1">
        <v>#REF!</v>
      </c>
      <c r="BD1982" t="e" vm="1">
        <v>#REF!</v>
      </c>
      <c r="BF1982" t="e" vm="2">
        <f t="shared" si="202"/>
        <v>#VALUE!</v>
      </c>
      <c r="BG1982" t="e" vm="2">
        <f t="shared" si="203"/>
        <v>#VALUE!</v>
      </c>
      <c r="BJ1982" s="21" t="e" vm="1">
        <v>#REF!</v>
      </c>
      <c r="BK1982" t="e" vm="1">
        <v>#REF!</v>
      </c>
      <c r="BM1982" t="e" vm="2">
        <f t="shared" si="204"/>
        <v>#VALUE!</v>
      </c>
      <c r="BN1982" t="e" vm="2">
        <f t="shared" si="205"/>
        <v>#VALUE!</v>
      </c>
    </row>
    <row r="1983" spans="55:66" x14ac:dyDescent="0.2">
      <c r="BC1983" s="21" t="e" vm="1">
        <v>#REF!</v>
      </c>
      <c r="BD1983" t="e" vm="1">
        <v>#REF!</v>
      </c>
      <c r="BF1983" t="e" vm="2">
        <f t="shared" si="202"/>
        <v>#VALUE!</v>
      </c>
      <c r="BG1983" t="e" vm="2">
        <f t="shared" si="203"/>
        <v>#VALUE!</v>
      </c>
      <c r="BJ1983" s="21" t="e" vm="1">
        <v>#REF!</v>
      </c>
      <c r="BK1983" t="e" vm="1">
        <v>#REF!</v>
      </c>
      <c r="BM1983" t="e" vm="2">
        <f t="shared" si="204"/>
        <v>#VALUE!</v>
      </c>
      <c r="BN1983" t="e" vm="2">
        <f t="shared" si="205"/>
        <v>#VALUE!</v>
      </c>
    </row>
    <row r="1984" spans="55:66" x14ac:dyDescent="0.2">
      <c r="BC1984" s="21" t="e" vm="1">
        <v>#REF!</v>
      </c>
      <c r="BD1984" t="e" vm="1">
        <v>#REF!</v>
      </c>
      <c r="BF1984" t="e" vm="2">
        <f t="shared" si="202"/>
        <v>#VALUE!</v>
      </c>
      <c r="BG1984" t="e" vm="2">
        <f t="shared" si="203"/>
        <v>#VALUE!</v>
      </c>
      <c r="BJ1984" s="21" t="e" vm="1">
        <v>#REF!</v>
      </c>
      <c r="BK1984" t="e" vm="1">
        <v>#REF!</v>
      </c>
      <c r="BM1984" t="e" vm="2">
        <f t="shared" si="204"/>
        <v>#VALUE!</v>
      </c>
      <c r="BN1984" t="e" vm="2">
        <f t="shared" si="205"/>
        <v>#VALUE!</v>
      </c>
    </row>
    <row r="1985" spans="55:66" x14ac:dyDescent="0.2">
      <c r="BC1985" s="21" t="e" vm="1">
        <v>#REF!</v>
      </c>
      <c r="BD1985" t="e" vm="1">
        <v>#REF!</v>
      </c>
      <c r="BF1985" t="e" vm="2">
        <f t="shared" si="202"/>
        <v>#VALUE!</v>
      </c>
      <c r="BG1985" t="e" vm="2">
        <f t="shared" si="203"/>
        <v>#VALUE!</v>
      </c>
      <c r="BJ1985" s="21" t="e" vm="1">
        <v>#REF!</v>
      </c>
      <c r="BK1985" t="e" vm="1">
        <v>#REF!</v>
      </c>
      <c r="BM1985" t="e" vm="2">
        <f t="shared" si="204"/>
        <v>#VALUE!</v>
      </c>
      <c r="BN1985" t="e" vm="2">
        <f t="shared" si="205"/>
        <v>#VALUE!</v>
      </c>
    </row>
    <row r="1986" spans="55:66" x14ac:dyDescent="0.2">
      <c r="BC1986" s="21" t="e" vm="1">
        <v>#REF!</v>
      </c>
      <c r="BD1986" t="e" vm="1">
        <v>#REF!</v>
      </c>
      <c r="BF1986" t="e" vm="2">
        <f t="shared" si="202"/>
        <v>#VALUE!</v>
      </c>
      <c r="BG1986" t="e" vm="2">
        <f t="shared" si="203"/>
        <v>#VALUE!</v>
      </c>
      <c r="BJ1986" s="21" t="e" vm="1">
        <v>#REF!</v>
      </c>
      <c r="BK1986" t="e" vm="1">
        <v>#REF!</v>
      </c>
      <c r="BM1986" t="e" vm="2">
        <f t="shared" si="204"/>
        <v>#VALUE!</v>
      </c>
      <c r="BN1986" t="e" vm="2">
        <f t="shared" si="205"/>
        <v>#VALUE!</v>
      </c>
    </row>
    <row r="1987" spans="55:66" x14ac:dyDescent="0.2">
      <c r="BC1987" s="21" t="e" vm="1">
        <v>#REF!</v>
      </c>
      <c r="BD1987" t="e" vm="1">
        <v>#REF!</v>
      </c>
      <c r="BF1987" t="e" vm="2">
        <f t="shared" ref="BF1987:BF2050" si="206">MONTH(BC1987)</f>
        <v>#VALUE!</v>
      </c>
      <c r="BG1987" t="e" vm="2">
        <f t="shared" ref="BG1987:BG2050" si="207">YEAR(BC1987)</f>
        <v>#VALUE!</v>
      </c>
      <c r="BJ1987" s="21" t="e" vm="1">
        <v>#REF!</v>
      </c>
      <c r="BK1987" t="e" vm="1">
        <v>#REF!</v>
      </c>
      <c r="BM1987" t="e" vm="2">
        <f t="shared" si="204"/>
        <v>#VALUE!</v>
      </c>
      <c r="BN1987" t="e" vm="2">
        <f t="shared" si="205"/>
        <v>#VALUE!</v>
      </c>
    </row>
    <row r="1988" spans="55:66" x14ac:dyDescent="0.2">
      <c r="BC1988" s="21" t="e" vm="1">
        <v>#REF!</v>
      </c>
      <c r="BD1988" t="e" vm="1">
        <v>#REF!</v>
      </c>
      <c r="BF1988" t="e" vm="2">
        <f t="shared" si="206"/>
        <v>#VALUE!</v>
      </c>
      <c r="BG1988" t="e" vm="2">
        <f t="shared" si="207"/>
        <v>#VALUE!</v>
      </c>
      <c r="BJ1988" s="21" t="e" vm="1">
        <v>#REF!</v>
      </c>
      <c r="BK1988" t="e" vm="1">
        <v>#REF!</v>
      </c>
      <c r="BM1988" t="e" vm="2">
        <f t="shared" ref="BM1988:BM2051" si="208">MONTH(BJ1988)</f>
        <v>#VALUE!</v>
      </c>
      <c r="BN1988" t="e" vm="2">
        <f t="shared" ref="BN1988:BN2051" si="209">YEAR(BJ1988)</f>
        <v>#VALUE!</v>
      </c>
    </row>
    <row r="1989" spans="55:66" x14ac:dyDescent="0.2">
      <c r="BC1989" s="21" t="e" vm="1">
        <v>#REF!</v>
      </c>
      <c r="BD1989" t="e" vm="1">
        <v>#REF!</v>
      </c>
      <c r="BF1989" t="e" vm="2">
        <f t="shared" si="206"/>
        <v>#VALUE!</v>
      </c>
      <c r="BG1989" t="e" vm="2">
        <f t="shared" si="207"/>
        <v>#VALUE!</v>
      </c>
      <c r="BJ1989" s="21" t="e" vm="1">
        <v>#REF!</v>
      </c>
      <c r="BK1989" t="e" vm="1">
        <v>#REF!</v>
      </c>
      <c r="BM1989" t="e" vm="2">
        <f t="shared" si="208"/>
        <v>#VALUE!</v>
      </c>
      <c r="BN1989" t="e" vm="2">
        <f t="shared" si="209"/>
        <v>#VALUE!</v>
      </c>
    </row>
    <row r="1990" spans="55:66" x14ac:dyDescent="0.2">
      <c r="BC1990" s="21" t="e" vm="1">
        <v>#REF!</v>
      </c>
      <c r="BD1990" t="e" vm="1">
        <v>#REF!</v>
      </c>
      <c r="BF1990" t="e" vm="2">
        <f t="shared" si="206"/>
        <v>#VALUE!</v>
      </c>
      <c r="BG1990" t="e" vm="2">
        <f t="shared" si="207"/>
        <v>#VALUE!</v>
      </c>
      <c r="BJ1990" s="21" t="e" vm="1">
        <v>#REF!</v>
      </c>
      <c r="BK1990" t="e" vm="1">
        <v>#REF!</v>
      </c>
      <c r="BM1990" t="e" vm="2">
        <f t="shared" si="208"/>
        <v>#VALUE!</v>
      </c>
      <c r="BN1990" t="e" vm="2">
        <f t="shared" si="209"/>
        <v>#VALUE!</v>
      </c>
    </row>
    <row r="1991" spans="55:66" x14ac:dyDescent="0.2">
      <c r="BC1991" s="21" t="e" vm="1">
        <v>#REF!</v>
      </c>
      <c r="BD1991" t="e" vm="1">
        <v>#REF!</v>
      </c>
      <c r="BF1991" t="e" vm="2">
        <f t="shared" si="206"/>
        <v>#VALUE!</v>
      </c>
      <c r="BG1991" t="e" vm="2">
        <f t="shared" si="207"/>
        <v>#VALUE!</v>
      </c>
      <c r="BJ1991" s="21" t="e" vm="1">
        <v>#REF!</v>
      </c>
      <c r="BK1991" t="e" vm="1">
        <v>#REF!</v>
      </c>
      <c r="BM1991" t="e" vm="2">
        <f t="shared" si="208"/>
        <v>#VALUE!</v>
      </c>
      <c r="BN1991" t="e" vm="2">
        <f t="shared" si="209"/>
        <v>#VALUE!</v>
      </c>
    </row>
    <row r="1992" spans="55:66" x14ac:dyDescent="0.2">
      <c r="BC1992" s="21" t="e" vm="1">
        <v>#REF!</v>
      </c>
      <c r="BD1992" t="e" vm="1">
        <v>#REF!</v>
      </c>
      <c r="BF1992" t="e" vm="2">
        <f t="shared" si="206"/>
        <v>#VALUE!</v>
      </c>
      <c r="BG1992" t="e" vm="2">
        <f t="shared" si="207"/>
        <v>#VALUE!</v>
      </c>
      <c r="BJ1992" s="21" t="e" vm="1">
        <v>#REF!</v>
      </c>
      <c r="BK1992" t="e" vm="1">
        <v>#REF!</v>
      </c>
      <c r="BM1992" t="e" vm="2">
        <f t="shared" si="208"/>
        <v>#VALUE!</v>
      </c>
      <c r="BN1992" t="e" vm="2">
        <f t="shared" si="209"/>
        <v>#VALUE!</v>
      </c>
    </row>
    <row r="1993" spans="55:66" x14ac:dyDescent="0.2">
      <c r="BC1993" s="21" t="e" vm="1">
        <v>#REF!</v>
      </c>
      <c r="BD1993" t="e" vm="1">
        <v>#REF!</v>
      </c>
      <c r="BF1993" t="e" vm="2">
        <f t="shared" si="206"/>
        <v>#VALUE!</v>
      </c>
      <c r="BG1993" t="e" vm="2">
        <f t="shared" si="207"/>
        <v>#VALUE!</v>
      </c>
      <c r="BJ1993" s="21" t="e" vm="1">
        <v>#REF!</v>
      </c>
      <c r="BK1993" t="e" vm="1">
        <v>#REF!</v>
      </c>
      <c r="BM1993" t="e" vm="2">
        <f t="shared" si="208"/>
        <v>#VALUE!</v>
      </c>
      <c r="BN1993" t="e" vm="2">
        <f t="shared" si="209"/>
        <v>#VALUE!</v>
      </c>
    </row>
    <row r="1994" spans="55:66" x14ac:dyDescent="0.2">
      <c r="BC1994" s="21" t="e" vm="1">
        <v>#REF!</v>
      </c>
      <c r="BD1994" t="e" vm="1">
        <v>#REF!</v>
      </c>
      <c r="BF1994" t="e" vm="2">
        <f t="shared" si="206"/>
        <v>#VALUE!</v>
      </c>
      <c r="BG1994" t="e" vm="2">
        <f t="shared" si="207"/>
        <v>#VALUE!</v>
      </c>
      <c r="BJ1994" s="21" t="e" vm="1">
        <v>#REF!</v>
      </c>
      <c r="BK1994" t="e" vm="1">
        <v>#REF!</v>
      </c>
      <c r="BM1994" t="e" vm="2">
        <f t="shared" si="208"/>
        <v>#VALUE!</v>
      </c>
      <c r="BN1994" t="e" vm="2">
        <f t="shared" si="209"/>
        <v>#VALUE!</v>
      </c>
    </row>
    <row r="1995" spans="55:66" x14ac:dyDescent="0.2">
      <c r="BC1995" s="21" t="e" vm="1">
        <v>#REF!</v>
      </c>
      <c r="BD1995" t="e" vm="1">
        <v>#REF!</v>
      </c>
      <c r="BF1995" t="e" vm="2">
        <f t="shared" si="206"/>
        <v>#VALUE!</v>
      </c>
      <c r="BG1995" t="e" vm="2">
        <f t="shared" si="207"/>
        <v>#VALUE!</v>
      </c>
      <c r="BJ1995" s="21" t="e" vm="1">
        <v>#REF!</v>
      </c>
      <c r="BK1995" t="e" vm="1">
        <v>#REF!</v>
      </c>
      <c r="BM1995" t="e" vm="2">
        <f t="shared" si="208"/>
        <v>#VALUE!</v>
      </c>
      <c r="BN1995" t="e" vm="2">
        <f t="shared" si="209"/>
        <v>#VALUE!</v>
      </c>
    </row>
    <row r="1996" spans="55:66" x14ac:dyDescent="0.2">
      <c r="BC1996" s="21" t="e" vm="1">
        <v>#REF!</v>
      </c>
      <c r="BD1996" t="e" vm="1">
        <v>#REF!</v>
      </c>
      <c r="BF1996" t="e" vm="2">
        <f t="shared" si="206"/>
        <v>#VALUE!</v>
      </c>
      <c r="BG1996" t="e" vm="2">
        <f t="shared" si="207"/>
        <v>#VALUE!</v>
      </c>
      <c r="BJ1996" s="21" t="e" vm="1">
        <v>#REF!</v>
      </c>
      <c r="BK1996" t="e" vm="1">
        <v>#REF!</v>
      </c>
      <c r="BM1996" t="e" vm="2">
        <f t="shared" si="208"/>
        <v>#VALUE!</v>
      </c>
      <c r="BN1996" t="e" vm="2">
        <f t="shared" si="209"/>
        <v>#VALUE!</v>
      </c>
    </row>
    <row r="1997" spans="55:66" x14ac:dyDescent="0.2">
      <c r="BC1997" s="21" t="e" vm="1">
        <v>#REF!</v>
      </c>
      <c r="BD1997" t="e" vm="1">
        <v>#REF!</v>
      </c>
      <c r="BF1997" t="e" vm="2">
        <f t="shared" si="206"/>
        <v>#VALUE!</v>
      </c>
      <c r="BG1997" t="e" vm="2">
        <f t="shared" si="207"/>
        <v>#VALUE!</v>
      </c>
      <c r="BJ1997" s="21" t="e" vm="1">
        <v>#REF!</v>
      </c>
      <c r="BK1997" t="e" vm="1">
        <v>#REF!</v>
      </c>
      <c r="BM1997" t="e" vm="2">
        <f t="shared" si="208"/>
        <v>#VALUE!</v>
      </c>
      <c r="BN1997" t="e" vm="2">
        <f t="shared" si="209"/>
        <v>#VALUE!</v>
      </c>
    </row>
    <row r="1998" spans="55:66" x14ac:dyDescent="0.2">
      <c r="BC1998" s="21" t="e" vm="1">
        <v>#REF!</v>
      </c>
      <c r="BD1998" t="e" vm="1">
        <v>#REF!</v>
      </c>
      <c r="BF1998" t="e" vm="2">
        <f t="shared" si="206"/>
        <v>#VALUE!</v>
      </c>
      <c r="BG1998" t="e" vm="2">
        <f t="shared" si="207"/>
        <v>#VALUE!</v>
      </c>
      <c r="BJ1998" s="21" t="e" vm="1">
        <v>#REF!</v>
      </c>
      <c r="BK1998" t="e" vm="1">
        <v>#REF!</v>
      </c>
      <c r="BM1998" t="e" vm="2">
        <f t="shared" si="208"/>
        <v>#VALUE!</v>
      </c>
      <c r="BN1998" t="e" vm="2">
        <f t="shared" si="209"/>
        <v>#VALUE!</v>
      </c>
    </row>
    <row r="1999" spans="55:66" x14ac:dyDescent="0.2">
      <c r="BC1999" s="21" t="e" vm="1">
        <v>#REF!</v>
      </c>
      <c r="BD1999" t="e" vm="1">
        <v>#REF!</v>
      </c>
      <c r="BF1999" t="e" vm="2">
        <f t="shared" si="206"/>
        <v>#VALUE!</v>
      </c>
      <c r="BG1999" t="e" vm="2">
        <f t="shared" si="207"/>
        <v>#VALUE!</v>
      </c>
      <c r="BJ1999" s="21" t="e" vm="1">
        <v>#REF!</v>
      </c>
      <c r="BK1999" t="e" vm="1">
        <v>#REF!</v>
      </c>
      <c r="BM1999" t="e" vm="2">
        <f t="shared" si="208"/>
        <v>#VALUE!</v>
      </c>
      <c r="BN1999" t="e" vm="2">
        <f t="shared" si="209"/>
        <v>#VALUE!</v>
      </c>
    </row>
    <row r="2000" spans="55:66" x14ac:dyDescent="0.2">
      <c r="BC2000" s="21" t="e" vm="1">
        <v>#REF!</v>
      </c>
      <c r="BD2000" t="e" vm="1">
        <v>#REF!</v>
      </c>
      <c r="BF2000" t="e" vm="2">
        <f t="shared" si="206"/>
        <v>#VALUE!</v>
      </c>
      <c r="BG2000" t="e" vm="2">
        <f t="shared" si="207"/>
        <v>#VALUE!</v>
      </c>
      <c r="BJ2000" s="21" t="e" vm="1">
        <v>#REF!</v>
      </c>
      <c r="BK2000" t="e" vm="1">
        <v>#REF!</v>
      </c>
      <c r="BM2000" t="e" vm="2">
        <f t="shared" si="208"/>
        <v>#VALUE!</v>
      </c>
      <c r="BN2000" t="e" vm="2">
        <f t="shared" si="209"/>
        <v>#VALUE!</v>
      </c>
    </row>
    <row r="2001" spans="55:66" x14ac:dyDescent="0.2">
      <c r="BC2001" s="21" t="e" vm="1">
        <v>#REF!</v>
      </c>
      <c r="BD2001" t="e" vm="1">
        <v>#REF!</v>
      </c>
      <c r="BF2001" t="e" vm="2">
        <f t="shared" si="206"/>
        <v>#VALUE!</v>
      </c>
      <c r="BG2001" t="e" vm="2">
        <f t="shared" si="207"/>
        <v>#VALUE!</v>
      </c>
      <c r="BJ2001" s="21" t="e" vm="1">
        <v>#REF!</v>
      </c>
      <c r="BK2001" t="e" vm="1">
        <v>#REF!</v>
      </c>
      <c r="BM2001" t="e" vm="2">
        <f t="shared" si="208"/>
        <v>#VALUE!</v>
      </c>
      <c r="BN2001" t="e" vm="2">
        <f t="shared" si="209"/>
        <v>#VALUE!</v>
      </c>
    </row>
    <row r="2002" spans="55:66" x14ac:dyDescent="0.2">
      <c r="BC2002" s="21" t="e" vm="1">
        <v>#REF!</v>
      </c>
      <c r="BD2002" t="e" vm="1">
        <v>#REF!</v>
      </c>
      <c r="BF2002" t="e" vm="2">
        <f t="shared" si="206"/>
        <v>#VALUE!</v>
      </c>
      <c r="BG2002" t="e" vm="2">
        <f t="shared" si="207"/>
        <v>#VALUE!</v>
      </c>
      <c r="BJ2002" s="21" t="e" vm="1">
        <v>#REF!</v>
      </c>
      <c r="BK2002" t="e" vm="1">
        <v>#REF!</v>
      </c>
      <c r="BM2002" t="e" vm="2">
        <f t="shared" si="208"/>
        <v>#VALUE!</v>
      </c>
      <c r="BN2002" t="e" vm="2">
        <f t="shared" si="209"/>
        <v>#VALUE!</v>
      </c>
    </row>
    <row r="2003" spans="55:66" x14ac:dyDescent="0.2">
      <c r="BC2003" s="21" t="e" vm="1">
        <v>#REF!</v>
      </c>
      <c r="BD2003" t="e" vm="1">
        <v>#REF!</v>
      </c>
      <c r="BF2003" t="e" vm="2">
        <f t="shared" si="206"/>
        <v>#VALUE!</v>
      </c>
      <c r="BG2003" t="e" vm="2">
        <f t="shared" si="207"/>
        <v>#VALUE!</v>
      </c>
      <c r="BJ2003" s="21" t="e" vm="1">
        <v>#REF!</v>
      </c>
      <c r="BK2003" t="e" vm="1">
        <v>#REF!</v>
      </c>
      <c r="BM2003" t="e" vm="2">
        <f t="shared" si="208"/>
        <v>#VALUE!</v>
      </c>
      <c r="BN2003" t="e" vm="2">
        <f t="shared" si="209"/>
        <v>#VALUE!</v>
      </c>
    </row>
    <row r="2004" spans="55:66" x14ac:dyDescent="0.2">
      <c r="BC2004" s="21" t="e" vm="1">
        <v>#REF!</v>
      </c>
      <c r="BD2004" t="e" vm="1">
        <v>#REF!</v>
      </c>
      <c r="BF2004" t="e" vm="2">
        <f t="shared" si="206"/>
        <v>#VALUE!</v>
      </c>
      <c r="BG2004" t="e" vm="2">
        <f t="shared" si="207"/>
        <v>#VALUE!</v>
      </c>
      <c r="BJ2004" s="21" t="e" vm="1">
        <v>#REF!</v>
      </c>
      <c r="BK2004" t="e" vm="1">
        <v>#REF!</v>
      </c>
      <c r="BM2004" t="e" vm="2">
        <f t="shared" si="208"/>
        <v>#VALUE!</v>
      </c>
      <c r="BN2004" t="e" vm="2">
        <f t="shared" si="209"/>
        <v>#VALUE!</v>
      </c>
    </row>
    <row r="2005" spans="55:66" x14ac:dyDescent="0.2">
      <c r="BC2005" s="21" t="e" vm="1">
        <v>#REF!</v>
      </c>
      <c r="BD2005" t="e" vm="1">
        <v>#REF!</v>
      </c>
      <c r="BF2005" t="e" vm="2">
        <f t="shared" si="206"/>
        <v>#VALUE!</v>
      </c>
      <c r="BG2005" t="e" vm="2">
        <f t="shared" si="207"/>
        <v>#VALUE!</v>
      </c>
      <c r="BJ2005" s="21" t="e" vm="1">
        <v>#REF!</v>
      </c>
      <c r="BK2005" t="e" vm="1">
        <v>#REF!</v>
      </c>
      <c r="BM2005" t="e" vm="2">
        <f t="shared" si="208"/>
        <v>#VALUE!</v>
      </c>
      <c r="BN2005" t="e" vm="2">
        <f t="shared" si="209"/>
        <v>#VALUE!</v>
      </c>
    </row>
    <row r="2006" spans="55:66" x14ac:dyDescent="0.2">
      <c r="BC2006" s="21" t="e" vm="1">
        <v>#REF!</v>
      </c>
      <c r="BD2006" t="e" vm="1">
        <v>#REF!</v>
      </c>
      <c r="BF2006" t="e" vm="2">
        <f t="shared" si="206"/>
        <v>#VALUE!</v>
      </c>
      <c r="BG2006" t="e" vm="2">
        <f t="shared" si="207"/>
        <v>#VALUE!</v>
      </c>
      <c r="BJ2006" s="21" t="e" vm="1">
        <v>#REF!</v>
      </c>
      <c r="BK2006" t="e" vm="1">
        <v>#REF!</v>
      </c>
      <c r="BM2006" t="e" vm="2">
        <f t="shared" si="208"/>
        <v>#VALUE!</v>
      </c>
      <c r="BN2006" t="e" vm="2">
        <f t="shared" si="209"/>
        <v>#VALUE!</v>
      </c>
    </row>
    <row r="2007" spans="55:66" x14ac:dyDescent="0.2">
      <c r="BC2007" s="21" t="e" vm="1">
        <v>#REF!</v>
      </c>
      <c r="BD2007" t="e" vm="1">
        <v>#REF!</v>
      </c>
      <c r="BF2007" t="e" vm="2">
        <f t="shared" si="206"/>
        <v>#VALUE!</v>
      </c>
      <c r="BG2007" t="e" vm="2">
        <f t="shared" si="207"/>
        <v>#VALUE!</v>
      </c>
      <c r="BJ2007" s="21" t="e" vm="1">
        <v>#REF!</v>
      </c>
      <c r="BK2007" t="e" vm="1">
        <v>#REF!</v>
      </c>
      <c r="BM2007" t="e" vm="2">
        <f t="shared" si="208"/>
        <v>#VALUE!</v>
      </c>
      <c r="BN2007" t="e" vm="2">
        <f t="shared" si="209"/>
        <v>#VALUE!</v>
      </c>
    </row>
    <row r="2008" spans="55:66" x14ac:dyDescent="0.2">
      <c r="BC2008" s="21" t="e" vm="1">
        <v>#REF!</v>
      </c>
      <c r="BD2008" t="e" vm="1">
        <v>#REF!</v>
      </c>
      <c r="BF2008" t="e" vm="2">
        <f t="shared" si="206"/>
        <v>#VALUE!</v>
      </c>
      <c r="BG2008" t="e" vm="2">
        <f t="shared" si="207"/>
        <v>#VALUE!</v>
      </c>
      <c r="BJ2008" s="21" t="e" vm="1">
        <v>#REF!</v>
      </c>
      <c r="BK2008" t="e" vm="1">
        <v>#REF!</v>
      </c>
      <c r="BM2008" t="e" vm="2">
        <f t="shared" si="208"/>
        <v>#VALUE!</v>
      </c>
      <c r="BN2008" t="e" vm="2">
        <f t="shared" si="209"/>
        <v>#VALUE!</v>
      </c>
    </row>
    <row r="2009" spans="55:66" x14ac:dyDescent="0.2">
      <c r="BC2009" s="21" t="e" vm="1">
        <v>#REF!</v>
      </c>
      <c r="BD2009" t="e" vm="1">
        <v>#REF!</v>
      </c>
      <c r="BF2009" t="e" vm="2">
        <f t="shared" si="206"/>
        <v>#VALUE!</v>
      </c>
      <c r="BG2009" t="e" vm="2">
        <f t="shared" si="207"/>
        <v>#VALUE!</v>
      </c>
      <c r="BJ2009" s="21" t="e" vm="1">
        <v>#REF!</v>
      </c>
      <c r="BK2009" t="e" vm="1">
        <v>#REF!</v>
      </c>
      <c r="BM2009" t="e" vm="2">
        <f t="shared" si="208"/>
        <v>#VALUE!</v>
      </c>
      <c r="BN2009" t="e" vm="2">
        <f t="shared" si="209"/>
        <v>#VALUE!</v>
      </c>
    </row>
    <row r="2010" spans="55:66" x14ac:dyDescent="0.2">
      <c r="BC2010" s="21" t="e" vm="1">
        <v>#REF!</v>
      </c>
      <c r="BD2010" t="e" vm="1">
        <v>#REF!</v>
      </c>
      <c r="BF2010" t="e" vm="2">
        <f t="shared" si="206"/>
        <v>#VALUE!</v>
      </c>
      <c r="BG2010" t="e" vm="2">
        <f t="shared" si="207"/>
        <v>#VALUE!</v>
      </c>
      <c r="BJ2010" s="21" t="e" vm="1">
        <v>#REF!</v>
      </c>
      <c r="BK2010" t="e" vm="1">
        <v>#REF!</v>
      </c>
      <c r="BM2010" t="e" vm="2">
        <f t="shared" si="208"/>
        <v>#VALUE!</v>
      </c>
      <c r="BN2010" t="e" vm="2">
        <f t="shared" si="209"/>
        <v>#VALUE!</v>
      </c>
    </row>
    <row r="2011" spans="55:66" x14ac:dyDescent="0.2">
      <c r="BC2011" s="21" t="e" vm="1">
        <v>#REF!</v>
      </c>
      <c r="BD2011" t="e" vm="1">
        <v>#REF!</v>
      </c>
      <c r="BF2011" t="e" vm="2">
        <f t="shared" si="206"/>
        <v>#VALUE!</v>
      </c>
      <c r="BG2011" t="e" vm="2">
        <f t="shared" si="207"/>
        <v>#VALUE!</v>
      </c>
      <c r="BJ2011" s="21" t="e" vm="1">
        <v>#REF!</v>
      </c>
      <c r="BK2011" t="e" vm="1">
        <v>#REF!</v>
      </c>
      <c r="BM2011" t="e" vm="2">
        <f t="shared" si="208"/>
        <v>#VALUE!</v>
      </c>
      <c r="BN2011" t="e" vm="2">
        <f t="shared" si="209"/>
        <v>#VALUE!</v>
      </c>
    </row>
    <row r="2012" spans="55:66" x14ac:dyDescent="0.2">
      <c r="BC2012" s="21" t="e" vm="1">
        <v>#REF!</v>
      </c>
      <c r="BD2012" t="e" vm="1">
        <v>#REF!</v>
      </c>
      <c r="BF2012" t="e" vm="2">
        <f t="shared" si="206"/>
        <v>#VALUE!</v>
      </c>
      <c r="BG2012" t="e" vm="2">
        <f t="shared" si="207"/>
        <v>#VALUE!</v>
      </c>
      <c r="BJ2012" s="21" t="e" vm="1">
        <v>#REF!</v>
      </c>
      <c r="BK2012" t="e" vm="1">
        <v>#REF!</v>
      </c>
      <c r="BM2012" t="e" vm="2">
        <f t="shared" si="208"/>
        <v>#VALUE!</v>
      </c>
      <c r="BN2012" t="e" vm="2">
        <f t="shared" si="209"/>
        <v>#VALUE!</v>
      </c>
    </row>
    <row r="2013" spans="55:66" x14ac:dyDescent="0.2">
      <c r="BC2013" s="21" t="e" vm="1">
        <v>#REF!</v>
      </c>
      <c r="BD2013" t="e" vm="1">
        <v>#REF!</v>
      </c>
      <c r="BF2013" t="e" vm="2">
        <f t="shared" si="206"/>
        <v>#VALUE!</v>
      </c>
      <c r="BG2013" t="e" vm="2">
        <f t="shared" si="207"/>
        <v>#VALUE!</v>
      </c>
      <c r="BJ2013" s="21" t="e" vm="1">
        <v>#REF!</v>
      </c>
      <c r="BK2013" t="e" vm="1">
        <v>#REF!</v>
      </c>
      <c r="BM2013" t="e" vm="2">
        <f t="shared" si="208"/>
        <v>#VALUE!</v>
      </c>
      <c r="BN2013" t="e" vm="2">
        <f t="shared" si="209"/>
        <v>#VALUE!</v>
      </c>
    </row>
    <row r="2014" spans="55:66" x14ac:dyDescent="0.2">
      <c r="BC2014" s="21" t="e" vm="1">
        <v>#REF!</v>
      </c>
      <c r="BD2014" t="e" vm="1">
        <v>#REF!</v>
      </c>
      <c r="BF2014" t="e" vm="2">
        <f t="shared" si="206"/>
        <v>#VALUE!</v>
      </c>
      <c r="BG2014" t="e" vm="2">
        <f t="shared" si="207"/>
        <v>#VALUE!</v>
      </c>
      <c r="BJ2014" s="21" t="e" vm="1">
        <v>#REF!</v>
      </c>
      <c r="BK2014" t="e" vm="1">
        <v>#REF!</v>
      </c>
      <c r="BM2014" t="e" vm="2">
        <f t="shared" si="208"/>
        <v>#VALUE!</v>
      </c>
      <c r="BN2014" t="e" vm="2">
        <f t="shared" si="209"/>
        <v>#VALUE!</v>
      </c>
    </row>
    <row r="2015" spans="55:66" x14ac:dyDescent="0.2">
      <c r="BC2015" s="21" t="e" vm="1">
        <v>#REF!</v>
      </c>
      <c r="BD2015" t="e" vm="1">
        <v>#REF!</v>
      </c>
      <c r="BF2015" t="e" vm="2">
        <f t="shared" si="206"/>
        <v>#VALUE!</v>
      </c>
      <c r="BG2015" t="e" vm="2">
        <f t="shared" si="207"/>
        <v>#VALUE!</v>
      </c>
      <c r="BJ2015" s="21" t="e" vm="1">
        <v>#REF!</v>
      </c>
      <c r="BK2015" t="e" vm="1">
        <v>#REF!</v>
      </c>
      <c r="BM2015" t="e" vm="2">
        <f t="shared" si="208"/>
        <v>#VALUE!</v>
      </c>
      <c r="BN2015" t="e" vm="2">
        <f t="shared" si="209"/>
        <v>#VALUE!</v>
      </c>
    </row>
    <row r="2016" spans="55:66" x14ac:dyDescent="0.2">
      <c r="BC2016" s="21" t="e" vm="1">
        <v>#REF!</v>
      </c>
      <c r="BD2016" t="e" vm="1">
        <v>#REF!</v>
      </c>
      <c r="BF2016" t="e" vm="2">
        <f t="shared" si="206"/>
        <v>#VALUE!</v>
      </c>
      <c r="BG2016" t="e" vm="2">
        <f t="shared" si="207"/>
        <v>#VALUE!</v>
      </c>
      <c r="BJ2016" s="21" t="e" vm="1">
        <v>#REF!</v>
      </c>
      <c r="BK2016" t="e" vm="1">
        <v>#REF!</v>
      </c>
      <c r="BM2016" t="e" vm="2">
        <f t="shared" si="208"/>
        <v>#VALUE!</v>
      </c>
      <c r="BN2016" t="e" vm="2">
        <f t="shared" si="209"/>
        <v>#VALUE!</v>
      </c>
    </row>
    <row r="2017" spans="55:66" x14ac:dyDescent="0.2">
      <c r="BC2017" s="21" t="e" vm="1">
        <v>#REF!</v>
      </c>
      <c r="BD2017" t="e" vm="1">
        <v>#REF!</v>
      </c>
      <c r="BF2017" t="e" vm="2">
        <f t="shared" si="206"/>
        <v>#VALUE!</v>
      </c>
      <c r="BG2017" t="e" vm="2">
        <f t="shared" si="207"/>
        <v>#VALUE!</v>
      </c>
      <c r="BJ2017" s="21" t="e" vm="1">
        <v>#REF!</v>
      </c>
      <c r="BK2017" t="e" vm="1">
        <v>#REF!</v>
      </c>
      <c r="BM2017" t="e" vm="2">
        <f t="shared" si="208"/>
        <v>#VALUE!</v>
      </c>
      <c r="BN2017" t="e" vm="2">
        <f t="shared" si="209"/>
        <v>#VALUE!</v>
      </c>
    </row>
    <row r="2018" spans="55:66" x14ac:dyDescent="0.2">
      <c r="BC2018" s="21" t="e" vm="1">
        <v>#REF!</v>
      </c>
      <c r="BD2018" t="e" vm="1">
        <v>#REF!</v>
      </c>
      <c r="BF2018" t="e" vm="2">
        <f t="shared" si="206"/>
        <v>#VALUE!</v>
      </c>
      <c r="BG2018" t="e" vm="2">
        <f t="shared" si="207"/>
        <v>#VALUE!</v>
      </c>
      <c r="BJ2018" s="21" t="e" vm="1">
        <v>#REF!</v>
      </c>
      <c r="BK2018" t="e" vm="1">
        <v>#REF!</v>
      </c>
      <c r="BM2018" t="e" vm="2">
        <f t="shared" si="208"/>
        <v>#VALUE!</v>
      </c>
      <c r="BN2018" t="e" vm="2">
        <f t="shared" si="209"/>
        <v>#VALUE!</v>
      </c>
    </row>
    <row r="2019" spans="55:66" x14ac:dyDescent="0.2">
      <c r="BC2019" s="21" t="e" vm="1">
        <v>#REF!</v>
      </c>
      <c r="BD2019" t="e" vm="1">
        <v>#REF!</v>
      </c>
      <c r="BF2019" t="e" vm="2">
        <f t="shared" si="206"/>
        <v>#VALUE!</v>
      </c>
      <c r="BG2019" t="e" vm="2">
        <f t="shared" si="207"/>
        <v>#VALUE!</v>
      </c>
      <c r="BJ2019" s="21" t="e" vm="1">
        <v>#REF!</v>
      </c>
      <c r="BK2019" t="e" vm="1">
        <v>#REF!</v>
      </c>
      <c r="BM2019" t="e" vm="2">
        <f t="shared" si="208"/>
        <v>#VALUE!</v>
      </c>
      <c r="BN2019" t="e" vm="2">
        <f t="shared" si="209"/>
        <v>#VALUE!</v>
      </c>
    </row>
    <row r="2020" spans="55:66" x14ac:dyDescent="0.2">
      <c r="BC2020" s="21" t="e" vm="1">
        <v>#REF!</v>
      </c>
      <c r="BD2020" t="e" vm="1">
        <v>#REF!</v>
      </c>
      <c r="BF2020" t="e" vm="2">
        <f t="shared" si="206"/>
        <v>#VALUE!</v>
      </c>
      <c r="BG2020" t="e" vm="2">
        <f t="shared" si="207"/>
        <v>#VALUE!</v>
      </c>
      <c r="BJ2020" s="21" t="e" vm="1">
        <v>#REF!</v>
      </c>
      <c r="BK2020" t="e" vm="1">
        <v>#REF!</v>
      </c>
      <c r="BM2020" t="e" vm="2">
        <f t="shared" si="208"/>
        <v>#VALUE!</v>
      </c>
      <c r="BN2020" t="e" vm="2">
        <f t="shared" si="209"/>
        <v>#VALUE!</v>
      </c>
    </row>
    <row r="2021" spans="55:66" x14ac:dyDescent="0.2">
      <c r="BC2021" s="21" t="e" vm="1">
        <v>#REF!</v>
      </c>
      <c r="BD2021" t="e" vm="1">
        <v>#REF!</v>
      </c>
      <c r="BF2021" t="e" vm="2">
        <f t="shared" si="206"/>
        <v>#VALUE!</v>
      </c>
      <c r="BG2021" t="e" vm="2">
        <f t="shared" si="207"/>
        <v>#VALUE!</v>
      </c>
      <c r="BJ2021" s="21" t="e" vm="1">
        <v>#REF!</v>
      </c>
      <c r="BK2021" t="e" vm="1">
        <v>#REF!</v>
      </c>
      <c r="BM2021" t="e" vm="2">
        <f t="shared" si="208"/>
        <v>#VALUE!</v>
      </c>
      <c r="BN2021" t="e" vm="2">
        <f t="shared" si="209"/>
        <v>#VALUE!</v>
      </c>
    </row>
    <row r="2022" spans="55:66" x14ac:dyDescent="0.2">
      <c r="BC2022" s="21" t="e" vm="1">
        <v>#REF!</v>
      </c>
      <c r="BD2022" t="e" vm="1">
        <v>#REF!</v>
      </c>
      <c r="BF2022" t="e" vm="2">
        <f t="shared" si="206"/>
        <v>#VALUE!</v>
      </c>
      <c r="BG2022" t="e" vm="2">
        <f t="shared" si="207"/>
        <v>#VALUE!</v>
      </c>
      <c r="BJ2022" s="21" t="e" vm="1">
        <v>#REF!</v>
      </c>
      <c r="BK2022" t="e" vm="1">
        <v>#REF!</v>
      </c>
      <c r="BM2022" t="e" vm="2">
        <f t="shared" si="208"/>
        <v>#VALUE!</v>
      </c>
      <c r="BN2022" t="e" vm="2">
        <f t="shared" si="209"/>
        <v>#VALUE!</v>
      </c>
    </row>
    <row r="2023" spans="55:66" x14ac:dyDescent="0.2">
      <c r="BC2023" s="21" t="e" vm="1">
        <v>#REF!</v>
      </c>
      <c r="BD2023" t="e" vm="1">
        <v>#REF!</v>
      </c>
      <c r="BF2023" t="e" vm="2">
        <f t="shared" si="206"/>
        <v>#VALUE!</v>
      </c>
      <c r="BG2023" t="e" vm="2">
        <f t="shared" si="207"/>
        <v>#VALUE!</v>
      </c>
      <c r="BJ2023" s="21" t="e" vm="1">
        <v>#REF!</v>
      </c>
      <c r="BK2023" t="e" vm="1">
        <v>#REF!</v>
      </c>
      <c r="BM2023" t="e" vm="2">
        <f t="shared" si="208"/>
        <v>#VALUE!</v>
      </c>
      <c r="BN2023" t="e" vm="2">
        <f t="shared" si="209"/>
        <v>#VALUE!</v>
      </c>
    </row>
    <row r="2024" spans="55:66" x14ac:dyDescent="0.2">
      <c r="BC2024" s="21" t="e" vm="1">
        <v>#REF!</v>
      </c>
      <c r="BD2024" t="e" vm="1">
        <v>#REF!</v>
      </c>
      <c r="BF2024" t="e" vm="2">
        <f t="shared" si="206"/>
        <v>#VALUE!</v>
      </c>
      <c r="BG2024" t="e" vm="2">
        <f t="shared" si="207"/>
        <v>#VALUE!</v>
      </c>
      <c r="BJ2024" s="21" t="e" vm="1">
        <v>#REF!</v>
      </c>
      <c r="BK2024" t="e" vm="1">
        <v>#REF!</v>
      </c>
      <c r="BM2024" t="e" vm="2">
        <f t="shared" si="208"/>
        <v>#VALUE!</v>
      </c>
      <c r="BN2024" t="e" vm="2">
        <f t="shared" si="209"/>
        <v>#VALUE!</v>
      </c>
    </row>
    <row r="2025" spans="55:66" x14ac:dyDescent="0.2">
      <c r="BC2025" s="21" t="e" vm="1">
        <v>#REF!</v>
      </c>
      <c r="BD2025" t="e" vm="1">
        <v>#REF!</v>
      </c>
      <c r="BF2025" t="e" vm="2">
        <f t="shared" si="206"/>
        <v>#VALUE!</v>
      </c>
      <c r="BG2025" t="e" vm="2">
        <f t="shared" si="207"/>
        <v>#VALUE!</v>
      </c>
      <c r="BJ2025" s="21" t="e" vm="1">
        <v>#REF!</v>
      </c>
      <c r="BK2025" t="e" vm="1">
        <v>#REF!</v>
      </c>
      <c r="BM2025" t="e" vm="2">
        <f t="shared" si="208"/>
        <v>#VALUE!</v>
      </c>
      <c r="BN2025" t="e" vm="2">
        <f t="shared" si="209"/>
        <v>#VALUE!</v>
      </c>
    </row>
    <row r="2026" spans="55:66" x14ac:dyDescent="0.2">
      <c r="BC2026" s="21" t="e" vm="1">
        <v>#REF!</v>
      </c>
      <c r="BD2026" t="e" vm="1">
        <v>#REF!</v>
      </c>
      <c r="BF2026" t="e" vm="2">
        <f t="shared" si="206"/>
        <v>#VALUE!</v>
      </c>
      <c r="BG2026" t="e" vm="2">
        <f t="shared" si="207"/>
        <v>#VALUE!</v>
      </c>
      <c r="BJ2026" s="21" t="e" vm="1">
        <v>#REF!</v>
      </c>
      <c r="BK2026" t="e" vm="1">
        <v>#REF!</v>
      </c>
      <c r="BM2026" t="e" vm="2">
        <f t="shared" si="208"/>
        <v>#VALUE!</v>
      </c>
      <c r="BN2026" t="e" vm="2">
        <f t="shared" si="209"/>
        <v>#VALUE!</v>
      </c>
    </row>
    <row r="2027" spans="55:66" x14ac:dyDescent="0.2">
      <c r="BC2027" s="21" t="e" vm="1">
        <v>#REF!</v>
      </c>
      <c r="BD2027" t="e" vm="1">
        <v>#REF!</v>
      </c>
      <c r="BF2027" t="e" vm="2">
        <f t="shared" si="206"/>
        <v>#VALUE!</v>
      </c>
      <c r="BG2027" t="e" vm="2">
        <f t="shared" si="207"/>
        <v>#VALUE!</v>
      </c>
      <c r="BJ2027" s="21" t="e" vm="1">
        <v>#REF!</v>
      </c>
      <c r="BK2027" t="e" vm="1">
        <v>#REF!</v>
      </c>
      <c r="BM2027" t="e" vm="2">
        <f t="shared" si="208"/>
        <v>#VALUE!</v>
      </c>
      <c r="BN2027" t="e" vm="2">
        <f t="shared" si="209"/>
        <v>#VALUE!</v>
      </c>
    </row>
    <row r="2028" spans="55:66" x14ac:dyDescent="0.2">
      <c r="BC2028" s="21" t="e" vm="1">
        <v>#REF!</v>
      </c>
      <c r="BD2028" t="e" vm="1">
        <v>#REF!</v>
      </c>
      <c r="BF2028" t="e" vm="2">
        <f t="shared" si="206"/>
        <v>#VALUE!</v>
      </c>
      <c r="BG2028" t="e" vm="2">
        <f t="shared" si="207"/>
        <v>#VALUE!</v>
      </c>
      <c r="BJ2028" s="21" t="e" vm="1">
        <v>#REF!</v>
      </c>
      <c r="BK2028" t="e" vm="1">
        <v>#REF!</v>
      </c>
      <c r="BM2028" t="e" vm="2">
        <f t="shared" si="208"/>
        <v>#VALUE!</v>
      </c>
      <c r="BN2028" t="e" vm="2">
        <f t="shared" si="209"/>
        <v>#VALUE!</v>
      </c>
    </row>
    <row r="2029" spans="55:66" x14ac:dyDescent="0.2">
      <c r="BC2029" s="21" t="e" vm="1">
        <v>#REF!</v>
      </c>
      <c r="BD2029" t="e" vm="1">
        <v>#REF!</v>
      </c>
      <c r="BF2029" t="e" vm="2">
        <f t="shared" si="206"/>
        <v>#VALUE!</v>
      </c>
      <c r="BG2029" t="e" vm="2">
        <f t="shared" si="207"/>
        <v>#VALUE!</v>
      </c>
      <c r="BJ2029" s="21" t="e" vm="1">
        <v>#REF!</v>
      </c>
      <c r="BK2029" t="e" vm="1">
        <v>#REF!</v>
      </c>
      <c r="BM2029" t="e" vm="2">
        <f t="shared" si="208"/>
        <v>#VALUE!</v>
      </c>
      <c r="BN2029" t="e" vm="2">
        <f t="shared" si="209"/>
        <v>#VALUE!</v>
      </c>
    </row>
    <row r="2030" spans="55:66" x14ac:dyDescent="0.2">
      <c r="BC2030" s="21" t="e" vm="1">
        <v>#REF!</v>
      </c>
      <c r="BD2030" t="e" vm="1">
        <v>#REF!</v>
      </c>
      <c r="BF2030" t="e" vm="2">
        <f t="shared" si="206"/>
        <v>#VALUE!</v>
      </c>
      <c r="BG2030" t="e" vm="2">
        <f t="shared" si="207"/>
        <v>#VALUE!</v>
      </c>
      <c r="BJ2030" s="21" t="e" vm="1">
        <v>#REF!</v>
      </c>
      <c r="BK2030" t="e" vm="1">
        <v>#REF!</v>
      </c>
      <c r="BM2030" t="e" vm="2">
        <f t="shared" si="208"/>
        <v>#VALUE!</v>
      </c>
      <c r="BN2030" t="e" vm="2">
        <f t="shared" si="209"/>
        <v>#VALUE!</v>
      </c>
    </row>
    <row r="2031" spans="55:66" x14ac:dyDescent="0.2">
      <c r="BC2031" s="21" t="e" vm="1">
        <v>#REF!</v>
      </c>
      <c r="BD2031" t="e" vm="1">
        <v>#REF!</v>
      </c>
      <c r="BF2031" t="e" vm="2">
        <f t="shared" si="206"/>
        <v>#VALUE!</v>
      </c>
      <c r="BG2031" t="e" vm="2">
        <f t="shared" si="207"/>
        <v>#VALUE!</v>
      </c>
      <c r="BJ2031" s="21" t="e" vm="1">
        <v>#REF!</v>
      </c>
      <c r="BK2031" t="e" vm="1">
        <v>#REF!</v>
      </c>
      <c r="BM2031" t="e" vm="2">
        <f t="shared" si="208"/>
        <v>#VALUE!</v>
      </c>
      <c r="BN2031" t="e" vm="2">
        <f t="shared" si="209"/>
        <v>#VALUE!</v>
      </c>
    </row>
    <row r="2032" spans="55:66" x14ac:dyDescent="0.2">
      <c r="BC2032" s="21" t="e" vm="1">
        <v>#REF!</v>
      </c>
      <c r="BD2032" t="e" vm="1">
        <v>#REF!</v>
      </c>
      <c r="BF2032" t="e" vm="2">
        <f t="shared" si="206"/>
        <v>#VALUE!</v>
      </c>
      <c r="BG2032" t="e" vm="2">
        <f t="shared" si="207"/>
        <v>#VALUE!</v>
      </c>
      <c r="BJ2032" s="21" t="e" vm="1">
        <v>#REF!</v>
      </c>
      <c r="BK2032" t="e" vm="1">
        <v>#REF!</v>
      </c>
      <c r="BM2032" t="e" vm="2">
        <f t="shared" si="208"/>
        <v>#VALUE!</v>
      </c>
      <c r="BN2032" t="e" vm="2">
        <f t="shared" si="209"/>
        <v>#VALUE!</v>
      </c>
    </row>
    <row r="2033" spans="55:66" x14ac:dyDescent="0.2">
      <c r="BC2033" s="21" t="e" vm="1">
        <v>#REF!</v>
      </c>
      <c r="BD2033" t="e" vm="1">
        <v>#REF!</v>
      </c>
      <c r="BF2033" t="e" vm="2">
        <f t="shared" si="206"/>
        <v>#VALUE!</v>
      </c>
      <c r="BG2033" t="e" vm="2">
        <f t="shared" si="207"/>
        <v>#VALUE!</v>
      </c>
      <c r="BJ2033" s="21" t="e" vm="1">
        <v>#REF!</v>
      </c>
      <c r="BK2033" t="e" vm="1">
        <v>#REF!</v>
      </c>
      <c r="BM2033" t="e" vm="2">
        <f t="shared" si="208"/>
        <v>#VALUE!</v>
      </c>
      <c r="BN2033" t="e" vm="2">
        <f t="shared" si="209"/>
        <v>#VALUE!</v>
      </c>
    </row>
    <row r="2034" spans="55:66" x14ac:dyDescent="0.2">
      <c r="BC2034" s="21" t="e" vm="1">
        <v>#REF!</v>
      </c>
      <c r="BD2034" t="e" vm="1">
        <v>#REF!</v>
      </c>
      <c r="BF2034" t="e" vm="2">
        <f t="shared" si="206"/>
        <v>#VALUE!</v>
      </c>
      <c r="BG2034" t="e" vm="2">
        <f t="shared" si="207"/>
        <v>#VALUE!</v>
      </c>
      <c r="BJ2034" s="21" t="e" vm="1">
        <v>#REF!</v>
      </c>
      <c r="BK2034" t="e" vm="1">
        <v>#REF!</v>
      </c>
      <c r="BM2034" t="e" vm="2">
        <f t="shared" si="208"/>
        <v>#VALUE!</v>
      </c>
      <c r="BN2034" t="e" vm="2">
        <f t="shared" si="209"/>
        <v>#VALUE!</v>
      </c>
    </row>
    <row r="2035" spans="55:66" x14ac:dyDescent="0.2">
      <c r="BC2035" s="21" t="e" vm="1">
        <v>#REF!</v>
      </c>
      <c r="BD2035" t="e" vm="1">
        <v>#REF!</v>
      </c>
      <c r="BF2035" t="e" vm="2">
        <f t="shared" si="206"/>
        <v>#VALUE!</v>
      </c>
      <c r="BG2035" t="e" vm="2">
        <f t="shared" si="207"/>
        <v>#VALUE!</v>
      </c>
      <c r="BJ2035" s="21" t="e" vm="1">
        <v>#REF!</v>
      </c>
      <c r="BK2035" t="e" vm="1">
        <v>#REF!</v>
      </c>
      <c r="BM2035" t="e" vm="2">
        <f t="shared" si="208"/>
        <v>#VALUE!</v>
      </c>
      <c r="BN2035" t="e" vm="2">
        <f t="shared" si="209"/>
        <v>#VALUE!</v>
      </c>
    </row>
    <row r="2036" spans="55:66" x14ac:dyDescent="0.2">
      <c r="BC2036" s="21" t="e" vm="1">
        <v>#REF!</v>
      </c>
      <c r="BD2036" t="e" vm="1">
        <v>#REF!</v>
      </c>
      <c r="BF2036" t="e" vm="2">
        <f t="shared" si="206"/>
        <v>#VALUE!</v>
      </c>
      <c r="BG2036" t="e" vm="2">
        <f t="shared" si="207"/>
        <v>#VALUE!</v>
      </c>
      <c r="BJ2036" s="21" t="e" vm="1">
        <v>#REF!</v>
      </c>
      <c r="BK2036" t="e" vm="1">
        <v>#REF!</v>
      </c>
      <c r="BM2036" t="e" vm="2">
        <f t="shared" si="208"/>
        <v>#VALUE!</v>
      </c>
      <c r="BN2036" t="e" vm="2">
        <f t="shared" si="209"/>
        <v>#VALUE!</v>
      </c>
    </row>
    <row r="2037" spans="55:66" x14ac:dyDescent="0.2">
      <c r="BC2037" s="21" t="e" vm="1">
        <v>#REF!</v>
      </c>
      <c r="BD2037" t="e" vm="1">
        <v>#REF!</v>
      </c>
      <c r="BF2037" t="e" vm="2">
        <f t="shared" si="206"/>
        <v>#VALUE!</v>
      </c>
      <c r="BG2037" t="e" vm="2">
        <f t="shared" si="207"/>
        <v>#VALUE!</v>
      </c>
      <c r="BJ2037" s="21" t="e" vm="1">
        <v>#REF!</v>
      </c>
      <c r="BK2037" t="e" vm="1">
        <v>#REF!</v>
      </c>
      <c r="BM2037" t="e" vm="2">
        <f t="shared" si="208"/>
        <v>#VALUE!</v>
      </c>
      <c r="BN2037" t="e" vm="2">
        <f t="shared" si="209"/>
        <v>#VALUE!</v>
      </c>
    </row>
    <row r="2038" spans="55:66" x14ac:dyDescent="0.2">
      <c r="BC2038" s="21" t="e" vm="1">
        <v>#REF!</v>
      </c>
      <c r="BD2038" t="e" vm="1">
        <v>#REF!</v>
      </c>
      <c r="BF2038" t="e" vm="2">
        <f t="shared" si="206"/>
        <v>#VALUE!</v>
      </c>
      <c r="BG2038" t="e" vm="2">
        <f t="shared" si="207"/>
        <v>#VALUE!</v>
      </c>
      <c r="BJ2038" s="21" t="e" vm="1">
        <v>#REF!</v>
      </c>
      <c r="BK2038" t="e" vm="1">
        <v>#REF!</v>
      </c>
      <c r="BM2038" t="e" vm="2">
        <f t="shared" si="208"/>
        <v>#VALUE!</v>
      </c>
      <c r="BN2038" t="e" vm="2">
        <f t="shared" si="209"/>
        <v>#VALUE!</v>
      </c>
    </row>
    <row r="2039" spans="55:66" x14ac:dyDescent="0.2">
      <c r="BC2039" s="21" t="e" vm="1">
        <v>#REF!</v>
      </c>
      <c r="BD2039" t="e" vm="1">
        <v>#REF!</v>
      </c>
      <c r="BF2039" t="e" vm="2">
        <f t="shared" si="206"/>
        <v>#VALUE!</v>
      </c>
      <c r="BG2039" t="e" vm="2">
        <f t="shared" si="207"/>
        <v>#VALUE!</v>
      </c>
      <c r="BJ2039" s="21" t="e" vm="1">
        <v>#REF!</v>
      </c>
      <c r="BK2039" t="e" vm="1">
        <v>#REF!</v>
      </c>
      <c r="BM2039" t="e" vm="2">
        <f t="shared" si="208"/>
        <v>#VALUE!</v>
      </c>
      <c r="BN2039" t="e" vm="2">
        <f t="shared" si="209"/>
        <v>#VALUE!</v>
      </c>
    </row>
    <row r="2040" spans="55:66" x14ac:dyDescent="0.2">
      <c r="BC2040" s="21" t="e" vm="1">
        <v>#REF!</v>
      </c>
      <c r="BD2040" t="e" vm="1">
        <v>#REF!</v>
      </c>
      <c r="BF2040" t="e" vm="2">
        <f t="shared" si="206"/>
        <v>#VALUE!</v>
      </c>
      <c r="BG2040" t="e" vm="2">
        <f t="shared" si="207"/>
        <v>#VALUE!</v>
      </c>
      <c r="BJ2040" s="21" t="e" vm="1">
        <v>#REF!</v>
      </c>
      <c r="BK2040" t="e" vm="1">
        <v>#REF!</v>
      </c>
      <c r="BM2040" t="e" vm="2">
        <f t="shared" si="208"/>
        <v>#VALUE!</v>
      </c>
      <c r="BN2040" t="e" vm="2">
        <f t="shared" si="209"/>
        <v>#VALUE!</v>
      </c>
    </row>
    <row r="2041" spans="55:66" x14ac:dyDescent="0.2">
      <c r="BC2041" s="21" t="e" vm="1">
        <v>#REF!</v>
      </c>
      <c r="BD2041" t="e" vm="1">
        <v>#REF!</v>
      </c>
      <c r="BF2041" t="e" vm="2">
        <f t="shared" si="206"/>
        <v>#VALUE!</v>
      </c>
      <c r="BG2041" t="e" vm="2">
        <f t="shared" si="207"/>
        <v>#VALUE!</v>
      </c>
      <c r="BJ2041" s="21" t="e" vm="1">
        <v>#REF!</v>
      </c>
      <c r="BK2041" t="e" vm="1">
        <v>#REF!</v>
      </c>
      <c r="BM2041" t="e" vm="2">
        <f t="shared" si="208"/>
        <v>#VALUE!</v>
      </c>
      <c r="BN2041" t="e" vm="2">
        <f t="shared" si="209"/>
        <v>#VALUE!</v>
      </c>
    </row>
    <row r="2042" spans="55:66" x14ac:dyDescent="0.2">
      <c r="BC2042" s="21" t="e" vm="1">
        <v>#REF!</v>
      </c>
      <c r="BD2042" t="e" vm="1">
        <v>#REF!</v>
      </c>
      <c r="BF2042" t="e" vm="2">
        <f t="shared" si="206"/>
        <v>#VALUE!</v>
      </c>
      <c r="BG2042" t="e" vm="2">
        <f t="shared" si="207"/>
        <v>#VALUE!</v>
      </c>
      <c r="BJ2042" s="21" t="e" vm="1">
        <v>#REF!</v>
      </c>
      <c r="BK2042" t="e" vm="1">
        <v>#REF!</v>
      </c>
      <c r="BM2042" t="e" vm="2">
        <f t="shared" si="208"/>
        <v>#VALUE!</v>
      </c>
      <c r="BN2042" t="e" vm="2">
        <f t="shared" si="209"/>
        <v>#VALUE!</v>
      </c>
    </row>
    <row r="2043" spans="55:66" x14ac:dyDescent="0.2">
      <c r="BC2043" s="21" t="e" vm="1">
        <v>#REF!</v>
      </c>
      <c r="BD2043" t="e" vm="1">
        <v>#REF!</v>
      </c>
      <c r="BF2043" t="e" vm="2">
        <f t="shared" si="206"/>
        <v>#VALUE!</v>
      </c>
      <c r="BG2043" t="e" vm="2">
        <f t="shared" si="207"/>
        <v>#VALUE!</v>
      </c>
      <c r="BJ2043" s="21" t="e" vm="1">
        <v>#REF!</v>
      </c>
      <c r="BK2043" t="e" vm="1">
        <v>#REF!</v>
      </c>
      <c r="BM2043" t="e" vm="2">
        <f t="shared" si="208"/>
        <v>#VALUE!</v>
      </c>
      <c r="BN2043" t="e" vm="2">
        <f t="shared" si="209"/>
        <v>#VALUE!</v>
      </c>
    </row>
    <row r="2044" spans="55:66" x14ac:dyDescent="0.2">
      <c r="BC2044" s="21" t="e" vm="1">
        <v>#REF!</v>
      </c>
      <c r="BD2044" t="e" vm="1">
        <v>#REF!</v>
      </c>
      <c r="BF2044" t="e" vm="2">
        <f t="shared" si="206"/>
        <v>#VALUE!</v>
      </c>
      <c r="BG2044" t="e" vm="2">
        <f t="shared" si="207"/>
        <v>#VALUE!</v>
      </c>
      <c r="BJ2044" s="21" t="e" vm="1">
        <v>#REF!</v>
      </c>
      <c r="BK2044" t="e" vm="1">
        <v>#REF!</v>
      </c>
      <c r="BM2044" t="e" vm="2">
        <f t="shared" si="208"/>
        <v>#VALUE!</v>
      </c>
      <c r="BN2044" t="e" vm="2">
        <f t="shared" si="209"/>
        <v>#VALUE!</v>
      </c>
    </row>
    <row r="2045" spans="55:66" x14ac:dyDescent="0.2">
      <c r="BC2045" s="21" t="e" vm="1">
        <v>#REF!</v>
      </c>
      <c r="BD2045" t="e" vm="1">
        <v>#REF!</v>
      </c>
      <c r="BF2045" t="e" vm="2">
        <f t="shared" si="206"/>
        <v>#VALUE!</v>
      </c>
      <c r="BG2045" t="e" vm="2">
        <f t="shared" si="207"/>
        <v>#VALUE!</v>
      </c>
      <c r="BJ2045" s="21" t="e" vm="1">
        <v>#REF!</v>
      </c>
      <c r="BK2045" t="e" vm="1">
        <v>#REF!</v>
      </c>
      <c r="BM2045" t="e" vm="2">
        <f t="shared" si="208"/>
        <v>#VALUE!</v>
      </c>
      <c r="BN2045" t="e" vm="2">
        <f t="shared" si="209"/>
        <v>#VALUE!</v>
      </c>
    </row>
    <row r="2046" spans="55:66" x14ac:dyDescent="0.2">
      <c r="BC2046" s="21" t="e" vm="1">
        <v>#REF!</v>
      </c>
      <c r="BD2046" t="e" vm="1">
        <v>#REF!</v>
      </c>
      <c r="BF2046" t="e" vm="2">
        <f t="shared" si="206"/>
        <v>#VALUE!</v>
      </c>
      <c r="BG2046" t="e" vm="2">
        <f t="shared" si="207"/>
        <v>#VALUE!</v>
      </c>
      <c r="BJ2046" s="21" t="e" vm="1">
        <v>#REF!</v>
      </c>
      <c r="BK2046" t="e" vm="1">
        <v>#REF!</v>
      </c>
      <c r="BM2046" t="e" vm="2">
        <f t="shared" si="208"/>
        <v>#VALUE!</v>
      </c>
      <c r="BN2046" t="e" vm="2">
        <f t="shared" si="209"/>
        <v>#VALUE!</v>
      </c>
    </row>
    <row r="2047" spans="55:66" x14ac:dyDescent="0.2">
      <c r="BC2047" s="21" t="e" vm="1">
        <v>#REF!</v>
      </c>
      <c r="BD2047" t="e" vm="1">
        <v>#REF!</v>
      </c>
      <c r="BF2047" t="e" vm="2">
        <f t="shared" si="206"/>
        <v>#VALUE!</v>
      </c>
      <c r="BG2047" t="e" vm="2">
        <f t="shared" si="207"/>
        <v>#VALUE!</v>
      </c>
      <c r="BJ2047" s="21" t="e" vm="1">
        <v>#REF!</v>
      </c>
      <c r="BK2047" t="e" vm="1">
        <v>#REF!</v>
      </c>
      <c r="BM2047" t="e" vm="2">
        <f t="shared" si="208"/>
        <v>#VALUE!</v>
      </c>
      <c r="BN2047" t="e" vm="2">
        <f t="shared" si="209"/>
        <v>#VALUE!</v>
      </c>
    </row>
    <row r="2048" spans="55:66" x14ac:dyDescent="0.2">
      <c r="BC2048" s="21" t="e" vm="1">
        <v>#REF!</v>
      </c>
      <c r="BD2048" t="e" vm="1">
        <v>#REF!</v>
      </c>
      <c r="BF2048" t="e" vm="2">
        <f t="shared" si="206"/>
        <v>#VALUE!</v>
      </c>
      <c r="BG2048" t="e" vm="2">
        <f t="shared" si="207"/>
        <v>#VALUE!</v>
      </c>
      <c r="BJ2048" s="21" t="e" vm="1">
        <v>#REF!</v>
      </c>
      <c r="BK2048" t="e" vm="1">
        <v>#REF!</v>
      </c>
      <c r="BM2048" t="e" vm="2">
        <f t="shared" si="208"/>
        <v>#VALUE!</v>
      </c>
      <c r="BN2048" t="e" vm="2">
        <f t="shared" si="209"/>
        <v>#VALUE!</v>
      </c>
    </row>
    <row r="2049" spans="55:66" x14ac:dyDescent="0.2">
      <c r="BC2049" s="21" t="e" vm="1">
        <v>#REF!</v>
      </c>
      <c r="BD2049" t="e" vm="1">
        <v>#REF!</v>
      </c>
      <c r="BF2049" t="e" vm="2">
        <f t="shared" si="206"/>
        <v>#VALUE!</v>
      </c>
      <c r="BG2049" t="e" vm="2">
        <f t="shared" si="207"/>
        <v>#VALUE!</v>
      </c>
      <c r="BJ2049" s="21" t="e" vm="1">
        <v>#REF!</v>
      </c>
      <c r="BK2049" t="e" vm="1">
        <v>#REF!</v>
      </c>
      <c r="BM2049" t="e" vm="2">
        <f t="shared" si="208"/>
        <v>#VALUE!</v>
      </c>
      <c r="BN2049" t="e" vm="2">
        <f t="shared" si="209"/>
        <v>#VALUE!</v>
      </c>
    </row>
    <row r="2050" spans="55:66" x14ac:dyDescent="0.2">
      <c r="BC2050" s="21" t="e" vm="1">
        <v>#REF!</v>
      </c>
      <c r="BD2050" t="e" vm="1">
        <v>#REF!</v>
      </c>
      <c r="BF2050" t="e" vm="2">
        <f t="shared" si="206"/>
        <v>#VALUE!</v>
      </c>
      <c r="BG2050" t="e" vm="2">
        <f t="shared" si="207"/>
        <v>#VALUE!</v>
      </c>
      <c r="BJ2050" s="21" t="e" vm="1">
        <v>#REF!</v>
      </c>
      <c r="BK2050" t="e" vm="1">
        <v>#REF!</v>
      </c>
      <c r="BM2050" t="e" vm="2">
        <f t="shared" si="208"/>
        <v>#VALUE!</v>
      </c>
      <c r="BN2050" t="e" vm="2">
        <f t="shared" si="209"/>
        <v>#VALUE!</v>
      </c>
    </row>
    <row r="2051" spans="55:66" x14ac:dyDescent="0.2">
      <c r="BC2051" s="21" t="e" vm="1">
        <v>#REF!</v>
      </c>
      <c r="BD2051" t="e" vm="1">
        <v>#REF!</v>
      </c>
      <c r="BF2051" t="e" vm="2">
        <f t="shared" ref="BF2051:BF2114" si="210">MONTH(BC2051)</f>
        <v>#VALUE!</v>
      </c>
      <c r="BG2051" t="e" vm="2">
        <f t="shared" ref="BG2051:BG2114" si="211">YEAR(BC2051)</f>
        <v>#VALUE!</v>
      </c>
      <c r="BJ2051" s="21" t="e" vm="1">
        <v>#REF!</v>
      </c>
      <c r="BK2051" t="e" vm="1">
        <v>#REF!</v>
      </c>
      <c r="BM2051" t="e" vm="2">
        <f t="shared" si="208"/>
        <v>#VALUE!</v>
      </c>
      <c r="BN2051" t="e" vm="2">
        <f t="shared" si="209"/>
        <v>#VALUE!</v>
      </c>
    </row>
    <row r="2052" spans="55:66" x14ac:dyDescent="0.2">
      <c r="BC2052" s="21" t="e" vm="1">
        <v>#REF!</v>
      </c>
      <c r="BD2052" t="e" vm="1">
        <v>#REF!</v>
      </c>
      <c r="BF2052" t="e" vm="2">
        <f t="shared" si="210"/>
        <v>#VALUE!</v>
      </c>
      <c r="BG2052" t="e" vm="2">
        <f t="shared" si="211"/>
        <v>#VALUE!</v>
      </c>
      <c r="BJ2052" s="21" t="e" vm="1">
        <v>#REF!</v>
      </c>
      <c r="BK2052" t="e" vm="1">
        <v>#REF!</v>
      </c>
      <c r="BM2052" t="e" vm="2">
        <f t="shared" ref="BM2052:BM2115" si="212">MONTH(BJ2052)</f>
        <v>#VALUE!</v>
      </c>
      <c r="BN2052" t="e" vm="2">
        <f t="shared" ref="BN2052:BN2115" si="213">YEAR(BJ2052)</f>
        <v>#VALUE!</v>
      </c>
    </row>
    <row r="2053" spans="55:66" x14ac:dyDescent="0.2">
      <c r="BC2053" s="21" t="e" vm="1">
        <v>#REF!</v>
      </c>
      <c r="BD2053" t="e" vm="1">
        <v>#REF!</v>
      </c>
      <c r="BF2053" t="e" vm="2">
        <f t="shared" si="210"/>
        <v>#VALUE!</v>
      </c>
      <c r="BG2053" t="e" vm="2">
        <f t="shared" si="211"/>
        <v>#VALUE!</v>
      </c>
      <c r="BJ2053" s="21" t="e" vm="1">
        <v>#REF!</v>
      </c>
      <c r="BK2053" t="e" vm="1">
        <v>#REF!</v>
      </c>
      <c r="BM2053" t="e" vm="2">
        <f t="shared" si="212"/>
        <v>#VALUE!</v>
      </c>
      <c r="BN2053" t="e" vm="2">
        <f t="shared" si="213"/>
        <v>#VALUE!</v>
      </c>
    </row>
    <row r="2054" spans="55:66" x14ac:dyDescent="0.2">
      <c r="BC2054" s="21" t="e" vm="1">
        <v>#REF!</v>
      </c>
      <c r="BD2054" t="e" vm="1">
        <v>#REF!</v>
      </c>
      <c r="BF2054" t="e" vm="2">
        <f t="shared" si="210"/>
        <v>#VALUE!</v>
      </c>
      <c r="BG2054" t="e" vm="2">
        <f t="shared" si="211"/>
        <v>#VALUE!</v>
      </c>
      <c r="BJ2054" s="21" t="e" vm="1">
        <v>#REF!</v>
      </c>
      <c r="BK2054" t="e" vm="1">
        <v>#REF!</v>
      </c>
      <c r="BM2054" t="e" vm="2">
        <f t="shared" si="212"/>
        <v>#VALUE!</v>
      </c>
      <c r="BN2054" t="e" vm="2">
        <f t="shared" si="213"/>
        <v>#VALUE!</v>
      </c>
    </row>
    <row r="2055" spans="55:66" x14ac:dyDescent="0.2">
      <c r="BC2055" s="21" t="e" vm="1">
        <v>#REF!</v>
      </c>
      <c r="BD2055" t="e" vm="1">
        <v>#REF!</v>
      </c>
      <c r="BF2055" t="e" vm="2">
        <f t="shared" si="210"/>
        <v>#VALUE!</v>
      </c>
      <c r="BG2055" t="e" vm="2">
        <f t="shared" si="211"/>
        <v>#VALUE!</v>
      </c>
      <c r="BJ2055" s="21" t="e" vm="1">
        <v>#REF!</v>
      </c>
      <c r="BK2055" t="e" vm="1">
        <v>#REF!</v>
      </c>
      <c r="BM2055" t="e" vm="2">
        <f t="shared" si="212"/>
        <v>#VALUE!</v>
      </c>
      <c r="BN2055" t="e" vm="2">
        <f t="shared" si="213"/>
        <v>#VALUE!</v>
      </c>
    </row>
    <row r="2056" spans="55:66" x14ac:dyDescent="0.2">
      <c r="BC2056" s="21" t="e" vm="1">
        <v>#REF!</v>
      </c>
      <c r="BD2056" t="e" vm="1">
        <v>#REF!</v>
      </c>
      <c r="BF2056" t="e" vm="2">
        <f t="shared" si="210"/>
        <v>#VALUE!</v>
      </c>
      <c r="BG2056" t="e" vm="2">
        <f t="shared" si="211"/>
        <v>#VALUE!</v>
      </c>
      <c r="BJ2056" s="21" t="e" vm="1">
        <v>#REF!</v>
      </c>
      <c r="BK2056" t="e" vm="1">
        <v>#REF!</v>
      </c>
      <c r="BM2056" t="e" vm="2">
        <f t="shared" si="212"/>
        <v>#VALUE!</v>
      </c>
      <c r="BN2056" t="e" vm="2">
        <f t="shared" si="213"/>
        <v>#VALUE!</v>
      </c>
    </row>
    <row r="2057" spans="55:66" x14ac:dyDescent="0.2">
      <c r="BC2057" s="21" t="e" vm="1">
        <v>#REF!</v>
      </c>
      <c r="BD2057" t="e" vm="1">
        <v>#REF!</v>
      </c>
      <c r="BF2057" t="e" vm="2">
        <f t="shared" si="210"/>
        <v>#VALUE!</v>
      </c>
      <c r="BG2057" t="e" vm="2">
        <f t="shared" si="211"/>
        <v>#VALUE!</v>
      </c>
      <c r="BJ2057" s="21" t="e" vm="1">
        <v>#REF!</v>
      </c>
      <c r="BK2057" t="e" vm="1">
        <v>#REF!</v>
      </c>
      <c r="BM2057" t="e" vm="2">
        <f t="shared" si="212"/>
        <v>#VALUE!</v>
      </c>
      <c r="BN2057" t="e" vm="2">
        <f t="shared" si="213"/>
        <v>#VALUE!</v>
      </c>
    </row>
    <row r="2058" spans="55:66" x14ac:dyDescent="0.2">
      <c r="BC2058" s="21" t="e" vm="1">
        <v>#REF!</v>
      </c>
      <c r="BD2058" t="e" vm="1">
        <v>#REF!</v>
      </c>
      <c r="BF2058" t="e" vm="2">
        <f t="shared" si="210"/>
        <v>#VALUE!</v>
      </c>
      <c r="BG2058" t="e" vm="2">
        <f t="shared" si="211"/>
        <v>#VALUE!</v>
      </c>
      <c r="BJ2058" s="21" t="e" vm="1">
        <v>#REF!</v>
      </c>
      <c r="BK2058" t="e" vm="1">
        <v>#REF!</v>
      </c>
      <c r="BM2058" t="e" vm="2">
        <f t="shared" si="212"/>
        <v>#VALUE!</v>
      </c>
      <c r="BN2058" t="e" vm="2">
        <f t="shared" si="213"/>
        <v>#VALUE!</v>
      </c>
    </row>
    <row r="2059" spans="55:66" x14ac:dyDescent="0.2">
      <c r="BC2059" s="21" t="e" vm="1">
        <v>#REF!</v>
      </c>
      <c r="BD2059" t="e" vm="1">
        <v>#REF!</v>
      </c>
      <c r="BF2059" t="e" vm="2">
        <f t="shared" si="210"/>
        <v>#VALUE!</v>
      </c>
      <c r="BG2059" t="e" vm="2">
        <f t="shared" si="211"/>
        <v>#VALUE!</v>
      </c>
      <c r="BJ2059" s="21" t="e" vm="1">
        <v>#REF!</v>
      </c>
      <c r="BK2059" t="e" vm="1">
        <v>#REF!</v>
      </c>
      <c r="BM2059" t="e" vm="2">
        <f t="shared" si="212"/>
        <v>#VALUE!</v>
      </c>
      <c r="BN2059" t="e" vm="2">
        <f t="shared" si="213"/>
        <v>#VALUE!</v>
      </c>
    </row>
    <row r="2060" spans="55:66" x14ac:dyDescent="0.2">
      <c r="BC2060" s="21" t="e" vm="1">
        <v>#REF!</v>
      </c>
      <c r="BD2060" t="e" vm="1">
        <v>#REF!</v>
      </c>
      <c r="BF2060" t="e" vm="2">
        <f t="shared" si="210"/>
        <v>#VALUE!</v>
      </c>
      <c r="BG2060" t="e" vm="2">
        <f t="shared" si="211"/>
        <v>#VALUE!</v>
      </c>
      <c r="BJ2060" s="21" t="e" vm="1">
        <v>#REF!</v>
      </c>
      <c r="BK2060" t="e" vm="1">
        <v>#REF!</v>
      </c>
      <c r="BM2060" t="e" vm="2">
        <f t="shared" si="212"/>
        <v>#VALUE!</v>
      </c>
      <c r="BN2060" t="e" vm="2">
        <f t="shared" si="213"/>
        <v>#VALUE!</v>
      </c>
    </row>
    <row r="2061" spans="55:66" x14ac:dyDescent="0.2">
      <c r="BC2061" s="21" t="e" vm="1">
        <v>#REF!</v>
      </c>
      <c r="BD2061" t="e" vm="1">
        <v>#REF!</v>
      </c>
      <c r="BF2061" t="e" vm="2">
        <f t="shared" si="210"/>
        <v>#VALUE!</v>
      </c>
      <c r="BG2061" t="e" vm="2">
        <f t="shared" si="211"/>
        <v>#VALUE!</v>
      </c>
      <c r="BJ2061" s="21" t="e" vm="1">
        <v>#REF!</v>
      </c>
      <c r="BK2061" t="e" vm="1">
        <v>#REF!</v>
      </c>
      <c r="BM2061" t="e" vm="2">
        <f t="shared" si="212"/>
        <v>#VALUE!</v>
      </c>
      <c r="BN2061" t="e" vm="2">
        <f t="shared" si="213"/>
        <v>#VALUE!</v>
      </c>
    </row>
    <row r="2062" spans="55:66" x14ac:dyDescent="0.2">
      <c r="BC2062" s="21" t="e" vm="1">
        <v>#REF!</v>
      </c>
      <c r="BD2062" t="e" vm="1">
        <v>#REF!</v>
      </c>
      <c r="BF2062" t="e" vm="2">
        <f t="shared" si="210"/>
        <v>#VALUE!</v>
      </c>
      <c r="BG2062" t="e" vm="2">
        <f t="shared" si="211"/>
        <v>#VALUE!</v>
      </c>
      <c r="BJ2062" s="21" t="e" vm="1">
        <v>#REF!</v>
      </c>
      <c r="BK2062" t="e" vm="1">
        <v>#REF!</v>
      </c>
      <c r="BM2062" t="e" vm="2">
        <f t="shared" si="212"/>
        <v>#VALUE!</v>
      </c>
      <c r="BN2062" t="e" vm="2">
        <f t="shared" si="213"/>
        <v>#VALUE!</v>
      </c>
    </row>
    <row r="2063" spans="55:66" x14ac:dyDescent="0.2">
      <c r="BC2063" s="21" t="e" vm="1">
        <v>#REF!</v>
      </c>
      <c r="BD2063" t="e" vm="1">
        <v>#REF!</v>
      </c>
      <c r="BF2063" t="e" vm="2">
        <f t="shared" si="210"/>
        <v>#VALUE!</v>
      </c>
      <c r="BG2063" t="e" vm="2">
        <f t="shared" si="211"/>
        <v>#VALUE!</v>
      </c>
      <c r="BJ2063" s="21" t="e" vm="1">
        <v>#REF!</v>
      </c>
      <c r="BK2063" t="e" vm="1">
        <v>#REF!</v>
      </c>
      <c r="BM2063" t="e" vm="2">
        <f t="shared" si="212"/>
        <v>#VALUE!</v>
      </c>
      <c r="BN2063" t="e" vm="2">
        <f t="shared" si="213"/>
        <v>#VALUE!</v>
      </c>
    </row>
    <row r="2064" spans="55:66" x14ac:dyDescent="0.2">
      <c r="BC2064" s="21" t="e" vm="1">
        <v>#REF!</v>
      </c>
      <c r="BD2064" t="e" vm="1">
        <v>#REF!</v>
      </c>
      <c r="BF2064" t="e" vm="2">
        <f t="shared" si="210"/>
        <v>#VALUE!</v>
      </c>
      <c r="BG2064" t="e" vm="2">
        <f t="shared" si="211"/>
        <v>#VALUE!</v>
      </c>
      <c r="BJ2064" s="21" t="e" vm="1">
        <v>#REF!</v>
      </c>
      <c r="BK2064" t="e" vm="1">
        <v>#REF!</v>
      </c>
      <c r="BM2064" t="e" vm="2">
        <f t="shared" si="212"/>
        <v>#VALUE!</v>
      </c>
      <c r="BN2064" t="e" vm="2">
        <f t="shared" si="213"/>
        <v>#VALUE!</v>
      </c>
    </row>
    <row r="2065" spans="55:66" x14ac:dyDescent="0.2">
      <c r="BC2065" s="21" t="e" vm="1">
        <v>#REF!</v>
      </c>
      <c r="BD2065" t="e" vm="1">
        <v>#REF!</v>
      </c>
      <c r="BF2065" t="e" vm="2">
        <f t="shared" si="210"/>
        <v>#VALUE!</v>
      </c>
      <c r="BG2065" t="e" vm="2">
        <f t="shared" si="211"/>
        <v>#VALUE!</v>
      </c>
      <c r="BJ2065" s="21" t="e" vm="1">
        <v>#REF!</v>
      </c>
      <c r="BK2065" t="e" vm="1">
        <v>#REF!</v>
      </c>
      <c r="BM2065" t="e" vm="2">
        <f t="shared" si="212"/>
        <v>#VALUE!</v>
      </c>
      <c r="BN2065" t="e" vm="2">
        <f t="shared" si="213"/>
        <v>#VALUE!</v>
      </c>
    </row>
    <row r="2066" spans="55:66" x14ac:dyDescent="0.2">
      <c r="BC2066" s="21" t="e" vm="1">
        <v>#REF!</v>
      </c>
      <c r="BD2066" t="e" vm="1">
        <v>#REF!</v>
      </c>
      <c r="BF2066" t="e" vm="2">
        <f t="shared" si="210"/>
        <v>#VALUE!</v>
      </c>
      <c r="BG2066" t="e" vm="2">
        <f t="shared" si="211"/>
        <v>#VALUE!</v>
      </c>
      <c r="BJ2066" s="21" t="e" vm="1">
        <v>#REF!</v>
      </c>
      <c r="BK2066" t="e" vm="1">
        <v>#REF!</v>
      </c>
      <c r="BM2066" t="e" vm="2">
        <f t="shared" si="212"/>
        <v>#VALUE!</v>
      </c>
      <c r="BN2066" t="e" vm="2">
        <f t="shared" si="213"/>
        <v>#VALUE!</v>
      </c>
    </row>
    <row r="2067" spans="55:66" x14ac:dyDescent="0.2">
      <c r="BC2067" s="21" t="e" vm="1">
        <v>#REF!</v>
      </c>
      <c r="BD2067" t="e" vm="1">
        <v>#REF!</v>
      </c>
      <c r="BF2067" t="e" vm="2">
        <f t="shared" si="210"/>
        <v>#VALUE!</v>
      </c>
      <c r="BG2067" t="e" vm="2">
        <f t="shared" si="211"/>
        <v>#VALUE!</v>
      </c>
      <c r="BJ2067" s="21" t="e" vm="1">
        <v>#REF!</v>
      </c>
      <c r="BK2067" t="e" vm="1">
        <v>#REF!</v>
      </c>
      <c r="BM2067" t="e" vm="2">
        <f t="shared" si="212"/>
        <v>#VALUE!</v>
      </c>
      <c r="BN2067" t="e" vm="2">
        <f t="shared" si="213"/>
        <v>#VALUE!</v>
      </c>
    </row>
    <row r="2068" spans="55:66" x14ac:dyDescent="0.2">
      <c r="BC2068" s="21" t="e" vm="1">
        <v>#REF!</v>
      </c>
      <c r="BD2068" t="e" vm="1">
        <v>#REF!</v>
      </c>
      <c r="BF2068" t="e" vm="2">
        <f t="shared" si="210"/>
        <v>#VALUE!</v>
      </c>
      <c r="BG2068" t="e" vm="2">
        <f t="shared" si="211"/>
        <v>#VALUE!</v>
      </c>
      <c r="BJ2068" s="21" t="e" vm="1">
        <v>#REF!</v>
      </c>
      <c r="BK2068" t="e" vm="1">
        <v>#REF!</v>
      </c>
      <c r="BM2068" t="e" vm="2">
        <f t="shared" si="212"/>
        <v>#VALUE!</v>
      </c>
      <c r="BN2068" t="e" vm="2">
        <f t="shared" si="213"/>
        <v>#VALUE!</v>
      </c>
    </row>
    <row r="2069" spans="55:66" x14ac:dyDescent="0.2">
      <c r="BC2069" s="21" t="e" vm="1">
        <v>#REF!</v>
      </c>
      <c r="BD2069" t="e" vm="1">
        <v>#REF!</v>
      </c>
      <c r="BF2069" t="e" vm="2">
        <f t="shared" si="210"/>
        <v>#VALUE!</v>
      </c>
      <c r="BG2069" t="e" vm="2">
        <f t="shared" si="211"/>
        <v>#VALUE!</v>
      </c>
      <c r="BJ2069" s="21" t="e" vm="1">
        <v>#REF!</v>
      </c>
      <c r="BK2069" t="e" vm="1">
        <v>#REF!</v>
      </c>
      <c r="BM2069" t="e" vm="2">
        <f t="shared" si="212"/>
        <v>#VALUE!</v>
      </c>
      <c r="BN2069" t="e" vm="2">
        <f t="shared" si="213"/>
        <v>#VALUE!</v>
      </c>
    </row>
    <row r="2070" spans="55:66" x14ac:dyDescent="0.2">
      <c r="BC2070" s="21" t="e" vm="1">
        <v>#REF!</v>
      </c>
      <c r="BD2070" t="e" vm="1">
        <v>#REF!</v>
      </c>
      <c r="BF2070" t="e" vm="2">
        <f t="shared" si="210"/>
        <v>#VALUE!</v>
      </c>
      <c r="BG2070" t="e" vm="2">
        <f t="shared" si="211"/>
        <v>#VALUE!</v>
      </c>
      <c r="BJ2070" s="21" t="e" vm="1">
        <v>#REF!</v>
      </c>
      <c r="BK2070" t="e" vm="1">
        <v>#REF!</v>
      </c>
      <c r="BM2070" t="e" vm="2">
        <f t="shared" si="212"/>
        <v>#VALUE!</v>
      </c>
      <c r="BN2070" t="e" vm="2">
        <f t="shared" si="213"/>
        <v>#VALUE!</v>
      </c>
    </row>
    <row r="2071" spans="55:66" x14ac:dyDescent="0.2">
      <c r="BC2071" s="21" t="e" vm="1">
        <v>#REF!</v>
      </c>
      <c r="BD2071" t="e" vm="1">
        <v>#REF!</v>
      </c>
      <c r="BF2071" t="e" vm="2">
        <f t="shared" si="210"/>
        <v>#VALUE!</v>
      </c>
      <c r="BG2071" t="e" vm="2">
        <f t="shared" si="211"/>
        <v>#VALUE!</v>
      </c>
      <c r="BJ2071" s="21" t="e" vm="1">
        <v>#REF!</v>
      </c>
      <c r="BK2071" t="e" vm="1">
        <v>#REF!</v>
      </c>
      <c r="BM2071" t="e" vm="2">
        <f t="shared" si="212"/>
        <v>#VALUE!</v>
      </c>
      <c r="BN2071" t="e" vm="2">
        <f t="shared" si="213"/>
        <v>#VALUE!</v>
      </c>
    </row>
    <row r="2072" spans="55:66" x14ac:dyDescent="0.2">
      <c r="BC2072" s="21" t="e" vm="1">
        <v>#REF!</v>
      </c>
      <c r="BD2072" t="e" vm="1">
        <v>#REF!</v>
      </c>
      <c r="BF2072" t="e" vm="2">
        <f t="shared" si="210"/>
        <v>#VALUE!</v>
      </c>
      <c r="BG2072" t="e" vm="2">
        <f t="shared" si="211"/>
        <v>#VALUE!</v>
      </c>
      <c r="BJ2072" s="21" t="e" vm="1">
        <v>#REF!</v>
      </c>
      <c r="BK2072" t="e" vm="1">
        <v>#REF!</v>
      </c>
      <c r="BM2072" t="e" vm="2">
        <f t="shared" si="212"/>
        <v>#VALUE!</v>
      </c>
      <c r="BN2072" t="e" vm="2">
        <f t="shared" si="213"/>
        <v>#VALUE!</v>
      </c>
    </row>
    <row r="2073" spans="55:66" x14ac:dyDescent="0.2">
      <c r="BC2073" s="21" t="e" vm="1">
        <v>#REF!</v>
      </c>
      <c r="BD2073" t="e" vm="1">
        <v>#REF!</v>
      </c>
      <c r="BF2073" t="e" vm="2">
        <f t="shared" si="210"/>
        <v>#VALUE!</v>
      </c>
      <c r="BG2073" t="e" vm="2">
        <f t="shared" si="211"/>
        <v>#VALUE!</v>
      </c>
      <c r="BJ2073" s="21" t="e" vm="1">
        <v>#REF!</v>
      </c>
      <c r="BK2073" t="e" vm="1">
        <v>#REF!</v>
      </c>
      <c r="BM2073" t="e" vm="2">
        <f t="shared" si="212"/>
        <v>#VALUE!</v>
      </c>
      <c r="BN2073" t="e" vm="2">
        <f t="shared" si="213"/>
        <v>#VALUE!</v>
      </c>
    </row>
    <row r="2074" spans="55:66" x14ac:dyDescent="0.2">
      <c r="BC2074" s="21" t="e" vm="1">
        <v>#REF!</v>
      </c>
      <c r="BD2074" t="e" vm="1">
        <v>#REF!</v>
      </c>
      <c r="BF2074" t="e" vm="2">
        <f t="shared" si="210"/>
        <v>#VALUE!</v>
      </c>
      <c r="BG2074" t="e" vm="2">
        <f t="shared" si="211"/>
        <v>#VALUE!</v>
      </c>
      <c r="BJ2074" s="21" t="e" vm="1">
        <v>#REF!</v>
      </c>
      <c r="BK2074" t="e" vm="1">
        <v>#REF!</v>
      </c>
      <c r="BM2074" t="e" vm="2">
        <f t="shared" si="212"/>
        <v>#VALUE!</v>
      </c>
      <c r="BN2074" t="e" vm="2">
        <f t="shared" si="213"/>
        <v>#VALUE!</v>
      </c>
    </row>
    <row r="2075" spans="55:66" x14ac:dyDescent="0.2">
      <c r="BC2075" s="21" t="e" vm="1">
        <v>#REF!</v>
      </c>
      <c r="BD2075" t="e" vm="1">
        <v>#REF!</v>
      </c>
      <c r="BF2075" t="e" vm="2">
        <f t="shared" si="210"/>
        <v>#VALUE!</v>
      </c>
      <c r="BG2075" t="e" vm="2">
        <f t="shared" si="211"/>
        <v>#VALUE!</v>
      </c>
      <c r="BJ2075" s="21" t="e" vm="1">
        <v>#REF!</v>
      </c>
      <c r="BK2075" t="e" vm="1">
        <v>#REF!</v>
      </c>
      <c r="BM2075" t="e" vm="2">
        <f t="shared" si="212"/>
        <v>#VALUE!</v>
      </c>
      <c r="BN2075" t="e" vm="2">
        <f t="shared" si="213"/>
        <v>#VALUE!</v>
      </c>
    </row>
    <row r="2076" spans="55:66" x14ac:dyDescent="0.2">
      <c r="BC2076" s="21" t="e" vm="1">
        <v>#REF!</v>
      </c>
      <c r="BD2076" t="e" vm="1">
        <v>#REF!</v>
      </c>
      <c r="BF2076" t="e" vm="2">
        <f t="shared" si="210"/>
        <v>#VALUE!</v>
      </c>
      <c r="BG2076" t="e" vm="2">
        <f t="shared" si="211"/>
        <v>#VALUE!</v>
      </c>
      <c r="BJ2076" s="21" t="e" vm="1">
        <v>#REF!</v>
      </c>
      <c r="BK2076" t="e" vm="1">
        <v>#REF!</v>
      </c>
      <c r="BM2076" t="e" vm="2">
        <f t="shared" si="212"/>
        <v>#VALUE!</v>
      </c>
      <c r="BN2076" t="e" vm="2">
        <f t="shared" si="213"/>
        <v>#VALUE!</v>
      </c>
    </row>
    <row r="2077" spans="55:66" x14ac:dyDescent="0.2">
      <c r="BC2077" s="21" t="e" vm="1">
        <v>#REF!</v>
      </c>
      <c r="BD2077" t="e" vm="1">
        <v>#REF!</v>
      </c>
      <c r="BF2077" t="e" vm="2">
        <f t="shared" si="210"/>
        <v>#VALUE!</v>
      </c>
      <c r="BG2077" t="e" vm="2">
        <f t="shared" si="211"/>
        <v>#VALUE!</v>
      </c>
      <c r="BJ2077" s="21" t="e" vm="1">
        <v>#REF!</v>
      </c>
      <c r="BK2077" t="e" vm="1">
        <v>#REF!</v>
      </c>
      <c r="BM2077" t="e" vm="2">
        <f t="shared" si="212"/>
        <v>#VALUE!</v>
      </c>
      <c r="BN2077" t="e" vm="2">
        <f t="shared" si="213"/>
        <v>#VALUE!</v>
      </c>
    </row>
    <row r="2078" spans="55:66" x14ac:dyDescent="0.2">
      <c r="BC2078" s="21" t="e" vm="1">
        <v>#REF!</v>
      </c>
      <c r="BD2078" t="e" vm="1">
        <v>#REF!</v>
      </c>
      <c r="BF2078" t="e" vm="2">
        <f t="shared" si="210"/>
        <v>#VALUE!</v>
      </c>
      <c r="BG2078" t="e" vm="2">
        <f t="shared" si="211"/>
        <v>#VALUE!</v>
      </c>
      <c r="BJ2078" s="21" t="e" vm="1">
        <v>#REF!</v>
      </c>
      <c r="BK2078" t="e" vm="1">
        <v>#REF!</v>
      </c>
      <c r="BM2078" t="e" vm="2">
        <f t="shared" si="212"/>
        <v>#VALUE!</v>
      </c>
      <c r="BN2078" t="e" vm="2">
        <f t="shared" si="213"/>
        <v>#VALUE!</v>
      </c>
    </row>
    <row r="2079" spans="55:66" x14ac:dyDescent="0.2">
      <c r="BC2079" s="21" t="e" vm="1">
        <v>#REF!</v>
      </c>
      <c r="BD2079" t="e" vm="1">
        <v>#REF!</v>
      </c>
      <c r="BF2079" t="e" vm="2">
        <f t="shared" si="210"/>
        <v>#VALUE!</v>
      </c>
      <c r="BG2079" t="e" vm="2">
        <f t="shared" si="211"/>
        <v>#VALUE!</v>
      </c>
      <c r="BJ2079" s="21" t="e" vm="1">
        <v>#REF!</v>
      </c>
      <c r="BK2079" t="e" vm="1">
        <v>#REF!</v>
      </c>
      <c r="BM2079" t="e" vm="2">
        <f t="shared" si="212"/>
        <v>#VALUE!</v>
      </c>
      <c r="BN2079" t="e" vm="2">
        <f t="shared" si="213"/>
        <v>#VALUE!</v>
      </c>
    </row>
    <row r="2080" spans="55:66" x14ac:dyDescent="0.2">
      <c r="BC2080" s="21" t="e" vm="1">
        <v>#REF!</v>
      </c>
      <c r="BD2080" t="e" vm="1">
        <v>#REF!</v>
      </c>
      <c r="BF2080" t="e" vm="2">
        <f t="shared" si="210"/>
        <v>#VALUE!</v>
      </c>
      <c r="BG2080" t="e" vm="2">
        <f t="shared" si="211"/>
        <v>#VALUE!</v>
      </c>
      <c r="BJ2080" s="21" t="e" vm="1">
        <v>#REF!</v>
      </c>
      <c r="BK2080" t="e" vm="1">
        <v>#REF!</v>
      </c>
      <c r="BM2080" t="e" vm="2">
        <f t="shared" si="212"/>
        <v>#VALUE!</v>
      </c>
      <c r="BN2080" t="e" vm="2">
        <f t="shared" si="213"/>
        <v>#VALUE!</v>
      </c>
    </row>
    <row r="2081" spans="55:66" x14ac:dyDescent="0.2">
      <c r="BC2081" s="21" t="e" vm="1">
        <v>#REF!</v>
      </c>
      <c r="BD2081" t="e" vm="1">
        <v>#REF!</v>
      </c>
      <c r="BF2081" t="e" vm="2">
        <f t="shared" si="210"/>
        <v>#VALUE!</v>
      </c>
      <c r="BG2081" t="e" vm="2">
        <f t="shared" si="211"/>
        <v>#VALUE!</v>
      </c>
      <c r="BJ2081" s="21" t="e" vm="1">
        <v>#REF!</v>
      </c>
      <c r="BK2081" t="e" vm="1">
        <v>#REF!</v>
      </c>
      <c r="BM2081" t="e" vm="2">
        <f t="shared" si="212"/>
        <v>#VALUE!</v>
      </c>
      <c r="BN2081" t="e" vm="2">
        <f t="shared" si="213"/>
        <v>#VALUE!</v>
      </c>
    </row>
    <row r="2082" spans="55:66" x14ac:dyDescent="0.2">
      <c r="BC2082" s="21" t="e" vm="1">
        <v>#REF!</v>
      </c>
      <c r="BD2082" t="e" vm="1">
        <v>#REF!</v>
      </c>
      <c r="BF2082" t="e" vm="2">
        <f t="shared" si="210"/>
        <v>#VALUE!</v>
      </c>
      <c r="BG2082" t="e" vm="2">
        <f t="shared" si="211"/>
        <v>#VALUE!</v>
      </c>
      <c r="BJ2082" s="21" t="e" vm="1">
        <v>#REF!</v>
      </c>
      <c r="BK2082" t="e" vm="1">
        <v>#REF!</v>
      </c>
      <c r="BM2082" t="e" vm="2">
        <f t="shared" si="212"/>
        <v>#VALUE!</v>
      </c>
      <c r="BN2082" t="e" vm="2">
        <f t="shared" si="213"/>
        <v>#VALUE!</v>
      </c>
    </row>
    <row r="2083" spans="55:66" x14ac:dyDescent="0.2">
      <c r="BC2083" s="21" t="e" vm="1">
        <v>#REF!</v>
      </c>
      <c r="BD2083" t="e" vm="1">
        <v>#REF!</v>
      </c>
      <c r="BF2083" t="e" vm="2">
        <f t="shared" si="210"/>
        <v>#VALUE!</v>
      </c>
      <c r="BG2083" t="e" vm="2">
        <f t="shared" si="211"/>
        <v>#VALUE!</v>
      </c>
      <c r="BJ2083" s="21" t="e" vm="1">
        <v>#REF!</v>
      </c>
      <c r="BK2083" t="e" vm="1">
        <v>#REF!</v>
      </c>
      <c r="BM2083" t="e" vm="2">
        <f t="shared" si="212"/>
        <v>#VALUE!</v>
      </c>
      <c r="BN2083" t="e" vm="2">
        <f t="shared" si="213"/>
        <v>#VALUE!</v>
      </c>
    </row>
    <row r="2084" spans="55:66" x14ac:dyDescent="0.2">
      <c r="BC2084" s="21" t="e" vm="1">
        <v>#REF!</v>
      </c>
      <c r="BD2084" t="e" vm="1">
        <v>#REF!</v>
      </c>
      <c r="BF2084" t="e" vm="2">
        <f t="shared" si="210"/>
        <v>#VALUE!</v>
      </c>
      <c r="BG2084" t="e" vm="2">
        <f t="shared" si="211"/>
        <v>#VALUE!</v>
      </c>
      <c r="BJ2084" s="21" t="e" vm="1">
        <v>#REF!</v>
      </c>
      <c r="BK2084" t="e" vm="1">
        <v>#REF!</v>
      </c>
      <c r="BM2084" t="e" vm="2">
        <f t="shared" si="212"/>
        <v>#VALUE!</v>
      </c>
      <c r="BN2084" t="e" vm="2">
        <f t="shared" si="213"/>
        <v>#VALUE!</v>
      </c>
    </row>
    <row r="2085" spans="55:66" x14ac:dyDescent="0.2">
      <c r="BC2085" s="21" t="e" vm="1">
        <v>#REF!</v>
      </c>
      <c r="BD2085" t="e" vm="1">
        <v>#REF!</v>
      </c>
      <c r="BF2085" t="e" vm="2">
        <f t="shared" si="210"/>
        <v>#VALUE!</v>
      </c>
      <c r="BG2085" t="e" vm="2">
        <f t="shared" si="211"/>
        <v>#VALUE!</v>
      </c>
      <c r="BJ2085" s="21" t="e" vm="1">
        <v>#REF!</v>
      </c>
      <c r="BK2085" t="e" vm="1">
        <v>#REF!</v>
      </c>
      <c r="BM2085" t="e" vm="2">
        <f t="shared" si="212"/>
        <v>#VALUE!</v>
      </c>
      <c r="BN2085" t="e" vm="2">
        <f t="shared" si="213"/>
        <v>#VALUE!</v>
      </c>
    </row>
    <row r="2086" spans="55:66" x14ac:dyDescent="0.2">
      <c r="BC2086" s="21" t="e" vm="1">
        <v>#REF!</v>
      </c>
      <c r="BD2086" t="e" vm="1">
        <v>#REF!</v>
      </c>
      <c r="BF2086" t="e" vm="2">
        <f t="shared" si="210"/>
        <v>#VALUE!</v>
      </c>
      <c r="BG2086" t="e" vm="2">
        <f t="shared" si="211"/>
        <v>#VALUE!</v>
      </c>
      <c r="BJ2086" s="21" t="e" vm="1">
        <v>#REF!</v>
      </c>
      <c r="BK2086" t="e" vm="1">
        <v>#REF!</v>
      </c>
      <c r="BM2086" t="e" vm="2">
        <f t="shared" si="212"/>
        <v>#VALUE!</v>
      </c>
      <c r="BN2086" t="e" vm="2">
        <f t="shared" si="213"/>
        <v>#VALUE!</v>
      </c>
    </row>
    <row r="2087" spans="55:66" x14ac:dyDescent="0.2">
      <c r="BC2087" s="21" t="e" vm="1">
        <v>#REF!</v>
      </c>
      <c r="BD2087" t="e" vm="1">
        <v>#REF!</v>
      </c>
      <c r="BF2087" t="e" vm="2">
        <f t="shared" si="210"/>
        <v>#VALUE!</v>
      </c>
      <c r="BG2087" t="e" vm="2">
        <f t="shared" si="211"/>
        <v>#VALUE!</v>
      </c>
      <c r="BJ2087" s="21" t="e" vm="1">
        <v>#REF!</v>
      </c>
      <c r="BK2087" t="e" vm="1">
        <v>#REF!</v>
      </c>
      <c r="BM2087" t="e" vm="2">
        <f t="shared" si="212"/>
        <v>#VALUE!</v>
      </c>
      <c r="BN2087" t="e" vm="2">
        <f t="shared" si="213"/>
        <v>#VALUE!</v>
      </c>
    </row>
    <row r="2088" spans="55:66" x14ac:dyDescent="0.2">
      <c r="BC2088" s="21" t="e" vm="1">
        <v>#REF!</v>
      </c>
      <c r="BD2088" t="e" vm="1">
        <v>#REF!</v>
      </c>
      <c r="BF2088" t="e" vm="2">
        <f t="shared" si="210"/>
        <v>#VALUE!</v>
      </c>
      <c r="BG2088" t="e" vm="2">
        <f t="shared" si="211"/>
        <v>#VALUE!</v>
      </c>
      <c r="BJ2088" s="21" t="e" vm="1">
        <v>#REF!</v>
      </c>
      <c r="BK2088" t="e" vm="1">
        <v>#REF!</v>
      </c>
      <c r="BM2088" t="e" vm="2">
        <f t="shared" si="212"/>
        <v>#VALUE!</v>
      </c>
      <c r="BN2088" t="e" vm="2">
        <f t="shared" si="213"/>
        <v>#VALUE!</v>
      </c>
    </row>
    <row r="2089" spans="55:66" x14ac:dyDescent="0.2">
      <c r="BC2089" s="21" t="e" vm="1">
        <v>#REF!</v>
      </c>
      <c r="BD2089" t="e" vm="1">
        <v>#REF!</v>
      </c>
      <c r="BF2089" t="e" vm="2">
        <f t="shared" si="210"/>
        <v>#VALUE!</v>
      </c>
      <c r="BG2089" t="e" vm="2">
        <f t="shared" si="211"/>
        <v>#VALUE!</v>
      </c>
      <c r="BJ2089" s="21" t="e" vm="1">
        <v>#REF!</v>
      </c>
      <c r="BK2089" t="e" vm="1">
        <v>#REF!</v>
      </c>
      <c r="BM2089" t="e" vm="2">
        <f t="shared" si="212"/>
        <v>#VALUE!</v>
      </c>
      <c r="BN2089" t="e" vm="2">
        <f t="shared" si="213"/>
        <v>#VALUE!</v>
      </c>
    </row>
    <row r="2090" spans="55:66" x14ac:dyDescent="0.2">
      <c r="BC2090" s="21" t="e" vm="1">
        <v>#REF!</v>
      </c>
      <c r="BD2090" t="e" vm="1">
        <v>#REF!</v>
      </c>
      <c r="BF2090" t="e" vm="2">
        <f t="shared" si="210"/>
        <v>#VALUE!</v>
      </c>
      <c r="BG2090" t="e" vm="2">
        <f t="shared" si="211"/>
        <v>#VALUE!</v>
      </c>
      <c r="BJ2090" s="21" t="e" vm="1">
        <v>#REF!</v>
      </c>
      <c r="BK2090" t="e" vm="1">
        <v>#REF!</v>
      </c>
      <c r="BM2090" t="e" vm="2">
        <f t="shared" si="212"/>
        <v>#VALUE!</v>
      </c>
      <c r="BN2090" t="e" vm="2">
        <f t="shared" si="213"/>
        <v>#VALUE!</v>
      </c>
    </row>
    <row r="2091" spans="55:66" x14ac:dyDescent="0.2">
      <c r="BC2091" s="21" t="e" vm="1">
        <v>#REF!</v>
      </c>
      <c r="BD2091" t="e" vm="1">
        <v>#REF!</v>
      </c>
      <c r="BF2091" t="e" vm="2">
        <f t="shared" si="210"/>
        <v>#VALUE!</v>
      </c>
      <c r="BG2091" t="e" vm="2">
        <f t="shared" si="211"/>
        <v>#VALUE!</v>
      </c>
      <c r="BJ2091" s="21" t="e" vm="1">
        <v>#REF!</v>
      </c>
      <c r="BK2091" t="e" vm="1">
        <v>#REF!</v>
      </c>
      <c r="BM2091" t="e" vm="2">
        <f t="shared" si="212"/>
        <v>#VALUE!</v>
      </c>
      <c r="BN2091" t="e" vm="2">
        <f t="shared" si="213"/>
        <v>#VALUE!</v>
      </c>
    </row>
    <row r="2092" spans="55:66" x14ac:dyDescent="0.2">
      <c r="BC2092" s="21" t="e" vm="1">
        <v>#REF!</v>
      </c>
      <c r="BD2092" t="e" vm="1">
        <v>#REF!</v>
      </c>
      <c r="BF2092" t="e" vm="2">
        <f t="shared" si="210"/>
        <v>#VALUE!</v>
      </c>
      <c r="BG2092" t="e" vm="2">
        <f t="shared" si="211"/>
        <v>#VALUE!</v>
      </c>
      <c r="BJ2092" s="21" t="e" vm="1">
        <v>#REF!</v>
      </c>
      <c r="BK2092" t="e" vm="1">
        <v>#REF!</v>
      </c>
      <c r="BM2092" t="e" vm="2">
        <f t="shared" si="212"/>
        <v>#VALUE!</v>
      </c>
      <c r="BN2092" t="e" vm="2">
        <f t="shared" si="213"/>
        <v>#VALUE!</v>
      </c>
    </row>
    <row r="2093" spans="55:66" x14ac:dyDescent="0.2">
      <c r="BC2093" s="21" t="e" vm="1">
        <v>#REF!</v>
      </c>
      <c r="BD2093" t="e" vm="1">
        <v>#REF!</v>
      </c>
      <c r="BF2093" t="e" vm="2">
        <f t="shared" si="210"/>
        <v>#VALUE!</v>
      </c>
      <c r="BG2093" t="e" vm="2">
        <f t="shared" si="211"/>
        <v>#VALUE!</v>
      </c>
      <c r="BJ2093" s="21" t="e" vm="1">
        <v>#REF!</v>
      </c>
      <c r="BK2093" t="e" vm="1">
        <v>#REF!</v>
      </c>
      <c r="BM2093" t="e" vm="2">
        <f t="shared" si="212"/>
        <v>#VALUE!</v>
      </c>
      <c r="BN2093" t="e" vm="2">
        <f t="shared" si="213"/>
        <v>#VALUE!</v>
      </c>
    </row>
    <row r="2094" spans="55:66" x14ac:dyDescent="0.2">
      <c r="BC2094" s="21" t="e" vm="1">
        <v>#REF!</v>
      </c>
      <c r="BD2094" t="e" vm="1">
        <v>#REF!</v>
      </c>
      <c r="BF2094" t="e" vm="2">
        <f t="shared" si="210"/>
        <v>#VALUE!</v>
      </c>
      <c r="BG2094" t="e" vm="2">
        <f t="shared" si="211"/>
        <v>#VALUE!</v>
      </c>
      <c r="BJ2094" s="21" t="e" vm="1">
        <v>#REF!</v>
      </c>
      <c r="BK2094" t="e" vm="1">
        <v>#REF!</v>
      </c>
      <c r="BM2094" t="e" vm="2">
        <f t="shared" si="212"/>
        <v>#VALUE!</v>
      </c>
      <c r="BN2094" t="e" vm="2">
        <f t="shared" si="213"/>
        <v>#VALUE!</v>
      </c>
    </row>
    <row r="2095" spans="55:66" x14ac:dyDescent="0.2">
      <c r="BC2095" s="21" t="e" vm="1">
        <v>#REF!</v>
      </c>
      <c r="BD2095" t="e" vm="1">
        <v>#REF!</v>
      </c>
      <c r="BF2095" t="e" vm="2">
        <f t="shared" si="210"/>
        <v>#VALUE!</v>
      </c>
      <c r="BG2095" t="e" vm="2">
        <f t="shared" si="211"/>
        <v>#VALUE!</v>
      </c>
      <c r="BJ2095" s="21" t="e" vm="1">
        <v>#REF!</v>
      </c>
      <c r="BK2095" t="e" vm="1">
        <v>#REF!</v>
      </c>
      <c r="BM2095" t="e" vm="2">
        <f t="shared" si="212"/>
        <v>#VALUE!</v>
      </c>
      <c r="BN2095" t="e" vm="2">
        <f t="shared" si="213"/>
        <v>#VALUE!</v>
      </c>
    </row>
    <row r="2096" spans="55:66" x14ac:dyDescent="0.2">
      <c r="BC2096" s="21" t="e" vm="1">
        <v>#REF!</v>
      </c>
      <c r="BD2096" t="e" vm="1">
        <v>#REF!</v>
      </c>
      <c r="BF2096" t="e" vm="2">
        <f t="shared" si="210"/>
        <v>#VALUE!</v>
      </c>
      <c r="BG2096" t="e" vm="2">
        <f t="shared" si="211"/>
        <v>#VALUE!</v>
      </c>
      <c r="BJ2096" s="21" t="e" vm="1">
        <v>#REF!</v>
      </c>
      <c r="BK2096" t="e" vm="1">
        <v>#REF!</v>
      </c>
      <c r="BM2096" t="e" vm="2">
        <f t="shared" si="212"/>
        <v>#VALUE!</v>
      </c>
      <c r="BN2096" t="e" vm="2">
        <f t="shared" si="213"/>
        <v>#VALUE!</v>
      </c>
    </row>
    <row r="2097" spans="55:66" x14ac:dyDescent="0.2">
      <c r="BC2097" s="21" t="e" vm="1">
        <v>#REF!</v>
      </c>
      <c r="BD2097" t="e" vm="1">
        <v>#REF!</v>
      </c>
      <c r="BF2097" t="e" vm="2">
        <f t="shared" si="210"/>
        <v>#VALUE!</v>
      </c>
      <c r="BG2097" t="e" vm="2">
        <f t="shared" si="211"/>
        <v>#VALUE!</v>
      </c>
      <c r="BJ2097" s="21" t="e" vm="1">
        <v>#REF!</v>
      </c>
      <c r="BK2097" t="e" vm="1">
        <v>#REF!</v>
      </c>
      <c r="BM2097" t="e" vm="2">
        <f t="shared" si="212"/>
        <v>#VALUE!</v>
      </c>
      <c r="BN2097" t="e" vm="2">
        <f t="shared" si="213"/>
        <v>#VALUE!</v>
      </c>
    </row>
    <row r="2098" spans="55:66" x14ac:dyDescent="0.2">
      <c r="BC2098" s="21" t="e" vm="1">
        <v>#REF!</v>
      </c>
      <c r="BD2098" t="e" vm="1">
        <v>#REF!</v>
      </c>
      <c r="BF2098" t="e" vm="2">
        <f t="shared" si="210"/>
        <v>#VALUE!</v>
      </c>
      <c r="BG2098" t="e" vm="2">
        <f t="shared" si="211"/>
        <v>#VALUE!</v>
      </c>
      <c r="BJ2098" s="21" t="e" vm="1">
        <v>#REF!</v>
      </c>
      <c r="BK2098" t="e" vm="1">
        <v>#REF!</v>
      </c>
      <c r="BM2098" t="e" vm="2">
        <f t="shared" si="212"/>
        <v>#VALUE!</v>
      </c>
      <c r="BN2098" t="e" vm="2">
        <f t="shared" si="213"/>
        <v>#VALUE!</v>
      </c>
    </row>
    <row r="2099" spans="55:66" x14ac:dyDescent="0.2">
      <c r="BC2099" s="21" t="e" vm="1">
        <v>#REF!</v>
      </c>
      <c r="BD2099" t="e" vm="1">
        <v>#REF!</v>
      </c>
      <c r="BF2099" t="e" vm="2">
        <f t="shared" si="210"/>
        <v>#VALUE!</v>
      </c>
      <c r="BG2099" t="e" vm="2">
        <f t="shared" si="211"/>
        <v>#VALUE!</v>
      </c>
      <c r="BJ2099" s="21" t="e" vm="1">
        <v>#REF!</v>
      </c>
      <c r="BK2099" t="e" vm="1">
        <v>#REF!</v>
      </c>
      <c r="BM2099" t="e" vm="2">
        <f t="shared" si="212"/>
        <v>#VALUE!</v>
      </c>
      <c r="BN2099" t="e" vm="2">
        <f t="shared" si="213"/>
        <v>#VALUE!</v>
      </c>
    </row>
    <row r="2100" spans="55:66" x14ac:dyDescent="0.2">
      <c r="BC2100" s="21" t="e" vm="1">
        <v>#REF!</v>
      </c>
      <c r="BD2100" t="e" vm="1">
        <v>#REF!</v>
      </c>
      <c r="BF2100" t="e" vm="2">
        <f t="shared" si="210"/>
        <v>#VALUE!</v>
      </c>
      <c r="BG2100" t="e" vm="2">
        <f t="shared" si="211"/>
        <v>#VALUE!</v>
      </c>
      <c r="BJ2100" s="21" t="e" vm="1">
        <v>#REF!</v>
      </c>
      <c r="BK2100" t="e" vm="1">
        <v>#REF!</v>
      </c>
      <c r="BM2100" t="e" vm="2">
        <f t="shared" si="212"/>
        <v>#VALUE!</v>
      </c>
      <c r="BN2100" t="e" vm="2">
        <f t="shared" si="213"/>
        <v>#VALUE!</v>
      </c>
    </row>
    <row r="2101" spans="55:66" x14ac:dyDescent="0.2">
      <c r="BC2101" s="21" t="e" vm="1">
        <v>#REF!</v>
      </c>
      <c r="BD2101" t="e" vm="1">
        <v>#REF!</v>
      </c>
      <c r="BF2101" t="e" vm="2">
        <f t="shared" si="210"/>
        <v>#VALUE!</v>
      </c>
      <c r="BG2101" t="e" vm="2">
        <f t="shared" si="211"/>
        <v>#VALUE!</v>
      </c>
      <c r="BJ2101" s="21" t="e" vm="1">
        <v>#REF!</v>
      </c>
      <c r="BK2101" t="e" vm="1">
        <v>#REF!</v>
      </c>
      <c r="BM2101" t="e" vm="2">
        <f t="shared" si="212"/>
        <v>#VALUE!</v>
      </c>
      <c r="BN2101" t="e" vm="2">
        <f t="shared" si="213"/>
        <v>#VALUE!</v>
      </c>
    </row>
    <row r="2102" spans="55:66" x14ac:dyDescent="0.2">
      <c r="BC2102" s="21" t="e" vm="1">
        <v>#REF!</v>
      </c>
      <c r="BD2102" t="e" vm="1">
        <v>#REF!</v>
      </c>
      <c r="BF2102" t="e" vm="2">
        <f t="shared" si="210"/>
        <v>#VALUE!</v>
      </c>
      <c r="BG2102" t="e" vm="2">
        <f t="shared" si="211"/>
        <v>#VALUE!</v>
      </c>
      <c r="BJ2102" s="21" t="e" vm="1">
        <v>#REF!</v>
      </c>
      <c r="BK2102" t="e" vm="1">
        <v>#REF!</v>
      </c>
      <c r="BM2102" t="e" vm="2">
        <f t="shared" si="212"/>
        <v>#VALUE!</v>
      </c>
      <c r="BN2102" t="e" vm="2">
        <f t="shared" si="213"/>
        <v>#VALUE!</v>
      </c>
    </row>
    <row r="2103" spans="55:66" x14ac:dyDescent="0.2">
      <c r="BC2103" s="21" t="e" vm="1">
        <v>#REF!</v>
      </c>
      <c r="BD2103" t="e" vm="1">
        <v>#REF!</v>
      </c>
      <c r="BF2103" t="e" vm="2">
        <f t="shared" si="210"/>
        <v>#VALUE!</v>
      </c>
      <c r="BG2103" t="e" vm="2">
        <f t="shared" si="211"/>
        <v>#VALUE!</v>
      </c>
      <c r="BJ2103" s="21" t="e" vm="1">
        <v>#REF!</v>
      </c>
      <c r="BK2103" t="e" vm="1">
        <v>#REF!</v>
      </c>
      <c r="BM2103" t="e" vm="2">
        <f t="shared" si="212"/>
        <v>#VALUE!</v>
      </c>
      <c r="BN2103" t="e" vm="2">
        <f t="shared" si="213"/>
        <v>#VALUE!</v>
      </c>
    </row>
    <row r="2104" spans="55:66" x14ac:dyDescent="0.2">
      <c r="BC2104" s="21" t="e" vm="1">
        <v>#REF!</v>
      </c>
      <c r="BD2104" t="e" vm="1">
        <v>#REF!</v>
      </c>
      <c r="BF2104" t="e" vm="2">
        <f t="shared" si="210"/>
        <v>#VALUE!</v>
      </c>
      <c r="BG2104" t="e" vm="2">
        <f t="shared" si="211"/>
        <v>#VALUE!</v>
      </c>
      <c r="BJ2104" s="21" t="e" vm="1">
        <v>#REF!</v>
      </c>
      <c r="BK2104" t="e" vm="1">
        <v>#REF!</v>
      </c>
      <c r="BM2104" t="e" vm="2">
        <f t="shared" si="212"/>
        <v>#VALUE!</v>
      </c>
      <c r="BN2104" t="e" vm="2">
        <f t="shared" si="213"/>
        <v>#VALUE!</v>
      </c>
    </row>
    <row r="2105" spans="55:66" x14ac:dyDescent="0.2">
      <c r="BC2105" s="21" t="e" vm="1">
        <v>#REF!</v>
      </c>
      <c r="BD2105" t="e" vm="1">
        <v>#REF!</v>
      </c>
      <c r="BF2105" t="e" vm="2">
        <f t="shared" si="210"/>
        <v>#VALUE!</v>
      </c>
      <c r="BG2105" t="e" vm="2">
        <f t="shared" si="211"/>
        <v>#VALUE!</v>
      </c>
      <c r="BJ2105" s="21" t="e" vm="1">
        <v>#REF!</v>
      </c>
      <c r="BK2105" t="e" vm="1">
        <v>#REF!</v>
      </c>
      <c r="BM2105" t="e" vm="2">
        <f t="shared" si="212"/>
        <v>#VALUE!</v>
      </c>
      <c r="BN2105" t="e" vm="2">
        <f t="shared" si="213"/>
        <v>#VALUE!</v>
      </c>
    </row>
    <row r="2106" spans="55:66" x14ac:dyDescent="0.2">
      <c r="BC2106" s="21" t="e" vm="1">
        <v>#REF!</v>
      </c>
      <c r="BD2106" t="e" vm="1">
        <v>#REF!</v>
      </c>
      <c r="BF2106" t="e" vm="2">
        <f t="shared" si="210"/>
        <v>#VALUE!</v>
      </c>
      <c r="BG2106" t="e" vm="2">
        <f t="shared" si="211"/>
        <v>#VALUE!</v>
      </c>
      <c r="BJ2106" s="21" t="e" vm="1">
        <v>#REF!</v>
      </c>
      <c r="BK2106" t="e" vm="1">
        <v>#REF!</v>
      </c>
      <c r="BM2106" t="e" vm="2">
        <f t="shared" si="212"/>
        <v>#VALUE!</v>
      </c>
      <c r="BN2106" t="e" vm="2">
        <f t="shared" si="213"/>
        <v>#VALUE!</v>
      </c>
    </row>
    <row r="2107" spans="55:66" x14ac:dyDescent="0.2">
      <c r="BC2107" s="21" t="e" vm="1">
        <v>#REF!</v>
      </c>
      <c r="BD2107" t="e" vm="1">
        <v>#REF!</v>
      </c>
      <c r="BF2107" t="e" vm="2">
        <f t="shared" si="210"/>
        <v>#VALUE!</v>
      </c>
      <c r="BG2107" t="e" vm="2">
        <f t="shared" si="211"/>
        <v>#VALUE!</v>
      </c>
      <c r="BJ2107" s="21" t="e" vm="1">
        <v>#REF!</v>
      </c>
      <c r="BK2107" t="e" vm="1">
        <v>#REF!</v>
      </c>
      <c r="BM2107" t="e" vm="2">
        <f t="shared" si="212"/>
        <v>#VALUE!</v>
      </c>
      <c r="BN2107" t="e" vm="2">
        <f t="shared" si="213"/>
        <v>#VALUE!</v>
      </c>
    </row>
    <row r="2108" spans="55:66" x14ac:dyDescent="0.2">
      <c r="BC2108" s="21" t="e" vm="1">
        <v>#REF!</v>
      </c>
      <c r="BD2108" t="e" vm="1">
        <v>#REF!</v>
      </c>
      <c r="BF2108" t="e" vm="2">
        <f t="shared" si="210"/>
        <v>#VALUE!</v>
      </c>
      <c r="BG2108" t="e" vm="2">
        <f t="shared" si="211"/>
        <v>#VALUE!</v>
      </c>
      <c r="BJ2108" s="21" t="e" vm="1">
        <v>#REF!</v>
      </c>
      <c r="BK2108" t="e" vm="1">
        <v>#REF!</v>
      </c>
      <c r="BM2108" t="e" vm="2">
        <f t="shared" si="212"/>
        <v>#VALUE!</v>
      </c>
      <c r="BN2108" t="e" vm="2">
        <f t="shared" si="213"/>
        <v>#VALUE!</v>
      </c>
    </row>
    <row r="2109" spans="55:66" x14ac:dyDescent="0.2">
      <c r="BC2109" s="21" t="e" vm="1">
        <v>#REF!</v>
      </c>
      <c r="BD2109" t="e" vm="1">
        <v>#REF!</v>
      </c>
      <c r="BF2109" t="e" vm="2">
        <f t="shared" si="210"/>
        <v>#VALUE!</v>
      </c>
      <c r="BG2109" t="e" vm="2">
        <f t="shared" si="211"/>
        <v>#VALUE!</v>
      </c>
      <c r="BJ2109" s="21" t="e" vm="1">
        <v>#REF!</v>
      </c>
      <c r="BK2109" t="e" vm="1">
        <v>#REF!</v>
      </c>
      <c r="BM2109" t="e" vm="2">
        <f t="shared" si="212"/>
        <v>#VALUE!</v>
      </c>
      <c r="BN2109" t="e" vm="2">
        <f t="shared" si="213"/>
        <v>#VALUE!</v>
      </c>
    </row>
    <row r="2110" spans="55:66" x14ac:dyDescent="0.2">
      <c r="BC2110" s="21" t="e" vm="1">
        <v>#REF!</v>
      </c>
      <c r="BD2110" t="e" vm="1">
        <v>#REF!</v>
      </c>
      <c r="BF2110" t="e" vm="2">
        <f t="shared" si="210"/>
        <v>#VALUE!</v>
      </c>
      <c r="BG2110" t="e" vm="2">
        <f t="shared" si="211"/>
        <v>#VALUE!</v>
      </c>
      <c r="BJ2110" s="21" t="e" vm="1">
        <v>#REF!</v>
      </c>
      <c r="BK2110" t="e" vm="1">
        <v>#REF!</v>
      </c>
      <c r="BM2110" t="e" vm="2">
        <f t="shared" si="212"/>
        <v>#VALUE!</v>
      </c>
      <c r="BN2110" t="e" vm="2">
        <f t="shared" si="213"/>
        <v>#VALUE!</v>
      </c>
    </row>
    <row r="2111" spans="55:66" x14ac:dyDescent="0.2">
      <c r="BC2111" s="21" t="e" vm="1">
        <v>#REF!</v>
      </c>
      <c r="BD2111" t="e" vm="1">
        <v>#REF!</v>
      </c>
      <c r="BF2111" t="e" vm="2">
        <f t="shared" si="210"/>
        <v>#VALUE!</v>
      </c>
      <c r="BG2111" t="e" vm="2">
        <f t="shared" si="211"/>
        <v>#VALUE!</v>
      </c>
      <c r="BJ2111" s="21" t="e" vm="1">
        <v>#REF!</v>
      </c>
      <c r="BK2111" t="e" vm="1">
        <v>#REF!</v>
      </c>
      <c r="BM2111" t="e" vm="2">
        <f t="shared" si="212"/>
        <v>#VALUE!</v>
      </c>
      <c r="BN2111" t="e" vm="2">
        <f t="shared" si="213"/>
        <v>#VALUE!</v>
      </c>
    </row>
    <row r="2112" spans="55:66" x14ac:dyDescent="0.2">
      <c r="BC2112" s="21" t="e" vm="1">
        <v>#REF!</v>
      </c>
      <c r="BD2112" t="e" vm="1">
        <v>#REF!</v>
      </c>
      <c r="BF2112" t="e" vm="2">
        <f t="shared" si="210"/>
        <v>#VALUE!</v>
      </c>
      <c r="BG2112" t="e" vm="2">
        <f t="shared" si="211"/>
        <v>#VALUE!</v>
      </c>
      <c r="BJ2112" s="21" t="e" vm="1">
        <v>#REF!</v>
      </c>
      <c r="BK2112" t="e" vm="1">
        <v>#REF!</v>
      </c>
      <c r="BM2112" t="e" vm="2">
        <f t="shared" si="212"/>
        <v>#VALUE!</v>
      </c>
      <c r="BN2112" t="e" vm="2">
        <f t="shared" si="213"/>
        <v>#VALUE!</v>
      </c>
    </row>
    <row r="2113" spans="55:66" x14ac:dyDescent="0.2">
      <c r="BC2113" s="21" t="e" vm="1">
        <v>#REF!</v>
      </c>
      <c r="BD2113" t="e" vm="1">
        <v>#REF!</v>
      </c>
      <c r="BF2113" t="e" vm="2">
        <f t="shared" si="210"/>
        <v>#VALUE!</v>
      </c>
      <c r="BG2113" t="e" vm="2">
        <f t="shared" si="211"/>
        <v>#VALUE!</v>
      </c>
      <c r="BJ2113" s="21" t="e" vm="1">
        <v>#REF!</v>
      </c>
      <c r="BK2113" t="e" vm="1">
        <v>#REF!</v>
      </c>
      <c r="BM2113" t="e" vm="2">
        <f t="shared" si="212"/>
        <v>#VALUE!</v>
      </c>
      <c r="BN2113" t="e" vm="2">
        <f t="shared" si="213"/>
        <v>#VALUE!</v>
      </c>
    </row>
    <row r="2114" spans="55:66" x14ac:dyDescent="0.2">
      <c r="BC2114" s="21" t="e" vm="1">
        <v>#REF!</v>
      </c>
      <c r="BD2114" t="e" vm="1">
        <v>#REF!</v>
      </c>
      <c r="BF2114" t="e" vm="2">
        <f t="shared" si="210"/>
        <v>#VALUE!</v>
      </c>
      <c r="BG2114" t="e" vm="2">
        <f t="shared" si="211"/>
        <v>#VALUE!</v>
      </c>
      <c r="BJ2114" s="21" t="e" vm="1">
        <v>#REF!</v>
      </c>
      <c r="BK2114" t="e" vm="1">
        <v>#REF!</v>
      </c>
      <c r="BM2114" t="e" vm="2">
        <f t="shared" si="212"/>
        <v>#VALUE!</v>
      </c>
      <c r="BN2114" t="e" vm="2">
        <f t="shared" si="213"/>
        <v>#VALUE!</v>
      </c>
    </row>
    <row r="2115" spans="55:66" x14ac:dyDescent="0.2">
      <c r="BC2115" s="21" t="e" vm="1">
        <v>#REF!</v>
      </c>
      <c r="BD2115" t="e" vm="1">
        <v>#REF!</v>
      </c>
      <c r="BF2115" t="e" vm="2">
        <f t="shared" ref="BF2115:BF2178" si="214">MONTH(BC2115)</f>
        <v>#VALUE!</v>
      </c>
      <c r="BG2115" t="e" vm="2">
        <f t="shared" ref="BG2115:BG2178" si="215">YEAR(BC2115)</f>
        <v>#VALUE!</v>
      </c>
      <c r="BJ2115" s="21" t="e" vm="1">
        <v>#REF!</v>
      </c>
      <c r="BK2115" t="e" vm="1">
        <v>#REF!</v>
      </c>
      <c r="BM2115" t="e" vm="2">
        <f t="shared" si="212"/>
        <v>#VALUE!</v>
      </c>
      <c r="BN2115" t="e" vm="2">
        <f t="shared" si="213"/>
        <v>#VALUE!</v>
      </c>
    </row>
    <row r="2116" spans="55:66" x14ac:dyDescent="0.2">
      <c r="BC2116" s="21" t="e" vm="1">
        <v>#REF!</v>
      </c>
      <c r="BD2116" t="e" vm="1">
        <v>#REF!</v>
      </c>
      <c r="BF2116" t="e" vm="2">
        <f t="shared" si="214"/>
        <v>#VALUE!</v>
      </c>
      <c r="BG2116" t="e" vm="2">
        <f t="shared" si="215"/>
        <v>#VALUE!</v>
      </c>
      <c r="BJ2116" s="21" t="e" vm="1">
        <v>#REF!</v>
      </c>
      <c r="BK2116" t="e" vm="1">
        <v>#REF!</v>
      </c>
      <c r="BM2116" t="e" vm="2">
        <f t="shared" ref="BM2116:BM2179" si="216">MONTH(BJ2116)</f>
        <v>#VALUE!</v>
      </c>
      <c r="BN2116" t="e" vm="2">
        <f t="shared" ref="BN2116:BN2179" si="217">YEAR(BJ2116)</f>
        <v>#VALUE!</v>
      </c>
    </row>
    <row r="2117" spans="55:66" x14ac:dyDescent="0.2">
      <c r="BC2117" s="21" t="e" vm="1">
        <v>#REF!</v>
      </c>
      <c r="BD2117" t="e" vm="1">
        <v>#REF!</v>
      </c>
      <c r="BF2117" t="e" vm="2">
        <f t="shared" si="214"/>
        <v>#VALUE!</v>
      </c>
      <c r="BG2117" t="e" vm="2">
        <f t="shared" si="215"/>
        <v>#VALUE!</v>
      </c>
      <c r="BJ2117" s="21" t="e" vm="1">
        <v>#REF!</v>
      </c>
      <c r="BK2117" t="e" vm="1">
        <v>#REF!</v>
      </c>
      <c r="BM2117" t="e" vm="2">
        <f t="shared" si="216"/>
        <v>#VALUE!</v>
      </c>
      <c r="BN2117" t="e" vm="2">
        <f t="shared" si="217"/>
        <v>#VALUE!</v>
      </c>
    </row>
    <row r="2118" spans="55:66" x14ac:dyDescent="0.2">
      <c r="BC2118" s="21" t="e" vm="1">
        <v>#REF!</v>
      </c>
      <c r="BD2118" t="e" vm="1">
        <v>#REF!</v>
      </c>
      <c r="BF2118" t="e" vm="2">
        <f t="shared" si="214"/>
        <v>#VALUE!</v>
      </c>
      <c r="BG2118" t="e" vm="2">
        <f t="shared" si="215"/>
        <v>#VALUE!</v>
      </c>
      <c r="BJ2118" s="21" t="e" vm="1">
        <v>#REF!</v>
      </c>
      <c r="BK2118" t="e" vm="1">
        <v>#REF!</v>
      </c>
      <c r="BM2118" t="e" vm="2">
        <f t="shared" si="216"/>
        <v>#VALUE!</v>
      </c>
      <c r="BN2118" t="e" vm="2">
        <f t="shared" si="217"/>
        <v>#VALUE!</v>
      </c>
    </row>
    <row r="2119" spans="55:66" x14ac:dyDescent="0.2">
      <c r="BC2119" s="21" t="e" vm="1">
        <v>#REF!</v>
      </c>
      <c r="BD2119" t="e" vm="1">
        <v>#REF!</v>
      </c>
      <c r="BF2119" t="e" vm="2">
        <f t="shared" si="214"/>
        <v>#VALUE!</v>
      </c>
      <c r="BG2119" t="e" vm="2">
        <f t="shared" si="215"/>
        <v>#VALUE!</v>
      </c>
      <c r="BJ2119" s="21" t="e" vm="1">
        <v>#REF!</v>
      </c>
      <c r="BK2119" t="e" vm="1">
        <v>#REF!</v>
      </c>
      <c r="BM2119" t="e" vm="2">
        <f t="shared" si="216"/>
        <v>#VALUE!</v>
      </c>
      <c r="BN2119" t="e" vm="2">
        <f t="shared" si="217"/>
        <v>#VALUE!</v>
      </c>
    </row>
    <row r="2120" spans="55:66" x14ac:dyDescent="0.2">
      <c r="BC2120" s="21" t="e" vm="1">
        <v>#REF!</v>
      </c>
      <c r="BD2120" t="e" vm="1">
        <v>#REF!</v>
      </c>
      <c r="BF2120" t="e" vm="2">
        <f t="shared" si="214"/>
        <v>#VALUE!</v>
      </c>
      <c r="BG2120" t="e" vm="2">
        <f t="shared" si="215"/>
        <v>#VALUE!</v>
      </c>
      <c r="BJ2120" s="21" t="e" vm="1">
        <v>#REF!</v>
      </c>
      <c r="BK2120" t="e" vm="1">
        <v>#REF!</v>
      </c>
      <c r="BM2120" t="e" vm="2">
        <f t="shared" si="216"/>
        <v>#VALUE!</v>
      </c>
      <c r="BN2120" t="e" vm="2">
        <f t="shared" si="217"/>
        <v>#VALUE!</v>
      </c>
    </row>
    <row r="2121" spans="55:66" x14ac:dyDescent="0.2">
      <c r="BC2121" s="21" t="e" vm="1">
        <v>#REF!</v>
      </c>
      <c r="BD2121" t="e" vm="1">
        <v>#REF!</v>
      </c>
      <c r="BF2121" t="e" vm="2">
        <f t="shared" si="214"/>
        <v>#VALUE!</v>
      </c>
      <c r="BG2121" t="e" vm="2">
        <f t="shared" si="215"/>
        <v>#VALUE!</v>
      </c>
      <c r="BJ2121" s="21" t="e" vm="1">
        <v>#REF!</v>
      </c>
      <c r="BK2121" t="e" vm="1">
        <v>#REF!</v>
      </c>
      <c r="BM2121" t="e" vm="2">
        <f t="shared" si="216"/>
        <v>#VALUE!</v>
      </c>
      <c r="BN2121" t="e" vm="2">
        <f t="shared" si="217"/>
        <v>#VALUE!</v>
      </c>
    </row>
    <row r="2122" spans="55:66" x14ac:dyDescent="0.2">
      <c r="BC2122" s="21" t="e" vm="1">
        <v>#REF!</v>
      </c>
      <c r="BD2122" t="e" vm="1">
        <v>#REF!</v>
      </c>
      <c r="BF2122" t="e" vm="2">
        <f t="shared" si="214"/>
        <v>#VALUE!</v>
      </c>
      <c r="BG2122" t="e" vm="2">
        <f t="shared" si="215"/>
        <v>#VALUE!</v>
      </c>
      <c r="BJ2122" s="21" t="e" vm="1">
        <v>#REF!</v>
      </c>
      <c r="BK2122" t="e" vm="1">
        <v>#REF!</v>
      </c>
      <c r="BM2122" t="e" vm="2">
        <f t="shared" si="216"/>
        <v>#VALUE!</v>
      </c>
      <c r="BN2122" t="e" vm="2">
        <f t="shared" si="217"/>
        <v>#VALUE!</v>
      </c>
    </row>
    <row r="2123" spans="55:66" x14ac:dyDescent="0.2">
      <c r="BC2123" s="21" t="e" vm="1">
        <v>#REF!</v>
      </c>
      <c r="BD2123" t="e" vm="1">
        <v>#REF!</v>
      </c>
      <c r="BF2123" t="e" vm="2">
        <f t="shared" si="214"/>
        <v>#VALUE!</v>
      </c>
      <c r="BG2123" t="e" vm="2">
        <f t="shared" si="215"/>
        <v>#VALUE!</v>
      </c>
      <c r="BJ2123" s="21" t="e" vm="1">
        <v>#REF!</v>
      </c>
      <c r="BK2123" t="e" vm="1">
        <v>#REF!</v>
      </c>
      <c r="BM2123" t="e" vm="2">
        <f t="shared" si="216"/>
        <v>#VALUE!</v>
      </c>
      <c r="BN2123" t="e" vm="2">
        <f t="shared" si="217"/>
        <v>#VALUE!</v>
      </c>
    </row>
    <row r="2124" spans="55:66" x14ac:dyDescent="0.2">
      <c r="BC2124" s="21" t="e" vm="1">
        <v>#REF!</v>
      </c>
      <c r="BD2124" t="e" vm="1">
        <v>#REF!</v>
      </c>
      <c r="BF2124" t="e" vm="2">
        <f t="shared" si="214"/>
        <v>#VALUE!</v>
      </c>
      <c r="BG2124" t="e" vm="2">
        <f t="shared" si="215"/>
        <v>#VALUE!</v>
      </c>
      <c r="BJ2124" s="21" t="e" vm="1">
        <v>#REF!</v>
      </c>
      <c r="BK2124" t="e" vm="1">
        <v>#REF!</v>
      </c>
      <c r="BM2124" t="e" vm="2">
        <f t="shared" si="216"/>
        <v>#VALUE!</v>
      </c>
      <c r="BN2124" t="e" vm="2">
        <f t="shared" si="217"/>
        <v>#VALUE!</v>
      </c>
    </row>
    <row r="2125" spans="55:66" x14ac:dyDescent="0.2">
      <c r="BC2125" s="21" t="e" vm="1">
        <v>#REF!</v>
      </c>
      <c r="BD2125" t="e" vm="1">
        <v>#REF!</v>
      </c>
      <c r="BF2125" t="e" vm="2">
        <f t="shared" si="214"/>
        <v>#VALUE!</v>
      </c>
      <c r="BG2125" t="e" vm="2">
        <f t="shared" si="215"/>
        <v>#VALUE!</v>
      </c>
      <c r="BJ2125" s="21" t="e" vm="1">
        <v>#REF!</v>
      </c>
      <c r="BK2125" t="e" vm="1">
        <v>#REF!</v>
      </c>
      <c r="BM2125" t="e" vm="2">
        <f t="shared" si="216"/>
        <v>#VALUE!</v>
      </c>
      <c r="BN2125" t="e" vm="2">
        <f t="shared" si="217"/>
        <v>#VALUE!</v>
      </c>
    </row>
    <row r="2126" spans="55:66" x14ac:dyDescent="0.2">
      <c r="BC2126" s="21" t="e" vm="1">
        <v>#REF!</v>
      </c>
      <c r="BD2126" t="e" vm="1">
        <v>#REF!</v>
      </c>
      <c r="BF2126" t="e" vm="2">
        <f t="shared" si="214"/>
        <v>#VALUE!</v>
      </c>
      <c r="BG2126" t="e" vm="2">
        <f t="shared" si="215"/>
        <v>#VALUE!</v>
      </c>
      <c r="BJ2126" s="21" t="e" vm="1">
        <v>#REF!</v>
      </c>
      <c r="BK2126" t="e" vm="1">
        <v>#REF!</v>
      </c>
      <c r="BM2126" t="e" vm="2">
        <f t="shared" si="216"/>
        <v>#VALUE!</v>
      </c>
      <c r="BN2126" t="e" vm="2">
        <f t="shared" si="217"/>
        <v>#VALUE!</v>
      </c>
    </row>
    <row r="2127" spans="55:66" x14ac:dyDescent="0.2">
      <c r="BC2127" s="21" t="e" vm="1">
        <v>#REF!</v>
      </c>
      <c r="BD2127" t="e" vm="1">
        <v>#REF!</v>
      </c>
      <c r="BF2127" t="e" vm="2">
        <f t="shared" si="214"/>
        <v>#VALUE!</v>
      </c>
      <c r="BG2127" t="e" vm="2">
        <f t="shared" si="215"/>
        <v>#VALUE!</v>
      </c>
      <c r="BJ2127" s="21" t="e" vm="1">
        <v>#REF!</v>
      </c>
      <c r="BK2127" t="e" vm="1">
        <v>#REF!</v>
      </c>
      <c r="BM2127" t="e" vm="2">
        <f t="shared" si="216"/>
        <v>#VALUE!</v>
      </c>
      <c r="BN2127" t="e" vm="2">
        <f t="shared" si="217"/>
        <v>#VALUE!</v>
      </c>
    </row>
    <row r="2128" spans="55:66" x14ac:dyDescent="0.2">
      <c r="BC2128" s="21" t="e" vm="1">
        <v>#REF!</v>
      </c>
      <c r="BD2128" t="e" vm="1">
        <v>#REF!</v>
      </c>
      <c r="BF2128" t="e" vm="2">
        <f t="shared" si="214"/>
        <v>#VALUE!</v>
      </c>
      <c r="BG2128" t="e" vm="2">
        <f t="shared" si="215"/>
        <v>#VALUE!</v>
      </c>
      <c r="BJ2128" s="21" t="e" vm="1">
        <v>#REF!</v>
      </c>
      <c r="BK2128" t="e" vm="1">
        <v>#REF!</v>
      </c>
      <c r="BM2128" t="e" vm="2">
        <f t="shared" si="216"/>
        <v>#VALUE!</v>
      </c>
      <c r="BN2128" t="e" vm="2">
        <f t="shared" si="217"/>
        <v>#VALUE!</v>
      </c>
    </row>
    <row r="2129" spans="55:66" x14ac:dyDescent="0.2">
      <c r="BC2129" s="21" t="e" vm="1">
        <v>#REF!</v>
      </c>
      <c r="BD2129" t="e" vm="1">
        <v>#REF!</v>
      </c>
      <c r="BF2129" t="e" vm="2">
        <f t="shared" si="214"/>
        <v>#VALUE!</v>
      </c>
      <c r="BG2129" t="e" vm="2">
        <f t="shared" si="215"/>
        <v>#VALUE!</v>
      </c>
      <c r="BJ2129" s="21" t="e" vm="1">
        <v>#REF!</v>
      </c>
      <c r="BK2129" t="e" vm="1">
        <v>#REF!</v>
      </c>
      <c r="BM2129" t="e" vm="2">
        <f t="shared" si="216"/>
        <v>#VALUE!</v>
      </c>
      <c r="BN2129" t="e" vm="2">
        <f t="shared" si="217"/>
        <v>#VALUE!</v>
      </c>
    </row>
    <row r="2130" spans="55:66" x14ac:dyDescent="0.2">
      <c r="BC2130" s="21" t="e" vm="1">
        <v>#REF!</v>
      </c>
      <c r="BD2130" t="e" vm="1">
        <v>#REF!</v>
      </c>
      <c r="BF2130" t="e" vm="2">
        <f t="shared" si="214"/>
        <v>#VALUE!</v>
      </c>
      <c r="BG2130" t="e" vm="2">
        <f t="shared" si="215"/>
        <v>#VALUE!</v>
      </c>
      <c r="BJ2130" s="21" t="e" vm="1">
        <v>#REF!</v>
      </c>
      <c r="BK2130" t="e" vm="1">
        <v>#REF!</v>
      </c>
      <c r="BM2130" t="e" vm="2">
        <f t="shared" si="216"/>
        <v>#VALUE!</v>
      </c>
      <c r="BN2130" t="e" vm="2">
        <f t="shared" si="217"/>
        <v>#VALUE!</v>
      </c>
    </row>
    <row r="2131" spans="55:66" x14ac:dyDescent="0.2">
      <c r="BC2131" s="21" t="e" vm="1">
        <v>#REF!</v>
      </c>
      <c r="BD2131" t="e" vm="1">
        <v>#REF!</v>
      </c>
      <c r="BF2131" t="e" vm="2">
        <f t="shared" si="214"/>
        <v>#VALUE!</v>
      </c>
      <c r="BG2131" t="e" vm="2">
        <f t="shared" si="215"/>
        <v>#VALUE!</v>
      </c>
      <c r="BJ2131" s="21" t="e" vm="1">
        <v>#REF!</v>
      </c>
      <c r="BK2131" t="e" vm="1">
        <v>#REF!</v>
      </c>
      <c r="BM2131" t="e" vm="2">
        <f t="shared" si="216"/>
        <v>#VALUE!</v>
      </c>
      <c r="BN2131" t="e" vm="2">
        <f t="shared" si="217"/>
        <v>#VALUE!</v>
      </c>
    </row>
    <row r="2132" spans="55:66" x14ac:dyDescent="0.2">
      <c r="BC2132" s="21" t="e" vm="1">
        <v>#REF!</v>
      </c>
      <c r="BD2132" t="e" vm="1">
        <v>#REF!</v>
      </c>
      <c r="BF2132" t="e" vm="2">
        <f t="shared" si="214"/>
        <v>#VALUE!</v>
      </c>
      <c r="BG2132" t="e" vm="2">
        <f t="shared" si="215"/>
        <v>#VALUE!</v>
      </c>
      <c r="BJ2132" s="21" t="e" vm="1">
        <v>#REF!</v>
      </c>
      <c r="BK2132" t="e" vm="1">
        <v>#REF!</v>
      </c>
      <c r="BM2132" t="e" vm="2">
        <f t="shared" si="216"/>
        <v>#VALUE!</v>
      </c>
      <c r="BN2132" t="e" vm="2">
        <f t="shared" si="217"/>
        <v>#VALUE!</v>
      </c>
    </row>
    <row r="2133" spans="55:66" x14ac:dyDescent="0.2">
      <c r="BC2133" s="21" t="e" vm="1">
        <v>#REF!</v>
      </c>
      <c r="BD2133" t="e" vm="1">
        <v>#REF!</v>
      </c>
      <c r="BF2133" t="e" vm="2">
        <f t="shared" si="214"/>
        <v>#VALUE!</v>
      </c>
      <c r="BG2133" t="e" vm="2">
        <f t="shared" si="215"/>
        <v>#VALUE!</v>
      </c>
      <c r="BJ2133" s="21" t="e" vm="1">
        <v>#REF!</v>
      </c>
      <c r="BK2133" t="e" vm="1">
        <v>#REF!</v>
      </c>
      <c r="BM2133" t="e" vm="2">
        <f t="shared" si="216"/>
        <v>#VALUE!</v>
      </c>
      <c r="BN2133" t="e" vm="2">
        <f t="shared" si="217"/>
        <v>#VALUE!</v>
      </c>
    </row>
    <row r="2134" spans="55:66" x14ac:dyDescent="0.2">
      <c r="BC2134" s="21" t="e" vm="1">
        <v>#REF!</v>
      </c>
      <c r="BD2134" t="e" vm="1">
        <v>#REF!</v>
      </c>
      <c r="BF2134" t="e" vm="2">
        <f t="shared" si="214"/>
        <v>#VALUE!</v>
      </c>
      <c r="BG2134" t="e" vm="2">
        <f t="shared" si="215"/>
        <v>#VALUE!</v>
      </c>
      <c r="BJ2134" s="21" t="e" vm="1">
        <v>#REF!</v>
      </c>
      <c r="BK2134" t="e" vm="1">
        <v>#REF!</v>
      </c>
      <c r="BM2134" t="e" vm="2">
        <f t="shared" si="216"/>
        <v>#VALUE!</v>
      </c>
      <c r="BN2134" t="e" vm="2">
        <f t="shared" si="217"/>
        <v>#VALUE!</v>
      </c>
    </row>
    <row r="2135" spans="55:66" x14ac:dyDescent="0.2">
      <c r="BC2135" s="21" t="e" vm="1">
        <v>#REF!</v>
      </c>
      <c r="BD2135" t="e" vm="1">
        <v>#REF!</v>
      </c>
      <c r="BF2135" t="e" vm="2">
        <f t="shared" si="214"/>
        <v>#VALUE!</v>
      </c>
      <c r="BG2135" t="e" vm="2">
        <f t="shared" si="215"/>
        <v>#VALUE!</v>
      </c>
      <c r="BJ2135" s="21" t="e" vm="1">
        <v>#REF!</v>
      </c>
      <c r="BK2135" t="e" vm="1">
        <v>#REF!</v>
      </c>
      <c r="BM2135" t="e" vm="2">
        <f t="shared" si="216"/>
        <v>#VALUE!</v>
      </c>
      <c r="BN2135" t="e" vm="2">
        <f t="shared" si="217"/>
        <v>#VALUE!</v>
      </c>
    </row>
    <row r="2136" spans="55:66" x14ac:dyDescent="0.2">
      <c r="BC2136" s="21" t="e" vm="1">
        <v>#REF!</v>
      </c>
      <c r="BD2136" t="e" vm="1">
        <v>#REF!</v>
      </c>
      <c r="BF2136" t="e" vm="2">
        <f t="shared" si="214"/>
        <v>#VALUE!</v>
      </c>
      <c r="BG2136" t="e" vm="2">
        <f t="shared" si="215"/>
        <v>#VALUE!</v>
      </c>
      <c r="BJ2136" s="21" t="e" vm="1">
        <v>#REF!</v>
      </c>
      <c r="BK2136" t="e" vm="1">
        <v>#REF!</v>
      </c>
      <c r="BM2136" t="e" vm="2">
        <f t="shared" si="216"/>
        <v>#VALUE!</v>
      </c>
      <c r="BN2136" t="e" vm="2">
        <f t="shared" si="217"/>
        <v>#VALUE!</v>
      </c>
    </row>
    <row r="2137" spans="55:66" x14ac:dyDescent="0.2">
      <c r="BC2137" s="21" t="e" vm="1">
        <v>#REF!</v>
      </c>
      <c r="BD2137" t="e" vm="1">
        <v>#REF!</v>
      </c>
      <c r="BF2137" t="e" vm="2">
        <f t="shared" si="214"/>
        <v>#VALUE!</v>
      </c>
      <c r="BG2137" t="e" vm="2">
        <f t="shared" si="215"/>
        <v>#VALUE!</v>
      </c>
      <c r="BJ2137" s="21" t="e" vm="1">
        <v>#REF!</v>
      </c>
      <c r="BK2137" t="e" vm="1">
        <v>#REF!</v>
      </c>
      <c r="BM2137" t="e" vm="2">
        <f t="shared" si="216"/>
        <v>#VALUE!</v>
      </c>
      <c r="BN2137" t="e" vm="2">
        <f t="shared" si="217"/>
        <v>#VALUE!</v>
      </c>
    </row>
    <row r="2138" spans="55:66" x14ac:dyDescent="0.2">
      <c r="BC2138" s="21" t="e" vm="1">
        <v>#REF!</v>
      </c>
      <c r="BD2138" t="e" vm="1">
        <v>#REF!</v>
      </c>
      <c r="BF2138" t="e" vm="2">
        <f t="shared" si="214"/>
        <v>#VALUE!</v>
      </c>
      <c r="BG2138" t="e" vm="2">
        <f t="shared" si="215"/>
        <v>#VALUE!</v>
      </c>
      <c r="BJ2138" s="21" t="e" vm="1">
        <v>#REF!</v>
      </c>
      <c r="BK2138" t="e" vm="1">
        <v>#REF!</v>
      </c>
      <c r="BM2138" t="e" vm="2">
        <f t="shared" si="216"/>
        <v>#VALUE!</v>
      </c>
      <c r="BN2138" t="e" vm="2">
        <f t="shared" si="217"/>
        <v>#VALUE!</v>
      </c>
    </row>
    <row r="2139" spans="55:66" x14ac:dyDescent="0.2">
      <c r="BC2139" s="21" t="e" vm="1">
        <v>#REF!</v>
      </c>
      <c r="BD2139" t="e" vm="1">
        <v>#REF!</v>
      </c>
      <c r="BF2139" t="e" vm="2">
        <f t="shared" si="214"/>
        <v>#VALUE!</v>
      </c>
      <c r="BG2139" t="e" vm="2">
        <f t="shared" si="215"/>
        <v>#VALUE!</v>
      </c>
      <c r="BJ2139" s="21" t="e" vm="1">
        <v>#REF!</v>
      </c>
      <c r="BK2139" t="e" vm="1">
        <v>#REF!</v>
      </c>
      <c r="BM2139" t="e" vm="2">
        <f t="shared" si="216"/>
        <v>#VALUE!</v>
      </c>
      <c r="BN2139" t="e" vm="2">
        <f t="shared" si="217"/>
        <v>#VALUE!</v>
      </c>
    </row>
    <row r="2140" spans="55:66" x14ac:dyDescent="0.2">
      <c r="BC2140" s="21" t="e" vm="1">
        <v>#REF!</v>
      </c>
      <c r="BD2140" t="e" vm="1">
        <v>#REF!</v>
      </c>
      <c r="BF2140" t="e" vm="2">
        <f t="shared" si="214"/>
        <v>#VALUE!</v>
      </c>
      <c r="BG2140" t="e" vm="2">
        <f t="shared" si="215"/>
        <v>#VALUE!</v>
      </c>
      <c r="BJ2140" s="21" t="e" vm="1">
        <v>#REF!</v>
      </c>
      <c r="BK2140" t="e" vm="1">
        <v>#REF!</v>
      </c>
      <c r="BM2140" t="e" vm="2">
        <f t="shared" si="216"/>
        <v>#VALUE!</v>
      </c>
      <c r="BN2140" t="e" vm="2">
        <f t="shared" si="217"/>
        <v>#VALUE!</v>
      </c>
    </row>
    <row r="2141" spans="55:66" x14ac:dyDescent="0.2">
      <c r="BC2141" s="21" t="e" vm="1">
        <v>#REF!</v>
      </c>
      <c r="BD2141" t="e" vm="1">
        <v>#REF!</v>
      </c>
      <c r="BF2141" t="e" vm="2">
        <f t="shared" si="214"/>
        <v>#VALUE!</v>
      </c>
      <c r="BG2141" t="e" vm="2">
        <f t="shared" si="215"/>
        <v>#VALUE!</v>
      </c>
      <c r="BJ2141" s="21" t="e" vm="1">
        <v>#REF!</v>
      </c>
      <c r="BK2141" t="e" vm="1">
        <v>#REF!</v>
      </c>
      <c r="BM2141" t="e" vm="2">
        <f t="shared" si="216"/>
        <v>#VALUE!</v>
      </c>
      <c r="BN2141" t="e" vm="2">
        <f t="shared" si="217"/>
        <v>#VALUE!</v>
      </c>
    </row>
    <row r="2142" spans="55:66" x14ac:dyDescent="0.2">
      <c r="BC2142" s="21" t="e" vm="1">
        <v>#REF!</v>
      </c>
      <c r="BD2142" t="e" vm="1">
        <v>#REF!</v>
      </c>
      <c r="BF2142" t="e" vm="2">
        <f t="shared" si="214"/>
        <v>#VALUE!</v>
      </c>
      <c r="BG2142" t="e" vm="2">
        <f t="shared" si="215"/>
        <v>#VALUE!</v>
      </c>
      <c r="BJ2142" s="21" t="e" vm="1">
        <v>#REF!</v>
      </c>
      <c r="BK2142" t="e" vm="1">
        <v>#REF!</v>
      </c>
      <c r="BM2142" t="e" vm="2">
        <f t="shared" si="216"/>
        <v>#VALUE!</v>
      </c>
      <c r="BN2142" t="e" vm="2">
        <f t="shared" si="217"/>
        <v>#VALUE!</v>
      </c>
    </row>
    <row r="2143" spans="55:66" x14ac:dyDescent="0.2">
      <c r="BC2143" s="21" t="e" vm="1">
        <v>#REF!</v>
      </c>
      <c r="BD2143" t="e" vm="1">
        <v>#REF!</v>
      </c>
      <c r="BF2143" t="e" vm="2">
        <f t="shared" si="214"/>
        <v>#VALUE!</v>
      </c>
      <c r="BG2143" t="e" vm="2">
        <f t="shared" si="215"/>
        <v>#VALUE!</v>
      </c>
      <c r="BJ2143" s="21" t="e" vm="1">
        <v>#REF!</v>
      </c>
      <c r="BK2143" t="e" vm="1">
        <v>#REF!</v>
      </c>
      <c r="BM2143" t="e" vm="2">
        <f t="shared" si="216"/>
        <v>#VALUE!</v>
      </c>
      <c r="BN2143" t="e" vm="2">
        <f t="shared" si="217"/>
        <v>#VALUE!</v>
      </c>
    </row>
    <row r="2144" spans="55:66" x14ac:dyDescent="0.2">
      <c r="BC2144" s="21" t="e" vm="1">
        <v>#REF!</v>
      </c>
      <c r="BD2144" t="e" vm="1">
        <v>#REF!</v>
      </c>
      <c r="BF2144" t="e" vm="2">
        <f t="shared" si="214"/>
        <v>#VALUE!</v>
      </c>
      <c r="BG2144" t="e" vm="2">
        <f t="shared" si="215"/>
        <v>#VALUE!</v>
      </c>
      <c r="BJ2144" s="21" t="e" vm="1">
        <v>#REF!</v>
      </c>
      <c r="BK2144" t="e" vm="1">
        <v>#REF!</v>
      </c>
      <c r="BM2144" t="e" vm="2">
        <f t="shared" si="216"/>
        <v>#VALUE!</v>
      </c>
      <c r="BN2144" t="e" vm="2">
        <f t="shared" si="217"/>
        <v>#VALUE!</v>
      </c>
    </row>
    <row r="2145" spans="55:66" x14ac:dyDescent="0.2">
      <c r="BC2145" s="21" t="e" vm="1">
        <v>#REF!</v>
      </c>
      <c r="BD2145" t="e" vm="1">
        <v>#REF!</v>
      </c>
      <c r="BF2145" t="e" vm="2">
        <f t="shared" si="214"/>
        <v>#VALUE!</v>
      </c>
      <c r="BG2145" t="e" vm="2">
        <f t="shared" si="215"/>
        <v>#VALUE!</v>
      </c>
      <c r="BJ2145" s="21" t="e" vm="1">
        <v>#REF!</v>
      </c>
      <c r="BK2145" t="e" vm="1">
        <v>#REF!</v>
      </c>
      <c r="BM2145" t="e" vm="2">
        <f t="shared" si="216"/>
        <v>#VALUE!</v>
      </c>
      <c r="BN2145" t="e" vm="2">
        <f t="shared" si="217"/>
        <v>#VALUE!</v>
      </c>
    </row>
    <row r="2146" spans="55:66" x14ac:dyDescent="0.2">
      <c r="BC2146" s="21" t="e" vm="1">
        <v>#REF!</v>
      </c>
      <c r="BD2146" t="e" vm="1">
        <v>#REF!</v>
      </c>
      <c r="BF2146" t="e" vm="2">
        <f t="shared" si="214"/>
        <v>#VALUE!</v>
      </c>
      <c r="BG2146" t="e" vm="2">
        <f t="shared" si="215"/>
        <v>#VALUE!</v>
      </c>
      <c r="BJ2146" s="21" t="e" vm="1">
        <v>#REF!</v>
      </c>
      <c r="BK2146" t="e" vm="1">
        <v>#REF!</v>
      </c>
      <c r="BM2146" t="e" vm="2">
        <f t="shared" si="216"/>
        <v>#VALUE!</v>
      </c>
      <c r="BN2146" t="e" vm="2">
        <f t="shared" si="217"/>
        <v>#VALUE!</v>
      </c>
    </row>
    <row r="2147" spans="55:66" x14ac:dyDescent="0.2">
      <c r="BC2147" s="21" t="e" vm="1">
        <v>#REF!</v>
      </c>
      <c r="BD2147" t="e" vm="1">
        <v>#REF!</v>
      </c>
      <c r="BF2147" t="e" vm="2">
        <f t="shared" si="214"/>
        <v>#VALUE!</v>
      </c>
      <c r="BG2147" t="e" vm="2">
        <f t="shared" si="215"/>
        <v>#VALUE!</v>
      </c>
      <c r="BJ2147" s="21" t="e" vm="1">
        <v>#REF!</v>
      </c>
      <c r="BK2147" t="e" vm="1">
        <v>#REF!</v>
      </c>
      <c r="BM2147" t="e" vm="2">
        <f t="shared" si="216"/>
        <v>#VALUE!</v>
      </c>
      <c r="BN2147" t="e" vm="2">
        <f t="shared" si="217"/>
        <v>#VALUE!</v>
      </c>
    </row>
    <row r="2148" spans="55:66" x14ac:dyDescent="0.2">
      <c r="BC2148" s="21" t="e" vm="1">
        <v>#REF!</v>
      </c>
      <c r="BD2148" t="e" vm="1">
        <v>#REF!</v>
      </c>
      <c r="BF2148" t="e" vm="2">
        <f t="shared" si="214"/>
        <v>#VALUE!</v>
      </c>
      <c r="BG2148" t="e" vm="2">
        <f t="shared" si="215"/>
        <v>#VALUE!</v>
      </c>
      <c r="BJ2148" s="21" t="e" vm="1">
        <v>#REF!</v>
      </c>
      <c r="BK2148" t="e" vm="1">
        <v>#REF!</v>
      </c>
      <c r="BM2148" t="e" vm="2">
        <f t="shared" si="216"/>
        <v>#VALUE!</v>
      </c>
      <c r="BN2148" t="e" vm="2">
        <f t="shared" si="217"/>
        <v>#VALUE!</v>
      </c>
    </row>
    <row r="2149" spans="55:66" x14ac:dyDescent="0.2">
      <c r="BC2149" s="21" t="e" vm="1">
        <v>#REF!</v>
      </c>
      <c r="BD2149" t="e" vm="1">
        <v>#REF!</v>
      </c>
      <c r="BF2149" t="e" vm="2">
        <f t="shared" si="214"/>
        <v>#VALUE!</v>
      </c>
      <c r="BG2149" t="e" vm="2">
        <f t="shared" si="215"/>
        <v>#VALUE!</v>
      </c>
      <c r="BJ2149" s="21" t="e" vm="1">
        <v>#REF!</v>
      </c>
      <c r="BK2149" t="e" vm="1">
        <v>#REF!</v>
      </c>
      <c r="BM2149" t="e" vm="2">
        <f t="shared" si="216"/>
        <v>#VALUE!</v>
      </c>
      <c r="BN2149" t="e" vm="2">
        <f t="shared" si="217"/>
        <v>#VALUE!</v>
      </c>
    </row>
    <row r="2150" spans="55:66" x14ac:dyDescent="0.2">
      <c r="BC2150" s="21" t="e" vm="1">
        <v>#REF!</v>
      </c>
      <c r="BD2150" t="e" vm="1">
        <v>#REF!</v>
      </c>
      <c r="BF2150" t="e" vm="2">
        <f t="shared" si="214"/>
        <v>#VALUE!</v>
      </c>
      <c r="BG2150" t="e" vm="2">
        <f t="shared" si="215"/>
        <v>#VALUE!</v>
      </c>
      <c r="BJ2150" s="21" t="e" vm="1">
        <v>#REF!</v>
      </c>
      <c r="BK2150" t="e" vm="1">
        <v>#REF!</v>
      </c>
      <c r="BM2150" t="e" vm="2">
        <f t="shared" si="216"/>
        <v>#VALUE!</v>
      </c>
      <c r="BN2150" t="e" vm="2">
        <f t="shared" si="217"/>
        <v>#VALUE!</v>
      </c>
    </row>
    <row r="2151" spans="55:66" x14ac:dyDescent="0.2">
      <c r="BC2151" s="21" t="e" vm="1">
        <v>#REF!</v>
      </c>
      <c r="BD2151" t="e" vm="1">
        <v>#REF!</v>
      </c>
      <c r="BF2151" t="e" vm="2">
        <f t="shared" si="214"/>
        <v>#VALUE!</v>
      </c>
      <c r="BG2151" t="e" vm="2">
        <f t="shared" si="215"/>
        <v>#VALUE!</v>
      </c>
      <c r="BJ2151" s="21" t="e" vm="1">
        <v>#REF!</v>
      </c>
      <c r="BK2151" t="e" vm="1">
        <v>#REF!</v>
      </c>
      <c r="BM2151" t="e" vm="2">
        <f t="shared" si="216"/>
        <v>#VALUE!</v>
      </c>
      <c r="BN2151" t="e" vm="2">
        <f t="shared" si="217"/>
        <v>#VALUE!</v>
      </c>
    </row>
    <row r="2152" spans="55:66" x14ac:dyDescent="0.2">
      <c r="BC2152" s="21" t="e" vm="1">
        <v>#REF!</v>
      </c>
      <c r="BD2152" t="e" vm="1">
        <v>#REF!</v>
      </c>
      <c r="BF2152" t="e" vm="2">
        <f t="shared" si="214"/>
        <v>#VALUE!</v>
      </c>
      <c r="BG2152" t="e" vm="2">
        <f t="shared" si="215"/>
        <v>#VALUE!</v>
      </c>
      <c r="BJ2152" s="21" t="e" vm="1">
        <v>#REF!</v>
      </c>
      <c r="BK2152" t="e" vm="1">
        <v>#REF!</v>
      </c>
      <c r="BM2152" t="e" vm="2">
        <f t="shared" si="216"/>
        <v>#VALUE!</v>
      </c>
      <c r="BN2152" t="e" vm="2">
        <f t="shared" si="217"/>
        <v>#VALUE!</v>
      </c>
    </row>
    <row r="2153" spans="55:66" x14ac:dyDescent="0.2">
      <c r="BC2153" s="21" t="e" vm="1">
        <v>#REF!</v>
      </c>
      <c r="BD2153" t="e" vm="1">
        <v>#REF!</v>
      </c>
      <c r="BF2153" t="e" vm="2">
        <f t="shared" si="214"/>
        <v>#VALUE!</v>
      </c>
      <c r="BG2153" t="e" vm="2">
        <f t="shared" si="215"/>
        <v>#VALUE!</v>
      </c>
      <c r="BJ2153" s="21" t="e" vm="1">
        <v>#REF!</v>
      </c>
      <c r="BK2153" t="e" vm="1">
        <v>#REF!</v>
      </c>
      <c r="BM2153" t="e" vm="2">
        <f t="shared" si="216"/>
        <v>#VALUE!</v>
      </c>
      <c r="BN2153" t="e" vm="2">
        <f t="shared" si="217"/>
        <v>#VALUE!</v>
      </c>
    </row>
    <row r="2154" spans="55:66" x14ac:dyDescent="0.2">
      <c r="BC2154" s="21" t="e" vm="1">
        <v>#REF!</v>
      </c>
      <c r="BD2154" t="e" vm="1">
        <v>#REF!</v>
      </c>
      <c r="BF2154" t="e" vm="2">
        <f t="shared" si="214"/>
        <v>#VALUE!</v>
      </c>
      <c r="BG2154" t="e" vm="2">
        <f t="shared" si="215"/>
        <v>#VALUE!</v>
      </c>
      <c r="BJ2154" s="21" t="e" vm="1">
        <v>#REF!</v>
      </c>
      <c r="BK2154" t="e" vm="1">
        <v>#REF!</v>
      </c>
      <c r="BM2154" t="e" vm="2">
        <f t="shared" si="216"/>
        <v>#VALUE!</v>
      </c>
      <c r="BN2154" t="e" vm="2">
        <f t="shared" si="217"/>
        <v>#VALUE!</v>
      </c>
    </row>
    <row r="2155" spans="55:66" x14ac:dyDescent="0.2">
      <c r="BC2155" s="21" t="e" vm="1">
        <v>#REF!</v>
      </c>
      <c r="BD2155" t="e" vm="1">
        <v>#REF!</v>
      </c>
      <c r="BF2155" t="e" vm="2">
        <f t="shared" si="214"/>
        <v>#VALUE!</v>
      </c>
      <c r="BG2155" t="e" vm="2">
        <f t="shared" si="215"/>
        <v>#VALUE!</v>
      </c>
      <c r="BJ2155" s="21" t="e" vm="1">
        <v>#REF!</v>
      </c>
      <c r="BK2155" t="e" vm="1">
        <v>#REF!</v>
      </c>
      <c r="BM2155" t="e" vm="2">
        <f t="shared" si="216"/>
        <v>#VALUE!</v>
      </c>
      <c r="BN2155" t="e" vm="2">
        <f t="shared" si="217"/>
        <v>#VALUE!</v>
      </c>
    </row>
    <row r="2156" spans="55:66" x14ac:dyDescent="0.2">
      <c r="BC2156" s="21" t="e" vm="1">
        <v>#REF!</v>
      </c>
      <c r="BD2156" t="e" vm="1">
        <v>#REF!</v>
      </c>
      <c r="BF2156" t="e" vm="2">
        <f t="shared" si="214"/>
        <v>#VALUE!</v>
      </c>
      <c r="BG2156" t="e" vm="2">
        <f t="shared" si="215"/>
        <v>#VALUE!</v>
      </c>
      <c r="BJ2156" s="21" t="e" vm="1">
        <v>#REF!</v>
      </c>
      <c r="BK2156" t="e" vm="1">
        <v>#REF!</v>
      </c>
      <c r="BM2156" t="e" vm="2">
        <f t="shared" si="216"/>
        <v>#VALUE!</v>
      </c>
      <c r="BN2156" t="e" vm="2">
        <f t="shared" si="217"/>
        <v>#VALUE!</v>
      </c>
    </row>
    <row r="2157" spans="55:66" x14ac:dyDescent="0.2">
      <c r="BC2157" s="21" t="e" vm="1">
        <v>#REF!</v>
      </c>
      <c r="BD2157" t="e" vm="1">
        <v>#REF!</v>
      </c>
      <c r="BF2157" t="e" vm="2">
        <f t="shared" si="214"/>
        <v>#VALUE!</v>
      </c>
      <c r="BG2157" t="e" vm="2">
        <f t="shared" si="215"/>
        <v>#VALUE!</v>
      </c>
      <c r="BJ2157" s="21" t="e" vm="1">
        <v>#REF!</v>
      </c>
      <c r="BK2157" t="e" vm="1">
        <v>#REF!</v>
      </c>
      <c r="BM2157" t="e" vm="2">
        <f t="shared" si="216"/>
        <v>#VALUE!</v>
      </c>
      <c r="BN2157" t="e" vm="2">
        <f t="shared" si="217"/>
        <v>#VALUE!</v>
      </c>
    </row>
    <row r="2158" spans="55:66" x14ac:dyDescent="0.2">
      <c r="BC2158" s="21" t="e" vm="1">
        <v>#REF!</v>
      </c>
      <c r="BD2158" t="e" vm="1">
        <v>#REF!</v>
      </c>
      <c r="BF2158" t="e" vm="2">
        <f t="shared" si="214"/>
        <v>#VALUE!</v>
      </c>
      <c r="BG2158" t="e" vm="2">
        <f t="shared" si="215"/>
        <v>#VALUE!</v>
      </c>
      <c r="BJ2158" s="21" t="e" vm="1">
        <v>#REF!</v>
      </c>
      <c r="BK2158" t="e" vm="1">
        <v>#REF!</v>
      </c>
      <c r="BM2158" t="e" vm="2">
        <f t="shared" si="216"/>
        <v>#VALUE!</v>
      </c>
      <c r="BN2158" t="e" vm="2">
        <f t="shared" si="217"/>
        <v>#VALUE!</v>
      </c>
    </row>
    <row r="2159" spans="55:66" x14ac:dyDescent="0.2">
      <c r="BC2159" s="21" t="e" vm="1">
        <v>#REF!</v>
      </c>
      <c r="BD2159" t="e" vm="1">
        <v>#REF!</v>
      </c>
      <c r="BF2159" t="e" vm="2">
        <f t="shared" si="214"/>
        <v>#VALUE!</v>
      </c>
      <c r="BG2159" t="e" vm="2">
        <f t="shared" si="215"/>
        <v>#VALUE!</v>
      </c>
      <c r="BJ2159" s="21" t="e" vm="1">
        <v>#REF!</v>
      </c>
      <c r="BK2159" t="e" vm="1">
        <v>#REF!</v>
      </c>
      <c r="BM2159" t="e" vm="2">
        <f t="shared" si="216"/>
        <v>#VALUE!</v>
      </c>
      <c r="BN2159" t="e" vm="2">
        <f t="shared" si="217"/>
        <v>#VALUE!</v>
      </c>
    </row>
    <row r="2160" spans="55:66" x14ac:dyDescent="0.2">
      <c r="BC2160" s="21" t="e" vm="1">
        <v>#REF!</v>
      </c>
      <c r="BD2160" t="e" vm="1">
        <v>#REF!</v>
      </c>
      <c r="BF2160" t="e" vm="2">
        <f t="shared" si="214"/>
        <v>#VALUE!</v>
      </c>
      <c r="BG2160" t="e" vm="2">
        <f t="shared" si="215"/>
        <v>#VALUE!</v>
      </c>
      <c r="BJ2160" s="21" t="e" vm="1">
        <v>#REF!</v>
      </c>
      <c r="BK2160" t="e" vm="1">
        <v>#REF!</v>
      </c>
      <c r="BM2160" t="e" vm="2">
        <f t="shared" si="216"/>
        <v>#VALUE!</v>
      </c>
      <c r="BN2160" t="e" vm="2">
        <f t="shared" si="217"/>
        <v>#VALUE!</v>
      </c>
    </row>
    <row r="2161" spans="55:66" x14ac:dyDescent="0.2">
      <c r="BC2161" s="21" t="e" vm="1">
        <v>#REF!</v>
      </c>
      <c r="BD2161" t="e" vm="1">
        <v>#REF!</v>
      </c>
      <c r="BF2161" t="e" vm="2">
        <f t="shared" si="214"/>
        <v>#VALUE!</v>
      </c>
      <c r="BG2161" t="e" vm="2">
        <f t="shared" si="215"/>
        <v>#VALUE!</v>
      </c>
      <c r="BJ2161" s="21" t="e" vm="1">
        <v>#REF!</v>
      </c>
      <c r="BK2161" t="e" vm="1">
        <v>#REF!</v>
      </c>
      <c r="BM2161" t="e" vm="2">
        <f t="shared" si="216"/>
        <v>#VALUE!</v>
      </c>
      <c r="BN2161" t="e" vm="2">
        <f t="shared" si="217"/>
        <v>#VALUE!</v>
      </c>
    </row>
    <row r="2162" spans="55:66" x14ac:dyDescent="0.2">
      <c r="BC2162" s="21" t="e" vm="1">
        <v>#REF!</v>
      </c>
      <c r="BD2162" t="e" vm="1">
        <v>#REF!</v>
      </c>
      <c r="BF2162" t="e" vm="2">
        <f t="shared" si="214"/>
        <v>#VALUE!</v>
      </c>
      <c r="BG2162" t="e" vm="2">
        <f t="shared" si="215"/>
        <v>#VALUE!</v>
      </c>
      <c r="BJ2162" s="21" t="e" vm="1">
        <v>#REF!</v>
      </c>
      <c r="BK2162" t="e" vm="1">
        <v>#REF!</v>
      </c>
      <c r="BM2162" t="e" vm="2">
        <f t="shared" si="216"/>
        <v>#VALUE!</v>
      </c>
      <c r="BN2162" t="e" vm="2">
        <f t="shared" si="217"/>
        <v>#VALUE!</v>
      </c>
    </row>
    <row r="2163" spans="55:66" x14ac:dyDescent="0.2">
      <c r="BC2163" s="21" t="e" vm="1">
        <v>#REF!</v>
      </c>
      <c r="BD2163" t="e" vm="1">
        <v>#REF!</v>
      </c>
      <c r="BF2163" t="e" vm="2">
        <f t="shared" si="214"/>
        <v>#VALUE!</v>
      </c>
      <c r="BG2163" t="e" vm="2">
        <f t="shared" si="215"/>
        <v>#VALUE!</v>
      </c>
      <c r="BJ2163" s="21" t="e" vm="1">
        <v>#REF!</v>
      </c>
      <c r="BK2163" t="e" vm="1">
        <v>#REF!</v>
      </c>
      <c r="BM2163" t="e" vm="2">
        <f t="shared" si="216"/>
        <v>#VALUE!</v>
      </c>
      <c r="BN2163" t="e" vm="2">
        <f t="shared" si="217"/>
        <v>#VALUE!</v>
      </c>
    </row>
    <row r="2164" spans="55:66" x14ac:dyDescent="0.2">
      <c r="BC2164" s="21" t="e" vm="1">
        <v>#REF!</v>
      </c>
      <c r="BD2164" t="e" vm="1">
        <v>#REF!</v>
      </c>
      <c r="BF2164" t="e" vm="2">
        <f t="shared" si="214"/>
        <v>#VALUE!</v>
      </c>
      <c r="BG2164" t="e" vm="2">
        <f t="shared" si="215"/>
        <v>#VALUE!</v>
      </c>
      <c r="BJ2164" s="21" t="e" vm="1">
        <v>#REF!</v>
      </c>
      <c r="BK2164" t="e" vm="1">
        <v>#REF!</v>
      </c>
      <c r="BM2164" t="e" vm="2">
        <f t="shared" si="216"/>
        <v>#VALUE!</v>
      </c>
      <c r="BN2164" t="e" vm="2">
        <f t="shared" si="217"/>
        <v>#VALUE!</v>
      </c>
    </row>
    <row r="2165" spans="55:66" x14ac:dyDescent="0.2">
      <c r="BC2165" s="21" t="e" vm="1">
        <v>#REF!</v>
      </c>
      <c r="BD2165" t="e" vm="1">
        <v>#REF!</v>
      </c>
      <c r="BF2165" t="e" vm="2">
        <f t="shared" si="214"/>
        <v>#VALUE!</v>
      </c>
      <c r="BG2165" t="e" vm="2">
        <f t="shared" si="215"/>
        <v>#VALUE!</v>
      </c>
      <c r="BJ2165" s="21" t="e" vm="1">
        <v>#REF!</v>
      </c>
      <c r="BK2165" t="e" vm="1">
        <v>#REF!</v>
      </c>
      <c r="BM2165" t="e" vm="2">
        <f t="shared" si="216"/>
        <v>#VALUE!</v>
      </c>
      <c r="BN2165" t="e" vm="2">
        <f t="shared" si="217"/>
        <v>#VALUE!</v>
      </c>
    </row>
    <row r="2166" spans="55:66" x14ac:dyDescent="0.2">
      <c r="BC2166" s="21" t="e" vm="1">
        <v>#REF!</v>
      </c>
      <c r="BD2166" t="e" vm="1">
        <v>#REF!</v>
      </c>
      <c r="BF2166" t="e" vm="2">
        <f t="shared" si="214"/>
        <v>#VALUE!</v>
      </c>
      <c r="BG2166" t="e" vm="2">
        <f t="shared" si="215"/>
        <v>#VALUE!</v>
      </c>
      <c r="BJ2166" s="21" t="e" vm="1">
        <v>#REF!</v>
      </c>
      <c r="BK2166" t="e" vm="1">
        <v>#REF!</v>
      </c>
      <c r="BM2166" t="e" vm="2">
        <f t="shared" si="216"/>
        <v>#VALUE!</v>
      </c>
      <c r="BN2166" t="e" vm="2">
        <f t="shared" si="217"/>
        <v>#VALUE!</v>
      </c>
    </row>
    <row r="2167" spans="55:66" x14ac:dyDescent="0.2">
      <c r="BC2167" s="21" t="e" vm="1">
        <v>#REF!</v>
      </c>
      <c r="BD2167" t="e" vm="1">
        <v>#REF!</v>
      </c>
      <c r="BF2167" t="e" vm="2">
        <f t="shared" si="214"/>
        <v>#VALUE!</v>
      </c>
      <c r="BG2167" t="e" vm="2">
        <f t="shared" si="215"/>
        <v>#VALUE!</v>
      </c>
      <c r="BJ2167" s="21" t="e" vm="1">
        <v>#REF!</v>
      </c>
      <c r="BK2167" t="e" vm="1">
        <v>#REF!</v>
      </c>
      <c r="BM2167" t="e" vm="2">
        <f t="shared" si="216"/>
        <v>#VALUE!</v>
      </c>
      <c r="BN2167" t="e" vm="2">
        <f t="shared" si="217"/>
        <v>#VALUE!</v>
      </c>
    </row>
    <row r="2168" spans="55:66" x14ac:dyDescent="0.2">
      <c r="BC2168" s="21" t="e" vm="1">
        <v>#REF!</v>
      </c>
      <c r="BD2168" t="e" vm="1">
        <v>#REF!</v>
      </c>
      <c r="BF2168" t="e" vm="2">
        <f t="shared" si="214"/>
        <v>#VALUE!</v>
      </c>
      <c r="BG2168" t="e" vm="2">
        <f t="shared" si="215"/>
        <v>#VALUE!</v>
      </c>
      <c r="BJ2168" s="21" t="e" vm="1">
        <v>#REF!</v>
      </c>
      <c r="BK2168" t="e" vm="1">
        <v>#REF!</v>
      </c>
      <c r="BM2168" t="e" vm="2">
        <f t="shared" si="216"/>
        <v>#VALUE!</v>
      </c>
      <c r="BN2168" t="e" vm="2">
        <f t="shared" si="217"/>
        <v>#VALUE!</v>
      </c>
    </row>
    <row r="2169" spans="55:66" x14ac:dyDescent="0.2">
      <c r="BC2169" s="21" t="e" vm="1">
        <v>#REF!</v>
      </c>
      <c r="BD2169" t="e" vm="1">
        <v>#REF!</v>
      </c>
      <c r="BF2169" t="e" vm="2">
        <f t="shared" si="214"/>
        <v>#VALUE!</v>
      </c>
      <c r="BG2169" t="e" vm="2">
        <f t="shared" si="215"/>
        <v>#VALUE!</v>
      </c>
      <c r="BJ2169" s="21" t="e" vm="1">
        <v>#REF!</v>
      </c>
      <c r="BK2169" t="e" vm="1">
        <v>#REF!</v>
      </c>
      <c r="BM2169" t="e" vm="2">
        <f t="shared" si="216"/>
        <v>#VALUE!</v>
      </c>
      <c r="BN2169" t="e" vm="2">
        <f t="shared" si="217"/>
        <v>#VALUE!</v>
      </c>
    </row>
    <row r="2170" spans="55:66" x14ac:dyDescent="0.2">
      <c r="BC2170" s="21" t="e" vm="1">
        <v>#REF!</v>
      </c>
      <c r="BD2170" t="e" vm="1">
        <v>#REF!</v>
      </c>
      <c r="BF2170" t="e" vm="2">
        <f t="shared" si="214"/>
        <v>#VALUE!</v>
      </c>
      <c r="BG2170" t="e" vm="2">
        <f t="shared" si="215"/>
        <v>#VALUE!</v>
      </c>
      <c r="BJ2170" s="21" t="e" vm="1">
        <v>#REF!</v>
      </c>
      <c r="BK2170" t="e" vm="1">
        <v>#REF!</v>
      </c>
      <c r="BM2170" t="e" vm="2">
        <f t="shared" si="216"/>
        <v>#VALUE!</v>
      </c>
      <c r="BN2170" t="e" vm="2">
        <f t="shared" si="217"/>
        <v>#VALUE!</v>
      </c>
    </row>
    <row r="2171" spans="55:66" x14ac:dyDescent="0.2">
      <c r="BC2171" s="21" t="e" vm="1">
        <v>#REF!</v>
      </c>
      <c r="BD2171" t="e" vm="1">
        <v>#REF!</v>
      </c>
      <c r="BF2171" t="e" vm="2">
        <f t="shared" si="214"/>
        <v>#VALUE!</v>
      </c>
      <c r="BG2171" t="e" vm="2">
        <f t="shared" si="215"/>
        <v>#VALUE!</v>
      </c>
      <c r="BJ2171" s="21" t="e" vm="1">
        <v>#REF!</v>
      </c>
      <c r="BK2171" t="e" vm="1">
        <v>#REF!</v>
      </c>
      <c r="BM2171" t="e" vm="2">
        <f t="shared" si="216"/>
        <v>#VALUE!</v>
      </c>
      <c r="BN2171" t="e" vm="2">
        <f t="shared" si="217"/>
        <v>#VALUE!</v>
      </c>
    </row>
    <row r="2172" spans="55:66" x14ac:dyDescent="0.2">
      <c r="BC2172" s="21" t="e" vm="1">
        <v>#REF!</v>
      </c>
      <c r="BD2172" t="e" vm="1">
        <v>#REF!</v>
      </c>
      <c r="BF2172" t="e" vm="2">
        <f t="shared" si="214"/>
        <v>#VALUE!</v>
      </c>
      <c r="BG2172" t="e" vm="2">
        <f t="shared" si="215"/>
        <v>#VALUE!</v>
      </c>
      <c r="BJ2172" s="21" t="e" vm="1">
        <v>#REF!</v>
      </c>
      <c r="BK2172" t="e" vm="1">
        <v>#REF!</v>
      </c>
      <c r="BM2172" t="e" vm="2">
        <f t="shared" si="216"/>
        <v>#VALUE!</v>
      </c>
      <c r="BN2172" t="e" vm="2">
        <f t="shared" si="217"/>
        <v>#VALUE!</v>
      </c>
    </row>
    <row r="2173" spans="55:66" x14ac:dyDescent="0.2">
      <c r="BC2173" s="21" t="e" vm="1">
        <v>#REF!</v>
      </c>
      <c r="BD2173" t="e" vm="1">
        <v>#REF!</v>
      </c>
      <c r="BF2173" t="e" vm="2">
        <f t="shared" si="214"/>
        <v>#VALUE!</v>
      </c>
      <c r="BG2173" t="e" vm="2">
        <f t="shared" si="215"/>
        <v>#VALUE!</v>
      </c>
      <c r="BJ2173" s="21" t="e" vm="1">
        <v>#REF!</v>
      </c>
      <c r="BK2173" t="e" vm="1">
        <v>#REF!</v>
      </c>
      <c r="BM2173" t="e" vm="2">
        <f t="shared" si="216"/>
        <v>#VALUE!</v>
      </c>
      <c r="BN2173" t="e" vm="2">
        <f t="shared" si="217"/>
        <v>#VALUE!</v>
      </c>
    </row>
    <row r="2174" spans="55:66" x14ac:dyDescent="0.2">
      <c r="BC2174" s="21" t="e" vm="1">
        <v>#REF!</v>
      </c>
      <c r="BD2174" t="e" vm="1">
        <v>#REF!</v>
      </c>
      <c r="BF2174" t="e" vm="2">
        <f t="shared" si="214"/>
        <v>#VALUE!</v>
      </c>
      <c r="BG2174" t="e" vm="2">
        <f t="shared" si="215"/>
        <v>#VALUE!</v>
      </c>
      <c r="BJ2174" s="21" t="e" vm="1">
        <v>#REF!</v>
      </c>
      <c r="BK2174" t="e" vm="1">
        <v>#REF!</v>
      </c>
      <c r="BM2174" t="e" vm="2">
        <f t="shared" si="216"/>
        <v>#VALUE!</v>
      </c>
      <c r="BN2174" t="e" vm="2">
        <f t="shared" si="217"/>
        <v>#VALUE!</v>
      </c>
    </row>
    <row r="2175" spans="55:66" x14ac:dyDescent="0.2">
      <c r="BC2175" s="21" t="e" vm="1">
        <v>#REF!</v>
      </c>
      <c r="BD2175" t="e" vm="1">
        <v>#REF!</v>
      </c>
      <c r="BF2175" t="e" vm="2">
        <f t="shared" si="214"/>
        <v>#VALUE!</v>
      </c>
      <c r="BG2175" t="e" vm="2">
        <f t="shared" si="215"/>
        <v>#VALUE!</v>
      </c>
      <c r="BJ2175" s="21" t="e" vm="1">
        <v>#REF!</v>
      </c>
      <c r="BK2175" t="e" vm="1">
        <v>#REF!</v>
      </c>
      <c r="BM2175" t="e" vm="2">
        <f t="shared" si="216"/>
        <v>#VALUE!</v>
      </c>
      <c r="BN2175" t="e" vm="2">
        <f t="shared" si="217"/>
        <v>#VALUE!</v>
      </c>
    </row>
    <row r="2176" spans="55:66" x14ac:dyDescent="0.2">
      <c r="BC2176" s="21" t="e" vm="1">
        <v>#REF!</v>
      </c>
      <c r="BD2176" t="e" vm="1">
        <v>#REF!</v>
      </c>
      <c r="BF2176" t="e" vm="2">
        <f t="shared" si="214"/>
        <v>#VALUE!</v>
      </c>
      <c r="BG2176" t="e" vm="2">
        <f t="shared" si="215"/>
        <v>#VALUE!</v>
      </c>
      <c r="BJ2176" s="21" t="e" vm="1">
        <v>#REF!</v>
      </c>
      <c r="BK2176" t="e" vm="1">
        <v>#REF!</v>
      </c>
      <c r="BM2176" t="e" vm="2">
        <f t="shared" si="216"/>
        <v>#VALUE!</v>
      </c>
      <c r="BN2176" t="e" vm="2">
        <f t="shared" si="217"/>
        <v>#VALUE!</v>
      </c>
    </row>
    <row r="2177" spans="55:66" x14ac:dyDescent="0.2">
      <c r="BC2177" s="21" t="e" vm="1">
        <v>#REF!</v>
      </c>
      <c r="BD2177" t="e" vm="1">
        <v>#REF!</v>
      </c>
      <c r="BF2177" t="e" vm="2">
        <f t="shared" si="214"/>
        <v>#VALUE!</v>
      </c>
      <c r="BG2177" t="e" vm="2">
        <f t="shared" si="215"/>
        <v>#VALUE!</v>
      </c>
      <c r="BJ2177" s="21" t="e" vm="1">
        <v>#REF!</v>
      </c>
      <c r="BK2177" t="e" vm="1">
        <v>#REF!</v>
      </c>
      <c r="BM2177" t="e" vm="2">
        <f t="shared" si="216"/>
        <v>#VALUE!</v>
      </c>
      <c r="BN2177" t="e" vm="2">
        <f t="shared" si="217"/>
        <v>#VALUE!</v>
      </c>
    </row>
    <row r="2178" spans="55:66" x14ac:dyDescent="0.2">
      <c r="BC2178" s="21" t="e" vm="1">
        <v>#REF!</v>
      </c>
      <c r="BD2178" t="e" vm="1">
        <v>#REF!</v>
      </c>
      <c r="BF2178" t="e" vm="2">
        <f t="shared" si="214"/>
        <v>#VALUE!</v>
      </c>
      <c r="BG2178" t="e" vm="2">
        <f t="shared" si="215"/>
        <v>#VALUE!</v>
      </c>
      <c r="BJ2178" s="21" t="e" vm="1">
        <v>#REF!</v>
      </c>
      <c r="BK2178" t="e" vm="1">
        <v>#REF!</v>
      </c>
      <c r="BM2178" t="e" vm="2">
        <f t="shared" si="216"/>
        <v>#VALUE!</v>
      </c>
      <c r="BN2178" t="e" vm="2">
        <f t="shared" si="217"/>
        <v>#VALUE!</v>
      </c>
    </row>
    <row r="2179" spans="55:66" x14ac:dyDescent="0.2">
      <c r="BC2179" s="21" t="e" vm="1">
        <v>#REF!</v>
      </c>
      <c r="BD2179" t="e" vm="1">
        <v>#REF!</v>
      </c>
      <c r="BF2179" t="e" vm="2">
        <f t="shared" ref="BF2179:BF2242" si="218">MONTH(BC2179)</f>
        <v>#VALUE!</v>
      </c>
      <c r="BG2179" t="e" vm="2">
        <f t="shared" ref="BG2179:BG2242" si="219">YEAR(BC2179)</f>
        <v>#VALUE!</v>
      </c>
      <c r="BJ2179" s="21" t="e" vm="1">
        <v>#REF!</v>
      </c>
      <c r="BK2179" t="e" vm="1">
        <v>#REF!</v>
      </c>
      <c r="BM2179" t="e" vm="2">
        <f t="shared" si="216"/>
        <v>#VALUE!</v>
      </c>
      <c r="BN2179" t="e" vm="2">
        <f t="shared" si="217"/>
        <v>#VALUE!</v>
      </c>
    </row>
    <row r="2180" spans="55:66" x14ac:dyDescent="0.2">
      <c r="BC2180" s="21" t="e" vm="1">
        <v>#REF!</v>
      </c>
      <c r="BD2180" t="e" vm="1">
        <v>#REF!</v>
      </c>
      <c r="BF2180" t="e" vm="2">
        <f t="shared" si="218"/>
        <v>#VALUE!</v>
      </c>
      <c r="BG2180" t="e" vm="2">
        <f t="shared" si="219"/>
        <v>#VALUE!</v>
      </c>
      <c r="BJ2180" s="21" t="e" vm="1">
        <v>#REF!</v>
      </c>
      <c r="BK2180" t="e" vm="1">
        <v>#REF!</v>
      </c>
      <c r="BM2180" t="e" vm="2">
        <f t="shared" ref="BM2180:BM2243" si="220">MONTH(BJ2180)</f>
        <v>#VALUE!</v>
      </c>
      <c r="BN2180" t="e" vm="2">
        <f t="shared" ref="BN2180:BN2243" si="221">YEAR(BJ2180)</f>
        <v>#VALUE!</v>
      </c>
    </row>
    <row r="2181" spans="55:66" x14ac:dyDescent="0.2">
      <c r="BC2181" s="21" t="e" vm="1">
        <v>#REF!</v>
      </c>
      <c r="BD2181" t="e" vm="1">
        <v>#REF!</v>
      </c>
      <c r="BF2181" t="e" vm="2">
        <f t="shared" si="218"/>
        <v>#VALUE!</v>
      </c>
      <c r="BG2181" t="e" vm="2">
        <f t="shared" si="219"/>
        <v>#VALUE!</v>
      </c>
      <c r="BJ2181" s="21" t="e" vm="1">
        <v>#REF!</v>
      </c>
      <c r="BK2181" t="e" vm="1">
        <v>#REF!</v>
      </c>
      <c r="BM2181" t="e" vm="2">
        <f t="shared" si="220"/>
        <v>#VALUE!</v>
      </c>
      <c r="BN2181" t="e" vm="2">
        <f t="shared" si="221"/>
        <v>#VALUE!</v>
      </c>
    </row>
    <row r="2182" spans="55:66" x14ac:dyDescent="0.2">
      <c r="BC2182" s="21" t="e" vm="1">
        <v>#REF!</v>
      </c>
      <c r="BD2182" t="e" vm="1">
        <v>#REF!</v>
      </c>
      <c r="BF2182" t="e" vm="2">
        <f t="shared" si="218"/>
        <v>#VALUE!</v>
      </c>
      <c r="BG2182" t="e" vm="2">
        <f t="shared" si="219"/>
        <v>#VALUE!</v>
      </c>
      <c r="BJ2182" s="21" t="e" vm="1">
        <v>#REF!</v>
      </c>
      <c r="BK2182" t="e" vm="1">
        <v>#REF!</v>
      </c>
      <c r="BM2182" t="e" vm="2">
        <f t="shared" si="220"/>
        <v>#VALUE!</v>
      </c>
      <c r="BN2182" t="e" vm="2">
        <f t="shared" si="221"/>
        <v>#VALUE!</v>
      </c>
    </row>
    <row r="2183" spans="55:66" x14ac:dyDescent="0.2">
      <c r="BC2183" s="21" t="e" vm="1">
        <v>#REF!</v>
      </c>
      <c r="BD2183" t="e" vm="1">
        <v>#REF!</v>
      </c>
      <c r="BF2183" t="e" vm="2">
        <f t="shared" si="218"/>
        <v>#VALUE!</v>
      </c>
      <c r="BG2183" t="e" vm="2">
        <f t="shared" si="219"/>
        <v>#VALUE!</v>
      </c>
      <c r="BJ2183" s="21" t="e" vm="1">
        <v>#REF!</v>
      </c>
      <c r="BK2183" t="e" vm="1">
        <v>#REF!</v>
      </c>
      <c r="BM2183" t="e" vm="2">
        <f t="shared" si="220"/>
        <v>#VALUE!</v>
      </c>
      <c r="BN2183" t="e" vm="2">
        <f t="shared" si="221"/>
        <v>#VALUE!</v>
      </c>
    </row>
    <row r="2184" spans="55:66" x14ac:dyDescent="0.2">
      <c r="BC2184" s="21" t="e" vm="1">
        <v>#REF!</v>
      </c>
      <c r="BD2184" t="e" vm="1">
        <v>#REF!</v>
      </c>
      <c r="BF2184" t="e" vm="2">
        <f t="shared" si="218"/>
        <v>#VALUE!</v>
      </c>
      <c r="BG2184" t="e" vm="2">
        <f t="shared" si="219"/>
        <v>#VALUE!</v>
      </c>
      <c r="BJ2184" s="21" t="e" vm="1">
        <v>#REF!</v>
      </c>
      <c r="BK2184" t="e" vm="1">
        <v>#REF!</v>
      </c>
      <c r="BM2184" t="e" vm="2">
        <f t="shared" si="220"/>
        <v>#VALUE!</v>
      </c>
      <c r="BN2184" t="e" vm="2">
        <f t="shared" si="221"/>
        <v>#VALUE!</v>
      </c>
    </row>
    <row r="2185" spans="55:66" x14ac:dyDescent="0.2">
      <c r="BC2185" s="21" t="e" vm="1">
        <v>#REF!</v>
      </c>
      <c r="BD2185" t="e" vm="1">
        <v>#REF!</v>
      </c>
      <c r="BF2185" t="e" vm="2">
        <f t="shared" si="218"/>
        <v>#VALUE!</v>
      </c>
      <c r="BG2185" t="e" vm="2">
        <f t="shared" si="219"/>
        <v>#VALUE!</v>
      </c>
      <c r="BJ2185" s="21" t="e" vm="1">
        <v>#REF!</v>
      </c>
      <c r="BK2185" t="e" vm="1">
        <v>#REF!</v>
      </c>
      <c r="BM2185" t="e" vm="2">
        <f t="shared" si="220"/>
        <v>#VALUE!</v>
      </c>
      <c r="BN2185" t="e" vm="2">
        <f t="shared" si="221"/>
        <v>#VALUE!</v>
      </c>
    </row>
    <row r="2186" spans="55:66" x14ac:dyDescent="0.2">
      <c r="BC2186" s="21" t="e" vm="1">
        <v>#REF!</v>
      </c>
      <c r="BD2186" t="e" vm="1">
        <v>#REF!</v>
      </c>
      <c r="BF2186" t="e" vm="2">
        <f t="shared" si="218"/>
        <v>#VALUE!</v>
      </c>
      <c r="BG2186" t="e" vm="2">
        <f t="shared" si="219"/>
        <v>#VALUE!</v>
      </c>
      <c r="BJ2186" s="21" t="e" vm="1">
        <v>#REF!</v>
      </c>
      <c r="BK2186" t="e" vm="1">
        <v>#REF!</v>
      </c>
      <c r="BM2186" t="e" vm="2">
        <f t="shared" si="220"/>
        <v>#VALUE!</v>
      </c>
      <c r="BN2186" t="e" vm="2">
        <f t="shared" si="221"/>
        <v>#VALUE!</v>
      </c>
    </row>
    <row r="2187" spans="55:66" x14ac:dyDescent="0.2">
      <c r="BC2187" s="21" t="e" vm="1">
        <v>#REF!</v>
      </c>
      <c r="BD2187" t="e" vm="1">
        <v>#REF!</v>
      </c>
      <c r="BF2187" t="e" vm="2">
        <f t="shared" si="218"/>
        <v>#VALUE!</v>
      </c>
      <c r="BG2187" t="e" vm="2">
        <f t="shared" si="219"/>
        <v>#VALUE!</v>
      </c>
      <c r="BJ2187" s="21" t="e" vm="1">
        <v>#REF!</v>
      </c>
      <c r="BK2187" t="e" vm="1">
        <v>#REF!</v>
      </c>
      <c r="BM2187" t="e" vm="2">
        <f t="shared" si="220"/>
        <v>#VALUE!</v>
      </c>
      <c r="BN2187" t="e" vm="2">
        <f t="shared" si="221"/>
        <v>#VALUE!</v>
      </c>
    </row>
    <row r="2188" spans="55:66" x14ac:dyDescent="0.2">
      <c r="BC2188" s="21" t="e" vm="1">
        <v>#REF!</v>
      </c>
      <c r="BD2188" t="e" vm="1">
        <v>#REF!</v>
      </c>
      <c r="BF2188" t="e" vm="2">
        <f t="shared" si="218"/>
        <v>#VALUE!</v>
      </c>
      <c r="BG2188" t="e" vm="2">
        <f t="shared" si="219"/>
        <v>#VALUE!</v>
      </c>
      <c r="BJ2188" s="21" t="e" vm="1">
        <v>#REF!</v>
      </c>
      <c r="BK2188" t="e" vm="1">
        <v>#REF!</v>
      </c>
      <c r="BM2188" t="e" vm="2">
        <f t="shared" si="220"/>
        <v>#VALUE!</v>
      </c>
      <c r="BN2188" t="e" vm="2">
        <f t="shared" si="221"/>
        <v>#VALUE!</v>
      </c>
    </row>
    <row r="2189" spans="55:66" x14ac:dyDescent="0.2">
      <c r="BC2189" s="21" t="e" vm="1">
        <v>#REF!</v>
      </c>
      <c r="BD2189" t="e" vm="1">
        <v>#REF!</v>
      </c>
      <c r="BF2189" t="e" vm="2">
        <f t="shared" si="218"/>
        <v>#VALUE!</v>
      </c>
      <c r="BG2189" t="e" vm="2">
        <f t="shared" si="219"/>
        <v>#VALUE!</v>
      </c>
      <c r="BJ2189" s="21" t="e" vm="1">
        <v>#REF!</v>
      </c>
      <c r="BK2189" t="e" vm="1">
        <v>#REF!</v>
      </c>
      <c r="BM2189" t="e" vm="2">
        <f t="shared" si="220"/>
        <v>#VALUE!</v>
      </c>
      <c r="BN2189" t="e" vm="2">
        <f t="shared" si="221"/>
        <v>#VALUE!</v>
      </c>
    </row>
    <row r="2190" spans="55:66" x14ac:dyDescent="0.2">
      <c r="BC2190" s="21" t="e" vm="1">
        <v>#REF!</v>
      </c>
      <c r="BD2190" t="e" vm="1">
        <v>#REF!</v>
      </c>
      <c r="BF2190" t="e" vm="2">
        <f t="shared" si="218"/>
        <v>#VALUE!</v>
      </c>
      <c r="BG2190" t="e" vm="2">
        <f t="shared" si="219"/>
        <v>#VALUE!</v>
      </c>
      <c r="BJ2190" s="21" t="e" vm="1">
        <v>#REF!</v>
      </c>
      <c r="BK2190" t="e" vm="1">
        <v>#REF!</v>
      </c>
      <c r="BM2190" t="e" vm="2">
        <f t="shared" si="220"/>
        <v>#VALUE!</v>
      </c>
      <c r="BN2190" t="e" vm="2">
        <f t="shared" si="221"/>
        <v>#VALUE!</v>
      </c>
    </row>
    <row r="2191" spans="55:66" x14ac:dyDescent="0.2">
      <c r="BC2191" s="21" t="e" vm="1">
        <v>#REF!</v>
      </c>
      <c r="BD2191" t="e" vm="1">
        <v>#REF!</v>
      </c>
      <c r="BF2191" t="e" vm="2">
        <f t="shared" si="218"/>
        <v>#VALUE!</v>
      </c>
      <c r="BG2191" t="e" vm="2">
        <f t="shared" si="219"/>
        <v>#VALUE!</v>
      </c>
      <c r="BJ2191" s="21" t="e" vm="1">
        <v>#REF!</v>
      </c>
      <c r="BK2191" t="e" vm="1">
        <v>#REF!</v>
      </c>
      <c r="BM2191" t="e" vm="2">
        <f t="shared" si="220"/>
        <v>#VALUE!</v>
      </c>
      <c r="BN2191" t="e" vm="2">
        <f t="shared" si="221"/>
        <v>#VALUE!</v>
      </c>
    </row>
    <row r="2192" spans="55:66" x14ac:dyDescent="0.2">
      <c r="BC2192" s="21" t="e" vm="1">
        <v>#REF!</v>
      </c>
      <c r="BD2192" t="e" vm="1">
        <v>#REF!</v>
      </c>
      <c r="BF2192" t="e" vm="2">
        <f t="shared" si="218"/>
        <v>#VALUE!</v>
      </c>
      <c r="BG2192" t="e" vm="2">
        <f t="shared" si="219"/>
        <v>#VALUE!</v>
      </c>
      <c r="BJ2192" s="21" t="e" vm="1">
        <v>#REF!</v>
      </c>
      <c r="BK2192" t="e" vm="1">
        <v>#REF!</v>
      </c>
      <c r="BM2192" t="e" vm="2">
        <f t="shared" si="220"/>
        <v>#VALUE!</v>
      </c>
      <c r="BN2192" t="e" vm="2">
        <f t="shared" si="221"/>
        <v>#VALUE!</v>
      </c>
    </row>
    <row r="2193" spans="55:66" x14ac:dyDescent="0.2">
      <c r="BC2193" s="21" t="e" vm="1">
        <v>#REF!</v>
      </c>
      <c r="BD2193" t="e" vm="1">
        <v>#REF!</v>
      </c>
      <c r="BF2193" t="e" vm="2">
        <f t="shared" si="218"/>
        <v>#VALUE!</v>
      </c>
      <c r="BG2193" t="e" vm="2">
        <f t="shared" si="219"/>
        <v>#VALUE!</v>
      </c>
      <c r="BJ2193" s="21" t="e" vm="1">
        <v>#REF!</v>
      </c>
      <c r="BK2193" t="e" vm="1">
        <v>#REF!</v>
      </c>
      <c r="BM2193" t="e" vm="2">
        <f t="shared" si="220"/>
        <v>#VALUE!</v>
      </c>
      <c r="BN2193" t="e" vm="2">
        <f t="shared" si="221"/>
        <v>#VALUE!</v>
      </c>
    </row>
    <row r="2194" spans="55:66" x14ac:dyDescent="0.2">
      <c r="BC2194" s="21" t="e" vm="1">
        <v>#REF!</v>
      </c>
      <c r="BD2194" t="e" vm="1">
        <v>#REF!</v>
      </c>
      <c r="BF2194" t="e" vm="2">
        <f t="shared" si="218"/>
        <v>#VALUE!</v>
      </c>
      <c r="BG2194" t="e" vm="2">
        <f t="shared" si="219"/>
        <v>#VALUE!</v>
      </c>
      <c r="BJ2194" s="21" t="e" vm="1">
        <v>#REF!</v>
      </c>
      <c r="BK2194" t="e" vm="1">
        <v>#REF!</v>
      </c>
      <c r="BM2194" t="e" vm="2">
        <f t="shared" si="220"/>
        <v>#VALUE!</v>
      </c>
      <c r="BN2194" t="e" vm="2">
        <f t="shared" si="221"/>
        <v>#VALUE!</v>
      </c>
    </row>
    <row r="2195" spans="55:66" x14ac:dyDescent="0.2">
      <c r="BC2195" s="21" t="e" vm="1">
        <v>#REF!</v>
      </c>
      <c r="BD2195" t="e" vm="1">
        <v>#REF!</v>
      </c>
      <c r="BF2195" t="e" vm="2">
        <f t="shared" si="218"/>
        <v>#VALUE!</v>
      </c>
      <c r="BG2195" t="e" vm="2">
        <f t="shared" si="219"/>
        <v>#VALUE!</v>
      </c>
      <c r="BJ2195" s="21" t="e" vm="1">
        <v>#REF!</v>
      </c>
      <c r="BK2195" t="e" vm="1">
        <v>#REF!</v>
      </c>
      <c r="BM2195" t="e" vm="2">
        <f t="shared" si="220"/>
        <v>#VALUE!</v>
      </c>
      <c r="BN2195" t="e" vm="2">
        <f t="shared" si="221"/>
        <v>#VALUE!</v>
      </c>
    </row>
    <row r="2196" spans="55:66" x14ac:dyDescent="0.2">
      <c r="BC2196" s="21" t="e" vm="1">
        <v>#REF!</v>
      </c>
      <c r="BD2196" t="e" vm="1">
        <v>#REF!</v>
      </c>
      <c r="BF2196" t="e" vm="2">
        <f t="shared" si="218"/>
        <v>#VALUE!</v>
      </c>
      <c r="BG2196" t="e" vm="2">
        <f t="shared" si="219"/>
        <v>#VALUE!</v>
      </c>
      <c r="BJ2196" s="21" t="e" vm="1">
        <v>#REF!</v>
      </c>
      <c r="BK2196" t="e" vm="1">
        <v>#REF!</v>
      </c>
      <c r="BM2196" t="e" vm="2">
        <f t="shared" si="220"/>
        <v>#VALUE!</v>
      </c>
      <c r="BN2196" t="e" vm="2">
        <f t="shared" si="221"/>
        <v>#VALUE!</v>
      </c>
    </row>
    <row r="2197" spans="55:66" x14ac:dyDescent="0.2">
      <c r="BC2197" s="21" t="e" vm="1">
        <v>#REF!</v>
      </c>
      <c r="BD2197" t="e" vm="1">
        <v>#REF!</v>
      </c>
      <c r="BF2197" t="e" vm="2">
        <f t="shared" si="218"/>
        <v>#VALUE!</v>
      </c>
      <c r="BG2197" t="e" vm="2">
        <f t="shared" si="219"/>
        <v>#VALUE!</v>
      </c>
      <c r="BJ2197" s="21" t="e" vm="1">
        <v>#REF!</v>
      </c>
      <c r="BK2197" t="e" vm="1">
        <v>#REF!</v>
      </c>
      <c r="BM2197" t="e" vm="2">
        <f t="shared" si="220"/>
        <v>#VALUE!</v>
      </c>
      <c r="BN2197" t="e" vm="2">
        <f t="shared" si="221"/>
        <v>#VALUE!</v>
      </c>
    </row>
    <row r="2198" spans="55:66" x14ac:dyDescent="0.2">
      <c r="BC2198" s="21" t="e" vm="1">
        <v>#REF!</v>
      </c>
      <c r="BD2198" t="e" vm="1">
        <v>#REF!</v>
      </c>
      <c r="BF2198" t="e" vm="2">
        <f t="shared" si="218"/>
        <v>#VALUE!</v>
      </c>
      <c r="BG2198" t="e" vm="2">
        <f t="shared" si="219"/>
        <v>#VALUE!</v>
      </c>
      <c r="BJ2198" s="21" t="e" vm="1">
        <v>#REF!</v>
      </c>
      <c r="BK2198" t="e" vm="1">
        <v>#REF!</v>
      </c>
      <c r="BM2198" t="e" vm="2">
        <f t="shared" si="220"/>
        <v>#VALUE!</v>
      </c>
      <c r="BN2198" t="e" vm="2">
        <f t="shared" si="221"/>
        <v>#VALUE!</v>
      </c>
    </row>
    <row r="2199" spans="55:66" x14ac:dyDescent="0.2">
      <c r="BC2199" s="21" t="e" vm="1">
        <v>#REF!</v>
      </c>
      <c r="BD2199" t="e" vm="1">
        <v>#REF!</v>
      </c>
      <c r="BF2199" t="e" vm="2">
        <f t="shared" si="218"/>
        <v>#VALUE!</v>
      </c>
      <c r="BG2199" t="e" vm="2">
        <f t="shared" si="219"/>
        <v>#VALUE!</v>
      </c>
      <c r="BJ2199" s="21" t="e" vm="1">
        <v>#REF!</v>
      </c>
      <c r="BK2199" t="e" vm="1">
        <v>#REF!</v>
      </c>
      <c r="BM2199" t="e" vm="2">
        <f t="shared" si="220"/>
        <v>#VALUE!</v>
      </c>
      <c r="BN2199" t="e" vm="2">
        <f t="shared" si="221"/>
        <v>#VALUE!</v>
      </c>
    </row>
    <row r="2200" spans="55:66" x14ac:dyDescent="0.2">
      <c r="BC2200" s="21" t="e" vm="1">
        <v>#REF!</v>
      </c>
      <c r="BD2200" t="e" vm="1">
        <v>#REF!</v>
      </c>
      <c r="BF2200" t="e" vm="2">
        <f t="shared" si="218"/>
        <v>#VALUE!</v>
      </c>
      <c r="BG2200" t="e" vm="2">
        <f t="shared" si="219"/>
        <v>#VALUE!</v>
      </c>
      <c r="BJ2200" s="21" t="e" vm="1">
        <v>#REF!</v>
      </c>
      <c r="BK2200" t="e" vm="1">
        <v>#REF!</v>
      </c>
      <c r="BM2200" t="e" vm="2">
        <f t="shared" si="220"/>
        <v>#VALUE!</v>
      </c>
      <c r="BN2200" t="e" vm="2">
        <f t="shared" si="221"/>
        <v>#VALUE!</v>
      </c>
    </row>
    <row r="2201" spans="55:66" x14ac:dyDescent="0.2">
      <c r="BC2201" s="21" t="e" vm="1">
        <v>#REF!</v>
      </c>
      <c r="BD2201" t="e" vm="1">
        <v>#REF!</v>
      </c>
      <c r="BF2201" t="e" vm="2">
        <f t="shared" si="218"/>
        <v>#VALUE!</v>
      </c>
      <c r="BG2201" t="e" vm="2">
        <f t="shared" si="219"/>
        <v>#VALUE!</v>
      </c>
      <c r="BJ2201" s="21" t="e" vm="1">
        <v>#REF!</v>
      </c>
      <c r="BK2201" t="e" vm="1">
        <v>#REF!</v>
      </c>
      <c r="BM2201" t="e" vm="2">
        <f t="shared" si="220"/>
        <v>#VALUE!</v>
      </c>
      <c r="BN2201" t="e" vm="2">
        <f t="shared" si="221"/>
        <v>#VALUE!</v>
      </c>
    </row>
    <row r="2202" spans="55:66" x14ac:dyDescent="0.2">
      <c r="BC2202" s="21" t="e" vm="1">
        <v>#REF!</v>
      </c>
      <c r="BD2202" t="e" vm="1">
        <v>#REF!</v>
      </c>
      <c r="BF2202" t="e" vm="2">
        <f t="shared" si="218"/>
        <v>#VALUE!</v>
      </c>
      <c r="BG2202" t="e" vm="2">
        <f t="shared" si="219"/>
        <v>#VALUE!</v>
      </c>
      <c r="BJ2202" s="21" t="e" vm="1">
        <v>#REF!</v>
      </c>
      <c r="BK2202" t="e" vm="1">
        <v>#REF!</v>
      </c>
      <c r="BM2202" t="e" vm="2">
        <f t="shared" si="220"/>
        <v>#VALUE!</v>
      </c>
      <c r="BN2202" t="e" vm="2">
        <f t="shared" si="221"/>
        <v>#VALUE!</v>
      </c>
    </row>
    <row r="2203" spans="55:66" x14ac:dyDescent="0.2">
      <c r="BC2203" s="21" t="e" vm="1">
        <v>#REF!</v>
      </c>
      <c r="BD2203" t="e" vm="1">
        <v>#REF!</v>
      </c>
      <c r="BF2203" t="e" vm="2">
        <f t="shared" si="218"/>
        <v>#VALUE!</v>
      </c>
      <c r="BG2203" t="e" vm="2">
        <f t="shared" si="219"/>
        <v>#VALUE!</v>
      </c>
      <c r="BJ2203" s="21" t="e" vm="1">
        <v>#REF!</v>
      </c>
      <c r="BK2203" t="e" vm="1">
        <v>#REF!</v>
      </c>
      <c r="BM2203" t="e" vm="2">
        <f t="shared" si="220"/>
        <v>#VALUE!</v>
      </c>
      <c r="BN2203" t="e" vm="2">
        <f t="shared" si="221"/>
        <v>#VALUE!</v>
      </c>
    </row>
    <row r="2204" spans="55:66" x14ac:dyDescent="0.2">
      <c r="BC2204" s="21" t="e" vm="1">
        <v>#REF!</v>
      </c>
      <c r="BD2204" t="e" vm="1">
        <v>#REF!</v>
      </c>
      <c r="BF2204" t="e" vm="2">
        <f t="shared" si="218"/>
        <v>#VALUE!</v>
      </c>
      <c r="BG2204" t="e" vm="2">
        <f t="shared" si="219"/>
        <v>#VALUE!</v>
      </c>
      <c r="BJ2204" s="21" t="e" vm="1">
        <v>#REF!</v>
      </c>
      <c r="BK2204" t="e" vm="1">
        <v>#REF!</v>
      </c>
      <c r="BM2204" t="e" vm="2">
        <f t="shared" si="220"/>
        <v>#VALUE!</v>
      </c>
      <c r="BN2204" t="e" vm="2">
        <f t="shared" si="221"/>
        <v>#VALUE!</v>
      </c>
    </row>
    <row r="2205" spans="55:66" x14ac:dyDescent="0.2">
      <c r="BC2205" s="21" t="e" vm="1">
        <v>#REF!</v>
      </c>
      <c r="BD2205" t="e" vm="1">
        <v>#REF!</v>
      </c>
      <c r="BF2205" t="e" vm="2">
        <f t="shared" si="218"/>
        <v>#VALUE!</v>
      </c>
      <c r="BG2205" t="e" vm="2">
        <f t="shared" si="219"/>
        <v>#VALUE!</v>
      </c>
      <c r="BJ2205" s="21" t="e" vm="1">
        <v>#REF!</v>
      </c>
      <c r="BK2205" t="e" vm="1">
        <v>#REF!</v>
      </c>
      <c r="BM2205" t="e" vm="2">
        <f t="shared" si="220"/>
        <v>#VALUE!</v>
      </c>
      <c r="BN2205" t="e" vm="2">
        <f t="shared" si="221"/>
        <v>#VALUE!</v>
      </c>
    </row>
    <row r="2206" spans="55:66" x14ac:dyDescent="0.2">
      <c r="BC2206" s="21" t="e" vm="1">
        <v>#REF!</v>
      </c>
      <c r="BD2206" t="e" vm="1">
        <v>#REF!</v>
      </c>
      <c r="BF2206" t="e" vm="2">
        <f t="shared" si="218"/>
        <v>#VALUE!</v>
      </c>
      <c r="BG2206" t="e" vm="2">
        <f t="shared" si="219"/>
        <v>#VALUE!</v>
      </c>
      <c r="BJ2206" s="21" t="e" vm="1">
        <v>#REF!</v>
      </c>
      <c r="BK2206" t="e" vm="1">
        <v>#REF!</v>
      </c>
      <c r="BM2206" t="e" vm="2">
        <f t="shared" si="220"/>
        <v>#VALUE!</v>
      </c>
      <c r="BN2206" t="e" vm="2">
        <f t="shared" si="221"/>
        <v>#VALUE!</v>
      </c>
    </row>
    <row r="2207" spans="55:66" x14ac:dyDescent="0.2">
      <c r="BC2207" s="21" t="e" vm="1">
        <v>#REF!</v>
      </c>
      <c r="BD2207" t="e" vm="1">
        <v>#REF!</v>
      </c>
      <c r="BF2207" t="e" vm="2">
        <f t="shared" si="218"/>
        <v>#VALUE!</v>
      </c>
      <c r="BG2207" t="e" vm="2">
        <f t="shared" si="219"/>
        <v>#VALUE!</v>
      </c>
      <c r="BJ2207" s="21" t="e" vm="1">
        <v>#REF!</v>
      </c>
      <c r="BK2207" t="e" vm="1">
        <v>#REF!</v>
      </c>
      <c r="BM2207" t="e" vm="2">
        <f t="shared" si="220"/>
        <v>#VALUE!</v>
      </c>
      <c r="BN2207" t="e" vm="2">
        <f t="shared" si="221"/>
        <v>#VALUE!</v>
      </c>
    </row>
    <row r="2208" spans="55:66" x14ac:dyDescent="0.2">
      <c r="BC2208" s="21" t="e" vm="1">
        <v>#REF!</v>
      </c>
      <c r="BD2208" t="e" vm="1">
        <v>#REF!</v>
      </c>
      <c r="BF2208" t="e" vm="2">
        <f t="shared" si="218"/>
        <v>#VALUE!</v>
      </c>
      <c r="BG2208" t="e" vm="2">
        <f t="shared" si="219"/>
        <v>#VALUE!</v>
      </c>
      <c r="BJ2208" s="21" t="e" vm="1">
        <v>#REF!</v>
      </c>
      <c r="BK2208" t="e" vm="1">
        <v>#REF!</v>
      </c>
      <c r="BM2208" t="e" vm="2">
        <f t="shared" si="220"/>
        <v>#VALUE!</v>
      </c>
      <c r="BN2208" t="e" vm="2">
        <f t="shared" si="221"/>
        <v>#VALUE!</v>
      </c>
    </row>
    <row r="2209" spans="55:66" x14ac:dyDescent="0.2">
      <c r="BC2209" s="21" t="e" vm="1">
        <v>#REF!</v>
      </c>
      <c r="BD2209" t="e" vm="1">
        <v>#REF!</v>
      </c>
      <c r="BF2209" t="e" vm="2">
        <f t="shared" si="218"/>
        <v>#VALUE!</v>
      </c>
      <c r="BG2209" t="e" vm="2">
        <f t="shared" si="219"/>
        <v>#VALUE!</v>
      </c>
      <c r="BJ2209" s="21" t="e" vm="1">
        <v>#REF!</v>
      </c>
      <c r="BK2209" t="e" vm="1">
        <v>#REF!</v>
      </c>
      <c r="BM2209" t="e" vm="2">
        <f t="shared" si="220"/>
        <v>#VALUE!</v>
      </c>
      <c r="BN2209" t="e" vm="2">
        <f t="shared" si="221"/>
        <v>#VALUE!</v>
      </c>
    </row>
    <row r="2210" spans="55:66" x14ac:dyDescent="0.2">
      <c r="BC2210" s="21" t="e" vm="1">
        <v>#REF!</v>
      </c>
      <c r="BD2210" t="e" vm="1">
        <v>#REF!</v>
      </c>
      <c r="BF2210" t="e" vm="2">
        <f t="shared" si="218"/>
        <v>#VALUE!</v>
      </c>
      <c r="BG2210" t="e" vm="2">
        <f t="shared" si="219"/>
        <v>#VALUE!</v>
      </c>
      <c r="BJ2210" s="21" t="e" vm="1">
        <v>#REF!</v>
      </c>
      <c r="BK2210" t="e" vm="1">
        <v>#REF!</v>
      </c>
      <c r="BM2210" t="e" vm="2">
        <f t="shared" si="220"/>
        <v>#VALUE!</v>
      </c>
      <c r="BN2210" t="e" vm="2">
        <f t="shared" si="221"/>
        <v>#VALUE!</v>
      </c>
    </row>
    <row r="2211" spans="55:66" x14ac:dyDescent="0.2">
      <c r="BC2211" s="21" t="e" vm="1">
        <v>#REF!</v>
      </c>
      <c r="BD2211" t="e" vm="1">
        <v>#REF!</v>
      </c>
      <c r="BF2211" t="e" vm="2">
        <f t="shared" si="218"/>
        <v>#VALUE!</v>
      </c>
      <c r="BG2211" t="e" vm="2">
        <f t="shared" si="219"/>
        <v>#VALUE!</v>
      </c>
      <c r="BJ2211" s="21" t="e" vm="1">
        <v>#REF!</v>
      </c>
      <c r="BK2211" t="e" vm="1">
        <v>#REF!</v>
      </c>
      <c r="BM2211" t="e" vm="2">
        <f t="shared" si="220"/>
        <v>#VALUE!</v>
      </c>
      <c r="BN2211" t="e" vm="2">
        <f t="shared" si="221"/>
        <v>#VALUE!</v>
      </c>
    </row>
    <row r="2212" spans="55:66" x14ac:dyDescent="0.2">
      <c r="BC2212" s="21" t="e" vm="1">
        <v>#REF!</v>
      </c>
      <c r="BD2212" t="e" vm="1">
        <v>#REF!</v>
      </c>
      <c r="BF2212" t="e" vm="2">
        <f t="shared" si="218"/>
        <v>#VALUE!</v>
      </c>
      <c r="BG2212" t="e" vm="2">
        <f t="shared" si="219"/>
        <v>#VALUE!</v>
      </c>
      <c r="BJ2212" s="21" t="e" vm="1">
        <v>#REF!</v>
      </c>
      <c r="BK2212" t="e" vm="1">
        <v>#REF!</v>
      </c>
      <c r="BM2212" t="e" vm="2">
        <f t="shared" si="220"/>
        <v>#VALUE!</v>
      </c>
      <c r="BN2212" t="e" vm="2">
        <f t="shared" si="221"/>
        <v>#VALUE!</v>
      </c>
    </row>
    <row r="2213" spans="55:66" x14ac:dyDescent="0.2">
      <c r="BC2213" s="21" t="e" vm="1">
        <v>#REF!</v>
      </c>
      <c r="BD2213" t="e" vm="1">
        <v>#REF!</v>
      </c>
      <c r="BF2213" t="e" vm="2">
        <f t="shared" si="218"/>
        <v>#VALUE!</v>
      </c>
      <c r="BG2213" t="e" vm="2">
        <f t="shared" si="219"/>
        <v>#VALUE!</v>
      </c>
      <c r="BJ2213" s="21" t="e" vm="1">
        <v>#REF!</v>
      </c>
      <c r="BK2213" t="e" vm="1">
        <v>#REF!</v>
      </c>
      <c r="BM2213" t="e" vm="2">
        <f t="shared" si="220"/>
        <v>#VALUE!</v>
      </c>
      <c r="BN2213" t="e" vm="2">
        <f t="shared" si="221"/>
        <v>#VALUE!</v>
      </c>
    </row>
    <row r="2214" spans="55:66" x14ac:dyDescent="0.2">
      <c r="BC2214" s="21" t="e" vm="1">
        <v>#REF!</v>
      </c>
      <c r="BD2214" t="e" vm="1">
        <v>#REF!</v>
      </c>
      <c r="BF2214" t="e" vm="2">
        <f t="shared" si="218"/>
        <v>#VALUE!</v>
      </c>
      <c r="BG2214" t="e" vm="2">
        <f t="shared" si="219"/>
        <v>#VALUE!</v>
      </c>
      <c r="BJ2214" s="21" t="e" vm="1">
        <v>#REF!</v>
      </c>
      <c r="BK2214" t="e" vm="1">
        <v>#REF!</v>
      </c>
      <c r="BM2214" t="e" vm="2">
        <f t="shared" si="220"/>
        <v>#VALUE!</v>
      </c>
      <c r="BN2214" t="e" vm="2">
        <f t="shared" si="221"/>
        <v>#VALUE!</v>
      </c>
    </row>
    <row r="2215" spans="55:66" x14ac:dyDescent="0.2">
      <c r="BC2215" s="21" t="e" vm="1">
        <v>#REF!</v>
      </c>
      <c r="BD2215" t="e" vm="1">
        <v>#REF!</v>
      </c>
      <c r="BF2215" t="e" vm="2">
        <f t="shared" si="218"/>
        <v>#VALUE!</v>
      </c>
      <c r="BG2215" t="e" vm="2">
        <f t="shared" si="219"/>
        <v>#VALUE!</v>
      </c>
      <c r="BJ2215" s="21" t="e" vm="1">
        <v>#REF!</v>
      </c>
      <c r="BK2215" t="e" vm="1">
        <v>#REF!</v>
      </c>
      <c r="BM2215" t="e" vm="2">
        <f t="shared" si="220"/>
        <v>#VALUE!</v>
      </c>
      <c r="BN2215" t="e" vm="2">
        <f t="shared" si="221"/>
        <v>#VALUE!</v>
      </c>
    </row>
    <row r="2216" spans="55:66" x14ac:dyDescent="0.2">
      <c r="BC2216" s="21" t="e" vm="1">
        <v>#REF!</v>
      </c>
      <c r="BD2216" t="e" vm="1">
        <v>#REF!</v>
      </c>
      <c r="BF2216" t="e" vm="2">
        <f t="shared" si="218"/>
        <v>#VALUE!</v>
      </c>
      <c r="BG2216" t="e" vm="2">
        <f t="shared" si="219"/>
        <v>#VALUE!</v>
      </c>
      <c r="BJ2216" s="21" t="e" vm="1">
        <v>#REF!</v>
      </c>
      <c r="BK2216" t="e" vm="1">
        <v>#REF!</v>
      </c>
      <c r="BM2216" t="e" vm="2">
        <f t="shared" si="220"/>
        <v>#VALUE!</v>
      </c>
      <c r="BN2216" t="e" vm="2">
        <f t="shared" si="221"/>
        <v>#VALUE!</v>
      </c>
    </row>
    <row r="2217" spans="55:66" x14ac:dyDescent="0.2">
      <c r="BC2217" s="21" t="e" vm="1">
        <v>#REF!</v>
      </c>
      <c r="BD2217" t="e" vm="1">
        <v>#REF!</v>
      </c>
      <c r="BF2217" t="e" vm="2">
        <f t="shared" si="218"/>
        <v>#VALUE!</v>
      </c>
      <c r="BG2217" t="e" vm="2">
        <f t="shared" si="219"/>
        <v>#VALUE!</v>
      </c>
      <c r="BJ2217" s="21" t="e" vm="1">
        <v>#REF!</v>
      </c>
      <c r="BK2217" t="e" vm="1">
        <v>#REF!</v>
      </c>
      <c r="BM2217" t="e" vm="2">
        <f t="shared" si="220"/>
        <v>#VALUE!</v>
      </c>
      <c r="BN2217" t="e" vm="2">
        <f t="shared" si="221"/>
        <v>#VALUE!</v>
      </c>
    </row>
    <row r="2218" spans="55:66" x14ac:dyDescent="0.2">
      <c r="BC2218" s="21" t="e" vm="1">
        <v>#REF!</v>
      </c>
      <c r="BD2218" t="e" vm="1">
        <v>#REF!</v>
      </c>
      <c r="BF2218" t="e" vm="2">
        <f t="shared" si="218"/>
        <v>#VALUE!</v>
      </c>
      <c r="BG2218" t="e" vm="2">
        <f t="shared" si="219"/>
        <v>#VALUE!</v>
      </c>
      <c r="BJ2218" s="21" t="e" vm="1">
        <v>#REF!</v>
      </c>
      <c r="BK2218" t="e" vm="1">
        <v>#REF!</v>
      </c>
      <c r="BM2218" t="e" vm="2">
        <f t="shared" si="220"/>
        <v>#VALUE!</v>
      </c>
      <c r="BN2218" t="e" vm="2">
        <f t="shared" si="221"/>
        <v>#VALUE!</v>
      </c>
    </row>
    <row r="2219" spans="55:66" x14ac:dyDescent="0.2">
      <c r="BC2219" s="21" t="e" vm="1">
        <v>#REF!</v>
      </c>
      <c r="BD2219" t="e" vm="1">
        <v>#REF!</v>
      </c>
      <c r="BF2219" t="e" vm="2">
        <f t="shared" si="218"/>
        <v>#VALUE!</v>
      </c>
      <c r="BG2219" t="e" vm="2">
        <f t="shared" si="219"/>
        <v>#VALUE!</v>
      </c>
      <c r="BJ2219" s="21" t="e" vm="1">
        <v>#REF!</v>
      </c>
      <c r="BK2219" t="e" vm="1">
        <v>#REF!</v>
      </c>
      <c r="BM2219" t="e" vm="2">
        <f t="shared" si="220"/>
        <v>#VALUE!</v>
      </c>
      <c r="BN2219" t="e" vm="2">
        <f t="shared" si="221"/>
        <v>#VALUE!</v>
      </c>
    </row>
    <row r="2220" spans="55:66" x14ac:dyDescent="0.2">
      <c r="BC2220" s="21" t="e" vm="1">
        <v>#REF!</v>
      </c>
      <c r="BD2220" t="e" vm="1">
        <v>#REF!</v>
      </c>
      <c r="BF2220" t="e" vm="2">
        <f t="shared" si="218"/>
        <v>#VALUE!</v>
      </c>
      <c r="BG2220" t="e" vm="2">
        <f t="shared" si="219"/>
        <v>#VALUE!</v>
      </c>
      <c r="BJ2220" s="21" t="e" vm="1">
        <v>#REF!</v>
      </c>
      <c r="BK2220" t="e" vm="1">
        <v>#REF!</v>
      </c>
      <c r="BM2220" t="e" vm="2">
        <f t="shared" si="220"/>
        <v>#VALUE!</v>
      </c>
      <c r="BN2220" t="e" vm="2">
        <f t="shared" si="221"/>
        <v>#VALUE!</v>
      </c>
    </row>
    <row r="2221" spans="55:66" x14ac:dyDescent="0.2">
      <c r="BC2221" s="21" t="e" vm="1">
        <v>#REF!</v>
      </c>
      <c r="BD2221" t="e" vm="1">
        <v>#REF!</v>
      </c>
      <c r="BF2221" t="e" vm="2">
        <f t="shared" si="218"/>
        <v>#VALUE!</v>
      </c>
      <c r="BG2221" t="e" vm="2">
        <f t="shared" si="219"/>
        <v>#VALUE!</v>
      </c>
      <c r="BJ2221" s="21" t="e" vm="1">
        <v>#REF!</v>
      </c>
      <c r="BK2221" t="e" vm="1">
        <v>#REF!</v>
      </c>
      <c r="BM2221" t="e" vm="2">
        <f t="shared" si="220"/>
        <v>#VALUE!</v>
      </c>
      <c r="BN2221" t="e" vm="2">
        <f t="shared" si="221"/>
        <v>#VALUE!</v>
      </c>
    </row>
    <row r="2222" spans="55:66" x14ac:dyDescent="0.2">
      <c r="BC2222" s="21" t="e" vm="1">
        <v>#REF!</v>
      </c>
      <c r="BD2222" t="e" vm="1">
        <v>#REF!</v>
      </c>
      <c r="BF2222" t="e" vm="2">
        <f t="shared" si="218"/>
        <v>#VALUE!</v>
      </c>
      <c r="BG2222" t="e" vm="2">
        <f t="shared" si="219"/>
        <v>#VALUE!</v>
      </c>
      <c r="BJ2222" s="21" t="e" vm="1">
        <v>#REF!</v>
      </c>
      <c r="BK2222" t="e" vm="1">
        <v>#REF!</v>
      </c>
      <c r="BM2222" t="e" vm="2">
        <f t="shared" si="220"/>
        <v>#VALUE!</v>
      </c>
      <c r="BN2222" t="e" vm="2">
        <f t="shared" si="221"/>
        <v>#VALUE!</v>
      </c>
    </row>
    <row r="2223" spans="55:66" x14ac:dyDescent="0.2">
      <c r="BC2223" s="21" t="e" vm="1">
        <v>#REF!</v>
      </c>
      <c r="BD2223" t="e" vm="1">
        <v>#REF!</v>
      </c>
      <c r="BF2223" t="e" vm="2">
        <f t="shared" si="218"/>
        <v>#VALUE!</v>
      </c>
      <c r="BG2223" t="e" vm="2">
        <f t="shared" si="219"/>
        <v>#VALUE!</v>
      </c>
      <c r="BJ2223" s="21" t="e" vm="1">
        <v>#REF!</v>
      </c>
      <c r="BK2223" t="e" vm="1">
        <v>#REF!</v>
      </c>
      <c r="BM2223" t="e" vm="2">
        <f t="shared" si="220"/>
        <v>#VALUE!</v>
      </c>
      <c r="BN2223" t="e" vm="2">
        <f t="shared" si="221"/>
        <v>#VALUE!</v>
      </c>
    </row>
    <row r="2224" spans="55:66" x14ac:dyDescent="0.2">
      <c r="BC2224" s="21" t="e" vm="1">
        <v>#REF!</v>
      </c>
      <c r="BD2224" t="e" vm="1">
        <v>#REF!</v>
      </c>
      <c r="BF2224" t="e" vm="2">
        <f t="shared" si="218"/>
        <v>#VALUE!</v>
      </c>
      <c r="BG2224" t="e" vm="2">
        <f t="shared" si="219"/>
        <v>#VALUE!</v>
      </c>
      <c r="BJ2224" s="21" t="e" vm="1">
        <v>#REF!</v>
      </c>
      <c r="BK2224" t="e" vm="1">
        <v>#REF!</v>
      </c>
      <c r="BM2224" t="e" vm="2">
        <f t="shared" si="220"/>
        <v>#VALUE!</v>
      </c>
      <c r="BN2224" t="e" vm="2">
        <f t="shared" si="221"/>
        <v>#VALUE!</v>
      </c>
    </row>
    <row r="2225" spans="55:66" x14ac:dyDescent="0.2">
      <c r="BC2225" s="21" t="e" vm="1">
        <v>#REF!</v>
      </c>
      <c r="BD2225" t="e" vm="1">
        <v>#REF!</v>
      </c>
      <c r="BF2225" t="e" vm="2">
        <f t="shared" si="218"/>
        <v>#VALUE!</v>
      </c>
      <c r="BG2225" t="e" vm="2">
        <f t="shared" si="219"/>
        <v>#VALUE!</v>
      </c>
      <c r="BJ2225" s="21" t="e" vm="1">
        <v>#REF!</v>
      </c>
      <c r="BK2225" t="e" vm="1">
        <v>#REF!</v>
      </c>
      <c r="BM2225" t="e" vm="2">
        <f t="shared" si="220"/>
        <v>#VALUE!</v>
      </c>
      <c r="BN2225" t="e" vm="2">
        <f t="shared" si="221"/>
        <v>#VALUE!</v>
      </c>
    </row>
    <row r="2226" spans="55:66" x14ac:dyDescent="0.2">
      <c r="BC2226" s="21" t="e" vm="1">
        <v>#REF!</v>
      </c>
      <c r="BD2226" t="e" vm="1">
        <v>#REF!</v>
      </c>
      <c r="BF2226" t="e" vm="2">
        <f t="shared" si="218"/>
        <v>#VALUE!</v>
      </c>
      <c r="BG2226" t="e" vm="2">
        <f t="shared" si="219"/>
        <v>#VALUE!</v>
      </c>
      <c r="BJ2226" s="21" t="e" vm="1">
        <v>#REF!</v>
      </c>
      <c r="BK2226" t="e" vm="1">
        <v>#REF!</v>
      </c>
      <c r="BM2226" t="e" vm="2">
        <f t="shared" si="220"/>
        <v>#VALUE!</v>
      </c>
      <c r="BN2226" t="e" vm="2">
        <f t="shared" si="221"/>
        <v>#VALUE!</v>
      </c>
    </row>
    <row r="2227" spans="55:66" x14ac:dyDescent="0.2">
      <c r="BC2227" s="21" t="e" vm="1">
        <v>#REF!</v>
      </c>
      <c r="BD2227" t="e" vm="1">
        <v>#REF!</v>
      </c>
      <c r="BF2227" t="e" vm="2">
        <f t="shared" si="218"/>
        <v>#VALUE!</v>
      </c>
      <c r="BG2227" t="e" vm="2">
        <f t="shared" si="219"/>
        <v>#VALUE!</v>
      </c>
      <c r="BJ2227" s="21" t="e" vm="1">
        <v>#REF!</v>
      </c>
      <c r="BK2227" t="e" vm="1">
        <v>#REF!</v>
      </c>
      <c r="BM2227" t="e" vm="2">
        <f t="shared" si="220"/>
        <v>#VALUE!</v>
      </c>
      <c r="BN2227" t="e" vm="2">
        <f t="shared" si="221"/>
        <v>#VALUE!</v>
      </c>
    </row>
    <row r="2228" spans="55:66" x14ac:dyDescent="0.2">
      <c r="BC2228" s="21" t="e" vm="1">
        <v>#REF!</v>
      </c>
      <c r="BD2228" t="e" vm="1">
        <v>#REF!</v>
      </c>
      <c r="BF2228" t="e" vm="2">
        <f t="shared" si="218"/>
        <v>#VALUE!</v>
      </c>
      <c r="BG2228" t="e" vm="2">
        <f t="shared" si="219"/>
        <v>#VALUE!</v>
      </c>
      <c r="BJ2228" s="21" t="e" vm="1">
        <v>#REF!</v>
      </c>
      <c r="BK2228" t="e" vm="1">
        <v>#REF!</v>
      </c>
      <c r="BM2228" t="e" vm="2">
        <f t="shared" si="220"/>
        <v>#VALUE!</v>
      </c>
      <c r="BN2228" t="e" vm="2">
        <f t="shared" si="221"/>
        <v>#VALUE!</v>
      </c>
    </row>
    <row r="2229" spans="55:66" x14ac:dyDescent="0.2">
      <c r="BC2229" s="21" t="e" vm="1">
        <v>#REF!</v>
      </c>
      <c r="BD2229" t="e" vm="1">
        <v>#REF!</v>
      </c>
      <c r="BF2229" t="e" vm="2">
        <f t="shared" si="218"/>
        <v>#VALUE!</v>
      </c>
      <c r="BG2229" t="e" vm="2">
        <f t="shared" si="219"/>
        <v>#VALUE!</v>
      </c>
      <c r="BJ2229" s="21" t="e" vm="1">
        <v>#REF!</v>
      </c>
      <c r="BK2229" t="e" vm="1">
        <v>#REF!</v>
      </c>
      <c r="BM2229" t="e" vm="2">
        <f t="shared" si="220"/>
        <v>#VALUE!</v>
      </c>
      <c r="BN2229" t="e" vm="2">
        <f t="shared" si="221"/>
        <v>#VALUE!</v>
      </c>
    </row>
    <row r="2230" spans="55:66" x14ac:dyDescent="0.2">
      <c r="BC2230" s="21" t="e" vm="1">
        <v>#REF!</v>
      </c>
      <c r="BD2230" t="e" vm="1">
        <v>#REF!</v>
      </c>
      <c r="BF2230" t="e" vm="2">
        <f t="shared" si="218"/>
        <v>#VALUE!</v>
      </c>
      <c r="BG2230" t="e" vm="2">
        <f t="shared" si="219"/>
        <v>#VALUE!</v>
      </c>
      <c r="BJ2230" s="21" t="e" vm="1">
        <v>#REF!</v>
      </c>
      <c r="BK2230" t="e" vm="1">
        <v>#REF!</v>
      </c>
      <c r="BM2230" t="e" vm="2">
        <f t="shared" si="220"/>
        <v>#VALUE!</v>
      </c>
      <c r="BN2230" t="e" vm="2">
        <f t="shared" si="221"/>
        <v>#VALUE!</v>
      </c>
    </row>
    <row r="2231" spans="55:66" x14ac:dyDescent="0.2">
      <c r="BC2231" s="21" t="e" vm="1">
        <v>#REF!</v>
      </c>
      <c r="BD2231" t="e" vm="1">
        <v>#REF!</v>
      </c>
      <c r="BF2231" t="e" vm="2">
        <f t="shared" si="218"/>
        <v>#VALUE!</v>
      </c>
      <c r="BG2231" t="e" vm="2">
        <f t="shared" si="219"/>
        <v>#VALUE!</v>
      </c>
      <c r="BJ2231" s="21" t="e" vm="1">
        <v>#REF!</v>
      </c>
      <c r="BK2231" t="e" vm="1">
        <v>#REF!</v>
      </c>
      <c r="BM2231" t="e" vm="2">
        <f t="shared" si="220"/>
        <v>#VALUE!</v>
      </c>
      <c r="BN2231" t="e" vm="2">
        <f t="shared" si="221"/>
        <v>#VALUE!</v>
      </c>
    </row>
    <row r="2232" spans="55:66" x14ac:dyDescent="0.2">
      <c r="BC2232" s="21" t="e" vm="1">
        <v>#REF!</v>
      </c>
      <c r="BD2232" t="e" vm="1">
        <v>#REF!</v>
      </c>
      <c r="BF2232" t="e" vm="2">
        <f t="shared" si="218"/>
        <v>#VALUE!</v>
      </c>
      <c r="BG2232" t="e" vm="2">
        <f t="shared" si="219"/>
        <v>#VALUE!</v>
      </c>
      <c r="BJ2232" s="21" t="e" vm="1">
        <v>#REF!</v>
      </c>
      <c r="BK2232" t="e" vm="1">
        <v>#REF!</v>
      </c>
      <c r="BM2232" t="e" vm="2">
        <f t="shared" si="220"/>
        <v>#VALUE!</v>
      </c>
      <c r="BN2232" t="e" vm="2">
        <f t="shared" si="221"/>
        <v>#VALUE!</v>
      </c>
    </row>
    <row r="2233" spans="55:66" x14ac:dyDescent="0.2">
      <c r="BC2233" s="21" t="e" vm="1">
        <v>#REF!</v>
      </c>
      <c r="BD2233" t="e" vm="1">
        <v>#REF!</v>
      </c>
      <c r="BF2233" t="e" vm="2">
        <f t="shared" si="218"/>
        <v>#VALUE!</v>
      </c>
      <c r="BG2233" t="e" vm="2">
        <f t="shared" si="219"/>
        <v>#VALUE!</v>
      </c>
      <c r="BJ2233" s="21" t="e" vm="1">
        <v>#REF!</v>
      </c>
      <c r="BK2233" t="e" vm="1">
        <v>#REF!</v>
      </c>
      <c r="BM2233" t="e" vm="2">
        <f t="shared" si="220"/>
        <v>#VALUE!</v>
      </c>
      <c r="BN2233" t="e" vm="2">
        <f t="shared" si="221"/>
        <v>#VALUE!</v>
      </c>
    </row>
    <row r="2234" spans="55:66" x14ac:dyDescent="0.2">
      <c r="BC2234" s="21" t="e" vm="1">
        <v>#REF!</v>
      </c>
      <c r="BD2234" t="e" vm="1">
        <v>#REF!</v>
      </c>
      <c r="BF2234" t="e" vm="2">
        <f t="shared" si="218"/>
        <v>#VALUE!</v>
      </c>
      <c r="BG2234" t="e" vm="2">
        <f t="shared" si="219"/>
        <v>#VALUE!</v>
      </c>
      <c r="BJ2234" s="21" t="e" vm="1">
        <v>#REF!</v>
      </c>
      <c r="BK2234" t="e" vm="1">
        <v>#REF!</v>
      </c>
      <c r="BM2234" t="e" vm="2">
        <f t="shared" si="220"/>
        <v>#VALUE!</v>
      </c>
      <c r="BN2234" t="e" vm="2">
        <f t="shared" si="221"/>
        <v>#VALUE!</v>
      </c>
    </row>
    <row r="2235" spans="55:66" x14ac:dyDescent="0.2">
      <c r="BC2235" s="21" t="e" vm="1">
        <v>#REF!</v>
      </c>
      <c r="BD2235" t="e" vm="1">
        <v>#REF!</v>
      </c>
      <c r="BF2235" t="e" vm="2">
        <f t="shared" si="218"/>
        <v>#VALUE!</v>
      </c>
      <c r="BG2235" t="e" vm="2">
        <f t="shared" si="219"/>
        <v>#VALUE!</v>
      </c>
      <c r="BJ2235" s="21" t="e" vm="1">
        <v>#REF!</v>
      </c>
      <c r="BK2235" t="e" vm="1">
        <v>#REF!</v>
      </c>
      <c r="BM2235" t="e" vm="2">
        <f t="shared" si="220"/>
        <v>#VALUE!</v>
      </c>
      <c r="BN2235" t="e" vm="2">
        <f t="shared" si="221"/>
        <v>#VALUE!</v>
      </c>
    </row>
    <row r="2236" spans="55:66" x14ac:dyDescent="0.2">
      <c r="BC2236" s="21" t="e" vm="1">
        <v>#REF!</v>
      </c>
      <c r="BD2236" t="e" vm="1">
        <v>#REF!</v>
      </c>
      <c r="BF2236" t="e" vm="2">
        <f t="shared" si="218"/>
        <v>#VALUE!</v>
      </c>
      <c r="BG2236" t="e" vm="2">
        <f t="shared" si="219"/>
        <v>#VALUE!</v>
      </c>
      <c r="BJ2236" s="21" t="e" vm="1">
        <v>#REF!</v>
      </c>
      <c r="BK2236" t="e" vm="1">
        <v>#REF!</v>
      </c>
      <c r="BM2236" t="e" vm="2">
        <f t="shared" si="220"/>
        <v>#VALUE!</v>
      </c>
      <c r="BN2236" t="e" vm="2">
        <f t="shared" si="221"/>
        <v>#VALUE!</v>
      </c>
    </row>
    <row r="2237" spans="55:66" x14ac:dyDescent="0.2">
      <c r="BC2237" s="21" t="e" vm="1">
        <v>#REF!</v>
      </c>
      <c r="BD2237" t="e" vm="1">
        <v>#REF!</v>
      </c>
      <c r="BF2237" t="e" vm="2">
        <f t="shared" si="218"/>
        <v>#VALUE!</v>
      </c>
      <c r="BG2237" t="e" vm="2">
        <f t="shared" si="219"/>
        <v>#VALUE!</v>
      </c>
      <c r="BJ2237" s="21" t="e" vm="1">
        <v>#REF!</v>
      </c>
      <c r="BK2237" t="e" vm="1">
        <v>#REF!</v>
      </c>
      <c r="BM2237" t="e" vm="2">
        <f t="shared" si="220"/>
        <v>#VALUE!</v>
      </c>
      <c r="BN2237" t="e" vm="2">
        <f t="shared" si="221"/>
        <v>#VALUE!</v>
      </c>
    </row>
    <row r="2238" spans="55:66" x14ac:dyDescent="0.2">
      <c r="BC2238" s="21" t="e" vm="1">
        <v>#REF!</v>
      </c>
      <c r="BD2238" t="e" vm="1">
        <v>#REF!</v>
      </c>
      <c r="BF2238" t="e" vm="2">
        <f t="shared" si="218"/>
        <v>#VALUE!</v>
      </c>
      <c r="BG2238" t="e" vm="2">
        <f t="shared" si="219"/>
        <v>#VALUE!</v>
      </c>
      <c r="BJ2238" s="21" t="e" vm="1">
        <v>#REF!</v>
      </c>
      <c r="BK2238" t="e" vm="1">
        <v>#REF!</v>
      </c>
      <c r="BM2238" t="e" vm="2">
        <f t="shared" si="220"/>
        <v>#VALUE!</v>
      </c>
      <c r="BN2238" t="e" vm="2">
        <f t="shared" si="221"/>
        <v>#VALUE!</v>
      </c>
    </row>
    <row r="2239" spans="55:66" x14ac:dyDescent="0.2">
      <c r="BC2239" s="21" t="e" vm="1">
        <v>#REF!</v>
      </c>
      <c r="BD2239" t="e" vm="1">
        <v>#REF!</v>
      </c>
      <c r="BF2239" t="e" vm="2">
        <f t="shared" si="218"/>
        <v>#VALUE!</v>
      </c>
      <c r="BG2239" t="e" vm="2">
        <f t="shared" si="219"/>
        <v>#VALUE!</v>
      </c>
      <c r="BJ2239" s="21" t="e" vm="1">
        <v>#REF!</v>
      </c>
      <c r="BK2239" t="e" vm="1">
        <v>#REF!</v>
      </c>
      <c r="BM2239" t="e" vm="2">
        <f t="shared" si="220"/>
        <v>#VALUE!</v>
      </c>
      <c r="BN2239" t="e" vm="2">
        <f t="shared" si="221"/>
        <v>#VALUE!</v>
      </c>
    </row>
    <row r="2240" spans="55:66" x14ac:dyDescent="0.2">
      <c r="BC2240" s="21" t="e" vm="1">
        <v>#REF!</v>
      </c>
      <c r="BD2240" t="e" vm="1">
        <v>#REF!</v>
      </c>
      <c r="BF2240" t="e" vm="2">
        <f t="shared" si="218"/>
        <v>#VALUE!</v>
      </c>
      <c r="BG2240" t="e" vm="2">
        <f t="shared" si="219"/>
        <v>#VALUE!</v>
      </c>
      <c r="BJ2240" s="21" t="e" vm="1">
        <v>#REF!</v>
      </c>
      <c r="BK2240" t="e" vm="1">
        <v>#REF!</v>
      </c>
      <c r="BM2240" t="e" vm="2">
        <f t="shared" si="220"/>
        <v>#VALUE!</v>
      </c>
      <c r="BN2240" t="e" vm="2">
        <f t="shared" si="221"/>
        <v>#VALUE!</v>
      </c>
    </row>
    <row r="2241" spans="55:66" x14ac:dyDescent="0.2">
      <c r="BC2241" s="21" t="e" vm="1">
        <v>#REF!</v>
      </c>
      <c r="BD2241" t="e" vm="1">
        <v>#REF!</v>
      </c>
      <c r="BF2241" t="e" vm="2">
        <f t="shared" si="218"/>
        <v>#VALUE!</v>
      </c>
      <c r="BG2241" t="e" vm="2">
        <f t="shared" si="219"/>
        <v>#VALUE!</v>
      </c>
      <c r="BJ2241" s="21" t="e" vm="1">
        <v>#REF!</v>
      </c>
      <c r="BK2241" t="e" vm="1">
        <v>#REF!</v>
      </c>
      <c r="BM2241" t="e" vm="2">
        <f t="shared" si="220"/>
        <v>#VALUE!</v>
      </c>
      <c r="BN2241" t="e" vm="2">
        <f t="shared" si="221"/>
        <v>#VALUE!</v>
      </c>
    </row>
    <row r="2242" spans="55:66" x14ac:dyDescent="0.2">
      <c r="BC2242" s="21" t="e" vm="1">
        <v>#REF!</v>
      </c>
      <c r="BD2242" t="e" vm="1">
        <v>#REF!</v>
      </c>
      <c r="BF2242" t="e" vm="2">
        <f t="shared" si="218"/>
        <v>#VALUE!</v>
      </c>
      <c r="BG2242" t="e" vm="2">
        <f t="shared" si="219"/>
        <v>#VALUE!</v>
      </c>
      <c r="BJ2242" s="21" t="e" vm="1">
        <v>#REF!</v>
      </c>
      <c r="BK2242" t="e" vm="1">
        <v>#REF!</v>
      </c>
      <c r="BM2242" t="e" vm="2">
        <f t="shared" si="220"/>
        <v>#VALUE!</v>
      </c>
      <c r="BN2242" t="e" vm="2">
        <f t="shared" si="221"/>
        <v>#VALUE!</v>
      </c>
    </row>
    <row r="2243" spans="55:66" x14ac:dyDescent="0.2">
      <c r="BC2243" s="21" t="e" vm="1">
        <v>#REF!</v>
      </c>
      <c r="BD2243" t="e" vm="1">
        <v>#REF!</v>
      </c>
      <c r="BF2243" t="e" vm="2">
        <f t="shared" ref="BF2243:BF2306" si="222">MONTH(BC2243)</f>
        <v>#VALUE!</v>
      </c>
      <c r="BG2243" t="e" vm="2">
        <f t="shared" ref="BG2243:BG2306" si="223">YEAR(BC2243)</f>
        <v>#VALUE!</v>
      </c>
      <c r="BJ2243" s="21" t="e" vm="1">
        <v>#REF!</v>
      </c>
      <c r="BK2243" t="e" vm="1">
        <v>#REF!</v>
      </c>
      <c r="BM2243" t="e" vm="2">
        <f t="shared" si="220"/>
        <v>#VALUE!</v>
      </c>
      <c r="BN2243" t="e" vm="2">
        <f t="shared" si="221"/>
        <v>#VALUE!</v>
      </c>
    </row>
    <row r="2244" spans="55:66" x14ac:dyDescent="0.2">
      <c r="BC2244" s="21" t="e" vm="1">
        <v>#REF!</v>
      </c>
      <c r="BD2244" t="e" vm="1">
        <v>#REF!</v>
      </c>
      <c r="BF2244" t="e" vm="2">
        <f t="shared" si="222"/>
        <v>#VALUE!</v>
      </c>
      <c r="BG2244" t="e" vm="2">
        <f t="shared" si="223"/>
        <v>#VALUE!</v>
      </c>
      <c r="BJ2244" s="21" t="e" vm="1">
        <v>#REF!</v>
      </c>
      <c r="BK2244" t="e" vm="1">
        <v>#REF!</v>
      </c>
      <c r="BM2244" t="e" vm="2">
        <f t="shared" ref="BM2244:BM2307" si="224">MONTH(BJ2244)</f>
        <v>#VALUE!</v>
      </c>
      <c r="BN2244" t="e" vm="2">
        <f t="shared" ref="BN2244:BN2307" si="225">YEAR(BJ2244)</f>
        <v>#VALUE!</v>
      </c>
    </row>
    <row r="2245" spans="55:66" x14ac:dyDescent="0.2">
      <c r="BC2245" s="21" t="e" vm="1">
        <v>#REF!</v>
      </c>
      <c r="BD2245" t="e" vm="1">
        <v>#REF!</v>
      </c>
      <c r="BF2245" t="e" vm="2">
        <f t="shared" si="222"/>
        <v>#VALUE!</v>
      </c>
      <c r="BG2245" t="e" vm="2">
        <f t="shared" si="223"/>
        <v>#VALUE!</v>
      </c>
      <c r="BJ2245" s="21" t="e" vm="1">
        <v>#REF!</v>
      </c>
      <c r="BK2245" t="e" vm="1">
        <v>#REF!</v>
      </c>
      <c r="BM2245" t="e" vm="2">
        <f t="shared" si="224"/>
        <v>#VALUE!</v>
      </c>
      <c r="BN2245" t="e" vm="2">
        <f t="shared" si="225"/>
        <v>#VALUE!</v>
      </c>
    </row>
    <row r="2246" spans="55:66" x14ac:dyDescent="0.2">
      <c r="BC2246" s="21" t="e" vm="1">
        <v>#REF!</v>
      </c>
      <c r="BD2246" t="e" vm="1">
        <v>#REF!</v>
      </c>
      <c r="BF2246" t="e" vm="2">
        <f t="shared" si="222"/>
        <v>#VALUE!</v>
      </c>
      <c r="BG2246" t="e" vm="2">
        <f t="shared" si="223"/>
        <v>#VALUE!</v>
      </c>
      <c r="BJ2246" s="21" t="e" vm="1">
        <v>#REF!</v>
      </c>
      <c r="BK2246" t="e" vm="1">
        <v>#REF!</v>
      </c>
      <c r="BM2246" t="e" vm="2">
        <f t="shared" si="224"/>
        <v>#VALUE!</v>
      </c>
      <c r="BN2246" t="e" vm="2">
        <f t="shared" si="225"/>
        <v>#VALUE!</v>
      </c>
    </row>
    <row r="2247" spans="55:66" x14ac:dyDescent="0.2">
      <c r="BC2247" s="21" t="e" vm="1">
        <v>#REF!</v>
      </c>
      <c r="BD2247" t="e" vm="1">
        <v>#REF!</v>
      </c>
      <c r="BF2247" t="e" vm="2">
        <f t="shared" si="222"/>
        <v>#VALUE!</v>
      </c>
      <c r="BG2247" t="e" vm="2">
        <f t="shared" si="223"/>
        <v>#VALUE!</v>
      </c>
      <c r="BJ2247" s="21" t="e" vm="1">
        <v>#REF!</v>
      </c>
      <c r="BK2247" t="e" vm="1">
        <v>#REF!</v>
      </c>
      <c r="BM2247" t="e" vm="2">
        <f t="shared" si="224"/>
        <v>#VALUE!</v>
      </c>
      <c r="BN2247" t="e" vm="2">
        <f t="shared" si="225"/>
        <v>#VALUE!</v>
      </c>
    </row>
    <row r="2248" spans="55:66" x14ac:dyDescent="0.2">
      <c r="BC2248" s="21" t="e" vm="1">
        <v>#REF!</v>
      </c>
      <c r="BD2248" t="e" vm="1">
        <v>#REF!</v>
      </c>
      <c r="BF2248" t="e" vm="2">
        <f t="shared" si="222"/>
        <v>#VALUE!</v>
      </c>
      <c r="BG2248" t="e" vm="2">
        <f t="shared" si="223"/>
        <v>#VALUE!</v>
      </c>
      <c r="BJ2248" s="21" t="e" vm="1">
        <v>#REF!</v>
      </c>
      <c r="BK2248" t="e" vm="1">
        <v>#REF!</v>
      </c>
      <c r="BM2248" t="e" vm="2">
        <f t="shared" si="224"/>
        <v>#VALUE!</v>
      </c>
      <c r="BN2248" t="e" vm="2">
        <f t="shared" si="225"/>
        <v>#VALUE!</v>
      </c>
    </row>
    <row r="2249" spans="55:66" x14ac:dyDescent="0.2">
      <c r="BC2249" s="21" t="e" vm="1">
        <v>#REF!</v>
      </c>
      <c r="BD2249" t="e" vm="1">
        <v>#REF!</v>
      </c>
      <c r="BF2249" t="e" vm="2">
        <f t="shared" si="222"/>
        <v>#VALUE!</v>
      </c>
      <c r="BG2249" t="e" vm="2">
        <f t="shared" si="223"/>
        <v>#VALUE!</v>
      </c>
      <c r="BJ2249" s="21" t="e" vm="1">
        <v>#REF!</v>
      </c>
      <c r="BK2249" t="e" vm="1">
        <v>#REF!</v>
      </c>
      <c r="BM2249" t="e" vm="2">
        <f t="shared" si="224"/>
        <v>#VALUE!</v>
      </c>
      <c r="BN2249" t="e" vm="2">
        <f t="shared" si="225"/>
        <v>#VALUE!</v>
      </c>
    </row>
    <row r="2250" spans="55:66" x14ac:dyDescent="0.2">
      <c r="BC2250" s="21" t="e" vm="1">
        <v>#REF!</v>
      </c>
      <c r="BD2250" t="e" vm="1">
        <v>#REF!</v>
      </c>
      <c r="BF2250" t="e" vm="2">
        <f t="shared" si="222"/>
        <v>#VALUE!</v>
      </c>
      <c r="BG2250" t="e" vm="2">
        <f t="shared" si="223"/>
        <v>#VALUE!</v>
      </c>
      <c r="BJ2250" s="21" t="e" vm="1">
        <v>#REF!</v>
      </c>
      <c r="BK2250" t="e" vm="1">
        <v>#REF!</v>
      </c>
      <c r="BM2250" t="e" vm="2">
        <f t="shared" si="224"/>
        <v>#VALUE!</v>
      </c>
      <c r="BN2250" t="e" vm="2">
        <f t="shared" si="225"/>
        <v>#VALUE!</v>
      </c>
    </row>
    <row r="2251" spans="55:66" x14ac:dyDescent="0.2">
      <c r="BC2251" s="21" t="e" vm="1">
        <v>#REF!</v>
      </c>
      <c r="BD2251" t="e" vm="1">
        <v>#REF!</v>
      </c>
      <c r="BF2251" t="e" vm="2">
        <f t="shared" si="222"/>
        <v>#VALUE!</v>
      </c>
      <c r="BG2251" t="e" vm="2">
        <f t="shared" si="223"/>
        <v>#VALUE!</v>
      </c>
      <c r="BJ2251" s="21" t="e" vm="1">
        <v>#REF!</v>
      </c>
      <c r="BK2251" t="e" vm="1">
        <v>#REF!</v>
      </c>
      <c r="BM2251" t="e" vm="2">
        <f t="shared" si="224"/>
        <v>#VALUE!</v>
      </c>
      <c r="BN2251" t="e" vm="2">
        <f t="shared" si="225"/>
        <v>#VALUE!</v>
      </c>
    </row>
    <row r="2252" spans="55:66" x14ac:dyDescent="0.2">
      <c r="BC2252" s="21" t="e" vm="1">
        <v>#REF!</v>
      </c>
      <c r="BD2252" t="e" vm="1">
        <v>#REF!</v>
      </c>
      <c r="BF2252" t="e" vm="2">
        <f t="shared" si="222"/>
        <v>#VALUE!</v>
      </c>
      <c r="BG2252" t="e" vm="2">
        <f t="shared" si="223"/>
        <v>#VALUE!</v>
      </c>
      <c r="BJ2252" s="21" t="e" vm="1">
        <v>#REF!</v>
      </c>
      <c r="BK2252" t="e" vm="1">
        <v>#REF!</v>
      </c>
      <c r="BM2252" t="e" vm="2">
        <f t="shared" si="224"/>
        <v>#VALUE!</v>
      </c>
      <c r="BN2252" t="e" vm="2">
        <f t="shared" si="225"/>
        <v>#VALUE!</v>
      </c>
    </row>
    <row r="2253" spans="55:66" x14ac:dyDescent="0.2">
      <c r="BC2253" s="21" t="e" vm="1">
        <v>#REF!</v>
      </c>
      <c r="BD2253" t="e" vm="1">
        <v>#REF!</v>
      </c>
      <c r="BF2253" t="e" vm="2">
        <f t="shared" si="222"/>
        <v>#VALUE!</v>
      </c>
      <c r="BG2253" t="e" vm="2">
        <f t="shared" si="223"/>
        <v>#VALUE!</v>
      </c>
      <c r="BJ2253" s="21" t="e" vm="1">
        <v>#REF!</v>
      </c>
      <c r="BK2253" t="e" vm="1">
        <v>#REF!</v>
      </c>
      <c r="BM2253" t="e" vm="2">
        <f t="shared" si="224"/>
        <v>#VALUE!</v>
      </c>
      <c r="BN2253" t="e" vm="2">
        <f t="shared" si="225"/>
        <v>#VALUE!</v>
      </c>
    </row>
    <row r="2254" spans="55:66" x14ac:dyDescent="0.2">
      <c r="BC2254" s="21" t="e" vm="1">
        <v>#REF!</v>
      </c>
      <c r="BD2254" t="e" vm="1">
        <v>#REF!</v>
      </c>
      <c r="BF2254" t="e" vm="2">
        <f t="shared" si="222"/>
        <v>#VALUE!</v>
      </c>
      <c r="BG2254" t="e" vm="2">
        <f t="shared" si="223"/>
        <v>#VALUE!</v>
      </c>
      <c r="BJ2254" s="21" t="e" vm="1">
        <v>#REF!</v>
      </c>
      <c r="BK2254" t="e" vm="1">
        <v>#REF!</v>
      </c>
      <c r="BM2254" t="e" vm="2">
        <f t="shared" si="224"/>
        <v>#VALUE!</v>
      </c>
      <c r="BN2254" t="e" vm="2">
        <f t="shared" si="225"/>
        <v>#VALUE!</v>
      </c>
    </row>
    <row r="2255" spans="55:66" x14ac:dyDescent="0.2">
      <c r="BC2255" s="21" t="e" vm="1">
        <v>#REF!</v>
      </c>
      <c r="BD2255" t="e" vm="1">
        <v>#REF!</v>
      </c>
      <c r="BF2255" t="e" vm="2">
        <f t="shared" si="222"/>
        <v>#VALUE!</v>
      </c>
      <c r="BG2255" t="e" vm="2">
        <f t="shared" si="223"/>
        <v>#VALUE!</v>
      </c>
      <c r="BJ2255" s="21" t="e" vm="1">
        <v>#REF!</v>
      </c>
      <c r="BK2255" t="e" vm="1">
        <v>#REF!</v>
      </c>
      <c r="BM2255" t="e" vm="2">
        <f t="shared" si="224"/>
        <v>#VALUE!</v>
      </c>
      <c r="BN2255" t="e" vm="2">
        <f t="shared" si="225"/>
        <v>#VALUE!</v>
      </c>
    </row>
    <row r="2256" spans="55:66" x14ac:dyDescent="0.2">
      <c r="BC2256" s="21" t="e" vm="1">
        <v>#REF!</v>
      </c>
      <c r="BD2256" t="e" vm="1">
        <v>#REF!</v>
      </c>
      <c r="BF2256" t="e" vm="2">
        <f t="shared" si="222"/>
        <v>#VALUE!</v>
      </c>
      <c r="BG2256" t="e" vm="2">
        <f t="shared" si="223"/>
        <v>#VALUE!</v>
      </c>
      <c r="BJ2256" s="21" t="e" vm="1">
        <v>#REF!</v>
      </c>
      <c r="BK2256" t="e" vm="1">
        <v>#REF!</v>
      </c>
      <c r="BM2256" t="e" vm="2">
        <f t="shared" si="224"/>
        <v>#VALUE!</v>
      </c>
      <c r="BN2256" t="e" vm="2">
        <f t="shared" si="225"/>
        <v>#VALUE!</v>
      </c>
    </row>
    <row r="2257" spans="55:66" x14ac:dyDescent="0.2">
      <c r="BC2257" s="21" t="e" vm="1">
        <v>#REF!</v>
      </c>
      <c r="BD2257" t="e" vm="1">
        <v>#REF!</v>
      </c>
      <c r="BF2257" t="e" vm="2">
        <f t="shared" si="222"/>
        <v>#VALUE!</v>
      </c>
      <c r="BG2257" t="e" vm="2">
        <f t="shared" si="223"/>
        <v>#VALUE!</v>
      </c>
      <c r="BJ2257" s="21" t="e" vm="1">
        <v>#REF!</v>
      </c>
      <c r="BK2257" t="e" vm="1">
        <v>#REF!</v>
      </c>
      <c r="BM2257" t="e" vm="2">
        <f t="shared" si="224"/>
        <v>#VALUE!</v>
      </c>
      <c r="BN2257" t="e" vm="2">
        <f t="shared" si="225"/>
        <v>#VALUE!</v>
      </c>
    </row>
    <row r="2258" spans="55:66" x14ac:dyDescent="0.2">
      <c r="BC2258" s="21" t="e" vm="1">
        <v>#REF!</v>
      </c>
      <c r="BD2258" t="e" vm="1">
        <v>#REF!</v>
      </c>
      <c r="BF2258" t="e" vm="2">
        <f t="shared" si="222"/>
        <v>#VALUE!</v>
      </c>
      <c r="BG2258" t="e" vm="2">
        <f t="shared" si="223"/>
        <v>#VALUE!</v>
      </c>
      <c r="BJ2258" s="21" t="e" vm="1">
        <v>#REF!</v>
      </c>
      <c r="BK2258" t="e" vm="1">
        <v>#REF!</v>
      </c>
      <c r="BM2258" t="e" vm="2">
        <f t="shared" si="224"/>
        <v>#VALUE!</v>
      </c>
      <c r="BN2258" t="e" vm="2">
        <f t="shared" si="225"/>
        <v>#VALUE!</v>
      </c>
    </row>
    <row r="2259" spans="55:66" x14ac:dyDescent="0.2">
      <c r="BC2259" s="21" t="e" vm="1">
        <v>#REF!</v>
      </c>
      <c r="BD2259" t="e" vm="1">
        <v>#REF!</v>
      </c>
      <c r="BF2259" t="e" vm="2">
        <f t="shared" si="222"/>
        <v>#VALUE!</v>
      </c>
      <c r="BG2259" t="e" vm="2">
        <f t="shared" si="223"/>
        <v>#VALUE!</v>
      </c>
      <c r="BJ2259" s="21" t="e" vm="1">
        <v>#REF!</v>
      </c>
      <c r="BK2259" t="e" vm="1">
        <v>#REF!</v>
      </c>
      <c r="BM2259" t="e" vm="2">
        <f t="shared" si="224"/>
        <v>#VALUE!</v>
      </c>
      <c r="BN2259" t="e" vm="2">
        <f t="shared" si="225"/>
        <v>#VALUE!</v>
      </c>
    </row>
    <row r="2260" spans="55:66" x14ac:dyDescent="0.2">
      <c r="BC2260" s="21" t="e" vm="1">
        <v>#REF!</v>
      </c>
      <c r="BD2260" t="e" vm="1">
        <v>#REF!</v>
      </c>
      <c r="BF2260" t="e" vm="2">
        <f t="shared" si="222"/>
        <v>#VALUE!</v>
      </c>
      <c r="BG2260" t="e" vm="2">
        <f t="shared" si="223"/>
        <v>#VALUE!</v>
      </c>
      <c r="BJ2260" s="21" t="e" vm="1">
        <v>#REF!</v>
      </c>
      <c r="BK2260" t="e" vm="1">
        <v>#REF!</v>
      </c>
      <c r="BM2260" t="e" vm="2">
        <f t="shared" si="224"/>
        <v>#VALUE!</v>
      </c>
      <c r="BN2260" t="e" vm="2">
        <f t="shared" si="225"/>
        <v>#VALUE!</v>
      </c>
    </row>
    <row r="2261" spans="55:66" x14ac:dyDescent="0.2">
      <c r="BC2261" s="21" t="e" vm="1">
        <v>#REF!</v>
      </c>
      <c r="BD2261" t="e" vm="1">
        <v>#REF!</v>
      </c>
      <c r="BF2261" t="e" vm="2">
        <f t="shared" si="222"/>
        <v>#VALUE!</v>
      </c>
      <c r="BG2261" t="e" vm="2">
        <f t="shared" si="223"/>
        <v>#VALUE!</v>
      </c>
      <c r="BJ2261" s="21" t="e" vm="1">
        <v>#REF!</v>
      </c>
      <c r="BK2261" t="e" vm="1">
        <v>#REF!</v>
      </c>
      <c r="BM2261" t="e" vm="2">
        <f t="shared" si="224"/>
        <v>#VALUE!</v>
      </c>
      <c r="BN2261" t="e" vm="2">
        <f t="shared" si="225"/>
        <v>#VALUE!</v>
      </c>
    </row>
    <row r="2262" spans="55:66" x14ac:dyDescent="0.2">
      <c r="BC2262" s="21" t="e" vm="1">
        <v>#REF!</v>
      </c>
      <c r="BD2262" t="e" vm="1">
        <v>#REF!</v>
      </c>
      <c r="BF2262" t="e" vm="2">
        <f t="shared" si="222"/>
        <v>#VALUE!</v>
      </c>
      <c r="BG2262" t="e" vm="2">
        <f t="shared" si="223"/>
        <v>#VALUE!</v>
      </c>
      <c r="BJ2262" s="21" t="e" vm="1">
        <v>#REF!</v>
      </c>
      <c r="BK2262" t="e" vm="1">
        <v>#REF!</v>
      </c>
      <c r="BM2262" t="e" vm="2">
        <f t="shared" si="224"/>
        <v>#VALUE!</v>
      </c>
      <c r="BN2262" t="e" vm="2">
        <f t="shared" si="225"/>
        <v>#VALUE!</v>
      </c>
    </row>
    <row r="2263" spans="55:66" x14ac:dyDescent="0.2">
      <c r="BC2263" s="21" t="e" vm="1">
        <v>#REF!</v>
      </c>
      <c r="BD2263" t="e" vm="1">
        <v>#REF!</v>
      </c>
      <c r="BF2263" t="e" vm="2">
        <f t="shared" si="222"/>
        <v>#VALUE!</v>
      </c>
      <c r="BG2263" t="e" vm="2">
        <f t="shared" si="223"/>
        <v>#VALUE!</v>
      </c>
      <c r="BJ2263" s="21" t="e" vm="1">
        <v>#REF!</v>
      </c>
      <c r="BK2263" t="e" vm="1">
        <v>#REF!</v>
      </c>
      <c r="BM2263" t="e" vm="2">
        <f t="shared" si="224"/>
        <v>#VALUE!</v>
      </c>
      <c r="BN2263" t="e" vm="2">
        <f t="shared" si="225"/>
        <v>#VALUE!</v>
      </c>
    </row>
    <row r="2264" spans="55:66" x14ac:dyDescent="0.2">
      <c r="BC2264" s="21" t="e" vm="1">
        <v>#REF!</v>
      </c>
      <c r="BD2264" t="e" vm="1">
        <v>#REF!</v>
      </c>
      <c r="BF2264" t="e" vm="2">
        <f t="shared" si="222"/>
        <v>#VALUE!</v>
      </c>
      <c r="BG2264" t="e" vm="2">
        <f t="shared" si="223"/>
        <v>#VALUE!</v>
      </c>
      <c r="BJ2264" s="21" t="e" vm="1">
        <v>#REF!</v>
      </c>
      <c r="BK2264" t="e" vm="1">
        <v>#REF!</v>
      </c>
      <c r="BM2264" t="e" vm="2">
        <f t="shared" si="224"/>
        <v>#VALUE!</v>
      </c>
      <c r="BN2264" t="e" vm="2">
        <f t="shared" si="225"/>
        <v>#VALUE!</v>
      </c>
    </row>
    <row r="2265" spans="55:66" x14ac:dyDescent="0.2">
      <c r="BC2265" s="21" t="e" vm="1">
        <v>#REF!</v>
      </c>
      <c r="BD2265" t="e" vm="1">
        <v>#REF!</v>
      </c>
      <c r="BF2265" t="e" vm="2">
        <f t="shared" si="222"/>
        <v>#VALUE!</v>
      </c>
      <c r="BG2265" t="e" vm="2">
        <f t="shared" si="223"/>
        <v>#VALUE!</v>
      </c>
      <c r="BJ2265" s="21" t="e" vm="1">
        <v>#REF!</v>
      </c>
      <c r="BK2265" t="e" vm="1">
        <v>#REF!</v>
      </c>
      <c r="BM2265" t="e" vm="2">
        <f t="shared" si="224"/>
        <v>#VALUE!</v>
      </c>
      <c r="BN2265" t="e" vm="2">
        <f t="shared" si="225"/>
        <v>#VALUE!</v>
      </c>
    </row>
    <row r="2266" spans="55:66" x14ac:dyDescent="0.2">
      <c r="BC2266" s="21" t="e" vm="1">
        <v>#REF!</v>
      </c>
      <c r="BD2266" t="e" vm="1">
        <v>#REF!</v>
      </c>
      <c r="BF2266" t="e" vm="2">
        <f t="shared" si="222"/>
        <v>#VALUE!</v>
      </c>
      <c r="BG2266" t="e" vm="2">
        <f t="shared" si="223"/>
        <v>#VALUE!</v>
      </c>
      <c r="BJ2266" s="21" t="e" vm="1">
        <v>#REF!</v>
      </c>
      <c r="BK2266" t="e" vm="1">
        <v>#REF!</v>
      </c>
      <c r="BM2266" t="e" vm="2">
        <f t="shared" si="224"/>
        <v>#VALUE!</v>
      </c>
      <c r="BN2266" t="e" vm="2">
        <f t="shared" si="225"/>
        <v>#VALUE!</v>
      </c>
    </row>
    <row r="2267" spans="55:66" x14ac:dyDescent="0.2">
      <c r="BC2267" s="21" t="e" vm="1">
        <v>#REF!</v>
      </c>
      <c r="BD2267" t="e" vm="1">
        <v>#REF!</v>
      </c>
      <c r="BF2267" t="e" vm="2">
        <f t="shared" si="222"/>
        <v>#VALUE!</v>
      </c>
      <c r="BG2267" t="e" vm="2">
        <f t="shared" si="223"/>
        <v>#VALUE!</v>
      </c>
      <c r="BJ2267" s="21" t="e" vm="1">
        <v>#REF!</v>
      </c>
      <c r="BK2267" t="e" vm="1">
        <v>#REF!</v>
      </c>
      <c r="BM2267" t="e" vm="2">
        <f t="shared" si="224"/>
        <v>#VALUE!</v>
      </c>
      <c r="BN2267" t="e" vm="2">
        <f t="shared" si="225"/>
        <v>#VALUE!</v>
      </c>
    </row>
    <row r="2268" spans="55:66" x14ac:dyDescent="0.2">
      <c r="BC2268" s="21" t="e" vm="1">
        <v>#REF!</v>
      </c>
      <c r="BD2268" t="e" vm="1">
        <v>#REF!</v>
      </c>
      <c r="BF2268" t="e" vm="2">
        <f t="shared" si="222"/>
        <v>#VALUE!</v>
      </c>
      <c r="BG2268" t="e" vm="2">
        <f t="shared" si="223"/>
        <v>#VALUE!</v>
      </c>
      <c r="BJ2268" s="21" t="e" vm="1">
        <v>#REF!</v>
      </c>
      <c r="BK2268" t="e" vm="1">
        <v>#REF!</v>
      </c>
      <c r="BM2268" t="e" vm="2">
        <f t="shared" si="224"/>
        <v>#VALUE!</v>
      </c>
      <c r="BN2268" t="e" vm="2">
        <f t="shared" si="225"/>
        <v>#VALUE!</v>
      </c>
    </row>
    <row r="2269" spans="55:66" x14ac:dyDescent="0.2">
      <c r="BC2269" s="21" t="e" vm="1">
        <v>#REF!</v>
      </c>
      <c r="BD2269" t="e" vm="1">
        <v>#REF!</v>
      </c>
      <c r="BF2269" t="e" vm="2">
        <f t="shared" si="222"/>
        <v>#VALUE!</v>
      </c>
      <c r="BG2269" t="e" vm="2">
        <f t="shared" si="223"/>
        <v>#VALUE!</v>
      </c>
      <c r="BJ2269" s="21" t="e" vm="1">
        <v>#REF!</v>
      </c>
      <c r="BK2269" t="e" vm="1">
        <v>#REF!</v>
      </c>
      <c r="BM2269" t="e" vm="2">
        <f t="shared" si="224"/>
        <v>#VALUE!</v>
      </c>
      <c r="BN2269" t="e" vm="2">
        <f t="shared" si="225"/>
        <v>#VALUE!</v>
      </c>
    </row>
    <row r="2270" spans="55:66" x14ac:dyDescent="0.2">
      <c r="BC2270" s="21" t="e" vm="1">
        <v>#REF!</v>
      </c>
      <c r="BD2270" t="e" vm="1">
        <v>#REF!</v>
      </c>
      <c r="BF2270" t="e" vm="2">
        <f t="shared" si="222"/>
        <v>#VALUE!</v>
      </c>
      <c r="BG2270" t="e" vm="2">
        <f t="shared" si="223"/>
        <v>#VALUE!</v>
      </c>
      <c r="BJ2270" s="21" t="e" vm="1">
        <v>#REF!</v>
      </c>
      <c r="BK2270" t="e" vm="1">
        <v>#REF!</v>
      </c>
      <c r="BM2270" t="e" vm="2">
        <f t="shared" si="224"/>
        <v>#VALUE!</v>
      </c>
      <c r="BN2270" t="e" vm="2">
        <f t="shared" si="225"/>
        <v>#VALUE!</v>
      </c>
    </row>
    <row r="2271" spans="55:66" x14ac:dyDescent="0.2">
      <c r="BC2271" s="21" t="e" vm="1">
        <v>#REF!</v>
      </c>
      <c r="BD2271" t="e" vm="1">
        <v>#REF!</v>
      </c>
      <c r="BF2271" t="e" vm="2">
        <f t="shared" si="222"/>
        <v>#VALUE!</v>
      </c>
      <c r="BG2271" t="e" vm="2">
        <f t="shared" si="223"/>
        <v>#VALUE!</v>
      </c>
      <c r="BJ2271" s="21" t="e" vm="1">
        <v>#REF!</v>
      </c>
      <c r="BK2271" t="e" vm="1">
        <v>#REF!</v>
      </c>
      <c r="BM2271" t="e" vm="2">
        <f t="shared" si="224"/>
        <v>#VALUE!</v>
      </c>
      <c r="BN2271" t="e" vm="2">
        <f t="shared" si="225"/>
        <v>#VALUE!</v>
      </c>
    </row>
    <row r="2272" spans="55:66" x14ac:dyDescent="0.2">
      <c r="BC2272" s="21" t="e" vm="1">
        <v>#REF!</v>
      </c>
      <c r="BD2272" t="e" vm="1">
        <v>#REF!</v>
      </c>
      <c r="BF2272" t="e" vm="2">
        <f t="shared" si="222"/>
        <v>#VALUE!</v>
      </c>
      <c r="BG2272" t="e" vm="2">
        <f t="shared" si="223"/>
        <v>#VALUE!</v>
      </c>
      <c r="BJ2272" s="21" t="e" vm="1">
        <v>#REF!</v>
      </c>
      <c r="BK2272" t="e" vm="1">
        <v>#REF!</v>
      </c>
      <c r="BM2272" t="e" vm="2">
        <f t="shared" si="224"/>
        <v>#VALUE!</v>
      </c>
      <c r="BN2272" t="e" vm="2">
        <f t="shared" si="225"/>
        <v>#VALUE!</v>
      </c>
    </row>
    <row r="2273" spans="55:66" x14ac:dyDescent="0.2">
      <c r="BC2273" s="21" t="e" vm="1">
        <v>#REF!</v>
      </c>
      <c r="BD2273" t="e" vm="1">
        <v>#REF!</v>
      </c>
      <c r="BF2273" t="e" vm="2">
        <f t="shared" si="222"/>
        <v>#VALUE!</v>
      </c>
      <c r="BG2273" t="e" vm="2">
        <f t="shared" si="223"/>
        <v>#VALUE!</v>
      </c>
      <c r="BJ2273" s="21" t="e" vm="1">
        <v>#REF!</v>
      </c>
      <c r="BK2273" t="e" vm="1">
        <v>#REF!</v>
      </c>
      <c r="BM2273" t="e" vm="2">
        <f t="shared" si="224"/>
        <v>#VALUE!</v>
      </c>
      <c r="BN2273" t="e" vm="2">
        <f t="shared" si="225"/>
        <v>#VALUE!</v>
      </c>
    </row>
    <row r="2274" spans="55:66" x14ac:dyDescent="0.2">
      <c r="BC2274" s="21" t="e" vm="1">
        <v>#REF!</v>
      </c>
      <c r="BD2274" t="e" vm="1">
        <v>#REF!</v>
      </c>
      <c r="BF2274" t="e" vm="2">
        <f t="shared" si="222"/>
        <v>#VALUE!</v>
      </c>
      <c r="BG2274" t="e" vm="2">
        <f t="shared" si="223"/>
        <v>#VALUE!</v>
      </c>
      <c r="BJ2274" s="21" t="e" vm="1">
        <v>#REF!</v>
      </c>
      <c r="BK2274" t="e" vm="1">
        <v>#REF!</v>
      </c>
      <c r="BM2274" t="e" vm="2">
        <f t="shared" si="224"/>
        <v>#VALUE!</v>
      </c>
      <c r="BN2274" t="e" vm="2">
        <f t="shared" si="225"/>
        <v>#VALUE!</v>
      </c>
    </row>
    <row r="2275" spans="55:66" x14ac:dyDescent="0.2">
      <c r="BC2275" s="21" t="e" vm="1">
        <v>#REF!</v>
      </c>
      <c r="BD2275" t="e" vm="1">
        <v>#REF!</v>
      </c>
      <c r="BF2275" t="e" vm="2">
        <f t="shared" si="222"/>
        <v>#VALUE!</v>
      </c>
      <c r="BG2275" t="e" vm="2">
        <f t="shared" si="223"/>
        <v>#VALUE!</v>
      </c>
      <c r="BJ2275" s="21" t="e" vm="1">
        <v>#REF!</v>
      </c>
      <c r="BK2275" t="e" vm="1">
        <v>#REF!</v>
      </c>
      <c r="BM2275" t="e" vm="2">
        <f t="shared" si="224"/>
        <v>#VALUE!</v>
      </c>
      <c r="BN2275" t="e" vm="2">
        <f t="shared" si="225"/>
        <v>#VALUE!</v>
      </c>
    </row>
    <row r="2276" spans="55:66" x14ac:dyDescent="0.2">
      <c r="BC2276" s="21" t="e" vm="1">
        <v>#REF!</v>
      </c>
      <c r="BD2276" t="e" vm="1">
        <v>#REF!</v>
      </c>
      <c r="BF2276" t="e" vm="2">
        <f t="shared" si="222"/>
        <v>#VALUE!</v>
      </c>
      <c r="BG2276" t="e" vm="2">
        <f t="shared" si="223"/>
        <v>#VALUE!</v>
      </c>
      <c r="BJ2276" s="21" t="e" vm="1">
        <v>#REF!</v>
      </c>
      <c r="BK2276" t="e" vm="1">
        <v>#REF!</v>
      </c>
      <c r="BM2276" t="e" vm="2">
        <f t="shared" si="224"/>
        <v>#VALUE!</v>
      </c>
      <c r="BN2276" t="e" vm="2">
        <f t="shared" si="225"/>
        <v>#VALUE!</v>
      </c>
    </row>
    <row r="2277" spans="55:66" x14ac:dyDescent="0.2">
      <c r="BC2277" s="21" t="e" vm="1">
        <v>#REF!</v>
      </c>
      <c r="BD2277" t="e" vm="1">
        <v>#REF!</v>
      </c>
      <c r="BF2277" t="e" vm="2">
        <f t="shared" si="222"/>
        <v>#VALUE!</v>
      </c>
      <c r="BG2277" t="e" vm="2">
        <f t="shared" si="223"/>
        <v>#VALUE!</v>
      </c>
      <c r="BJ2277" s="21" t="e" vm="1">
        <v>#REF!</v>
      </c>
      <c r="BK2277" t="e" vm="1">
        <v>#REF!</v>
      </c>
      <c r="BM2277" t="e" vm="2">
        <f t="shared" si="224"/>
        <v>#VALUE!</v>
      </c>
      <c r="BN2277" t="e" vm="2">
        <f t="shared" si="225"/>
        <v>#VALUE!</v>
      </c>
    </row>
    <row r="2278" spans="55:66" x14ac:dyDescent="0.2">
      <c r="BC2278" s="21" t="e" vm="1">
        <v>#REF!</v>
      </c>
      <c r="BD2278" t="e" vm="1">
        <v>#REF!</v>
      </c>
      <c r="BF2278" t="e" vm="2">
        <f t="shared" si="222"/>
        <v>#VALUE!</v>
      </c>
      <c r="BG2278" t="e" vm="2">
        <f t="shared" si="223"/>
        <v>#VALUE!</v>
      </c>
      <c r="BJ2278" s="21" t="e" vm="1">
        <v>#REF!</v>
      </c>
      <c r="BK2278" t="e" vm="1">
        <v>#REF!</v>
      </c>
      <c r="BM2278" t="e" vm="2">
        <f t="shared" si="224"/>
        <v>#VALUE!</v>
      </c>
      <c r="BN2278" t="e" vm="2">
        <f t="shared" si="225"/>
        <v>#VALUE!</v>
      </c>
    </row>
    <row r="2279" spans="55:66" x14ac:dyDescent="0.2">
      <c r="BC2279" s="21" t="e" vm="1">
        <v>#REF!</v>
      </c>
      <c r="BD2279" t="e" vm="1">
        <v>#REF!</v>
      </c>
      <c r="BF2279" t="e" vm="2">
        <f t="shared" si="222"/>
        <v>#VALUE!</v>
      </c>
      <c r="BG2279" t="e" vm="2">
        <f t="shared" si="223"/>
        <v>#VALUE!</v>
      </c>
      <c r="BJ2279" s="21" t="e" vm="1">
        <v>#REF!</v>
      </c>
      <c r="BK2279" t="e" vm="1">
        <v>#REF!</v>
      </c>
      <c r="BM2279" t="e" vm="2">
        <f t="shared" si="224"/>
        <v>#VALUE!</v>
      </c>
      <c r="BN2279" t="e" vm="2">
        <f t="shared" si="225"/>
        <v>#VALUE!</v>
      </c>
    </row>
    <row r="2280" spans="55:66" x14ac:dyDescent="0.2">
      <c r="BC2280" s="21" t="e" vm="1">
        <v>#REF!</v>
      </c>
      <c r="BD2280" t="e" vm="1">
        <v>#REF!</v>
      </c>
      <c r="BF2280" t="e" vm="2">
        <f t="shared" si="222"/>
        <v>#VALUE!</v>
      </c>
      <c r="BG2280" t="e" vm="2">
        <f t="shared" si="223"/>
        <v>#VALUE!</v>
      </c>
      <c r="BJ2280" s="21" t="e" vm="1">
        <v>#REF!</v>
      </c>
      <c r="BK2280" t="e" vm="1">
        <v>#REF!</v>
      </c>
      <c r="BM2280" t="e" vm="2">
        <f t="shared" si="224"/>
        <v>#VALUE!</v>
      </c>
      <c r="BN2280" t="e" vm="2">
        <f t="shared" si="225"/>
        <v>#VALUE!</v>
      </c>
    </row>
    <row r="2281" spans="55:66" x14ac:dyDescent="0.2">
      <c r="BC2281" s="21" t="e" vm="1">
        <v>#REF!</v>
      </c>
      <c r="BD2281" t="e" vm="1">
        <v>#REF!</v>
      </c>
      <c r="BF2281" t="e" vm="2">
        <f t="shared" si="222"/>
        <v>#VALUE!</v>
      </c>
      <c r="BG2281" t="e" vm="2">
        <f t="shared" si="223"/>
        <v>#VALUE!</v>
      </c>
      <c r="BJ2281" s="21" t="e" vm="1">
        <v>#REF!</v>
      </c>
      <c r="BK2281" t="e" vm="1">
        <v>#REF!</v>
      </c>
      <c r="BM2281" t="e" vm="2">
        <f t="shared" si="224"/>
        <v>#VALUE!</v>
      </c>
      <c r="BN2281" t="e" vm="2">
        <f t="shared" si="225"/>
        <v>#VALUE!</v>
      </c>
    </row>
    <row r="2282" spans="55:66" x14ac:dyDescent="0.2">
      <c r="BC2282" s="21" t="e" vm="1">
        <v>#REF!</v>
      </c>
      <c r="BD2282" t="e" vm="1">
        <v>#REF!</v>
      </c>
      <c r="BF2282" t="e" vm="2">
        <f t="shared" si="222"/>
        <v>#VALUE!</v>
      </c>
      <c r="BG2282" t="e" vm="2">
        <f t="shared" si="223"/>
        <v>#VALUE!</v>
      </c>
      <c r="BJ2282" s="21" t="e" vm="1">
        <v>#REF!</v>
      </c>
      <c r="BK2282" t="e" vm="1">
        <v>#REF!</v>
      </c>
      <c r="BM2282" t="e" vm="2">
        <f t="shared" si="224"/>
        <v>#VALUE!</v>
      </c>
      <c r="BN2282" t="e" vm="2">
        <f t="shared" si="225"/>
        <v>#VALUE!</v>
      </c>
    </row>
    <row r="2283" spans="55:66" x14ac:dyDescent="0.2">
      <c r="BC2283" s="21" t="e" vm="1">
        <v>#REF!</v>
      </c>
      <c r="BD2283" t="e" vm="1">
        <v>#REF!</v>
      </c>
      <c r="BF2283" t="e" vm="2">
        <f t="shared" si="222"/>
        <v>#VALUE!</v>
      </c>
      <c r="BG2283" t="e" vm="2">
        <f t="shared" si="223"/>
        <v>#VALUE!</v>
      </c>
      <c r="BJ2283" s="21" t="e" vm="1">
        <v>#REF!</v>
      </c>
      <c r="BK2283" t="e" vm="1">
        <v>#REF!</v>
      </c>
      <c r="BM2283" t="e" vm="2">
        <f t="shared" si="224"/>
        <v>#VALUE!</v>
      </c>
      <c r="BN2283" t="e" vm="2">
        <f t="shared" si="225"/>
        <v>#VALUE!</v>
      </c>
    </row>
    <row r="2284" spans="55:66" x14ac:dyDescent="0.2">
      <c r="BC2284" s="21" t="e" vm="1">
        <v>#REF!</v>
      </c>
      <c r="BD2284" t="e" vm="1">
        <v>#REF!</v>
      </c>
      <c r="BF2284" t="e" vm="2">
        <f t="shared" si="222"/>
        <v>#VALUE!</v>
      </c>
      <c r="BG2284" t="e" vm="2">
        <f t="shared" si="223"/>
        <v>#VALUE!</v>
      </c>
      <c r="BJ2284" s="21" t="e" vm="1">
        <v>#REF!</v>
      </c>
      <c r="BK2284" t="e" vm="1">
        <v>#REF!</v>
      </c>
      <c r="BM2284" t="e" vm="2">
        <f t="shared" si="224"/>
        <v>#VALUE!</v>
      </c>
      <c r="BN2284" t="e" vm="2">
        <f t="shared" si="225"/>
        <v>#VALUE!</v>
      </c>
    </row>
    <row r="2285" spans="55:66" x14ac:dyDescent="0.2">
      <c r="BC2285" s="21" t="e" vm="1">
        <v>#REF!</v>
      </c>
      <c r="BD2285" t="e" vm="1">
        <v>#REF!</v>
      </c>
      <c r="BF2285" t="e" vm="2">
        <f t="shared" si="222"/>
        <v>#VALUE!</v>
      </c>
      <c r="BG2285" t="e" vm="2">
        <f t="shared" si="223"/>
        <v>#VALUE!</v>
      </c>
      <c r="BJ2285" s="21" t="e" vm="1">
        <v>#REF!</v>
      </c>
      <c r="BK2285" t="e" vm="1">
        <v>#REF!</v>
      </c>
      <c r="BM2285" t="e" vm="2">
        <f t="shared" si="224"/>
        <v>#VALUE!</v>
      </c>
      <c r="BN2285" t="e" vm="2">
        <f t="shared" si="225"/>
        <v>#VALUE!</v>
      </c>
    </row>
    <row r="2286" spans="55:66" x14ac:dyDescent="0.2">
      <c r="BC2286" s="21" t="e" vm="1">
        <v>#REF!</v>
      </c>
      <c r="BD2286" t="e" vm="1">
        <v>#REF!</v>
      </c>
      <c r="BF2286" t="e" vm="2">
        <f t="shared" si="222"/>
        <v>#VALUE!</v>
      </c>
      <c r="BG2286" t="e" vm="2">
        <f t="shared" si="223"/>
        <v>#VALUE!</v>
      </c>
      <c r="BJ2286" s="21" t="e" vm="1">
        <v>#REF!</v>
      </c>
      <c r="BK2286" t="e" vm="1">
        <v>#REF!</v>
      </c>
      <c r="BM2286" t="e" vm="2">
        <f t="shared" si="224"/>
        <v>#VALUE!</v>
      </c>
      <c r="BN2286" t="e" vm="2">
        <f t="shared" si="225"/>
        <v>#VALUE!</v>
      </c>
    </row>
    <row r="2287" spans="55:66" x14ac:dyDescent="0.2">
      <c r="BC2287" s="21" t="e" vm="1">
        <v>#REF!</v>
      </c>
      <c r="BD2287" t="e" vm="1">
        <v>#REF!</v>
      </c>
      <c r="BF2287" t="e" vm="2">
        <f t="shared" si="222"/>
        <v>#VALUE!</v>
      </c>
      <c r="BG2287" t="e" vm="2">
        <f t="shared" si="223"/>
        <v>#VALUE!</v>
      </c>
      <c r="BJ2287" s="21" t="e" vm="1">
        <v>#REF!</v>
      </c>
      <c r="BK2287" t="e" vm="1">
        <v>#REF!</v>
      </c>
      <c r="BM2287" t="e" vm="2">
        <f t="shared" si="224"/>
        <v>#VALUE!</v>
      </c>
      <c r="BN2287" t="e" vm="2">
        <f t="shared" si="225"/>
        <v>#VALUE!</v>
      </c>
    </row>
    <row r="2288" spans="55:66" x14ac:dyDescent="0.2">
      <c r="BC2288" s="21" t="e" vm="1">
        <v>#REF!</v>
      </c>
      <c r="BD2288" t="e" vm="1">
        <v>#REF!</v>
      </c>
      <c r="BF2288" t="e" vm="2">
        <f t="shared" si="222"/>
        <v>#VALUE!</v>
      </c>
      <c r="BG2288" t="e" vm="2">
        <f t="shared" si="223"/>
        <v>#VALUE!</v>
      </c>
      <c r="BJ2288" s="21" t="e" vm="1">
        <v>#REF!</v>
      </c>
      <c r="BK2288" t="e" vm="1">
        <v>#REF!</v>
      </c>
      <c r="BM2288" t="e" vm="2">
        <f t="shared" si="224"/>
        <v>#VALUE!</v>
      </c>
      <c r="BN2288" t="e" vm="2">
        <f t="shared" si="225"/>
        <v>#VALUE!</v>
      </c>
    </row>
    <row r="2289" spans="55:66" x14ac:dyDescent="0.2">
      <c r="BC2289" s="21" t="e" vm="1">
        <v>#REF!</v>
      </c>
      <c r="BD2289" t="e" vm="1">
        <v>#REF!</v>
      </c>
      <c r="BF2289" t="e" vm="2">
        <f t="shared" si="222"/>
        <v>#VALUE!</v>
      </c>
      <c r="BG2289" t="e" vm="2">
        <f t="shared" si="223"/>
        <v>#VALUE!</v>
      </c>
      <c r="BJ2289" s="21" t="e" vm="1">
        <v>#REF!</v>
      </c>
      <c r="BK2289" t="e" vm="1">
        <v>#REF!</v>
      </c>
      <c r="BM2289" t="e" vm="2">
        <f t="shared" si="224"/>
        <v>#VALUE!</v>
      </c>
      <c r="BN2289" t="e" vm="2">
        <f t="shared" si="225"/>
        <v>#VALUE!</v>
      </c>
    </row>
    <row r="2290" spans="55:66" x14ac:dyDescent="0.2">
      <c r="BC2290" s="21" t="e" vm="1">
        <v>#REF!</v>
      </c>
      <c r="BD2290" t="e" vm="1">
        <v>#REF!</v>
      </c>
      <c r="BF2290" t="e" vm="2">
        <f t="shared" si="222"/>
        <v>#VALUE!</v>
      </c>
      <c r="BG2290" t="e" vm="2">
        <f t="shared" si="223"/>
        <v>#VALUE!</v>
      </c>
      <c r="BJ2290" s="21" t="e" vm="1">
        <v>#REF!</v>
      </c>
      <c r="BK2290" t="e" vm="1">
        <v>#REF!</v>
      </c>
      <c r="BM2290" t="e" vm="2">
        <f t="shared" si="224"/>
        <v>#VALUE!</v>
      </c>
      <c r="BN2290" t="e" vm="2">
        <f t="shared" si="225"/>
        <v>#VALUE!</v>
      </c>
    </row>
    <row r="2291" spans="55:66" x14ac:dyDescent="0.2">
      <c r="BC2291" s="21" t="e" vm="1">
        <v>#REF!</v>
      </c>
      <c r="BD2291" t="e" vm="1">
        <v>#REF!</v>
      </c>
      <c r="BF2291" t="e" vm="2">
        <f t="shared" si="222"/>
        <v>#VALUE!</v>
      </c>
      <c r="BG2291" t="e" vm="2">
        <f t="shared" si="223"/>
        <v>#VALUE!</v>
      </c>
      <c r="BJ2291" s="21" t="e" vm="1">
        <v>#REF!</v>
      </c>
      <c r="BK2291" t="e" vm="1">
        <v>#REF!</v>
      </c>
      <c r="BM2291" t="e" vm="2">
        <f t="shared" si="224"/>
        <v>#VALUE!</v>
      </c>
      <c r="BN2291" t="e" vm="2">
        <f t="shared" si="225"/>
        <v>#VALUE!</v>
      </c>
    </row>
    <row r="2292" spans="55:66" x14ac:dyDescent="0.2">
      <c r="BC2292" s="21" t="e" vm="1">
        <v>#REF!</v>
      </c>
      <c r="BD2292" t="e" vm="1">
        <v>#REF!</v>
      </c>
      <c r="BF2292" t="e" vm="2">
        <f t="shared" si="222"/>
        <v>#VALUE!</v>
      </c>
      <c r="BG2292" t="e" vm="2">
        <f t="shared" si="223"/>
        <v>#VALUE!</v>
      </c>
      <c r="BJ2292" s="21" t="e" vm="1">
        <v>#REF!</v>
      </c>
      <c r="BK2292" t="e" vm="1">
        <v>#REF!</v>
      </c>
      <c r="BM2292" t="e" vm="2">
        <f t="shared" si="224"/>
        <v>#VALUE!</v>
      </c>
      <c r="BN2292" t="e" vm="2">
        <f t="shared" si="225"/>
        <v>#VALUE!</v>
      </c>
    </row>
    <row r="2293" spans="55:66" x14ac:dyDescent="0.2">
      <c r="BC2293" s="21" t="e" vm="1">
        <v>#REF!</v>
      </c>
      <c r="BD2293" t="e" vm="1">
        <v>#REF!</v>
      </c>
      <c r="BF2293" t="e" vm="2">
        <f t="shared" si="222"/>
        <v>#VALUE!</v>
      </c>
      <c r="BG2293" t="e" vm="2">
        <f t="shared" si="223"/>
        <v>#VALUE!</v>
      </c>
      <c r="BJ2293" s="21" t="e" vm="1">
        <v>#REF!</v>
      </c>
      <c r="BK2293" t="e" vm="1">
        <v>#REF!</v>
      </c>
      <c r="BM2293" t="e" vm="2">
        <f t="shared" si="224"/>
        <v>#VALUE!</v>
      </c>
      <c r="BN2293" t="e" vm="2">
        <f t="shared" si="225"/>
        <v>#VALUE!</v>
      </c>
    </row>
    <row r="2294" spans="55:66" x14ac:dyDescent="0.2">
      <c r="BC2294" s="21" t="e" vm="1">
        <v>#REF!</v>
      </c>
      <c r="BD2294" t="e" vm="1">
        <v>#REF!</v>
      </c>
      <c r="BF2294" t="e" vm="2">
        <f t="shared" si="222"/>
        <v>#VALUE!</v>
      </c>
      <c r="BG2294" t="e" vm="2">
        <f t="shared" si="223"/>
        <v>#VALUE!</v>
      </c>
      <c r="BJ2294" s="21" t="e" vm="1">
        <v>#REF!</v>
      </c>
      <c r="BK2294" t="e" vm="1">
        <v>#REF!</v>
      </c>
      <c r="BM2294" t="e" vm="2">
        <f t="shared" si="224"/>
        <v>#VALUE!</v>
      </c>
      <c r="BN2294" t="e" vm="2">
        <f t="shared" si="225"/>
        <v>#VALUE!</v>
      </c>
    </row>
    <row r="2295" spans="55:66" x14ac:dyDescent="0.2">
      <c r="BC2295" s="21" t="e" vm="1">
        <v>#REF!</v>
      </c>
      <c r="BD2295" t="e" vm="1">
        <v>#REF!</v>
      </c>
      <c r="BF2295" t="e" vm="2">
        <f t="shared" si="222"/>
        <v>#VALUE!</v>
      </c>
      <c r="BG2295" t="e" vm="2">
        <f t="shared" si="223"/>
        <v>#VALUE!</v>
      </c>
      <c r="BJ2295" s="21" t="e" vm="1">
        <v>#REF!</v>
      </c>
      <c r="BK2295" t="e" vm="1">
        <v>#REF!</v>
      </c>
      <c r="BM2295" t="e" vm="2">
        <f t="shared" si="224"/>
        <v>#VALUE!</v>
      </c>
      <c r="BN2295" t="e" vm="2">
        <f t="shared" si="225"/>
        <v>#VALUE!</v>
      </c>
    </row>
    <row r="2296" spans="55:66" x14ac:dyDescent="0.2">
      <c r="BC2296" s="21" t="e" vm="1">
        <v>#REF!</v>
      </c>
      <c r="BD2296" t="e" vm="1">
        <v>#REF!</v>
      </c>
      <c r="BF2296" t="e" vm="2">
        <f t="shared" si="222"/>
        <v>#VALUE!</v>
      </c>
      <c r="BG2296" t="e" vm="2">
        <f t="shared" si="223"/>
        <v>#VALUE!</v>
      </c>
      <c r="BJ2296" s="21" t="e" vm="1">
        <v>#REF!</v>
      </c>
      <c r="BK2296" t="e" vm="1">
        <v>#REF!</v>
      </c>
      <c r="BM2296" t="e" vm="2">
        <f t="shared" si="224"/>
        <v>#VALUE!</v>
      </c>
      <c r="BN2296" t="e" vm="2">
        <f t="shared" si="225"/>
        <v>#VALUE!</v>
      </c>
    </row>
    <row r="2297" spans="55:66" x14ac:dyDescent="0.2">
      <c r="BC2297" s="21" t="e" vm="1">
        <v>#REF!</v>
      </c>
      <c r="BD2297" t="e" vm="1">
        <v>#REF!</v>
      </c>
      <c r="BF2297" t="e" vm="2">
        <f t="shared" si="222"/>
        <v>#VALUE!</v>
      </c>
      <c r="BG2297" t="e" vm="2">
        <f t="shared" si="223"/>
        <v>#VALUE!</v>
      </c>
      <c r="BJ2297" s="21" t="e" vm="1">
        <v>#REF!</v>
      </c>
      <c r="BK2297" t="e" vm="1">
        <v>#REF!</v>
      </c>
      <c r="BM2297" t="e" vm="2">
        <f t="shared" si="224"/>
        <v>#VALUE!</v>
      </c>
      <c r="BN2297" t="e" vm="2">
        <f t="shared" si="225"/>
        <v>#VALUE!</v>
      </c>
    </row>
    <row r="2298" spans="55:66" x14ac:dyDescent="0.2">
      <c r="BC2298" s="21" t="e" vm="1">
        <v>#REF!</v>
      </c>
      <c r="BD2298" t="e" vm="1">
        <v>#REF!</v>
      </c>
      <c r="BF2298" t="e" vm="2">
        <f t="shared" si="222"/>
        <v>#VALUE!</v>
      </c>
      <c r="BG2298" t="e" vm="2">
        <f t="shared" si="223"/>
        <v>#VALUE!</v>
      </c>
      <c r="BJ2298" s="21" t="e" vm="1">
        <v>#REF!</v>
      </c>
      <c r="BK2298" t="e" vm="1">
        <v>#REF!</v>
      </c>
      <c r="BM2298" t="e" vm="2">
        <f t="shared" si="224"/>
        <v>#VALUE!</v>
      </c>
      <c r="BN2298" t="e" vm="2">
        <f t="shared" si="225"/>
        <v>#VALUE!</v>
      </c>
    </row>
    <row r="2299" spans="55:66" x14ac:dyDescent="0.2">
      <c r="BC2299" s="21" t="e" vm="1">
        <v>#REF!</v>
      </c>
      <c r="BD2299" t="e" vm="1">
        <v>#REF!</v>
      </c>
      <c r="BF2299" t="e" vm="2">
        <f t="shared" si="222"/>
        <v>#VALUE!</v>
      </c>
      <c r="BG2299" t="e" vm="2">
        <f t="shared" si="223"/>
        <v>#VALUE!</v>
      </c>
      <c r="BJ2299" s="21" t="e" vm="1">
        <v>#REF!</v>
      </c>
      <c r="BK2299" t="e" vm="1">
        <v>#REF!</v>
      </c>
      <c r="BM2299" t="e" vm="2">
        <f t="shared" si="224"/>
        <v>#VALUE!</v>
      </c>
      <c r="BN2299" t="e" vm="2">
        <f t="shared" si="225"/>
        <v>#VALUE!</v>
      </c>
    </row>
    <row r="2300" spans="55:66" x14ac:dyDescent="0.2">
      <c r="BC2300" s="21" t="e" vm="1">
        <v>#REF!</v>
      </c>
      <c r="BD2300" t="e" vm="1">
        <v>#REF!</v>
      </c>
      <c r="BF2300" t="e" vm="2">
        <f t="shared" si="222"/>
        <v>#VALUE!</v>
      </c>
      <c r="BG2300" t="e" vm="2">
        <f t="shared" si="223"/>
        <v>#VALUE!</v>
      </c>
      <c r="BJ2300" s="21" t="e" vm="1">
        <v>#REF!</v>
      </c>
      <c r="BK2300" t="e" vm="1">
        <v>#REF!</v>
      </c>
      <c r="BM2300" t="e" vm="2">
        <f t="shared" si="224"/>
        <v>#VALUE!</v>
      </c>
      <c r="BN2300" t="e" vm="2">
        <f t="shared" si="225"/>
        <v>#VALUE!</v>
      </c>
    </row>
    <row r="2301" spans="55:66" x14ac:dyDescent="0.2">
      <c r="BC2301" s="21" t="e" vm="1">
        <v>#REF!</v>
      </c>
      <c r="BD2301" t="e" vm="1">
        <v>#REF!</v>
      </c>
      <c r="BF2301" t="e" vm="2">
        <f t="shared" si="222"/>
        <v>#VALUE!</v>
      </c>
      <c r="BG2301" t="e" vm="2">
        <f t="shared" si="223"/>
        <v>#VALUE!</v>
      </c>
      <c r="BJ2301" s="21" t="e" vm="1">
        <v>#REF!</v>
      </c>
      <c r="BK2301" t="e" vm="1">
        <v>#REF!</v>
      </c>
      <c r="BM2301" t="e" vm="2">
        <f t="shared" si="224"/>
        <v>#VALUE!</v>
      </c>
      <c r="BN2301" t="e" vm="2">
        <f t="shared" si="225"/>
        <v>#VALUE!</v>
      </c>
    </row>
    <row r="2302" spans="55:66" x14ac:dyDescent="0.2">
      <c r="BC2302" s="21" t="e" vm="1">
        <v>#REF!</v>
      </c>
      <c r="BD2302" t="e" vm="1">
        <v>#REF!</v>
      </c>
      <c r="BF2302" t="e" vm="2">
        <f t="shared" si="222"/>
        <v>#VALUE!</v>
      </c>
      <c r="BG2302" t="e" vm="2">
        <f t="shared" si="223"/>
        <v>#VALUE!</v>
      </c>
      <c r="BJ2302" s="21" t="e" vm="1">
        <v>#REF!</v>
      </c>
      <c r="BK2302" t="e" vm="1">
        <v>#REF!</v>
      </c>
      <c r="BM2302" t="e" vm="2">
        <f t="shared" si="224"/>
        <v>#VALUE!</v>
      </c>
      <c r="BN2302" t="e" vm="2">
        <f t="shared" si="225"/>
        <v>#VALUE!</v>
      </c>
    </row>
    <row r="2303" spans="55:66" x14ac:dyDescent="0.2">
      <c r="BC2303" s="21" t="e" vm="1">
        <v>#REF!</v>
      </c>
      <c r="BD2303" t="e" vm="1">
        <v>#REF!</v>
      </c>
      <c r="BF2303" t="e" vm="2">
        <f t="shared" si="222"/>
        <v>#VALUE!</v>
      </c>
      <c r="BG2303" t="e" vm="2">
        <f t="shared" si="223"/>
        <v>#VALUE!</v>
      </c>
      <c r="BJ2303" s="21" t="e" vm="1">
        <v>#REF!</v>
      </c>
      <c r="BK2303" t="e" vm="1">
        <v>#REF!</v>
      </c>
      <c r="BM2303" t="e" vm="2">
        <f t="shared" si="224"/>
        <v>#VALUE!</v>
      </c>
      <c r="BN2303" t="e" vm="2">
        <f t="shared" si="225"/>
        <v>#VALUE!</v>
      </c>
    </row>
    <row r="2304" spans="55:66" x14ac:dyDescent="0.2">
      <c r="BC2304" s="21" t="e" vm="1">
        <v>#REF!</v>
      </c>
      <c r="BD2304" t="e" vm="1">
        <v>#REF!</v>
      </c>
      <c r="BF2304" t="e" vm="2">
        <f t="shared" si="222"/>
        <v>#VALUE!</v>
      </c>
      <c r="BG2304" t="e" vm="2">
        <f t="shared" si="223"/>
        <v>#VALUE!</v>
      </c>
      <c r="BJ2304" s="21" t="e" vm="1">
        <v>#REF!</v>
      </c>
      <c r="BK2304" t="e" vm="1">
        <v>#REF!</v>
      </c>
      <c r="BM2304" t="e" vm="2">
        <f t="shared" si="224"/>
        <v>#VALUE!</v>
      </c>
      <c r="BN2304" t="e" vm="2">
        <f t="shared" si="225"/>
        <v>#VALUE!</v>
      </c>
    </row>
    <row r="2305" spans="55:66" x14ac:dyDescent="0.2">
      <c r="BC2305" s="21" t="e" vm="1">
        <v>#REF!</v>
      </c>
      <c r="BD2305" t="e" vm="1">
        <v>#REF!</v>
      </c>
      <c r="BF2305" t="e" vm="2">
        <f t="shared" si="222"/>
        <v>#VALUE!</v>
      </c>
      <c r="BG2305" t="e" vm="2">
        <f t="shared" si="223"/>
        <v>#VALUE!</v>
      </c>
      <c r="BJ2305" s="21" t="e" vm="1">
        <v>#REF!</v>
      </c>
      <c r="BK2305" t="e" vm="1">
        <v>#REF!</v>
      </c>
      <c r="BM2305" t="e" vm="2">
        <f t="shared" si="224"/>
        <v>#VALUE!</v>
      </c>
      <c r="BN2305" t="e" vm="2">
        <f t="shared" si="225"/>
        <v>#VALUE!</v>
      </c>
    </row>
    <row r="2306" spans="55:66" x14ac:dyDescent="0.2">
      <c r="BC2306" s="21" t="e" vm="1">
        <v>#REF!</v>
      </c>
      <c r="BD2306" t="e" vm="1">
        <v>#REF!</v>
      </c>
      <c r="BF2306" t="e" vm="2">
        <f t="shared" si="222"/>
        <v>#VALUE!</v>
      </c>
      <c r="BG2306" t="e" vm="2">
        <f t="shared" si="223"/>
        <v>#VALUE!</v>
      </c>
      <c r="BJ2306" s="21" t="e" vm="1">
        <v>#REF!</v>
      </c>
      <c r="BK2306" t="e" vm="1">
        <v>#REF!</v>
      </c>
      <c r="BM2306" t="e" vm="2">
        <f t="shared" si="224"/>
        <v>#VALUE!</v>
      </c>
      <c r="BN2306" t="e" vm="2">
        <f t="shared" si="225"/>
        <v>#VALUE!</v>
      </c>
    </row>
    <row r="2307" spans="55:66" x14ac:dyDescent="0.2">
      <c r="BC2307" s="21" t="e" vm="1">
        <v>#REF!</v>
      </c>
      <c r="BD2307" t="e" vm="1">
        <v>#REF!</v>
      </c>
      <c r="BF2307" t="e" vm="2">
        <f t="shared" ref="BF2307:BF2370" si="226">MONTH(BC2307)</f>
        <v>#VALUE!</v>
      </c>
      <c r="BG2307" t="e" vm="2">
        <f t="shared" ref="BG2307:BG2370" si="227">YEAR(BC2307)</f>
        <v>#VALUE!</v>
      </c>
      <c r="BJ2307" s="21" t="e" vm="1">
        <v>#REF!</v>
      </c>
      <c r="BK2307" t="e" vm="1">
        <v>#REF!</v>
      </c>
      <c r="BM2307" t="e" vm="2">
        <f t="shared" si="224"/>
        <v>#VALUE!</v>
      </c>
      <c r="BN2307" t="e" vm="2">
        <f t="shared" si="225"/>
        <v>#VALUE!</v>
      </c>
    </row>
    <row r="2308" spans="55:66" x14ac:dyDescent="0.2">
      <c r="BC2308" s="21" t="e" vm="1">
        <v>#REF!</v>
      </c>
      <c r="BD2308" t="e" vm="1">
        <v>#REF!</v>
      </c>
      <c r="BF2308" t="e" vm="2">
        <f t="shared" si="226"/>
        <v>#VALUE!</v>
      </c>
      <c r="BG2308" t="e" vm="2">
        <f t="shared" si="227"/>
        <v>#VALUE!</v>
      </c>
      <c r="BJ2308" s="21" t="e" vm="1">
        <v>#REF!</v>
      </c>
      <c r="BK2308" t="e" vm="1">
        <v>#REF!</v>
      </c>
      <c r="BM2308" t="e" vm="2">
        <f t="shared" ref="BM2308:BM2371" si="228">MONTH(BJ2308)</f>
        <v>#VALUE!</v>
      </c>
      <c r="BN2308" t="e" vm="2">
        <f t="shared" ref="BN2308:BN2371" si="229">YEAR(BJ2308)</f>
        <v>#VALUE!</v>
      </c>
    </row>
    <row r="2309" spans="55:66" x14ac:dyDescent="0.2">
      <c r="BC2309" s="21" t="e" vm="1">
        <v>#REF!</v>
      </c>
      <c r="BD2309" t="e" vm="1">
        <v>#REF!</v>
      </c>
      <c r="BF2309" t="e" vm="2">
        <f t="shared" si="226"/>
        <v>#VALUE!</v>
      </c>
      <c r="BG2309" t="e" vm="2">
        <f t="shared" si="227"/>
        <v>#VALUE!</v>
      </c>
      <c r="BJ2309" s="21" t="e" vm="1">
        <v>#REF!</v>
      </c>
      <c r="BK2309" t="e" vm="1">
        <v>#REF!</v>
      </c>
      <c r="BM2309" t="e" vm="2">
        <f t="shared" si="228"/>
        <v>#VALUE!</v>
      </c>
      <c r="BN2309" t="e" vm="2">
        <f t="shared" si="229"/>
        <v>#VALUE!</v>
      </c>
    </row>
    <row r="2310" spans="55:66" x14ac:dyDescent="0.2">
      <c r="BC2310" s="21" t="e" vm="1">
        <v>#REF!</v>
      </c>
      <c r="BD2310" t="e" vm="1">
        <v>#REF!</v>
      </c>
      <c r="BF2310" t="e" vm="2">
        <f t="shared" si="226"/>
        <v>#VALUE!</v>
      </c>
      <c r="BG2310" t="e" vm="2">
        <f t="shared" si="227"/>
        <v>#VALUE!</v>
      </c>
      <c r="BJ2310" s="21" t="e" vm="1">
        <v>#REF!</v>
      </c>
      <c r="BK2310" t="e" vm="1">
        <v>#REF!</v>
      </c>
      <c r="BM2310" t="e" vm="2">
        <f t="shared" si="228"/>
        <v>#VALUE!</v>
      </c>
      <c r="BN2310" t="e" vm="2">
        <f t="shared" si="229"/>
        <v>#VALUE!</v>
      </c>
    </row>
    <row r="2311" spans="55:66" x14ac:dyDescent="0.2">
      <c r="BC2311" s="21" t="e" vm="1">
        <v>#REF!</v>
      </c>
      <c r="BD2311" t="e" vm="1">
        <v>#REF!</v>
      </c>
      <c r="BF2311" t="e" vm="2">
        <f t="shared" si="226"/>
        <v>#VALUE!</v>
      </c>
      <c r="BG2311" t="e" vm="2">
        <f t="shared" si="227"/>
        <v>#VALUE!</v>
      </c>
      <c r="BJ2311" s="21" t="e" vm="1">
        <v>#REF!</v>
      </c>
      <c r="BK2311" t="e" vm="1">
        <v>#REF!</v>
      </c>
      <c r="BM2311" t="e" vm="2">
        <f t="shared" si="228"/>
        <v>#VALUE!</v>
      </c>
      <c r="BN2311" t="e" vm="2">
        <f t="shared" si="229"/>
        <v>#VALUE!</v>
      </c>
    </row>
    <row r="2312" spans="55:66" x14ac:dyDescent="0.2">
      <c r="BC2312" s="21" t="e" vm="1">
        <v>#REF!</v>
      </c>
      <c r="BD2312" t="e" vm="1">
        <v>#REF!</v>
      </c>
      <c r="BF2312" t="e" vm="2">
        <f t="shared" si="226"/>
        <v>#VALUE!</v>
      </c>
      <c r="BG2312" t="e" vm="2">
        <f t="shared" si="227"/>
        <v>#VALUE!</v>
      </c>
      <c r="BJ2312" s="21" t="e" vm="1">
        <v>#REF!</v>
      </c>
      <c r="BK2312" t="e" vm="1">
        <v>#REF!</v>
      </c>
      <c r="BM2312" t="e" vm="2">
        <f t="shared" si="228"/>
        <v>#VALUE!</v>
      </c>
      <c r="BN2312" t="e" vm="2">
        <f t="shared" si="229"/>
        <v>#VALUE!</v>
      </c>
    </row>
    <row r="2313" spans="55:66" x14ac:dyDescent="0.2">
      <c r="BC2313" s="21" t="e" vm="1">
        <v>#REF!</v>
      </c>
      <c r="BD2313" t="e" vm="1">
        <v>#REF!</v>
      </c>
      <c r="BF2313" t="e" vm="2">
        <f t="shared" si="226"/>
        <v>#VALUE!</v>
      </c>
      <c r="BG2313" t="e" vm="2">
        <f t="shared" si="227"/>
        <v>#VALUE!</v>
      </c>
      <c r="BJ2313" s="21" t="e" vm="1">
        <v>#REF!</v>
      </c>
      <c r="BK2313" t="e" vm="1">
        <v>#REF!</v>
      </c>
      <c r="BM2313" t="e" vm="2">
        <f t="shared" si="228"/>
        <v>#VALUE!</v>
      </c>
      <c r="BN2313" t="e" vm="2">
        <f t="shared" si="229"/>
        <v>#VALUE!</v>
      </c>
    </row>
    <row r="2314" spans="55:66" x14ac:dyDescent="0.2">
      <c r="BC2314" s="21" t="e" vm="1">
        <v>#REF!</v>
      </c>
      <c r="BD2314" t="e" vm="1">
        <v>#REF!</v>
      </c>
      <c r="BF2314" t="e" vm="2">
        <f t="shared" si="226"/>
        <v>#VALUE!</v>
      </c>
      <c r="BG2314" t="e" vm="2">
        <f t="shared" si="227"/>
        <v>#VALUE!</v>
      </c>
      <c r="BJ2314" s="21" t="e" vm="1">
        <v>#REF!</v>
      </c>
      <c r="BK2314" t="e" vm="1">
        <v>#REF!</v>
      </c>
      <c r="BM2314" t="e" vm="2">
        <f t="shared" si="228"/>
        <v>#VALUE!</v>
      </c>
      <c r="BN2314" t="e" vm="2">
        <f t="shared" si="229"/>
        <v>#VALUE!</v>
      </c>
    </row>
    <row r="2315" spans="55:66" x14ac:dyDescent="0.2">
      <c r="BC2315" s="21" t="e" vm="1">
        <v>#REF!</v>
      </c>
      <c r="BD2315" t="e" vm="1">
        <v>#REF!</v>
      </c>
      <c r="BF2315" t="e" vm="2">
        <f t="shared" si="226"/>
        <v>#VALUE!</v>
      </c>
      <c r="BG2315" t="e" vm="2">
        <f t="shared" si="227"/>
        <v>#VALUE!</v>
      </c>
      <c r="BJ2315" s="21" t="e" vm="1">
        <v>#REF!</v>
      </c>
      <c r="BK2315" t="e" vm="1">
        <v>#REF!</v>
      </c>
      <c r="BM2315" t="e" vm="2">
        <f t="shared" si="228"/>
        <v>#VALUE!</v>
      </c>
      <c r="BN2315" t="e" vm="2">
        <f t="shared" si="229"/>
        <v>#VALUE!</v>
      </c>
    </row>
    <row r="2316" spans="55:66" x14ac:dyDescent="0.2">
      <c r="BC2316" s="21" t="e" vm="1">
        <v>#REF!</v>
      </c>
      <c r="BD2316" t="e" vm="1">
        <v>#REF!</v>
      </c>
      <c r="BF2316" t="e" vm="2">
        <f t="shared" si="226"/>
        <v>#VALUE!</v>
      </c>
      <c r="BG2316" t="e" vm="2">
        <f t="shared" si="227"/>
        <v>#VALUE!</v>
      </c>
      <c r="BJ2316" s="21" t="e" vm="1">
        <v>#REF!</v>
      </c>
      <c r="BK2316" t="e" vm="1">
        <v>#REF!</v>
      </c>
      <c r="BM2316" t="e" vm="2">
        <f t="shared" si="228"/>
        <v>#VALUE!</v>
      </c>
      <c r="BN2316" t="e" vm="2">
        <f t="shared" si="229"/>
        <v>#VALUE!</v>
      </c>
    </row>
    <row r="2317" spans="55:66" x14ac:dyDescent="0.2">
      <c r="BC2317" s="21" t="e" vm="1">
        <v>#REF!</v>
      </c>
      <c r="BD2317" t="e" vm="1">
        <v>#REF!</v>
      </c>
      <c r="BF2317" t="e" vm="2">
        <f t="shared" si="226"/>
        <v>#VALUE!</v>
      </c>
      <c r="BG2317" t="e" vm="2">
        <f t="shared" si="227"/>
        <v>#VALUE!</v>
      </c>
      <c r="BJ2317" s="21" t="e" vm="1">
        <v>#REF!</v>
      </c>
      <c r="BK2317" t="e" vm="1">
        <v>#REF!</v>
      </c>
      <c r="BM2317" t="e" vm="2">
        <f t="shared" si="228"/>
        <v>#VALUE!</v>
      </c>
      <c r="BN2317" t="e" vm="2">
        <f t="shared" si="229"/>
        <v>#VALUE!</v>
      </c>
    </row>
    <row r="2318" spans="55:66" x14ac:dyDescent="0.2">
      <c r="BC2318" s="21" t="e" vm="1">
        <v>#REF!</v>
      </c>
      <c r="BD2318" t="e" vm="1">
        <v>#REF!</v>
      </c>
      <c r="BF2318" t="e" vm="2">
        <f t="shared" si="226"/>
        <v>#VALUE!</v>
      </c>
      <c r="BG2318" t="e" vm="2">
        <f t="shared" si="227"/>
        <v>#VALUE!</v>
      </c>
      <c r="BJ2318" s="21" t="e" vm="1">
        <v>#REF!</v>
      </c>
      <c r="BK2318" t="e" vm="1">
        <v>#REF!</v>
      </c>
      <c r="BM2318" t="e" vm="2">
        <f t="shared" si="228"/>
        <v>#VALUE!</v>
      </c>
      <c r="BN2318" t="e" vm="2">
        <f t="shared" si="229"/>
        <v>#VALUE!</v>
      </c>
    </row>
    <row r="2319" spans="55:66" x14ac:dyDescent="0.2">
      <c r="BC2319" s="21" t="e" vm="1">
        <v>#REF!</v>
      </c>
      <c r="BD2319" t="e" vm="1">
        <v>#REF!</v>
      </c>
      <c r="BF2319" t="e" vm="2">
        <f t="shared" si="226"/>
        <v>#VALUE!</v>
      </c>
      <c r="BG2319" t="e" vm="2">
        <f t="shared" si="227"/>
        <v>#VALUE!</v>
      </c>
      <c r="BJ2319" s="21" t="e" vm="1">
        <v>#REF!</v>
      </c>
      <c r="BK2319" t="e" vm="1">
        <v>#REF!</v>
      </c>
      <c r="BM2319" t="e" vm="2">
        <f t="shared" si="228"/>
        <v>#VALUE!</v>
      </c>
      <c r="BN2319" t="e" vm="2">
        <f t="shared" si="229"/>
        <v>#VALUE!</v>
      </c>
    </row>
    <row r="2320" spans="55:66" x14ac:dyDescent="0.2">
      <c r="BC2320" s="21" t="e" vm="1">
        <v>#REF!</v>
      </c>
      <c r="BD2320" t="e" vm="1">
        <v>#REF!</v>
      </c>
      <c r="BF2320" t="e" vm="2">
        <f t="shared" si="226"/>
        <v>#VALUE!</v>
      </c>
      <c r="BG2320" t="e" vm="2">
        <f t="shared" si="227"/>
        <v>#VALUE!</v>
      </c>
      <c r="BJ2320" s="21" t="e" vm="1">
        <v>#REF!</v>
      </c>
      <c r="BK2320" t="e" vm="1">
        <v>#REF!</v>
      </c>
      <c r="BM2320" t="e" vm="2">
        <f t="shared" si="228"/>
        <v>#VALUE!</v>
      </c>
      <c r="BN2320" t="e" vm="2">
        <f t="shared" si="229"/>
        <v>#VALUE!</v>
      </c>
    </row>
    <row r="2321" spans="55:66" x14ac:dyDescent="0.2">
      <c r="BC2321" s="21" t="e" vm="1">
        <v>#REF!</v>
      </c>
      <c r="BD2321" t="e" vm="1">
        <v>#REF!</v>
      </c>
      <c r="BF2321" t="e" vm="2">
        <f t="shared" si="226"/>
        <v>#VALUE!</v>
      </c>
      <c r="BG2321" t="e" vm="2">
        <f t="shared" si="227"/>
        <v>#VALUE!</v>
      </c>
      <c r="BJ2321" s="21" t="e" vm="1">
        <v>#REF!</v>
      </c>
      <c r="BK2321" t="e" vm="1">
        <v>#REF!</v>
      </c>
      <c r="BM2321" t="e" vm="2">
        <f t="shared" si="228"/>
        <v>#VALUE!</v>
      </c>
      <c r="BN2321" t="e" vm="2">
        <f t="shared" si="229"/>
        <v>#VALUE!</v>
      </c>
    </row>
    <row r="2322" spans="55:66" x14ac:dyDescent="0.2">
      <c r="BC2322" s="21" t="e" vm="1">
        <v>#REF!</v>
      </c>
      <c r="BD2322" t="e" vm="1">
        <v>#REF!</v>
      </c>
      <c r="BF2322" t="e" vm="2">
        <f t="shared" si="226"/>
        <v>#VALUE!</v>
      </c>
      <c r="BG2322" t="e" vm="2">
        <f t="shared" si="227"/>
        <v>#VALUE!</v>
      </c>
      <c r="BJ2322" s="21" t="e" vm="1">
        <v>#REF!</v>
      </c>
      <c r="BK2322" t="e" vm="1">
        <v>#REF!</v>
      </c>
      <c r="BM2322" t="e" vm="2">
        <f t="shared" si="228"/>
        <v>#VALUE!</v>
      </c>
      <c r="BN2322" t="e" vm="2">
        <f t="shared" si="229"/>
        <v>#VALUE!</v>
      </c>
    </row>
    <row r="2323" spans="55:66" x14ac:dyDescent="0.2">
      <c r="BC2323" s="21" t="e" vm="1">
        <v>#REF!</v>
      </c>
      <c r="BD2323" t="e" vm="1">
        <v>#REF!</v>
      </c>
      <c r="BF2323" t="e" vm="2">
        <f t="shared" si="226"/>
        <v>#VALUE!</v>
      </c>
      <c r="BG2323" t="e" vm="2">
        <f t="shared" si="227"/>
        <v>#VALUE!</v>
      </c>
      <c r="BJ2323" s="21" t="e" vm="1">
        <v>#REF!</v>
      </c>
      <c r="BK2323" t="e" vm="1">
        <v>#REF!</v>
      </c>
      <c r="BM2323" t="e" vm="2">
        <f t="shared" si="228"/>
        <v>#VALUE!</v>
      </c>
      <c r="BN2323" t="e" vm="2">
        <f t="shared" si="229"/>
        <v>#VALUE!</v>
      </c>
    </row>
    <row r="2324" spans="55:66" x14ac:dyDescent="0.2">
      <c r="BC2324" s="21" t="e" vm="1">
        <v>#REF!</v>
      </c>
      <c r="BD2324" t="e" vm="1">
        <v>#REF!</v>
      </c>
      <c r="BF2324" t="e" vm="2">
        <f t="shared" si="226"/>
        <v>#VALUE!</v>
      </c>
      <c r="BG2324" t="e" vm="2">
        <f t="shared" si="227"/>
        <v>#VALUE!</v>
      </c>
      <c r="BJ2324" s="21" t="e" vm="1">
        <v>#REF!</v>
      </c>
      <c r="BK2324" t="e" vm="1">
        <v>#REF!</v>
      </c>
      <c r="BM2324" t="e" vm="2">
        <f t="shared" si="228"/>
        <v>#VALUE!</v>
      </c>
      <c r="BN2324" t="e" vm="2">
        <f t="shared" si="229"/>
        <v>#VALUE!</v>
      </c>
    </row>
    <row r="2325" spans="55:66" x14ac:dyDescent="0.2">
      <c r="BC2325" s="21" t="e" vm="1">
        <v>#REF!</v>
      </c>
      <c r="BD2325" t="e" vm="1">
        <v>#REF!</v>
      </c>
      <c r="BF2325" t="e" vm="2">
        <f t="shared" si="226"/>
        <v>#VALUE!</v>
      </c>
      <c r="BG2325" t="e" vm="2">
        <f t="shared" si="227"/>
        <v>#VALUE!</v>
      </c>
      <c r="BJ2325" s="21" t="e" vm="1">
        <v>#REF!</v>
      </c>
      <c r="BK2325" t="e" vm="1">
        <v>#REF!</v>
      </c>
      <c r="BM2325" t="e" vm="2">
        <f t="shared" si="228"/>
        <v>#VALUE!</v>
      </c>
      <c r="BN2325" t="e" vm="2">
        <f t="shared" si="229"/>
        <v>#VALUE!</v>
      </c>
    </row>
    <row r="2326" spans="55:66" x14ac:dyDescent="0.2">
      <c r="BC2326" s="21" t="e" vm="1">
        <v>#REF!</v>
      </c>
      <c r="BD2326" t="e" vm="1">
        <v>#REF!</v>
      </c>
      <c r="BF2326" t="e" vm="2">
        <f t="shared" si="226"/>
        <v>#VALUE!</v>
      </c>
      <c r="BG2326" t="e" vm="2">
        <f t="shared" si="227"/>
        <v>#VALUE!</v>
      </c>
      <c r="BJ2326" s="21" t="e" vm="1">
        <v>#REF!</v>
      </c>
      <c r="BK2326" t="e" vm="1">
        <v>#REF!</v>
      </c>
      <c r="BM2326" t="e" vm="2">
        <f t="shared" si="228"/>
        <v>#VALUE!</v>
      </c>
      <c r="BN2326" t="e" vm="2">
        <f t="shared" si="229"/>
        <v>#VALUE!</v>
      </c>
    </row>
    <row r="2327" spans="55:66" x14ac:dyDescent="0.2">
      <c r="BC2327" s="21" t="e" vm="1">
        <v>#REF!</v>
      </c>
      <c r="BD2327" t="e" vm="1">
        <v>#REF!</v>
      </c>
      <c r="BF2327" t="e" vm="2">
        <f t="shared" si="226"/>
        <v>#VALUE!</v>
      </c>
      <c r="BG2327" t="e" vm="2">
        <f t="shared" si="227"/>
        <v>#VALUE!</v>
      </c>
      <c r="BJ2327" s="21" t="e" vm="1">
        <v>#REF!</v>
      </c>
      <c r="BK2327" t="e" vm="1">
        <v>#REF!</v>
      </c>
      <c r="BM2327" t="e" vm="2">
        <f t="shared" si="228"/>
        <v>#VALUE!</v>
      </c>
      <c r="BN2327" t="e" vm="2">
        <f t="shared" si="229"/>
        <v>#VALUE!</v>
      </c>
    </row>
    <row r="2328" spans="55:66" x14ac:dyDescent="0.2">
      <c r="BC2328" s="21" t="e" vm="1">
        <v>#REF!</v>
      </c>
      <c r="BD2328" t="e" vm="1">
        <v>#REF!</v>
      </c>
      <c r="BF2328" t="e" vm="2">
        <f t="shared" si="226"/>
        <v>#VALUE!</v>
      </c>
      <c r="BG2328" t="e" vm="2">
        <f t="shared" si="227"/>
        <v>#VALUE!</v>
      </c>
      <c r="BJ2328" s="21" t="e" vm="1">
        <v>#REF!</v>
      </c>
      <c r="BK2328" t="e" vm="1">
        <v>#REF!</v>
      </c>
      <c r="BM2328" t="e" vm="2">
        <f t="shared" si="228"/>
        <v>#VALUE!</v>
      </c>
      <c r="BN2328" t="e" vm="2">
        <f t="shared" si="229"/>
        <v>#VALUE!</v>
      </c>
    </row>
    <row r="2329" spans="55:66" x14ac:dyDescent="0.2">
      <c r="BC2329" s="21" t="e" vm="1">
        <v>#REF!</v>
      </c>
      <c r="BD2329" t="e" vm="1">
        <v>#REF!</v>
      </c>
      <c r="BF2329" t="e" vm="2">
        <f t="shared" si="226"/>
        <v>#VALUE!</v>
      </c>
      <c r="BG2329" t="e" vm="2">
        <f t="shared" si="227"/>
        <v>#VALUE!</v>
      </c>
      <c r="BJ2329" s="21" t="e" vm="1">
        <v>#REF!</v>
      </c>
      <c r="BK2329" t="e" vm="1">
        <v>#REF!</v>
      </c>
      <c r="BM2329" t="e" vm="2">
        <f t="shared" si="228"/>
        <v>#VALUE!</v>
      </c>
      <c r="BN2329" t="e" vm="2">
        <f t="shared" si="229"/>
        <v>#VALUE!</v>
      </c>
    </row>
    <row r="2330" spans="55:66" x14ac:dyDescent="0.2">
      <c r="BC2330" s="21" t="e" vm="1">
        <v>#REF!</v>
      </c>
      <c r="BD2330" t="e" vm="1">
        <v>#REF!</v>
      </c>
      <c r="BF2330" t="e" vm="2">
        <f t="shared" si="226"/>
        <v>#VALUE!</v>
      </c>
      <c r="BG2330" t="e" vm="2">
        <f t="shared" si="227"/>
        <v>#VALUE!</v>
      </c>
      <c r="BJ2330" s="21" t="e" vm="1">
        <v>#REF!</v>
      </c>
      <c r="BK2330" t="e" vm="1">
        <v>#REF!</v>
      </c>
      <c r="BM2330" t="e" vm="2">
        <f t="shared" si="228"/>
        <v>#VALUE!</v>
      </c>
      <c r="BN2330" t="e" vm="2">
        <f t="shared" si="229"/>
        <v>#VALUE!</v>
      </c>
    </row>
    <row r="2331" spans="55:66" x14ac:dyDescent="0.2">
      <c r="BC2331" s="21" t="e" vm="1">
        <v>#REF!</v>
      </c>
      <c r="BD2331" t="e" vm="1">
        <v>#REF!</v>
      </c>
      <c r="BF2331" t="e" vm="2">
        <f t="shared" si="226"/>
        <v>#VALUE!</v>
      </c>
      <c r="BG2331" t="e" vm="2">
        <f t="shared" si="227"/>
        <v>#VALUE!</v>
      </c>
      <c r="BJ2331" s="21" t="e" vm="1">
        <v>#REF!</v>
      </c>
      <c r="BK2331" t="e" vm="1">
        <v>#REF!</v>
      </c>
      <c r="BM2331" t="e" vm="2">
        <f t="shared" si="228"/>
        <v>#VALUE!</v>
      </c>
      <c r="BN2331" t="e" vm="2">
        <f t="shared" si="229"/>
        <v>#VALUE!</v>
      </c>
    </row>
    <row r="2332" spans="55:66" x14ac:dyDescent="0.2">
      <c r="BC2332" s="21" t="e" vm="1">
        <v>#REF!</v>
      </c>
      <c r="BD2332" t="e" vm="1">
        <v>#REF!</v>
      </c>
      <c r="BF2332" t="e" vm="2">
        <f t="shared" si="226"/>
        <v>#VALUE!</v>
      </c>
      <c r="BG2332" t="e" vm="2">
        <f t="shared" si="227"/>
        <v>#VALUE!</v>
      </c>
      <c r="BJ2332" s="21" t="e" vm="1">
        <v>#REF!</v>
      </c>
      <c r="BK2332" t="e" vm="1">
        <v>#REF!</v>
      </c>
      <c r="BM2332" t="e" vm="2">
        <f t="shared" si="228"/>
        <v>#VALUE!</v>
      </c>
      <c r="BN2332" t="e" vm="2">
        <f t="shared" si="229"/>
        <v>#VALUE!</v>
      </c>
    </row>
    <row r="2333" spans="55:66" x14ac:dyDescent="0.2">
      <c r="BC2333" s="21" t="e" vm="1">
        <v>#REF!</v>
      </c>
      <c r="BD2333" t="e" vm="1">
        <v>#REF!</v>
      </c>
      <c r="BF2333" t="e" vm="2">
        <f t="shared" si="226"/>
        <v>#VALUE!</v>
      </c>
      <c r="BG2333" t="e" vm="2">
        <f t="shared" si="227"/>
        <v>#VALUE!</v>
      </c>
      <c r="BJ2333" s="21" t="e" vm="1">
        <v>#REF!</v>
      </c>
      <c r="BK2333" t="e" vm="1">
        <v>#REF!</v>
      </c>
      <c r="BM2333" t="e" vm="2">
        <f t="shared" si="228"/>
        <v>#VALUE!</v>
      </c>
      <c r="BN2333" t="e" vm="2">
        <f t="shared" si="229"/>
        <v>#VALUE!</v>
      </c>
    </row>
    <row r="2334" spans="55:66" x14ac:dyDescent="0.2">
      <c r="BC2334" s="21" t="e" vm="1">
        <v>#REF!</v>
      </c>
      <c r="BD2334" t="e" vm="1">
        <v>#REF!</v>
      </c>
      <c r="BF2334" t="e" vm="2">
        <f t="shared" si="226"/>
        <v>#VALUE!</v>
      </c>
      <c r="BG2334" t="e" vm="2">
        <f t="shared" si="227"/>
        <v>#VALUE!</v>
      </c>
      <c r="BJ2334" s="21" t="e" vm="1">
        <v>#REF!</v>
      </c>
      <c r="BK2334" t="e" vm="1">
        <v>#REF!</v>
      </c>
      <c r="BM2334" t="e" vm="2">
        <f t="shared" si="228"/>
        <v>#VALUE!</v>
      </c>
      <c r="BN2334" t="e" vm="2">
        <f t="shared" si="229"/>
        <v>#VALUE!</v>
      </c>
    </row>
    <row r="2335" spans="55:66" x14ac:dyDescent="0.2">
      <c r="BC2335" s="21" t="e" vm="1">
        <v>#REF!</v>
      </c>
      <c r="BD2335" t="e" vm="1">
        <v>#REF!</v>
      </c>
      <c r="BF2335" t="e" vm="2">
        <f t="shared" si="226"/>
        <v>#VALUE!</v>
      </c>
      <c r="BG2335" t="e" vm="2">
        <f t="shared" si="227"/>
        <v>#VALUE!</v>
      </c>
      <c r="BJ2335" s="21" t="e" vm="1">
        <v>#REF!</v>
      </c>
      <c r="BK2335" t="e" vm="1">
        <v>#REF!</v>
      </c>
      <c r="BM2335" t="e" vm="2">
        <f t="shared" si="228"/>
        <v>#VALUE!</v>
      </c>
      <c r="BN2335" t="e" vm="2">
        <f t="shared" si="229"/>
        <v>#VALUE!</v>
      </c>
    </row>
    <row r="2336" spans="55:66" x14ac:dyDescent="0.2">
      <c r="BC2336" s="21" t="e" vm="1">
        <v>#REF!</v>
      </c>
      <c r="BD2336" t="e" vm="1">
        <v>#REF!</v>
      </c>
      <c r="BF2336" t="e" vm="2">
        <f t="shared" si="226"/>
        <v>#VALUE!</v>
      </c>
      <c r="BG2336" t="e" vm="2">
        <f t="shared" si="227"/>
        <v>#VALUE!</v>
      </c>
      <c r="BJ2336" s="21" t="e" vm="1">
        <v>#REF!</v>
      </c>
      <c r="BK2336" t="e" vm="1">
        <v>#REF!</v>
      </c>
      <c r="BM2336" t="e" vm="2">
        <f t="shared" si="228"/>
        <v>#VALUE!</v>
      </c>
      <c r="BN2336" t="e" vm="2">
        <f t="shared" si="229"/>
        <v>#VALUE!</v>
      </c>
    </row>
    <row r="2337" spans="55:66" x14ac:dyDescent="0.2">
      <c r="BC2337" s="21" t="e" vm="1">
        <v>#REF!</v>
      </c>
      <c r="BD2337" t="e" vm="1">
        <v>#REF!</v>
      </c>
      <c r="BF2337" t="e" vm="2">
        <f t="shared" si="226"/>
        <v>#VALUE!</v>
      </c>
      <c r="BG2337" t="e" vm="2">
        <f t="shared" si="227"/>
        <v>#VALUE!</v>
      </c>
      <c r="BJ2337" s="21" t="e" vm="1">
        <v>#REF!</v>
      </c>
      <c r="BK2337" t="e" vm="1">
        <v>#REF!</v>
      </c>
      <c r="BM2337" t="e" vm="2">
        <f t="shared" si="228"/>
        <v>#VALUE!</v>
      </c>
      <c r="BN2337" t="e" vm="2">
        <f t="shared" si="229"/>
        <v>#VALUE!</v>
      </c>
    </row>
    <row r="2338" spans="55:66" x14ac:dyDescent="0.2">
      <c r="BC2338" s="21" t="e" vm="1">
        <v>#REF!</v>
      </c>
      <c r="BD2338" t="e" vm="1">
        <v>#REF!</v>
      </c>
      <c r="BF2338" t="e" vm="2">
        <f t="shared" si="226"/>
        <v>#VALUE!</v>
      </c>
      <c r="BG2338" t="e" vm="2">
        <f t="shared" si="227"/>
        <v>#VALUE!</v>
      </c>
      <c r="BJ2338" s="21" t="e" vm="1">
        <v>#REF!</v>
      </c>
      <c r="BK2338" t="e" vm="1">
        <v>#REF!</v>
      </c>
      <c r="BM2338" t="e" vm="2">
        <f t="shared" si="228"/>
        <v>#VALUE!</v>
      </c>
      <c r="BN2338" t="e" vm="2">
        <f t="shared" si="229"/>
        <v>#VALUE!</v>
      </c>
    </row>
    <row r="2339" spans="55:66" x14ac:dyDescent="0.2">
      <c r="BC2339" s="21" t="e" vm="1">
        <v>#REF!</v>
      </c>
      <c r="BD2339" t="e" vm="1">
        <v>#REF!</v>
      </c>
      <c r="BF2339" t="e" vm="2">
        <f t="shared" si="226"/>
        <v>#VALUE!</v>
      </c>
      <c r="BG2339" t="e" vm="2">
        <f t="shared" si="227"/>
        <v>#VALUE!</v>
      </c>
      <c r="BJ2339" s="21" t="e" vm="1">
        <v>#REF!</v>
      </c>
      <c r="BK2339" t="e" vm="1">
        <v>#REF!</v>
      </c>
      <c r="BM2339" t="e" vm="2">
        <f t="shared" si="228"/>
        <v>#VALUE!</v>
      </c>
      <c r="BN2339" t="e" vm="2">
        <f t="shared" si="229"/>
        <v>#VALUE!</v>
      </c>
    </row>
    <row r="2340" spans="55:66" x14ac:dyDescent="0.2">
      <c r="BC2340" s="21" t="e" vm="1">
        <v>#REF!</v>
      </c>
      <c r="BD2340" t="e" vm="1">
        <v>#REF!</v>
      </c>
      <c r="BF2340" t="e" vm="2">
        <f t="shared" si="226"/>
        <v>#VALUE!</v>
      </c>
      <c r="BG2340" t="e" vm="2">
        <f t="shared" si="227"/>
        <v>#VALUE!</v>
      </c>
      <c r="BJ2340" s="21" t="e" vm="1">
        <v>#REF!</v>
      </c>
      <c r="BK2340" t="e" vm="1">
        <v>#REF!</v>
      </c>
      <c r="BM2340" t="e" vm="2">
        <f t="shared" si="228"/>
        <v>#VALUE!</v>
      </c>
      <c r="BN2340" t="e" vm="2">
        <f t="shared" si="229"/>
        <v>#VALUE!</v>
      </c>
    </row>
    <row r="2341" spans="55:66" x14ac:dyDescent="0.2">
      <c r="BC2341" s="21" t="e" vm="1">
        <v>#REF!</v>
      </c>
      <c r="BD2341" t="e" vm="1">
        <v>#REF!</v>
      </c>
      <c r="BF2341" t="e" vm="2">
        <f t="shared" si="226"/>
        <v>#VALUE!</v>
      </c>
      <c r="BG2341" t="e" vm="2">
        <f t="shared" si="227"/>
        <v>#VALUE!</v>
      </c>
      <c r="BJ2341" s="21" t="e" vm="1">
        <v>#REF!</v>
      </c>
      <c r="BK2341" t="e" vm="1">
        <v>#REF!</v>
      </c>
      <c r="BM2341" t="e" vm="2">
        <f t="shared" si="228"/>
        <v>#VALUE!</v>
      </c>
      <c r="BN2341" t="e" vm="2">
        <f t="shared" si="229"/>
        <v>#VALUE!</v>
      </c>
    </row>
    <row r="2342" spans="55:66" x14ac:dyDescent="0.2">
      <c r="BC2342" s="21" t="e" vm="1">
        <v>#REF!</v>
      </c>
      <c r="BD2342" t="e" vm="1">
        <v>#REF!</v>
      </c>
      <c r="BF2342" t="e" vm="2">
        <f t="shared" si="226"/>
        <v>#VALUE!</v>
      </c>
      <c r="BG2342" t="e" vm="2">
        <f t="shared" si="227"/>
        <v>#VALUE!</v>
      </c>
      <c r="BJ2342" s="21" t="e" vm="1">
        <v>#REF!</v>
      </c>
      <c r="BK2342" t="e" vm="1">
        <v>#REF!</v>
      </c>
      <c r="BM2342" t="e" vm="2">
        <f t="shared" si="228"/>
        <v>#VALUE!</v>
      </c>
      <c r="BN2342" t="e" vm="2">
        <f t="shared" si="229"/>
        <v>#VALUE!</v>
      </c>
    </row>
    <row r="2343" spans="55:66" x14ac:dyDescent="0.2">
      <c r="BC2343" s="21" t="e" vm="1">
        <v>#REF!</v>
      </c>
      <c r="BD2343" t="e" vm="1">
        <v>#REF!</v>
      </c>
      <c r="BF2343" t="e" vm="2">
        <f t="shared" si="226"/>
        <v>#VALUE!</v>
      </c>
      <c r="BG2343" t="e" vm="2">
        <f t="shared" si="227"/>
        <v>#VALUE!</v>
      </c>
      <c r="BJ2343" s="21" t="e" vm="1">
        <v>#REF!</v>
      </c>
      <c r="BK2343" t="e" vm="1">
        <v>#REF!</v>
      </c>
      <c r="BM2343" t="e" vm="2">
        <f t="shared" si="228"/>
        <v>#VALUE!</v>
      </c>
      <c r="BN2343" t="e" vm="2">
        <f t="shared" si="229"/>
        <v>#VALUE!</v>
      </c>
    </row>
    <row r="2344" spans="55:66" x14ac:dyDescent="0.2">
      <c r="BC2344" s="21" t="e" vm="1">
        <v>#REF!</v>
      </c>
      <c r="BD2344" t="e" vm="1">
        <v>#REF!</v>
      </c>
      <c r="BF2344" t="e" vm="2">
        <f t="shared" si="226"/>
        <v>#VALUE!</v>
      </c>
      <c r="BG2344" t="e" vm="2">
        <f t="shared" si="227"/>
        <v>#VALUE!</v>
      </c>
      <c r="BJ2344" s="21" t="e" vm="1">
        <v>#REF!</v>
      </c>
      <c r="BK2344" t="e" vm="1">
        <v>#REF!</v>
      </c>
      <c r="BM2344" t="e" vm="2">
        <f t="shared" si="228"/>
        <v>#VALUE!</v>
      </c>
      <c r="BN2344" t="e" vm="2">
        <f t="shared" si="229"/>
        <v>#VALUE!</v>
      </c>
    </row>
    <row r="2345" spans="55:66" x14ac:dyDescent="0.2">
      <c r="BC2345" s="21" t="e" vm="1">
        <v>#REF!</v>
      </c>
      <c r="BD2345" t="e" vm="1">
        <v>#REF!</v>
      </c>
      <c r="BF2345" t="e" vm="2">
        <f t="shared" si="226"/>
        <v>#VALUE!</v>
      </c>
      <c r="BG2345" t="e" vm="2">
        <f t="shared" si="227"/>
        <v>#VALUE!</v>
      </c>
      <c r="BJ2345" s="21" t="e" vm="1">
        <v>#REF!</v>
      </c>
      <c r="BK2345" t="e" vm="1">
        <v>#REF!</v>
      </c>
      <c r="BM2345" t="e" vm="2">
        <f t="shared" si="228"/>
        <v>#VALUE!</v>
      </c>
      <c r="BN2345" t="e" vm="2">
        <f t="shared" si="229"/>
        <v>#VALUE!</v>
      </c>
    </row>
    <row r="2346" spans="55:66" x14ac:dyDescent="0.2">
      <c r="BC2346" s="21" t="e" vm="1">
        <v>#REF!</v>
      </c>
      <c r="BD2346" t="e" vm="1">
        <v>#REF!</v>
      </c>
      <c r="BF2346" t="e" vm="2">
        <f t="shared" si="226"/>
        <v>#VALUE!</v>
      </c>
      <c r="BG2346" t="e" vm="2">
        <f t="shared" si="227"/>
        <v>#VALUE!</v>
      </c>
      <c r="BJ2346" s="21" t="e" vm="1">
        <v>#REF!</v>
      </c>
      <c r="BK2346" t="e" vm="1">
        <v>#REF!</v>
      </c>
      <c r="BM2346" t="e" vm="2">
        <f t="shared" si="228"/>
        <v>#VALUE!</v>
      </c>
      <c r="BN2346" t="e" vm="2">
        <f t="shared" si="229"/>
        <v>#VALUE!</v>
      </c>
    </row>
    <row r="2347" spans="55:66" x14ac:dyDescent="0.2">
      <c r="BC2347" s="21" t="e" vm="1">
        <v>#REF!</v>
      </c>
      <c r="BD2347" t="e" vm="1">
        <v>#REF!</v>
      </c>
      <c r="BF2347" t="e" vm="2">
        <f t="shared" si="226"/>
        <v>#VALUE!</v>
      </c>
      <c r="BG2347" t="e" vm="2">
        <f t="shared" si="227"/>
        <v>#VALUE!</v>
      </c>
      <c r="BJ2347" s="21" t="e" vm="1">
        <v>#REF!</v>
      </c>
      <c r="BK2347" t="e" vm="1">
        <v>#REF!</v>
      </c>
      <c r="BM2347" t="e" vm="2">
        <f t="shared" si="228"/>
        <v>#VALUE!</v>
      </c>
      <c r="BN2347" t="e" vm="2">
        <f t="shared" si="229"/>
        <v>#VALUE!</v>
      </c>
    </row>
    <row r="2348" spans="55:66" x14ac:dyDescent="0.2">
      <c r="BC2348" s="21" t="e" vm="1">
        <v>#REF!</v>
      </c>
      <c r="BD2348" t="e" vm="1">
        <v>#REF!</v>
      </c>
      <c r="BF2348" t="e" vm="2">
        <f t="shared" si="226"/>
        <v>#VALUE!</v>
      </c>
      <c r="BG2348" t="e" vm="2">
        <f t="shared" si="227"/>
        <v>#VALUE!</v>
      </c>
      <c r="BJ2348" s="21" t="e" vm="1">
        <v>#REF!</v>
      </c>
      <c r="BK2348" t="e" vm="1">
        <v>#REF!</v>
      </c>
      <c r="BM2348" t="e" vm="2">
        <f t="shared" si="228"/>
        <v>#VALUE!</v>
      </c>
      <c r="BN2348" t="e" vm="2">
        <f t="shared" si="229"/>
        <v>#VALUE!</v>
      </c>
    </row>
    <row r="2349" spans="55:66" x14ac:dyDescent="0.2">
      <c r="BC2349" s="21" t="e" vm="1">
        <v>#REF!</v>
      </c>
      <c r="BD2349" t="e" vm="1">
        <v>#REF!</v>
      </c>
      <c r="BF2349" t="e" vm="2">
        <f t="shared" si="226"/>
        <v>#VALUE!</v>
      </c>
      <c r="BG2349" t="e" vm="2">
        <f t="shared" si="227"/>
        <v>#VALUE!</v>
      </c>
      <c r="BJ2349" s="21" t="e" vm="1">
        <v>#REF!</v>
      </c>
      <c r="BK2349" t="e" vm="1">
        <v>#REF!</v>
      </c>
      <c r="BM2349" t="e" vm="2">
        <f t="shared" si="228"/>
        <v>#VALUE!</v>
      </c>
      <c r="BN2349" t="e" vm="2">
        <f t="shared" si="229"/>
        <v>#VALUE!</v>
      </c>
    </row>
    <row r="2350" spans="55:66" x14ac:dyDescent="0.2">
      <c r="BC2350" s="21" t="e" vm="1">
        <v>#REF!</v>
      </c>
      <c r="BD2350" t="e" vm="1">
        <v>#REF!</v>
      </c>
      <c r="BF2350" t="e" vm="2">
        <f t="shared" si="226"/>
        <v>#VALUE!</v>
      </c>
      <c r="BG2350" t="e" vm="2">
        <f t="shared" si="227"/>
        <v>#VALUE!</v>
      </c>
      <c r="BJ2350" s="21" t="e" vm="1">
        <v>#REF!</v>
      </c>
      <c r="BK2350" t="e" vm="1">
        <v>#REF!</v>
      </c>
      <c r="BM2350" t="e" vm="2">
        <f t="shared" si="228"/>
        <v>#VALUE!</v>
      </c>
      <c r="BN2350" t="e" vm="2">
        <f t="shared" si="229"/>
        <v>#VALUE!</v>
      </c>
    </row>
    <row r="2351" spans="55:66" x14ac:dyDescent="0.2">
      <c r="BC2351" s="21" t="e" vm="1">
        <v>#REF!</v>
      </c>
      <c r="BD2351" t="e" vm="1">
        <v>#REF!</v>
      </c>
      <c r="BF2351" t="e" vm="2">
        <f t="shared" si="226"/>
        <v>#VALUE!</v>
      </c>
      <c r="BG2351" t="e" vm="2">
        <f t="shared" si="227"/>
        <v>#VALUE!</v>
      </c>
      <c r="BJ2351" s="21" t="e" vm="1">
        <v>#REF!</v>
      </c>
      <c r="BK2351" t="e" vm="1">
        <v>#REF!</v>
      </c>
      <c r="BM2351" t="e" vm="2">
        <f t="shared" si="228"/>
        <v>#VALUE!</v>
      </c>
      <c r="BN2351" t="e" vm="2">
        <f t="shared" si="229"/>
        <v>#VALUE!</v>
      </c>
    </row>
    <row r="2352" spans="55:66" x14ac:dyDescent="0.2">
      <c r="BC2352" s="21" t="e" vm="1">
        <v>#REF!</v>
      </c>
      <c r="BD2352" t="e" vm="1">
        <v>#REF!</v>
      </c>
      <c r="BF2352" t="e" vm="2">
        <f t="shared" si="226"/>
        <v>#VALUE!</v>
      </c>
      <c r="BG2352" t="e" vm="2">
        <f t="shared" si="227"/>
        <v>#VALUE!</v>
      </c>
      <c r="BJ2352" s="21" t="e" vm="1">
        <v>#REF!</v>
      </c>
      <c r="BK2352" t="e" vm="1">
        <v>#REF!</v>
      </c>
      <c r="BM2352" t="e" vm="2">
        <f t="shared" si="228"/>
        <v>#VALUE!</v>
      </c>
      <c r="BN2352" t="e" vm="2">
        <f t="shared" si="229"/>
        <v>#VALUE!</v>
      </c>
    </row>
    <row r="2353" spans="55:66" x14ac:dyDescent="0.2">
      <c r="BC2353" s="21" t="e" vm="1">
        <v>#REF!</v>
      </c>
      <c r="BD2353" t="e" vm="1">
        <v>#REF!</v>
      </c>
      <c r="BF2353" t="e" vm="2">
        <f t="shared" si="226"/>
        <v>#VALUE!</v>
      </c>
      <c r="BG2353" t="e" vm="2">
        <f t="shared" si="227"/>
        <v>#VALUE!</v>
      </c>
      <c r="BJ2353" s="21" t="e" vm="1">
        <v>#REF!</v>
      </c>
      <c r="BK2353" t="e" vm="1">
        <v>#REF!</v>
      </c>
      <c r="BM2353" t="e" vm="2">
        <f t="shared" si="228"/>
        <v>#VALUE!</v>
      </c>
      <c r="BN2353" t="e" vm="2">
        <f t="shared" si="229"/>
        <v>#VALUE!</v>
      </c>
    </row>
    <row r="2354" spans="55:66" x14ac:dyDescent="0.2">
      <c r="BC2354" s="21" t="e" vm="1">
        <v>#REF!</v>
      </c>
      <c r="BD2354" t="e" vm="1">
        <v>#REF!</v>
      </c>
      <c r="BF2354" t="e" vm="2">
        <f t="shared" si="226"/>
        <v>#VALUE!</v>
      </c>
      <c r="BG2354" t="e" vm="2">
        <f t="shared" si="227"/>
        <v>#VALUE!</v>
      </c>
      <c r="BJ2354" s="21" t="e" vm="1">
        <v>#REF!</v>
      </c>
      <c r="BK2354" t="e" vm="1">
        <v>#REF!</v>
      </c>
      <c r="BM2354" t="e" vm="2">
        <f t="shared" si="228"/>
        <v>#VALUE!</v>
      </c>
      <c r="BN2354" t="e" vm="2">
        <f t="shared" si="229"/>
        <v>#VALUE!</v>
      </c>
    </row>
    <row r="2355" spans="55:66" x14ac:dyDescent="0.2">
      <c r="BC2355" s="21" t="e" vm="1">
        <v>#REF!</v>
      </c>
      <c r="BD2355" t="e" vm="1">
        <v>#REF!</v>
      </c>
      <c r="BF2355" t="e" vm="2">
        <f t="shared" si="226"/>
        <v>#VALUE!</v>
      </c>
      <c r="BG2355" t="e" vm="2">
        <f t="shared" si="227"/>
        <v>#VALUE!</v>
      </c>
      <c r="BJ2355" s="21" t="e" vm="1">
        <v>#REF!</v>
      </c>
      <c r="BK2355" t="e" vm="1">
        <v>#REF!</v>
      </c>
      <c r="BM2355" t="e" vm="2">
        <f t="shared" si="228"/>
        <v>#VALUE!</v>
      </c>
      <c r="BN2355" t="e" vm="2">
        <f t="shared" si="229"/>
        <v>#VALUE!</v>
      </c>
    </row>
    <row r="2356" spans="55:66" x14ac:dyDescent="0.2">
      <c r="BC2356" s="21" t="e" vm="1">
        <v>#REF!</v>
      </c>
      <c r="BD2356" t="e" vm="1">
        <v>#REF!</v>
      </c>
      <c r="BF2356" t="e" vm="2">
        <f t="shared" si="226"/>
        <v>#VALUE!</v>
      </c>
      <c r="BG2356" t="e" vm="2">
        <f t="shared" si="227"/>
        <v>#VALUE!</v>
      </c>
      <c r="BJ2356" s="21" t="e" vm="1">
        <v>#REF!</v>
      </c>
      <c r="BK2356" t="e" vm="1">
        <v>#REF!</v>
      </c>
      <c r="BM2356" t="e" vm="2">
        <f t="shared" si="228"/>
        <v>#VALUE!</v>
      </c>
      <c r="BN2356" t="e" vm="2">
        <f t="shared" si="229"/>
        <v>#VALUE!</v>
      </c>
    </row>
    <row r="2357" spans="55:66" x14ac:dyDescent="0.2">
      <c r="BC2357" s="21" t="e" vm="1">
        <v>#REF!</v>
      </c>
      <c r="BD2357" t="e" vm="1">
        <v>#REF!</v>
      </c>
      <c r="BF2357" t="e" vm="2">
        <f t="shared" si="226"/>
        <v>#VALUE!</v>
      </c>
      <c r="BG2357" t="e" vm="2">
        <f t="shared" si="227"/>
        <v>#VALUE!</v>
      </c>
      <c r="BJ2357" s="21" t="e" vm="1">
        <v>#REF!</v>
      </c>
      <c r="BK2357" t="e" vm="1">
        <v>#REF!</v>
      </c>
      <c r="BM2357" t="e" vm="2">
        <f t="shared" si="228"/>
        <v>#VALUE!</v>
      </c>
      <c r="BN2357" t="e" vm="2">
        <f t="shared" si="229"/>
        <v>#VALUE!</v>
      </c>
    </row>
    <row r="2358" spans="55:66" x14ac:dyDescent="0.2">
      <c r="BC2358" s="21" t="e" vm="1">
        <v>#REF!</v>
      </c>
      <c r="BD2358" t="e" vm="1">
        <v>#REF!</v>
      </c>
      <c r="BF2358" t="e" vm="2">
        <f t="shared" si="226"/>
        <v>#VALUE!</v>
      </c>
      <c r="BG2358" t="e" vm="2">
        <f t="shared" si="227"/>
        <v>#VALUE!</v>
      </c>
      <c r="BJ2358" s="21" t="e" vm="1">
        <v>#REF!</v>
      </c>
      <c r="BK2358" t="e" vm="1">
        <v>#REF!</v>
      </c>
      <c r="BM2358" t="e" vm="2">
        <f t="shared" si="228"/>
        <v>#VALUE!</v>
      </c>
      <c r="BN2358" t="e" vm="2">
        <f t="shared" si="229"/>
        <v>#VALUE!</v>
      </c>
    </row>
    <row r="2359" spans="55:66" x14ac:dyDescent="0.2">
      <c r="BC2359" s="21" t="e" vm="1">
        <v>#REF!</v>
      </c>
      <c r="BD2359" t="e" vm="1">
        <v>#REF!</v>
      </c>
      <c r="BF2359" t="e" vm="2">
        <f t="shared" si="226"/>
        <v>#VALUE!</v>
      </c>
      <c r="BG2359" t="e" vm="2">
        <f t="shared" si="227"/>
        <v>#VALUE!</v>
      </c>
      <c r="BJ2359" s="21" t="e" vm="1">
        <v>#REF!</v>
      </c>
      <c r="BK2359" t="e" vm="1">
        <v>#REF!</v>
      </c>
      <c r="BM2359" t="e" vm="2">
        <f t="shared" si="228"/>
        <v>#VALUE!</v>
      </c>
      <c r="BN2359" t="e" vm="2">
        <f t="shared" si="229"/>
        <v>#VALUE!</v>
      </c>
    </row>
    <row r="2360" spans="55:66" x14ac:dyDescent="0.2">
      <c r="BC2360" s="21" t="e" vm="1">
        <v>#REF!</v>
      </c>
      <c r="BD2360" t="e" vm="1">
        <v>#REF!</v>
      </c>
      <c r="BF2360" t="e" vm="2">
        <f t="shared" si="226"/>
        <v>#VALUE!</v>
      </c>
      <c r="BG2360" t="e" vm="2">
        <f t="shared" si="227"/>
        <v>#VALUE!</v>
      </c>
      <c r="BJ2360" s="21" t="e" vm="1">
        <v>#REF!</v>
      </c>
      <c r="BK2360" t="e" vm="1">
        <v>#REF!</v>
      </c>
      <c r="BM2360" t="e" vm="2">
        <f t="shared" si="228"/>
        <v>#VALUE!</v>
      </c>
      <c r="BN2360" t="e" vm="2">
        <f t="shared" si="229"/>
        <v>#VALUE!</v>
      </c>
    </row>
    <row r="2361" spans="55:66" x14ac:dyDescent="0.2">
      <c r="BC2361" s="21" t="e" vm="1">
        <v>#REF!</v>
      </c>
      <c r="BD2361" t="e" vm="1">
        <v>#REF!</v>
      </c>
      <c r="BF2361" t="e" vm="2">
        <f t="shared" si="226"/>
        <v>#VALUE!</v>
      </c>
      <c r="BG2361" t="e" vm="2">
        <f t="shared" si="227"/>
        <v>#VALUE!</v>
      </c>
      <c r="BJ2361" s="21" t="e" vm="1">
        <v>#REF!</v>
      </c>
      <c r="BK2361" t="e" vm="1">
        <v>#REF!</v>
      </c>
      <c r="BM2361" t="e" vm="2">
        <f t="shared" si="228"/>
        <v>#VALUE!</v>
      </c>
      <c r="BN2361" t="e" vm="2">
        <f t="shared" si="229"/>
        <v>#VALUE!</v>
      </c>
    </row>
    <row r="2362" spans="55:66" x14ac:dyDescent="0.2">
      <c r="BC2362" s="21" t="e" vm="1">
        <v>#REF!</v>
      </c>
      <c r="BD2362" t="e" vm="1">
        <v>#REF!</v>
      </c>
      <c r="BF2362" t="e" vm="2">
        <f t="shared" si="226"/>
        <v>#VALUE!</v>
      </c>
      <c r="BG2362" t="e" vm="2">
        <f t="shared" si="227"/>
        <v>#VALUE!</v>
      </c>
      <c r="BJ2362" s="21" t="e" vm="1">
        <v>#REF!</v>
      </c>
      <c r="BK2362" t="e" vm="1">
        <v>#REF!</v>
      </c>
      <c r="BM2362" t="e" vm="2">
        <f t="shared" si="228"/>
        <v>#VALUE!</v>
      </c>
      <c r="BN2362" t="e" vm="2">
        <f t="shared" si="229"/>
        <v>#VALUE!</v>
      </c>
    </row>
    <row r="2363" spans="55:66" x14ac:dyDescent="0.2">
      <c r="BC2363" s="21" t="e" vm="1">
        <v>#REF!</v>
      </c>
      <c r="BD2363" t="e" vm="1">
        <v>#REF!</v>
      </c>
      <c r="BF2363" t="e" vm="2">
        <f t="shared" si="226"/>
        <v>#VALUE!</v>
      </c>
      <c r="BG2363" t="e" vm="2">
        <f t="shared" si="227"/>
        <v>#VALUE!</v>
      </c>
      <c r="BJ2363" s="21" t="e" vm="1">
        <v>#REF!</v>
      </c>
      <c r="BK2363" t="e" vm="1">
        <v>#REF!</v>
      </c>
      <c r="BM2363" t="e" vm="2">
        <f t="shared" si="228"/>
        <v>#VALUE!</v>
      </c>
      <c r="BN2363" t="e" vm="2">
        <f t="shared" si="229"/>
        <v>#VALUE!</v>
      </c>
    </row>
    <row r="2364" spans="55:66" x14ac:dyDescent="0.2">
      <c r="BC2364" s="21" t="e" vm="1">
        <v>#REF!</v>
      </c>
      <c r="BD2364" t="e" vm="1">
        <v>#REF!</v>
      </c>
      <c r="BF2364" t="e" vm="2">
        <f t="shared" si="226"/>
        <v>#VALUE!</v>
      </c>
      <c r="BG2364" t="e" vm="2">
        <f t="shared" si="227"/>
        <v>#VALUE!</v>
      </c>
      <c r="BJ2364" s="21" t="e" vm="1">
        <v>#REF!</v>
      </c>
      <c r="BK2364" t="e" vm="1">
        <v>#REF!</v>
      </c>
      <c r="BM2364" t="e" vm="2">
        <f t="shared" si="228"/>
        <v>#VALUE!</v>
      </c>
      <c r="BN2364" t="e" vm="2">
        <f t="shared" si="229"/>
        <v>#VALUE!</v>
      </c>
    </row>
    <row r="2365" spans="55:66" x14ac:dyDescent="0.2">
      <c r="BC2365" s="21" t="e" vm="1">
        <v>#REF!</v>
      </c>
      <c r="BD2365" t="e" vm="1">
        <v>#REF!</v>
      </c>
      <c r="BF2365" t="e" vm="2">
        <f t="shared" si="226"/>
        <v>#VALUE!</v>
      </c>
      <c r="BG2365" t="e" vm="2">
        <f t="shared" si="227"/>
        <v>#VALUE!</v>
      </c>
      <c r="BJ2365" s="21" t="e" vm="1">
        <v>#REF!</v>
      </c>
      <c r="BK2365" t="e" vm="1">
        <v>#REF!</v>
      </c>
      <c r="BM2365" t="e" vm="2">
        <f t="shared" si="228"/>
        <v>#VALUE!</v>
      </c>
      <c r="BN2365" t="e" vm="2">
        <f t="shared" si="229"/>
        <v>#VALUE!</v>
      </c>
    </row>
    <row r="2366" spans="55:66" x14ac:dyDescent="0.2">
      <c r="BC2366" s="21" t="e" vm="1">
        <v>#REF!</v>
      </c>
      <c r="BD2366" t="e" vm="1">
        <v>#REF!</v>
      </c>
      <c r="BF2366" t="e" vm="2">
        <f t="shared" si="226"/>
        <v>#VALUE!</v>
      </c>
      <c r="BG2366" t="e" vm="2">
        <f t="shared" si="227"/>
        <v>#VALUE!</v>
      </c>
      <c r="BJ2366" s="21" t="e" vm="1">
        <v>#REF!</v>
      </c>
      <c r="BK2366" t="e" vm="1">
        <v>#REF!</v>
      </c>
      <c r="BM2366" t="e" vm="2">
        <f t="shared" si="228"/>
        <v>#VALUE!</v>
      </c>
      <c r="BN2366" t="e" vm="2">
        <f t="shared" si="229"/>
        <v>#VALUE!</v>
      </c>
    </row>
    <row r="2367" spans="55:66" x14ac:dyDescent="0.2">
      <c r="BC2367" s="21" t="e" vm="1">
        <v>#REF!</v>
      </c>
      <c r="BD2367" t="e" vm="1">
        <v>#REF!</v>
      </c>
      <c r="BF2367" t="e" vm="2">
        <f t="shared" si="226"/>
        <v>#VALUE!</v>
      </c>
      <c r="BG2367" t="e" vm="2">
        <f t="shared" si="227"/>
        <v>#VALUE!</v>
      </c>
      <c r="BJ2367" s="21" t="e" vm="1">
        <v>#REF!</v>
      </c>
      <c r="BK2367" t="e" vm="1">
        <v>#REF!</v>
      </c>
      <c r="BM2367" t="e" vm="2">
        <f t="shared" si="228"/>
        <v>#VALUE!</v>
      </c>
      <c r="BN2367" t="e" vm="2">
        <f t="shared" si="229"/>
        <v>#VALUE!</v>
      </c>
    </row>
    <row r="2368" spans="55:66" x14ac:dyDescent="0.2">
      <c r="BC2368" s="21" t="e" vm="1">
        <v>#REF!</v>
      </c>
      <c r="BD2368" t="e" vm="1">
        <v>#REF!</v>
      </c>
      <c r="BF2368" t="e" vm="2">
        <f t="shared" si="226"/>
        <v>#VALUE!</v>
      </c>
      <c r="BG2368" t="e" vm="2">
        <f t="shared" si="227"/>
        <v>#VALUE!</v>
      </c>
      <c r="BJ2368" s="21" t="e" vm="1">
        <v>#REF!</v>
      </c>
      <c r="BK2368" t="e" vm="1">
        <v>#REF!</v>
      </c>
      <c r="BM2368" t="e" vm="2">
        <f t="shared" si="228"/>
        <v>#VALUE!</v>
      </c>
      <c r="BN2368" t="e" vm="2">
        <f t="shared" si="229"/>
        <v>#VALUE!</v>
      </c>
    </row>
    <row r="2369" spans="55:66" x14ac:dyDescent="0.2">
      <c r="BC2369" s="21" t="e" vm="1">
        <v>#REF!</v>
      </c>
      <c r="BD2369" t="e" vm="1">
        <v>#REF!</v>
      </c>
      <c r="BF2369" t="e" vm="2">
        <f t="shared" si="226"/>
        <v>#VALUE!</v>
      </c>
      <c r="BG2369" t="e" vm="2">
        <f t="shared" si="227"/>
        <v>#VALUE!</v>
      </c>
      <c r="BJ2369" s="21" t="e" vm="1">
        <v>#REF!</v>
      </c>
      <c r="BK2369" t="e" vm="1">
        <v>#REF!</v>
      </c>
      <c r="BM2369" t="e" vm="2">
        <f t="shared" si="228"/>
        <v>#VALUE!</v>
      </c>
      <c r="BN2369" t="e" vm="2">
        <f t="shared" si="229"/>
        <v>#VALUE!</v>
      </c>
    </row>
    <row r="2370" spans="55:66" x14ac:dyDescent="0.2">
      <c r="BC2370" s="21" t="e" vm="1">
        <v>#REF!</v>
      </c>
      <c r="BD2370" t="e" vm="1">
        <v>#REF!</v>
      </c>
      <c r="BF2370" t="e" vm="2">
        <f t="shared" si="226"/>
        <v>#VALUE!</v>
      </c>
      <c r="BG2370" t="e" vm="2">
        <f t="shared" si="227"/>
        <v>#VALUE!</v>
      </c>
      <c r="BJ2370" s="21" t="e" vm="1">
        <v>#REF!</v>
      </c>
      <c r="BK2370" t="e" vm="1">
        <v>#REF!</v>
      </c>
      <c r="BM2370" t="e" vm="2">
        <f t="shared" si="228"/>
        <v>#VALUE!</v>
      </c>
      <c r="BN2370" t="e" vm="2">
        <f t="shared" si="229"/>
        <v>#VALUE!</v>
      </c>
    </row>
    <row r="2371" spans="55:66" x14ac:dyDescent="0.2">
      <c r="BC2371" s="21" t="e" vm="1">
        <v>#REF!</v>
      </c>
      <c r="BD2371" t="e" vm="1">
        <v>#REF!</v>
      </c>
      <c r="BF2371" t="e" vm="2">
        <f t="shared" ref="BF2371:BF2434" si="230">MONTH(BC2371)</f>
        <v>#VALUE!</v>
      </c>
      <c r="BG2371" t="e" vm="2">
        <f t="shared" ref="BG2371:BG2434" si="231">YEAR(BC2371)</f>
        <v>#VALUE!</v>
      </c>
      <c r="BJ2371" s="21" t="e" vm="1">
        <v>#REF!</v>
      </c>
      <c r="BK2371" t="e" vm="1">
        <v>#REF!</v>
      </c>
      <c r="BM2371" t="e" vm="2">
        <f t="shared" si="228"/>
        <v>#VALUE!</v>
      </c>
      <c r="BN2371" t="e" vm="2">
        <f t="shared" si="229"/>
        <v>#VALUE!</v>
      </c>
    </row>
    <row r="2372" spans="55:66" x14ac:dyDescent="0.2">
      <c r="BC2372" s="21" t="e" vm="1">
        <v>#REF!</v>
      </c>
      <c r="BD2372" t="e" vm="1">
        <v>#REF!</v>
      </c>
      <c r="BF2372" t="e" vm="2">
        <f t="shared" si="230"/>
        <v>#VALUE!</v>
      </c>
      <c r="BG2372" t="e" vm="2">
        <f t="shared" si="231"/>
        <v>#VALUE!</v>
      </c>
      <c r="BJ2372" s="21" t="e" vm="1">
        <v>#REF!</v>
      </c>
      <c r="BK2372" t="e" vm="1">
        <v>#REF!</v>
      </c>
      <c r="BM2372" t="e" vm="2">
        <f t="shared" ref="BM2372:BM2435" si="232">MONTH(BJ2372)</f>
        <v>#VALUE!</v>
      </c>
      <c r="BN2372" t="e" vm="2">
        <f t="shared" ref="BN2372:BN2435" si="233">YEAR(BJ2372)</f>
        <v>#VALUE!</v>
      </c>
    </row>
    <row r="2373" spans="55:66" x14ac:dyDescent="0.2">
      <c r="BC2373" s="21" t="e" vm="1">
        <v>#REF!</v>
      </c>
      <c r="BD2373" t="e" vm="1">
        <v>#REF!</v>
      </c>
      <c r="BF2373" t="e" vm="2">
        <f t="shared" si="230"/>
        <v>#VALUE!</v>
      </c>
      <c r="BG2373" t="e" vm="2">
        <f t="shared" si="231"/>
        <v>#VALUE!</v>
      </c>
      <c r="BJ2373" s="21" t="e" vm="1">
        <v>#REF!</v>
      </c>
      <c r="BK2373" t="e" vm="1">
        <v>#REF!</v>
      </c>
      <c r="BM2373" t="e" vm="2">
        <f t="shared" si="232"/>
        <v>#VALUE!</v>
      </c>
      <c r="BN2373" t="e" vm="2">
        <f t="shared" si="233"/>
        <v>#VALUE!</v>
      </c>
    </row>
    <row r="2374" spans="55:66" x14ac:dyDescent="0.2">
      <c r="BC2374" s="21" t="e" vm="1">
        <v>#REF!</v>
      </c>
      <c r="BD2374" t="e" vm="1">
        <v>#REF!</v>
      </c>
      <c r="BF2374" t="e" vm="2">
        <f t="shared" si="230"/>
        <v>#VALUE!</v>
      </c>
      <c r="BG2374" t="e" vm="2">
        <f t="shared" si="231"/>
        <v>#VALUE!</v>
      </c>
      <c r="BJ2374" s="21" t="e" vm="1">
        <v>#REF!</v>
      </c>
      <c r="BK2374" t="e" vm="1">
        <v>#REF!</v>
      </c>
      <c r="BM2374" t="e" vm="2">
        <f t="shared" si="232"/>
        <v>#VALUE!</v>
      </c>
      <c r="BN2374" t="e" vm="2">
        <f t="shared" si="233"/>
        <v>#VALUE!</v>
      </c>
    </row>
    <row r="2375" spans="55:66" x14ac:dyDescent="0.2">
      <c r="BC2375" s="21" t="e" vm="1">
        <v>#REF!</v>
      </c>
      <c r="BD2375" t="e" vm="1">
        <v>#REF!</v>
      </c>
      <c r="BF2375" t="e" vm="2">
        <f t="shared" si="230"/>
        <v>#VALUE!</v>
      </c>
      <c r="BG2375" t="e" vm="2">
        <f t="shared" si="231"/>
        <v>#VALUE!</v>
      </c>
      <c r="BJ2375" s="21" t="e" vm="1">
        <v>#REF!</v>
      </c>
      <c r="BK2375" t="e" vm="1">
        <v>#REF!</v>
      </c>
      <c r="BM2375" t="e" vm="2">
        <f t="shared" si="232"/>
        <v>#VALUE!</v>
      </c>
      <c r="BN2375" t="e" vm="2">
        <f t="shared" si="233"/>
        <v>#VALUE!</v>
      </c>
    </row>
    <row r="2376" spans="55:66" x14ac:dyDescent="0.2">
      <c r="BC2376" s="21" t="e" vm="1">
        <v>#REF!</v>
      </c>
      <c r="BD2376" t="e" vm="1">
        <v>#REF!</v>
      </c>
      <c r="BF2376" t="e" vm="2">
        <f t="shared" si="230"/>
        <v>#VALUE!</v>
      </c>
      <c r="BG2376" t="e" vm="2">
        <f t="shared" si="231"/>
        <v>#VALUE!</v>
      </c>
      <c r="BJ2376" s="21" t="e" vm="1">
        <v>#REF!</v>
      </c>
      <c r="BK2376" t="e" vm="1">
        <v>#REF!</v>
      </c>
      <c r="BM2376" t="e" vm="2">
        <f t="shared" si="232"/>
        <v>#VALUE!</v>
      </c>
      <c r="BN2376" t="e" vm="2">
        <f t="shared" si="233"/>
        <v>#VALUE!</v>
      </c>
    </row>
    <row r="2377" spans="55:66" x14ac:dyDescent="0.2">
      <c r="BC2377" s="21" t="e" vm="1">
        <v>#REF!</v>
      </c>
      <c r="BD2377" t="e" vm="1">
        <v>#REF!</v>
      </c>
      <c r="BF2377" t="e" vm="2">
        <f t="shared" si="230"/>
        <v>#VALUE!</v>
      </c>
      <c r="BG2377" t="e" vm="2">
        <f t="shared" si="231"/>
        <v>#VALUE!</v>
      </c>
      <c r="BJ2377" s="21" t="e" vm="1">
        <v>#REF!</v>
      </c>
      <c r="BK2377" t="e" vm="1">
        <v>#REF!</v>
      </c>
      <c r="BM2377" t="e" vm="2">
        <f t="shared" si="232"/>
        <v>#VALUE!</v>
      </c>
      <c r="BN2377" t="e" vm="2">
        <f t="shared" si="233"/>
        <v>#VALUE!</v>
      </c>
    </row>
    <row r="2378" spans="55:66" x14ac:dyDescent="0.2">
      <c r="BC2378" s="21" t="e" vm="1">
        <v>#REF!</v>
      </c>
      <c r="BD2378" t="e" vm="1">
        <v>#REF!</v>
      </c>
      <c r="BF2378" t="e" vm="2">
        <f t="shared" si="230"/>
        <v>#VALUE!</v>
      </c>
      <c r="BG2378" t="e" vm="2">
        <f t="shared" si="231"/>
        <v>#VALUE!</v>
      </c>
      <c r="BJ2378" s="21" t="e" vm="1">
        <v>#REF!</v>
      </c>
      <c r="BK2378" t="e" vm="1">
        <v>#REF!</v>
      </c>
      <c r="BM2378" t="e" vm="2">
        <f t="shared" si="232"/>
        <v>#VALUE!</v>
      </c>
      <c r="BN2378" t="e" vm="2">
        <f t="shared" si="233"/>
        <v>#VALUE!</v>
      </c>
    </row>
    <row r="2379" spans="55:66" x14ac:dyDescent="0.2">
      <c r="BC2379" s="21" t="e" vm="1">
        <v>#REF!</v>
      </c>
      <c r="BD2379" t="e" vm="1">
        <v>#REF!</v>
      </c>
      <c r="BF2379" t="e" vm="2">
        <f t="shared" si="230"/>
        <v>#VALUE!</v>
      </c>
      <c r="BG2379" t="e" vm="2">
        <f t="shared" si="231"/>
        <v>#VALUE!</v>
      </c>
      <c r="BJ2379" s="21" t="e" vm="1">
        <v>#REF!</v>
      </c>
      <c r="BK2379" t="e" vm="1">
        <v>#REF!</v>
      </c>
      <c r="BM2379" t="e" vm="2">
        <f t="shared" si="232"/>
        <v>#VALUE!</v>
      </c>
      <c r="BN2379" t="e" vm="2">
        <f t="shared" si="233"/>
        <v>#VALUE!</v>
      </c>
    </row>
    <row r="2380" spans="55:66" x14ac:dyDescent="0.2">
      <c r="BC2380" s="21" t="e" vm="1">
        <v>#REF!</v>
      </c>
      <c r="BD2380" t="e" vm="1">
        <v>#REF!</v>
      </c>
      <c r="BF2380" t="e" vm="2">
        <f t="shared" si="230"/>
        <v>#VALUE!</v>
      </c>
      <c r="BG2380" t="e" vm="2">
        <f t="shared" si="231"/>
        <v>#VALUE!</v>
      </c>
      <c r="BJ2380" s="21" t="e" vm="1">
        <v>#REF!</v>
      </c>
      <c r="BK2380" t="e" vm="1">
        <v>#REF!</v>
      </c>
      <c r="BM2380" t="e" vm="2">
        <f t="shared" si="232"/>
        <v>#VALUE!</v>
      </c>
      <c r="BN2380" t="e" vm="2">
        <f t="shared" si="233"/>
        <v>#VALUE!</v>
      </c>
    </row>
    <row r="2381" spans="55:66" x14ac:dyDescent="0.2">
      <c r="BC2381" s="21" t="e" vm="1">
        <v>#REF!</v>
      </c>
      <c r="BD2381" t="e" vm="1">
        <v>#REF!</v>
      </c>
      <c r="BF2381" t="e" vm="2">
        <f t="shared" si="230"/>
        <v>#VALUE!</v>
      </c>
      <c r="BG2381" t="e" vm="2">
        <f t="shared" si="231"/>
        <v>#VALUE!</v>
      </c>
      <c r="BJ2381" s="21" t="e" vm="1">
        <v>#REF!</v>
      </c>
      <c r="BK2381" t="e" vm="1">
        <v>#REF!</v>
      </c>
      <c r="BM2381" t="e" vm="2">
        <f t="shared" si="232"/>
        <v>#VALUE!</v>
      </c>
      <c r="BN2381" t="e" vm="2">
        <f t="shared" si="233"/>
        <v>#VALUE!</v>
      </c>
    </row>
    <row r="2382" spans="55:66" x14ac:dyDescent="0.2">
      <c r="BC2382" s="21" t="e" vm="1">
        <v>#REF!</v>
      </c>
      <c r="BD2382" t="e" vm="1">
        <v>#REF!</v>
      </c>
      <c r="BF2382" t="e" vm="2">
        <f t="shared" si="230"/>
        <v>#VALUE!</v>
      </c>
      <c r="BG2382" t="e" vm="2">
        <f t="shared" si="231"/>
        <v>#VALUE!</v>
      </c>
      <c r="BJ2382" s="21" t="e" vm="1">
        <v>#REF!</v>
      </c>
      <c r="BK2382" t="e" vm="1">
        <v>#REF!</v>
      </c>
      <c r="BM2382" t="e" vm="2">
        <f t="shared" si="232"/>
        <v>#VALUE!</v>
      </c>
      <c r="BN2382" t="e" vm="2">
        <f t="shared" si="233"/>
        <v>#VALUE!</v>
      </c>
    </row>
    <row r="2383" spans="55:66" x14ac:dyDescent="0.2">
      <c r="BC2383" s="21" t="e" vm="1">
        <v>#REF!</v>
      </c>
      <c r="BD2383" t="e" vm="1">
        <v>#REF!</v>
      </c>
      <c r="BF2383" t="e" vm="2">
        <f t="shared" si="230"/>
        <v>#VALUE!</v>
      </c>
      <c r="BG2383" t="e" vm="2">
        <f t="shared" si="231"/>
        <v>#VALUE!</v>
      </c>
      <c r="BJ2383" s="21" t="e" vm="1">
        <v>#REF!</v>
      </c>
      <c r="BK2383" t="e" vm="1">
        <v>#REF!</v>
      </c>
      <c r="BM2383" t="e" vm="2">
        <f t="shared" si="232"/>
        <v>#VALUE!</v>
      </c>
      <c r="BN2383" t="e" vm="2">
        <f t="shared" si="233"/>
        <v>#VALUE!</v>
      </c>
    </row>
    <row r="2384" spans="55:66" x14ac:dyDescent="0.2">
      <c r="BC2384" s="21" t="e" vm="1">
        <v>#REF!</v>
      </c>
      <c r="BD2384" t="e" vm="1">
        <v>#REF!</v>
      </c>
      <c r="BF2384" t="e" vm="2">
        <f t="shared" si="230"/>
        <v>#VALUE!</v>
      </c>
      <c r="BG2384" t="e" vm="2">
        <f t="shared" si="231"/>
        <v>#VALUE!</v>
      </c>
      <c r="BJ2384" s="21" t="e" vm="1">
        <v>#REF!</v>
      </c>
      <c r="BK2384" t="e" vm="1">
        <v>#REF!</v>
      </c>
      <c r="BM2384" t="e" vm="2">
        <f t="shared" si="232"/>
        <v>#VALUE!</v>
      </c>
      <c r="BN2384" t="e" vm="2">
        <f t="shared" si="233"/>
        <v>#VALUE!</v>
      </c>
    </row>
    <row r="2385" spans="55:66" x14ac:dyDescent="0.2">
      <c r="BC2385" s="21" t="e" vm="1">
        <v>#REF!</v>
      </c>
      <c r="BD2385" t="e" vm="1">
        <v>#REF!</v>
      </c>
      <c r="BF2385" t="e" vm="2">
        <f t="shared" si="230"/>
        <v>#VALUE!</v>
      </c>
      <c r="BG2385" t="e" vm="2">
        <f t="shared" si="231"/>
        <v>#VALUE!</v>
      </c>
      <c r="BJ2385" s="21" t="e" vm="1">
        <v>#REF!</v>
      </c>
      <c r="BK2385" t="e" vm="1">
        <v>#REF!</v>
      </c>
      <c r="BM2385" t="e" vm="2">
        <f t="shared" si="232"/>
        <v>#VALUE!</v>
      </c>
      <c r="BN2385" t="e" vm="2">
        <f t="shared" si="233"/>
        <v>#VALUE!</v>
      </c>
    </row>
    <row r="2386" spans="55:66" x14ac:dyDescent="0.2">
      <c r="BC2386" s="21" t="e" vm="1">
        <v>#REF!</v>
      </c>
      <c r="BD2386" t="e" vm="1">
        <v>#REF!</v>
      </c>
      <c r="BF2386" t="e" vm="2">
        <f t="shared" si="230"/>
        <v>#VALUE!</v>
      </c>
      <c r="BG2386" t="e" vm="2">
        <f t="shared" si="231"/>
        <v>#VALUE!</v>
      </c>
      <c r="BJ2386" s="21" t="e" vm="1">
        <v>#REF!</v>
      </c>
      <c r="BK2386" t="e" vm="1">
        <v>#REF!</v>
      </c>
      <c r="BM2386" t="e" vm="2">
        <f t="shared" si="232"/>
        <v>#VALUE!</v>
      </c>
      <c r="BN2386" t="e" vm="2">
        <f t="shared" si="233"/>
        <v>#VALUE!</v>
      </c>
    </row>
    <row r="2387" spans="55:66" x14ac:dyDescent="0.2">
      <c r="BC2387" s="21" t="e" vm="1">
        <v>#REF!</v>
      </c>
      <c r="BD2387" t="e" vm="1">
        <v>#REF!</v>
      </c>
      <c r="BF2387" t="e" vm="2">
        <f t="shared" si="230"/>
        <v>#VALUE!</v>
      </c>
      <c r="BG2387" t="e" vm="2">
        <f t="shared" si="231"/>
        <v>#VALUE!</v>
      </c>
      <c r="BJ2387" s="21" t="e" vm="1">
        <v>#REF!</v>
      </c>
      <c r="BK2387" t="e" vm="1">
        <v>#REF!</v>
      </c>
      <c r="BM2387" t="e" vm="2">
        <f t="shared" si="232"/>
        <v>#VALUE!</v>
      </c>
      <c r="BN2387" t="e" vm="2">
        <f t="shared" si="233"/>
        <v>#VALUE!</v>
      </c>
    </row>
    <row r="2388" spans="55:66" x14ac:dyDescent="0.2">
      <c r="BC2388" s="21" t="e" vm="1">
        <v>#REF!</v>
      </c>
      <c r="BD2388" t="e" vm="1">
        <v>#REF!</v>
      </c>
      <c r="BF2388" t="e" vm="2">
        <f t="shared" si="230"/>
        <v>#VALUE!</v>
      </c>
      <c r="BG2388" t="e" vm="2">
        <f t="shared" si="231"/>
        <v>#VALUE!</v>
      </c>
      <c r="BJ2388" s="21" t="e" vm="1">
        <v>#REF!</v>
      </c>
      <c r="BK2388" t="e" vm="1">
        <v>#REF!</v>
      </c>
      <c r="BM2388" t="e" vm="2">
        <f t="shared" si="232"/>
        <v>#VALUE!</v>
      </c>
      <c r="BN2388" t="e" vm="2">
        <f t="shared" si="233"/>
        <v>#VALUE!</v>
      </c>
    </row>
    <row r="2389" spans="55:66" x14ac:dyDescent="0.2">
      <c r="BC2389" s="21" t="e" vm="1">
        <v>#REF!</v>
      </c>
      <c r="BD2389" t="e" vm="1">
        <v>#REF!</v>
      </c>
      <c r="BF2389" t="e" vm="2">
        <f t="shared" si="230"/>
        <v>#VALUE!</v>
      </c>
      <c r="BG2389" t="e" vm="2">
        <f t="shared" si="231"/>
        <v>#VALUE!</v>
      </c>
      <c r="BJ2389" s="21" t="e" vm="1">
        <v>#REF!</v>
      </c>
      <c r="BK2389" t="e" vm="1">
        <v>#REF!</v>
      </c>
      <c r="BM2389" t="e" vm="2">
        <f t="shared" si="232"/>
        <v>#VALUE!</v>
      </c>
      <c r="BN2389" t="e" vm="2">
        <f t="shared" si="233"/>
        <v>#VALUE!</v>
      </c>
    </row>
    <row r="2390" spans="55:66" x14ac:dyDescent="0.2">
      <c r="BC2390" s="21" t="e" vm="1">
        <v>#REF!</v>
      </c>
      <c r="BD2390" t="e" vm="1">
        <v>#REF!</v>
      </c>
      <c r="BF2390" t="e" vm="2">
        <f t="shared" si="230"/>
        <v>#VALUE!</v>
      </c>
      <c r="BG2390" t="e" vm="2">
        <f t="shared" si="231"/>
        <v>#VALUE!</v>
      </c>
      <c r="BJ2390" s="21" t="e" vm="1">
        <v>#REF!</v>
      </c>
      <c r="BK2390" t="e" vm="1">
        <v>#REF!</v>
      </c>
      <c r="BM2390" t="e" vm="2">
        <f t="shared" si="232"/>
        <v>#VALUE!</v>
      </c>
      <c r="BN2390" t="e" vm="2">
        <f t="shared" si="233"/>
        <v>#VALUE!</v>
      </c>
    </row>
    <row r="2391" spans="55:66" x14ac:dyDescent="0.2">
      <c r="BC2391" s="21" t="e" vm="1">
        <v>#REF!</v>
      </c>
      <c r="BD2391" t="e" vm="1">
        <v>#REF!</v>
      </c>
      <c r="BF2391" t="e" vm="2">
        <f t="shared" si="230"/>
        <v>#VALUE!</v>
      </c>
      <c r="BG2391" t="e" vm="2">
        <f t="shared" si="231"/>
        <v>#VALUE!</v>
      </c>
      <c r="BJ2391" s="21" t="e" vm="1">
        <v>#REF!</v>
      </c>
      <c r="BK2391" t="e" vm="1">
        <v>#REF!</v>
      </c>
      <c r="BM2391" t="e" vm="2">
        <f t="shared" si="232"/>
        <v>#VALUE!</v>
      </c>
      <c r="BN2391" t="e" vm="2">
        <f t="shared" si="233"/>
        <v>#VALUE!</v>
      </c>
    </row>
    <row r="2392" spans="55:66" x14ac:dyDescent="0.2">
      <c r="BC2392" s="21" t="e" vm="1">
        <v>#REF!</v>
      </c>
      <c r="BD2392" t="e" vm="1">
        <v>#REF!</v>
      </c>
      <c r="BF2392" t="e" vm="2">
        <f t="shared" si="230"/>
        <v>#VALUE!</v>
      </c>
      <c r="BG2392" t="e" vm="2">
        <f t="shared" si="231"/>
        <v>#VALUE!</v>
      </c>
      <c r="BJ2392" s="21" t="e" vm="1">
        <v>#REF!</v>
      </c>
      <c r="BK2392" t="e" vm="1">
        <v>#REF!</v>
      </c>
      <c r="BM2392" t="e" vm="2">
        <f t="shared" si="232"/>
        <v>#VALUE!</v>
      </c>
      <c r="BN2392" t="e" vm="2">
        <f t="shared" si="233"/>
        <v>#VALUE!</v>
      </c>
    </row>
    <row r="2393" spans="55:66" x14ac:dyDescent="0.2">
      <c r="BC2393" s="21" t="e" vm="1">
        <v>#REF!</v>
      </c>
      <c r="BD2393" t="e" vm="1">
        <v>#REF!</v>
      </c>
      <c r="BF2393" t="e" vm="2">
        <f t="shared" si="230"/>
        <v>#VALUE!</v>
      </c>
      <c r="BG2393" t="e" vm="2">
        <f t="shared" si="231"/>
        <v>#VALUE!</v>
      </c>
      <c r="BJ2393" s="21" t="e" vm="1">
        <v>#REF!</v>
      </c>
      <c r="BK2393" t="e" vm="1">
        <v>#REF!</v>
      </c>
      <c r="BM2393" t="e" vm="2">
        <f t="shared" si="232"/>
        <v>#VALUE!</v>
      </c>
      <c r="BN2393" t="e" vm="2">
        <f t="shared" si="233"/>
        <v>#VALUE!</v>
      </c>
    </row>
    <row r="2394" spans="55:66" x14ac:dyDescent="0.2">
      <c r="BC2394" s="21" t="e" vm="1">
        <v>#REF!</v>
      </c>
      <c r="BD2394" t="e" vm="1">
        <v>#REF!</v>
      </c>
      <c r="BF2394" t="e" vm="2">
        <f t="shared" si="230"/>
        <v>#VALUE!</v>
      </c>
      <c r="BG2394" t="e" vm="2">
        <f t="shared" si="231"/>
        <v>#VALUE!</v>
      </c>
      <c r="BJ2394" s="21" t="e" vm="1">
        <v>#REF!</v>
      </c>
      <c r="BK2394" t="e" vm="1">
        <v>#REF!</v>
      </c>
      <c r="BM2394" t="e" vm="2">
        <f t="shared" si="232"/>
        <v>#VALUE!</v>
      </c>
      <c r="BN2394" t="e" vm="2">
        <f t="shared" si="233"/>
        <v>#VALUE!</v>
      </c>
    </row>
    <row r="2395" spans="55:66" x14ac:dyDescent="0.2">
      <c r="BC2395" s="21" t="e" vm="1">
        <v>#REF!</v>
      </c>
      <c r="BD2395" t="e" vm="1">
        <v>#REF!</v>
      </c>
      <c r="BF2395" t="e" vm="2">
        <f t="shared" si="230"/>
        <v>#VALUE!</v>
      </c>
      <c r="BG2395" t="e" vm="2">
        <f t="shared" si="231"/>
        <v>#VALUE!</v>
      </c>
      <c r="BJ2395" s="21" t="e" vm="1">
        <v>#REF!</v>
      </c>
      <c r="BK2395" t="e" vm="1">
        <v>#REF!</v>
      </c>
      <c r="BM2395" t="e" vm="2">
        <f t="shared" si="232"/>
        <v>#VALUE!</v>
      </c>
      <c r="BN2395" t="e" vm="2">
        <f t="shared" si="233"/>
        <v>#VALUE!</v>
      </c>
    </row>
    <row r="2396" spans="55:66" x14ac:dyDescent="0.2">
      <c r="BC2396" s="21" t="e" vm="1">
        <v>#REF!</v>
      </c>
      <c r="BD2396" t="e" vm="1">
        <v>#REF!</v>
      </c>
      <c r="BF2396" t="e" vm="2">
        <f t="shared" si="230"/>
        <v>#VALUE!</v>
      </c>
      <c r="BG2396" t="e" vm="2">
        <f t="shared" si="231"/>
        <v>#VALUE!</v>
      </c>
      <c r="BJ2396" s="21" t="e" vm="1">
        <v>#REF!</v>
      </c>
      <c r="BK2396" t="e" vm="1">
        <v>#REF!</v>
      </c>
      <c r="BM2396" t="e" vm="2">
        <f t="shared" si="232"/>
        <v>#VALUE!</v>
      </c>
      <c r="BN2396" t="e" vm="2">
        <f t="shared" si="233"/>
        <v>#VALUE!</v>
      </c>
    </row>
    <row r="2397" spans="55:66" x14ac:dyDescent="0.2">
      <c r="BC2397" s="21" t="e" vm="1">
        <v>#REF!</v>
      </c>
      <c r="BD2397" t="e" vm="1">
        <v>#REF!</v>
      </c>
      <c r="BF2397" t="e" vm="2">
        <f t="shared" si="230"/>
        <v>#VALUE!</v>
      </c>
      <c r="BG2397" t="e" vm="2">
        <f t="shared" si="231"/>
        <v>#VALUE!</v>
      </c>
      <c r="BJ2397" s="21" t="e" vm="1">
        <v>#REF!</v>
      </c>
      <c r="BK2397" t="e" vm="1">
        <v>#REF!</v>
      </c>
      <c r="BM2397" t="e" vm="2">
        <f t="shared" si="232"/>
        <v>#VALUE!</v>
      </c>
      <c r="BN2397" t="e" vm="2">
        <f t="shared" si="233"/>
        <v>#VALUE!</v>
      </c>
    </row>
    <row r="2398" spans="55:66" x14ac:dyDescent="0.2">
      <c r="BC2398" s="21" t="e" vm="1">
        <v>#REF!</v>
      </c>
      <c r="BD2398" t="e" vm="1">
        <v>#REF!</v>
      </c>
      <c r="BF2398" t="e" vm="2">
        <f t="shared" si="230"/>
        <v>#VALUE!</v>
      </c>
      <c r="BG2398" t="e" vm="2">
        <f t="shared" si="231"/>
        <v>#VALUE!</v>
      </c>
      <c r="BJ2398" s="21" t="e" vm="1">
        <v>#REF!</v>
      </c>
      <c r="BK2398" t="e" vm="1">
        <v>#REF!</v>
      </c>
      <c r="BM2398" t="e" vm="2">
        <f t="shared" si="232"/>
        <v>#VALUE!</v>
      </c>
      <c r="BN2398" t="e" vm="2">
        <f t="shared" si="233"/>
        <v>#VALUE!</v>
      </c>
    </row>
    <row r="2399" spans="55:66" x14ac:dyDescent="0.2">
      <c r="BC2399" s="21" t="e" vm="1">
        <v>#REF!</v>
      </c>
      <c r="BD2399" t="e" vm="1">
        <v>#REF!</v>
      </c>
      <c r="BF2399" t="e" vm="2">
        <f t="shared" si="230"/>
        <v>#VALUE!</v>
      </c>
      <c r="BG2399" t="e" vm="2">
        <f t="shared" si="231"/>
        <v>#VALUE!</v>
      </c>
      <c r="BJ2399" s="21" t="e" vm="1">
        <v>#REF!</v>
      </c>
      <c r="BK2399" t="e" vm="1">
        <v>#REF!</v>
      </c>
      <c r="BM2399" t="e" vm="2">
        <f t="shared" si="232"/>
        <v>#VALUE!</v>
      </c>
      <c r="BN2399" t="e" vm="2">
        <f t="shared" si="233"/>
        <v>#VALUE!</v>
      </c>
    </row>
    <row r="2400" spans="55:66" x14ac:dyDescent="0.2">
      <c r="BC2400" s="21" t="e" vm="1">
        <v>#REF!</v>
      </c>
      <c r="BD2400" t="e" vm="1">
        <v>#REF!</v>
      </c>
      <c r="BF2400" t="e" vm="2">
        <f t="shared" si="230"/>
        <v>#VALUE!</v>
      </c>
      <c r="BG2400" t="e" vm="2">
        <f t="shared" si="231"/>
        <v>#VALUE!</v>
      </c>
      <c r="BJ2400" s="21" t="e" vm="1">
        <v>#REF!</v>
      </c>
      <c r="BK2400" t="e" vm="1">
        <v>#REF!</v>
      </c>
      <c r="BM2400" t="e" vm="2">
        <f t="shared" si="232"/>
        <v>#VALUE!</v>
      </c>
      <c r="BN2400" t="e" vm="2">
        <f t="shared" si="233"/>
        <v>#VALUE!</v>
      </c>
    </row>
    <row r="2401" spans="55:66" x14ac:dyDescent="0.2">
      <c r="BC2401" s="21" t="e" vm="1">
        <v>#REF!</v>
      </c>
      <c r="BD2401" t="e" vm="1">
        <v>#REF!</v>
      </c>
      <c r="BF2401" t="e" vm="2">
        <f t="shared" si="230"/>
        <v>#VALUE!</v>
      </c>
      <c r="BG2401" t="e" vm="2">
        <f t="shared" si="231"/>
        <v>#VALUE!</v>
      </c>
      <c r="BJ2401" s="21" t="e" vm="1">
        <v>#REF!</v>
      </c>
      <c r="BK2401" t="e" vm="1">
        <v>#REF!</v>
      </c>
      <c r="BM2401" t="e" vm="2">
        <f t="shared" si="232"/>
        <v>#VALUE!</v>
      </c>
      <c r="BN2401" t="e" vm="2">
        <f t="shared" si="233"/>
        <v>#VALUE!</v>
      </c>
    </row>
    <row r="2402" spans="55:66" x14ac:dyDescent="0.2">
      <c r="BC2402" s="21" t="e" vm="1">
        <v>#REF!</v>
      </c>
      <c r="BD2402" t="e" vm="1">
        <v>#REF!</v>
      </c>
      <c r="BF2402" t="e" vm="2">
        <f t="shared" si="230"/>
        <v>#VALUE!</v>
      </c>
      <c r="BG2402" t="e" vm="2">
        <f t="shared" si="231"/>
        <v>#VALUE!</v>
      </c>
      <c r="BJ2402" s="21" t="e" vm="1">
        <v>#REF!</v>
      </c>
      <c r="BK2402" t="e" vm="1">
        <v>#REF!</v>
      </c>
      <c r="BM2402" t="e" vm="2">
        <f t="shared" si="232"/>
        <v>#VALUE!</v>
      </c>
      <c r="BN2402" t="e" vm="2">
        <f t="shared" si="233"/>
        <v>#VALUE!</v>
      </c>
    </row>
    <row r="2403" spans="55:66" x14ac:dyDescent="0.2">
      <c r="BC2403" s="21" t="e" vm="1">
        <v>#REF!</v>
      </c>
      <c r="BD2403" t="e" vm="1">
        <v>#REF!</v>
      </c>
      <c r="BF2403" t="e" vm="2">
        <f t="shared" si="230"/>
        <v>#VALUE!</v>
      </c>
      <c r="BG2403" t="e" vm="2">
        <f t="shared" si="231"/>
        <v>#VALUE!</v>
      </c>
      <c r="BJ2403" s="21" t="e" vm="1">
        <v>#REF!</v>
      </c>
      <c r="BK2403" t="e" vm="1">
        <v>#REF!</v>
      </c>
      <c r="BM2403" t="e" vm="2">
        <f t="shared" si="232"/>
        <v>#VALUE!</v>
      </c>
      <c r="BN2403" t="e" vm="2">
        <f t="shared" si="233"/>
        <v>#VALUE!</v>
      </c>
    </row>
    <row r="2404" spans="55:66" x14ac:dyDescent="0.2">
      <c r="BC2404" s="21" t="e" vm="1">
        <v>#REF!</v>
      </c>
      <c r="BD2404" t="e" vm="1">
        <v>#REF!</v>
      </c>
      <c r="BF2404" t="e" vm="2">
        <f t="shared" si="230"/>
        <v>#VALUE!</v>
      </c>
      <c r="BG2404" t="e" vm="2">
        <f t="shared" si="231"/>
        <v>#VALUE!</v>
      </c>
      <c r="BJ2404" s="21" t="e" vm="1">
        <v>#REF!</v>
      </c>
      <c r="BK2404" t="e" vm="1">
        <v>#REF!</v>
      </c>
      <c r="BM2404" t="e" vm="2">
        <f t="shared" si="232"/>
        <v>#VALUE!</v>
      </c>
      <c r="BN2404" t="e" vm="2">
        <f t="shared" si="233"/>
        <v>#VALUE!</v>
      </c>
    </row>
    <row r="2405" spans="55:66" x14ac:dyDescent="0.2">
      <c r="BC2405" s="21" t="e" vm="1">
        <v>#REF!</v>
      </c>
      <c r="BD2405" t="e" vm="1">
        <v>#REF!</v>
      </c>
      <c r="BF2405" t="e" vm="2">
        <f t="shared" si="230"/>
        <v>#VALUE!</v>
      </c>
      <c r="BG2405" t="e" vm="2">
        <f t="shared" si="231"/>
        <v>#VALUE!</v>
      </c>
      <c r="BJ2405" s="21" t="e" vm="1">
        <v>#REF!</v>
      </c>
      <c r="BK2405" t="e" vm="1">
        <v>#REF!</v>
      </c>
      <c r="BM2405" t="e" vm="2">
        <f t="shared" si="232"/>
        <v>#VALUE!</v>
      </c>
      <c r="BN2405" t="e" vm="2">
        <f t="shared" si="233"/>
        <v>#VALUE!</v>
      </c>
    </row>
    <row r="2406" spans="55:66" x14ac:dyDescent="0.2">
      <c r="BC2406" s="21" t="e" vm="1">
        <v>#REF!</v>
      </c>
      <c r="BD2406" t="e" vm="1">
        <v>#REF!</v>
      </c>
      <c r="BF2406" t="e" vm="2">
        <f t="shared" si="230"/>
        <v>#VALUE!</v>
      </c>
      <c r="BG2406" t="e" vm="2">
        <f t="shared" si="231"/>
        <v>#VALUE!</v>
      </c>
      <c r="BJ2406" s="21" t="e" vm="1">
        <v>#REF!</v>
      </c>
      <c r="BK2406" t="e" vm="1">
        <v>#REF!</v>
      </c>
      <c r="BM2406" t="e" vm="2">
        <f t="shared" si="232"/>
        <v>#VALUE!</v>
      </c>
      <c r="BN2406" t="e" vm="2">
        <f t="shared" si="233"/>
        <v>#VALUE!</v>
      </c>
    </row>
    <row r="2407" spans="55:66" x14ac:dyDescent="0.2">
      <c r="BC2407" s="21" t="e" vm="1">
        <v>#REF!</v>
      </c>
      <c r="BD2407" t="e" vm="1">
        <v>#REF!</v>
      </c>
      <c r="BF2407" t="e" vm="2">
        <f t="shared" si="230"/>
        <v>#VALUE!</v>
      </c>
      <c r="BG2407" t="e" vm="2">
        <f t="shared" si="231"/>
        <v>#VALUE!</v>
      </c>
      <c r="BJ2407" s="21" t="e" vm="1">
        <v>#REF!</v>
      </c>
      <c r="BK2407" t="e" vm="1">
        <v>#REF!</v>
      </c>
      <c r="BM2407" t="e" vm="2">
        <f t="shared" si="232"/>
        <v>#VALUE!</v>
      </c>
      <c r="BN2407" t="e" vm="2">
        <f t="shared" si="233"/>
        <v>#VALUE!</v>
      </c>
    </row>
    <row r="2408" spans="55:66" x14ac:dyDescent="0.2">
      <c r="BC2408" s="21" t="e" vm="1">
        <v>#REF!</v>
      </c>
      <c r="BD2408" t="e" vm="1">
        <v>#REF!</v>
      </c>
      <c r="BF2408" t="e" vm="2">
        <f t="shared" si="230"/>
        <v>#VALUE!</v>
      </c>
      <c r="BG2408" t="e" vm="2">
        <f t="shared" si="231"/>
        <v>#VALUE!</v>
      </c>
      <c r="BJ2408" s="21" t="e" vm="1">
        <v>#REF!</v>
      </c>
      <c r="BK2408" t="e" vm="1">
        <v>#REF!</v>
      </c>
      <c r="BM2408" t="e" vm="2">
        <f t="shared" si="232"/>
        <v>#VALUE!</v>
      </c>
      <c r="BN2408" t="e" vm="2">
        <f t="shared" si="233"/>
        <v>#VALUE!</v>
      </c>
    </row>
    <row r="2409" spans="55:66" x14ac:dyDescent="0.2">
      <c r="BC2409" s="21" t="e" vm="1">
        <v>#REF!</v>
      </c>
      <c r="BD2409" t="e" vm="1">
        <v>#REF!</v>
      </c>
      <c r="BF2409" t="e" vm="2">
        <f t="shared" si="230"/>
        <v>#VALUE!</v>
      </c>
      <c r="BG2409" t="e" vm="2">
        <f t="shared" si="231"/>
        <v>#VALUE!</v>
      </c>
      <c r="BJ2409" s="21" t="e" vm="1">
        <v>#REF!</v>
      </c>
      <c r="BK2409" t="e" vm="1">
        <v>#REF!</v>
      </c>
      <c r="BM2409" t="e" vm="2">
        <f t="shared" si="232"/>
        <v>#VALUE!</v>
      </c>
      <c r="BN2409" t="e" vm="2">
        <f t="shared" si="233"/>
        <v>#VALUE!</v>
      </c>
    </row>
    <row r="2410" spans="55:66" x14ac:dyDescent="0.2">
      <c r="BC2410" s="21" t="e" vm="1">
        <v>#REF!</v>
      </c>
      <c r="BD2410" t="e" vm="1">
        <v>#REF!</v>
      </c>
      <c r="BF2410" t="e" vm="2">
        <f t="shared" si="230"/>
        <v>#VALUE!</v>
      </c>
      <c r="BG2410" t="e" vm="2">
        <f t="shared" si="231"/>
        <v>#VALUE!</v>
      </c>
      <c r="BJ2410" s="21" t="e" vm="1">
        <v>#REF!</v>
      </c>
      <c r="BK2410" t="e" vm="1">
        <v>#REF!</v>
      </c>
      <c r="BM2410" t="e" vm="2">
        <f t="shared" si="232"/>
        <v>#VALUE!</v>
      </c>
      <c r="BN2410" t="e" vm="2">
        <f t="shared" si="233"/>
        <v>#VALUE!</v>
      </c>
    </row>
    <row r="2411" spans="55:66" x14ac:dyDescent="0.2">
      <c r="BC2411" s="21" t="e" vm="1">
        <v>#REF!</v>
      </c>
      <c r="BD2411" t="e" vm="1">
        <v>#REF!</v>
      </c>
      <c r="BF2411" t="e" vm="2">
        <f t="shared" si="230"/>
        <v>#VALUE!</v>
      </c>
      <c r="BG2411" t="e" vm="2">
        <f t="shared" si="231"/>
        <v>#VALUE!</v>
      </c>
      <c r="BJ2411" s="21" t="e" vm="1">
        <v>#REF!</v>
      </c>
      <c r="BK2411" t="e" vm="1">
        <v>#REF!</v>
      </c>
      <c r="BM2411" t="e" vm="2">
        <f t="shared" si="232"/>
        <v>#VALUE!</v>
      </c>
      <c r="BN2411" t="e" vm="2">
        <f t="shared" si="233"/>
        <v>#VALUE!</v>
      </c>
    </row>
    <row r="2412" spans="55:66" x14ac:dyDescent="0.2">
      <c r="BC2412" s="21" t="e" vm="1">
        <v>#REF!</v>
      </c>
      <c r="BD2412" t="e" vm="1">
        <v>#REF!</v>
      </c>
      <c r="BF2412" t="e" vm="2">
        <f t="shared" si="230"/>
        <v>#VALUE!</v>
      </c>
      <c r="BG2412" t="e" vm="2">
        <f t="shared" si="231"/>
        <v>#VALUE!</v>
      </c>
      <c r="BJ2412" s="21" t="e" vm="1">
        <v>#REF!</v>
      </c>
      <c r="BK2412" t="e" vm="1">
        <v>#REF!</v>
      </c>
      <c r="BM2412" t="e" vm="2">
        <f t="shared" si="232"/>
        <v>#VALUE!</v>
      </c>
      <c r="BN2412" t="e" vm="2">
        <f t="shared" si="233"/>
        <v>#VALUE!</v>
      </c>
    </row>
    <row r="2413" spans="55:66" x14ac:dyDescent="0.2">
      <c r="BC2413" s="21" t="e" vm="1">
        <v>#REF!</v>
      </c>
      <c r="BD2413" t="e" vm="1">
        <v>#REF!</v>
      </c>
      <c r="BF2413" t="e" vm="2">
        <f t="shared" si="230"/>
        <v>#VALUE!</v>
      </c>
      <c r="BG2413" t="e" vm="2">
        <f t="shared" si="231"/>
        <v>#VALUE!</v>
      </c>
      <c r="BJ2413" s="21" t="e" vm="1">
        <v>#REF!</v>
      </c>
      <c r="BK2413" t="e" vm="1">
        <v>#REF!</v>
      </c>
      <c r="BM2413" t="e" vm="2">
        <f t="shared" si="232"/>
        <v>#VALUE!</v>
      </c>
      <c r="BN2413" t="e" vm="2">
        <f t="shared" si="233"/>
        <v>#VALUE!</v>
      </c>
    </row>
    <row r="2414" spans="55:66" x14ac:dyDescent="0.2">
      <c r="BC2414" s="21" t="e" vm="1">
        <v>#REF!</v>
      </c>
      <c r="BD2414" t="e" vm="1">
        <v>#REF!</v>
      </c>
      <c r="BF2414" t="e" vm="2">
        <f t="shared" si="230"/>
        <v>#VALUE!</v>
      </c>
      <c r="BG2414" t="e" vm="2">
        <f t="shared" si="231"/>
        <v>#VALUE!</v>
      </c>
      <c r="BJ2414" s="21" t="e" vm="1">
        <v>#REF!</v>
      </c>
      <c r="BK2414" t="e" vm="1">
        <v>#REF!</v>
      </c>
      <c r="BM2414" t="e" vm="2">
        <f t="shared" si="232"/>
        <v>#VALUE!</v>
      </c>
      <c r="BN2414" t="e" vm="2">
        <f t="shared" si="233"/>
        <v>#VALUE!</v>
      </c>
    </row>
    <row r="2415" spans="55:66" x14ac:dyDescent="0.2">
      <c r="BC2415" s="21" t="e" vm="1">
        <v>#REF!</v>
      </c>
      <c r="BD2415" t="e" vm="1">
        <v>#REF!</v>
      </c>
      <c r="BF2415" t="e" vm="2">
        <f t="shared" si="230"/>
        <v>#VALUE!</v>
      </c>
      <c r="BG2415" t="e" vm="2">
        <f t="shared" si="231"/>
        <v>#VALUE!</v>
      </c>
      <c r="BJ2415" s="21" t="e" vm="1">
        <v>#REF!</v>
      </c>
      <c r="BK2415" t="e" vm="1">
        <v>#REF!</v>
      </c>
      <c r="BM2415" t="e" vm="2">
        <f t="shared" si="232"/>
        <v>#VALUE!</v>
      </c>
      <c r="BN2415" t="e" vm="2">
        <f t="shared" si="233"/>
        <v>#VALUE!</v>
      </c>
    </row>
    <row r="2416" spans="55:66" x14ac:dyDescent="0.2">
      <c r="BC2416" s="21" t="e" vm="1">
        <v>#REF!</v>
      </c>
      <c r="BD2416" t="e" vm="1">
        <v>#REF!</v>
      </c>
      <c r="BF2416" t="e" vm="2">
        <f t="shared" si="230"/>
        <v>#VALUE!</v>
      </c>
      <c r="BG2416" t="e" vm="2">
        <f t="shared" si="231"/>
        <v>#VALUE!</v>
      </c>
      <c r="BJ2416" s="21" t="e" vm="1">
        <v>#REF!</v>
      </c>
      <c r="BK2416" t="e" vm="1">
        <v>#REF!</v>
      </c>
      <c r="BM2416" t="e" vm="2">
        <f t="shared" si="232"/>
        <v>#VALUE!</v>
      </c>
      <c r="BN2416" t="e" vm="2">
        <f t="shared" si="233"/>
        <v>#VALUE!</v>
      </c>
    </row>
    <row r="2417" spans="55:66" x14ac:dyDescent="0.2">
      <c r="BC2417" s="21" t="e" vm="1">
        <v>#REF!</v>
      </c>
      <c r="BD2417" t="e" vm="1">
        <v>#REF!</v>
      </c>
      <c r="BF2417" t="e" vm="2">
        <f t="shared" si="230"/>
        <v>#VALUE!</v>
      </c>
      <c r="BG2417" t="e" vm="2">
        <f t="shared" si="231"/>
        <v>#VALUE!</v>
      </c>
      <c r="BJ2417" s="21" t="e" vm="1">
        <v>#REF!</v>
      </c>
      <c r="BK2417" t="e" vm="1">
        <v>#REF!</v>
      </c>
      <c r="BM2417" t="e" vm="2">
        <f t="shared" si="232"/>
        <v>#VALUE!</v>
      </c>
      <c r="BN2417" t="e" vm="2">
        <f t="shared" si="233"/>
        <v>#VALUE!</v>
      </c>
    </row>
    <row r="2418" spans="55:66" x14ac:dyDescent="0.2">
      <c r="BC2418" s="21" t="e" vm="1">
        <v>#REF!</v>
      </c>
      <c r="BD2418" t="e" vm="1">
        <v>#REF!</v>
      </c>
      <c r="BF2418" t="e" vm="2">
        <f t="shared" si="230"/>
        <v>#VALUE!</v>
      </c>
      <c r="BG2418" t="e" vm="2">
        <f t="shared" si="231"/>
        <v>#VALUE!</v>
      </c>
      <c r="BJ2418" s="21" t="e" vm="1">
        <v>#REF!</v>
      </c>
      <c r="BK2418" t="e" vm="1">
        <v>#REF!</v>
      </c>
      <c r="BM2418" t="e" vm="2">
        <f t="shared" si="232"/>
        <v>#VALUE!</v>
      </c>
      <c r="BN2418" t="e" vm="2">
        <f t="shared" si="233"/>
        <v>#VALUE!</v>
      </c>
    </row>
    <row r="2419" spans="55:66" x14ac:dyDescent="0.2">
      <c r="BC2419" s="21" t="e" vm="1">
        <v>#REF!</v>
      </c>
      <c r="BD2419" t="e" vm="1">
        <v>#REF!</v>
      </c>
      <c r="BF2419" t="e" vm="2">
        <f t="shared" si="230"/>
        <v>#VALUE!</v>
      </c>
      <c r="BG2419" t="e" vm="2">
        <f t="shared" si="231"/>
        <v>#VALUE!</v>
      </c>
      <c r="BJ2419" s="21" t="e" vm="1">
        <v>#REF!</v>
      </c>
      <c r="BK2419" t="e" vm="1">
        <v>#REF!</v>
      </c>
      <c r="BM2419" t="e" vm="2">
        <f t="shared" si="232"/>
        <v>#VALUE!</v>
      </c>
      <c r="BN2419" t="e" vm="2">
        <f t="shared" si="233"/>
        <v>#VALUE!</v>
      </c>
    </row>
    <row r="2420" spans="55:66" x14ac:dyDescent="0.2">
      <c r="BC2420" s="21" t="e" vm="1">
        <v>#REF!</v>
      </c>
      <c r="BD2420" t="e" vm="1">
        <v>#REF!</v>
      </c>
      <c r="BF2420" t="e" vm="2">
        <f t="shared" si="230"/>
        <v>#VALUE!</v>
      </c>
      <c r="BG2420" t="e" vm="2">
        <f t="shared" si="231"/>
        <v>#VALUE!</v>
      </c>
      <c r="BJ2420" s="21" t="e" vm="1">
        <v>#REF!</v>
      </c>
      <c r="BK2420" t="e" vm="1">
        <v>#REF!</v>
      </c>
      <c r="BM2420" t="e" vm="2">
        <f t="shared" si="232"/>
        <v>#VALUE!</v>
      </c>
      <c r="BN2420" t="e" vm="2">
        <f t="shared" si="233"/>
        <v>#VALUE!</v>
      </c>
    </row>
    <row r="2421" spans="55:66" x14ac:dyDescent="0.2">
      <c r="BC2421" s="21" t="e" vm="1">
        <v>#REF!</v>
      </c>
      <c r="BD2421" t="e" vm="1">
        <v>#REF!</v>
      </c>
      <c r="BF2421" t="e" vm="2">
        <f t="shared" si="230"/>
        <v>#VALUE!</v>
      </c>
      <c r="BG2421" t="e" vm="2">
        <f t="shared" si="231"/>
        <v>#VALUE!</v>
      </c>
      <c r="BJ2421" s="21" t="e" vm="1">
        <v>#REF!</v>
      </c>
      <c r="BK2421" t="e" vm="1">
        <v>#REF!</v>
      </c>
      <c r="BM2421" t="e" vm="2">
        <f t="shared" si="232"/>
        <v>#VALUE!</v>
      </c>
      <c r="BN2421" t="e" vm="2">
        <f t="shared" si="233"/>
        <v>#VALUE!</v>
      </c>
    </row>
    <row r="2422" spans="55:66" x14ac:dyDescent="0.2">
      <c r="BC2422" s="21" t="e" vm="1">
        <v>#REF!</v>
      </c>
      <c r="BD2422" t="e" vm="1">
        <v>#REF!</v>
      </c>
      <c r="BF2422" t="e" vm="2">
        <f t="shared" si="230"/>
        <v>#VALUE!</v>
      </c>
      <c r="BG2422" t="e" vm="2">
        <f t="shared" si="231"/>
        <v>#VALUE!</v>
      </c>
      <c r="BJ2422" s="21" t="e" vm="1">
        <v>#REF!</v>
      </c>
      <c r="BK2422" t="e" vm="1">
        <v>#REF!</v>
      </c>
      <c r="BM2422" t="e" vm="2">
        <f t="shared" si="232"/>
        <v>#VALUE!</v>
      </c>
      <c r="BN2422" t="e" vm="2">
        <f t="shared" si="233"/>
        <v>#VALUE!</v>
      </c>
    </row>
    <row r="2423" spans="55:66" x14ac:dyDescent="0.2">
      <c r="BC2423" s="21" t="e" vm="1">
        <v>#REF!</v>
      </c>
      <c r="BD2423" t="e" vm="1">
        <v>#REF!</v>
      </c>
      <c r="BF2423" t="e" vm="2">
        <f t="shared" si="230"/>
        <v>#VALUE!</v>
      </c>
      <c r="BG2423" t="e" vm="2">
        <f t="shared" si="231"/>
        <v>#VALUE!</v>
      </c>
      <c r="BJ2423" s="21" t="e" vm="1">
        <v>#REF!</v>
      </c>
      <c r="BK2423" t="e" vm="1">
        <v>#REF!</v>
      </c>
      <c r="BM2423" t="e" vm="2">
        <f t="shared" si="232"/>
        <v>#VALUE!</v>
      </c>
      <c r="BN2423" t="e" vm="2">
        <f t="shared" si="233"/>
        <v>#VALUE!</v>
      </c>
    </row>
    <row r="2424" spans="55:66" x14ac:dyDescent="0.2">
      <c r="BC2424" s="21" t="e" vm="1">
        <v>#REF!</v>
      </c>
      <c r="BD2424" t="e" vm="1">
        <v>#REF!</v>
      </c>
      <c r="BF2424" t="e" vm="2">
        <f t="shared" si="230"/>
        <v>#VALUE!</v>
      </c>
      <c r="BG2424" t="e" vm="2">
        <f t="shared" si="231"/>
        <v>#VALUE!</v>
      </c>
      <c r="BJ2424" s="21" t="e" vm="1">
        <v>#REF!</v>
      </c>
      <c r="BK2424" t="e" vm="1">
        <v>#REF!</v>
      </c>
      <c r="BM2424" t="e" vm="2">
        <f t="shared" si="232"/>
        <v>#VALUE!</v>
      </c>
      <c r="BN2424" t="e" vm="2">
        <f t="shared" si="233"/>
        <v>#VALUE!</v>
      </c>
    </row>
    <row r="2425" spans="55:66" x14ac:dyDescent="0.2">
      <c r="BC2425" s="21" t="e" vm="1">
        <v>#REF!</v>
      </c>
      <c r="BD2425" t="e" vm="1">
        <v>#REF!</v>
      </c>
      <c r="BF2425" t="e" vm="2">
        <f t="shared" si="230"/>
        <v>#VALUE!</v>
      </c>
      <c r="BG2425" t="e" vm="2">
        <f t="shared" si="231"/>
        <v>#VALUE!</v>
      </c>
      <c r="BJ2425" s="21" t="e" vm="1">
        <v>#REF!</v>
      </c>
      <c r="BK2425" t="e" vm="1">
        <v>#REF!</v>
      </c>
      <c r="BM2425" t="e" vm="2">
        <f t="shared" si="232"/>
        <v>#VALUE!</v>
      </c>
      <c r="BN2425" t="e" vm="2">
        <f t="shared" si="233"/>
        <v>#VALUE!</v>
      </c>
    </row>
    <row r="2426" spans="55:66" x14ac:dyDescent="0.2">
      <c r="BC2426" s="21" t="e" vm="1">
        <v>#REF!</v>
      </c>
      <c r="BD2426" t="e" vm="1">
        <v>#REF!</v>
      </c>
      <c r="BF2426" t="e" vm="2">
        <f t="shared" si="230"/>
        <v>#VALUE!</v>
      </c>
      <c r="BG2426" t="e" vm="2">
        <f t="shared" si="231"/>
        <v>#VALUE!</v>
      </c>
      <c r="BJ2426" s="21" t="e" vm="1">
        <v>#REF!</v>
      </c>
      <c r="BK2426" t="e" vm="1">
        <v>#REF!</v>
      </c>
      <c r="BM2426" t="e" vm="2">
        <f t="shared" si="232"/>
        <v>#VALUE!</v>
      </c>
      <c r="BN2426" t="e" vm="2">
        <f t="shared" si="233"/>
        <v>#VALUE!</v>
      </c>
    </row>
    <row r="2427" spans="55:66" x14ac:dyDescent="0.2">
      <c r="BC2427" s="21" t="e" vm="1">
        <v>#REF!</v>
      </c>
      <c r="BD2427" t="e" vm="1">
        <v>#REF!</v>
      </c>
      <c r="BF2427" t="e" vm="2">
        <f t="shared" si="230"/>
        <v>#VALUE!</v>
      </c>
      <c r="BG2427" t="e" vm="2">
        <f t="shared" si="231"/>
        <v>#VALUE!</v>
      </c>
      <c r="BJ2427" s="21" t="e" vm="1">
        <v>#REF!</v>
      </c>
      <c r="BK2427" t="e" vm="1">
        <v>#REF!</v>
      </c>
      <c r="BM2427" t="e" vm="2">
        <f t="shared" si="232"/>
        <v>#VALUE!</v>
      </c>
      <c r="BN2427" t="e" vm="2">
        <f t="shared" si="233"/>
        <v>#VALUE!</v>
      </c>
    </row>
    <row r="2428" spans="55:66" x14ac:dyDescent="0.2">
      <c r="BC2428" s="21" t="e" vm="1">
        <v>#REF!</v>
      </c>
      <c r="BD2428" t="e" vm="1">
        <v>#REF!</v>
      </c>
      <c r="BF2428" t="e" vm="2">
        <f t="shared" si="230"/>
        <v>#VALUE!</v>
      </c>
      <c r="BG2428" t="e" vm="2">
        <f t="shared" si="231"/>
        <v>#VALUE!</v>
      </c>
      <c r="BJ2428" s="21" t="e" vm="1">
        <v>#REF!</v>
      </c>
      <c r="BK2428" t="e" vm="1">
        <v>#REF!</v>
      </c>
      <c r="BM2428" t="e" vm="2">
        <f t="shared" si="232"/>
        <v>#VALUE!</v>
      </c>
      <c r="BN2428" t="e" vm="2">
        <f t="shared" si="233"/>
        <v>#VALUE!</v>
      </c>
    </row>
    <row r="2429" spans="55:66" x14ac:dyDescent="0.2">
      <c r="BC2429" s="21" t="e" vm="1">
        <v>#REF!</v>
      </c>
      <c r="BD2429" t="e" vm="1">
        <v>#REF!</v>
      </c>
      <c r="BF2429" t="e" vm="2">
        <f t="shared" si="230"/>
        <v>#VALUE!</v>
      </c>
      <c r="BG2429" t="e" vm="2">
        <f t="shared" si="231"/>
        <v>#VALUE!</v>
      </c>
      <c r="BJ2429" s="21" t="e" vm="1">
        <v>#REF!</v>
      </c>
      <c r="BK2429" t="e" vm="1">
        <v>#REF!</v>
      </c>
      <c r="BM2429" t="e" vm="2">
        <f t="shared" si="232"/>
        <v>#VALUE!</v>
      </c>
      <c r="BN2429" t="e" vm="2">
        <f t="shared" si="233"/>
        <v>#VALUE!</v>
      </c>
    </row>
    <row r="2430" spans="55:66" x14ac:dyDescent="0.2">
      <c r="BC2430" s="21" t="e" vm="1">
        <v>#REF!</v>
      </c>
      <c r="BD2430" t="e" vm="1">
        <v>#REF!</v>
      </c>
      <c r="BF2430" t="e" vm="2">
        <f t="shared" si="230"/>
        <v>#VALUE!</v>
      </c>
      <c r="BG2430" t="e" vm="2">
        <f t="shared" si="231"/>
        <v>#VALUE!</v>
      </c>
      <c r="BJ2430" s="21" t="e" vm="1">
        <v>#REF!</v>
      </c>
      <c r="BK2430" t="e" vm="1">
        <v>#REF!</v>
      </c>
      <c r="BM2430" t="e" vm="2">
        <f t="shared" si="232"/>
        <v>#VALUE!</v>
      </c>
      <c r="BN2430" t="e" vm="2">
        <f t="shared" si="233"/>
        <v>#VALUE!</v>
      </c>
    </row>
    <row r="2431" spans="55:66" x14ac:dyDescent="0.2">
      <c r="BC2431" s="21" t="e" vm="1">
        <v>#REF!</v>
      </c>
      <c r="BD2431" t="e" vm="1">
        <v>#REF!</v>
      </c>
      <c r="BF2431" t="e" vm="2">
        <f t="shared" si="230"/>
        <v>#VALUE!</v>
      </c>
      <c r="BG2431" t="e" vm="2">
        <f t="shared" si="231"/>
        <v>#VALUE!</v>
      </c>
      <c r="BJ2431" s="21" t="e" vm="1">
        <v>#REF!</v>
      </c>
      <c r="BK2431" t="e" vm="1">
        <v>#REF!</v>
      </c>
      <c r="BM2431" t="e" vm="2">
        <f t="shared" si="232"/>
        <v>#VALUE!</v>
      </c>
      <c r="BN2431" t="e" vm="2">
        <f t="shared" si="233"/>
        <v>#VALUE!</v>
      </c>
    </row>
    <row r="2432" spans="55:66" x14ac:dyDescent="0.2">
      <c r="BC2432" s="21" t="e" vm="1">
        <v>#REF!</v>
      </c>
      <c r="BD2432" t="e" vm="1">
        <v>#REF!</v>
      </c>
      <c r="BF2432" t="e" vm="2">
        <f t="shared" si="230"/>
        <v>#VALUE!</v>
      </c>
      <c r="BG2432" t="e" vm="2">
        <f t="shared" si="231"/>
        <v>#VALUE!</v>
      </c>
      <c r="BJ2432" s="21" t="e" vm="1">
        <v>#REF!</v>
      </c>
      <c r="BK2432" t="e" vm="1">
        <v>#REF!</v>
      </c>
      <c r="BM2432" t="e" vm="2">
        <f t="shared" si="232"/>
        <v>#VALUE!</v>
      </c>
      <c r="BN2432" t="e" vm="2">
        <f t="shared" si="233"/>
        <v>#VALUE!</v>
      </c>
    </row>
    <row r="2433" spans="55:66" x14ac:dyDescent="0.2">
      <c r="BC2433" s="21" t="e" vm="1">
        <v>#REF!</v>
      </c>
      <c r="BD2433" t="e" vm="1">
        <v>#REF!</v>
      </c>
      <c r="BF2433" t="e" vm="2">
        <f t="shared" si="230"/>
        <v>#VALUE!</v>
      </c>
      <c r="BG2433" t="e" vm="2">
        <f t="shared" si="231"/>
        <v>#VALUE!</v>
      </c>
      <c r="BJ2433" s="21" t="e" vm="1">
        <v>#REF!</v>
      </c>
      <c r="BK2433" t="e" vm="1">
        <v>#REF!</v>
      </c>
      <c r="BM2433" t="e" vm="2">
        <f t="shared" si="232"/>
        <v>#VALUE!</v>
      </c>
      <c r="BN2433" t="e" vm="2">
        <f t="shared" si="233"/>
        <v>#VALUE!</v>
      </c>
    </row>
    <row r="2434" spans="55:66" x14ac:dyDescent="0.2">
      <c r="BC2434" s="21" t="e" vm="1">
        <v>#REF!</v>
      </c>
      <c r="BD2434" t="e" vm="1">
        <v>#REF!</v>
      </c>
      <c r="BF2434" t="e" vm="2">
        <f t="shared" si="230"/>
        <v>#VALUE!</v>
      </c>
      <c r="BG2434" t="e" vm="2">
        <f t="shared" si="231"/>
        <v>#VALUE!</v>
      </c>
      <c r="BJ2434" s="21" t="e" vm="1">
        <v>#REF!</v>
      </c>
      <c r="BK2434" t="e" vm="1">
        <v>#REF!</v>
      </c>
      <c r="BM2434" t="e" vm="2">
        <f t="shared" si="232"/>
        <v>#VALUE!</v>
      </c>
      <c r="BN2434" t="e" vm="2">
        <f t="shared" si="233"/>
        <v>#VALUE!</v>
      </c>
    </row>
    <row r="2435" spans="55:66" x14ac:dyDescent="0.2">
      <c r="BC2435" s="21" t="e" vm="1">
        <v>#REF!</v>
      </c>
      <c r="BD2435" t="e" vm="1">
        <v>#REF!</v>
      </c>
      <c r="BF2435" t="e" vm="2">
        <f t="shared" ref="BF2435:BF2498" si="234">MONTH(BC2435)</f>
        <v>#VALUE!</v>
      </c>
      <c r="BG2435" t="e" vm="2">
        <f t="shared" ref="BG2435:BG2498" si="235">YEAR(BC2435)</f>
        <v>#VALUE!</v>
      </c>
      <c r="BJ2435" s="21" t="e" vm="1">
        <v>#REF!</v>
      </c>
      <c r="BK2435" t="e" vm="1">
        <v>#REF!</v>
      </c>
      <c r="BM2435" t="e" vm="2">
        <f t="shared" si="232"/>
        <v>#VALUE!</v>
      </c>
      <c r="BN2435" t="e" vm="2">
        <f t="shared" si="233"/>
        <v>#VALUE!</v>
      </c>
    </row>
    <row r="2436" spans="55:66" x14ac:dyDescent="0.2">
      <c r="BC2436" s="21" t="e" vm="1">
        <v>#REF!</v>
      </c>
      <c r="BD2436" t="e" vm="1">
        <v>#REF!</v>
      </c>
      <c r="BF2436" t="e" vm="2">
        <f t="shared" si="234"/>
        <v>#VALUE!</v>
      </c>
      <c r="BG2436" t="e" vm="2">
        <f t="shared" si="235"/>
        <v>#VALUE!</v>
      </c>
      <c r="BJ2436" s="21" t="e" vm="1">
        <v>#REF!</v>
      </c>
      <c r="BK2436" t="e" vm="1">
        <v>#REF!</v>
      </c>
      <c r="BM2436" t="e" vm="2">
        <f t="shared" ref="BM2436:BM2499" si="236">MONTH(BJ2436)</f>
        <v>#VALUE!</v>
      </c>
      <c r="BN2436" t="e" vm="2">
        <f t="shared" ref="BN2436:BN2499" si="237">YEAR(BJ2436)</f>
        <v>#VALUE!</v>
      </c>
    </row>
    <row r="2437" spans="55:66" x14ac:dyDescent="0.2">
      <c r="BC2437" s="21" t="e" vm="1">
        <v>#REF!</v>
      </c>
      <c r="BD2437" t="e" vm="1">
        <v>#REF!</v>
      </c>
      <c r="BF2437" t="e" vm="2">
        <f t="shared" si="234"/>
        <v>#VALUE!</v>
      </c>
      <c r="BG2437" t="e" vm="2">
        <f t="shared" si="235"/>
        <v>#VALUE!</v>
      </c>
      <c r="BJ2437" s="21" t="e" vm="1">
        <v>#REF!</v>
      </c>
      <c r="BK2437" t="e" vm="1">
        <v>#REF!</v>
      </c>
      <c r="BM2437" t="e" vm="2">
        <f t="shared" si="236"/>
        <v>#VALUE!</v>
      </c>
      <c r="BN2437" t="e" vm="2">
        <f t="shared" si="237"/>
        <v>#VALUE!</v>
      </c>
    </row>
    <row r="2438" spans="55:66" x14ac:dyDescent="0.2">
      <c r="BC2438" s="21" t="e" vm="1">
        <v>#REF!</v>
      </c>
      <c r="BD2438" t="e" vm="1">
        <v>#REF!</v>
      </c>
      <c r="BF2438" t="e" vm="2">
        <f t="shared" si="234"/>
        <v>#VALUE!</v>
      </c>
      <c r="BG2438" t="e" vm="2">
        <f t="shared" si="235"/>
        <v>#VALUE!</v>
      </c>
      <c r="BJ2438" s="21" t="e" vm="1">
        <v>#REF!</v>
      </c>
      <c r="BK2438" t="e" vm="1">
        <v>#REF!</v>
      </c>
      <c r="BM2438" t="e" vm="2">
        <f t="shared" si="236"/>
        <v>#VALUE!</v>
      </c>
      <c r="BN2438" t="e" vm="2">
        <f t="shared" si="237"/>
        <v>#VALUE!</v>
      </c>
    </row>
    <row r="2439" spans="55:66" x14ac:dyDescent="0.2">
      <c r="BC2439" s="21" t="e" vm="1">
        <v>#REF!</v>
      </c>
      <c r="BD2439" t="e" vm="1">
        <v>#REF!</v>
      </c>
      <c r="BF2439" t="e" vm="2">
        <f t="shared" si="234"/>
        <v>#VALUE!</v>
      </c>
      <c r="BG2439" t="e" vm="2">
        <f t="shared" si="235"/>
        <v>#VALUE!</v>
      </c>
      <c r="BJ2439" s="21" t="e" vm="1">
        <v>#REF!</v>
      </c>
      <c r="BK2439" t="e" vm="1">
        <v>#REF!</v>
      </c>
      <c r="BM2439" t="e" vm="2">
        <f t="shared" si="236"/>
        <v>#VALUE!</v>
      </c>
      <c r="BN2439" t="e" vm="2">
        <f t="shared" si="237"/>
        <v>#VALUE!</v>
      </c>
    </row>
    <row r="2440" spans="55:66" x14ac:dyDescent="0.2">
      <c r="BC2440" s="21" t="e" vm="1">
        <v>#REF!</v>
      </c>
      <c r="BD2440" t="e" vm="1">
        <v>#REF!</v>
      </c>
      <c r="BF2440" t="e" vm="2">
        <f t="shared" si="234"/>
        <v>#VALUE!</v>
      </c>
      <c r="BG2440" t="e" vm="2">
        <f t="shared" si="235"/>
        <v>#VALUE!</v>
      </c>
      <c r="BJ2440" s="21" t="e" vm="1">
        <v>#REF!</v>
      </c>
      <c r="BK2440" t="e" vm="1">
        <v>#REF!</v>
      </c>
      <c r="BM2440" t="e" vm="2">
        <f t="shared" si="236"/>
        <v>#VALUE!</v>
      </c>
      <c r="BN2440" t="e" vm="2">
        <f t="shared" si="237"/>
        <v>#VALUE!</v>
      </c>
    </row>
    <row r="2441" spans="55:66" x14ac:dyDescent="0.2">
      <c r="BC2441" s="21" t="e" vm="1">
        <v>#REF!</v>
      </c>
      <c r="BD2441" t="e" vm="1">
        <v>#REF!</v>
      </c>
      <c r="BF2441" t="e" vm="2">
        <f t="shared" si="234"/>
        <v>#VALUE!</v>
      </c>
      <c r="BG2441" t="e" vm="2">
        <f t="shared" si="235"/>
        <v>#VALUE!</v>
      </c>
      <c r="BJ2441" s="21" t="e" vm="1">
        <v>#REF!</v>
      </c>
      <c r="BK2441" t="e" vm="1">
        <v>#REF!</v>
      </c>
      <c r="BM2441" t="e" vm="2">
        <f t="shared" si="236"/>
        <v>#VALUE!</v>
      </c>
      <c r="BN2441" t="e" vm="2">
        <f t="shared" si="237"/>
        <v>#VALUE!</v>
      </c>
    </row>
    <row r="2442" spans="55:66" x14ac:dyDescent="0.2">
      <c r="BC2442" s="21" t="e" vm="1">
        <v>#REF!</v>
      </c>
      <c r="BD2442" t="e" vm="1">
        <v>#REF!</v>
      </c>
      <c r="BF2442" t="e" vm="2">
        <f t="shared" si="234"/>
        <v>#VALUE!</v>
      </c>
      <c r="BG2442" t="e" vm="2">
        <f t="shared" si="235"/>
        <v>#VALUE!</v>
      </c>
      <c r="BJ2442" s="21" t="e" vm="1">
        <v>#REF!</v>
      </c>
      <c r="BK2442" t="e" vm="1">
        <v>#REF!</v>
      </c>
      <c r="BM2442" t="e" vm="2">
        <f t="shared" si="236"/>
        <v>#VALUE!</v>
      </c>
      <c r="BN2442" t="e" vm="2">
        <f t="shared" si="237"/>
        <v>#VALUE!</v>
      </c>
    </row>
    <row r="2443" spans="55:66" x14ac:dyDescent="0.2">
      <c r="BC2443" s="21" t="e" vm="1">
        <v>#REF!</v>
      </c>
      <c r="BD2443" t="e" vm="1">
        <v>#REF!</v>
      </c>
      <c r="BF2443" t="e" vm="2">
        <f t="shared" si="234"/>
        <v>#VALUE!</v>
      </c>
      <c r="BG2443" t="e" vm="2">
        <f t="shared" si="235"/>
        <v>#VALUE!</v>
      </c>
      <c r="BJ2443" s="21" t="e" vm="1">
        <v>#REF!</v>
      </c>
      <c r="BK2443" t="e" vm="1">
        <v>#REF!</v>
      </c>
      <c r="BM2443" t="e" vm="2">
        <f t="shared" si="236"/>
        <v>#VALUE!</v>
      </c>
      <c r="BN2443" t="e" vm="2">
        <f t="shared" si="237"/>
        <v>#VALUE!</v>
      </c>
    </row>
    <row r="2444" spans="55:66" x14ac:dyDescent="0.2">
      <c r="BC2444" s="21" t="e" vm="1">
        <v>#REF!</v>
      </c>
      <c r="BD2444" t="e" vm="1">
        <v>#REF!</v>
      </c>
      <c r="BF2444" t="e" vm="2">
        <f t="shared" si="234"/>
        <v>#VALUE!</v>
      </c>
      <c r="BG2444" t="e" vm="2">
        <f t="shared" si="235"/>
        <v>#VALUE!</v>
      </c>
      <c r="BJ2444" s="21" t="e" vm="1">
        <v>#REF!</v>
      </c>
      <c r="BK2444" t="e" vm="1">
        <v>#REF!</v>
      </c>
      <c r="BM2444" t="e" vm="2">
        <f t="shared" si="236"/>
        <v>#VALUE!</v>
      </c>
      <c r="BN2444" t="e" vm="2">
        <f t="shared" si="237"/>
        <v>#VALUE!</v>
      </c>
    </row>
    <row r="2445" spans="55:66" x14ac:dyDescent="0.2">
      <c r="BC2445" s="21" t="e" vm="1">
        <v>#REF!</v>
      </c>
      <c r="BD2445" t="e" vm="1">
        <v>#REF!</v>
      </c>
      <c r="BF2445" t="e" vm="2">
        <f t="shared" si="234"/>
        <v>#VALUE!</v>
      </c>
      <c r="BG2445" t="e" vm="2">
        <f t="shared" si="235"/>
        <v>#VALUE!</v>
      </c>
      <c r="BJ2445" s="21" t="e" vm="1">
        <v>#REF!</v>
      </c>
      <c r="BK2445" t="e" vm="1">
        <v>#REF!</v>
      </c>
      <c r="BM2445" t="e" vm="2">
        <f t="shared" si="236"/>
        <v>#VALUE!</v>
      </c>
      <c r="BN2445" t="e" vm="2">
        <f t="shared" si="237"/>
        <v>#VALUE!</v>
      </c>
    </row>
    <row r="2446" spans="55:66" x14ac:dyDescent="0.2">
      <c r="BC2446" s="21" t="e" vm="1">
        <v>#REF!</v>
      </c>
      <c r="BD2446" t="e" vm="1">
        <v>#REF!</v>
      </c>
      <c r="BF2446" t="e" vm="2">
        <f t="shared" si="234"/>
        <v>#VALUE!</v>
      </c>
      <c r="BG2446" t="e" vm="2">
        <f t="shared" si="235"/>
        <v>#VALUE!</v>
      </c>
      <c r="BJ2446" s="21" t="e" vm="1">
        <v>#REF!</v>
      </c>
      <c r="BK2446" t="e" vm="1">
        <v>#REF!</v>
      </c>
      <c r="BM2446" t="e" vm="2">
        <f t="shared" si="236"/>
        <v>#VALUE!</v>
      </c>
      <c r="BN2446" t="e" vm="2">
        <f t="shared" si="237"/>
        <v>#VALUE!</v>
      </c>
    </row>
    <row r="2447" spans="55:66" x14ac:dyDescent="0.2">
      <c r="BC2447" s="21" t="e" vm="1">
        <v>#REF!</v>
      </c>
      <c r="BD2447" t="e" vm="1">
        <v>#REF!</v>
      </c>
      <c r="BF2447" t="e" vm="2">
        <f t="shared" si="234"/>
        <v>#VALUE!</v>
      </c>
      <c r="BG2447" t="e" vm="2">
        <f t="shared" si="235"/>
        <v>#VALUE!</v>
      </c>
      <c r="BJ2447" s="21" t="e" vm="1">
        <v>#REF!</v>
      </c>
      <c r="BK2447" t="e" vm="1">
        <v>#REF!</v>
      </c>
      <c r="BM2447" t="e" vm="2">
        <f t="shared" si="236"/>
        <v>#VALUE!</v>
      </c>
      <c r="BN2447" t="e" vm="2">
        <f t="shared" si="237"/>
        <v>#VALUE!</v>
      </c>
    </row>
    <row r="2448" spans="55:66" x14ac:dyDescent="0.2">
      <c r="BC2448" s="21" t="e" vm="1">
        <v>#REF!</v>
      </c>
      <c r="BD2448" t="e" vm="1">
        <v>#REF!</v>
      </c>
      <c r="BF2448" t="e" vm="2">
        <f t="shared" si="234"/>
        <v>#VALUE!</v>
      </c>
      <c r="BG2448" t="e" vm="2">
        <f t="shared" si="235"/>
        <v>#VALUE!</v>
      </c>
      <c r="BJ2448" s="21" t="e" vm="1">
        <v>#REF!</v>
      </c>
      <c r="BK2448" t="e" vm="1">
        <v>#REF!</v>
      </c>
      <c r="BM2448" t="e" vm="2">
        <f t="shared" si="236"/>
        <v>#VALUE!</v>
      </c>
      <c r="BN2448" t="e" vm="2">
        <f t="shared" si="237"/>
        <v>#VALUE!</v>
      </c>
    </row>
    <row r="2449" spans="55:66" x14ac:dyDescent="0.2">
      <c r="BC2449" s="21" t="e" vm="1">
        <v>#REF!</v>
      </c>
      <c r="BD2449" t="e" vm="1">
        <v>#REF!</v>
      </c>
      <c r="BF2449" t="e" vm="2">
        <f t="shared" si="234"/>
        <v>#VALUE!</v>
      </c>
      <c r="BG2449" t="e" vm="2">
        <f t="shared" si="235"/>
        <v>#VALUE!</v>
      </c>
      <c r="BJ2449" s="21" t="e" vm="1">
        <v>#REF!</v>
      </c>
      <c r="BK2449" t="e" vm="1">
        <v>#REF!</v>
      </c>
      <c r="BM2449" t="e" vm="2">
        <f t="shared" si="236"/>
        <v>#VALUE!</v>
      </c>
      <c r="BN2449" t="e" vm="2">
        <f t="shared" si="237"/>
        <v>#VALUE!</v>
      </c>
    </row>
    <row r="2450" spans="55:66" x14ac:dyDescent="0.2">
      <c r="BC2450" s="21" t="e" vm="1">
        <v>#REF!</v>
      </c>
      <c r="BD2450" t="e" vm="1">
        <v>#REF!</v>
      </c>
      <c r="BF2450" t="e" vm="2">
        <f t="shared" si="234"/>
        <v>#VALUE!</v>
      </c>
      <c r="BG2450" t="e" vm="2">
        <f t="shared" si="235"/>
        <v>#VALUE!</v>
      </c>
      <c r="BJ2450" s="21" t="e" vm="1">
        <v>#REF!</v>
      </c>
      <c r="BK2450" t="e" vm="1">
        <v>#REF!</v>
      </c>
      <c r="BM2450" t="e" vm="2">
        <f t="shared" si="236"/>
        <v>#VALUE!</v>
      </c>
      <c r="BN2450" t="e" vm="2">
        <f t="shared" si="237"/>
        <v>#VALUE!</v>
      </c>
    </row>
    <row r="2451" spans="55:66" x14ac:dyDescent="0.2">
      <c r="BC2451" s="21" t="e" vm="1">
        <v>#REF!</v>
      </c>
      <c r="BD2451" t="e" vm="1">
        <v>#REF!</v>
      </c>
      <c r="BF2451" t="e" vm="2">
        <f t="shared" si="234"/>
        <v>#VALUE!</v>
      </c>
      <c r="BG2451" t="e" vm="2">
        <f t="shared" si="235"/>
        <v>#VALUE!</v>
      </c>
      <c r="BJ2451" s="21" t="e" vm="1">
        <v>#REF!</v>
      </c>
      <c r="BK2451" t="e" vm="1">
        <v>#REF!</v>
      </c>
      <c r="BM2451" t="e" vm="2">
        <f t="shared" si="236"/>
        <v>#VALUE!</v>
      </c>
      <c r="BN2451" t="e" vm="2">
        <f t="shared" si="237"/>
        <v>#VALUE!</v>
      </c>
    </row>
    <row r="2452" spans="55:66" x14ac:dyDescent="0.2">
      <c r="BC2452" s="21" t="e" vm="1">
        <v>#REF!</v>
      </c>
      <c r="BD2452" t="e" vm="1">
        <v>#REF!</v>
      </c>
      <c r="BF2452" t="e" vm="2">
        <f t="shared" si="234"/>
        <v>#VALUE!</v>
      </c>
      <c r="BG2452" t="e" vm="2">
        <f t="shared" si="235"/>
        <v>#VALUE!</v>
      </c>
      <c r="BJ2452" s="21" t="e" vm="1">
        <v>#REF!</v>
      </c>
      <c r="BK2452" t="e" vm="1">
        <v>#REF!</v>
      </c>
      <c r="BM2452" t="e" vm="2">
        <f t="shared" si="236"/>
        <v>#VALUE!</v>
      </c>
      <c r="BN2452" t="e" vm="2">
        <f t="shared" si="237"/>
        <v>#VALUE!</v>
      </c>
    </row>
    <row r="2453" spans="55:66" x14ac:dyDescent="0.2">
      <c r="BC2453" s="21" t="e" vm="1">
        <v>#REF!</v>
      </c>
      <c r="BD2453" t="e" vm="1">
        <v>#REF!</v>
      </c>
      <c r="BF2453" t="e" vm="2">
        <f t="shared" si="234"/>
        <v>#VALUE!</v>
      </c>
      <c r="BG2453" t="e" vm="2">
        <f t="shared" si="235"/>
        <v>#VALUE!</v>
      </c>
      <c r="BJ2453" s="21" t="e" vm="1">
        <v>#REF!</v>
      </c>
      <c r="BK2453" t="e" vm="1">
        <v>#REF!</v>
      </c>
      <c r="BM2453" t="e" vm="2">
        <f t="shared" si="236"/>
        <v>#VALUE!</v>
      </c>
      <c r="BN2453" t="e" vm="2">
        <f t="shared" si="237"/>
        <v>#VALUE!</v>
      </c>
    </row>
    <row r="2454" spans="55:66" x14ac:dyDescent="0.2">
      <c r="BC2454" s="21" t="e" vm="1">
        <v>#REF!</v>
      </c>
      <c r="BD2454" t="e" vm="1">
        <v>#REF!</v>
      </c>
      <c r="BF2454" t="e" vm="2">
        <f t="shared" si="234"/>
        <v>#VALUE!</v>
      </c>
      <c r="BG2454" t="e" vm="2">
        <f t="shared" si="235"/>
        <v>#VALUE!</v>
      </c>
      <c r="BJ2454" s="21" t="e" vm="1">
        <v>#REF!</v>
      </c>
      <c r="BK2454" t="e" vm="1">
        <v>#REF!</v>
      </c>
      <c r="BM2454" t="e" vm="2">
        <f t="shared" si="236"/>
        <v>#VALUE!</v>
      </c>
      <c r="BN2454" t="e" vm="2">
        <f t="shared" si="237"/>
        <v>#VALUE!</v>
      </c>
    </row>
    <row r="2455" spans="55:66" x14ac:dyDescent="0.2">
      <c r="BC2455" s="21" t="e" vm="1">
        <v>#REF!</v>
      </c>
      <c r="BD2455" t="e" vm="1">
        <v>#REF!</v>
      </c>
      <c r="BF2455" t="e" vm="2">
        <f t="shared" si="234"/>
        <v>#VALUE!</v>
      </c>
      <c r="BG2455" t="e" vm="2">
        <f t="shared" si="235"/>
        <v>#VALUE!</v>
      </c>
      <c r="BJ2455" s="21" t="e" vm="1">
        <v>#REF!</v>
      </c>
      <c r="BK2455" t="e" vm="1">
        <v>#REF!</v>
      </c>
      <c r="BM2455" t="e" vm="2">
        <f t="shared" si="236"/>
        <v>#VALUE!</v>
      </c>
      <c r="BN2455" t="e" vm="2">
        <f t="shared" si="237"/>
        <v>#VALUE!</v>
      </c>
    </row>
    <row r="2456" spans="55:66" x14ac:dyDescent="0.2">
      <c r="BC2456" s="21" t="e" vm="1">
        <v>#REF!</v>
      </c>
      <c r="BD2456" t="e" vm="1">
        <v>#REF!</v>
      </c>
      <c r="BF2456" t="e" vm="2">
        <f t="shared" si="234"/>
        <v>#VALUE!</v>
      </c>
      <c r="BG2456" t="e" vm="2">
        <f t="shared" si="235"/>
        <v>#VALUE!</v>
      </c>
      <c r="BJ2456" s="21" t="e" vm="1">
        <v>#REF!</v>
      </c>
      <c r="BK2456" t="e" vm="1">
        <v>#REF!</v>
      </c>
      <c r="BM2456" t="e" vm="2">
        <f t="shared" si="236"/>
        <v>#VALUE!</v>
      </c>
      <c r="BN2456" t="e" vm="2">
        <f t="shared" si="237"/>
        <v>#VALUE!</v>
      </c>
    </row>
    <row r="2457" spans="55:66" x14ac:dyDescent="0.2">
      <c r="BC2457" s="21" t="e" vm="1">
        <v>#REF!</v>
      </c>
      <c r="BD2457" t="e" vm="1">
        <v>#REF!</v>
      </c>
      <c r="BF2457" t="e" vm="2">
        <f t="shared" si="234"/>
        <v>#VALUE!</v>
      </c>
      <c r="BG2457" t="e" vm="2">
        <f t="shared" si="235"/>
        <v>#VALUE!</v>
      </c>
      <c r="BJ2457" s="21" t="e" vm="1">
        <v>#REF!</v>
      </c>
      <c r="BK2457" t="e" vm="1">
        <v>#REF!</v>
      </c>
      <c r="BM2457" t="e" vm="2">
        <f t="shared" si="236"/>
        <v>#VALUE!</v>
      </c>
      <c r="BN2457" t="e" vm="2">
        <f t="shared" si="237"/>
        <v>#VALUE!</v>
      </c>
    </row>
    <row r="2458" spans="55:66" x14ac:dyDescent="0.2">
      <c r="BC2458" s="21" t="e" vm="1">
        <v>#REF!</v>
      </c>
      <c r="BD2458" t="e" vm="1">
        <v>#REF!</v>
      </c>
      <c r="BF2458" t="e" vm="2">
        <f t="shared" si="234"/>
        <v>#VALUE!</v>
      </c>
      <c r="BG2458" t="e" vm="2">
        <f t="shared" si="235"/>
        <v>#VALUE!</v>
      </c>
      <c r="BJ2458" s="21" t="e" vm="1">
        <v>#REF!</v>
      </c>
      <c r="BK2458" t="e" vm="1">
        <v>#REF!</v>
      </c>
      <c r="BM2458" t="e" vm="2">
        <f t="shared" si="236"/>
        <v>#VALUE!</v>
      </c>
      <c r="BN2458" t="e" vm="2">
        <f t="shared" si="237"/>
        <v>#VALUE!</v>
      </c>
    </row>
    <row r="2459" spans="55:66" x14ac:dyDescent="0.2">
      <c r="BC2459" s="21" t="e" vm="1">
        <v>#REF!</v>
      </c>
      <c r="BD2459" t="e" vm="1">
        <v>#REF!</v>
      </c>
      <c r="BF2459" t="e" vm="2">
        <f t="shared" si="234"/>
        <v>#VALUE!</v>
      </c>
      <c r="BG2459" t="e" vm="2">
        <f t="shared" si="235"/>
        <v>#VALUE!</v>
      </c>
      <c r="BJ2459" s="21" t="e" vm="1">
        <v>#REF!</v>
      </c>
      <c r="BK2459" t="e" vm="1">
        <v>#REF!</v>
      </c>
      <c r="BM2459" t="e" vm="2">
        <f t="shared" si="236"/>
        <v>#VALUE!</v>
      </c>
      <c r="BN2459" t="e" vm="2">
        <f t="shared" si="237"/>
        <v>#VALUE!</v>
      </c>
    </row>
    <row r="2460" spans="55:66" x14ac:dyDescent="0.2">
      <c r="BC2460" s="21" t="e" vm="1">
        <v>#REF!</v>
      </c>
      <c r="BD2460" t="e" vm="1">
        <v>#REF!</v>
      </c>
      <c r="BF2460" t="e" vm="2">
        <f t="shared" si="234"/>
        <v>#VALUE!</v>
      </c>
      <c r="BG2460" t="e" vm="2">
        <f t="shared" si="235"/>
        <v>#VALUE!</v>
      </c>
      <c r="BJ2460" s="21" t="e" vm="1">
        <v>#REF!</v>
      </c>
      <c r="BK2460" t="e" vm="1">
        <v>#REF!</v>
      </c>
      <c r="BM2460" t="e" vm="2">
        <f t="shared" si="236"/>
        <v>#VALUE!</v>
      </c>
      <c r="BN2460" t="e" vm="2">
        <f t="shared" si="237"/>
        <v>#VALUE!</v>
      </c>
    </row>
    <row r="2461" spans="55:66" x14ac:dyDescent="0.2">
      <c r="BC2461" s="21" t="e" vm="1">
        <v>#REF!</v>
      </c>
      <c r="BD2461" t="e" vm="1">
        <v>#REF!</v>
      </c>
      <c r="BF2461" t="e" vm="2">
        <f t="shared" si="234"/>
        <v>#VALUE!</v>
      </c>
      <c r="BG2461" t="e" vm="2">
        <f t="shared" si="235"/>
        <v>#VALUE!</v>
      </c>
      <c r="BJ2461" s="21" t="e" vm="1">
        <v>#REF!</v>
      </c>
      <c r="BK2461" t="e" vm="1">
        <v>#REF!</v>
      </c>
      <c r="BM2461" t="e" vm="2">
        <f t="shared" si="236"/>
        <v>#VALUE!</v>
      </c>
      <c r="BN2461" t="e" vm="2">
        <f t="shared" si="237"/>
        <v>#VALUE!</v>
      </c>
    </row>
    <row r="2462" spans="55:66" x14ac:dyDescent="0.2">
      <c r="BC2462" s="21" t="e" vm="1">
        <v>#REF!</v>
      </c>
      <c r="BD2462" t="e" vm="1">
        <v>#REF!</v>
      </c>
      <c r="BF2462" t="e" vm="2">
        <f t="shared" si="234"/>
        <v>#VALUE!</v>
      </c>
      <c r="BG2462" t="e" vm="2">
        <f t="shared" si="235"/>
        <v>#VALUE!</v>
      </c>
      <c r="BJ2462" s="21" t="e" vm="1">
        <v>#REF!</v>
      </c>
      <c r="BK2462" t="e" vm="1">
        <v>#REF!</v>
      </c>
      <c r="BM2462" t="e" vm="2">
        <f t="shared" si="236"/>
        <v>#VALUE!</v>
      </c>
      <c r="BN2462" t="e" vm="2">
        <f t="shared" si="237"/>
        <v>#VALUE!</v>
      </c>
    </row>
    <row r="2463" spans="55:66" x14ac:dyDescent="0.2">
      <c r="BC2463" s="21" t="e" vm="1">
        <v>#REF!</v>
      </c>
      <c r="BD2463" t="e" vm="1">
        <v>#REF!</v>
      </c>
      <c r="BF2463" t="e" vm="2">
        <f t="shared" si="234"/>
        <v>#VALUE!</v>
      </c>
      <c r="BG2463" t="e" vm="2">
        <f t="shared" si="235"/>
        <v>#VALUE!</v>
      </c>
      <c r="BJ2463" s="21" t="e" vm="1">
        <v>#REF!</v>
      </c>
      <c r="BK2463" t="e" vm="1">
        <v>#REF!</v>
      </c>
      <c r="BM2463" t="e" vm="2">
        <f t="shared" si="236"/>
        <v>#VALUE!</v>
      </c>
      <c r="BN2463" t="e" vm="2">
        <f t="shared" si="237"/>
        <v>#VALUE!</v>
      </c>
    </row>
    <row r="2464" spans="55:66" x14ac:dyDescent="0.2">
      <c r="BC2464" s="21" t="e" vm="1">
        <v>#REF!</v>
      </c>
      <c r="BD2464" t="e" vm="1">
        <v>#REF!</v>
      </c>
      <c r="BF2464" t="e" vm="2">
        <f t="shared" si="234"/>
        <v>#VALUE!</v>
      </c>
      <c r="BG2464" t="e" vm="2">
        <f t="shared" si="235"/>
        <v>#VALUE!</v>
      </c>
      <c r="BJ2464" s="21" t="e" vm="1">
        <v>#REF!</v>
      </c>
      <c r="BK2464" t="e" vm="1">
        <v>#REF!</v>
      </c>
      <c r="BM2464" t="e" vm="2">
        <f t="shared" si="236"/>
        <v>#VALUE!</v>
      </c>
      <c r="BN2464" t="e" vm="2">
        <f t="shared" si="237"/>
        <v>#VALUE!</v>
      </c>
    </row>
    <row r="2465" spans="55:66" x14ac:dyDescent="0.2">
      <c r="BC2465" s="21" t="e" vm="1">
        <v>#REF!</v>
      </c>
      <c r="BD2465" t="e" vm="1">
        <v>#REF!</v>
      </c>
      <c r="BF2465" t="e" vm="2">
        <f t="shared" si="234"/>
        <v>#VALUE!</v>
      </c>
      <c r="BG2465" t="e" vm="2">
        <f t="shared" si="235"/>
        <v>#VALUE!</v>
      </c>
      <c r="BJ2465" s="21" t="e" vm="1">
        <v>#REF!</v>
      </c>
      <c r="BK2465" t="e" vm="1">
        <v>#REF!</v>
      </c>
      <c r="BM2465" t="e" vm="2">
        <f t="shared" si="236"/>
        <v>#VALUE!</v>
      </c>
      <c r="BN2465" t="e" vm="2">
        <f t="shared" si="237"/>
        <v>#VALUE!</v>
      </c>
    </row>
    <row r="2466" spans="55:66" x14ac:dyDescent="0.2">
      <c r="BC2466" s="21" t="e" vm="1">
        <v>#REF!</v>
      </c>
      <c r="BD2466" t="e" vm="1">
        <v>#REF!</v>
      </c>
      <c r="BF2466" t="e" vm="2">
        <f t="shared" si="234"/>
        <v>#VALUE!</v>
      </c>
      <c r="BG2466" t="e" vm="2">
        <f t="shared" si="235"/>
        <v>#VALUE!</v>
      </c>
      <c r="BJ2466" s="21" t="e" vm="1">
        <v>#REF!</v>
      </c>
      <c r="BK2466" t="e" vm="1">
        <v>#REF!</v>
      </c>
      <c r="BM2466" t="e" vm="2">
        <f t="shared" si="236"/>
        <v>#VALUE!</v>
      </c>
      <c r="BN2466" t="e" vm="2">
        <f t="shared" si="237"/>
        <v>#VALUE!</v>
      </c>
    </row>
    <row r="2467" spans="55:66" x14ac:dyDescent="0.2">
      <c r="BC2467" s="21" t="e" vm="1">
        <v>#REF!</v>
      </c>
      <c r="BD2467" t="e" vm="1">
        <v>#REF!</v>
      </c>
      <c r="BF2467" t="e" vm="2">
        <f t="shared" si="234"/>
        <v>#VALUE!</v>
      </c>
      <c r="BG2467" t="e" vm="2">
        <f t="shared" si="235"/>
        <v>#VALUE!</v>
      </c>
      <c r="BJ2467" s="21" t="e" vm="1">
        <v>#REF!</v>
      </c>
      <c r="BK2467" t="e" vm="1">
        <v>#REF!</v>
      </c>
      <c r="BM2467" t="e" vm="2">
        <f t="shared" si="236"/>
        <v>#VALUE!</v>
      </c>
      <c r="BN2467" t="e" vm="2">
        <f t="shared" si="237"/>
        <v>#VALUE!</v>
      </c>
    </row>
    <row r="2468" spans="55:66" x14ac:dyDescent="0.2">
      <c r="BC2468" s="21" t="e" vm="1">
        <v>#REF!</v>
      </c>
      <c r="BD2468" t="e" vm="1">
        <v>#REF!</v>
      </c>
      <c r="BF2468" t="e" vm="2">
        <f t="shared" si="234"/>
        <v>#VALUE!</v>
      </c>
      <c r="BG2468" t="e" vm="2">
        <f t="shared" si="235"/>
        <v>#VALUE!</v>
      </c>
      <c r="BJ2468" s="21" t="e" vm="1">
        <v>#REF!</v>
      </c>
      <c r="BK2468" t="e" vm="1">
        <v>#REF!</v>
      </c>
      <c r="BM2468" t="e" vm="2">
        <f t="shared" si="236"/>
        <v>#VALUE!</v>
      </c>
      <c r="BN2468" t="e" vm="2">
        <f t="shared" si="237"/>
        <v>#VALUE!</v>
      </c>
    </row>
    <row r="2469" spans="55:66" x14ac:dyDescent="0.2">
      <c r="BC2469" s="21" t="e" vm="1">
        <v>#REF!</v>
      </c>
      <c r="BD2469" t="e" vm="1">
        <v>#REF!</v>
      </c>
      <c r="BF2469" t="e" vm="2">
        <f t="shared" si="234"/>
        <v>#VALUE!</v>
      </c>
      <c r="BG2469" t="e" vm="2">
        <f t="shared" si="235"/>
        <v>#VALUE!</v>
      </c>
      <c r="BJ2469" s="21" t="e" vm="1">
        <v>#REF!</v>
      </c>
      <c r="BK2469" t="e" vm="1">
        <v>#REF!</v>
      </c>
      <c r="BM2469" t="e" vm="2">
        <f t="shared" si="236"/>
        <v>#VALUE!</v>
      </c>
      <c r="BN2469" t="e" vm="2">
        <f t="shared" si="237"/>
        <v>#VALUE!</v>
      </c>
    </row>
    <row r="2470" spans="55:66" x14ac:dyDescent="0.2">
      <c r="BC2470" s="21" t="e" vm="1">
        <v>#REF!</v>
      </c>
      <c r="BD2470" t="e" vm="1">
        <v>#REF!</v>
      </c>
      <c r="BF2470" t="e" vm="2">
        <f t="shared" si="234"/>
        <v>#VALUE!</v>
      </c>
      <c r="BG2470" t="e" vm="2">
        <f t="shared" si="235"/>
        <v>#VALUE!</v>
      </c>
      <c r="BJ2470" s="21" t="e" vm="1">
        <v>#REF!</v>
      </c>
      <c r="BK2470" t="e" vm="1">
        <v>#REF!</v>
      </c>
      <c r="BM2470" t="e" vm="2">
        <f t="shared" si="236"/>
        <v>#VALUE!</v>
      </c>
      <c r="BN2470" t="e" vm="2">
        <f t="shared" si="237"/>
        <v>#VALUE!</v>
      </c>
    </row>
    <row r="2471" spans="55:66" x14ac:dyDescent="0.2">
      <c r="BC2471" s="21" t="e" vm="1">
        <v>#REF!</v>
      </c>
      <c r="BD2471" t="e" vm="1">
        <v>#REF!</v>
      </c>
      <c r="BF2471" t="e" vm="2">
        <f t="shared" si="234"/>
        <v>#VALUE!</v>
      </c>
      <c r="BG2471" t="e" vm="2">
        <f t="shared" si="235"/>
        <v>#VALUE!</v>
      </c>
      <c r="BJ2471" s="21" t="e" vm="1">
        <v>#REF!</v>
      </c>
      <c r="BK2471" t="e" vm="1">
        <v>#REF!</v>
      </c>
      <c r="BM2471" t="e" vm="2">
        <f t="shared" si="236"/>
        <v>#VALUE!</v>
      </c>
      <c r="BN2471" t="e" vm="2">
        <f t="shared" si="237"/>
        <v>#VALUE!</v>
      </c>
    </row>
    <row r="2472" spans="55:66" x14ac:dyDescent="0.2">
      <c r="BC2472" s="21" t="e" vm="1">
        <v>#REF!</v>
      </c>
      <c r="BD2472" t="e" vm="1">
        <v>#REF!</v>
      </c>
      <c r="BF2472" t="e" vm="2">
        <f t="shared" si="234"/>
        <v>#VALUE!</v>
      </c>
      <c r="BG2472" t="e" vm="2">
        <f t="shared" si="235"/>
        <v>#VALUE!</v>
      </c>
      <c r="BJ2472" s="21" t="e" vm="1">
        <v>#REF!</v>
      </c>
      <c r="BK2472" t="e" vm="1">
        <v>#REF!</v>
      </c>
      <c r="BM2472" t="e" vm="2">
        <f t="shared" si="236"/>
        <v>#VALUE!</v>
      </c>
      <c r="BN2472" t="e" vm="2">
        <f t="shared" si="237"/>
        <v>#VALUE!</v>
      </c>
    </row>
    <row r="2473" spans="55:66" x14ac:dyDescent="0.2">
      <c r="BC2473" s="21" t="e" vm="1">
        <v>#REF!</v>
      </c>
      <c r="BD2473" t="e" vm="1">
        <v>#REF!</v>
      </c>
      <c r="BF2473" t="e" vm="2">
        <f t="shared" si="234"/>
        <v>#VALUE!</v>
      </c>
      <c r="BG2473" t="e" vm="2">
        <f t="shared" si="235"/>
        <v>#VALUE!</v>
      </c>
      <c r="BJ2473" s="21" t="e" vm="1">
        <v>#REF!</v>
      </c>
      <c r="BK2473" t="e" vm="1">
        <v>#REF!</v>
      </c>
      <c r="BM2473" t="e" vm="2">
        <f t="shared" si="236"/>
        <v>#VALUE!</v>
      </c>
      <c r="BN2473" t="e" vm="2">
        <f t="shared" si="237"/>
        <v>#VALUE!</v>
      </c>
    </row>
    <row r="2474" spans="55:66" x14ac:dyDescent="0.2">
      <c r="BC2474" s="21" t="e" vm="1">
        <v>#REF!</v>
      </c>
      <c r="BD2474" t="e" vm="1">
        <v>#REF!</v>
      </c>
      <c r="BF2474" t="e" vm="2">
        <f t="shared" si="234"/>
        <v>#VALUE!</v>
      </c>
      <c r="BG2474" t="e" vm="2">
        <f t="shared" si="235"/>
        <v>#VALUE!</v>
      </c>
      <c r="BJ2474" s="21" t="e" vm="1">
        <v>#REF!</v>
      </c>
      <c r="BK2474" t="e" vm="1">
        <v>#REF!</v>
      </c>
      <c r="BM2474" t="e" vm="2">
        <f t="shared" si="236"/>
        <v>#VALUE!</v>
      </c>
      <c r="BN2474" t="e" vm="2">
        <f t="shared" si="237"/>
        <v>#VALUE!</v>
      </c>
    </row>
    <row r="2475" spans="55:66" x14ac:dyDescent="0.2">
      <c r="BC2475" s="21" t="e" vm="1">
        <v>#REF!</v>
      </c>
      <c r="BD2475" t="e" vm="1">
        <v>#REF!</v>
      </c>
      <c r="BF2475" t="e" vm="2">
        <f t="shared" si="234"/>
        <v>#VALUE!</v>
      </c>
      <c r="BG2475" t="e" vm="2">
        <f t="shared" si="235"/>
        <v>#VALUE!</v>
      </c>
      <c r="BJ2475" s="21" t="e" vm="1">
        <v>#REF!</v>
      </c>
      <c r="BK2475" t="e" vm="1">
        <v>#REF!</v>
      </c>
      <c r="BM2475" t="e" vm="2">
        <f t="shared" si="236"/>
        <v>#VALUE!</v>
      </c>
      <c r="BN2475" t="e" vm="2">
        <f t="shared" si="237"/>
        <v>#VALUE!</v>
      </c>
    </row>
    <row r="2476" spans="55:66" x14ac:dyDescent="0.2">
      <c r="BC2476" s="21" t="e" vm="1">
        <v>#REF!</v>
      </c>
      <c r="BD2476" t="e" vm="1">
        <v>#REF!</v>
      </c>
      <c r="BF2476" t="e" vm="2">
        <f t="shared" si="234"/>
        <v>#VALUE!</v>
      </c>
      <c r="BG2476" t="e" vm="2">
        <f t="shared" si="235"/>
        <v>#VALUE!</v>
      </c>
      <c r="BJ2476" s="21" t="e" vm="1">
        <v>#REF!</v>
      </c>
      <c r="BK2476" t="e" vm="1">
        <v>#REF!</v>
      </c>
      <c r="BM2476" t="e" vm="2">
        <f t="shared" si="236"/>
        <v>#VALUE!</v>
      </c>
      <c r="BN2476" t="e" vm="2">
        <f t="shared" si="237"/>
        <v>#VALUE!</v>
      </c>
    </row>
    <row r="2477" spans="55:66" x14ac:dyDescent="0.2">
      <c r="BC2477" s="21" t="e" vm="1">
        <v>#REF!</v>
      </c>
      <c r="BD2477" t="e" vm="1">
        <v>#REF!</v>
      </c>
      <c r="BF2477" t="e" vm="2">
        <f t="shared" si="234"/>
        <v>#VALUE!</v>
      </c>
      <c r="BG2477" t="e" vm="2">
        <f t="shared" si="235"/>
        <v>#VALUE!</v>
      </c>
      <c r="BJ2477" s="21" t="e" vm="1">
        <v>#REF!</v>
      </c>
      <c r="BK2477" t="e" vm="1">
        <v>#REF!</v>
      </c>
      <c r="BM2477" t="e" vm="2">
        <f t="shared" si="236"/>
        <v>#VALUE!</v>
      </c>
      <c r="BN2477" t="e" vm="2">
        <f t="shared" si="237"/>
        <v>#VALUE!</v>
      </c>
    </row>
    <row r="2478" spans="55:66" x14ac:dyDescent="0.2">
      <c r="BC2478" s="21" t="e" vm="1">
        <v>#REF!</v>
      </c>
      <c r="BD2478" t="e" vm="1">
        <v>#REF!</v>
      </c>
      <c r="BF2478" t="e" vm="2">
        <f t="shared" si="234"/>
        <v>#VALUE!</v>
      </c>
      <c r="BG2478" t="e" vm="2">
        <f t="shared" si="235"/>
        <v>#VALUE!</v>
      </c>
      <c r="BJ2478" s="21" t="e" vm="1">
        <v>#REF!</v>
      </c>
      <c r="BK2478" t="e" vm="1">
        <v>#REF!</v>
      </c>
      <c r="BM2478" t="e" vm="2">
        <f t="shared" si="236"/>
        <v>#VALUE!</v>
      </c>
      <c r="BN2478" t="e" vm="2">
        <f t="shared" si="237"/>
        <v>#VALUE!</v>
      </c>
    </row>
    <row r="2479" spans="55:66" x14ac:dyDescent="0.2">
      <c r="BC2479" s="21" t="e" vm="1">
        <v>#REF!</v>
      </c>
      <c r="BD2479" t="e" vm="1">
        <v>#REF!</v>
      </c>
      <c r="BF2479" t="e" vm="2">
        <f t="shared" si="234"/>
        <v>#VALUE!</v>
      </c>
      <c r="BG2479" t="e" vm="2">
        <f t="shared" si="235"/>
        <v>#VALUE!</v>
      </c>
      <c r="BJ2479" s="21" t="e" vm="1">
        <v>#REF!</v>
      </c>
      <c r="BK2479" t="e" vm="1">
        <v>#REF!</v>
      </c>
      <c r="BM2479" t="e" vm="2">
        <f t="shared" si="236"/>
        <v>#VALUE!</v>
      </c>
      <c r="BN2479" t="e" vm="2">
        <f t="shared" si="237"/>
        <v>#VALUE!</v>
      </c>
    </row>
    <row r="2480" spans="55:66" x14ac:dyDescent="0.2">
      <c r="BC2480" s="21" t="e" vm="1">
        <v>#REF!</v>
      </c>
      <c r="BD2480" t="e" vm="1">
        <v>#REF!</v>
      </c>
      <c r="BF2480" t="e" vm="2">
        <f t="shared" si="234"/>
        <v>#VALUE!</v>
      </c>
      <c r="BG2480" t="e" vm="2">
        <f t="shared" si="235"/>
        <v>#VALUE!</v>
      </c>
      <c r="BJ2480" s="21" t="e" vm="1">
        <v>#REF!</v>
      </c>
      <c r="BK2480" t="e" vm="1">
        <v>#REF!</v>
      </c>
      <c r="BM2480" t="e" vm="2">
        <f t="shared" si="236"/>
        <v>#VALUE!</v>
      </c>
      <c r="BN2480" t="e" vm="2">
        <f t="shared" si="237"/>
        <v>#VALUE!</v>
      </c>
    </row>
    <row r="2481" spans="55:66" x14ac:dyDescent="0.2">
      <c r="BC2481" s="21" t="e" vm="1">
        <v>#REF!</v>
      </c>
      <c r="BD2481" t="e" vm="1">
        <v>#REF!</v>
      </c>
      <c r="BF2481" t="e" vm="2">
        <f t="shared" si="234"/>
        <v>#VALUE!</v>
      </c>
      <c r="BG2481" t="e" vm="2">
        <f t="shared" si="235"/>
        <v>#VALUE!</v>
      </c>
      <c r="BJ2481" s="21" t="e" vm="1">
        <v>#REF!</v>
      </c>
      <c r="BK2481" t="e" vm="1">
        <v>#REF!</v>
      </c>
      <c r="BM2481" t="e" vm="2">
        <f t="shared" si="236"/>
        <v>#VALUE!</v>
      </c>
      <c r="BN2481" t="e" vm="2">
        <f t="shared" si="237"/>
        <v>#VALUE!</v>
      </c>
    </row>
    <row r="2482" spans="55:66" x14ac:dyDescent="0.2">
      <c r="BC2482" s="21" t="e" vm="1">
        <v>#REF!</v>
      </c>
      <c r="BD2482" t="e" vm="1">
        <v>#REF!</v>
      </c>
      <c r="BF2482" t="e" vm="2">
        <f t="shared" si="234"/>
        <v>#VALUE!</v>
      </c>
      <c r="BG2482" t="e" vm="2">
        <f t="shared" si="235"/>
        <v>#VALUE!</v>
      </c>
      <c r="BJ2482" s="21" t="e" vm="1">
        <v>#REF!</v>
      </c>
      <c r="BK2482" t="e" vm="1">
        <v>#REF!</v>
      </c>
      <c r="BM2482" t="e" vm="2">
        <f t="shared" si="236"/>
        <v>#VALUE!</v>
      </c>
      <c r="BN2482" t="e" vm="2">
        <f t="shared" si="237"/>
        <v>#VALUE!</v>
      </c>
    </row>
    <row r="2483" spans="55:66" x14ac:dyDescent="0.2">
      <c r="BC2483" s="21" t="e" vm="1">
        <v>#REF!</v>
      </c>
      <c r="BD2483" t="e" vm="1">
        <v>#REF!</v>
      </c>
      <c r="BF2483" t="e" vm="2">
        <f t="shared" si="234"/>
        <v>#VALUE!</v>
      </c>
      <c r="BG2483" t="e" vm="2">
        <f t="shared" si="235"/>
        <v>#VALUE!</v>
      </c>
      <c r="BJ2483" s="21" t="e" vm="1">
        <v>#REF!</v>
      </c>
      <c r="BK2483" t="e" vm="1">
        <v>#REF!</v>
      </c>
      <c r="BM2483" t="e" vm="2">
        <f t="shared" si="236"/>
        <v>#VALUE!</v>
      </c>
      <c r="BN2483" t="e" vm="2">
        <f t="shared" si="237"/>
        <v>#VALUE!</v>
      </c>
    </row>
    <row r="2484" spans="55:66" x14ac:dyDescent="0.2">
      <c r="BC2484" s="21" t="e" vm="1">
        <v>#REF!</v>
      </c>
      <c r="BD2484" t="e" vm="1">
        <v>#REF!</v>
      </c>
      <c r="BF2484" t="e" vm="2">
        <f t="shared" si="234"/>
        <v>#VALUE!</v>
      </c>
      <c r="BG2484" t="e" vm="2">
        <f t="shared" si="235"/>
        <v>#VALUE!</v>
      </c>
      <c r="BJ2484" s="21" t="e" vm="1">
        <v>#REF!</v>
      </c>
      <c r="BK2484" t="e" vm="1">
        <v>#REF!</v>
      </c>
      <c r="BM2484" t="e" vm="2">
        <f t="shared" si="236"/>
        <v>#VALUE!</v>
      </c>
      <c r="BN2484" t="e" vm="2">
        <f t="shared" si="237"/>
        <v>#VALUE!</v>
      </c>
    </row>
    <row r="2485" spans="55:66" x14ac:dyDescent="0.2">
      <c r="BC2485" s="21" t="e" vm="1">
        <v>#REF!</v>
      </c>
      <c r="BD2485" t="e" vm="1">
        <v>#REF!</v>
      </c>
      <c r="BF2485" t="e" vm="2">
        <f t="shared" si="234"/>
        <v>#VALUE!</v>
      </c>
      <c r="BG2485" t="e" vm="2">
        <f t="shared" si="235"/>
        <v>#VALUE!</v>
      </c>
      <c r="BJ2485" s="21" t="e" vm="1">
        <v>#REF!</v>
      </c>
      <c r="BK2485" t="e" vm="1">
        <v>#REF!</v>
      </c>
      <c r="BM2485" t="e" vm="2">
        <f t="shared" si="236"/>
        <v>#VALUE!</v>
      </c>
      <c r="BN2485" t="e" vm="2">
        <f t="shared" si="237"/>
        <v>#VALUE!</v>
      </c>
    </row>
    <row r="2486" spans="55:66" x14ac:dyDescent="0.2">
      <c r="BC2486" s="21" t="e" vm="1">
        <v>#REF!</v>
      </c>
      <c r="BD2486" t="e" vm="1">
        <v>#REF!</v>
      </c>
      <c r="BF2486" t="e" vm="2">
        <f t="shared" si="234"/>
        <v>#VALUE!</v>
      </c>
      <c r="BG2486" t="e" vm="2">
        <f t="shared" si="235"/>
        <v>#VALUE!</v>
      </c>
      <c r="BJ2486" s="21" t="e" vm="1">
        <v>#REF!</v>
      </c>
      <c r="BK2486" t="e" vm="1">
        <v>#REF!</v>
      </c>
      <c r="BM2486" t="e" vm="2">
        <f t="shared" si="236"/>
        <v>#VALUE!</v>
      </c>
      <c r="BN2486" t="e" vm="2">
        <f t="shared" si="237"/>
        <v>#VALUE!</v>
      </c>
    </row>
    <row r="2487" spans="55:66" x14ac:dyDescent="0.2">
      <c r="BC2487" s="21" t="e" vm="1">
        <v>#REF!</v>
      </c>
      <c r="BD2487" t="e" vm="1">
        <v>#REF!</v>
      </c>
      <c r="BF2487" t="e" vm="2">
        <f t="shared" si="234"/>
        <v>#VALUE!</v>
      </c>
      <c r="BG2487" t="e" vm="2">
        <f t="shared" si="235"/>
        <v>#VALUE!</v>
      </c>
      <c r="BJ2487" s="21" t="e" vm="1">
        <v>#REF!</v>
      </c>
      <c r="BK2487" t="e" vm="1">
        <v>#REF!</v>
      </c>
      <c r="BM2487" t="e" vm="2">
        <f t="shared" si="236"/>
        <v>#VALUE!</v>
      </c>
      <c r="BN2487" t="e" vm="2">
        <f t="shared" si="237"/>
        <v>#VALUE!</v>
      </c>
    </row>
    <row r="2488" spans="55:66" x14ac:dyDescent="0.2">
      <c r="BC2488" s="21" t="e" vm="1">
        <v>#REF!</v>
      </c>
      <c r="BD2488" t="e" vm="1">
        <v>#REF!</v>
      </c>
      <c r="BF2488" t="e" vm="2">
        <f t="shared" si="234"/>
        <v>#VALUE!</v>
      </c>
      <c r="BG2488" t="e" vm="2">
        <f t="shared" si="235"/>
        <v>#VALUE!</v>
      </c>
      <c r="BJ2488" s="21" t="e" vm="1">
        <v>#REF!</v>
      </c>
      <c r="BK2488" t="e" vm="1">
        <v>#REF!</v>
      </c>
      <c r="BM2488" t="e" vm="2">
        <f t="shared" si="236"/>
        <v>#VALUE!</v>
      </c>
      <c r="BN2488" t="e" vm="2">
        <f t="shared" si="237"/>
        <v>#VALUE!</v>
      </c>
    </row>
    <row r="2489" spans="55:66" x14ac:dyDescent="0.2">
      <c r="BC2489" s="21" t="e" vm="1">
        <v>#REF!</v>
      </c>
      <c r="BD2489" t="e" vm="1">
        <v>#REF!</v>
      </c>
      <c r="BF2489" t="e" vm="2">
        <f t="shared" si="234"/>
        <v>#VALUE!</v>
      </c>
      <c r="BG2489" t="e" vm="2">
        <f t="shared" si="235"/>
        <v>#VALUE!</v>
      </c>
      <c r="BJ2489" s="21" t="e" vm="1">
        <v>#REF!</v>
      </c>
      <c r="BK2489" t="e" vm="1">
        <v>#REF!</v>
      </c>
      <c r="BM2489" t="e" vm="2">
        <f t="shared" si="236"/>
        <v>#VALUE!</v>
      </c>
      <c r="BN2489" t="e" vm="2">
        <f t="shared" si="237"/>
        <v>#VALUE!</v>
      </c>
    </row>
    <row r="2490" spans="55:66" x14ac:dyDescent="0.2">
      <c r="BC2490" s="21" t="e" vm="1">
        <v>#REF!</v>
      </c>
      <c r="BD2490" t="e" vm="1">
        <v>#REF!</v>
      </c>
      <c r="BF2490" t="e" vm="2">
        <f t="shared" si="234"/>
        <v>#VALUE!</v>
      </c>
      <c r="BG2490" t="e" vm="2">
        <f t="shared" si="235"/>
        <v>#VALUE!</v>
      </c>
      <c r="BJ2490" s="21" t="e" vm="1">
        <v>#REF!</v>
      </c>
      <c r="BK2490" t="e" vm="1">
        <v>#REF!</v>
      </c>
      <c r="BM2490" t="e" vm="2">
        <f t="shared" si="236"/>
        <v>#VALUE!</v>
      </c>
      <c r="BN2490" t="e" vm="2">
        <f t="shared" si="237"/>
        <v>#VALUE!</v>
      </c>
    </row>
    <row r="2491" spans="55:66" x14ac:dyDescent="0.2">
      <c r="BC2491" s="21" t="e" vm="1">
        <v>#REF!</v>
      </c>
      <c r="BD2491" t="e" vm="1">
        <v>#REF!</v>
      </c>
      <c r="BF2491" t="e" vm="2">
        <f t="shared" si="234"/>
        <v>#VALUE!</v>
      </c>
      <c r="BG2491" t="e" vm="2">
        <f t="shared" si="235"/>
        <v>#VALUE!</v>
      </c>
      <c r="BJ2491" s="21" t="e" vm="1">
        <v>#REF!</v>
      </c>
      <c r="BK2491" t="e" vm="1">
        <v>#REF!</v>
      </c>
      <c r="BM2491" t="e" vm="2">
        <f t="shared" si="236"/>
        <v>#VALUE!</v>
      </c>
      <c r="BN2491" t="e" vm="2">
        <f t="shared" si="237"/>
        <v>#VALUE!</v>
      </c>
    </row>
    <row r="2492" spans="55:66" x14ac:dyDescent="0.2">
      <c r="BC2492" s="21" t="e" vm="1">
        <v>#REF!</v>
      </c>
      <c r="BD2492" t="e" vm="1">
        <v>#REF!</v>
      </c>
      <c r="BF2492" t="e" vm="2">
        <f t="shared" si="234"/>
        <v>#VALUE!</v>
      </c>
      <c r="BG2492" t="e" vm="2">
        <f t="shared" si="235"/>
        <v>#VALUE!</v>
      </c>
      <c r="BJ2492" s="21" t="e" vm="1">
        <v>#REF!</v>
      </c>
      <c r="BK2492" t="e" vm="1">
        <v>#REF!</v>
      </c>
      <c r="BM2492" t="e" vm="2">
        <f t="shared" si="236"/>
        <v>#VALUE!</v>
      </c>
      <c r="BN2492" t="e" vm="2">
        <f t="shared" si="237"/>
        <v>#VALUE!</v>
      </c>
    </row>
    <row r="2493" spans="55:66" x14ac:dyDescent="0.2">
      <c r="BC2493" s="21" t="e" vm="1">
        <v>#REF!</v>
      </c>
      <c r="BD2493" t="e" vm="1">
        <v>#REF!</v>
      </c>
      <c r="BF2493" t="e" vm="2">
        <f t="shared" si="234"/>
        <v>#VALUE!</v>
      </c>
      <c r="BG2493" t="e" vm="2">
        <f t="shared" si="235"/>
        <v>#VALUE!</v>
      </c>
      <c r="BJ2493" s="21" t="e" vm="1">
        <v>#REF!</v>
      </c>
      <c r="BK2493" t="e" vm="1">
        <v>#REF!</v>
      </c>
      <c r="BM2493" t="e" vm="2">
        <f t="shared" si="236"/>
        <v>#VALUE!</v>
      </c>
      <c r="BN2493" t="e" vm="2">
        <f t="shared" si="237"/>
        <v>#VALUE!</v>
      </c>
    </row>
    <row r="2494" spans="55:66" x14ac:dyDescent="0.2">
      <c r="BC2494" s="21" t="e" vm="1">
        <v>#REF!</v>
      </c>
      <c r="BD2494" t="e" vm="1">
        <v>#REF!</v>
      </c>
      <c r="BF2494" t="e" vm="2">
        <f t="shared" si="234"/>
        <v>#VALUE!</v>
      </c>
      <c r="BG2494" t="e" vm="2">
        <f t="shared" si="235"/>
        <v>#VALUE!</v>
      </c>
      <c r="BJ2494" s="21" t="e" vm="1">
        <v>#REF!</v>
      </c>
      <c r="BK2494" t="e" vm="1">
        <v>#REF!</v>
      </c>
      <c r="BM2494" t="e" vm="2">
        <f t="shared" si="236"/>
        <v>#VALUE!</v>
      </c>
      <c r="BN2494" t="e" vm="2">
        <f t="shared" si="237"/>
        <v>#VALUE!</v>
      </c>
    </row>
    <row r="2495" spans="55:66" x14ac:dyDescent="0.2">
      <c r="BC2495" s="21" t="e" vm="1">
        <v>#REF!</v>
      </c>
      <c r="BD2495" t="e" vm="1">
        <v>#REF!</v>
      </c>
      <c r="BF2495" t="e" vm="2">
        <f t="shared" si="234"/>
        <v>#VALUE!</v>
      </c>
      <c r="BG2495" t="e" vm="2">
        <f t="shared" si="235"/>
        <v>#VALUE!</v>
      </c>
      <c r="BJ2495" s="21" t="e" vm="1">
        <v>#REF!</v>
      </c>
      <c r="BK2495" t="e" vm="1">
        <v>#REF!</v>
      </c>
      <c r="BM2495" t="e" vm="2">
        <f t="shared" si="236"/>
        <v>#VALUE!</v>
      </c>
      <c r="BN2495" t="e" vm="2">
        <f t="shared" si="237"/>
        <v>#VALUE!</v>
      </c>
    </row>
    <row r="2496" spans="55:66" x14ac:dyDescent="0.2">
      <c r="BC2496" s="21" t="e" vm="1">
        <v>#REF!</v>
      </c>
      <c r="BD2496" t="e" vm="1">
        <v>#REF!</v>
      </c>
      <c r="BF2496" t="e" vm="2">
        <f t="shared" si="234"/>
        <v>#VALUE!</v>
      </c>
      <c r="BG2496" t="e" vm="2">
        <f t="shared" si="235"/>
        <v>#VALUE!</v>
      </c>
      <c r="BJ2496" s="21" t="e" vm="1">
        <v>#REF!</v>
      </c>
      <c r="BK2496" t="e" vm="1">
        <v>#REF!</v>
      </c>
      <c r="BM2496" t="e" vm="2">
        <f t="shared" si="236"/>
        <v>#VALUE!</v>
      </c>
      <c r="BN2496" t="e" vm="2">
        <f t="shared" si="237"/>
        <v>#VALUE!</v>
      </c>
    </row>
    <row r="2497" spans="55:66" x14ac:dyDescent="0.2">
      <c r="BC2497" s="21" t="e" vm="1">
        <v>#REF!</v>
      </c>
      <c r="BD2497" t="e" vm="1">
        <v>#REF!</v>
      </c>
      <c r="BF2497" t="e" vm="2">
        <f t="shared" si="234"/>
        <v>#VALUE!</v>
      </c>
      <c r="BG2497" t="e" vm="2">
        <f t="shared" si="235"/>
        <v>#VALUE!</v>
      </c>
      <c r="BJ2497" s="21" t="e" vm="1">
        <v>#REF!</v>
      </c>
      <c r="BK2497" t="e" vm="1">
        <v>#REF!</v>
      </c>
      <c r="BM2497" t="e" vm="2">
        <f t="shared" si="236"/>
        <v>#VALUE!</v>
      </c>
      <c r="BN2497" t="e" vm="2">
        <f t="shared" si="237"/>
        <v>#VALUE!</v>
      </c>
    </row>
    <row r="2498" spans="55:66" x14ac:dyDescent="0.2">
      <c r="BC2498" s="21" t="e" vm="1">
        <v>#REF!</v>
      </c>
      <c r="BD2498" t="e" vm="1">
        <v>#REF!</v>
      </c>
      <c r="BF2498" t="e" vm="2">
        <f t="shared" si="234"/>
        <v>#VALUE!</v>
      </c>
      <c r="BG2498" t="e" vm="2">
        <f t="shared" si="235"/>
        <v>#VALUE!</v>
      </c>
      <c r="BJ2498" s="21" t="e" vm="1">
        <v>#REF!</v>
      </c>
      <c r="BK2498" t="e" vm="1">
        <v>#REF!</v>
      </c>
      <c r="BM2498" t="e" vm="2">
        <f t="shared" si="236"/>
        <v>#VALUE!</v>
      </c>
      <c r="BN2498" t="e" vm="2">
        <f t="shared" si="237"/>
        <v>#VALUE!</v>
      </c>
    </row>
    <row r="2499" spans="55:66" x14ac:dyDescent="0.2">
      <c r="BC2499" s="21" t="e" vm="1">
        <v>#REF!</v>
      </c>
      <c r="BD2499" t="e" vm="1">
        <v>#REF!</v>
      </c>
      <c r="BF2499" t="e" vm="2">
        <f t="shared" ref="BF2499:BF2562" si="238">MONTH(BC2499)</f>
        <v>#VALUE!</v>
      </c>
      <c r="BG2499" t="e" vm="2">
        <f t="shared" ref="BG2499:BG2562" si="239">YEAR(BC2499)</f>
        <v>#VALUE!</v>
      </c>
      <c r="BJ2499" s="21" t="e" vm="1">
        <v>#REF!</v>
      </c>
      <c r="BK2499" t="e" vm="1">
        <v>#REF!</v>
      </c>
      <c r="BM2499" t="e" vm="2">
        <f t="shared" si="236"/>
        <v>#VALUE!</v>
      </c>
      <c r="BN2499" t="e" vm="2">
        <f t="shared" si="237"/>
        <v>#VALUE!</v>
      </c>
    </row>
    <row r="2500" spans="55:66" x14ac:dyDescent="0.2">
      <c r="BC2500" s="21" t="e" vm="1">
        <v>#REF!</v>
      </c>
      <c r="BD2500" t="e" vm="1">
        <v>#REF!</v>
      </c>
      <c r="BF2500" t="e" vm="2">
        <f t="shared" si="238"/>
        <v>#VALUE!</v>
      </c>
      <c r="BG2500" t="e" vm="2">
        <f t="shared" si="239"/>
        <v>#VALUE!</v>
      </c>
      <c r="BJ2500" s="21" t="e" vm="1">
        <v>#REF!</v>
      </c>
      <c r="BK2500" t="e" vm="1">
        <v>#REF!</v>
      </c>
      <c r="BM2500" t="e" vm="2">
        <f t="shared" ref="BM2500:BM2563" si="240">MONTH(BJ2500)</f>
        <v>#VALUE!</v>
      </c>
      <c r="BN2500" t="e" vm="2">
        <f t="shared" ref="BN2500:BN2563" si="241">YEAR(BJ2500)</f>
        <v>#VALUE!</v>
      </c>
    </row>
    <row r="2501" spans="55:66" x14ac:dyDescent="0.2">
      <c r="BC2501" s="21" t="e" vm="1">
        <v>#REF!</v>
      </c>
      <c r="BD2501" t="e" vm="1">
        <v>#REF!</v>
      </c>
      <c r="BF2501" t="e" vm="2">
        <f t="shared" si="238"/>
        <v>#VALUE!</v>
      </c>
      <c r="BG2501" t="e" vm="2">
        <f t="shared" si="239"/>
        <v>#VALUE!</v>
      </c>
      <c r="BJ2501" s="21" t="e" vm="1">
        <v>#REF!</v>
      </c>
      <c r="BK2501" t="e" vm="1">
        <v>#REF!</v>
      </c>
      <c r="BM2501" t="e" vm="2">
        <f t="shared" si="240"/>
        <v>#VALUE!</v>
      </c>
      <c r="BN2501" t="e" vm="2">
        <f t="shared" si="241"/>
        <v>#VALUE!</v>
      </c>
    </row>
    <row r="2502" spans="55:66" x14ac:dyDescent="0.2">
      <c r="BC2502" s="21" t="e" vm="1">
        <v>#REF!</v>
      </c>
      <c r="BD2502" t="e" vm="1">
        <v>#REF!</v>
      </c>
      <c r="BF2502" t="e" vm="2">
        <f t="shared" si="238"/>
        <v>#VALUE!</v>
      </c>
      <c r="BG2502" t="e" vm="2">
        <f t="shared" si="239"/>
        <v>#VALUE!</v>
      </c>
      <c r="BJ2502" s="21" t="e" vm="1">
        <v>#REF!</v>
      </c>
      <c r="BK2502" t="e" vm="1">
        <v>#REF!</v>
      </c>
      <c r="BM2502" t="e" vm="2">
        <f t="shared" si="240"/>
        <v>#VALUE!</v>
      </c>
      <c r="BN2502" t="e" vm="2">
        <f t="shared" si="241"/>
        <v>#VALUE!</v>
      </c>
    </row>
    <row r="2503" spans="55:66" x14ac:dyDescent="0.2">
      <c r="BC2503" s="21" t="e" vm="1">
        <v>#REF!</v>
      </c>
      <c r="BD2503" t="e" vm="1">
        <v>#REF!</v>
      </c>
      <c r="BF2503" t="e" vm="2">
        <f t="shared" si="238"/>
        <v>#VALUE!</v>
      </c>
      <c r="BG2503" t="e" vm="2">
        <f t="shared" si="239"/>
        <v>#VALUE!</v>
      </c>
      <c r="BJ2503" s="21" t="e" vm="1">
        <v>#REF!</v>
      </c>
      <c r="BK2503" t="e" vm="1">
        <v>#REF!</v>
      </c>
      <c r="BM2503" t="e" vm="2">
        <f t="shared" si="240"/>
        <v>#VALUE!</v>
      </c>
      <c r="BN2503" t="e" vm="2">
        <f t="shared" si="241"/>
        <v>#VALUE!</v>
      </c>
    </row>
    <row r="2504" spans="55:66" x14ac:dyDescent="0.2">
      <c r="BC2504" s="21" t="e" vm="1">
        <v>#REF!</v>
      </c>
      <c r="BD2504" t="e" vm="1">
        <v>#REF!</v>
      </c>
      <c r="BF2504" t="e" vm="2">
        <f t="shared" si="238"/>
        <v>#VALUE!</v>
      </c>
      <c r="BG2504" t="e" vm="2">
        <f t="shared" si="239"/>
        <v>#VALUE!</v>
      </c>
      <c r="BJ2504" s="21" t="e" vm="1">
        <v>#REF!</v>
      </c>
      <c r="BK2504" t="e" vm="1">
        <v>#REF!</v>
      </c>
      <c r="BM2504" t="e" vm="2">
        <f t="shared" si="240"/>
        <v>#VALUE!</v>
      </c>
      <c r="BN2504" t="e" vm="2">
        <f t="shared" si="241"/>
        <v>#VALUE!</v>
      </c>
    </row>
    <row r="2505" spans="55:66" x14ac:dyDescent="0.2">
      <c r="BC2505" s="21" t="e" vm="1">
        <v>#REF!</v>
      </c>
      <c r="BD2505" t="e" vm="1">
        <v>#REF!</v>
      </c>
      <c r="BF2505" t="e" vm="2">
        <f t="shared" si="238"/>
        <v>#VALUE!</v>
      </c>
      <c r="BG2505" t="e" vm="2">
        <f t="shared" si="239"/>
        <v>#VALUE!</v>
      </c>
      <c r="BJ2505" s="21" t="e" vm="1">
        <v>#REF!</v>
      </c>
      <c r="BK2505" t="e" vm="1">
        <v>#REF!</v>
      </c>
      <c r="BM2505" t="e" vm="2">
        <f t="shared" si="240"/>
        <v>#VALUE!</v>
      </c>
      <c r="BN2505" t="e" vm="2">
        <f t="shared" si="241"/>
        <v>#VALUE!</v>
      </c>
    </row>
    <row r="2506" spans="55:66" x14ac:dyDescent="0.2">
      <c r="BC2506" s="21" t="e" vm="1">
        <v>#REF!</v>
      </c>
      <c r="BD2506" t="e" vm="1">
        <v>#REF!</v>
      </c>
      <c r="BF2506" t="e" vm="2">
        <f t="shared" si="238"/>
        <v>#VALUE!</v>
      </c>
      <c r="BG2506" t="e" vm="2">
        <f t="shared" si="239"/>
        <v>#VALUE!</v>
      </c>
      <c r="BJ2506" s="21" t="e" vm="1">
        <v>#REF!</v>
      </c>
      <c r="BK2506" t="e" vm="1">
        <v>#REF!</v>
      </c>
      <c r="BM2506" t="e" vm="2">
        <f t="shared" si="240"/>
        <v>#VALUE!</v>
      </c>
      <c r="BN2506" t="e" vm="2">
        <f t="shared" si="241"/>
        <v>#VALUE!</v>
      </c>
    </row>
    <row r="2507" spans="55:66" x14ac:dyDescent="0.2">
      <c r="BC2507" s="21" t="e" vm="1">
        <v>#REF!</v>
      </c>
      <c r="BD2507" t="e" vm="1">
        <v>#REF!</v>
      </c>
      <c r="BF2507" t="e" vm="2">
        <f t="shared" si="238"/>
        <v>#VALUE!</v>
      </c>
      <c r="BG2507" t="e" vm="2">
        <f t="shared" si="239"/>
        <v>#VALUE!</v>
      </c>
      <c r="BJ2507" s="21" t="e" vm="1">
        <v>#REF!</v>
      </c>
      <c r="BK2507" t="e" vm="1">
        <v>#REF!</v>
      </c>
      <c r="BM2507" t="e" vm="2">
        <f t="shared" si="240"/>
        <v>#VALUE!</v>
      </c>
      <c r="BN2507" t="e" vm="2">
        <f t="shared" si="241"/>
        <v>#VALUE!</v>
      </c>
    </row>
    <row r="2508" spans="55:66" x14ac:dyDescent="0.2">
      <c r="BC2508" s="21" t="e" vm="1">
        <v>#REF!</v>
      </c>
      <c r="BD2508" t="e" vm="1">
        <v>#REF!</v>
      </c>
      <c r="BF2508" t="e" vm="2">
        <f t="shared" si="238"/>
        <v>#VALUE!</v>
      </c>
      <c r="BG2508" t="e" vm="2">
        <f t="shared" si="239"/>
        <v>#VALUE!</v>
      </c>
      <c r="BJ2508" s="21" t="e" vm="1">
        <v>#REF!</v>
      </c>
      <c r="BK2508" t="e" vm="1">
        <v>#REF!</v>
      </c>
      <c r="BM2508" t="e" vm="2">
        <f t="shared" si="240"/>
        <v>#VALUE!</v>
      </c>
      <c r="BN2508" t="e" vm="2">
        <f t="shared" si="241"/>
        <v>#VALUE!</v>
      </c>
    </row>
    <row r="2509" spans="55:66" x14ac:dyDescent="0.2">
      <c r="BC2509" s="21" t="e" vm="1">
        <v>#REF!</v>
      </c>
      <c r="BD2509" t="e" vm="1">
        <v>#REF!</v>
      </c>
      <c r="BF2509" t="e" vm="2">
        <f t="shared" si="238"/>
        <v>#VALUE!</v>
      </c>
      <c r="BG2509" t="e" vm="2">
        <f t="shared" si="239"/>
        <v>#VALUE!</v>
      </c>
      <c r="BJ2509" s="21" t="e" vm="1">
        <v>#REF!</v>
      </c>
      <c r="BK2509" t="e" vm="1">
        <v>#REF!</v>
      </c>
      <c r="BM2509" t="e" vm="2">
        <f t="shared" si="240"/>
        <v>#VALUE!</v>
      </c>
      <c r="BN2509" t="e" vm="2">
        <f t="shared" si="241"/>
        <v>#VALUE!</v>
      </c>
    </row>
    <row r="2510" spans="55:66" x14ac:dyDescent="0.2">
      <c r="BC2510" s="21" t="e" vm="1">
        <v>#REF!</v>
      </c>
      <c r="BD2510" t="e" vm="1">
        <v>#REF!</v>
      </c>
      <c r="BF2510" t="e" vm="2">
        <f t="shared" si="238"/>
        <v>#VALUE!</v>
      </c>
      <c r="BG2510" t="e" vm="2">
        <f t="shared" si="239"/>
        <v>#VALUE!</v>
      </c>
      <c r="BJ2510" s="21" t="e" vm="1">
        <v>#REF!</v>
      </c>
      <c r="BK2510" t="e" vm="1">
        <v>#REF!</v>
      </c>
      <c r="BM2510" t="e" vm="2">
        <f t="shared" si="240"/>
        <v>#VALUE!</v>
      </c>
      <c r="BN2510" t="e" vm="2">
        <f t="shared" si="241"/>
        <v>#VALUE!</v>
      </c>
    </row>
    <row r="2511" spans="55:66" x14ac:dyDescent="0.2">
      <c r="BC2511" s="21" t="e" vm="1">
        <v>#REF!</v>
      </c>
      <c r="BD2511" t="e" vm="1">
        <v>#REF!</v>
      </c>
      <c r="BF2511" t="e" vm="2">
        <f t="shared" si="238"/>
        <v>#VALUE!</v>
      </c>
      <c r="BG2511" t="e" vm="2">
        <f t="shared" si="239"/>
        <v>#VALUE!</v>
      </c>
      <c r="BJ2511" s="21" t="e" vm="1">
        <v>#REF!</v>
      </c>
      <c r="BK2511" t="e" vm="1">
        <v>#REF!</v>
      </c>
      <c r="BM2511" t="e" vm="2">
        <f t="shared" si="240"/>
        <v>#VALUE!</v>
      </c>
      <c r="BN2511" t="e" vm="2">
        <f t="shared" si="241"/>
        <v>#VALUE!</v>
      </c>
    </row>
    <row r="2512" spans="55:66" x14ac:dyDescent="0.2">
      <c r="BC2512" s="21" t="e" vm="1">
        <v>#REF!</v>
      </c>
      <c r="BD2512" t="e" vm="1">
        <v>#REF!</v>
      </c>
      <c r="BF2512" t="e" vm="2">
        <f t="shared" si="238"/>
        <v>#VALUE!</v>
      </c>
      <c r="BG2512" t="e" vm="2">
        <f t="shared" si="239"/>
        <v>#VALUE!</v>
      </c>
      <c r="BJ2512" s="21" t="e" vm="1">
        <v>#REF!</v>
      </c>
      <c r="BK2512" t="e" vm="1">
        <v>#REF!</v>
      </c>
      <c r="BM2512" t="e" vm="2">
        <f t="shared" si="240"/>
        <v>#VALUE!</v>
      </c>
      <c r="BN2512" t="e" vm="2">
        <f t="shared" si="241"/>
        <v>#VALUE!</v>
      </c>
    </row>
    <row r="2513" spans="55:66" x14ac:dyDescent="0.2">
      <c r="BC2513" s="21" t="e" vm="1">
        <v>#REF!</v>
      </c>
      <c r="BD2513" t="e" vm="1">
        <v>#REF!</v>
      </c>
      <c r="BF2513" t="e" vm="2">
        <f t="shared" si="238"/>
        <v>#VALUE!</v>
      </c>
      <c r="BG2513" t="e" vm="2">
        <f t="shared" si="239"/>
        <v>#VALUE!</v>
      </c>
      <c r="BJ2513" s="21" t="e" vm="1">
        <v>#REF!</v>
      </c>
      <c r="BK2513" t="e" vm="1">
        <v>#REF!</v>
      </c>
      <c r="BM2513" t="e" vm="2">
        <f t="shared" si="240"/>
        <v>#VALUE!</v>
      </c>
      <c r="BN2513" t="e" vm="2">
        <f t="shared" si="241"/>
        <v>#VALUE!</v>
      </c>
    </row>
    <row r="2514" spans="55:66" x14ac:dyDescent="0.2">
      <c r="BC2514" s="21" t="e" vm="1">
        <v>#REF!</v>
      </c>
      <c r="BD2514" t="e" vm="1">
        <v>#REF!</v>
      </c>
      <c r="BF2514" t="e" vm="2">
        <f t="shared" si="238"/>
        <v>#VALUE!</v>
      </c>
      <c r="BG2514" t="e" vm="2">
        <f t="shared" si="239"/>
        <v>#VALUE!</v>
      </c>
      <c r="BJ2514" s="21" t="e" vm="1">
        <v>#REF!</v>
      </c>
      <c r="BK2514" t="e" vm="1">
        <v>#REF!</v>
      </c>
      <c r="BM2514" t="e" vm="2">
        <f t="shared" si="240"/>
        <v>#VALUE!</v>
      </c>
      <c r="BN2514" t="e" vm="2">
        <f t="shared" si="241"/>
        <v>#VALUE!</v>
      </c>
    </row>
    <row r="2515" spans="55:66" x14ac:dyDescent="0.2">
      <c r="BC2515" s="21" t="e" vm="1">
        <v>#REF!</v>
      </c>
      <c r="BD2515" t="e" vm="1">
        <v>#REF!</v>
      </c>
      <c r="BF2515" t="e" vm="2">
        <f t="shared" si="238"/>
        <v>#VALUE!</v>
      </c>
      <c r="BG2515" t="e" vm="2">
        <f t="shared" si="239"/>
        <v>#VALUE!</v>
      </c>
      <c r="BJ2515" s="21" t="e" vm="1">
        <v>#REF!</v>
      </c>
      <c r="BK2515" t="e" vm="1">
        <v>#REF!</v>
      </c>
      <c r="BM2515" t="e" vm="2">
        <f t="shared" si="240"/>
        <v>#VALUE!</v>
      </c>
      <c r="BN2515" t="e" vm="2">
        <f t="shared" si="241"/>
        <v>#VALUE!</v>
      </c>
    </row>
    <row r="2516" spans="55:66" x14ac:dyDescent="0.2">
      <c r="BC2516" s="21" t="e" vm="1">
        <v>#REF!</v>
      </c>
      <c r="BD2516" t="e" vm="1">
        <v>#REF!</v>
      </c>
      <c r="BF2516" t="e" vm="2">
        <f t="shared" si="238"/>
        <v>#VALUE!</v>
      </c>
      <c r="BG2516" t="e" vm="2">
        <f t="shared" si="239"/>
        <v>#VALUE!</v>
      </c>
      <c r="BJ2516" s="21" t="e" vm="1">
        <v>#REF!</v>
      </c>
      <c r="BK2516" t="e" vm="1">
        <v>#REF!</v>
      </c>
      <c r="BM2516" t="e" vm="2">
        <f t="shared" si="240"/>
        <v>#VALUE!</v>
      </c>
      <c r="BN2516" t="e" vm="2">
        <f t="shared" si="241"/>
        <v>#VALUE!</v>
      </c>
    </row>
    <row r="2517" spans="55:66" x14ac:dyDescent="0.2">
      <c r="BC2517" s="21" t="e" vm="1">
        <v>#REF!</v>
      </c>
      <c r="BD2517" t="e" vm="1">
        <v>#REF!</v>
      </c>
      <c r="BF2517" t="e" vm="2">
        <f t="shared" si="238"/>
        <v>#VALUE!</v>
      </c>
      <c r="BG2517" t="e" vm="2">
        <f t="shared" si="239"/>
        <v>#VALUE!</v>
      </c>
      <c r="BJ2517" s="21" t="e" vm="1">
        <v>#REF!</v>
      </c>
      <c r="BK2517" t="e" vm="1">
        <v>#REF!</v>
      </c>
      <c r="BM2517" t="e" vm="2">
        <f t="shared" si="240"/>
        <v>#VALUE!</v>
      </c>
      <c r="BN2517" t="e" vm="2">
        <f t="shared" si="241"/>
        <v>#VALUE!</v>
      </c>
    </row>
    <row r="2518" spans="55:66" x14ac:dyDescent="0.2">
      <c r="BC2518" s="21" t="e" vm="1">
        <v>#REF!</v>
      </c>
      <c r="BD2518" t="e" vm="1">
        <v>#REF!</v>
      </c>
      <c r="BF2518" t="e" vm="2">
        <f t="shared" si="238"/>
        <v>#VALUE!</v>
      </c>
      <c r="BG2518" t="e" vm="2">
        <f t="shared" si="239"/>
        <v>#VALUE!</v>
      </c>
      <c r="BJ2518" s="21" t="e" vm="1">
        <v>#REF!</v>
      </c>
      <c r="BK2518" t="e" vm="1">
        <v>#REF!</v>
      </c>
      <c r="BM2518" t="e" vm="2">
        <f t="shared" si="240"/>
        <v>#VALUE!</v>
      </c>
      <c r="BN2518" t="e" vm="2">
        <f t="shared" si="241"/>
        <v>#VALUE!</v>
      </c>
    </row>
    <row r="2519" spans="55:66" x14ac:dyDescent="0.2">
      <c r="BC2519" s="21" t="e" vm="1">
        <v>#REF!</v>
      </c>
      <c r="BD2519" t="e" vm="1">
        <v>#REF!</v>
      </c>
      <c r="BF2519" t="e" vm="2">
        <f t="shared" si="238"/>
        <v>#VALUE!</v>
      </c>
      <c r="BG2519" t="e" vm="2">
        <f t="shared" si="239"/>
        <v>#VALUE!</v>
      </c>
      <c r="BJ2519" s="21" t="e" vm="1">
        <v>#REF!</v>
      </c>
      <c r="BK2519" t="e" vm="1">
        <v>#REF!</v>
      </c>
      <c r="BM2519" t="e" vm="2">
        <f t="shared" si="240"/>
        <v>#VALUE!</v>
      </c>
      <c r="BN2519" t="e" vm="2">
        <f t="shared" si="241"/>
        <v>#VALUE!</v>
      </c>
    </row>
    <row r="2520" spans="55:66" x14ac:dyDescent="0.2">
      <c r="BC2520" s="21" t="e" vm="1">
        <v>#REF!</v>
      </c>
      <c r="BD2520" t="e" vm="1">
        <v>#REF!</v>
      </c>
      <c r="BF2520" t="e" vm="2">
        <f t="shared" si="238"/>
        <v>#VALUE!</v>
      </c>
      <c r="BG2520" t="e" vm="2">
        <f t="shared" si="239"/>
        <v>#VALUE!</v>
      </c>
      <c r="BJ2520" s="21" t="e" vm="1">
        <v>#REF!</v>
      </c>
      <c r="BK2520" t="e" vm="1">
        <v>#REF!</v>
      </c>
      <c r="BM2520" t="e" vm="2">
        <f t="shared" si="240"/>
        <v>#VALUE!</v>
      </c>
      <c r="BN2520" t="e" vm="2">
        <f t="shared" si="241"/>
        <v>#VALUE!</v>
      </c>
    </row>
    <row r="2521" spans="55:66" x14ac:dyDescent="0.2">
      <c r="BC2521" s="21" t="e" vm="1">
        <v>#REF!</v>
      </c>
      <c r="BD2521" t="e" vm="1">
        <v>#REF!</v>
      </c>
      <c r="BF2521" t="e" vm="2">
        <f t="shared" si="238"/>
        <v>#VALUE!</v>
      </c>
      <c r="BG2521" t="e" vm="2">
        <f t="shared" si="239"/>
        <v>#VALUE!</v>
      </c>
      <c r="BJ2521" s="21" t="e" vm="1">
        <v>#REF!</v>
      </c>
      <c r="BK2521" t="e" vm="1">
        <v>#REF!</v>
      </c>
      <c r="BM2521" t="e" vm="2">
        <f t="shared" si="240"/>
        <v>#VALUE!</v>
      </c>
      <c r="BN2521" t="e" vm="2">
        <f t="shared" si="241"/>
        <v>#VALUE!</v>
      </c>
    </row>
    <row r="2522" spans="55:66" x14ac:dyDescent="0.2">
      <c r="BC2522" s="21" t="e" vm="1">
        <v>#REF!</v>
      </c>
      <c r="BD2522" t="e" vm="1">
        <v>#REF!</v>
      </c>
      <c r="BF2522" t="e" vm="2">
        <f t="shared" si="238"/>
        <v>#VALUE!</v>
      </c>
      <c r="BG2522" t="e" vm="2">
        <f t="shared" si="239"/>
        <v>#VALUE!</v>
      </c>
      <c r="BJ2522" s="21" t="e" vm="1">
        <v>#REF!</v>
      </c>
      <c r="BK2522" t="e" vm="1">
        <v>#REF!</v>
      </c>
      <c r="BM2522" t="e" vm="2">
        <f t="shared" si="240"/>
        <v>#VALUE!</v>
      </c>
      <c r="BN2522" t="e" vm="2">
        <f t="shared" si="241"/>
        <v>#VALUE!</v>
      </c>
    </row>
    <row r="2523" spans="55:66" x14ac:dyDescent="0.2">
      <c r="BC2523" s="21" t="e" vm="1">
        <v>#REF!</v>
      </c>
      <c r="BD2523" t="e" vm="1">
        <v>#REF!</v>
      </c>
      <c r="BF2523" t="e" vm="2">
        <f t="shared" si="238"/>
        <v>#VALUE!</v>
      </c>
      <c r="BG2523" t="e" vm="2">
        <f t="shared" si="239"/>
        <v>#VALUE!</v>
      </c>
      <c r="BJ2523" s="21" t="e" vm="1">
        <v>#REF!</v>
      </c>
      <c r="BK2523" t="e" vm="1">
        <v>#REF!</v>
      </c>
      <c r="BM2523" t="e" vm="2">
        <f t="shared" si="240"/>
        <v>#VALUE!</v>
      </c>
      <c r="BN2523" t="e" vm="2">
        <f t="shared" si="241"/>
        <v>#VALUE!</v>
      </c>
    </row>
    <row r="2524" spans="55:66" x14ac:dyDescent="0.2">
      <c r="BC2524" s="21" t="e" vm="1">
        <v>#REF!</v>
      </c>
      <c r="BD2524" t="e" vm="1">
        <v>#REF!</v>
      </c>
      <c r="BF2524" t="e" vm="2">
        <f t="shared" si="238"/>
        <v>#VALUE!</v>
      </c>
      <c r="BG2524" t="e" vm="2">
        <f t="shared" si="239"/>
        <v>#VALUE!</v>
      </c>
      <c r="BJ2524" s="21" t="e" vm="1">
        <v>#REF!</v>
      </c>
      <c r="BK2524" t="e" vm="1">
        <v>#REF!</v>
      </c>
      <c r="BM2524" t="e" vm="2">
        <f t="shared" si="240"/>
        <v>#VALUE!</v>
      </c>
      <c r="BN2524" t="e" vm="2">
        <f t="shared" si="241"/>
        <v>#VALUE!</v>
      </c>
    </row>
    <row r="2525" spans="55:66" x14ac:dyDescent="0.2">
      <c r="BC2525" s="21" t="e" vm="1">
        <v>#REF!</v>
      </c>
      <c r="BD2525" t="e" vm="1">
        <v>#REF!</v>
      </c>
      <c r="BF2525" t="e" vm="2">
        <f t="shared" si="238"/>
        <v>#VALUE!</v>
      </c>
      <c r="BG2525" t="e" vm="2">
        <f t="shared" si="239"/>
        <v>#VALUE!</v>
      </c>
      <c r="BJ2525" s="21" t="e" vm="1">
        <v>#REF!</v>
      </c>
      <c r="BK2525" t="e" vm="1">
        <v>#REF!</v>
      </c>
      <c r="BM2525" t="e" vm="2">
        <f t="shared" si="240"/>
        <v>#VALUE!</v>
      </c>
      <c r="BN2525" t="e" vm="2">
        <f t="shared" si="241"/>
        <v>#VALUE!</v>
      </c>
    </row>
    <row r="2526" spans="55:66" x14ac:dyDescent="0.2">
      <c r="BC2526" s="21" t="e" vm="1">
        <v>#REF!</v>
      </c>
      <c r="BD2526" t="e" vm="1">
        <v>#REF!</v>
      </c>
      <c r="BF2526" t="e" vm="2">
        <f t="shared" si="238"/>
        <v>#VALUE!</v>
      </c>
      <c r="BG2526" t="e" vm="2">
        <f t="shared" si="239"/>
        <v>#VALUE!</v>
      </c>
      <c r="BJ2526" s="21" t="e" vm="1">
        <v>#REF!</v>
      </c>
      <c r="BK2526" t="e" vm="1">
        <v>#REF!</v>
      </c>
      <c r="BM2526" t="e" vm="2">
        <f t="shared" si="240"/>
        <v>#VALUE!</v>
      </c>
      <c r="BN2526" t="e" vm="2">
        <f t="shared" si="241"/>
        <v>#VALUE!</v>
      </c>
    </row>
    <row r="2527" spans="55:66" x14ac:dyDescent="0.2">
      <c r="BC2527" s="21" t="e" vm="1">
        <v>#REF!</v>
      </c>
      <c r="BD2527" t="e" vm="1">
        <v>#REF!</v>
      </c>
      <c r="BF2527" t="e" vm="2">
        <f t="shared" si="238"/>
        <v>#VALUE!</v>
      </c>
      <c r="BG2527" t="e" vm="2">
        <f t="shared" si="239"/>
        <v>#VALUE!</v>
      </c>
      <c r="BJ2527" s="21" t="e" vm="1">
        <v>#REF!</v>
      </c>
      <c r="BK2527" t="e" vm="1">
        <v>#REF!</v>
      </c>
      <c r="BM2527" t="e" vm="2">
        <f t="shared" si="240"/>
        <v>#VALUE!</v>
      </c>
      <c r="BN2527" t="e" vm="2">
        <f t="shared" si="241"/>
        <v>#VALUE!</v>
      </c>
    </row>
    <row r="2528" spans="55:66" x14ac:dyDescent="0.2">
      <c r="BC2528" s="21" t="e" vm="1">
        <v>#REF!</v>
      </c>
      <c r="BD2528" t="e" vm="1">
        <v>#REF!</v>
      </c>
      <c r="BF2528" t="e" vm="2">
        <f t="shared" si="238"/>
        <v>#VALUE!</v>
      </c>
      <c r="BG2528" t="e" vm="2">
        <f t="shared" si="239"/>
        <v>#VALUE!</v>
      </c>
      <c r="BJ2528" s="21" t="e" vm="1">
        <v>#REF!</v>
      </c>
      <c r="BK2528" t="e" vm="1">
        <v>#REF!</v>
      </c>
      <c r="BM2528" t="e" vm="2">
        <f t="shared" si="240"/>
        <v>#VALUE!</v>
      </c>
      <c r="BN2528" t="e" vm="2">
        <f t="shared" si="241"/>
        <v>#VALUE!</v>
      </c>
    </row>
    <row r="2529" spans="55:66" x14ac:dyDescent="0.2">
      <c r="BC2529" s="21" t="e" vm="1">
        <v>#REF!</v>
      </c>
      <c r="BD2529" t="e" vm="1">
        <v>#REF!</v>
      </c>
      <c r="BF2529" t="e" vm="2">
        <f t="shared" si="238"/>
        <v>#VALUE!</v>
      </c>
      <c r="BG2529" t="e" vm="2">
        <f t="shared" si="239"/>
        <v>#VALUE!</v>
      </c>
      <c r="BJ2529" s="21" t="e" vm="1">
        <v>#REF!</v>
      </c>
      <c r="BK2529" t="e" vm="1">
        <v>#REF!</v>
      </c>
      <c r="BM2529" t="e" vm="2">
        <f t="shared" si="240"/>
        <v>#VALUE!</v>
      </c>
      <c r="BN2529" t="e" vm="2">
        <f t="shared" si="241"/>
        <v>#VALUE!</v>
      </c>
    </row>
    <row r="2530" spans="55:66" x14ac:dyDescent="0.2">
      <c r="BC2530" s="21" t="e" vm="1">
        <v>#REF!</v>
      </c>
      <c r="BD2530" t="e" vm="1">
        <v>#REF!</v>
      </c>
      <c r="BF2530" t="e" vm="2">
        <f t="shared" si="238"/>
        <v>#VALUE!</v>
      </c>
      <c r="BG2530" t="e" vm="2">
        <f t="shared" si="239"/>
        <v>#VALUE!</v>
      </c>
      <c r="BJ2530" s="21" t="e" vm="1">
        <v>#REF!</v>
      </c>
      <c r="BK2530" t="e" vm="1">
        <v>#REF!</v>
      </c>
      <c r="BM2530" t="e" vm="2">
        <f t="shared" si="240"/>
        <v>#VALUE!</v>
      </c>
      <c r="BN2530" t="e" vm="2">
        <f t="shared" si="241"/>
        <v>#VALUE!</v>
      </c>
    </row>
    <row r="2531" spans="55:66" x14ac:dyDescent="0.2">
      <c r="BC2531" s="21" t="e" vm="1">
        <v>#REF!</v>
      </c>
      <c r="BD2531" t="e" vm="1">
        <v>#REF!</v>
      </c>
      <c r="BF2531" t="e" vm="2">
        <f t="shared" si="238"/>
        <v>#VALUE!</v>
      </c>
      <c r="BG2531" t="e" vm="2">
        <f t="shared" si="239"/>
        <v>#VALUE!</v>
      </c>
      <c r="BJ2531" s="21" t="e" vm="1">
        <v>#REF!</v>
      </c>
      <c r="BK2531" t="e" vm="1">
        <v>#REF!</v>
      </c>
      <c r="BM2531" t="e" vm="2">
        <f t="shared" si="240"/>
        <v>#VALUE!</v>
      </c>
      <c r="BN2531" t="e" vm="2">
        <f t="shared" si="241"/>
        <v>#VALUE!</v>
      </c>
    </row>
    <row r="2532" spans="55:66" x14ac:dyDescent="0.2">
      <c r="BC2532" s="21" t="e" vm="1">
        <v>#REF!</v>
      </c>
      <c r="BD2532" t="e" vm="1">
        <v>#REF!</v>
      </c>
      <c r="BF2532" t="e" vm="2">
        <f t="shared" si="238"/>
        <v>#VALUE!</v>
      </c>
      <c r="BG2532" t="e" vm="2">
        <f t="shared" si="239"/>
        <v>#VALUE!</v>
      </c>
      <c r="BJ2532" s="21" t="e" vm="1">
        <v>#REF!</v>
      </c>
      <c r="BK2532" t="e" vm="1">
        <v>#REF!</v>
      </c>
      <c r="BM2532" t="e" vm="2">
        <f t="shared" si="240"/>
        <v>#VALUE!</v>
      </c>
      <c r="BN2532" t="e" vm="2">
        <f t="shared" si="241"/>
        <v>#VALUE!</v>
      </c>
    </row>
    <row r="2533" spans="55:66" x14ac:dyDescent="0.2">
      <c r="BC2533" s="21" t="e" vm="1">
        <v>#REF!</v>
      </c>
      <c r="BD2533" t="e" vm="1">
        <v>#REF!</v>
      </c>
      <c r="BF2533" t="e" vm="2">
        <f t="shared" si="238"/>
        <v>#VALUE!</v>
      </c>
      <c r="BG2533" t="e" vm="2">
        <f t="shared" si="239"/>
        <v>#VALUE!</v>
      </c>
      <c r="BJ2533" s="21" t="e" vm="1">
        <v>#REF!</v>
      </c>
      <c r="BK2533" t="e" vm="1">
        <v>#REF!</v>
      </c>
      <c r="BM2533" t="e" vm="2">
        <f t="shared" si="240"/>
        <v>#VALUE!</v>
      </c>
      <c r="BN2533" t="e" vm="2">
        <f t="shared" si="241"/>
        <v>#VALUE!</v>
      </c>
    </row>
    <row r="2534" spans="55:66" x14ac:dyDescent="0.2">
      <c r="BC2534" s="21" t="e" vm="1">
        <v>#REF!</v>
      </c>
      <c r="BD2534" t="e" vm="1">
        <v>#REF!</v>
      </c>
      <c r="BF2534" t="e" vm="2">
        <f t="shared" si="238"/>
        <v>#VALUE!</v>
      </c>
      <c r="BG2534" t="e" vm="2">
        <f t="shared" si="239"/>
        <v>#VALUE!</v>
      </c>
      <c r="BJ2534" s="21" t="e" vm="1">
        <v>#REF!</v>
      </c>
      <c r="BK2534" t="e" vm="1">
        <v>#REF!</v>
      </c>
      <c r="BM2534" t="e" vm="2">
        <f t="shared" si="240"/>
        <v>#VALUE!</v>
      </c>
      <c r="BN2534" t="e" vm="2">
        <f t="shared" si="241"/>
        <v>#VALUE!</v>
      </c>
    </row>
    <row r="2535" spans="55:66" x14ac:dyDescent="0.2">
      <c r="BC2535" s="21" t="e" vm="1">
        <v>#REF!</v>
      </c>
      <c r="BD2535" t="e" vm="1">
        <v>#REF!</v>
      </c>
      <c r="BF2535" t="e" vm="2">
        <f t="shared" si="238"/>
        <v>#VALUE!</v>
      </c>
      <c r="BG2535" t="e" vm="2">
        <f t="shared" si="239"/>
        <v>#VALUE!</v>
      </c>
      <c r="BJ2535" s="21" t="e" vm="1">
        <v>#REF!</v>
      </c>
      <c r="BK2535" t="e" vm="1">
        <v>#REF!</v>
      </c>
      <c r="BM2535" t="e" vm="2">
        <f t="shared" si="240"/>
        <v>#VALUE!</v>
      </c>
      <c r="BN2535" t="e" vm="2">
        <f t="shared" si="241"/>
        <v>#VALUE!</v>
      </c>
    </row>
    <row r="2536" spans="55:66" x14ac:dyDescent="0.2">
      <c r="BC2536" s="21" t="e" vm="1">
        <v>#REF!</v>
      </c>
      <c r="BD2536" t="e" vm="1">
        <v>#REF!</v>
      </c>
      <c r="BF2536" t="e" vm="2">
        <f t="shared" si="238"/>
        <v>#VALUE!</v>
      </c>
      <c r="BG2536" t="e" vm="2">
        <f t="shared" si="239"/>
        <v>#VALUE!</v>
      </c>
      <c r="BJ2536" s="21" t="e" vm="1">
        <v>#REF!</v>
      </c>
      <c r="BK2536" t="e" vm="1">
        <v>#REF!</v>
      </c>
      <c r="BM2536" t="e" vm="2">
        <f t="shared" si="240"/>
        <v>#VALUE!</v>
      </c>
      <c r="BN2536" t="e" vm="2">
        <f t="shared" si="241"/>
        <v>#VALUE!</v>
      </c>
    </row>
    <row r="2537" spans="55:66" x14ac:dyDescent="0.2">
      <c r="BC2537" s="21" t="e" vm="1">
        <v>#REF!</v>
      </c>
      <c r="BD2537" t="e" vm="1">
        <v>#REF!</v>
      </c>
      <c r="BF2537" t="e" vm="2">
        <f t="shared" si="238"/>
        <v>#VALUE!</v>
      </c>
      <c r="BG2537" t="e" vm="2">
        <f t="shared" si="239"/>
        <v>#VALUE!</v>
      </c>
      <c r="BJ2537" s="21" t="e" vm="1">
        <v>#REF!</v>
      </c>
      <c r="BK2537" t="e" vm="1">
        <v>#REF!</v>
      </c>
      <c r="BM2537" t="e" vm="2">
        <f t="shared" si="240"/>
        <v>#VALUE!</v>
      </c>
      <c r="BN2537" t="e" vm="2">
        <f t="shared" si="241"/>
        <v>#VALUE!</v>
      </c>
    </row>
    <row r="2538" spans="55:66" x14ac:dyDescent="0.2">
      <c r="BC2538" s="21" t="e" vm="1">
        <v>#REF!</v>
      </c>
      <c r="BD2538" t="e" vm="1">
        <v>#REF!</v>
      </c>
      <c r="BF2538" t="e" vm="2">
        <f t="shared" si="238"/>
        <v>#VALUE!</v>
      </c>
      <c r="BG2538" t="e" vm="2">
        <f t="shared" si="239"/>
        <v>#VALUE!</v>
      </c>
      <c r="BJ2538" s="21" t="e" vm="1">
        <v>#REF!</v>
      </c>
      <c r="BK2538" t="e" vm="1">
        <v>#REF!</v>
      </c>
      <c r="BM2538" t="e" vm="2">
        <f t="shared" si="240"/>
        <v>#VALUE!</v>
      </c>
      <c r="BN2538" t="e" vm="2">
        <f t="shared" si="241"/>
        <v>#VALUE!</v>
      </c>
    </row>
    <row r="2539" spans="55:66" x14ac:dyDescent="0.2">
      <c r="BC2539" s="21" t="e" vm="1">
        <v>#REF!</v>
      </c>
      <c r="BD2539" t="e" vm="1">
        <v>#REF!</v>
      </c>
      <c r="BF2539" t="e" vm="2">
        <f t="shared" si="238"/>
        <v>#VALUE!</v>
      </c>
      <c r="BG2539" t="e" vm="2">
        <f t="shared" si="239"/>
        <v>#VALUE!</v>
      </c>
      <c r="BJ2539" s="21" t="e" vm="1">
        <v>#REF!</v>
      </c>
      <c r="BK2539" t="e" vm="1">
        <v>#REF!</v>
      </c>
      <c r="BM2539" t="e" vm="2">
        <f t="shared" si="240"/>
        <v>#VALUE!</v>
      </c>
      <c r="BN2539" t="e" vm="2">
        <f t="shared" si="241"/>
        <v>#VALUE!</v>
      </c>
    </row>
    <row r="2540" spans="55:66" x14ac:dyDescent="0.2">
      <c r="BC2540" s="21" t="e" vm="1">
        <v>#REF!</v>
      </c>
      <c r="BD2540" t="e" vm="1">
        <v>#REF!</v>
      </c>
      <c r="BF2540" t="e" vm="2">
        <f t="shared" si="238"/>
        <v>#VALUE!</v>
      </c>
      <c r="BG2540" t="e" vm="2">
        <f t="shared" si="239"/>
        <v>#VALUE!</v>
      </c>
      <c r="BJ2540" s="21" t="e" vm="1">
        <v>#REF!</v>
      </c>
      <c r="BK2540" t="e" vm="1">
        <v>#REF!</v>
      </c>
      <c r="BM2540" t="e" vm="2">
        <f t="shared" si="240"/>
        <v>#VALUE!</v>
      </c>
      <c r="BN2540" t="e" vm="2">
        <f t="shared" si="241"/>
        <v>#VALUE!</v>
      </c>
    </row>
    <row r="2541" spans="55:66" x14ac:dyDescent="0.2">
      <c r="BC2541" s="21" t="e" vm="1">
        <v>#REF!</v>
      </c>
      <c r="BD2541" t="e" vm="1">
        <v>#REF!</v>
      </c>
      <c r="BF2541" t="e" vm="2">
        <f t="shared" si="238"/>
        <v>#VALUE!</v>
      </c>
      <c r="BG2541" t="e" vm="2">
        <f t="shared" si="239"/>
        <v>#VALUE!</v>
      </c>
      <c r="BJ2541" s="21" t="e" vm="1">
        <v>#REF!</v>
      </c>
      <c r="BK2541" t="e" vm="1">
        <v>#REF!</v>
      </c>
      <c r="BM2541" t="e" vm="2">
        <f t="shared" si="240"/>
        <v>#VALUE!</v>
      </c>
      <c r="BN2541" t="e" vm="2">
        <f t="shared" si="241"/>
        <v>#VALUE!</v>
      </c>
    </row>
    <row r="2542" spans="55:66" x14ac:dyDescent="0.2">
      <c r="BC2542" s="21" t="e" vm="1">
        <v>#REF!</v>
      </c>
      <c r="BD2542" t="e" vm="1">
        <v>#REF!</v>
      </c>
      <c r="BF2542" t="e" vm="2">
        <f t="shared" si="238"/>
        <v>#VALUE!</v>
      </c>
      <c r="BG2542" t="e" vm="2">
        <f t="shared" si="239"/>
        <v>#VALUE!</v>
      </c>
      <c r="BJ2542" s="21" t="e" vm="1">
        <v>#REF!</v>
      </c>
      <c r="BK2542" t="e" vm="1">
        <v>#REF!</v>
      </c>
      <c r="BM2542" t="e" vm="2">
        <f t="shared" si="240"/>
        <v>#VALUE!</v>
      </c>
      <c r="BN2542" t="e" vm="2">
        <f t="shared" si="241"/>
        <v>#VALUE!</v>
      </c>
    </row>
    <row r="2543" spans="55:66" x14ac:dyDescent="0.2">
      <c r="BC2543" s="21" t="e" vm="1">
        <v>#REF!</v>
      </c>
      <c r="BD2543" t="e" vm="1">
        <v>#REF!</v>
      </c>
      <c r="BF2543" t="e" vm="2">
        <f t="shared" si="238"/>
        <v>#VALUE!</v>
      </c>
      <c r="BG2543" t="e" vm="2">
        <f t="shared" si="239"/>
        <v>#VALUE!</v>
      </c>
      <c r="BJ2543" s="21" t="e" vm="1">
        <v>#REF!</v>
      </c>
      <c r="BK2543" t="e" vm="1">
        <v>#REF!</v>
      </c>
      <c r="BM2543" t="e" vm="2">
        <f t="shared" si="240"/>
        <v>#VALUE!</v>
      </c>
      <c r="BN2543" t="e" vm="2">
        <f t="shared" si="241"/>
        <v>#VALUE!</v>
      </c>
    </row>
    <row r="2544" spans="55:66" x14ac:dyDescent="0.2">
      <c r="BC2544" s="21" t="e" vm="1">
        <v>#REF!</v>
      </c>
      <c r="BD2544" t="e" vm="1">
        <v>#REF!</v>
      </c>
      <c r="BF2544" t="e" vm="2">
        <f t="shared" si="238"/>
        <v>#VALUE!</v>
      </c>
      <c r="BG2544" t="e" vm="2">
        <f t="shared" si="239"/>
        <v>#VALUE!</v>
      </c>
      <c r="BJ2544" s="21" t="e" vm="1">
        <v>#REF!</v>
      </c>
      <c r="BK2544" t="e" vm="1">
        <v>#REF!</v>
      </c>
      <c r="BM2544" t="e" vm="2">
        <f t="shared" si="240"/>
        <v>#VALUE!</v>
      </c>
      <c r="BN2544" t="e" vm="2">
        <f t="shared" si="241"/>
        <v>#VALUE!</v>
      </c>
    </row>
    <row r="2545" spans="55:66" x14ac:dyDescent="0.2">
      <c r="BC2545" s="21" t="e" vm="1">
        <v>#REF!</v>
      </c>
      <c r="BD2545" t="e" vm="1">
        <v>#REF!</v>
      </c>
      <c r="BF2545" t="e" vm="2">
        <f t="shared" si="238"/>
        <v>#VALUE!</v>
      </c>
      <c r="BG2545" t="e" vm="2">
        <f t="shared" si="239"/>
        <v>#VALUE!</v>
      </c>
      <c r="BJ2545" s="21" t="e" vm="1">
        <v>#REF!</v>
      </c>
      <c r="BK2545" t="e" vm="1">
        <v>#REF!</v>
      </c>
      <c r="BM2545" t="e" vm="2">
        <f t="shared" si="240"/>
        <v>#VALUE!</v>
      </c>
      <c r="BN2545" t="e" vm="2">
        <f t="shared" si="241"/>
        <v>#VALUE!</v>
      </c>
    </row>
    <row r="2546" spans="55:66" x14ac:dyDescent="0.2">
      <c r="BC2546" s="21" t="e" vm="1">
        <v>#REF!</v>
      </c>
      <c r="BD2546" t="e" vm="1">
        <v>#REF!</v>
      </c>
      <c r="BF2546" t="e" vm="2">
        <f t="shared" si="238"/>
        <v>#VALUE!</v>
      </c>
      <c r="BG2546" t="e" vm="2">
        <f t="shared" si="239"/>
        <v>#VALUE!</v>
      </c>
      <c r="BJ2546" s="21" t="e" vm="1">
        <v>#REF!</v>
      </c>
      <c r="BK2546" t="e" vm="1">
        <v>#REF!</v>
      </c>
      <c r="BM2546" t="e" vm="2">
        <f t="shared" si="240"/>
        <v>#VALUE!</v>
      </c>
      <c r="BN2546" t="e" vm="2">
        <f t="shared" si="241"/>
        <v>#VALUE!</v>
      </c>
    </row>
    <row r="2547" spans="55:66" x14ac:dyDescent="0.2">
      <c r="BC2547" s="21" t="e" vm="1">
        <v>#REF!</v>
      </c>
      <c r="BD2547" t="e" vm="1">
        <v>#REF!</v>
      </c>
      <c r="BF2547" t="e" vm="2">
        <f t="shared" si="238"/>
        <v>#VALUE!</v>
      </c>
      <c r="BG2547" t="e" vm="2">
        <f t="shared" si="239"/>
        <v>#VALUE!</v>
      </c>
      <c r="BJ2547" s="21" t="e" vm="1">
        <v>#REF!</v>
      </c>
      <c r="BK2547" t="e" vm="1">
        <v>#REF!</v>
      </c>
      <c r="BM2547" t="e" vm="2">
        <f t="shared" si="240"/>
        <v>#VALUE!</v>
      </c>
      <c r="BN2547" t="e" vm="2">
        <f t="shared" si="241"/>
        <v>#VALUE!</v>
      </c>
    </row>
    <row r="2548" spans="55:66" x14ac:dyDescent="0.2">
      <c r="BC2548" s="21" t="e" vm="1">
        <v>#REF!</v>
      </c>
      <c r="BD2548" t="e" vm="1">
        <v>#REF!</v>
      </c>
      <c r="BF2548" t="e" vm="2">
        <f t="shared" si="238"/>
        <v>#VALUE!</v>
      </c>
      <c r="BG2548" t="e" vm="2">
        <f t="shared" si="239"/>
        <v>#VALUE!</v>
      </c>
      <c r="BJ2548" s="21" t="e" vm="1">
        <v>#REF!</v>
      </c>
      <c r="BK2548" t="e" vm="1">
        <v>#REF!</v>
      </c>
      <c r="BM2548" t="e" vm="2">
        <f t="shared" si="240"/>
        <v>#VALUE!</v>
      </c>
      <c r="BN2548" t="e" vm="2">
        <f t="shared" si="241"/>
        <v>#VALUE!</v>
      </c>
    </row>
    <row r="2549" spans="55:66" x14ac:dyDescent="0.2">
      <c r="BC2549" s="21" t="e" vm="1">
        <v>#REF!</v>
      </c>
      <c r="BD2549" t="e" vm="1">
        <v>#REF!</v>
      </c>
      <c r="BF2549" t="e" vm="2">
        <f t="shared" si="238"/>
        <v>#VALUE!</v>
      </c>
      <c r="BG2549" t="e" vm="2">
        <f t="shared" si="239"/>
        <v>#VALUE!</v>
      </c>
      <c r="BJ2549" s="21" t="e" vm="1">
        <v>#REF!</v>
      </c>
      <c r="BK2549" t="e" vm="1">
        <v>#REF!</v>
      </c>
      <c r="BM2549" t="e" vm="2">
        <f t="shared" si="240"/>
        <v>#VALUE!</v>
      </c>
      <c r="BN2549" t="e" vm="2">
        <f t="shared" si="241"/>
        <v>#VALUE!</v>
      </c>
    </row>
    <row r="2550" spans="55:66" x14ac:dyDescent="0.2">
      <c r="BC2550" s="21" t="e" vm="1">
        <v>#REF!</v>
      </c>
      <c r="BD2550" t="e" vm="1">
        <v>#REF!</v>
      </c>
      <c r="BF2550" t="e" vm="2">
        <f t="shared" si="238"/>
        <v>#VALUE!</v>
      </c>
      <c r="BG2550" t="e" vm="2">
        <f t="shared" si="239"/>
        <v>#VALUE!</v>
      </c>
      <c r="BJ2550" s="21" t="e" vm="1">
        <v>#REF!</v>
      </c>
      <c r="BK2550" t="e" vm="1">
        <v>#REF!</v>
      </c>
      <c r="BM2550" t="e" vm="2">
        <f t="shared" si="240"/>
        <v>#VALUE!</v>
      </c>
      <c r="BN2550" t="e" vm="2">
        <f t="shared" si="241"/>
        <v>#VALUE!</v>
      </c>
    </row>
    <row r="2551" spans="55:66" x14ac:dyDescent="0.2">
      <c r="BC2551" s="21" t="e" vm="1">
        <v>#REF!</v>
      </c>
      <c r="BD2551" t="e" vm="1">
        <v>#REF!</v>
      </c>
      <c r="BF2551" t="e" vm="2">
        <f t="shared" si="238"/>
        <v>#VALUE!</v>
      </c>
      <c r="BG2551" t="e" vm="2">
        <f t="shared" si="239"/>
        <v>#VALUE!</v>
      </c>
      <c r="BJ2551" s="21" t="e" vm="1">
        <v>#REF!</v>
      </c>
      <c r="BK2551" t="e" vm="1">
        <v>#REF!</v>
      </c>
      <c r="BM2551" t="e" vm="2">
        <f t="shared" si="240"/>
        <v>#VALUE!</v>
      </c>
      <c r="BN2551" t="e" vm="2">
        <f t="shared" si="241"/>
        <v>#VALUE!</v>
      </c>
    </row>
    <row r="2552" spans="55:66" x14ac:dyDescent="0.2">
      <c r="BC2552" s="21" t="e" vm="1">
        <v>#REF!</v>
      </c>
      <c r="BD2552" t="e" vm="1">
        <v>#REF!</v>
      </c>
      <c r="BF2552" t="e" vm="2">
        <f t="shared" si="238"/>
        <v>#VALUE!</v>
      </c>
      <c r="BG2552" t="e" vm="2">
        <f t="shared" si="239"/>
        <v>#VALUE!</v>
      </c>
      <c r="BJ2552" s="21" t="e" vm="1">
        <v>#REF!</v>
      </c>
      <c r="BK2552" t="e" vm="1">
        <v>#REF!</v>
      </c>
      <c r="BM2552" t="e" vm="2">
        <f t="shared" si="240"/>
        <v>#VALUE!</v>
      </c>
      <c r="BN2552" t="e" vm="2">
        <f t="shared" si="241"/>
        <v>#VALUE!</v>
      </c>
    </row>
    <row r="2553" spans="55:66" x14ac:dyDescent="0.2">
      <c r="BC2553" s="21" t="e" vm="1">
        <v>#REF!</v>
      </c>
      <c r="BD2553" t="e" vm="1">
        <v>#REF!</v>
      </c>
      <c r="BF2553" t="e" vm="2">
        <f t="shared" si="238"/>
        <v>#VALUE!</v>
      </c>
      <c r="BG2553" t="e" vm="2">
        <f t="shared" si="239"/>
        <v>#VALUE!</v>
      </c>
      <c r="BJ2553" s="21" t="e" vm="1">
        <v>#REF!</v>
      </c>
      <c r="BK2553" t="e" vm="1">
        <v>#REF!</v>
      </c>
      <c r="BM2553" t="e" vm="2">
        <f t="shared" si="240"/>
        <v>#VALUE!</v>
      </c>
      <c r="BN2553" t="e" vm="2">
        <f t="shared" si="241"/>
        <v>#VALUE!</v>
      </c>
    </row>
    <row r="2554" spans="55:66" x14ac:dyDescent="0.2">
      <c r="BC2554" s="21" t="e" vm="1">
        <v>#REF!</v>
      </c>
      <c r="BD2554" t="e" vm="1">
        <v>#REF!</v>
      </c>
      <c r="BF2554" t="e" vm="2">
        <f t="shared" si="238"/>
        <v>#VALUE!</v>
      </c>
      <c r="BG2554" t="e" vm="2">
        <f t="shared" si="239"/>
        <v>#VALUE!</v>
      </c>
      <c r="BJ2554" s="21" t="e" vm="1">
        <v>#REF!</v>
      </c>
      <c r="BK2554" t="e" vm="1">
        <v>#REF!</v>
      </c>
      <c r="BM2554" t="e" vm="2">
        <f t="shared" si="240"/>
        <v>#VALUE!</v>
      </c>
      <c r="BN2554" t="e" vm="2">
        <f t="shared" si="241"/>
        <v>#VALUE!</v>
      </c>
    </row>
    <row r="2555" spans="55:66" x14ac:dyDescent="0.2">
      <c r="BC2555" s="21" t="e" vm="1">
        <v>#REF!</v>
      </c>
      <c r="BD2555" t="e" vm="1">
        <v>#REF!</v>
      </c>
      <c r="BF2555" t="e" vm="2">
        <f t="shared" si="238"/>
        <v>#VALUE!</v>
      </c>
      <c r="BG2555" t="e" vm="2">
        <f t="shared" si="239"/>
        <v>#VALUE!</v>
      </c>
      <c r="BJ2555" s="21" t="e" vm="1">
        <v>#REF!</v>
      </c>
      <c r="BK2555" t="e" vm="1">
        <v>#REF!</v>
      </c>
      <c r="BM2555" t="e" vm="2">
        <f t="shared" si="240"/>
        <v>#VALUE!</v>
      </c>
      <c r="BN2555" t="e" vm="2">
        <f t="shared" si="241"/>
        <v>#VALUE!</v>
      </c>
    </row>
    <row r="2556" spans="55:66" x14ac:dyDescent="0.2">
      <c r="BC2556" s="21" t="e" vm="1">
        <v>#REF!</v>
      </c>
      <c r="BD2556" t="e" vm="1">
        <v>#REF!</v>
      </c>
      <c r="BF2556" t="e" vm="2">
        <f t="shared" si="238"/>
        <v>#VALUE!</v>
      </c>
      <c r="BG2556" t="e" vm="2">
        <f t="shared" si="239"/>
        <v>#VALUE!</v>
      </c>
      <c r="BJ2556" s="21" t="e" vm="1">
        <v>#REF!</v>
      </c>
      <c r="BK2556" t="e" vm="1">
        <v>#REF!</v>
      </c>
      <c r="BM2556" t="e" vm="2">
        <f t="shared" si="240"/>
        <v>#VALUE!</v>
      </c>
      <c r="BN2556" t="e" vm="2">
        <f t="shared" si="241"/>
        <v>#VALUE!</v>
      </c>
    </row>
    <row r="2557" spans="55:66" x14ac:dyDescent="0.2">
      <c r="BC2557" s="21" t="e" vm="1">
        <v>#REF!</v>
      </c>
      <c r="BD2557" t="e" vm="1">
        <v>#REF!</v>
      </c>
      <c r="BF2557" t="e" vm="2">
        <f t="shared" si="238"/>
        <v>#VALUE!</v>
      </c>
      <c r="BG2557" t="e" vm="2">
        <f t="shared" si="239"/>
        <v>#VALUE!</v>
      </c>
      <c r="BJ2557" s="21" t="e" vm="1">
        <v>#REF!</v>
      </c>
      <c r="BK2557" t="e" vm="1">
        <v>#REF!</v>
      </c>
      <c r="BM2557" t="e" vm="2">
        <f t="shared" si="240"/>
        <v>#VALUE!</v>
      </c>
      <c r="BN2557" t="e" vm="2">
        <f t="shared" si="241"/>
        <v>#VALUE!</v>
      </c>
    </row>
    <row r="2558" spans="55:66" x14ac:dyDescent="0.2">
      <c r="BC2558" s="21" t="e" vm="1">
        <v>#REF!</v>
      </c>
      <c r="BD2558" t="e" vm="1">
        <v>#REF!</v>
      </c>
      <c r="BF2558" t="e" vm="2">
        <f t="shared" si="238"/>
        <v>#VALUE!</v>
      </c>
      <c r="BG2558" t="e" vm="2">
        <f t="shared" si="239"/>
        <v>#VALUE!</v>
      </c>
      <c r="BJ2558" s="21" t="e" vm="1">
        <v>#REF!</v>
      </c>
      <c r="BK2558" t="e" vm="1">
        <v>#REF!</v>
      </c>
      <c r="BM2558" t="e" vm="2">
        <f t="shared" si="240"/>
        <v>#VALUE!</v>
      </c>
      <c r="BN2558" t="e" vm="2">
        <f t="shared" si="241"/>
        <v>#VALUE!</v>
      </c>
    </row>
    <row r="2559" spans="55:66" x14ac:dyDescent="0.2">
      <c r="BC2559" s="21" t="e" vm="1">
        <v>#REF!</v>
      </c>
      <c r="BD2559" t="e" vm="1">
        <v>#REF!</v>
      </c>
      <c r="BF2559" t="e" vm="2">
        <f t="shared" si="238"/>
        <v>#VALUE!</v>
      </c>
      <c r="BG2559" t="e" vm="2">
        <f t="shared" si="239"/>
        <v>#VALUE!</v>
      </c>
      <c r="BJ2559" s="21" t="e" vm="1">
        <v>#REF!</v>
      </c>
      <c r="BK2559" t="e" vm="1">
        <v>#REF!</v>
      </c>
      <c r="BM2559" t="e" vm="2">
        <f t="shared" si="240"/>
        <v>#VALUE!</v>
      </c>
      <c r="BN2559" t="e" vm="2">
        <f t="shared" si="241"/>
        <v>#VALUE!</v>
      </c>
    </row>
    <row r="2560" spans="55:66" x14ac:dyDescent="0.2">
      <c r="BC2560" s="21" t="e" vm="1">
        <v>#REF!</v>
      </c>
      <c r="BD2560" t="e" vm="1">
        <v>#REF!</v>
      </c>
      <c r="BF2560" t="e" vm="2">
        <f t="shared" si="238"/>
        <v>#VALUE!</v>
      </c>
      <c r="BG2560" t="e" vm="2">
        <f t="shared" si="239"/>
        <v>#VALUE!</v>
      </c>
      <c r="BJ2560" s="21" t="e" vm="1">
        <v>#REF!</v>
      </c>
      <c r="BK2560" t="e" vm="1">
        <v>#REF!</v>
      </c>
      <c r="BM2560" t="e" vm="2">
        <f t="shared" si="240"/>
        <v>#VALUE!</v>
      </c>
      <c r="BN2560" t="e" vm="2">
        <f t="shared" si="241"/>
        <v>#VALUE!</v>
      </c>
    </row>
    <row r="2561" spans="55:66" x14ac:dyDescent="0.2">
      <c r="BC2561" s="21" t="e" vm="1">
        <v>#REF!</v>
      </c>
      <c r="BD2561" t="e" vm="1">
        <v>#REF!</v>
      </c>
      <c r="BF2561" t="e" vm="2">
        <f t="shared" si="238"/>
        <v>#VALUE!</v>
      </c>
      <c r="BG2561" t="e" vm="2">
        <f t="shared" si="239"/>
        <v>#VALUE!</v>
      </c>
      <c r="BJ2561" s="21" t="e" vm="1">
        <v>#REF!</v>
      </c>
      <c r="BK2561" t="e" vm="1">
        <v>#REF!</v>
      </c>
      <c r="BM2561" t="e" vm="2">
        <f t="shared" si="240"/>
        <v>#VALUE!</v>
      </c>
      <c r="BN2561" t="e" vm="2">
        <f t="shared" si="241"/>
        <v>#VALUE!</v>
      </c>
    </row>
    <row r="2562" spans="55:66" x14ac:dyDescent="0.2">
      <c r="BC2562" s="21" t="e" vm="1">
        <v>#REF!</v>
      </c>
      <c r="BD2562" t="e" vm="1">
        <v>#REF!</v>
      </c>
      <c r="BF2562" t="e" vm="2">
        <f t="shared" si="238"/>
        <v>#VALUE!</v>
      </c>
      <c r="BG2562" t="e" vm="2">
        <f t="shared" si="239"/>
        <v>#VALUE!</v>
      </c>
      <c r="BJ2562" s="21" t="e" vm="1">
        <v>#REF!</v>
      </c>
      <c r="BK2562" t="e" vm="1">
        <v>#REF!</v>
      </c>
      <c r="BM2562" t="e" vm="2">
        <f t="shared" si="240"/>
        <v>#VALUE!</v>
      </c>
      <c r="BN2562" t="e" vm="2">
        <f t="shared" si="241"/>
        <v>#VALUE!</v>
      </c>
    </row>
    <row r="2563" spans="55:66" x14ac:dyDescent="0.2">
      <c r="BC2563" s="21" t="e" vm="1">
        <v>#REF!</v>
      </c>
      <c r="BD2563" t="e" vm="1">
        <v>#REF!</v>
      </c>
      <c r="BF2563" t="e" vm="2">
        <f t="shared" ref="BF2563:BF2626" si="242">MONTH(BC2563)</f>
        <v>#VALUE!</v>
      </c>
      <c r="BG2563" t="e" vm="2">
        <f t="shared" ref="BG2563:BG2626" si="243">YEAR(BC2563)</f>
        <v>#VALUE!</v>
      </c>
      <c r="BJ2563" s="21" t="e" vm="1">
        <v>#REF!</v>
      </c>
      <c r="BK2563" t="e" vm="1">
        <v>#REF!</v>
      </c>
      <c r="BM2563" t="e" vm="2">
        <f t="shared" si="240"/>
        <v>#VALUE!</v>
      </c>
      <c r="BN2563" t="e" vm="2">
        <f t="shared" si="241"/>
        <v>#VALUE!</v>
      </c>
    </row>
    <row r="2564" spans="55:66" x14ac:dyDescent="0.2">
      <c r="BC2564" s="21" t="e" vm="1">
        <v>#REF!</v>
      </c>
      <c r="BD2564" t="e" vm="1">
        <v>#REF!</v>
      </c>
      <c r="BF2564" t="e" vm="2">
        <f t="shared" si="242"/>
        <v>#VALUE!</v>
      </c>
      <c r="BG2564" t="e" vm="2">
        <f t="shared" si="243"/>
        <v>#VALUE!</v>
      </c>
      <c r="BJ2564" s="21" t="e" vm="1">
        <v>#REF!</v>
      </c>
      <c r="BK2564" t="e" vm="1">
        <v>#REF!</v>
      </c>
      <c r="BM2564" t="e" vm="2">
        <f t="shared" ref="BM2564:BM2627" si="244">MONTH(BJ2564)</f>
        <v>#VALUE!</v>
      </c>
      <c r="BN2564" t="e" vm="2">
        <f t="shared" ref="BN2564:BN2627" si="245">YEAR(BJ2564)</f>
        <v>#VALUE!</v>
      </c>
    </row>
    <row r="2565" spans="55:66" x14ac:dyDescent="0.2">
      <c r="BC2565" s="21" t="e" vm="1">
        <v>#REF!</v>
      </c>
      <c r="BD2565" t="e" vm="1">
        <v>#REF!</v>
      </c>
      <c r="BF2565" t="e" vm="2">
        <f t="shared" si="242"/>
        <v>#VALUE!</v>
      </c>
      <c r="BG2565" t="e" vm="2">
        <f t="shared" si="243"/>
        <v>#VALUE!</v>
      </c>
      <c r="BJ2565" s="21" t="e" vm="1">
        <v>#REF!</v>
      </c>
      <c r="BK2565" t="e" vm="1">
        <v>#REF!</v>
      </c>
      <c r="BM2565" t="e" vm="2">
        <f t="shared" si="244"/>
        <v>#VALUE!</v>
      </c>
      <c r="BN2565" t="e" vm="2">
        <f t="shared" si="245"/>
        <v>#VALUE!</v>
      </c>
    </row>
    <row r="2566" spans="55:66" x14ac:dyDescent="0.2">
      <c r="BC2566" s="21" t="e" vm="1">
        <v>#REF!</v>
      </c>
      <c r="BD2566" t="e" vm="1">
        <v>#REF!</v>
      </c>
      <c r="BF2566" t="e" vm="2">
        <f t="shared" si="242"/>
        <v>#VALUE!</v>
      </c>
      <c r="BG2566" t="e" vm="2">
        <f t="shared" si="243"/>
        <v>#VALUE!</v>
      </c>
      <c r="BJ2566" s="21" t="e" vm="1">
        <v>#REF!</v>
      </c>
      <c r="BK2566" t="e" vm="1">
        <v>#REF!</v>
      </c>
      <c r="BM2566" t="e" vm="2">
        <f t="shared" si="244"/>
        <v>#VALUE!</v>
      </c>
      <c r="BN2566" t="e" vm="2">
        <f t="shared" si="245"/>
        <v>#VALUE!</v>
      </c>
    </row>
    <row r="2567" spans="55:66" x14ac:dyDescent="0.2">
      <c r="BC2567" s="21" t="e" vm="1">
        <v>#REF!</v>
      </c>
      <c r="BD2567" t="e" vm="1">
        <v>#REF!</v>
      </c>
      <c r="BF2567" t="e" vm="2">
        <f t="shared" si="242"/>
        <v>#VALUE!</v>
      </c>
      <c r="BG2567" t="e" vm="2">
        <f t="shared" si="243"/>
        <v>#VALUE!</v>
      </c>
      <c r="BJ2567" s="21" t="e" vm="1">
        <v>#REF!</v>
      </c>
      <c r="BK2567" t="e" vm="1">
        <v>#REF!</v>
      </c>
      <c r="BM2567" t="e" vm="2">
        <f t="shared" si="244"/>
        <v>#VALUE!</v>
      </c>
      <c r="BN2567" t="e" vm="2">
        <f t="shared" si="245"/>
        <v>#VALUE!</v>
      </c>
    </row>
    <row r="2568" spans="55:66" x14ac:dyDescent="0.2">
      <c r="BC2568" s="21" t="e" vm="1">
        <v>#REF!</v>
      </c>
      <c r="BD2568" t="e" vm="1">
        <v>#REF!</v>
      </c>
      <c r="BF2568" t="e" vm="2">
        <f t="shared" si="242"/>
        <v>#VALUE!</v>
      </c>
      <c r="BG2568" t="e" vm="2">
        <f t="shared" si="243"/>
        <v>#VALUE!</v>
      </c>
      <c r="BJ2568" s="21" t="e" vm="1">
        <v>#REF!</v>
      </c>
      <c r="BK2568" t="e" vm="1">
        <v>#REF!</v>
      </c>
      <c r="BM2568" t="e" vm="2">
        <f t="shared" si="244"/>
        <v>#VALUE!</v>
      </c>
      <c r="BN2568" t="e" vm="2">
        <f t="shared" si="245"/>
        <v>#VALUE!</v>
      </c>
    </row>
    <row r="2569" spans="55:66" x14ac:dyDescent="0.2">
      <c r="BC2569" s="21" t="e" vm="1">
        <v>#REF!</v>
      </c>
      <c r="BD2569" t="e" vm="1">
        <v>#REF!</v>
      </c>
      <c r="BF2569" t="e" vm="2">
        <f t="shared" si="242"/>
        <v>#VALUE!</v>
      </c>
      <c r="BG2569" t="e" vm="2">
        <f t="shared" si="243"/>
        <v>#VALUE!</v>
      </c>
      <c r="BJ2569" s="21" t="e" vm="1">
        <v>#REF!</v>
      </c>
      <c r="BK2569" t="e" vm="1">
        <v>#REF!</v>
      </c>
      <c r="BM2569" t="e" vm="2">
        <f t="shared" si="244"/>
        <v>#VALUE!</v>
      </c>
      <c r="BN2569" t="e" vm="2">
        <f t="shared" si="245"/>
        <v>#VALUE!</v>
      </c>
    </row>
    <row r="2570" spans="55:66" x14ac:dyDescent="0.2">
      <c r="BC2570" s="21" t="e" vm="1">
        <v>#REF!</v>
      </c>
      <c r="BD2570" t="e" vm="1">
        <v>#REF!</v>
      </c>
      <c r="BF2570" t="e" vm="2">
        <f t="shared" si="242"/>
        <v>#VALUE!</v>
      </c>
      <c r="BG2570" t="e" vm="2">
        <f t="shared" si="243"/>
        <v>#VALUE!</v>
      </c>
      <c r="BJ2570" s="21" t="e" vm="1">
        <v>#REF!</v>
      </c>
      <c r="BK2570" t="e" vm="1">
        <v>#REF!</v>
      </c>
      <c r="BM2570" t="e" vm="2">
        <f t="shared" si="244"/>
        <v>#VALUE!</v>
      </c>
      <c r="BN2570" t="e" vm="2">
        <f t="shared" si="245"/>
        <v>#VALUE!</v>
      </c>
    </row>
    <row r="2571" spans="55:66" x14ac:dyDescent="0.2">
      <c r="BC2571" s="21" t="e" vm="1">
        <v>#REF!</v>
      </c>
      <c r="BD2571" t="e" vm="1">
        <v>#REF!</v>
      </c>
      <c r="BF2571" t="e" vm="2">
        <f t="shared" si="242"/>
        <v>#VALUE!</v>
      </c>
      <c r="BG2571" t="e" vm="2">
        <f t="shared" si="243"/>
        <v>#VALUE!</v>
      </c>
      <c r="BJ2571" s="21" t="e" vm="1">
        <v>#REF!</v>
      </c>
      <c r="BK2571" t="e" vm="1">
        <v>#REF!</v>
      </c>
      <c r="BM2571" t="e" vm="2">
        <f t="shared" si="244"/>
        <v>#VALUE!</v>
      </c>
      <c r="BN2571" t="e" vm="2">
        <f t="shared" si="245"/>
        <v>#VALUE!</v>
      </c>
    </row>
    <row r="2572" spans="55:66" x14ac:dyDescent="0.2">
      <c r="BC2572" s="21" t="e" vm="1">
        <v>#REF!</v>
      </c>
      <c r="BD2572" t="e" vm="1">
        <v>#REF!</v>
      </c>
      <c r="BF2572" t="e" vm="2">
        <f t="shared" si="242"/>
        <v>#VALUE!</v>
      </c>
      <c r="BG2572" t="e" vm="2">
        <f t="shared" si="243"/>
        <v>#VALUE!</v>
      </c>
      <c r="BJ2572" s="21" t="e" vm="1">
        <v>#REF!</v>
      </c>
      <c r="BK2572" t="e" vm="1">
        <v>#REF!</v>
      </c>
      <c r="BM2572" t="e" vm="2">
        <f t="shared" si="244"/>
        <v>#VALUE!</v>
      </c>
      <c r="BN2572" t="e" vm="2">
        <f t="shared" si="245"/>
        <v>#VALUE!</v>
      </c>
    </row>
    <row r="2573" spans="55:66" x14ac:dyDescent="0.2">
      <c r="BC2573" s="21" t="e" vm="1">
        <v>#REF!</v>
      </c>
      <c r="BD2573" t="e" vm="1">
        <v>#REF!</v>
      </c>
      <c r="BF2573" t="e" vm="2">
        <f t="shared" si="242"/>
        <v>#VALUE!</v>
      </c>
      <c r="BG2573" t="e" vm="2">
        <f t="shared" si="243"/>
        <v>#VALUE!</v>
      </c>
      <c r="BJ2573" s="21" t="e" vm="1">
        <v>#REF!</v>
      </c>
      <c r="BK2573" t="e" vm="1">
        <v>#REF!</v>
      </c>
      <c r="BM2573" t="e" vm="2">
        <f t="shared" si="244"/>
        <v>#VALUE!</v>
      </c>
      <c r="BN2573" t="e" vm="2">
        <f t="shared" si="245"/>
        <v>#VALUE!</v>
      </c>
    </row>
    <row r="2574" spans="55:66" x14ac:dyDescent="0.2">
      <c r="BC2574" s="21" t="e" vm="1">
        <v>#REF!</v>
      </c>
      <c r="BD2574" t="e" vm="1">
        <v>#REF!</v>
      </c>
      <c r="BF2574" t="e" vm="2">
        <f t="shared" si="242"/>
        <v>#VALUE!</v>
      </c>
      <c r="BG2574" t="e" vm="2">
        <f t="shared" si="243"/>
        <v>#VALUE!</v>
      </c>
      <c r="BJ2574" s="21" t="e" vm="1">
        <v>#REF!</v>
      </c>
      <c r="BK2574" t="e" vm="1">
        <v>#REF!</v>
      </c>
      <c r="BM2574" t="e" vm="2">
        <f t="shared" si="244"/>
        <v>#VALUE!</v>
      </c>
      <c r="BN2574" t="e" vm="2">
        <f t="shared" si="245"/>
        <v>#VALUE!</v>
      </c>
    </row>
    <row r="2575" spans="55:66" x14ac:dyDescent="0.2">
      <c r="BC2575" s="21" t="e" vm="1">
        <v>#REF!</v>
      </c>
      <c r="BD2575" t="e" vm="1">
        <v>#REF!</v>
      </c>
      <c r="BF2575" t="e" vm="2">
        <f t="shared" si="242"/>
        <v>#VALUE!</v>
      </c>
      <c r="BG2575" t="e" vm="2">
        <f t="shared" si="243"/>
        <v>#VALUE!</v>
      </c>
      <c r="BJ2575" s="21" t="e" vm="1">
        <v>#REF!</v>
      </c>
      <c r="BK2575" t="e" vm="1">
        <v>#REF!</v>
      </c>
      <c r="BM2575" t="e" vm="2">
        <f t="shared" si="244"/>
        <v>#VALUE!</v>
      </c>
      <c r="BN2575" t="e" vm="2">
        <f t="shared" si="245"/>
        <v>#VALUE!</v>
      </c>
    </row>
    <row r="2576" spans="55:66" x14ac:dyDescent="0.2">
      <c r="BC2576" s="21" t="e" vm="1">
        <v>#REF!</v>
      </c>
      <c r="BD2576" t="e" vm="1">
        <v>#REF!</v>
      </c>
      <c r="BF2576" t="e" vm="2">
        <f t="shared" si="242"/>
        <v>#VALUE!</v>
      </c>
      <c r="BG2576" t="e" vm="2">
        <f t="shared" si="243"/>
        <v>#VALUE!</v>
      </c>
      <c r="BJ2576" s="21" t="e" vm="1">
        <v>#REF!</v>
      </c>
      <c r="BK2576" t="e" vm="1">
        <v>#REF!</v>
      </c>
      <c r="BM2576" t="e" vm="2">
        <f t="shared" si="244"/>
        <v>#VALUE!</v>
      </c>
      <c r="BN2576" t="e" vm="2">
        <f t="shared" si="245"/>
        <v>#VALUE!</v>
      </c>
    </row>
    <row r="2577" spans="55:66" x14ac:dyDescent="0.2">
      <c r="BC2577" s="21" t="e" vm="1">
        <v>#REF!</v>
      </c>
      <c r="BD2577" t="e" vm="1">
        <v>#REF!</v>
      </c>
      <c r="BF2577" t="e" vm="2">
        <f t="shared" si="242"/>
        <v>#VALUE!</v>
      </c>
      <c r="BG2577" t="e" vm="2">
        <f t="shared" si="243"/>
        <v>#VALUE!</v>
      </c>
      <c r="BJ2577" s="21" t="e" vm="1">
        <v>#REF!</v>
      </c>
      <c r="BK2577" t="e" vm="1">
        <v>#REF!</v>
      </c>
      <c r="BM2577" t="e" vm="2">
        <f t="shared" si="244"/>
        <v>#VALUE!</v>
      </c>
      <c r="BN2577" t="e" vm="2">
        <f t="shared" si="245"/>
        <v>#VALUE!</v>
      </c>
    </row>
    <row r="2578" spans="55:66" x14ac:dyDescent="0.2">
      <c r="BC2578" s="21" t="e" vm="1">
        <v>#REF!</v>
      </c>
      <c r="BD2578" t="e" vm="1">
        <v>#REF!</v>
      </c>
      <c r="BF2578" t="e" vm="2">
        <f t="shared" si="242"/>
        <v>#VALUE!</v>
      </c>
      <c r="BG2578" t="e" vm="2">
        <f t="shared" si="243"/>
        <v>#VALUE!</v>
      </c>
      <c r="BJ2578" s="21" t="e" vm="1">
        <v>#REF!</v>
      </c>
      <c r="BK2578" t="e" vm="1">
        <v>#REF!</v>
      </c>
      <c r="BM2578" t="e" vm="2">
        <f t="shared" si="244"/>
        <v>#VALUE!</v>
      </c>
      <c r="BN2578" t="e" vm="2">
        <f t="shared" si="245"/>
        <v>#VALUE!</v>
      </c>
    </row>
    <row r="2579" spans="55:66" x14ac:dyDescent="0.2">
      <c r="BC2579" s="21" t="e" vm="1">
        <v>#REF!</v>
      </c>
      <c r="BD2579" t="e" vm="1">
        <v>#REF!</v>
      </c>
      <c r="BF2579" t="e" vm="2">
        <f t="shared" si="242"/>
        <v>#VALUE!</v>
      </c>
      <c r="BG2579" t="e" vm="2">
        <f t="shared" si="243"/>
        <v>#VALUE!</v>
      </c>
      <c r="BJ2579" s="21" t="e" vm="1">
        <v>#REF!</v>
      </c>
      <c r="BK2579" t="e" vm="1">
        <v>#REF!</v>
      </c>
      <c r="BM2579" t="e" vm="2">
        <f t="shared" si="244"/>
        <v>#VALUE!</v>
      </c>
      <c r="BN2579" t="e" vm="2">
        <f t="shared" si="245"/>
        <v>#VALUE!</v>
      </c>
    </row>
    <row r="2580" spans="55:66" x14ac:dyDescent="0.2">
      <c r="BC2580" s="21" t="e" vm="1">
        <v>#REF!</v>
      </c>
      <c r="BD2580" t="e" vm="1">
        <v>#REF!</v>
      </c>
      <c r="BF2580" t="e" vm="2">
        <f t="shared" si="242"/>
        <v>#VALUE!</v>
      </c>
      <c r="BG2580" t="e" vm="2">
        <f t="shared" si="243"/>
        <v>#VALUE!</v>
      </c>
      <c r="BJ2580" s="21" t="e" vm="1">
        <v>#REF!</v>
      </c>
      <c r="BK2580" t="e" vm="1">
        <v>#REF!</v>
      </c>
      <c r="BM2580" t="e" vm="2">
        <f t="shared" si="244"/>
        <v>#VALUE!</v>
      </c>
      <c r="BN2580" t="e" vm="2">
        <f t="shared" si="245"/>
        <v>#VALUE!</v>
      </c>
    </row>
    <row r="2581" spans="55:66" x14ac:dyDescent="0.2">
      <c r="BC2581" s="21" t="e" vm="1">
        <v>#REF!</v>
      </c>
      <c r="BD2581" t="e" vm="1">
        <v>#REF!</v>
      </c>
      <c r="BF2581" t="e" vm="2">
        <f t="shared" si="242"/>
        <v>#VALUE!</v>
      </c>
      <c r="BG2581" t="e" vm="2">
        <f t="shared" si="243"/>
        <v>#VALUE!</v>
      </c>
      <c r="BJ2581" s="21" t="e" vm="1">
        <v>#REF!</v>
      </c>
      <c r="BK2581" t="e" vm="1">
        <v>#REF!</v>
      </c>
      <c r="BM2581" t="e" vm="2">
        <f t="shared" si="244"/>
        <v>#VALUE!</v>
      </c>
      <c r="BN2581" t="e" vm="2">
        <f t="shared" si="245"/>
        <v>#VALUE!</v>
      </c>
    </row>
    <row r="2582" spans="55:66" x14ac:dyDescent="0.2">
      <c r="BC2582" s="21" t="e" vm="1">
        <v>#REF!</v>
      </c>
      <c r="BD2582" t="e" vm="1">
        <v>#REF!</v>
      </c>
      <c r="BF2582" t="e" vm="2">
        <f t="shared" si="242"/>
        <v>#VALUE!</v>
      </c>
      <c r="BG2582" t="e" vm="2">
        <f t="shared" si="243"/>
        <v>#VALUE!</v>
      </c>
      <c r="BJ2582" s="21" t="e" vm="1">
        <v>#REF!</v>
      </c>
      <c r="BK2582" t="e" vm="1">
        <v>#REF!</v>
      </c>
      <c r="BM2582" t="e" vm="2">
        <f t="shared" si="244"/>
        <v>#VALUE!</v>
      </c>
      <c r="BN2582" t="e" vm="2">
        <f t="shared" si="245"/>
        <v>#VALUE!</v>
      </c>
    </row>
    <row r="2583" spans="55:66" x14ac:dyDescent="0.2">
      <c r="BC2583" s="21" t="e" vm="1">
        <v>#REF!</v>
      </c>
      <c r="BD2583" t="e" vm="1">
        <v>#REF!</v>
      </c>
      <c r="BF2583" t="e" vm="2">
        <f t="shared" si="242"/>
        <v>#VALUE!</v>
      </c>
      <c r="BG2583" t="e" vm="2">
        <f t="shared" si="243"/>
        <v>#VALUE!</v>
      </c>
      <c r="BJ2583" s="21" t="e" vm="1">
        <v>#REF!</v>
      </c>
      <c r="BK2583" t="e" vm="1">
        <v>#REF!</v>
      </c>
      <c r="BM2583" t="e" vm="2">
        <f t="shared" si="244"/>
        <v>#VALUE!</v>
      </c>
      <c r="BN2583" t="e" vm="2">
        <f t="shared" si="245"/>
        <v>#VALUE!</v>
      </c>
    </row>
    <row r="2584" spans="55:66" x14ac:dyDescent="0.2">
      <c r="BC2584" s="21" t="e" vm="1">
        <v>#REF!</v>
      </c>
      <c r="BD2584" t="e" vm="1">
        <v>#REF!</v>
      </c>
      <c r="BF2584" t="e" vm="2">
        <f t="shared" si="242"/>
        <v>#VALUE!</v>
      </c>
      <c r="BG2584" t="e" vm="2">
        <f t="shared" si="243"/>
        <v>#VALUE!</v>
      </c>
      <c r="BJ2584" s="21" t="e" vm="1">
        <v>#REF!</v>
      </c>
      <c r="BK2584" t="e" vm="1">
        <v>#REF!</v>
      </c>
      <c r="BM2584" t="e" vm="2">
        <f t="shared" si="244"/>
        <v>#VALUE!</v>
      </c>
      <c r="BN2584" t="e" vm="2">
        <f t="shared" si="245"/>
        <v>#VALUE!</v>
      </c>
    </row>
    <row r="2585" spans="55:66" x14ac:dyDescent="0.2">
      <c r="BC2585" s="21" t="e" vm="1">
        <v>#REF!</v>
      </c>
      <c r="BD2585" t="e" vm="1">
        <v>#REF!</v>
      </c>
      <c r="BF2585" t="e" vm="2">
        <f t="shared" si="242"/>
        <v>#VALUE!</v>
      </c>
      <c r="BG2585" t="e" vm="2">
        <f t="shared" si="243"/>
        <v>#VALUE!</v>
      </c>
      <c r="BJ2585" s="21" t="e" vm="1">
        <v>#REF!</v>
      </c>
      <c r="BK2585" t="e" vm="1">
        <v>#REF!</v>
      </c>
      <c r="BM2585" t="e" vm="2">
        <f t="shared" si="244"/>
        <v>#VALUE!</v>
      </c>
      <c r="BN2585" t="e" vm="2">
        <f t="shared" si="245"/>
        <v>#VALUE!</v>
      </c>
    </row>
    <row r="2586" spans="55:66" x14ac:dyDescent="0.2">
      <c r="BC2586" s="21" t="e" vm="1">
        <v>#REF!</v>
      </c>
      <c r="BD2586" t="e" vm="1">
        <v>#REF!</v>
      </c>
      <c r="BF2586" t="e" vm="2">
        <f t="shared" si="242"/>
        <v>#VALUE!</v>
      </c>
      <c r="BG2586" t="e" vm="2">
        <f t="shared" si="243"/>
        <v>#VALUE!</v>
      </c>
      <c r="BJ2586" s="21" t="e" vm="1">
        <v>#REF!</v>
      </c>
      <c r="BK2586" t="e" vm="1">
        <v>#REF!</v>
      </c>
      <c r="BM2586" t="e" vm="2">
        <f t="shared" si="244"/>
        <v>#VALUE!</v>
      </c>
      <c r="BN2586" t="e" vm="2">
        <f t="shared" si="245"/>
        <v>#VALUE!</v>
      </c>
    </row>
    <row r="2587" spans="55:66" x14ac:dyDescent="0.2">
      <c r="BC2587" s="21" t="e" vm="1">
        <v>#REF!</v>
      </c>
      <c r="BD2587" t="e" vm="1">
        <v>#REF!</v>
      </c>
      <c r="BF2587" t="e" vm="2">
        <f t="shared" si="242"/>
        <v>#VALUE!</v>
      </c>
      <c r="BG2587" t="e" vm="2">
        <f t="shared" si="243"/>
        <v>#VALUE!</v>
      </c>
      <c r="BJ2587" s="21" t="e" vm="1">
        <v>#REF!</v>
      </c>
      <c r="BK2587" t="e" vm="1">
        <v>#REF!</v>
      </c>
      <c r="BM2587" t="e" vm="2">
        <f t="shared" si="244"/>
        <v>#VALUE!</v>
      </c>
      <c r="BN2587" t="e" vm="2">
        <f t="shared" si="245"/>
        <v>#VALUE!</v>
      </c>
    </row>
    <row r="2588" spans="55:66" x14ac:dyDescent="0.2">
      <c r="BC2588" s="21" t="e" vm="1">
        <v>#REF!</v>
      </c>
      <c r="BD2588" t="e" vm="1">
        <v>#REF!</v>
      </c>
      <c r="BF2588" t="e" vm="2">
        <f t="shared" si="242"/>
        <v>#VALUE!</v>
      </c>
      <c r="BG2588" t="e" vm="2">
        <f t="shared" si="243"/>
        <v>#VALUE!</v>
      </c>
      <c r="BJ2588" s="21" t="e" vm="1">
        <v>#REF!</v>
      </c>
      <c r="BK2588" t="e" vm="1">
        <v>#REF!</v>
      </c>
      <c r="BM2588" t="e" vm="2">
        <f t="shared" si="244"/>
        <v>#VALUE!</v>
      </c>
      <c r="BN2588" t="e" vm="2">
        <f t="shared" si="245"/>
        <v>#VALUE!</v>
      </c>
    </row>
    <row r="2589" spans="55:66" x14ac:dyDescent="0.2">
      <c r="BC2589" s="21" t="e" vm="1">
        <v>#REF!</v>
      </c>
      <c r="BD2589" t="e" vm="1">
        <v>#REF!</v>
      </c>
      <c r="BF2589" t="e" vm="2">
        <f t="shared" si="242"/>
        <v>#VALUE!</v>
      </c>
      <c r="BG2589" t="e" vm="2">
        <f t="shared" si="243"/>
        <v>#VALUE!</v>
      </c>
      <c r="BJ2589" s="21" t="e" vm="1">
        <v>#REF!</v>
      </c>
      <c r="BK2589" t="e" vm="1">
        <v>#REF!</v>
      </c>
      <c r="BM2589" t="e" vm="2">
        <f t="shared" si="244"/>
        <v>#VALUE!</v>
      </c>
      <c r="BN2589" t="e" vm="2">
        <f t="shared" si="245"/>
        <v>#VALUE!</v>
      </c>
    </row>
    <row r="2590" spans="55:66" x14ac:dyDescent="0.2">
      <c r="BC2590" s="21" t="e" vm="1">
        <v>#REF!</v>
      </c>
      <c r="BD2590" t="e" vm="1">
        <v>#REF!</v>
      </c>
      <c r="BF2590" t="e" vm="2">
        <f t="shared" si="242"/>
        <v>#VALUE!</v>
      </c>
      <c r="BG2590" t="e" vm="2">
        <f t="shared" si="243"/>
        <v>#VALUE!</v>
      </c>
      <c r="BJ2590" s="21" t="e" vm="1">
        <v>#REF!</v>
      </c>
      <c r="BK2590" t="e" vm="1">
        <v>#REF!</v>
      </c>
      <c r="BM2590" t="e" vm="2">
        <f t="shared" si="244"/>
        <v>#VALUE!</v>
      </c>
      <c r="BN2590" t="e" vm="2">
        <f t="shared" si="245"/>
        <v>#VALUE!</v>
      </c>
    </row>
    <row r="2591" spans="55:66" x14ac:dyDescent="0.2">
      <c r="BC2591" s="21" t="e" vm="1">
        <v>#REF!</v>
      </c>
      <c r="BD2591" t="e" vm="1">
        <v>#REF!</v>
      </c>
      <c r="BF2591" t="e" vm="2">
        <f t="shared" si="242"/>
        <v>#VALUE!</v>
      </c>
      <c r="BG2591" t="e" vm="2">
        <f t="shared" si="243"/>
        <v>#VALUE!</v>
      </c>
      <c r="BJ2591" s="21" t="e" vm="1">
        <v>#REF!</v>
      </c>
      <c r="BK2591" t="e" vm="1">
        <v>#REF!</v>
      </c>
      <c r="BM2591" t="e" vm="2">
        <f t="shared" si="244"/>
        <v>#VALUE!</v>
      </c>
      <c r="BN2591" t="e" vm="2">
        <f t="shared" si="245"/>
        <v>#VALUE!</v>
      </c>
    </row>
    <row r="2592" spans="55:66" x14ac:dyDescent="0.2">
      <c r="BC2592" s="21" t="e" vm="1">
        <v>#REF!</v>
      </c>
      <c r="BD2592" t="e" vm="1">
        <v>#REF!</v>
      </c>
      <c r="BF2592" t="e" vm="2">
        <f t="shared" si="242"/>
        <v>#VALUE!</v>
      </c>
      <c r="BG2592" t="e" vm="2">
        <f t="shared" si="243"/>
        <v>#VALUE!</v>
      </c>
      <c r="BJ2592" s="21" t="e" vm="1">
        <v>#REF!</v>
      </c>
      <c r="BK2592" t="e" vm="1">
        <v>#REF!</v>
      </c>
      <c r="BM2592" t="e" vm="2">
        <f t="shared" si="244"/>
        <v>#VALUE!</v>
      </c>
      <c r="BN2592" t="e" vm="2">
        <f t="shared" si="245"/>
        <v>#VALUE!</v>
      </c>
    </row>
    <row r="2593" spans="55:66" x14ac:dyDescent="0.2">
      <c r="BC2593" s="21" t="e" vm="1">
        <v>#REF!</v>
      </c>
      <c r="BD2593" t="e" vm="1">
        <v>#REF!</v>
      </c>
      <c r="BF2593" t="e" vm="2">
        <f t="shared" si="242"/>
        <v>#VALUE!</v>
      </c>
      <c r="BG2593" t="e" vm="2">
        <f t="shared" si="243"/>
        <v>#VALUE!</v>
      </c>
      <c r="BJ2593" s="21" t="e" vm="1">
        <v>#REF!</v>
      </c>
      <c r="BK2593" t="e" vm="1">
        <v>#REF!</v>
      </c>
      <c r="BM2593" t="e" vm="2">
        <f t="shared" si="244"/>
        <v>#VALUE!</v>
      </c>
      <c r="BN2593" t="e" vm="2">
        <f t="shared" si="245"/>
        <v>#VALUE!</v>
      </c>
    </row>
    <row r="2594" spans="55:66" x14ac:dyDescent="0.2">
      <c r="BC2594" s="21" t="e" vm="1">
        <v>#REF!</v>
      </c>
      <c r="BD2594" t="e" vm="1">
        <v>#REF!</v>
      </c>
      <c r="BF2594" t="e" vm="2">
        <f t="shared" si="242"/>
        <v>#VALUE!</v>
      </c>
      <c r="BG2594" t="e" vm="2">
        <f t="shared" si="243"/>
        <v>#VALUE!</v>
      </c>
      <c r="BJ2594" s="21" t="e" vm="1">
        <v>#REF!</v>
      </c>
      <c r="BK2594" t="e" vm="1">
        <v>#REF!</v>
      </c>
      <c r="BM2594" t="e" vm="2">
        <f t="shared" si="244"/>
        <v>#VALUE!</v>
      </c>
      <c r="BN2594" t="e" vm="2">
        <f t="shared" si="245"/>
        <v>#VALUE!</v>
      </c>
    </row>
    <row r="2595" spans="55:66" x14ac:dyDescent="0.2">
      <c r="BC2595" s="21" t="e" vm="1">
        <v>#REF!</v>
      </c>
      <c r="BD2595" t="e" vm="1">
        <v>#REF!</v>
      </c>
      <c r="BF2595" t="e" vm="2">
        <f t="shared" si="242"/>
        <v>#VALUE!</v>
      </c>
      <c r="BG2595" t="e" vm="2">
        <f t="shared" si="243"/>
        <v>#VALUE!</v>
      </c>
      <c r="BJ2595" s="21" t="e" vm="1">
        <v>#REF!</v>
      </c>
      <c r="BK2595" t="e" vm="1">
        <v>#REF!</v>
      </c>
      <c r="BM2595" t="e" vm="2">
        <f t="shared" si="244"/>
        <v>#VALUE!</v>
      </c>
      <c r="BN2595" t="e" vm="2">
        <f t="shared" si="245"/>
        <v>#VALUE!</v>
      </c>
    </row>
    <row r="2596" spans="55:66" x14ac:dyDescent="0.2">
      <c r="BC2596" s="21" t="e" vm="1">
        <v>#REF!</v>
      </c>
      <c r="BD2596" t="e" vm="1">
        <v>#REF!</v>
      </c>
      <c r="BF2596" t="e" vm="2">
        <f t="shared" si="242"/>
        <v>#VALUE!</v>
      </c>
      <c r="BG2596" t="e" vm="2">
        <f t="shared" si="243"/>
        <v>#VALUE!</v>
      </c>
      <c r="BJ2596" s="21" t="e" vm="1">
        <v>#REF!</v>
      </c>
      <c r="BK2596" t="e" vm="1">
        <v>#REF!</v>
      </c>
      <c r="BM2596" t="e" vm="2">
        <f t="shared" si="244"/>
        <v>#VALUE!</v>
      </c>
      <c r="BN2596" t="e" vm="2">
        <f t="shared" si="245"/>
        <v>#VALUE!</v>
      </c>
    </row>
    <row r="2597" spans="55:66" x14ac:dyDescent="0.2">
      <c r="BC2597" s="21" t="e" vm="1">
        <v>#REF!</v>
      </c>
      <c r="BD2597" t="e" vm="1">
        <v>#REF!</v>
      </c>
      <c r="BF2597" t="e" vm="2">
        <f t="shared" si="242"/>
        <v>#VALUE!</v>
      </c>
      <c r="BG2597" t="e" vm="2">
        <f t="shared" si="243"/>
        <v>#VALUE!</v>
      </c>
      <c r="BJ2597" s="21" t="e" vm="1">
        <v>#REF!</v>
      </c>
      <c r="BK2597" t="e" vm="1">
        <v>#REF!</v>
      </c>
      <c r="BM2597" t="e" vm="2">
        <f t="shared" si="244"/>
        <v>#VALUE!</v>
      </c>
      <c r="BN2597" t="e" vm="2">
        <f t="shared" si="245"/>
        <v>#VALUE!</v>
      </c>
    </row>
    <row r="2598" spans="55:66" x14ac:dyDescent="0.2">
      <c r="BC2598" s="21" t="e" vm="1">
        <v>#REF!</v>
      </c>
      <c r="BD2598" t="e" vm="1">
        <v>#REF!</v>
      </c>
      <c r="BF2598" t="e" vm="2">
        <f t="shared" si="242"/>
        <v>#VALUE!</v>
      </c>
      <c r="BG2598" t="e" vm="2">
        <f t="shared" si="243"/>
        <v>#VALUE!</v>
      </c>
      <c r="BJ2598" s="21" t="e" vm="1">
        <v>#REF!</v>
      </c>
      <c r="BK2598" t="e" vm="1">
        <v>#REF!</v>
      </c>
      <c r="BM2598" t="e" vm="2">
        <f t="shared" si="244"/>
        <v>#VALUE!</v>
      </c>
      <c r="BN2598" t="e" vm="2">
        <f t="shared" si="245"/>
        <v>#VALUE!</v>
      </c>
    </row>
    <row r="2599" spans="55:66" x14ac:dyDescent="0.2">
      <c r="BC2599" s="21" t="e" vm="1">
        <v>#REF!</v>
      </c>
      <c r="BD2599" t="e" vm="1">
        <v>#REF!</v>
      </c>
      <c r="BF2599" t="e" vm="2">
        <f t="shared" si="242"/>
        <v>#VALUE!</v>
      </c>
      <c r="BG2599" t="e" vm="2">
        <f t="shared" si="243"/>
        <v>#VALUE!</v>
      </c>
      <c r="BJ2599" s="21" t="e" vm="1">
        <v>#REF!</v>
      </c>
      <c r="BK2599" t="e" vm="1">
        <v>#REF!</v>
      </c>
      <c r="BM2599" t="e" vm="2">
        <f t="shared" si="244"/>
        <v>#VALUE!</v>
      </c>
      <c r="BN2599" t="e" vm="2">
        <f t="shared" si="245"/>
        <v>#VALUE!</v>
      </c>
    </row>
    <row r="2600" spans="55:66" x14ac:dyDescent="0.2">
      <c r="BC2600" s="21" t="e" vm="1">
        <v>#REF!</v>
      </c>
      <c r="BD2600" t="e" vm="1">
        <v>#REF!</v>
      </c>
      <c r="BF2600" t="e" vm="2">
        <f t="shared" si="242"/>
        <v>#VALUE!</v>
      </c>
      <c r="BG2600" t="e" vm="2">
        <f t="shared" si="243"/>
        <v>#VALUE!</v>
      </c>
      <c r="BJ2600" s="21" t="e" vm="1">
        <v>#REF!</v>
      </c>
      <c r="BK2600" t="e" vm="1">
        <v>#REF!</v>
      </c>
      <c r="BM2600" t="e" vm="2">
        <f t="shared" si="244"/>
        <v>#VALUE!</v>
      </c>
      <c r="BN2600" t="e" vm="2">
        <f t="shared" si="245"/>
        <v>#VALUE!</v>
      </c>
    </row>
    <row r="2601" spans="55:66" x14ac:dyDescent="0.2">
      <c r="BC2601" s="21" t="e" vm="1">
        <v>#REF!</v>
      </c>
      <c r="BD2601" t="e" vm="1">
        <v>#REF!</v>
      </c>
      <c r="BF2601" t="e" vm="2">
        <f t="shared" si="242"/>
        <v>#VALUE!</v>
      </c>
      <c r="BG2601" t="e" vm="2">
        <f t="shared" si="243"/>
        <v>#VALUE!</v>
      </c>
      <c r="BJ2601" s="21" t="e" vm="1">
        <v>#REF!</v>
      </c>
      <c r="BK2601" t="e" vm="1">
        <v>#REF!</v>
      </c>
      <c r="BM2601" t="e" vm="2">
        <f t="shared" si="244"/>
        <v>#VALUE!</v>
      </c>
      <c r="BN2601" t="e" vm="2">
        <f t="shared" si="245"/>
        <v>#VALUE!</v>
      </c>
    </row>
    <row r="2602" spans="55:66" x14ac:dyDescent="0.2">
      <c r="BC2602" s="21" t="e" vm="1">
        <v>#REF!</v>
      </c>
      <c r="BD2602" t="e" vm="1">
        <v>#REF!</v>
      </c>
      <c r="BF2602" t="e" vm="2">
        <f t="shared" si="242"/>
        <v>#VALUE!</v>
      </c>
      <c r="BG2602" t="e" vm="2">
        <f t="shared" si="243"/>
        <v>#VALUE!</v>
      </c>
      <c r="BJ2602" s="21" t="e" vm="1">
        <v>#REF!</v>
      </c>
      <c r="BK2602" t="e" vm="1">
        <v>#REF!</v>
      </c>
      <c r="BM2602" t="e" vm="2">
        <f t="shared" si="244"/>
        <v>#VALUE!</v>
      </c>
      <c r="BN2602" t="e" vm="2">
        <f t="shared" si="245"/>
        <v>#VALUE!</v>
      </c>
    </row>
    <row r="2603" spans="55:66" x14ac:dyDescent="0.2">
      <c r="BC2603" s="21" t="e" vm="1">
        <v>#REF!</v>
      </c>
      <c r="BD2603" t="e" vm="1">
        <v>#REF!</v>
      </c>
      <c r="BF2603" t="e" vm="2">
        <f t="shared" si="242"/>
        <v>#VALUE!</v>
      </c>
      <c r="BG2603" t="e" vm="2">
        <f t="shared" si="243"/>
        <v>#VALUE!</v>
      </c>
      <c r="BJ2603" s="21" t="e" vm="1">
        <v>#REF!</v>
      </c>
      <c r="BK2603" t="e" vm="1">
        <v>#REF!</v>
      </c>
      <c r="BM2603" t="e" vm="2">
        <f t="shared" si="244"/>
        <v>#VALUE!</v>
      </c>
      <c r="BN2603" t="e" vm="2">
        <f t="shared" si="245"/>
        <v>#VALUE!</v>
      </c>
    </row>
    <row r="2604" spans="55:66" x14ac:dyDescent="0.2">
      <c r="BC2604" s="21" t="e" vm="1">
        <v>#REF!</v>
      </c>
      <c r="BD2604" t="e" vm="1">
        <v>#REF!</v>
      </c>
      <c r="BF2604" t="e" vm="2">
        <f t="shared" si="242"/>
        <v>#VALUE!</v>
      </c>
      <c r="BG2604" t="e" vm="2">
        <f t="shared" si="243"/>
        <v>#VALUE!</v>
      </c>
      <c r="BJ2604" s="21" t="e" vm="1">
        <v>#REF!</v>
      </c>
      <c r="BK2604" t="e" vm="1">
        <v>#REF!</v>
      </c>
      <c r="BM2604" t="e" vm="2">
        <f t="shared" si="244"/>
        <v>#VALUE!</v>
      </c>
      <c r="BN2604" t="e" vm="2">
        <f t="shared" si="245"/>
        <v>#VALUE!</v>
      </c>
    </row>
    <row r="2605" spans="55:66" x14ac:dyDescent="0.2">
      <c r="BC2605" s="21" t="e" vm="1">
        <v>#REF!</v>
      </c>
      <c r="BD2605" t="e" vm="1">
        <v>#REF!</v>
      </c>
      <c r="BF2605" t="e" vm="2">
        <f t="shared" si="242"/>
        <v>#VALUE!</v>
      </c>
      <c r="BG2605" t="e" vm="2">
        <f t="shared" si="243"/>
        <v>#VALUE!</v>
      </c>
      <c r="BJ2605" s="21" t="e" vm="1">
        <v>#REF!</v>
      </c>
      <c r="BK2605" t="e" vm="1">
        <v>#REF!</v>
      </c>
      <c r="BM2605" t="e" vm="2">
        <f t="shared" si="244"/>
        <v>#VALUE!</v>
      </c>
      <c r="BN2605" t="e" vm="2">
        <f t="shared" si="245"/>
        <v>#VALUE!</v>
      </c>
    </row>
    <row r="2606" spans="55:66" x14ac:dyDescent="0.2">
      <c r="BC2606" s="21" t="e" vm="1">
        <v>#REF!</v>
      </c>
      <c r="BD2606" t="e" vm="1">
        <v>#REF!</v>
      </c>
      <c r="BF2606" t="e" vm="2">
        <f t="shared" si="242"/>
        <v>#VALUE!</v>
      </c>
      <c r="BG2606" t="e" vm="2">
        <f t="shared" si="243"/>
        <v>#VALUE!</v>
      </c>
      <c r="BJ2606" s="21" t="e" vm="1">
        <v>#REF!</v>
      </c>
      <c r="BK2606" t="e" vm="1">
        <v>#REF!</v>
      </c>
      <c r="BM2606" t="e" vm="2">
        <f t="shared" si="244"/>
        <v>#VALUE!</v>
      </c>
      <c r="BN2606" t="e" vm="2">
        <f t="shared" si="245"/>
        <v>#VALUE!</v>
      </c>
    </row>
    <row r="2607" spans="55:66" x14ac:dyDescent="0.2">
      <c r="BC2607" s="21" t="e" vm="1">
        <v>#REF!</v>
      </c>
      <c r="BD2607" t="e" vm="1">
        <v>#REF!</v>
      </c>
      <c r="BF2607" t="e" vm="2">
        <f t="shared" si="242"/>
        <v>#VALUE!</v>
      </c>
      <c r="BG2607" t="e" vm="2">
        <f t="shared" si="243"/>
        <v>#VALUE!</v>
      </c>
      <c r="BJ2607" s="21" t="e" vm="1">
        <v>#REF!</v>
      </c>
      <c r="BK2607" t="e" vm="1">
        <v>#REF!</v>
      </c>
      <c r="BM2607" t="e" vm="2">
        <f t="shared" si="244"/>
        <v>#VALUE!</v>
      </c>
      <c r="BN2607" t="e" vm="2">
        <f t="shared" si="245"/>
        <v>#VALUE!</v>
      </c>
    </row>
    <row r="2608" spans="55:66" x14ac:dyDescent="0.2">
      <c r="BC2608" s="21" t="e" vm="1">
        <v>#REF!</v>
      </c>
      <c r="BD2608" t="e" vm="1">
        <v>#REF!</v>
      </c>
      <c r="BF2608" t="e" vm="2">
        <f t="shared" si="242"/>
        <v>#VALUE!</v>
      </c>
      <c r="BG2608" t="e" vm="2">
        <f t="shared" si="243"/>
        <v>#VALUE!</v>
      </c>
      <c r="BJ2608" s="21" t="e" vm="1">
        <v>#REF!</v>
      </c>
      <c r="BK2608" t="e" vm="1">
        <v>#REF!</v>
      </c>
      <c r="BM2608" t="e" vm="2">
        <f t="shared" si="244"/>
        <v>#VALUE!</v>
      </c>
      <c r="BN2608" t="e" vm="2">
        <f t="shared" si="245"/>
        <v>#VALUE!</v>
      </c>
    </row>
    <row r="2609" spans="55:66" x14ac:dyDescent="0.2">
      <c r="BC2609" s="21" t="e" vm="1">
        <v>#REF!</v>
      </c>
      <c r="BD2609" t="e" vm="1">
        <v>#REF!</v>
      </c>
      <c r="BF2609" t="e" vm="2">
        <f t="shared" si="242"/>
        <v>#VALUE!</v>
      </c>
      <c r="BG2609" t="e" vm="2">
        <f t="shared" si="243"/>
        <v>#VALUE!</v>
      </c>
      <c r="BJ2609" s="21" t="e" vm="1">
        <v>#REF!</v>
      </c>
      <c r="BK2609" t="e" vm="1">
        <v>#REF!</v>
      </c>
      <c r="BM2609" t="e" vm="2">
        <f t="shared" si="244"/>
        <v>#VALUE!</v>
      </c>
      <c r="BN2609" t="e" vm="2">
        <f t="shared" si="245"/>
        <v>#VALUE!</v>
      </c>
    </row>
    <row r="2610" spans="55:66" x14ac:dyDescent="0.2">
      <c r="BC2610" s="21" t="e" vm="1">
        <v>#REF!</v>
      </c>
      <c r="BD2610" t="e" vm="1">
        <v>#REF!</v>
      </c>
      <c r="BF2610" t="e" vm="2">
        <f t="shared" si="242"/>
        <v>#VALUE!</v>
      </c>
      <c r="BG2610" t="e" vm="2">
        <f t="shared" si="243"/>
        <v>#VALUE!</v>
      </c>
      <c r="BJ2610" s="21" t="e" vm="1">
        <v>#REF!</v>
      </c>
      <c r="BK2610" t="e" vm="1">
        <v>#REF!</v>
      </c>
      <c r="BM2610" t="e" vm="2">
        <f t="shared" si="244"/>
        <v>#VALUE!</v>
      </c>
      <c r="BN2610" t="e" vm="2">
        <f t="shared" si="245"/>
        <v>#VALUE!</v>
      </c>
    </row>
    <row r="2611" spans="55:66" x14ac:dyDescent="0.2">
      <c r="BC2611" s="21" t="e" vm="1">
        <v>#REF!</v>
      </c>
      <c r="BD2611" t="e" vm="1">
        <v>#REF!</v>
      </c>
      <c r="BF2611" t="e" vm="2">
        <f t="shared" si="242"/>
        <v>#VALUE!</v>
      </c>
      <c r="BG2611" t="e" vm="2">
        <f t="shared" si="243"/>
        <v>#VALUE!</v>
      </c>
      <c r="BJ2611" s="21" t="e" vm="1">
        <v>#REF!</v>
      </c>
      <c r="BK2611" t="e" vm="1">
        <v>#REF!</v>
      </c>
      <c r="BM2611" t="e" vm="2">
        <f t="shared" si="244"/>
        <v>#VALUE!</v>
      </c>
      <c r="BN2611" t="e" vm="2">
        <f t="shared" si="245"/>
        <v>#VALUE!</v>
      </c>
    </row>
    <row r="2612" spans="55:66" x14ac:dyDescent="0.2">
      <c r="BC2612" s="21" t="e" vm="1">
        <v>#REF!</v>
      </c>
      <c r="BD2612" t="e" vm="1">
        <v>#REF!</v>
      </c>
      <c r="BF2612" t="e" vm="2">
        <f t="shared" si="242"/>
        <v>#VALUE!</v>
      </c>
      <c r="BG2612" t="e" vm="2">
        <f t="shared" si="243"/>
        <v>#VALUE!</v>
      </c>
      <c r="BJ2612" s="21" t="e" vm="1">
        <v>#REF!</v>
      </c>
      <c r="BK2612" t="e" vm="1">
        <v>#REF!</v>
      </c>
      <c r="BM2612" t="e" vm="2">
        <f t="shared" si="244"/>
        <v>#VALUE!</v>
      </c>
      <c r="BN2612" t="e" vm="2">
        <f t="shared" si="245"/>
        <v>#VALUE!</v>
      </c>
    </row>
    <row r="2613" spans="55:66" x14ac:dyDescent="0.2">
      <c r="BC2613" s="21" t="e" vm="1">
        <v>#REF!</v>
      </c>
      <c r="BD2613" t="e" vm="1">
        <v>#REF!</v>
      </c>
      <c r="BF2613" t="e" vm="2">
        <f t="shared" si="242"/>
        <v>#VALUE!</v>
      </c>
      <c r="BG2613" t="e" vm="2">
        <f t="shared" si="243"/>
        <v>#VALUE!</v>
      </c>
      <c r="BJ2613" s="21" t="e" vm="1">
        <v>#REF!</v>
      </c>
      <c r="BK2613" t="e" vm="1">
        <v>#REF!</v>
      </c>
      <c r="BM2613" t="e" vm="2">
        <f t="shared" si="244"/>
        <v>#VALUE!</v>
      </c>
      <c r="BN2613" t="e" vm="2">
        <f t="shared" si="245"/>
        <v>#VALUE!</v>
      </c>
    </row>
    <row r="2614" spans="55:66" x14ac:dyDescent="0.2">
      <c r="BC2614" s="21" t="e" vm="1">
        <v>#REF!</v>
      </c>
      <c r="BD2614" t="e" vm="1">
        <v>#REF!</v>
      </c>
      <c r="BF2614" t="e" vm="2">
        <f t="shared" si="242"/>
        <v>#VALUE!</v>
      </c>
      <c r="BG2614" t="e" vm="2">
        <f t="shared" si="243"/>
        <v>#VALUE!</v>
      </c>
      <c r="BJ2614" s="21" t="e" vm="1">
        <v>#REF!</v>
      </c>
      <c r="BK2614" t="e" vm="1">
        <v>#REF!</v>
      </c>
      <c r="BM2614" t="e" vm="2">
        <f t="shared" si="244"/>
        <v>#VALUE!</v>
      </c>
      <c r="BN2614" t="e" vm="2">
        <f t="shared" si="245"/>
        <v>#VALUE!</v>
      </c>
    </row>
    <row r="2615" spans="55:66" x14ac:dyDescent="0.2">
      <c r="BC2615" s="21" t="e" vm="1">
        <v>#REF!</v>
      </c>
      <c r="BD2615" t="e" vm="1">
        <v>#REF!</v>
      </c>
      <c r="BF2615" t="e" vm="2">
        <f t="shared" si="242"/>
        <v>#VALUE!</v>
      </c>
      <c r="BG2615" t="e" vm="2">
        <f t="shared" si="243"/>
        <v>#VALUE!</v>
      </c>
      <c r="BJ2615" s="21" t="e" vm="1">
        <v>#REF!</v>
      </c>
      <c r="BK2615" t="e" vm="1">
        <v>#REF!</v>
      </c>
      <c r="BM2615" t="e" vm="2">
        <f t="shared" si="244"/>
        <v>#VALUE!</v>
      </c>
      <c r="BN2615" t="e" vm="2">
        <f t="shared" si="245"/>
        <v>#VALUE!</v>
      </c>
    </row>
    <row r="2616" spans="55:66" x14ac:dyDescent="0.2">
      <c r="BC2616" s="21" t="e" vm="1">
        <v>#REF!</v>
      </c>
      <c r="BD2616" t="e" vm="1">
        <v>#REF!</v>
      </c>
      <c r="BF2616" t="e" vm="2">
        <f t="shared" si="242"/>
        <v>#VALUE!</v>
      </c>
      <c r="BG2616" t="e" vm="2">
        <f t="shared" si="243"/>
        <v>#VALUE!</v>
      </c>
      <c r="BJ2616" s="21" t="e" vm="1">
        <v>#REF!</v>
      </c>
      <c r="BK2616" t="e" vm="1">
        <v>#REF!</v>
      </c>
      <c r="BM2616" t="e" vm="2">
        <f t="shared" si="244"/>
        <v>#VALUE!</v>
      </c>
      <c r="BN2616" t="e" vm="2">
        <f t="shared" si="245"/>
        <v>#VALUE!</v>
      </c>
    </row>
    <row r="2617" spans="55:66" x14ac:dyDescent="0.2">
      <c r="BC2617" s="21" t="e" vm="1">
        <v>#REF!</v>
      </c>
      <c r="BD2617" t="e" vm="1">
        <v>#REF!</v>
      </c>
      <c r="BF2617" t="e" vm="2">
        <f t="shared" si="242"/>
        <v>#VALUE!</v>
      </c>
      <c r="BG2617" t="e" vm="2">
        <f t="shared" si="243"/>
        <v>#VALUE!</v>
      </c>
      <c r="BJ2617" s="21" t="e" vm="1">
        <v>#REF!</v>
      </c>
      <c r="BK2617" t="e" vm="1">
        <v>#REF!</v>
      </c>
      <c r="BM2617" t="e" vm="2">
        <f t="shared" si="244"/>
        <v>#VALUE!</v>
      </c>
      <c r="BN2617" t="e" vm="2">
        <f t="shared" si="245"/>
        <v>#VALUE!</v>
      </c>
    </row>
    <row r="2618" spans="55:66" x14ac:dyDescent="0.2">
      <c r="BC2618" s="21" t="e" vm="1">
        <v>#REF!</v>
      </c>
      <c r="BD2618" t="e" vm="1">
        <v>#REF!</v>
      </c>
      <c r="BF2618" t="e" vm="2">
        <f t="shared" si="242"/>
        <v>#VALUE!</v>
      </c>
      <c r="BG2618" t="e" vm="2">
        <f t="shared" si="243"/>
        <v>#VALUE!</v>
      </c>
      <c r="BJ2618" s="21" t="e" vm="1">
        <v>#REF!</v>
      </c>
      <c r="BK2618" t="e" vm="1">
        <v>#REF!</v>
      </c>
      <c r="BM2618" t="e" vm="2">
        <f t="shared" si="244"/>
        <v>#VALUE!</v>
      </c>
      <c r="BN2618" t="e" vm="2">
        <f t="shared" si="245"/>
        <v>#VALUE!</v>
      </c>
    </row>
    <row r="2619" spans="55:66" x14ac:dyDescent="0.2">
      <c r="BC2619" s="21" t="e" vm="1">
        <v>#REF!</v>
      </c>
      <c r="BD2619" t="e" vm="1">
        <v>#REF!</v>
      </c>
      <c r="BF2619" t="e" vm="2">
        <f t="shared" si="242"/>
        <v>#VALUE!</v>
      </c>
      <c r="BG2619" t="e" vm="2">
        <f t="shared" si="243"/>
        <v>#VALUE!</v>
      </c>
      <c r="BJ2619" s="21" t="e" vm="1">
        <v>#REF!</v>
      </c>
      <c r="BK2619" t="e" vm="1">
        <v>#REF!</v>
      </c>
      <c r="BM2619" t="e" vm="2">
        <f t="shared" si="244"/>
        <v>#VALUE!</v>
      </c>
      <c r="BN2619" t="e" vm="2">
        <f t="shared" si="245"/>
        <v>#VALUE!</v>
      </c>
    </row>
    <row r="2620" spans="55:66" x14ac:dyDescent="0.2">
      <c r="BC2620" s="21" t="e" vm="1">
        <v>#REF!</v>
      </c>
      <c r="BD2620" t="e" vm="1">
        <v>#REF!</v>
      </c>
      <c r="BF2620" t="e" vm="2">
        <f t="shared" si="242"/>
        <v>#VALUE!</v>
      </c>
      <c r="BG2620" t="e" vm="2">
        <f t="shared" si="243"/>
        <v>#VALUE!</v>
      </c>
      <c r="BJ2620" s="21" t="e" vm="1">
        <v>#REF!</v>
      </c>
      <c r="BK2620" t="e" vm="1">
        <v>#REF!</v>
      </c>
      <c r="BM2620" t="e" vm="2">
        <f t="shared" si="244"/>
        <v>#VALUE!</v>
      </c>
      <c r="BN2620" t="e" vm="2">
        <f t="shared" si="245"/>
        <v>#VALUE!</v>
      </c>
    </row>
    <row r="2621" spans="55:66" x14ac:dyDescent="0.2">
      <c r="BC2621" s="21" t="e" vm="1">
        <v>#REF!</v>
      </c>
      <c r="BD2621" t="e" vm="1">
        <v>#REF!</v>
      </c>
      <c r="BF2621" t="e" vm="2">
        <f t="shared" si="242"/>
        <v>#VALUE!</v>
      </c>
      <c r="BG2621" t="e" vm="2">
        <f t="shared" si="243"/>
        <v>#VALUE!</v>
      </c>
      <c r="BJ2621" s="21" t="e" vm="1">
        <v>#REF!</v>
      </c>
      <c r="BK2621" t="e" vm="1">
        <v>#REF!</v>
      </c>
      <c r="BM2621" t="e" vm="2">
        <f t="shared" si="244"/>
        <v>#VALUE!</v>
      </c>
      <c r="BN2621" t="e" vm="2">
        <f t="shared" si="245"/>
        <v>#VALUE!</v>
      </c>
    </row>
    <row r="2622" spans="55:66" x14ac:dyDescent="0.2">
      <c r="BC2622" s="21" t="e" vm="1">
        <v>#REF!</v>
      </c>
      <c r="BD2622" t="e" vm="1">
        <v>#REF!</v>
      </c>
      <c r="BF2622" t="e" vm="2">
        <f t="shared" si="242"/>
        <v>#VALUE!</v>
      </c>
      <c r="BG2622" t="e" vm="2">
        <f t="shared" si="243"/>
        <v>#VALUE!</v>
      </c>
      <c r="BJ2622" s="21" t="e" vm="1">
        <v>#REF!</v>
      </c>
      <c r="BK2622" t="e" vm="1">
        <v>#REF!</v>
      </c>
      <c r="BM2622" t="e" vm="2">
        <f t="shared" si="244"/>
        <v>#VALUE!</v>
      </c>
      <c r="BN2622" t="e" vm="2">
        <f t="shared" si="245"/>
        <v>#VALUE!</v>
      </c>
    </row>
    <row r="2623" spans="55:66" x14ac:dyDescent="0.2">
      <c r="BC2623" s="21" t="e" vm="1">
        <v>#REF!</v>
      </c>
      <c r="BD2623" t="e" vm="1">
        <v>#REF!</v>
      </c>
      <c r="BF2623" t="e" vm="2">
        <f t="shared" si="242"/>
        <v>#VALUE!</v>
      </c>
      <c r="BG2623" t="e" vm="2">
        <f t="shared" si="243"/>
        <v>#VALUE!</v>
      </c>
      <c r="BJ2623" s="21" t="e" vm="1">
        <v>#REF!</v>
      </c>
      <c r="BK2623" t="e" vm="1">
        <v>#REF!</v>
      </c>
      <c r="BM2623" t="e" vm="2">
        <f t="shared" si="244"/>
        <v>#VALUE!</v>
      </c>
      <c r="BN2623" t="e" vm="2">
        <f t="shared" si="245"/>
        <v>#VALUE!</v>
      </c>
    </row>
    <row r="2624" spans="55:66" x14ac:dyDescent="0.2">
      <c r="BC2624" s="21" t="e" vm="1">
        <v>#REF!</v>
      </c>
      <c r="BD2624" t="e" vm="1">
        <v>#REF!</v>
      </c>
      <c r="BF2624" t="e" vm="2">
        <f t="shared" si="242"/>
        <v>#VALUE!</v>
      </c>
      <c r="BG2624" t="e" vm="2">
        <f t="shared" si="243"/>
        <v>#VALUE!</v>
      </c>
      <c r="BJ2624" s="21" t="e" vm="1">
        <v>#REF!</v>
      </c>
      <c r="BK2624" t="e" vm="1">
        <v>#REF!</v>
      </c>
      <c r="BM2624" t="e" vm="2">
        <f t="shared" si="244"/>
        <v>#VALUE!</v>
      </c>
      <c r="BN2624" t="e" vm="2">
        <f t="shared" si="245"/>
        <v>#VALUE!</v>
      </c>
    </row>
    <row r="2625" spans="55:66" x14ac:dyDescent="0.2">
      <c r="BC2625" s="21" t="e" vm="1">
        <v>#REF!</v>
      </c>
      <c r="BD2625" t="e" vm="1">
        <v>#REF!</v>
      </c>
      <c r="BF2625" t="e" vm="2">
        <f t="shared" si="242"/>
        <v>#VALUE!</v>
      </c>
      <c r="BG2625" t="e" vm="2">
        <f t="shared" si="243"/>
        <v>#VALUE!</v>
      </c>
      <c r="BJ2625" s="21" t="e" vm="1">
        <v>#REF!</v>
      </c>
      <c r="BK2625" t="e" vm="1">
        <v>#REF!</v>
      </c>
      <c r="BM2625" t="e" vm="2">
        <f t="shared" si="244"/>
        <v>#VALUE!</v>
      </c>
      <c r="BN2625" t="e" vm="2">
        <f t="shared" si="245"/>
        <v>#VALUE!</v>
      </c>
    </row>
    <row r="2626" spans="55:66" x14ac:dyDescent="0.2">
      <c r="BC2626" s="21" t="e" vm="1">
        <v>#REF!</v>
      </c>
      <c r="BD2626" t="e" vm="1">
        <v>#REF!</v>
      </c>
      <c r="BF2626" t="e" vm="2">
        <f t="shared" si="242"/>
        <v>#VALUE!</v>
      </c>
      <c r="BG2626" t="e" vm="2">
        <f t="shared" si="243"/>
        <v>#VALUE!</v>
      </c>
      <c r="BJ2626" s="21" t="e" vm="1">
        <v>#REF!</v>
      </c>
      <c r="BK2626" t="e" vm="1">
        <v>#REF!</v>
      </c>
      <c r="BM2626" t="e" vm="2">
        <f t="shared" si="244"/>
        <v>#VALUE!</v>
      </c>
      <c r="BN2626" t="e" vm="2">
        <f t="shared" si="245"/>
        <v>#VALUE!</v>
      </c>
    </row>
    <row r="2627" spans="55:66" x14ac:dyDescent="0.2">
      <c r="BC2627" s="21" t="e" vm="1">
        <v>#REF!</v>
      </c>
      <c r="BD2627" t="e" vm="1">
        <v>#REF!</v>
      </c>
      <c r="BF2627" t="e" vm="2">
        <f t="shared" ref="BF2627:BF2690" si="246">MONTH(BC2627)</f>
        <v>#VALUE!</v>
      </c>
      <c r="BG2627" t="e" vm="2">
        <f t="shared" ref="BG2627:BG2690" si="247">YEAR(BC2627)</f>
        <v>#VALUE!</v>
      </c>
      <c r="BJ2627" s="21" t="e" vm="1">
        <v>#REF!</v>
      </c>
      <c r="BK2627" t="e" vm="1">
        <v>#REF!</v>
      </c>
      <c r="BM2627" t="e" vm="2">
        <f t="shared" si="244"/>
        <v>#VALUE!</v>
      </c>
      <c r="BN2627" t="e" vm="2">
        <f t="shared" si="245"/>
        <v>#VALUE!</v>
      </c>
    </row>
    <row r="2628" spans="55:66" x14ac:dyDescent="0.2">
      <c r="BC2628" s="21" t="e" vm="1">
        <v>#REF!</v>
      </c>
      <c r="BD2628" t="e" vm="1">
        <v>#REF!</v>
      </c>
      <c r="BF2628" t="e" vm="2">
        <f t="shared" si="246"/>
        <v>#VALUE!</v>
      </c>
      <c r="BG2628" t="e" vm="2">
        <f t="shared" si="247"/>
        <v>#VALUE!</v>
      </c>
      <c r="BJ2628" s="21" t="e" vm="1">
        <v>#REF!</v>
      </c>
      <c r="BK2628" t="e" vm="1">
        <v>#REF!</v>
      </c>
      <c r="BM2628" t="e" vm="2">
        <f t="shared" ref="BM2628:BM2691" si="248">MONTH(BJ2628)</f>
        <v>#VALUE!</v>
      </c>
      <c r="BN2628" t="e" vm="2">
        <f t="shared" ref="BN2628:BN2691" si="249">YEAR(BJ2628)</f>
        <v>#VALUE!</v>
      </c>
    </row>
    <row r="2629" spans="55:66" x14ac:dyDescent="0.2">
      <c r="BC2629" s="21" t="e" vm="1">
        <v>#REF!</v>
      </c>
      <c r="BD2629" t="e" vm="1">
        <v>#REF!</v>
      </c>
      <c r="BF2629" t="e" vm="2">
        <f t="shared" si="246"/>
        <v>#VALUE!</v>
      </c>
      <c r="BG2629" t="e" vm="2">
        <f t="shared" si="247"/>
        <v>#VALUE!</v>
      </c>
      <c r="BJ2629" s="21" t="e" vm="1">
        <v>#REF!</v>
      </c>
      <c r="BK2629" t="e" vm="1">
        <v>#REF!</v>
      </c>
      <c r="BM2629" t="e" vm="2">
        <f t="shared" si="248"/>
        <v>#VALUE!</v>
      </c>
      <c r="BN2629" t="e" vm="2">
        <f t="shared" si="249"/>
        <v>#VALUE!</v>
      </c>
    </row>
    <row r="2630" spans="55:66" x14ac:dyDescent="0.2">
      <c r="BC2630" s="21" t="e" vm="1">
        <v>#REF!</v>
      </c>
      <c r="BD2630" t="e" vm="1">
        <v>#REF!</v>
      </c>
      <c r="BF2630" t="e" vm="2">
        <f t="shared" si="246"/>
        <v>#VALUE!</v>
      </c>
      <c r="BG2630" t="e" vm="2">
        <f t="shared" si="247"/>
        <v>#VALUE!</v>
      </c>
      <c r="BJ2630" s="21" t="e" vm="1">
        <v>#REF!</v>
      </c>
      <c r="BK2630" t="e" vm="1">
        <v>#REF!</v>
      </c>
      <c r="BM2630" t="e" vm="2">
        <f t="shared" si="248"/>
        <v>#VALUE!</v>
      </c>
      <c r="BN2630" t="e" vm="2">
        <f t="shared" si="249"/>
        <v>#VALUE!</v>
      </c>
    </row>
    <row r="2631" spans="55:66" x14ac:dyDescent="0.2">
      <c r="BC2631" s="21" t="e" vm="1">
        <v>#REF!</v>
      </c>
      <c r="BD2631" t="e" vm="1">
        <v>#REF!</v>
      </c>
      <c r="BF2631" t="e" vm="2">
        <f t="shared" si="246"/>
        <v>#VALUE!</v>
      </c>
      <c r="BG2631" t="e" vm="2">
        <f t="shared" si="247"/>
        <v>#VALUE!</v>
      </c>
      <c r="BJ2631" s="21" t="e" vm="1">
        <v>#REF!</v>
      </c>
      <c r="BK2631" t="e" vm="1">
        <v>#REF!</v>
      </c>
      <c r="BM2631" t="e" vm="2">
        <f t="shared" si="248"/>
        <v>#VALUE!</v>
      </c>
      <c r="BN2631" t="e" vm="2">
        <f t="shared" si="249"/>
        <v>#VALUE!</v>
      </c>
    </row>
    <row r="2632" spans="55:66" x14ac:dyDescent="0.2">
      <c r="BC2632" s="21" t="e" vm="1">
        <v>#REF!</v>
      </c>
      <c r="BD2632" t="e" vm="1">
        <v>#REF!</v>
      </c>
      <c r="BF2632" t="e" vm="2">
        <f t="shared" si="246"/>
        <v>#VALUE!</v>
      </c>
      <c r="BG2632" t="e" vm="2">
        <f t="shared" si="247"/>
        <v>#VALUE!</v>
      </c>
      <c r="BJ2632" s="21" t="e" vm="1">
        <v>#REF!</v>
      </c>
      <c r="BK2632" t="e" vm="1">
        <v>#REF!</v>
      </c>
      <c r="BM2632" t="e" vm="2">
        <f t="shared" si="248"/>
        <v>#VALUE!</v>
      </c>
      <c r="BN2632" t="e" vm="2">
        <f t="shared" si="249"/>
        <v>#VALUE!</v>
      </c>
    </row>
    <row r="2633" spans="55:66" x14ac:dyDescent="0.2">
      <c r="BC2633" s="21" t="e" vm="1">
        <v>#REF!</v>
      </c>
      <c r="BD2633" t="e" vm="1">
        <v>#REF!</v>
      </c>
      <c r="BF2633" t="e" vm="2">
        <f t="shared" si="246"/>
        <v>#VALUE!</v>
      </c>
      <c r="BG2633" t="e" vm="2">
        <f t="shared" si="247"/>
        <v>#VALUE!</v>
      </c>
      <c r="BJ2633" s="21" t="e" vm="1">
        <v>#REF!</v>
      </c>
      <c r="BK2633" t="e" vm="1">
        <v>#REF!</v>
      </c>
      <c r="BM2633" t="e" vm="2">
        <f t="shared" si="248"/>
        <v>#VALUE!</v>
      </c>
      <c r="BN2633" t="e" vm="2">
        <f t="shared" si="249"/>
        <v>#VALUE!</v>
      </c>
    </row>
    <row r="2634" spans="55:66" x14ac:dyDescent="0.2">
      <c r="BC2634" s="21" t="e" vm="1">
        <v>#REF!</v>
      </c>
      <c r="BD2634" t="e" vm="1">
        <v>#REF!</v>
      </c>
      <c r="BF2634" t="e" vm="2">
        <f t="shared" si="246"/>
        <v>#VALUE!</v>
      </c>
      <c r="BG2634" t="e" vm="2">
        <f t="shared" si="247"/>
        <v>#VALUE!</v>
      </c>
      <c r="BJ2634" s="21" t="e" vm="1">
        <v>#REF!</v>
      </c>
      <c r="BK2634" t="e" vm="1">
        <v>#REF!</v>
      </c>
      <c r="BM2634" t="e" vm="2">
        <f t="shared" si="248"/>
        <v>#VALUE!</v>
      </c>
      <c r="BN2634" t="e" vm="2">
        <f t="shared" si="249"/>
        <v>#VALUE!</v>
      </c>
    </row>
    <row r="2635" spans="55:66" x14ac:dyDescent="0.2">
      <c r="BC2635" s="21" t="e" vm="1">
        <v>#REF!</v>
      </c>
      <c r="BD2635" t="e" vm="1">
        <v>#REF!</v>
      </c>
      <c r="BF2635" t="e" vm="2">
        <f t="shared" si="246"/>
        <v>#VALUE!</v>
      </c>
      <c r="BG2635" t="e" vm="2">
        <f t="shared" si="247"/>
        <v>#VALUE!</v>
      </c>
      <c r="BJ2635" s="21" t="e" vm="1">
        <v>#REF!</v>
      </c>
      <c r="BK2635" t="e" vm="1">
        <v>#REF!</v>
      </c>
      <c r="BM2635" t="e" vm="2">
        <f t="shared" si="248"/>
        <v>#VALUE!</v>
      </c>
      <c r="BN2635" t="e" vm="2">
        <f t="shared" si="249"/>
        <v>#VALUE!</v>
      </c>
    </row>
    <row r="2636" spans="55:66" x14ac:dyDescent="0.2">
      <c r="BC2636" s="21" t="e" vm="1">
        <v>#REF!</v>
      </c>
      <c r="BD2636" t="e" vm="1">
        <v>#REF!</v>
      </c>
      <c r="BF2636" t="e" vm="2">
        <f t="shared" si="246"/>
        <v>#VALUE!</v>
      </c>
      <c r="BG2636" t="e" vm="2">
        <f t="shared" si="247"/>
        <v>#VALUE!</v>
      </c>
      <c r="BJ2636" s="21" t="e" vm="1">
        <v>#REF!</v>
      </c>
      <c r="BK2636" t="e" vm="1">
        <v>#REF!</v>
      </c>
      <c r="BM2636" t="e" vm="2">
        <f t="shared" si="248"/>
        <v>#VALUE!</v>
      </c>
      <c r="BN2636" t="e" vm="2">
        <f t="shared" si="249"/>
        <v>#VALUE!</v>
      </c>
    </row>
    <row r="2637" spans="55:66" x14ac:dyDescent="0.2">
      <c r="BC2637" s="21" t="e" vm="1">
        <v>#REF!</v>
      </c>
      <c r="BD2637" t="e" vm="1">
        <v>#REF!</v>
      </c>
      <c r="BF2637" t="e" vm="2">
        <f t="shared" si="246"/>
        <v>#VALUE!</v>
      </c>
      <c r="BG2637" t="e" vm="2">
        <f t="shared" si="247"/>
        <v>#VALUE!</v>
      </c>
      <c r="BJ2637" s="21" t="e" vm="1">
        <v>#REF!</v>
      </c>
      <c r="BK2637" t="e" vm="1">
        <v>#REF!</v>
      </c>
      <c r="BM2637" t="e" vm="2">
        <f t="shared" si="248"/>
        <v>#VALUE!</v>
      </c>
      <c r="BN2637" t="e" vm="2">
        <f t="shared" si="249"/>
        <v>#VALUE!</v>
      </c>
    </row>
    <row r="2638" spans="55:66" x14ac:dyDescent="0.2">
      <c r="BC2638" s="21" t="e" vm="1">
        <v>#REF!</v>
      </c>
      <c r="BD2638" t="e" vm="1">
        <v>#REF!</v>
      </c>
      <c r="BF2638" t="e" vm="2">
        <f t="shared" si="246"/>
        <v>#VALUE!</v>
      </c>
      <c r="BG2638" t="e" vm="2">
        <f t="shared" si="247"/>
        <v>#VALUE!</v>
      </c>
      <c r="BJ2638" s="21" t="e" vm="1">
        <v>#REF!</v>
      </c>
      <c r="BK2638" t="e" vm="1">
        <v>#REF!</v>
      </c>
      <c r="BM2638" t="e" vm="2">
        <f t="shared" si="248"/>
        <v>#VALUE!</v>
      </c>
      <c r="BN2638" t="e" vm="2">
        <f t="shared" si="249"/>
        <v>#VALUE!</v>
      </c>
    </row>
    <row r="2639" spans="55:66" x14ac:dyDescent="0.2">
      <c r="BC2639" s="21" t="e" vm="1">
        <v>#REF!</v>
      </c>
      <c r="BD2639" t="e" vm="1">
        <v>#REF!</v>
      </c>
      <c r="BF2639" t="e" vm="2">
        <f t="shared" si="246"/>
        <v>#VALUE!</v>
      </c>
      <c r="BG2639" t="e" vm="2">
        <f t="shared" si="247"/>
        <v>#VALUE!</v>
      </c>
      <c r="BJ2639" s="21" t="e" vm="1">
        <v>#REF!</v>
      </c>
      <c r="BK2639" t="e" vm="1">
        <v>#REF!</v>
      </c>
      <c r="BM2639" t="e" vm="2">
        <f t="shared" si="248"/>
        <v>#VALUE!</v>
      </c>
      <c r="BN2639" t="e" vm="2">
        <f t="shared" si="249"/>
        <v>#VALUE!</v>
      </c>
    </row>
    <row r="2640" spans="55:66" x14ac:dyDescent="0.2">
      <c r="BC2640" s="21" t="e" vm="1">
        <v>#REF!</v>
      </c>
      <c r="BD2640" t="e" vm="1">
        <v>#REF!</v>
      </c>
      <c r="BF2640" t="e" vm="2">
        <f t="shared" si="246"/>
        <v>#VALUE!</v>
      </c>
      <c r="BG2640" t="e" vm="2">
        <f t="shared" si="247"/>
        <v>#VALUE!</v>
      </c>
      <c r="BJ2640" s="21" t="e" vm="1">
        <v>#REF!</v>
      </c>
      <c r="BK2640" t="e" vm="1">
        <v>#REF!</v>
      </c>
      <c r="BM2640" t="e" vm="2">
        <f t="shared" si="248"/>
        <v>#VALUE!</v>
      </c>
      <c r="BN2640" t="e" vm="2">
        <f t="shared" si="249"/>
        <v>#VALUE!</v>
      </c>
    </row>
    <row r="2641" spans="55:66" x14ac:dyDescent="0.2">
      <c r="BC2641" s="21" t="e" vm="1">
        <v>#REF!</v>
      </c>
      <c r="BD2641" t="e" vm="1">
        <v>#REF!</v>
      </c>
      <c r="BF2641" t="e" vm="2">
        <f t="shared" si="246"/>
        <v>#VALUE!</v>
      </c>
      <c r="BG2641" t="e" vm="2">
        <f t="shared" si="247"/>
        <v>#VALUE!</v>
      </c>
      <c r="BJ2641" s="21" t="e" vm="1">
        <v>#REF!</v>
      </c>
      <c r="BK2641" t="e" vm="1">
        <v>#REF!</v>
      </c>
      <c r="BM2641" t="e" vm="2">
        <f t="shared" si="248"/>
        <v>#VALUE!</v>
      </c>
      <c r="BN2641" t="e" vm="2">
        <f t="shared" si="249"/>
        <v>#VALUE!</v>
      </c>
    </row>
    <row r="2642" spans="55:66" x14ac:dyDescent="0.2">
      <c r="BC2642" s="21" t="e" vm="1">
        <v>#REF!</v>
      </c>
      <c r="BD2642" t="e" vm="1">
        <v>#REF!</v>
      </c>
      <c r="BF2642" t="e" vm="2">
        <f t="shared" si="246"/>
        <v>#VALUE!</v>
      </c>
      <c r="BG2642" t="e" vm="2">
        <f t="shared" si="247"/>
        <v>#VALUE!</v>
      </c>
      <c r="BJ2642" s="21" t="e" vm="1">
        <v>#REF!</v>
      </c>
      <c r="BK2642" t="e" vm="1">
        <v>#REF!</v>
      </c>
      <c r="BM2642" t="e" vm="2">
        <f t="shared" si="248"/>
        <v>#VALUE!</v>
      </c>
      <c r="BN2642" t="e" vm="2">
        <f t="shared" si="249"/>
        <v>#VALUE!</v>
      </c>
    </row>
    <row r="2643" spans="55:66" x14ac:dyDescent="0.2">
      <c r="BC2643" s="21" t="e" vm="1">
        <v>#REF!</v>
      </c>
      <c r="BD2643" t="e" vm="1">
        <v>#REF!</v>
      </c>
      <c r="BF2643" t="e" vm="2">
        <f t="shared" si="246"/>
        <v>#VALUE!</v>
      </c>
      <c r="BG2643" t="e" vm="2">
        <f t="shared" si="247"/>
        <v>#VALUE!</v>
      </c>
      <c r="BJ2643" s="21" t="e" vm="1">
        <v>#REF!</v>
      </c>
      <c r="BK2643" t="e" vm="1">
        <v>#REF!</v>
      </c>
      <c r="BM2643" t="e" vm="2">
        <f t="shared" si="248"/>
        <v>#VALUE!</v>
      </c>
      <c r="BN2643" t="e" vm="2">
        <f t="shared" si="249"/>
        <v>#VALUE!</v>
      </c>
    </row>
    <row r="2644" spans="55:66" x14ac:dyDescent="0.2">
      <c r="BC2644" s="21" t="e" vm="1">
        <v>#REF!</v>
      </c>
      <c r="BD2644" t="e" vm="1">
        <v>#REF!</v>
      </c>
      <c r="BF2644" t="e" vm="2">
        <f t="shared" si="246"/>
        <v>#VALUE!</v>
      </c>
      <c r="BG2644" t="e" vm="2">
        <f t="shared" si="247"/>
        <v>#VALUE!</v>
      </c>
      <c r="BJ2644" s="21" t="e" vm="1">
        <v>#REF!</v>
      </c>
      <c r="BK2644" t="e" vm="1">
        <v>#REF!</v>
      </c>
      <c r="BM2644" t="e" vm="2">
        <f t="shared" si="248"/>
        <v>#VALUE!</v>
      </c>
      <c r="BN2644" t="e" vm="2">
        <f t="shared" si="249"/>
        <v>#VALUE!</v>
      </c>
    </row>
    <row r="2645" spans="55:66" x14ac:dyDescent="0.2">
      <c r="BC2645" s="21" t="e" vm="1">
        <v>#REF!</v>
      </c>
      <c r="BD2645" t="e" vm="1">
        <v>#REF!</v>
      </c>
      <c r="BF2645" t="e" vm="2">
        <f t="shared" si="246"/>
        <v>#VALUE!</v>
      </c>
      <c r="BG2645" t="e" vm="2">
        <f t="shared" si="247"/>
        <v>#VALUE!</v>
      </c>
      <c r="BJ2645" s="21" t="e" vm="1">
        <v>#REF!</v>
      </c>
      <c r="BK2645" t="e" vm="1">
        <v>#REF!</v>
      </c>
      <c r="BM2645" t="e" vm="2">
        <f t="shared" si="248"/>
        <v>#VALUE!</v>
      </c>
      <c r="BN2645" t="e" vm="2">
        <f t="shared" si="249"/>
        <v>#VALUE!</v>
      </c>
    </row>
    <row r="2646" spans="55:66" x14ac:dyDescent="0.2">
      <c r="BC2646" s="21" t="e" vm="1">
        <v>#REF!</v>
      </c>
      <c r="BD2646" t="e" vm="1">
        <v>#REF!</v>
      </c>
      <c r="BF2646" t="e" vm="2">
        <f t="shared" si="246"/>
        <v>#VALUE!</v>
      </c>
      <c r="BG2646" t="e" vm="2">
        <f t="shared" si="247"/>
        <v>#VALUE!</v>
      </c>
      <c r="BJ2646" s="21" t="e" vm="1">
        <v>#REF!</v>
      </c>
      <c r="BK2646" t="e" vm="1">
        <v>#REF!</v>
      </c>
      <c r="BM2646" t="e" vm="2">
        <f t="shared" si="248"/>
        <v>#VALUE!</v>
      </c>
      <c r="BN2646" t="e" vm="2">
        <f t="shared" si="249"/>
        <v>#VALUE!</v>
      </c>
    </row>
    <row r="2647" spans="55:66" x14ac:dyDescent="0.2">
      <c r="BC2647" s="21" t="e" vm="1">
        <v>#REF!</v>
      </c>
      <c r="BD2647" t="e" vm="1">
        <v>#REF!</v>
      </c>
      <c r="BF2647" t="e" vm="2">
        <f t="shared" si="246"/>
        <v>#VALUE!</v>
      </c>
      <c r="BG2647" t="e" vm="2">
        <f t="shared" si="247"/>
        <v>#VALUE!</v>
      </c>
      <c r="BJ2647" s="21" t="e" vm="1">
        <v>#REF!</v>
      </c>
      <c r="BK2647" t="e" vm="1">
        <v>#REF!</v>
      </c>
      <c r="BM2647" t="e" vm="2">
        <f t="shared" si="248"/>
        <v>#VALUE!</v>
      </c>
      <c r="BN2647" t="e" vm="2">
        <f t="shared" si="249"/>
        <v>#VALUE!</v>
      </c>
    </row>
    <row r="2648" spans="55:66" x14ac:dyDescent="0.2">
      <c r="BC2648" s="21" t="e" vm="1">
        <v>#REF!</v>
      </c>
      <c r="BD2648" t="e" vm="1">
        <v>#REF!</v>
      </c>
      <c r="BF2648" t="e" vm="2">
        <f t="shared" si="246"/>
        <v>#VALUE!</v>
      </c>
      <c r="BG2648" t="e" vm="2">
        <f t="shared" si="247"/>
        <v>#VALUE!</v>
      </c>
      <c r="BJ2648" s="21" t="e" vm="1">
        <v>#REF!</v>
      </c>
      <c r="BK2648" t="e" vm="1">
        <v>#REF!</v>
      </c>
      <c r="BM2648" t="e" vm="2">
        <f t="shared" si="248"/>
        <v>#VALUE!</v>
      </c>
      <c r="BN2648" t="e" vm="2">
        <f t="shared" si="249"/>
        <v>#VALUE!</v>
      </c>
    </row>
    <row r="2649" spans="55:66" x14ac:dyDescent="0.2">
      <c r="BC2649" s="21" t="e" vm="1">
        <v>#REF!</v>
      </c>
      <c r="BD2649" t="e" vm="1">
        <v>#REF!</v>
      </c>
      <c r="BF2649" t="e" vm="2">
        <f t="shared" si="246"/>
        <v>#VALUE!</v>
      </c>
      <c r="BG2649" t="e" vm="2">
        <f t="shared" si="247"/>
        <v>#VALUE!</v>
      </c>
      <c r="BJ2649" s="21" t="e" vm="1">
        <v>#REF!</v>
      </c>
      <c r="BK2649" t="e" vm="1">
        <v>#REF!</v>
      </c>
      <c r="BM2649" t="e" vm="2">
        <f t="shared" si="248"/>
        <v>#VALUE!</v>
      </c>
      <c r="BN2649" t="e" vm="2">
        <f t="shared" si="249"/>
        <v>#VALUE!</v>
      </c>
    </row>
    <row r="2650" spans="55:66" x14ac:dyDescent="0.2">
      <c r="BC2650" s="21" t="e" vm="1">
        <v>#REF!</v>
      </c>
      <c r="BD2650" t="e" vm="1">
        <v>#REF!</v>
      </c>
      <c r="BF2650" t="e" vm="2">
        <f t="shared" si="246"/>
        <v>#VALUE!</v>
      </c>
      <c r="BG2650" t="e" vm="2">
        <f t="shared" si="247"/>
        <v>#VALUE!</v>
      </c>
      <c r="BJ2650" s="21" t="e" vm="1">
        <v>#REF!</v>
      </c>
      <c r="BK2650" t="e" vm="1">
        <v>#REF!</v>
      </c>
      <c r="BM2650" t="e" vm="2">
        <f t="shared" si="248"/>
        <v>#VALUE!</v>
      </c>
      <c r="BN2650" t="e" vm="2">
        <f t="shared" si="249"/>
        <v>#VALUE!</v>
      </c>
    </row>
    <row r="2651" spans="55:66" x14ac:dyDescent="0.2">
      <c r="BC2651" s="21" t="e" vm="1">
        <v>#REF!</v>
      </c>
      <c r="BD2651" t="e" vm="1">
        <v>#REF!</v>
      </c>
      <c r="BF2651" t="e" vm="2">
        <f t="shared" si="246"/>
        <v>#VALUE!</v>
      </c>
      <c r="BG2651" t="e" vm="2">
        <f t="shared" si="247"/>
        <v>#VALUE!</v>
      </c>
      <c r="BJ2651" s="21" t="e" vm="1">
        <v>#REF!</v>
      </c>
      <c r="BK2651" t="e" vm="1">
        <v>#REF!</v>
      </c>
      <c r="BM2651" t="e" vm="2">
        <f t="shared" si="248"/>
        <v>#VALUE!</v>
      </c>
      <c r="BN2651" t="e" vm="2">
        <f t="shared" si="249"/>
        <v>#VALUE!</v>
      </c>
    </row>
    <row r="2652" spans="55:66" x14ac:dyDescent="0.2">
      <c r="BC2652" s="21" t="e" vm="1">
        <v>#REF!</v>
      </c>
      <c r="BD2652" t="e" vm="1">
        <v>#REF!</v>
      </c>
      <c r="BF2652" t="e" vm="2">
        <f t="shared" si="246"/>
        <v>#VALUE!</v>
      </c>
      <c r="BG2652" t="e" vm="2">
        <f t="shared" si="247"/>
        <v>#VALUE!</v>
      </c>
      <c r="BJ2652" s="21" t="e" vm="1">
        <v>#REF!</v>
      </c>
      <c r="BK2652" t="e" vm="1">
        <v>#REF!</v>
      </c>
      <c r="BM2652" t="e" vm="2">
        <f t="shared" si="248"/>
        <v>#VALUE!</v>
      </c>
      <c r="BN2652" t="e" vm="2">
        <f t="shared" si="249"/>
        <v>#VALUE!</v>
      </c>
    </row>
    <row r="2653" spans="55:66" x14ac:dyDescent="0.2">
      <c r="BC2653" s="21" t="e" vm="1">
        <v>#REF!</v>
      </c>
      <c r="BD2653" t="e" vm="1">
        <v>#REF!</v>
      </c>
      <c r="BF2653" t="e" vm="2">
        <f t="shared" si="246"/>
        <v>#VALUE!</v>
      </c>
      <c r="BG2653" t="e" vm="2">
        <f t="shared" si="247"/>
        <v>#VALUE!</v>
      </c>
      <c r="BJ2653" s="21" t="e" vm="1">
        <v>#REF!</v>
      </c>
      <c r="BK2653" t="e" vm="1">
        <v>#REF!</v>
      </c>
      <c r="BM2653" t="e" vm="2">
        <f t="shared" si="248"/>
        <v>#VALUE!</v>
      </c>
      <c r="BN2653" t="e" vm="2">
        <f t="shared" si="249"/>
        <v>#VALUE!</v>
      </c>
    </row>
    <row r="2654" spans="55:66" x14ac:dyDescent="0.2">
      <c r="BC2654" s="21" t="e" vm="1">
        <v>#REF!</v>
      </c>
      <c r="BD2654" t="e" vm="1">
        <v>#REF!</v>
      </c>
      <c r="BF2654" t="e" vm="2">
        <f t="shared" si="246"/>
        <v>#VALUE!</v>
      </c>
      <c r="BG2654" t="e" vm="2">
        <f t="shared" si="247"/>
        <v>#VALUE!</v>
      </c>
      <c r="BJ2654" s="21" t="e" vm="1">
        <v>#REF!</v>
      </c>
      <c r="BK2654" t="e" vm="1">
        <v>#REF!</v>
      </c>
      <c r="BM2654" t="e" vm="2">
        <f t="shared" si="248"/>
        <v>#VALUE!</v>
      </c>
      <c r="BN2654" t="e" vm="2">
        <f t="shared" si="249"/>
        <v>#VALUE!</v>
      </c>
    </row>
    <row r="2655" spans="55:66" x14ac:dyDescent="0.2">
      <c r="BC2655" s="21" t="e" vm="1">
        <v>#REF!</v>
      </c>
      <c r="BD2655" t="e" vm="1">
        <v>#REF!</v>
      </c>
      <c r="BF2655" t="e" vm="2">
        <f t="shared" si="246"/>
        <v>#VALUE!</v>
      </c>
      <c r="BG2655" t="e" vm="2">
        <f t="shared" si="247"/>
        <v>#VALUE!</v>
      </c>
      <c r="BJ2655" s="21" t="e" vm="1">
        <v>#REF!</v>
      </c>
      <c r="BK2655" t="e" vm="1">
        <v>#REF!</v>
      </c>
      <c r="BM2655" t="e" vm="2">
        <f t="shared" si="248"/>
        <v>#VALUE!</v>
      </c>
      <c r="BN2655" t="e" vm="2">
        <f t="shared" si="249"/>
        <v>#VALUE!</v>
      </c>
    </row>
    <row r="2656" spans="55:66" x14ac:dyDescent="0.2">
      <c r="BC2656" s="21" t="e" vm="1">
        <v>#REF!</v>
      </c>
      <c r="BD2656" t="e" vm="1">
        <v>#REF!</v>
      </c>
      <c r="BF2656" t="e" vm="2">
        <f t="shared" si="246"/>
        <v>#VALUE!</v>
      </c>
      <c r="BG2656" t="e" vm="2">
        <f t="shared" si="247"/>
        <v>#VALUE!</v>
      </c>
      <c r="BJ2656" s="21" t="e" vm="1">
        <v>#REF!</v>
      </c>
      <c r="BK2656" t="e" vm="1">
        <v>#REF!</v>
      </c>
      <c r="BM2656" t="e" vm="2">
        <f t="shared" si="248"/>
        <v>#VALUE!</v>
      </c>
      <c r="BN2656" t="e" vm="2">
        <f t="shared" si="249"/>
        <v>#VALUE!</v>
      </c>
    </row>
    <row r="2657" spans="55:66" x14ac:dyDescent="0.2">
      <c r="BC2657" s="21" t="e" vm="1">
        <v>#REF!</v>
      </c>
      <c r="BD2657" t="e" vm="1">
        <v>#REF!</v>
      </c>
      <c r="BF2657" t="e" vm="2">
        <f t="shared" si="246"/>
        <v>#VALUE!</v>
      </c>
      <c r="BG2657" t="e" vm="2">
        <f t="shared" si="247"/>
        <v>#VALUE!</v>
      </c>
      <c r="BJ2657" s="21" t="e" vm="1">
        <v>#REF!</v>
      </c>
      <c r="BK2657" t="e" vm="1">
        <v>#REF!</v>
      </c>
      <c r="BM2657" t="e" vm="2">
        <f t="shared" si="248"/>
        <v>#VALUE!</v>
      </c>
      <c r="BN2657" t="e" vm="2">
        <f t="shared" si="249"/>
        <v>#VALUE!</v>
      </c>
    </row>
    <row r="2658" spans="55:66" x14ac:dyDescent="0.2">
      <c r="BC2658" s="21" t="e" vm="1">
        <v>#REF!</v>
      </c>
      <c r="BD2658" t="e" vm="1">
        <v>#REF!</v>
      </c>
      <c r="BF2658" t="e" vm="2">
        <f t="shared" si="246"/>
        <v>#VALUE!</v>
      </c>
      <c r="BG2658" t="e" vm="2">
        <f t="shared" si="247"/>
        <v>#VALUE!</v>
      </c>
      <c r="BJ2658" s="21" t="e" vm="1">
        <v>#REF!</v>
      </c>
      <c r="BK2658" t="e" vm="1">
        <v>#REF!</v>
      </c>
      <c r="BM2658" t="e" vm="2">
        <f t="shared" si="248"/>
        <v>#VALUE!</v>
      </c>
      <c r="BN2658" t="e" vm="2">
        <f t="shared" si="249"/>
        <v>#VALUE!</v>
      </c>
    </row>
    <row r="2659" spans="55:66" x14ac:dyDescent="0.2">
      <c r="BC2659" s="21" t="e" vm="1">
        <v>#REF!</v>
      </c>
      <c r="BD2659" t="e" vm="1">
        <v>#REF!</v>
      </c>
      <c r="BF2659" t="e" vm="2">
        <f t="shared" si="246"/>
        <v>#VALUE!</v>
      </c>
      <c r="BG2659" t="e" vm="2">
        <f t="shared" si="247"/>
        <v>#VALUE!</v>
      </c>
      <c r="BJ2659" s="21" t="e" vm="1">
        <v>#REF!</v>
      </c>
      <c r="BK2659" t="e" vm="1">
        <v>#REF!</v>
      </c>
      <c r="BM2659" t="e" vm="2">
        <f t="shared" si="248"/>
        <v>#VALUE!</v>
      </c>
      <c r="BN2659" t="e" vm="2">
        <f t="shared" si="249"/>
        <v>#VALUE!</v>
      </c>
    </row>
    <row r="2660" spans="55:66" x14ac:dyDescent="0.2">
      <c r="BC2660" s="21" t="e" vm="1">
        <v>#REF!</v>
      </c>
      <c r="BD2660" t="e" vm="1">
        <v>#REF!</v>
      </c>
      <c r="BF2660" t="e" vm="2">
        <f t="shared" si="246"/>
        <v>#VALUE!</v>
      </c>
      <c r="BG2660" t="e" vm="2">
        <f t="shared" si="247"/>
        <v>#VALUE!</v>
      </c>
      <c r="BJ2660" s="21" t="e" vm="1">
        <v>#REF!</v>
      </c>
      <c r="BK2660" t="e" vm="1">
        <v>#REF!</v>
      </c>
      <c r="BM2660" t="e" vm="2">
        <f t="shared" si="248"/>
        <v>#VALUE!</v>
      </c>
      <c r="BN2660" t="e" vm="2">
        <f t="shared" si="249"/>
        <v>#VALUE!</v>
      </c>
    </row>
    <row r="2661" spans="55:66" x14ac:dyDescent="0.2">
      <c r="BC2661" s="21" t="e" vm="1">
        <v>#REF!</v>
      </c>
      <c r="BD2661" t="e" vm="1">
        <v>#REF!</v>
      </c>
      <c r="BF2661" t="e" vm="2">
        <f t="shared" si="246"/>
        <v>#VALUE!</v>
      </c>
      <c r="BG2661" t="e" vm="2">
        <f t="shared" si="247"/>
        <v>#VALUE!</v>
      </c>
      <c r="BJ2661" s="21" t="e" vm="1">
        <v>#REF!</v>
      </c>
      <c r="BK2661" t="e" vm="1">
        <v>#REF!</v>
      </c>
      <c r="BM2661" t="e" vm="2">
        <f t="shared" si="248"/>
        <v>#VALUE!</v>
      </c>
      <c r="BN2661" t="e" vm="2">
        <f t="shared" si="249"/>
        <v>#VALUE!</v>
      </c>
    </row>
    <row r="2662" spans="55:66" x14ac:dyDescent="0.2">
      <c r="BC2662" s="21" t="e" vm="1">
        <v>#REF!</v>
      </c>
      <c r="BD2662" t="e" vm="1">
        <v>#REF!</v>
      </c>
      <c r="BF2662" t="e" vm="2">
        <f t="shared" si="246"/>
        <v>#VALUE!</v>
      </c>
      <c r="BG2662" t="e" vm="2">
        <f t="shared" si="247"/>
        <v>#VALUE!</v>
      </c>
      <c r="BJ2662" s="21" t="e" vm="1">
        <v>#REF!</v>
      </c>
      <c r="BK2662" t="e" vm="1">
        <v>#REF!</v>
      </c>
      <c r="BM2662" t="e" vm="2">
        <f t="shared" si="248"/>
        <v>#VALUE!</v>
      </c>
      <c r="BN2662" t="e" vm="2">
        <f t="shared" si="249"/>
        <v>#VALUE!</v>
      </c>
    </row>
    <row r="2663" spans="55:66" x14ac:dyDescent="0.2">
      <c r="BC2663" s="21" t="e" vm="1">
        <v>#REF!</v>
      </c>
      <c r="BD2663" t="e" vm="1">
        <v>#REF!</v>
      </c>
      <c r="BF2663" t="e" vm="2">
        <f t="shared" si="246"/>
        <v>#VALUE!</v>
      </c>
      <c r="BG2663" t="e" vm="2">
        <f t="shared" si="247"/>
        <v>#VALUE!</v>
      </c>
      <c r="BJ2663" s="21" t="e" vm="1">
        <v>#REF!</v>
      </c>
      <c r="BK2663" t="e" vm="1">
        <v>#REF!</v>
      </c>
      <c r="BM2663" t="e" vm="2">
        <f t="shared" si="248"/>
        <v>#VALUE!</v>
      </c>
      <c r="BN2663" t="e" vm="2">
        <f t="shared" si="249"/>
        <v>#VALUE!</v>
      </c>
    </row>
    <row r="2664" spans="55:66" x14ac:dyDescent="0.2">
      <c r="BC2664" s="21" t="e" vm="1">
        <v>#REF!</v>
      </c>
      <c r="BD2664" t="e" vm="1">
        <v>#REF!</v>
      </c>
      <c r="BF2664" t="e" vm="2">
        <f t="shared" si="246"/>
        <v>#VALUE!</v>
      </c>
      <c r="BG2664" t="e" vm="2">
        <f t="shared" si="247"/>
        <v>#VALUE!</v>
      </c>
      <c r="BJ2664" s="21" t="e" vm="1">
        <v>#REF!</v>
      </c>
      <c r="BK2664" t="e" vm="1">
        <v>#REF!</v>
      </c>
      <c r="BM2664" t="e" vm="2">
        <f t="shared" si="248"/>
        <v>#VALUE!</v>
      </c>
      <c r="BN2664" t="e" vm="2">
        <f t="shared" si="249"/>
        <v>#VALUE!</v>
      </c>
    </row>
    <row r="2665" spans="55:66" x14ac:dyDescent="0.2">
      <c r="BC2665" s="21" t="e" vm="1">
        <v>#REF!</v>
      </c>
      <c r="BD2665" t="e" vm="1">
        <v>#REF!</v>
      </c>
      <c r="BF2665" t="e" vm="2">
        <f t="shared" si="246"/>
        <v>#VALUE!</v>
      </c>
      <c r="BG2665" t="e" vm="2">
        <f t="shared" si="247"/>
        <v>#VALUE!</v>
      </c>
      <c r="BJ2665" s="21" t="e" vm="1">
        <v>#REF!</v>
      </c>
      <c r="BK2665" t="e" vm="1">
        <v>#REF!</v>
      </c>
      <c r="BM2665" t="e" vm="2">
        <f t="shared" si="248"/>
        <v>#VALUE!</v>
      </c>
      <c r="BN2665" t="e" vm="2">
        <f t="shared" si="249"/>
        <v>#VALUE!</v>
      </c>
    </row>
    <row r="2666" spans="55:66" x14ac:dyDescent="0.2">
      <c r="BC2666" s="21" t="e" vm="1">
        <v>#REF!</v>
      </c>
      <c r="BD2666" t="e" vm="1">
        <v>#REF!</v>
      </c>
      <c r="BF2666" t="e" vm="2">
        <f t="shared" si="246"/>
        <v>#VALUE!</v>
      </c>
      <c r="BG2666" t="e" vm="2">
        <f t="shared" si="247"/>
        <v>#VALUE!</v>
      </c>
      <c r="BJ2666" s="21" t="e" vm="1">
        <v>#REF!</v>
      </c>
      <c r="BK2666" t="e" vm="1">
        <v>#REF!</v>
      </c>
      <c r="BM2666" t="e" vm="2">
        <f t="shared" si="248"/>
        <v>#VALUE!</v>
      </c>
      <c r="BN2666" t="e" vm="2">
        <f t="shared" si="249"/>
        <v>#VALUE!</v>
      </c>
    </row>
    <row r="2667" spans="55:66" x14ac:dyDescent="0.2">
      <c r="BC2667" s="21" t="e" vm="1">
        <v>#REF!</v>
      </c>
      <c r="BD2667" t="e" vm="1">
        <v>#REF!</v>
      </c>
      <c r="BF2667" t="e" vm="2">
        <f t="shared" si="246"/>
        <v>#VALUE!</v>
      </c>
      <c r="BG2667" t="e" vm="2">
        <f t="shared" si="247"/>
        <v>#VALUE!</v>
      </c>
      <c r="BJ2667" s="21" t="e" vm="1">
        <v>#REF!</v>
      </c>
      <c r="BK2667" t="e" vm="1">
        <v>#REF!</v>
      </c>
      <c r="BM2667" t="e" vm="2">
        <f t="shared" si="248"/>
        <v>#VALUE!</v>
      </c>
      <c r="BN2667" t="e" vm="2">
        <f t="shared" si="249"/>
        <v>#VALUE!</v>
      </c>
    </row>
    <row r="2668" spans="55:66" x14ac:dyDescent="0.2">
      <c r="BC2668" s="21" t="e" vm="1">
        <v>#REF!</v>
      </c>
      <c r="BD2668" t="e" vm="1">
        <v>#REF!</v>
      </c>
      <c r="BF2668" t="e" vm="2">
        <f t="shared" si="246"/>
        <v>#VALUE!</v>
      </c>
      <c r="BG2668" t="e" vm="2">
        <f t="shared" si="247"/>
        <v>#VALUE!</v>
      </c>
      <c r="BJ2668" s="21" t="e" vm="1">
        <v>#REF!</v>
      </c>
      <c r="BK2668" t="e" vm="1">
        <v>#REF!</v>
      </c>
      <c r="BM2668" t="e" vm="2">
        <f t="shared" si="248"/>
        <v>#VALUE!</v>
      </c>
      <c r="BN2668" t="e" vm="2">
        <f t="shared" si="249"/>
        <v>#VALUE!</v>
      </c>
    </row>
    <row r="2669" spans="55:66" x14ac:dyDescent="0.2">
      <c r="BC2669" s="21" t="e" vm="1">
        <v>#REF!</v>
      </c>
      <c r="BD2669" t="e" vm="1">
        <v>#REF!</v>
      </c>
      <c r="BF2669" t="e" vm="2">
        <f t="shared" si="246"/>
        <v>#VALUE!</v>
      </c>
      <c r="BG2669" t="e" vm="2">
        <f t="shared" si="247"/>
        <v>#VALUE!</v>
      </c>
      <c r="BJ2669" s="21" t="e" vm="1">
        <v>#REF!</v>
      </c>
      <c r="BK2669" t="e" vm="1">
        <v>#REF!</v>
      </c>
      <c r="BM2669" t="e" vm="2">
        <f t="shared" si="248"/>
        <v>#VALUE!</v>
      </c>
      <c r="BN2669" t="e" vm="2">
        <f t="shared" si="249"/>
        <v>#VALUE!</v>
      </c>
    </row>
    <row r="2670" spans="55:66" x14ac:dyDescent="0.2">
      <c r="BC2670" s="21" t="e" vm="1">
        <v>#REF!</v>
      </c>
      <c r="BD2670" t="e" vm="1">
        <v>#REF!</v>
      </c>
      <c r="BF2670" t="e" vm="2">
        <f t="shared" si="246"/>
        <v>#VALUE!</v>
      </c>
      <c r="BG2670" t="e" vm="2">
        <f t="shared" si="247"/>
        <v>#VALUE!</v>
      </c>
      <c r="BJ2670" s="21" t="e" vm="1">
        <v>#REF!</v>
      </c>
      <c r="BK2670" t="e" vm="1">
        <v>#REF!</v>
      </c>
      <c r="BM2670" t="e" vm="2">
        <f t="shared" si="248"/>
        <v>#VALUE!</v>
      </c>
      <c r="BN2670" t="e" vm="2">
        <f t="shared" si="249"/>
        <v>#VALUE!</v>
      </c>
    </row>
    <row r="2671" spans="55:66" x14ac:dyDescent="0.2">
      <c r="BC2671" s="21" t="e" vm="1">
        <v>#REF!</v>
      </c>
      <c r="BD2671" t="e" vm="1">
        <v>#REF!</v>
      </c>
      <c r="BF2671" t="e" vm="2">
        <f t="shared" si="246"/>
        <v>#VALUE!</v>
      </c>
      <c r="BG2671" t="e" vm="2">
        <f t="shared" si="247"/>
        <v>#VALUE!</v>
      </c>
      <c r="BJ2671" s="21" t="e" vm="1">
        <v>#REF!</v>
      </c>
      <c r="BK2671" t="e" vm="1">
        <v>#REF!</v>
      </c>
      <c r="BM2671" t="e" vm="2">
        <f t="shared" si="248"/>
        <v>#VALUE!</v>
      </c>
      <c r="BN2671" t="e" vm="2">
        <f t="shared" si="249"/>
        <v>#VALUE!</v>
      </c>
    </row>
    <row r="2672" spans="55:66" x14ac:dyDescent="0.2">
      <c r="BC2672" s="21" t="e" vm="1">
        <v>#REF!</v>
      </c>
      <c r="BD2672" t="e" vm="1">
        <v>#REF!</v>
      </c>
      <c r="BF2672" t="e" vm="2">
        <f t="shared" si="246"/>
        <v>#VALUE!</v>
      </c>
      <c r="BG2672" t="e" vm="2">
        <f t="shared" si="247"/>
        <v>#VALUE!</v>
      </c>
      <c r="BJ2672" s="21" t="e" vm="1">
        <v>#REF!</v>
      </c>
      <c r="BK2672" t="e" vm="1">
        <v>#REF!</v>
      </c>
      <c r="BM2672" t="e" vm="2">
        <f t="shared" si="248"/>
        <v>#VALUE!</v>
      </c>
      <c r="BN2672" t="e" vm="2">
        <f t="shared" si="249"/>
        <v>#VALUE!</v>
      </c>
    </row>
    <row r="2673" spans="55:66" x14ac:dyDescent="0.2">
      <c r="BC2673" s="21" t="e" vm="1">
        <v>#REF!</v>
      </c>
      <c r="BD2673" t="e" vm="1">
        <v>#REF!</v>
      </c>
      <c r="BF2673" t="e" vm="2">
        <f t="shared" si="246"/>
        <v>#VALUE!</v>
      </c>
      <c r="BG2673" t="e" vm="2">
        <f t="shared" si="247"/>
        <v>#VALUE!</v>
      </c>
      <c r="BJ2673" s="21" t="e" vm="1">
        <v>#REF!</v>
      </c>
      <c r="BK2673" t="e" vm="1">
        <v>#REF!</v>
      </c>
      <c r="BM2673" t="e" vm="2">
        <f t="shared" si="248"/>
        <v>#VALUE!</v>
      </c>
      <c r="BN2673" t="e" vm="2">
        <f t="shared" si="249"/>
        <v>#VALUE!</v>
      </c>
    </row>
    <row r="2674" spans="55:66" x14ac:dyDescent="0.2">
      <c r="BC2674" s="21" t="e" vm="1">
        <v>#REF!</v>
      </c>
      <c r="BD2674" t="e" vm="1">
        <v>#REF!</v>
      </c>
      <c r="BF2674" t="e" vm="2">
        <f t="shared" si="246"/>
        <v>#VALUE!</v>
      </c>
      <c r="BG2674" t="e" vm="2">
        <f t="shared" si="247"/>
        <v>#VALUE!</v>
      </c>
      <c r="BJ2674" s="21" t="e" vm="1">
        <v>#REF!</v>
      </c>
      <c r="BK2674" t="e" vm="1">
        <v>#REF!</v>
      </c>
      <c r="BM2674" t="e" vm="2">
        <f t="shared" si="248"/>
        <v>#VALUE!</v>
      </c>
      <c r="BN2674" t="e" vm="2">
        <f t="shared" si="249"/>
        <v>#VALUE!</v>
      </c>
    </row>
    <row r="2675" spans="55:66" x14ac:dyDescent="0.2">
      <c r="BC2675" s="21" t="e" vm="1">
        <v>#REF!</v>
      </c>
      <c r="BD2675" t="e" vm="1">
        <v>#REF!</v>
      </c>
      <c r="BF2675" t="e" vm="2">
        <f t="shared" si="246"/>
        <v>#VALUE!</v>
      </c>
      <c r="BG2675" t="e" vm="2">
        <f t="shared" si="247"/>
        <v>#VALUE!</v>
      </c>
      <c r="BJ2675" s="21" t="e" vm="1">
        <v>#REF!</v>
      </c>
      <c r="BK2675" t="e" vm="1">
        <v>#REF!</v>
      </c>
      <c r="BM2675" t="e" vm="2">
        <f t="shared" si="248"/>
        <v>#VALUE!</v>
      </c>
      <c r="BN2675" t="e" vm="2">
        <f t="shared" si="249"/>
        <v>#VALUE!</v>
      </c>
    </row>
    <row r="2676" spans="55:66" x14ac:dyDescent="0.2">
      <c r="BC2676" s="21" t="e" vm="1">
        <v>#REF!</v>
      </c>
      <c r="BD2676" t="e" vm="1">
        <v>#REF!</v>
      </c>
      <c r="BF2676" t="e" vm="2">
        <f t="shared" si="246"/>
        <v>#VALUE!</v>
      </c>
      <c r="BG2676" t="e" vm="2">
        <f t="shared" si="247"/>
        <v>#VALUE!</v>
      </c>
      <c r="BJ2676" s="21" t="e" vm="1">
        <v>#REF!</v>
      </c>
      <c r="BK2676" t="e" vm="1">
        <v>#REF!</v>
      </c>
      <c r="BM2676" t="e" vm="2">
        <f t="shared" si="248"/>
        <v>#VALUE!</v>
      </c>
      <c r="BN2676" t="e" vm="2">
        <f t="shared" si="249"/>
        <v>#VALUE!</v>
      </c>
    </row>
    <row r="2677" spans="55:66" x14ac:dyDescent="0.2">
      <c r="BC2677" s="21" t="e" vm="1">
        <v>#REF!</v>
      </c>
      <c r="BD2677" t="e" vm="1">
        <v>#REF!</v>
      </c>
      <c r="BF2677" t="e" vm="2">
        <f t="shared" si="246"/>
        <v>#VALUE!</v>
      </c>
      <c r="BG2677" t="e" vm="2">
        <f t="shared" si="247"/>
        <v>#VALUE!</v>
      </c>
      <c r="BJ2677" s="21" t="e" vm="1">
        <v>#REF!</v>
      </c>
      <c r="BK2677" t="e" vm="1">
        <v>#REF!</v>
      </c>
      <c r="BM2677" t="e" vm="2">
        <f t="shared" si="248"/>
        <v>#VALUE!</v>
      </c>
      <c r="BN2677" t="e" vm="2">
        <f t="shared" si="249"/>
        <v>#VALUE!</v>
      </c>
    </row>
    <row r="2678" spans="55:66" x14ac:dyDescent="0.2">
      <c r="BC2678" s="21" t="e" vm="1">
        <v>#REF!</v>
      </c>
      <c r="BD2678" t="e" vm="1">
        <v>#REF!</v>
      </c>
      <c r="BF2678" t="e" vm="2">
        <f t="shared" si="246"/>
        <v>#VALUE!</v>
      </c>
      <c r="BG2678" t="e" vm="2">
        <f t="shared" si="247"/>
        <v>#VALUE!</v>
      </c>
      <c r="BJ2678" s="21" t="e" vm="1">
        <v>#REF!</v>
      </c>
      <c r="BK2678" t="e" vm="1">
        <v>#REF!</v>
      </c>
      <c r="BM2678" t="e" vm="2">
        <f t="shared" si="248"/>
        <v>#VALUE!</v>
      </c>
      <c r="BN2678" t="e" vm="2">
        <f t="shared" si="249"/>
        <v>#VALUE!</v>
      </c>
    </row>
    <row r="2679" spans="55:66" x14ac:dyDescent="0.2">
      <c r="BC2679" s="21" t="e" vm="1">
        <v>#REF!</v>
      </c>
      <c r="BD2679" t="e" vm="1">
        <v>#REF!</v>
      </c>
      <c r="BF2679" t="e" vm="2">
        <f t="shared" si="246"/>
        <v>#VALUE!</v>
      </c>
      <c r="BG2679" t="e" vm="2">
        <f t="shared" si="247"/>
        <v>#VALUE!</v>
      </c>
      <c r="BJ2679" s="21" t="e" vm="1">
        <v>#REF!</v>
      </c>
      <c r="BK2679" t="e" vm="1">
        <v>#REF!</v>
      </c>
      <c r="BM2679" t="e" vm="2">
        <f t="shared" si="248"/>
        <v>#VALUE!</v>
      </c>
      <c r="BN2679" t="e" vm="2">
        <f t="shared" si="249"/>
        <v>#VALUE!</v>
      </c>
    </row>
    <row r="2680" spans="55:66" x14ac:dyDescent="0.2">
      <c r="BC2680" s="21" t="e" vm="1">
        <v>#REF!</v>
      </c>
      <c r="BD2680" t="e" vm="1">
        <v>#REF!</v>
      </c>
      <c r="BF2680" t="e" vm="2">
        <f t="shared" si="246"/>
        <v>#VALUE!</v>
      </c>
      <c r="BG2680" t="e" vm="2">
        <f t="shared" si="247"/>
        <v>#VALUE!</v>
      </c>
      <c r="BJ2680" s="21" t="e" vm="1">
        <v>#REF!</v>
      </c>
      <c r="BK2680" t="e" vm="1">
        <v>#REF!</v>
      </c>
      <c r="BM2680" t="e" vm="2">
        <f t="shared" si="248"/>
        <v>#VALUE!</v>
      </c>
      <c r="BN2680" t="e" vm="2">
        <f t="shared" si="249"/>
        <v>#VALUE!</v>
      </c>
    </row>
    <row r="2681" spans="55:66" x14ac:dyDescent="0.2">
      <c r="BC2681" s="21" t="e" vm="1">
        <v>#REF!</v>
      </c>
      <c r="BD2681" t="e" vm="1">
        <v>#REF!</v>
      </c>
      <c r="BF2681" t="e" vm="2">
        <f t="shared" si="246"/>
        <v>#VALUE!</v>
      </c>
      <c r="BG2681" t="e" vm="2">
        <f t="shared" si="247"/>
        <v>#VALUE!</v>
      </c>
      <c r="BJ2681" s="21" t="e" vm="1">
        <v>#REF!</v>
      </c>
      <c r="BK2681" t="e" vm="1">
        <v>#REF!</v>
      </c>
      <c r="BM2681" t="e" vm="2">
        <f t="shared" si="248"/>
        <v>#VALUE!</v>
      </c>
      <c r="BN2681" t="e" vm="2">
        <f t="shared" si="249"/>
        <v>#VALUE!</v>
      </c>
    </row>
    <row r="2682" spans="55:66" x14ac:dyDescent="0.2">
      <c r="BC2682" s="21" t="e" vm="1">
        <v>#REF!</v>
      </c>
      <c r="BD2682" t="e" vm="1">
        <v>#REF!</v>
      </c>
      <c r="BF2682" t="e" vm="2">
        <f t="shared" si="246"/>
        <v>#VALUE!</v>
      </c>
      <c r="BG2682" t="e" vm="2">
        <f t="shared" si="247"/>
        <v>#VALUE!</v>
      </c>
      <c r="BJ2682" s="21" t="e" vm="1">
        <v>#REF!</v>
      </c>
      <c r="BK2682" t="e" vm="1">
        <v>#REF!</v>
      </c>
      <c r="BM2682" t="e" vm="2">
        <f t="shared" si="248"/>
        <v>#VALUE!</v>
      </c>
      <c r="BN2682" t="e" vm="2">
        <f t="shared" si="249"/>
        <v>#VALUE!</v>
      </c>
    </row>
    <row r="2683" spans="55:66" x14ac:dyDescent="0.2">
      <c r="BC2683" s="21" t="e" vm="1">
        <v>#REF!</v>
      </c>
      <c r="BD2683" t="e" vm="1">
        <v>#REF!</v>
      </c>
      <c r="BF2683" t="e" vm="2">
        <f t="shared" si="246"/>
        <v>#VALUE!</v>
      </c>
      <c r="BG2683" t="e" vm="2">
        <f t="shared" si="247"/>
        <v>#VALUE!</v>
      </c>
      <c r="BJ2683" s="21" t="e" vm="1">
        <v>#REF!</v>
      </c>
      <c r="BK2683" t="e" vm="1">
        <v>#REF!</v>
      </c>
      <c r="BM2683" t="e" vm="2">
        <f t="shared" si="248"/>
        <v>#VALUE!</v>
      </c>
      <c r="BN2683" t="e" vm="2">
        <f t="shared" si="249"/>
        <v>#VALUE!</v>
      </c>
    </row>
    <row r="2684" spans="55:66" x14ac:dyDescent="0.2">
      <c r="BC2684" s="21" t="e" vm="1">
        <v>#REF!</v>
      </c>
      <c r="BD2684" t="e" vm="1">
        <v>#REF!</v>
      </c>
      <c r="BF2684" t="e" vm="2">
        <f t="shared" si="246"/>
        <v>#VALUE!</v>
      </c>
      <c r="BG2684" t="e" vm="2">
        <f t="shared" si="247"/>
        <v>#VALUE!</v>
      </c>
      <c r="BJ2684" s="21" t="e" vm="1">
        <v>#REF!</v>
      </c>
      <c r="BK2684" t="e" vm="1">
        <v>#REF!</v>
      </c>
      <c r="BM2684" t="e" vm="2">
        <f t="shared" si="248"/>
        <v>#VALUE!</v>
      </c>
      <c r="BN2684" t="e" vm="2">
        <f t="shared" si="249"/>
        <v>#VALUE!</v>
      </c>
    </row>
    <row r="2685" spans="55:66" x14ac:dyDescent="0.2">
      <c r="BC2685" s="21" t="e" vm="1">
        <v>#REF!</v>
      </c>
      <c r="BD2685" t="e" vm="1">
        <v>#REF!</v>
      </c>
      <c r="BF2685" t="e" vm="2">
        <f t="shared" si="246"/>
        <v>#VALUE!</v>
      </c>
      <c r="BG2685" t="e" vm="2">
        <f t="shared" si="247"/>
        <v>#VALUE!</v>
      </c>
      <c r="BJ2685" s="21" t="e" vm="1">
        <v>#REF!</v>
      </c>
      <c r="BK2685" t="e" vm="1">
        <v>#REF!</v>
      </c>
      <c r="BM2685" t="e" vm="2">
        <f t="shared" si="248"/>
        <v>#VALUE!</v>
      </c>
      <c r="BN2685" t="e" vm="2">
        <f t="shared" si="249"/>
        <v>#VALUE!</v>
      </c>
    </row>
    <row r="2686" spans="55:66" x14ac:dyDescent="0.2">
      <c r="BC2686" s="21" t="e" vm="1">
        <v>#REF!</v>
      </c>
      <c r="BD2686" t="e" vm="1">
        <v>#REF!</v>
      </c>
      <c r="BF2686" t="e" vm="2">
        <f t="shared" si="246"/>
        <v>#VALUE!</v>
      </c>
      <c r="BG2686" t="e" vm="2">
        <f t="shared" si="247"/>
        <v>#VALUE!</v>
      </c>
      <c r="BJ2686" s="21" t="e" vm="1">
        <v>#REF!</v>
      </c>
      <c r="BK2686" t="e" vm="1">
        <v>#REF!</v>
      </c>
      <c r="BM2686" t="e" vm="2">
        <f t="shared" si="248"/>
        <v>#VALUE!</v>
      </c>
      <c r="BN2686" t="e" vm="2">
        <f t="shared" si="249"/>
        <v>#VALUE!</v>
      </c>
    </row>
    <row r="2687" spans="55:66" x14ac:dyDescent="0.2">
      <c r="BC2687" s="21" t="e" vm="1">
        <v>#REF!</v>
      </c>
      <c r="BD2687" t="e" vm="1">
        <v>#REF!</v>
      </c>
      <c r="BF2687" t="e" vm="2">
        <f t="shared" si="246"/>
        <v>#VALUE!</v>
      </c>
      <c r="BG2687" t="e" vm="2">
        <f t="shared" si="247"/>
        <v>#VALUE!</v>
      </c>
      <c r="BJ2687" s="21" t="e" vm="1">
        <v>#REF!</v>
      </c>
      <c r="BK2687" t="e" vm="1">
        <v>#REF!</v>
      </c>
      <c r="BM2687" t="e" vm="2">
        <f t="shared" si="248"/>
        <v>#VALUE!</v>
      </c>
      <c r="BN2687" t="e" vm="2">
        <f t="shared" si="249"/>
        <v>#VALUE!</v>
      </c>
    </row>
    <row r="2688" spans="55:66" x14ac:dyDescent="0.2">
      <c r="BC2688" s="21" t="e" vm="1">
        <v>#REF!</v>
      </c>
      <c r="BD2688" t="e" vm="1">
        <v>#REF!</v>
      </c>
      <c r="BF2688" t="e" vm="2">
        <f t="shared" si="246"/>
        <v>#VALUE!</v>
      </c>
      <c r="BG2688" t="e" vm="2">
        <f t="shared" si="247"/>
        <v>#VALUE!</v>
      </c>
      <c r="BJ2688" s="21" t="e" vm="1">
        <v>#REF!</v>
      </c>
      <c r="BK2688" t="e" vm="1">
        <v>#REF!</v>
      </c>
      <c r="BM2688" t="e" vm="2">
        <f t="shared" si="248"/>
        <v>#VALUE!</v>
      </c>
      <c r="BN2688" t="e" vm="2">
        <f t="shared" si="249"/>
        <v>#VALUE!</v>
      </c>
    </row>
    <row r="2689" spans="55:66" x14ac:dyDescent="0.2">
      <c r="BC2689" s="21" t="e" vm="1">
        <v>#REF!</v>
      </c>
      <c r="BD2689" t="e" vm="1">
        <v>#REF!</v>
      </c>
      <c r="BF2689" t="e" vm="2">
        <f t="shared" si="246"/>
        <v>#VALUE!</v>
      </c>
      <c r="BG2689" t="e" vm="2">
        <f t="shared" si="247"/>
        <v>#VALUE!</v>
      </c>
      <c r="BJ2689" s="21" t="e" vm="1">
        <v>#REF!</v>
      </c>
      <c r="BK2689" t="e" vm="1">
        <v>#REF!</v>
      </c>
      <c r="BM2689" t="e" vm="2">
        <f t="shared" si="248"/>
        <v>#VALUE!</v>
      </c>
      <c r="BN2689" t="e" vm="2">
        <f t="shared" si="249"/>
        <v>#VALUE!</v>
      </c>
    </row>
    <row r="2690" spans="55:66" x14ac:dyDescent="0.2">
      <c r="BC2690" s="21" t="e" vm="1">
        <v>#REF!</v>
      </c>
      <c r="BD2690" t="e" vm="1">
        <v>#REF!</v>
      </c>
      <c r="BF2690" t="e" vm="2">
        <f t="shared" si="246"/>
        <v>#VALUE!</v>
      </c>
      <c r="BG2690" t="e" vm="2">
        <f t="shared" si="247"/>
        <v>#VALUE!</v>
      </c>
      <c r="BJ2690" s="21" t="e" vm="1">
        <v>#REF!</v>
      </c>
      <c r="BK2690" t="e" vm="1">
        <v>#REF!</v>
      </c>
      <c r="BM2690" t="e" vm="2">
        <f t="shared" si="248"/>
        <v>#VALUE!</v>
      </c>
      <c r="BN2690" t="e" vm="2">
        <f t="shared" si="249"/>
        <v>#VALUE!</v>
      </c>
    </row>
    <row r="2691" spans="55:66" x14ac:dyDescent="0.2">
      <c r="BC2691" s="21" t="e" vm="1">
        <v>#REF!</v>
      </c>
      <c r="BD2691" t="e" vm="1">
        <v>#REF!</v>
      </c>
      <c r="BF2691" t="e" vm="2">
        <f t="shared" ref="BF2691:BF2754" si="250">MONTH(BC2691)</f>
        <v>#VALUE!</v>
      </c>
      <c r="BG2691" t="e" vm="2">
        <f t="shared" ref="BG2691:BG2754" si="251">YEAR(BC2691)</f>
        <v>#VALUE!</v>
      </c>
      <c r="BJ2691" s="21" t="e" vm="1">
        <v>#REF!</v>
      </c>
      <c r="BK2691" t="e" vm="1">
        <v>#REF!</v>
      </c>
      <c r="BM2691" t="e" vm="2">
        <f t="shared" si="248"/>
        <v>#VALUE!</v>
      </c>
      <c r="BN2691" t="e" vm="2">
        <f t="shared" si="249"/>
        <v>#VALUE!</v>
      </c>
    </row>
    <row r="2692" spans="55:66" x14ac:dyDescent="0.2">
      <c r="BC2692" s="21" t="e" vm="1">
        <v>#REF!</v>
      </c>
      <c r="BD2692" t="e" vm="1">
        <v>#REF!</v>
      </c>
      <c r="BF2692" t="e" vm="2">
        <f t="shared" si="250"/>
        <v>#VALUE!</v>
      </c>
      <c r="BG2692" t="e" vm="2">
        <f t="shared" si="251"/>
        <v>#VALUE!</v>
      </c>
      <c r="BJ2692" s="21" t="e" vm="1">
        <v>#REF!</v>
      </c>
      <c r="BK2692" t="e" vm="1">
        <v>#REF!</v>
      </c>
      <c r="BM2692" t="e" vm="2">
        <f t="shared" ref="BM2692:BM2755" si="252">MONTH(BJ2692)</f>
        <v>#VALUE!</v>
      </c>
      <c r="BN2692" t="e" vm="2">
        <f t="shared" ref="BN2692:BN2755" si="253">YEAR(BJ2692)</f>
        <v>#VALUE!</v>
      </c>
    </row>
    <row r="2693" spans="55:66" x14ac:dyDescent="0.2">
      <c r="BC2693" s="21" t="e" vm="1">
        <v>#REF!</v>
      </c>
      <c r="BD2693" t="e" vm="1">
        <v>#REF!</v>
      </c>
      <c r="BF2693" t="e" vm="2">
        <f t="shared" si="250"/>
        <v>#VALUE!</v>
      </c>
      <c r="BG2693" t="e" vm="2">
        <f t="shared" si="251"/>
        <v>#VALUE!</v>
      </c>
      <c r="BJ2693" s="21" t="e" vm="1">
        <v>#REF!</v>
      </c>
      <c r="BK2693" t="e" vm="1">
        <v>#REF!</v>
      </c>
      <c r="BM2693" t="e" vm="2">
        <f t="shared" si="252"/>
        <v>#VALUE!</v>
      </c>
      <c r="BN2693" t="e" vm="2">
        <f t="shared" si="253"/>
        <v>#VALUE!</v>
      </c>
    </row>
    <row r="2694" spans="55:66" x14ac:dyDescent="0.2">
      <c r="BC2694" s="21" t="e" vm="1">
        <v>#REF!</v>
      </c>
      <c r="BD2694" t="e" vm="1">
        <v>#REF!</v>
      </c>
      <c r="BF2694" t="e" vm="2">
        <f t="shared" si="250"/>
        <v>#VALUE!</v>
      </c>
      <c r="BG2694" t="e" vm="2">
        <f t="shared" si="251"/>
        <v>#VALUE!</v>
      </c>
      <c r="BJ2694" s="21" t="e" vm="1">
        <v>#REF!</v>
      </c>
      <c r="BK2694" t="e" vm="1">
        <v>#REF!</v>
      </c>
      <c r="BM2694" t="e" vm="2">
        <f t="shared" si="252"/>
        <v>#VALUE!</v>
      </c>
      <c r="BN2694" t="e" vm="2">
        <f t="shared" si="253"/>
        <v>#VALUE!</v>
      </c>
    </row>
    <row r="2695" spans="55:66" x14ac:dyDescent="0.2">
      <c r="BC2695" s="21" t="e" vm="1">
        <v>#REF!</v>
      </c>
      <c r="BD2695" t="e" vm="1">
        <v>#REF!</v>
      </c>
      <c r="BF2695" t="e" vm="2">
        <f t="shared" si="250"/>
        <v>#VALUE!</v>
      </c>
      <c r="BG2695" t="e" vm="2">
        <f t="shared" si="251"/>
        <v>#VALUE!</v>
      </c>
      <c r="BJ2695" s="21" t="e" vm="1">
        <v>#REF!</v>
      </c>
      <c r="BK2695" t="e" vm="1">
        <v>#REF!</v>
      </c>
      <c r="BM2695" t="e" vm="2">
        <f t="shared" si="252"/>
        <v>#VALUE!</v>
      </c>
      <c r="BN2695" t="e" vm="2">
        <f t="shared" si="253"/>
        <v>#VALUE!</v>
      </c>
    </row>
    <row r="2696" spans="55:66" x14ac:dyDescent="0.2">
      <c r="BC2696" s="21" t="e" vm="1">
        <v>#REF!</v>
      </c>
      <c r="BD2696" t="e" vm="1">
        <v>#REF!</v>
      </c>
      <c r="BF2696" t="e" vm="2">
        <f t="shared" si="250"/>
        <v>#VALUE!</v>
      </c>
      <c r="BG2696" t="e" vm="2">
        <f t="shared" si="251"/>
        <v>#VALUE!</v>
      </c>
      <c r="BJ2696" s="21" t="e" vm="1">
        <v>#REF!</v>
      </c>
      <c r="BK2696" t="e" vm="1">
        <v>#REF!</v>
      </c>
      <c r="BM2696" t="e" vm="2">
        <f t="shared" si="252"/>
        <v>#VALUE!</v>
      </c>
      <c r="BN2696" t="e" vm="2">
        <f t="shared" si="253"/>
        <v>#VALUE!</v>
      </c>
    </row>
    <row r="2697" spans="55:66" x14ac:dyDescent="0.2">
      <c r="BC2697" s="21" t="e" vm="1">
        <v>#REF!</v>
      </c>
      <c r="BD2697" t="e" vm="1">
        <v>#REF!</v>
      </c>
      <c r="BF2697" t="e" vm="2">
        <f t="shared" si="250"/>
        <v>#VALUE!</v>
      </c>
      <c r="BG2697" t="e" vm="2">
        <f t="shared" si="251"/>
        <v>#VALUE!</v>
      </c>
      <c r="BJ2697" s="21" t="e" vm="1">
        <v>#REF!</v>
      </c>
      <c r="BK2697" t="e" vm="1">
        <v>#REF!</v>
      </c>
      <c r="BM2697" t="e" vm="2">
        <f t="shared" si="252"/>
        <v>#VALUE!</v>
      </c>
      <c r="BN2697" t="e" vm="2">
        <f t="shared" si="253"/>
        <v>#VALUE!</v>
      </c>
    </row>
    <row r="2698" spans="55:66" x14ac:dyDescent="0.2">
      <c r="BC2698" s="21" t="e" vm="1">
        <v>#REF!</v>
      </c>
      <c r="BD2698" t="e" vm="1">
        <v>#REF!</v>
      </c>
      <c r="BF2698" t="e" vm="2">
        <f t="shared" si="250"/>
        <v>#VALUE!</v>
      </c>
      <c r="BG2698" t="e" vm="2">
        <f t="shared" si="251"/>
        <v>#VALUE!</v>
      </c>
      <c r="BJ2698" s="21" t="e" vm="1">
        <v>#REF!</v>
      </c>
      <c r="BK2698" t="e" vm="1">
        <v>#REF!</v>
      </c>
      <c r="BM2698" t="e" vm="2">
        <f t="shared" si="252"/>
        <v>#VALUE!</v>
      </c>
      <c r="BN2698" t="e" vm="2">
        <f t="shared" si="253"/>
        <v>#VALUE!</v>
      </c>
    </row>
    <row r="2699" spans="55:66" x14ac:dyDescent="0.2">
      <c r="BC2699" s="21" t="e" vm="1">
        <v>#REF!</v>
      </c>
      <c r="BD2699" t="e" vm="1">
        <v>#REF!</v>
      </c>
      <c r="BF2699" t="e" vm="2">
        <f t="shared" si="250"/>
        <v>#VALUE!</v>
      </c>
      <c r="BG2699" t="e" vm="2">
        <f t="shared" si="251"/>
        <v>#VALUE!</v>
      </c>
      <c r="BJ2699" s="21" t="e" vm="1">
        <v>#REF!</v>
      </c>
      <c r="BK2699" t="e" vm="1">
        <v>#REF!</v>
      </c>
      <c r="BM2699" t="e" vm="2">
        <f t="shared" si="252"/>
        <v>#VALUE!</v>
      </c>
      <c r="BN2699" t="e" vm="2">
        <f t="shared" si="253"/>
        <v>#VALUE!</v>
      </c>
    </row>
    <row r="2700" spans="55:66" x14ac:dyDescent="0.2">
      <c r="BC2700" s="21" t="e" vm="1">
        <v>#REF!</v>
      </c>
      <c r="BD2700" t="e" vm="1">
        <v>#REF!</v>
      </c>
      <c r="BF2700" t="e" vm="2">
        <f t="shared" si="250"/>
        <v>#VALUE!</v>
      </c>
      <c r="BG2700" t="e" vm="2">
        <f t="shared" si="251"/>
        <v>#VALUE!</v>
      </c>
      <c r="BJ2700" s="21" t="e" vm="1">
        <v>#REF!</v>
      </c>
      <c r="BK2700" t="e" vm="1">
        <v>#REF!</v>
      </c>
      <c r="BM2700" t="e" vm="2">
        <f t="shared" si="252"/>
        <v>#VALUE!</v>
      </c>
      <c r="BN2700" t="e" vm="2">
        <f t="shared" si="253"/>
        <v>#VALUE!</v>
      </c>
    </row>
    <row r="2701" spans="55:66" x14ac:dyDescent="0.2">
      <c r="BC2701" s="21" t="e" vm="1">
        <v>#REF!</v>
      </c>
      <c r="BD2701" t="e" vm="1">
        <v>#REF!</v>
      </c>
      <c r="BF2701" t="e" vm="2">
        <f t="shared" si="250"/>
        <v>#VALUE!</v>
      </c>
      <c r="BG2701" t="e" vm="2">
        <f t="shared" si="251"/>
        <v>#VALUE!</v>
      </c>
      <c r="BJ2701" s="21" t="e" vm="1">
        <v>#REF!</v>
      </c>
      <c r="BK2701" t="e" vm="1">
        <v>#REF!</v>
      </c>
      <c r="BM2701" t="e" vm="2">
        <f t="shared" si="252"/>
        <v>#VALUE!</v>
      </c>
      <c r="BN2701" t="e" vm="2">
        <f t="shared" si="253"/>
        <v>#VALUE!</v>
      </c>
    </row>
    <row r="2702" spans="55:66" x14ac:dyDescent="0.2">
      <c r="BC2702" s="21" t="e" vm="1">
        <v>#REF!</v>
      </c>
      <c r="BD2702" t="e" vm="1">
        <v>#REF!</v>
      </c>
      <c r="BF2702" t="e" vm="2">
        <f t="shared" si="250"/>
        <v>#VALUE!</v>
      </c>
      <c r="BG2702" t="e" vm="2">
        <f t="shared" si="251"/>
        <v>#VALUE!</v>
      </c>
      <c r="BJ2702" s="21" t="e" vm="1">
        <v>#REF!</v>
      </c>
      <c r="BK2702" t="e" vm="1">
        <v>#REF!</v>
      </c>
      <c r="BM2702" t="e" vm="2">
        <f t="shared" si="252"/>
        <v>#VALUE!</v>
      </c>
      <c r="BN2702" t="e" vm="2">
        <f t="shared" si="253"/>
        <v>#VALUE!</v>
      </c>
    </row>
    <row r="2703" spans="55:66" x14ac:dyDescent="0.2">
      <c r="BC2703" s="21" t="e" vm="1">
        <v>#REF!</v>
      </c>
      <c r="BD2703" t="e" vm="1">
        <v>#REF!</v>
      </c>
      <c r="BF2703" t="e" vm="2">
        <f t="shared" si="250"/>
        <v>#VALUE!</v>
      </c>
      <c r="BG2703" t="e" vm="2">
        <f t="shared" si="251"/>
        <v>#VALUE!</v>
      </c>
      <c r="BJ2703" s="21" t="e" vm="1">
        <v>#REF!</v>
      </c>
      <c r="BK2703" t="e" vm="1">
        <v>#REF!</v>
      </c>
      <c r="BM2703" t="e" vm="2">
        <f t="shared" si="252"/>
        <v>#VALUE!</v>
      </c>
      <c r="BN2703" t="e" vm="2">
        <f t="shared" si="253"/>
        <v>#VALUE!</v>
      </c>
    </row>
    <row r="2704" spans="55:66" x14ac:dyDescent="0.2">
      <c r="BC2704" s="21" t="e" vm="1">
        <v>#REF!</v>
      </c>
      <c r="BD2704" t="e" vm="1">
        <v>#REF!</v>
      </c>
      <c r="BF2704" t="e" vm="2">
        <f t="shared" si="250"/>
        <v>#VALUE!</v>
      </c>
      <c r="BG2704" t="e" vm="2">
        <f t="shared" si="251"/>
        <v>#VALUE!</v>
      </c>
      <c r="BJ2704" s="21" t="e" vm="1">
        <v>#REF!</v>
      </c>
      <c r="BK2704" t="e" vm="1">
        <v>#REF!</v>
      </c>
      <c r="BM2704" t="e" vm="2">
        <f t="shared" si="252"/>
        <v>#VALUE!</v>
      </c>
      <c r="BN2704" t="e" vm="2">
        <f t="shared" si="253"/>
        <v>#VALUE!</v>
      </c>
    </row>
    <row r="2705" spans="55:66" x14ac:dyDescent="0.2">
      <c r="BC2705" s="21" t="e" vm="1">
        <v>#REF!</v>
      </c>
      <c r="BD2705" t="e" vm="1">
        <v>#REF!</v>
      </c>
      <c r="BF2705" t="e" vm="2">
        <f t="shared" si="250"/>
        <v>#VALUE!</v>
      </c>
      <c r="BG2705" t="e" vm="2">
        <f t="shared" si="251"/>
        <v>#VALUE!</v>
      </c>
      <c r="BJ2705" s="21" t="e" vm="1">
        <v>#REF!</v>
      </c>
      <c r="BK2705" t="e" vm="1">
        <v>#REF!</v>
      </c>
      <c r="BM2705" t="e" vm="2">
        <f t="shared" si="252"/>
        <v>#VALUE!</v>
      </c>
      <c r="BN2705" t="e" vm="2">
        <f t="shared" si="253"/>
        <v>#VALUE!</v>
      </c>
    </row>
    <row r="2706" spans="55:66" x14ac:dyDescent="0.2">
      <c r="BC2706" s="21" t="e" vm="1">
        <v>#REF!</v>
      </c>
      <c r="BD2706" t="e" vm="1">
        <v>#REF!</v>
      </c>
      <c r="BF2706" t="e" vm="2">
        <f t="shared" si="250"/>
        <v>#VALUE!</v>
      </c>
      <c r="BG2706" t="e" vm="2">
        <f t="shared" si="251"/>
        <v>#VALUE!</v>
      </c>
      <c r="BJ2706" s="21" t="e" vm="1">
        <v>#REF!</v>
      </c>
      <c r="BK2706" t="e" vm="1">
        <v>#REF!</v>
      </c>
      <c r="BM2706" t="e" vm="2">
        <f t="shared" si="252"/>
        <v>#VALUE!</v>
      </c>
      <c r="BN2706" t="e" vm="2">
        <f t="shared" si="253"/>
        <v>#VALUE!</v>
      </c>
    </row>
    <row r="2707" spans="55:66" x14ac:dyDescent="0.2">
      <c r="BC2707" s="21" t="e" vm="1">
        <v>#REF!</v>
      </c>
      <c r="BD2707" t="e" vm="1">
        <v>#REF!</v>
      </c>
      <c r="BF2707" t="e" vm="2">
        <f t="shared" si="250"/>
        <v>#VALUE!</v>
      </c>
      <c r="BG2707" t="e" vm="2">
        <f t="shared" si="251"/>
        <v>#VALUE!</v>
      </c>
      <c r="BJ2707" s="21" t="e" vm="1">
        <v>#REF!</v>
      </c>
      <c r="BK2707" t="e" vm="1">
        <v>#REF!</v>
      </c>
      <c r="BM2707" t="e" vm="2">
        <f t="shared" si="252"/>
        <v>#VALUE!</v>
      </c>
      <c r="BN2707" t="e" vm="2">
        <f t="shared" si="253"/>
        <v>#VALUE!</v>
      </c>
    </row>
    <row r="2708" spans="55:66" x14ac:dyDescent="0.2">
      <c r="BC2708" s="21" t="e" vm="1">
        <v>#REF!</v>
      </c>
      <c r="BD2708" t="e" vm="1">
        <v>#REF!</v>
      </c>
      <c r="BF2708" t="e" vm="2">
        <f t="shared" si="250"/>
        <v>#VALUE!</v>
      </c>
      <c r="BG2708" t="e" vm="2">
        <f t="shared" si="251"/>
        <v>#VALUE!</v>
      </c>
      <c r="BJ2708" s="21" t="e" vm="1">
        <v>#REF!</v>
      </c>
      <c r="BK2708" t="e" vm="1">
        <v>#REF!</v>
      </c>
      <c r="BM2708" t="e" vm="2">
        <f t="shared" si="252"/>
        <v>#VALUE!</v>
      </c>
      <c r="BN2708" t="e" vm="2">
        <f t="shared" si="253"/>
        <v>#VALUE!</v>
      </c>
    </row>
    <row r="2709" spans="55:66" x14ac:dyDescent="0.2">
      <c r="BC2709" s="21" t="e" vm="1">
        <v>#REF!</v>
      </c>
      <c r="BD2709" t="e" vm="1">
        <v>#REF!</v>
      </c>
      <c r="BF2709" t="e" vm="2">
        <f t="shared" si="250"/>
        <v>#VALUE!</v>
      </c>
      <c r="BG2709" t="e" vm="2">
        <f t="shared" si="251"/>
        <v>#VALUE!</v>
      </c>
      <c r="BJ2709" s="21" t="e" vm="1">
        <v>#REF!</v>
      </c>
      <c r="BK2709" t="e" vm="1">
        <v>#REF!</v>
      </c>
      <c r="BM2709" t="e" vm="2">
        <f t="shared" si="252"/>
        <v>#VALUE!</v>
      </c>
      <c r="BN2709" t="e" vm="2">
        <f t="shared" si="253"/>
        <v>#VALUE!</v>
      </c>
    </row>
    <row r="2710" spans="55:66" x14ac:dyDescent="0.2">
      <c r="BC2710" s="21" t="e" vm="1">
        <v>#REF!</v>
      </c>
      <c r="BD2710" t="e" vm="1">
        <v>#REF!</v>
      </c>
      <c r="BF2710" t="e" vm="2">
        <f t="shared" si="250"/>
        <v>#VALUE!</v>
      </c>
      <c r="BG2710" t="e" vm="2">
        <f t="shared" si="251"/>
        <v>#VALUE!</v>
      </c>
      <c r="BJ2710" s="21" t="e" vm="1">
        <v>#REF!</v>
      </c>
      <c r="BK2710" t="e" vm="1">
        <v>#REF!</v>
      </c>
      <c r="BM2710" t="e" vm="2">
        <f t="shared" si="252"/>
        <v>#VALUE!</v>
      </c>
      <c r="BN2710" t="e" vm="2">
        <f t="shared" si="253"/>
        <v>#VALUE!</v>
      </c>
    </row>
    <row r="2711" spans="55:66" x14ac:dyDescent="0.2">
      <c r="BC2711" s="21" t="e" vm="1">
        <v>#REF!</v>
      </c>
      <c r="BD2711" t="e" vm="1">
        <v>#REF!</v>
      </c>
      <c r="BF2711" t="e" vm="2">
        <f t="shared" si="250"/>
        <v>#VALUE!</v>
      </c>
      <c r="BG2711" t="e" vm="2">
        <f t="shared" si="251"/>
        <v>#VALUE!</v>
      </c>
      <c r="BJ2711" s="21" t="e" vm="1">
        <v>#REF!</v>
      </c>
      <c r="BK2711" t="e" vm="1">
        <v>#REF!</v>
      </c>
      <c r="BM2711" t="e" vm="2">
        <f t="shared" si="252"/>
        <v>#VALUE!</v>
      </c>
      <c r="BN2711" t="e" vm="2">
        <f t="shared" si="253"/>
        <v>#VALUE!</v>
      </c>
    </row>
    <row r="2712" spans="55:66" x14ac:dyDescent="0.2">
      <c r="BC2712" s="21" t="e" vm="1">
        <v>#REF!</v>
      </c>
      <c r="BD2712" t="e" vm="1">
        <v>#REF!</v>
      </c>
      <c r="BF2712" t="e" vm="2">
        <f t="shared" si="250"/>
        <v>#VALUE!</v>
      </c>
      <c r="BG2712" t="e" vm="2">
        <f t="shared" si="251"/>
        <v>#VALUE!</v>
      </c>
      <c r="BJ2712" s="21" t="e" vm="1">
        <v>#REF!</v>
      </c>
      <c r="BK2712" t="e" vm="1">
        <v>#REF!</v>
      </c>
      <c r="BM2712" t="e" vm="2">
        <f t="shared" si="252"/>
        <v>#VALUE!</v>
      </c>
      <c r="BN2712" t="e" vm="2">
        <f t="shared" si="253"/>
        <v>#VALUE!</v>
      </c>
    </row>
    <row r="2713" spans="55:66" x14ac:dyDescent="0.2">
      <c r="BC2713" s="21" t="e" vm="1">
        <v>#REF!</v>
      </c>
      <c r="BD2713" t="e" vm="1">
        <v>#REF!</v>
      </c>
      <c r="BF2713" t="e" vm="2">
        <f t="shared" si="250"/>
        <v>#VALUE!</v>
      </c>
      <c r="BG2713" t="e" vm="2">
        <f t="shared" si="251"/>
        <v>#VALUE!</v>
      </c>
      <c r="BJ2713" s="21" t="e" vm="1">
        <v>#REF!</v>
      </c>
      <c r="BK2713" t="e" vm="1">
        <v>#REF!</v>
      </c>
      <c r="BM2713" t="e" vm="2">
        <f t="shared" si="252"/>
        <v>#VALUE!</v>
      </c>
      <c r="BN2713" t="e" vm="2">
        <f t="shared" si="253"/>
        <v>#VALUE!</v>
      </c>
    </row>
    <row r="2714" spans="55:66" x14ac:dyDescent="0.2">
      <c r="BC2714" s="21" t="e" vm="1">
        <v>#REF!</v>
      </c>
      <c r="BD2714" t="e" vm="1">
        <v>#REF!</v>
      </c>
      <c r="BF2714" t="e" vm="2">
        <f t="shared" si="250"/>
        <v>#VALUE!</v>
      </c>
      <c r="BG2714" t="e" vm="2">
        <f t="shared" si="251"/>
        <v>#VALUE!</v>
      </c>
      <c r="BJ2714" s="21" t="e" vm="1">
        <v>#REF!</v>
      </c>
      <c r="BK2714" t="e" vm="1">
        <v>#REF!</v>
      </c>
      <c r="BM2714" t="e" vm="2">
        <f t="shared" si="252"/>
        <v>#VALUE!</v>
      </c>
      <c r="BN2714" t="e" vm="2">
        <f t="shared" si="253"/>
        <v>#VALUE!</v>
      </c>
    </row>
    <row r="2715" spans="55:66" x14ac:dyDescent="0.2">
      <c r="BC2715" s="21" t="e" vm="1">
        <v>#REF!</v>
      </c>
      <c r="BD2715" t="e" vm="1">
        <v>#REF!</v>
      </c>
      <c r="BF2715" t="e" vm="2">
        <f t="shared" si="250"/>
        <v>#VALUE!</v>
      </c>
      <c r="BG2715" t="e" vm="2">
        <f t="shared" si="251"/>
        <v>#VALUE!</v>
      </c>
      <c r="BJ2715" s="21" t="e" vm="1">
        <v>#REF!</v>
      </c>
      <c r="BK2715" t="e" vm="1">
        <v>#REF!</v>
      </c>
      <c r="BM2715" t="e" vm="2">
        <f t="shared" si="252"/>
        <v>#VALUE!</v>
      </c>
      <c r="BN2715" t="e" vm="2">
        <f t="shared" si="253"/>
        <v>#VALUE!</v>
      </c>
    </row>
    <row r="2716" spans="55:66" x14ac:dyDescent="0.2">
      <c r="BC2716" s="21" t="e" vm="1">
        <v>#REF!</v>
      </c>
      <c r="BD2716" t="e" vm="1">
        <v>#REF!</v>
      </c>
      <c r="BF2716" t="e" vm="2">
        <f t="shared" si="250"/>
        <v>#VALUE!</v>
      </c>
      <c r="BG2716" t="e" vm="2">
        <f t="shared" si="251"/>
        <v>#VALUE!</v>
      </c>
      <c r="BJ2716" s="21" t="e" vm="1">
        <v>#REF!</v>
      </c>
      <c r="BK2716" t="e" vm="1">
        <v>#REF!</v>
      </c>
      <c r="BM2716" t="e" vm="2">
        <f t="shared" si="252"/>
        <v>#VALUE!</v>
      </c>
      <c r="BN2716" t="e" vm="2">
        <f t="shared" si="253"/>
        <v>#VALUE!</v>
      </c>
    </row>
    <row r="2717" spans="55:66" x14ac:dyDescent="0.2">
      <c r="BC2717" s="21" t="e" vm="1">
        <v>#REF!</v>
      </c>
      <c r="BD2717" t="e" vm="1">
        <v>#REF!</v>
      </c>
      <c r="BF2717" t="e" vm="2">
        <f t="shared" si="250"/>
        <v>#VALUE!</v>
      </c>
      <c r="BG2717" t="e" vm="2">
        <f t="shared" si="251"/>
        <v>#VALUE!</v>
      </c>
      <c r="BJ2717" s="21" t="e" vm="1">
        <v>#REF!</v>
      </c>
      <c r="BK2717" t="e" vm="1">
        <v>#REF!</v>
      </c>
      <c r="BM2717" t="e" vm="2">
        <f t="shared" si="252"/>
        <v>#VALUE!</v>
      </c>
      <c r="BN2717" t="e" vm="2">
        <f t="shared" si="253"/>
        <v>#VALUE!</v>
      </c>
    </row>
    <row r="2718" spans="55:66" x14ac:dyDescent="0.2">
      <c r="BC2718" s="21" t="e" vm="1">
        <v>#REF!</v>
      </c>
      <c r="BD2718" t="e" vm="1">
        <v>#REF!</v>
      </c>
      <c r="BF2718" t="e" vm="2">
        <f t="shared" si="250"/>
        <v>#VALUE!</v>
      </c>
      <c r="BG2718" t="e" vm="2">
        <f t="shared" si="251"/>
        <v>#VALUE!</v>
      </c>
      <c r="BJ2718" s="21" t="e" vm="1">
        <v>#REF!</v>
      </c>
      <c r="BK2718" t="e" vm="1">
        <v>#REF!</v>
      </c>
      <c r="BM2718" t="e" vm="2">
        <f t="shared" si="252"/>
        <v>#VALUE!</v>
      </c>
      <c r="BN2718" t="e" vm="2">
        <f t="shared" si="253"/>
        <v>#VALUE!</v>
      </c>
    </row>
    <row r="2719" spans="55:66" x14ac:dyDescent="0.2">
      <c r="BC2719" s="21" t="e" vm="1">
        <v>#REF!</v>
      </c>
      <c r="BD2719" t="e" vm="1">
        <v>#REF!</v>
      </c>
      <c r="BF2719" t="e" vm="2">
        <f t="shared" si="250"/>
        <v>#VALUE!</v>
      </c>
      <c r="BG2719" t="e" vm="2">
        <f t="shared" si="251"/>
        <v>#VALUE!</v>
      </c>
      <c r="BJ2719" s="21" t="e" vm="1">
        <v>#REF!</v>
      </c>
      <c r="BK2719" t="e" vm="1">
        <v>#REF!</v>
      </c>
      <c r="BM2719" t="e" vm="2">
        <f t="shared" si="252"/>
        <v>#VALUE!</v>
      </c>
      <c r="BN2719" t="e" vm="2">
        <f t="shared" si="253"/>
        <v>#VALUE!</v>
      </c>
    </row>
    <row r="2720" spans="55:66" x14ac:dyDescent="0.2">
      <c r="BC2720" s="21" t="e" vm="1">
        <v>#REF!</v>
      </c>
      <c r="BD2720" t="e" vm="1">
        <v>#REF!</v>
      </c>
      <c r="BF2720" t="e" vm="2">
        <f t="shared" si="250"/>
        <v>#VALUE!</v>
      </c>
      <c r="BG2720" t="e" vm="2">
        <f t="shared" si="251"/>
        <v>#VALUE!</v>
      </c>
      <c r="BJ2720" s="21" t="e" vm="1">
        <v>#REF!</v>
      </c>
      <c r="BK2720" t="e" vm="1">
        <v>#REF!</v>
      </c>
      <c r="BM2720" t="e" vm="2">
        <f t="shared" si="252"/>
        <v>#VALUE!</v>
      </c>
      <c r="BN2720" t="e" vm="2">
        <f t="shared" si="253"/>
        <v>#VALUE!</v>
      </c>
    </row>
    <row r="2721" spans="55:66" x14ac:dyDescent="0.2">
      <c r="BC2721" s="21" t="e" vm="1">
        <v>#REF!</v>
      </c>
      <c r="BD2721" t="e" vm="1">
        <v>#REF!</v>
      </c>
      <c r="BF2721" t="e" vm="2">
        <f t="shared" si="250"/>
        <v>#VALUE!</v>
      </c>
      <c r="BG2721" t="e" vm="2">
        <f t="shared" si="251"/>
        <v>#VALUE!</v>
      </c>
      <c r="BJ2721" s="21" t="e" vm="1">
        <v>#REF!</v>
      </c>
      <c r="BK2721" t="e" vm="1">
        <v>#REF!</v>
      </c>
      <c r="BM2721" t="e" vm="2">
        <f t="shared" si="252"/>
        <v>#VALUE!</v>
      </c>
      <c r="BN2721" t="e" vm="2">
        <f t="shared" si="253"/>
        <v>#VALUE!</v>
      </c>
    </row>
    <row r="2722" spans="55:66" x14ac:dyDescent="0.2">
      <c r="BC2722" s="21" t="e" vm="1">
        <v>#REF!</v>
      </c>
      <c r="BD2722" t="e" vm="1">
        <v>#REF!</v>
      </c>
      <c r="BF2722" t="e" vm="2">
        <f t="shared" si="250"/>
        <v>#VALUE!</v>
      </c>
      <c r="BG2722" t="e" vm="2">
        <f t="shared" si="251"/>
        <v>#VALUE!</v>
      </c>
      <c r="BJ2722" s="21" t="e" vm="1">
        <v>#REF!</v>
      </c>
      <c r="BK2722" t="e" vm="1">
        <v>#REF!</v>
      </c>
      <c r="BM2722" t="e" vm="2">
        <f t="shared" si="252"/>
        <v>#VALUE!</v>
      </c>
      <c r="BN2722" t="e" vm="2">
        <f t="shared" si="253"/>
        <v>#VALUE!</v>
      </c>
    </row>
    <row r="2723" spans="55:66" x14ac:dyDescent="0.2">
      <c r="BC2723" s="21" t="e" vm="1">
        <v>#REF!</v>
      </c>
      <c r="BD2723" t="e" vm="1">
        <v>#REF!</v>
      </c>
      <c r="BF2723" t="e" vm="2">
        <f t="shared" si="250"/>
        <v>#VALUE!</v>
      </c>
      <c r="BG2723" t="e" vm="2">
        <f t="shared" si="251"/>
        <v>#VALUE!</v>
      </c>
      <c r="BJ2723" s="21" t="e" vm="1">
        <v>#REF!</v>
      </c>
      <c r="BK2723" t="e" vm="1">
        <v>#REF!</v>
      </c>
      <c r="BM2723" t="e" vm="2">
        <f t="shared" si="252"/>
        <v>#VALUE!</v>
      </c>
      <c r="BN2723" t="e" vm="2">
        <f t="shared" si="253"/>
        <v>#VALUE!</v>
      </c>
    </row>
    <row r="2724" spans="55:66" x14ac:dyDescent="0.2">
      <c r="BC2724" s="21" t="e" vm="1">
        <v>#REF!</v>
      </c>
      <c r="BD2724" t="e" vm="1">
        <v>#REF!</v>
      </c>
      <c r="BF2724" t="e" vm="2">
        <f t="shared" si="250"/>
        <v>#VALUE!</v>
      </c>
      <c r="BG2724" t="e" vm="2">
        <f t="shared" si="251"/>
        <v>#VALUE!</v>
      </c>
      <c r="BJ2724" s="21" t="e" vm="1">
        <v>#REF!</v>
      </c>
      <c r="BK2724" t="e" vm="1">
        <v>#REF!</v>
      </c>
      <c r="BM2724" t="e" vm="2">
        <f t="shared" si="252"/>
        <v>#VALUE!</v>
      </c>
      <c r="BN2724" t="e" vm="2">
        <f t="shared" si="253"/>
        <v>#VALUE!</v>
      </c>
    </row>
    <row r="2725" spans="55:66" x14ac:dyDescent="0.2">
      <c r="BC2725" s="21" t="e" vm="1">
        <v>#REF!</v>
      </c>
      <c r="BD2725" t="e" vm="1">
        <v>#REF!</v>
      </c>
      <c r="BF2725" t="e" vm="2">
        <f t="shared" si="250"/>
        <v>#VALUE!</v>
      </c>
      <c r="BG2725" t="e" vm="2">
        <f t="shared" si="251"/>
        <v>#VALUE!</v>
      </c>
      <c r="BJ2725" s="21" t="e" vm="1">
        <v>#REF!</v>
      </c>
      <c r="BK2725" t="e" vm="1">
        <v>#REF!</v>
      </c>
      <c r="BM2725" t="e" vm="2">
        <f t="shared" si="252"/>
        <v>#VALUE!</v>
      </c>
      <c r="BN2725" t="e" vm="2">
        <f t="shared" si="253"/>
        <v>#VALUE!</v>
      </c>
    </row>
    <row r="2726" spans="55:66" x14ac:dyDescent="0.2">
      <c r="BC2726" s="21" t="e" vm="1">
        <v>#REF!</v>
      </c>
      <c r="BD2726" t="e" vm="1">
        <v>#REF!</v>
      </c>
      <c r="BF2726" t="e" vm="2">
        <f t="shared" si="250"/>
        <v>#VALUE!</v>
      </c>
      <c r="BG2726" t="e" vm="2">
        <f t="shared" si="251"/>
        <v>#VALUE!</v>
      </c>
      <c r="BJ2726" s="21" t="e" vm="1">
        <v>#REF!</v>
      </c>
      <c r="BK2726" t="e" vm="1">
        <v>#REF!</v>
      </c>
      <c r="BM2726" t="e" vm="2">
        <f t="shared" si="252"/>
        <v>#VALUE!</v>
      </c>
      <c r="BN2726" t="e" vm="2">
        <f t="shared" si="253"/>
        <v>#VALUE!</v>
      </c>
    </row>
    <row r="2727" spans="55:66" x14ac:dyDescent="0.2">
      <c r="BC2727" s="21" t="e" vm="1">
        <v>#REF!</v>
      </c>
      <c r="BD2727" t="e" vm="1">
        <v>#REF!</v>
      </c>
      <c r="BF2727" t="e" vm="2">
        <f t="shared" si="250"/>
        <v>#VALUE!</v>
      </c>
      <c r="BG2727" t="e" vm="2">
        <f t="shared" si="251"/>
        <v>#VALUE!</v>
      </c>
      <c r="BJ2727" s="21" t="e" vm="1">
        <v>#REF!</v>
      </c>
      <c r="BK2727" t="e" vm="1">
        <v>#REF!</v>
      </c>
      <c r="BM2727" t="e" vm="2">
        <f t="shared" si="252"/>
        <v>#VALUE!</v>
      </c>
      <c r="BN2727" t="e" vm="2">
        <f t="shared" si="253"/>
        <v>#VALUE!</v>
      </c>
    </row>
    <row r="2728" spans="55:66" x14ac:dyDescent="0.2">
      <c r="BC2728" s="21" t="e" vm="1">
        <v>#REF!</v>
      </c>
      <c r="BD2728" t="e" vm="1">
        <v>#REF!</v>
      </c>
      <c r="BF2728" t="e" vm="2">
        <f t="shared" si="250"/>
        <v>#VALUE!</v>
      </c>
      <c r="BG2728" t="e" vm="2">
        <f t="shared" si="251"/>
        <v>#VALUE!</v>
      </c>
      <c r="BJ2728" s="21" t="e" vm="1">
        <v>#REF!</v>
      </c>
      <c r="BK2728" t="e" vm="1">
        <v>#REF!</v>
      </c>
      <c r="BM2728" t="e" vm="2">
        <f t="shared" si="252"/>
        <v>#VALUE!</v>
      </c>
      <c r="BN2728" t="e" vm="2">
        <f t="shared" si="253"/>
        <v>#VALUE!</v>
      </c>
    </row>
    <row r="2729" spans="55:66" x14ac:dyDescent="0.2">
      <c r="BC2729" s="21" t="e" vm="1">
        <v>#REF!</v>
      </c>
      <c r="BD2729" t="e" vm="1">
        <v>#REF!</v>
      </c>
      <c r="BF2729" t="e" vm="2">
        <f t="shared" si="250"/>
        <v>#VALUE!</v>
      </c>
      <c r="BG2729" t="e" vm="2">
        <f t="shared" si="251"/>
        <v>#VALUE!</v>
      </c>
      <c r="BJ2729" s="21" t="e" vm="1">
        <v>#REF!</v>
      </c>
      <c r="BK2729" t="e" vm="1">
        <v>#REF!</v>
      </c>
      <c r="BM2729" t="e" vm="2">
        <f t="shared" si="252"/>
        <v>#VALUE!</v>
      </c>
      <c r="BN2729" t="e" vm="2">
        <f t="shared" si="253"/>
        <v>#VALUE!</v>
      </c>
    </row>
    <row r="2730" spans="55:66" x14ac:dyDescent="0.2">
      <c r="BC2730" s="21" t="e" vm="1">
        <v>#REF!</v>
      </c>
      <c r="BD2730" t="e" vm="1">
        <v>#REF!</v>
      </c>
      <c r="BF2730" t="e" vm="2">
        <f t="shared" si="250"/>
        <v>#VALUE!</v>
      </c>
      <c r="BG2730" t="e" vm="2">
        <f t="shared" si="251"/>
        <v>#VALUE!</v>
      </c>
      <c r="BJ2730" s="21" t="e" vm="1">
        <v>#REF!</v>
      </c>
      <c r="BK2730" t="e" vm="1">
        <v>#REF!</v>
      </c>
      <c r="BM2730" t="e" vm="2">
        <f t="shared" si="252"/>
        <v>#VALUE!</v>
      </c>
      <c r="BN2730" t="e" vm="2">
        <f t="shared" si="253"/>
        <v>#VALUE!</v>
      </c>
    </row>
    <row r="2731" spans="55:66" x14ac:dyDescent="0.2">
      <c r="BC2731" s="21" t="e" vm="1">
        <v>#REF!</v>
      </c>
      <c r="BD2731" t="e" vm="1">
        <v>#REF!</v>
      </c>
      <c r="BF2731" t="e" vm="2">
        <f t="shared" si="250"/>
        <v>#VALUE!</v>
      </c>
      <c r="BG2731" t="e" vm="2">
        <f t="shared" si="251"/>
        <v>#VALUE!</v>
      </c>
      <c r="BJ2731" s="21" t="e" vm="1">
        <v>#REF!</v>
      </c>
      <c r="BK2731" t="e" vm="1">
        <v>#REF!</v>
      </c>
      <c r="BM2731" t="e" vm="2">
        <f t="shared" si="252"/>
        <v>#VALUE!</v>
      </c>
      <c r="BN2731" t="e" vm="2">
        <f t="shared" si="253"/>
        <v>#VALUE!</v>
      </c>
    </row>
    <row r="2732" spans="55:66" x14ac:dyDescent="0.2">
      <c r="BC2732" s="21" t="e" vm="1">
        <v>#REF!</v>
      </c>
      <c r="BD2732" t="e" vm="1">
        <v>#REF!</v>
      </c>
      <c r="BF2732" t="e" vm="2">
        <f t="shared" si="250"/>
        <v>#VALUE!</v>
      </c>
      <c r="BG2732" t="e" vm="2">
        <f t="shared" si="251"/>
        <v>#VALUE!</v>
      </c>
      <c r="BJ2732" s="21" t="e" vm="1">
        <v>#REF!</v>
      </c>
      <c r="BK2732" t="e" vm="1">
        <v>#REF!</v>
      </c>
      <c r="BM2732" t="e" vm="2">
        <f t="shared" si="252"/>
        <v>#VALUE!</v>
      </c>
      <c r="BN2732" t="e" vm="2">
        <f t="shared" si="253"/>
        <v>#VALUE!</v>
      </c>
    </row>
    <row r="2733" spans="55:66" x14ac:dyDescent="0.2">
      <c r="BC2733" s="21" t="e" vm="1">
        <v>#REF!</v>
      </c>
      <c r="BD2733" t="e" vm="1">
        <v>#REF!</v>
      </c>
      <c r="BF2733" t="e" vm="2">
        <f t="shared" si="250"/>
        <v>#VALUE!</v>
      </c>
      <c r="BG2733" t="e" vm="2">
        <f t="shared" si="251"/>
        <v>#VALUE!</v>
      </c>
      <c r="BJ2733" s="21" t="e" vm="1">
        <v>#REF!</v>
      </c>
      <c r="BK2733" t="e" vm="1">
        <v>#REF!</v>
      </c>
      <c r="BM2733" t="e" vm="2">
        <f t="shared" si="252"/>
        <v>#VALUE!</v>
      </c>
      <c r="BN2733" t="e" vm="2">
        <f t="shared" si="253"/>
        <v>#VALUE!</v>
      </c>
    </row>
    <row r="2734" spans="55:66" x14ac:dyDescent="0.2">
      <c r="BC2734" s="21" t="e" vm="1">
        <v>#REF!</v>
      </c>
      <c r="BD2734" t="e" vm="1">
        <v>#REF!</v>
      </c>
      <c r="BF2734" t="e" vm="2">
        <f t="shared" si="250"/>
        <v>#VALUE!</v>
      </c>
      <c r="BG2734" t="e" vm="2">
        <f t="shared" si="251"/>
        <v>#VALUE!</v>
      </c>
      <c r="BJ2734" s="21" t="e" vm="1">
        <v>#REF!</v>
      </c>
      <c r="BK2734" t="e" vm="1">
        <v>#REF!</v>
      </c>
      <c r="BM2734" t="e" vm="2">
        <f t="shared" si="252"/>
        <v>#VALUE!</v>
      </c>
      <c r="BN2734" t="e" vm="2">
        <f t="shared" si="253"/>
        <v>#VALUE!</v>
      </c>
    </row>
    <row r="2735" spans="55:66" x14ac:dyDescent="0.2">
      <c r="BC2735" s="21" t="e" vm="1">
        <v>#REF!</v>
      </c>
      <c r="BD2735" t="e" vm="1">
        <v>#REF!</v>
      </c>
      <c r="BF2735" t="e" vm="2">
        <f t="shared" si="250"/>
        <v>#VALUE!</v>
      </c>
      <c r="BG2735" t="e" vm="2">
        <f t="shared" si="251"/>
        <v>#VALUE!</v>
      </c>
      <c r="BJ2735" s="21" t="e" vm="1">
        <v>#REF!</v>
      </c>
      <c r="BK2735" t="e" vm="1">
        <v>#REF!</v>
      </c>
      <c r="BM2735" t="e" vm="2">
        <f t="shared" si="252"/>
        <v>#VALUE!</v>
      </c>
      <c r="BN2735" t="e" vm="2">
        <f t="shared" si="253"/>
        <v>#VALUE!</v>
      </c>
    </row>
    <row r="2736" spans="55:66" x14ac:dyDescent="0.2">
      <c r="BC2736" s="21" t="e" vm="1">
        <v>#REF!</v>
      </c>
      <c r="BD2736" t="e" vm="1">
        <v>#REF!</v>
      </c>
      <c r="BF2736" t="e" vm="2">
        <f t="shared" si="250"/>
        <v>#VALUE!</v>
      </c>
      <c r="BG2736" t="e" vm="2">
        <f t="shared" si="251"/>
        <v>#VALUE!</v>
      </c>
      <c r="BJ2736" s="21" t="e" vm="1">
        <v>#REF!</v>
      </c>
      <c r="BK2736" t="e" vm="1">
        <v>#REF!</v>
      </c>
      <c r="BM2736" t="e" vm="2">
        <f t="shared" si="252"/>
        <v>#VALUE!</v>
      </c>
      <c r="BN2736" t="e" vm="2">
        <f t="shared" si="253"/>
        <v>#VALUE!</v>
      </c>
    </row>
    <row r="2737" spans="55:66" x14ac:dyDescent="0.2">
      <c r="BC2737" s="21" t="e" vm="1">
        <v>#REF!</v>
      </c>
      <c r="BD2737" t="e" vm="1">
        <v>#REF!</v>
      </c>
      <c r="BF2737" t="e" vm="2">
        <f t="shared" si="250"/>
        <v>#VALUE!</v>
      </c>
      <c r="BG2737" t="e" vm="2">
        <f t="shared" si="251"/>
        <v>#VALUE!</v>
      </c>
      <c r="BJ2737" s="21" t="e" vm="1">
        <v>#REF!</v>
      </c>
      <c r="BK2737" t="e" vm="1">
        <v>#REF!</v>
      </c>
      <c r="BM2737" t="e" vm="2">
        <f t="shared" si="252"/>
        <v>#VALUE!</v>
      </c>
      <c r="BN2737" t="e" vm="2">
        <f t="shared" si="253"/>
        <v>#VALUE!</v>
      </c>
    </row>
    <row r="2738" spans="55:66" x14ac:dyDescent="0.2">
      <c r="BC2738" s="21" t="e" vm="1">
        <v>#REF!</v>
      </c>
      <c r="BD2738" t="e" vm="1">
        <v>#REF!</v>
      </c>
      <c r="BF2738" t="e" vm="2">
        <f t="shared" si="250"/>
        <v>#VALUE!</v>
      </c>
      <c r="BG2738" t="e" vm="2">
        <f t="shared" si="251"/>
        <v>#VALUE!</v>
      </c>
      <c r="BJ2738" s="21" t="e" vm="1">
        <v>#REF!</v>
      </c>
      <c r="BK2738" t="e" vm="1">
        <v>#REF!</v>
      </c>
      <c r="BM2738" t="e" vm="2">
        <f t="shared" si="252"/>
        <v>#VALUE!</v>
      </c>
      <c r="BN2738" t="e" vm="2">
        <f t="shared" si="253"/>
        <v>#VALUE!</v>
      </c>
    </row>
    <row r="2739" spans="55:66" x14ac:dyDescent="0.2">
      <c r="BC2739" s="21" t="e" vm="1">
        <v>#REF!</v>
      </c>
      <c r="BD2739" t="e" vm="1">
        <v>#REF!</v>
      </c>
      <c r="BF2739" t="e" vm="2">
        <f t="shared" si="250"/>
        <v>#VALUE!</v>
      </c>
      <c r="BG2739" t="e" vm="2">
        <f t="shared" si="251"/>
        <v>#VALUE!</v>
      </c>
      <c r="BJ2739" s="21" t="e" vm="1">
        <v>#REF!</v>
      </c>
      <c r="BK2739" t="e" vm="1">
        <v>#REF!</v>
      </c>
      <c r="BM2739" t="e" vm="2">
        <f t="shared" si="252"/>
        <v>#VALUE!</v>
      </c>
      <c r="BN2739" t="e" vm="2">
        <f t="shared" si="253"/>
        <v>#VALUE!</v>
      </c>
    </row>
    <row r="2740" spans="55:66" x14ac:dyDescent="0.2">
      <c r="BC2740" s="21" t="e" vm="1">
        <v>#REF!</v>
      </c>
      <c r="BD2740" t="e" vm="1">
        <v>#REF!</v>
      </c>
      <c r="BF2740" t="e" vm="2">
        <f t="shared" si="250"/>
        <v>#VALUE!</v>
      </c>
      <c r="BG2740" t="e" vm="2">
        <f t="shared" si="251"/>
        <v>#VALUE!</v>
      </c>
      <c r="BJ2740" s="21" t="e" vm="1">
        <v>#REF!</v>
      </c>
      <c r="BK2740" t="e" vm="1">
        <v>#REF!</v>
      </c>
      <c r="BM2740" t="e" vm="2">
        <f t="shared" si="252"/>
        <v>#VALUE!</v>
      </c>
      <c r="BN2740" t="e" vm="2">
        <f t="shared" si="253"/>
        <v>#VALUE!</v>
      </c>
    </row>
    <row r="2741" spans="55:66" x14ac:dyDescent="0.2">
      <c r="BC2741" s="21" t="e" vm="1">
        <v>#REF!</v>
      </c>
      <c r="BD2741" t="e" vm="1">
        <v>#REF!</v>
      </c>
      <c r="BF2741" t="e" vm="2">
        <f t="shared" si="250"/>
        <v>#VALUE!</v>
      </c>
      <c r="BG2741" t="e" vm="2">
        <f t="shared" si="251"/>
        <v>#VALUE!</v>
      </c>
      <c r="BJ2741" s="21" t="e" vm="1">
        <v>#REF!</v>
      </c>
      <c r="BK2741" t="e" vm="1">
        <v>#REF!</v>
      </c>
      <c r="BM2741" t="e" vm="2">
        <f t="shared" si="252"/>
        <v>#VALUE!</v>
      </c>
      <c r="BN2741" t="e" vm="2">
        <f t="shared" si="253"/>
        <v>#VALUE!</v>
      </c>
    </row>
    <row r="2742" spans="55:66" x14ac:dyDescent="0.2">
      <c r="BC2742" s="21" t="e" vm="1">
        <v>#REF!</v>
      </c>
      <c r="BD2742" t="e" vm="1">
        <v>#REF!</v>
      </c>
      <c r="BF2742" t="e" vm="2">
        <f t="shared" si="250"/>
        <v>#VALUE!</v>
      </c>
      <c r="BG2742" t="e" vm="2">
        <f t="shared" si="251"/>
        <v>#VALUE!</v>
      </c>
      <c r="BJ2742" s="21" t="e" vm="1">
        <v>#REF!</v>
      </c>
      <c r="BK2742" t="e" vm="1">
        <v>#REF!</v>
      </c>
      <c r="BM2742" t="e" vm="2">
        <f t="shared" si="252"/>
        <v>#VALUE!</v>
      </c>
      <c r="BN2742" t="e" vm="2">
        <f t="shared" si="253"/>
        <v>#VALUE!</v>
      </c>
    </row>
    <row r="2743" spans="55:66" x14ac:dyDescent="0.2">
      <c r="BC2743" s="21" t="e" vm="1">
        <v>#REF!</v>
      </c>
      <c r="BD2743" t="e" vm="1">
        <v>#REF!</v>
      </c>
      <c r="BF2743" t="e" vm="2">
        <f t="shared" si="250"/>
        <v>#VALUE!</v>
      </c>
      <c r="BG2743" t="e" vm="2">
        <f t="shared" si="251"/>
        <v>#VALUE!</v>
      </c>
      <c r="BJ2743" s="21" t="e" vm="1">
        <v>#REF!</v>
      </c>
      <c r="BK2743" t="e" vm="1">
        <v>#REF!</v>
      </c>
      <c r="BM2743" t="e" vm="2">
        <f t="shared" si="252"/>
        <v>#VALUE!</v>
      </c>
      <c r="BN2743" t="e" vm="2">
        <f t="shared" si="253"/>
        <v>#VALUE!</v>
      </c>
    </row>
    <row r="2744" spans="55:66" x14ac:dyDescent="0.2">
      <c r="BC2744" s="21" t="e" vm="1">
        <v>#REF!</v>
      </c>
      <c r="BD2744" t="e" vm="1">
        <v>#REF!</v>
      </c>
      <c r="BF2744" t="e" vm="2">
        <f t="shared" si="250"/>
        <v>#VALUE!</v>
      </c>
      <c r="BG2744" t="e" vm="2">
        <f t="shared" si="251"/>
        <v>#VALUE!</v>
      </c>
      <c r="BJ2744" s="21" t="e" vm="1">
        <v>#REF!</v>
      </c>
      <c r="BK2744" t="e" vm="1">
        <v>#REF!</v>
      </c>
      <c r="BM2744" t="e" vm="2">
        <f t="shared" si="252"/>
        <v>#VALUE!</v>
      </c>
      <c r="BN2744" t="e" vm="2">
        <f t="shared" si="253"/>
        <v>#VALUE!</v>
      </c>
    </row>
    <row r="2745" spans="55:66" x14ac:dyDescent="0.2">
      <c r="BC2745" s="21" t="e" vm="1">
        <v>#REF!</v>
      </c>
      <c r="BD2745" t="e" vm="1">
        <v>#REF!</v>
      </c>
      <c r="BF2745" t="e" vm="2">
        <f t="shared" si="250"/>
        <v>#VALUE!</v>
      </c>
      <c r="BG2745" t="e" vm="2">
        <f t="shared" si="251"/>
        <v>#VALUE!</v>
      </c>
      <c r="BJ2745" s="21" t="e" vm="1">
        <v>#REF!</v>
      </c>
      <c r="BK2745" t="e" vm="1">
        <v>#REF!</v>
      </c>
      <c r="BM2745" t="e" vm="2">
        <f t="shared" si="252"/>
        <v>#VALUE!</v>
      </c>
      <c r="BN2745" t="e" vm="2">
        <f t="shared" si="253"/>
        <v>#VALUE!</v>
      </c>
    </row>
    <row r="2746" spans="55:66" x14ac:dyDescent="0.2">
      <c r="BC2746" s="21" t="e" vm="1">
        <v>#REF!</v>
      </c>
      <c r="BD2746" t="e" vm="1">
        <v>#REF!</v>
      </c>
      <c r="BF2746" t="e" vm="2">
        <f t="shared" si="250"/>
        <v>#VALUE!</v>
      </c>
      <c r="BG2746" t="e" vm="2">
        <f t="shared" si="251"/>
        <v>#VALUE!</v>
      </c>
      <c r="BJ2746" s="21" t="e" vm="1">
        <v>#REF!</v>
      </c>
      <c r="BK2746" t="e" vm="1">
        <v>#REF!</v>
      </c>
      <c r="BM2746" t="e" vm="2">
        <f t="shared" si="252"/>
        <v>#VALUE!</v>
      </c>
      <c r="BN2746" t="e" vm="2">
        <f t="shared" si="253"/>
        <v>#VALUE!</v>
      </c>
    </row>
    <row r="2747" spans="55:66" x14ac:dyDescent="0.2">
      <c r="BC2747" s="21" t="e" vm="1">
        <v>#REF!</v>
      </c>
      <c r="BD2747" t="e" vm="1">
        <v>#REF!</v>
      </c>
      <c r="BF2747" t="e" vm="2">
        <f t="shared" si="250"/>
        <v>#VALUE!</v>
      </c>
      <c r="BG2747" t="e" vm="2">
        <f t="shared" si="251"/>
        <v>#VALUE!</v>
      </c>
      <c r="BJ2747" s="21" t="e" vm="1">
        <v>#REF!</v>
      </c>
      <c r="BK2747" t="e" vm="1">
        <v>#REF!</v>
      </c>
      <c r="BM2747" t="e" vm="2">
        <f t="shared" si="252"/>
        <v>#VALUE!</v>
      </c>
      <c r="BN2747" t="e" vm="2">
        <f t="shared" si="253"/>
        <v>#VALUE!</v>
      </c>
    </row>
    <row r="2748" spans="55:66" x14ac:dyDescent="0.2">
      <c r="BC2748" s="21" t="e" vm="1">
        <v>#REF!</v>
      </c>
      <c r="BD2748" t="e" vm="1">
        <v>#REF!</v>
      </c>
      <c r="BF2748" t="e" vm="2">
        <f t="shared" si="250"/>
        <v>#VALUE!</v>
      </c>
      <c r="BG2748" t="e" vm="2">
        <f t="shared" si="251"/>
        <v>#VALUE!</v>
      </c>
      <c r="BJ2748" s="21" t="e" vm="1">
        <v>#REF!</v>
      </c>
      <c r="BK2748" t="e" vm="1">
        <v>#REF!</v>
      </c>
      <c r="BM2748" t="e" vm="2">
        <f t="shared" si="252"/>
        <v>#VALUE!</v>
      </c>
      <c r="BN2748" t="e" vm="2">
        <f t="shared" si="253"/>
        <v>#VALUE!</v>
      </c>
    </row>
    <row r="2749" spans="55:66" x14ac:dyDescent="0.2">
      <c r="BC2749" s="21" t="e" vm="1">
        <v>#REF!</v>
      </c>
      <c r="BD2749" t="e" vm="1">
        <v>#REF!</v>
      </c>
      <c r="BF2749" t="e" vm="2">
        <f t="shared" si="250"/>
        <v>#VALUE!</v>
      </c>
      <c r="BG2749" t="e" vm="2">
        <f t="shared" si="251"/>
        <v>#VALUE!</v>
      </c>
      <c r="BJ2749" s="21" t="e" vm="1">
        <v>#REF!</v>
      </c>
      <c r="BK2749" t="e" vm="1">
        <v>#REF!</v>
      </c>
      <c r="BM2749" t="e" vm="2">
        <f t="shared" si="252"/>
        <v>#VALUE!</v>
      </c>
      <c r="BN2749" t="e" vm="2">
        <f t="shared" si="253"/>
        <v>#VALUE!</v>
      </c>
    </row>
    <row r="2750" spans="55:66" x14ac:dyDescent="0.2">
      <c r="BC2750" s="21" t="e" vm="1">
        <v>#REF!</v>
      </c>
      <c r="BD2750" t="e" vm="1">
        <v>#REF!</v>
      </c>
      <c r="BF2750" t="e" vm="2">
        <f t="shared" si="250"/>
        <v>#VALUE!</v>
      </c>
      <c r="BG2750" t="e" vm="2">
        <f t="shared" si="251"/>
        <v>#VALUE!</v>
      </c>
      <c r="BJ2750" s="21" t="e" vm="1">
        <v>#REF!</v>
      </c>
      <c r="BK2750" t="e" vm="1">
        <v>#REF!</v>
      </c>
      <c r="BM2750" t="e" vm="2">
        <f t="shared" si="252"/>
        <v>#VALUE!</v>
      </c>
      <c r="BN2750" t="e" vm="2">
        <f t="shared" si="253"/>
        <v>#VALUE!</v>
      </c>
    </row>
    <row r="2751" spans="55:66" x14ac:dyDescent="0.2">
      <c r="BC2751" s="21" t="e" vm="1">
        <v>#REF!</v>
      </c>
      <c r="BD2751" t="e" vm="1">
        <v>#REF!</v>
      </c>
      <c r="BF2751" t="e" vm="2">
        <f t="shared" si="250"/>
        <v>#VALUE!</v>
      </c>
      <c r="BG2751" t="e" vm="2">
        <f t="shared" si="251"/>
        <v>#VALUE!</v>
      </c>
      <c r="BJ2751" s="21" t="e" vm="1">
        <v>#REF!</v>
      </c>
      <c r="BK2751" t="e" vm="1">
        <v>#REF!</v>
      </c>
      <c r="BM2751" t="e" vm="2">
        <f t="shared" si="252"/>
        <v>#VALUE!</v>
      </c>
      <c r="BN2751" t="e" vm="2">
        <f t="shared" si="253"/>
        <v>#VALUE!</v>
      </c>
    </row>
    <row r="2752" spans="55:66" x14ac:dyDescent="0.2">
      <c r="BC2752" s="21" t="e" vm="1">
        <v>#REF!</v>
      </c>
      <c r="BD2752" t="e" vm="1">
        <v>#REF!</v>
      </c>
      <c r="BF2752" t="e" vm="2">
        <f t="shared" si="250"/>
        <v>#VALUE!</v>
      </c>
      <c r="BG2752" t="e" vm="2">
        <f t="shared" si="251"/>
        <v>#VALUE!</v>
      </c>
      <c r="BJ2752" s="21" t="e" vm="1">
        <v>#REF!</v>
      </c>
      <c r="BK2752" t="e" vm="1">
        <v>#REF!</v>
      </c>
      <c r="BM2752" t="e" vm="2">
        <f t="shared" si="252"/>
        <v>#VALUE!</v>
      </c>
      <c r="BN2752" t="e" vm="2">
        <f t="shared" si="253"/>
        <v>#VALUE!</v>
      </c>
    </row>
    <row r="2753" spans="55:66" x14ac:dyDescent="0.2">
      <c r="BC2753" s="21" t="e" vm="1">
        <v>#REF!</v>
      </c>
      <c r="BD2753" t="e" vm="1">
        <v>#REF!</v>
      </c>
      <c r="BF2753" t="e" vm="2">
        <f t="shared" si="250"/>
        <v>#VALUE!</v>
      </c>
      <c r="BG2753" t="e" vm="2">
        <f t="shared" si="251"/>
        <v>#VALUE!</v>
      </c>
      <c r="BJ2753" s="21" t="e" vm="1">
        <v>#REF!</v>
      </c>
      <c r="BK2753" t="e" vm="1">
        <v>#REF!</v>
      </c>
      <c r="BM2753" t="e" vm="2">
        <f t="shared" si="252"/>
        <v>#VALUE!</v>
      </c>
      <c r="BN2753" t="e" vm="2">
        <f t="shared" si="253"/>
        <v>#VALUE!</v>
      </c>
    </row>
    <row r="2754" spans="55:66" x14ac:dyDescent="0.2">
      <c r="BC2754" s="21" t="e" vm="1">
        <v>#REF!</v>
      </c>
      <c r="BD2754" t="e" vm="1">
        <v>#REF!</v>
      </c>
      <c r="BF2754" t="e" vm="2">
        <f t="shared" si="250"/>
        <v>#VALUE!</v>
      </c>
      <c r="BG2754" t="e" vm="2">
        <f t="shared" si="251"/>
        <v>#VALUE!</v>
      </c>
      <c r="BJ2754" s="21" t="e" vm="1">
        <v>#REF!</v>
      </c>
      <c r="BK2754" t="e" vm="1">
        <v>#REF!</v>
      </c>
      <c r="BM2754" t="e" vm="2">
        <f t="shared" si="252"/>
        <v>#VALUE!</v>
      </c>
      <c r="BN2754" t="e" vm="2">
        <f t="shared" si="253"/>
        <v>#VALUE!</v>
      </c>
    </row>
    <row r="2755" spans="55:66" x14ac:dyDescent="0.2">
      <c r="BC2755" s="21" t="e" vm="1">
        <v>#REF!</v>
      </c>
      <c r="BD2755" t="e" vm="1">
        <v>#REF!</v>
      </c>
      <c r="BF2755" t="e" vm="2">
        <f t="shared" ref="BF2755:BF2818" si="254">MONTH(BC2755)</f>
        <v>#VALUE!</v>
      </c>
      <c r="BG2755" t="e" vm="2">
        <f t="shared" ref="BG2755:BG2818" si="255">YEAR(BC2755)</f>
        <v>#VALUE!</v>
      </c>
      <c r="BJ2755" s="21" t="e" vm="1">
        <v>#REF!</v>
      </c>
      <c r="BK2755" t="e" vm="1">
        <v>#REF!</v>
      </c>
      <c r="BM2755" t="e" vm="2">
        <f t="shared" si="252"/>
        <v>#VALUE!</v>
      </c>
      <c r="BN2755" t="e" vm="2">
        <f t="shared" si="253"/>
        <v>#VALUE!</v>
      </c>
    </row>
    <row r="2756" spans="55:66" x14ac:dyDescent="0.2">
      <c r="BC2756" s="21" t="e" vm="1">
        <v>#REF!</v>
      </c>
      <c r="BD2756" t="e" vm="1">
        <v>#REF!</v>
      </c>
      <c r="BF2756" t="e" vm="2">
        <f t="shared" si="254"/>
        <v>#VALUE!</v>
      </c>
      <c r="BG2756" t="e" vm="2">
        <f t="shared" si="255"/>
        <v>#VALUE!</v>
      </c>
      <c r="BJ2756" s="21" t="e" vm="1">
        <v>#REF!</v>
      </c>
      <c r="BK2756" t="e" vm="1">
        <v>#REF!</v>
      </c>
      <c r="BM2756" t="e" vm="2">
        <f t="shared" ref="BM2756:BM2819" si="256">MONTH(BJ2756)</f>
        <v>#VALUE!</v>
      </c>
      <c r="BN2756" t="e" vm="2">
        <f t="shared" ref="BN2756:BN2819" si="257">YEAR(BJ2756)</f>
        <v>#VALUE!</v>
      </c>
    </row>
    <row r="2757" spans="55:66" x14ac:dyDescent="0.2">
      <c r="BC2757" s="21" t="e" vm="1">
        <v>#REF!</v>
      </c>
      <c r="BD2757" t="e" vm="1">
        <v>#REF!</v>
      </c>
      <c r="BF2757" t="e" vm="2">
        <f t="shared" si="254"/>
        <v>#VALUE!</v>
      </c>
      <c r="BG2757" t="e" vm="2">
        <f t="shared" si="255"/>
        <v>#VALUE!</v>
      </c>
      <c r="BJ2757" s="21" t="e" vm="1">
        <v>#REF!</v>
      </c>
      <c r="BK2757" t="e" vm="1">
        <v>#REF!</v>
      </c>
      <c r="BM2757" t="e" vm="2">
        <f t="shared" si="256"/>
        <v>#VALUE!</v>
      </c>
      <c r="BN2757" t="e" vm="2">
        <f t="shared" si="257"/>
        <v>#VALUE!</v>
      </c>
    </row>
    <row r="2758" spans="55:66" x14ac:dyDescent="0.2">
      <c r="BC2758" s="21" t="e" vm="1">
        <v>#REF!</v>
      </c>
      <c r="BD2758" t="e" vm="1">
        <v>#REF!</v>
      </c>
      <c r="BF2758" t="e" vm="2">
        <f t="shared" si="254"/>
        <v>#VALUE!</v>
      </c>
      <c r="BG2758" t="e" vm="2">
        <f t="shared" si="255"/>
        <v>#VALUE!</v>
      </c>
      <c r="BJ2758" s="21" t="e" vm="1">
        <v>#REF!</v>
      </c>
      <c r="BK2758" t="e" vm="1">
        <v>#REF!</v>
      </c>
      <c r="BM2758" t="e" vm="2">
        <f t="shared" si="256"/>
        <v>#VALUE!</v>
      </c>
      <c r="BN2758" t="e" vm="2">
        <f t="shared" si="257"/>
        <v>#VALUE!</v>
      </c>
    </row>
    <row r="2759" spans="55:66" x14ac:dyDescent="0.2">
      <c r="BC2759" s="21" t="e" vm="1">
        <v>#REF!</v>
      </c>
      <c r="BD2759" t="e" vm="1">
        <v>#REF!</v>
      </c>
      <c r="BF2759" t="e" vm="2">
        <f t="shared" si="254"/>
        <v>#VALUE!</v>
      </c>
      <c r="BG2759" t="e" vm="2">
        <f t="shared" si="255"/>
        <v>#VALUE!</v>
      </c>
      <c r="BJ2759" s="21" t="e" vm="1">
        <v>#REF!</v>
      </c>
      <c r="BK2759" t="e" vm="1">
        <v>#REF!</v>
      </c>
      <c r="BM2759" t="e" vm="2">
        <f t="shared" si="256"/>
        <v>#VALUE!</v>
      </c>
      <c r="BN2759" t="e" vm="2">
        <f t="shared" si="257"/>
        <v>#VALUE!</v>
      </c>
    </row>
    <row r="2760" spans="55:66" x14ac:dyDescent="0.2">
      <c r="BC2760" s="21" t="e" vm="1">
        <v>#REF!</v>
      </c>
      <c r="BD2760" t="e" vm="1">
        <v>#REF!</v>
      </c>
      <c r="BF2760" t="e" vm="2">
        <f t="shared" si="254"/>
        <v>#VALUE!</v>
      </c>
      <c r="BG2760" t="e" vm="2">
        <f t="shared" si="255"/>
        <v>#VALUE!</v>
      </c>
      <c r="BJ2760" s="21" t="e" vm="1">
        <v>#REF!</v>
      </c>
      <c r="BK2760" t="e" vm="1">
        <v>#REF!</v>
      </c>
      <c r="BM2760" t="e" vm="2">
        <f t="shared" si="256"/>
        <v>#VALUE!</v>
      </c>
      <c r="BN2760" t="e" vm="2">
        <f t="shared" si="257"/>
        <v>#VALUE!</v>
      </c>
    </row>
    <row r="2761" spans="55:66" x14ac:dyDescent="0.2">
      <c r="BC2761" s="21" t="e" vm="1">
        <v>#REF!</v>
      </c>
      <c r="BD2761" t="e" vm="1">
        <v>#REF!</v>
      </c>
      <c r="BF2761" t="e" vm="2">
        <f t="shared" si="254"/>
        <v>#VALUE!</v>
      </c>
      <c r="BG2761" t="e" vm="2">
        <f t="shared" si="255"/>
        <v>#VALUE!</v>
      </c>
      <c r="BJ2761" s="21" t="e" vm="1">
        <v>#REF!</v>
      </c>
      <c r="BK2761" t="e" vm="1">
        <v>#REF!</v>
      </c>
      <c r="BM2761" t="e" vm="2">
        <f t="shared" si="256"/>
        <v>#VALUE!</v>
      </c>
      <c r="BN2761" t="e" vm="2">
        <f t="shared" si="257"/>
        <v>#VALUE!</v>
      </c>
    </row>
    <row r="2762" spans="55:66" x14ac:dyDescent="0.2">
      <c r="BC2762" s="21" t="e" vm="1">
        <v>#REF!</v>
      </c>
      <c r="BD2762" t="e" vm="1">
        <v>#REF!</v>
      </c>
      <c r="BF2762" t="e" vm="2">
        <f t="shared" si="254"/>
        <v>#VALUE!</v>
      </c>
      <c r="BG2762" t="e" vm="2">
        <f t="shared" si="255"/>
        <v>#VALUE!</v>
      </c>
      <c r="BJ2762" s="21" t="e" vm="1">
        <v>#REF!</v>
      </c>
      <c r="BK2762" t="e" vm="1">
        <v>#REF!</v>
      </c>
      <c r="BM2762" t="e" vm="2">
        <f t="shared" si="256"/>
        <v>#VALUE!</v>
      </c>
      <c r="BN2762" t="e" vm="2">
        <f t="shared" si="257"/>
        <v>#VALUE!</v>
      </c>
    </row>
    <row r="2763" spans="55:66" x14ac:dyDescent="0.2">
      <c r="BC2763" s="21" t="e" vm="1">
        <v>#REF!</v>
      </c>
      <c r="BD2763" t="e" vm="1">
        <v>#REF!</v>
      </c>
      <c r="BF2763" t="e" vm="2">
        <f t="shared" si="254"/>
        <v>#VALUE!</v>
      </c>
      <c r="BG2763" t="e" vm="2">
        <f t="shared" si="255"/>
        <v>#VALUE!</v>
      </c>
      <c r="BJ2763" s="21" t="e" vm="1">
        <v>#REF!</v>
      </c>
      <c r="BK2763" t="e" vm="1">
        <v>#REF!</v>
      </c>
      <c r="BM2763" t="e" vm="2">
        <f t="shared" si="256"/>
        <v>#VALUE!</v>
      </c>
      <c r="BN2763" t="e" vm="2">
        <f t="shared" si="257"/>
        <v>#VALUE!</v>
      </c>
    </row>
    <row r="2764" spans="55:66" x14ac:dyDescent="0.2">
      <c r="BC2764" s="21" t="e" vm="1">
        <v>#REF!</v>
      </c>
      <c r="BD2764" t="e" vm="1">
        <v>#REF!</v>
      </c>
      <c r="BF2764" t="e" vm="2">
        <f t="shared" si="254"/>
        <v>#VALUE!</v>
      </c>
      <c r="BG2764" t="e" vm="2">
        <f t="shared" si="255"/>
        <v>#VALUE!</v>
      </c>
      <c r="BJ2764" s="21" t="e" vm="1">
        <v>#REF!</v>
      </c>
      <c r="BK2764" t="e" vm="1">
        <v>#REF!</v>
      </c>
      <c r="BM2764" t="e" vm="2">
        <f t="shared" si="256"/>
        <v>#VALUE!</v>
      </c>
      <c r="BN2764" t="e" vm="2">
        <f t="shared" si="257"/>
        <v>#VALUE!</v>
      </c>
    </row>
    <row r="2765" spans="55:66" x14ac:dyDescent="0.2">
      <c r="BC2765" s="21" t="e" vm="1">
        <v>#REF!</v>
      </c>
      <c r="BD2765" t="e" vm="1">
        <v>#REF!</v>
      </c>
      <c r="BF2765" t="e" vm="2">
        <f t="shared" si="254"/>
        <v>#VALUE!</v>
      </c>
      <c r="BG2765" t="e" vm="2">
        <f t="shared" si="255"/>
        <v>#VALUE!</v>
      </c>
      <c r="BJ2765" s="21" t="e" vm="1">
        <v>#REF!</v>
      </c>
      <c r="BK2765" t="e" vm="1">
        <v>#REF!</v>
      </c>
      <c r="BM2765" t="e" vm="2">
        <f t="shared" si="256"/>
        <v>#VALUE!</v>
      </c>
      <c r="BN2765" t="e" vm="2">
        <f t="shared" si="257"/>
        <v>#VALUE!</v>
      </c>
    </row>
    <row r="2766" spans="55:66" x14ac:dyDescent="0.2">
      <c r="BC2766" s="21" t="e" vm="1">
        <v>#REF!</v>
      </c>
      <c r="BD2766" t="e" vm="1">
        <v>#REF!</v>
      </c>
      <c r="BF2766" t="e" vm="2">
        <f t="shared" si="254"/>
        <v>#VALUE!</v>
      </c>
      <c r="BG2766" t="e" vm="2">
        <f t="shared" si="255"/>
        <v>#VALUE!</v>
      </c>
      <c r="BJ2766" s="21" t="e" vm="1">
        <v>#REF!</v>
      </c>
      <c r="BK2766" t="e" vm="1">
        <v>#REF!</v>
      </c>
      <c r="BM2766" t="e" vm="2">
        <f t="shared" si="256"/>
        <v>#VALUE!</v>
      </c>
      <c r="BN2766" t="e" vm="2">
        <f t="shared" si="257"/>
        <v>#VALUE!</v>
      </c>
    </row>
    <row r="2767" spans="55:66" x14ac:dyDescent="0.2">
      <c r="BC2767" s="21" t="e" vm="1">
        <v>#REF!</v>
      </c>
      <c r="BD2767" t="e" vm="1">
        <v>#REF!</v>
      </c>
      <c r="BF2767" t="e" vm="2">
        <f t="shared" si="254"/>
        <v>#VALUE!</v>
      </c>
      <c r="BG2767" t="e" vm="2">
        <f t="shared" si="255"/>
        <v>#VALUE!</v>
      </c>
      <c r="BJ2767" s="21" t="e" vm="1">
        <v>#REF!</v>
      </c>
      <c r="BK2767" t="e" vm="1">
        <v>#REF!</v>
      </c>
      <c r="BM2767" t="e" vm="2">
        <f t="shared" si="256"/>
        <v>#VALUE!</v>
      </c>
      <c r="BN2767" t="e" vm="2">
        <f t="shared" si="257"/>
        <v>#VALUE!</v>
      </c>
    </row>
    <row r="2768" spans="55:66" x14ac:dyDescent="0.2">
      <c r="BC2768" s="21" t="e" vm="1">
        <v>#REF!</v>
      </c>
      <c r="BD2768" t="e" vm="1">
        <v>#REF!</v>
      </c>
      <c r="BF2768" t="e" vm="2">
        <f t="shared" si="254"/>
        <v>#VALUE!</v>
      </c>
      <c r="BG2768" t="e" vm="2">
        <f t="shared" si="255"/>
        <v>#VALUE!</v>
      </c>
      <c r="BJ2768" s="21" t="e" vm="1">
        <v>#REF!</v>
      </c>
      <c r="BK2768" t="e" vm="1">
        <v>#REF!</v>
      </c>
      <c r="BM2768" t="e" vm="2">
        <f t="shared" si="256"/>
        <v>#VALUE!</v>
      </c>
      <c r="BN2768" t="e" vm="2">
        <f t="shared" si="257"/>
        <v>#VALUE!</v>
      </c>
    </row>
    <row r="2769" spans="55:66" x14ac:dyDescent="0.2">
      <c r="BC2769" s="21" t="e" vm="1">
        <v>#REF!</v>
      </c>
      <c r="BD2769" t="e" vm="1">
        <v>#REF!</v>
      </c>
      <c r="BF2769" t="e" vm="2">
        <f t="shared" si="254"/>
        <v>#VALUE!</v>
      </c>
      <c r="BG2769" t="e" vm="2">
        <f t="shared" si="255"/>
        <v>#VALUE!</v>
      </c>
      <c r="BJ2769" s="21" t="e" vm="1">
        <v>#REF!</v>
      </c>
      <c r="BK2769" t="e" vm="1">
        <v>#REF!</v>
      </c>
      <c r="BM2769" t="e" vm="2">
        <f t="shared" si="256"/>
        <v>#VALUE!</v>
      </c>
      <c r="BN2769" t="e" vm="2">
        <f t="shared" si="257"/>
        <v>#VALUE!</v>
      </c>
    </row>
    <row r="2770" spans="55:66" x14ac:dyDescent="0.2">
      <c r="BC2770" s="21" t="e" vm="1">
        <v>#REF!</v>
      </c>
      <c r="BD2770" t="e" vm="1">
        <v>#REF!</v>
      </c>
      <c r="BF2770" t="e" vm="2">
        <f t="shared" si="254"/>
        <v>#VALUE!</v>
      </c>
      <c r="BG2770" t="e" vm="2">
        <f t="shared" si="255"/>
        <v>#VALUE!</v>
      </c>
      <c r="BJ2770" s="21" t="e" vm="1">
        <v>#REF!</v>
      </c>
      <c r="BK2770" t="e" vm="1">
        <v>#REF!</v>
      </c>
      <c r="BM2770" t="e" vm="2">
        <f t="shared" si="256"/>
        <v>#VALUE!</v>
      </c>
      <c r="BN2770" t="e" vm="2">
        <f t="shared" si="257"/>
        <v>#VALUE!</v>
      </c>
    </row>
    <row r="2771" spans="55:66" x14ac:dyDescent="0.2">
      <c r="BC2771" s="21" t="e" vm="1">
        <v>#REF!</v>
      </c>
      <c r="BD2771" t="e" vm="1">
        <v>#REF!</v>
      </c>
      <c r="BF2771" t="e" vm="2">
        <f t="shared" si="254"/>
        <v>#VALUE!</v>
      </c>
      <c r="BG2771" t="e" vm="2">
        <f t="shared" si="255"/>
        <v>#VALUE!</v>
      </c>
      <c r="BJ2771" s="21" t="e" vm="1">
        <v>#REF!</v>
      </c>
      <c r="BK2771" t="e" vm="1">
        <v>#REF!</v>
      </c>
      <c r="BM2771" t="e" vm="2">
        <f t="shared" si="256"/>
        <v>#VALUE!</v>
      </c>
      <c r="BN2771" t="e" vm="2">
        <f t="shared" si="257"/>
        <v>#VALUE!</v>
      </c>
    </row>
    <row r="2772" spans="55:66" x14ac:dyDescent="0.2">
      <c r="BC2772" s="21" t="e" vm="1">
        <v>#REF!</v>
      </c>
      <c r="BD2772" t="e" vm="1">
        <v>#REF!</v>
      </c>
      <c r="BF2772" t="e" vm="2">
        <f t="shared" si="254"/>
        <v>#VALUE!</v>
      </c>
      <c r="BG2772" t="e" vm="2">
        <f t="shared" si="255"/>
        <v>#VALUE!</v>
      </c>
      <c r="BJ2772" s="21" t="e" vm="1">
        <v>#REF!</v>
      </c>
      <c r="BK2772" t="e" vm="1">
        <v>#REF!</v>
      </c>
      <c r="BM2772" t="e" vm="2">
        <f t="shared" si="256"/>
        <v>#VALUE!</v>
      </c>
      <c r="BN2772" t="e" vm="2">
        <f t="shared" si="257"/>
        <v>#VALUE!</v>
      </c>
    </row>
    <row r="2773" spans="55:66" x14ac:dyDescent="0.2">
      <c r="BC2773" s="21" t="e" vm="1">
        <v>#REF!</v>
      </c>
      <c r="BD2773" t="e" vm="1">
        <v>#REF!</v>
      </c>
      <c r="BF2773" t="e" vm="2">
        <f t="shared" si="254"/>
        <v>#VALUE!</v>
      </c>
      <c r="BG2773" t="e" vm="2">
        <f t="shared" si="255"/>
        <v>#VALUE!</v>
      </c>
      <c r="BJ2773" s="21" t="e" vm="1">
        <v>#REF!</v>
      </c>
      <c r="BK2773" t="e" vm="1">
        <v>#REF!</v>
      </c>
      <c r="BM2773" t="e" vm="2">
        <f t="shared" si="256"/>
        <v>#VALUE!</v>
      </c>
      <c r="BN2773" t="e" vm="2">
        <f t="shared" si="257"/>
        <v>#VALUE!</v>
      </c>
    </row>
    <row r="2774" spans="55:66" x14ac:dyDescent="0.2">
      <c r="BC2774" s="21" t="e" vm="1">
        <v>#REF!</v>
      </c>
      <c r="BD2774" t="e" vm="1">
        <v>#REF!</v>
      </c>
      <c r="BF2774" t="e" vm="2">
        <f t="shared" si="254"/>
        <v>#VALUE!</v>
      </c>
      <c r="BG2774" t="e" vm="2">
        <f t="shared" si="255"/>
        <v>#VALUE!</v>
      </c>
      <c r="BJ2774" s="21" t="e" vm="1">
        <v>#REF!</v>
      </c>
      <c r="BK2774" t="e" vm="1">
        <v>#REF!</v>
      </c>
      <c r="BM2774" t="e" vm="2">
        <f t="shared" si="256"/>
        <v>#VALUE!</v>
      </c>
      <c r="BN2774" t="e" vm="2">
        <f t="shared" si="257"/>
        <v>#VALUE!</v>
      </c>
    </row>
    <row r="2775" spans="55:66" x14ac:dyDescent="0.2">
      <c r="BC2775" s="21" t="e" vm="1">
        <v>#REF!</v>
      </c>
      <c r="BD2775" t="e" vm="1">
        <v>#REF!</v>
      </c>
      <c r="BF2775" t="e" vm="2">
        <f t="shared" si="254"/>
        <v>#VALUE!</v>
      </c>
      <c r="BG2775" t="e" vm="2">
        <f t="shared" si="255"/>
        <v>#VALUE!</v>
      </c>
      <c r="BJ2775" s="21" t="e" vm="1">
        <v>#REF!</v>
      </c>
      <c r="BK2775" t="e" vm="1">
        <v>#REF!</v>
      </c>
      <c r="BM2775" t="e" vm="2">
        <f t="shared" si="256"/>
        <v>#VALUE!</v>
      </c>
      <c r="BN2775" t="e" vm="2">
        <f t="shared" si="257"/>
        <v>#VALUE!</v>
      </c>
    </row>
    <row r="2776" spans="55:66" x14ac:dyDescent="0.2">
      <c r="BC2776" s="21" t="e" vm="1">
        <v>#REF!</v>
      </c>
      <c r="BD2776" t="e" vm="1">
        <v>#REF!</v>
      </c>
      <c r="BF2776" t="e" vm="2">
        <f t="shared" si="254"/>
        <v>#VALUE!</v>
      </c>
      <c r="BG2776" t="e" vm="2">
        <f t="shared" si="255"/>
        <v>#VALUE!</v>
      </c>
      <c r="BJ2776" s="21" t="e" vm="1">
        <v>#REF!</v>
      </c>
      <c r="BK2776" t="e" vm="1">
        <v>#REF!</v>
      </c>
      <c r="BM2776" t="e" vm="2">
        <f t="shared" si="256"/>
        <v>#VALUE!</v>
      </c>
      <c r="BN2776" t="e" vm="2">
        <f t="shared" si="257"/>
        <v>#VALUE!</v>
      </c>
    </row>
    <row r="2777" spans="55:66" x14ac:dyDescent="0.2">
      <c r="BC2777" s="21" t="e" vm="1">
        <v>#REF!</v>
      </c>
      <c r="BD2777" t="e" vm="1">
        <v>#REF!</v>
      </c>
      <c r="BF2777" t="e" vm="2">
        <f t="shared" si="254"/>
        <v>#VALUE!</v>
      </c>
      <c r="BG2777" t="e" vm="2">
        <f t="shared" si="255"/>
        <v>#VALUE!</v>
      </c>
      <c r="BJ2777" s="21" t="e" vm="1">
        <v>#REF!</v>
      </c>
      <c r="BK2777" t="e" vm="1">
        <v>#REF!</v>
      </c>
      <c r="BM2777" t="e" vm="2">
        <f t="shared" si="256"/>
        <v>#VALUE!</v>
      </c>
      <c r="BN2777" t="e" vm="2">
        <f t="shared" si="257"/>
        <v>#VALUE!</v>
      </c>
    </row>
    <row r="2778" spans="55:66" x14ac:dyDescent="0.2">
      <c r="BC2778" s="21" t="e" vm="1">
        <v>#REF!</v>
      </c>
      <c r="BD2778" t="e" vm="1">
        <v>#REF!</v>
      </c>
      <c r="BF2778" t="e" vm="2">
        <f t="shared" si="254"/>
        <v>#VALUE!</v>
      </c>
      <c r="BG2778" t="e" vm="2">
        <f t="shared" si="255"/>
        <v>#VALUE!</v>
      </c>
      <c r="BJ2778" s="21" t="e" vm="1">
        <v>#REF!</v>
      </c>
      <c r="BK2778" t="e" vm="1">
        <v>#REF!</v>
      </c>
      <c r="BM2778" t="e" vm="2">
        <f t="shared" si="256"/>
        <v>#VALUE!</v>
      </c>
      <c r="BN2778" t="e" vm="2">
        <f t="shared" si="257"/>
        <v>#VALUE!</v>
      </c>
    </row>
    <row r="2779" spans="55:66" x14ac:dyDescent="0.2">
      <c r="BC2779" s="21" t="e" vm="1">
        <v>#REF!</v>
      </c>
      <c r="BD2779" t="e" vm="1">
        <v>#REF!</v>
      </c>
      <c r="BF2779" t="e" vm="2">
        <f t="shared" si="254"/>
        <v>#VALUE!</v>
      </c>
      <c r="BG2779" t="e" vm="2">
        <f t="shared" si="255"/>
        <v>#VALUE!</v>
      </c>
      <c r="BJ2779" s="21" t="e" vm="1">
        <v>#REF!</v>
      </c>
      <c r="BK2779" t="e" vm="1">
        <v>#REF!</v>
      </c>
      <c r="BM2779" t="e" vm="2">
        <f t="shared" si="256"/>
        <v>#VALUE!</v>
      </c>
      <c r="BN2779" t="e" vm="2">
        <f t="shared" si="257"/>
        <v>#VALUE!</v>
      </c>
    </row>
    <row r="2780" spans="55:66" x14ac:dyDescent="0.2">
      <c r="BC2780" s="21" t="e" vm="1">
        <v>#REF!</v>
      </c>
      <c r="BD2780" t="e" vm="1">
        <v>#REF!</v>
      </c>
      <c r="BF2780" t="e" vm="2">
        <f t="shared" si="254"/>
        <v>#VALUE!</v>
      </c>
      <c r="BG2780" t="e" vm="2">
        <f t="shared" si="255"/>
        <v>#VALUE!</v>
      </c>
      <c r="BJ2780" s="21" t="e" vm="1">
        <v>#REF!</v>
      </c>
      <c r="BK2780" t="e" vm="1">
        <v>#REF!</v>
      </c>
      <c r="BM2780" t="e" vm="2">
        <f t="shared" si="256"/>
        <v>#VALUE!</v>
      </c>
      <c r="BN2780" t="e" vm="2">
        <f t="shared" si="257"/>
        <v>#VALUE!</v>
      </c>
    </row>
    <row r="2781" spans="55:66" x14ac:dyDescent="0.2">
      <c r="BC2781" s="21" t="e" vm="1">
        <v>#REF!</v>
      </c>
      <c r="BD2781" t="e" vm="1">
        <v>#REF!</v>
      </c>
      <c r="BF2781" t="e" vm="2">
        <f t="shared" si="254"/>
        <v>#VALUE!</v>
      </c>
      <c r="BG2781" t="e" vm="2">
        <f t="shared" si="255"/>
        <v>#VALUE!</v>
      </c>
      <c r="BJ2781" s="21" t="e" vm="1">
        <v>#REF!</v>
      </c>
      <c r="BK2781" t="e" vm="1">
        <v>#REF!</v>
      </c>
      <c r="BM2781" t="e" vm="2">
        <f t="shared" si="256"/>
        <v>#VALUE!</v>
      </c>
      <c r="BN2781" t="e" vm="2">
        <f t="shared" si="257"/>
        <v>#VALUE!</v>
      </c>
    </row>
    <row r="2782" spans="55:66" x14ac:dyDescent="0.2">
      <c r="BC2782" s="21" t="e" vm="1">
        <v>#REF!</v>
      </c>
      <c r="BD2782" t="e" vm="1">
        <v>#REF!</v>
      </c>
      <c r="BF2782" t="e" vm="2">
        <f t="shared" si="254"/>
        <v>#VALUE!</v>
      </c>
      <c r="BG2782" t="e" vm="2">
        <f t="shared" si="255"/>
        <v>#VALUE!</v>
      </c>
      <c r="BJ2782" s="21" t="e" vm="1">
        <v>#REF!</v>
      </c>
      <c r="BK2782" t="e" vm="1">
        <v>#REF!</v>
      </c>
      <c r="BM2782" t="e" vm="2">
        <f t="shared" si="256"/>
        <v>#VALUE!</v>
      </c>
      <c r="BN2782" t="e" vm="2">
        <f t="shared" si="257"/>
        <v>#VALUE!</v>
      </c>
    </row>
    <row r="2783" spans="55:66" x14ac:dyDescent="0.2">
      <c r="BC2783" s="21" t="e" vm="1">
        <v>#REF!</v>
      </c>
      <c r="BD2783" t="e" vm="1">
        <v>#REF!</v>
      </c>
      <c r="BF2783" t="e" vm="2">
        <f t="shared" si="254"/>
        <v>#VALUE!</v>
      </c>
      <c r="BG2783" t="e" vm="2">
        <f t="shared" si="255"/>
        <v>#VALUE!</v>
      </c>
      <c r="BJ2783" s="21" t="e" vm="1">
        <v>#REF!</v>
      </c>
      <c r="BK2783" t="e" vm="1">
        <v>#REF!</v>
      </c>
      <c r="BM2783" t="e" vm="2">
        <f t="shared" si="256"/>
        <v>#VALUE!</v>
      </c>
      <c r="BN2783" t="e" vm="2">
        <f t="shared" si="257"/>
        <v>#VALUE!</v>
      </c>
    </row>
    <row r="2784" spans="55:66" x14ac:dyDescent="0.2">
      <c r="BC2784" s="21" t="e" vm="1">
        <v>#REF!</v>
      </c>
      <c r="BD2784" t="e" vm="1">
        <v>#REF!</v>
      </c>
      <c r="BF2784" t="e" vm="2">
        <f t="shared" si="254"/>
        <v>#VALUE!</v>
      </c>
      <c r="BG2784" t="e" vm="2">
        <f t="shared" si="255"/>
        <v>#VALUE!</v>
      </c>
      <c r="BJ2784" s="21" t="e" vm="1">
        <v>#REF!</v>
      </c>
      <c r="BK2784" t="e" vm="1">
        <v>#REF!</v>
      </c>
      <c r="BM2784" t="e" vm="2">
        <f t="shared" si="256"/>
        <v>#VALUE!</v>
      </c>
      <c r="BN2784" t="e" vm="2">
        <f t="shared" si="257"/>
        <v>#VALUE!</v>
      </c>
    </row>
    <row r="2785" spans="55:66" x14ac:dyDescent="0.2">
      <c r="BC2785" s="21" t="e" vm="1">
        <v>#REF!</v>
      </c>
      <c r="BD2785" t="e" vm="1">
        <v>#REF!</v>
      </c>
      <c r="BF2785" t="e" vm="2">
        <f t="shared" si="254"/>
        <v>#VALUE!</v>
      </c>
      <c r="BG2785" t="e" vm="2">
        <f t="shared" si="255"/>
        <v>#VALUE!</v>
      </c>
      <c r="BJ2785" s="21" t="e" vm="1">
        <v>#REF!</v>
      </c>
      <c r="BK2785" t="e" vm="1">
        <v>#REF!</v>
      </c>
      <c r="BM2785" t="e" vm="2">
        <f t="shared" si="256"/>
        <v>#VALUE!</v>
      </c>
      <c r="BN2785" t="e" vm="2">
        <f t="shared" si="257"/>
        <v>#VALUE!</v>
      </c>
    </row>
    <row r="2786" spans="55:66" x14ac:dyDescent="0.2">
      <c r="BC2786" s="21" t="e" vm="1">
        <v>#REF!</v>
      </c>
      <c r="BD2786" t="e" vm="1">
        <v>#REF!</v>
      </c>
      <c r="BF2786" t="e" vm="2">
        <f t="shared" si="254"/>
        <v>#VALUE!</v>
      </c>
      <c r="BG2786" t="e" vm="2">
        <f t="shared" si="255"/>
        <v>#VALUE!</v>
      </c>
      <c r="BJ2786" s="21" t="e" vm="1">
        <v>#REF!</v>
      </c>
      <c r="BK2786" t="e" vm="1">
        <v>#REF!</v>
      </c>
      <c r="BM2786" t="e" vm="2">
        <f t="shared" si="256"/>
        <v>#VALUE!</v>
      </c>
      <c r="BN2786" t="e" vm="2">
        <f t="shared" si="257"/>
        <v>#VALUE!</v>
      </c>
    </row>
    <row r="2787" spans="55:66" x14ac:dyDescent="0.2">
      <c r="BC2787" s="21" t="e" vm="1">
        <v>#REF!</v>
      </c>
      <c r="BD2787" t="e" vm="1">
        <v>#REF!</v>
      </c>
      <c r="BF2787" t="e" vm="2">
        <f t="shared" si="254"/>
        <v>#VALUE!</v>
      </c>
      <c r="BG2787" t="e" vm="2">
        <f t="shared" si="255"/>
        <v>#VALUE!</v>
      </c>
      <c r="BJ2787" s="21" t="e" vm="1">
        <v>#REF!</v>
      </c>
      <c r="BK2787" t="e" vm="1">
        <v>#REF!</v>
      </c>
      <c r="BM2787" t="e" vm="2">
        <f t="shared" si="256"/>
        <v>#VALUE!</v>
      </c>
      <c r="BN2787" t="e" vm="2">
        <f t="shared" si="257"/>
        <v>#VALUE!</v>
      </c>
    </row>
    <row r="2788" spans="55:66" x14ac:dyDescent="0.2">
      <c r="BC2788" s="21" t="e" vm="1">
        <v>#REF!</v>
      </c>
      <c r="BD2788" t="e" vm="1">
        <v>#REF!</v>
      </c>
      <c r="BF2788" t="e" vm="2">
        <f t="shared" si="254"/>
        <v>#VALUE!</v>
      </c>
      <c r="BG2788" t="e" vm="2">
        <f t="shared" si="255"/>
        <v>#VALUE!</v>
      </c>
      <c r="BJ2788" s="21" t="e" vm="1">
        <v>#REF!</v>
      </c>
      <c r="BK2788" t="e" vm="1">
        <v>#REF!</v>
      </c>
      <c r="BM2788" t="e" vm="2">
        <f t="shared" si="256"/>
        <v>#VALUE!</v>
      </c>
      <c r="BN2788" t="e" vm="2">
        <f t="shared" si="257"/>
        <v>#VALUE!</v>
      </c>
    </row>
    <row r="2789" spans="55:66" x14ac:dyDescent="0.2">
      <c r="BC2789" s="21" t="e" vm="1">
        <v>#REF!</v>
      </c>
      <c r="BD2789" t="e" vm="1">
        <v>#REF!</v>
      </c>
      <c r="BF2789" t="e" vm="2">
        <f t="shared" si="254"/>
        <v>#VALUE!</v>
      </c>
      <c r="BG2789" t="e" vm="2">
        <f t="shared" si="255"/>
        <v>#VALUE!</v>
      </c>
      <c r="BJ2789" s="21" t="e" vm="1">
        <v>#REF!</v>
      </c>
      <c r="BK2789" t="e" vm="1">
        <v>#REF!</v>
      </c>
      <c r="BM2789" t="e" vm="2">
        <f t="shared" si="256"/>
        <v>#VALUE!</v>
      </c>
      <c r="BN2789" t="e" vm="2">
        <f t="shared" si="257"/>
        <v>#VALUE!</v>
      </c>
    </row>
    <row r="2790" spans="55:66" x14ac:dyDescent="0.2">
      <c r="BC2790" s="21" t="e" vm="1">
        <v>#REF!</v>
      </c>
      <c r="BD2790" t="e" vm="1">
        <v>#REF!</v>
      </c>
      <c r="BF2790" t="e" vm="2">
        <f t="shared" si="254"/>
        <v>#VALUE!</v>
      </c>
      <c r="BG2790" t="e" vm="2">
        <f t="shared" si="255"/>
        <v>#VALUE!</v>
      </c>
      <c r="BJ2790" s="21" t="e" vm="1">
        <v>#REF!</v>
      </c>
      <c r="BK2790" t="e" vm="1">
        <v>#REF!</v>
      </c>
      <c r="BM2790" t="e" vm="2">
        <f t="shared" si="256"/>
        <v>#VALUE!</v>
      </c>
      <c r="BN2790" t="e" vm="2">
        <f t="shared" si="257"/>
        <v>#VALUE!</v>
      </c>
    </row>
    <row r="2791" spans="55:66" x14ac:dyDescent="0.2">
      <c r="BC2791" s="21" t="e" vm="1">
        <v>#REF!</v>
      </c>
      <c r="BD2791" t="e" vm="1">
        <v>#REF!</v>
      </c>
      <c r="BF2791" t="e" vm="2">
        <f t="shared" si="254"/>
        <v>#VALUE!</v>
      </c>
      <c r="BG2791" t="e" vm="2">
        <f t="shared" si="255"/>
        <v>#VALUE!</v>
      </c>
      <c r="BJ2791" s="21" t="e" vm="1">
        <v>#REF!</v>
      </c>
      <c r="BK2791" t="e" vm="1">
        <v>#REF!</v>
      </c>
      <c r="BM2791" t="e" vm="2">
        <f t="shared" si="256"/>
        <v>#VALUE!</v>
      </c>
      <c r="BN2791" t="e" vm="2">
        <f t="shared" si="257"/>
        <v>#VALUE!</v>
      </c>
    </row>
    <row r="2792" spans="55:66" x14ac:dyDescent="0.2">
      <c r="BC2792" s="21" t="e" vm="1">
        <v>#REF!</v>
      </c>
      <c r="BD2792" t="e" vm="1">
        <v>#REF!</v>
      </c>
      <c r="BF2792" t="e" vm="2">
        <f t="shared" si="254"/>
        <v>#VALUE!</v>
      </c>
      <c r="BG2792" t="e" vm="2">
        <f t="shared" si="255"/>
        <v>#VALUE!</v>
      </c>
      <c r="BJ2792" s="21" t="e" vm="1">
        <v>#REF!</v>
      </c>
      <c r="BK2792" t="e" vm="1">
        <v>#REF!</v>
      </c>
      <c r="BM2792" t="e" vm="2">
        <f t="shared" si="256"/>
        <v>#VALUE!</v>
      </c>
      <c r="BN2792" t="e" vm="2">
        <f t="shared" si="257"/>
        <v>#VALUE!</v>
      </c>
    </row>
    <row r="2793" spans="55:66" x14ac:dyDescent="0.2">
      <c r="BC2793" s="21" t="e" vm="1">
        <v>#REF!</v>
      </c>
      <c r="BD2793" t="e" vm="1">
        <v>#REF!</v>
      </c>
      <c r="BF2793" t="e" vm="2">
        <f t="shared" si="254"/>
        <v>#VALUE!</v>
      </c>
      <c r="BG2793" t="e" vm="2">
        <f t="shared" si="255"/>
        <v>#VALUE!</v>
      </c>
      <c r="BJ2793" s="21" t="e" vm="1">
        <v>#REF!</v>
      </c>
      <c r="BK2793" t="e" vm="1">
        <v>#REF!</v>
      </c>
      <c r="BM2793" t="e" vm="2">
        <f t="shared" si="256"/>
        <v>#VALUE!</v>
      </c>
      <c r="BN2793" t="e" vm="2">
        <f t="shared" si="257"/>
        <v>#VALUE!</v>
      </c>
    </row>
    <row r="2794" spans="55:66" x14ac:dyDescent="0.2">
      <c r="BC2794" s="21" t="e" vm="1">
        <v>#REF!</v>
      </c>
      <c r="BD2794" t="e" vm="1">
        <v>#REF!</v>
      </c>
      <c r="BF2794" t="e" vm="2">
        <f t="shared" si="254"/>
        <v>#VALUE!</v>
      </c>
      <c r="BG2794" t="e" vm="2">
        <f t="shared" si="255"/>
        <v>#VALUE!</v>
      </c>
      <c r="BJ2794" s="21" t="e" vm="1">
        <v>#REF!</v>
      </c>
      <c r="BK2794" t="e" vm="1">
        <v>#REF!</v>
      </c>
      <c r="BM2794" t="e" vm="2">
        <f t="shared" si="256"/>
        <v>#VALUE!</v>
      </c>
      <c r="BN2794" t="e" vm="2">
        <f t="shared" si="257"/>
        <v>#VALUE!</v>
      </c>
    </row>
    <row r="2795" spans="55:66" x14ac:dyDescent="0.2">
      <c r="BC2795" s="21" t="e" vm="1">
        <v>#REF!</v>
      </c>
      <c r="BD2795" t="e" vm="1">
        <v>#REF!</v>
      </c>
      <c r="BF2795" t="e" vm="2">
        <f t="shared" si="254"/>
        <v>#VALUE!</v>
      </c>
      <c r="BG2795" t="e" vm="2">
        <f t="shared" si="255"/>
        <v>#VALUE!</v>
      </c>
      <c r="BJ2795" s="21" t="e" vm="1">
        <v>#REF!</v>
      </c>
      <c r="BK2795" t="e" vm="1">
        <v>#REF!</v>
      </c>
      <c r="BM2795" t="e" vm="2">
        <f t="shared" si="256"/>
        <v>#VALUE!</v>
      </c>
      <c r="BN2795" t="e" vm="2">
        <f t="shared" si="257"/>
        <v>#VALUE!</v>
      </c>
    </row>
    <row r="2796" spans="55:66" x14ac:dyDescent="0.2">
      <c r="BC2796" s="21" t="e" vm="1">
        <v>#REF!</v>
      </c>
      <c r="BD2796" t="e" vm="1">
        <v>#REF!</v>
      </c>
      <c r="BF2796" t="e" vm="2">
        <f t="shared" si="254"/>
        <v>#VALUE!</v>
      </c>
      <c r="BG2796" t="e" vm="2">
        <f t="shared" si="255"/>
        <v>#VALUE!</v>
      </c>
      <c r="BJ2796" s="21" t="e" vm="1">
        <v>#REF!</v>
      </c>
      <c r="BK2796" t="e" vm="1">
        <v>#REF!</v>
      </c>
      <c r="BM2796" t="e" vm="2">
        <f t="shared" si="256"/>
        <v>#VALUE!</v>
      </c>
      <c r="BN2796" t="e" vm="2">
        <f t="shared" si="257"/>
        <v>#VALUE!</v>
      </c>
    </row>
    <row r="2797" spans="55:66" x14ac:dyDescent="0.2">
      <c r="BC2797" s="21" t="e" vm="1">
        <v>#REF!</v>
      </c>
      <c r="BD2797" t="e" vm="1">
        <v>#REF!</v>
      </c>
      <c r="BF2797" t="e" vm="2">
        <f t="shared" si="254"/>
        <v>#VALUE!</v>
      </c>
      <c r="BG2797" t="e" vm="2">
        <f t="shared" si="255"/>
        <v>#VALUE!</v>
      </c>
      <c r="BJ2797" s="21" t="e" vm="1">
        <v>#REF!</v>
      </c>
      <c r="BK2797" t="e" vm="1">
        <v>#REF!</v>
      </c>
      <c r="BM2797" t="e" vm="2">
        <f t="shared" si="256"/>
        <v>#VALUE!</v>
      </c>
      <c r="BN2797" t="e" vm="2">
        <f t="shared" si="257"/>
        <v>#VALUE!</v>
      </c>
    </row>
    <row r="2798" spans="55:66" x14ac:dyDescent="0.2">
      <c r="BC2798" s="21" t="e" vm="1">
        <v>#REF!</v>
      </c>
      <c r="BD2798" t="e" vm="1">
        <v>#REF!</v>
      </c>
      <c r="BF2798" t="e" vm="2">
        <f t="shared" si="254"/>
        <v>#VALUE!</v>
      </c>
      <c r="BG2798" t="e" vm="2">
        <f t="shared" si="255"/>
        <v>#VALUE!</v>
      </c>
      <c r="BJ2798" s="21" t="e" vm="1">
        <v>#REF!</v>
      </c>
      <c r="BK2798" t="e" vm="1">
        <v>#REF!</v>
      </c>
      <c r="BM2798" t="e" vm="2">
        <f t="shared" si="256"/>
        <v>#VALUE!</v>
      </c>
      <c r="BN2798" t="e" vm="2">
        <f t="shared" si="257"/>
        <v>#VALUE!</v>
      </c>
    </row>
    <row r="2799" spans="55:66" x14ac:dyDescent="0.2">
      <c r="BC2799" s="21" t="e" vm="1">
        <v>#REF!</v>
      </c>
      <c r="BD2799" t="e" vm="1">
        <v>#REF!</v>
      </c>
      <c r="BF2799" t="e" vm="2">
        <f t="shared" si="254"/>
        <v>#VALUE!</v>
      </c>
      <c r="BG2799" t="e" vm="2">
        <f t="shared" si="255"/>
        <v>#VALUE!</v>
      </c>
      <c r="BJ2799" s="21" t="e" vm="1">
        <v>#REF!</v>
      </c>
      <c r="BK2799" t="e" vm="1">
        <v>#REF!</v>
      </c>
      <c r="BM2799" t="e" vm="2">
        <f t="shared" si="256"/>
        <v>#VALUE!</v>
      </c>
      <c r="BN2799" t="e" vm="2">
        <f t="shared" si="257"/>
        <v>#VALUE!</v>
      </c>
    </row>
    <row r="2800" spans="55:66" x14ac:dyDescent="0.2">
      <c r="BC2800" s="21" t="e" vm="1">
        <v>#REF!</v>
      </c>
      <c r="BD2800" t="e" vm="1">
        <v>#REF!</v>
      </c>
      <c r="BF2800" t="e" vm="2">
        <f t="shared" si="254"/>
        <v>#VALUE!</v>
      </c>
      <c r="BG2800" t="e" vm="2">
        <f t="shared" si="255"/>
        <v>#VALUE!</v>
      </c>
      <c r="BJ2800" s="21" t="e" vm="1">
        <v>#REF!</v>
      </c>
      <c r="BK2800" t="e" vm="1">
        <v>#REF!</v>
      </c>
      <c r="BM2800" t="e" vm="2">
        <f t="shared" si="256"/>
        <v>#VALUE!</v>
      </c>
      <c r="BN2800" t="e" vm="2">
        <f t="shared" si="257"/>
        <v>#VALUE!</v>
      </c>
    </row>
    <row r="2801" spans="55:66" x14ac:dyDescent="0.2">
      <c r="BC2801" s="21" t="e" vm="1">
        <v>#REF!</v>
      </c>
      <c r="BD2801" t="e" vm="1">
        <v>#REF!</v>
      </c>
      <c r="BF2801" t="e" vm="2">
        <f t="shared" si="254"/>
        <v>#VALUE!</v>
      </c>
      <c r="BG2801" t="e" vm="2">
        <f t="shared" si="255"/>
        <v>#VALUE!</v>
      </c>
      <c r="BJ2801" s="21" t="e" vm="1">
        <v>#REF!</v>
      </c>
      <c r="BK2801" t="e" vm="1">
        <v>#REF!</v>
      </c>
      <c r="BM2801" t="e" vm="2">
        <f t="shared" si="256"/>
        <v>#VALUE!</v>
      </c>
      <c r="BN2801" t="e" vm="2">
        <f t="shared" si="257"/>
        <v>#VALUE!</v>
      </c>
    </row>
    <row r="2802" spans="55:66" x14ac:dyDescent="0.2">
      <c r="BC2802" s="21" t="e" vm="1">
        <v>#REF!</v>
      </c>
      <c r="BD2802" t="e" vm="1">
        <v>#REF!</v>
      </c>
      <c r="BF2802" t="e" vm="2">
        <f t="shared" si="254"/>
        <v>#VALUE!</v>
      </c>
      <c r="BG2802" t="e" vm="2">
        <f t="shared" si="255"/>
        <v>#VALUE!</v>
      </c>
      <c r="BJ2802" s="21" t="e" vm="1">
        <v>#REF!</v>
      </c>
      <c r="BK2802" t="e" vm="1">
        <v>#REF!</v>
      </c>
      <c r="BM2802" t="e" vm="2">
        <f t="shared" si="256"/>
        <v>#VALUE!</v>
      </c>
      <c r="BN2802" t="e" vm="2">
        <f t="shared" si="257"/>
        <v>#VALUE!</v>
      </c>
    </row>
    <row r="2803" spans="55:66" x14ac:dyDescent="0.2">
      <c r="BC2803" s="21" t="e" vm="1">
        <v>#REF!</v>
      </c>
      <c r="BD2803" t="e" vm="1">
        <v>#REF!</v>
      </c>
      <c r="BF2803" t="e" vm="2">
        <f t="shared" si="254"/>
        <v>#VALUE!</v>
      </c>
      <c r="BG2803" t="e" vm="2">
        <f t="shared" si="255"/>
        <v>#VALUE!</v>
      </c>
      <c r="BJ2803" s="21" t="e" vm="1">
        <v>#REF!</v>
      </c>
      <c r="BK2803" t="e" vm="1">
        <v>#REF!</v>
      </c>
      <c r="BM2803" t="e" vm="2">
        <f t="shared" si="256"/>
        <v>#VALUE!</v>
      </c>
      <c r="BN2803" t="e" vm="2">
        <f t="shared" si="257"/>
        <v>#VALUE!</v>
      </c>
    </row>
    <row r="2804" spans="55:66" x14ac:dyDescent="0.2">
      <c r="BC2804" s="21" t="e" vm="1">
        <v>#REF!</v>
      </c>
      <c r="BD2804" t="e" vm="1">
        <v>#REF!</v>
      </c>
      <c r="BF2804" t="e" vm="2">
        <f t="shared" si="254"/>
        <v>#VALUE!</v>
      </c>
      <c r="BG2804" t="e" vm="2">
        <f t="shared" si="255"/>
        <v>#VALUE!</v>
      </c>
      <c r="BJ2804" s="21" t="e" vm="1">
        <v>#REF!</v>
      </c>
      <c r="BK2804" t="e" vm="1">
        <v>#REF!</v>
      </c>
      <c r="BM2804" t="e" vm="2">
        <f t="shared" si="256"/>
        <v>#VALUE!</v>
      </c>
      <c r="BN2804" t="e" vm="2">
        <f t="shared" si="257"/>
        <v>#VALUE!</v>
      </c>
    </row>
    <row r="2805" spans="55:66" x14ac:dyDescent="0.2">
      <c r="BC2805" s="21" t="e" vm="1">
        <v>#REF!</v>
      </c>
      <c r="BD2805" t="e" vm="1">
        <v>#REF!</v>
      </c>
      <c r="BF2805" t="e" vm="2">
        <f t="shared" si="254"/>
        <v>#VALUE!</v>
      </c>
      <c r="BG2805" t="e" vm="2">
        <f t="shared" si="255"/>
        <v>#VALUE!</v>
      </c>
      <c r="BJ2805" s="21" t="e" vm="1">
        <v>#REF!</v>
      </c>
      <c r="BK2805" t="e" vm="1">
        <v>#REF!</v>
      </c>
      <c r="BM2805" t="e" vm="2">
        <f t="shared" si="256"/>
        <v>#VALUE!</v>
      </c>
      <c r="BN2805" t="e" vm="2">
        <f t="shared" si="257"/>
        <v>#VALUE!</v>
      </c>
    </row>
    <row r="2806" spans="55:66" x14ac:dyDescent="0.2">
      <c r="BC2806" s="21" t="e" vm="1">
        <v>#REF!</v>
      </c>
      <c r="BD2806" t="e" vm="1">
        <v>#REF!</v>
      </c>
      <c r="BF2806" t="e" vm="2">
        <f t="shared" si="254"/>
        <v>#VALUE!</v>
      </c>
      <c r="BG2806" t="e" vm="2">
        <f t="shared" si="255"/>
        <v>#VALUE!</v>
      </c>
      <c r="BJ2806" s="21" t="e" vm="1">
        <v>#REF!</v>
      </c>
      <c r="BK2806" t="e" vm="1">
        <v>#REF!</v>
      </c>
      <c r="BM2806" t="e" vm="2">
        <f t="shared" si="256"/>
        <v>#VALUE!</v>
      </c>
      <c r="BN2806" t="e" vm="2">
        <f t="shared" si="257"/>
        <v>#VALUE!</v>
      </c>
    </row>
    <row r="2807" spans="55:66" x14ac:dyDescent="0.2">
      <c r="BC2807" s="21" t="e" vm="1">
        <v>#REF!</v>
      </c>
      <c r="BD2807" t="e" vm="1">
        <v>#REF!</v>
      </c>
      <c r="BF2807" t="e" vm="2">
        <f t="shared" si="254"/>
        <v>#VALUE!</v>
      </c>
      <c r="BG2807" t="e" vm="2">
        <f t="shared" si="255"/>
        <v>#VALUE!</v>
      </c>
      <c r="BJ2807" s="21" t="e" vm="1">
        <v>#REF!</v>
      </c>
      <c r="BK2807" t="e" vm="1">
        <v>#REF!</v>
      </c>
      <c r="BM2807" t="e" vm="2">
        <f t="shared" si="256"/>
        <v>#VALUE!</v>
      </c>
      <c r="BN2807" t="e" vm="2">
        <f t="shared" si="257"/>
        <v>#VALUE!</v>
      </c>
    </row>
    <row r="2808" spans="55:66" x14ac:dyDescent="0.2">
      <c r="BC2808" s="21" t="e" vm="1">
        <v>#REF!</v>
      </c>
      <c r="BD2808" t="e" vm="1">
        <v>#REF!</v>
      </c>
      <c r="BF2808" t="e" vm="2">
        <f t="shared" si="254"/>
        <v>#VALUE!</v>
      </c>
      <c r="BG2808" t="e" vm="2">
        <f t="shared" si="255"/>
        <v>#VALUE!</v>
      </c>
      <c r="BJ2808" s="21" t="e" vm="1">
        <v>#REF!</v>
      </c>
      <c r="BK2808" t="e" vm="1">
        <v>#REF!</v>
      </c>
      <c r="BM2808" t="e" vm="2">
        <f t="shared" si="256"/>
        <v>#VALUE!</v>
      </c>
      <c r="BN2808" t="e" vm="2">
        <f t="shared" si="257"/>
        <v>#VALUE!</v>
      </c>
    </row>
    <row r="2809" spans="55:66" x14ac:dyDescent="0.2">
      <c r="BC2809" s="21" t="e" vm="1">
        <v>#REF!</v>
      </c>
      <c r="BD2809" t="e" vm="1">
        <v>#REF!</v>
      </c>
      <c r="BF2809" t="e" vm="2">
        <f t="shared" si="254"/>
        <v>#VALUE!</v>
      </c>
      <c r="BG2809" t="e" vm="2">
        <f t="shared" si="255"/>
        <v>#VALUE!</v>
      </c>
      <c r="BJ2809" s="21" t="e" vm="1">
        <v>#REF!</v>
      </c>
      <c r="BK2809" t="e" vm="1">
        <v>#REF!</v>
      </c>
      <c r="BM2809" t="e" vm="2">
        <f t="shared" si="256"/>
        <v>#VALUE!</v>
      </c>
      <c r="BN2809" t="e" vm="2">
        <f t="shared" si="257"/>
        <v>#VALUE!</v>
      </c>
    </row>
    <row r="2810" spans="55:66" x14ac:dyDescent="0.2">
      <c r="BC2810" s="21" t="e" vm="1">
        <v>#REF!</v>
      </c>
      <c r="BD2810" t="e" vm="1">
        <v>#REF!</v>
      </c>
      <c r="BF2810" t="e" vm="2">
        <f t="shared" si="254"/>
        <v>#VALUE!</v>
      </c>
      <c r="BG2810" t="e" vm="2">
        <f t="shared" si="255"/>
        <v>#VALUE!</v>
      </c>
      <c r="BJ2810" s="21" t="e" vm="1">
        <v>#REF!</v>
      </c>
      <c r="BK2810" t="e" vm="1">
        <v>#REF!</v>
      </c>
      <c r="BM2810" t="e" vm="2">
        <f t="shared" si="256"/>
        <v>#VALUE!</v>
      </c>
      <c r="BN2810" t="e" vm="2">
        <f t="shared" si="257"/>
        <v>#VALUE!</v>
      </c>
    </row>
    <row r="2811" spans="55:66" x14ac:dyDescent="0.2">
      <c r="BC2811" s="21" t="e" vm="1">
        <v>#REF!</v>
      </c>
      <c r="BD2811" t="e" vm="1">
        <v>#REF!</v>
      </c>
      <c r="BF2811" t="e" vm="2">
        <f t="shared" si="254"/>
        <v>#VALUE!</v>
      </c>
      <c r="BG2811" t="e" vm="2">
        <f t="shared" si="255"/>
        <v>#VALUE!</v>
      </c>
      <c r="BJ2811" s="21" t="e" vm="1">
        <v>#REF!</v>
      </c>
      <c r="BK2811" t="e" vm="1">
        <v>#REF!</v>
      </c>
      <c r="BM2811" t="e" vm="2">
        <f t="shared" si="256"/>
        <v>#VALUE!</v>
      </c>
      <c r="BN2811" t="e" vm="2">
        <f t="shared" si="257"/>
        <v>#VALUE!</v>
      </c>
    </row>
    <row r="2812" spans="55:66" x14ac:dyDescent="0.2">
      <c r="BC2812" s="21" t="e" vm="1">
        <v>#REF!</v>
      </c>
      <c r="BD2812" t="e" vm="1">
        <v>#REF!</v>
      </c>
      <c r="BF2812" t="e" vm="2">
        <f t="shared" si="254"/>
        <v>#VALUE!</v>
      </c>
      <c r="BG2812" t="e" vm="2">
        <f t="shared" si="255"/>
        <v>#VALUE!</v>
      </c>
      <c r="BJ2812" s="21" t="e" vm="1">
        <v>#REF!</v>
      </c>
      <c r="BK2812" t="e" vm="1">
        <v>#REF!</v>
      </c>
      <c r="BM2812" t="e" vm="2">
        <f t="shared" si="256"/>
        <v>#VALUE!</v>
      </c>
      <c r="BN2812" t="e" vm="2">
        <f t="shared" si="257"/>
        <v>#VALUE!</v>
      </c>
    </row>
    <row r="2813" spans="55:66" x14ac:dyDescent="0.2">
      <c r="BC2813" s="21" t="e" vm="1">
        <v>#REF!</v>
      </c>
      <c r="BD2813" t="e" vm="1">
        <v>#REF!</v>
      </c>
      <c r="BF2813" t="e" vm="2">
        <f t="shared" si="254"/>
        <v>#VALUE!</v>
      </c>
      <c r="BG2813" t="e" vm="2">
        <f t="shared" si="255"/>
        <v>#VALUE!</v>
      </c>
      <c r="BJ2813" s="21" t="e" vm="1">
        <v>#REF!</v>
      </c>
      <c r="BK2813" t="e" vm="1">
        <v>#REF!</v>
      </c>
      <c r="BM2813" t="e" vm="2">
        <f t="shared" si="256"/>
        <v>#VALUE!</v>
      </c>
      <c r="BN2813" t="e" vm="2">
        <f t="shared" si="257"/>
        <v>#VALUE!</v>
      </c>
    </row>
    <row r="2814" spans="55:66" x14ac:dyDescent="0.2">
      <c r="BC2814" s="21" t="e" vm="1">
        <v>#REF!</v>
      </c>
      <c r="BD2814" t="e" vm="1">
        <v>#REF!</v>
      </c>
      <c r="BF2814" t="e" vm="2">
        <f t="shared" si="254"/>
        <v>#VALUE!</v>
      </c>
      <c r="BG2814" t="e" vm="2">
        <f t="shared" si="255"/>
        <v>#VALUE!</v>
      </c>
      <c r="BJ2814" s="21" t="e" vm="1">
        <v>#REF!</v>
      </c>
      <c r="BK2814" t="e" vm="1">
        <v>#REF!</v>
      </c>
      <c r="BM2814" t="e" vm="2">
        <f t="shared" si="256"/>
        <v>#VALUE!</v>
      </c>
      <c r="BN2814" t="e" vm="2">
        <f t="shared" si="257"/>
        <v>#VALUE!</v>
      </c>
    </row>
    <row r="2815" spans="55:66" x14ac:dyDescent="0.2">
      <c r="BC2815" s="21" t="e" vm="1">
        <v>#REF!</v>
      </c>
      <c r="BD2815" t="e" vm="1">
        <v>#REF!</v>
      </c>
      <c r="BF2815" t="e" vm="2">
        <f t="shared" si="254"/>
        <v>#VALUE!</v>
      </c>
      <c r="BG2815" t="e" vm="2">
        <f t="shared" si="255"/>
        <v>#VALUE!</v>
      </c>
      <c r="BJ2815" s="21" t="e" vm="1">
        <v>#REF!</v>
      </c>
      <c r="BK2815" t="e" vm="1">
        <v>#REF!</v>
      </c>
      <c r="BM2815" t="e" vm="2">
        <f t="shared" si="256"/>
        <v>#VALUE!</v>
      </c>
      <c r="BN2815" t="e" vm="2">
        <f t="shared" si="257"/>
        <v>#VALUE!</v>
      </c>
    </row>
    <row r="2816" spans="55:66" x14ac:dyDescent="0.2">
      <c r="BC2816" s="21" t="e" vm="1">
        <v>#REF!</v>
      </c>
      <c r="BD2816" t="e" vm="1">
        <v>#REF!</v>
      </c>
      <c r="BF2816" t="e" vm="2">
        <f t="shared" si="254"/>
        <v>#VALUE!</v>
      </c>
      <c r="BG2816" t="e" vm="2">
        <f t="shared" si="255"/>
        <v>#VALUE!</v>
      </c>
      <c r="BJ2816" s="21" t="e" vm="1">
        <v>#REF!</v>
      </c>
      <c r="BK2816" t="e" vm="1">
        <v>#REF!</v>
      </c>
      <c r="BM2816" t="e" vm="2">
        <f t="shared" si="256"/>
        <v>#VALUE!</v>
      </c>
      <c r="BN2816" t="e" vm="2">
        <f t="shared" si="257"/>
        <v>#VALUE!</v>
      </c>
    </row>
    <row r="2817" spans="55:66" x14ac:dyDescent="0.2">
      <c r="BC2817" s="21" t="e" vm="1">
        <v>#REF!</v>
      </c>
      <c r="BD2817" t="e" vm="1">
        <v>#REF!</v>
      </c>
      <c r="BF2817" t="e" vm="2">
        <f t="shared" si="254"/>
        <v>#VALUE!</v>
      </c>
      <c r="BG2817" t="e" vm="2">
        <f t="shared" si="255"/>
        <v>#VALUE!</v>
      </c>
      <c r="BJ2817" s="21" t="e" vm="1">
        <v>#REF!</v>
      </c>
      <c r="BK2817" t="e" vm="1">
        <v>#REF!</v>
      </c>
      <c r="BM2817" t="e" vm="2">
        <f t="shared" si="256"/>
        <v>#VALUE!</v>
      </c>
      <c r="BN2817" t="e" vm="2">
        <f t="shared" si="257"/>
        <v>#VALUE!</v>
      </c>
    </row>
    <row r="2818" spans="55:66" x14ac:dyDescent="0.2">
      <c r="BC2818" s="21" t="e" vm="1">
        <v>#REF!</v>
      </c>
      <c r="BD2818" t="e" vm="1">
        <v>#REF!</v>
      </c>
      <c r="BF2818" t="e" vm="2">
        <f t="shared" si="254"/>
        <v>#VALUE!</v>
      </c>
      <c r="BG2818" t="e" vm="2">
        <f t="shared" si="255"/>
        <v>#VALUE!</v>
      </c>
      <c r="BJ2818" s="21" t="e" vm="1">
        <v>#REF!</v>
      </c>
      <c r="BK2818" t="e" vm="1">
        <v>#REF!</v>
      </c>
      <c r="BM2818" t="e" vm="2">
        <f t="shared" si="256"/>
        <v>#VALUE!</v>
      </c>
      <c r="BN2818" t="e" vm="2">
        <f t="shared" si="257"/>
        <v>#VALUE!</v>
      </c>
    </row>
    <row r="2819" spans="55:66" x14ac:dyDescent="0.2">
      <c r="BC2819" s="21" t="e" vm="1">
        <v>#REF!</v>
      </c>
      <c r="BD2819" t="e" vm="1">
        <v>#REF!</v>
      </c>
      <c r="BF2819" t="e" vm="2">
        <f t="shared" ref="BF2819:BF2882" si="258">MONTH(BC2819)</f>
        <v>#VALUE!</v>
      </c>
      <c r="BG2819" t="e" vm="2">
        <f t="shared" ref="BG2819:BG2882" si="259">YEAR(BC2819)</f>
        <v>#VALUE!</v>
      </c>
      <c r="BJ2819" s="21" t="e" vm="1">
        <v>#REF!</v>
      </c>
      <c r="BK2819" t="e" vm="1">
        <v>#REF!</v>
      </c>
      <c r="BM2819" t="e" vm="2">
        <f t="shared" si="256"/>
        <v>#VALUE!</v>
      </c>
      <c r="BN2819" t="e" vm="2">
        <f t="shared" si="257"/>
        <v>#VALUE!</v>
      </c>
    </row>
    <row r="2820" spans="55:66" x14ac:dyDescent="0.2">
      <c r="BC2820" s="21" t="e" vm="1">
        <v>#REF!</v>
      </c>
      <c r="BD2820" t="e" vm="1">
        <v>#REF!</v>
      </c>
      <c r="BF2820" t="e" vm="2">
        <f t="shared" si="258"/>
        <v>#VALUE!</v>
      </c>
      <c r="BG2820" t="e" vm="2">
        <f t="shared" si="259"/>
        <v>#VALUE!</v>
      </c>
      <c r="BJ2820" s="21" t="e" vm="1">
        <v>#REF!</v>
      </c>
      <c r="BK2820" t="e" vm="1">
        <v>#REF!</v>
      </c>
      <c r="BM2820" t="e" vm="2">
        <f t="shared" ref="BM2820:BM2883" si="260">MONTH(BJ2820)</f>
        <v>#VALUE!</v>
      </c>
      <c r="BN2820" t="e" vm="2">
        <f t="shared" ref="BN2820:BN2883" si="261">YEAR(BJ2820)</f>
        <v>#VALUE!</v>
      </c>
    </row>
    <row r="2821" spans="55:66" x14ac:dyDescent="0.2">
      <c r="BC2821" s="21" t="e" vm="1">
        <v>#REF!</v>
      </c>
      <c r="BD2821" t="e" vm="1">
        <v>#REF!</v>
      </c>
      <c r="BF2821" t="e" vm="2">
        <f t="shared" si="258"/>
        <v>#VALUE!</v>
      </c>
      <c r="BG2821" t="e" vm="2">
        <f t="shared" si="259"/>
        <v>#VALUE!</v>
      </c>
      <c r="BJ2821" s="21" t="e" vm="1">
        <v>#REF!</v>
      </c>
      <c r="BK2821" t="e" vm="1">
        <v>#REF!</v>
      </c>
      <c r="BM2821" t="e" vm="2">
        <f t="shared" si="260"/>
        <v>#VALUE!</v>
      </c>
      <c r="BN2821" t="e" vm="2">
        <f t="shared" si="261"/>
        <v>#VALUE!</v>
      </c>
    </row>
    <row r="2822" spans="55:66" x14ac:dyDescent="0.2">
      <c r="BC2822" s="21" t="e" vm="1">
        <v>#REF!</v>
      </c>
      <c r="BD2822" t="e" vm="1">
        <v>#REF!</v>
      </c>
      <c r="BF2822" t="e" vm="2">
        <f t="shared" si="258"/>
        <v>#VALUE!</v>
      </c>
      <c r="BG2822" t="e" vm="2">
        <f t="shared" si="259"/>
        <v>#VALUE!</v>
      </c>
      <c r="BJ2822" s="21" t="e" vm="1">
        <v>#REF!</v>
      </c>
      <c r="BK2822" t="e" vm="1">
        <v>#REF!</v>
      </c>
      <c r="BM2822" t="e" vm="2">
        <f t="shared" si="260"/>
        <v>#VALUE!</v>
      </c>
      <c r="BN2822" t="e" vm="2">
        <f t="shared" si="261"/>
        <v>#VALUE!</v>
      </c>
    </row>
    <row r="2823" spans="55:66" x14ac:dyDescent="0.2">
      <c r="BC2823" s="21" t="e" vm="1">
        <v>#REF!</v>
      </c>
      <c r="BD2823" t="e" vm="1">
        <v>#REF!</v>
      </c>
      <c r="BF2823" t="e" vm="2">
        <f t="shared" si="258"/>
        <v>#VALUE!</v>
      </c>
      <c r="BG2823" t="e" vm="2">
        <f t="shared" si="259"/>
        <v>#VALUE!</v>
      </c>
      <c r="BJ2823" s="21" t="e" vm="1">
        <v>#REF!</v>
      </c>
      <c r="BK2823" t="e" vm="1">
        <v>#REF!</v>
      </c>
      <c r="BM2823" t="e" vm="2">
        <f t="shared" si="260"/>
        <v>#VALUE!</v>
      </c>
      <c r="BN2823" t="e" vm="2">
        <f t="shared" si="261"/>
        <v>#VALUE!</v>
      </c>
    </row>
    <row r="2824" spans="55:66" x14ac:dyDescent="0.2">
      <c r="BC2824" s="21" t="e" vm="1">
        <v>#REF!</v>
      </c>
      <c r="BD2824" t="e" vm="1">
        <v>#REF!</v>
      </c>
      <c r="BF2824" t="e" vm="2">
        <f t="shared" si="258"/>
        <v>#VALUE!</v>
      </c>
      <c r="BG2824" t="e" vm="2">
        <f t="shared" si="259"/>
        <v>#VALUE!</v>
      </c>
      <c r="BJ2824" s="21" t="e" vm="1">
        <v>#REF!</v>
      </c>
      <c r="BK2824" t="e" vm="1">
        <v>#REF!</v>
      </c>
      <c r="BM2824" t="e" vm="2">
        <f t="shared" si="260"/>
        <v>#VALUE!</v>
      </c>
      <c r="BN2824" t="e" vm="2">
        <f t="shared" si="261"/>
        <v>#VALUE!</v>
      </c>
    </row>
    <row r="2825" spans="55:66" x14ac:dyDescent="0.2">
      <c r="BC2825" s="21" t="e" vm="1">
        <v>#REF!</v>
      </c>
      <c r="BD2825" t="e" vm="1">
        <v>#REF!</v>
      </c>
      <c r="BF2825" t="e" vm="2">
        <f t="shared" si="258"/>
        <v>#VALUE!</v>
      </c>
      <c r="BG2825" t="e" vm="2">
        <f t="shared" si="259"/>
        <v>#VALUE!</v>
      </c>
      <c r="BJ2825" s="21" t="e" vm="1">
        <v>#REF!</v>
      </c>
      <c r="BK2825" t="e" vm="1">
        <v>#REF!</v>
      </c>
      <c r="BM2825" t="e" vm="2">
        <f t="shared" si="260"/>
        <v>#VALUE!</v>
      </c>
      <c r="BN2825" t="e" vm="2">
        <f t="shared" si="261"/>
        <v>#VALUE!</v>
      </c>
    </row>
    <row r="2826" spans="55:66" x14ac:dyDescent="0.2">
      <c r="BC2826" s="21" t="e" vm="1">
        <v>#REF!</v>
      </c>
      <c r="BD2826" t="e" vm="1">
        <v>#REF!</v>
      </c>
      <c r="BF2826" t="e" vm="2">
        <f t="shared" si="258"/>
        <v>#VALUE!</v>
      </c>
      <c r="BG2826" t="e" vm="2">
        <f t="shared" si="259"/>
        <v>#VALUE!</v>
      </c>
      <c r="BJ2826" s="21" t="e" vm="1">
        <v>#REF!</v>
      </c>
      <c r="BK2826" t="e" vm="1">
        <v>#REF!</v>
      </c>
      <c r="BM2826" t="e" vm="2">
        <f t="shared" si="260"/>
        <v>#VALUE!</v>
      </c>
      <c r="BN2826" t="e" vm="2">
        <f t="shared" si="261"/>
        <v>#VALUE!</v>
      </c>
    </row>
    <row r="2827" spans="55:66" x14ac:dyDescent="0.2">
      <c r="BC2827" s="21" t="e" vm="1">
        <v>#REF!</v>
      </c>
      <c r="BD2827" t="e" vm="1">
        <v>#REF!</v>
      </c>
      <c r="BF2827" t="e" vm="2">
        <f t="shared" si="258"/>
        <v>#VALUE!</v>
      </c>
      <c r="BG2827" t="e" vm="2">
        <f t="shared" si="259"/>
        <v>#VALUE!</v>
      </c>
      <c r="BJ2827" s="21" t="e" vm="1">
        <v>#REF!</v>
      </c>
      <c r="BK2827" t="e" vm="1">
        <v>#REF!</v>
      </c>
      <c r="BM2827" t="e" vm="2">
        <f t="shared" si="260"/>
        <v>#VALUE!</v>
      </c>
      <c r="BN2827" t="e" vm="2">
        <f t="shared" si="261"/>
        <v>#VALUE!</v>
      </c>
    </row>
    <row r="2828" spans="55:66" x14ac:dyDescent="0.2">
      <c r="BC2828" s="21" t="e" vm="1">
        <v>#REF!</v>
      </c>
      <c r="BD2828" t="e" vm="1">
        <v>#REF!</v>
      </c>
      <c r="BF2828" t="e" vm="2">
        <f t="shared" si="258"/>
        <v>#VALUE!</v>
      </c>
      <c r="BG2828" t="e" vm="2">
        <f t="shared" si="259"/>
        <v>#VALUE!</v>
      </c>
      <c r="BJ2828" s="21" t="e" vm="1">
        <v>#REF!</v>
      </c>
      <c r="BK2828" t="e" vm="1">
        <v>#REF!</v>
      </c>
      <c r="BM2828" t="e" vm="2">
        <f t="shared" si="260"/>
        <v>#VALUE!</v>
      </c>
      <c r="BN2828" t="e" vm="2">
        <f t="shared" si="261"/>
        <v>#VALUE!</v>
      </c>
    </row>
    <row r="2829" spans="55:66" x14ac:dyDescent="0.2">
      <c r="BC2829" s="21" t="e" vm="1">
        <v>#REF!</v>
      </c>
      <c r="BD2829" t="e" vm="1">
        <v>#REF!</v>
      </c>
      <c r="BF2829" t="e" vm="2">
        <f t="shared" si="258"/>
        <v>#VALUE!</v>
      </c>
      <c r="BG2829" t="e" vm="2">
        <f t="shared" si="259"/>
        <v>#VALUE!</v>
      </c>
      <c r="BJ2829" s="21" t="e" vm="1">
        <v>#REF!</v>
      </c>
      <c r="BK2829" t="e" vm="1">
        <v>#REF!</v>
      </c>
      <c r="BM2829" t="e" vm="2">
        <f t="shared" si="260"/>
        <v>#VALUE!</v>
      </c>
      <c r="BN2829" t="e" vm="2">
        <f t="shared" si="261"/>
        <v>#VALUE!</v>
      </c>
    </row>
    <row r="2830" spans="55:66" x14ac:dyDescent="0.2">
      <c r="BC2830" s="21" t="e" vm="1">
        <v>#REF!</v>
      </c>
      <c r="BD2830" t="e" vm="1">
        <v>#REF!</v>
      </c>
      <c r="BF2830" t="e" vm="2">
        <f t="shared" si="258"/>
        <v>#VALUE!</v>
      </c>
      <c r="BG2830" t="e" vm="2">
        <f t="shared" si="259"/>
        <v>#VALUE!</v>
      </c>
      <c r="BJ2830" s="21" t="e" vm="1">
        <v>#REF!</v>
      </c>
      <c r="BK2830" t="e" vm="1">
        <v>#REF!</v>
      </c>
      <c r="BM2830" t="e" vm="2">
        <f t="shared" si="260"/>
        <v>#VALUE!</v>
      </c>
      <c r="BN2830" t="e" vm="2">
        <f t="shared" si="261"/>
        <v>#VALUE!</v>
      </c>
    </row>
    <row r="2831" spans="55:66" x14ac:dyDescent="0.2">
      <c r="BC2831" s="21" t="e" vm="1">
        <v>#REF!</v>
      </c>
      <c r="BD2831" t="e" vm="1">
        <v>#REF!</v>
      </c>
      <c r="BF2831" t="e" vm="2">
        <f t="shared" si="258"/>
        <v>#VALUE!</v>
      </c>
      <c r="BG2831" t="e" vm="2">
        <f t="shared" si="259"/>
        <v>#VALUE!</v>
      </c>
      <c r="BJ2831" s="21" t="e" vm="1">
        <v>#REF!</v>
      </c>
      <c r="BK2831" t="e" vm="1">
        <v>#REF!</v>
      </c>
      <c r="BM2831" t="e" vm="2">
        <f t="shared" si="260"/>
        <v>#VALUE!</v>
      </c>
      <c r="BN2831" t="e" vm="2">
        <f t="shared" si="261"/>
        <v>#VALUE!</v>
      </c>
    </row>
    <row r="2832" spans="55:66" x14ac:dyDescent="0.2">
      <c r="BC2832" s="21" t="e" vm="1">
        <v>#REF!</v>
      </c>
      <c r="BD2832" t="e" vm="1">
        <v>#REF!</v>
      </c>
      <c r="BF2832" t="e" vm="2">
        <f t="shared" si="258"/>
        <v>#VALUE!</v>
      </c>
      <c r="BG2832" t="e" vm="2">
        <f t="shared" si="259"/>
        <v>#VALUE!</v>
      </c>
      <c r="BJ2832" s="21" t="e" vm="1">
        <v>#REF!</v>
      </c>
      <c r="BK2832" t="e" vm="1">
        <v>#REF!</v>
      </c>
      <c r="BM2832" t="e" vm="2">
        <f t="shared" si="260"/>
        <v>#VALUE!</v>
      </c>
      <c r="BN2832" t="e" vm="2">
        <f t="shared" si="261"/>
        <v>#VALUE!</v>
      </c>
    </row>
    <row r="2833" spans="55:66" x14ac:dyDescent="0.2">
      <c r="BC2833" s="21" t="e" vm="1">
        <v>#REF!</v>
      </c>
      <c r="BD2833" t="e" vm="1">
        <v>#REF!</v>
      </c>
      <c r="BF2833" t="e" vm="2">
        <f t="shared" si="258"/>
        <v>#VALUE!</v>
      </c>
      <c r="BG2833" t="e" vm="2">
        <f t="shared" si="259"/>
        <v>#VALUE!</v>
      </c>
      <c r="BJ2833" s="21" t="e" vm="1">
        <v>#REF!</v>
      </c>
      <c r="BK2833" t="e" vm="1">
        <v>#REF!</v>
      </c>
      <c r="BM2833" t="e" vm="2">
        <f t="shared" si="260"/>
        <v>#VALUE!</v>
      </c>
      <c r="BN2833" t="e" vm="2">
        <f t="shared" si="261"/>
        <v>#VALUE!</v>
      </c>
    </row>
    <row r="2834" spans="55:66" x14ac:dyDescent="0.2">
      <c r="BC2834" s="21" t="e" vm="1">
        <v>#REF!</v>
      </c>
      <c r="BD2834" t="e" vm="1">
        <v>#REF!</v>
      </c>
      <c r="BF2834" t="e" vm="2">
        <f t="shared" si="258"/>
        <v>#VALUE!</v>
      </c>
      <c r="BG2834" t="e" vm="2">
        <f t="shared" si="259"/>
        <v>#VALUE!</v>
      </c>
      <c r="BJ2834" s="21" t="e" vm="1">
        <v>#REF!</v>
      </c>
      <c r="BK2834" t="e" vm="1">
        <v>#REF!</v>
      </c>
      <c r="BM2834" t="e" vm="2">
        <f t="shared" si="260"/>
        <v>#VALUE!</v>
      </c>
      <c r="BN2834" t="e" vm="2">
        <f t="shared" si="261"/>
        <v>#VALUE!</v>
      </c>
    </row>
    <row r="2835" spans="55:66" x14ac:dyDescent="0.2">
      <c r="BC2835" s="21" t="e" vm="1">
        <v>#REF!</v>
      </c>
      <c r="BD2835" t="e" vm="1">
        <v>#REF!</v>
      </c>
      <c r="BF2835" t="e" vm="2">
        <f t="shared" si="258"/>
        <v>#VALUE!</v>
      </c>
      <c r="BG2835" t="e" vm="2">
        <f t="shared" si="259"/>
        <v>#VALUE!</v>
      </c>
      <c r="BJ2835" s="21" t="e" vm="1">
        <v>#REF!</v>
      </c>
      <c r="BK2835" t="e" vm="1">
        <v>#REF!</v>
      </c>
      <c r="BM2835" t="e" vm="2">
        <f t="shared" si="260"/>
        <v>#VALUE!</v>
      </c>
      <c r="BN2835" t="e" vm="2">
        <f t="shared" si="261"/>
        <v>#VALUE!</v>
      </c>
    </row>
    <row r="2836" spans="55:66" x14ac:dyDescent="0.2">
      <c r="BC2836" s="21" t="e" vm="1">
        <v>#REF!</v>
      </c>
      <c r="BD2836" t="e" vm="1">
        <v>#REF!</v>
      </c>
      <c r="BF2836" t="e" vm="2">
        <f t="shared" si="258"/>
        <v>#VALUE!</v>
      </c>
      <c r="BG2836" t="e" vm="2">
        <f t="shared" si="259"/>
        <v>#VALUE!</v>
      </c>
      <c r="BJ2836" s="21" t="e" vm="1">
        <v>#REF!</v>
      </c>
      <c r="BK2836" t="e" vm="1">
        <v>#REF!</v>
      </c>
      <c r="BM2836" t="e" vm="2">
        <f t="shared" si="260"/>
        <v>#VALUE!</v>
      </c>
      <c r="BN2836" t="e" vm="2">
        <f t="shared" si="261"/>
        <v>#VALUE!</v>
      </c>
    </row>
    <row r="2837" spans="55:66" x14ac:dyDescent="0.2">
      <c r="BC2837" s="21" t="e" vm="1">
        <v>#REF!</v>
      </c>
      <c r="BD2837" t="e" vm="1">
        <v>#REF!</v>
      </c>
      <c r="BF2837" t="e" vm="2">
        <f t="shared" si="258"/>
        <v>#VALUE!</v>
      </c>
      <c r="BG2837" t="e" vm="2">
        <f t="shared" si="259"/>
        <v>#VALUE!</v>
      </c>
      <c r="BJ2837" s="21" t="e" vm="1">
        <v>#REF!</v>
      </c>
      <c r="BK2837" t="e" vm="1">
        <v>#REF!</v>
      </c>
      <c r="BM2837" t="e" vm="2">
        <f t="shared" si="260"/>
        <v>#VALUE!</v>
      </c>
      <c r="BN2837" t="e" vm="2">
        <f t="shared" si="261"/>
        <v>#VALUE!</v>
      </c>
    </row>
    <row r="2838" spans="55:66" x14ac:dyDescent="0.2">
      <c r="BC2838" s="21" t="e" vm="1">
        <v>#REF!</v>
      </c>
      <c r="BD2838" t="e" vm="1">
        <v>#REF!</v>
      </c>
      <c r="BF2838" t="e" vm="2">
        <f t="shared" si="258"/>
        <v>#VALUE!</v>
      </c>
      <c r="BG2838" t="e" vm="2">
        <f t="shared" si="259"/>
        <v>#VALUE!</v>
      </c>
      <c r="BJ2838" s="21" t="e" vm="1">
        <v>#REF!</v>
      </c>
      <c r="BK2838" t="e" vm="1">
        <v>#REF!</v>
      </c>
      <c r="BM2838" t="e" vm="2">
        <f t="shared" si="260"/>
        <v>#VALUE!</v>
      </c>
      <c r="BN2838" t="e" vm="2">
        <f t="shared" si="261"/>
        <v>#VALUE!</v>
      </c>
    </row>
    <row r="2839" spans="55:66" x14ac:dyDescent="0.2">
      <c r="BC2839" s="21" t="e" vm="1">
        <v>#REF!</v>
      </c>
      <c r="BD2839" t="e" vm="1">
        <v>#REF!</v>
      </c>
      <c r="BF2839" t="e" vm="2">
        <f t="shared" si="258"/>
        <v>#VALUE!</v>
      </c>
      <c r="BG2839" t="e" vm="2">
        <f t="shared" si="259"/>
        <v>#VALUE!</v>
      </c>
      <c r="BJ2839" s="21" t="e" vm="1">
        <v>#REF!</v>
      </c>
      <c r="BK2839" t="e" vm="1">
        <v>#REF!</v>
      </c>
      <c r="BM2839" t="e" vm="2">
        <f t="shared" si="260"/>
        <v>#VALUE!</v>
      </c>
      <c r="BN2839" t="e" vm="2">
        <f t="shared" si="261"/>
        <v>#VALUE!</v>
      </c>
    </row>
    <row r="2840" spans="55:66" x14ac:dyDescent="0.2">
      <c r="BC2840" s="21" t="e" vm="1">
        <v>#REF!</v>
      </c>
      <c r="BD2840" t="e" vm="1">
        <v>#REF!</v>
      </c>
      <c r="BF2840" t="e" vm="2">
        <f t="shared" si="258"/>
        <v>#VALUE!</v>
      </c>
      <c r="BG2840" t="e" vm="2">
        <f t="shared" si="259"/>
        <v>#VALUE!</v>
      </c>
      <c r="BJ2840" s="21" t="e" vm="1">
        <v>#REF!</v>
      </c>
      <c r="BK2840" t="e" vm="1">
        <v>#REF!</v>
      </c>
      <c r="BM2840" t="e" vm="2">
        <f t="shared" si="260"/>
        <v>#VALUE!</v>
      </c>
      <c r="BN2840" t="e" vm="2">
        <f t="shared" si="261"/>
        <v>#VALUE!</v>
      </c>
    </row>
    <row r="2841" spans="55:66" x14ac:dyDescent="0.2">
      <c r="BC2841" s="21" t="e" vm="1">
        <v>#REF!</v>
      </c>
      <c r="BD2841" t="e" vm="1">
        <v>#REF!</v>
      </c>
      <c r="BF2841" t="e" vm="2">
        <f t="shared" si="258"/>
        <v>#VALUE!</v>
      </c>
      <c r="BG2841" t="e" vm="2">
        <f t="shared" si="259"/>
        <v>#VALUE!</v>
      </c>
      <c r="BJ2841" s="21" t="e" vm="1">
        <v>#REF!</v>
      </c>
      <c r="BK2841" t="e" vm="1">
        <v>#REF!</v>
      </c>
      <c r="BM2841" t="e" vm="2">
        <f t="shared" si="260"/>
        <v>#VALUE!</v>
      </c>
      <c r="BN2841" t="e" vm="2">
        <f t="shared" si="261"/>
        <v>#VALUE!</v>
      </c>
    </row>
    <row r="2842" spans="55:66" x14ac:dyDescent="0.2">
      <c r="BC2842" s="21" t="e" vm="1">
        <v>#REF!</v>
      </c>
      <c r="BD2842" t="e" vm="1">
        <v>#REF!</v>
      </c>
      <c r="BF2842" t="e" vm="2">
        <f t="shared" si="258"/>
        <v>#VALUE!</v>
      </c>
      <c r="BG2842" t="e" vm="2">
        <f t="shared" si="259"/>
        <v>#VALUE!</v>
      </c>
      <c r="BJ2842" s="21" t="e" vm="1">
        <v>#REF!</v>
      </c>
      <c r="BK2842" t="e" vm="1">
        <v>#REF!</v>
      </c>
      <c r="BM2842" t="e" vm="2">
        <f t="shared" si="260"/>
        <v>#VALUE!</v>
      </c>
      <c r="BN2842" t="e" vm="2">
        <f t="shared" si="261"/>
        <v>#VALUE!</v>
      </c>
    </row>
    <row r="2843" spans="55:66" x14ac:dyDescent="0.2">
      <c r="BC2843" s="21" t="e" vm="1">
        <v>#REF!</v>
      </c>
      <c r="BD2843" t="e" vm="1">
        <v>#REF!</v>
      </c>
      <c r="BF2843" t="e" vm="2">
        <f t="shared" si="258"/>
        <v>#VALUE!</v>
      </c>
      <c r="BG2843" t="e" vm="2">
        <f t="shared" si="259"/>
        <v>#VALUE!</v>
      </c>
      <c r="BJ2843" s="21" t="e" vm="1">
        <v>#REF!</v>
      </c>
      <c r="BK2843" t="e" vm="1">
        <v>#REF!</v>
      </c>
      <c r="BM2843" t="e" vm="2">
        <f t="shared" si="260"/>
        <v>#VALUE!</v>
      </c>
      <c r="BN2843" t="e" vm="2">
        <f t="shared" si="261"/>
        <v>#VALUE!</v>
      </c>
    </row>
    <row r="2844" spans="55:66" x14ac:dyDescent="0.2">
      <c r="BC2844" s="21" t="e" vm="1">
        <v>#REF!</v>
      </c>
      <c r="BD2844" t="e" vm="1">
        <v>#REF!</v>
      </c>
      <c r="BF2844" t="e" vm="2">
        <f t="shared" si="258"/>
        <v>#VALUE!</v>
      </c>
      <c r="BG2844" t="e" vm="2">
        <f t="shared" si="259"/>
        <v>#VALUE!</v>
      </c>
      <c r="BJ2844" s="21" t="e" vm="1">
        <v>#REF!</v>
      </c>
      <c r="BK2844" t="e" vm="1">
        <v>#REF!</v>
      </c>
      <c r="BM2844" t="e" vm="2">
        <f t="shared" si="260"/>
        <v>#VALUE!</v>
      </c>
      <c r="BN2844" t="e" vm="2">
        <f t="shared" si="261"/>
        <v>#VALUE!</v>
      </c>
    </row>
    <row r="2845" spans="55:66" x14ac:dyDescent="0.2">
      <c r="BC2845" s="21" t="e" vm="1">
        <v>#REF!</v>
      </c>
      <c r="BD2845" t="e" vm="1">
        <v>#REF!</v>
      </c>
      <c r="BF2845" t="e" vm="2">
        <f t="shared" si="258"/>
        <v>#VALUE!</v>
      </c>
      <c r="BG2845" t="e" vm="2">
        <f t="shared" si="259"/>
        <v>#VALUE!</v>
      </c>
      <c r="BJ2845" s="21" t="e" vm="1">
        <v>#REF!</v>
      </c>
      <c r="BK2845" t="e" vm="1">
        <v>#REF!</v>
      </c>
      <c r="BM2845" t="e" vm="2">
        <f t="shared" si="260"/>
        <v>#VALUE!</v>
      </c>
      <c r="BN2845" t="e" vm="2">
        <f t="shared" si="261"/>
        <v>#VALUE!</v>
      </c>
    </row>
    <row r="2846" spans="55:66" x14ac:dyDescent="0.2">
      <c r="BC2846" s="21" t="e" vm="1">
        <v>#REF!</v>
      </c>
      <c r="BD2846" t="e" vm="1">
        <v>#REF!</v>
      </c>
      <c r="BF2846" t="e" vm="2">
        <f t="shared" si="258"/>
        <v>#VALUE!</v>
      </c>
      <c r="BG2846" t="e" vm="2">
        <f t="shared" si="259"/>
        <v>#VALUE!</v>
      </c>
      <c r="BJ2846" s="21" t="e" vm="1">
        <v>#REF!</v>
      </c>
      <c r="BK2846" t="e" vm="1">
        <v>#REF!</v>
      </c>
      <c r="BM2846" t="e" vm="2">
        <f t="shared" si="260"/>
        <v>#VALUE!</v>
      </c>
      <c r="BN2846" t="e" vm="2">
        <f t="shared" si="261"/>
        <v>#VALUE!</v>
      </c>
    </row>
    <row r="2847" spans="55:66" x14ac:dyDescent="0.2">
      <c r="BC2847" s="21" t="e" vm="1">
        <v>#REF!</v>
      </c>
      <c r="BD2847" t="e" vm="1">
        <v>#REF!</v>
      </c>
      <c r="BF2847" t="e" vm="2">
        <f t="shared" si="258"/>
        <v>#VALUE!</v>
      </c>
      <c r="BG2847" t="e" vm="2">
        <f t="shared" si="259"/>
        <v>#VALUE!</v>
      </c>
      <c r="BJ2847" s="21" t="e" vm="1">
        <v>#REF!</v>
      </c>
      <c r="BK2847" t="e" vm="1">
        <v>#REF!</v>
      </c>
      <c r="BM2847" t="e" vm="2">
        <f t="shared" si="260"/>
        <v>#VALUE!</v>
      </c>
      <c r="BN2847" t="e" vm="2">
        <f t="shared" si="261"/>
        <v>#VALUE!</v>
      </c>
    </row>
    <row r="2848" spans="55:66" x14ac:dyDescent="0.2">
      <c r="BC2848" s="21" t="e" vm="1">
        <v>#REF!</v>
      </c>
      <c r="BD2848" t="e" vm="1">
        <v>#REF!</v>
      </c>
      <c r="BF2848" t="e" vm="2">
        <f t="shared" si="258"/>
        <v>#VALUE!</v>
      </c>
      <c r="BG2848" t="e" vm="2">
        <f t="shared" si="259"/>
        <v>#VALUE!</v>
      </c>
      <c r="BJ2848" s="21" t="e" vm="1">
        <v>#REF!</v>
      </c>
      <c r="BK2848" t="e" vm="1">
        <v>#REF!</v>
      </c>
      <c r="BM2848" t="e" vm="2">
        <f t="shared" si="260"/>
        <v>#VALUE!</v>
      </c>
      <c r="BN2848" t="e" vm="2">
        <f t="shared" si="261"/>
        <v>#VALUE!</v>
      </c>
    </row>
    <row r="2849" spans="55:66" x14ac:dyDescent="0.2">
      <c r="BC2849" s="21" t="e" vm="1">
        <v>#REF!</v>
      </c>
      <c r="BD2849" t="e" vm="1">
        <v>#REF!</v>
      </c>
      <c r="BF2849" t="e" vm="2">
        <f t="shared" si="258"/>
        <v>#VALUE!</v>
      </c>
      <c r="BG2849" t="e" vm="2">
        <f t="shared" si="259"/>
        <v>#VALUE!</v>
      </c>
      <c r="BJ2849" s="21" t="e" vm="1">
        <v>#REF!</v>
      </c>
      <c r="BK2849" t="e" vm="1">
        <v>#REF!</v>
      </c>
      <c r="BM2849" t="e" vm="2">
        <f t="shared" si="260"/>
        <v>#VALUE!</v>
      </c>
      <c r="BN2849" t="e" vm="2">
        <f t="shared" si="261"/>
        <v>#VALUE!</v>
      </c>
    </row>
    <row r="2850" spans="55:66" x14ac:dyDescent="0.2">
      <c r="BC2850" s="21" t="e" vm="1">
        <v>#REF!</v>
      </c>
      <c r="BD2850" t="e" vm="1">
        <v>#REF!</v>
      </c>
      <c r="BF2850" t="e" vm="2">
        <f t="shared" si="258"/>
        <v>#VALUE!</v>
      </c>
      <c r="BG2850" t="e" vm="2">
        <f t="shared" si="259"/>
        <v>#VALUE!</v>
      </c>
      <c r="BJ2850" s="21" t="e" vm="1">
        <v>#REF!</v>
      </c>
      <c r="BK2850" t="e" vm="1">
        <v>#REF!</v>
      </c>
      <c r="BM2850" t="e" vm="2">
        <f t="shared" si="260"/>
        <v>#VALUE!</v>
      </c>
      <c r="BN2850" t="e" vm="2">
        <f t="shared" si="261"/>
        <v>#VALUE!</v>
      </c>
    </row>
    <row r="2851" spans="55:66" x14ac:dyDescent="0.2">
      <c r="BC2851" s="21" t="e" vm="1">
        <v>#REF!</v>
      </c>
      <c r="BD2851" t="e" vm="1">
        <v>#REF!</v>
      </c>
      <c r="BF2851" t="e" vm="2">
        <f t="shared" si="258"/>
        <v>#VALUE!</v>
      </c>
      <c r="BG2851" t="e" vm="2">
        <f t="shared" si="259"/>
        <v>#VALUE!</v>
      </c>
      <c r="BJ2851" s="21" t="e" vm="1">
        <v>#REF!</v>
      </c>
      <c r="BK2851" t="e" vm="1">
        <v>#REF!</v>
      </c>
      <c r="BM2851" t="e" vm="2">
        <f t="shared" si="260"/>
        <v>#VALUE!</v>
      </c>
      <c r="BN2851" t="e" vm="2">
        <f t="shared" si="261"/>
        <v>#VALUE!</v>
      </c>
    </row>
    <row r="2852" spans="55:66" x14ac:dyDescent="0.2">
      <c r="BC2852" s="21" t="e" vm="1">
        <v>#REF!</v>
      </c>
      <c r="BD2852" t="e" vm="1">
        <v>#REF!</v>
      </c>
      <c r="BF2852" t="e" vm="2">
        <f t="shared" si="258"/>
        <v>#VALUE!</v>
      </c>
      <c r="BG2852" t="e" vm="2">
        <f t="shared" si="259"/>
        <v>#VALUE!</v>
      </c>
      <c r="BJ2852" s="21" t="e" vm="1">
        <v>#REF!</v>
      </c>
      <c r="BK2852" t="e" vm="1">
        <v>#REF!</v>
      </c>
      <c r="BM2852" t="e" vm="2">
        <f t="shared" si="260"/>
        <v>#VALUE!</v>
      </c>
      <c r="BN2852" t="e" vm="2">
        <f t="shared" si="261"/>
        <v>#VALUE!</v>
      </c>
    </row>
    <row r="2853" spans="55:66" x14ac:dyDescent="0.2">
      <c r="BC2853" s="21" t="e" vm="1">
        <v>#REF!</v>
      </c>
      <c r="BD2853" t="e" vm="1">
        <v>#REF!</v>
      </c>
      <c r="BF2853" t="e" vm="2">
        <f t="shared" si="258"/>
        <v>#VALUE!</v>
      </c>
      <c r="BG2853" t="e" vm="2">
        <f t="shared" si="259"/>
        <v>#VALUE!</v>
      </c>
      <c r="BJ2853" s="21" t="e" vm="1">
        <v>#REF!</v>
      </c>
      <c r="BK2853" t="e" vm="1">
        <v>#REF!</v>
      </c>
      <c r="BM2853" t="e" vm="2">
        <f t="shared" si="260"/>
        <v>#VALUE!</v>
      </c>
      <c r="BN2853" t="e" vm="2">
        <f t="shared" si="261"/>
        <v>#VALUE!</v>
      </c>
    </row>
    <row r="2854" spans="55:66" x14ac:dyDescent="0.2">
      <c r="BC2854" s="21" t="e" vm="1">
        <v>#REF!</v>
      </c>
      <c r="BD2854" t="e" vm="1">
        <v>#REF!</v>
      </c>
      <c r="BF2854" t="e" vm="2">
        <f t="shared" si="258"/>
        <v>#VALUE!</v>
      </c>
      <c r="BG2854" t="e" vm="2">
        <f t="shared" si="259"/>
        <v>#VALUE!</v>
      </c>
      <c r="BJ2854" s="21" t="e" vm="1">
        <v>#REF!</v>
      </c>
      <c r="BK2854" t="e" vm="1">
        <v>#REF!</v>
      </c>
      <c r="BM2854" t="e" vm="2">
        <f t="shared" si="260"/>
        <v>#VALUE!</v>
      </c>
      <c r="BN2854" t="e" vm="2">
        <f t="shared" si="261"/>
        <v>#VALUE!</v>
      </c>
    </row>
    <row r="2855" spans="55:66" x14ac:dyDescent="0.2">
      <c r="BC2855" s="21" t="e" vm="1">
        <v>#REF!</v>
      </c>
      <c r="BD2855" t="e" vm="1">
        <v>#REF!</v>
      </c>
      <c r="BF2855" t="e" vm="2">
        <f t="shared" si="258"/>
        <v>#VALUE!</v>
      </c>
      <c r="BG2855" t="e" vm="2">
        <f t="shared" si="259"/>
        <v>#VALUE!</v>
      </c>
      <c r="BJ2855" s="21" t="e" vm="1">
        <v>#REF!</v>
      </c>
      <c r="BK2855" t="e" vm="1">
        <v>#REF!</v>
      </c>
      <c r="BM2855" t="e" vm="2">
        <f t="shared" si="260"/>
        <v>#VALUE!</v>
      </c>
      <c r="BN2855" t="e" vm="2">
        <f t="shared" si="261"/>
        <v>#VALUE!</v>
      </c>
    </row>
    <row r="2856" spans="55:66" x14ac:dyDescent="0.2">
      <c r="BC2856" s="21" t="e" vm="1">
        <v>#REF!</v>
      </c>
      <c r="BD2856" t="e" vm="1">
        <v>#REF!</v>
      </c>
      <c r="BF2856" t="e" vm="2">
        <f t="shared" si="258"/>
        <v>#VALUE!</v>
      </c>
      <c r="BG2856" t="e" vm="2">
        <f t="shared" si="259"/>
        <v>#VALUE!</v>
      </c>
      <c r="BJ2856" s="21" t="e" vm="1">
        <v>#REF!</v>
      </c>
      <c r="BK2856" t="e" vm="1">
        <v>#REF!</v>
      </c>
      <c r="BM2856" t="e" vm="2">
        <f t="shared" si="260"/>
        <v>#VALUE!</v>
      </c>
      <c r="BN2856" t="e" vm="2">
        <f t="shared" si="261"/>
        <v>#VALUE!</v>
      </c>
    </row>
    <row r="2857" spans="55:66" x14ac:dyDescent="0.2">
      <c r="BC2857" s="21" t="e" vm="1">
        <v>#REF!</v>
      </c>
      <c r="BD2857" t="e" vm="1">
        <v>#REF!</v>
      </c>
      <c r="BF2857" t="e" vm="2">
        <f t="shared" si="258"/>
        <v>#VALUE!</v>
      </c>
      <c r="BG2857" t="e" vm="2">
        <f t="shared" si="259"/>
        <v>#VALUE!</v>
      </c>
      <c r="BJ2857" s="21" t="e" vm="1">
        <v>#REF!</v>
      </c>
      <c r="BK2857" t="e" vm="1">
        <v>#REF!</v>
      </c>
      <c r="BM2857" t="e" vm="2">
        <f t="shared" si="260"/>
        <v>#VALUE!</v>
      </c>
      <c r="BN2857" t="e" vm="2">
        <f t="shared" si="261"/>
        <v>#VALUE!</v>
      </c>
    </row>
    <row r="2858" spans="55:66" x14ac:dyDescent="0.2">
      <c r="BC2858" s="21" t="e" vm="1">
        <v>#REF!</v>
      </c>
      <c r="BD2858" t="e" vm="1">
        <v>#REF!</v>
      </c>
      <c r="BF2858" t="e" vm="2">
        <f t="shared" si="258"/>
        <v>#VALUE!</v>
      </c>
      <c r="BG2858" t="e" vm="2">
        <f t="shared" si="259"/>
        <v>#VALUE!</v>
      </c>
      <c r="BJ2858" s="21" t="e" vm="1">
        <v>#REF!</v>
      </c>
      <c r="BK2858" t="e" vm="1">
        <v>#REF!</v>
      </c>
      <c r="BM2858" t="e" vm="2">
        <f t="shared" si="260"/>
        <v>#VALUE!</v>
      </c>
      <c r="BN2858" t="e" vm="2">
        <f t="shared" si="261"/>
        <v>#VALUE!</v>
      </c>
    </row>
    <row r="2859" spans="55:66" x14ac:dyDescent="0.2">
      <c r="BC2859" s="21" t="e" vm="1">
        <v>#REF!</v>
      </c>
      <c r="BD2859" t="e" vm="1">
        <v>#REF!</v>
      </c>
      <c r="BF2859" t="e" vm="2">
        <f t="shared" si="258"/>
        <v>#VALUE!</v>
      </c>
      <c r="BG2859" t="e" vm="2">
        <f t="shared" si="259"/>
        <v>#VALUE!</v>
      </c>
      <c r="BJ2859" s="21" t="e" vm="1">
        <v>#REF!</v>
      </c>
      <c r="BK2859" t="e" vm="1">
        <v>#REF!</v>
      </c>
      <c r="BM2859" t="e" vm="2">
        <f t="shared" si="260"/>
        <v>#VALUE!</v>
      </c>
      <c r="BN2859" t="e" vm="2">
        <f t="shared" si="261"/>
        <v>#VALUE!</v>
      </c>
    </row>
    <row r="2860" spans="55:66" x14ac:dyDescent="0.2">
      <c r="BC2860" s="21" t="e" vm="1">
        <v>#REF!</v>
      </c>
      <c r="BD2860" t="e" vm="1">
        <v>#REF!</v>
      </c>
      <c r="BF2860" t="e" vm="2">
        <f t="shared" si="258"/>
        <v>#VALUE!</v>
      </c>
      <c r="BG2860" t="e" vm="2">
        <f t="shared" si="259"/>
        <v>#VALUE!</v>
      </c>
      <c r="BJ2860" s="21" t="e" vm="1">
        <v>#REF!</v>
      </c>
      <c r="BK2860" t="e" vm="1">
        <v>#REF!</v>
      </c>
      <c r="BM2860" t="e" vm="2">
        <f t="shared" si="260"/>
        <v>#VALUE!</v>
      </c>
      <c r="BN2860" t="e" vm="2">
        <f t="shared" si="261"/>
        <v>#VALUE!</v>
      </c>
    </row>
    <row r="2861" spans="55:66" x14ac:dyDescent="0.2">
      <c r="BC2861" s="21" t="e" vm="1">
        <v>#REF!</v>
      </c>
      <c r="BD2861" t="e" vm="1">
        <v>#REF!</v>
      </c>
      <c r="BF2861" t="e" vm="2">
        <f t="shared" si="258"/>
        <v>#VALUE!</v>
      </c>
      <c r="BG2861" t="e" vm="2">
        <f t="shared" si="259"/>
        <v>#VALUE!</v>
      </c>
      <c r="BJ2861" s="21" t="e" vm="1">
        <v>#REF!</v>
      </c>
      <c r="BK2861" t="e" vm="1">
        <v>#REF!</v>
      </c>
      <c r="BM2861" t="e" vm="2">
        <f t="shared" si="260"/>
        <v>#VALUE!</v>
      </c>
      <c r="BN2861" t="e" vm="2">
        <f t="shared" si="261"/>
        <v>#VALUE!</v>
      </c>
    </row>
    <row r="2862" spans="55:66" x14ac:dyDescent="0.2">
      <c r="BC2862" s="21" t="e" vm="1">
        <v>#REF!</v>
      </c>
      <c r="BD2862" t="e" vm="1">
        <v>#REF!</v>
      </c>
      <c r="BF2862" t="e" vm="2">
        <f t="shared" si="258"/>
        <v>#VALUE!</v>
      </c>
      <c r="BG2862" t="e" vm="2">
        <f t="shared" si="259"/>
        <v>#VALUE!</v>
      </c>
      <c r="BJ2862" s="21" t="e" vm="1">
        <v>#REF!</v>
      </c>
      <c r="BK2862" t="e" vm="1">
        <v>#REF!</v>
      </c>
      <c r="BM2862" t="e" vm="2">
        <f t="shared" si="260"/>
        <v>#VALUE!</v>
      </c>
      <c r="BN2862" t="e" vm="2">
        <f t="shared" si="261"/>
        <v>#VALUE!</v>
      </c>
    </row>
    <row r="2863" spans="55:66" x14ac:dyDescent="0.2">
      <c r="BC2863" s="21" t="e" vm="1">
        <v>#REF!</v>
      </c>
      <c r="BD2863" t="e" vm="1">
        <v>#REF!</v>
      </c>
      <c r="BF2863" t="e" vm="2">
        <f t="shared" si="258"/>
        <v>#VALUE!</v>
      </c>
      <c r="BG2863" t="e" vm="2">
        <f t="shared" si="259"/>
        <v>#VALUE!</v>
      </c>
      <c r="BJ2863" s="21" t="e" vm="1">
        <v>#REF!</v>
      </c>
      <c r="BK2863" t="e" vm="1">
        <v>#REF!</v>
      </c>
      <c r="BM2863" t="e" vm="2">
        <f t="shared" si="260"/>
        <v>#VALUE!</v>
      </c>
      <c r="BN2863" t="e" vm="2">
        <f t="shared" si="261"/>
        <v>#VALUE!</v>
      </c>
    </row>
    <row r="2864" spans="55:66" x14ac:dyDescent="0.2">
      <c r="BC2864" s="21" t="e" vm="1">
        <v>#REF!</v>
      </c>
      <c r="BD2864" t="e" vm="1">
        <v>#REF!</v>
      </c>
      <c r="BF2864" t="e" vm="2">
        <f t="shared" si="258"/>
        <v>#VALUE!</v>
      </c>
      <c r="BG2864" t="e" vm="2">
        <f t="shared" si="259"/>
        <v>#VALUE!</v>
      </c>
      <c r="BJ2864" s="21" t="e" vm="1">
        <v>#REF!</v>
      </c>
      <c r="BK2864" t="e" vm="1">
        <v>#REF!</v>
      </c>
      <c r="BM2864" t="e" vm="2">
        <f t="shared" si="260"/>
        <v>#VALUE!</v>
      </c>
      <c r="BN2864" t="e" vm="2">
        <f t="shared" si="261"/>
        <v>#VALUE!</v>
      </c>
    </row>
    <row r="2865" spans="55:66" x14ac:dyDescent="0.2">
      <c r="BC2865" s="21" t="e" vm="1">
        <v>#REF!</v>
      </c>
      <c r="BD2865" t="e" vm="1">
        <v>#REF!</v>
      </c>
      <c r="BF2865" t="e" vm="2">
        <f t="shared" si="258"/>
        <v>#VALUE!</v>
      </c>
      <c r="BG2865" t="e" vm="2">
        <f t="shared" si="259"/>
        <v>#VALUE!</v>
      </c>
      <c r="BJ2865" s="21" t="e" vm="1">
        <v>#REF!</v>
      </c>
      <c r="BK2865" t="e" vm="1">
        <v>#REF!</v>
      </c>
      <c r="BM2865" t="e" vm="2">
        <f t="shared" si="260"/>
        <v>#VALUE!</v>
      </c>
      <c r="BN2865" t="e" vm="2">
        <f t="shared" si="261"/>
        <v>#VALUE!</v>
      </c>
    </row>
    <row r="2866" spans="55:66" x14ac:dyDescent="0.2">
      <c r="BC2866" s="21" t="e" vm="1">
        <v>#REF!</v>
      </c>
      <c r="BD2866" t="e" vm="1">
        <v>#REF!</v>
      </c>
      <c r="BF2866" t="e" vm="2">
        <f t="shared" si="258"/>
        <v>#VALUE!</v>
      </c>
      <c r="BG2866" t="e" vm="2">
        <f t="shared" si="259"/>
        <v>#VALUE!</v>
      </c>
      <c r="BJ2866" s="21" t="e" vm="1">
        <v>#REF!</v>
      </c>
      <c r="BK2866" t="e" vm="1">
        <v>#REF!</v>
      </c>
      <c r="BM2866" t="e" vm="2">
        <f t="shared" si="260"/>
        <v>#VALUE!</v>
      </c>
      <c r="BN2866" t="e" vm="2">
        <f t="shared" si="261"/>
        <v>#VALUE!</v>
      </c>
    </row>
    <row r="2867" spans="55:66" x14ac:dyDescent="0.2">
      <c r="BC2867" s="21" t="e" vm="1">
        <v>#REF!</v>
      </c>
      <c r="BD2867" t="e" vm="1">
        <v>#REF!</v>
      </c>
      <c r="BF2867" t="e" vm="2">
        <f t="shared" si="258"/>
        <v>#VALUE!</v>
      </c>
      <c r="BG2867" t="e" vm="2">
        <f t="shared" si="259"/>
        <v>#VALUE!</v>
      </c>
      <c r="BJ2867" s="21" t="e" vm="1">
        <v>#REF!</v>
      </c>
      <c r="BK2867" t="e" vm="1">
        <v>#REF!</v>
      </c>
      <c r="BM2867" t="e" vm="2">
        <f t="shared" si="260"/>
        <v>#VALUE!</v>
      </c>
      <c r="BN2867" t="e" vm="2">
        <f t="shared" si="261"/>
        <v>#VALUE!</v>
      </c>
    </row>
    <row r="2868" spans="55:66" x14ac:dyDescent="0.2">
      <c r="BC2868" s="21" t="e" vm="1">
        <v>#REF!</v>
      </c>
      <c r="BD2868" t="e" vm="1">
        <v>#REF!</v>
      </c>
      <c r="BF2868" t="e" vm="2">
        <f t="shared" si="258"/>
        <v>#VALUE!</v>
      </c>
      <c r="BG2868" t="e" vm="2">
        <f t="shared" si="259"/>
        <v>#VALUE!</v>
      </c>
      <c r="BJ2868" s="21" t="e" vm="1">
        <v>#REF!</v>
      </c>
      <c r="BK2868" t="e" vm="1">
        <v>#REF!</v>
      </c>
      <c r="BM2868" t="e" vm="2">
        <f t="shared" si="260"/>
        <v>#VALUE!</v>
      </c>
      <c r="BN2868" t="e" vm="2">
        <f t="shared" si="261"/>
        <v>#VALUE!</v>
      </c>
    </row>
    <row r="2869" spans="55:66" x14ac:dyDescent="0.2">
      <c r="BC2869" s="21" t="e" vm="1">
        <v>#REF!</v>
      </c>
      <c r="BD2869" t="e" vm="1">
        <v>#REF!</v>
      </c>
      <c r="BF2869" t="e" vm="2">
        <f t="shared" si="258"/>
        <v>#VALUE!</v>
      </c>
      <c r="BG2869" t="e" vm="2">
        <f t="shared" si="259"/>
        <v>#VALUE!</v>
      </c>
      <c r="BJ2869" s="21" t="e" vm="1">
        <v>#REF!</v>
      </c>
      <c r="BK2869" t="e" vm="1">
        <v>#REF!</v>
      </c>
      <c r="BM2869" t="e" vm="2">
        <f t="shared" si="260"/>
        <v>#VALUE!</v>
      </c>
      <c r="BN2869" t="e" vm="2">
        <f t="shared" si="261"/>
        <v>#VALUE!</v>
      </c>
    </row>
    <row r="2870" spans="55:66" x14ac:dyDescent="0.2">
      <c r="BC2870" s="21" t="e" vm="1">
        <v>#REF!</v>
      </c>
      <c r="BD2870" t="e" vm="1">
        <v>#REF!</v>
      </c>
      <c r="BF2870" t="e" vm="2">
        <f t="shared" si="258"/>
        <v>#VALUE!</v>
      </c>
      <c r="BG2870" t="e" vm="2">
        <f t="shared" si="259"/>
        <v>#VALUE!</v>
      </c>
      <c r="BJ2870" s="21" t="e" vm="1">
        <v>#REF!</v>
      </c>
      <c r="BK2870" t="e" vm="1">
        <v>#REF!</v>
      </c>
      <c r="BM2870" t="e" vm="2">
        <f t="shared" si="260"/>
        <v>#VALUE!</v>
      </c>
      <c r="BN2870" t="e" vm="2">
        <f t="shared" si="261"/>
        <v>#VALUE!</v>
      </c>
    </row>
    <row r="2871" spans="55:66" x14ac:dyDescent="0.2">
      <c r="BC2871" s="21" t="e" vm="1">
        <v>#REF!</v>
      </c>
      <c r="BD2871" t="e" vm="1">
        <v>#REF!</v>
      </c>
      <c r="BF2871" t="e" vm="2">
        <f t="shared" si="258"/>
        <v>#VALUE!</v>
      </c>
      <c r="BG2871" t="e" vm="2">
        <f t="shared" si="259"/>
        <v>#VALUE!</v>
      </c>
      <c r="BJ2871" s="21" t="e" vm="1">
        <v>#REF!</v>
      </c>
      <c r="BK2871" t="e" vm="1">
        <v>#REF!</v>
      </c>
      <c r="BM2871" t="e" vm="2">
        <f t="shared" si="260"/>
        <v>#VALUE!</v>
      </c>
      <c r="BN2871" t="e" vm="2">
        <f t="shared" si="261"/>
        <v>#VALUE!</v>
      </c>
    </row>
    <row r="2872" spans="55:66" x14ac:dyDescent="0.2">
      <c r="BC2872" s="21" t="e" vm="1">
        <v>#REF!</v>
      </c>
      <c r="BD2872" t="e" vm="1">
        <v>#REF!</v>
      </c>
      <c r="BF2872" t="e" vm="2">
        <f t="shared" si="258"/>
        <v>#VALUE!</v>
      </c>
      <c r="BG2872" t="e" vm="2">
        <f t="shared" si="259"/>
        <v>#VALUE!</v>
      </c>
      <c r="BJ2872" s="21" t="e" vm="1">
        <v>#REF!</v>
      </c>
      <c r="BK2872" t="e" vm="1">
        <v>#REF!</v>
      </c>
      <c r="BM2872" t="e" vm="2">
        <f t="shared" si="260"/>
        <v>#VALUE!</v>
      </c>
      <c r="BN2872" t="e" vm="2">
        <f t="shared" si="261"/>
        <v>#VALUE!</v>
      </c>
    </row>
    <row r="2873" spans="55:66" x14ac:dyDescent="0.2">
      <c r="BC2873" s="21" t="e" vm="1">
        <v>#REF!</v>
      </c>
      <c r="BD2873" t="e" vm="1">
        <v>#REF!</v>
      </c>
      <c r="BF2873" t="e" vm="2">
        <f t="shared" si="258"/>
        <v>#VALUE!</v>
      </c>
      <c r="BG2873" t="e" vm="2">
        <f t="shared" si="259"/>
        <v>#VALUE!</v>
      </c>
      <c r="BJ2873" s="21" t="e" vm="1">
        <v>#REF!</v>
      </c>
      <c r="BK2873" t="e" vm="1">
        <v>#REF!</v>
      </c>
      <c r="BM2873" t="e" vm="2">
        <f t="shared" si="260"/>
        <v>#VALUE!</v>
      </c>
      <c r="BN2873" t="e" vm="2">
        <f t="shared" si="261"/>
        <v>#VALUE!</v>
      </c>
    </row>
    <row r="2874" spans="55:66" x14ac:dyDescent="0.2">
      <c r="BC2874" s="21" t="e" vm="1">
        <v>#REF!</v>
      </c>
      <c r="BD2874" t="e" vm="1">
        <v>#REF!</v>
      </c>
      <c r="BF2874" t="e" vm="2">
        <f t="shared" si="258"/>
        <v>#VALUE!</v>
      </c>
      <c r="BG2874" t="e" vm="2">
        <f t="shared" si="259"/>
        <v>#VALUE!</v>
      </c>
      <c r="BJ2874" s="21" t="e" vm="1">
        <v>#REF!</v>
      </c>
      <c r="BK2874" t="e" vm="1">
        <v>#REF!</v>
      </c>
      <c r="BM2874" t="e" vm="2">
        <f t="shared" si="260"/>
        <v>#VALUE!</v>
      </c>
      <c r="BN2874" t="e" vm="2">
        <f t="shared" si="261"/>
        <v>#VALUE!</v>
      </c>
    </row>
    <row r="2875" spans="55:66" x14ac:dyDescent="0.2">
      <c r="BC2875" s="21" t="e" vm="1">
        <v>#REF!</v>
      </c>
      <c r="BD2875" t="e" vm="1">
        <v>#REF!</v>
      </c>
      <c r="BF2875" t="e" vm="2">
        <f t="shared" si="258"/>
        <v>#VALUE!</v>
      </c>
      <c r="BG2875" t="e" vm="2">
        <f t="shared" si="259"/>
        <v>#VALUE!</v>
      </c>
      <c r="BJ2875" s="21" t="e" vm="1">
        <v>#REF!</v>
      </c>
      <c r="BK2875" t="e" vm="1">
        <v>#REF!</v>
      </c>
      <c r="BM2875" t="e" vm="2">
        <f t="shared" si="260"/>
        <v>#VALUE!</v>
      </c>
      <c r="BN2875" t="e" vm="2">
        <f t="shared" si="261"/>
        <v>#VALUE!</v>
      </c>
    </row>
    <row r="2876" spans="55:66" x14ac:dyDescent="0.2">
      <c r="BC2876" s="21" t="e" vm="1">
        <v>#REF!</v>
      </c>
      <c r="BD2876" t="e" vm="1">
        <v>#REF!</v>
      </c>
      <c r="BF2876" t="e" vm="2">
        <f t="shared" si="258"/>
        <v>#VALUE!</v>
      </c>
      <c r="BG2876" t="e" vm="2">
        <f t="shared" si="259"/>
        <v>#VALUE!</v>
      </c>
      <c r="BJ2876" s="21" t="e" vm="1">
        <v>#REF!</v>
      </c>
      <c r="BK2876" t="e" vm="1">
        <v>#REF!</v>
      </c>
      <c r="BM2876" t="e" vm="2">
        <f t="shared" si="260"/>
        <v>#VALUE!</v>
      </c>
      <c r="BN2876" t="e" vm="2">
        <f t="shared" si="261"/>
        <v>#VALUE!</v>
      </c>
    </row>
    <row r="2877" spans="55:66" x14ac:dyDescent="0.2">
      <c r="BC2877" s="21" t="e" vm="1">
        <v>#REF!</v>
      </c>
      <c r="BD2877" t="e" vm="1">
        <v>#REF!</v>
      </c>
      <c r="BF2877" t="e" vm="2">
        <f t="shared" si="258"/>
        <v>#VALUE!</v>
      </c>
      <c r="BG2877" t="e" vm="2">
        <f t="shared" si="259"/>
        <v>#VALUE!</v>
      </c>
      <c r="BJ2877" s="21" t="e" vm="1">
        <v>#REF!</v>
      </c>
      <c r="BK2877" t="e" vm="1">
        <v>#REF!</v>
      </c>
      <c r="BM2877" t="e" vm="2">
        <f t="shared" si="260"/>
        <v>#VALUE!</v>
      </c>
      <c r="BN2877" t="e" vm="2">
        <f t="shared" si="261"/>
        <v>#VALUE!</v>
      </c>
    </row>
    <row r="2878" spans="55:66" x14ac:dyDescent="0.2">
      <c r="BC2878" s="21" t="e" vm="1">
        <v>#REF!</v>
      </c>
      <c r="BD2878" t="e" vm="1">
        <v>#REF!</v>
      </c>
      <c r="BF2878" t="e" vm="2">
        <f t="shared" si="258"/>
        <v>#VALUE!</v>
      </c>
      <c r="BG2878" t="e" vm="2">
        <f t="shared" si="259"/>
        <v>#VALUE!</v>
      </c>
      <c r="BJ2878" s="21" t="e" vm="1">
        <v>#REF!</v>
      </c>
      <c r="BK2878" t="e" vm="1">
        <v>#REF!</v>
      </c>
      <c r="BM2878" t="e" vm="2">
        <f t="shared" si="260"/>
        <v>#VALUE!</v>
      </c>
      <c r="BN2878" t="e" vm="2">
        <f t="shared" si="261"/>
        <v>#VALUE!</v>
      </c>
    </row>
    <row r="2879" spans="55:66" x14ac:dyDescent="0.2">
      <c r="BC2879" s="21" t="e" vm="1">
        <v>#REF!</v>
      </c>
      <c r="BD2879" t="e" vm="1">
        <v>#REF!</v>
      </c>
      <c r="BF2879" t="e" vm="2">
        <f t="shared" si="258"/>
        <v>#VALUE!</v>
      </c>
      <c r="BG2879" t="e" vm="2">
        <f t="shared" si="259"/>
        <v>#VALUE!</v>
      </c>
      <c r="BJ2879" s="21" t="e" vm="1">
        <v>#REF!</v>
      </c>
      <c r="BK2879" t="e" vm="1">
        <v>#REF!</v>
      </c>
      <c r="BM2879" t="e" vm="2">
        <f t="shared" si="260"/>
        <v>#VALUE!</v>
      </c>
      <c r="BN2879" t="e" vm="2">
        <f t="shared" si="261"/>
        <v>#VALUE!</v>
      </c>
    </row>
    <row r="2880" spans="55:66" x14ac:dyDescent="0.2">
      <c r="BC2880" s="21" t="e" vm="1">
        <v>#REF!</v>
      </c>
      <c r="BD2880" t="e" vm="1">
        <v>#REF!</v>
      </c>
      <c r="BF2880" t="e" vm="2">
        <f t="shared" si="258"/>
        <v>#VALUE!</v>
      </c>
      <c r="BG2880" t="e" vm="2">
        <f t="shared" si="259"/>
        <v>#VALUE!</v>
      </c>
      <c r="BJ2880" s="21" t="e" vm="1">
        <v>#REF!</v>
      </c>
      <c r="BK2880" t="e" vm="1">
        <v>#REF!</v>
      </c>
      <c r="BM2880" t="e" vm="2">
        <f t="shared" si="260"/>
        <v>#VALUE!</v>
      </c>
      <c r="BN2880" t="e" vm="2">
        <f t="shared" si="261"/>
        <v>#VALUE!</v>
      </c>
    </row>
    <row r="2881" spans="55:66" x14ac:dyDescent="0.2">
      <c r="BC2881" s="21" t="e" vm="1">
        <v>#REF!</v>
      </c>
      <c r="BD2881" t="e" vm="1">
        <v>#REF!</v>
      </c>
      <c r="BF2881" t="e" vm="2">
        <f t="shared" si="258"/>
        <v>#VALUE!</v>
      </c>
      <c r="BG2881" t="e" vm="2">
        <f t="shared" si="259"/>
        <v>#VALUE!</v>
      </c>
      <c r="BJ2881" s="21" t="e" vm="1">
        <v>#REF!</v>
      </c>
      <c r="BK2881" t="e" vm="1">
        <v>#REF!</v>
      </c>
      <c r="BM2881" t="e" vm="2">
        <f t="shared" si="260"/>
        <v>#VALUE!</v>
      </c>
      <c r="BN2881" t="e" vm="2">
        <f t="shared" si="261"/>
        <v>#VALUE!</v>
      </c>
    </row>
    <row r="2882" spans="55:66" x14ac:dyDescent="0.2">
      <c r="BC2882" s="21" t="e" vm="1">
        <v>#REF!</v>
      </c>
      <c r="BD2882" t="e" vm="1">
        <v>#REF!</v>
      </c>
      <c r="BF2882" t="e" vm="2">
        <f t="shared" si="258"/>
        <v>#VALUE!</v>
      </c>
      <c r="BG2882" t="e" vm="2">
        <f t="shared" si="259"/>
        <v>#VALUE!</v>
      </c>
      <c r="BJ2882" s="21" t="e" vm="1">
        <v>#REF!</v>
      </c>
      <c r="BK2882" t="e" vm="1">
        <v>#REF!</v>
      </c>
      <c r="BM2882" t="e" vm="2">
        <f t="shared" si="260"/>
        <v>#VALUE!</v>
      </c>
      <c r="BN2882" t="e" vm="2">
        <f t="shared" si="261"/>
        <v>#VALUE!</v>
      </c>
    </row>
    <row r="2883" spans="55:66" x14ac:dyDescent="0.2">
      <c r="BC2883" s="21" t="e" vm="1">
        <v>#REF!</v>
      </c>
      <c r="BD2883" t="e" vm="1">
        <v>#REF!</v>
      </c>
      <c r="BF2883" t="e" vm="2">
        <f t="shared" ref="BF2883:BF2946" si="262">MONTH(BC2883)</f>
        <v>#VALUE!</v>
      </c>
      <c r="BG2883" t="e" vm="2">
        <f t="shared" ref="BG2883:BG2946" si="263">YEAR(BC2883)</f>
        <v>#VALUE!</v>
      </c>
      <c r="BJ2883" s="21" t="e" vm="1">
        <v>#REF!</v>
      </c>
      <c r="BK2883" t="e" vm="1">
        <v>#REF!</v>
      </c>
      <c r="BM2883" t="e" vm="2">
        <f t="shared" si="260"/>
        <v>#VALUE!</v>
      </c>
      <c r="BN2883" t="e" vm="2">
        <f t="shared" si="261"/>
        <v>#VALUE!</v>
      </c>
    </row>
    <row r="2884" spans="55:66" x14ac:dyDescent="0.2">
      <c r="BC2884" s="21" t="e" vm="1">
        <v>#REF!</v>
      </c>
      <c r="BD2884" t="e" vm="1">
        <v>#REF!</v>
      </c>
      <c r="BF2884" t="e" vm="2">
        <f t="shared" si="262"/>
        <v>#VALUE!</v>
      </c>
      <c r="BG2884" t="e" vm="2">
        <f t="shared" si="263"/>
        <v>#VALUE!</v>
      </c>
      <c r="BJ2884" s="21" t="e" vm="1">
        <v>#REF!</v>
      </c>
      <c r="BK2884" t="e" vm="1">
        <v>#REF!</v>
      </c>
      <c r="BM2884" t="e" vm="2">
        <f t="shared" ref="BM2884:BM2947" si="264">MONTH(BJ2884)</f>
        <v>#VALUE!</v>
      </c>
      <c r="BN2884" t="e" vm="2">
        <f t="shared" ref="BN2884:BN2947" si="265">YEAR(BJ2884)</f>
        <v>#VALUE!</v>
      </c>
    </row>
    <row r="2885" spans="55:66" x14ac:dyDescent="0.2">
      <c r="BC2885" s="21" t="e" vm="1">
        <v>#REF!</v>
      </c>
      <c r="BD2885" t="e" vm="1">
        <v>#REF!</v>
      </c>
      <c r="BF2885" t="e" vm="2">
        <f t="shared" si="262"/>
        <v>#VALUE!</v>
      </c>
      <c r="BG2885" t="e" vm="2">
        <f t="shared" si="263"/>
        <v>#VALUE!</v>
      </c>
      <c r="BJ2885" s="21" t="e" vm="1">
        <v>#REF!</v>
      </c>
      <c r="BK2885" t="e" vm="1">
        <v>#REF!</v>
      </c>
      <c r="BM2885" t="e" vm="2">
        <f t="shared" si="264"/>
        <v>#VALUE!</v>
      </c>
      <c r="BN2885" t="e" vm="2">
        <f t="shared" si="265"/>
        <v>#VALUE!</v>
      </c>
    </row>
    <row r="2886" spans="55:66" x14ac:dyDescent="0.2">
      <c r="BC2886" s="21" t="e" vm="1">
        <v>#REF!</v>
      </c>
      <c r="BD2886" t="e" vm="1">
        <v>#REF!</v>
      </c>
      <c r="BF2886" t="e" vm="2">
        <f t="shared" si="262"/>
        <v>#VALUE!</v>
      </c>
      <c r="BG2886" t="e" vm="2">
        <f t="shared" si="263"/>
        <v>#VALUE!</v>
      </c>
      <c r="BJ2886" s="21" t="e" vm="1">
        <v>#REF!</v>
      </c>
      <c r="BK2886" t="e" vm="1">
        <v>#REF!</v>
      </c>
      <c r="BM2886" t="e" vm="2">
        <f t="shared" si="264"/>
        <v>#VALUE!</v>
      </c>
      <c r="BN2886" t="e" vm="2">
        <f t="shared" si="265"/>
        <v>#VALUE!</v>
      </c>
    </row>
    <row r="2887" spans="55:66" x14ac:dyDescent="0.2">
      <c r="BC2887" s="21" t="e" vm="1">
        <v>#REF!</v>
      </c>
      <c r="BD2887" t="e" vm="1">
        <v>#REF!</v>
      </c>
      <c r="BF2887" t="e" vm="2">
        <f t="shared" si="262"/>
        <v>#VALUE!</v>
      </c>
      <c r="BG2887" t="e" vm="2">
        <f t="shared" si="263"/>
        <v>#VALUE!</v>
      </c>
      <c r="BJ2887" s="21" t="e" vm="1">
        <v>#REF!</v>
      </c>
      <c r="BK2887" t="e" vm="1">
        <v>#REF!</v>
      </c>
      <c r="BM2887" t="e" vm="2">
        <f t="shared" si="264"/>
        <v>#VALUE!</v>
      </c>
      <c r="BN2887" t="e" vm="2">
        <f t="shared" si="265"/>
        <v>#VALUE!</v>
      </c>
    </row>
    <row r="2888" spans="55:66" x14ac:dyDescent="0.2">
      <c r="BC2888" s="21" t="e" vm="1">
        <v>#REF!</v>
      </c>
      <c r="BD2888" t="e" vm="1">
        <v>#REF!</v>
      </c>
      <c r="BF2888" t="e" vm="2">
        <f t="shared" si="262"/>
        <v>#VALUE!</v>
      </c>
      <c r="BG2888" t="e" vm="2">
        <f t="shared" si="263"/>
        <v>#VALUE!</v>
      </c>
      <c r="BJ2888" s="21" t="e" vm="1">
        <v>#REF!</v>
      </c>
      <c r="BK2888" t="e" vm="1">
        <v>#REF!</v>
      </c>
      <c r="BM2888" t="e" vm="2">
        <f t="shared" si="264"/>
        <v>#VALUE!</v>
      </c>
      <c r="BN2888" t="e" vm="2">
        <f t="shared" si="265"/>
        <v>#VALUE!</v>
      </c>
    </row>
    <row r="2889" spans="55:66" x14ac:dyDescent="0.2">
      <c r="BC2889" s="21" t="e" vm="1">
        <v>#REF!</v>
      </c>
      <c r="BD2889" t="e" vm="1">
        <v>#REF!</v>
      </c>
      <c r="BF2889" t="e" vm="2">
        <f t="shared" si="262"/>
        <v>#VALUE!</v>
      </c>
      <c r="BG2889" t="e" vm="2">
        <f t="shared" si="263"/>
        <v>#VALUE!</v>
      </c>
      <c r="BJ2889" s="21" t="e" vm="1">
        <v>#REF!</v>
      </c>
      <c r="BK2889" t="e" vm="1">
        <v>#REF!</v>
      </c>
      <c r="BM2889" t="e" vm="2">
        <f t="shared" si="264"/>
        <v>#VALUE!</v>
      </c>
      <c r="BN2889" t="e" vm="2">
        <f t="shared" si="265"/>
        <v>#VALUE!</v>
      </c>
    </row>
    <row r="2890" spans="55:66" x14ac:dyDescent="0.2">
      <c r="BC2890" s="21" t="e" vm="1">
        <v>#REF!</v>
      </c>
      <c r="BD2890" t="e" vm="1">
        <v>#REF!</v>
      </c>
      <c r="BF2890" t="e" vm="2">
        <f t="shared" si="262"/>
        <v>#VALUE!</v>
      </c>
      <c r="BG2890" t="e" vm="2">
        <f t="shared" si="263"/>
        <v>#VALUE!</v>
      </c>
      <c r="BJ2890" s="21" t="e" vm="1">
        <v>#REF!</v>
      </c>
      <c r="BK2890" t="e" vm="1">
        <v>#REF!</v>
      </c>
      <c r="BM2890" t="e" vm="2">
        <f t="shared" si="264"/>
        <v>#VALUE!</v>
      </c>
      <c r="BN2890" t="e" vm="2">
        <f t="shared" si="265"/>
        <v>#VALUE!</v>
      </c>
    </row>
    <row r="2891" spans="55:66" x14ac:dyDescent="0.2">
      <c r="BC2891" s="21" t="e" vm="1">
        <v>#REF!</v>
      </c>
      <c r="BD2891" t="e" vm="1">
        <v>#REF!</v>
      </c>
      <c r="BF2891" t="e" vm="2">
        <f t="shared" si="262"/>
        <v>#VALUE!</v>
      </c>
      <c r="BG2891" t="e" vm="2">
        <f t="shared" si="263"/>
        <v>#VALUE!</v>
      </c>
      <c r="BJ2891" s="21" t="e" vm="1">
        <v>#REF!</v>
      </c>
      <c r="BK2891" t="e" vm="1">
        <v>#REF!</v>
      </c>
      <c r="BM2891" t="e" vm="2">
        <f t="shared" si="264"/>
        <v>#VALUE!</v>
      </c>
      <c r="BN2891" t="e" vm="2">
        <f t="shared" si="265"/>
        <v>#VALUE!</v>
      </c>
    </row>
    <row r="2892" spans="55:66" x14ac:dyDescent="0.2">
      <c r="BC2892" s="21" t="e" vm="1">
        <v>#REF!</v>
      </c>
      <c r="BD2892" t="e" vm="1">
        <v>#REF!</v>
      </c>
      <c r="BF2892" t="e" vm="2">
        <f t="shared" si="262"/>
        <v>#VALUE!</v>
      </c>
      <c r="BG2892" t="e" vm="2">
        <f t="shared" si="263"/>
        <v>#VALUE!</v>
      </c>
      <c r="BJ2892" s="21" t="e" vm="1">
        <v>#REF!</v>
      </c>
      <c r="BK2892" t="e" vm="1">
        <v>#REF!</v>
      </c>
      <c r="BM2892" t="e" vm="2">
        <f t="shared" si="264"/>
        <v>#VALUE!</v>
      </c>
      <c r="BN2892" t="e" vm="2">
        <f t="shared" si="265"/>
        <v>#VALUE!</v>
      </c>
    </row>
    <row r="2893" spans="55:66" x14ac:dyDescent="0.2">
      <c r="BC2893" s="21" t="e" vm="1">
        <v>#REF!</v>
      </c>
      <c r="BD2893" t="e" vm="1">
        <v>#REF!</v>
      </c>
      <c r="BF2893" t="e" vm="2">
        <f t="shared" si="262"/>
        <v>#VALUE!</v>
      </c>
      <c r="BG2893" t="e" vm="2">
        <f t="shared" si="263"/>
        <v>#VALUE!</v>
      </c>
      <c r="BJ2893" s="21" t="e" vm="1">
        <v>#REF!</v>
      </c>
      <c r="BK2893" t="e" vm="1">
        <v>#REF!</v>
      </c>
      <c r="BM2893" t="e" vm="2">
        <f t="shared" si="264"/>
        <v>#VALUE!</v>
      </c>
      <c r="BN2893" t="e" vm="2">
        <f t="shared" si="265"/>
        <v>#VALUE!</v>
      </c>
    </row>
    <row r="2894" spans="55:66" x14ac:dyDescent="0.2">
      <c r="BC2894" s="21" t="e" vm="1">
        <v>#REF!</v>
      </c>
      <c r="BD2894" t="e" vm="1">
        <v>#REF!</v>
      </c>
      <c r="BF2894" t="e" vm="2">
        <f t="shared" si="262"/>
        <v>#VALUE!</v>
      </c>
      <c r="BG2894" t="e" vm="2">
        <f t="shared" si="263"/>
        <v>#VALUE!</v>
      </c>
      <c r="BJ2894" s="21" t="e" vm="1">
        <v>#REF!</v>
      </c>
      <c r="BK2894" t="e" vm="1">
        <v>#REF!</v>
      </c>
      <c r="BM2894" t="e" vm="2">
        <f t="shared" si="264"/>
        <v>#VALUE!</v>
      </c>
      <c r="BN2894" t="e" vm="2">
        <f t="shared" si="265"/>
        <v>#VALUE!</v>
      </c>
    </row>
    <row r="2895" spans="55:66" x14ac:dyDescent="0.2">
      <c r="BC2895" s="21" t="e" vm="1">
        <v>#REF!</v>
      </c>
      <c r="BD2895" t="e" vm="1">
        <v>#REF!</v>
      </c>
      <c r="BF2895" t="e" vm="2">
        <f t="shared" si="262"/>
        <v>#VALUE!</v>
      </c>
      <c r="BG2895" t="e" vm="2">
        <f t="shared" si="263"/>
        <v>#VALUE!</v>
      </c>
      <c r="BJ2895" s="21" t="e" vm="1">
        <v>#REF!</v>
      </c>
      <c r="BK2895" t="e" vm="1">
        <v>#REF!</v>
      </c>
      <c r="BM2895" t="e" vm="2">
        <f t="shared" si="264"/>
        <v>#VALUE!</v>
      </c>
      <c r="BN2895" t="e" vm="2">
        <f t="shared" si="265"/>
        <v>#VALUE!</v>
      </c>
    </row>
    <row r="2896" spans="55:66" x14ac:dyDescent="0.2">
      <c r="BC2896" s="21" t="e" vm="1">
        <v>#REF!</v>
      </c>
      <c r="BD2896" t="e" vm="1">
        <v>#REF!</v>
      </c>
      <c r="BF2896" t="e" vm="2">
        <f t="shared" si="262"/>
        <v>#VALUE!</v>
      </c>
      <c r="BG2896" t="e" vm="2">
        <f t="shared" si="263"/>
        <v>#VALUE!</v>
      </c>
      <c r="BJ2896" s="21" t="e" vm="1">
        <v>#REF!</v>
      </c>
      <c r="BK2896" t="e" vm="1">
        <v>#REF!</v>
      </c>
      <c r="BM2896" t="e" vm="2">
        <f t="shared" si="264"/>
        <v>#VALUE!</v>
      </c>
      <c r="BN2896" t="e" vm="2">
        <f t="shared" si="265"/>
        <v>#VALUE!</v>
      </c>
    </row>
    <row r="2897" spans="55:66" x14ac:dyDescent="0.2">
      <c r="BC2897" s="21" t="e" vm="1">
        <v>#REF!</v>
      </c>
      <c r="BD2897" t="e" vm="1">
        <v>#REF!</v>
      </c>
      <c r="BF2897" t="e" vm="2">
        <f t="shared" si="262"/>
        <v>#VALUE!</v>
      </c>
      <c r="BG2897" t="e" vm="2">
        <f t="shared" si="263"/>
        <v>#VALUE!</v>
      </c>
      <c r="BJ2897" s="21" t="e" vm="1">
        <v>#REF!</v>
      </c>
      <c r="BK2897" t="e" vm="1">
        <v>#REF!</v>
      </c>
      <c r="BM2897" t="e" vm="2">
        <f t="shared" si="264"/>
        <v>#VALUE!</v>
      </c>
      <c r="BN2897" t="e" vm="2">
        <f t="shared" si="265"/>
        <v>#VALUE!</v>
      </c>
    </row>
    <row r="2898" spans="55:66" x14ac:dyDescent="0.2">
      <c r="BC2898" s="21" t="e" vm="1">
        <v>#REF!</v>
      </c>
      <c r="BD2898" t="e" vm="1">
        <v>#REF!</v>
      </c>
      <c r="BF2898" t="e" vm="2">
        <f t="shared" si="262"/>
        <v>#VALUE!</v>
      </c>
      <c r="BG2898" t="e" vm="2">
        <f t="shared" si="263"/>
        <v>#VALUE!</v>
      </c>
      <c r="BJ2898" s="21" t="e" vm="1">
        <v>#REF!</v>
      </c>
      <c r="BK2898" t="e" vm="1">
        <v>#REF!</v>
      </c>
      <c r="BM2898" t="e" vm="2">
        <f t="shared" si="264"/>
        <v>#VALUE!</v>
      </c>
      <c r="BN2898" t="e" vm="2">
        <f t="shared" si="265"/>
        <v>#VALUE!</v>
      </c>
    </row>
    <row r="2899" spans="55:66" x14ac:dyDescent="0.2">
      <c r="BC2899" s="21" t="e" vm="1">
        <v>#REF!</v>
      </c>
      <c r="BD2899" t="e" vm="1">
        <v>#REF!</v>
      </c>
      <c r="BF2899" t="e" vm="2">
        <f t="shared" si="262"/>
        <v>#VALUE!</v>
      </c>
      <c r="BG2899" t="e" vm="2">
        <f t="shared" si="263"/>
        <v>#VALUE!</v>
      </c>
      <c r="BJ2899" s="21" t="e" vm="1">
        <v>#REF!</v>
      </c>
      <c r="BK2899" t="e" vm="1">
        <v>#REF!</v>
      </c>
      <c r="BM2899" t="e" vm="2">
        <f t="shared" si="264"/>
        <v>#VALUE!</v>
      </c>
      <c r="BN2899" t="e" vm="2">
        <f t="shared" si="265"/>
        <v>#VALUE!</v>
      </c>
    </row>
    <row r="2900" spans="55:66" x14ac:dyDescent="0.2">
      <c r="BC2900" s="21" t="e" vm="1">
        <v>#REF!</v>
      </c>
      <c r="BD2900" t="e" vm="1">
        <v>#REF!</v>
      </c>
      <c r="BF2900" t="e" vm="2">
        <f t="shared" si="262"/>
        <v>#VALUE!</v>
      </c>
      <c r="BG2900" t="e" vm="2">
        <f t="shared" si="263"/>
        <v>#VALUE!</v>
      </c>
      <c r="BJ2900" s="21" t="e" vm="1">
        <v>#REF!</v>
      </c>
      <c r="BK2900" t="e" vm="1">
        <v>#REF!</v>
      </c>
      <c r="BM2900" t="e" vm="2">
        <f t="shared" si="264"/>
        <v>#VALUE!</v>
      </c>
      <c r="BN2900" t="e" vm="2">
        <f t="shared" si="265"/>
        <v>#VALUE!</v>
      </c>
    </row>
    <row r="2901" spans="55:66" x14ac:dyDescent="0.2">
      <c r="BC2901" s="21" t="e" vm="1">
        <v>#REF!</v>
      </c>
      <c r="BD2901" t="e" vm="1">
        <v>#REF!</v>
      </c>
      <c r="BF2901" t="e" vm="2">
        <f t="shared" si="262"/>
        <v>#VALUE!</v>
      </c>
      <c r="BG2901" t="e" vm="2">
        <f t="shared" si="263"/>
        <v>#VALUE!</v>
      </c>
      <c r="BJ2901" s="21" t="e" vm="1">
        <v>#REF!</v>
      </c>
      <c r="BK2901" t="e" vm="1">
        <v>#REF!</v>
      </c>
      <c r="BM2901" t="e" vm="2">
        <f t="shared" si="264"/>
        <v>#VALUE!</v>
      </c>
      <c r="BN2901" t="e" vm="2">
        <f t="shared" si="265"/>
        <v>#VALUE!</v>
      </c>
    </row>
    <row r="2902" spans="55:66" x14ac:dyDescent="0.2">
      <c r="BC2902" s="21" t="e" vm="1">
        <v>#REF!</v>
      </c>
      <c r="BD2902" t="e" vm="1">
        <v>#REF!</v>
      </c>
      <c r="BF2902" t="e" vm="2">
        <f t="shared" si="262"/>
        <v>#VALUE!</v>
      </c>
      <c r="BG2902" t="e" vm="2">
        <f t="shared" si="263"/>
        <v>#VALUE!</v>
      </c>
      <c r="BJ2902" s="21" t="e" vm="1">
        <v>#REF!</v>
      </c>
      <c r="BK2902" t="e" vm="1">
        <v>#REF!</v>
      </c>
      <c r="BM2902" t="e" vm="2">
        <f t="shared" si="264"/>
        <v>#VALUE!</v>
      </c>
      <c r="BN2902" t="e" vm="2">
        <f t="shared" si="265"/>
        <v>#VALUE!</v>
      </c>
    </row>
    <row r="2903" spans="55:66" x14ac:dyDescent="0.2">
      <c r="BC2903" s="21" t="e" vm="1">
        <v>#REF!</v>
      </c>
      <c r="BD2903" t="e" vm="1">
        <v>#REF!</v>
      </c>
      <c r="BF2903" t="e" vm="2">
        <f t="shared" si="262"/>
        <v>#VALUE!</v>
      </c>
      <c r="BG2903" t="e" vm="2">
        <f t="shared" si="263"/>
        <v>#VALUE!</v>
      </c>
      <c r="BJ2903" s="21" t="e" vm="1">
        <v>#REF!</v>
      </c>
      <c r="BK2903" t="e" vm="1">
        <v>#REF!</v>
      </c>
      <c r="BM2903" t="e" vm="2">
        <f t="shared" si="264"/>
        <v>#VALUE!</v>
      </c>
      <c r="BN2903" t="e" vm="2">
        <f t="shared" si="265"/>
        <v>#VALUE!</v>
      </c>
    </row>
    <row r="2904" spans="55:66" x14ac:dyDescent="0.2">
      <c r="BC2904" s="21" t="e" vm="1">
        <v>#REF!</v>
      </c>
      <c r="BD2904" t="e" vm="1">
        <v>#REF!</v>
      </c>
      <c r="BF2904" t="e" vm="2">
        <f t="shared" si="262"/>
        <v>#VALUE!</v>
      </c>
      <c r="BG2904" t="e" vm="2">
        <f t="shared" si="263"/>
        <v>#VALUE!</v>
      </c>
      <c r="BJ2904" s="21" t="e" vm="1">
        <v>#REF!</v>
      </c>
      <c r="BK2904" t="e" vm="1">
        <v>#REF!</v>
      </c>
      <c r="BM2904" t="e" vm="2">
        <f t="shared" si="264"/>
        <v>#VALUE!</v>
      </c>
      <c r="BN2904" t="e" vm="2">
        <f t="shared" si="265"/>
        <v>#VALUE!</v>
      </c>
    </row>
    <row r="2905" spans="55:66" x14ac:dyDescent="0.2">
      <c r="BC2905" s="21" t="e" vm="1">
        <v>#REF!</v>
      </c>
      <c r="BD2905" t="e" vm="1">
        <v>#REF!</v>
      </c>
      <c r="BF2905" t="e" vm="2">
        <f t="shared" si="262"/>
        <v>#VALUE!</v>
      </c>
      <c r="BG2905" t="e" vm="2">
        <f t="shared" si="263"/>
        <v>#VALUE!</v>
      </c>
      <c r="BJ2905" s="21" t="e" vm="1">
        <v>#REF!</v>
      </c>
      <c r="BK2905" t="e" vm="1">
        <v>#REF!</v>
      </c>
      <c r="BM2905" t="e" vm="2">
        <f t="shared" si="264"/>
        <v>#VALUE!</v>
      </c>
      <c r="BN2905" t="e" vm="2">
        <f t="shared" si="265"/>
        <v>#VALUE!</v>
      </c>
    </row>
    <row r="2906" spans="55:66" x14ac:dyDescent="0.2">
      <c r="BC2906" s="21" t="e" vm="1">
        <v>#REF!</v>
      </c>
      <c r="BD2906" t="e" vm="1">
        <v>#REF!</v>
      </c>
      <c r="BF2906" t="e" vm="2">
        <f t="shared" si="262"/>
        <v>#VALUE!</v>
      </c>
      <c r="BG2906" t="e" vm="2">
        <f t="shared" si="263"/>
        <v>#VALUE!</v>
      </c>
      <c r="BJ2906" s="21" t="e" vm="1">
        <v>#REF!</v>
      </c>
      <c r="BK2906" t="e" vm="1">
        <v>#REF!</v>
      </c>
      <c r="BM2906" t="e" vm="2">
        <f t="shared" si="264"/>
        <v>#VALUE!</v>
      </c>
      <c r="BN2906" t="e" vm="2">
        <f t="shared" si="265"/>
        <v>#VALUE!</v>
      </c>
    </row>
    <row r="2907" spans="55:66" x14ac:dyDescent="0.2">
      <c r="BC2907" s="21" t="e" vm="1">
        <v>#REF!</v>
      </c>
      <c r="BD2907" t="e" vm="1">
        <v>#REF!</v>
      </c>
      <c r="BF2907" t="e" vm="2">
        <f t="shared" si="262"/>
        <v>#VALUE!</v>
      </c>
      <c r="BG2907" t="e" vm="2">
        <f t="shared" si="263"/>
        <v>#VALUE!</v>
      </c>
      <c r="BJ2907" s="21" t="e" vm="1">
        <v>#REF!</v>
      </c>
      <c r="BK2907" t="e" vm="1">
        <v>#REF!</v>
      </c>
      <c r="BM2907" t="e" vm="2">
        <f t="shared" si="264"/>
        <v>#VALUE!</v>
      </c>
      <c r="BN2907" t="e" vm="2">
        <f t="shared" si="265"/>
        <v>#VALUE!</v>
      </c>
    </row>
    <row r="2908" spans="55:66" x14ac:dyDescent="0.2">
      <c r="BC2908" s="21" t="e" vm="1">
        <v>#REF!</v>
      </c>
      <c r="BD2908" t="e" vm="1">
        <v>#REF!</v>
      </c>
      <c r="BF2908" t="e" vm="2">
        <f t="shared" si="262"/>
        <v>#VALUE!</v>
      </c>
      <c r="BG2908" t="e" vm="2">
        <f t="shared" si="263"/>
        <v>#VALUE!</v>
      </c>
      <c r="BJ2908" s="21" t="e" vm="1">
        <v>#REF!</v>
      </c>
      <c r="BK2908" t="e" vm="1">
        <v>#REF!</v>
      </c>
      <c r="BM2908" t="e" vm="2">
        <f t="shared" si="264"/>
        <v>#VALUE!</v>
      </c>
      <c r="BN2908" t="e" vm="2">
        <f t="shared" si="265"/>
        <v>#VALUE!</v>
      </c>
    </row>
    <row r="2909" spans="55:66" x14ac:dyDescent="0.2">
      <c r="BC2909" s="21" t="e" vm="1">
        <v>#REF!</v>
      </c>
      <c r="BD2909" t="e" vm="1">
        <v>#REF!</v>
      </c>
      <c r="BF2909" t="e" vm="2">
        <f t="shared" si="262"/>
        <v>#VALUE!</v>
      </c>
      <c r="BG2909" t="e" vm="2">
        <f t="shared" si="263"/>
        <v>#VALUE!</v>
      </c>
      <c r="BJ2909" s="21" t="e" vm="1">
        <v>#REF!</v>
      </c>
      <c r="BK2909" t="e" vm="1">
        <v>#REF!</v>
      </c>
      <c r="BM2909" t="e" vm="2">
        <f t="shared" si="264"/>
        <v>#VALUE!</v>
      </c>
      <c r="BN2909" t="e" vm="2">
        <f t="shared" si="265"/>
        <v>#VALUE!</v>
      </c>
    </row>
    <row r="2910" spans="55:66" x14ac:dyDescent="0.2">
      <c r="BC2910" s="21" t="e" vm="1">
        <v>#REF!</v>
      </c>
      <c r="BD2910" t="e" vm="1">
        <v>#REF!</v>
      </c>
      <c r="BF2910" t="e" vm="2">
        <f t="shared" si="262"/>
        <v>#VALUE!</v>
      </c>
      <c r="BG2910" t="e" vm="2">
        <f t="shared" si="263"/>
        <v>#VALUE!</v>
      </c>
      <c r="BJ2910" s="21" t="e" vm="1">
        <v>#REF!</v>
      </c>
      <c r="BK2910" t="e" vm="1">
        <v>#REF!</v>
      </c>
      <c r="BM2910" t="e" vm="2">
        <f t="shared" si="264"/>
        <v>#VALUE!</v>
      </c>
      <c r="BN2910" t="e" vm="2">
        <f t="shared" si="265"/>
        <v>#VALUE!</v>
      </c>
    </row>
    <row r="2911" spans="55:66" x14ac:dyDescent="0.2">
      <c r="BC2911" s="21" t="e" vm="1">
        <v>#REF!</v>
      </c>
      <c r="BD2911" t="e" vm="1">
        <v>#REF!</v>
      </c>
      <c r="BF2911" t="e" vm="2">
        <f t="shared" si="262"/>
        <v>#VALUE!</v>
      </c>
      <c r="BG2911" t="e" vm="2">
        <f t="shared" si="263"/>
        <v>#VALUE!</v>
      </c>
      <c r="BJ2911" s="21" t="e" vm="1">
        <v>#REF!</v>
      </c>
      <c r="BK2911" t="e" vm="1">
        <v>#REF!</v>
      </c>
      <c r="BM2911" t="e" vm="2">
        <f t="shared" si="264"/>
        <v>#VALUE!</v>
      </c>
      <c r="BN2911" t="e" vm="2">
        <f t="shared" si="265"/>
        <v>#VALUE!</v>
      </c>
    </row>
    <row r="2912" spans="55:66" x14ac:dyDescent="0.2">
      <c r="BC2912" s="21" t="e" vm="1">
        <v>#REF!</v>
      </c>
      <c r="BD2912" t="e" vm="1">
        <v>#REF!</v>
      </c>
      <c r="BF2912" t="e" vm="2">
        <f t="shared" si="262"/>
        <v>#VALUE!</v>
      </c>
      <c r="BG2912" t="e" vm="2">
        <f t="shared" si="263"/>
        <v>#VALUE!</v>
      </c>
      <c r="BJ2912" s="21" t="e" vm="1">
        <v>#REF!</v>
      </c>
      <c r="BK2912" t="e" vm="1">
        <v>#REF!</v>
      </c>
      <c r="BM2912" t="e" vm="2">
        <f t="shared" si="264"/>
        <v>#VALUE!</v>
      </c>
      <c r="BN2912" t="e" vm="2">
        <f t="shared" si="265"/>
        <v>#VALUE!</v>
      </c>
    </row>
    <row r="2913" spans="55:66" x14ac:dyDescent="0.2">
      <c r="BC2913" s="21" t="e" vm="1">
        <v>#REF!</v>
      </c>
      <c r="BD2913" t="e" vm="1">
        <v>#REF!</v>
      </c>
      <c r="BF2913" t="e" vm="2">
        <f t="shared" si="262"/>
        <v>#VALUE!</v>
      </c>
      <c r="BG2913" t="e" vm="2">
        <f t="shared" si="263"/>
        <v>#VALUE!</v>
      </c>
      <c r="BJ2913" s="21" t="e" vm="1">
        <v>#REF!</v>
      </c>
      <c r="BK2913" t="e" vm="1">
        <v>#REF!</v>
      </c>
      <c r="BM2913" t="e" vm="2">
        <f t="shared" si="264"/>
        <v>#VALUE!</v>
      </c>
      <c r="BN2913" t="e" vm="2">
        <f t="shared" si="265"/>
        <v>#VALUE!</v>
      </c>
    </row>
    <row r="2914" spans="55:66" x14ac:dyDescent="0.2">
      <c r="BC2914" s="21" t="e" vm="1">
        <v>#REF!</v>
      </c>
      <c r="BD2914" t="e" vm="1">
        <v>#REF!</v>
      </c>
      <c r="BF2914" t="e" vm="2">
        <f t="shared" si="262"/>
        <v>#VALUE!</v>
      </c>
      <c r="BG2914" t="e" vm="2">
        <f t="shared" si="263"/>
        <v>#VALUE!</v>
      </c>
      <c r="BJ2914" s="21" t="e" vm="1">
        <v>#REF!</v>
      </c>
      <c r="BK2914" t="e" vm="1">
        <v>#REF!</v>
      </c>
      <c r="BM2914" t="e" vm="2">
        <f t="shared" si="264"/>
        <v>#VALUE!</v>
      </c>
      <c r="BN2914" t="e" vm="2">
        <f t="shared" si="265"/>
        <v>#VALUE!</v>
      </c>
    </row>
    <row r="2915" spans="55:66" x14ac:dyDescent="0.2">
      <c r="BC2915" s="21" t="e" vm="1">
        <v>#REF!</v>
      </c>
      <c r="BD2915" t="e" vm="1">
        <v>#REF!</v>
      </c>
      <c r="BF2915" t="e" vm="2">
        <f t="shared" si="262"/>
        <v>#VALUE!</v>
      </c>
      <c r="BG2915" t="e" vm="2">
        <f t="shared" si="263"/>
        <v>#VALUE!</v>
      </c>
      <c r="BJ2915" s="21" t="e" vm="1">
        <v>#REF!</v>
      </c>
      <c r="BK2915" t="e" vm="1">
        <v>#REF!</v>
      </c>
      <c r="BM2915" t="e" vm="2">
        <f t="shared" si="264"/>
        <v>#VALUE!</v>
      </c>
      <c r="BN2915" t="e" vm="2">
        <f t="shared" si="265"/>
        <v>#VALUE!</v>
      </c>
    </row>
    <row r="2916" spans="55:66" x14ac:dyDescent="0.2">
      <c r="BC2916" s="21" t="e" vm="1">
        <v>#REF!</v>
      </c>
      <c r="BD2916" t="e" vm="1">
        <v>#REF!</v>
      </c>
      <c r="BF2916" t="e" vm="2">
        <f t="shared" si="262"/>
        <v>#VALUE!</v>
      </c>
      <c r="BG2916" t="e" vm="2">
        <f t="shared" si="263"/>
        <v>#VALUE!</v>
      </c>
      <c r="BJ2916" s="21" t="e" vm="1">
        <v>#REF!</v>
      </c>
      <c r="BK2916" t="e" vm="1">
        <v>#REF!</v>
      </c>
      <c r="BM2916" t="e" vm="2">
        <f t="shared" si="264"/>
        <v>#VALUE!</v>
      </c>
      <c r="BN2916" t="e" vm="2">
        <f t="shared" si="265"/>
        <v>#VALUE!</v>
      </c>
    </row>
    <row r="2917" spans="55:66" x14ac:dyDescent="0.2">
      <c r="BC2917" s="21" t="e" vm="1">
        <v>#REF!</v>
      </c>
      <c r="BD2917" t="e" vm="1">
        <v>#REF!</v>
      </c>
      <c r="BF2917" t="e" vm="2">
        <f t="shared" si="262"/>
        <v>#VALUE!</v>
      </c>
      <c r="BG2917" t="e" vm="2">
        <f t="shared" si="263"/>
        <v>#VALUE!</v>
      </c>
      <c r="BJ2917" s="21" t="e" vm="1">
        <v>#REF!</v>
      </c>
      <c r="BK2917" t="e" vm="1">
        <v>#REF!</v>
      </c>
      <c r="BM2917" t="e" vm="2">
        <f t="shared" si="264"/>
        <v>#VALUE!</v>
      </c>
      <c r="BN2917" t="e" vm="2">
        <f t="shared" si="265"/>
        <v>#VALUE!</v>
      </c>
    </row>
    <row r="2918" spans="55:66" x14ac:dyDescent="0.2">
      <c r="BC2918" s="21" t="e" vm="1">
        <v>#REF!</v>
      </c>
      <c r="BD2918" t="e" vm="1">
        <v>#REF!</v>
      </c>
      <c r="BF2918" t="e" vm="2">
        <f t="shared" si="262"/>
        <v>#VALUE!</v>
      </c>
      <c r="BG2918" t="e" vm="2">
        <f t="shared" si="263"/>
        <v>#VALUE!</v>
      </c>
      <c r="BJ2918" s="21" t="e" vm="1">
        <v>#REF!</v>
      </c>
      <c r="BK2918" t="e" vm="1">
        <v>#REF!</v>
      </c>
      <c r="BM2918" t="e" vm="2">
        <f t="shared" si="264"/>
        <v>#VALUE!</v>
      </c>
      <c r="BN2918" t="e" vm="2">
        <f t="shared" si="265"/>
        <v>#VALUE!</v>
      </c>
    </row>
    <row r="2919" spans="55:66" x14ac:dyDescent="0.2">
      <c r="BC2919" s="21" t="e" vm="1">
        <v>#REF!</v>
      </c>
      <c r="BD2919" t="e" vm="1">
        <v>#REF!</v>
      </c>
      <c r="BF2919" t="e" vm="2">
        <f t="shared" si="262"/>
        <v>#VALUE!</v>
      </c>
      <c r="BG2919" t="e" vm="2">
        <f t="shared" si="263"/>
        <v>#VALUE!</v>
      </c>
      <c r="BJ2919" s="21" t="e" vm="1">
        <v>#REF!</v>
      </c>
      <c r="BK2919" t="e" vm="1">
        <v>#REF!</v>
      </c>
      <c r="BM2919" t="e" vm="2">
        <f t="shared" si="264"/>
        <v>#VALUE!</v>
      </c>
      <c r="BN2919" t="e" vm="2">
        <f t="shared" si="265"/>
        <v>#VALUE!</v>
      </c>
    </row>
    <row r="2920" spans="55:66" x14ac:dyDescent="0.2">
      <c r="BC2920" s="21" t="e" vm="1">
        <v>#REF!</v>
      </c>
      <c r="BD2920" t="e" vm="1">
        <v>#REF!</v>
      </c>
      <c r="BF2920" t="e" vm="2">
        <f t="shared" si="262"/>
        <v>#VALUE!</v>
      </c>
      <c r="BG2920" t="e" vm="2">
        <f t="shared" si="263"/>
        <v>#VALUE!</v>
      </c>
      <c r="BJ2920" s="21" t="e" vm="1">
        <v>#REF!</v>
      </c>
      <c r="BK2920" t="e" vm="1">
        <v>#REF!</v>
      </c>
      <c r="BM2920" t="e" vm="2">
        <f t="shared" si="264"/>
        <v>#VALUE!</v>
      </c>
      <c r="BN2920" t="e" vm="2">
        <f t="shared" si="265"/>
        <v>#VALUE!</v>
      </c>
    </row>
    <row r="2921" spans="55:66" x14ac:dyDescent="0.2">
      <c r="BC2921" s="21" t="e" vm="1">
        <v>#REF!</v>
      </c>
      <c r="BD2921" t="e" vm="1">
        <v>#REF!</v>
      </c>
      <c r="BF2921" t="e" vm="2">
        <f t="shared" si="262"/>
        <v>#VALUE!</v>
      </c>
      <c r="BG2921" t="e" vm="2">
        <f t="shared" si="263"/>
        <v>#VALUE!</v>
      </c>
      <c r="BJ2921" s="21" t="e" vm="1">
        <v>#REF!</v>
      </c>
      <c r="BK2921" t="e" vm="1">
        <v>#REF!</v>
      </c>
      <c r="BM2921" t="e" vm="2">
        <f t="shared" si="264"/>
        <v>#VALUE!</v>
      </c>
      <c r="BN2921" t="e" vm="2">
        <f t="shared" si="265"/>
        <v>#VALUE!</v>
      </c>
    </row>
    <row r="2922" spans="55:66" x14ac:dyDescent="0.2">
      <c r="BC2922" s="21" t="e" vm="1">
        <v>#REF!</v>
      </c>
      <c r="BD2922" t="e" vm="1">
        <v>#REF!</v>
      </c>
      <c r="BF2922" t="e" vm="2">
        <f t="shared" si="262"/>
        <v>#VALUE!</v>
      </c>
      <c r="BG2922" t="e" vm="2">
        <f t="shared" si="263"/>
        <v>#VALUE!</v>
      </c>
      <c r="BJ2922" s="21" t="e" vm="1">
        <v>#REF!</v>
      </c>
      <c r="BK2922" t="e" vm="1">
        <v>#REF!</v>
      </c>
      <c r="BM2922" t="e" vm="2">
        <f t="shared" si="264"/>
        <v>#VALUE!</v>
      </c>
      <c r="BN2922" t="e" vm="2">
        <f t="shared" si="265"/>
        <v>#VALUE!</v>
      </c>
    </row>
    <row r="2923" spans="55:66" x14ac:dyDescent="0.2">
      <c r="BC2923" s="21" t="e" vm="1">
        <v>#REF!</v>
      </c>
      <c r="BD2923" t="e" vm="1">
        <v>#REF!</v>
      </c>
      <c r="BF2923" t="e" vm="2">
        <f t="shared" si="262"/>
        <v>#VALUE!</v>
      </c>
      <c r="BG2923" t="e" vm="2">
        <f t="shared" si="263"/>
        <v>#VALUE!</v>
      </c>
      <c r="BJ2923" s="21" t="e" vm="1">
        <v>#REF!</v>
      </c>
      <c r="BK2923" t="e" vm="1">
        <v>#REF!</v>
      </c>
      <c r="BM2923" t="e" vm="2">
        <f t="shared" si="264"/>
        <v>#VALUE!</v>
      </c>
      <c r="BN2923" t="e" vm="2">
        <f t="shared" si="265"/>
        <v>#VALUE!</v>
      </c>
    </row>
    <row r="2924" spans="55:66" x14ac:dyDescent="0.2">
      <c r="BC2924" s="21" t="e" vm="1">
        <v>#REF!</v>
      </c>
      <c r="BD2924" t="e" vm="1">
        <v>#REF!</v>
      </c>
      <c r="BF2924" t="e" vm="2">
        <f t="shared" si="262"/>
        <v>#VALUE!</v>
      </c>
      <c r="BG2924" t="e" vm="2">
        <f t="shared" si="263"/>
        <v>#VALUE!</v>
      </c>
      <c r="BJ2924" s="21" t="e" vm="1">
        <v>#REF!</v>
      </c>
      <c r="BK2924" t="e" vm="1">
        <v>#REF!</v>
      </c>
      <c r="BM2924" t="e" vm="2">
        <f t="shared" si="264"/>
        <v>#VALUE!</v>
      </c>
      <c r="BN2924" t="e" vm="2">
        <f t="shared" si="265"/>
        <v>#VALUE!</v>
      </c>
    </row>
    <row r="2925" spans="55:66" x14ac:dyDescent="0.2">
      <c r="BC2925" s="21" t="e" vm="1">
        <v>#REF!</v>
      </c>
      <c r="BD2925" t="e" vm="1">
        <v>#REF!</v>
      </c>
      <c r="BF2925" t="e" vm="2">
        <f t="shared" si="262"/>
        <v>#VALUE!</v>
      </c>
      <c r="BG2925" t="e" vm="2">
        <f t="shared" si="263"/>
        <v>#VALUE!</v>
      </c>
      <c r="BJ2925" s="21" t="e" vm="1">
        <v>#REF!</v>
      </c>
      <c r="BK2925" t="e" vm="1">
        <v>#REF!</v>
      </c>
      <c r="BM2925" t="e" vm="2">
        <f t="shared" si="264"/>
        <v>#VALUE!</v>
      </c>
      <c r="BN2925" t="e" vm="2">
        <f t="shared" si="265"/>
        <v>#VALUE!</v>
      </c>
    </row>
    <row r="2926" spans="55:66" x14ac:dyDescent="0.2">
      <c r="BC2926" s="21" t="e" vm="1">
        <v>#REF!</v>
      </c>
      <c r="BD2926" t="e" vm="1">
        <v>#REF!</v>
      </c>
      <c r="BF2926" t="e" vm="2">
        <f t="shared" si="262"/>
        <v>#VALUE!</v>
      </c>
      <c r="BG2926" t="e" vm="2">
        <f t="shared" si="263"/>
        <v>#VALUE!</v>
      </c>
      <c r="BJ2926" s="21" t="e" vm="1">
        <v>#REF!</v>
      </c>
      <c r="BK2926" t="e" vm="1">
        <v>#REF!</v>
      </c>
      <c r="BM2926" t="e" vm="2">
        <f t="shared" si="264"/>
        <v>#VALUE!</v>
      </c>
      <c r="BN2926" t="e" vm="2">
        <f t="shared" si="265"/>
        <v>#VALUE!</v>
      </c>
    </row>
    <row r="2927" spans="55:66" x14ac:dyDescent="0.2">
      <c r="BC2927" s="21" t="e" vm="1">
        <v>#REF!</v>
      </c>
      <c r="BD2927" t="e" vm="1">
        <v>#REF!</v>
      </c>
      <c r="BF2927" t="e" vm="2">
        <f t="shared" si="262"/>
        <v>#VALUE!</v>
      </c>
      <c r="BG2927" t="e" vm="2">
        <f t="shared" si="263"/>
        <v>#VALUE!</v>
      </c>
      <c r="BJ2927" s="21" t="e" vm="1">
        <v>#REF!</v>
      </c>
      <c r="BK2927" t="e" vm="1">
        <v>#REF!</v>
      </c>
      <c r="BM2927" t="e" vm="2">
        <f t="shared" si="264"/>
        <v>#VALUE!</v>
      </c>
      <c r="BN2927" t="e" vm="2">
        <f t="shared" si="265"/>
        <v>#VALUE!</v>
      </c>
    </row>
    <row r="2928" spans="55:66" x14ac:dyDescent="0.2">
      <c r="BC2928" s="21" t="e" vm="1">
        <v>#REF!</v>
      </c>
      <c r="BD2928" t="e" vm="1">
        <v>#REF!</v>
      </c>
      <c r="BF2928" t="e" vm="2">
        <f t="shared" si="262"/>
        <v>#VALUE!</v>
      </c>
      <c r="BG2928" t="e" vm="2">
        <f t="shared" si="263"/>
        <v>#VALUE!</v>
      </c>
      <c r="BJ2928" s="21" t="e" vm="1">
        <v>#REF!</v>
      </c>
      <c r="BK2928" t="e" vm="1">
        <v>#REF!</v>
      </c>
      <c r="BM2928" t="e" vm="2">
        <f t="shared" si="264"/>
        <v>#VALUE!</v>
      </c>
      <c r="BN2928" t="e" vm="2">
        <f t="shared" si="265"/>
        <v>#VALUE!</v>
      </c>
    </row>
    <row r="2929" spans="55:66" x14ac:dyDescent="0.2">
      <c r="BC2929" s="21" t="e" vm="1">
        <v>#REF!</v>
      </c>
      <c r="BD2929" t="e" vm="1">
        <v>#REF!</v>
      </c>
      <c r="BF2929" t="e" vm="2">
        <f t="shared" si="262"/>
        <v>#VALUE!</v>
      </c>
      <c r="BG2929" t="e" vm="2">
        <f t="shared" si="263"/>
        <v>#VALUE!</v>
      </c>
      <c r="BJ2929" s="21" t="e" vm="1">
        <v>#REF!</v>
      </c>
      <c r="BK2929" t="e" vm="1">
        <v>#REF!</v>
      </c>
      <c r="BM2929" t="e" vm="2">
        <f t="shared" si="264"/>
        <v>#VALUE!</v>
      </c>
      <c r="BN2929" t="e" vm="2">
        <f t="shared" si="265"/>
        <v>#VALUE!</v>
      </c>
    </row>
    <row r="2930" spans="55:66" x14ac:dyDescent="0.2">
      <c r="BC2930" s="21" t="e" vm="1">
        <v>#REF!</v>
      </c>
      <c r="BD2930" t="e" vm="1">
        <v>#REF!</v>
      </c>
      <c r="BF2930" t="e" vm="2">
        <f t="shared" si="262"/>
        <v>#VALUE!</v>
      </c>
      <c r="BG2930" t="e" vm="2">
        <f t="shared" si="263"/>
        <v>#VALUE!</v>
      </c>
      <c r="BJ2930" s="21" t="e" vm="1">
        <v>#REF!</v>
      </c>
      <c r="BK2930" t="e" vm="1">
        <v>#REF!</v>
      </c>
      <c r="BM2930" t="e" vm="2">
        <f t="shared" si="264"/>
        <v>#VALUE!</v>
      </c>
      <c r="BN2930" t="e" vm="2">
        <f t="shared" si="265"/>
        <v>#VALUE!</v>
      </c>
    </row>
    <row r="2931" spans="55:66" x14ac:dyDescent="0.2">
      <c r="BC2931" s="21" t="e" vm="1">
        <v>#REF!</v>
      </c>
      <c r="BD2931" t="e" vm="1">
        <v>#REF!</v>
      </c>
      <c r="BF2931" t="e" vm="2">
        <f t="shared" si="262"/>
        <v>#VALUE!</v>
      </c>
      <c r="BG2931" t="e" vm="2">
        <f t="shared" si="263"/>
        <v>#VALUE!</v>
      </c>
      <c r="BJ2931" s="21" t="e" vm="1">
        <v>#REF!</v>
      </c>
      <c r="BK2931" t="e" vm="1">
        <v>#REF!</v>
      </c>
      <c r="BM2931" t="e" vm="2">
        <f t="shared" si="264"/>
        <v>#VALUE!</v>
      </c>
      <c r="BN2931" t="e" vm="2">
        <f t="shared" si="265"/>
        <v>#VALUE!</v>
      </c>
    </row>
    <row r="2932" spans="55:66" x14ac:dyDescent="0.2">
      <c r="BC2932" s="21" t="e" vm="1">
        <v>#REF!</v>
      </c>
      <c r="BD2932" t="e" vm="1">
        <v>#REF!</v>
      </c>
      <c r="BF2932" t="e" vm="2">
        <f t="shared" si="262"/>
        <v>#VALUE!</v>
      </c>
      <c r="BG2932" t="e" vm="2">
        <f t="shared" si="263"/>
        <v>#VALUE!</v>
      </c>
      <c r="BJ2932" s="21" t="e" vm="1">
        <v>#REF!</v>
      </c>
      <c r="BK2932" t="e" vm="1">
        <v>#REF!</v>
      </c>
      <c r="BM2932" t="e" vm="2">
        <f t="shared" si="264"/>
        <v>#VALUE!</v>
      </c>
      <c r="BN2932" t="e" vm="2">
        <f t="shared" si="265"/>
        <v>#VALUE!</v>
      </c>
    </row>
    <row r="2933" spans="55:66" x14ac:dyDescent="0.2">
      <c r="BC2933" s="21" t="e" vm="1">
        <v>#REF!</v>
      </c>
      <c r="BD2933" t="e" vm="1">
        <v>#REF!</v>
      </c>
      <c r="BF2933" t="e" vm="2">
        <f t="shared" si="262"/>
        <v>#VALUE!</v>
      </c>
      <c r="BG2933" t="e" vm="2">
        <f t="shared" si="263"/>
        <v>#VALUE!</v>
      </c>
      <c r="BJ2933" s="21" t="e" vm="1">
        <v>#REF!</v>
      </c>
      <c r="BK2933" t="e" vm="1">
        <v>#REF!</v>
      </c>
      <c r="BM2933" t="e" vm="2">
        <f t="shared" si="264"/>
        <v>#VALUE!</v>
      </c>
      <c r="BN2933" t="e" vm="2">
        <f t="shared" si="265"/>
        <v>#VALUE!</v>
      </c>
    </row>
    <row r="2934" spans="55:66" x14ac:dyDescent="0.2">
      <c r="BC2934" s="21" t="e" vm="1">
        <v>#REF!</v>
      </c>
      <c r="BD2934" t="e" vm="1">
        <v>#REF!</v>
      </c>
      <c r="BF2934" t="e" vm="2">
        <f t="shared" si="262"/>
        <v>#VALUE!</v>
      </c>
      <c r="BG2934" t="e" vm="2">
        <f t="shared" si="263"/>
        <v>#VALUE!</v>
      </c>
      <c r="BJ2934" s="21" t="e" vm="1">
        <v>#REF!</v>
      </c>
      <c r="BK2934" t="e" vm="1">
        <v>#REF!</v>
      </c>
      <c r="BM2934" t="e" vm="2">
        <f t="shared" si="264"/>
        <v>#VALUE!</v>
      </c>
      <c r="BN2934" t="e" vm="2">
        <f t="shared" si="265"/>
        <v>#VALUE!</v>
      </c>
    </row>
    <row r="2935" spans="55:66" x14ac:dyDescent="0.2">
      <c r="BC2935" s="21" t="e" vm="1">
        <v>#REF!</v>
      </c>
      <c r="BD2935" t="e" vm="1">
        <v>#REF!</v>
      </c>
      <c r="BF2935" t="e" vm="2">
        <f t="shared" si="262"/>
        <v>#VALUE!</v>
      </c>
      <c r="BG2935" t="e" vm="2">
        <f t="shared" si="263"/>
        <v>#VALUE!</v>
      </c>
      <c r="BJ2935" s="21" t="e" vm="1">
        <v>#REF!</v>
      </c>
      <c r="BK2935" t="e" vm="1">
        <v>#REF!</v>
      </c>
      <c r="BM2935" t="e" vm="2">
        <f t="shared" si="264"/>
        <v>#VALUE!</v>
      </c>
      <c r="BN2935" t="e" vm="2">
        <f t="shared" si="265"/>
        <v>#VALUE!</v>
      </c>
    </row>
    <row r="2936" spans="55:66" x14ac:dyDescent="0.2">
      <c r="BC2936" s="21" t="e" vm="1">
        <v>#REF!</v>
      </c>
      <c r="BD2936" t="e" vm="1">
        <v>#REF!</v>
      </c>
      <c r="BF2936" t="e" vm="2">
        <f t="shared" si="262"/>
        <v>#VALUE!</v>
      </c>
      <c r="BG2936" t="e" vm="2">
        <f t="shared" si="263"/>
        <v>#VALUE!</v>
      </c>
      <c r="BJ2936" s="21" t="e" vm="1">
        <v>#REF!</v>
      </c>
      <c r="BK2936" t="e" vm="1">
        <v>#REF!</v>
      </c>
      <c r="BM2936" t="e" vm="2">
        <f t="shared" si="264"/>
        <v>#VALUE!</v>
      </c>
      <c r="BN2936" t="e" vm="2">
        <f t="shared" si="265"/>
        <v>#VALUE!</v>
      </c>
    </row>
    <row r="2937" spans="55:66" x14ac:dyDescent="0.2">
      <c r="BC2937" s="21" t="e" vm="1">
        <v>#REF!</v>
      </c>
      <c r="BD2937" t="e" vm="1">
        <v>#REF!</v>
      </c>
      <c r="BF2937" t="e" vm="2">
        <f t="shared" si="262"/>
        <v>#VALUE!</v>
      </c>
      <c r="BG2937" t="e" vm="2">
        <f t="shared" si="263"/>
        <v>#VALUE!</v>
      </c>
      <c r="BJ2937" s="21" t="e" vm="1">
        <v>#REF!</v>
      </c>
      <c r="BK2937" t="e" vm="1">
        <v>#REF!</v>
      </c>
      <c r="BM2937" t="e" vm="2">
        <f t="shared" si="264"/>
        <v>#VALUE!</v>
      </c>
      <c r="BN2937" t="e" vm="2">
        <f t="shared" si="265"/>
        <v>#VALUE!</v>
      </c>
    </row>
    <row r="2938" spans="55:66" x14ac:dyDescent="0.2">
      <c r="BC2938" s="21" t="e" vm="1">
        <v>#REF!</v>
      </c>
      <c r="BD2938" t="e" vm="1">
        <v>#REF!</v>
      </c>
      <c r="BF2938" t="e" vm="2">
        <f t="shared" si="262"/>
        <v>#VALUE!</v>
      </c>
      <c r="BG2938" t="e" vm="2">
        <f t="shared" si="263"/>
        <v>#VALUE!</v>
      </c>
      <c r="BJ2938" s="21" t="e" vm="1">
        <v>#REF!</v>
      </c>
      <c r="BK2938" t="e" vm="1">
        <v>#REF!</v>
      </c>
      <c r="BM2938" t="e" vm="2">
        <f t="shared" si="264"/>
        <v>#VALUE!</v>
      </c>
      <c r="BN2938" t="e" vm="2">
        <f t="shared" si="265"/>
        <v>#VALUE!</v>
      </c>
    </row>
    <row r="2939" spans="55:66" x14ac:dyDescent="0.2">
      <c r="BC2939" s="21" t="e" vm="1">
        <v>#REF!</v>
      </c>
      <c r="BD2939" t="e" vm="1">
        <v>#REF!</v>
      </c>
      <c r="BF2939" t="e" vm="2">
        <f t="shared" si="262"/>
        <v>#VALUE!</v>
      </c>
      <c r="BG2939" t="e" vm="2">
        <f t="shared" si="263"/>
        <v>#VALUE!</v>
      </c>
      <c r="BJ2939" s="21" t="e" vm="1">
        <v>#REF!</v>
      </c>
      <c r="BK2939" t="e" vm="1">
        <v>#REF!</v>
      </c>
      <c r="BM2939" t="e" vm="2">
        <f t="shared" si="264"/>
        <v>#VALUE!</v>
      </c>
      <c r="BN2939" t="e" vm="2">
        <f t="shared" si="265"/>
        <v>#VALUE!</v>
      </c>
    </row>
    <row r="2940" spans="55:66" x14ac:dyDescent="0.2">
      <c r="BC2940" s="21" t="e" vm="1">
        <v>#REF!</v>
      </c>
      <c r="BD2940" t="e" vm="1">
        <v>#REF!</v>
      </c>
      <c r="BF2940" t="e" vm="2">
        <f t="shared" si="262"/>
        <v>#VALUE!</v>
      </c>
      <c r="BG2940" t="e" vm="2">
        <f t="shared" si="263"/>
        <v>#VALUE!</v>
      </c>
      <c r="BJ2940" s="21" t="e" vm="1">
        <v>#REF!</v>
      </c>
      <c r="BK2940" t="e" vm="1">
        <v>#REF!</v>
      </c>
      <c r="BM2940" t="e" vm="2">
        <f t="shared" si="264"/>
        <v>#VALUE!</v>
      </c>
      <c r="BN2940" t="e" vm="2">
        <f t="shared" si="265"/>
        <v>#VALUE!</v>
      </c>
    </row>
    <row r="2941" spans="55:66" x14ac:dyDescent="0.2">
      <c r="BC2941" s="21" t="e" vm="1">
        <v>#REF!</v>
      </c>
      <c r="BD2941" t="e" vm="1">
        <v>#REF!</v>
      </c>
      <c r="BF2941" t="e" vm="2">
        <f t="shared" si="262"/>
        <v>#VALUE!</v>
      </c>
      <c r="BG2941" t="e" vm="2">
        <f t="shared" si="263"/>
        <v>#VALUE!</v>
      </c>
      <c r="BJ2941" s="21" t="e" vm="1">
        <v>#REF!</v>
      </c>
      <c r="BK2941" t="e" vm="1">
        <v>#REF!</v>
      </c>
      <c r="BM2941" t="e" vm="2">
        <f t="shared" si="264"/>
        <v>#VALUE!</v>
      </c>
      <c r="BN2941" t="e" vm="2">
        <f t="shared" si="265"/>
        <v>#VALUE!</v>
      </c>
    </row>
    <row r="2942" spans="55:66" x14ac:dyDescent="0.2">
      <c r="BC2942" s="21" t="e" vm="1">
        <v>#REF!</v>
      </c>
      <c r="BD2942" t="e" vm="1">
        <v>#REF!</v>
      </c>
      <c r="BF2942" t="e" vm="2">
        <f t="shared" si="262"/>
        <v>#VALUE!</v>
      </c>
      <c r="BG2942" t="e" vm="2">
        <f t="shared" si="263"/>
        <v>#VALUE!</v>
      </c>
      <c r="BJ2942" s="21" t="e" vm="1">
        <v>#REF!</v>
      </c>
      <c r="BK2942" t="e" vm="1">
        <v>#REF!</v>
      </c>
      <c r="BM2942" t="e" vm="2">
        <f t="shared" si="264"/>
        <v>#VALUE!</v>
      </c>
      <c r="BN2942" t="e" vm="2">
        <f t="shared" si="265"/>
        <v>#VALUE!</v>
      </c>
    </row>
    <row r="2943" spans="55:66" x14ac:dyDescent="0.2">
      <c r="BC2943" s="21" t="e" vm="1">
        <v>#REF!</v>
      </c>
      <c r="BD2943" t="e" vm="1">
        <v>#REF!</v>
      </c>
      <c r="BF2943" t="e" vm="2">
        <f t="shared" si="262"/>
        <v>#VALUE!</v>
      </c>
      <c r="BG2943" t="e" vm="2">
        <f t="shared" si="263"/>
        <v>#VALUE!</v>
      </c>
      <c r="BJ2943" s="21" t="e" vm="1">
        <v>#REF!</v>
      </c>
      <c r="BK2943" t="e" vm="1">
        <v>#REF!</v>
      </c>
      <c r="BM2943" t="e" vm="2">
        <f t="shared" si="264"/>
        <v>#VALUE!</v>
      </c>
      <c r="BN2943" t="e" vm="2">
        <f t="shared" si="265"/>
        <v>#VALUE!</v>
      </c>
    </row>
    <row r="2944" spans="55:66" x14ac:dyDescent="0.2">
      <c r="BC2944" s="21" t="e" vm="1">
        <v>#REF!</v>
      </c>
      <c r="BD2944" t="e" vm="1">
        <v>#REF!</v>
      </c>
      <c r="BF2944" t="e" vm="2">
        <f t="shared" si="262"/>
        <v>#VALUE!</v>
      </c>
      <c r="BG2944" t="e" vm="2">
        <f t="shared" si="263"/>
        <v>#VALUE!</v>
      </c>
      <c r="BJ2944" s="21" t="e" vm="1">
        <v>#REF!</v>
      </c>
      <c r="BK2944" t="e" vm="1">
        <v>#REF!</v>
      </c>
      <c r="BM2944" t="e" vm="2">
        <f t="shared" si="264"/>
        <v>#VALUE!</v>
      </c>
      <c r="BN2944" t="e" vm="2">
        <f t="shared" si="265"/>
        <v>#VALUE!</v>
      </c>
    </row>
    <row r="2945" spans="55:66" x14ac:dyDescent="0.2">
      <c r="BC2945" s="21" t="e" vm="1">
        <v>#REF!</v>
      </c>
      <c r="BD2945" t="e" vm="1">
        <v>#REF!</v>
      </c>
      <c r="BF2945" t="e" vm="2">
        <f t="shared" si="262"/>
        <v>#VALUE!</v>
      </c>
      <c r="BG2945" t="e" vm="2">
        <f t="shared" si="263"/>
        <v>#VALUE!</v>
      </c>
      <c r="BJ2945" s="21" t="e" vm="1">
        <v>#REF!</v>
      </c>
      <c r="BK2945" t="e" vm="1">
        <v>#REF!</v>
      </c>
      <c r="BM2945" t="e" vm="2">
        <f t="shared" si="264"/>
        <v>#VALUE!</v>
      </c>
      <c r="BN2945" t="e" vm="2">
        <f t="shared" si="265"/>
        <v>#VALUE!</v>
      </c>
    </row>
    <row r="2946" spans="55:66" x14ac:dyDescent="0.2">
      <c r="BC2946" s="21" t="e" vm="1">
        <v>#REF!</v>
      </c>
      <c r="BD2946" t="e" vm="1">
        <v>#REF!</v>
      </c>
      <c r="BF2946" t="e" vm="2">
        <f t="shared" si="262"/>
        <v>#VALUE!</v>
      </c>
      <c r="BG2946" t="e" vm="2">
        <f t="shared" si="263"/>
        <v>#VALUE!</v>
      </c>
      <c r="BJ2946" s="21" t="e" vm="1">
        <v>#REF!</v>
      </c>
      <c r="BK2946" t="e" vm="1">
        <v>#REF!</v>
      </c>
      <c r="BM2946" t="e" vm="2">
        <f t="shared" si="264"/>
        <v>#VALUE!</v>
      </c>
      <c r="BN2946" t="e" vm="2">
        <f t="shared" si="265"/>
        <v>#VALUE!</v>
      </c>
    </row>
    <row r="2947" spans="55:66" x14ac:dyDescent="0.2">
      <c r="BC2947" s="21" t="e" vm="1">
        <v>#REF!</v>
      </c>
      <c r="BD2947" t="e" vm="1">
        <v>#REF!</v>
      </c>
      <c r="BF2947" t="e" vm="2">
        <f t="shared" ref="BF2947:BF3010" si="266">MONTH(BC2947)</f>
        <v>#VALUE!</v>
      </c>
      <c r="BG2947" t="e" vm="2">
        <f t="shared" ref="BG2947:BG3010" si="267">YEAR(BC2947)</f>
        <v>#VALUE!</v>
      </c>
      <c r="BJ2947" s="21" t="e" vm="1">
        <v>#REF!</v>
      </c>
      <c r="BK2947" t="e" vm="1">
        <v>#REF!</v>
      </c>
      <c r="BM2947" t="e" vm="2">
        <f t="shared" si="264"/>
        <v>#VALUE!</v>
      </c>
      <c r="BN2947" t="e" vm="2">
        <f t="shared" si="265"/>
        <v>#VALUE!</v>
      </c>
    </row>
    <row r="2948" spans="55:66" x14ac:dyDescent="0.2">
      <c r="BC2948" s="21" t="e" vm="1">
        <v>#REF!</v>
      </c>
      <c r="BD2948" t="e" vm="1">
        <v>#REF!</v>
      </c>
      <c r="BF2948" t="e" vm="2">
        <f t="shared" si="266"/>
        <v>#VALUE!</v>
      </c>
      <c r="BG2948" t="e" vm="2">
        <f t="shared" si="267"/>
        <v>#VALUE!</v>
      </c>
      <c r="BJ2948" s="21" t="e" vm="1">
        <v>#REF!</v>
      </c>
      <c r="BK2948" t="e" vm="1">
        <v>#REF!</v>
      </c>
      <c r="BM2948" t="e" vm="2">
        <f t="shared" ref="BM2948:BM3011" si="268">MONTH(BJ2948)</f>
        <v>#VALUE!</v>
      </c>
      <c r="BN2948" t="e" vm="2">
        <f t="shared" ref="BN2948:BN3011" si="269">YEAR(BJ2948)</f>
        <v>#VALUE!</v>
      </c>
    </row>
    <row r="2949" spans="55:66" x14ac:dyDescent="0.2">
      <c r="BC2949" s="21" t="e" vm="1">
        <v>#REF!</v>
      </c>
      <c r="BD2949" t="e" vm="1">
        <v>#REF!</v>
      </c>
      <c r="BF2949" t="e" vm="2">
        <f t="shared" si="266"/>
        <v>#VALUE!</v>
      </c>
      <c r="BG2949" t="e" vm="2">
        <f t="shared" si="267"/>
        <v>#VALUE!</v>
      </c>
      <c r="BJ2949" s="21" t="e" vm="1">
        <v>#REF!</v>
      </c>
      <c r="BK2949" t="e" vm="1">
        <v>#REF!</v>
      </c>
      <c r="BM2949" t="e" vm="2">
        <f t="shared" si="268"/>
        <v>#VALUE!</v>
      </c>
      <c r="BN2949" t="e" vm="2">
        <f t="shared" si="269"/>
        <v>#VALUE!</v>
      </c>
    </row>
    <row r="2950" spans="55:66" x14ac:dyDescent="0.2">
      <c r="BC2950" s="21" t="e" vm="1">
        <v>#REF!</v>
      </c>
      <c r="BD2950" t="e" vm="1">
        <v>#REF!</v>
      </c>
      <c r="BF2950" t="e" vm="2">
        <f t="shared" si="266"/>
        <v>#VALUE!</v>
      </c>
      <c r="BG2950" t="e" vm="2">
        <f t="shared" si="267"/>
        <v>#VALUE!</v>
      </c>
      <c r="BJ2950" s="21" t="e" vm="1">
        <v>#REF!</v>
      </c>
      <c r="BK2950" t="e" vm="1">
        <v>#REF!</v>
      </c>
      <c r="BM2950" t="e" vm="2">
        <f t="shared" si="268"/>
        <v>#VALUE!</v>
      </c>
      <c r="BN2950" t="e" vm="2">
        <f t="shared" si="269"/>
        <v>#VALUE!</v>
      </c>
    </row>
    <row r="2951" spans="55:66" x14ac:dyDescent="0.2">
      <c r="BC2951" s="21" t="e" vm="1">
        <v>#REF!</v>
      </c>
      <c r="BD2951" t="e" vm="1">
        <v>#REF!</v>
      </c>
      <c r="BF2951" t="e" vm="2">
        <f t="shared" si="266"/>
        <v>#VALUE!</v>
      </c>
      <c r="BG2951" t="e" vm="2">
        <f t="shared" si="267"/>
        <v>#VALUE!</v>
      </c>
      <c r="BJ2951" s="21" t="e" vm="1">
        <v>#REF!</v>
      </c>
      <c r="BK2951" t="e" vm="1">
        <v>#REF!</v>
      </c>
      <c r="BM2951" t="e" vm="2">
        <f t="shared" si="268"/>
        <v>#VALUE!</v>
      </c>
      <c r="BN2951" t="e" vm="2">
        <f t="shared" si="269"/>
        <v>#VALUE!</v>
      </c>
    </row>
    <row r="2952" spans="55:66" x14ac:dyDescent="0.2">
      <c r="BC2952" s="21" t="e" vm="1">
        <v>#REF!</v>
      </c>
      <c r="BD2952" t="e" vm="1">
        <v>#REF!</v>
      </c>
      <c r="BF2952" t="e" vm="2">
        <f t="shared" si="266"/>
        <v>#VALUE!</v>
      </c>
      <c r="BG2952" t="e" vm="2">
        <f t="shared" si="267"/>
        <v>#VALUE!</v>
      </c>
      <c r="BJ2952" s="21" t="e" vm="1">
        <v>#REF!</v>
      </c>
      <c r="BK2952" t="e" vm="1">
        <v>#REF!</v>
      </c>
      <c r="BM2952" t="e" vm="2">
        <f t="shared" si="268"/>
        <v>#VALUE!</v>
      </c>
      <c r="BN2952" t="e" vm="2">
        <f t="shared" si="269"/>
        <v>#VALUE!</v>
      </c>
    </row>
    <row r="2953" spans="55:66" x14ac:dyDescent="0.2">
      <c r="BC2953" s="21" t="e" vm="1">
        <v>#REF!</v>
      </c>
      <c r="BD2953" t="e" vm="1">
        <v>#REF!</v>
      </c>
      <c r="BF2953" t="e" vm="2">
        <f t="shared" si="266"/>
        <v>#VALUE!</v>
      </c>
      <c r="BG2953" t="e" vm="2">
        <f t="shared" si="267"/>
        <v>#VALUE!</v>
      </c>
      <c r="BJ2953" s="21" t="e" vm="1">
        <v>#REF!</v>
      </c>
      <c r="BK2953" t="e" vm="1">
        <v>#REF!</v>
      </c>
      <c r="BM2953" t="e" vm="2">
        <f t="shared" si="268"/>
        <v>#VALUE!</v>
      </c>
      <c r="BN2953" t="e" vm="2">
        <f t="shared" si="269"/>
        <v>#VALUE!</v>
      </c>
    </row>
    <row r="2954" spans="55:66" x14ac:dyDescent="0.2">
      <c r="BC2954" s="21" t="e" vm="1">
        <v>#REF!</v>
      </c>
      <c r="BD2954" t="e" vm="1">
        <v>#REF!</v>
      </c>
      <c r="BF2954" t="e" vm="2">
        <f t="shared" si="266"/>
        <v>#VALUE!</v>
      </c>
      <c r="BG2954" t="e" vm="2">
        <f t="shared" si="267"/>
        <v>#VALUE!</v>
      </c>
      <c r="BJ2954" s="21" t="e" vm="1">
        <v>#REF!</v>
      </c>
      <c r="BK2954" t="e" vm="1">
        <v>#REF!</v>
      </c>
      <c r="BM2954" t="e" vm="2">
        <f t="shared" si="268"/>
        <v>#VALUE!</v>
      </c>
      <c r="BN2954" t="e" vm="2">
        <f t="shared" si="269"/>
        <v>#VALUE!</v>
      </c>
    </row>
    <row r="2955" spans="55:66" x14ac:dyDescent="0.2">
      <c r="BC2955" s="21" t="e" vm="1">
        <v>#REF!</v>
      </c>
      <c r="BD2955" t="e" vm="1">
        <v>#REF!</v>
      </c>
      <c r="BF2955" t="e" vm="2">
        <f t="shared" si="266"/>
        <v>#VALUE!</v>
      </c>
      <c r="BG2955" t="e" vm="2">
        <f t="shared" si="267"/>
        <v>#VALUE!</v>
      </c>
      <c r="BJ2955" s="21" t="e" vm="1">
        <v>#REF!</v>
      </c>
      <c r="BK2955" t="e" vm="1">
        <v>#REF!</v>
      </c>
      <c r="BM2955" t="e" vm="2">
        <f t="shared" si="268"/>
        <v>#VALUE!</v>
      </c>
      <c r="BN2955" t="e" vm="2">
        <f t="shared" si="269"/>
        <v>#VALUE!</v>
      </c>
    </row>
    <row r="2956" spans="55:66" x14ac:dyDescent="0.2">
      <c r="BC2956" s="21" t="e" vm="1">
        <v>#REF!</v>
      </c>
      <c r="BD2956" t="e" vm="1">
        <v>#REF!</v>
      </c>
      <c r="BF2956" t="e" vm="2">
        <f t="shared" si="266"/>
        <v>#VALUE!</v>
      </c>
      <c r="BG2956" t="e" vm="2">
        <f t="shared" si="267"/>
        <v>#VALUE!</v>
      </c>
      <c r="BJ2956" s="21" t="e" vm="1">
        <v>#REF!</v>
      </c>
      <c r="BK2956" t="e" vm="1">
        <v>#REF!</v>
      </c>
      <c r="BM2956" t="e" vm="2">
        <f t="shared" si="268"/>
        <v>#VALUE!</v>
      </c>
      <c r="BN2956" t="e" vm="2">
        <f t="shared" si="269"/>
        <v>#VALUE!</v>
      </c>
    </row>
    <row r="2957" spans="55:66" x14ac:dyDescent="0.2">
      <c r="BC2957" s="21" t="e" vm="1">
        <v>#REF!</v>
      </c>
      <c r="BD2957" t="e" vm="1">
        <v>#REF!</v>
      </c>
      <c r="BF2957" t="e" vm="2">
        <f t="shared" si="266"/>
        <v>#VALUE!</v>
      </c>
      <c r="BG2957" t="e" vm="2">
        <f t="shared" si="267"/>
        <v>#VALUE!</v>
      </c>
      <c r="BJ2957" s="21" t="e" vm="1">
        <v>#REF!</v>
      </c>
      <c r="BK2957" t="e" vm="1">
        <v>#REF!</v>
      </c>
      <c r="BM2957" t="e" vm="2">
        <f t="shared" si="268"/>
        <v>#VALUE!</v>
      </c>
      <c r="BN2957" t="e" vm="2">
        <f t="shared" si="269"/>
        <v>#VALUE!</v>
      </c>
    </row>
    <row r="2958" spans="55:66" x14ac:dyDescent="0.2">
      <c r="BC2958" s="21" t="e" vm="1">
        <v>#REF!</v>
      </c>
      <c r="BD2958" t="e" vm="1">
        <v>#REF!</v>
      </c>
      <c r="BF2958" t="e" vm="2">
        <f t="shared" si="266"/>
        <v>#VALUE!</v>
      </c>
      <c r="BG2958" t="e" vm="2">
        <f t="shared" si="267"/>
        <v>#VALUE!</v>
      </c>
      <c r="BJ2958" s="21" t="e" vm="1">
        <v>#REF!</v>
      </c>
      <c r="BK2958" t="e" vm="1">
        <v>#REF!</v>
      </c>
      <c r="BM2958" t="e" vm="2">
        <f t="shared" si="268"/>
        <v>#VALUE!</v>
      </c>
      <c r="BN2958" t="e" vm="2">
        <f t="shared" si="269"/>
        <v>#VALUE!</v>
      </c>
    </row>
    <row r="2959" spans="55:66" x14ac:dyDescent="0.2">
      <c r="BC2959" s="21" t="e" vm="1">
        <v>#REF!</v>
      </c>
      <c r="BD2959" t="e" vm="1">
        <v>#REF!</v>
      </c>
      <c r="BF2959" t="e" vm="2">
        <f t="shared" si="266"/>
        <v>#VALUE!</v>
      </c>
      <c r="BG2959" t="e" vm="2">
        <f t="shared" si="267"/>
        <v>#VALUE!</v>
      </c>
      <c r="BJ2959" s="21" t="e" vm="1">
        <v>#REF!</v>
      </c>
      <c r="BK2959" t="e" vm="1">
        <v>#REF!</v>
      </c>
      <c r="BM2959" t="e" vm="2">
        <f t="shared" si="268"/>
        <v>#VALUE!</v>
      </c>
      <c r="BN2959" t="e" vm="2">
        <f t="shared" si="269"/>
        <v>#VALUE!</v>
      </c>
    </row>
    <row r="2960" spans="55:66" x14ac:dyDescent="0.2">
      <c r="BC2960" s="21" t="e" vm="1">
        <v>#REF!</v>
      </c>
      <c r="BD2960" t="e" vm="1">
        <v>#REF!</v>
      </c>
      <c r="BF2960" t="e" vm="2">
        <f t="shared" si="266"/>
        <v>#VALUE!</v>
      </c>
      <c r="BG2960" t="e" vm="2">
        <f t="shared" si="267"/>
        <v>#VALUE!</v>
      </c>
      <c r="BJ2960" s="21" t="e" vm="1">
        <v>#REF!</v>
      </c>
      <c r="BK2960" t="e" vm="1">
        <v>#REF!</v>
      </c>
      <c r="BM2960" t="e" vm="2">
        <f t="shared" si="268"/>
        <v>#VALUE!</v>
      </c>
      <c r="BN2960" t="e" vm="2">
        <f t="shared" si="269"/>
        <v>#VALUE!</v>
      </c>
    </row>
    <row r="2961" spans="55:66" x14ac:dyDescent="0.2">
      <c r="BC2961" s="21" t="e" vm="1">
        <v>#REF!</v>
      </c>
      <c r="BD2961" t="e" vm="1">
        <v>#REF!</v>
      </c>
      <c r="BF2961" t="e" vm="2">
        <f t="shared" si="266"/>
        <v>#VALUE!</v>
      </c>
      <c r="BG2961" t="e" vm="2">
        <f t="shared" si="267"/>
        <v>#VALUE!</v>
      </c>
      <c r="BJ2961" s="21" t="e" vm="1">
        <v>#REF!</v>
      </c>
      <c r="BK2961" t="e" vm="1">
        <v>#REF!</v>
      </c>
      <c r="BM2961" t="e" vm="2">
        <f t="shared" si="268"/>
        <v>#VALUE!</v>
      </c>
      <c r="BN2961" t="e" vm="2">
        <f t="shared" si="269"/>
        <v>#VALUE!</v>
      </c>
    </row>
    <row r="2962" spans="55:66" x14ac:dyDescent="0.2">
      <c r="BC2962" s="21" t="e" vm="1">
        <v>#REF!</v>
      </c>
      <c r="BD2962" t="e" vm="1">
        <v>#REF!</v>
      </c>
      <c r="BF2962" t="e" vm="2">
        <f t="shared" si="266"/>
        <v>#VALUE!</v>
      </c>
      <c r="BG2962" t="e" vm="2">
        <f t="shared" si="267"/>
        <v>#VALUE!</v>
      </c>
      <c r="BJ2962" s="21" t="e" vm="1">
        <v>#REF!</v>
      </c>
      <c r="BK2962" t="e" vm="1">
        <v>#REF!</v>
      </c>
      <c r="BM2962" t="e" vm="2">
        <f t="shared" si="268"/>
        <v>#VALUE!</v>
      </c>
      <c r="BN2962" t="e" vm="2">
        <f t="shared" si="269"/>
        <v>#VALUE!</v>
      </c>
    </row>
    <row r="2963" spans="55:66" x14ac:dyDescent="0.2">
      <c r="BC2963" s="21" t="e" vm="1">
        <v>#REF!</v>
      </c>
      <c r="BD2963" t="e" vm="1">
        <v>#REF!</v>
      </c>
      <c r="BF2963" t="e" vm="2">
        <f t="shared" si="266"/>
        <v>#VALUE!</v>
      </c>
      <c r="BG2963" t="e" vm="2">
        <f t="shared" si="267"/>
        <v>#VALUE!</v>
      </c>
      <c r="BJ2963" s="21" t="e" vm="1">
        <v>#REF!</v>
      </c>
      <c r="BK2963" t="e" vm="1">
        <v>#REF!</v>
      </c>
      <c r="BM2963" t="e" vm="2">
        <f t="shared" si="268"/>
        <v>#VALUE!</v>
      </c>
      <c r="BN2963" t="e" vm="2">
        <f t="shared" si="269"/>
        <v>#VALUE!</v>
      </c>
    </row>
    <row r="2964" spans="55:66" x14ac:dyDescent="0.2">
      <c r="BC2964" s="21" t="e" vm="1">
        <v>#REF!</v>
      </c>
      <c r="BD2964" t="e" vm="1">
        <v>#REF!</v>
      </c>
      <c r="BF2964" t="e" vm="2">
        <f t="shared" si="266"/>
        <v>#VALUE!</v>
      </c>
      <c r="BG2964" t="e" vm="2">
        <f t="shared" si="267"/>
        <v>#VALUE!</v>
      </c>
      <c r="BJ2964" s="21" t="e" vm="1">
        <v>#REF!</v>
      </c>
      <c r="BK2964" t="e" vm="1">
        <v>#REF!</v>
      </c>
      <c r="BM2964" t="e" vm="2">
        <f t="shared" si="268"/>
        <v>#VALUE!</v>
      </c>
      <c r="BN2964" t="e" vm="2">
        <f t="shared" si="269"/>
        <v>#VALUE!</v>
      </c>
    </row>
    <row r="2965" spans="55:66" x14ac:dyDescent="0.2">
      <c r="BC2965" s="21" t="e" vm="1">
        <v>#REF!</v>
      </c>
      <c r="BD2965" t="e" vm="1">
        <v>#REF!</v>
      </c>
      <c r="BF2965" t="e" vm="2">
        <f t="shared" si="266"/>
        <v>#VALUE!</v>
      </c>
      <c r="BG2965" t="e" vm="2">
        <f t="shared" si="267"/>
        <v>#VALUE!</v>
      </c>
      <c r="BJ2965" s="21" t="e" vm="1">
        <v>#REF!</v>
      </c>
      <c r="BK2965" t="e" vm="1">
        <v>#REF!</v>
      </c>
      <c r="BM2965" t="e" vm="2">
        <f t="shared" si="268"/>
        <v>#VALUE!</v>
      </c>
      <c r="BN2965" t="e" vm="2">
        <f t="shared" si="269"/>
        <v>#VALUE!</v>
      </c>
    </row>
    <row r="2966" spans="55:66" x14ac:dyDescent="0.2">
      <c r="BC2966" s="21" t="e" vm="1">
        <v>#REF!</v>
      </c>
      <c r="BD2966" t="e" vm="1">
        <v>#REF!</v>
      </c>
      <c r="BF2966" t="e" vm="2">
        <f t="shared" si="266"/>
        <v>#VALUE!</v>
      </c>
      <c r="BG2966" t="e" vm="2">
        <f t="shared" si="267"/>
        <v>#VALUE!</v>
      </c>
      <c r="BJ2966" s="21" t="e" vm="1">
        <v>#REF!</v>
      </c>
      <c r="BK2966" t="e" vm="1">
        <v>#REF!</v>
      </c>
      <c r="BM2966" t="e" vm="2">
        <f t="shared" si="268"/>
        <v>#VALUE!</v>
      </c>
      <c r="BN2966" t="e" vm="2">
        <f t="shared" si="269"/>
        <v>#VALUE!</v>
      </c>
    </row>
    <row r="2967" spans="55:66" x14ac:dyDescent="0.2">
      <c r="BC2967" s="21" t="e" vm="1">
        <v>#REF!</v>
      </c>
      <c r="BD2967" t="e" vm="1">
        <v>#REF!</v>
      </c>
      <c r="BF2967" t="e" vm="2">
        <f t="shared" si="266"/>
        <v>#VALUE!</v>
      </c>
      <c r="BG2967" t="e" vm="2">
        <f t="shared" si="267"/>
        <v>#VALUE!</v>
      </c>
      <c r="BJ2967" s="21" t="e" vm="1">
        <v>#REF!</v>
      </c>
      <c r="BK2967" t="e" vm="1">
        <v>#REF!</v>
      </c>
      <c r="BM2967" t="e" vm="2">
        <f t="shared" si="268"/>
        <v>#VALUE!</v>
      </c>
      <c r="BN2967" t="e" vm="2">
        <f t="shared" si="269"/>
        <v>#VALUE!</v>
      </c>
    </row>
    <row r="2968" spans="55:66" x14ac:dyDescent="0.2">
      <c r="BC2968" s="21" t="e" vm="1">
        <v>#REF!</v>
      </c>
      <c r="BD2968" t="e" vm="1">
        <v>#REF!</v>
      </c>
      <c r="BF2968" t="e" vm="2">
        <f t="shared" si="266"/>
        <v>#VALUE!</v>
      </c>
      <c r="BG2968" t="e" vm="2">
        <f t="shared" si="267"/>
        <v>#VALUE!</v>
      </c>
      <c r="BJ2968" s="21" t="e" vm="1">
        <v>#REF!</v>
      </c>
      <c r="BK2968" t="e" vm="1">
        <v>#REF!</v>
      </c>
      <c r="BM2968" t="e" vm="2">
        <f t="shared" si="268"/>
        <v>#VALUE!</v>
      </c>
      <c r="BN2968" t="e" vm="2">
        <f t="shared" si="269"/>
        <v>#VALUE!</v>
      </c>
    </row>
    <row r="2969" spans="55:66" x14ac:dyDescent="0.2">
      <c r="BC2969" s="21" t="e" vm="1">
        <v>#REF!</v>
      </c>
      <c r="BD2969" t="e" vm="1">
        <v>#REF!</v>
      </c>
      <c r="BF2969" t="e" vm="2">
        <f t="shared" si="266"/>
        <v>#VALUE!</v>
      </c>
      <c r="BG2969" t="e" vm="2">
        <f t="shared" si="267"/>
        <v>#VALUE!</v>
      </c>
      <c r="BJ2969" s="21" t="e" vm="1">
        <v>#REF!</v>
      </c>
      <c r="BK2969" t="e" vm="1">
        <v>#REF!</v>
      </c>
      <c r="BM2969" t="e" vm="2">
        <f t="shared" si="268"/>
        <v>#VALUE!</v>
      </c>
      <c r="BN2969" t="e" vm="2">
        <f t="shared" si="269"/>
        <v>#VALUE!</v>
      </c>
    </row>
    <row r="2970" spans="55:66" x14ac:dyDescent="0.2">
      <c r="BC2970" s="21" t="e" vm="1">
        <v>#REF!</v>
      </c>
      <c r="BD2970" t="e" vm="1">
        <v>#REF!</v>
      </c>
      <c r="BF2970" t="e" vm="2">
        <f t="shared" si="266"/>
        <v>#VALUE!</v>
      </c>
      <c r="BG2970" t="e" vm="2">
        <f t="shared" si="267"/>
        <v>#VALUE!</v>
      </c>
      <c r="BJ2970" s="21" t="e" vm="1">
        <v>#REF!</v>
      </c>
      <c r="BK2970" t="e" vm="1">
        <v>#REF!</v>
      </c>
      <c r="BM2970" t="e" vm="2">
        <f t="shared" si="268"/>
        <v>#VALUE!</v>
      </c>
      <c r="BN2970" t="e" vm="2">
        <f t="shared" si="269"/>
        <v>#VALUE!</v>
      </c>
    </row>
    <row r="2971" spans="55:66" x14ac:dyDescent="0.2">
      <c r="BC2971" s="21" t="e" vm="1">
        <v>#REF!</v>
      </c>
      <c r="BD2971" t="e" vm="1">
        <v>#REF!</v>
      </c>
      <c r="BF2971" t="e" vm="2">
        <f t="shared" si="266"/>
        <v>#VALUE!</v>
      </c>
      <c r="BG2971" t="e" vm="2">
        <f t="shared" si="267"/>
        <v>#VALUE!</v>
      </c>
      <c r="BJ2971" s="21" t="e" vm="1">
        <v>#REF!</v>
      </c>
      <c r="BK2971" t="e" vm="1">
        <v>#REF!</v>
      </c>
      <c r="BM2971" t="e" vm="2">
        <f t="shared" si="268"/>
        <v>#VALUE!</v>
      </c>
      <c r="BN2971" t="e" vm="2">
        <f t="shared" si="269"/>
        <v>#VALUE!</v>
      </c>
    </row>
    <row r="2972" spans="55:66" x14ac:dyDescent="0.2">
      <c r="BC2972" s="21" t="e" vm="1">
        <v>#REF!</v>
      </c>
      <c r="BD2972" t="e" vm="1">
        <v>#REF!</v>
      </c>
      <c r="BF2972" t="e" vm="2">
        <f t="shared" si="266"/>
        <v>#VALUE!</v>
      </c>
      <c r="BG2972" t="e" vm="2">
        <f t="shared" si="267"/>
        <v>#VALUE!</v>
      </c>
      <c r="BJ2972" s="21" t="e" vm="1">
        <v>#REF!</v>
      </c>
      <c r="BK2972" t="e" vm="1">
        <v>#REF!</v>
      </c>
      <c r="BM2972" t="e" vm="2">
        <f t="shared" si="268"/>
        <v>#VALUE!</v>
      </c>
      <c r="BN2972" t="e" vm="2">
        <f t="shared" si="269"/>
        <v>#VALUE!</v>
      </c>
    </row>
    <row r="2973" spans="55:66" x14ac:dyDescent="0.2">
      <c r="BC2973" s="21" t="e" vm="1">
        <v>#REF!</v>
      </c>
      <c r="BD2973" t="e" vm="1">
        <v>#REF!</v>
      </c>
      <c r="BF2973" t="e" vm="2">
        <f t="shared" si="266"/>
        <v>#VALUE!</v>
      </c>
      <c r="BG2973" t="e" vm="2">
        <f t="shared" si="267"/>
        <v>#VALUE!</v>
      </c>
      <c r="BJ2973" s="21" t="e" vm="1">
        <v>#REF!</v>
      </c>
      <c r="BK2973" t="e" vm="1">
        <v>#REF!</v>
      </c>
      <c r="BM2973" t="e" vm="2">
        <f t="shared" si="268"/>
        <v>#VALUE!</v>
      </c>
      <c r="BN2973" t="e" vm="2">
        <f t="shared" si="269"/>
        <v>#VALUE!</v>
      </c>
    </row>
    <row r="2974" spans="55:66" x14ac:dyDescent="0.2">
      <c r="BC2974" s="21" t="e" vm="1">
        <v>#REF!</v>
      </c>
      <c r="BD2974" t="e" vm="1">
        <v>#REF!</v>
      </c>
      <c r="BF2974" t="e" vm="2">
        <f t="shared" si="266"/>
        <v>#VALUE!</v>
      </c>
      <c r="BG2974" t="e" vm="2">
        <f t="shared" si="267"/>
        <v>#VALUE!</v>
      </c>
      <c r="BJ2974" s="21" t="e" vm="1">
        <v>#REF!</v>
      </c>
      <c r="BK2974" t="e" vm="1">
        <v>#REF!</v>
      </c>
      <c r="BM2974" t="e" vm="2">
        <f t="shared" si="268"/>
        <v>#VALUE!</v>
      </c>
      <c r="BN2974" t="e" vm="2">
        <f t="shared" si="269"/>
        <v>#VALUE!</v>
      </c>
    </row>
    <row r="2975" spans="55:66" x14ac:dyDescent="0.2">
      <c r="BC2975" s="21" t="e" vm="1">
        <v>#REF!</v>
      </c>
      <c r="BD2975" t="e" vm="1">
        <v>#REF!</v>
      </c>
      <c r="BF2975" t="e" vm="2">
        <f t="shared" si="266"/>
        <v>#VALUE!</v>
      </c>
      <c r="BG2975" t="e" vm="2">
        <f t="shared" si="267"/>
        <v>#VALUE!</v>
      </c>
      <c r="BJ2975" s="21" t="e" vm="1">
        <v>#REF!</v>
      </c>
      <c r="BK2975" t="e" vm="1">
        <v>#REF!</v>
      </c>
      <c r="BM2975" t="e" vm="2">
        <f t="shared" si="268"/>
        <v>#VALUE!</v>
      </c>
      <c r="BN2975" t="e" vm="2">
        <f t="shared" si="269"/>
        <v>#VALUE!</v>
      </c>
    </row>
    <row r="2976" spans="55:66" x14ac:dyDescent="0.2">
      <c r="BC2976" s="21" t="e" vm="1">
        <v>#REF!</v>
      </c>
      <c r="BD2976" t="e" vm="1">
        <v>#REF!</v>
      </c>
      <c r="BF2976" t="e" vm="2">
        <f t="shared" si="266"/>
        <v>#VALUE!</v>
      </c>
      <c r="BG2976" t="e" vm="2">
        <f t="shared" si="267"/>
        <v>#VALUE!</v>
      </c>
      <c r="BJ2976" s="21" t="e" vm="1">
        <v>#REF!</v>
      </c>
      <c r="BK2976" t="e" vm="1">
        <v>#REF!</v>
      </c>
      <c r="BM2976" t="e" vm="2">
        <f t="shared" si="268"/>
        <v>#VALUE!</v>
      </c>
      <c r="BN2976" t="e" vm="2">
        <f t="shared" si="269"/>
        <v>#VALUE!</v>
      </c>
    </row>
    <row r="2977" spans="55:66" x14ac:dyDescent="0.2">
      <c r="BC2977" s="21" t="e" vm="1">
        <v>#REF!</v>
      </c>
      <c r="BD2977" t="e" vm="1">
        <v>#REF!</v>
      </c>
      <c r="BF2977" t="e" vm="2">
        <f t="shared" si="266"/>
        <v>#VALUE!</v>
      </c>
      <c r="BG2977" t="e" vm="2">
        <f t="shared" si="267"/>
        <v>#VALUE!</v>
      </c>
      <c r="BJ2977" s="21" t="e" vm="1">
        <v>#REF!</v>
      </c>
      <c r="BK2977" t="e" vm="1">
        <v>#REF!</v>
      </c>
      <c r="BM2977" t="e" vm="2">
        <f t="shared" si="268"/>
        <v>#VALUE!</v>
      </c>
      <c r="BN2977" t="e" vm="2">
        <f t="shared" si="269"/>
        <v>#VALUE!</v>
      </c>
    </row>
    <row r="2978" spans="55:66" x14ac:dyDescent="0.2">
      <c r="BC2978" s="21" t="e" vm="1">
        <v>#REF!</v>
      </c>
      <c r="BD2978" t="e" vm="1">
        <v>#REF!</v>
      </c>
      <c r="BF2978" t="e" vm="2">
        <f t="shared" si="266"/>
        <v>#VALUE!</v>
      </c>
      <c r="BG2978" t="e" vm="2">
        <f t="shared" si="267"/>
        <v>#VALUE!</v>
      </c>
      <c r="BJ2978" s="21" t="e" vm="1">
        <v>#REF!</v>
      </c>
      <c r="BK2978" t="e" vm="1">
        <v>#REF!</v>
      </c>
      <c r="BM2978" t="e" vm="2">
        <f t="shared" si="268"/>
        <v>#VALUE!</v>
      </c>
      <c r="BN2978" t="e" vm="2">
        <f t="shared" si="269"/>
        <v>#VALUE!</v>
      </c>
    </row>
    <row r="2979" spans="55:66" x14ac:dyDescent="0.2">
      <c r="BC2979" s="21" t="e" vm="1">
        <v>#REF!</v>
      </c>
      <c r="BD2979" t="e" vm="1">
        <v>#REF!</v>
      </c>
      <c r="BF2979" t="e" vm="2">
        <f t="shared" si="266"/>
        <v>#VALUE!</v>
      </c>
      <c r="BG2979" t="e" vm="2">
        <f t="shared" si="267"/>
        <v>#VALUE!</v>
      </c>
      <c r="BJ2979" s="21" t="e" vm="1">
        <v>#REF!</v>
      </c>
      <c r="BK2979" t="e" vm="1">
        <v>#REF!</v>
      </c>
      <c r="BM2979" t="e" vm="2">
        <f t="shared" si="268"/>
        <v>#VALUE!</v>
      </c>
      <c r="BN2979" t="e" vm="2">
        <f t="shared" si="269"/>
        <v>#VALUE!</v>
      </c>
    </row>
    <row r="2980" spans="55:66" x14ac:dyDescent="0.2">
      <c r="BC2980" s="21" t="e" vm="1">
        <v>#REF!</v>
      </c>
      <c r="BD2980" t="e" vm="1">
        <v>#REF!</v>
      </c>
      <c r="BF2980" t="e" vm="2">
        <f t="shared" si="266"/>
        <v>#VALUE!</v>
      </c>
      <c r="BG2980" t="e" vm="2">
        <f t="shared" si="267"/>
        <v>#VALUE!</v>
      </c>
      <c r="BJ2980" s="21" t="e" vm="1">
        <v>#REF!</v>
      </c>
      <c r="BK2980" t="e" vm="1">
        <v>#REF!</v>
      </c>
      <c r="BM2980" t="e" vm="2">
        <f t="shared" si="268"/>
        <v>#VALUE!</v>
      </c>
      <c r="BN2980" t="e" vm="2">
        <f t="shared" si="269"/>
        <v>#VALUE!</v>
      </c>
    </row>
    <row r="2981" spans="55:66" x14ac:dyDescent="0.2">
      <c r="BC2981" s="21" t="e" vm="1">
        <v>#REF!</v>
      </c>
      <c r="BD2981" t="e" vm="1">
        <v>#REF!</v>
      </c>
      <c r="BF2981" t="e" vm="2">
        <f t="shared" si="266"/>
        <v>#VALUE!</v>
      </c>
      <c r="BG2981" t="e" vm="2">
        <f t="shared" si="267"/>
        <v>#VALUE!</v>
      </c>
      <c r="BJ2981" s="21" t="e" vm="1">
        <v>#REF!</v>
      </c>
      <c r="BK2981" t="e" vm="1">
        <v>#REF!</v>
      </c>
      <c r="BM2981" t="e" vm="2">
        <f t="shared" si="268"/>
        <v>#VALUE!</v>
      </c>
      <c r="BN2981" t="e" vm="2">
        <f t="shared" si="269"/>
        <v>#VALUE!</v>
      </c>
    </row>
    <row r="2982" spans="55:66" x14ac:dyDescent="0.2">
      <c r="BC2982" s="21" t="e" vm="1">
        <v>#REF!</v>
      </c>
      <c r="BD2982" t="e" vm="1">
        <v>#REF!</v>
      </c>
      <c r="BF2982" t="e" vm="2">
        <f t="shared" si="266"/>
        <v>#VALUE!</v>
      </c>
      <c r="BG2982" t="e" vm="2">
        <f t="shared" si="267"/>
        <v>#VALUE!</v>
      </c>
      <c r="BJ2982" s="21" t="e" vm="1">
        <v>#REF!</v>
      </c>
      <c r="BK2982" t="e" vm="1">
        <v>#REF!</v>
      </c>
      <c r="BM2982" t="e" vm="2">
        <f t="shared" si="268"/>
        <v>#VALUE!</v>
      </c>
      <c r="BN2982" t="e" vm="2">
        <f t="shared" si="269"/>
        <v>#VALUE!</v>
      </c>
    </row>
    <row r="2983" spans="55:66" x14ac:dyDescent="0.2">
      <c r="BC2983" s="21" t="e" vm="1">
        <v>#REF!</v>
      </c>
      <c r="BD2983" t="e" vm="1">
        <v>#REF!</v>
      </c>
      <c r="BF2983" t="e" vm="2">
        <f t="shared" si="266"/>
        <v>#VALUE!</v>
      </c>
      <c r="BG2983" t="e" vm="2">
        <f t="shared" si="267"/>
        <v>#VALUE!</v>
      </c>
      <c r="BJ2983" s="21" t="e" vm="1">
        <v>#REF!</v>
      </c>
      <c r="BK2983" t="e" vm="1">
        <v>#REF!</v>
      </c>
      <c r="BM2983" t="e" vm="2">
        <f t="shared" si="268"/>
        <v>#VALUE!</v>
      </c>
      <c r="BN2983" t="e" vm="2">
        <f t="shared" si="269"/>
        <v>#VALUE!</v>
      </c>
    </row>
    <row r="2984" spans="55:66" x14ac:dyDescent="0.2">
      <c r="BC2984" s="21" t="e" vm="1">
        <v>#REF!</v>
      </c>
      <c r="BD2984" t="e" vm="1">
        <v>#REF!</v>
      </c>
      <c r="BF2984" t="e" vm="2">
        <f t="shared" si="266"/>
        <v>#VALUE!</v>
      </c>
      <c r="BG2984" t="e" vm="2">
        <f t="shared" si="267"/>
        <v>#VALUE!</v>
      </c>
      <c r="BJ2984" s="21" t="e" vm="1">
        <v>#REF!</v>
      </c>
      <c r="BK2984" t="e" vm="1">
        <v>#REF!</v>
      </c>
      <c r="BM2984" t="e" vm="2">
        <f t="shared" si="268"/>
        <v>#VALUE!</v>
      </c>
      <c r="BN2984" t="e" vm="2">
        <f t="shared" si="269"/>
        <v>#VALUE!</v>
      </c>
    </row>
    <row r="2985" spans="55:66" x14ac:dyDescent="0.2">
      <c r="BC2985" s="21" t="e" vm="1">
        <v>#REF!</v>
      </c>
      <c r="BD2985" t="e" vm="1">
        <v>#REF!</v>
      </c>
      <c r="BF2985" t="e" vm="2">
        <f t="shared" si="266"/>
        <v>#VALUE!</v>
      </c>
      <c r="BG2985" t="e" vm="2">
        <f t="shared" si="267"/>
        <v>#VALUE!</v>
      </c>
      <c r="BJ2985" s="21" t="e" vm="1">
        <v>#REF!</v>
      </c>
      <c r="BK2985" t="e" vm="1">
        <v>#REF!</v>
      </c>
      <c r="BM2985" t="e" vm="2">
        <f t="shared" si="268"/>
        <v>#VALUE!</v>
      </c>
      <c r="BN2985" t="e" vm="2">
        <f t="shared" si="269"/>
        <v>#VALUE!</v>
      </c>
    </row>
    <row r="2986" spans="55:66" x14ac:dyDescent="0.2">
      <c r="BC2986" s="21" t="e" vm="1">
        <v>#REF!</v>
      </c>
      <c r="BD2986" t="e" vm="1">
        <v>#REF!</v>
      </c>
      <c r="BF2986" t="e" vm="2">
        <f t="shared" si="266"/>
        <v>#VALUE!</v>
      </c>
      <c r="BG2986" t="e" vm="2">
        <f t="shared" si="267"/>
        <v>#VALUE!</v>
      </c>
      <c r="BJ2986" s="21" t="e" vm="1">
        <v>#REF!</v>
      </c>
      <c r="BK2986" t="e" vm="1">
        <v>#REF!</v>
      </c>
      <c r="BM2986" t="e" vm="2">
        <f t="shared" si="268"/>
        <v>#VALUE!</v>
      </c>
      <c r="BN2986" t="e" vm="2">
        <f t="shared" si="269"/>
        <v>#VALUE!</v>
      </c>
    </row>
    <row r="2987" spans="55:66" x14ac:dyDescent="0.2">
      <c r="BC2987" s="21" t="e" vm="1">
        <v>#REF!</v>
      </c>
      <c r="BD2987" t="e" vm="1">
        <v>#REF!</v>
      </c>
      <c r="BF2987" t="e" vm="2">
        <f t="shared" si="266"/>
        <v>#VALUE!</v>
      </c>
      <c r="BG2987" t="e" vm="2">
        <f t="shared" si="267"/>
        <v>#VALUE!</v>
      </c>
      <c r="BJ2987" s="21" t="e" vm="1">
        <v>#REF!</v>
      </c>
      <c r="BK2987" t="e" vm="1">
        <v>#REF!</v>
      </c>
      <c r="BM2987" t="e" vm="2">
        <f t="shared" si="268"/>
        <v>#VALUE!</v>
      </c>
      <c r="BN2987" t="e" vm="2">
        <f t="shared" si="269"/>
        <v>#VALUE!</v>
      </c>
    </row>
    <row r="2988" spans="55:66" x14ac:dyDescent="0.2">
      <c r="BC2988" s="21" t="e" vm="1">
        <v>#REF!</v>
      </c>
      <c r="BD2988" t="e" vm="1">
        <v>#REF!</v>
      </c>
      <c r="BF2988" t="e" vm="2">
        <f t="shared" si="266"/>
        <v>#VALUE!</v>
      </c>
      <c r="BG2988" t="e" vm="2">
        <f t="shared" si="267"/>
        <v>#VALUE!</v>
      </c>
      <c r="BJ2988" s="21" t="e" vm="1">
        <v>#REF!</v>
      </c>
      <c r="BK2988" t="e" vm="1">
        <v>#REF!</v>
      </c>
      <c r="BM2988" t="e" vm="2">
        <f t="shared" si="268"/>
        <v>#VALUE!</v>
      </c>
      <c r="BN2988" t="e" vm="2">
        <f t="shared" si="269"/>
        <v>#VALUE!</v>
      </c>
    </row>
    <row r="2989" spans="55:66" x14ac:dyDescent="0.2">
      <c r="BC2989" s="21" t="e" vm="1">
        <v>#REF!</v>
      </c>
      <c r="BD2989" t="e" vm="1">
        <v>#REF!</v>
      </c>
      <c r="BF2989" t="e" vm="2">
        <f t="shared" si="266"/>
        <v>#VALUE!</v>
      </c>
      <c r="BG2989" t="e" vm="2">
        <f t="shared" si="267"/>
        <v>#VALUE!</v>
      </c>
      <c r="BJ2989" s="21" t="e" vm="1">
        <v>#REF!</v>
      </c>
      <c r="BK2989" t="e" vm="1">
        <v>#REF!</v>
      </c>
      <c r="BM2989" t="e" vm="2">
        <f t="shared" si="268"/>
        <v>#VALUE!</v>
      </c>
      <c r="BN2989" t="e" vm="2">
        <f t="shared" si="269"/>
        <v>#VALUE!</v>
      </c>
    </row>
    <row r="2990" spans="55:66" x14ac:dyDescent="0.2">
      <c r="BC2990" s="21" t="e" vm="1">
        <v>#REF!</v>
      </c>
      <c r="BD2990" t="e" vm="1">
        <v>#REF!</v>
      </c>
      <c r="BF2990" t="e" vm="2">
        <f t="shared" si="266"/>
        <v>#VALUE!</v>
      </c>
      <c r="BG2990" t="e" vm="2">
        <f t="shared" si="267"/>
        <v>#VALUE!</v>
      </c>
      <c r="BJ2990" s="21" t="e" vm="1">
        <v>#REF!</v>
      </c>
      <c r="BK2990" t="e" vm="1">
        <v>#REF!</v>
      </c>
      <c r="BM2990" t="e" vm="2">
        <f t="shared" si="268"/>
        <v>#VALUE!</v>
      </c>
      <c r="BN2990" t="e" vm="2">
        <f t="shared" si="269"/>
        <v>#VALUE!</v>
      </c>
    </row>
    <row r="2991" spans="55:66" x14ac:dyDescent="0.2">
      <c r="BC2991" s="21" t="e" vm="1">
        <v>#REF!</v>
      </c>
      <c r="BD2991" t="e" vm="1">
        <v>#REF!</v>
      </c>
      <c r="BF2991" t="e" vm="2">
        <f t="shared" si="266"/>
        <v>#VALUE!</v>
      </c>
      <c r="BG2991" t="e" vm="2">
        <f t="shared" si="267"/>
        <v>#VALUE!</v>
      </c>
      <c r="BJ2991" s="21" t="e" vm="1">
        <v>#REF!</v>
      </c>
      <c r="BK2991" t="e" vm="1">
        <v>#REF!</v>
      </c>
      <c r="BM2991" t="e" vm="2">
        <f t="shared" si="268"/>
        <v>#VALUE!</v>
      </c>
      <c r="BN2991" t="e" vm="2">
        <f t="shared" si="269"/>
        <v>#VALUE!</v>
      </c>
    </row>
    <row r="2992" spans="55:66" x14ac:dyDescent="0.2">
      <c r="BC2992" s="21" t="e" vm="1">
        <v>#REF!</v>
      </c>
      <c r="BD2992" t="e" vm="1">
        <v>#REF!</v>
      </c>
      <c r="BF2992" t="e" vm="2">
        <f t="shared" si="266"/>
        <v>#VALUE!</v>
      </c>
      <c r="BG2992" t="e" vm="2">
        <f t="shared" si="267"/>
        <v>#VALUE!</v>
      </c>
      <c r="BJ2992" s="21" t="e" vm="1">
        <v>#REF!</v>
      </c>
      <c r="BK2992" t="e" vm="1">
        <v>#REF!</v>
      </c>
      <c r="BM2992" t="e" vm="2">
        <f t="shared" si="268"/>
        <v>#VALUE!</v>
      </c>
      <c r="BN2992" t="e" vm="2">
        <f t="shared" si="269"/>
        <v>#VALUE!</v>
      </c>
    </row>
    <row r="2993" spans="55:66" x14ac:dyDescent="0.2">
      <c r="BC2993" s="21" t="e" vm="1">
        <v>#REF!</v>
      </c>
      <c r="BD2993" t="e" vm="1">
        <v>#REF!</v>
      </c>
      <c r="BF2993" t="e" vm="2">
        <f t="shared" si="266"/>
        <v>#VALUE!</v>
      </c>
      <c r="BG2993" t="e" vm="2">
        <f t="shared" si="267"/>
        <v>#VALUE!</v>
      </c>
      <c r="BJ2993" s="21" t="e" vm="1">
        <v>#REF!</v>
      </c>
      <c r="BK2993" t="e" vm="1">
        <v>#REF!</v>
      </c>
      <c r="BM2993" t="e" vm="2">
        <f t="shared" si="268"/>
        <v>#VALUE!</v>
      </c>
      <c r="BN2993" t="e" vm="2">
        <f t="shared" si="269"/>
        <v>#VALUE!</v>
      </c>
    </row>
    <row r="2994" spans="55:66" x14ac:dyDescent="0.2">
      <c r="BC2994" s="21" t="e" vm="1">
        <v>#REF!</v>
      </c>
      <c r="BD2994" t="e" vm="1">
        <v>#REF!</v>
      </c>
      <c r="BF2994" t="e" vm="2">
        <f t="shared" si="266"/>
        <v>#VALUE!</v>
      </c>
      <c r="BG2994" t="e" vm="2">
        <f t="shared" si="267"/>
        <v>#VALUE!</v>
      </c>
      <c r="BJ2994" s="21" t="e" vm="1">
        <v>#REF!</v>
      </c>
      <c r="BK2994" t="e" vm="1">
        <v>#REF!</v>
      </c>
      <c r="BM2994" t="e" vm="2">
        <f t="shared" si="268"/>
        <v>#VALUE!</v>
      </c>
      <c r="BN2994" t="e" vm="2">
        <f t="shared" si="269"/>
        <v>#VALUE!</v>
      </c>
    </row>
    <row r="2995" spans="55:66" x14ac:dyDescent="0.2">
      <c r="BC2995" s="21" t="e" vm="1">
        <v>#REF!</v>
      </c>
      <c r="BD2995" t="e" vm="1">
        <v>#REF!</v>
      </c>
      <c r="BF2995" t="e" vm="2">
        <f t="shared" si="266"/>
        <v>#VALUE!</v>
      </c>
      <c r="BG2995" t="e" vm="2">
        <f t="shared" si="267"/>
        <v>#VALUE!</v>
      </c>
      <c r="BJ2995" s="21" t="e" vm="1">
        <v>#REF!</v>
      </c>
      <c r="BK2995" t="e" vm="1">
        <v>#REF!</v>
      </c>
      <c r="BM2995" t="e" vm="2">
        <f t="shared" si="268"/>
        <v>#VALUE!</v>
      </c>
      <c r="BN2995" t="e" vm="2">
        <f t="shared" si="269"/>
        <v>#VALUE!</v>
      </c>
    </row>
    <row r="2996" spans="55:66" x14ac:dyDescent="0.2">
      <c r="BC2996" s="21" t="e" vm="1">
        <v>#REF!</v>
      </c>
      <c r="BD2996" t="e" vm="1">
        <v>#REF!</v>
      </c>
      <c r="BF2996" t="e" vm="2">
        <f t="shared" si="266"/>
        <v>#VALUE!</v>
      </c>
      <c r="BG2996" t="e" vm="2">
        <f t="shared" si="267"/>
        <v>#VALUE!</v>
      </c>
      <c r="BJ2996" s="21" t="e" vm="1">
        <v>#REF!</v>
      </c>
      <c r="BK2996" t="e" vm="1">
        <v>#REF!</v>
      </c>
      <c r="BM2996" t="e" vm="2">
        <f t="shared" si="268"/>
        <v>#VALUE!</v>
      </c>
      <c r="BN2996" t="e" vm="2">
        <f t="shared" si="269"/>
        <v>#VALUE!</v>
      </c>
    </row>
    <row r="2997" spans="55:66" x14ac:dyDescent="0.2">
      <c r="BC2997" s="21" t="e" vm="1">
        <v>#REF!</v>
      </c>
      <c r="BD2997" t="e" vm="1">
        <v>#REF!</v>
      </c>
      <c r="BF2997" t="e" vm="2">
        <f t="shared" si="266"/>
        <v>#VALUE!</v>
      </c>
      <c r="BG2997" t="e" vm="2">
        <f t="shared" si="267"/>
        <v>#VALUE!</v>
      </c>
      <c r="BJ2997" s="21" t="e" vm="1">
        <v>#REF!</v>
      </c>
      <c r="BK2997" t="e" vm="1">
        <v>#REF!</v>
      </c>
      <c r="BM2997" t="e" vm="2">
        <f t="shared" si="268"/>
        <v>#VALUE!</v>
      </c>
      <c r="BN2997" t="e" vm="2">
        <f t="shared" si="269"/>
        <v>#VALUE!</v>
      </c>
    </row>
    <row r="2998" spans="55:66" x14ac:dyDescent="0.2">
      <c r="BC2998" s="21" t="e" vm="1">
        <v>#REF!</v>
      </c>
      <c r="BD2998" t="e" vm="1">
        <v>#REF!</v>
      </c>
      <c r="BF2998" t="e" vm="2">
        <f t="shared" si="266"/>
        <v>#VALUE!</v>
      </c>
      <c r="BG2998" t="e" vm="2">
        <f t="shared" si="267"/>
        <v>#VALUE!</v>
      </c>
      <c r="BJ2998" s="21" t="e" vm="1">
        <v>#REF!</v>
      </c>
      <c r="BK2998" t="e" vm="1">
        <v>#REF!</v>
      </c>
      <c r="BM2998" t="e" vm="2">
        <f t="shared" si="268"/>
        <v>#VALUE!</v>
      </c>
      <c r="BN2998" t="e" vm="2">
        <f t="shared" si="269"/>
        <v>#VALUE!</v>
      </c>
    </row>
    <row r="2999" spans="55:66" x14ac:dyDescent="0.2">
      <c r="BC2999" s="21" t="e" vm="1">
        <v>#REF!</v>
      </c>
      <c r="BD2999" t="e" vm="1">
        <v>#REF!</v>
      </c>
      <c r="BF2999" t="e" vm="2">
        <f t="shared" si="266"/>
        <v>#VALUE!</v>
      </c>
      <c r="BG2999" t="e" vm="2">
        <f t="shared" si="267"/>
        <v>#VALUE!</v>
      </c>
      <c r="BJ2999" s="21" t="e" vm="1">
        <v>#REF!</v>
      </c>
      <c r="BK2999" t="e" vm="1">
        <v>#REF!</v>
      </c>
      <c r="BM2999" t="e" vm="2">
        <f t="shared" si="268"/>
        <v>#VALUE!</v>
      </c>
      <c r="BN2999" t="e" vm="2">
        <f t="shared" si="269"/>
        <v>#VALUE!</v>
      </c>
    </row>
    <row r="3000" spans="55:66" x14ac:dyDescent="0.2">
      <c r="BC3000" s="21" t="e" vm="1">
        <v>#REF!</v>
      </c>
      <c r="BD3000" t="e" vm="1">
        <v>#REF!</v>
      </c>
      <c r="BF3000" t="e" vm="2">
        <f t="shared" si="266"/>
        <v>#VALUE!</v>
      </c>
      <c r="BG3000" t="e" vm="2">
        <f t="shared" si="267"/>
        <v>#VALUE!</v>
      </c>
      <c r="BJ3000" s="21" t="e" vm="1">
        <v>#REF!</v>
      </c>
      <c r="BK3000" t="e" vm="1">
        <v>#REF!</v>
      </c>
      <c r="BM3000" t="e" vm="2">
        <f t="shared" si="268"/>
        <v>#VALUE!</v>
      </c>
      <c r="BN3000" t="e" vm="2">
        <f t="shared" si="269"/>
        <v>#VALUE!</v>
      </c>
    </row>
    <row r="3001" spans="55:66" x14ac:dyDescent="0.2">
      <c r="BC3001" s="21" t="e" vm="1">
        <v>#REF!</v>
      </c>
      <c r="BD3001" t="e" vm="1">
        <v>#REF!</v>
      </c>
      <c r="BF3001" t="e" vm="2">
        <f t="shared" si="266"/>
        <v>#VALUE!</v>
      </c>
      <c r="BG3001" t="e" vm="2">
        <f t="shared" si="267"/>
        <v>#VALUE!</v>
      </c>
      <c r="BJ3001" s="21" t="e" vm="1">
        <v>#REF!</v>
      </c>
      <c r="BK3001" t="e" vm="1">
        <v>#REF!</v>
      </c>
      <c r="BM3001" t="e" vm="2">
        <f t="shared" si="268"/>
        <v>#VALUE!</v>
      </c>
      <c r="BN3001" t="e" vm="2">
        <f t="shared" si="269"/>
        <v>#VALUE!</v>
      </c>
    </row>
    <row r="3002" spans="55:66" x14ac:dyDescent="0.2">
      <c r="BC3002" s="21" t="e" vm="1">
        <v>#REF!</v>
      </c>
      <c r="BD3002" t="e" vm="1">
        <v>#REF!</v>
      </c>
      <c r="BF3002" t="e" vm="2">
        <f t="shared" si="266"/>
        <v>#VALUE!</v>
      </c>
      <c r="BG3002" t="e" vm="2">
        <f t="shared" si="267"/>
        <v>#VALUE!</v>
      </c>
      <c r="BJ3002" s="21" t="e" vm="1">
        <v>#REF!</v>
      </c>
      <c r="BK3002" t="e" vm="1">
        <v>#REF!</v>
      </c>
      <c r="BM3002" t="e" vm="2">
        <f t="shared" si="268"/>
        <v>#VALUE!</v>
      </c>
      <c r="BN3002" t="e" vm="2">
        <f t="shared" si="269"/>
        <v>#VALUE!</v>
      </c>
    </row>
    <row r="3003" spans="55:66" x14ac:dyDescent="0.2">
      <c r="BC3003" s="21" t="e" vm="1">
        <v>#REF!</v>
      </c>
      <c r="BD3003" t="e" vm="1">
        <v>#REF!</v>
      </c>
      <c r="BF3003" t="e" vm="2">
        <f t="shared" si="266"/>
        <v>#VALUE!</v>
      </c>
      <c r="BG3003" t="e" vm="2">
        <f t="shared" si="267"/>
        <v>#VALUE!</v>
      </c>
      <c r="BJ3003" s="21" t="e" vm="1">
        <v>#REF!</v>
      </c>
      <c r="BK3003" t="e" vm="1">
        <v>#REF!</v>
      </c>
      <c r="BM3003" t="e" vm="2">
        <f t="shared" si="268"/>
        <v>#VALUE!</v>
      </c>
      <c r="BN3003" t="e" vm="2">
        <f t="shared" si="269"/>
        <v>#VALUE!</v>
      </c>
    </row>
    <row r="3004" spans="55:66" x14ac:dyDescent="0.2">
      <c r="BC3004" s="21" t="e" vm="1">
        <v>#REF!</v>
      </c>
      <c r="BD3004" t="e" vm="1">
        <v>#REF!</v>
      </c>
      <c r="BF3004" t="e" vm="2">
        <f t="shared" si="266"/>
        <v>#VALUE!</v>
      </c>
      <c r="BG3004" t="e" vm="2">
        <f t="shared" si="267"/>
        <v>#VALUE!</v>
      </c>
      <c r="BJ3004" s="21" t="e" vm="1">
        <v>#REF!</v>
      </c>
      <c r="BK3004" t="e" vm="1">
        <v>#REF!</v>
      </c>
      <c r="BM3004" t="e" vm="2">
        <f t="shared" si="268"/>
        <v>#VALUE!</v>
      </c>
      <c r="BN3004" t="e" vm="2">
        <f t="shared" si="269"/>
        <v>#VALUE!</v>
      </c>
    </row>
    <row r="3005" spans="55:66" x14ac:dyDescent="0.2">
      <c r="BC3005" s="21" t="e" vm="1">
        <v>#REF!</v>
      </c>
      <c r="BD3005" t="e" vm="1">
        <v>#REF!</v>
      </c>
      <c r="BF3005" t="e" vm="2">
        <f t="shared" si="266"/>
        <v>#VALUE!</v>
      </c>
      <c r="BG3005" t="e" vm="2">
        <f t="shared" si="267"/>
        <v>#VALUE!</v>
      </c>
      <c r="BJ3005" s="21" t="e" vm="1">
        <v>#REF!</v>
      </c>
      <c r="BK3005" t="e" vm="1">
        <v>#REF!</v>
      </c>
      <c r="BM3005" t="e" vm="2">
        <f t="shared" si="268"/>
        <v>#VALUE!</v>
      </c>
      <c r="BN3005" t="e" vm="2">
        <f t="shared" si="269"/>
        <v>#VALUE!</v>
      </c>
    </row>
    <row r="3006" spans="55:66" x14ac:dyDescent="0.2">
      <c r="BC3006" s="21" t="e" vm="1">
        <v>#REF!</v>
      </c>
      <c r="BD3006" t="e" vm="1">
        <v>#REF!</v>
      </c>
      <c r="BF3006" t="e" vm="2">
        <f t="shared" si="266"/>
        <v>#VALUE!</v>
      </c>
      <c r="BG3006" t="e" vm="2">
        <f t="shared" si="267"/>
        <v>#VALUE!</v>
      </c>
      <c r="BJ3006" s="21" t="e" vm="1">
        <v>#REF!</v>
      </c>
      <c r="BK3006" t="e" vm="1">
        <v>#REF!</v>
      </c>
      <c r="BM3006" t="e" vm="2">
        <f t="shared" si="268"/>
        <v>#VALUE!</v>
      </c>
      <c r="BN3006" t="e" vm="2">
        <f t="shared" si="269"/>
        <v>#VALUE!</v>
      </c>
    </row>
    <row r="3007" spans="55:66" x14ac:dyDescent="0.2">
      <c r="BC3007" s="21" t="e" vm="1">
        <v>#REF!</v>
      </c>
      <c r="BD3007" t="e" vm="1">
        <v>#REF!</v>
      </c>
      <c r="BF3007" t="e" vm="2">
        <f t="shared" si="266"/>
        <v>#VALUE!</v>
      </c>
      <c r="BG3007" t="e" vm="2">
        <f t="shared" si="267"/>
        <v>#VALUE!</v>
      </c>
      <c r="BJ3007" s="21" t="e" vm="1">
        <v>#REF!</v>
      </c>
      <c r="BK3007" t="e" vm="1">
        <v>#REF!</v>
      </c>
      <c r="BM3007" t="e" vm="2">
        <f t="shared" si="268"/>
        <v>#VALUE!</v>
      </c>
      <c r="BN3007" t="e" vm="2">
        <f t="shared" si="269"/>
        <v>#VALUE!</v>
      </c>
    </row>
    <row r="3008" spans="55:66" x14ac:dyDescent="0.2">
      <c r="BC3008" s="21" t="e" vm="1">
        <v>#REF!</v>
      </c>
      <c r="BD3008" t="e" vm="1">
        <v>#REF!</v>
      </c>
      <c r="BF3008" t="e" vm="2">
        <f t="shared" si="266"/>
        <v>#VALUE!</v>
      </c>
      <c r="BG3008" t="e" vm="2">
        <f t="shared" si="267"/>
        <v>#VALUE!</v>
      </c>
      <c r="BJ3008" s="21" t="e" vm="1">
        <v>#REF!</v>
      </c>
      <c r="BK3008" t="e" vm="1">
        <v>#REF!</v>
      </c>
      <c r="BM3008" t="e" vm="2">
        <f t="shared" si="268"/>
        <v>#VALUE!</v>
      </c>
      <c r="BN3008" t="e" vm="2">
        <f t="shared" si="269"/>
        <v>#VALUE!</v>
      </c>
    </row>
    <row r="3009" spans="55:66" x14ac:dyDescent="0.2">
      <c r="BC3009" s="21" t="e" vm="1">
        <v>#REF!</v>
      </c>
      <c r="BD3009" t="e" vm="1">
        <v>#REF!</v>
      </c>
      <c r="BF3009" t="e" vm="2">
        <f t="shared" si="266"/>
        <v>#VALUE!</v>
      </c>
      <c r="BG3009" t="e" vm="2">
        <f t="shared" si="267"/>
        <v>#VALUE!</v>
      </c>
      <c r="BJ3009" s="21" t="e" vm="1">
        <v>#REF!</v>
      </c>
      <c r="BK3009" t="e" vm="1">
        <v>#REF!</v>
      </c>
      <c r="BM3009" t="e" vm="2">
        <f t="shared" si="268"/>
        <v>#VALUE!</v>
      </c>
      <c r="BN3009" t="e" vm="2">
        <f t="shared" si="269"/>
        <v>#VALUE!</v>
      </c>
    </row>
    <row r="3010" spans="55:66" x14ac:dyDescent="0.2">
      <c r="BC3010" s="21" t="e" vm="1">
        <v>#REF!</v>
      </c>
      <c r="BD3010" t="e" vm="1">
        <v>#REF!</v>
      </c>
      <c r="BF3010" t="e" vm="2">
        <f t="shared" si="266"/>
        <v>#VALUE!</v>
      </c>
      <c r="BG3010" t="e" vm="2">
        <f t="shared" si="267"/>
        <v>#VALUE!</v>
      </c>
      <c r="BJ3010" s="21" t="e" vm="1">
        <v>#REF!</v>
      </c>
      <c r="BK3010" t="e" vm="1">
        <v>#REF!</v>
      </c>
      <c r="BM3010" t="e" vm="2">
        <f t="shared" si="268"/>
        <v>#VALUE!</v>
      </c>
      <c r="BN3010" t="e" vm="2">
        <f t="shared" si="269"/>
        <v>#VALUE!</v>
      </c>
    </row>
    <row r="3011" spans="55:66" x14ac:dyDescent="0.2">
      <c r="BC3011" s="21" t="e" vm="1">
        <v>#REF!</v>
      </c>
      <c r="BD3011" t="e" vm="1">
        <v>#REF!</v>
      </c>
      <c r="BF3011" t="e" vm="2">
        <f t="shared" ref="BF3011:BF3074" si="270">MONTH(BC3011)</f>
        <v>#VALUE!</v>
      </c>
      <c r="BG3011" t="e" vm="2">
        <f t="shared" ref="BG3011:BG3074" si="271">YEAR(BC3011)</f>
        <v>#VALUE!</v>
      </c>
      <c r="BJ3011" s="21" t="e" vm="1">
        <v>#REF!</v>
      </c>
      <c r="BK3011" t="e" vm="1">
        <v>#REF!</v>
      </c>
      <c r="BM3011" t="e" vm="2">
        <f t="shared" si="268"/>
        <v>#VALUE!</v>
      </c>
      <c r="BN3011" t="e" vm="2">
        <f t="shared" si="269"/>
        <v>#VALUE!</v>
      </c>
    </row>
    <row r="3012" spans="55:66" x14ac:dyDescent="0.2">
      <c r="BC3012" s="21" t="e" vm="1">
        <v>#REF!</v>
      </c>
      <c r="BD3012" t="e" vm="1">
        <v>#REF!</v>
      </c>
      <c r="BF3012" t="e" vm="2">
        <f t="shared" si="270"/>
        <v>#VALUE!</v>
      </c>
      <c r="BG3012" t="e" vm="2">
        <f t="shared" si="271"/>
        <v>#VALUE!</v>
      </c>
      <c r="BJ3012" s="21" t="e" vm="1">
        <v>#REF!</v>
      </c>
      <c r="BK3012" t="e" vm="1">
        <v>#REF!</v>
      </c>
      <c r="BM3012" t="e" vm="2">
        <f t="shared" ref="BM3012:BM3075" si="272">MONTH(BJ3012)</f>
        <v>#VALUE!</v>
      </c>
      <c r="BN3012" t="e" vm="2">
        <f t="shared" ref="BN3012:BN3075" si="273">YEAR(BJ3012)</f>
        <v>#VALUE!</v>
      </c>
    </row>
    <row r="3013" spans="55:66" x14ac:dyDescent="0.2">
      <c r="BC3013" s="21" t="e" vm="1">
        <v>#REF!</v>
      </c>
      <c r="BD3013" t="e" vm="1">
        <v>#REF!</v>
      </c>
      <c r="BF3013" t="e" vm="2">
        <f t="shared" si="270"/>
        <v>#VALUE!</v>
      </c>
      <c r="BG3013" t="e" vm="2">
        <f t="shared" si="271"/>
        <v>#VALUE!</v>
      </c>
      <c r="BJ3013" s="21" t="e" vm="1">
        <v>#REF!</v>
      </c>
      <c r="BK3013" t="e" vm="1">
        <v>#REF!</v>
      </c>
      <c r="BM3013" t="e" vm="2">
        <f t="shared" si="272"/>
        <v>#VALUE!</v>
      </c>
      <c r="BN3013" t="e" vm="2">
        <f t="shared" si="273"/>
        <v>#VALUE!</v>
      </c>
    </row>
    <row r="3014" spans="55:66" x14ac:dyDescent="0.2">
      <c r="BC3014" s="21" t="e" vm="1">
        <v>#REF!</v>
      </c>
      <c r="BD3014" t="e" vm="1">
        <v>#REF!</v>
      </c>
      <c r="BF3014" t="e" vm="2">
        <f t="shared" si="270"/>
        <v>#VALUE!</v>
      </c>
      <c r="BG3014" t="e" vm="2">
        <f t="shared" si="271"/>
        <v>#VALUE!</v>
      </c>
      <c r="BJ3014" s="21" t="e" vm="1">
        <v>#REF!</v>
      </c>
      <c r="BK3014" t="e" vm="1">
        <v>#REF!</v>
      </c>
      <c r="BM3014" t="e" vm="2">
        <f t="shared" si="272"/>
        <v>#VALUE!</v>
      </c>
      <c r="BN3014" t="e" vm="2">
        <f t="shared" si="273"/>
        <v>#VALUE!</v>
      </c>
    </row>
    <row r="3015" spans="55:66" x14ac:dyDescent="0.2">
      <c r="BC3015" s="21" t="e" vm="1">
        <v>#REF!</v>
      </c>
      <c r="BD3015" t="e" vm="1">
        <v>#REF!</v>
      </c>
      <c r="BF3015" t="e" vm="2">
        <f t="shared" si="270"/>
        <v>#VALUE!</v>
      </c>
      <c r="BG3015" t="e" vm="2">
        <f t="shared" si="271"/>
        <v>#VALUE!</v>
      </c>
      <c r="BJ3015" s="21" t="e" vm="1">
        <v>#REF!</v>
      </c>
      <c r="BK3015" t="e" vm="1">
        <v>#REF!</v>
      </c>
      <c r="BM3015" t="e" vm="2">
        <f t="shared" si="272"/>
        <v>#VALUE!</v>
      </c>
      <c r="BN3015" t="e" vm="2">
        <f t="shared" si="273"/>
        <v>#VALUE!</v>
      </c>
    </row>
    <row r="3016" spans="55:66" x14ac:dyDescent="0.2">
      <c r="BC3016" s="21" t="e" vm="1">
        <v>#REF!</v>
      </c>
      <c r="BD3016" t="e" vm="1">
        <v>#REF!</v>
      </c>
      <c r="BF3016" t="e" vm="2">
        <f t="shared" si="270"/>
        <v>#VALUE!</v>
      </c>
      <c r="BG3016" t="e" vm="2">
        <f t="shared" si="271"/>
        <v>#VALUE!</v>
      </c>
      <c r="BJ3016" s="21" t="e" vm="1">
        <v>#REF!</v>
      </c>
      <c r="BK3016" t="e" vm="1">
        <v>#REF!</v>
      </c>
      <c r="BM3016" t="e" vm="2">
        <f t="shared" si="272"/>
        <v>#VALUE!</v>
      </c>
      <c r="BN3016" t="e" vm="2">
        <f t="shared" si="273"/>
        <v>#VALUE!</v>
      </c>
    </row>
    <row r="3017" spans="55:66" x14ac:dyDescent="0.2">
      <c r="BC3017" s="21" t="e" vm="1">
        <v>#REF!</v>
      </c>
      <c r="BD3017" t="e" vm="1">
        <v>#REF!</v>
      </c>
      <c r="BF3017" t="e" vm="2">
        <f t="shared" si="270"/>
        <v>#VALUE!</v>
      </c>
      <c r="BG3017" t="e" vm="2">
        <f t="shared" si="271"/>
        <v>#VALUE!</v>
      </c>
      <c r="BJ3017" s="21" t="e" vm="1">
        <v>#REF!</v>
      </c>
      <c r="BK3017" t="e" vm="1">
        <v>#REF!</v>
      </c>
      <c r="BM3017" t="e" vm="2">
        <f t="shared" si="272"/>
        <v>#VALUE!</v>
      </c>
      <c r="BN3017" t="e" vm="2">
        <f t="shared" si="273"/>
        <v>#VALUE!</v>
      </c>
    </row>
    <row r="3018" spans="55:66" x14ac:dyDescent="0.2">
      <c r="BC3018" s="21" t="e" vm="1">
        <v>#REF!</v>
      </c>
      <c r="BD3018" t="e" vm="1">
        <v>#REF!</v>
      </c>
      <c r="BF3018" t="e" vm="2">
        <f t="shared" si="270"/>
        <v>#VALUE!</v>
      </c>
      <c r="BG3018" t="e" vm="2">
        <f t="shared" si="271"/>
        <v>#VALUE!</v>
      </c>
      <c r="BJ3018" s="21" t="e" vm="1">
        <v>#REF!</v>
      </c>
      <c r="BK3018" t="e" vm="1">
        <v>#REF!</v>
      </c>
      <c r="BM3018" t="e" vm="2">
        <f t="shared" si="272"/>
        <v>#VALUE!</v>
      </c>
      <c r="BN3018" t="e" vm="2">
        <f t="shared" si="273"/>
        <v>#VALUE!</v>
      </c>
    </row>
    <row r="3019" spans="55:66" x14ac:dyDescent="0.2">
      <c r="BC3019" s="21" t="e" vm="1">
        <v>#REF!</v>
      </c>
      <c r="BD3019" t="e" vm="1">
        <v>#REF!</v>
      </c>
      <c r="BF3019" t="e" vm="2">
        <f t="shared" si="270"/>
        <v>#VALUE!</v>
      </c>
      <c r="BG3019" t="e" vm="2">
        <f t="shared" si="271"/>
        <v>#VALUE!</v>
      </c>
      <c r="BJ3019" s="21" t="e" vm="1">
        <v>#REF!</v>
      </c>
      <c r="BK3019" t="e" vm="1">
        <v>#REF!</v>
      </c>
      <c r="BM3019" t="e" vm="2">
        <f t="shared" si="272"/>
        <v>#VALUE!</v>
      </c>
      <c r="BN3019" t="e" vm="2">
        <f t="shared" si="273"/>
        <v>#VALUE!</v>
      </c>
    </row>
    <row r="3020" spans="55:66" x14ac:dyDescent="0.2">
      <c r="BC3020" s="21" t="e" vm="1">
        <v>#REF!</v>
      </c>
      <c r="BD3020" t="e" vm="1">
        <v>#REF!</v>
      </c>
      <c r="BF3020" t="e" vm="2">
        <f t="shared" si="270"/>
        <v>#VALUE!</v>
      </c>
      <c r="BG3020" t="e" vm="2">
        <f t="shared" si="271"/>
        <v>#VALUE!</v>
      </c>
      <c r="BJ3020" s="21" t="e" vm="1">
        <v>#REF!</v>
      </c>
      <c r="BK3020" t="e" vm="1">
        <v>#REF!</v>
      </c>
      <c r="BM3020" t="e" vm="2">
        <f t="shared" si="272"/>
        <v>#VALUE!</v>
      </c>
      <c r="BN3020" t="e" vm="2">
        <f t="shared" si="273"/>
        <v>#VALUE!</v>
      </c>
    </row>
    <row r="3021" spans="55:66" x14ac:dyDescent="0.2">
      <c r="BC3021" s="21" t="e" vm="1">
        <v>#REF!</v>
      </c>
      <c r="BD3021" t="e" vm="1">
        <v>#REF!</v>
      </c>
      <c r="BF3021" t="e" vm="2">
        <f t="shared" si="270"/>
        <v>#VALUE!</v>
      </c>
      <c r="BG3021" t="e" vm="2">
        <f t="shared" si="271"/>
        <v>#VALUE!</v>
      </c>
      <c r="BJ3021" s="21" t="e" vm="1">
        <v>#REF!</v>
      </c>
      <c r="BK3021" t="e" vm="1">
        <v>#REF!</v>
      </c>
      <c r="BM3021" t="e" vm="2">
        <f t="shared" si="272"/>
        <v>#VALUE!</v>
      </c>
      <c r="BN3021" t="e" vm="2">
        <f t="shared" si="273"/>
        <v>#VALUE!</v>
      </c>
    </row>
    <row r="3022" spans="55:66" x14ac:dyDescent="0.2">
      <c r="BC3022" s="21" t="e" vm="1">
        <v>#REF!</v>
      </c>
      <c r="BD3022" t="e" vm="1">
        <v>#REF!</v>
      </c>
      <c r="BF3022" t="e" vm="2">
        <f t="shared" si="270"/>
        <v>#VALUE!</v>
      </c>
      <c r="BG3022" t="e" vm="2">
        <f t="shared" si="271"/>
        <v>#VALUE!</v>
      </c>
      <c r="BJ3022" s="21" t="e" vm="1">
        <v>#REF!</v>
      </c>
      <c r="BK3022" t="e" vm="1">
        <v>#REF!</v>
      </c>
      <c r="BM3022" t="e" vm="2">
        <f t="shared" si="272"/>
        <v>#VALUE!</v>
      </c>
      <c r="BN3022" t="e" vm="2">
        <f t="shared" si="273"/>
        <v>#VALUE!</v>
      </c>
    </row>
    <row r="3023" spans="55:66" x14ac:dyDescent="0.2">
      <c r="BC3023" s="21" t="e" vm="1">
        <v>#REF!</v>
      </c>
      <c r="BD3023" t="e" vm="1">
        <v>#REF!</v>
      </c>
      <c r="BF3023" t="e" vm="2">
        <f t="shared" si="270"/>
        <v>#VALUE!</v>
      </c>
      <c r="BG3023" t="e" vm="2">
        <f t="shared" si="271"/>
        <v>#VALUE!</v>
      </c>
      <c r="BJ3023" s="21" t="e" vm="1">
        <v>#REF!</v>
      </c>
      <c r="BK3023" t="e" vm="1">
        <v>#REF!</v>
      </c>
      <c r="BM3023" t="e" vm="2">
        <f t="shared" si="272"/>
        <v>#VALUE!</v>
      </c>
      <c r="BN3023" t="e" vm="2">
        <f t="shared" si="273"/>
        <v>#VALUE!</v>
      </c>
    </row>
    <row r="3024" spans="55:66" x14ac:dyDescent="0.2">
      <c r="BC3024" s="21" t="e" vm="1">
        <v>#REF!</v>
      </c>
      <c r="BD3024" t="e" vm="1">
        <v>#REF!</v>
      </c>
      <c r="BF3024" t="e" vm="2">
        <f t="shared" si="270"/>
        <v>#VALUE!</v>
      </c>
      <c r="BG3024" t="e" vm="2">
        <f t="shared" si="271"/>
        <v>#VALUE!</v>
      </c>
      <c r="BJ3024" s="21" t="e" vm="1">
        <v>#REF!</v>
      </c>
      <c r="BK3024" t="e" vm="1">
        <v>#REF!</v>
      </c>
      <c r="BM3024" t="e" vm="2">
        <f t="shared" si="272"/>
        <v>#VALUE!</v>
      </c>
      <c r="BN3024" t="e" vm="2">
        <f t="shared" si="273"/>
        <v>#VALUE!</v>
      </c>
    </row>
    <row r="3025" spans="55:66" x14ac:dyDescent="0.2">
      <c r="BC3025" s="21" t="e" vm="1">
        <v>#REF!</v>
      </c>
      <c r="BD3025" t="e" vm="1">
        <v>#REF!</v>
      </c>
      <c r="BF3025" t="e" vm="2">
        <f t="shared" si="270"/>
        <v>#VALUE!</v>
      </c>
      <c r="BG3025" t="e" vm="2">
        <f t="shared" si="271"/>
        <v>#VALUE!</v>
      </c>
      <c r="BJ3025" s="21" t="e" vm="1">
        <v>#REF!</v>
      </c>
      <c r="BK3025" t="e" vm="1">
        <v>#REF!</v>
      </c>
      <c r="BM3025" t="e" vm="2">
        <f t="shared" si="272"/>
        <v>#VALUE!</v>
      </c>
      <c r="BN3025" t="e" vm="2">
        <f t="shared" si="273"/>
        <v>#VALUE!</v>
      </c>
    </row>
    <row r="3026" spans="55:66" x14ac:dyDescent="0.2">
      <c r="BC3026" s="21" t="e" vm="1">
        <v>#REF!</v>
      </c>
      <c r="BD3026" t="e" vm="1">
        <v>#REF!</v>
      </c>
      <c r="BF3026" t="e" vm="2">
        <f t="shared" si="270"/>
        <v>#VALUE!</v>
      </c>
      <c r="BG3026" t="e" vm="2">
        <f t="shared" si="271"/>
        <v>#VALUE!</v>
      </c>
      <c r="BJ3026" s="21" t="e" vm="1">
        <v>#REF!</v>
      </c>
      <c r="BK3026" t="e" vm="1">
        <v>#REF!</v>
      </c>
      <c r="BM3026" t="e" vm="2">
        <f t="shared" si="272"/>
        <v>#VALUE!</v>
      </c>
      <c r="BN3026" t="e" vm="2">
        <f t="shared" si="273"/>
        <v>#VALUE!</v>
      </c>
    </row>
    <row r="3027" spans="55:66" x14ac:dyDescent="0.2">
      <c r="BC3027" s="21" t="e" vm="1">
        <v>#REF!</v>
      </c>
      <c r="BD3027" t="e" vm="1">
        <v>#REF!</v>
      </c>
      <c r="BF3027" t="e" vm="2">
        <f t="shared" si="270"/>
        <v>#VALUE!</v>
      </c>
      <c r="BG3027" t="e" vm="2">
        <f t="shared" si="271"/>
        <v>#VALUE!</v>
      </c>
      <c r="BJ3027" s="21" t="e" vm="1">
        <v>#REF!</v>
      </c>
      <c r="BK3027" t="e" vm="1">
        <v>#REF!</v>
      </c>
      <c r="BM3027" t="e" vm="2">
        <f t="shared" si="272"/>
        <v>#VALUE!</v>
      </c>
      <c r="BN3027" t="e" vm="2">
        <f t="shared" si="273"/>
        <v>#VALUE!</v>
      </c>
    </row>
    <row r="3028" spans="55:66" x14ac:dyDescent="0.2">
      <c r="BC3028" s="21" t="e" vm="1">
        <v>#REF!</v>
      </c>
      <c r="BD3028" t="e" vm="1">
        <v>#REF!</v>
      </c>
      <c r="BF3028" t="e" vm="2">
        <f t="shared" si="270"/>
        <v>#VALUE!</v>
      </c>
      <c r="BG3028" t="e" vm="2">
        <f t="shared" si="271"/>
        <v>#VALUE!</v>
      </c>
      <c r="BJ3028" s="21" t="e" vm="1">
        <v>#REF!</v>
      </c>
      <c r="BK3028" t="e" vm="1">
        <v>#REF!</v>
      </c>
      <c r="BM3028" t="e" vm="2">
        <f t="shared" si="272"/>
        <v>#VALUE!</v>
      </c>
      <c r="BN3028" t="e" vm="2">
        <f t="shared" si="273"/>
        <v>#VALUE!</v>
      </c>
    </row>
    <row r="3029" spans="55:66" x14ac:dyDescent="0.2">
      <c r="BC3029" s="21" t="e" vm="1">
        <v>#REF!</v>
      </c>
      <c r="BD3029" t="e" vm="1">
        <v>#REF!</v>
      </c>
      <c r="BF3029" t="e" vm="2">
        <f t="shared" si="270"/>
        <v>#VALUE!</v>
      </c>
      <c r="BG3029" t="e" vm="2">
        <f t="shared" si="271"/>
        <v>#VALUE!</v>
      </c>
      <c r="BJ3029" s="21" t="e" vm="1">
        <v>#REF!</v>
      </c>
      <c r="BK3029" t="e" vm="1">
        <v>#REF!</v>
      </c>
      <c r="BM3029" t="e" vm="2">
        <f t="shared" si="272"/>
        <v>#VALUE!</v>
      </c>
      <c r="BN3029" t="e" vm="2">
        <f t="shared" si="273"/>
        <v>#VALUE!</v>
      </c>
    </row>
    <row r="3030" spans="55:66" x14ac:dyDescent="0.2">
      <c r="BC3030" s="21" t="e" vm="1">
        <v>#REF!</v>
      </c>
      <c r="BD3030" t="e" vm="1">
        <v>#REF!</v>
      </c>
      <c r="BF3030" t="e" vm="2">
        <f t="shared" si="270"/>
        <v>#VALUE!</v>
      </c>
      <c r="BG3030" t="e" vm="2">
        <f t="shared" si="271"/>
        <v>#VALUE!</v>
      </c>
      <c r="BJ3030" s="21" t="e" vm="1">
        <v>#REF!</v>
      </c>
      <c r="BK3030" t="e" vm="1">
        <v>#REF!</v>
      </c>
      <c r="BM3030" t="e" vm="2">
        <f t="shared" si="272"/>
        <v>#VALUE!</v>
      </c>
      <c r="BN3030" t="e" vm="2">
        <f t="shared" si="273"/>
        <v>#VALUE!</v>
      </c>
    </row>
    <row r="3031" spans="55:66" x14ac:dyDescent="0.2">
      <c r="BC3031" s="21" t="e" vm="1">
        <v>#REF!</v>
      </c>
      <c r="BD3031" t="e" vm="1">
        <v>#REF!</v>
      </c>
      <c r="BF3031" t="e" vm="2">
        <f t="shared" si="270"/>
        <v>#VALUE!</v>
      </c>
      <c r="BG3031" t="e" vm="2">
        <f t="shared" si="271"/>
        <v>#VALUE!</v>
      </c>
      <c r="BJ3031" s="21" t="e" vm="1">
        <v>#REF!</v>
      </c>
      <c r="BK3031" t="e" vm="1">
        <v>#REF!</v>
      </c>
      <c r="BM3031" t="e" vm="2">
        <f t="shared" si="272"/>
        <v>#VALUE!</v>
      </c>
      <c r="BN3031" t="e" vm="2">
        <f t="shared" si="273"/>
        <v>#VALUE!</v>
      </c>
    </row>
    <row r="3032" spans="55:66" x14ac:dyDescent="0.2">
      <c r="BC3032" s="21" t="e" vm="1">
        <v>#REF!</v>
      </c>
      <c r="BD3032" t="e" vm="1">
        <v>#REF!</v>
      </c>
      <c r="BF3032" t="e" vm="2">
        <f t="shared" si="270"/>
        <v>#VALUE!</v>
      </c>
      <c r="BG3032" t="e" vm="2">
        <f t="shared" si="271"/>
        <v>#VALUE!</v>
      </c>
      <c r="BJ3032" s="21" t="e" vm="1">
        <v>#REF!</v>
      </c>
      <c r="BK3032" t="e" vm="1">
        <v>#REF!</v>
      </c>
      <c r="BM3032" t="e" vm="2">
        <f t="shared" si="272"/>
        <v>#VALUE!</v>
      </c>
      <c r="BN3032" t="e" vm="2">
        <f t="shared" si="273"/>
        <v>#VALUE!</v>
      </c>
    </row>
    <row r="3033" spans="55:66" x14ac:dyDescent="0.2">
      <c r="BC3033" s="21" t="e" vm="1">
        <v>#REF!</v>
      </c>
      <c r="BD3033" t="e" vm="1">
        <v>#REF!</v>
      </c>
      <c r="BF3033" t="e" vm="2">
        <f t="shared" si="270"/>
        <v>#VALUE!</v>
      </c>
      <c r="BG3033" t="e" vm="2">
        <f t="shared" si="271"/>
        <v>#VALUE!</v>
      </c>
      <c r="BJ3033" s="21" t="e" vm="1">
        <v>#REF!</v>
      </c>
      <c r="BK3033" t="e" vm="1">
        <v>#REF!</v>
      </c>
      <c r="BM3033" t="e" vm="2">
        <f t="shared" si="272"/>
        <v>#VALUE!</v>
      </c>
      <c r="BN3033" t="e" vm="2">
        <f t="shared" si="273"/>
        <v>#VALUE!</v>
      </c>
    </row>
    <row r="3034" spans="55:66" x14ac:dyDescent="0.2">
      <c r="BC3034" s="21" t="e" vm="1">
        <v>#REF!</v>
      </c>
      <c r="BD3034" t="e" vm="1">
        <v>#REF!</v>
      </c>
      <c r="BF3034" t="e" vm="2">
        <f t="shared" si="270"/>
        <v>#VALUE!</v>
      </c>
      <c r="BG3034" t="e" vm="2">
        <f t="shared" si="271"/>
        <v>#VALUE!</v>
      </c>
      <c r="BJ3034" s="21" t="e" vm="1">
        <v>#REF!</v>
      </c>
      <c r="BK3034" t="e" vm="1">
        <v>#REF!</v>
      </c>
      <c r="BM3034" t="e" vm="2">
        <f t="shared" si="272"/>
        <v>#VALUE!</v>
      </c>
      <c r="BN3034" t="e" vm="2">
        <f t="shared" si="273"/>
        <v>#VALUE!</v>
      </c>
    </row>
    <row r="3035" spans="55:66" x14ac:dyDescent="0.2">
      <c r="BC3035" s="21" t="e" vm="1">
        <v>#REF!</v>
      </c>
      <c r="BD3035" t="e" vm="1">
        <v>#REF!</v>
      </c>
      <c r="BF3035" t="e" vm="2">
        <f t="shared" si="270"/>
        <v>#VALUE!</v>
      </c>
      <c r="BG3035" t="e" vm="2">
        <f t="shared" si="271"/>
        <v>#VALUE!</v>
      </c>
      <c r="BJ3035" s="21" t="e" vm="1">
        <v>#REF!</v>
      </c>
      <c r="BK3035" t="e" vm="1">
        <v>#REF!</v>
      </c>
      <c r="BM3035" t="e" vm="2">
        <f t="shared" si="272"/>
        <v>#VALUE!</v>
      </c>
      <c r="BN3035" t="e" vm="2">
        <f t="shared" si="273"/>
        <v>#VALUE!</v>
      </c>
    </row>
    <row r="3036" spans="55:66" x14ac:dyDescent="0.2">
      <c r="BC3036" s="21" t="e" vm="1">
        <v>#REF!</v>
      </c>
      <c r="BD3036" t="e" vm="1">
        <v>#REF!</v>
      </c>
      <c r="BF3036" t="e" vm="2">
        <f t="shared" si="270"/>
        <v>#VALUE!</v>
      </c>
      <c r="BG3036" t="e" vm="2">
        <f t="shared" si="271"/>
        <v>#VALUE!</v>
      </c>
      <c r="BJ3036" s="21" t="e" vm="1">
        <v>#REF!</v>
      </c>
      <c r="BK3036" t="e" vm="1">
        <v>#REF!</v>
      </c>
      <c r="BM3036" t="e" vm="2">
        <f t="shared" si="272"/>
        <v>#VALUE!</v>
      </c>
      <c r="BN3036" t="e" vm="2">
        <f t="shared" si="273"/>
        <v>#VALUE!</v>
      </c>
    </row>
    <row r="3037" spans="55:66" x14ac:dyDescent="0.2">
      <c r="BC3037" s="21" t="e" vm="1">
        <v>#REF!</v>
      </c>
      <c r="BD3037" t="e" vm="1">
        <v>#REF!</v>
      </c>
      <c r="BF3037" t="e" vm="2">
        <f t="shared" si="270"/>
        <v>#VALUE!</v>
      </c>
      <c r="BG3037" t="e" vm="2">
        <f t="shared" si="271"/>
        <v>#VALUE!</v>
      </c>
      <c r="BJ3037" s="21" t="e" vm="1">
        <v>#REF!</v>
      </c>
      <c r="BK3037" t="e" vm="1">
        <v>#REF!</v>
      </c>
      <c r="BM3037" t="e" vm="2">
        <f t="shared" si="272"/>
        <v>#VALUE!</v>
      </c>
      <c r="BN3037" t="e" vm="2">
        <f t="shared" si="273"/>
        <v>#VALUE!</v>
      </c>
    </row>
    <row r="3038" spans="55:66" x14ac:dyDescent="0.2">
      <c r="BC3038" s="21" t="e" vm="1">
        <v>#REF!</v>
      </c>
      <c r="BD3038" t="e" vm="1">
        <v>#REF!</v>
      </c>
      <c r="BF3038" t="e" vm="2">
        <f t="shared" si="270"/>
        <v>#VALUE!</v>
      </c>
      <c r="BG3038" t="e" vm="2">
        <f t="shared" si="271"/>
        <v>#VALUE!</v>
      </c>
      <c r="BJ3038" s="21" t="e" vm="1">
        <v>#REF!</v>
      </c>
      <c r="BK3038" t="e" vm="1">
        <v>#REF!</v>
      </c>
      <c r="BM3038" t="e" vm="2">
        <f t="shared" si="272"/>
        <v>#VALUE!</v>
      </c>
      <c r="BN3038" t="e" vm="2">
        <f t="shared" si="273"/>
        <v>#VALUE!</v>
      </c>
    </row>
    <row r="3039" spans="55:66" x14ac:dyDescent="0.2">
      <c r="BC3039" s="21" t="e" vm="1">
        <v>#REF!</v>
      </c>
      <c r="BD3039" t="e" vm="1">
        <v>#REF!</v>
      </c>
      <c r="BF3039" t="e" vm="2">
        <f t="shared" si="270"/>
        <v>#VALUE!</v>
      </c>
      <c r="BG3039" t="e" vm="2">
        <f t="shared" si="271"/>
        <v>#VALUE!</v>
      </c>
      <c r="BJ3039" s="21" t="e" vm="1">
        <v>#REF!</v>
      </c>
      <c r="BK3039" t="e" vm="1">
        <v>#REF!</v>
      </c>
      <c r="BM3039" t="e" vm="2">
        <f t="shared" si="272"/>
        <v>#VALUE!</v>
      </c>
      <c r="BN3039" t="e" vm="2">
        <f t="shared" si="273"/>
        <v>#VALUE!</v>
      </c>
    </row>
    <row r="3040" spans="55:66" x14ac:dyDescent="0.2">
      <c r="BC3040" s="21" t="e" vm="1">
        <v>#REF!</v>
      </c>
      <c r="BD3040" t="e" vm="1">
        <v>#REF!</v>
      </c>
      <c r="BF3040" t="e" vm="2">
        <f t="shared" si="270"/>
        <v>#VALUE!</v>
      </c>
      <c r="BG3040" t="e" vm="2">
        <f t="shared" si="271"/>
        <v>#VALUE!</v>
      </c>
      <c r="BJ3040" s="21" t="e" vm="1">
        <v>#REF!</v>
      </c>
      <c r="BK3040" t="e" vm="1">
        <v>#REF!</v>
      </c>
      <c r="BM3040" t="e" vm="2">
        <f t="shared" si="272"/>
        <v>#VALUE!</v>
      </c>
      <c r="BN3040" t="e" vm="2">
        <f t="shared" si="273"/>
        <v>#VALUE!</v>
      </c>
    </row>
    <row r="3041" spans="55:66" x14ac:dyDescent="0.2">
      <c r="BC3041" s="21" t="e" vm="1">
        <v>#REF!</v>
      </c>
      <c r="BD3041" t="e" vm="1">
        <v>#REF!</v>
      </c>
      <c r="BF3041" t="e" vm="2">
        <f t="shared" si="270"/>
        <v>#VALUE!</v>
      </c>
      <c r="BG3041" t="e" vm="2">
        <f t="shared" si="271"/>
        <v>#VALUE!</v>
      </c>
      <c r="BJ3041" s="21" t="e" vm="1">
        <v>#REF!</v>
      </c>
      <c r="BK3041" t="e" vm="1">
        <v>#REF!</v>
      </c>
      <c r="BM3041" t="e" vm="2">
        <f t="shared" si="272"/>
        <v>#VALUE!</v>
      </c>
      <c r="BN3041" t="e" vm="2">
        <f t="shared" si="273"/>
        <v>#VALUE!</v>
      </c>
    </row>
    <row r="3042" spans="55:66" x14ac:dyDescent="0.2">
      <c r="BC3042" s="21" t="e" vm="1">
        <v>#REF!</v>
      </c>
      <c r="BD3042" t="e" vm="1">
        <v>#REF!</v>
      </c>
      <c r="BF3042" t="e" vm="2">
        <f t="shared" si="270"/>
        <v>#VALUE!</v>
      </c>
      <c r="BG3042" t="e" vm="2">
        <f t="shared" si="271"/>
        <v>#VALUE!</v>
      </c>
      <c r="BJ3042" s="21" t="e" vm="1">
        <v>#REF!</v>
      </c>
      <c r="BK3042" t="e" vm="1">
        <v>#REF!</v>
      </c>
      <c r="BM3042" t="e" vm="2">
        <f t="shared" si="272"/>
        <v>#VALUE!</v>
      </c>
      <c r="BN3042" t="e" vm="2">
        <f t="shared" si="273"/>
        <v>#VALUE!</v>
      </c>
    </row>
    <row r="3043" spans="55:66" x14ac:dyDescent="0.2">
      <c r="BC3043" s="21" t="e" vm="1">
        <v>#REF!</v>
      </c>
      <c r="BD3043" t="e" vm="1">
        <v>#REF!</v>
      </c>
      <c r="BF3043" t="e" vm="2">
        <f t="shared" si="270"/>
        <v>#VALUE!</v>
      </c>
      <c r="BG3043" t="e" vm="2">
        <f t="shared" si="271"/>
        <v>#VALUE!</v>
      </c>
      <c r="BJ3043" s="21" t="e" vm="1">
        <v>#REF!</v>
      </c>
      <c r="BK3043" t="e" vm="1">
        <v>#REF!</v>
      </c>
      <c r="BM3043" t="e" vm="2">
        <f t="shared" si="272"/>
        <v>#VALUE!</v>
      </c>
      <c r="BN3043" t="e" vm="2">
        <f t="shared" si="273"/>
        <v>#VALUE!</v>
      </c>
    </row>
    <row r="3044" spans="55:66" x14ac:dyDescent="0.2">
      <c r="BC3044" s="21" t="e" vm="1">
        <v>#REF!</v>
      </c>
      <c r="BD3044" t="e" vm="1">
        <v>#REF!</v>
      </c>
      <c r="BF3044" t="e" vm="2">
        <f t="shared" si="270"/>
        <v>#VALUE!</v>
      </c>
      <c r="BG3044" t="e" vm="2">
        <f t="shared" si="271"/>
        <v>#VALUE!</v>
      </c>
      <c r="BJ3044" s="21" t="e" vm="1">
        <v>#REF!</v>
      </c>
      <c r="BK3044" t="e" vm="1">
        <v>#REF!</v>
      </c>
      <c r="BM3044" t="e" vm="2">
        <f t="shared" si="272"/>
        <v>#VALUE!</v>
      </c>
      <c r="BN3044" t="e" vm="2">
        <f t="shared" si="273"/>
        <v>#VALUE!</v>
      </c>
    </row>
    <row r="3045" spans="55:66" x14ac:dyDescent="0.2">
      <c r="BC3045" s="21" t="e" vm="1">
        <v>#REF!</v>
      </c>
      <c r="BD3045" t="e" vm="1">
        <v>#REF!</v>
      </c>
      <c r="BF3045" t="e" vm="2">
        <f t="shared" si="270"/>
        <v>#VALUE!</v>
      </c>
      <c r="BG3045" t="e" vm="2">
        <f t="shared" si="271"/>
        <v>#VALUE!</v>
      </c>
      <c r="BJ3045" s="21" t="e" vm="1">
        <v>#REF!</v>
      </c>
      <c r="BK3045" t="e" vm="1">
        <v>#REF!</v>
      </c>
      <c r="BM3045" t="e" vm="2">
        <f t="shared" si="272"/>
        <v>#VALUE!</v>
      </c>
      <c r="BN3045" t="e" vm="2">
        <f t="shared" si="273"/>
        <v>#VALUE!</v>
      </c>
    </row>
    <row r="3046" spans="55:66" x14ac:dyDescent="0.2">
      <c r="BC3046" s="21" t="e" vm="1">
        <v>#REF!</v>
      </c>
      <c r="BD3046" t="e" vm="1">
        <v>#REF!</v>
      </c>
      <c r="BF3046" t="e" vm="2">
        <f t="shared" si="270"/>
        <v>#VALUE!</v>
      </c>
      <c r="BG3046" t="e" vm="2">
        <f t="shared" si="271"/>
        <v>#VALUE!</v>
      </c>
      <c r="BJ3046" s="21" t="e" vm="1">
        <v>#REF!</v>
      </c>
      <c r="BK3046" t="e" vm="1">
        <v>#REF!</v>
      </c>
      <c r="BM3046" t="e" vm="2">
        <f t="shared" si="272"/>
        <v>#VALUE!</v>
      </c>
      <c r="BN3046" t="e" vm="2">
        <f t="shared" si="273"/>
        <v>#VALUE!</v>
      </c>
    </row>
    <row r="3047" spans="55:66" x14ac:dyDescent="0.2">
      <c r="BC3047" s="21" t="e" vm="1">
        <v>#REF!</v>
      </c>
      <c r="BD3047" t="e" vm="1">
        <v>#REF!</v>
      </c>
      <c r="BF3047" t="e" vm="2">
        <f t="shared" si="270"/>
        <v>#VALUE!</v>
      </c>
      <c r="BG3047" t="e" vm="2">
        <f t="shared" si="271"/>
        <v>#VALUE!</v>
      </c>
      <c r="BJ3047" s="21" t="e" vm="1">
        <v>#REF!</v>
      </c>
      <c r="BK3047" t="e" vm="1">
        <v>#REF!</v>
      </c>
      <c r="BM3047" t="e" vm="2">
        <f t="shared" si="272"/>
        <v>#VALUE!</v>
      </c>
      <c r="BN3047" t="e" vm="2">
        <f t="shared" si="273"/>
        <v>#VALUE!</v>
      </c>
    </row>
    <row r="3048" spans="55:66" x14ac:dyDescent="0.2">
      <c r="BC3048" s="21" t="e" vm="1">
        <v>#REF!</v>
      </c>
      <c r="BD3048" t="e" vm="1">
        <v>#REF!</v>
      </c>
      <c r="BF3048" t="e" vm="2">
        <f t="shared" si="270"/>
        <v>#VALUE!</v>
      </c>
      <c r="BG3048" t="e" vm="2">
        <f t="shared" si="271"/>
        <v>#VALUE!</v>
      </c>
      <c r="BJ3048" s="21" t="e" vm="1">
        <v>#REF!</v>
      </c>
      <c r="BK3048" t="e" vm="1">
        <v>#REF!</v>
      </c>
      <c r="BM3048" t="e" vm="2">
        <f t="shared" si="272"/>
        <v>#VALUE!</v>
      </c>
      <c r="BN3048" t="e" vm="2">
        <f t="shared" si="273"/>
        <v>#VALUE!</v>
      </c>
    </row>
    <row r="3049" spans="55:66" x14ac:dyDescent="0.2">
      <c r="BC3049" s="21" t="e" vm="1">
        <v>#REF!</v>
      </c>
      <c r="BD3049" t="e" vm="1">
        <v>#REF!</v>
      </c>
      <c r="BF3049" t="e" vm="2">
        <f t="shared" si="270"/>
        <v>#VALUE!</v>
      </c>
      <c r="BG3049" t="e" vm="2">
        <f t="shared" si="271"/>
        <v>#VALUE!</v>
      </c>
      <c r="BJ3049" s="21" t="e" vm="1">
        <v>#REF!</v>
      </c>
      <c r="BK3049" t="e" vm="1">
        <v>#REF!</v>
      </c>
      <c r="BM3049" t="e" vm="2">
        <f t="shared" si="272"/>
        <v>#VALUE!</v>
      </c>
      <c r="BN3049" t="e" vm="2">
        <f t="shared" si="273"/>
        <v>#VALUE!</v>
      </c>
    </row>
    <row r="3050" spans="55:66" x14ac:dyDescent="0.2">
      <c r="BC3050" s="21" t="e" vm="1">
        <v>#REF!</v>
      </c>
      <c r="BD3050" t="e" vm="1">
        <v>#REF!</v>
      </c>
      <c r="BF3050" t="e" vm="2">
        <f t="shared" si="270"/>
        <v>#VALUE!</v>
      </c>
      <c r="BG3050" t="e" vm="2">
        <f t="shared" si="271"/>
        <v>#VALUE!</v>
      </c>
      <c r="BJ3050" s="21" t="e" vm="1">
        <v>#REF!</v>
      </c>
      <c r="BK3050" t="e" vm="1">
        <v>#REF!</v>
      </c>
      <c r="BM3050" t="e" vm="2">
        <f t="shared" si="272"/>
        <v>#VALUE!</v>
      </c>
      <c r="BN3050" t="e" vm="2">
        <f t="shared" si="273"/>
        <v>#VALUE!</v>
      </c>
    </row>
    <row r="3051" spans="55:66" x14ac:dyDescent="0.2">
      <c r="BC3051" s="21" t="e" vm="1">
        <v>#REF!</v>
      </c>
      <c r="BD3051" t="e" vm="1">
        <v>#REF!</v>
      </c>
      <c r="BF3051" t="e" vm="2">
        <f t="shared" si="270"/>
        <v>#VALUE!</v>
      </c>
      <c r="BG3051" t="e" vm="2">
        <f t="shared" si="271"/>
        <v>#VALUE!</v>
      </c>
      <c r="BJ3051" s="21" t="e" vm="1">
        <v>#REF!</v>
      </c>
      <c r="BK3051" t="e" vm="1">
        <v>#REF!</v>
      </c>
      <c r="BM3051" t="e" vm="2">
        <f t="shared" si="272"/>
        <v>#VALUE!</v>
      </c>
      <c r="BN3051" t="e" vm="2">
        <f t="shared" si="273"/>
        <v>#VALUE!</v>
      </c>
    </row>
    <row r="3052" spans="55:66" x14ac:dyDescent="0.2">
      <c r="BC3052" s="21" t="e" vm="1">
        <v>#REF!</v>
      </c>
      <c r="BD3052" t="e" vm="1">
        <v>#REF!</v>
      </c>
      <c r="BF3052" t="e" vm="2">
        <f t="shared" si="270"/>
        <v>#VALUE!</v>
      </c>
      <c r="BG3052" t="e" vm="2">
        <f t="shared" si="271"/>
        <v>#VALUE!</v>
      </c>
      <c r="BJ3052" s="21" t="e" vm="1">
        <v>#REF!</v>
      </c>
      <c r="BK3052" t="e" vm="1">
        <v>#REF!</v>
      </c>
      <c r="BM3052" t="e" vm="2">
        <f t="shared" si="272"/>
        <v>#VALUE!</v>
      </c>
      <c r="BN3052" t="e" vm="2">
        <f t="shared" si="273"/>
        <v>#VALUE!</v>
      </c>
    </row>
    <row r="3053" spans="55:66" x14ac:dyDescent="0.2">
      <c r="BC3053" s="21" t="e" vm="1">
        <v>#REF!</v>
      </c>
      <c r="BD3053" t="e" vm="1">
        <v>#REF!</v>
      </c>
      <c r="BF3053" t="e" vm="2">
        <f t="shared" si="270"/>
        <v>#VALUE!</v>
      </c>
      <c r="BG3053" t="e" vm="2">
        <f t="shared" si="271"/>
        <v>#VALUE!</v>
      </c>
      <c r="BJ3053" s="21" t="e" vm="1">
        <v>#REF!</v>
      </c>
      <c r="BK3053" t="e" vm="1">
        <v>#REF!</v>
      </c>
      <c r="BM3053" t="e" vm="2">
        <f t="shared" si="272"/>
        <v>#VALUE!</v>
      </c>
      <c r="BN3053" t="e" vm="2">
        <f t="shared" si="273"/>
        <v>#VALUE!</v>
      </c>
    </row>
    <row r="3054" spans="55:66" x14ac:dyDescent="0.2">
      <c r="BC3054" s="21" t="e" vm="1">
        <v>#REF!</v>
      </c>
      <c r="BD3054" t="e" vm="1">
        <v>#REF!</v>
      </c>
      <c r="BF3054" t="e" vm="2">
        <f t="shared" si="270"/>
        <v>#VALUE!</v>
      </c>
      <c r="BG3054" t="e" vm="2">
        <f t="shared" si="271"/>
        <v>#VALUE!</v>
      </c>
      <c r="BJ3054" s="21" t="e" vm="1">
        <v>#REF!</v>
      </c>
      <c r="BK3054" t="e" vm="1">
        <v>#REF!</v>
      </c>
      <c r="BM3054" t="e" vm="2">
        <f t="shared" si="272"/>
        <v>#VALUE!</v>
      </c>
      <c r="BN3054" t="e" vm="2">
        <f t="shared" si="273"/>
        <v>#VALUE!</v>
      </c>
    </row>
    <row r="3055" spans="55:66" x14ac:dyDescent="0.2">
      <c r="BC3055" s="21" t="e" vm="1">
        <v>#REF!</v>
      </c>
      <c r="BD3055" t="e" vm="1">
        <v>#REF!</v>
      </c>
      <c r="BF3055" t="e" vm="2">
        <f t="shared" si="270"/>
        <v>#VALUE!</v>
      </c>
      <c r="BG3055" t="e" vm="2">
        <f t="shared" si="271"/>
        <v>#VALUE!</v>
      </c>
      <c r="BJ3055" s="21" t="e" vm="1">
        <v>#REF!</v>
      </c>
      <c r="BK3055" t="e" vm="1">
        <v>#REF!</v>
      </c>
      <c r="BM3055" t="e" vm="2">
        <f t="shared" si="272"/>
        <v>#VALUE!</v>
      </c>
      <c r="BN3055" t="e" vm="2">
        <f t="shared" si="273"/>
        <v>#VALUE!</v>
      </c>
    </row>
    <row r="3056" spans="55:66" x14ac:dyDescent="0.2">
      <c r="BC3056" s="21" t="e" vm="1">
        <v>#REF!</v>
      </c>
      <c r="BD3056" t="e" vm="1">
        <v>#REF!</v>
      </c>
      <c r="BF3056" t="e" vm="2">
        <f t="shared" si="270"/>
        <v>#VALUE!</v>
      </c>
      <c r="BG3056" t="e" vm="2">
        <f t="shared" si="271"/>
        <v>#VALUE!</v>
      </c>
      <c r="BJ3056" s="21" t="e" vm="1">
        <v>#REF!</v>
      </c>
      <c r="BK3056" t="e" vm="1">
        <v>#REF!</v>
      </c>
      <c r="BM3056" t="e" vm="2">
        <f t="shared" si="272"/>
        <v>#VALUE!</v>
      </c>
      <c r="BN3056" t="e" vm="2">
        <f t="shared" si="273"/>
        <v>#VALUE!</v>
      </c>
    </row>
    <row r="3057" spans="55:66" x14ac:dyDescent="0.2">
      <c r="BC3057" s="21" t="e" vm="1">
        <v>#REF!</v>
      </c>
      <c r="BD3057" t="e" vm="1">
        <v>#REF!</v>
      </c>
      <c r="BF3057" t="e" vm="2">
        <f t="shared" si="270"/>
        <v>#VALUE!</v>
      </c>
      <c r="BG3057" t="e" vm="2">
        <f t="shared" si="271"/>
        <v>#VALUE!</v>
      </c>
      <c r="BJ3057" s="21" t="e" vm="1">
        <v>#REF!</v>
      </c>
      <c r="BK3057" t="e" vm="1">
        <v>#REF!</v>
      </c>
      <c r="BM3057" t="e" vm="2">
        <f t="shared" si="272"/>
        <v>#VALUE!</v>
      </c>
      <c r="BN3057" t="e" vm="2">
        <f t="shared" si="273"/>
        <v>#VALUE!</v>
      </c>
    </row>
    <row r="3058" spans="55:66" x14ac:dyDescent="0.2">
      <c r="BC3058" s="21" t="e" vm="1">
        <v>#REF!</v>
      </c>
      <c r="BD3058" t="e" vm="1">
        <v>#REF!</v>
      </c>
      <c r="BF3058" t="e" vm="2">
        <f t="shared" si="270"/>
        <v>#VALUE!</v>
      </c>
      <c r="BG3058" t="e" vm="2">
        <f t="shared" si="271"/>
        <v>#VALUE!</v>
      </c>
      <c r="BJ3058" s="21" t="e" vm="1">
        <v>#REF!</v>
      </c>
      <c r="BK3058" t="e" vm="1">
        <v>#REF!</v>
      </c>
      <c r="BM3058" t="e" vm="2">
        <f t="shared" si="272"/>
        <v>#VALUE!</v>
      </c>
      <c r="BN3058" t="e" vm="2">
        <f t="shared" si="273"/>
        <v>#VALUE!</v>
      </c>
    </row>
    <row r="3059" spans="55:66" x14ac:dyDescent="0.2">
      <c r="BC3059" s="21" t="e" vm="1">
        <v>#REF!</v>
      </c>
      <c r="BD3059" t="e" vm="1">
        <v>#REF!</v>
      </c>
      <c r="BF3059" t="e" vm="2">
        <f t="shared" si="270"/>
        <v>#VALUE!</v>
      </c>
      <c r="BG3059" t="e" vm="2">
        <f t="shared" si="271"/>
        <v>#VALUE!</v>
      </c>
      <c r="BJ3059" s="21" t="e" vm="1">
        <v>#REF!</v>
      </c>
      <c r="BK3059" t="e" vm="1">
        <v>#REF!</v>
      </c>
      <c r="BM3059" t="e" vm="2">
        <f t="shared" si="272"/>
        <v>#VALUE!</v>
      </c>
      <c r="BN3059" t="e" vm="2">
        <f t="shared" si="273"/>
        <v>#VALUE!</v>
      </c>
    </row>
    <row r="3060" spans="55:66" x14ac:dyDescent="0.2">
      <c r="BC3060" s="21" t="e" vm="1">
        <v>#REF!</v>
      </c>
      <c r="BD3060" t="e" vm="1">
        <v>#REF!</v>
      </c>
      <c r="BF3060" t="e" vm="2">
        <f t="shared" si="270"/>
        <v>#VALUE!</v>
      </c>
      <c r="BG3060" t="e" vm="2">
        <f t="shared" si="271"/>
        <v>#VALUE!</v>
      </c>
      <c r="BJ3060" s="21" t="e" vm="1">
        <v>#REF!</v>
      </c>
      <c r="BK3060" t="e" vm="1">
        <v>#REF!</v>
      </c>
      <c r="BM3060" t="e" vm="2">
        <f t="shared" si="272"/>
        <v>#VALUE!</v>
      </c>
      <c r="BN3060" t="e" vm="2">
        <f t="shared" si="273"/>
        <v>#VALUE!</v>
      </c>
    </row>
    <row r="3061" spans="55:66" x14ac:dyDescent="0.2">
      <c r="BC3061" s="21" t="e" vm="1">
        <v>#REF!</v>
      </c>
      <c r="BD3061" t="e" vm="1">
        <v>#REF!</v>
      </c>
      <c r="BF3061" t="e" vm="2">
        <f t="shared" si="270"/>
        <v>#VALUE!</v>
      </c>
      <c r="BG3061" t="e" vm="2">
        <f t="shared" si="271"/>
        <v>#VALUE!</v>
      </c>
      <c r="BJ3061" s="21" t="e" vm="1">
        <v>#REF!</v>
      </c>
      <c r="BK3061" t="e" vm="1">
        <v>#REF!</v>
      </c>
      <c r="BM3061" t="e" vm="2">
        <f t="shared" si="272"/>
        <v>#VALUE!</v>
      </c>
      <c r="BN3061" t="e" vm="2">
        <f t="shared" si="273"/>
        <v>#VALUE!</v>
      </c>
    </row>
    <row r="3062" spans="55:66" x14ac:dyDescent="0.2">
      <c r="BC3062" s="21" t="e" vm="1">
        <v>#REF!</v>
      </c>
      <c r="BD3062" t="e" vm="1">
        <v>#REF!</v>
      </c>
      <c r="BF3062" t="e" vm="2">
        <f t="shared" si="270"/>
        <v>#VALUE!</v>
      </c>
      <c r="BG3062" t="e" vm="2">
        <f t="shared" si="271"/>
        <v>#VALUE!</v>
      </c>
      <c r="BJ3062" s="21" t="e" vm="1">
        <v>#REF!</v>
      </c>
      <c r="BK3062" t="e" vm="1">
        <v>#REF!</v>
      </c>
      <c r="BM3062" t="e" vm="2">
        <f t="shared" si="272"/>
        <v>#VALUE!</v>
      </c>
      <c r="BN3062" t="e" vm="2">
        <f t="shared" si="273"/>
        <v>#VALUE!</v>
      </c>
    </row>
    <row r="3063" spans="55:66" x14ac:dyDescent="0.2">
      <c r="BC3063" s="21" t="e" vm="1">
        <v>#REF!</v>
      </c>
      <c r="BD3063" t="e" vm="1">
        <v>#REF!</v>
      </c>
      <c r="BF3063" t="e" vm="2">
        <f t="shared" si="270"/>
        <v>#VALUE!</v>
      </c>
      <c r="BG3063" t="e" vm="2">
        <f t="shared" si="271"/>
        <v>#VALUE!</v>
      </c>
      <c r="BJ3063" s="21" t="e" vm="1">
        <v>#REF!</v>
      </c>
      <c r="BK3063" t="e" vm="1">
        <v>#REF!</v>
      </c>
      <c r="BM3063" t="e" vm="2">
        <f t="shared" si="272"/>
        <v>#VALUE!</v>
      </c>
      <c r="BN3063" t="e" vm="2">
        <f t="shared" si="273"/>
        <v>#VALUE!</v>
      </c>
    </row>
    <row r="3064" spans="55:66" x14ac:dyDescent="0.2">
      <c r="BC3064" s="21" t="e" vm="1">
        <v>#REF!</v>
      </c>
      <c r="BD3064" t="e" vm="1">
        <v>#REF!</v>
      </c>
      <c r="BF3064" t="e" vm="2">
        <f t="shared" si="270"/>
        <v>#VALUE!</v>
      </c>
      <c r="BG3064" t="e" vm="2">
        <f t="shared" si="271"/>
        <v>#VALUE!</v>
      </c>
      <c r="BJ3064" s="21" t="e" vm="1">
        <v>#REF!</v>
      </c>
      <c r="BK3064" t="e" vm="1">
        <v>#REF!</v>
      </c>
      <c r="BM3064" t="e" vm="2">
        <f t="shared" si="272"/>
        <v>#VALUE!</v>
      </c>
      <c r="BN3064" t="e" vm="2">
        <f t="shared" si="273"/>
        <v>#VALUE!</v>
      </c>
    </row>
    <row r="3065" spans="55:66" x14ac:dyDescent="0.2">
      <c r="BC3065" s="21" t="e" vm="1">
        <v>#REF!</v>
      </c>
      <c r="BD3065" t="e" vm="1">
        <v>#REF!</v>
      </c>
      <c r="BF3065" t="e" vm="2">
        <f t="shared" si="270"/>
        <v>#VALUE!</v>
      </c>
      <c r="BG3065" t="e" vm="2">
        <f t="shared" si="271"/>
        <v>#VALUE!</v>
      </c>
      <c r="BJ3065" s="21" t="e" vm="1">
        <v>#REF!</v>
      </c>
      <c r="BK3065" t="e" vm="1">
        <v>#REF!</v>
      </c>
      <c r="BM3065" t="e" vm="2">
        <f t="shared" si="272"/>
        <v>#VALUE!</v>
      </c>
      <c r="BN3065" t="e" vm="2">
        <f t="shared" si="273"/>
        <v>#VALUE!</v>
      </c>
    </row>
    <row r="3066" spans="55:66" x14ac:dyDescent="0.2">
      <c r="BC3066" s="21" t="e" vm="1">
        <v>#REF!</v>
      </c>
      <c r="BD3066" t="e" vm="1">
        <v>#REF!</v>
      </c>
      <c r="BF3066" t="e" vm="2">
        <f t="shared" si="270"/>
        <v>#VALUE!</v>
      </c>
      <c r="BG3066" t="e" vm="2">
        <f t="shared" si="271"/>
        <v>#VALUE!</v>
      </c>
      <c r="BJ3066" s="21" t="e" vm="1">
        <v>#REF!</v>
      </c>
      <c r="BK3066" t="e" vm="1">
        <v>#REF!</v>
      </c>
      <c r="BM3066" t="e" vm="2">
        <f t="shared" si="272"/>
        <v>#VALUE!</v>
      </c>
      <c r="BN3066" t="e" vm="2">
        <f t="shared" si="273"/>
        <v>#VALUE!</v>
      </c>
    </row>
    <row r="3067" spans="55:66" x14ac:dyDescent="0.2">
      <c r="BC3067" s="21" t="e" vm="1">
        <v>#REF!</v>
      </c>
      <c r="BD3067" t="e" vm="1">
        <v>#REF!</v>
      </c>
      <c r="BF3067" t="e" vm="2">
        <f t="shared" si="270"/>
        <v>#VALUE!</v>
      </c>
      <c r="BG3067" t="e" vm="2">
        <f t="shared" si="271"/>
        <v>#VALUE!</v>
      </c>
      <c r="BJ3067" s="21" t="e" vm="1">
        <v>#REF!</v>
      </c>
      <c r="BK3067" t="e" vm="1">
        <v>#REF!</v>
      </c>
      <c r="BM3067" t="e" vm="2">
        <f t="shared" si="272"/>
        <v>#VALUE!</v>
      </c>
      <c r="BN3067" t="e" vm="2">
        <f t="shared" si="273"/>
        <v>#VALUE!</v>
      </c>
    </row>
    <row r="3068" spans="55:66" x14ac:dyDescent="0.2">
      <c r="BC3068" s="21" t="e" vm="1">
        <v>#REF!</v>
      </c>
      <c r="BD3068" t="e" vm="1">
        <v>#REF!</v>
      </c>
      <c r="BF3068" t="e" vm="2">
        <f t="shared" si="270"/>
        <v>#VALUE!</v>
      </c>
      <c r="BG3068" t="e" vm="2">
        <f t="shared" si="271"/>
        <v>#VALUE!</v>
      </c>
      <c r="BJ3068" s="21" t="e" vm="1">
        <v>#REF!</v>
      </c>
      <c r="BK3068" t="e" vm="1">
        <v>#REF!</v>
      </c>
      <c r="BM3068" t="e" vm="2">
        <f t="shared" si="272"/>
        <v>#VALUE!</v>
      </c>
      <c r="BN3068" t="e" vm="2">
        <f t="shared" si="273"/>
        <v>#VALUE!</v>
      </c>
    </row>
    <row r="3069" spans="55:66" x14ac:dyDescent="0.2">
      <c r="BC3069" s="21" t="e" vm="1">
        <v>#REF!</v>
      </c>
      <c r="BD3069" t="e" vm="1">
        <v>#REF!</v>
      </c>
      <c r="BF3069" t="e" vm="2">
        <f t="shared" si="270"/>
        <v>#VALUE!</v>
      </c>
      <c r="BG3069" t="e" vm="2">
        <f t="shared" si="271"/>
        <v>#VALUE!</v>
      </c>
      <c r="BJ3069" s="21" t="e" vm="1">
        <v>#REF!</v>
      </c>
      <c r="BK3069" t="e" vm="1">
        <v>#REF!</v>
      </c>
      <c r="BM3069" t="e" vm="2">
        <f t="shared" si="272"/>
        <v>#VALUE!</v>
      </c>
      <c r="BN3069" t="e" vm="2">
        <f t="shared" si="273"/>
        <v>#VALUE!</v>
      </c>
    </row>
    <row r="3070" spans="55:66" x14ac:dyDescent="0.2">
      <c r="BC3070" s="21" t="e" vm="1">
        <v>#REF!</v>
      </c>
      <c r="BD3070" t="e" vm="1">
        <v>#REF!</v>
      </c>
      <c r="BF3070" t="e" vm="2">
        <f t="shared" si="270"/>
        <v>#VALUE!</v>
      </c>
      <c r="BG3070" t="e" vm="2">
        <f t="shared" si="271"/>
        <v>#VALUE!</v>
      </c>
      <c r="BJ3070" s="21" t="e" vm="1">
        <v>#REF!</v>
      </c>
      <c r="BK3070" t="e" vm="1">
        <v>#REF!</v>
      </c>
      <c r="BM3070" t="e" vm="2">
        <f t="shared" si="272"/>
        <v>#VALUE!</v>
      </c>
      <c r="BN3070" t="e" vm="2">
        <f t="shared" si="273"/>
        <v>#VALUE!</v>
      </c>
    </row>
    <row r="3071" spans="55:66" x14ac:dyDescent="0.2">
      <c r="BC3071" s="21" t="e" vm="1">
        <v>#REF!</v>
      </c>
      <c r="BD3071" t="e" vm="1">
        <v>#REF!</v>
      </c>
      <c r="BF3071" t="e" vm="2">
        <f t="shared" si="270"/>
        <v>#VALUE!</v>
      </c>
      <c r="BG3071" t="e" vm="2">
        <f t="shared" si="271"/>
        <v>#VALUE!</v>
      </c>
      <c r="BJ3071" s="21" t="e" vm="1">
        <v>#REF!</v>
      </c>
      <c r="BK3071" t="e" vm="1">
        <v>#REF!</v>
      </c>
      <c r="BM3071" t="e" vm="2">
        <f t="shared" si="272"/>
        <v>#VALUE!</v>
      </c>
      <c r="BN3071" t="e" vm="2">
        <f t="shared" si="273"/>
        <v>#VALUE!</v>
      </c>
    </row>
    <row r="3072" spans="55:66" x14ac:dyDescent="0.2">
      <c r="BC3072" s="21" t="e" vm="1">
        <v>#REF!</v>
      </c>
      <c r="BD3072" t="e" vm="1">
        <v>#REF!</v>
      </c>
      <c r="BF3072" t="e" vm="2">
        <f t="shared" si="270"/>
        <v>#VALUE!</v>
      </c>
      <c r="BG3072" t="e" vm="2">
        <f t="shared" si="271"/>
        <v>#VALUE!</v>
      </c>
      <c r="BJ3072" s="21" t="e" vm="1">
        <v>#REF!</v>
      </c>
      <c r="BK3072" t="e" vm="1">
        <v>#REF!</v>
      </c>
      <c r="BM3072" t="e" vm="2">
        <f t="shared" si="272"/>
        <v>#VALUE!</v>
      </c>
      <c r="BN3072" t="e" vm="2">
        <f t="shared" si="273"/>
        <v>#VALUE!</v>
      </c>
    </row>
    <row r="3073" spans="55:66" x14ac:dyDescent="0.2">
      <c r="BC3073" s="21" t="e" vm="1">
        <v>#REF!</v>
      </c>
      <c r="BD3073" t="e" vm="1">
        <v>#REF!</v>
      </c>
      <c r="BF3073" t="e" vm="2">
        <f t="shared" si="270"/>
        <v>#VALUE!</v>
      </c>
      <c r="BG3073" t="e" vm="2">
        <f t="shared" si="271"/>
        <v>#VALUE!</v>
      </c>
      <c r="BJ3073" s="21" t="e" vm="1">
        <v>#REF!</v>
      </c>
      <c r="BK3073" t="e" vm="1">
        <v>#REF!</v>
      </c>
      <c r="BM3073" t="e" vm="2">
        <f t="shared" si="272"/>
        <v>#VALUE!</v>
      </c>
      <c r="BN3073" t="e" vm="2">
        <f t="shared" si="273"/>
        <v>#VALUE!</v>
      </c>
    </row>
    <row r="3074" spans="55:66" x14ac:dyDescent="0.2">
      <c r="BC3074" s="21" t="e" vm="1">
        <v>#REF!</v>
      </c>
      <c r="BD3074" t="e" vm="1">
        <v>#REF!</v>
      </c>
      <c r="BF3074" t="e" vm="2">
        <f t="shared" si="270"/>
        <v>#VALUE!</v>
      </c>
      <c r="BG3074" t="e" vm="2">
        <f t="shared" si="271"/>
        <v>#VALUE!</v>
      </c>
      <c r="BJ3074" s="21" t="e" vm="1">
        <v>#REF!</v>
      </c>
      <c r="BK3074" t="e" vm="1">
        <v>#REF!</v>
      </c>
      <c r="BM3074" t="e" vm="2">
        <f t="shared" si="272"/>
        <v>#VALUE!</v>
      </c>
      <c r="BN3074" t="e" vm="2">
        <f t="shared" si="273"/>
        <v>#VALUE!</v>
      </c>
    </row>
    <row r="3075" spans="55:66" x14ac:dyDescent="0.2">
      <c r="BC3075" s="21" t="e" vm="1">
        <v>#REF!</v>
      </c>
      <c r="BD3075" t="e" vm="1">
        <v>#REF!</v>
      </c>
      <c r="BF3075" t="e" vm="2">
        <f t="shared" ref="BF3075:BF3138" si="274">MONTH(BC3075)</f>
        <v>#VALUE!</v>
      </c>
      <c r="BG3075" t="e" vm="2">
        <f t="shared" ref="BG3075:BG3138" si="275">YEAR(BC3075)</f>
        <v>#VALUE!</v>
      </c>
      <c r="BJ3075" s="21" t="e" vm="1">
        <v>#REF!</v>
      </c>
      <c r="BK3075" t="e" vm="1">
        <v>#REF!</v>
      </c>
      <c r="BM3075" t="e" vm="2">
        <f t="shared" si="272"/>
        <v>#VALUE!</v>
      </c>
      <c r="BN3075" t="e" vm="2">
        <f t="shared" si="273"/>
        <v>#VALUE!</v>
      </c>
    </row>
    <row r="3076" spans="55:66" x14ac:dyDescent="0.2">
      <c r="BC3076" s="21" t="e" vm="1">
        <v>#REF!</v>
      </c>
      <c r="BD3076" t="e" vm="1">
        <v>#REF!</v>
      </c>
      <c r="BF3076" t="e" vm="2">
        <f t="shared" si="274"/>
        <v>#VALUE!</v>
      </c>
      <c r="BG3076" t="e" vm="2">
        <f t="shared" si="275"/>
        <v>#VALUE!</v>
      </c>
      <c r="BJ3076" s="21" t="e" vm="1">
        <v>#REF!</v>
      </c>
      <c r="BK3076" t="e" vm="1">
        <v>#REF!</v>
      </c>
      <c r="BM3076" t="e" vm="2">
        <f t="shared" ref="BM3076:BM3139" si="276">MONTH(BJ3076)</f>
        <v>#VALUE!</v>
      </c>
      <c r="BN3076" t="e" vm="2">
        <f t="shared" ref="BN3076:BN3139" si="277">YEAR(BJ3076)</f>
        <v>#VALUE!</v>
      </c>
    </row>
    <row r="3077" spans="55:66" x14ac:dyDescent="0.2">
      <c r="BC3077" s="21" t="e" vm="1">
        <v>#REF!</v>
      </c>
      <c r="BD3077" t="e" vm="1">
        <v>#REF!</v>
      </c>
      <c r="BF3077" t="e" vm="2">
        <f t="shared" si="274"/>
        <v>#VALUE!</v>
      </c>
      <c r="BG3077" t="e" vm="2">
        <f t="shared" si="275"/>
        <v>#VALUE!</v>
      </c>
      <c r="BJ3077" s="21" t="e" vm="1">
        <v>#REF!</v>
      </c>
      <c r="BK3077" t="e" vm="1">
        <v>#REF!</v>
      </c>
      <c r="BM3077" t="e" vm="2">
        <f t="shared" si="276"/>
        <v>#VALUE!</v>
      </c>
      <c r="BN3077" t="e" vm="2">
        <f t="shared" si="277"/>
        <v>#VALUE!</v>
      </c>
    </row>
    <row r="3078" spans="55:66" x14ac:dyDescent="0.2">
      <c r="BC3078" s="21" t="e" vm="1">
        <v>#REF!</v>
      </c>
      <c r="BD3078" t="e" vm="1">
        <v>#REF!</v>
      </c>
      <c r="BF3078" t="e" vm="2">
        <f t="shared" si="274"/>
        <v>#VALUE!</v>
      </c>
      <c r="BG3078" t="e" vm="2">
        <f t="shared" si="275"/>
        <v>#VALUE!</v>
      </c>
      <c r="BJ3078" s="21" t="e" vm="1">
        <v>#REF!</v>
      </c>
      <c r="BK3078" t="e" vm="1">
        <v>#REF!</v>
      </c>
      <c r="BM3078" t="e" vm="2">
        <f t="shared" si="276"/>
        <v>#VALUE!</v>
      </c>
      <c r="BN3078" t="e" vm="2">
        <f t="shared" si="277"/>
        <v>#VALUE!</v>
      </c>
    </row>
    <row r="3079" spans="55:66" x14ac:dyDescent="0.2">
      <c r="BC3079" s="21" t="e" vm="1">
        <v>#REF!</v>
      </c>
      <c r="BD3079" t="e" vm="1">
        <v>#REF!</v>
      </c>
      <c r="BF3079" t="e" vm="2">
        <f t="shared" si="274"/>
        <v>#VALUE!</v>
      </c>
      <c r="BG3079" t="e" vm="2">
        <f t="shared" si="275"/>
        <v>#VALUE!</v>
      </c>
      <c r="BJ3079" s="21" t="e" vm="1">
        <v>#REF!</v>
      </c>
      <c r="BK3079" t="e" vm="1">
        <v>#REF!</v>
      </c>
      <c r="BM3079" t="e" vm="2">
        <f t="shared" si="276"/>
        <v>#VALUE!</v>
      </c>
      <c r="BN3079" t="e" vm="2">
        <f t="shared" si="277"/>
        <v>#VALUE!</v>
      </c>
    </row>
    <row r="3080" spans="55:66" x14ac:dyDescent="0.2">
      <c r="BC3080" s="21" t="e" vm="1">
        <v>#REF!</v>
      </c>
      <c r="BD3080" t="e" vm="1">
        <v>#REF!</v>
      </c>
      <c r="BF3080" t="e" vm="2">
        <f t="shared" si="274"/>
        <v>#VALUE!</v>
      </c>
      <c r="BG3080" t="e" vm="2">
        <f t="shared" si="275"/>
        <v>#VALUE!</v>
      </c>
      <c r="BJ3080" s="21" t="e" vm="1">
        <v>#REF!</v>
      </c>
      <c r="BK3080" t="e" vm="1">
        <v>#REF!</v>
      </c>
      <c r="BM3080" t="e" vm="2">
        <f t="shared" si="276"/>
        <v>#VALUE!</v>
      </c>
      <c r="BN3080" t="e" vm="2">
        <f t="shared" si="277"/>
        <v>#VALUE!</v>
      </c>
    </row>
    <row r="3081" spans="55:66" x14ac:dyDescent="0.2">
      <c r="BC3081" s="21" t="e" vm="1">
        <v>#REF!</v>
      </c>
      <c r="BD3081" t="e" vm="1">
        <v>#REF!</v>
      </c>
      <c r="BF3081" t="e" vm="2">
        <f t="shared" si="274"/>
        <v>#VALUE!</v>
      </c>
      <c r="BG3081" t="e" vm="2">
        <f t="shared" si="275"/>
        <v>#VALUE!</v>
      </c>
      <c r="BJ3081" s="21" t="e" vm="1">
        <v>#REF!</v>
      </c>
      <c r="BK3081" t="e" vm="1">
        <v>#REF!</v>
      </c>
      <c r="BM3081" t="e" vm="2">
        <f t="shared" si="276"/>
        <v>#VALUE!</v>
      </c>
      <c r="BN3081" t="e" vm="2">
        <f t="shared" si="277"/>
        <v>#VALUE!</v>
      </c>
    </row>
    <row r="3082" spans="55:66" x14ac:dyDescent="0.2">
      <c r="BC3082" s="21" t="e" vm="1">
        <v>#REF!</v>
      </c>
      <c r="BD3082" t="e" vm="1">
        <v>#REF!</v>
      </c>
      <c r="BF3082" t="e" vm="2">
        <f t="shared" si="274"/>
        <v>#VALUE!</v>
      </c>
      <c r="BG3082" t="e" vm="2">
        <f t="shared" si="275"/>
        <v>#VALUE!</v>
      </c>
      <c r="BJ3082" s="21" t="e" vm="1">
        <v>#REF!</v>
      </c>
      <c r="BK3082" t="e" vm="1">
        <v>#REF!</v>
      </c>
      <c r="BM3082" t="e" vm="2">
        <f t="shared" si="276"/>
        <v>#VALUE!</v>
      </c>
      <c r="BN3082" t="e" vm="2">
        <f t="shared" si="277"/>
        <v>#VALUE!</v>
      </c>
    </row>
    <row r="3083" spans="55:66" x14ac:dyDescent="0.2">
      <c r="BC3083" s="21" t="e" vm="1">
        <v>#REF!</v>
      </c>
      <c r="BD3083" t="e" vm="1">
        <v>#REF!</v>
      </c>
      <c r="BF3083" t="e" vm="2">
        <f t="shared" si="274"/>
        <v>#VALUE!</v>
      </c>
      <c r="BG3083" t="e" vm="2">
        <f t="shared" si="275"/>
        <v>#VALUE!</v>
      </c>
      <c r="BJ3083" s="21" t="e" vm="1">
        <v>#REF!</v>
      </c>
      <c r="BK3083" t="e" vm="1">
        <v>#REF!</v>
      </c>
      <c r="BM3083" t="e" vm="2">
        <f t="shared" si="276"/>
        <v>#VALUE!</v>
      </c>
      <c r="BN3083" t="e" vm="2">
        <f t="shared" si="277"/>
        <v>#VALUE!</v>
      </c>
    </row>
    <row r="3084" spans="55:66" x14ac:dyDescent="0.2">
      <c r="BC3084" s="21" t="e" vm="1">
        <v>#REF!</v>
      </c>
      <c r="BD3084" t="e" vm="1">
        <v>#REF!</v>
      </c>
      <c r="BF3084" t="e" vm="2">
        <f t="shared" si="274"/>
        <v>#VALUE!</v>
      </c>
      <c r="BG3084" t="e" vm="2">
        <f t="shared" si="275"/>
        <v>#VALUE!</v>
      </c>
      <c r="BJ3084" s="21" t="e" vm="1">
        <v>#REF!</v>
      </c>
      <c r="BK3084" t="e" vm="1">
        <v>#REF!</v>
      </c>
      <c r="BM3084" t="e" vm="2">
        <f t="shared" si="276"/>
        <v>#VALUE!</v>
      </c>
      <c r="BN3084" t="e" vm="2">
        <f t="shared" si="277"/>
        <v>#VALUE!</v>
      </c>
    </row>
    <row r="3085" spans="55:66" x14ac:dyDescent="0.2">
      <c r="BC3085" s="21" t="e" vm="1">
        <v>#REF!</v>
      </c>
      <c r="BD3085" t="e" vm="1">
        <v>#REF!</v>
      </c>
      <c r="BF3085" t="e" vm="2">
        <f t="shared" si="274"/>
        <v>#VALUE!</v>
      </c>
      <c r="BG3085" t="e" vm="2">
        <f t="shared" si="275"/>
        <v>#VALUE!</v>
      </c>
      <c r="BJ3085" s="21" t="e" vm="1">
        <v>#REF!</v>
      </c>
      <c r="BK3085" t="e" vm="1">
        <v>#REF!</v>
      </c>
      <c r="BM3085" t="e" vm="2">
        <f t="shared" si="276"/>
        <v>#VALUE!</v>
      </c>
      <c r="BN3085" t="e" vm="2">
        <f t="shared" si="277"/>
        <v>#VALUE!</v>
      </c>
    </row>
    <row r="3086" spans="55:66" x14ac:dyDescent="0.2">
      <c r="BC3086" s="21" t="e" vm="1">
        <v>#REF!</v>
      </c>
      <c r="BD3086" t="e" vm="1">
        <v>#REF!</v>
      </c>
      <c r="BF3086" t="e" vm="2">
        <f t="shared" si="274"/>
        <v>#VALUE!</v>
      </c>
      <c r="BG3086" t="e" vm="2">
        <f t="shared" si="275"/>
        <v>#VALUE!</v>
      </c>
      <c r="BJ3086" s="21" t="e" vm="1">
        <v>#REF!</v>
      </c>
      <c r="BK3086" t="e" vm="1">
        <v>#REF!</v>
      </c>
      <c r="BM3086" t="e" vm="2">
        <f t="shared" si="276"/>
        <v>#VALUE!</v>
      </c>
      <c r="BN3086" t="e" vm="2">
        <f t="shared" si="277"/>
        <v>#VALUE!</v>
      </c>
    </row>
    <row r="3087" spans="55:66" x14ac:dyDescent="0.2">
      <c r="BC3087" s="21" t="e" vm="1">
        <v>#REF!</v>
      </c>
      <c r="BD3087" t="e" vm="1">
        <v>#REF!</v>
      </c>
      <c r="BF3087" t="e" vm="2">
        <f t="shared" si="274"/>
        <v>#VALUE!</v>
      </c>
      <c r="BG3087" t="e" vm="2">
        <f t="shared" si="275"/>
        <v>#VALUE!</v>
      </c>
      <c r="BJ3087" s="21" t="e" vm="1">
        <v>#REF!</v>
      </c>
      <c r="BK3087" t="e" vm="1">
        <v>#REF!</v>
      </c>
      <c r="BM3087" t="e" vm="2">
        <f t="shared" si="276"/>
        <v>#VALUE!</v>
      </c>
      <c r="BN3087" t="e" vm="2">
        <f t="shared" si="277"/>
        <v>#VALUE!</v>
      </c>
    </row>
    <row r="3088" spans="55:66" x14ac:dyDescent="0.2">
      <c r="BC3088" s="21" t="e" vm="1">
        <v>#REF!</v>
      </c>
      <c r="BD3088" t="e" vm="1">
        <v>#REF!</v>
      </c>
      <c r="BF3088" t="e" vm="2">
        <f t="shared" si="274"/>
        <v>#VALUE!</v>
      </c>
      <c r="BG3088" t="e" vm="2">
        <f t="shared" si="275"/>
        <v>#VALUE!</v>
      </c>
      <c r="BJ3088" s="21" t="e" vm="1">
        <v>#REF!</v>
      </c>
      <c r="BK3088" t="e" vm="1">
        <v>#REF!</v>
      </c>
      <c r="BM3088" t="e" vm="2">
        <f t="shared" si="276"/>
        <v>#VALUE!</v>
      </c>
      <c r="BN3088" t="e" vm="2">
        <f t="shared" si="277"/>
        <v>#VALUE!</v>
      </c>
    </row>
    <row r="3089" spans="55:66" x14ac:dyDescent="0.2">
      <c r="BC3089" s="21" t="e" vm="1">
        <v>#REF!</v>
      </c>
      <c r="BD3089" t="e" vm="1">
        <v>#REF!</v>
      </c>
      <c r="BF3089" t="e" vm="2">
        <f t="shared" si="274"/>
        <v>#VALUE!</v>
      </c>
      <c r="BG3089" t="e" vm="2">
        <f t="shared" si="275"/>
        <v>#VALUE!</v>
      </c>
      <c r="BJ3089" s="21" t="e" vm="1">
        <v>#REF!</v>
      </c>
      <c r="BK3089" t="e" vm="1">
        <v>#REF!</v>
      </c>
      <c r="BM3089" t="e" vm="2">
        <f t="shared" si="276"/>
        <v>#VALUE!</v>
      </c>
      <c r="BN3089" t="e" vm="2">
        <f t="shared" si="277"/>
        <v>#VALUE!</v>
      </c>
    </row>
    <row r="3090" spans="55:66" x14ac:dyDescent="0.2">
      <c r="BC3090" s="21" t="e" vm="1">
        <v>#REF!</v>
      </c>
      <c r="BD3090" t="e" vm="1">
        <v>#REF!</v>
      </c>
      <c r="BF3090" t="e" vm="2">
        <f t="shared" si="274"/>
        <v>#VALUE!</v>
      </c>
      <c r="BG3090" t="e" vm="2">
        <f t="shared" si="275"/>
        <v>#VALUE!</v>
      </c>
      <c r="BJ3090" s="21" t="e" vm="1">
        <v>#REF!</v>
      </c>
      <c r="BK3090" t="e" vm="1">
        <v>#REF!</v>
      </c>
      <c r="BM3090" t="e" vm="2">
        <f t="shared" si="276"/>
        <v>#VALUE!</v>
      </c>
      <c r="BN3090" t="e" vm="2">
        <f t="shared" si="277"/>
        <v>#VALUE!</v>
      </c>
    </row>
    <row r="3091" spans="55:66" x14ac:dyDescent="0.2">
      <c r="BC3091" s="21" t="e" vm="1">
        <v>#REF!</v>
      </c>
      <c r="BD3091" t="e" vm="1">
        <v>#REF!</v>
      </c>
      <c r="BF3091" t="e" vm="2">
        <f t="shared" si="274"/>
        <v>#VALUE!</v>
      </c>
      <c r="BG3091" t="e" vm="2">
        <f t="shared" si="275"/>
        <v>#VALUE!</v>
      </c>
      <c r="BJ3091" s="21" t="e" vm="1">
        <v>#REF!</v>
      </c>
      <c r="BK3091" t="e" vm="1">
        <v>#REF!</v>
      </c>
      <c r="BM3091" t="e" vm="2">
        <f t="shared" si="276"/>
        <v>#VALUE!</v>
      </c>
      <c r="BN3091" t="e" vm="2">
        <f t="shared" si="277"/>
        <v>#VALUE!</v>
      </c>
    </row>
    <row r="3092" spans="55:66" x14ac:dyDescent="0.2">
      <c r="BC3092" s="21" t="e" vm="1">
        <v>#REF!</v>
      </c>
      <c r="BD3092" t="e" vm="1">
        <v>#REF!</v>
      </c>
      <c r="BF3092" t="e" vm="2">
        <f t="shared" si="274"/>
        <v>#VALUE!</v>
      </c>
      <c r="BG3092" t="e" vm="2">
        <f t="shared" si="275"/>
        <v>#VALUE!</v>
      </c>
      <c r="BJ3092" s="21" t="e" vm="1">
        <v>#REF!</v>
      </c>
      <c r="BK3092" t="e" vm="1">
        <v>#REF!</v>
      </c>
      <c r="BM3092" t="e" vm="2">
        <f t="shared" si="276"/>
        <v>#VALUE!</v>
      </c>
      <c r="BN3092" t="e" vm="2">
        <f t="shared" si="277"/>
        <v>#VALUE!</v>
      </c>
    </row>
    <row r="3093" spans="55:66" x14ac:dyDescent="0.2">
      <c r="BC3093" s="21" t="e" vm="1">
        <v>#REF!</v>
      </c>
      <c r="BD3093" t="e" vm="1">
        <v>#REF!</v>
      </c>
      <c r="BF3093" t="e" vm="2">
        <f t="shared" si="274"/>
        <v>#VALUE!</v>
      </c>
      <c r="BG3093" t="e" vm="2">
        <f t="shared" si="275"/>
        <v>#VALUE!</v>
      </c>
      <c r="BJ3093" s="21" t="e" vm="1">
        <v>#REF!</v>
      </c>
      <c r="BK3093" t="e" vm="1">
        <v>#REF!</v>
      </c>
      <c r="BM3093" t="e" vm="2">
        <f t="shared" si="276"/>
        <v>#VALUE!</v>
      </c>
      <c r="BN3093" t="e" vm="2">
        <f t="shared" si="277"/>
        <v>#VALUE!</v>
      </c>
    </row>
    <row r="3094" spans="55:66" x14ac:dyDescent="0.2">
      <c r="BC3094" s="21" t="e" vm="1">
        <v>#REF!</v>
      </c>
      <c r="BD3094" t="e" vm="1">
        <v>#REF!</v>
      </c>
      <c r="BF3094" t="e" vm="2">
        <f t="shared" si="274"/>
        <v>#VALUE!</v>
      </c>
      <c r="BG3094" t="e" vm="2">
        <f t="shared" si="275"/>
        <v>#VALUE!</v>
      </c>
      <c r="BJ3094" s="21" t="e" vm="1">
        <v>#REF!</v>
      </c>
      <c r="BK3094" t="e" vm="1">
        <v>#REF!</v>
      </c>
      <c r="BM3094" t="e" vm="2">
        <f t="shared" si="276"/>
        <v>#VALUE!</v>
      </c>
      <c r="BN3094" t="e" vm="2">
        <f t="shared" si="277"/>
        <v>#VALUE!</v>
      </c>
    </row>
    <row r="3095" spans="55:66" x14ac:dyDescent="0.2">
      <c r="BC3095" s="21" t="e" vm="1">
        <v>#REF!</v>
      </c>
      <c r="BD3095" t="e" vm="1">
        <v>#REF!</v>
      </c>
      <c r="BF3095" t="e" vm="2">
        <f t="shared" si="274"/>
        <v>#VALUE!</v>
      </c>
      <c r="BG3095" t="e" vm="2">
        <f t="shared" si="275"/>
        <v>#VALUE!</v>
      </c>
      <c r="BJ3095" s="21" t="e" vm="1">
        <v>#REF!</v>
      </c>
      <c r="BK3095" t="e" vm="1">
        <v>#REF!</v>
      </c>
      <c r="BM3095" t="e" vm="2">
        <f t="shared" si="276"/>
        <v>#VALUE!</v>
      </c>
      <c r="BN3095" t="e" vm="2">
        <f t="shared" si="277"/>
        <v>#VALUE!</v>
      </c>
    </row>
    <row r="3096" spans="55:66" x14ac:dyDescent="0.2">
      <c r="BC3096" s="21" t="e" vm="1">
        <v>#REF!</v>
      </c>
      <c r="BD3096" t="e" vm="1">
        <v>#REF!</v>
      </c>
      <c r="BF3096" t="e" vm="2">
        <f t="shared" si="274"/>
        <v>#VALUE!</v>
      </c>
      <c r="BG3096" t="e" vm="2">
        <f t="shared" si="275"/>
        <v>#VALUE!</v>
      </c>
      <c r="BJ3096" s="21" t="e" vm="1">
        <v>#REF!</v>
      </c>
      <c r="BK3096" t="e" vm="1">
        <v>#REF!</v>
      </c>
      <c r="BM3096" t="e" vm="2">
        <f t="shared" si="276"/>
        <v>#VALUE!</v>
      </c>
      <c r="BN3096" t="e" vm="2">
        <f t="shared" si="277"/>
        <v>#VALUE!</v>
      </c>
    </row>
    <row r="3097" spans="55:66" x14ac:dyDescent="0.2">
      <c r="BC3097" s="21" t="e" vm="1">
        <v>#REF!</v>
      </c>
      <c r="BD3097" t="e" vm="1">
        <v>#REF!</v>
      </c>
      <c r="BF3097" t="e" vm="2">
        <f t="shared" si="274"/>
        <v>#VALUE!</v>
      </c>
      <c r="BG3097" t="e" vm="2">
        <f t="shared" si="275"/>
        <v>#VALUE!</v>
      </c>
      <c r="BJ3097" s="21" t="e" vm="1">
        <v>#REF!</v>
      </c>
      <c r="BK3097" t="e" vm="1">
        <v>#REF!</v>
      </c>
      <c r="BM3097" t="e" vm="2">
        <f t="shared" si="276"/>
        <v>#VALUE!</v>
      </c>
      <c r="BN3097" t="e" vm="2">
        <f t="shared" si="277"/>
        <v>#VALUE!</v>
      </c>
    </row>
    <row r="3098" spans="55:66" x14ac:dyDescent="0.2">
      <c r="BC3098" s="21" t="e" vm="1">
        <v>#REF!</v>
      </c>
      <c r="BD3098" t="e" vm="1">
        <v>#REF!</v>
      </c>
      <c r="BF3098" t="e" vm="2">
        <f t="shared" si="274"/>
        <v>#VALUE!</v>
      </c>
      <c r="BG3098" t="e" vm="2">
        <f t="shared" si="275"/>
        <v>#VALUE!</v>
      </c>
      <c r="BJ3098" s="21" t="e" vm="1">
        <v>#REF!</v>
      </c>
      <c r="BK3098" t="e" vm="1">
        <v>#REF!</v>
      </c>
      <c r="BM3098" t="e" vm="2">
        <f t="shared" si="276"/>
        <v>#VALUE!</v>
      </c>
      <c r="BN3098" t="e" vm="2">
        <f t="shared" si="277"/>
        <v>#VALUE!</v>
      </c>
    </row>
    <row r="3099" spans="55:66" x14ac:dyDescent="0.2">
      <c r="BC3099" s="21" t="e" vm="1">
        <v>#REF!</v>
      </c>
      <c r="BD3099" t="e" vm="1">
        <v>#REF!</v>
      </c>
      <c r="BF3099" t="e" vm="2">
        <f t="shared" si="274"/>
        <v>#VALUE!</v>
      </c>
      <c r="BG3099" t="e" vm="2">
        <f t="shared" si="275"/>
        <v>#VALUE!</v>
      </c>
      <c r="BJ3099" s="21" t="e" vm="1">
        <v>#REF!</v>
      </c>
      <c r="BK3099" t="e" vm="1">
        <v>#REF!</v>
      </c>
      <c r="BM3099" t="e" vm="2">
        <f t="shared" si="276"/>
        <v>#VALUE!</v>
      </c>
      <c r="BN3099" t="e" vm="2">
        <f t="shared" si="277"/>
        <v>#VALUE!</v>
      </c>
    </row>
    <row r="3100" spans="55:66" x14ac:dyDescent="0.2">
      <c r="BC3100" s="21" t="e" vm="1">
        <v>#REF!</v>
      </c>
      <c r="BD3100" t="e" vm="1">
        <v>#REF!</v>
      </c>
      <c r="BF3100" t="e" vm="2">
        <f t="shared" si="274"/>
        <v>#VALUE!</v>
      </c>
      <c r="BG3100" t="e" vm="2">
        <f t="shared" si="275"/>
        <v>#VALUE!</v>
      </c>
      <c r="BJ3100" s="21" t="e" vm="1">
        <v>#REF!</v>
      </c>
      <c r="BK3100" t="e" vm="1">
        <v>#REF!</v>
      </c>
      <c r="BM3100" t="e" vm="2">
        <f t="shared" si="276"/>
        <v>#VALUE!</v>
      </c>
      <c r="BN3100" t="e" vm="2">
        <f t="shared" si="277"/>
        <v>#VALUE!</v>
      </c>
    </row>
    <row r="3101" spans="55:66" x14ac:dyDescent="0.2">
      <c r="BC3101" s="21" t="e" vm="1">
        <v>#REF!</v>
      </c>
      <c r="BD3101" t="e" vm="1">
        <v>#REF!</v>
      </c>
      <c r="BF3101" t="e" vm="2">
        <f t="shared" si="274"/>
        <v>#VALUE!</v>
      </c>
      <c r="BG3101" t="e" vm="2">
        <f t="shared" si="275"/>
        <v>#VALUE!</v>
      </c>
      <c r="BJ3101" s="21" t="e" vm="1">
        <v>#REF!</v>
      </c>
      <c r="BK3101" t="e" vm="1">
        <v>#REF!</v>
      </c>
      <c r="BM3101" t="e" vm="2">
        <f t="shared" si="276"/>
        <v>#VALUE!</v>
      </c>
      <c r="BN3101" t="e" vm="2">
        <f t="shared" si="277"/>
        <v>#VALUE!</v>
      </c>
    </row>
    <row r="3102" spans="55:66" x14ac:dyDescent="0.2">
      <c r="BC3102" s="21" t="e" vm="1">
        <v>#REF!</v>
      </c>
      <c r="BD3102" t="e" vm="1">
        <v>#REF!</v>
      </c>
      <c r="BF3102" t="e" vm="2">
        <f t="shared" si="274"/>
        <v>#VALUE!</v>
      </c>
      <c r="BG3102" t="e" vm="2">
        <f t="shared" si="275"/>
        <v>#VALUE!</v>
      </c>
      <c r="BJ3102" s="21" t="e" vm="1">
        <v>#REF!</v>
      </c>
      <c r="BK3102" t="e" vm="1">
        <v>#REF!</v>
      </c>
      <c r="BM3102" t="e" vm="2">
        <f t="shared" si="276"/>
        <v>#VALUE!</v>
      </c>
      <c r="BN3102" t="e" vm="2">
        <f t="shared" si="277"/>
        <v>#VALUE!</v>
      </c>
    </row>
    <row r="3103" spans="55:66" x14ac:dyDescent="0.2">
      <c r="BC3103" s="21" t="e" vm="1">
        <v>#REF!</v>
      </c>
      <c r="BD3103" t="e" vm="1">
        <v>#REF!</v>
      </c>
      <c r="BF3103" t="e" vm="2">
        <f t="shared" si="274"/>
        <v>#VALUE!</v>
      </c>
      <c r="BG3103" t="e" vm="2">
        <f t="shared" si="275"/>
        <v>#VALUE!</v>
      </c>
      <c r="BJ3103" s="21" t="e" vm="1">
        <v>#REF!</v>
      </c>
      <c r="BK3103" t="e" vm="1">
        <v>#REF!</v>
      </c>
      <c r="BM3103" t="e" vm="2">
        <f t="shared" si="276"/>
        <v>#VALUE!</v>
      </c>
      <c r="BN3103" t="e" vm="2">
        <f t="shared" si="277"/>
        <v>#VALUE!</v>
      </c>
    </row>
    <row r="3104" spans="55:66" x14ac:dyDescent="0.2">
      <c r="BC3104" s="21" t="e" vm="1">
        <v>#REF!</v>
      </c>
      <c r="BD3104" t="e" vm="1">
        <v>#REF!</v>
      </c>
      <c r="BF3104" t="e" vm="2">
        <f t="shared" si="274"/>
        <v>#VALUE!</v>
      </c>
      <c r="BG3104" t="e" vm="2">
        <f t="shared" si="275"/>
        <v>#VALUE!</v>
      </c>
      <c r="BJ3104" s="21" t="e" vm="1">
        <v>#REF!</v>
      </c>
      <c r="BK3104" t="e" vm="1">
        <v>#REF!</v>
      </c>
      <c r="BM3104" t="e" vm="2">
        <f t="shared" si="276"/>
        <v>#VALUE!</v>
      </c>
      <c r="BN3104" t="e" vm="2">
        <f t="shared" si="277"/>
        <v>#VALUE!</v>
      </c>
    </row>
    <row r="3105" spans="55:66" x14ac:dyDescent="0.2">
      <c r="BC3105" s="21" t="e" vm="1">
        <v>#REF!</v>
      </c>
      <c r="BD3105" t="e" vm="1">
        <v>#REF!</v>
      </c>
      <c r="BF3105" t="e" vm="2">
        <f t="shared" si="274"/>
        <v>#VALUE!</v>
      </c>
      <c r="BG3105" t="e" vm="2">
        <f t="shared" si="275"/>
        <v>#VALUE!</v>
      </c>
      <c r="BJ3105" s="21" t="e" vm="1">
        <v>#REF!</v>
      </c>
      <c r="BK3105" t="e" vm="1">
        <v>#REF!</v>
      </c>
      <c r="BM3105" t="e" vm="2">
        <f t="shared" si="276"/>
        <v>#VALUE!</v>
      </c>
      <c r="BN3105" t="e" vm="2">
        <f t="shared" si="277"/>
        <v>#VALUE!</v>
      </c>
    </row>
    <row r="3106" spans="55:66" x14ac:dyDescent="0.2">
      <c r="BC3106" s="21" t="e" vm="1">
        <v>#REF!</v>
      </c>
      <c r="BD3106" t="e" vm="1">
        <v>#REF!</v>
      </c>
      <c r="BF3106" t="e" vm="2">
        <f t="shared" si="274"/>
        <v>#VALUE!</v>
      </c>
      <c r="BG3106" t="e" vm="2">
        <f t="shared" si="275"/>
        <v>#VALUE!</v>
      </c>
      <c r="BJ3106" s="21" t="e" vm="1">
        <v>#REF!</v>
      </c>
      <c r="BK3106" t="e" vm="1">
        <v>#REF!</v>
      </c>
      <c r="BM3106" t="e" vm="2">
        <f t="shared" si="276"/>
        <v>#VALUE!</v>
      </c>
      <c r="BN3106" t="e" vm="2">
        <f t="shared" si="277"/>
        <v>#VALUE!</v>
      </c>
    </row>
    <row r="3107" spans="55:66" x14ac:dyDescent="0.2">
      <c r="BC3107" s="21" t="e" vm="1">
        <v>#REF!</v>
      </c>
      <c r="BD3107" t="e" vm="1">
        <v>#REF!</v>
      </c>
      <c r="BF3107" t="e" vm="2">
        <f t="shared" si="274"/>
        <v>#VALUE!</v>
      </c>
      <c r="BG3107" t="e" vm="2">
        <f t="shared" si="275"/>
        <v>#VALUE!</v>
      </c>
      <c r="BJ3107" s="21" t="e" vm="1">
        <v>#REF!</v>
      </c>
      <c r="BK3107" t="e" vm="1">
        <v>#REF!</v>
      </c>
      <c r="BM3107" t="e" vm="2">
        <f t="shared" si="276"/>
        <v>#VALUE!</v>
      </c>
      <c r="BN3107" t="e" vm="2">
        <f t="shared" si="277"/>
        <v>#VALUE!</v>
      </c>
    </row>
    <row r="3108" spans="55:66" x14ac:dyDescent="0.2">
      <c r="BC3108" s="21" t="e" vm="1">
        <v>#REF!</v>
      </c>
      <c r="BD3108" t="e" vm="1">
        <v>#REF!</v>
      </c>
      <c r="BF3108" t="e" vm="2">
        <f t="shared" si="274"/>
        <v>#VALUE!</v>
      </c>
      <c r="BG3108" t="e" vm="2">
        <f t="shared" si="275"/>
        <v>#VALUE!</v>
      </c>
      <c r="BJ3108" s="21" t="e" vm="1">
        <v>#REF!</v>
      </c>
      <c r="BK3108" t="e" vm="1">
        <v>#REF!</v>
      </c>
      <c r="BM3108" t="e" vm="2">
        <f t="shared" si="276"/>
        <v>#VALUE!</v>
      </c>
      <c r="BN3108" t="e" vm="2">
        <f t="shared" si="277"/>
        <v>#VALUE!</v>
      </c>
    </row>
    <row r="3109" spans="55:66" x14ac:dyDescent="0.2">
      <c r="BC3109" s="21" t="e" vm="1">
        <v>#REF!</v>
      </c>
      <c r="BD3109" t="e" vm="1">
        <v>#REF!</v>
      </c>
      <c r="BF3109" t="e" vm="2">
        <f t="shared" si="274"/>
        <v>#VALUE!</v>
      </c>
      <c r="BG3109" t="e" vm="2">
        <f t="shared" si="275"/>
        <v>#VALUE!</v>
      </c>
      <c r="BJ3109" s="21" t="e" vm="1">
        <v>#REF!</v>
      </c>
      <c r="BK3109" t="e" vm="1">
        <v>#REF!</v>
      </c>
      <c r="BM3109" t="e" vm="2">
        <f t="shared" si="276"/>
        <v>#VALUE!</v>
      </c>
      <c r="BN3109" t="e" vm="2">
        <f t="shared" si="277"/>
        <v>#VALUE!</v>
      </c>
    </row>
    <row r="3110" spans="55:66" x14ac:dyDescent="0.2">
      <c r="BC3110" s="21" t="e" vm="1">
        <v>#REF!</v>
      </c>
      <c r="BD3110" t="e" vm="1">
        <v>#REF!</v>
      </c>
      <c r="BF3110" t="e" vm="2">
        <f t="shared" si="274"/>
        <v>#VALUE!</v>
      </c>
      <c r="BG3110" t="e" vm="2">
        <f t="shared" si="275"/>
        <v>#VALUE!</v>
      </c>
      <c r="BJ3110" s="21" t="e" vm="1">
        <v>#REF!</v>
      </c>
      <c r="BK3110" t="e" vm="1">
        <v>#REF!</v>
      </c>
      <c r="BM3110" t="e" vm="2">
        <f t="shared" si="276"/>
        <v>#VALUE!</v>
      </c>
      <c r="BN3110" t="e" vm="2">
        <f t="shared" si="277"/>
        <v>#VALUE!</v>
      </c>
    </row>
    <row r="3111" spans="55:66" x14ac:dyDescent="0.2">
      <c r="BC3111" s="21" t="e" vm="1">
        <v>#REF!</v>
      </c>
      <c r="BD3111" t="e" vm="1">
        <v>#REF!</v>
      </c>
      <c r="BF3111" t="e" vm="2">
        <f t="shared" si="274"/>
        <v>#VALUE!</v>
      </c>
      <c r="BG3111" t="e" vm="2">
        <f t="shared" si="275"/>
        <v>#VALUE!</v>
      </c>
      <c r="BJ3111" s="21" t="e" vm="1">
        <v>#REF!</v>
      </c>
      <c r="BK3111" t="e" vm="1">
        <v>#REF!</v>
      </c>
      <c r="BM3111" t="e" vm="2">
        <f t="shared" si="276"/>
        <v>#VALUE!</v>
      </c>
      <c r="BN3111" t="e" vm="2">
        <f t="shared" si="277"/>
        <v>#VALUE!</v>
      </c>
    </row>
    <row r="3112" spans="55:66" x14ac:dyDescent="0.2">
      <c r="BC3112" s="21" t="e" vm="1">
        <v>#REF!</v>
      </c>
      <c r="BD3112" t="e" vm="1">
        <v>#REF!</v>
      </c>
      <c r="BF3112" t="e" vm="2">
        <f t="shared" si="274"/>
        <v>#VALUE!</v>
      </c>
      <c r="BG3112" t="e" vm="2">
        <f t="shared" si="275"/>
        <v>#VALUE!</v>
      </c>
      <c r="BJ3112" s="21" t="e" vm="1">
        <v>#REF!</v>
      </c>
      <c r="BK3112" t="e" vm="1">
        <v>#REF!</v>
      </c>
      <c r="BM3112" t="e" vm="2">
        <f t="shared" si="276"/>
        <v>#VALUE!</v>
      </c>
      <c r="BN3112" t="e" vm="2">
        <f t="shared" si="277"/>
        <v>#VALUE!</v>
      </c>
    </row>
    <row r="3113" spans="55:66" x14ac:dyDescent="0.2">
      <c r="BC3113" s="21" t="e" vm="1">
        <v>#REF!</v>
      </c>
      <c r="BD3113" t="e" vm="1">
        <v>#REF!</v>
      </c>
      <c r="BF3113" t="e" vm="2">
        <f t="shared" si="274"/>
        <v>#VALUE!</v>
      </c>
      <c r="BG3113" t="e" vm="2">
        <f t="shared" si="275"/>
        <v>#VALUE!</v>
      </c>
      <c r="BJ3113" s="21" t="e" vm="1">
        <v>#REF!</v>
      </c>
      <c r="BK3113" t="e" vm="1">
        <v>#REF!</v>
      </c>
      <c r="BM3113" t="e" vm="2">
        <f t="shared" si="276"/>
        <v>#VALUE!</v>
      </c>
      <c r="BN3113" t="e" vm="2">
        <f t="shared" si="277"/>
        <v>#VALUE!</v>
      </c>
    </row>
    <row r="3114" spans="55:66" x14ac:dyDescent="0.2">
      <c r="BC3114" s="21" t="e" vm="1">
        <v>#REF!</v>
      </c>
      <c r="BD3114" t="e" vm="1">
        <v>#REF!</v>
      </c>
      <c r="BF3114" t="e" vm="2">
        <f t="shared" si="274"/>
        <v>#VALUE!</v>
      </c>
      <c r="BG3114" t="e" vm="2">
        <f t="shared" si="275"/>
        <v>#VALUE!</v>
      </c>
      <c r="BJ3114" s="21" t="e" vm="1">
        <v>#REF!</v>
      </c>
      <c r="BK3114" t="e" vm="1">
        <v>#REF!</v>
      </c>
      <c r="BM3114" t="e" vm="2">
        <f t="shared" si="276"/>
        <v>#VALUE!</v>
      </c>
      <c r="BN3114" t="e" vm="2">
        <f t="shared" si="277"/>
        <v>#VALUE!</v>
      </c>
    </row>
    <row r="3115" spans="55:66" x14ac:dyDescent="0.2">
      <c r="BC3115" s="21" t="e" vm="1">
        <v>#REF!</v>
      </c>
      <c r="BD3115" t="e" vm="1">
        <v>#REF!</v>
      </c>
      <c r="BF3115" t="e" vm="2">
        <f t="shared" si="274"/>
        <v>#VALUE!</v>
      </c>
      <c r="BG3115" t="e" vm="2">
        <f t="shared" si="275"/>
        <v>#VALUE!</v>
      </c>
      <c r="BJ3115" s="21" t="e" vm="1">
        <v>#REF!</v>
      </c>
      <c r="BK3115" t="e" vm="1">
        <v>#REF!</v>
      </c>
      <c r="BM3115" t="e" vm="2">
        <f t="shared" si="276"/>
        <v>#VALUE!</v>
      </c>
      <c r="BN3115" t="e" vm="2">
        <f t="shared" si="277"/>
        <v>#VALUE!</v>
      </c>
    </row>
    <row r="3116" spans="55:66" x14ac:dyDescent="0.2">
      <c r="BC3116" s="21" t="e" vm="1">
        <v>#REF!</v>
      </c>
      <c r="BD3116" t="e" vm="1">
        <v>#REF!</v>
      </c>
      <c r="BF3116" t="e" vm="2">
        <f t="shared" si="274"/>
        <v>#VALUE!</v>
      </c>
      <c r="BG3116" t="e" vm="2">
        <f t="shared" si="275"/>
        <v>#VALUE!</v>
      </c>
      <c r="BJ3116" s="21" t="e" vm="1">
        <v>#REF!</v>
      </c>
      <c r="BK3116" t="e" vm="1">
        <v>#REF!</v>
      </c>
      <c r="BM3116" t="e" vm="2">
        <f t="shared" si="276"/>
        <v>#VALUE!</v>
      </c>
      <c r="BN3116" t="e" vm="2">
        <f t="shared" si="277"/>
        <v>#VALUE!</v>
      </c>
    </row>
    <row r="3117" spans="55:66" x14ac:dyDescent="0.2">
      <c r="BC3117" s="21" t="e" vm="1">
        <v>#REF!</v>
      </c>
      <c r="BD3117" t="e" vm="1">
        <v>#REF!</v>
      </c>
      <c r="BF3117" t="e" vm="2">
        <f t="shared" si="274"/>
        <v>#VALUE!</v>
      </c>
      <c r="BG3117" t="e" vm="2">
        <f t="shared" si="275"/>
        <v>#VALUE!</v>
      </c>
      <c r="BJ3117" s="21" t="e" vm="1">
        <v>#REF!</v>
      </c>
      <c r="BK3117" t="e" vm="1">
        <v>#REF!</v>
      </c>
      <c r="BM3117" t="e" vm="2">
        <f t="shared" si="276"/>
        <v>#VALUE!</v>
      </c>
      <c r="BN3117" t="e" vm="2">
        <f t="shared" si="277"/>
        <v>#VALUE!</v>
      </c>
    </row>
    <row r="3118" spans="55:66" x14ac:dyDescent="0.2">
      <c r="BC3118" s="21" t="e" vm="1">
        <v>#REF!</v>
      </c>
      <c r="BD3118" t="e" vm="1">
        <v>#REF!</v>
      </c>
      <c r="BF3118" t="e" vm="2">
        <f t="shared" si="274"/>
        <v>#VALUE!</v>
      </c>
      <c r="BG3118" t="e" vm="2">
        <f t="shared" si="275"/>
        <v>#VALUE!</v>
      </c>
      <c r="BJ3118" s="21" t="e" vm="1">
        <v>#REF!</v>
      </c>
      <c r="BK3118" t="e" vm="1">
        <v>#REF!</v>
      </c>
      <c r="BM3118" t="e" vm="2">
        <f t="shared" si="276"/>
        <v>#VALUE!</v>
      </c>
      <c r="BN3118" t="e" vm="2">
        <f t="shared" si="277"/>
        <v>#VALUE!</v>
      </c>
    </row>
    <row r="3119" spans="55:66" x14ac:dyDescent="0.2">
      <c r="BC3119" s="21" t="e" vm="1">
        <v>#REF!</v>
      </c>
      <c r="BD3119" t="e" vm="1">
        <v>#REF!</v>
      </c>
      <c r="BF3119" t="e" vm="2">
        <f t="shared" si="274"/>
        <v>#VALUE!</v>
      </c>
      <c r="BG3119" t="e" vm="2">
        <f t="shared" si="275"/>
        <v>#VALUE!</v>
      </c>
      <c r="BJ3119" s="21" t="e" vm="1">
        <v>#REF!</v>
      </c>
      <c r="BK3119" t="e" vm="1">
        <v>#REF!</v>
      </c>
      <c r="BM3119" t="e" vm="2">
        <f t="shared" si="276"/>
        <v>#VALUE!</v>
      </c>
      <c r="BN3119" t="e" vm="2">
        <f t="shared" si="277"/>
        <v>#VALUE!</v>
      </c>
    </row>
    <row r="3120" spans="55:66" x14ac:dyDescent="0.2">
      <c r="BC3120" s="21" t="e" vm="1">
        <v>#REF!</v>
      </c>
      <c r="BD3120" t="e" vm="1">
        <v>#REF!</v>
      </c>
      <c r="BF3120" t="e" vm="2">
        <f t="shared" si="274"/>
        <v>#VALUE!</v>
      </c>
      <c r="BG3120" t="e" vm="2">
        <f t="shared" si="275"/>
        <v>#VALUE!</v>
      </c>
      <c r="BJ3120" s="21" t="e" vm="1">
        <v>#REF!</v>
      </c>
      <c r="BK3120" t="e" vm="1">
        <v>#REF!</v>
      </c>
      <c r="BM3120" t="e" vm="2">
        <f t="shared" si="276"/>
        <v>#VALUE!</v>
      </c>
      <c r="BN3120" t="e" vm="2">
        <f t="shared" si="277"/>
        <v>#VALUE!</v>
      </c>
    </row>
    <row r="3121" spans="55:66" x14ac:dyDescent="0.2">
      <c r="BC3121" s="21" t="e" vm="1">
        <v>#REF!</v>
      </c>
      <c r="BD3121" t="e" vm="1">
        <v>#REF!</v>
      </c>
      <c r="BF3121" t="e" vm="2">
        <f t="shared" si="274"/>
        <v>#VALUE!</v>
      </c>
      <c r="BG3121" t="e" vm="2">
        <f t="shared" si="275"/>
        <v>#VALUE!</v>
      </c>
      <c r="BJ3121" s="21" t="e" vm="1">
        <v>#REF!</v>
      </c>
      <c r="BK3121" t="e" vm="1">
        <v>#REF!</v>
      </c>
      <c r="BM3121" t="e" vm="2">
        <f t="shared" si="276"/>
        <v>#VALUE!</v>
      </c>
      <c r="BN3121" t="e" vm="2">
        <f t="shared" si="277"/>
        <v>#VALUE!</v>
      </c>
    </row>
    <row r="3122" spans="55:66" x14ac:dyDescent="0.2">
      <c r="BC3122" s="21" t="e" vm="1">
        <v>#REF!</v>
      </c>
      <c r="BD3122" t="e" vm="1">
        <v>#REF!</v>
      </c>
      <c r="BF3122" t="e" vm="2">
        <f t="shared" si="274"/>
        <v>#VALUE!</v>
      </c>
      <c r="BG3122" t="e" vm="2">
        <f t="shared" si="275"/>
        <v>#VALUE!</v>
      </c>
      <c r="BJ3122" s="21" t="e" vm="1">
        <v>#REF!</v>
      </c>
      <c r="BK3122" t="e" vm="1">
        <v>#REF!</v>
      </c>
      <c r="BM3122" t="e" vm="2">
        <f t="shared" si="276"/>
        <v>#VALUE!</v>
      </c>
      <c r="BN3122" t="e" vm="2">
        <f t="shared" si="277"/>
        <v>#VALUE!</v>
      </c>
    </row>
    <row r="3123" spans="55:66" x14ac:dyDescent="0.2">
      <c r="BC3123" s="21" t="e" vm="1">
        <v>#REF!</v>
      </c>
      <c r="BD3123" t="e" vm="1">
        <v>#REF!</v>
      </c>
      <c r="BF3123" t="e" vm="2">
        <f t="shared" si="274"/>
        <v>#VALUE!</v>
      </c>
      <c r="BG3123" t="e" vm="2">
        <f t="shared" si="275"/>
        <v>#VALUE!</v>
      </c>
      <c r="BJ3123" s="21" t="e" vm="1">
        <v>#REF!</v>
      </c>
      <c r="BK3123" t="e" vm="1">
        <v>#REF!</v>
      </c>
      <c r="BM3123" t="e" vm="2">
        <f t="shared" si="276"/>
        <v>#VALUE!</v>
      </c>
      <c r="BN3123" t="e" vm="2">
        <f t="shared" si="277"/>
        <v>#VALUE!</v>
      </c>
    </row>
    <row r="3124" spans="55:66" x14ac:dyDescent="0.2">
      <c r="BC3124" s="21" t="e" vm="1">
        <v>#REF!</v>
      </c>
      <c r="BD3124" t="e" vm="1">
        <v>#REF!</v>
      </c>
      <c r="BF3124" t="e" vm="2">
        <f t="shared" si="274"/>
        <v>#VALUE!</v>
      </c>
      <c r="BG3124" t="e" vm="2">
        <f t="shared" si="275"/>
        <v>#VALUE!</v>
      </c>
      <c r="BJ3124" s="21" t="e" vm="1">
        <v>#REF!</v>
      </c>
      <c r="BK3124" t="e" vm="1">
        <v>#REF!</v>
      </c>
      <c r="BM3124" t="e" vm="2">
        <f t="shared" si="276"/>
        <v>#VALUE!</v>
      </c>
      <c r="BN3124" t="e" vm="2">
        <f t="shared" si="277"/>
        <v>#VALUE!</v>
      </c>
    </row>
    <row r="3125" spans="55:66" x14ac:dyDescent="0.2">
      <c r="BC3125" s="21" t="e" vm="1">
        <v>#REF!</v>
      </c>
      <c r="BD3125" t="e" vm="1">
        <v>#REF!</v>
      </c>
      <c r="BF3125" t="e" vm="2">
        <f t="shared" si="274"/>
        <v>#VALUE!</v>
      </c>
      <c r="BG3125" t="e" vm="2">
        <f t="shared" si="275"/>
        <v>#VALUE!</v>
      </c>
      <c r="BJ3125" s="21" t="e" vm="1">
        <v>#REF!</v>
      </c>
      <c r="BK3125" t="e" vm="1">
        <v>#REF!</v>
      </c>
      <c r="BM3125" t="e" vm="2">
        <f t="shared" si="276"/>
        <v>#VALUE!</v>
      </c>
      <c r="BN3125" t="e" vm="2">
        <f t="shared" si="277"/>
        <v>#VALUE!</v>
      </c>
    </row>
    <row r="3126" spans="55:66" x14ac:dyDescent="0.2">
      <c r="BC3126" s="21" t="e" vm="1">
        <v>#REF!</v>
      </c>
      <c r="BD3126" t="e" vm="1">
        <v>#REF!</v>
      </c>
      <c r="BF3126" t="e" vm="2">
        <f t="shared" si="274"/>
        <v>#VALUE!</v>
      </c>
      <c r="BG3126" t="e" vm="2">
        <f t="shared" si="275"/>
        <v>#VALUE!</v>
      </c>
      <c r="BJ3126" s="21" t="e" vm="1">
        <v>#REF!</v>
      </c>
      <c r="BK3126" t="e" vm="1">
        <v>#REF!</v>
      </c>
      <c r="BM3126" t="e" vm="2">
        <f t="shared" si="276"/>
        <v>#VALUE!</v>
      </c>
      <c r="BN3126" t="e" vm="2">
        <f t="shared" si="277"/>
        <v>#VALUE!</v>
      </c>
    </row>
    <row r="3127" spans="55:66" x14ac:dyDescent="0.2">
      <c r="BC3127" s="21" t="e" vm="1">
        <v>#REF!</v>
      </c>
      <c r="BD3127" t="e" vm="1">
        <v>#REF!</v>
      </c>
      <c r="BF3127" t="e" vm="2">
        <f t="shared" si="274"/>
        <v>#VALUE!</v>
      </c>
      <c r="BG3127" t="e" vm="2">
        <f t="shared" si="275"/>
        <v>#VALUE!</v>
      </c>
      <c r="BJ3127" s="21" t="e" vm="1">
        <v>#REF!</v>
      </c>
      <c r="BK3127" t="e" vm="1">
        <v>#REF!</v>
      </c>
      <c r="BM3127" t="e" vm="2">
        <f t="shared" si="276"/>
        <v>#VALUE!</v>
      </c>
      <c r="BN3127" t="e" vm="2">
        <f t="shared" si="277"/>
        <v>#VALUE!</v>
      </c>
    </row>
    <row r="3128" spans="55:66" x14ac:dyDescent="0.2">
      <c r="BC3128" s="21" t="e" vm="1">
        <v>#REF!</v>
      </c>
      <c r="BD3128" t="e" vm="1">
        <v>#REF!</v>
      </c>
      <c r="BF3128" t="e" vm="2">
        <f t="shared" si="274"/>
        <v>#VALUE!</v>
      </c>
      <c r="BG3128" t="e" vm="2">
        <f t="shared" si="275"/>
        <v>#VALUE!</v>
      </c>
      <c r="BJ3128" s="21" t="e" vm="1">
        <v>#REF!</v>
      </c>
      <c r="BK3128" t="e" vm="1">
        <v>#REF!</v>
      </c>
      <c r="BM3128" t="e" vm="2">
        <f t="shared" si="276"/>
        <v>#VALUE!</v>
      </c>
      <c r="BN3128" t="e" vm="2">
        <f t="shared" si="277"/>
        <v>#VALUE!</v>
      </c>
    </row>
    <row r="3129" spans="55:66" x14ac:dyDescent="0.2">
      <c r="BC3129" s="21" t="e" vm="1">
        <v>#REF!</v>
      </c>
      <c r="BD3129" t="e" vm="1">
        <v>#REF!</v>
      </c>
      <c r="BF3129" t="e" vm="2">
        <f t="shared" si="274"/>
        <v>#VALUE!</v>
      </c>
      <c r="BG3129" t="e" vm="2">
        <f t="shared" si="275"/>
        <v>#VALUE!</v>
      </c>
      <c r="BJ3129" s="21" t="e" vm="1">
        <v>#REF!</v>
      </c>
      <c r="BK3129" t="e" vm="1">
        <v>#REF!</v>
      </c>
      <c r="BM3129" t="e" vm="2">
        <f t="shared" si="276"/>
        <v>#VALUE!</v>
      </c>
      <c r="BN3129" t="e" vm="2">
        <f t="shared" si="277"/>
        <v>#VALUE!</v>
      </c>
    </row>
    <row r="3130" spans="55:66" x14ac:dyDescent="0.2">
      <c r="BC3130" s="21" t="e" vm="1">
        <v>#REF!</v>
      </c>
      <c r="BD3130" t="e" vm="1">
        <v>#REF!</v>
      </c>
      <c r="BF3130" t="e" vm="2">
        <f t="shared" si="274"/>
        <v>#VALUE!</v>
      </c>
      <c r="BG3130" t="e" vm="2">
        <f t="shared" si="275"/>
        <v>#VALUE!</v>
      </c>
      <c r="BJ3130" s="21" t="e" vm="1">
        <v>#REF!</v>
      </c>
      <c r="BK3130" t="e" vm="1">
        <v>#REF!</v>
      </c>
      <c r="BM3130" t="e" vm="2">
        <f t="shared" si="276"/>
        <v>#VALUE!</v>
      </c>
      <c r="BN3130" t="e" vm="2">
        <f t="shared" si="277"/>
        <v>#VALUE!</v>
      </c>
    </row>
    <row r="3131" spans="55:66" x14ac:dyDescent="0.2">
      <c r="BC3131" s="21" t="e" vm="1">
        <v>#REF!</v>
      </c>
      <c r="BD3131" t="e" vm="1">
        <v>#REF!</v>
      </c>
      <c r="BF3131" t="e" vm="2">
        <f t="shared" si="274"/>
        <v>#VALUE!</v>
      </c>
      <c r="BG3131" t="e" vm="2">
        <f t="shared" si="275"/>
        <v>#VALUE!</v>
      </c>
      <c r="BJ3131" s="21" t="e" vm="1">
        <v>#REF!</v>
      </c>
      <c r="BK3131" t="e" vm="1">
        <v>#REF!</v>
      </c>
      <c r="BM3131" t="e" vm="2">
        <f t="shared" si="276"/>
        <v>#VALUE!</v>
      </c>
      <c r="BN3131" t="e" vm="2">
        <f t="shared" si="277"/>
        <v>#VALUE!</v>
      </c>
    </row>
    <row r="3132" spans="55:66" x14ac:dyDescent="0.2">
      <c r="BC3132" s="21" t="e" vm="1">
        <v>#REF!</v>
      </c>
      <c r="BD3132" t="e" vm="1">
        <v>#REF!</v>
      </c>
      <c r="BF3132" t="e" vm="2">
        <f t="shared" si="274"/>
        <v>#VALUE!</v>
      </c>
      <c r="BG3132" t="e" vm="2">
        <f t="shared" si="275"/>
        <v>#VALUE!</v>
      </c>
      <c r="BJ3132" s="21" t="e" vm="1">
        <v>#REF!</v>
      </c>
      <c r="BK3132" t="e" vm="1">
        <v>#REF!</v>
      </c>
      <c r="BM3132" t="e" vm="2">
        <f t="shared" si="276"/>
        <v>#VALUE!</v>
      </c>
      <c r="BN3132" t="e" vm="2">
        <f t="shared" si="277"/>
        <v>#VALUE!</v>
      </c>
    </row>
    <row r="3133" spans="55:66" x14ac:dyDescent="0.2">
      <c r="BC3133" s="21" t="e" vm="1">
        <v>#REF!</v>
      </c>
      <c r="BD3133" t="e" vm="1">
        <v>#REF!</v>
      </c>
      <c r="BF3133" t="e" vm="2">
        <f t="shared" si="274"/>
        <v>#VALUE!</v>
      </c>
      <c r="BG3133" t="e" vm="2">
        <f t="shared" si="275"/>
        <v>#VALUE!</v>
      </c>
      <c r="BJ3133" s="21" t="e" vm="1">
        <v>#REF!</v>
      </c>
      <c r="BK3133" t="e" vm="1">
        <v>#REF!</v>
      </c>
      <c r="BM3133" t="e" vm="2">
        <f t="shared" si="276"/>
        <v>#VALUE!</v>
      </c>
      <c r="BN3133" t="e" vm="2">
        <f t="shared" si="277"/>
        <v>#VALUE!</v>
      </c>
    </row>
    <row r="3134" spans="55:66" x14ac:dyDescent="0.2">
      <c r="BC3134" s="21" t="e" vm="1">
        <v>#REF!</v>
      </c>
      <c r="BD3134" t="e" vm="1">
        <v>#REF!</v>
      </c>
      <c r="BF3134" t="e" vm="2">
        <f t="shared" si="274"/>
        <v>#VALUE!</v>
      </c>
      <c r="BG3134" t="e" vm="2">
        <f t="shared" si="275"/>
        <v>#VALUE!</v>
      </c>
      <c r="BJ3134" s="21" t="e" vm="1">
        <v>#REF!</v>
      </c>
      <c r="BK3134" t="e" vm="1">
        <v>#REF!</v>
      </c>
      <c r="BM3134" t="e" vm="2">
        <f t="shared" si="276"/>
        <v>#VALUE!</v>
      </c>
      <c r="BN3134" t="e" vm="2">
        <f t="shared" si="277"/>
        <v>#VALUE!</v>
      </c>
    </row>
    <row r="3135" spans="55:66" x14ac:dyDescent="0.2">
      <c r="BC3135" s="21" t="e" vm="1">
        <v>#REF!</v>
      </c>
      <c r="BD3135" t="e" vm="1">
        <v>#REF!</v>
      </c>
      <c r="BF3135" t="e" vm="2">
        <f t="shared" si="274"/>
        <v>#VALUE!</v>
      </c>
      <c r="BG3135" t="e" vm="2">
        <f t="shared" si="275"/>
        <v>#VALUE!</v>
      </c>
      <c r="BJ3135" s="21" t="e" vm="1">
        <v>#REF!</v>
      </c>
      <c r="BK3135" t="e" vm="1">
        <v>#REF!</v>
      </c>
      <c r="BM3135" t="e" vm="2">
        <f t="shared" si="276"/>
        <v>#VALUE!</v>
      </c>
      <c r="BN3135" t="e" vm="2">
        <f t="shared" si="277"/>
        <v>#VALUE!</v>
      </c>
    </row>
    <row r="3136" spans="55:66" x14ac:dyDescent="0.2">
      <c r="BC3136" s="21" t="e" vm="1">
        <v>#REF!</v>
      </c>
      <c r="BD3136" t="e" vm="1">
        <v>#REF!</v>
      </c>
      <c r="BF3136" t="e" vm="2">
        <f t="shared" si="274"/>
        <v>#VALUE!</v>
      </c>
      <c r="BG3136" t="e" vm="2">
        <f t="shared" si="275"/>
        <v>#VALUE!</v>
      </c>
      <c r="BJ3136" s="21" t="e" vm="1">
        <v>#REF!</v>
      </c>
      <c r="BK3136" t="e" vm="1">
        <v>#REF!</v>
      </c>
      <c r="BM3136" t="e" vm="2">
        <f t="shared" si="276"/>
        <v>#VALUE!</v>
      </c>
      <c r="BN3136" t="e" vm="2">
        <f t="shared" si="277"/>
        <v>#VALUE!</v>
      </c>
    </row>
    <row r="3137" spans="55:66" x14ac:dyDescent="0.2">
      <c r="BC3137" s="21" t="e" vm="1">
        <v>#REF!</v>
      </c>
      <c r="BD3137" t="e" vm="1">
        <v>#REF!</v>
      </c>
      <c r="BF3137" t="e" vm="2">
        <f t="shared" si="274"/>
        <v>#VALUE!</v>
      </c>
      <c r="BG3137" t="e" vm="2">
        <f t="shared" si="275"/>
        <v>#VALUE!</v>
      </c>
      <c r="BJ3137" s="21" t="e" vm="1">
        <v>#REF!</v>
      </c>
      <c r="BK3137" t="e" vm="1">
        <v>#REF!</v>
      </c>
      <c r="BM3137" t="e" vm="2">
        <f t="shared" si="276"/>
        <v>#VALUE!</v>
      </c>
      <c r="BN3137" t="e" vm="2">
        <f t="shared" si="277"/>
        <v>#VALUE!</v>
      </c>
    </row>
    <row r="3138" spans="55:66" x14ac:dyDescent="0.2">
      <c r="BC3138" s="21" t="e" vm="1">
        <v>#REF!</v>
      </c>
      <c r="BD3138" t="e" vm="1">
        <v>#REF!</v>
      </c>
      <c r="BF3138" t="e" vm="2">
        <f t="shared" si="274"/>
        <v>#VALUE!</v>
      </c>
      <c r="BG3138" t="e" vm="2">
        <f t="shared" si="275"/>
        <v>#VALUE!</v>
      </c>
      <c r="BJ3138" s="21" t="e" vm="1">
        <v>#REF!</v>
      </c>
      <c r="BK3138" t="e" vm="1">
        <v>#REF!</v>
      </c>
      <c r="BM3138" t="e" vm="2">
        <f t="shared" si="276"/>
        <v>#VALUE!</v>
      </c>
      <c r="BN3138" t="e" vm="2">
        <f t="shared" si="277"/>
        <v>#VALUE!</v>
      </c>
    </row>
    <row r="3139" spans="55:66" x14ac:dyDescent="0.2">
      <c r="BC3139" s="21" t="e" vm="1">
        <v>#REF!</v>
      </c>
      <c r="BD3139" t="e" vm="1">
        <v>#REF!</v>
      </c>
      <c r="BF3139" t="e" vm="2">
        <f t="shared" ref="BF3139:BF3202" si="278">MONTH(BC3139)</f>
        <v>#VALUE!</v>
      </c>
      <c r="BG3139" t="e" vm="2">
        <f t="shared" ref="BG3139:BG3202" si="279">YEAR(BC3139)</f>
        <v>#VALUE!</v>
      </c>
      <c r="BJ3139" s="21" t="e" vm="1">
        <v>#REF!</v>
      </c>
      <c r="BK3139" t="e" vm="1">
        <v>#REF!</v>
      </c>
      <c r="BM3139" t="e" vm="2">
        <f t="shared" si="276"/>
        <v>#VALUE!</v>
      </c>
      <c r="BN3139" t="e" vm="2">
        <f t="shared" si="277"/>
        <v>#VALUE!</v>
      </c>
    </row>
    <row r="3140" spans="55:66" x14ac:dyDescent="0.2">
      <c r="BC3140" s="21" t="e" vm="1">
        <v>#REF!</v>
      </c>
      <c r="BD3140" t="e" vm="1">
        <v>#REF!</v>
      </c>
      <c r="BF3140" t="e" vm="2">
        <f t="shared" si="278"/>
        <v>#VALUE!</v>
      </c>
      <c r="BG3140" t="e" vm="2">
        <f t="shared" si="279"/>
        <v>#VALUE!</v>
      </c>
      <c r="BJ3140" s="21" t="e" vm="1">
        <v>#REF!</v>
      </c>
      <c r="BK3140" t="e" vm="1">
        <v>#REF!</v>
      </c>
      <c r="BM3140" t="e" vm="2">
        <f t="shared" ref="BM3140:BM3203" si="280">MONTH(BJ3140)</f>
        <v>#VALUE!</v>
      </c>
      <c r="BN3140" t="e" vm="2">
        <f t="shared" ref="BN3140:BN3203" si="281">YEAR(BJ3140)</f>
        <v>#VALUE!</v>
      </c>
    </row>
    <row r="3141" spans="55:66" x14ac:dyDescent="0.2">
      <c r="BC3141" s="21" t="e" vm="1">
        <v>#REF!</v>
      </c>
      <c r="BD3141" t="e" vm="1">
        <v>#REF!</v>
      </c>
      <c r="BF3141" t="e" vm="2">
        <f t="shared" si="278"/>
        <v>#VALUE!</v>
      </c>
      <c r="BG3141" t="e" vm="2">
        <f t="shared" si="279"/>
        <v>#VALUE!</v>
      </c>
      <c r="BJ3141" s="21" t="e" vm="1">
        <v>#REF!</v>
      </c>
      <c r="BK3141" t="e" vm="1">
        <v>#REF!</v>
      </c>
      <c r="BM3141" t="e" vm="2">
        <f t="shared" si="280"/>
        <v>#VALUE!</v>
      </c>
      <c r="BN3141" t="e" vm="2">
        <f t="shared" si="281"/>
        <v>#VALUE!</v>
      </c>
    </row>
    <row r="3142" spans="55:66" x14ac:dyDescent="0.2">
      <c r="BC3142" s="21" t="e" vm="1">
        <v>#REF!</v>
      </c>
      <c r="BD3142" t="e" vm="1">
        <v>#REF!</v>
      </c>
      <c r="BF3142" t="e" vm="2">
        <f t="shared" si="278"/>
        <v>#VALUE!</v>
      </c>
      <c r="BG3142" t="e" vm="2">
        <f t="shared" si="279"/>
        <v>#VALUE!</v>
      </c>
      <c r="BJ3142" s="21" t="e" vm="1">
        <v>#REF!</v>
      </c>
      <c r="BK3142" t="e" vm="1">
        <v>#REF!</v>
      </c>
      <c r="BM3142" t="e" vm="2">
        <f t="shared" si="280"/>
        <v>#VALUE!</v>
      </c>
      <c r="BN3142" t="e" vm="2">
        <f t="shared" si="281"/>
        <v>#VALUE!</v>
      </c>
    </row>
    <row r="3143" spans="55:66" x14ac:dyDescent="0.2">
      <c r="BC3143" s="21" t="e" vm="1">
        <v>#REF!</v>
      </c>
      <c r="BD3143" t="e" vm="1">
        <v>#REF!</v>
      </c>
      <c r="BF3143" t="e" vm="2">
        <f t="shared" si="278"/>
        <v>#VALUE!</v>
      </c>
      <c r="BG3143" t="e" vm="2">
        <f t="shared" si="279"/>
        <v>#VALUE!</v>
      </c>
      <c r="BJ3143" s="21" t="e" vm="1">
        <v>#REF!</v>
      </c>
      <c r="BK3143" t="e" vm="1">
        <v>#REF!</v>
      </c>
      <c r="BM3143" t="e" vm="2">
        <f t="shared" si="280"/>
        <v>#VALUE!</v>
      </c>
      <c r="BN3143" t="e" vm="2">
        <f t="shared" si="281"/>
        <v>#VALUE!</v>
      </c>
    </row>
    <row r="3144" spans="55:66" x14ac:dyDescent="0.2">
      <c r="BC3144" s="21" t="e" vm="1">
        <v>#REF!</v>
      </c>
      <c r="BD3144" t="e" vm="1">
        <v>#REF!</v>
      </c>
      <c r="BF3144" t="e" vm="2">
        <f t="shared" si="278"/>
        <v>#VALUE!</v>
      </c>
      <c r="BG3144" t="e" vm="2">
        <f t="shared" si="279"/>
        <v>#VALUE!</v>
      </c>
      <c r="BJ3144" s="21" t="e" vm="1">
        <v>#REF!</v>
      </c>
      <c r="BK3144" t="e" vm="1">
        <v>#REF!</v>
      </c>
      <c r="BM3144" t="e" vm="2">
        <f t="shared" si="280"/>
        <v>#VALUE!</v>
      </c>
      <c r="BN3144" t="e" vm="2">
        <f t="shared" si="281"/>
        <v>#VALUE!</v>
      </c>
    </row>
    <row r="3145" spans="55:66" x14ac:dyDescent="0.2">
      <c r="BC3145" s="21" t="e" vm="1">
        <v>#REF!</v>
      </c>
      <c r="BD3145" t="e" vm="1">
        <v>#REF!</v>
      </c>
      <c r="BF3145" t="e" vm="2">
        <f t="shared" si="278"/>
        <v>#VALUE!</v>
      </c>
      <c r="BG3145" t="e" vm="2">
        <f t="shared" si="279"/>
        <v>#VALUE!</v>
      </c>
      <c r="BJ3145" s="21" t="e" vm="1">
        <v>#REF!</v>
      </c>
      <c r="BK3145" t="e" vm="1">
        <v>#REF!</v>
      </c>
      <c r="BM3145" t="e" vm="2">
        <f t="shared" si="280"/>
        <v>#VALUE!</v>
      </c>
      <c r="BN3145" t="e" vm="2">
        <f t="shared" si="281"/>
        <v>#VALUE!</v>
      </c>
    </row>
    <row r="3146" spans="55:66" x14ac:dyDescent="0.2">
      <c r="BC3146" s="21" t="e" vm="1">
        <v>#REF!</v>
      </c>
      <c r="BD3146" t="e" vm="1">
        <v>#REF!</v>
      </c>
      <c r="BF3146" t="e" vm="2">
        <f t="shared" si="278"/>
        <v>#VALUE!</v>
      </c>
      <c r="BG3146" t="e" vm="2">
        <f t="shared" si="279"/>
        <v>#VALUE!</v>
      </c>
      <c r="BJ3146" s="21" t="e" vm="1">
        <v>#REF!</v>
      </c>
      <c r="BK3146" t="e" vm="1">
        <v>#REF!</v>
      </c>
      <c r="BM3146" t="e" vm="2">
        <f t="shared" si="280"/>
        <v>#VALUE!</v>
      </c>
      <c r="BN3146" t="e" vm="2">
        <f t="shared" si="281"/>
        <v>#VALUE!</v>
      </c>
    </row>
    <row r="3147" spans="55:66" x14ac:dyDescent="0.2">
      <c r="BC3147" s="21" t="e" vm="1">
        <v>#REF!</v>
      </c>
      <c r="BD3147" t="e" vm="1">
        <v>#REF!</v>
      </c>
      <c r="BF3147" t="e" vm="2">
        <f t="shared" si="278"/>
        <v>#VALUE!</v>
      </c>
      <c r="BG3147" t="e" vm="2">
        <f t="shared" si="279"/>
        <v>#VALUE!</v>
      </c>
      <c r="BJ3147" s="21" t="e" vm="1">
        <v>#REF!</v>
      </c>
      <c r="BK3147" t="e" vm="1">
        <v>#REF!</v>
      </c>
      <c r="BM3147" t="e" vm="2">
        <f t="shared" si="280"/>
        <v>#VALUE!</v>
      </c>
      <c r="BN3147" t="e" vm="2">
        <f t="shared" si="281"/>
        <v>#VALUE!</v>
      </c>
    </row>
    <row r="3148" spans="55:66" x14ac:dyDescent="0.2">
      <c r="BC3148" s="21" t="e" vm="1">
        <v>#REF!</v>
      </c>
      <c r="BD3148" t="e" vm="1">
        <v>#REF!</v>
      </c>
      <c r="BF3148" t="e" vm="2">
        <f t="shared" si="278"/>
        <v>#VALUE!</v>
      </c>
      <c r="BG3148" t="e" vm="2">
        <f t="shared" si="279"/>
        <v>#VALUE!</v>
      </c>
      <c r="BJ3148" s="21" t="e" vm="1">
        <v>#REF!</v>
      </c>
      <c r="BK3148" t="e" vm="1">
        <v>#REF!</v>
      </c>
      <c r="BM3148" t="e" vm="2">
        <f t="shared" si="280"/>
        <v>#VALUE!</v>
      </c>
      <c r="BN3148" t="e" vm="2">
        <f t="shared" si="281"/>
        <v>#VALUE!</v>
      </c>
    </row>
    <row r="3149" spans="55:66" x14ac:dyDescent="0.2">
      <c r="BC3149" s="21" t="e" vm="1">
        <v>#REF!</v>
      </c>
      <c r="BD3149" t="e" vm="1">
        <v>#REF!</v>
      </c>
      <c r="BF3149" t="e" vm="2">
        <f t="shared" si="278"/>
        <v>#VALUE!</v>
      </c>
      <c r="BG3149" t="e" vm="2">
        <f t="shared" si="279"/>
        <v>#VALUE!</v>
      </c>
      <c r="BJ3149" s="21" t="e" vm="1">
        <v>#REF!</v>
      </c>
      <c r="BK3149" t="e" vm="1">
        <v>#REF!</v>
      </c>
      <c r="BM3149" t="e" vm="2">
        <f t="shared" si="280"/>
        <v>#VALUE!</v>
      </c>
      <c r="BN3149" t="e" vm="2">
        <f t="shared" si="281"/>
        <v>#VALUE!</v>
      </c>
    </row>
    <row r="3150" spans="55:66" x14ac:dyDescent="0.2">
      <c r="BC3150" s="21" t="e" vm="1">
        <v>#REF!</v>
      </c>
      <c r="BD3150" t="e" vm="1">
        <v>#REF!</v>
      </c>
      <c r="BF3150" t="e" vm="2">
        <f t="shared" si="278"/>
        <v>#VALUE!</v>
      </c>
      <c r="BG3150" t="e" vm="2">
        <f t="shared" si="279"/>
        <v>#VALUE!</v>
      </c>
      <c r="BJ3150" s="21" t="e" vm="1">
        <v>#REF!</v>
      </c>
      <c r="BK3150" t="e" vm="1">
        <v>#REF!</v>
      </c>
      <c r="BM3150" t="e" vm="2">
        <f t="shared" si="280"/>
        <v>#VALUE!</v>
      </c>
      <c r="BN3150" t="e" vm="2">
        <f t="shared" si="281"/>
        <v>#VALUE!</v>
      </c>
    </row>
    <row r="3151" spans="55:66" x14ac:dyDescent="0.2">
      <c r="BC3151" s="21" t="e" vm="1">
        <v>#REF!</v>
      </c>
      <c r="BD3151" t="e" vm="1">
        <v>#REF!</v>
      </c>
      <c r="BF3151" t="e" vm="2">
        <f t="shared" si="278"/>
        <v>#VALUE!</v>
      </c>
      <c r="BG3151" t="e" vm="2">
        <f t="shared" si="279"/>
        <v>#VALUE!</v>
      </c>
      <c r="BJ3151" s="21" t="e" vm="1">
        <v>#REF!</v>
      </c>
      <c r="BK3151" t="e" vm="1">
        <v>#REF!</v>
      </c>
      <c r="BM3151" t="e" vm="2">
        <f t="shared" si="280"/>
        <v>#VALUE!</v>
      </c>
      <c r="BN3151" t="e" vm="2">
        <f t="shared" si="281"/>
        <v>#VALUE!</v>
      </c>
    </row>
    <row r="3152" spans="55:66" x14ac:dyDescent="0.2">
      <c r="BC3152" s="21" t="e" vm="1">
        <v>#REF!</v>
      </c>
      <c r="BD3152" t="e" vm="1">
        <v>#REF!</v>
      </c>
      <c r="BF3152" t="e" vm="2">
        <f t="shared" si="278"/>
        <v>#VALUE!</v>
      </c>
      <c r="BG3152" t="e" vm="2">
        <f t="shared" si="279"/>
        <v>#VALUE!</v>
      </c>
      <c r="BJ3152" s="21" t="e" vm="1">
        <v>#REF!</v>
      </c>
      <c r="BK3152" t="e" vm="1">
        <v>#REF!</v>
      </c>
      <c r="BM3152" t="e" vm="2">
        <f t="shared" si="280"/>
        <v>#VALUE!</v>
      </c>
      <c r="BN3152" t="e" vm="2">
        <f t="shared" si="281"/>
        <v>#VALUE!</v>
      </c>
    </row>
    <row r="3153" spans="55:66" x14ac:dyDescent="0.2">
      <c r="BC3153" s="21" t="e" vm="1">
        <v>#REF!</v>
      </c>
      <c r="BD3153" t="e" vm="1">
        <v>#REF!</v>
      </c>
      <c r="BF3153" t="e" vm="2">
        <f t="shared" si="278"/>
        <v>#VALUE!</v>
      </c>
      <c r="BG3153" t="e" vm="2">
        <f t="shared" si="279"/>
        <v>#VALUE!</v>
      </c>
      <c r="BJ3153" s="21" t="e" vm="1">
        <v>#REF!</v>
      </c>
      <c r="BK3153" t="e" vm="1">
        <v>#REF!</v>
      </c>
      <c r="BM3153" t="e" vm="2">
        <f t="shared" si="280"/>
        <v>#VALUE!</v>
      </c>
      <c r="BN3153" t="e" vm="2">
        <f t="shared" si="281"/>
        <v>#VALUE!</v>
      </c>
    </row>
    <row r="3154" spans="55:66" x14ac:dyDescent="0.2">
      <c r="BC3154" s="21" t="e" vm="1">
        <v>#REF!</v>
      </c>
      <c r="BD3154" t="e" vm="1">
        <v>#REF!</v>
      </c>
      <c r="BF3154" t="e" vm="2">
        <f t="shared" si="278"/>
        <v>#VALUE!</v>
      </c>
      <c r="BG3154" t="e" vm="2">
        <f t="shared" si="279"/>
        <v>#VALUE!</v>
      </c>
      <c r="BJ3154" s="21" t="e" vm="1">
        <v>#REF!</v>
      </c>
      <c r="BK3154" t="e" vm="1">
        <v>#REF!</v>
      </c>
      <c r="BM3154" t="e" vm="2">
        <f t="shared" si="280"/>
        <v>#VALUE!</v>
      </c>
      <c r="BN3154" t="e" vm="2">
        <f t="shared" si="281"/>
        <v>#VALUE!</v>
      </c>
    </row>
    <row r="3155" spans="55:66" x14ac:dyDescent="0.2">
      <c r="BC3155" s="21" t="e" vm="1">
        <v>#REF!</v>
      </c>
      <c r="BD3155" t="e" vm="1">
        <v>#REF!</v>
      </c>
      <c r="BF3155" t="e" vm="2">
        <f t="shared" si="278"/>
        <v>#VALUE!</v>
      </c>
      <c r="BG3155" t="e" vm="2">
        <f t="shared" si="279"/>
        <v>#VALUE!</v>
      </c>
      <c r="BJ3155" s="21" t="e" vm="1">
        <v>#REF!</v>
      </c>
      <c r="BK3155" t="e" vm="1">
        <v>#REF!</v>
      </c>
      <c r="BM3155" t="e" vm="2">
        <f t="shared" si="280"/>
        <v>#VALUE!</v>
      </c>
      <c r="BN3155" t="e" vm="2">
        <f t="shared" si="281"/>
        <v>#VALUE!</v>
      </c>
    </row>
    <row r="3156" spans="55:66" x14ac:dyDescent="0.2">
      <c r="BC3156" s="21" t="e" vm="1">
        <v>#REF!</v>
      </c>
      <c r="BD3156" t="e" vm="1">
        <v>#REF!</v>
      </c>
      <c r="BF3156" t="e" vm="2">
        <f t="shared" si="278"/>
        <v>#VALUE!</v>
      </c>
      <c r="BG3156" t="e" vm="2">
        <f t="shared" si="279"/>
        <v>#VALUE!</v>
      </c>
      <c r="BJ3156" s="21" t="e" vm="1">
        <v>#REF!</v>
      </c>
      <c r="BK3156" t="e" vm="1">
        <v>#REF!</v>
      </c>
      <c r="BM3156" t="e" vm="2">
        <f t="shared" si="280"/>
        <v>#VALUE!</v>
      </c>
      <c r="BN3156" t="e" vm="2">
        <f t="shared" si="281"/>
        <v>#VALUE!</v>
      </c>
    </row>
    <row r="3157" spans="55:66" x14ac:dyDescent="0.2">
      <c r="BC3157" s="21" t="e" vm="1">
        <v>#REF!</v>
      </c>
      <c r="BD3157" t="e" vm="1">
        <v>#REF!</v>
      </c>
      <c r="BF3157" t="e" vm="2">
        <f t="shared" si="278"/>
        <v>#VALUE!</v>
      </c>
      <c r="BG3157" t="e" vm="2">
        <f t="shared" si="279"/>
        <v>#VALUE!</v>
      </c>
      <c r="BJ3157" s="21" t="e" vm="1">
        <v>#REF!</v>
      </c>
      <c r="BK3157" t="e" vm="1">
        <v>#REF!</v>
      </c>
      <c r="BM3157" t="e" vm="2">
        <f t="shared" si="280"/>
        <v>#VALUE!</v>
      </c>
      <c r="BN3157" t="e" vm="2">
        <f t="shared" si="281"/>
        <v>#VALUE!</v>
      </c>
    </row>
    <row r="3158" spans="55:66" x14ac:dyDescent="0.2">
      <c r="BC3158" s="21" t="e" vm="1">
        <v>#REF!</v>
      </c>
      <c r="BD3158" t="e" vm="1">
        <v>#REF!</v>
      </c>
      <c r="BF3158" t="e" vm="2">
        <f t="shared" si="278"/>
        <v>#VALUE!</v>
      </c>
      <c r="BG3158" t="e" vm="2">
        <f t="shared" si="279"/>
        <v>#VALUE!</v>
      </c>
      <c r="BJ3158" s="21" t="e" vm="1">
        <v>#REF!</v>
      </c>
      <c r="BK3158" t="e" vm="1">
        <v>#REF!</v>
      </c>
      <c r="BM3158" t="e" vm="2">
        <f t="shared" si="280"/>
        <v>#VALUE!</v>
      </c>
      <c r="BN3158" t="e" vm="2">
        <f t="shared" si="281"/>
        <v>#VALUE!</v>
      </c>
    </row>
    <row r="3159" spans="55:66" x14ac:dyDescent="0.2">
      <c r="BC3159" s="21" t="e" vm="1">
        <v>#REF!</v>
      </c>
      <c r="BD3159" t="e" vm="1">
        <v>#REF!</v>
      </c>
      <c r="BF3159" t="e" vm="2">
        <f t="shared" si="278"/>
        <v>#VALUE!</v>
      </c>
      <c r="BG3159" t="e" vm="2">
        <f t="shared" si="279"/>
        <v>#VALUE!</v>
      </c>
      <c r="BJ3159" s="21" t="e" vm="1">
        <v>#REF!</v>
      </c>
      <c r="BK3159" t="e" vm="1">
        <v>#REF!</v>
      </c>
      <c r="BM3159" t="e" vm="2">
        <f t="shared" si="280"/>
        <v>#VALUE!</v>
      </c>
      <c r="BN3159" t="e" vm="2">
        <f t="shared" si="281"/>
        <v>#VALUE!</v>
      </c>
    </row>
    <row r="3160" spans="55:66" x14ac:dyDescent="0.2">
      <c r="BC3160" s="21" t="e" vm="1">
        <v>#REF!</v>
      </c>
      <c r="BD3160" t="e" vm="1">
        <v>#REF!</v>
      </c>
      <c r="BF3160" t="e" vm="2">
        <f t="shared" si="278"/>
        <v>#VALUE!</v>
      </c>
      <c r="BG3160" t="e" vm="2">
        <f t="shared" si="279"/>
        <v>#VALUE!</v>
      </c>
      <c r="BJ3160" s="21" t="e" vm="1">
        <v>#REF!</v>
      </c>
      <c r="BK3160" t="e" vm="1">
        <v>#REF!</v>
      </c>
      <c r="BM3160" t="e" vm="2">
        <f t="shared" si="280"/>
        <v>#VALUE!</v>
      </c>
      <c r="BN3160" t="e" vm="2">
        <f t="shared" si="281"/>
        <v>#VALUE!</v>
      </c>
    </row>
    <row r="3161" spans="55:66" x14ac:dyDescent="0.2">
      <c r="BC3161" s="21" t="e" vm="1">
        <v>#REF!</v>
      </c>
      <c r="BD3161" t="e" vm="1">
        <v>#REF!</v>
      </c>
      <c r="BF3161" t="e" vm="2">
        <f t="shared" si="278"/>
        <v>#VALUE!</v>
      </c>
      <c r="BG3161" t="e" vm="2">
        <f t="shared" si="279"/>
        <v>#VALUE!</v>
      </c>
      <c r="BJ3161" s="21" t="e" vm="1">
        <v>#REF!</v>
      </c>
      <c r="BK3161" t="e" vm="1">
        <v>#REF!</v>
      </c>
      <c r="BM3161" t="e" vm="2">
        <f t="shared" si="280"/>
        <v>#VALUE!</v>
      </c>
      <c r="BN3161" t="e" vm="2">
        <f t="shared" si="281"/>
        <v>#VALUE!</v>
      </c>
    </row>
    <row r="3162" spans="55:66" x14ac:dyDescent="0.2">
      <c r="BC3162" s="21" t="e" vm="1">
        <v>#REF!</v>
      </c>
      <c r="BD3162" t="e" vm="1">
        <v>#REF!</v>
      </c>
      <c r="BF3162" t="e" vm="2">
        <f t="shared" si="278"/>
        <v>#VALUE!</v>
      </c>
      <c r="BG3162" t="e" vm="2">
        <f t="shared" si="279"/>
        <v>#VALUE!</v>
      </c>
      <c r="BJ3162" s="21" t="e" vm="1">
        <v>#REF!</v>
      </c>
      <c r="BK3162" t="e" vm="1">
        <v>#REF!</v>
      </c>
      <c r="BM3162" t="e" vm="2">
        <f t="shared" si="280"/>
        <v>#VALUE!</v>
      </c>
      <c r="BN3162" t="e" vm="2">
        <f t="shared" si="281"/>
        <v>#VALUE!</v>
      </c>
    </row>
    <row r="3163" spans="55:66" x14ac:dyDescent="0.2">
      <c r="BC3163" s="21" t="e" vm="1">
        <v>#REF!</v>
      </c>
      <c r="BD3163" t="e" vm="1">
        <v>#REF!</v>
      </c>
      <c r="BF3163" t="e" vm="2">
        <f t="shared" si="278"/>
        <v>#VALUE!</v>
      </c>
      <c r="BG3163" t="e" vm="2">
        <f t="shared" si="279"/>
        <v>#VALUE!</v>
      </c>
      <c r="BJ3163" s="21" t="e" vm="1">
        <v>#REF!</v>
      </c>
      <c r="BK3163" t="e" vm="1">
        <v>#REF!</v>
      </c>
      <c r="BM3163" t="e" vm="2">
        <f t="shared" si="280"/>
        <v>#VALUE!</v>
      </c>
      <c r="BN3163" t="e" vm="2">
        <f t="shared" si="281"/>
        <v>#VALUE!</v>
      </c>
    </row>
    <row r="3164" spans="55:66" x14ac:dyDescent="0.2">
      <c r="BC3164" s="21" t="e" vm="1">
        <v>#REF!</v>
      </c>
      <c r="BD3164" t="e" vm="1">
        <v>#REF!</v>
      </c>
      <c r="BF3164" t="e" vm="2">
        <f t="shared" si="278"/>
        <v>#VALUE!</v>
      </c>
      <c r="BG3164" t="e" vm="2">
        <f t="shared" si="279"/>
        <v>#VALUE!</v>
      </c>
      <c r="BJ3164" s="21" t="e" vm="1">
        <v>#REF!</v>
      </c>
      <c r="BK3164" t="e" vm="1">
        <v>#REF!</v>
      </c>
      <c r="BM3164" t="e" vm="2">
        <f t="shared" si="280"/>
        <v>#VALUE!</v>
      </c>
      <c r="BN3164" t="e" vm="2">
        <f t="shared" si="281"/>
        <v>#VALUE!</v>
      </c>
    </row>
    <row r="3165" spans="55:66" x14ac:dyDescent="0.2">
      <c r="BC3165" s="21" t="e" vm="1">
        <v>#REF!</v>
      </c>
      <c r="BD3165" t="e" vm="1">
        <v>#REF!</v>
      </c>
      <c r="BF3165" t="e" vm="2">
        <f t="shared" si="278"/>
        <v>#VALUE!</v>
      </c>
      <c r="BG3165" t="e" vm="2">
        <f t="shared" si="279"/>
        <v>#VALUE!</v>
      </c>
      <c r="BJ3165" s="21" t="e" vm="1">
        <v>#REF!</v>
      </c>
      <c r="BK3165" t="e" vm="1">
        <v>#REF!</v>
      </c>
      <c r="BM3165" t="e" vm="2">
        <f t="shared" si="280"/>
        <v>#VALUE!</v>
      </c>
      <c r="BN3165" t="e" vm="2">
        <f t="shared" si="281"/>
        <v>#VALUE!</v>
      </c>
    </row>
    <row r="3166" spans="55:66" x14ac:dyDescent="0.2">
      <c r="BC3166" s="21" t="e" vm="1">
        <v>#REF!</v>
      </c>
      <c r="BD3166" t="e" vm="1">
        <v>#REF!</v>
      </c>
      <c r="BF3166" t="e" vm="2">
        <f t="shared" si="278"/>
        <v>#VALUE!</v>
      </c>
      <c r="BG3166" t="e" vm="2">
        <f t="shared" si="279"/>
        <v>#VALUE!</v>
      </c>
      <c r="BJ3166" s="21" t="e" vm="1">
        <v>#REF!</v>
      </c>
      <c r="BK3166" t="e" vm="1">
        <v>#REF!</v>
      </c>
      <c r="BM3166" t="e" vm="2">
        <f t="shared" si="280"/>
        <v>#VALUE!</v>
      </c>
      <c r="BN3166" t="e" vm="2">
        <f t="shared" si="281"/>
        <v>#VALUE!</v>
      </c>
    </row>
    <row r="3167" spans="55:66" x14ac:dyDescent="0.2">
      <c r="BC3167" s="21" t="e" vm="1">
        <v>#REF!</v>
      </c>
      <c r="BD3167" t="e" vm="1">
        <v>#REF!</v>
      </c>
      <c r="BF3167" t="e" vm="2">
        <f t="shared" si="278"/>
        <v>#VALUE!</v>
      </c>
      <c r="BG3167" t="e" vm="2">
        <f t="shared" si="279"/>
        <v>#VALUE!</v>
      </c>
      <c r="BJ3167" s="21" t="e" vm="1">
        <v>#REF!</v>
      </c>
      <c r="BK3167" t="e" vm="1">
        <v>#REF!</v>
      </c>
      <c r="BM3167" t="e" vm="2">
        <f t="shared" si="280"/>
        <v>#VALUE!</v>
      </c>
      <c r="BN3167" t="e" vm="2">
        <f t="shared" si="281"/>
        <v>#VALUE!</v>
      </c>
    </row>
    <row r="3168" spans="55:66" x14ac:dyDescent="0.2">
      <c r="BC3168" s="21" t="e" vm="1">
        <v>#REF!</v>
      </c>
      <c r="BD3168" t="e" vm="1">
        <v>#REF!</v>
      </c>
      <c r="BF3168" t="e" vm="2">
        <f t="shared" si="278"/>
        <v>#VALUE!</v>
      </c>
      <c r="BG3168" t="e" vm="2">
        <f t="shared" si="279"/>
        <v>#VALUE!</v>
      </c>
      <c r="BJ3168" s="21" t="e" vm="1">
        <v>#REF!</v>
      </c>
      <c r="BK3168" t="e" vm="1">
        <v>#REF!</v>
      </c>
      <c r="BM3168" t="e" vm="2">
        <f t="shared" si="280"/>
        <v>#VALUE!</v>
      </c>
      <c r="BN3168" t="e" vm="2">
        <f t="shared" si="281"/>
        <v>#VALUE!</v>
      </c>
    </row>
    <row r="3169" spans="55:66" x14ac:dyDescent="0.2">
      <c r="BC3169" s="21" t="e" vm="1">
        <v>#REF!</v>
      </c>
      <c r="BD3169" t="e" vm="1">
        <v>#REF!</v>
      </c>
      <c r="BF3169" t="e" vm="2">
        <f t="shared" si="278"/>
        <v>#VALUE!</v>
      </c>
      <c r="BG3169" t="e" vm="2">
        <f t="shared" si="279"/>
        <v>#VALUE!</v>
      </c>
      <c r="BJ3169" s="21" t="e" vm="1">
        <v>#REF!</v>
      </c>
      <c r="BK3169" t="e" vm="1">
        <v>#REF!</v>
      </c>
      <c r="BM3169" t="e" vm="2">
        <f t="shared" si="280"/>
        <v>#VALUE!</v>
      </c>
      <c r="BN3169" t="e" vm="2">
        <f t="shared" si="281"/>
        <v>#VALUE!</v>
      </c>
    </row>
    <row r="3170" spans="55:66" x14ac:dyDescent="0.2">
      <c r="BC3170" s="21" t="e" vm="1">
        <v>#REF!</v>
      </c>
      <c r="BD3170" t="e" vm="1">
        <v>#REF!</v>
      </c>
      <c r="BF3170" t="e" vm="2">
        <f t="shared" si="278"/>
        <v>#VALUE!</v>
      </c>
      <c r="BG3170" t="e" vm="2">
        <f t="shared" si="279"/>
        <v>#VALUE!</v>
      </c>
      <c r="BJ3170" s="21" t="e" vm="1">
        <v>#REF!</v>
      </c>
      <c r="BK3170" t="e" vm="1">
        <v>#REF!</v>
      </c>
      <c r="BM3170" t="e" vm="2">
        <f t="shared" si="280"/>
        <v>#VALUE!</v>
      </c>
      <c r="BN3170" t="e" vm="2">
        <f t="shared" si="281"/>
        <v>#VALUE!</v>
      </c>
    </row>
    <row r="3171" spans="55:66" x14ac:dyDescent="0.2">
      <c r="BC3171" s="21" t="e" vm="1">
        <v>#REF!</v>
      </c>
      <c r="BD3171" t="e" vm="1">
        <v>#REF!</v>
      </c>
      <c r="BF3171" t="e" vm="2">
        <f t="shared" si="278"/>
        <v>#VALUE!</v>
      </c>
      <c r="BG3171" t="e" vm="2">
        <f t="shared" si="279"/>
        <v>#VALUE!</v>
      </c>
      <c r="BJ3171" s="21" t="e" vm="1">
        <v>#REF!</v>
      </c>
      <c r="BK3171" t="e" vm="1">
        <v>#REF!</v>
      </c>
      <c r="BM3171" t="e" vm="2">
        <f t="shared" si="280"/>
        <v>#VALUE!</v>
      </c>
      <c r="BN3171" t="e" vm="2">
        <f t="shared" si="281"/>
        <v>#VALUE!</v>
      </c>
    </row>
    <row r="3172" spans="55:66" x14ac:dyDescent="0.2">
      <c r="BC3172" s="21" t="e" vm="1">
        <v>#REF!</v>
      </c>
      <c r="BD3172" t="e" vm="1">
        <v>#REF!</v>
      </c>
      <c r="BF3172" t="e" vm="2">
        <f t="shared" si="278"/>
        <v>#VALUE!</v>
      </c>
      <c r="BG3172" t="e" vm="2">
        <f t="shared" si="279"/>
        <v>#VALUE!</v>
      </c>
      <c r="BJ3172" s="21" t="e" vm="1">
        <v>#REF!</v>
      </c>
      <c r="BK3172" t="e" vm="1">
        <v>#REF!</v>
      </c>
      <c r="BM3172" t="e" vm="2">
        <f t="shared" si="280"/>
        <v>#VALUE!</v>
      </c>
      <c r="BN3172" t="e" vm="2">
        <f t="shared" si="281"/>
        <v>#VALUE!</v>
      </c>
    </row>
    <row r="3173" spans="55:66" x14ac:dyDescent="0.2">
      <c r="BC3173" s="21" t="e" vm="1">
        <v>#REF!</v>
      </c>
      <c r="BD3173" t="e" vm="1">
        <v>#REF!</v>
      </c>
      <c r="BF3173" t="e" vm="2">
        <f t="shared" si="278"/>
        <v>#VALUE!</v>
      </c>
      <c r="BG3173" t="e" vm="2">
        <f t="shared" si="279"/>
        <v>#VALUE!</v>
      </c>
      <c r="BJ3173" s="21" t="e" vm="1">
        <v>#REF!</v>
      </c>
      <c r="BK3173" t="e" vm="1">
        <v>#REF!</v>
      </c>
      <c r="BM3173" t="e" vm="2">
        <f t="shared" si="280"/>
        <v>#VALUE!</v>
      </c>
      <c r="BN3173" t="e" vm="2">
        <f t="shared" si="281"/>
        <v>#VALUE!</v>
      </c>
    </row>
    <row r="3174" spans="55:66" x14ac:dyDescent="0.2">
      <c r="BC3174" s="21" t="e" vm="1">
        <v>#REF!</v>
      </c>
      <c r="BD3174" t="e" vm="1">
        <v>#REF!</v>
      </c>
      <c r="BF3174" t="e" vm="2">
        <f t="shared" si="278"/>
        <v>#VALUE!</v>
      </c>
      <c r="BG3174" t="e" vm="2">
        <f t="shared" si="279"/>
        <v>#VALUE!</v>
      </c>
      <c r="BJ3174" s="21" t="e" vm="1">
        <v>#REF!</v>
      </c>
      <c r="BK3174" t="e" vm="1">
        <v>#REF!</v>
      </c>
      <c r="BM3174" t="e" vm="2">
        <f t="shared" si="280"/>
        <v>#VALUE!</v>
      </c>
      <c r="BN3174" t="e" vm="2">
        <f t="shared" si="281"/>
        <v>#VALUE!</v>
      </c>
    </row>
    <row r="3175" spans="55:66" x14ac:dyDescent="0.2">
      <c r="BC3175" s="21" t="e" vm="1">
        <v>#REF!</v>
      </c>
      <c r="BD3175" t="e" vm="1">
        <v>#REF!</v>
      </c>
      <c r="BF3175" t="e" vm="2">
        <f t="shared" si="278"/>
        <v>#VALUE!</v>
      </c>
      <c r="BG3175" t="e" vm="2">
        <f t="shared" si="279"/>
        <v>#VALUE!</v>
      </c>
      <c r="BJ3175" s="21" t="e" vm="1">
        <v>#REF!</v>
      </c>
      <c r="BK3175" t="e" vm="1">
        <v>#REF!</v>
      </c>
      <c r="BM3175" t="e" vm="2">
        <f t="shared" si="280"/>
        <v>#VALUE!</v>
      </c>
      <c r="BN3175" t="e" vm="2">
        <f t="shared" si="281"/>
        <v>#VALUE!</v>
      </c>
    </row>
    <row r="3176" spans="55:66" x14ac:dyDescent="0.2">
      <c r="BC3176" s="21" t="e" vm="1">
        <v>#REF!</v>
      </c>
      <c r="BD3176" t="e" vm="1">
        <v>#REF!</v>
      </c>
      <c r="BF3176" t="e" vm="2">
        <f t="shared" si="278"/>
        <v>#VALUE!</v>
      </c>
      <c r="BG3176" t="e" vm="2">
        <f t="shared" si="279"/>
        <v>#VALUE!</v>
      </c>
      <c r="BJ3176" s="21" t="e" vm="1">
        <v>#REF!</v>
      </c>
      <c r="BK3176" t="e" vm="1">
        <v>#REF!</v>
      </c>
      <c r="BM3176" t="e" vm="2">
        <f t="shared" si="280"/>
        <v>#VALUE!</v>
      </c>
      <c r="BN3176" t="e" vm="2">
        <f t="shared" si="281"/>
        <v>#VALUE!</v>
      </c>
    </row>
    <row r="3177" spans="55:66" x14ac:dyDescent="0.2">
      <c r="BC3177" s="21" t="e" vm="1">
        <v>#REF!</v>
      </c>
      <c r="BD3177" t="e" vm="1">
        <v>#REF!</v>
      </c>
      <c r="BF3177" t="e" vm="2">
        <f t="shared" si="278"/>
        <v>#VALUE!</v>
      </c>
      <c r="BG3177" t="e" vm="2">
        <f t="shared" si="279"/>
        <v>#VALUE!</v>
      </c>
      <c r="BJ3177" s="21" t="e" vm="1">
        <v>#REF!</v>
      </c>
      <c r="BK3177" t="e" vm="1">
        <v>#REF!</v>
      </c>
      <c r="BM3177" t="e" vm="2">
        <f t="shared" si="280"/>
        <v>#VALUE!</v>
      </c>
      <c r="BN3177" t="e" vm="2">
        <f t="shared" si="281"/>
        <v>#VALUE!</v>
      </c>
    </row>
    <row r="3178" spans="55:66" x14ac:dyDescent="0.2">
      <c r="BC3178" s="21" t="e" vm="1">
        <v>#REF!</v>
      </c>
      <c r="BD3178" t="e" vm="1">
        <v>#REF!</v>
      </c>
      <c r="BF3178" t="e" vm="2">
        <f t="shared" si="278"/>
        <v>#VALUE!</v>
      </c>
      <c r="BG3178" t="e" vm="2">
        <f t="shared" si="279"/>
        <v>#VALUE!</v>
      </c>
      <c r="BJ3178" s="21" t="e" vm="1">
        <v>#REF!</v>
      </c>
      <c r="BK3178" t="e" vm="1">
        <v>#REF!</v>
      </c>
      <c r="BM3178" t="e" vm="2">
        <f t="shared" si="280"/>
        <v>#VALUE!</v>
      </c>
      <c r="BN3178" t="e" vm="2">
        <f t="shared" si="281"/>
        <v>#VALUE!</v>
      </c>
    </row>
    <row r="3179" spans="55:66" x14ac:dyDescent="0.2">
      <c r="BC3179" s="21" t="e" vm="1">
        <v>#REF!</v>
      </c>
      <c r="BD3179" t="e" vm="1">
        <v>#REF!</v>
      </c>
      <c r="BF3179" t="e" vm="2">
        <f t="shared" si="278"/>
        <v>#VALUE!</v>
      </c>
      <c r="BG3179" t="e" vm="2">
        <f t="shared" si="279"/>
        <v>#VALUE!</v>
      </c>
      <c r="BJ3179" s="21" t="e" vm="1">
        <v>#REF!</v>
      </c>
      <c r="BK3179" t="e" vm="1">
        <v>#REF!</v>
      </c>
      <c r="BM3179" t="e" vm="2">
        <f t="shared" si="280"/>
        <v>#VALUE!</v>
      </c>
      <c r="BN3179" t="e" vm="2">
        <f t="shared" si="281"/>
        <v>#VALUE!</v>
      </c>
    </row>
    <row r="3180" spans="55:66" x14ac:dyDescent="0.2">
      <c r="BC3180" s="21" t="e" vm="1">
        <v>#REF!</v>
      </c>
      <c r="BD3180" t="e" vm="1">
        <v>#REF!</v>
      </c>
      <c r="BF3180" t="e" vm="2">
        <f t="shared" si="278"/>
        <v>#VALUE!</v>
      </c>
      <c r="BG3180" t="e" vm="2">
        <f t="shared" si="279"/>
        <v>#VALUE!</v>
      </c>
      <c r="BJ3180" s="21" t="e" vm="1">
        <v>#REF!</v>
      </c>
      <c r="BK3180" t="e" vm="1">
        <v>#REF!</v>
      </c>
      <c r="BM3180" t="e" vm="2">
        <f t="shared" si="280"/>
        <v>#VALUE!</v>
      </c>
      <c r="BN3180" t="e" vm="2">
        <f t="shared" si="281"/>
        <v>#VALUE!</v>
      </c>
    </row>
    <row r="3181" spans="55:66" x14ac:dyDescent="0.2">
      <c r="BC3181" s="21" t="e" vm="1">
        <v>#REF!</v>
      </c>
      <c r="BD3181" t="e" vm="1">
        <v>#REF!</v>
      </c>
      <c r="BF3181" t="e" vm="2">
        <f t="shared" si="278"/>
        <v>#VALUE!</v>
      </c>
      <c r="BG3181" t="e" vm="2">
        <f t="shared" si="279"/>
        <v>#VALUE!</v>
      </c>
      <c r="BJ3181" s="21" t="e" vm="1">
        <v>#REF!</v>
      </c>
      <c r="BK3181" t="e" vm="1">
        <v>#REF!</v>
      </c>
      <c r="BM3181" t="e" vm="2">
        <f t="shared" si="280"/>
        <v>#VALUE!</v>
      </c>
      <c r="BN3181" t="e" vm="2">
        <f t="shared" si="281"/>
        <v>#VALUE!</v>
      </c>
    </row>
    <row r="3182" spans="55:66" x14ac:dyDescent="0.2">
      <c r="BC3182" s="21" t="e" vm="1">
        <v>#REF!</v>
      </c>
      <c r="BD3182" t="e" vm="1">
        <v>#REF!</v>
      </c>
      <c r="BF3182" t="e" vm="2">
        <f t="shared" si="278"/>
        <v>#VALUE!</v>
      </c>
      <c r="BG3182" t="e" vm="2">
        <f t="shared" si="279"/>
        <v>#VALUE!</v>
      </c>
      <c r="BJ3182" s="21" t="e" vm="1">
        <v>#REF!</v>
      </c>
      <c r="BK3182" t="e" vm="1">
        <v>#REF!</v>
      </c>
      <c r="BM3182" t="e" vm="2">
        <f t="shared" si="280"/>
        <v>#VALUE!</v>
      </c>
      <c r="BN3182" t="e" vm="2">
        <f t="shared" si="281"/>
        <v>#VALUE!</v>
      </c>
    </row>
    <row r="3183" spans="55:66" x14ac:dyDescent="0.2">
      <c r="BC3183" s="21" t="e" vm="1">
        <v>#REF!</v>
      </c>
      <c r="BD3183" t="e" vm="1">
        <v>#REF!</v>
      </c>
      <c r="BF3183" t="e" vm="2">
        <f t="shared" si="278"/>
        <v>#VALUE!</v>
      </c>
      <c r="BG3183" t="e" vm="2">
        <f t="shared" si="279"/>
        <v>#VALUE!</v>
      </c>
      <c r="BJ3183" s="21" t="e" vm="1">
        <v>#REF!</v>
      </c>
      <c r="BK3183" t="e" vm="1">
        <v>#REF!</v>
      </c>
      <c r="BM3183" t="e" vm="2">
        <f t="shared" si="280"/>
        <v>#VALUE!</v>
      </c>
      <c r="BN3183" t="e" vm="2">
        <f t="shared" si="281"/>
        <v>#VALUE!</v>
      </c>
    </row>
    <row r="3184" spans="55:66" x14ac:dyDescent="0.2">
      <c r="BC3184" s="21" t="e" vm="1">
        <v>#REF!</v>
      </c>
      <c r="BD3184" t="e" vm="1">
        <v>#REF!</v>
      </c>
      <c r="BF3184" t="e" vm="2">
        <f t="shared" si="278"/>
        <v>#VALUE!</v>
      </c>
      <c r="BG3184" t="e" vm="2">
        <f t="shared" si="279"/>
        <v>#VALUE!</v>
      </c>
      <c r="BJ3184" s="21" t="e" vm="1">
        <v>#REF!</v>
      </c>
      <c r="BK3184" t="e" vm="1">
        <v>#REF!</v>
      </c>
      <c r="BM3184" t="e" vm="2">
        <f t="shared" si="280"/>
        <v>#VALUE!</v>
      </c>
      <c r="BN3184" t="e" vm="2">
        <f t="shared" si="281"/>
        <v>#VALUE!</v>
      </c>
    </row>
    <row r="3185" spans="55:66" x14ac:dyDescent="0.2">
      <c r="BC3185" s="21" t="e" vm="1">
        <v>#REF!</v>
      </c>
      <c r="BD3185" t="e" vm="1">
        <v>#REF!</v>
      </c>
      <c r="BF3185" t="e" vm="2">
        <f t="shared" si="278"/>
        <v>#VALUE!</v>
      </c>
      <c r="BG3185" t="e" vm="2">
        <f t="shared" si="279"/>
        <v>#VALUE!</v>
      </c>
      <c r="BJ3185" s="21" t="e" vm="1">
        <v>#REF!</v>
      </c>
      <c r="BK3185" t="e" vm="1">
        <v>#REF!</v>
      </c>
      <c r="BM3185" t="e" vm="2">
        <f t="shared" si="280"/>
        <v>#VALUE!</v>
      </c>
      <c r="BN3185" t="e" vm="2">
        <f t="shared" si="281"/>
        <v>#VALUE!</v>
      </c>
    </row>
    <row r="3186" spans="55:66" x14ac:dyDescent="0.2">
      <c r="BC3186" s="21" t="e" vm="1">
        <v>#REF!</v>
      </c>
      <c r="BD3186" t="e" vm="1">
        <v>#REF!</v>
      </c>
      <c r="BF3186" t="e" vm="2">
        <f t="shared" si="278"/>
        <v>#VALUE!</v>
      </c>
      <c r="BG3186" t="e" vm="2">
        <f t="shared" si="279"/>
        <v>#VALUE!</v>
      </c>
      <c r="BJ3186" s="21" t="e" vm="1">
        <v>#REF!</v>
      </c>
      <c r="BK3186" t="e" vm="1">
        <v>#REF!</v>
      </c>
      <c r="BM3186" t="e" vm="2">
        <f t="shared" si="280"/>
        <v>#VALUE!</v>
      </c>
      <c r="BN3186" t="e" vm="2">
        <f t="shared" si="281"/>
        <v>#VALUE!</v>
      </c>
    </row>
    <row r="3187" spans="55:66" x14ac:dyDescent="0.2">
      <c r="BC3187" s="21" t="e" vm="1">
        <v>#REF!</v>
      </c>
      <c r="BD3187" t="e" vm="1">
        <v>#REF!</v>
      </c>
      <c r="BF3187" t="e" vm="2">
        <f t="shared" si="278"/>
        <v>#VALUE!</v>
      </c>
      <c r="BG3187" t="e" vm="2">
        <f t="shared" si="279"/>
        <v>#VALUE!</v>
      </c>
      <c r="BJ3187" s="21" t="e" vm="1">
        <v>#REF!</v>
      </c>
      <c r="BK3187" t="e" vm="1">
        <v>#REF!</v>
      </c>
      <c r="BM3187" t="e" vm="2">
        <f t="shared" si="280"/>
        <v>#VALUE!</v>
      </c>
      <c r="BN3187" t="e" vm="2">
        <f t="shared" si="281"/>
        <v>#VALUE!</v>
      </c>
    </row>
    <row r="3188" spans="55:66" x14ac:dyDescent="0.2">
      <c r="BC3188" s="21" t="e" vm="1">
        <v>#REF!</v>
      </c>
      <c r="BD3188" t="e" vm="1">
        <v>#REF!</v>
      </c>
      <c r="BF3188" t="e" vm="2">
        <f t="shared" si="278"/>
        <v>#VALUE!</v>
      </c>
      <c r="BG3188" t="e" vm="2">
        <f t="shared" si="279"/>
        <v>#VALUE!</v>
      </c>
      <c r="BJ3188" s="21" t="e" vm="1">
        <v>#REF!</v>
      </c>
      <c r="BK3188" t="e" vm="1">
        <v>#REF!</v>
      </c>
      <c r="BM3188" t="e" vm="2">
        <f t="shared" si="280"/>
        <v>#VALUE!</v>
      </c>
      <c r="BN3188" t="e" vm="2">
        <f t="shared" si="281"/>
        <v>#VALUE!</v>
      </c>
    </row>
    <row r="3189" spans="55:66" x14ac:dyDescent="0.2">
      <c r="BC3189" s="21" t="e" vm="1">
        <v>#REF!</v>
      </c>
      <c r="BD3189" t="e" vm="1">
        <v>#REF!</v>
      </c>
      <c r="BF3189" t="e" vm="2">
        <f t="shared" si="278"/>
        <v>#VALUE!</v>
      </c>
      <c r="BG3189" t="e" vm="2">
        <f t="shared" si="279"/>
        <v>#VALUE!</v>
      </c>
      <c r="BJ3189" s="21" t="e" vm="1">
        <v>#REF!</v>
      </c>
      <c r="BK3189" t="e" vm="1">
        <v>#REF!</v>
      </c>
      <c r="BM3189" t="e" vm="2">
        <f t="shared" si="280"/>
        <v>#VALUE!</v>
      </c>
      <c r="BN3189" t="e" vm="2">
        <f t="shared" si="281"/>
        <v>#VALUE!</v>
      </c>
    </row>
    <row r="3190" spans="55:66" x14ac:dyDescent="0.2">
      <c r="BC3190" s="21" t="e" vm="1">
        <v>#REF!</v>
      </c>
      <c r="BD3190" t="e" vm="1">
        <v>#REF!</v>
      </c>
      <c r="BF3190" t="e" vm="2">
        <f t="shared" si="278"/>
        <v>#VALUE!</v>
      </c>
      <c r="BG3190" t="e" vm="2">
        <f t="shared" si="279"/>
        <v>#VALUE!</v>
      </c>
      <c r="BJ3190" s="21" t="e" vm="1">
        <v>#REF!</v>
      </c>
      <c r="BK3190" t="e" vm="1">
        <v>#REF!</v>
      </c>
      <c r="BM3190" t="e" vm="2">
        <f t="shared" si="280"/>
        <v>#VALUE!</v>
      </c>
      <c r="BN3190" t="e" vm="2">
        <f t="shared" si="281"/>
        <v>#VALUE!</v>
      </c>
    </row>
    <row r="3191" spans="55:66" x14ac:dyDescent="0.2">
      <c r="BC3191" s="21" t="e" vm="1">
        <v>#REF!</v>
      </c>
      <c r="BD3191" t="e" vm="1">
        <v>#REF!</v>
      </c>
      <c r="BF3191" t="e" vm="2">
        <f t="shared" si="278"/>
        <v>#VALUE!</v>
      </c>
      <c r="BG3191" t="e" vm="2">
        <f t="shared" si="279"/>
        <v>#VALUE!</v>
      </c>
      <c r="BJ3191" s="21" t="e" vm="1">
        <v>#REF!</v>
      </c>
      <c r="BK3191" t="e" vm="1">
        <v>#REF!</v>
      </c>
      <c r="BM3191" t="e" vm="2">
        <f t="shared" si="280"/>
        <v>#VALUE!</v>
      </c>
      <c r="BN3191" t="e" vm="2">
        <f t="shared" si="281"/>
        <v>#VALUE!</v>
      </c>
    </row>
    <row r="3192" spans="55:66" x14ac:dyDescent="0.2">
      <c r="BC3192" s="21" t="e" vm="1">
        <v>#REF!</v>
      </c>
      <c r="BD3192" t="e" vm="1">
        <v>#REF!</v>
      </c>
      <c r="BF3192" t="e" vm="2">
        <f t="shared" si="278"/>
        <v>#VALUE!</v>
      </c>
      <c r="BG3192" t="e" vm="2">
        <f t="shared" si="279"/>
        <v>#VALUE!</v>
      </c>
      <c r="BJ3192" s="21" t="e" vm="1">
        <v>#REF!</v>
      </c>
      <c r="BK3192" t="e" vm="1">
        <v>#REF!</v>
      </c>
      <c r="BM3192" t="e" vm="2">
        <f t="shared" si="280"/>
        <v>#VALUE!</v>
      </c>
      <c r="BN3192" t="e" vm="2">
        <f t="shared" si="281"/>
        <v>#VALUE!</v>
      </c>
    </row>
    <row r="3193" spans="55:66" x14ac:dyDescent="0.2">
      <c r="BC3193" s="21" t="e" vm="1">
        <v>#REF!</v>
      </c>
      <c r="BD3193" t="e" vm="1">
        <v>#REF!</v>
      </c>
      <c r="BF3193" t="e" vm="2">
        <f t="shared" si="278"/>
        <v>#VALUE!</v>
      </c>
      <c r="BG3193" t="e" vm="2">
        <f t="shared" si="279"/>
        <v>#VALUE!</v>
      </c>
      <c r="BJ3193" s="21" t="e" vm="1">
        <v>#REF!</v>
      </c>
      <c r="BK3193" t="e" vm="1">
        <v>#REF!</v>
      </c>
      <c r="BM3193" t="e" vm="2">
        <f t="shared" si="280"/>
        <v>#VALUE!</v>
      </c>
      <c r="BN3193" t="e" vm="2">
        <f t="shared" si="281"/>
        <v>#VALUE!</v>
      </c>
    </row>
    <row r="3194" spans="55:66" x14ac:dyDescent="0.2">
      <c r="BC3194" s="21" t="e" vm="1">
        <v>#REF!</v>
      </c>
      <c r="BD3194" t="e" vm="1">
        <v>#REF!</v>
      </c>
      <c r="BF3194" t="e" vm="2">
        <f t="shared" si="278"/>
        <v>#VALUE!</v>
      </c>
      <c r="BG3194" t="e" vm="2">
        <f t="shared" si="279"/>
        <v>#VALUE!</v>
      </c>
      <c r="BJ3194" s="21" t="e" vm="1">
        <v>#REF!</v>
      </c>
      <c r="BK3194" t="e" vm="1">
        <v>#REF!</v>
      </c>
      <c r="BM3194" t="e" vm="2">
        <f t="shared" si="280"/>
        <v>#VALUE!</v>
      </c>
      <c r="BN3194" t="e" vm="2">
        <f t="shared" si="281"/>
        <v>#VALUE!</v>
      </c>
    </row>
    <row r="3195" spans="55:66" x14ac:dyDescent="0.2">
      <c r="BC3195" s="21" t="e" vm="1">
        <v>#REF!</v>
      </c>
      <c r="BD3195" t="e" vm="1">
        <v>#REF!</v>
      </c>
      <c r="BF3195" t="e" vm="2">
        <f t="shared" si="278"/>
        <v>#VALUE!</v>
      </c>
      <c r="BG3195" t="e" vm="2">
        <f t="shared" si="279"/>
        <v>#VALUE!</v>
      </c>
      <c r="BJ3195" s="21" t="e" vm="1">
        <v>#REF!</v>
      </c>
      <c r="BK3195" t="e" vm="1">
        <v>#REF!</v>
      </c>
      <c r="BM3195" t="e" vm="2">
        <f t="shared" si="280"/>
        <v>#VALUE!</v>
      </c>
      <c r="BN3195" t="e" vm="2">
        <f t="shared" si="281"/>
        <v>#VALUE!</v>
      </c>
    </row>
    <row r="3196" spans="55:66" x14ac:dyDescent="0.2">
      <c r="BC3196" s="21" t="e" vm="1">
        <v>#REF!</v>
      </c>
      <c r="BD3196" t="e" vm="1">
        <v>#REF!</v>
      </c>
      <c r="BF3196" t="e" vm="2">
        <f t="shared" si="278"/>
        <v>#VALUE!</v>
      </c>
      <c r="BG3196" t="e" vm="2">
        <f t="shared" si="279"/>
        <v>#VALUE!</v>
      </c>
      <c r="BJ3196" s="21" t="e" vm="1">
        <v>#REF!</v>
      </c>
      <c r="BK3196" t="e" vm="1">
        <v>#REF!</v>
      </c>
      <c r="BM3196" t="e" vm="2">
        <f t="shared" si="280"/>
        <v>#VALUE!</v>
      </c>
      <c r="BN3196" t="e" vm="2">
        <f t="shared" si="281"/>
        <v>#VALUE!</v>
      </c>
    </row>
    <row r="3197" spans="55:66" x14ac:dyDescent="0.2">
      <c r="BC3197" s="21" t="e" vm="1">
        <v>#REF!</v>
      </c>
      <c r="BD3197" t="e" vm="1">
        <v>#REF!</v>
      </c>
      <c r="BF3197" t="e" vm="2">
        <f t="shared" si="278"/>
        <v>#VALUE!</v>
      </c>
      <c r="BG3197" t="e" vm="2">
        <f t="shared" si="279"/>
        <v>#VALUE!</v>
      </c>
      <c r="BJ3197" s="21" t="e" vm="1">
        <v>#REF!</v>
      </c>
      <c r="BK3197" t="e" vm="1">
        <v>#REF!</v>
      </c>
      <c r="BM3197" t="e" vm="2">
        <f t="shared" si="280"/>
        <v>#VALUE!</v>
      </c>
      <c r="BN3197" t="e" vm="2">
        <f t="shared" si="281"/>
        <v>#VALUE!</v>
      </c>
    </row>
    <row r="3198" spans="55:66" x14ac:dyDescent="0.2">
      <c r="BC3198" s="21" t="e" vm="1">
        <v>#REF!</v>
      </c>
      <c r="BD3198" t="e" vm="1">
        <v>#REF!</v>
      </c>
      <c r="BF3198" t="e" vm="2">
        <f t="shared" si="278"/>
        <v>#VALUE!</v>
      </c>
      <c r="BG3198" t="e" vm="2">
        <f t="shared" si="279"/>
        <v>#VALUE!</v>
      </c>
      <c r="BJ3198" s="21" t="e" vm="1">
        <v>#REF!</v>
      </c>
      <c r="BK3198" t="e" vm="1">
        <v>#REF!</v>
      </c>
      <c r="BM3198" t="e" vm="2">
        <f t="shared" si="280"/>
        <v>#VALUE!</v>
      </c>
      <c r="BN3198" t="e" vm="2">
        <f t="shared" si="281"/>
        <v>#VALUE!</v>
      </c>
    </row>
    <row r="3199" spans="55:66" x14ac:dyDescent="0.2">
      <c r="BC3199" s="21" t="e" vm="1">
        <v>#REF!</v>
      </c>
      <c r="BD3199" t="e" vm="1">
        <v>#REF!</v>
      </c>
      <c r="BF3199" t="e" vm="2">
        <f t="shared" si="278"/>
        <v>#VALUE!</v>
      </c>
      <c r="BG3199" t="e" vm="2">
        <f t="shared" si="279"/>
        <v>#VALUE!</v>
      </c>
      <c r="BJ3199" s="21" t="e" vm="1">
        <v>#REF!</v>
      </c>
      <c r="BK3199" t="e" vm="1">
        <v>#REF!</v>
      </c>
      <c r="BM3199" t="e" vm="2">
        <f t="shared" si="280"/>
        <v>#VALUE!</v>
      </c>
      <c r="BN3199" t="e" vm="2">
        <f t="shared" si="281"/>
        <v>#VALUE!</v>
      </c>
    </row>
    <row r="3200" spans="55:66" x14ac:dyDescent="0.2">
      <c r="BC3200" s="21" t="e" vm="1">
        <v>#REF!</v>
      </c>
      <c r="BD3200" t="e" vm="1">
        <v>#REF!</v>
      </c>
      <c r="BF3200" t="e" vm="2">
        <f t="shared" si="278"/>
        <v>#VALUE!</v>
      </c>
      <c r="BG3200" t="e" vm="2">
        <f t="shared" si="279"/>
        <v>#VALUE!</v>
      </c>
      <c r="BJ3200" s="21" t="e" vm="1">
        <v>#REF!</v>
      </c>
      <c r="BK3200" t="e" vm="1">
        <v>#REF!</v>
      </c>
      <c r="BM3200" t="e" vm="2">
        <f t="shared" si="280"/>
        <v>#VALUE!</v>
      </c>
      <c r="BN3200" t="e" vm="2">
        <f t="shared" si="281"/>
        <v>#VALUE!</v>
      </c>
    </row>
    <row r="3201" spans="55:66" x14ac:dyDescent="0.2">
      <c r="BC3201" s="21" t="e" vm="1">
        <v>#REF!</v>
      </c>
      <c r="BD3201" t="e" vm="1">
        <v>#REF!</v>
      </c>
      <c r="BF3201" t="e" vm="2">
        <f t="shared" si="278"/>
        <v>#VALUE!</v>
      </c>
      <c r="BG3201" t="e" vm="2">
        <f t="shared" si="279"/>
        <v>#VALUE!</v>
      </c>
      <c r="BJ3201" s="21" t="e" vm="1">
        <v>#REF!</v>
      </c>
      <c r="BK3201" t="e" vm="1">
        <v>#REF!</v>
      </c>
      <c r="BM3201" t="e" vm="2">
        <f t="shared" si="280"/>
        <v>#VALUE!</v>
      </c>
      <c r="BN3201" t="e" vm="2">
        <f t="shared" si="281"/>
        <v>#VALUE!</v>
      </c>
    </row>
    <row r="3202" spans="55:66" x14ac:dyDescent="0.2">
      <c r="BC3202" s="21" t="e" vm="1">
        <v>#REF!</v>
      </c>
      <c r="BD3202" t="e" vm="1">
        <v>#REF!</v>
      </c>
      <c r="BF3202" t="e" vm="2">
        <f t="shared" si="278"/>
        <v>#VALUE!</v>
      </c>
      <c r="BG3202" t="e" vm="2">
        <f t="shared" si="279"/>
        <v>#VALUE!</v>
      </c>
      <c r="BJ3202" s="21" t="e" vm="1">
        <v>#REF!</v>
      </c>
      <c r="BK3202" t="e" vm="1">
        <v>#REF!</v>
      </c>
      <c r="BM3202" t="e" vm="2">
        <f t="shared" si="280"/>
        <v>#VALUE!</v>
      </c>
      <c r="BN3202" t="e" vm="2">
        <f t="shared" si="281"/>
        <v>#VALUE!</v>
      </c>
    </row>
    <row r="3203" spans="55:66" x14ac:dyDescent="0.2">
      <c r="BC3203" s="21" t="e" vm="1">
        <v>#REF!</v>
      </c>
      <c r="BD3203" t="e" vm="1">
        <v>#REF!</v>
      </c>
      <c r="BF3203" t="e" vm="2">
        <f t="shared" ref="BF3203:BF3266" si="282">MONTH(BC3203)</f>
        <v>#VALUE!</v>
      </c>
      <c r="BG3203" t="e" vm="2">
        <f t="shared" ref="BG3203:BG3266" si="283">YEAR(BC3203)</f>
        <v>#VALUE!</v>
      </c>
      <c r="BJ3203" s="21" t="e" vm="1">
        <v>#REF!</v>
      </c>
      <c r="BK3203" t="e" vm="1">
        <v>#REF!</v>
      </c>
      <c r="BM3203" t="e" vm="2">
        <f t="shared" si="280"/>
        <v>#VALUE!</v>
      </c>
      <c r="BN3203" t="e" vm="2">
        <f t="shared" si="281"/>
        <v>#VALUE!</v>
      </c>
    </row>
    <row r="3204" spans="55:66" x14ac:dyDescent="0.2">
      <c r="BC3204" s="21" t="e" vm="1">
        <v>#REF!</v>
      </c>
      <c r="BD3204" t="e" vm="1">
        <v>#REF!</v>
      </c>
      <c r="BF3204" t="e" vm="2">
        <f t="shared" si="282"/>
        <v>#VALUE!</v>
      </c>
      <c r="BG3204" t="e" vm="2">
        <f t="shared" si="283"/>
        <v>#VALUE!</v>
      </c>
      <c r="BJ3204" s="21" t="e" vm="1">
        <v>#REF!</v>
      </c>
      <c r="BK3204" t="e" vm="1">
        <v>#REF!</v>
      </c>
      <c r="BM3204" t="e" vm="2">
        <f t="shared" ref="BM3204:BM3267" si="284">MONTH(BJ3204)</f>
        <v>#VALUE!</v>
      </c>
      <c r="BN3204" t="e" vm="2">
        <f t="shared" ref="BN3204:BN3267" si="285">YEAR(BJ3204)</f>
        <v>#VALUE!</v>
      </c>
    </row>
    <row r="3205" spans="55:66" x14ac:dyDescent="0.2">
      <c r="BC3205" s="21" t="e" vm="1">
        <v>#REF!</v>
      </c>
      <c r="BD3205" t="e" vm="1">
        <v>#REF!</v>
      </c>
      <c r="BF3205" t="e" vm="2">
        <f t="shared" si="282"/>
        <v>#VALUE!</v>
      </c>
      <c r="BG3205" t="e" vm="2">
        <f t="shared" si="283"/>
        <v>#VALUE!</v>
      </c>
      <c r="BJ3205" s="21" t="e" vm="1">
        <v>#REF!</v>
      </c>
      <c r="BK3205" t="e" vm="1">
        <v>#REF!</v>
      </c>
      <c r="BM3205" t="e" vm="2">
        <f t="shared" si="284"/>
        <v>#VALUE!</v>
      </c>
      <c r="BN3205" t="e" vm="2">
        <f t="shared" si="285"/>
        <v>#VALUE!</v>
      </c>
    </row>
    <row r="3206" spans="55:66" x14ac:dyDescent="0.2">
      <c r="BC3206" s="21" t="e" vm="1">
        <v>#REF!</v>
      </c>
      <c r="BD3206" t="e" vm="1">
        <v>#REF!</v>
      </c>
      <c r="BF3206" t="e" vm="2">
        <f t="shared" si="282"/>
        <v>#VALUE!</v>
      </c>
      <c r="BG3206" t="e" vm="2">
        <f t="shared" si="283"/>
        <v>#VALUE!</v>
      </c>
      <c r="BJ3206" s="21" t="e" vm="1">
        <v>#REF!</v>
      </c>
      <c r="BK3206" t="e" vm="1">
        <v>#REF!</v>
      </c>
      <c r="BM3206" t="e" vm="2">
        <f t="shared" si="284"/>
        <v>#VALUE!</v>
      </c>
      <c r="BN3206" t="e" vm="2">
        <f t="shared" si="285"/>
        <v>#VALUE!</v>
      </c>
    </row>
    <row r="3207" spans="55:66" x14ac:dyDescent="0.2">
      <c r="BC3207" s="21" t="e" vm="1">
        <v>#REF!</v>
      </c>
      <c r="BD3207" t="e" vm="1">
        <v>#REF!</v>
      </c>
      <c r="BF3207" t="e" vm="2">
        <f t="shared" si="282"/>
        <v>#VALUE!</v>
      </c>
      <c r="BG3207" t="e" vm="2">
        <f t="shared" si="283"/>
        <v>#VALUE!</v>
      </c>
      <c r="BJ3207" s="21" t="e" vm="1">
        <v>#REF!</v>
      </c>
      <c r="BK3207" t="e" vm="1">
        <v>#REF!</v>
      </c>
      <c r="BM3207" t="e" vm="2">
        <f t="shared" si="284"/>
        <v>#VALUE!</v>
      </c>
      <c r="BN3207" t="e" vm="2">
        <f t="shared" si="285"/>
        <v>#VALUE!</v>
      </c>
    </row>
    <row r="3208" spans="55:66" x14ac:dyDescent="0.2">
      <c r="BC3208" s="21" t="e" vm="1">
        <v>#REF!</v>
      </c>
      <c r="BD3208" t="e" vm="1">
        <v>#REF!</v>
      </c>
      <c r="BF3208" t="e" vm="2">
        <f t="shared" si="282"/>
        <v>#VALUE!</v>
      </c>
      <c r="BG3208" t="e" vm="2">
        <f t="shared" si="283"/>
        <v>#VALUE!</v>
      </c>
      <c r="BJ3208" s="21" t="e" vm="1">
        <v>#REF!</v>
      </c>
      <c r="BK3208" t="e" vm="1">
        <v>#REF!</v>
      </c>
      <c r="BM3208" t="e" vm="2">
        <f t="shared" si="284"/>
        <v>#VALUE!</v>
      </c>
      <c r="BN3208" t="e" vm="2">
        <f t="shared" si="285"/>
        <v>#VALUE!</v>
      </c>
    </row>
    <row r="3209" spans="55:66" x14ac:dyDescent="0.2">
      <c r="BC3209" s="21" t="e" vm="1">
        <v>#REF!</v>
      </c>
      <c r="BD3209" t="e" vm="1">
        <v>#REF!</v>
      </c>
      <c r="BF3209" t="e" vm="2">
        <f t="shared" si="282"/>
        <v>#VALUE!</v>
      </c>
      <c r="BG3209" t="e" vm="2">
        <f t="shared" si="283"/>
        <v>#VALUE!</v>
      </c>
      <c r="BJ3209" s="21" t="e" vm="1">
        <v>#REF!</v>
      </c>
      <c r="BK3209" t="e" vm="1">
        <v>#REF!</v>
      </c>
      <c r="BM3209" t="e" vm="2">
        <f t="shared" si="284"/>
        <v>#VALUE!</v>
      </c>
      <c r="BN3209" t="e" vm="2">
        <f t="shared" si="285"/>
        <v>#VALUE!</v>
      </c>
    </row>
    <row r="3210" spans="55:66" x14ac:dyDescent="0.2">
      <c r="BC3210" s="21" t="e" vm="1">
        <v>#REF!</v>
      </c>
      <c r="BD3210" t="e" vm="1">
        <v>#REF!</v>
      </c>
      <c r="BF3210" t="e" vm="2">
        <f t="shared" si="282"/>
        <v>#VALUE!</v>
      </c>
      <c r="BG3210" t="e" vm="2">
        <f t="shared" si="283"/>
        <v>#VALUE!</v>
      </c>
      <c r="BJ3210" s="21" t="e" vm="1">
        <v>#REF!</v>
      </c>
      <c r="BK3210" t="e" vm="1">
        <v>#REF!</v>
      </c>
      <c r="BM3210" t="e" vm="2">
        <f t="shared" si="284"/>
        <v>#VALUE!</v>
      </c>
      <c r="BN3210" t="e" vm="2">
        <f t="shared" si="285"/>
        <v>#VALUE!</v>
      </c>
    </row>
    <row r="3211" spans="55:66" x14ac:dyDescent="0.2">
      <c r="BC3211" s="21" t="e" vm="1">
        <v>#REF!</v>
      </c>
      <c r="BD3211" t="e" vm="1">
        <v>#REF!</v>
      </c>
      <c r="BF3211" t="e" vm="2">
        <f t="shared" si="282"/>
        <v>#VALUE!</v>
      </c>
      <c r="BG3211" t="e" vm="2">
        <f t="shared" si="283"/>
        <v>#VALUE!</v>
      </c>
      <c r="BJ3211" s="21" t="e" vm="1">
        <v>#REF!</v>
      </c>
      <c r="BK3211" t="e" vm="1">
        <v>#REF!</v>
      </c>
      <c r="BM3211" t="e" vm="2">
        <f t="shared" si="284"/>
        <v>#VALUE!</v>
      </c>
      <c r="BN3211" t="e" vm="2">
        <f t="shared" si="285"/>
        <v>#VALUE!</v>
      </c>
    </row>
    <row r="3212" spans="55:66" x14ac:dyDescent="0.2">
      <c r="BC3212" s="21" t="e" vm="1">
        <v>#REF!</v>
      </c>
      <c r="BD3212" t="e" vm="1">
        <v>#REF!</v>
      </c>
      <c r="BF3212" t="e" vm="2">
        <f t="shared" si="282"/>
        <v>#VALUE!</v>
      </c>
      <c r="BG3212" t="e" vm="2">
        <f t="shared" si="283"/>
        <v>#VALUE!</v>
      </c>
      <c r="BJ3212" s="21" t="e" vm="1">
        <v>#REF!</v>
      </c>
      <c r="BK3212" t="e" vm="1">
        <v>#REF!</v>
      </c>
      <c r="BM3212" t="e" vm="2">
        <f t="shared" si="284"/>
        <v>#VALUE!</v>
      </c>
      <c r="BN3212" t="e" vm="2">
        <f t="shared" si="285"/>
        <v>#VALUE!</v>
      </c>
    </row>
    <row r="3213" spans="55:66" x14ac:dyDescent="0.2">
      <c r="BC3213" s="21" t="e" vm="1">
        <v>#REF!</v>
      </c>
      <c r="BD3213" t="e" vm="1">
        <v>#REF!</v>
      </c>
      <c r="BF3213" t="e" vm="2">
        <f t="shared" si="282"/>
        <v>#VALUE!</v>
      </c>
      <c r="BG3213" t="e" vm="2">
        <f t="shared" si="283"/>
        <v>#VALUE!</v>
      </c>
      <c r="BJ3213" s="21" t="e" vm="1">
        <v>#REF!</v>
      </c>
      <c r="BK3213" t="e" vm="1">
        <v>#REF!</v>
      </c>
      <c r="BM3213" t="e" vm="2">
        <f t="shared" si="284"/>
        <v>#VALUE!</v>
      </c>
      <c r="BN3213" t="e" vm="2">
        <f t="shared" si="285"/>
        <v>#VALUE!</v>
      </c>
    </row>
    <row r="3214" spans="55:66" x14ac:dyDescent="0.2">
      <c r="BC3214" s="21" t="e" vm="1">
        <v>#REF!</v>
      </c>
      <c r="BD3214" t="e" vm="1">
        <v>#REF!</v>
      </c>
      <c r="BF3214" t="e" vm="2">
        <f t="shared" si="282"/>
        <v>#VALUE!</v>
      </c>
      <c r="BG3214" t="e" vm="2">
        <f t="shared" si="283"/>
        <v>#VALUE!</v>
      </c>
      <c r="BJ3214" s="21" t="e" vm="1">
        <v>#REF!</v>
      </c>
      <c r="BK3214" t="e" vm="1">
        <v>#REF!</v>
      </c>
      <c r="BM3214" t="e" vm="2">
        <f t="shared" si="284"/>
        <v>#VALUE!</v>
      </c>
      <c r="BN3214" t="e" vm="2">
        <f t="shared" si="285"/>
        <v>#VALUE!</v>
      </c>
    </row>
    <row r="3215" spans="55:66" x14ac:dyDescent="0.2">
      <c r="BC3215" s="21" t="e" vm="1">
        <v>#REF!</v>
      </c>
      <c r="BD3215" t="e" vm="1">
        <v>#REF!</v>
      </c>
      <c r="BF3215" t="e" vm="2">
        <f t="shared" si="282"/>
        <v>#VALUE!</v>
      </c>
      <c r="BG3215" t="e" vm="2">
        <f t="shared" si="283"/>
        <v>#VALUE!</v>
      </c>
      <c r="BJ3215" s="21" t="e" vm="1">
        <v>#REF!</v>
      </c>
      <c r="BK3215" t="e" vm="1">
        <v>#REF!</v>
      </c>
      <c r="BM3215" t="e" vm="2">
        <f t="shared" si="284"/>
        <v>#VALUE!</v>
      </c>
      <c r="BN3215" t="e" vm="2">
        <f t="shared" si="285"/>
        <v>#VALUE!</v>
      </c>
    </row>
    <row r="3216" spans="55:66" x14ac:dyDescent="0.2">
      <c r="BC3216" s="21" t="e" vm="1">
        <v>#REF!</v>
      </c>
      <c r="BD3216" t="e" vm="1">
        <v>#REF!</v>
      </c>
      <c r="BF3216" t="e" vm="2">
        <f t="shared" si="282"/>
        <v>#VALUE!</v>
      </c>
      <c r="BG3216" t="e" vm="2">
        <f t="shared" si="283"/>
        <v>#VALUE!</v>
      </c>
      <c r="BJ3216" s="21" t="e" vm="1">
        <v>#REF!</v>
      </c>
      <c r="BK3216" t="e" vm="1">
        <v>#REF!</v>
      </c>
      <c r="BM3216" t="e" vm="2">
        <f t="shared" si="284"/>
        <v>#VALUE!</v>
      </c>
      <c r="BN3216" t="e" vm="2">
        <f t="shared" si="285"/>
        <v>#VALUE!</v>
      </c>
    </row>
    <row r="3217" spans="55:66" x14ac:dyDescent="0.2">
      <c r="BC3217" s="21" t="e" vm="1">
        <v>#REF!</v>
      </c>
      <c r="BD3217" t="e" vm="1">
        <v>#REF!</v>
      </c>
      <c r="BF3217" t="e" vm="2">
        <f t="shared" si="282"/>
        <v>#VALUE!</v>
      </c>
      <c r="BG3217" t="e" vm="2">
        <f t="shared" si="283"/>
        <v>#VALUE!</v>
      </c>
      <c r="BJ3217" s="21" t="e" vm="1">
        <v>#REF!</v>
      </c>
      <c r="BK3217" t="e" vm="1">
        <v>#REF!</v>
      </c>
      <c r="BM3217" t="e" vm="2">
        <f t="shared" si="284"/>
        <v>#VALUE!</v>
      </c>
      <c r="BN3217" t="e" vm="2">
        <f t="shared" si="285"/>
        <v>#VALUE!</v>
      </c>
    </row>
    <row r="3218" spans="55:66" x14ac:dyDescent="0.2">
      <c r="BC3218" s="21" t="e" vm="1">
        <v>#REF!</v>
      </c>
      <c r="BD3218" t="e" vm="1">
        <v>#REF!</v>
      </c>
      <c r="BF3218" t="e" vm="2">
        <f t="shared" si="282"/>
        <v>#VALUE!</v>
      </c>
      <c r="BG3218" t="e" vm="2">
        <f t="shared" si="283"/>
        <v>#VALUE!</v>
      </c>
      <c r="BJ3218" s="21" t="e" vm="1">
        <v>#REF!</v>
      </c>
      <c r="BK3218" t="e" vm="1">
        <v>#REF!</v>
      </c>
      <c r="BM3218" t="e" vm="2">
        <f t="shared" si="284"/>
        <v>#VALUE!</v>
      </c>
      <c r="BN3218" t="e" vm="2">
        <f t="shared" si="285"/>
        <v>#VALUE!</v>
      </c>
    </row>
    <row r="3219" spans="55:66" x14ac:dyDescent="0.2">
      <c r="BC3219" s="21" t="e" vm="1">
        <v>#REF!</v>
      </c>
      <c r="BD3219" t="e" vm="1">
        <v>#REF!</v>
      </c>
      <c r="BF3219" t="e" vm="2">
        <f t="shared" si="282"/>
        <v>#VALUE!</v>
      </c>
      <c r="BG3219" t="e" vm="2">
        <f t="shared" si="283"/>
        <v>#VALUE!</v>
      </c>
      <c r="BJ3219" s="21" t="e" vm="1">
        <v>#REF!</v>
      </c>
      <c r="BK3219" t="e" vm="1">
        <v>#REF!</v>
      </c>
      <c r="BM3219" t="e" vm="2">
        <f t="shared" si="284"/>
        <v>#VALUE!</v>
      </c>
      <c r="BN3219" t="e" vm="2">
        <f t="shared" si="285"/>
        <v>#VALUE!</v>
      </c>
    </row>
    <row r="3220" spans="55:66" x14ac:dyDescent="0.2">
      <c r="BC3220" s="21" t="e" vm="1">
        <v>#REF!</v>
      </c>
      <c r="BD3220" t="e" vm="1">
        <v>#REF!</v>
      </c>
      <c r="BF3220" t="e" vm="2">
        <f t="shared" si="282"/>
        <v>#VALUE!</v>
      </c>
      <c r="BG3220" t="e" vm="2">
        <f t="shared" si="283"/>
        <v>#VALUE!</v>
      </c>
      <c r="BJ3220" s="21" t="e" vm="1">
        <v>#REF!</v>
      </c>
      <c r="BK3220" t="e" vm="1">
        <v>#REF!</v>
      </c>
      <c r="BM3220" t="e" vm="2">
        <f t="shared" si="284"/>
        <v>#VALUE!</v>
      </c>
      <c r="BN3220" t="e" vm="2">
        <f t="shared" si="285"/>
        <v>#VALUE!</v>
      </c>
    </row>
    <row r="3221" spans="55:66" x14ac:dyDescent="0.2">
      <c r="BC3221" s="21" t="e" vm="1">
        <v>#REF!</v>
      </c>
      <c r="BD3221" t="e" vm="1">
        <v>#REF!</v>
      </c>
      <c r="BF3221" t="e" vm="2">
        <f t="shared" si="282"/>
        <v>#VALUE!</v>
      </c>
      <c r="BG3221" t="e" vm="2">
        <f t="shared" si="283"/>
        <v>#VALUE!</v>
      </c>
      <c r="BJ3221" s="21" t="e" vm="1">
        <v>#REF!</v>
      </c>
      <c r="BK3221" t="e" vm="1">
        <v>#REF!</v>
      </c>
      <c r="BM3221" t="e" vm="2">
        <f t="shared" si="284"/>
        <v>#VALUE!</v>
      </c>
      <c r="BN3221" t="e" vm="2">
        <f t="shared" si="285"/>
        <v>#VALUE!</v>
      </c>
    </row>
    <row r="3222" spans="55:66" x14ac:dyDescent="0.2">
      <c r="BC3222" s="21" t="e" vm="1">
        <v>#REF!</v>
      </c>
      <c r="BD3222" t="e" vm="1">
        <v>#REF!</v>
      </c>
      <c r="BF3222" t="e" vm="2">
        <f t="shared" si="282"/>
        <v>#VALUE!</v>
      </c>
      <c r="BG3222" t="e" vm="2">
        <f t="shared" si="283"/>
        <v>#VALUE!</v>
      </c>
      <c r="BJ3222" s="21" t="e" vm="1">
        <v>#REF!</v>
      </c>
      <c r="BK3222" t="e" vm="1">
        <v>#REF!</v>
      </c>
      <c r="BM3222" t="e" vm="2">
        <f t="shared" si="284"/>
        <v>#VALUE!</v>
      </c>
      <c r="BN3222" t="e" vm="2">
        <f t="shared" si="285"/>
        <v>#VALUE!</v>
      </c>
    </row>
    <row r="3223" spans="55:66" x14ac:dyDescent="0.2">
      <c r="BC3223" s="21" t="e" vm="1">
        <v>#REF!</v>
      </c>
      <c r="BD3223" t="e" vm="1">
        <v>#REF!</v>
      </c>
      <c r="BF3223" t="e" vm="2">
        <f t="shared" si="282"/>
        <v>#VALUE!</v>
      </c>
      <c r="BG3223" t="e" vm="2">
        <f t="shared" si="283"/>
        <v>#VALUE!</v>
      </c>
      <c r="BJ3223" s="21" t="e" vm="1">
        <v>#REF!</v>
      </c>
      <c r="BK3223" t="e" vm="1">
        <v>#REF!</v>
      </c>
      <c r="BM3223" t="e" vm="2">
        <f t="shared" si="284"/>
        <v>#VALUE!</v>
      </c>
      <c r="BN3223" t="e" vm="2">
        <f t="shared" si="285"/>
        <v>#VALUE!</v>
      </c>
    </row>
    <row r="3224" spans="55:66" x14ac:dyDescent="0.2">
      <c r="BC3224" s="21" t="e" vm="1">
        <v>#REF!</v>
      </c>
      <c r="BD3224" t="e" vm="1">
        <v>#REF!</v>
      </c>
      <c r="BF3224" t="e" vm="2">
        <f t="shared" si="282"/>
        <v>#VALUE!</v>
      </c>
      <c r="BG3224" t="e" vm="2">
        <f t="shared" si="283"/>
        <v>#VALUE!</v>
      </c>
      <c r="BJ3224" s="21" t="e" vm="1">
        <v>#REF!</v>
      </c>
      <c r="BK3224" t="e" vm="1">
        <v>#REF!</v>
      </c>
      <c r="BM3224" t="e" vm="2">
        <f t="shared" si="284"/>
        <v>#VALUE!</v>
      </c>
      <c r="BN3224" t="e" vm="2">
        <f t="shared" si="285"/>
        <v>#VALUE!</v>
      </c>
    </row>
    <row r="3225" spans="55:66" x14ac:dyDescent="0.2">
      <c r="BC3225" s="21" t="e" vm="1">
        <v>#REF!</v>
      </c>
      <c r="BD3225" t="e" vm="1">
        <v>#REF!</v>
      </c>
      <c r="BF3225" t="e" vm="2">
        <f t="shared" si="282"/>
        <v>#VALUE!</v>
      </c>
      <c r="BG3225" t="e" vm="2">
        <f t="shared" si="283"/>
        <v>#VALUE!</v>
      </c>
      <c r="BJ3225" s="21" t="e" vm="1">
        <v>#REF!</v>
      </c>
      <c r="BK3225" t="e" vm="1">
        <v>#REF!</v>
      </c>
      <c r="BM3225" t="e" vm="2">
        <f t="shared" si="284"/>
        <v>#VALUE!</v>
      </c>
      <c r="BN3225" t="e" vm="2">
        <f t="shared" si="285"/>
        <v>#VALUE!</v>
      </c>
    </row>
    <row r="3226" spans="55:66" x14ac:dyDescent="0.2">
      <c r="BC3226" s="21" t="e" vm="1">
        <v>#REF!</v>
      </c>
      <c r="BD3226" t="e" vm="1">
        <v>#REF!</v>
      </c>
      <c r="BF3226" t="e" vm="2">
        <f t="shared" si="282"/>
        <v>#VALUE!</v>
      </c>
      <c r="BG3226" t="e" vm="2">
        <f t="shared" si="283"/>
        <v>#VALUE!</v>
      </c>
      <c r="BJ3226" s="21" t="e" vm="1">
        <v>#REF!</v>
      </c>
      <c r="BK3226" t="e" vm="1">
        <v>#REF!</v>
      </c>
      <c r="BM3226" t="e" vm="2">
        <f t="shared" si="284"/>
        <v>#VALUE!</v>
      </c>
      <c r="BN3226" t="e" vm="2">
        <f t="shared" si="285"/>
        <v>#VALUE!</v>
      </c>
    </row>
    <row r="3227" spans="55:66" x14ac:dyDescent="0.2">
      <c r="BC3227" s="21" t="e" vm="1">
        <v>#REF!</v>
      </c>
      <c r="BD3227" t="e" vm="1">
        <v>#REF!</v>
      </c>
      <c r="BF3227" t="e" vm="2">
        <f t="shared" si="282"/>
        <v>#VALUE!</v>
      </c>
      <c r="BG3227" t="e" vm="2">
        <f t="shared" si="283"/>
        <v>#VALUE!</v>
      </c>
      <c r="BJ3227" s="21" t="e" vm="1">
        <v>#REF!</v>
      </c>
      <c r="BK3227" t="e" vm="1">
        <v>#REF!</v>
      </c>
      <c r="BM3227" t="e" vm="2">
        <f t="shared" si="284"/>
        <v>#VALUE!</v>
      </c>
      <c r="BN3227" t="e" vm="2">
        <f t="shared" si="285"/>
        <v>#VALUE!</v>
      </c>
    </row>
    <row r="3228" spans="55:66" x14ac:dyDescent="0.2">
      <c r="BC3228" s="21" t="e" vm="1">
        <v>#REF!</v>
      </c>
      <c r="BD3228" t="e" vm="1">
        <v>#REF!</v>
      </c>
      <c r="BF3228" t="e" vm="2">
        <f t="shared" si="282"/>
        <v>#VALUE!</v>
      </c>
      <c r="BG3228" t="e" vm="2">
        <f t="shared" si="283"/>
        <v>#VALUE!</v>
      </c>
      <c r="BJ3228" s="21" t="e" vm="1">
        <v>#REF!</v>
      </c>
      <c r="BK3228" t="e" vm="1">
        <v>#REF!</v>
      </c>
      <c r="BM3228" t="e" vm="2">
        <f t="shared" si="284"/>
        <v>#VALUE!</v>
      </c>
      <c r="BN3228" t="e" vm="2">
        <f t="shared" si="285"/>
        <v>#VALUE!</v>
      </c>
    </row>
    <row r="3229" spans="55:66" x14ac:dyDescent="0.2">
      <c r="BC3229" s="21" t="e" vm="1">
        <v>#REF!</v>
      </c>
      <c r="BD3229" t="e" vm="1">
        <v>#REF!</v>
      </c>
      <c r="BF3229" t="e" vm="2">
        <f t="shared" si="282"/>
        <v>#VALUE!</v>
      </c>
      <c r="BG3229" t="e" vm="2">
        <f t="shared" si="283"/>
        <v>#VALUE!</v>
      </c>
      <c r="BJ3229" s="21" t="e" vm="1">
        <v>#REF!</v>
      </c>
      <c r="BK3229" t="e" vm="1">
        <v>#REF!</v>
      </c>
      <c r="BM3229" t="e" vm="2">
        <f t="shared" si="284"/>
        <v>#VALUE!</v>
      </c>
      <c r="BN3229" t="e" vm="2">
        <f t="shared" si="285"/>
        <v>#VALUE!</v>
      </c>
    </row>
    <row r="3230" spans="55:66" x14ac:dyDescent="0.2">
      <c r="BC3230" s="21" t="e" vm="1">
        <v>#REF!</v>
      </c>
      <c r="BD3230" t="e" vm="1">
        <v>#REF!</v>
      </c>
      <c r="BF3230" t="e" vm="2">
        <f t="shared" si="282"/>
        <v>#VALUE!</v>
      </c>
      <c r="BG3230" t="e" vm="2">
        <f t="shared" si="283"/>
        <v>#VALUE!</v>
      </c>
      <c r="BJ3230" s="21" t="e" vm="1">
        <v>#REF!</v>
      </c>
      <c r="BK3230" t="e" vm="1">
        <v>#REF!</v>
      </c>
      <c r="BM3230" t="e" vm="2">
        <f t="shared" si="284"/>
        <v>#VALUE!</v>
      </c>
      <c r="BN3230" t="e" vm="2">
        <f t="shared" si="285"/>
        <v>#VALUE!</v>
      </c>
    </row>
    <row r="3231" spans="55:66" x14ac:dyDescent="0.2">
      <c r="BC3231" s="21" t="e" vm="1">
        <v>#REF!</v>
      </c>
      <c r="BD3231" t="e" vm="1">
        <v>#REF!</v>
      </c>
      <c r="BF3231" t="e" vm="2">
        <f t="shared" si="282"/>
        <v>#VALUE!</v>
      </c>
      <c r="BG3231" t="e" vm="2">
        <f t="shared" si="283"/>
        <v>#VALUE!</v>
      </c>
      <c r="BJ3231" s="21" t="e" vm="1">
        <v>#REF!</v>
      </c>
      <c r="BK3231" t="e" vm="1">
        <v>#REF!</v>
      </c>
      <c r="BM3231" t="e" vm="2">
        <f t="shared" si="284"/>
        <v>#VALUE!</v>
      </c>
      <c r="BN3231" t="e" vm="2">
        <f t="shared" si="285"/>
        <v>#VALUE!</v>
      </c>
    </row>
    <row r="3232" spans="55:66" x14ac:dyDescent="0.2">
      <c r="BC3232" s="21" t="e" vm="1">
        <v>#REF!</v>
      </c>
      <c r="BD3232" t="e" vm="1">
        <v>#REF!</v>
      </c>
      <c r="BF3232" t="e" vm="2">
        <f t="shared" si="282"/>
        <v>#VALUE!</v>
      </c>
      <c r="BG3232" t="e" vm="2">
        <f t="shared" si="283"/>
        <v>#VALUE!</v>
      </c>
      <c r="BJ3232" s="21" t="e" vm="1">
        <v>#REF!</v>
      </c>
      <c r="BK3232" t="e" vm="1">
        <v>#REF!</v>
      </c>
      <c r="BM3232" t="e" vm="2">
        <f t="shared" si="284"/>
        <v>#VALUE!</v>
      </c>
      <c r="BN3232" t="e" vm="2">
        <f t="shared" si="285"/>
        <v>#VALUE!</v>
      </c>
    </row>
    <row r="3233" spans="55:66" x14ac:dyDescent="0.2">
      <c r="BC3233" s="21" t="e" vm="1">
        <v>#REF!</v>
      </c>
      <c r="BD3233" t="e" vm="1">
        <v>#REF!</v>
      </c>
      <c r="BF3233" t="e" vm="2">
        <f t="shared" si="282"/>
        <v>#VALUE!</v>
      </c>
      <c r="BG3233" t="e" vm="2">
        <f t="shared" si="283"/>
        <v>#VALUE!</v>
      </c>
      <c r="BJ3233" s="21" t="e" vm="1">
        <v>#REF!</v>
      </c>
      <c r="BK3233" t="e" vm="1">
        <v>#REF!</v>
      </c>
      <c r="BM3233" t="e" vm="2">
        <f t="shared" si="284"/>
        <v>#VALUE!</v>
      </c>
      <c r="BN3233" t="e" vm="2">
        <f t="shared" si="285"/>
        <v>#VALUE!</v>
      </c>
    </row>
    <row r="3234" spans="55:66" x14ac:dyDescent="0.2">
      <c r="BC3234" s="21" t="e" vm="1">
        <v>#REF!</v>
      </c>
      <c r="BD3234" t="e" vm="1">
        <v>#REF!</v>
      </c>
      <c r="BF3234" t="e" vm="2">
        <f t="shared" si="282"/>
        <v>#VALUE!</v>
      </c>
      <c r="BG3234" t="e" vm="2">
        <f t="shared" si="283"/>
        <v>#VALUE!</v>
      </c>
      <c r="BJ3234" s="21" t="e" vm="1">
        <v>#REF!</v>
      </c>
      <c r="BK3234" t="e" vm="1">
        <v>#REF!</v>
      </c>
      <c r="BM3234" t="e" vm="2">
        <f t="shared" si="284"/>
        <v>#VALUE!</v>
      </c>
      <c r="BN3234" t="e" vm="2">
        <f t="shared" si="285"/>
        <v>#VALUE!</v>
      </c>
    </row>
    <row r="3235" spans="55:66" x14ac:dyDescent="0.2">
      <c r="BC3235" s="21" t="e" vm="1">
        <v>#REF!</v>
      </c>
      <c r="BD3235" t="e" vm="1">
        <v>#REF!</v>
      </c>
      <c r="BF3235" t="e" vm="2">
        <f t="shared" si="282"/>
        <v>#VALUE!</v>
      </c>
      <c r="BG3235" t="e" vm="2">
        <f t="shared" si="283"/>
        <v>#VALUE!</v>
      </c>
      <c r="BJ3235" s="21" t="e" vm="1">
        <v>#REF!</v>
      </c>
      <c r="BK3235" t="e" vm="1">
        <v>#REF!</v>
      </c>
      <c r="BM3235" t="e" vm="2">
        <f t="shared" si="284"/>
        <v>#VALUE!</v>
      </c>
      <c r="BN3235" t="e" vm="2">
        <f t="shared" si="285"/>
        <v>#VALUE!</v>
      </c>
    </row>
    <row r="3236" spans="55:66" x14ac:dyDescent="0.2">
      <c r="BC3236" s="21" t="e" vm="1">
        <v>#REF!</v>
      </c>
      <c r="BD3236" t="e" vm="1">
        <v>#REF!</v>
      </c>
      <c r="BF3236" t="e" vm="2">
        <f t="shared" si="282"/>
        <v>#VALUE!</v>
      </c>
      <c r="BG3236" t="e" vm="2">
        <f t="shared" si="283"/>
        <v>#VALUE!</v>
      </c>
      <c r="BJ3236" s="21" t="e" vm="1">
        <v>#REF!</v>
      </c>
      <c r="BK3236" t="e" vm="1">
        <v>#REF!</v>
      </c>
      <c r="BM3236" t="e" vm="2">
        <f t="shared" si="284"/>
        <v>#VALUE!</v>
      </c>
      <c r="BN3236" t="e" vm="2">
        <f t="shared" si="285"/>
        <v>#VALUE!</v>
      </c>
    </row>
    <row r="3237" spans="55:66" x14ac:dyDescent="0.2">
      <c r="BC3237" s="21" t="e" vm="1">
        <v>#REF!</v>
      </c>
      <c r="BD3237" t="e" vm="1">
        <v>#REF!</v>
      </c>
      <c r="BF3237" t="e" vm="2">
        <f t="shared" si="282"/>
        <v>#VALUE!</v>
      </c>
      <c r="BG3237" t="e" vm="2">
        <f t="shared" si="283"/>
        <v>#VALUE!</v>
      </c>
      <c r="BJ3237" s="21" t="e" vm="1">
        <v>#REF!</v>
      </c>
      <c r="BK3237" t="e" vm="1">
        <v>#REF!</v>
      </c>
      <c r="BM3237" t="e" vm="2">
        <f t="shared" si="284"/>
        <v>#VALUE!</v>
      </c>
      <c r="BN3237" t="e" vm="2">
        <f t="shared" si="285"/>
        <v>#VALUE!</v>
      </c>
    </row>
    <row r="3238" spans="55:66" x14ac:dyDescent="0.2">
      <c r="BC3238" s="21" t="e" vm="1">
        <v>#REF!</v>
      </c>
      <c r="BD3238" t="e" vm="1">
        <v>#REF!</v>
      </c>
      <c r="BF3238" t="e" vm="2">
        <f t="shared" si="282"/>
        <v>#VALUE!</v>
      </c>
      <c r="BG3238" t="e" vm="2">
        <f t="shared" si="283"/>
        <v>#VALUE!</v>
      </c>
      <c r="BJ3238" s="21" t="e" vm="1">
        <v>#REF!</v>
      </c>
      <c r="BK3238" t="e" vm="1">
        <v>#REF!</v>
      </c>
      <c r="BM3238" t="e" vm="2">
        <f t="shared" si="284"/>
        <v>#VALUE!</v>
      </c>
      <c r="BN3238" t="e" vm="2">
        <f t="shared" si="285"/>
        <v>#VALUE!</v>
      </c>
    </row>
    <row r="3239" spans="55:66" x14ac:dyDescent="0.2">
      <c r="BC3239" s="21" t="e" vm="1">
        <v>#REF!</v>
      </c>
      <c r="BD3239" t="e" vm="1">
        <v>#REF!</v>
      </c>
      <c r="BF3239" t="e" vm="2">
        <f t="shared" si="282"/>
        <v>#VALUE!</v>
      </c>
      <c r="BG3239" t="e" vm="2">
        <f t="shared" si="283"/>
        <v>#VALUE!</v>
      </c>
      <c r="BJ3239" s="21" t="e" vm="1">
        <v>#REF!</v>
      </c>
      <c r="BK3239" t="e" vm="1">
        <v>#REF!</v>
      </c>
      <c r="BM3239" t="e" vm="2">
        <f t="shared" si="284"/>
        <v>#VALUE!</v>
      </c>
      <c r="BN3239" t="e" vm="2">
        <f t="shared" si="285"/>
        <v>#VALUE!</v>
      </c>
    </row>
    <row r="3240" spans="55:66" x14ac:dyDescent="0.2">
      <c r="BC3240" s="21" t="e" vm="1">
        <v>#REF!</v>
      </c>
      <c r="BD3240" t="e" vm="1">
        <v>#REF!</v>
      </c>
      <c r="BF3240" t="e" vm="2">
        <f t="shared" si="282"/>
        <v>#VALUE!</v>
      </c>
      <c r="BG3240" t="e" vm="2">
        <f t="shared" si="283"/>
        <v>#VALUE!</v>
      </c>
      <c r="BJ3240" s="21" t="e" vm="1">
        <v>#REF!</v>
      </c>
      <c r="BK3240" t="e" vm="1">
        <v>#REF!</v>
      </c>
      <c r="BM3240" t="e" vm="2">
        <f t="shared" si="284"/>
        <v>#VALUE!</v>
      </c>
      <c r="BN3240" t="e" vm="2">
        <f t="shared" si="285"/>
        <v>#VALUE!</v>
      </c>
    </row>
    <row r="3241" spans="55:66" x14ac:dyDescent="0.2">
      <c r="BC3241" s="21" t="e" vm="1">
        <v>#REF!</v>
      </c>
      <c r="BD3241" t="e" vm="1">
        <v>#REF!</v>
      </c>
      <c r="BF3241" t="e" vm="2">
        <f t="shared" si="282"/>
        <v>#VALUE!</v>
      </c>
      <c r="BG3241" t="e" vm="2">
        <f t="shared" si="283"/>
        <v>#VALUE!</v>
      </c>
      <c r="BJ3241" s="21" t="e" vm="1">
        <v>#REF!</v>
      </c>
      <c r="BK3241" t="e" vm="1">
        <v>#REF!</v>
      </c>
      <c r="BM3241" t="e" vm="2">
        <f t="shared" si="284"/>
        <v>#VALUE!</v>
      </c>
      <c r="BN3241" t="e" vm="2">
        <f t="shared" si="285"/>
        <v>#VALUE!</v>
      </c>
    </row>
    <row r="3242" spans="55:66" x14ac:dyDescent="0.2">
      <c r="BC3242" s="21" t="e" vm="1">
        <v>#REF!</v>
      </c>
      <c r="BD3242" t="e" vm="1">
        <v>#REF!</v>
      </c>
      <c r="BF3242" t="e" vm="2">
        <f t="shared" si="282"/>
        <v>#VALUE!</v>
      </c>
      <c r="BG3242" t="e" vm="2">
        <f t="shared" si="283"/>
        <v>#VALUE!</v>
      </c>
      <c r="BJ3242" s="21" t="e" vm="1">
        <v>#REF!</v>
      </c>
      <c r="BK3242" t="e" vm="1">
        <v>#REF!</v>
      </c>
      <c r="BM3242" t="e" vm="2">
        <f t="shared" si="284"/>
        <v>#VALUE!</v>
      </c>
      <c r="BN3242" t="e" vm="2">
        <f t="shared" si="285"/>
        <v>#VALUE!</v>
      </c>
    </row>
    <row r="3243" spans="55:66" x14ac:dyDescent="0.2">
      <c r="BC3243" s="21" t="e" vm="1">
        <v>#REF!</v>
      </c>
      <c r="BD3243" t="e" vm="1">
        <v>#REF!</v>
      </c>
      <c r="BF3243" t="e" vm="2">
        <f t="shared" si="282"/>
        <v>#VALUE!</v>
      </c>
      <c r="BG3243" t="e" vm="2">
        <f t="shared" si="283"/>
        <v>#VALUE!</v>
      </c>
      <c r="BJ3243" s="21" t="e" vm="1">
        <v>#REF!</v>
      </c>
      <c r="BK3243" t="e" vm="1">
        <v>#REF!</v>
      </c>
      <c r="BM3243" t="e" vm="2">
        <f t="shared" si="284"/>
        <v>#VALUE!</v>
      </c>
      <c r="BN3243" t="e" vm="2">
        <f t="shared" si="285"/>
        <v>#VALUE!</v>
      </c>
    </row>
    <row r="3244" spans="55:66" x14ac:dyDescent="0.2">
      <c r="BC3244" s="21" t="e" vm="1">
        <v>#REF!</v>
      </c>
      <c r="BD3244" t="e" vm="1">
        <v>#REF!</v>
      </c>
      <c r="BF3244" t="e" vm="2">
        <f t="shared" si="282"/>
        <v>#VALUE!</v>
      </c>
      <c r="BG3244" t="e" vm="2">
        <f t="shared" si="283"/>
        <v>#VALUE!</v>
      </c>
      <c r="BJ3244" s="21" t="e" vm="1">
        <v>#REF!</v>
      </c>
      <c r="BK3244" t="e" vm="1">
        <v>#REF!</v>
      </c>
      <c r="BM3244" t="e" vm="2">
        <f t="shared" si="284"/>
        <v>#VALUE!</v>
      </c>
      <c r="BN3244" t="e" vm="2">
        <f t="shared" si="285"/>
        <v>#VALUE!</v>
      </c>
    </row>
    <row r="3245" spans="55:66" x14ac:dyDescent="0.2">
      <c r="BC3245" s="21" t="e" vm="1">
        <v>#REF!</v>
      </c>
      <c r="BD3245" t="e" vm="1">
        <v>#REF!</v>
      </c>
      <c r="BF3245" t="e" vm="2">
        <f t="shared" si="282"/>
        <v>#VALUE!</v>
      </c>
      <c r="BG3245" t="e" vm="2">
        <f t="shared" si="283"/>
        <v>#VALUE!</v>
      </c>
      <c r="BJ3245" s="21" t="e" vm="1">
        <v>#REF!</v>
      </c>
      <c r="BK3245" t="e" vm="1">
        <v>#REF!</v>
      </c>
      <c r="BM3245" t="e" vm="2">
        <f t="shared" si="284"/>
        <v>#VALUE!</v>
      </c>
      <c r="BN3245" t="e" vm="2">
        <f t="shared" si="285"/>
        <v>#VALUE!</v>
      </c>
    </row>
    <row r="3246" spans="55:66" x14ac:dyDescent="0.2">
      <c r="BC3246" s="21" t="e" vm="1">
        <v>#REF!</v>
      </c>
      <c r="BD3246" t="e" vm="1">
        <v>#REF!</v>
      </c>
      <c r="BF3246" t="e" vm="2">
        <f t="shared" si="282"/>
        <v>#VALUE!</v>
      </c>
      <c r="BG3246" t="e" vm="2">
        <f t="shared" si="283"/>
        <v>#VALUE!</v>
      </c>
      <c r="BJ3246" s="21" t="e" vm="1">
        <v>#REF!</v>
      </c>
      <c r="BK3246" t="e" vm="1">
        <v>#REF!</v>
      </c>
      <c r="BM3246" t="e" vm="2">
        <f t="shared" si="284"/>
        <v>#VALUE!</v>
      </c>
      <c r="BN3246" t="e" vm="2">
        <f t="shared" si="285"/>
        <v>#VALUE!</v>
      </c>
    </row>
    <row r="3247" spans="55:66" x14ac:dyDescent="0.2">
      <c r="BC3247" s="21" t="e" vm="1">
        <v>#REF!</v>
      </c>
      <c r="BD3247" t="e" vm="1">
        <v>#REF!</v>
      </c>
      <c r="BF3247" t="e" vm="2">
        <f t="shared" si="282"/>
        <v>#VALUE!</v>
      </c>
      <c r="BG3247" t="e" vm="2">
        <f t="shared" si="283"/>
        <v>#VALUE!</v>
      </c>
      <c r="BJ3247" s="21" t="e" vm="1">
        <v>#REF!</v>
      </c>
      <c r="BK3247" t="e" vm="1">
        <v>#REF!</v>
      </c>
      <c r="BM3247" t="e" vm="2">
        <f t="shared" si="284"/>
        <v>#VALUE!</v>
      </c>
      <c r="BN3247" t="e" vm="2">
        <f t="shared" si="285"/>
        <v>#VALUE!</v>
      </c>
    </row>
    <row r="3248" spans="55:66" x14ac:dyDescent="0.2">
      <c r="BC3248" s="21" t="e" vm="1">
        <v>#REF!</v>
      </c>
      <c r="BD3248" t="e" vm="1">
        <v>#REF!</v>
      </c>
      <c r="BF3248" t="e" vm="2">
        <f t="shared" si="282"/>
        <v>#VALUE!</v>
      </c>
      <c r="BG3248" t="e" vm="2">
        <f t="shared" si="283"/>
        <v>#VALUE!</v>
      </c>
      <c r="BJ3248" s="21" t="e" vm="1">
        <v>#REF!</v>
      </c>
      <c r="BK3248" t="e" vm="1">
        <v>#REF!</v>
      </c>
      <c r="BM3248" t="e" vm="2">
        <f t="shared" si="284"/>
        <v>#VALUE!</v>
      </c>
      <c r="BN3248" t="e" vm="2">
        <f t="shared" si="285"/>
        <v>#VALUE!</v>
      </c>
    </row>
    <row r="3249" spans="55:66" x14ac:dyDescent="0.2">
      <c r="BC3249" s="21" t="e" vm="1">
        <v>#REF!</v>
      </c>
      <c r="BD3249" t="e" vm="1">
        <v>#REF!</v>
      </c>
      <c r="BF3249" t="e" vm="2">
        <f t="shared" si="282"/>
        <v>#VALUE!</v>
      </c>
      <c r="BG3249" t="e" vm="2">
        <f t="shared" si="283"/>
        <v>#VALUE!</v>
      </c>
      <c r="BJ3249" s="21" t="e" vm="1">
        <v>#REF!</v>
      </c>
      <c r="BK3249" t="e" vm="1">
        <v>#REF!</v>
      </c>
      <c r="BM3249" t="e" vm="2">
        <f t="shared" si="284"/>
        <v>#VALUE!</v>
      </c>
      <c r="BN3249" t="e" vm="2">
        <f t="shared" si="285"/>
        <v>#VALUE!</v>
      </c>
    </row>
    <row r="3250" spans="55:66" x14ac:dyDescent="0.2">
      <c r="BC3250" s="21" t="e" vm="1">
        <v>#REF!</v>
      </c>
      <c r="BD3250" t="e" vm="1">
        <v>#REF!</v>
      </c>
      <c r="BF3250" t="e" vm="2">
        <f t="shared" si="282"/>
        <v>#VALUE!</v>
      </c>
      <c r="BG3250" t="e" vm="2">
        <f t="shared" si="283"/>
        <v>#VALUE!</v>
      </c>
      <c r="BJ3250" s="21" t="e" vm="1">
        <v>#REF!</v>
      </c>
      <c r="BK3250" t="e" vm="1">
        <v>#REF!</v>
      </c>
      <c r="BM3250" t="e" vm="2">
        <f t="shared" si="284"/>
        <v>#VALUE!</v>
      </c>
      <c r="BN3250" t="e" vm="2">
        <f t="shared" si="285"/>
        <v>#VALUE!</v>
      </c>
    </row>
    <row r="3251" spans="55:66" x14ac:dyDescent="0.2">
      <c r="BC3251" s="21" t="e" vm="1">
        <v>#REF!</v>
      </c>
      <c r="BD3251" t="e" vm="1">
        <v>#REF!</v>
      </c>
      <c r="BF3251" t="e" vm="2">
        <f t="shared" si="282"/>
        <v>#VALUE!</v>
      </c>
      <c r="BG3251" t="e" vm="2">
        <f t="shared" si="283"/>
        <v>#VALUE!</v>
      </c>
      <c r="BJ3251" s="21" t="e" vm="1">
        <v>#REF!</v>
      </c>
      <c r="BK3251" t="e" vm="1">
        <v>#REF!</v>
      </c>
      <c r="BM3251" t="e" vm="2">
        <f t="shared" si="284"/>
        <v>#VALUE!</v>
      </c>
      <c r="BN3251" t="e" vm="2">
        <f t="shared" si="285"/>
        <v>#VALUE!</v>
      </c>
    </row>
    <row r="3252" spans="55:66" x14ac:dyDescent="0.2">
      <c r="BC3252" s="21" t="e" vm="1">
        <v>#REF!</v>
      </c>
      <c r="BD3252" t="e" vm="1">
        <v>#REF!</v>
      </c>
      <c r="BF3252" t="e" vm="2">
        <f t="shared" si="282"/>
        <v>#VALUE!</v>
      </c>
      <c r="BG3252" t="e" vm="2">
        <f t="shared" si="283"/>
        <v>#VALUE!</v>
      </c>
      <c r="BJ3252" s="21" t="e" vm="1">
        <v>#REF!</v>
      </c>
      <c r="BK3252" t="e" vm="1">
        <v>#REF!</v>
      </c>
      <c r="BM3252" t="e" vm="2">
        <f t="shared" si="284"/>
        <v>#VALUE!</v>
      </c>
      <c r="BN3252" t="e" vm="2">
        <f t="shared" si="285"/>
        <v>#VALUE!</v>
      </c>
    </row>
    <row r="3253" spans="55:66" x14ac:dyDescent="0.2">
      <c r="BC3253" s="21" t="e" vm="1">
        <v>#REF!</v>
      </c>
      <c r="BD3253" t="e" vm="1">
        <v>#REF!</v>
      </c>
      <c r="BF3253" t="e" vm="2">
        <f t="shared" si="282"/>
        <v>#VALUE!</v>
      </c>
      <c r="BG3253" t="e" vm="2">
        <f t="shared" si="283"/>
        <v>#VALUE!</v>
      </c>
      <c r="BJ3253" s="21" t="e" vm="1">
        <v>#REF!</v>
      </c>
      <c r="BK3253" t="e" vm="1">
        <v>#REF!</v>
      </c>
      <c r="BM3253" t="e" vm="2">
        <f t="shared" si="284"/>
        <v>#VALUE!</v>
      </c>
      <c r="BN3253" t="e" vm="2">
        <f t="shared" si="285"/>
        <v>#VALUE!</v>
      </c>
    </row>
    <row r="3254" spans="55:66" x14ac:dyDescent="0.2">
      <c r="BC3254" s="21" t="e" vm="1">
        <v>#REF!</v>
      </c>
      <c r="BD3254" t="e" vm="1">
        <v>#REF!</v>
      </c>
      <c r="BF3254" t="e" vm="2">
        <f t="shared" si="282"/>
        <v>#VALUE!</v>
      </c>
      <c r="BG3254" t="e" vm="2">
        <f t="shared" si="283"/>
        <v>#VALUE!</v>
      </c>
      <c r="BJ3254" s="21" t="e" vm="1">
        <v>#REF!</v>
      </c>
      <c r="BK3254" t="e" vm="1">
        <v>#REF!</v>
      </c>
      <c r="BM3254" t="e" vm="2">
        <f t="shared" si="284"/>
        <v>#VALUE!</v>
      </c>
      <c r="BN3254" t="e" vm="2">
        <f t="shared" si="285"/>
        <v>#VALUE!</v>
      </c>
    </row>
    <row r="3255" spans="55:66" x14ac:dyDescent="0.2">
      <c r="BC3255" s="21" t="e" vm="1">
        <v>#REF!</v>
      </c>
      <c r="BD3255" t="e" vm="1">
        <v>#REF!</v>
      </c>
      <c r="BF3255" t="e" vm="2">
        <f t="shared" si="282"/>
        <v>#VALUE!</v>
      </c>
      <c r="BG3255" t="e" vm="2">
        <f t="shared" si="283"/>
        <v>#VALUE!</v>
      </c>
      <c r="BJ3255" s="21" t="e" vm="1">
        <v>#REF!</v>
      </c>
      <c r="BK3255" t="e" vm="1">
        <v>#REF!</v>
      </c>
      <c r="BM3255" t="e" vm="2">
        <f t="shared" si="284"/>
        <v>#VALUE!</v>
      </c>
      <c r="BN3255" t="e" vm="2">
        <f t="shared" si="285"/>
        <v>#VALUE!</v>
      </c>
    </row>
    <row r="3256" spans="55:66" x14ac:dyDescent="0.2">
      <c r="BC3256" s="21" t="e" vm="1">
        <v>#REF!</v>
      </c>
      <c r="BD3256" t="e" vm="1">
        <v>#REF!</v>
      </c>
      <c r="BF3256" t="e" vm="2">
        <f t="shared" si="282"/>
        <v>#VALUE!</v>
      </c>
      <c r="BG3256" t="e" vm="2">
        <f t="shared" si="283"/>
        <v>#VALUE!</v>
      </c>
      <c r="BJ3256" s="21" t="e" vm="1">
        <v>#REF!</v>
      </c>
      <c r="BK3256" t="e" vm="1">
        <v>#REF!</v>
      </c>
      <c r="BM3256" t="e" vm="2">
        <f t="shared" si="284"/>
        <v>#VALUE!</v>
      </c>
      <c r="BN3256" t="e" vm="2">
        <f t="shared" si="285"/>
        <v>#VALUE!</v>
      </c>
    </row>
    <row r="3257" spans="55:66" x14ac:dyDescent="0.2">
      <c r="BC3257" s="21" t="e" vm="1">
        <v>#REF!</v>
      </c>
      <c r="BD3257" t="e" vm="1">
        <v>#REF!</v>
      </c>
      <c r="BF3257" t="e" vm="2">
        <f t="shared" si="282"/>
        <v>#VALUE!</v>
      </c>
      <c r="BG3257" t="e" vm="2">
        <f t="shared" si="283"/>
        <v>#VALUE!</v>
      </c>
      <c r="BJ3257" s="21" t="e" vm="1">
        <v>#REF!</v>
      </c>
      <c r="BK3257" t="e" vm="1">
        <v>#REF!</v>
      </c>
      <c r="BM3257" t="e" vm="2">
        <f t="shared" si="284"/>
        <v>#VALUE!</v>
      </c>
      <c r="BN3257" t="e" vm="2">
        <f t="shared" si="285"/>
        <v>#VALUE!</v>
      </c>
    </row>
    <row r="3258" spans="55:66" x14ac:dyDescent="0.2">
      <c r="BC3258" s="21" t="e" vm="1">
        <v>#REF!</v>
      </c>
      <c r="BD3258" t="e" vm="1">
        <v>#REF!</v>
      </c>
      <c r="BF3258" t="e" vm="2">
        <f t="shared" si="282"/>
        <v>#VALUE!</v>
      </c>
      <c r="BG3258" t="e" vm="2">
        <f t="shared" si="283"/>
        <v>#VALUE!</v>
      </c>
      <c r="BJ3258" s="21" t="e" vm="1">
        <v>#REF!</v>
      </c>
      <c r="BK3258" t="e" vm="1">
        <v>#REF!</v>
      </c>
      <c r="BM3258" t="e" vm="2">
        <f t="shared" si="284"/>
        <v>#VALUE!</v>
      </c>
      <c r="BN3258" t="e" vm="2">
        <f t="shared" si="285"/>
        <v>#VALUE!</v>
      </c>
    </row>
    <row r="3259" spans="55:66" x14ac:dyDescent="0.2">
      <c r="BC3259" s="21" t="e" vm="1">
        <v>#REF!</v>
      </c>
      <c r="BD3259" t="e" vm="1">
        <v>#REF!</v>
      </c>
      <c r="BF3259" t="e" vm="2">
        <f t="shared" si="282"/>
        <v>#VALUE!</v>
      </c>
      <c r="BG3259" t="e" vm="2">
        <f t="shared" si="283"/>
        <v>#VALUE!</v>
      </c>
      <c r="BJ3259" s="21" t="e" vm="1">
        <v>#REF!</v>
      </c>
      <c r="BK3259" t="e" vm="1">
        <v>#REF!</v>
      </c>
      <c r="BM3259" t="e" vm="2">
        <f t="shared" si="284"/>
        <v>#VALUE!</v>
      </c>
      <c r="BN3259" t="e" vm="2">
        <f t="shared" si="285"/>
        <v>#VALUE!</v>
      </c>
    </row>
    <row r="3260" spans="55:66" x14ac:dyDescent="0.2">
      <c r="BC3260" s="21" t="e" vm="1">
        <v>#REF!</v>
      </c>
      <c r="BD3260" t="e" vm="1">
        <v>#REF!</v>
      </c>
      <c r="BF3260" t="e" vm="2">
        <f t="shared" si="282"/>
        <v>#VALUE!</v>
      </c>
      <c r="BG3260" t="e" vm="2">
        <f t="shared" si="283"/>
        <v>#VALUE!</v>
      </c>
      <c r="BJ3260" s="21" t="e" vm="1">
        <v>#REF!</v>
      </c>
      <c r="BK3260" t="e" vm="1">
        <v>#REF!</v>
      </c>
      <c r="BM3260" t="e" vm="2">
        <f t="shared" si="284"/>
        <v>#VALUE!</v>
      </c>
      <c r="BN3260" t="e" vm="2">
        <f t="shared" si="285"/>
        <v>#VALUE!</v>
      </c>
    </row>
    <row r="3261" spans="55:66" x14ac:dyDescent="0.2">
      <c r="BC3261" s="21" t="e" vm="1">
        <v>#REF!</v>
      </c>
      <c r="BD3261" t="e" vm="1">
        <v>#REF!</v>
      </c>
      <c r="BF3261" t="e" vm="2">
        <f t="shared" si="282"/>
        <v>#VALUE!</v>
      </c>
      <c r="BG3261" t="e" vm="2">
        <f t="shared" si="283"/>
        <v>#VALUE!</v>
      </c>
      <c r="BJ3261" s="21" t="e" vm="1">
        <v>#REF!</v>
      </c>
      <c r="BK3261" t="e" vm="1">
        <v>#REF!</v>
      </c>
      <c r="BM3261" t="e" vm="2">
        <f t="shared" si="284"/>
        <v>#VALUE!</v>
      </c>
      <c r="BN3261" t="e" vm="2">
        <f t="shared" si="285"/>
        <v>#VALUE!</v>
      </c>
    </row>
    <row r="3262" spans="55:66" x14ac:dyDescent="0.2">
      <c r="BC3262" s="21" t="e" vm="1">
        <v>#REF!</v>
      </c>
      <c r="BD3262" t="e" vm="1">
        <v>#REF!</v>
      </c>
      <c r="BF3262" t="e" vm="2">
        <f t="shared" si="282"/>
        <v>#VALUE!</v>
      </c>
      <c r="BG3262" t="e" vm="2">
        <f t="shared" si="283"/>
        <v>#VALUE!</v>
      </c>
      <c r="BJ3262" s="21" t="e" vm="1">
        <v>#REF!</v>
      </c>
      <c r="BK3262" t="e" vm="1">
        <v>#REF!</v>
      </c>
      <c r="BM3262" t="e" vm="2">
        <f t="shared" si="284"/>
        <v>#VALUE!</v>
      </c>
      <c r="BN3262" t="e" vm="2">
        <f t="shared" si="285"/>
        <v>#VALUE!</v>
      </c>
    </row>
    <row r="3263" spans="55:66" x14ac:dyDescent="0.2">
      <c r="BC3263" s="21" t="e" vm="1">
        <v>#REF!</v>
      </c>
      <c r="BD3263" t="e" vm="1">
        <v>#REF!</v>
      </c>
      <c r="BF3263" t="e" vm="2">
        <f t="shared" si="282"/>
        <v>#VALUE!</v>
      </c>
      <c r="BG3263" t="e" vm="2">
        <f t="shared" si="283"/>
        <v>#VALUE!</v>
      </c>
      <c r="BJ3263" s="21" t="e" vm="1">
        <v>#REF!</v>
      </c>
      <c r="BK3263" t="e" vm="1">
        <v>#REF!</v>
      </c>
      <c r="BM3263" t="e" vm="2">
        <f t="shared" si="284"/>
        <v>#VALUE!</v>
      </c>
      <c r="BN3263" t="e" vm="2">
        <f t="shared" si="285"/>
        <v>#VALUE!</v>
      </c>
    </row>
    <row r="3264" spans="55:66" x14ac:dyDescent="0.2">
      <c r="BC3264" s="21" t="e" vm="1">
        <v>#REF!</v>
      </c>
      <c r="BD3264" t="e" vm="1">
        <v>#REF!</v>
      </c>
      <c r="BF3264" t="e" vm="2">
        <f t="shared" si="282"/>
        <v>#VALUE!</v>
      </c>
      <c r="BG3264" t="e" vm="2">
        <f t="shared" si="283"/>
        <v>#VALUE!</v>
      </c>
      <c r="BJ3264" s="21" t="e" vm="1">
        <v>#REF!</v>
      </c>
      <c r="BK3264" t="e" vm="1">
        <v>#REF!</v>
      </c>
      <c r="BM3264" t="e" vm="2">
        <f t="shared" si="284"/>
        <v>#VALUE!</v>
      </c>
      <c r="BN3264" t="e" vm="2">
        <f t="shared" si="285"/>
        <v>#VALUE!</v>
      </c>
    </row>
    <row r="3265" spans="55:66" x14ac:dyDescent="0.2">
      <c r="BC3265" s="21" t="e" vm="1">
        <v>#REF!</v>
      </c>
      <c r="BD3265" t="e" vm="1">
        <v>#REF!</v>
      </c>
      <c r="BF3265" t="e" vm="2">
        <f t="shared" si="282"/>
        <v>#VALUE!</v>
      </c>
      <c r="BG3265" t="e" vm="2">
        <f t="shared" si="283"/>
        <v>#VALUE!</v>
      </c>
      <c r="BJ3265" s="21" t="e" vm="1">
        <v>#REF!</v>
      </c>
      <c r="BK3265" t="e" vm="1">
        <v>#REF!</v>
      </c>
      <c r="BM3265" t="e" vm="2">
        <f t="shared" si="284"/>
        <v>#VALUE!</v>
      </c>
      <c r="BN3265" t="e" vm="2">
        <f t="shared" si="285"/>
        <v>#VALUE!</v>
      </c>
    </row>
    <row r="3266" spans="55:66" x14ac:dyDescent="0.2">
      <c r="BC3266" s="21" t="e" vm="1">
        <v>#REF!</v>
      </c>
      <c r="BD3266" t="e" vm="1">
        <v>#REF!</v>
      </c>
      <c r="BF3266" t="e" vm="2">
        <f t="shared" si="282"/>
        <v>#VALUE!</v>
      </c>
      <c r="BG3266" t="e" vm="2">
        <f t="shared" si="283"/>
        <v>#VALUE!</v>
      </c>
      <c r="BJ3266" s="21" t="e" vm="1">
        <v>#REF!</v>
      </c>
      <c r="BK3266" t="e" vm="1">
        <v>#REF!</v>
      </c>
      <c r="BM3266" t="e" vm="2">
        <f t="shared" si="284"/>
        <v>#VALUE!</v>
      </c>
      <c r="BN3266" t="e" vm="2">
        <f t="shared" si="285"/>
        <v>#VALUE!</v>
      </c>
    </row>
    <row r="3267" spans="55:66" x14ac:dyDescent="0.2">
      <c r="BC3267" s="21" t="e" vm="1">
        <v>#REF!</v>
      </c>
      <c r="BD3267" t="e" vm="1">
        <v>#REF!</v>
      </c>
      <c r="BF3267" t="e" vm="2">
        <f t="shared" ref="BF3267:BF3330" si="286">MONTH(BC3267)</f>
        <v>#VALUE!</v>
      </c>
      <c r="BG3267" t="e" vm="2">
        <f t="shared" ref="BG3267:BG3330" si="287">YEAR(BC3267)</f>
        <v>#VALUE!</v>
      </c>
      <c r="BJ3267" s="21" t="e" vm="1">
        <v>#REF!</v>
      </c>
      <c r="BK3267" t="e" vm="1">
        <v>#REF!</v>
      </c>
      <c r="BM3267" t="e" vm="2">
        <f t="shared" si="284"/>
        <v>#VALUE!</v>
      </c>
      <c r="BN3267" t="e" vm="2">
        <f t="shared" si="285"/>
        <v>#VALUE!</v>
      </c>
    </row>
    <row r="3268" spans="55:66" x14ac:dyDescent="0.2">
      <c r="BC3268" s="21" t="e" vm="1">
        <v>#REF!</v>
      </c>
      <c r="BD3268" t="e" vm="1">
        <v>#REF!</v>
      </c>
      <c r="BF3268" t="e" vm="2">
        <f t="shared" si="286"/>
        <v>#VALUE!</v>
      </c>
      <c r="BG3268" t="e" vm="2">
        <f t="shared" si="287"/>
        <v>#VALUE!</v>
      </c>
      <c r="BJ3268" s="21" t="e" vm="1">
        <v>#REF!</v>
      </c>
      <c r="BK3268" t="e" vm="1">
        <v>#REF!</v>
      </c>
      <c r="BM3268" t="e" vm="2">
        <f t="shared" ref="BM3268:BM3331" si="288">MONTH(BJ3268)</f>
        <v>#VALUE!</v>
      </c>
      <c r="BN3268" t="e" vm="2">
        <f t="shared" ref="BN3268:BN3331" si="289">YEAR(BJ3268)</f>
        <v>#VALUE!</v>
      </c>
    </row>
    <row r="3269" spans="55:66" x14ac:dyDescent="0.2">
      <c r="BC3269" s="21" t="e" vm="1">
        <v>#REF!</v>
      </c>
      <c r="BD3269" t="e" vm="1">
        <v>#REF!</v>
      </c>
      <c r="BF3269" t="e" vm="2">
        <f t="shared" si="286"/>
        <v>#VALUE!</v>
      </c>
      <c r="BG3269" t="e" vm="2">
        <f t="shared" si="287"/>
        <v>#VALUE!</v>
      </c>
      <c r="BJ3269" s="21" t="e" vm="1">
        <v>#REF!</v>
      </c>
      <c r="BK3269" t="e" vm="1">
        <v>#REF!</v>
      </c>
      <c r="BM3269" t="e" vm="2">
        <f t="shared" si="288"/>
        <v>#VALUE!</v>
      </c>
      <c r="BN3269" t="e" vm="2">
        <f t="shared" si="289"/>
        <v>#VALUE!</v>
      </c>
    </row>
    <row r="3270" spans="55:66" x14ac:dyDescent="0.2">
      <c r="BC3270" s="21" t="e" vm="1">
        <v>#REF!</v>
      </c>
      <c r="BD3270" t="e" vm="1">
        <v>#REF!</v>
      </c>
      <c r="BF3270" t="e" vm="2">
        <f t="shared" si="286"/>
        <v>#VALUE!</v>
      </c>
      <c r="BG3270" t="e" vm="2">
        <f t="shared" si="287"/>
        <v>#VALUE!</v>
      </c>
      <c r="BJ3270" s="21" t="e" vm="1">
        <v>#REF!</v>
      </c>
      <c r="BK3270" t="e" vm="1">
        <v>#REF!</v>
      </c>
      <c r="BM3270" t="e" vm="2">
        <f t="shared" si="288"/>
        <v>#VALUE!</v>
      </c>
      <c r="BN3270" t="e" vm="2">
        <f t="shared" si="289"/>
        <v>#VALUE!</v>
      </c>
    </row>
    <row r="3271" spans="55:66" x14ac:dyDescent="0.2">
      <c r="BC3271" s="21" t="e" vm="1">
        <v>#REF!</v>
      </c>
      <c r="BD3271" t="e" vm="1">
        <v>#REF!</v>
      </c>
      <c r="BF3271" t="e" vm="2">
        <f t="shared" si="286"/>
        <v>#VALUE!</v>
      </c>
      <c r="BG3271" t="e" vm="2">
        <f t="shared" si="287"/>
        <v>#VALUE!</v>
      </c>
      <c r="BJ3271" s="21" t="e" vm="1">
        <v>#REF!</v>
      </c>
      <c r="BK3271" t="e" vm="1">
        <v>#REF!</v>
      </c>
      <c r="BM3271" t="e" vm="2">
        <f t="shared" si="288"/>
        <v>#VALUE!</v>
      </c>
      <c r="BN3271" t="e" vm="2">
        <f t="shared" si="289"/>
        <v>#VALUE!</v>
      </c>
    </row>
    <row r="3272" spans="55:66" x14ac:dyDescent="0.2">
      <c r="BC3272" s="21" t="e" vm="1">
        <v>#REF!</v>
      </c>
      <c r="BD3272" t="e" vm="1">
        <v>#REF!</v>
      </c>
      <c r="BF3272" t="e" vm="2">
        <f t="shared" si="286"/>
        <v>#VALUE!</v>
      </c>
      <c r="BG3272" t="e" vm="2">
        <f t="shared" si="287"/>
        <v>#VALUE!</v>
      </c>
      <c r="BJ3272" s="21" t="e" vm="1">
        <v>#REF!</v>
      </c>
      <c r="BK3272" t="e" vm="1">
        <v>#REF!</v>
      </c>
      <c r="BM3272" t="e" vm="2">
        <f t="shared" si="288"/>
        <v>#VALUE!</v>
      </c>
      <c r="BN3272" t="e" vm="2">
        <f t="shared" si="289"/>
        <v>#VALUE!</v>
      </c>
    </row>
    <row r="3273" spans="55:66" x14ac:dyDescent="0.2">
      <c r="BC3273" s="21" t="e" vm="1">
        <v>#REF!</v>
      </c>
      <c r="BD3273" t="e" vm="1">
        <v>#REF!</v>
      </c>
      <c r="BF3273" t="e" vm="2">
        <f t="shared" si="286"/>
        <v>#VALUE!</v>
      </c>
      <c r="BG3273" t="e" vm="2">
        <f t="shared" si="287"/>
        <v>#VALUE!</v>
      </c>
      <c r="BJ3273" s="21" t="e" vm="1">
        <v>#REF!</v>
      </c>
      <c r="BK3273" t="e" vm="1">
        <v>#REF!</v>
      </c>
      <c r="BM3273" t="e" vm="2">
        <f t="shared" si="288"/>
        <v>#VALUE!</v>
      </c>
      <c r="BN3273" t="e" vm="2">
        <f t="shared" si="289"/>
        <v>#VALUE!</v>
      </c>
    </row>
    <row r="3274" spans="55:66" x14ac:dyDescent="0.2">
      <c r="BC3274" s="21" t="e" vm="1">
        <v>#REF!</v>
      </c>
      <c r="BD3274" t="e" vm="1">
        <v>#REF!</v>
      </c>
      <c r="BF3274" t="e" vm="2">
        <f t="shared" si="286"/>
        <v>#VALUE!</v>
      </c>
      <c r="BG3274" t="e" vm="2">
        <f t="shared" si="287"/>
        <v>#VALUE!</v>
      </c>
      <c r="BJ3274" s="21" t="e" vm="1">
        <v>#REF!</v>
      </c>
      <c r="BK3274" t="e" vm="1">
        <v>#REF!</v>
      </c>
      <c r="BM3274" t="e" vm="2">
        <f t="shared" si="288"/>
        <v>#VALUE!</v>
      </c>
      <c r="BN3274" t="e" vm="2">
        <f t="shared" si="289"/>
        <v>#VALUE!</v>
      </c>
    </row>
    <row r="3275" spans="55:66" x14ac:dyDescent="0.2">
      <c r="BC3275" s="21" t="e" vm="1">
        <v>#REF!</v>
      </c>
      <c r="BD3275" t="e" vm="1">
        <v>#REF!</v>
      </c>
      <c r="BF3275" t="e" vm="2">
        <f t="shared" si="286"/>
        <v>#VALUE!</v>
      </c>
      <c r="BG3275" t="e" vm="2">
        <f t="shared" si="287"/>
        <v>#VALUE!</v>
      </c>
      <c r="BJ3275" s="21" t="e" vm="1">
        <v>#REF!</v>
      </c>
      <c r="BK3275" t="e" vm="1">
        <v>#REF!</v>
      </c>
      <c r="BM3275" t="e" vm="2">
        <f t="shared" si="288"/>
        <v>#VALUE!</v>
      </c>
      <c r="BN3275" t="e" vm="2">
        <f t="shared" si="289"/>
        <v>#VALUE!</v>
      </c>
    </row>
    <row r="3276" spans="55:66" x14ac:dyDescent="0.2">
      <c r="BC3276" s="21" t="e" vm="1">
        <v>#REF!</v>
      </c>
      <c r="BD3276" t="e" vm="1">
        <v>#REF!</v>
      </c>
      <c r="BF3276" t="e" vm="2">
        <f t="shared" si="286"/>
        <v>#VALUE!</v>
      </c>
      <c r="BG3276" t="e" vm="2">
        <f t="shared" si="287"/>
        <v>#VALUE!</v>
      </c>
      <c r="BJ3276" s="21" t="e" vm="1">
        <v>#REF!</v>
      </c>
      <c r="BK3276" t="e" vm="1">
        <v>#REF!</v>
      </c>
      <c r="BM3276" t="e" vm="2">
        <f t="shared" si="288"/>
        <v>#VALUE!</v>
      </c>
      <c r="BN3276" t="e" vm="2">
        <f t="shared" si="289"/>
        <v>#VALUE!</v>
      </c>
    </row>
    <row r="3277" spans="55:66" x14ac:dyDescent="0.2">
      <c r="BC3277" s="21" t="e" vm="1">
        <v>#REF!</v>
      </c>
      <c r="BD3277" t="e" vm="1">
        <v>#REF!</v>
      </c>
      <c r="BF3277" t="e" vm="2">
        <f t="shared" si="286"/>
        <v>#VALUE!</v>
      </c>
      <c r="BG3277" t="e" vm="2">
        <f t="shared" si="287"/>
        <v>#VALUE!</v>
      </c>
      <c r="BJ3277" s="21" t="e" vm="1">
        <v>#REF!</v>
      </c>
      <c r="BK3277" t="e" vm="1">
        <v>#REF!</v>
      </c>
      <c r="BM3277" t="e" vm="2">
        <f t="shared" si="288"/>
        <v>#VALUE!</v>
      </c>
      <c r="BN3277" t="e" vm="2">
        <f t="shared" si="289"/>
        <v>#VALUE!</v>
      </c>
    </row>
    <row r="3278" spans="55:66" x14ac:dyDescent="0.2">
      <c r="BC3278" s="21" t="e" vm="1">
        <v>#REF!</v>
      </c>
      <c r="BD3278" t="e" vm="1">
        <v>#REF!</v>
      </c>
      <c r="BF3278" t="e" vm="2">
        <f t="shared" si="286"/>
        <v>#VALUE!</v>
      </c>
      <c r="BG3278" t="e" vm="2">
        <f t="shared" si="287"/>
        <v>#VALUE!</v>
      </c>
      <c r="BJ3278" s="21" t="e" vm="1">
        <v>#REF!</v>
      </c>
      <c r="BK3278" t="e" vm="1">
        <v>#REF!</v>
      </c>
      <c r="BM3278" t="e" vm="2">
        <f t="shared" si="288"/>
        <v>#VALUE!</v>
      </c>
      <c r="BN3278" t="e" vm="2">
        <f t="shared" si="289"/>
        <v>#VALUE!</v>
      </c>
    </row>
    <row r="3279" spans="55:66" x14ac:dyDescent="0.2">
      <c r="BC3279" s="21" t="e" vm="1">
        <v>#REF!</v>
      </c>
      <c r="BD3279" t="e" vm="1">
        <v>#REF!</v>
      </c>
      <c r="BF3279" t="e" vm="2">
        <f t="shared" si="286"/>
        <v>#VALUE!</v>
      </c>
      <c r="BG3279" t="e" vm="2">
        <f t="shared" si="287"/>
        <v>#VALUE!</v>
      </c>
      <c r="BJ3279" s="21" t="e" vm="1">
        <v>#REF!</v>
      </c>
      <c r="BK3279" t="e" vm="1">
        <v>#REF!</v>
      </c>
      <c r="BM3279" t="e" vm="2">
        <f t="shared" si="288"/>
        <v>#VALUE!</v>
      </c>
      <c r="BN3279" t="e" vm="2">
        <f t="shared" si="289"/>
        <v>#VALUE!</v>
      </c>
    </row>
    <row r="3280" spans="55:66" x14ac:dyDescent="0.2">
      <c r="BC3280" s="21" t="e" vm="1">
        <v>#REF!</v>
      </c>
      <c r="BD3280" t="e" vm="1">
        <v>#REF!</v>
      </c>
      <c r="BF3280" t="e" vm="2">
        <f t="shared" si="286"/>
        <v>#VALUE!</v>
      </c>
      <c r="BG3280" t="e" vm="2">
        <f t="shared" si="287"/>
        <v>#VALUE!</v>
      </c>
      <c r="BJ3280" s="21" t="e" vm="1">
        <v>#REF!</v>
      </c>
      <c r="BK3280" t="e" vm="1">
        <v>#REF!</v>
      </c>
      <c r="BM3280" t="e" vm="2">
        <f t="shared" si="288"/>
        <v>#VALUE!</v>
      </c>
      <c r="BN3280" t="e" vm="2">
        <f t="shared" si="289"/>
        <v>#VALUE!</v>
      </c>
    </row>
    <row r="3281" spans="55:66" x14ac:dyDescent="0.2">
      <c r="BC3281" s="21" t="e" vm="1">
        <v>#REF!</v>
      </c>
      <c r="BD3281" t="e" vm="1">
        <v>#REF!</v>
      </c>
      <c r="BF3281" t="e" vm="2">
        <f t="shared" si="286"/>
        <v>#VALUE!</v>
      </c>
      <c r="BG3281" t="e" vm="2">
        <f t="shared" si="287"/>
        <v>#VALUE!</v>
      </c>
      <c r="BJ3281" s="21" t="e" vm="1">
        <v>#REF!</v>
      </c>
      <c r="BK3281" t="e" vm="1">
        <v>#REF!</v>
      </c>
      <c r="BM3281" t="e" vm="2">
        <f t="shared" si="288"/>
        <v>#VALUE!</v>
      </c>
      <c r="BN3281" t="e" vm="2">
        <f t="shared" si="289"/>
        <v>#VALUE!</v>
      </c>
    </row>
    <row r="3282" spans="55:66" x14ac:dyDescent="0.2">
      <c r="BC3282" s="21" t="e" vm="1">
        <v>#REF!</v>
      </c>
      <c r="BD3282" t="e" vm="1">
        <v>#REF!</v>
      </c>
      <c r="BF3282" t="e" vm="2">
        <f t="shared" si="286"/>
        <v>#VALUE!</v>
      </c>
      <c r="BG3282" t="e" vm="2">
        <f t="shared" si="287"/>
        <v>#VALUE!</v>
      </c>
      <c r="BJ3282" s="21" t="e" vm="1">
        <v>#REF!</v>
      </c>
      <c r="BK3282" t="e" vm="1">
        <v>#REF!</v>
      </c>
      <c r="BM3282" t="e" vm="2">
        <f t="shared" si="288"/>
        <v>#VALUE!</v>
      </c>
      <c r="BN3282" t="e" vm="2">
        <f t="shared" si="289"/>
        <v>#VALUE!</v>
      </c>
    </row>
    <row r="3283" spans="55:66" x14ac:dyDescent="0.2">
      <c r="BC3283" s="21" t="e" vm="1">
        <v>#REF!</v>
      </c>
      <c r="BD3283" t="e" vm="1">
        <v>#REF!</v>
      </c>
      <c r="BF3283" t="e" vm="2">
        <f t="shared" si="286"/>
        <v>#VALUE!</v>
      </c>
      <c r="BG3283" t="e" vm="2">
        <f t="shared" si="287"/>
        <v>#VALUE!</v>
      </c>
      <c r="BJ3283" s="21" t="e" vm="1">
        <v>#REF!</v>
      </c>
      <c r="BK3283" t="e" vm="1">
        <v>#REF!</v>
      </c>
      <c r="BM3283" t="e" vm="2">
        <f t="shared" si="288"/>
        <v>#VALUE!</v>
      </c>
      <c r="BN3283" t="e" vm="2">
        <f t="shared" si="289"/>
        <v>#VALUE!</v>
      </c>
    </row>
    <row r="3284" spans="55:66" x14ac:dyDescent="0.2">
      <c r="BC3284" s="21" t="e" vm="1">
        <v>#REF!</v>
      </c>
      <c r="BD3284" t="e" vm="1">
        <v>#REF!</v>
      </c>
      <c r="BF3284" t="e" vm="2">
        <f t="shared" si="286"/>
        <v>#VALUE!</v>
      </c>
      <c r="BG3284" t="e" vm="2">
        <f t="shared" si="287"/>
        <v>#VALUE!</v>
      </c>
      <c r="BJ3284" s="21" t="e" vm="1">
        <v>#REF!</v>
      </c>
      <c r="BK3284" t="e" vm="1">
        <v>#REF!</v>
      </c>
      <c r="BM3284" t="e" vm="2">
        <f t="shared" si="288"/>
        <v>#VALUE!</v>
      </c>
      <c r="BN3284" t="e" vm="2">
        <f t="shared" si="289"/>
        <v>#VALUE!</v>
      </c>
    </row>
    <row r="3285" spans="55:66" x14ac:dyDescent="0.2">
      <c r="BC3285" s="21" t="e" vm="1">
        <v>#REF!</v>
      </c>
      <c r="BD3285" t="e" vm="1">
        <v>#REF!</v>
      </c>
      <c r="BF3285" t="e" vm="2">
        <f t="shared" si="286"/>
        <v>#VALUE!</v>
      </c>
      <c r="BG3285" t="e" vm="2">
        <f t="shared" si="287"/>
        <v>#VALUE!</v>
      </c>
      <c r="BJ3285" s="21" t="e" vm="1">
        <v>#REF!</v>
      </c>
      <c r="BK3285" t="e" vm="1">
        <v>#REF!</v>
      </c>
      <c r="BM3285" t="e" vm="2">
        <f t="shared" si="288"/>
        <v>#VALUE!</v>
      </c>
      <c r="BN3285" t="e" vm="2">
        <f t="shared" si="289"/>
        <v>#VALUE!</v>
      </c>
    </row>
    <row r="3286" spans="55:66" x14ac:dyDescent="0.2">
      <c r="BC3286" s="21" t="e" vm="1">
        <v>#REF!</v>
      </c>
      <c r="BD3286" t="e" vm="1">
        <v>#REF!</v>
      </c>
      <c r="BF3286" t="e" vm="2">
        <f t="shared" si="286"/>
        <v>#VALUE!</v>
      </c>
      <c r="BG3286" t="e" vm="2">
        <f t="shared" si="287"/>
        <v>#VALUE!</v>
      </c>
      <c r="BJ3286" s="21" t="e" vm="1">
        <v>#REF!</v>
      </c>
      <c r="BK3286" t="e" vm="1">
        <v>#REF!</v>
      </c>
      <c r="BM3286" t="e" vm="2">
        <f t="shared" si="288"/>
        <v>#VALUE!</v>
      </c>
      <c r="BN3286" t="e" vm="2">
        <f t="shared" si="289"/>
        <v>#VALUE!</v>
      </c>
    </row>
    <row r="3287" spans="55:66" x14ac:dyDescent="0.2">
      <c r="BC3287" s="21" t="e" vm="1">
        <v>#REF!</v>
      </c>
      <c r="BD3287" t="e" vm="1">
        <v>#REF!</v>
      </c>
      <c r="BF3287" t="e" vm="2">
        <f t="shared" si="286"/>
        <v>#VALUE!</v>
      </c>
      <c r="BG3287" t="e" vm="2">
        <f t="shared" si="287"/>
        <v>#VALUE!</v>
      </c>
      <c r="BJ3287" s="21" t="e" vm="1">
        <v>#REF!</v>
      </c>
      <c r="BK3287" t="e" vm="1">
        <v>#REF!</v>
      </c>
      <c r="BM3287" t="e" vm="2">
        <f t="shared" si="288"/>
        <v>#VALUE!</v>
      </c>
      <c r="BN3287" t="e" vm="2">
        <f t="shared" si="289"/>
        <v>#VALUE!</v>
      </c>
    </row>
    <row r="3288" spans="55:66" x14ac:dyDescent="0.2">
      <c r="BC3288" s="21" t="e" vm="1">
        <v>#REF!</v>
      </c>
      <c r="BD3288" t="e" vm="1">
        <v>#REF!</v>
      </c>
      <c r="BF3288" t="e" vm="2">
        <f t="shared" si="286"/>
        <v>#VALUE!</v>
      </c>
      <c r="BG3288" t="e" vm="2">
        <f t="shared" si="287"/>
        <v>#VALUE!</v>
      </c>
      <c r="BJ3288" s="21" t="e" vm="1">
        <v>#REF!</v>
      </c>
      <c r="BK3288" t="e" vm="1">
        <v>#REF!</v>
      </c>
      <c r="BM3288" t="e" vm="2">
        <f t="shared" si="288"/>
        <v>#VALUE!</v>
      </c>
      <c r="BN3288" t="e" vm="2">
        <f t="shared" si="289"/>
        <v>#VALUE!</v>
      </c>
    </row>
    <row r="3289" spans="55:66" x14ac:dyDescent="0.2">
      <c r="BC3289" s="21" t="e" vm="1">
        <v>#REF!</v>
      </c>
      <c r="BD3289" t="e" vm="1">
        <v>#REF!</v>
      </c>
      <c r="BF3289" t="e" vm="2">
        <f t="shared" si="286"/>
        <v>#VALUE!</v>
      </c>
      <c r="BG3289" t="e" vm="2">
        <f t="shared" si="287"/>
        <v>#VALUE!</v>
      </c>
      <c r="BJ3289" s="21" t="e" vm="1">
        <v>#REF!</v>
      </c>
      <c r="BK3289" t="e" vm="1">
        <v>#REF!</v>
      </c>
      <c r="BM3289" t="e" vm="2">
        <f t="shared" si="288"/>
        <v>#VALUE!</v>
      </c>
      <c r="BN3289" t="e" vm="2">
        <f t="shared" si="289"/>
        <v>#VALUE!</v>
      </c>
    </row>
    <row r="3290" spans="55:66" x14ac:dyDescent="0.2">
      <c r="BC3290" s="21" t="e" vm="1">
        <v>#REF!</v>
      </c>
      <c r="BD3290" t="e" vm="1">
        <v>#REF!</v>
      </c>
      <c r="BF3290" t="e" vm="2">
        <f t="shared" si="286"/>
        <v>#VALUE!</v>
      </c>
      <c r="BG3290" t="e" vm="2">
        <f t="shared" si="287"/>
        <v>#VALUE!</v>
      </c>
      <c r="BJ3290" s="21" t="e" vm="1">
        <v>#REF!</v>
      </c>
      <c r="BK3290" t="e" vm="1">
        <v>#REF!</v>
      </c>
      <c r="BM3290" t="e" vm="2">
        <f t="shared" si="288"/>
        <v>#VALUE!</v>
      </c>
      <c r="BN3290" t="e" vm="2">
        <f t="shared" si="289"/>
        <v>#VALUE!</v>
      </c>
    </row>
    <row r="3291" spans="55:66" x14ac:dyDescent="0.2">
      <c r="BC3291" s="21" t="e" vm="1">
        <v>#REF!</v>
      </c>
      <c r="BD3291" t="e" vm="1">
        <v>#REF!</v>
      </c>
      <c r="BF3291" t="e" vm="2">
        <f t="shared" si="286"/>
        <v>#VALUE!</v>
      </c>
      <c r="BG3291" t="e" vm="2">
        <f t="shared" si="287"/>
        <v>#VALUE!</v>
      </c>
      <c r="BJ3291" s="21" t="e" vm="1">
        <v>#REF!</v>
      </c>
      <c r="BK3291" t="e" vm="1">
        <v>#REF!</v>
      </c>
      <c r="BM3291" t="e" vm="2">
        <f t="shared" si="288"/>
        <v>#VALUE!</v>
      </c>
      <c r="BN3291" t="e" vm="2">
        <f t="shared" si="289"/>
        <v>#VALUE!</v>
      </c>
    </row>
    <row r="3292" spans="55:66" x14ac:dyDescent="0.2">
      <c r="BC3292" s="21" t="e" vm="1">
        <v>#REF!</v>
      </c>
      <c r="BD3292" t="e" vm="1">
        <v>#REF!</v>
      </c>
      <c r="BF3292" t="e" vm="2">
        <f t="shared" si="286"/>
        <v>#VALUE!</v>
      </c>
      <c r="BG3292" t="e" vm="2">
        <f t="shared" si="287"/>
        <v>#VALUE!</v>
      </c>
      <c r="BJ3292" s="21" t="e" vm="1">
        <v>#REF!</v>
      </c>
      <c r="BK3292" t="e" vm="1">
        <v>#REF!</v>
      </c>
      <c r="BM3292" t="e" vm="2">
        <f t="shared" si="288"/>
        <v>#VALUE!</v>
      </c>
      <c r="BN3292" t="e" vm="2">
        <f t="shared" si="289"/>
        <v>#VALUE!</v>
      </c>
    </row>
    <row r="3293" spans="55:66" x14ac:dyDescent="0.2">
      <c r="BC3293" s="21" t="e" vm="1">
        <v>#REF!</v>
      </c>
      <c r="BD3293" t="e" vm="1">
        <v>#REF!</v>
      </c>
      <c r="BF3293" t="e" vm="2">
        <f t="shared" si="286"/>
        <v>#VALUE!</v>
      </c>
      <c r="BG3293" t="e" vm="2">
        <f t="shared" si="287"/>
        <v>#VALUE!</v>
      </c>
      <c r="BJ3293" s="21" t="e" vm="1">
        <v>#REF!</v>
      </c>
      <c r="BK3293" t="e" vm="1">
        <v>#REF!</v>
      </c>
      <c r="BM3293" t="e" vm="2">
        <f t="shared" si="288"/>
        <v>#VALUE!</v>
      </c>
      <c r="BN3293" t="e" vm="2">
        <f t="shared" si="289"/>
        <v>#VALUE!</v>
      </c>
    </row>
    <row r="3294" spans="55:66" x14ac:dyDescent="0.2">
      <c r="BC3294" s="21" t="e" vm="1">
        <v>#REF!</v>
      </c>
      <c r="BD3294" t="e" vm="1">
        <v>#REF!</v>
      </c>
      <c r="BF3294" t="e" vm="2">
        <f t="shared" si="286"/>
        <v>#VALUE!</v>
      </c>
      <c r="BG3294" t="e" vm="2">
        <f t="shared" si="287"/>
        <v>#VALUE!</v>
      </c>
      <c r="BJ3294" s="21" t="e" vm="1">
        <v>#REF!</v>
      </c>
      <c r="BK3294" t="e" vm="1">
        <v>#REF!</v>
      </c>
      <c r="BM3294" t="e" vm="2">
        <f t="shared" si="288"/>
        <v>#VALUE!</v>
      </c>
      <c r="BN3294" t="e" vm="2">
        <f t="shared" si="289"/>
        <v>#VALUE!</v>
      </c>
    </row>
    <row r="3295" spans="55:66" x14ac:dyDescent="0.2">
      <c r="BC3295" s="21" t="e" vm="1">
        <v>#REF!</v>
      </c>
      <c r="BD3295" t="e" vm="1">
        <v>#REF!</v>
      </c>
      <c r="BF3295" t="e" vm="2">
        <f t="shared" si="286"/>
        <v>#VALUE!</v>
      </c>
      <c r="BG3295" t="e" vm="2">
        <f t="shared" si="287"/>
        <v>#VALUE!</v>
      </c>
      <c r="BJ3295" s="21" t="e" vm="1">
        <v>#REF!</v>
      </c>
      <c r="BK3295" t="e" vm="1">
        <v>#REF!</v>
      </c>
      <c r="BM3295" t="e" vm="2">
        <f t="shared" si="288"/>
        <v>#VALUE!</v>
      </c>
      <c r="BN3295" t="e" vm="2">
        <f t="shared" si="289"/>
        <v>#VALUE!</v>
      </c>
    </row>
    <row r="3296" spans="55:66" x14ac:dyDescent="0.2">
      <c r="BC3296" s="21" t="e" vm="1">
        <v>#REF!</v>
      </c>
      <c r="BD3296" t="e" vm="1">
        <v>#REF!</v>
      </c>
      <c r="BF3296" t="e" vm="2">
        <f t="shared" si="286"/>
        <v>#VALUE!</v>
      </c>
      <c r="BG3296" t="e" vm="2">
        <f t="shared" si="287"/>
        <v>#VALUE!</v>
      </c>
      <c r="BJ3296" s="21" t="e" vm="1">
        <v>#REF!</v>
      </c>
      <c r="BK3296" t="e" vm="1">
        <v>#REF!</v>
      </c>
      <c r="BM3296" t="e" vm="2">
        <f t="shared" si="288"/>
        <v>#VALUE!</v>
      </c>
      <c r="BN3296" t="e" vm="2">
        <f t="shared" si="289"/>
        <v>#VALUE!</v>
      </c>
    </row>
    <row r="3297" spans="55:66" x14ac:dyDescent="0.2">
      <c r="BC3297" s="21" t="e" vm="1">
        <v>#REF!</v>
      </c>
      <c r="BD3297" t="e" vm="1">
        <v>#REF!</v>
      </c>
      <c r="BF3297" t="e" vm="2">
        <f t="shared" si="286"/>
        <v>#VALUE!</v>
      </c>
      <c r="BG3297" t="e" vm="2">
        <f t="shared" si="287"/>
        <v>#VALUE!</v>
      </c>
      <c r="BJ3297" s="21" t="e" vm="1">
        <v>#REF!</v>
      </c>
      <c r="BK3297" t="e" vm="1">
        <v>#REF!</v>
      </c>
      <c r="BM3297" t="e" vm="2">
        <f t="shared" si="288"/>
        <v>#VALUE!</v>
      </c>
      <c r="BN3297" t="e" vm="2">
        <f t="shared" si="289"/>
        <v>#VALUE!</v>
      </c>
    </row>
    <row r="3298" spans="55:66" x14ac:dyDescent="0.2">
      <c r="BC3298" s="21" t="e" vm="1">
        <v>#REF!</v>
      </c>
      <c r="BD3298" t="e" vm="1">
        <v>#REF!</v>
      </c>
      <c r="BF3298" t="e" vm="2">
        <f t="shared" si="286"/>
        <v>#VALUE!</v>
      </c>
      <c r="BG3298" t="e" vm="2">
        <f t="shared" si="287"/>
        <v>#VALUE!</v>
      </c>
      <c r="BJ3298" s="21" t="e" vm="1">
        <v>#REF!</v>
      </c>
      <c r="BK3298" t="e" vm="1">
        <v>#REF!</v>
      </c>
      <c r="BM3298" t="e" vm="2">
        <f t="shared" si="288"/>
        <v>#VALUE!</v>
      </c>
      <c r="BN3298" t="e" vm="2">
        <f t="shared" si="289"/>
        <v>#VALUE!</v>
      </c>
    </row>
    <row r="3299" spans="55:66" x14ac:dyDescent="0.2">
      <c r="BC3299" s="21" t="e" vm="1">
        <v>#REF!</v>
      </c>
      <c r="BD3299" t="e" vm="1">
        <v>#REF!</v>
      </c>
      <c r="BF3299" t="e" vm="2">
        <f t="shared" si="286"/>
        <v>#VALUE!</v>
      </c>
      <c r="BG3299" t="e" vm="2">
        <f t="shared" si="287"/>
        <v>#VALUE!</v>
      </c>
      <c r="BJ3299" s="21" t="e" vm="1">
        <v>#REF!</v>
      </c>
      <c r="BK3299" t="e" vm="1">
        <v>#REF!</v>
      </c>
      <c r="BM3299" t="e" vm="2">
        <f t="shared" si="288"/>
        <v>#VALUE!</v>
      </c>
      <c r="BN3299" t="e" vm="2">
        <f t="shared" si="289"/>
        <v>#VALUE!</v>
      </c>
    </row>
    <row r="3300" spans="55:66" x14ac:dyDescent="0.2">
      <c r="BC3300" s="21" t="e" vm="1">
        <v>#REF!</v>
      </c>
      <c r="BD3300" t="e" vm="1">
        <v>#REF!</v>
      </c>
      <c r="BF3300" t="e" vm="2">
        <f t="shared" si="286"/>
        <v>#VALUE!</v>
      </c>
      <c r="BG3300" t="e" vm="2">
        <f t="shared" si="287"/>
        <v>#VALUE!</v>
      </c>
      <c r="BJ3300" s="21" t="e" vm="1">
        <v>#REF!</v>
      </c>
      <c r="BK3300" t="e" vm="1">
        <v>#REF!</v>
      </c>
      <c r="BM3300" t="e" vm="2">
        <f t="shared" si="288"/>
        <v>#VALUE!</v>
      </c>
      <c r="BN3300" t="e" vm="2">
        <f t="shared" si="289"/>
        <v>#VALUE!</v>
      </c>
    </row>
    <row r="3301" spans="55:66" x14ac:dyDescent="0.2">
      <c r="BC3301" s="21" t="e" vm="1">
        <v>#REF!</v>
      </c>
      <c r="BD3301" t="e" vm="1">
        <v>#REF!</v>
      </c>
      <c r="BF3301" t="e" vm="2">
        <f t="shared" si="286"/>
        <v>#VALUE!</v>
      </c>
      <c r="BG3301" t="e" vm="2">
        <f t="shared" si="287"/>
        <v>#VALUE!</v>
      </c>
      <c r="BJ3301" s="21" t="e" vm="1">
        <v>#REF!</v>
      </c>
      <c r="BK3301" t="e" vm="1">
        <v>#REF!</v>
      </c>
      <c r="BM3301" t="e" vm="2">
        <f t="shared" si="288"/>
        <v>#VALUE!</v>
      </c>
      <c r="BN3301" t="e" vm="2">
        <f t="shared" si="289"/>
        <v>#VALUE!</v>
      </c>
    </row>
    <row r="3302" spans="55:66" x14ac:dyDescent="0.2">
      <c r="BC3302" s="21" t="e" vm="1">
        <v>#REF!</v>
      </c>
      <c r="BD3302" t="e" vm="1">
        <v>#REF!</v>
      </c>
      <c r="BF3302" t="e" vm="2">
        <f t="shared" si="286"/>
        <v>#VALUE!</v>
      </c>
      <c r="BG3302" t="e" vm="2">
        <f t="shared" si="287"/>
        <v>#VALUE!</v>
      </c>
      <c r="BJ3302" s="21" t="e" vm="1">
        <v>#REF!</v>
      </c>
      <c r="BK3302" t="e" vm="1">
        <v>#REF!</v>
      </c>
      <c r="BM3302" t="e" vm="2">
        <f t="shared" si="288"/>
        <v>#VALUE!</v>
      </c>
      <c r="BN3302" t="e" vm="2">
        <f t="shared" si="289"/>
        <v>#VALUE!</v>
      </c>
    </row>
    <row r="3303" spans="55:66" x14ac:dyDescent="0.2">
      <c r="BC3303" s="21" t="e" vm="1">
        <v>#REF!</v>
      </c>
      <c r="BD3303" t="e" vm="1">
        <v>#REF!</v>
      </c>
      <c r="BF3303" t="e" vm="2">
        <f t="shared" si="286"/>
        <v>#VALUE!</v>
      </c>
      <c r="BG3303" t="e" vm="2">
        <f t="shared" si="287"/>
        <v>#VALUE!</v>
      </c>
      <c r="BJ3303" s="21" t="e" vm="1">
        <v>#REF!</v>
      </c>
      <c r="BK3303" t="e" vm="1">
        <v>#REF!</v>
      </c>
      <c r="BM3303" t="e" vm="2">
        <f t="shared" si="288"/>
        <v>#VALUE!</v>
      </c>
      <c r="BN3303" t="e" vm="2">
        <f t="shared" si="289"/>
        <v>#VALUE!</v>
      </c>
    </row>
    <row r="3304" spans="55:66" x14ac:dyDescent="0.2">
      <c r="BC3304" s="21" t="e" vm="1">
        <v>#REF!</v>
      </c>
      <c r="BD3304" t="e" vm="1">
        <v>#REF!</v>
      </c>
      <c r="BF3304" t="e" vm="2">
        <f t="shared" si="286"/>
        <v>#VALUE!</v>
      </c>
      <c r="BG3304" t="e" vm="2">
        <f t="shared" si="287"/>
        <v>#VALUE!</v>
      </c>
      <c r="BJ3304" s="21" t="e" vm="1">
        <v>#REF!</v>
      </c>
      <c r="BK3304" t="e" vm="1">
        <v>#REF!</v>
      </c>
      <c r="BM3304" t="e" vm="2">
        <f t="shared" si="288"/>
        <v>#VALUE!</v>
      </c>
      <c r="BN3304" t="e" vm="2">
        <f t="shared" si="289"/>
        <v>#VALUE!</v>
      </c>
    </row>
    <row r="3305" spans="55:66" x14ac:dyDescent="0.2">
      <c r="BC3305" s="21" t="e" vm="1">
        <v>#REF!</v>
      </c>
      <c r="BD3305" t="e" vm="1">
        <v>#REF!</v>
      </c>
      <c r="BF3305" t="e" vm="2">
        <f t="shared" si="286"/>
        <v>#VALUE!</v>
      </c>
      <c r="BG3305" t="e" vm="2">
        <f t="shared" si="287"/>
        <v>#VALUE!</v>
      </c>
      <c r="BJ3305" s="21" t="e" vm="1">
        <v>#REF!</v>
      </c>
      <c r="BK3305" t="e" vm="1">
        <v>#REF!</v>
      </c>
      <c r="BM3305" t="e" vm="2">
        <f t="shared" si="288"/>
        <v>#VALUE!</v>
      </c>
      <c r="BN3305" t="e" vm="2">
        <f t="shared" si="289"/>
        <v>#VALUE!</v>
      </c>
    </row>
    <row r="3306" spans="55:66" x14ac:dyDescent="0.2">
      <c r="BC3306" s="21" t="e" vm="1">
        <v>#REF!</v>
      </c>
      <c r="BD3306" t="e" vm="1">
        <v>#REF!</v>
      </c>
      <c r="BF3306" t="e" vm="2">
        <f t="shared" si="286"/>
        <v>#VALUE!</v>
      </c>
      <c r="BG3306" t="e" vm="2">
        <f t="shared" si="287"/>
        <v>#VALUE!</v>
      </c>
      <c r="BJ3306" s="21" t="e" vm="1">
        <v>#REF!</v>
      </c>
      <c r="BK3306" t="e" vm="1">
        <v>#REF!</v>
      </c>
      <c r="BM3306" t="e" vm="2">
        <f t="shared" si="288"/>
        <v>#VALUE!</v>
      </c>
      <c r="BN3306" t="e" vm="2">
        <f t="shared" si="289"/>
        <v>#VALUE!</v>
      </c>
    </row>
    <row r="3307" spans="55:66" x14ac:dyDescent="0.2">
      <c r="BC3307" s="21" t="e" vm="1">
        <v>#REF!</v>
      </c>
      <c r="BD3307" t="e" vm="1">
        <v>#REF!</v>
      </c>
      <c r="BF3307" t="e" vm="2">
        <f t="shared" si="286"/>
        <v>#VALUE!</v>
      </c>
      <c r="BG3307" t="e" vm="2">
        <f t="shared" si="287"/>
        <v>#VALUE!</v>
      </c>
      <c r="BJ3307" s="21" t="e" vm="1">
        <v>#REF!</v>
      </c>
      <c r="BK3307" t="e" vm="1">
        <v>#REF!</v>
      </c>
      <c r="BM3307" t="e" vm="2">
        <f t="shared" si="288"/>
        <v>#VALUE!</v>
      </c>
      <c r="BN3307" t="e" vm="2">
        <f t="shared" si="289"/>
        <v>#VALUE!</v>
      </c>
    </row>
    <row r="3308" spans="55:66" x14ac:dyDescent="0.2">
      <c r="BC3308" s="21" t="e" vm="1">
        <v>#REF!</v>
      </c>
      <c r="BD3308" t="e" vm="1">
        <v>#REF!</v>
      </c>
      <c r="BF3308" t="e" vm="2">
        <f t="shared" si="286"/>
        <v>#VALUE!</v>
      </c>
      <c r="BG3308" t="e" vm="2">
        <f t="shared" si="287"/>
        <v>#VALUE!</v>
      </c>
      <c r="BJ3308" s="21" t="e" vm="1">
        <v>#REF!</v>
      </c>
      <c r="BK3308" t="e" vm="1">
        <v>#REF!</v>
      </c>
      <c r="BM3308" t="e" vm="2">
        <f t="shared" si="288"/>
        <v>#VALUE!</v>
      </c>
      <c r="BN3308" t="e" vm="2">
        <f t="shared" si="289"/>
        <v>#VALUE!</v>
      </c>
    </row>
    <row r="3309" spans="55:66" x14ac:dyDescent="0.2">
      <c r="BC3309" s="21" t="e" vm="1">
        <v>#REF!</v>
      </c>
      <c r="BD3309" t="e" vm="1">
        <v>#REF!</v>
      </c>
      <c r="BF3309" t="e" vm="2">
        <f t="shared" si="286"/>
        <v>#VALUE!</v>
      </c>
      <c r="BG3309" t="e" vm="2">
        <f t="shared" si="287"/>
        <v>#VALUE!</v>
      </c>
      <c r="BJ3309" s="21" t="e" vm="1">
        <v>#REF!</v>
      </c>
      <c r="BK3309" t="e" vm="1">
        <v>#REF!</v>
      </c>
      <c r="BM3309" t="e" vm="2">
        <f t="shared" si="288"/>
        <v>#VALUE!</v>
      </c>
      <c r="BN3309" t="e" vm="2">
        <f t="shared" si="289"/>
        <v>#VALUE!</v>
      </c>
    </row>
    <row r="3310" spans="55:66" x14ac:dyDescent="0.2">
      <c r="BC3310" s="21" t="e" vm="1">
        <v>#REF!</v>
      </c>
      <c r="BD3310" t="e" vm="1">
        <v>#REF!</v>
      </c>
      <c r="BF3310" t="e" vm="2">
        <f t="shared" si="286"/>
        <v>#VALUE!</v>
      </c>
      <c r="BG3310" t="e" vm="2">
        <f t="shared" si="287"/>
        <v>#VALUE!</v>
      </c>
      <c r="BJ3310" s="21" t="e" vm="1">
        <v>#REF!</v>
      </c>
      <c r="BK3310" t="e" vm="1">
        <v>#REF!</v>
      </c>
      <c r="BM3310" t="e" vm="2">
        <f t="shared" si="288"/>
        <v>#VALUE!</v>
      </c>
      <c r="BN3310" t="e" vm="2">
        <f t="shared" si="289"/>
        <v>#VALUE!</v>
      </c>
    </row>
    <row r="3311" spans="55:66" x14ac:dyDescent="0.2">
      <c r="BC3311" s="21" t="e" vm="1">
        <v>#REF!</v>
      </c>
      <c r="BD3311" t="e" vm="1">
        <v>#REF!</v>
      </c>
      <c r="BF3311" t="e" vm="2">
        <f t="shared" si="286"/>
        <v>#VALUE!</v>
      </c>
      <c r="BG3311" t="e" vm="2">
        <f t="shared" si="287"/>
        <v>#VALUE!</v>
      </c>
      <c r="BJ3311" s="21" t="e" vm="1">
        <v>#REF!</v>
      </c>
      <c r="BK3311" t="e" vm="1">
        <v>#REF!</v>
      </c>
      <c r="BM3311" t="e" vm="2">
        <f t="shared" si="288"/>
        <v>#VALUE!</v>
      </c>
      <c r="BN3311" t="e" vm="2">
        <f t="shared" si="289"/>
        <v>#VALUE!</v>
      </c>
    </row>
    <row r="3312" spans="55:66" x14ac:dyDescent="0.2">
      <c r="BC3312" s="21" t="e" vm="1">
        <v>#REF!</v>
      </c>
      <c r="BD3312" t="e" vm="1">
        <v>#REF!</v>
      </c>
      <c r="BF3312" t="e" vm="2">
        <f t="shared" si="286"/>
        <v>#VALUE!</v>
      </c>
      <c r="BG3312" t="e" vm="2">
        <f t="shared" si="287"/>
        <v>#VALUE!</v>
      </c>
      <c r="BJ3312" s="21" t="e" vm="1">
        <v>#REF!</v>
      </c>
      <c r="BK3312" t="e" vm="1">
        <v>#REF!</v>
      </c>
      <c r="BM3312" t="e" vm="2">
        <f t="shared" si="288"/>
        <v>#VALUE!</v>
      </c>
      <c r="BN3312" t="e" vm="2">
        <f t="shared" si="289"/>
        <v>#VALUE!</v>
      </c>
    </row>
    <row r="3313" spans="55:66" x14ac:dyDescent="0.2">
      <c r="BC3313" s="21" t="e" vm="1">
        <v>#REF!</v>
      </c>
      <c r="BD3313" t="e" vm="1">
        <v>#REF!</v>
      </c>
      <c r="BF3313" t="e" vm="2">
        <f t="shared" si="286"/>
        <v>#VALUE!</v>
      </c>
      <c r="BG3313" t="e" vm="2">
        <f t="shared" si="287"/>
        <v>#VALUE!</v>
      </c>
      <c r="BJ3313" s="21" t="e" vm="1">
        <v>#REF!</v>
      </c>
      <c r="BK3313" t="e" vm="1">
        <v>#REF!</v>
      </c>
      <c r="BM3313" t="e" vm="2">
        <f t="shared" si="288"/>
        <v>#VALUE!</v>
      </c>
      <c r="BN3313" t="e" vm="2">
        <f t="shared" si="289"/>
        <v>#VALUE!</v>
      </c>
    </row>
    <row r="3314" spans="55:66" x14ac:dyDescent="0.2">
      <c r="BC3314" s="21" t="e" vm="1">
        <v>#REF!</v>
      </c>
      <c r="BD3314" t="e" vm="1">
        <v>#REF!</v>
      </c>
      <c r="BF3314" t="e" vm="2">
        <f t="shared" si="286"/>
        <v>#VALUE!</v>
      </c>
      <c r="BG3314" t="e" vm="2">
        <f t="shared" si="287"/>
        <v>#VALUE!</v>
      </c>
      <c r="BJ3314" s="21" t="e" vm="1">
        <v>#REF!</v>
      </c>
      <c r="BK3314" t="e" vm="1">
        <v>#REF!</v>
      </c>
      <c r="BM3314" t="e" vm="2">
        <f t="shared" si="288"/>
        <v>#VALUE!</v>
      </c>
      <c r="BN3314" t="e" vm="2">
        <f t="shared" si="289"/>
        <v>#VALUE!</v>
      </c>
    </row>
    <row r="3315" spans="55:66" x14ac:dyDescent="0.2">
      <c r="BC3315" s="21" t="e" vm="1">
        <v>#REF!</v>
      </c>
      <c r="BD3315" t="e" vm="1">
        <v>#REF!</v>
      </c>
      <c r="BF3315" t="e" vm="2">
        <f t="shared" si="286"/>
        <v>#VALUE!</v>
      </c>
      <c r="BG3315" t="e" vm="2">
        <f t="shared" si="287"/>
        <v>#VALUE!</v>
      </c>
      <c r="BJ3315" s="21" t="e" vm="1">
        <v>#REF!</v>
      </c>
      <c r="BK3315" t="e" vm="1">
        <v>#REF!</v>
      </c>
      <c r="BM3315" t="e" vm="2">
        <f t="shared" si="288"/>
        <v>#VALUE!</v>
      </c>
      <c r="BN3315" t="e" vm="2">
        <f t="shared" si="289"/>
        <v>#VALUE!</v>
      </c>
    </row>
    <row r="3316" spans="55:66" x14ac:dyDescent="0.2">
      <c r="BC3316" s="21" t="e" vm="1">
        <v>#REF!</v>
      </c>
      <c r="BD3316" t="e" vm="1">
        <v>#REF!</v>
      </c>
      <c r="BF3316" t="e" vm="2">
        <f t="shared" si="286"/>
        <v>#VALUE!</v>
      </c>
      <c r="BG3316" t="e" vm="2">
        <f t="shared" si="287"/>
        <v>#VALUE!</v>
      </c>
      <c r="BJ3316" s="21" t="e" vm="1">
        <v>#REF!</v>
      </c>
      <c r="BK3316" t="e" vm="1">
        <v>#REF!</v>
      </c>
      <c r="BM3316" t="e" vm="2">
        <f t="shared" si="288"/>
        <v>#VALUE!</v>
      </c>
      <c r="BN3316" t="e" vm="2">
        <f t="shared" si="289"/>
        <v>#VALUE!</v>
      </c>
    </row>
    <row r="3317" spans="55:66" x14ac:dyDescent="0.2">
      <c r="BC3317" s="21" t="e" vm="1">
        <v>#REF!</v>
      </c>
      <c r="BD3317" t="e" vm="1">
        <v>#REF!</v>
      </c>
      <c r="BF3317" t="e" vm="2">
        <f t="shared" si="286"/>
        <v>#VALUE!</v>
      </c>
      <c r="BG3317" t="e" vm="2">
        <f t="shared" si="287"/>
        <v>#VALUE!</v>
      </c>
      <c r="BJ3317" s="21" t="e" vm="1">
        <v>#REF!</v>
      </c>
      <c r="BK3317" t="e" vm="1">
        <v>#REF!</v>
      </c>
      <c r="BM3317" t="e" vm="2">
        <f t="shared" si="288"/>
        <v>#VALUE!</v>
      </c>
      <c r="BN3317" t="e" vm="2">
        <f t="shared" si="289"/>
        <v>#VALUE!</v>
      </c>
    </row>
    <row r="3318" spans="55:66" x14ac:dyDescent="0.2">
      <c r="BC3318" s="21" t="e" vm="1">
        <v>#REF!</v>
      </c>
      <c r="BD3318" t="e" vm="1">
        <v>#REF!</v>
      </c>
      <c r="BF3318" t="e" vm="2">
        <f t="shared" si="286"/>
        <v>#VALUE!</v>
      </c>
      <c r="BG3318" t="e" vm="2">
        <f t="shared" si="287"/>
        <v>#VALUE!</v>
      </c>
      <c r="BJ3318" s="21" t="e" vm="1">
        <v>#REF!</v>
      </c>
      <c r="BK3318" t="e" vm="1">
        <v>#REF!</v>
      </c>
      <c r="BM3318" t="e" vm="2">
        <f t="shared" si="288"/>
        <v>#VALUE!</v>
      </c>
      <c r="BN3318" t="e" vm="2">
        <f t="shared" si="289"/>
        <v>#VALUE!</v>
      </c>
    </row>
    <row r="3319" spans="55:66" x14ac:dyDescent="0.2">
      <c r="BC3319" s="21" t="e" vm="1">
        <v>#REF!</v>
      </c>
      <c r="BD3319" t="e" vm="1">
        <v>#REF!</v>
      </c>
      <c r="BF3319" t="e" vm="2">
        <f t="shared" si="286"/>
        <v>#VALUE!</v>
      </c>
      <c r="BG3319" t="e" vm="2">
        <f t="shared" si="287"/>
        <v>#VALUE!</v>
      </c>
      <c r="BJ3319" s="21" t="e" vm="1">
        <v>#REF!</v>
      </c>
      <c r="BK3319" t="e" vm="1">
        <v>#REF!</v>
      </c>
      <c r="BM3319" t="e" vm="2">
        <f t="shared" si="288"/>
        <v>#VALUE!</v>
      </c>
      <c r="BN3319" t="e" vm="2">
        <f t="shared" si="289"/>
        <v>#VALUE!</v>
      </c>
    </row>
    <row r="3320" spans="55:66" x14ac:dyDescent="0.2">
      <c r="BC3320" s="21" t="e" vm="1">
        <v>#REF!</v>
      </c>
      <c r="BD3320" t="e" vm="1">
        <v>#REF!</v>
      </c>
      <c r="BF3320" t="e" vm="2">
        <f t="shared" si="286"/>
        <v>#VALUE!</v>
      </c>
      <c r="BG3320" t="e" vm="2">
        <f t="shared" si="287"/>
        <v>#VALUE!</v>
      </c>
      <c r="BJ3320" s="21" t="e" vm="1">
        <v>#REF!</v>
      </c>
      <c r="BK3320" t="e" vm="1">
        <v>#REF!</v>
      </c>
      <c r="BM3320" t="e" vm="2">
        <f t="shared" si="288"/>
        <v>#VALUE!</v>
      </c>
      <c r="BN3320" t="e" vm="2">
        <f t="shared" si="289"/>
        <v>#VALUE!</v>
      </c>
    </row>
    <row r="3321" spans="55:66" x14ac:dyDescent="0.2">
      <c r="BC3321" s="21" t="e" vm="1">
        <v>#REF!</v>
      </c>
      <c r="BD3321" t="e" vm="1">
        <v>#REF!</v>
      </c>
      <c r="BF3321" t="e" vm="2">
        <f t="shared" si="286"/>
        <v>#VALUE!</v>
      </c>
      <c r="BG3321" t="e" vm="2">
        <f t="shared" si="287"/>
        <v>#VALUE!</v>
      </c>
      <c r="BJ3321" s="21" t="e" vm="1">
        <v>#REF!</v>
      </c>
      <c r="BK3321" t="e" vm="1">
        <v>#REF!</v>
      </c>
      <c r="BM3321" t="e" vm="2">
        <f t="shared" si="288"/>
        <v>#VALUE!</v>
      </c>
      <c r="BN3321" t="e" vm="2">
        <f t="shared" si="289"/>
        <v>#VALUE!</v>
      </c>
    </row>
    <row r="3322" spans="55:66" x14ac:dyDescent="0.2">
      <c r="BC3322" s="21" t="e" vm="1">
        <v>#REF!</v>
      </c>
      <c r="BD3322" t="e" vm="1">
        <v>#REF!</v>
      </c>
      <c r="BF3322" t="e" vm="2">
        <f t="shared" si="286"/>
        <v>#VALUE!</v>
      </c>
      <c r="BG3322" t="e" vm="2">
        <f t="shared" si="287"/>
        <v>#VALUE!</v>
      </c>
      <c r="BJ3322" s="21" t="e" vm="1">
        <v>#REF!</v>
      </c>
      <c r="BK3322" t="e" vm="1">
        <v>#REF!</v>
      </c>
      <c r="BM3322" t="e" vm="2">
        <f t="shared" si="288"/>
        <v>#VALUE!</v>
      </c>
      <c r="BN3322" t="e" vm="2">
        <f t="shared" si="289"/>
        <v>#VALUE!</v>
      </c>
    </row>
    <row r="3323" spans="55:66" x14ac:dyDescent="0.2">
      <c r="BC3323" s="21" t="e" vm="1">
        <v>#REF!</v>
      </c>
      <c r="BD3323" t="e" vm="1">
        <v>#REF!</v>
      </c>
      <c r="BF3323" t="e" vm="2">
        <f t="shared" si="286"/>
        <v>#VALUE!</v>
      </c>
      <c r="BG3323" t="e" vm="2">
        <f t="shared" si="287"/>
        <v>#VALUE!</v>
      </c>
      <c r="BJ3323" s="21" t="e" vm="1">
        <v>#REF!</v>
      </c>
      <c r="BK3323" t="e" vm="1">
        <v>#REF!</v>
      </c>
      <c r="BM3323" t="e" vm="2">
        <f t="shared" si="288"/>
        <v>#VALUE!</v>
      </c>
      <c r="BN3323" t="e" vm="2">
        <f t="shared" si="289"/>
        <v>#VALUE!</v>
      </c>
    </row>
    <row r="3324" spans="55:66" x14ac:dyDescent="0.2">
      <c r="BC3324" s="21" t="e" vm="1">
        <v>#REF!</v>
      </c>
      <c r="BD3324" t="e" vm="1">
        <v>#REF!</v>
      </c>
      <c r="BF3324" t="e" vm="2">
        <f t="shared" si="286"/>
        <v>#VALUE!</v>
      </c>
      <c r="BG3324" t="e" vm="2">
        <f t="shared" si="287"/>
        <v>#VALUE!</v>
      </c>
      <c r="BJ3324" s="21" t="e" vm="1">
        <v>#REF!</v>
      </c>
      <c r="BK3324" t="e" vm="1">
        <v>#REF!</v>
      </c>
      <c r="BM3324" t="e" vm="2">
        <f t="shared" si="288"/>
        <v>#VALUE!</v>
      </c>
      <c r="BN3324" t="e" vm="2">
        <f t="shared" si="289"/>
        <v>#VALUE!</v>
      </c>
    </row>
    <row r="3325" spans="55:66" x14ac:dyDescent="0.2">
      <c r="BC3325" s="21" t="e" vm="1">
        <v>#REF!</v>
      </c>
      <c r="BD3325" t="e" vm="1">
        <v>#REF!</v>
      </c>
      <c r="BF3325" t="e" vm="2">
        <f t="shared" si="286"/>
        <v>#VALUE!</v>
      </c>
      <c r="BG3325" t="e" vm="2">
        <f t="shared" si="287"/>
        <v>#VALUE!</v>
      </c>
      <c r="BJ3325" s="21" t="e" vm="1">
        <v>#REF!</v>
      </c>
      <c r="BK3325" t="e" vm="1">
        <v>#REF!</v>
      </c>
      <c r="BM3325" t="e" vm="2">
        <f t="shared" si="288"/>
        <v>#VALUE!</v>
      </c>
      <c r="BN3325" t="e" vm="2">
        <f t="shared" si="289"/>
        <v>#VALUE!</v>
      </c>
    </row>
    <row r="3326" spans="55:66" x14ac:dyDescent="0.2">
      <c r="BC3326" s="21" t="e" vm="1">
        <v>#REF!</v>
      </c>
      <c r="BD3326" t="e" vm="1">
        <v>#REF!</v>
      </c>
      <c r="BF3326" t="e" vm="2">
        <f t="shared" si="286"/>
        <v>#VALUE!</v>
      </c>
      <c r="BG3326" t="e" vm="2">
        <f t="shared" si="287"/>
        <v>#VALUE!</v>
      </c>
      <c r="BJ3326" s="21" t="e" vm="1">
        <v>#REF!</v>
      </c>
      <c r="BK3326" t="e" vm="1">
        <v>#REF!</v>
      </c>
      <c r="BM3326" t="e" vm="2">
        <f t="shared" si="288"/>
        <v>#VALUE!</v>
      </c>
      <c r="BN3326" t="e" vm="2">
        <f t="shared" si="289"/>
        <v>#VALUE!</v>
      </c>
    </row>
    <row r="3327" spans="55:66" x14ac:dyDescent="0.2">
      <c r="BC3327" s="21" t="e" vm="1">
        <v>#REF!</v>
      </c>
      <c r="BD3327" t="e" vm="1">
        <v>#REF!</v>
      </c>
      <c r="BF3327" t="e" vm="2">
        <f t="shared" si="286"/>
        <v>#VALUE!</v>
      </c>
      <c r="BG3327" t="e" vm="2">
        <f t="shared" si="287"/>
        <v>#VALUE!</v>
      </c>
      <c r="BJ3327" s="21" t="e" vm="1">
        <v>#REF!</v>
      </c>
      <c r="BK3327" t="e" vm="1">
        <v>#REF!</v>
      </c>
      <c r="BM3327" t="e" vm="2">
        <f t="shared" si="288"/>
        <v>#VALUE!</v>
      </c>
      <c r="BN3327" t="e" vm="2">
        <f t="shared" si="289"/>
        <v>#VALUE!</v>
      </c>
    </row>
    <row r="3328" spans="55:66" x14ac:dyDescent="0.2">
      <c r="BC3328" s="21" t="e" vm="1">
        <v>#REF!</v>
      </c>
      <c r="BD3328" t="e" vm="1">
        <v>#REF!</v>
      </c>
      <c r="BF3328" t="e" vm="2">
        <f t="shared" si="286"/>
        <v>#VALUE!</v>
      </c>
      <c r="BG3328" t="e" vm="2">
        <f t="shared" si="287"/>
        <v>#VALUE!</v>
      </c>
      <c r="BJ3328" s="21" t="e" vm="1">
        <v>#REF!</v>
      </c>
      <c r="BK3328" t="e" vm="1">
        <v>#REF!</v>
      </c>
      <c r="BM3328" t="e" vm="2">
        <f t="shared" si="288"/>
        <v>#VALUE!</v>
      </c>
      <c r="BN3328" t="e" vm="2">
        <f t="shared" si="289"/>
        <v>#VALUE!</v>
      </c>
    </row>
    <row r="3329" spans="55:66" x14ac:dyDescent="0.2">
      <c r="BC3329" s="21" t="e" vm="1">
        <v>#REF!</v>
      </c>
      <c r="BD3329" t="e" vm="1">
        <v>#REF!</v>
      </c>
      <c r="BF3329" t="e" vm="2">
        <f t="shared" si="286"/>
        <v>#VALUE!</v>
      </c>
      <c r="BG3329" t="e" vm="2">
        <f t="shared" si="287"/>
        <v>#VALUE!</v>
      </c>
      <c r="BJ3329" s="21" t="e" vm="1">
        <v>#REF!</v>
      </c>
      <c r="BK3329" t="e" vm="1">
        <v>#REF!</v>
      </c>
      <c r="BM3329" t="e" vm="2">
        <f t="shared" si="288"/>
        <v>#VALUE!</v>
      </c>
      <c r="BN3329" t="e" vm="2">
        <f t="shared" si="289"/>
        <v>#VALUE!</v>
      </c>
    </row>
    <row r="3330" spans="55:66" x14ac:dyDescent="0.2">
      <c r="BC3330" s="21" t="e" vm="1">
        <v>#REF!</v>
      </c>
      <c r="BD3330" t="e" vm="1">
        <v>#REF!</v>
      </c>
      <c r="BF3330" t="e" vm="2">
        <f t="shared" si="286"/>
        <v>#VALUE!</v>
      </c>
      <c r="BG3330" t="e" vm="2">
        <f t="shared" si="287"/>
        <v>#VALUE!</v>
      </c>
      <c r="BJ3330" s="21" t="e" vm="1">
        <v>#REF!</v>
      </c>
      <c r="BK3330" t="e" vm="1">
        <v>#REF!</v>
      </c>
      <c r="BM3330" t="e" vm="2">
        <f t="shared" si="288"/>
        <v>#VALUE!</v>
      </c>
      <c r="BN3330" t="e" vm="2">
        <f t="shared" si="289"/>
        <v>#VALUE!</v>
      </c>
    </row>
    <row r="3331" spans="55:66" x14ac:dyDescent="0.2">
      <c r="BC3331" s="21" t="e" vm="1">
        <v>#REF!</v>
      </c>
      <c r="BD3331" t="e" vm="1">
        <v>#REF!</v>
      </c>
      <c r="BF3331" t="e" vm="2">
        <f t="shared" ref="BF3331:BF3394" si="290">MONTH(BC3331)</f>
        <v>#VALUE!</v>
      </c>
      <c r="BG3331" t="e" vm="2">
        <f t="shared" ref="BG3331:BG3394" si="291">YEAR(BC3331)</f>
        <v>#VALUE!</v>
      </c>
      <c r="BJ3331" s="21" t="e" vm="1">
        <v>#REF!</v>
      </c>
      <c r="BK3331" t="e" vm="1">
        <v>#REF!</v>
      </c>
      <c r="BM3331" t="e" vm="2">
        <f t="shared" si="288"/>
        <v>#VALUE!</v>
      </c>
      <c r="BN3331" t="e" vm="2">
        <f t="shared" si="289"/>
        <v>#VALUE!</v>
      </c>
    </row>
    <row r="3332" spans="55:66" x14ac:dyDescent="0.2">
      <c r="BC3332" s="21" t="e" vm="1">
        <v>#REF!</v>
      </c>
      <c r="BD3332" t="e" vm="1">
        <v>#REF!</v>
      </c>
      <c r="BF3332" t="e" vm="2">
        <f t="shared" si="290"/>
        <v>#VALUE!</v>
      </c>
      <c r="BG3332" t="e" vm="2">
        <f t="shared" si="291"/>
        <v>#VALUE!</v>
      </c>
      <c r="BJ3332" s="21" t="e" vm="1">
        <v>#REF!</v>
      </c>
      <c r="BK3332" t="e" vm="1">
        <v>#REF!</v>
      </c>
      <c r="BM3332" t="e" vm="2">
        <f t="shared" ref="BM3332:BM3395" si="292">MONTH(BJ3332)</f>
        <v>#VALUE!</v>
      </c>
      <c r="BN3332" t="e" vm="2">
        <f t="shared" ref="BN3332:BN3395" si="293">YEAR(BJ3332)</f>
        <v>#VALUE!</v>
      </c>
    </row>
    <row r="3333" spans="55:66" x14ac:dyDescent="0.2">
      <c r="BC3333" s="21" t="e" vm="1">
        <v>#REF!</v>
      </c>
      <c r="BD3333" t="e" vm="1">
        <v>#REF!</v>
      </c>
      <c r="BF3333" t="e" vm="2">
        <f t="shared" si="290"/>
        <v>#VALUE!</v>
      </c>
      <c r="BG3333" t="e" vm="2">
        <f t="shared" si="291"/>
        <v>#VALUE!</v>
      </c>
      <c r="BJ3333" s="21" t="e" vm="1">
        <v>#REF!</v>
      </c>
      <c r="BK3333" t="e" vm="1">
        <v>#REF!</v>
      </c>
      <c r="BM3333" t="e" vm="2">
        <f t="shared" si="292"/>
        <v>#VALUE!</v>
      </c>
      <c r="BN3333" t="e" vm="2">
        <f t="shared" si="293"/>
        <v>#VALUE!</v>
      </c>
    </row>
    <row r="3334" spans="55:66" x14ac:dyDescent="0.2">
      <c r="BC3334" s="21" t="e" vm="1">
        <v>#REF!</v>
      </c>
      <c r="BD3334" t="e" vm="1">
        <v>#REF!</v>
      </c>
      <c r="BF3334" t="e" vm="2">
        <f t="shared" si="290"/>
        <v>#VALUE!</v>
      </c>
      <c r="BG3334" t="e" vm="2">
        <f t="shared" si="291"/>
        <v>#VALUE!</v>
      </c>
      <c r="BJ3334" s="21" t="e" vm="1">
        <v>#REF!</v>
      </c>
      <c r="BK3334" t="e" vm="1">
        <v>#REF!</v>
      </c>
      <c r="BM3334" t="e" vm="2">
        <f t="shared" si="292"/>
        <v>#VALUE!</v>
      </c>
      <c r="BN3334" t="e" vm="2">
        <f t="shared" si="293"/>
        <v>#VALUE!</v>
      </c>
    </row>
    <row r="3335" spans="55:66" x14ac:dyDescent="0.2">
      <c r="BC3335" s="21" t="e" vm="1">
        <v>#REF!</v>
      </c>
      <c r="BD3335" t="e" vm="1">
        <v>#REF!</v>
      </c>
      <c r="BF3335" t="e" vm="2">
        <f t="shared" si="290"/>
        <v>#VALUE!</v>
      </c>
      <c r="BG3335" t="e" vm="2">
        <f t="shared" si="291"/>
        <v>#VALUE!</v>
      </c>
      <c r="BJ3335" s="21" t="e" vm="1">
        <v>#REF!</v>
      </c>
      <c r="BK3335" t="e" vm="1">
        <v>#REF!</v>
      </c>
      <c r="BM3335" t="e" vm="2">
        <f t="shared" si="292"/>
        <v>#VALUE!</v>
      </c>
      <c r="BN3335" t="e" vm="2">
        <f t="shared" si="293"/>
        <v>#VALUE!</v>
      </c>
    </row>
    <row r="3336" spans="55:66" x14ac:dyDescent="0.2">
      <c r="BC3336" s="21" t="e" vm="1">
        <v>#REF!</v>
      </c>
      <c r="BD3336" t="e" vm="1">
        <v>#REF!</v>
      </c>
      <c r="BF3336" t="e" vm="2">
        <f t="shared" si="290"/>
        <v>#VALUE!</v>
      </c>
      <c r="BG3336" t="e" vm="2">
        <f t="shared" si="291"/>
        <v>#VALUE!</v>
      </c>
      <c r="BJ3336" s="21" t="e" vm="1">
        <v>#REF!</v>
      </c>
      <c r="BK3336" t="e" vm="1">
        <v>#REF!</v>
      </c>
      <c r="BM3336" t="e" vm="2">
        <f t="shared" si="292"/>
        <v>#VALUE!</v>
      </c>
      <c r="BN3336" t="e" vm="2">
        <f t="shared" si="293"/>
        <v>#VALUE!</v>
      </c>
    </row>
    <row r="3337" spans="55:66" x14ac:dyDescent="0.2">
      <c r="BC3337" s="21" t="e" vm="1">
        <v>#REF!</v>
      </c>
      <c r="BD3337" t="e" vm="1">
        <v>#REF!</v>
      </c>
      <c r="BF3337" t="e" vm="2">
        <f t="shared" si="290"/>
        <v>#VALUE!</v>
      </c>
      <c r="BG3337" t="e" vm="2">
        <f t="shared" si="291"/>
        <v>#VALUE!</v>
      </c>
      <c r="BJ3337" s="21" t="e" vm="1">
        <v>#REF!</v>
      </c>
      <c r="BK3337" t="e" vm="1">
        <v>#REF!</v>
      </c>
      <c r="BM3337" t="e" vm="2">
        <f t="shared" si="292"/>
        <v>#VALUE!</v>
      </c>
      <c r="BN3337" t="e" vm="2">
        <f t="shared" si="293"/>
        <v>#VALUE!</v>
      </c>
    </row>
    <row r="3338" spans="55:66" x14ac:dyDescent="0.2">
      <c r="BC3338" s="21" t="e" vm="1">
        <v>#REF!</v>
      </c>
      <c r="BD3338" t="e" vm="1">
        <v>#REF!</v>
      </c>
      <c r="BF3338" t="e" vm="2">
        <f t="shared" si="290"/>
        <v>#VALUE!</v>
      </c>
      <c r="BG3338" t="e" vm="2">
        <f t="shared" si="291"/>
        <v>#VALUE!</v>
      </c>
      <c r="BJ3338" s="21" t="e" vm="1">
        <v>#REF!</v>
      </c>
      <c r="BK3338" t="e" vm="1">
        <v>#REF!</v>
      </c>
      <c r="BM3338" t="e" vm="2">
        <f t="shared" si="292"/>
        <v>#VALUE!</v>
      </c>
      <c r="BN3338" t="e" vm="2">
        <f t="shared" si="293"/>
        <v>#VALUE!</v>
      </c>
    </row>
    <row r="3339" spans="55:66" x14ac:dyDescent="0.2">
      <c r="BC3339" s="21" t="e" vm="1">
        <v>#REF!</v>
      </c>
      <c r="BD3339" t="e" vm="1">
        <v>#REF!</v>
      </c>
      <c r="BF3339" t="e" vm="2">
        <f t="shared" si="290"/>
        <v>#VALUE!</v>
      </c>
      <c r="BG3339" t="e" vm="2">
        <f t="shared" si="291"/>
        <v>#VALUE!</v>
      </c>
      <c r="BJ3339" s="21" t="e" vm="1">
        <v>#REF!</v>
      </c>
      <c r="BK3339" t="e" vm="1">
        <v>#REF!</v>
      </c>
      <c r="BM3339" t="e" vm="2">
        <f t="shared" si="292"/>
        <v>#VALUE!</v>
      </c>
      <c r="BN3339" t="e" vm="2">
        <f t="shared" si="293"/>
        <v>#VALUE!</v>
      </c>
    </row>
    <row r="3340" spans="55:66" x14ac:dyDescent="0.2">
      <c r="BC3340" s="21" t="e" vm="1">
        <v>#REF!</v>
      </c>
      <c r="BD3340" t="e" vm="1">
        <v>#REF!</v>
      </c>
      <c r="BF3340" t="e" vm="2">
        <f t="shared" si="290"/>
        <v>#VALUE!</v>
      </c>
      <c r="BG3340" t="e" vm="2">
        <f t="shared" si="291"/>
        <v>#VALUE!</v>
      </c>
      <c r="BJ3340" s="21" t="e" vm="1">
        <v>#REF!</v>
      </c>
      <c r="BK3340" t="e" vm="1">
        <v>#REF!</v>
      </c>
      <c r="BM3340" t="e" vm="2">
        <f t="shared" si="292"/>
        <v>#VALUE!</v>
      </c>
      <c r="BN3340" t="e" vm="2">
        <f t="shared" si="293"/>
        <v>#VALUE!</v>
      </c>
    </row>
    <row r="3341" spans="55:66" x14ac:dyDescent="0.2">
      <c r="BC3341" s="21" t="e" vm="1">
        <v>#REF!</v>
      </c>
      <c r="BD3341" t="e" vm="1">
        <v>#REF!</v>
      </c>
      <c r="BF3341" t="e" vm="2">
        <f t="shared" si="290"/>
        <v>#VALUE!</v>
      </c>
      <c r="BG3341" t="e" vm="2">
        <f t="shared" si="291"/>
        <v>#VALUE!</v>
      </c>
      <c r="BJ3341" s="21" t="e" vm="1">
        <v>#REF!</v>
      </c>
      <c r="BK3341" t="e" vm="1">
        <v>#REF!</v>
      </c>
      <c r="BM3341" t="e" vm="2">
        <f t="shared" si="292"/>
        <v>#VALUE!</v>
      </c>
      <c r="BN3341" t="e" vm="2">
        <f t="shared" si="293"/>
        <v>#VALUE!</v>
      </c>
    </row>
    <row r="3342" spans="55:66" x14ac:dyDescent="0.2">
      <c r="BC3342" s="21" t="e" vm="1">
        <v>#REF!</v>
      </c>
      <c r="BD3342" t="e" vm="1">
        <v>#REF!</v>
      </c>
      <c r="BF3342" t="e" vm="2">
        <f t="shared" si="290"/>
        <v>#VALUE!</v>
      </c>
      <c r="BG3342" t="e" vm="2">
        <f t="shared" si="291"/>
        <v>#VALUE!</v>
      </c>
      <c r="BJ3342" s="21" t="e" vm="1">
        <v>#REF!</v>
      </c>
      <c r="BK3342" t="e" vm="1">
        <v>#REF!</v>
      </c>
      <c r="BM3342" t="e" vm="2">
        <f t="shared" si="292"/>
        <v>#VALUE!</v>
      </c>
      <c r="BN3342" t="e" vm="2">
        <f t="shared" si="293"/>
        <v>#VALUE!</v>
      </c>
    </row>
    <row r="3343" spans="55:66" x14ac:dyDescent="0.2">
      <c r="BC3343" s="21" t="e" vm="1">
        <v>#REF!</v>
      </c>
      <c r="BD3343" t="e" vm="1">
        <v>#REF!</v>
      </c>
      <c r="BF3343" t="e" vm="2">
        <f t="shared" si="290"/>
        <v>#VALUE!</v>
      </c>
      <c r="BG3343" t="e" vm="2">
        <f t="shared" si="291"/>
        <v>#VALUE!</v>
      </c>
      <c r="BJ3343" s="21" t="e" vm="1">
        <v>#REF!</v>
      </c>
      <c r="BK3343" t="e" vm="1">
        <v>#REF!</v>
      </c>
      <c r="BM3343" t="e" vm="2">
        <f t="shared" si="292"/>
        <v>#VALUE!</v>
      </c>
      <c r="BN3343" t="e" vm="2">
        <f t="shared" si="293"/>
        <v>#VALUE!</v>
      </c>
    </row>
    <row r="3344" spans="55:66" x14ac:dyDescent="0.2">
      <c r="BC3344" s="21" t="e" vm="1">
        <v>#REF!</v>
      </c>
      <c r="BD3344" t="e" vm="1">
        <v>#REF!</v>
      </c>
      <c r="BF3344" t="e" vm="2">
        <f t="shared" si="290"/>
        <v>#VALUE!</v>
      </c>
      <c r="BG3344" t="e" vm="2">
        <f t="shared" si="291"/>
        <v>#VALUE!</v>
      </c>
      <c r="BJ3344" s="21" t="e" vm="1">
        <v>#REF!</v>
      </c>
      <c r="BK3344" t="e" vm="1">
        <v>#REF!</v>
      </c>
      <c r="BM3344" t="e" vm="2">
        <f t="shared" si="292"/>
        <v>#VALUE!</v>
      </c>
      <c r="BN3344" t="e" vm="2">
        <f t="shared" si="293"/>
        <v>#VALUE!</v>
      </c>
    </row>
    <row r="3345" spans="55:66" x14ac:dyDescent="0.2">
      <c r="BC3345" s="21" t="e" vm="1">
        <v>#REF!</v>
      </c>
      <c r="BD3345" t="e" vm="1">
        <v>#REF!</v>
      </c>
      <c r="BF3345" t="e" vm="2">
        <f t="shared" si="290"/>
        <v>#VALUE!</v>
      </c>
      <c r="BG3345" t="e" vm="2">
        <f t="shared" si="291"/>
        <v>#VALUE!</v>
      </c>
      <c r="BJ3345" s="21" t="e" vm="1">
        <v>#REF!</v>
      </c>
      <c r="BK3345" t="e" vm="1">
        <v>#REF!</v>
      </c>
      <c r="BM3345" t="e" vm="2">
        <f t="shared" si="292"/>
        <v>#VALUE!</v>
      </c>
      <c r="BN3345" t="e" vm="2">
        <f t="shared" si="293"/>
        <v>#VALUE!</v>
      </c>
    </row>
    <row r="3346" spans="55:66" x14ac:dyDescent="0.2">
      <c r="BC3346" s="21" t="e" vm="1">
        <v>#REF!</v>
      </c>
      <c r="BD3346" t="e" vm="1">
        <v>#REF!</v>
      </c>
      <c r="BF3346" t="e" vm="2">
        <f t="shared" si="290"/>
        <v>#VALUE!</v>
      </c>
      <c r="BG3346" t="e" vm="2">
        <f t="shared" si="291"/>
        <v>#VALUE!</v>
      </c>
      <c r="BJ3346" s="21" t="e" vm="1">
        <v>#REF!</v>
      </c>
      <c r="BK3346" t="e" vm="1">
        <v>#REF!</v>
      </c>
      <c r="BM3346" t="e" vm="2">
        <f t="shared" si="292"/>
        <v>#VALUE!</v>
      </c>
      <c r="BN3346" t="e" vm="2">
        <f t="shared" si="293"/>
        <v>#VALUE!</v>
      </c>
    </row>
    <row r="3347" spans="55:66" x14ac:dyDescent="0.2">
      <c r="BC3347" s="21" t="e" vm="1">
        <v>#REF!</v>
      </c>
      <c r="BD3347" t="e" vm="1">
        <v>#REF!</v>
      </c>
      <c r="BF3347" t="e" vm="2">
        <f t="shared" si="290"/>
        <v>#VALUE!</v>
      </c>
      <c r="BG3347" t="e" vm="2">
        <f t="shared" si="291"/>
        <v>#VALUE!</v>
      </c>
      <c r="BJ3347" s="21" t="e" vm="1">
        <v>#REF!</v>
      </c>
      <c r="BK3347" t="e" vm="1">
        <v>#REF!</v>
      </c>
      <c r="BM3347" t="e" vm="2">
        <f t="shared" si="292"/>
        <v>#VALUE!</v>
      </c>
      <c r="BN3347" t="e" vm="2">
        <f t="shared" si="293"/>
        <v>#VALUE!</v>
      </c>
    </row>
    <row r="3348" spans="55:66" x14ac:dyDescent="0.2">
      <c r="BC3348" s="21" t="e" vm="1">
        <v>#REF!</v>
      </c>
      <c r="BD3348" t="e" vm="1">
        <v>#REF!</v>
      </c>
      <c r="BF3348" t="e" vm="2">
        <f t="shared" si="290"/>
        <v>#VALUE!</v>
      </c>
      <c r="BG3348" t="e" vm="2">
        <f t="shared" si="291"/>
        <v>#VALUE!</v>
      </c>
      <c r="BJ3348" s="21" t="e" vm="1">
        <v>#REF!</v>
      </c>
      <c r="BK3348" t="e" vm="1">
        <v>#REF!</v>
      </c>
      <c r="BM3348" t="e" vm="2">
        <f t="shared" si="292"/>
        <v>#VALUE!</v>
      </c>
      <c r="BN3348" t="e" vm="2">
        <f t="shared" si="293"/>
        <v>#VALUE!</v>
      </c>
    </row>
    <row r="3349" spans="55:66" x14ac:dyDescent="0.2">
      <c r="BC3349" s="21" t="e" vm="1">
        <v>#REF!</v>
      </c>
      <c r="BD3349" t="e" vm="1">
        <v>#REF!</v>
      </c>
      <c r="BF3349" t="e" vm="2">
        <f t="shared" si="290"/>
        <v>#VALUE!</v>
      </c>
      <c r="BG3349" t="e" vm="2">
        <f t="shared" si="291"/>
        <v>#VALUE!</v>
      </c>
      <c r="BJ3349" s="21" t="e" vm="1">
        <v>#REF!</v>
      </c>
      <c r="BK3349" t="e" vm="1">
        <v>#REF!</v>
      </c>
      <c r="BM3349" t="e" vm="2">
        <f t="shared" si="292"/>
        <v>#VALUE!</v>
      </c>
      <c r="BN3349" t="e" vm="2">
        <f t="shared" si="293"/>
        <v>#VALUE!</v>
      </c>
    </row>
    <row r="3350" spans="55:66" x14ac:dyDescent="0.2">
      <c r="BC3350" s="21" t="e" vm="1">
        <v>#REF!</v>
      </c>
      <c r="BD3350" t="e" vm="1">
        <v>#REF!</v>
      </c>
      <c r="BF3350" t="e" vm="2">
        <f t="shared" si="290"/>
        <v>#VALUE!</v>
      </c>
      <c r="BG3350" t="e" vm="2">
        <f t="shared" si="291"/>
        <v>#VALUE!</v>
      </c>
      <c r="BJ3350" s="21" t="e" vm="1">
        <v>#REF!</v>
      </c>
      <c r="BK3350" t="e" vm="1">
        <v>#REF!</v>
      </c>
      <c r="BM3350" t="e" vm="2">
        <f t="shared" si="292"/>
        <v>#VALUE!</v>
      </c>
      <c r="BN3350" t="e" vm="2">
        <f t="shared" si="293"/>
        <v>#VALUE!</v>
      </c>
    </row>
    <row r="3351" spans="55:66" x14ac:dyDescent="0.2">
      <c r="BC3351" s="21" t="e" vm="1">
        <v>#REF!</v>
      </c>
      <c r="BD3351" t="e" vm="1">
        <v>#REF!</v>
      </c>
      <c r="BF3351" t="e" vm="2">
        <f t="shared" si="290"/>
        <v>#VALUE!</v>
      </c>
      <c r="BG3351" t="e" vm="2">
        <f t="shared" si="291"/>
        <v>#VALUE!</v>
      </c>
      <c r="BJ3351" s="21" t="e" vm="1">
        <v>#REF!</v>
      </c>
      <c r="BK3351" t="e" vm="1">
        <v>#REF!</v>
      </c>
      <c r="BM3351" t="e" vm="2">
        <f t="shared" si="292"/>
        <v>#VALUE!</v>
      </c>
      <c r="BN3351" t="e" vm="2">
        <f t="shared" si="293"/>
        <v>#VALUE!</v>
      </c>
    </row>
    <row r="3352" spans="55:66" x14ac:dyDescent="0.2">
      <c r="BC3352" s="21" t="e" vm="1">
        <v>#REF!</v>
      </c>
      <c r="BD3352" t="e" vm="1">
        <v>#REF!</v>
      </c>
      <c r="BF3352" t="e" vm="2">
        <f t="shared" si="290"/>
        <v>#VALUE!</v>
      </c>
      <c r="BG3352" t="e" vm="2">
        <f t="shared" si="291"/>
        <v>#VALUE!</v>
      </c>
      <c r="BJ3352" s="21" t="e" vm="1">
        <v>#REF!</v>
      </c>
      <c r="BK3352" t="e" vm="1">
        <v>#REF!</v>
      </c>
      <c r="BM3352" t="e" vm="2">
        <f t="shared" si="292"/>
        <v>#VALUE!</v>
      </c>
      <c r="BN3352" t="e" vm="2">
        <f t="shared" si="293"/>
        <v>#VALUE!</v>
      </c>
    </row>
    <row r="3353" spans="55:66" x14ac:dyDescent="0.2">
      <c r="BC3353" s="21" t="e" vm="1">
        <v>#REF!</v>
      </c>
      <c r="BD3353" t="e" vm="1">
        <v>#REF!</v>
      </c>
      <c r="BF3353" t="e" vm="2">
        <f t="shared" si="290"/>
        <v>#VALUE!</v>
      </c>
      <c r="BG3353" t="e" vm="2">
        <f t="shared" si="291"/>
        <v>#VALUE!</v>
      </c>
      <c r="BJ3353" s="21" t="e" vm="1">
        <v>#REF!</v>
      </c>
      <c r="BK3353" t="e" vm="1">
        <v>#REF!</v>
      </c>
      <c r="BM3353" t="e" vm="2">
        <f t="shared" si="292"/>
        <v>#VALUE!</v>
      </c>
      <c r="BN3353" t="e" vm="2">
        <f t="shared" si="293"/>
        <v>#VALUE!</v>
      </c>
    </row>
    <row r="3354" spans="55:66" x14ac:dyDescent="0.2">
      <c r="BC3354" s="21" t="e" vm="1">
        <v>#REF!</v>
      </c>
      <c r="BD3354" t="e" vm="1">
        <v>#REF!</v>
      </c>
      <c r="BF3354" t="e" vm="2">
        <f t="shared" si="290"/>
        <v>#VALUE!</v>
      </c>
      <c r="BG3354" t="e" vm="2">
        <f t="shared" si="291"/>
        <v>#VALUE!</v>
      </c>
      <c r="BJ3354" s="21" t="e" vm="1">
        <v>#REF!</v>
      </c>
      <c r="BK3354" t="e" vm="1">
        <v>#REF!</v>
      </c>
      <c r="BM3354" t="e" vm="2">
        <f t="shared" si="292"/>
        <v>#VALUE!</v>
      </c>
      <c r="BN3354" t="e" vm="2">
        <f t="shared" si="293"/>
        <v>#VALUE!</v>
      </c>
    </row>
    <row r="3355" spans="55:66" x14ac:dyDescent="0.2">
      <c r="BC3355" s="21" t="e" vm="1">
        <v>#REF!</v>
      </c>
      <c r="BD3355" t="e" vm="1">
        <v>#REF!</v>
      </c>
      <c r="BF3355" t="e" vm="2">
        <f t="shared" si="290"/>
        <v>#VALUE!</v>
      </c>
      <c r="BG3355" t="e" vm="2">
        <f t="shared" si="291"/>
        <v>#VALUE!</v>
      </c>
      <c r="BJ3355" s="21" t="e" vm="1">
        <v>#REF!</v>
      </c>
      <c r="BK3355" t="e" vm="1">
        <v>#REF!</v>
      </c>
      <c r="BM3355" t="e" vm="2">
        <f t="shared" si="292"/>
        <v>#VALUE!</v>
      </c>
      <c r="BN3355" t="e" vm="2">
        <f t="shared" si="293"/>
        <v>#VALUE!</v>
      </c>
    </row>
    <row r="3356" spans="55:66" x14ac:dyDescent="0.2">
      <c r="BC3356" s="21" t="e" vm="1">
        <v>#REF!</v>
      </c>
      <c r="BD3356" t="e" vm="1">
        <v>#REF!</v>
      </c>
      <c r="BF3356" t="e" vm="2">
        <f t="shared" si="290"/>
        <v>#VALUE!</v>
      </c>
      <c r="BG3356" t="e" vm="2">
        <f t="shared" si="291"/>
        <v>#VALUE!</v>
      </c>
      <c r="BJ3356" s="21" t="e" vm="1">
        <v>#REF!</v>
      </c>
      <c r="BK3356" t="e" vm="1">
        <v>#REF!</v>
      </c>
      <c r="BM3356" t="e" vm="2">
        <f t="shared" si="292"/>
        <v>#VALUE!</v>
      </c>
      <c r="BN3356" t="e" vm="2">
        <f t="shared" si="293"/>
        <v>#VALUE!</v>
      </c>
    </row>
    <row r="3357" spans="55:66" x14ac:dyDescent="0.2">
      <c r="BC3357" s="21" t="e" vm="1">
        <v>#REF!</v>
      </c>
      <c r="BD3357" t="e" vm="1">
        <v>#REF!</v>
      </c>
      <c r="BF3357" t="e" vm="2">
        <f t="shared" si="290"/>
        <v>#VALUE!</v>
      </c>
      <c r="BG3357" t="e" vm="2">
        <f t="shared" si="291"/>
        <v>#VALUE!</v>
      </c>
      <c r="BJ3357" s="21" t="e" vm="1">
        <v>#REF!</v>
      </c>
      <c r="BK3357" t="e" vm="1">
        <v>#REF!</v>
      </c>
      <c r="BM3357" t="e" vm="2">
        <f t="shared" si="292"/>
        <v>#VALUE!</v>
      </c>
      <c r="BN3357" t="e" vm="2">
        <f t="shared" si="293"/>
        <v>#VALUE!</v>
      </c>
    </row>
    <row r="3358" spans="55:66" x14ac:dyDescent="0.2">
      <c r="BC3358" s="21" t="e" vm="1">
        <v>#REF!</v>
      </c>
      <c r="BD3358" t="e" vm="1">
        <v>#REF!</v>
      </c>
      <c r="BF3358" t="e" vm="2">
        <f t="shared" si="290"/>
        <v>#VALUE!</v>
      </c>
      <c r="BG3358" t="e" vm="2">
        <f t="shared" si="291"/>
        <v>#VALUE!</v>
      </c>
      <c r="BJ3358" s="21" t="e" vm="1">
        <v>#REF!</v>
      </c>
      <c r="BK3358" t="e" vm="1">
        <v>#REF!</v>
      </c>
      <c r="BM3358" t="e" vm="2">
        <f t="shared" si="292"/>
        <v>#VALUE!</v>
      </c>
      <c r="BN3358" t="e" vm="2">
        <f t="shared" si="293"/>
        <v>#VALUE!</v>
      </c>
    </row>
    <row r="3359" spans="55:66" x14ac:dyDescent="0.2">
      <c r="BC3359" s="21" t="e" vm="1">
        <v>#REF!</v>
      </c>
      <c r="BD3359" t="e" vm="1">
        <v>#REF!</v>
      </c>
      <c r="BF3359" t="e" vm="2">
        <f t="shared" si="290"/>
        <v>#VALUE!</v>
      </c>
      <c r="BG3359" t="e" vm="2">
        <f t="shared" si="291"/>
        <v>#VALUE!</v>
      </c>
      <c r="BJ3359" s="21" t="e" vm="1">
        <v>#REF!</v>
      </c>
      <c r="BK3359" t="e" vm="1">
        <v>#REF!</v>
      </c>
      <c r="BM3359" t="e" vm="2">
        <f t="shared" si="292"/>
        <v>#VALUE!</v>
      </c>
      <c r="BN3359" t="e" vm="2">
        <f t="shared" si="293"/>
        <v>#VALUE!</v>
      </c>
    </row>
    <row r="3360" spans="55:66" x14ac:dyDescent="0.2">
      <c r="BC3360" s="21" t="e" vm="1">
        <v>#REF!</v>
      </c>
      <c r="BD3360" t="e" vm="1">
        <v>#REF!</v>
      </c>
      <c r="BF3360" t="e" vm="2">
        <f t="shared" si="290"/>
        <v>#VALUE!</v>
      </c>
      <c r="BG3360" t="e" vm="2">
        <f t="shared" si="291"/>
        <v>#VALUE!</v>
      </c>
      <c r="BJ3360" s="21" t="e" vm="1">
        <v>#REF!</v>
      </c>
      <c r="BK3360" t="e" vm="1">
        <v>#REF!</v>
      </c>
      <c r="BM3360" t="e" vm="2">
        <f t="shared" si="292"/>
        <v>#VALUE!</v>
      </c>
      <c r="BN3360" t="e" vm="2">
        <f t="shared" si="293"/>
        <v>#VALUE!</v>
      </c>
    </row>
    <row r="3361" spans="55:66" x14ac:dyDescent="0.2">
      <c r="BC3361" s="21" t="e" vm="1">
        <v>#REF!</v>
      </c>
      <c r="BD3361" t="e" vm="1">
        <v>#REF!</v>
      </c>
      <c r="BF3361" t="e" vm="2">
        <f t="shared" si="290"/>
        <v>#VALUE!</v>
      </c>
      <c r="BG3361" t="e" vm="2">
        <f t="shared" si="291"/>
        <v>#VALUE!</v>
      </c>
      <c r="BJ3361" s="21" t="e" vm="1">
        <v>#REF!</v>
      </c>
      <c r="BK3361" t="e" vm="1">
        <v>#REF!</v>
      </c>
      <c r="BM3361" t="e" vm="2">
        <f t="shared" si="292"/>
        <v>#VALUE!</v>
      </c>
      <c r="BN3361" t="e" vm="2">
        <f t="shared" si="293"/>
        <v>#VALUE!</v>
      </c>
    </row>
    <row r="3362" spans="55:66" x14ac:dyDescent="0.2">
      <c r="BC3362" s="21" t="e" vm="1">
        <v>#REF!</v>
      </c>
      <c r="BD3362" t="e" vm="1">
        <v>#REF!</v>
      </c>
      <c r="BF3362" t="e" vm="2">
        <f t="shared" si="290"/>
        <v>#VALUE!</v>
      </c>
      <c r="BG3362" t="e" vm="2">
        <f t="shared" si="291"/>
        <v>#VALUE!</v>
      </c>
      <c r="BJ3362" s="21" t="e" vm="1">
        <v>#REF!</v>
      </c>
      <c r="BK3362" t="e" vm="1">
        <v>#REF!</v>
      </c>
      <c r="BM3362" t="e" vm="2">
        <f t="shared" si="292"/>
        <v>#VALUE!</v>
      </c>
      <c r="BN3362" t="e" vm="2">
        <f t="shared" si="293"/>
        <v>#VALUE!</v>
      </c>
    </row>
    <row r="3363" spans="55:66" x14ac:dyDescent="0.2">
      <c r="BC3363" s="21" t="e" vm="1">
        <v>#REF!</v>
      </c>
      <c r="BD3363" t="e" vm="1">
        <v>#REF!</v>
      </c>
      <c r="BF3363" t="e" vm="2">
        <f t="shared" si="290"/>
        <v>#VALUE!</v>
      </c>
      <c r="BG3363" t="e" vm="2">
        <f t="shared" si="291"/>
        <v>#VALUE!</v>
      </c>
      <c r="BJ3363" s="21" t="e" vm="1">
        <v>#REF!</v>
      </c>
      <c r="BK3363" t="e" vm="1">
        <v>#REF!</v>
      </c>
      <c r="BM3363" t="e" vm="2">
        <f t="shared" si="292"/>
        <v>#VALUE!</v>
      </c>
      <c r="BN3363" t="e" vm="2">
        <f t="shared" si="293"/>
        <v>#VALUE!</v>
      </c>
    </row>
    <row r="3364" spans="55:66" x14ac:dyDescent="0.2">
      <c r="BC3364" s="21" t="e" vm="1">
        <v>#REF!</v>
      </c>
      <c r="BD3364" t="e" vm="1">
        <v>#REF!</v>
      </c>
      <c r="BF3364" t="e" vm="2">
        <f t="shared" si="290"/>
        <v>#VALUE!</v>
      </c>
      <c r="BG3364" t="e" vm="2">
        <f t="shared" si="291"/>
        <v>#VALUE!</v>
      </c>
      <c r="BJ3364" s="21" t="e" vm="1">
        <v>#REF!</v>
      </c>
      <c r="BK3364" t="e" vm="1">
        <v>#REF!</v>
      </c>
      <c r="BM3364" t="e" vm="2">
        <f t="shared" si="292"/>
        <v>#VALUE!</v>
      </c>
      <c r="BN3364" t="e" vm="2">
        <f t="shared" si="293"/>
        <v>#VALUE!</v>
      </c>
    </row>
    <row r="3365" spans="55:66" x14ac:dyDescent="0.2">
      <c r="BC3365" s="21" t="e" vm="1">
        <v>#REF!</v>
      </c>
      <c r="BD3365" t="e" vm="1">
        <v>#REF!</v>
      </c>
      <c r="BF3365" t="e" vm="2">
        <f t="shared" si="290"/>
        <v>#VALUE!</v>
      </c>
      <c r="BG3365" t="e" vm="2">
        <f t="shared" si="291"/>
        <v>#VALUE!</v>
      </c>
      <c r="BJ3365" s="21" t="e" vm="1">
        <v>#REF!</v>
      </c>
      <c r="BK3365" t="e" vm="1">
        <v>#REF!</v>
      </c>
      <c r="BM3365" t="e" vm="2">
        <f t="shared" si="292"/>
        <v>#VALUE!</v>
      </c>
      <c r="BN3365" t="e" vm="2">
        <f t="shared" si="293"/>
        <v>#VALUE!</v>
      </c>
    </row>
    <row r="3366" spans="55:66" x14ac:dyDescent="0.2">
      <c r="BC3366" s="21" t="e" vm="1">
        <v>#REF!</v>
      </c>
      <c r="BD3366" t="e" vm="1">
        <v>#REF!</v>
      </c>
      <c r="BF3366" t="e" vm="2">
        <f t="shared" si="290"/>
        <v>#VALUE!</v>
      </c>
      <c r="BG3366" t="e" vm="2">
        <f t="shared" si="291"/>
        <v>#VALUE!</v>
      </c>
      <c r="BJ3366" s="21" t="e" vm="1">
        <v>#REF!</v>
      </c>
      <c r="BK3366" t="e" vm="1">
        <v>#REF!</v>
      </c>
      <c r="BM3366" t="e" vm="2">
        <f t="shared" si="292"/>
        <v>#VALUE!</v>
      </c>
      <c r="BN3366" t="e" vm="2">
        <f t="shared" si="293"/>
        <v>#VALUE!</v>
      </c>
    </row>
    <row r="3367" spans="55:66" x14ac:dyDescent="0.2">
      <c r="BC3367" s="21" t="e" vm="1">
        <v>#REF!</v>
      </c>
      <c r="BD3367" t="e" vm="1">
        <v>#REF!</v>
      </c>
      <c r="BF3367" t="e" vm="2">
        <f t="shared" si="290"/>
        <v>#VALUE!</v>
      </c>
      <c r="BG3367" t="e" vm="2">
        <f t="shared" si="291"/>
        <v>#VALUE!</v>
      </c>
      <c r="BJ3367" s="21" t="e" vm="1">
        <v>#REF!</v>
      </c>
      <c r="BK3367" t="e" vm="1">
        <v>#REF!</v>
      </c>
      <c r="BM3367" t="e" vm="2">
        <f t="shared" si="292"/>
        <v>#VALUE!</v>
      </c>
      <c r="BN3367" t="e" vm="2">
        <f t="shared" si="293"/>
        <v>#VALUE!</v>
      </c>
    </row>
    <row r="3368" spans="55:66" x14ac:dyDescent="0.2">
      <c r="BC3368" s="21" t="e" vm="1">
        <v>#REF!</v>
      </c>
      <c r="BD3368" t="e" vm="1">
        <v>#REF!</v>
      </c>
      <c r="BF3368" t="e" vm="2">
        <f t="shared" si="290"/>
        <v>#VALUE!</v>
      </c>
      <c r="BG3368" t="e" vm="2">
        <f t="shared" si="291"/>
        <v>#VALUE!</v>
      </c>
      <c r="BJ3368" s="21" t="e" vm="1">
        <v>#REF!</v>
      </c>
      <c r="BK3368" t="e" vm="1">
        <v>#REF!</v>
      </c>
      <c r="BM3368" t="e" vm="2">
        <f t="shared" si="292"/>
        <v>#VALUE!</v>
      </c>
      <c r="BN3368" t="e" vm="2">
        <f t="shared" si="293"/>
        <v>#VALUE!</v>
      </c>
    </row>
    <row r="3369" spans="55:66" x14ac:dyDescent="0.2">
      <c r="BC3369" s="21" t="e" vm="1">
        <v>#REF!</v>
      </c>
      <c r="BD3369" t="e" vm="1">
        <v>#REF!</v>
      </c>
      <c r="BF3369" t="e" vm="2">
        <f t="shared" si="290"/>
        <v>#VALUE!</v>
      </c>
      <c r="BG3369" t="e" vm="2">
        <f t="shared" si="291"/>
        <v>#VALUE!</v>
      </c>
      <c r="BJ3369" s="21" t="e" vm="1">
        <v>#REF!</v>
      </c>
      <c r="BK3369" t="e" vm="1">
        <v>#REF!</v>
      </c>
      <c r="BM3369" t="e" vm="2">
        <f t="shared" si="292"/>
        <v>#VALUE!</v>
      </c>
      <c r="BN3369" t="e" vm="2">
        <f t="shared" si="293"/>
        <v>#VALUE!</v>
      </c>
    </row>
    <row r="3370" spans="55:66" x14ac:dyDescent="0.2">
      <c r="BC3370" s="21" t="e" vm="1">
        <v>#REF!</v>
      </c>
      <c r="BD3370" t="e" vm="1">
        <v>#REF!</v>
      </c>
      <c r="BF3370" t="e" vm="2">
        <f t="shared" si="290"/>
        <v>#VALUE!</v>
      </c>
      <c r="BG3370" t="e" vm="2">
        <f t="shared" si="291"/>
        <v>#VALUE!</v>
      </c>
      <c r="BJ3370" s="21" t="e" vm="1">
        <v>#REF!</v>
      </c>
      <c r="BK3370" t="e" vm="1">
        <v>#REF!</v>
      </c>
      <c r="BM3370" t="e" vm="2">
        <f t="shared" si="292"/>
        <v>#VALUE!</v>
      </c>
      <c r="BN3370" t="e" vm="2">
        <f t="shared" si="293"/>
        <v>#VALUE!</v>
      </c>
    </row>
    <row r="3371" spans="55:66" x14ac:dyDescent="0.2">
      <c r="BC3371" s="21" t="e" vm="1">
        <v>#REF!</v>
      </c>
      <c r="BD3371" t="e" vm="1">
        <v>#REF!</v>
      </c>
      <c r="BF3371" t="e" vm="2">
        <f t="shared" si="290"/>
        <v>#VALUE!</v>
      </c>
      <c r="BG3371" t="e" vm="2">
        <f t="shared" si="291"/>
        <v>#VALUE!</v>
      </c>
      <c r="BJ3371" s="21" t="e" vm="1">
        <v>#REF!</v>
      </c>
      <c r="BK3371" t="e" vm="1">
        <v>#REF!</v>
      </c>
      <c r="BM3371" t="e" vm="2">
        <f t="shared" si="292"/>
        <v>#VALUE!</v>
      </c>
      <c r="BN3371" t="e" vm="2">
        <f t="shared" si="293"/>
        <v>#VALUE!</v>
      </c>
    </row>
    <row r="3372" spans="55:66" x14ac:dyDescent="0.2">
      <c r="BC3372" s="21" t="e" vm="1">
        <v>#REF!</v>
      </c>
      <c r="BD3372" t="e" vm="1">
        <v>#REF!</v>
      </c>
      <c r="BF3372" t="e" vm="2">
        <f t="shared" si="290"/>
        <v>#VALUE!</v>
      </c>
      <c r="BG3372" t="e" vm="2">
        <f t="shared" si="291"/>
        <v>#VALUE!</v>
      </c>
      <c r="BJ3372" s="21" t="e" vm="1">
        <v>#REF!</v>
      </c>
      <c r="BK3372" t="e" vm="1">
        <v>#REF!</v>
      </c>
      <c r="BM3372" t="e" vm="2">
        <f t="shared" si="292"/>
        <v>#VALUE!</v>
      </c>
      <c r="BN3372" t="e" vm="2">
        <f t="shared" si="293"/>
        <v>#VALUE!</v>
      </c>
    </row>
    <row r="3373" spans="55:66" x14ac:dyDescent="0.2">
      <c r="BC3373" s="21" t="e" vm="1">
        <v>#REF!</v>
      </c>
      <c r="BD3373" t="e" vm="1">
        <v>#REF!</v>
      </c>
      <c r="BF3373" t="e" vm="2">
        <f t="shared" si="290"/>
        <v>#VALUE!</v>
      </c>
      <c r="BG3373" t="e" vm="2">
        <f t="shared" si="291"/>
        <v>#VALUE!</v>
      </c>
      <c r="BJ3373" s="21" t="e" vm="1">
        <v>#REF!</v>
      </c>
      <c r="BK3373" t="e" vm="1">
        <v>#REF!</v>
      </c>
      <c r="BM3373" t="e" vm="2">
        <f t="shared" si="292"/>
        <v>#VALUE!</v>
      </c>
      <c r="BN3373" t="e" vm="2">
        <f t="shared" si="293"/>
        <v>#VALUE!</v>
      </c>
    </row>
    <row r="3374" spans="55:66" x14ac:dyDescent="0.2">
      <c r="BC3374" s="21" t="e" vm="1">
        <v>#REF!</v>
      </c>
      <c r="BD3374" t="e" vm="1">
        <v>#REF!</v>
      </c>
      <c r="BF3374" t="e" vm="2">
        <f t="shared" si="290"/>
        <v>#VALUE!</v>
      </c>
      <c r="BG3374" t="e" vm="2">
        <f t="shared" si="291"/>
        <v>#VALUE!</v>
      </c>
      <c r="BJ3374" s="21" t="e" vm="1">
        <v>#REF!</v>
      </c>
      <c r="BK3374" t="e" vm="1">
        <v>#REF!</v>
      </c>
      <c r="BM3374" t="e" vm="2">
        <f t="shared" si="292"/>
        <v>#VALUE!</v>
      </c>
      <c r="BN3374" t="e" vm="2">
        <f t="shared" si="293"/>
        <v>#VALUE!</v>
      </c>
    </row>
    <row r="3375" spans="55:66" x14ac:dyDescent="0.2">
      <c r="BC3375" s="21" t="e" vm="1">
        <v>#REF!</v>
      </c>
      <c r="BD3375" t="e" vm="1">
        <v>#REF!</v>
      </c>
      <c r="BF3375" t="e" vm="2">
        <f t="shared" si="290"/>
        <v>#VALUE!</v>
      </c>
      <c r="BG3375" t="e" vm="2">
        <f t="shared" si="291"/>
        <v>#VALUE!</v>
      </c>
      <c r="BJ3375" s="21" t="e" vm="1">
        <v>#REF!</v>
      </c>
      <c r="BK3375" t="e" vm="1">
        <v>#REF!</v>
      </c>
      <c r="BM3375" t="e" vm="2">
        <f t="shared" si="292"/>
        <v>#VALUE!</v>
      </c>
      <c r="BN3375" t="e" vm="2">
        <f t="shared" si="293"/>
        <v>#VALUE!</v>
      </c>
    </row>
    <row r="3376" spans="55:66" x14ac:dyDescent="0.2">
      <c r="BC3376" s="21" t="e" vm="1">
        <v>#REF!</v>
      </c>
      <c r="BD3376" t="e" vm="1">
        <v>#REF!</v>
      </c>
      <c r="BF3376" t="e" vm="2">
        <f t="shared" si="290"/>
        <v>#VALUE!</v>
      </c>
      <c r="BG3376" t="e" vm="2">
        <f t="shared" si="291"/>
        <v>#VALUE!</v>
      </c>
      <c r="BJ3376" s="21" t="e" vm="1">
        <v>#REF!</v>
      </c>
      <c r="BK3376" t="e" vm="1">
        <v>#REF!</v>
      </c>
      <c r="BM3376" t="e" vm="2">
        <f t="shared" si="292"/>
        <v>#VALUE!</v>
      </c>
      <c r="BN3376" t="e" vm="2">
        <f t="shared" si="293"/>
        <v>#VALUE!</v>
      </c>
    </row>
    <row r="3377" spans="55:66" x14ac:dyDescent="0.2">
      <c r="BC3377" s="21" t="e" vm="1">
        <v>#REF!</v>
      </c>
      <c r="BD3377" t="e" vm="1">
        <v>#REF!</v>
      </c>
      <c r="BF3377" t="e" vm="2">
        <f t="shared" si="290"/>
        <v>#VALUE!</v>
      </c>
      <c r="BG3377" t="e" vm="2">
        <f t="shared" si="291"/>
        <v>#VALUE!</v>
      </c>
      <c r="BJ3377" s="21" t="e" vm="1">
        <v>#REF!</v>
      </c>
      <c r="BK3377" t="e" vm="1">
        <v>#REF!</v>
      </c>
      <c r="BM3377" t="e" vm="2">
        <f t="shared" si="292"/>
        <v>#VALUE!</v>
      </c>
      <c r="BN3377" t="e" vm="2">
        <f t="shared" si="293"/>
        <v>#VALUE!</v>
      </c>
    </row>
    <row r="3378" spans="55:66" x14ac:dyDescent="0.2">
      <c r="BC3378" s="21" t="e" vm="1">
        <v>#REF!</v>
      </c>
      <c r="BD3378" t="e" vm="1">
        <v>#REF!</v>
      </c>
      <c r="BF3378" t="e" vm="2">
        <f t="shared" si="290"/>
        <v>#VALUE!</v>
      </c>
      <c r="BG3378" t="e" vm="2">
        <f t="shared" si="291"/>
        <v>#VALUE!</v>
      </c>
      <c r="BJ3378" s="21" t="e" vm="1">
        <v>#REF!</v>
      </c>
      <c r="BK3378" t="e" vm="1">
        <v>#REF!</v>
      </c>
      <c r="BM3378" t="e" vm="2">
        <f t="shared" si="292"/>
        <v>#VALUE!</v>
      </c>
      <c r="BN3378" t="e" vm="2">
        <f t="shared" si="293"/>
        <v>#VALUE!</v>
      </c>
    </row>
    <row r="3379" spans="55:66" x14ac:dyDescent="0.2">
      <c r="BC3379" s="21" t="e" vm="1">
        <v>#REF!</v>
      </c>
      <c r="BD3379" t="e" vm="1">
        <v>#REF!</v>
      </c>
      <c r="BF3379" t="e" vm="2">
        <f t="shared" si="290"/>
        <v>#VALUE!</v>
      </c>
      <c r="BG3379" t="e" vm="2">
        <f t="shared" si="291"/>
        <v>#VALUE!</v>
      </c>
      <c r="BJ3379" s="21" t="e" vm="1">
        <v>#REF!</v>
      </c>
      <c r="BK3379" t="e" vm="1">
        <v>#REF!</v>
      </c>
      <c r="BM3379" t="e" vm="2">
        <f t="shared" si="292"/>
        <v>#VALUE!</v>
      </c>
      <c r="BN3379" t="e" vm="2">
        <f t="shared" si="293"/>
        <v>#VALUE!</v>
      </c>
    </row>
    <row r="3380" spans="55:66" x14ac:dyDescent="0.2">
      <c r="BC3380" s="21" t="e" vm="1">
        <v>#REF!</v>
      </c>
      <c r="BD3380" t="e" vm="1">
        <v>#REF!</v>
      </c>
      <c r="BF3380" t="e" vm="2">
        <f t="shared" si="290"/>
        <v>#VALUE!</v>
      </c>
      <c r="BG3380" t="e" vm="2">
        <f t="shared" si="291"/>
        <v>#VALUE!</v>
      </c>
      <c r="BJ3380" s="21" t="e" vm="1">
        <v>#REF!</v>
      </c>
      <c r="BK3380" t="e" vm="1">
        <v>#REF!</v>
      </c>
      <c r="BM3380" t="e" vm="2">
        <f t="shared" si="292"/>
        <v>#VALUE!</v>
      </c>
      <c r="BN3380" t="e" vm="2">
        <f t="shared" si="293"/>
        <v>#VALUE!</v>
      </c>
    </row>
    <row r="3381" spans="55:66" x14ac:dyDescent="0.2">
      <c r="BC3381" s="21" t="e" vm="1">
        <v>#REF!</v>
      </c>
      <c r="BD3381" t="e" vm="1">
        <v>#REF!</v>
      </c>
      <c r="BF3381" t="e" vm="2">
        <f t="shared" si="290"/>
        <v>#VALUE!</v>
      </c>
      <c r="BG3381" t="e" vm="2">
        <f t="shared" si="291"/>
        <v>#VALUE!</v>
      </c>
      <c r="BJ3381" s="21" t="e" vm="1">
        <v>#REF!</v>
      </c>
      <c r="BK3381" t="e" vm="1">
        <v>#REF!</v>
      </c>
      <c r="BM3381" t="e" vm="2">
        <f t="shared" si="292"/>
        <v>#VALUE!</v>
      </c>
      <c r="BN3381" t="e" vm="2">
        <f t="shared" si="293"/>
        <v>#VALUE!</v>
      </c>
    </row>
    <row r="3382" spans="55:66" x14ac:dyDescent="0.2">
      <c r="BC3382" s="21" t="e" vm="1">
        <v>#REF!</v>
      </c>
      <c r="BD3382" t="e" vm="1">
        <v>#REF!</v>
      </c>
      <c r="BF3382" t="e" vm="2">
        <f t="shared" si="290"/>
        <v>#VALUE!</v>
      </c>
      <c r="BG3382" t="e" vm="2">
        <f t="shared" si="291"/>
        <v>#VALUE!</v>
      </c>
      <c r="BJ3382" s="21" t="e" vm="1">
        <v>#REF!</v>
      </c>
      <c r="BK3382" t="e" vm="1">
        <v>#REF!</v>
      </c>
      <c r="BM3382" t="e" vm="2">
        <f t="shared" si="292"/>
        <v>#VALUE!</v>
      </c>
      <c r="BN3382" t="e" vm="2">
        <f t="shared" si="293"/>
        <v>#VALUE!</v>
      </c>
    </row>
    <row r="3383" spans="55:66" x14ac:dyDescent="0.2">
      <c r="BC3383" s="21" t="e" vm="1">
        <v>#REF!</v>
      </c>
      <c r="BD3383" t="e" vm="1">
        <v>#REF!</v>
      </c>
      <c r="BF3383" t="e" vm="2">
        <f t="shared" si="290"/>
        <v>#VALUE!</v>
      </c>
      <c r="BG3383" t="e" vm="2">
        <f t="shared" si="291"/>
        <v>#VALUE!</v>
      </c>
      <c r="BJ3383" s="21" t="e" vm="1">
        <v>#REF!</v>
      </c>
      <c r="BK3383" t="e" vm="1">
        <v>#REF!</v>
      </c>
      <c r="BM3383" t="e" vm="2">
        <f t="shared" si="292"/>
        <v>#VALUE!</v>
      </c>
      <c r="BN3383" t="e" vm="2">
        <f t="shared" si="293"/>
        <v>#VALUE!</v>
      </c>
    </row>
    <row r="3384" spans="55:66" x14ac:dyDescent="0.2">
      <c r="BC3384" s="21" t="e" vm="1">
        <v>#REF!</v>
      </c>
      <c r="BD3384" t="e" vm="1">
        <v>#REF!</v>
      </c>
      <c r="BF3384" t="e" vm="2">
        <f t="shared" si="290"/>
        <v>#VALUE!</v>
      </c>
      <c r="BG3384" t="e" vm="2">
        <f t="shared" si="291"/>
        <v>#VALUE!</v>
      </c>
      <c r="BJ3384" s="21" t="e" vm="1">
        <v>#REF!</v>
      </c>
      <c r="BK3384" t="e" vm="1">
        <v>#REF!</v>
      </c>
      <c r="BM3384" t="e" vm="2">
        <f t="shared" si="292"/>
        <v>#VALUE!</v>
      </c>
      <c r="BN3384" t="e" vm="2">
        <f t="shared" si="293"/>
        <v>#VALUE!</v>
      </c>
    </row>
    <row r="3385" spans="55:66" x14ac:dyDescent="0.2">
      <c r="BC3385" s="21" t="e" vm="1">
        <v>#REF!</v>
      </c>
      <c r="BD3385" t="e" vm="1">
        <v>#REF!</v>
      </c>
      <c r="BF3385" t="e" vm="2">
        <f t="shared" si="290"/>
        <v>#VALUE!</v>
      </c>
      <c r="BG3385" t="e" vm="2">
        <f t="shared" si="291"/>
        <v>#VALUE!</v>
      </c>
      <c r="BJ3385" s="21" t="e" vm="1">
        <v>#REF!</v>
      </c>
      <c r="BK3385" t="e" vm="1">
        <v>#REF!</v>
      </c>
      <c r="BM3385" t="e" vm="2">
        <f t="shared" si="292"/>
        <v>#VALUE!</v>
      </c>
      <c r="BN3385" t="e" vm="2">
        <f t="shared" si="293"/>
        <v>#VALUE!</v>
      </c>
    </row>
    <row r="3386" spans="55:66" x14ac:dyDescent="0.2">
      <c r="BC3386" s="21" t="e" vm="1">
        <v>#REF!</v>
      </c>
      <c r="BD3386" t="e" vm="1">
        <v>#REF!</v>
      </c>
      <c r="BF3386" t="e" vm="2">
        <f t="shared" si="290"/>
        <v>#VALUE!</v>
      </c>
      <c r="BG3386" t="e" vm="2">
        <f t="shared" si="291"/>
        <v>#VALUE!</v>
      </c>
      <c r="BJ3386" s="21" t="e" vm="1">
        <v>#REF!</v>
      </c>
      <c r="BK3386" t="e" vm="1">
        <v>#REF!</v>
      </c>
      <c r="BM3386" t="e" vm="2">
        <f t="shared" si="292"/>
        <v>#VALUE!</v>
      </c>
      <c r="BN3386" t="e" vm="2">
        <f t="shared" si="293"/>
        <v>#VALUE!</v>
      </c>
    </row>
    <row r="3387" spans="55:66" x14ac:dyDescent="0.2">
      <c r="BC3387" s="21" t="e" vm="1">
        <v>#REF!</v>
      </c>
      <c r="BD3387" t="e" vm="1">
        <v>#REF!</v>
      </c>
      <c r="BF3387" t="e" vm="2">
        <f t="shared" si="290"/>
        <v>#VALUE!</v>
      </c>
      <c r="BG3387" t="e" vm="2">
        <f t="shared" si="291"/>
        <v>#VALUE!</v>
      </c>
      <c r="BJ3387" s="21" t="e" vm="1">
        <v>#REF!</v>
      </c>
      <c r="BK3387" t="e" vm="1">
        <v>#REF!</v>
      </c>
      <c r="BM3387" t="e" vm="2">
        <f t="shared" si="292"/>
        <v>#VALUE!</v>
      </c>
      <c r="BN3387" t="e" vm="2">
        <f t="shared" si="293"/>
        <v>#VALUE!</v>
      </c>
    </row>
    <row r="3388" spans="55:66" x14ac:dyDescent="0.2">
      <c r="BC3388" s="21" t="e" vm="1">
        <v>#REF!</v>
      </c>
      <c r="BD3388" t="e" vm="1">
        <v>#REF!</v>
      </c>
      <c r="BF3388" t="e" vm="2">
        <f t="shared" si="290"/>
        <v>#VALUE!</v>
      </c>
      <c r="BG3388" t="e" vm="2">
        <f t="shared" si="291"/>
        <v>#VALUE!</v>
      </c>
      <c r="BJ3388" s="21" t="e" vm="1">
        <v>#REF!</v>
      </c>
      <c r="BK3388" t="e" vm="1">
        <v>#REF!</v>
      </c>
      <c r="BM3388" t="e" vm="2">
        <f t="shared" si="292"/>
        <v>#VALUE!</v>
      </c>
      <c r="BN3388" t="e" vm="2">
        <f t="shared" si="293"/>
        <v>#VALUE!</v>
      </c>
    </row>
    <row r="3389" spans="55:66" x14ac:dyDescent="0.2">
      <c r="BC3389" s="21" t="e" vm="1">
        <v>#REF!</v>
      </c>
      <c r="BD3389" t="e" vm="1">
        <v>#REF!</v>
      </c>
      <c r="BF3389" t="e" vm="2">
        <f t="shared" si="290"/>
        <v>#VALUE!</v>
      </c>
      <c r="BG3389" t="e" vm="2">
        <f t="shared" si="291"/>
        <v>#VALUE!</v>
      </c>
      <c r="BJ3389" s="21" t="e" vm="1">
        <v>#REF!</v>
      </c>
      <c r="BK3389" t="e" vm="1">
        <v>#REF!</v>
      </c>
      <c r="BM3389" t="e" vm="2">
        <f t="shared" si="292"/>
        <v>#VALUE!</v>
      </c>
      <c r="BN3389" t="e" vm="2">
        <f t="shared" si="293"/>
        <v>#VALUE!</v>
      </c>
    </row>
    <row r="3390" spans="55:66" x14ac:dyDescent="0.2">
      <c r="BC3390" s="21" t="e" vm="1">
        <v>#REF!</v>
      </c>
      <c r="BD3390" t="e" vm="1">
        <v>#REF!</v>
      </c>
      <c r="BF3390" t="e" vm="2">
        <f t="shared" si="290"/>
        <v>#VALUE!</v>
      </c>
      <c r="BG3390" t="e" vm="2">
        <f t="shared" si="291"/>
        <v>#VALUE!</v>
      </c>
      <c r="BJ3390" s="21" t="e" vm="1">
        <v>#REF!</v>
      </c>
      <c r="BK3390" t="e" vm="1">
        <v>#REF!</v>
      </c>
      <c r="BM3390" t="e" vm="2">
        <f t="shared" si="292"/>
        <v>#VALUE!</v>
      </c>
      <c r="BN3390" t="e" vm="2">
        <f t="shared" si="293"/>
        <v>#VALUE!</v>
      </c>
    </row>
    <row r="3391" spans="55:66" x14ac:dyDescent="0.2">
      <c r="BC3391" s="21" t="e" vm="1">
        <v>#REF!</v>
      </c>
      <c r="BD3391" t="e" vm="1">
        <v>#REF!</v>
      </c>
      <c r="BF3391" t="e" vm="2">
        <f t="shared" si="290"/>
        <v>#VALUE!</v>
      </c>
      <c r="BG3391" t="e" vm="2">
        <f t="shared" si="291"/>
        <v>#VALUE!</v>
      </c>
      <c r="BJ3391" s="21" t="e" vm="1">
        <v>#REF!</v>
      </c>
      <c r="BK3391" t="e" vm="1">
        <v>#REF!</v>
      </c>
      <c r="BM3391" t="e" vm="2">
        <f t="shared" si="292"/>
        <v>#VALUE!</v>
      </c>
      <c r="BN3391" t="e" vm="2">
        <f t="shared" si="293"/>
        <v>#VALUE!</v>
      </c>
    </row>
    <row r="3392" spans="55:66" x14ac:dyDescent="0.2">
      <c r="BC3392" s="21" t="e" vm="1">
        <v>#REF!</v>
      </c>
      <c r="BD3392" t="e" vm="1">
        <v>#REF!</v>
      </c>
      <c r="BF3392" t="e" vm="2">
        <f t="shared" si="290"/>
        <v>#VALUE!</v>
      </c>
      <c r="BG3392" t="e" vm="2">
        <f t="shared" si="291"/>
        <v>#VALUE!</v>
      </c>
      <c r="BJ3392" s="21" t="e" vm="1">
        <v>#REF!</v>
      </c>
      <c r="BK3392" t="e" vm="1">
        <v>#REF!</v>
      </c>
      <c r="BM3392" t="e" vm="2">
        <f t="shared" si="292"/>
        <v>#VALUE!</v>
      </c>
      <c r="BN3392" t="e" vm="2">
        <f t="shared" si="293"/>
        <v>#VALUE!</v>
      </c>
    </row>
    <row r="3393" spans="55:66" x14ac:dyDescent="0.2">
      <c r="BC3393" s="21" t="e" vm="1">
        <v>#REF!</v>
      </c>
      <c r="BD3393" t="e" vm="1">
        <v>#REF!</v>
      </c>
      <c r="BF3393" t="e" vm="2">
        <f t="shared" si="290"/>
        <v>#VALUE!</v>
      </c>
      <c r="BG3393" t="e" vm="2">
        <f t="shared" si="291"/>
        <v>#VALUE!</v>
      </c>
      <c r="BJ3393" s="21" t="e" vm="1">
        <v>#REF!</v>
      </c>
      <c r="BK3393" t="e" vm="1">
        <v>#REF!</v>
      </c>
      <c r="BM3393" t="e" vm="2">
        <f t="shared" si="292"/>
        <v>#VALUE!</v>
      </c>
      <c r="BN3393" t="e" vm="2">
        <f t="shared" si="293"/>
        <v>#VALUE!</v>
      </c>
    </row>
    <row r="3394" spans="55:66" x14ac:dyDescent="0.2">
      <c r="BC3394" s="21" t="e" vm="1">
        <v>#REF!</v>
      </c>
      <c r="BD3394" t="e" vm="1">
        <v>#REF!</v>
      </c>
      <c r="BF3394" t="e" vm="2">
        <f t="shared" si="290"/>
        <v>#VALUE!</v>
      </c>
      <c r="BG3394" t="e" vm="2">
        <f t="shared" si="291"/>
        <v>#VALUE!</v>
      </c>
      <c r="BJ3394" s="21" t="e" vm="1">
        <v>#REF!</v>
      </c>
      <c r="BK3394" t="e" vm="1">
        <v>#REF!</v>
      </c>
      <c r="BM3394" t="e" vm="2">
        <f t="shared" si="292"/>
        <v>#VALUE!</v>
      </c>
      <c r="BN3394" t="e" vm="2">
        <f t="shared" si="293"/>
        <v>#VALUE!</v>
      </c>
    </row>
    <row r="3395" spans="55:66" x14ac:dyDescent="0.2">
      <c r="BC3395" s="21" t="e" vm="1">
        <v>#REF!</v>
      </c>
      <c r="BD3395" t="e" vm="1">
        <v>#REF!</v>
      </c>
      <c r="BF3395" t="e" vm="2">
        <f t="shared" ref="BF3395:BF3458" si="294">MONTH(BC3395)</f>
        <v>#VALUE!</v>
      </c>
      <c r="BG3395" t="e" vm="2">
        <f t="shared" ref="BG3395:BG3458" si="295">YEAR(BC3395)</f>
        <v>#VALUE!</v>
      </c>
      <c r="BJ3395" s="21" t="e" vm="1">
        <v>#REF!</v>
      </c>
      <c r="BK3395" t="e" vm="1">
        <v>#REF!</v>
      </c>
      <c r="BM3395" t="e" vm="2">
        <f t="shared" si="292"/>
        <v>#VALUE!</v>
      </c>
      <c r="BN3395" t="e" vm="2">
        <f t="shared" si="293"/>
        <v>#VALUE!</v>
      </c>
    </row>
    <row r="3396" spans="55:66" x14ac:dyDescent="0.2">
      <c r="BC3396" s="21" t="e" vm="1">
        <v>#REF!</v>
      </c>
      <c r="BD3396" t="e" vm="1">
        <v>#REF!</v>
      </c>
      <c r="BF3396" t="e" vm="2">
        <f t="shared" si="294"/>
        <v>#VALUE!</v>
      </c>
      <c r="BG3396" t="e" vm="2">
        <f t="shared" si="295"/>
        <v>#VALUE!</v>
      </c>
      <c r="BJ3396" s="21" t="e" vm="1">
        <v>#REF!</v>
      </c>
      <c r="BK3396" t="e" vm="1">
        <v>#REF!</v>
      </c>
      <c r="BM3396" t="e" vm="2">
        <f t="shared" ref="BM3396:BM3459" si="296">MONTH(BJ3396)</f>
        <v>#VALUE!</v>
      </c>
      <c r="BN3396" t="e" vm="2">
        <f t="shared" ref="BN3396:BN3459" si="297">YEAR(BJ3396)</f>
        <v>#VALUE!</v>
      </c>
    </row>
    <row r="3397" spans="55:66" x14ac:dyDescent="0.2">
      <c r="BC3397" s="21" t="e" vm="1">
        <v>#REF!</v>
      </c>
      <c r="BD3397" t="e" vm="1">
        <v>#REF!</v>
      </c>
      <c r="BF3397" t="e" vm="2">
        <f t="shared" si="294"/>
        <v>#VALUE!</v>
      </c>
      <c r="BG3397" t="e" vm="2">
        <f t="shared" si="295"/>
        <v>#VALUE!</v>
      </c>
      <c r="BJ3397" s="21" t="e" vm="1">
        <v>#REF!</v>
      </c>
      <c r="BK3397" t="e" vm="1">
        <v>#REF!</v>
      </c>
      <c r="BM3397" t="e" vm="2">
        <f t="shared" si="296"/>
        <v>#VALUE!</v>
      </c>
      <c r="BN3397" t="e" vm="2">
        <f t="shared" si="297"/>
        <v>#VALUE!</v>
      </c>
    </row>
    <row r="3398" spans="55:66" x14ac:dyDescent="0.2">
      <c r="BC3398" s="21" t="e" vm="1">
        <v>#REF!</v>
      </c>
      <c r="BD3398" t="e" vm="1">
        <v>#REF!</v>
      </c>
      <c r="BF3398" t="e" vm="2">
        <f t="shared" si="294"/>
        <v>#VALUE!</v>
      </c>
      <c r="BG3398" t="e" vm="2">
        <f t="shared" si="295"/>
        <v>#VALUE!</v>
      </c>
      <c r="BJ3398" s="21" t="e" vm="1">
        <v>#REF!</v>
      </c>
      <c r="BK3398" t="e" vm="1">
        <v>#REF!</v>
      </c>
      <c r="BM3398" t="e" vm="2">
        <f t="shared" si="296"/>
        <v>#VALUE!</v>
      </c>
      <c r="BN3398" t="e" vm="2">
        <f t="shared" si="297"/>
        <v>#VALUE!</v>
      </c>
    </row>
    <row r="3399" spans="55:66" x14ac:dyDescent="0.2">
      <c r="BC3399" s="21" t="e" vm="1">
        <v>#REF!</v>
      </c>
      <c r="BD3399" t="e" vm="1">
        <v>#REF!</v>
      </c>
      <c r="BF3399" t="e" vm="2">
        <f t="shared" si="294"/>
        <v>#VALUE!</v>
      </c>
      <c r="BG3399" t="e" vm="2">
        <f t="shared" si="295"/>
        <v>#VALUE!</v>
      </c>
      <c r="BJ3399" s="21" t="e" vm="1">
        <v>#REF!</v>
      </c>
      <c r="BK3399" t="e" vm="1">
        <v>#REF!</v>
      </c>
      <c r="BM3399" t="e" vm="2">
        <f t="shared" si="296"/>
        <v>#VALUE!</v>
      </c>
      <c r="BN3399" t="e" vm="2">
        <f t="shared" si="297"/>
        <v>#VALUE!</v>
      </c>
    </row>
    <row r="3400" spans="55:66" x14ac:dyDescent="0.2">
      <c r="BC3400" s="21" t="e" vm="1">
        <v>#REF!</v>
      </c>
      <c r="BD3400" t="e" vm="1">
        <v>#REF!</v>
      </c>
      <c r="BF3400" t="e" vm="2">
        <f t="shared" si="294"/>
        <v>#VALUE!</v>
      </c>
      <c r="BG3400" t="e" vm="2">
        <f t="shared" si="295"/>
        <v>#VALUE!</v>
      </c>
      <c r="BJ3400" s="21" t="e" vm="1">
        <v>#REF!</v>
      </c>
      <c r="BK3400" t="e" vm="1">
        <v>#REF!</v>
      </c>
      <c r="BM3400" t="e" vm="2">
        <f t="shared" si="296"/>
        <v>#VALUE!</v>
      </c>
      <c r="BN3400" t="e" vm="2">
        <f t="shared" si="297"/>
        <v>#VALUE!</v>
      </c>
    </row>
    <row r="3401" spans="55:66" x14ac:dyDescent="0.2">
      <c r="BC3401" s="21" t="e" vm="1">
        <v>#REF!</v>
      </c>
      <c r="BD3401" t="e" vm="1">
        <v>#REF!</v>
      </c>
      <c r="BF3401" t="e" vm="2">
        <f t="shared" si="294"/>
        <v>#VALUE!</v>
      </c>
      <c r="BG3401" t="e" vm="2">
        <f t="shared" si="295"/>
        <v>#VALUE!</v>
      </c>
      <c r="BJ3401" s="21" t="e" vm="1">
        <v>#REF!</v>
      </c>
      <c r="BK3401" t="e" vm="1">
        <v>#REF!</v>
      </c>
      <c r="BM3401" t="e" vm="2">
        <f t="shared" si="296"/>
        <v>#VALUE!</v>
      </c>
      <c r="BN3401" t="e" vm="2">
        <f t="shared" si="297"/>
        <v>#VALUE!</v>
      </c>
    </row>
    <row r="3402" spans="55:66" x14ac:dyDescent="0.2">
      <c r="BC3402" s="21" t="e" vm="1">
        <v>#REF!</v>
      </c>
      <c r="BD3402" t="e" vm="1">
        <v>#REF!</v>
      </c>
      <c r="BF3402" t="e" vm="2">
        <f t="shared" si="294"/>
        <v>#VALUE!</v>
      </c>
      <c r="BG3402" t="e" vm="2">
        <f t="shared" si="295"/>
        <v>#VALUE!</v>
      </c>
      <c r="BJ3402" s="21" t="e" vm="1">
        <v>#REF!</v>
      </c>
      <c r="BK3402" t="e" vm="1">
        <v>#REF!</v>
      </c>
      <c r="BM3402" t="e" vm="2">
        <f t="shared" si="296"/>
        <v>#VALUE!</v>
      </c>
      <c r="BN3402" t="e" vm="2">
        <f t="shared" si="297"/>
        <v>#VALUE!</v>
      </c>
    </row>
    <row r="3403" spans="55:66" x14ac:dyDescent="0.2">
      <c r="BC3403" s="21" t="e" vm="1">
        <v>#REF!</v>
      </c>
      <c r="BD3403" t="e" vm="1">
        <v>#REF!</v>
      </c>
      <c r="BF3403" t="e" vm="2">
        <f t="shared" si="294"/>
        <v>#VALUE!</v>
      </c>
      <c r="BG3403" t="e" vm="2">
        <f t="shared" si="295"/>
        <v>#VALUE!</v>
      </c>
      <c r="BJ3403" s="21" t="e" vm="1">
        <v>#REF!</v>
      </c>
      <c r="BK3403" t="e" vm="1">
        <v>#REF!</v>
      </c>
      <c r="BM3403" t="e" vm="2">
        <f t="shared" si="296"/>
        <v>#VALUE!</v>
      </c>
      <c r="BN3403" t="e" vm="2">
        <f t="shared" si="297"/>
        <v>#VALUE!</v>
      </c>
    </row>
    <row r="3404" spans="55:66" x14ac:dyDescent="0.2">
      <c r="BC3404" s="21" t="e" vm="1">
        <v>#REF!</v>
      </c>
      <c r="BD3404" t="e" vm="1">
        <v>#REF!</v>
      </c>
      <c r="BF3404" t="e" vm="2">
        <f t="shared" si="294"/>
        <v>#VALUE!</v>
      </c>
      <c r="BG3404" t="e" vm="2">
        <f t="shared" si="295"/>
        <v>#VALUE!</v>
      </c>
      <c r="BJ3404" s="21" t="e" vm="1">
        <v>#REF!</v>
      </c>
      <c r="BK3404" t="e" vm="1">
        <v>#REF!</v>
      </c>
      <c r="BM3404" t="e" vm="2">
        <f t="shared" si="296"/>
        <v>#VALUE!</v>
      </c>
      <c r="BN3404" t="e" vm="2">
        <f t="shared" si="297"/>
        <v>#VALUE!</v>
      </c>
    </row>
    <row r="3405" spans="55:66" x14ac:dyDescent="0.2">
      <c r="BC3405" s="21" t="e" vm="1">
        <v>#REF!</v>
      </c>
      <c r="BD3405" t="e" vm="1">
        <v>#REF!</v>
      </c>
      <c r="BF3405" t="e" vm="2">
        <f t="shared" si="294"/>
        <v>#VALUE!</v>
      </c>
      <c r="BG3405" t="e" vm="2">
        <f t="shared" si="295"/>
        <v>#VALUE!</v>
      </c>
      <c r="BJ3405" s="21" t="e" vm="1">
        <v>#REF!</v>
      </c>
      <c r="BK3405" t="e" vm="1">
        <v>#REF!</v>
      </c>
      <c r="BM3405" t="e" vm="2">
        <f t="shared" si="296"/>
        <v>#VALUE!</v>
      </c>
      <c r="BN3405" t="e" vm="2">
        <f t="shared" si="297"/>
        <v>#VALUE!</v>
      </c>
    </row>
    <row r="3406" spans="55:66" x14ac:dyDescent="0.2">
      <c r="BC3406" s="21" t="e" vm="1">
        <v>#REF!</v>
      </c>
      <c r="BD3406" t="e" vm="1">
        <v>#REF!</v>
      </c>
      <c r="BF3406" t="e" vm="2">
        <f t="shared" si="294"/>
        <v>#VALUE!</v>
      </c>
      <c r="BG3406" t="e" vm="2">
        <f t="shared" si="295"/>
        <v>#VALUE!</v>
      </c>
      <c r="BJ3406" s="21" t="e" vm="1">
        <v>#REF!</v>
      </c>
      <c r="BK3406" t="e" vm="1">
        <v>#REF!</v>
      </c>
      <c r="BM3406" t="e" vm="2">
        <f t="shared" si="296"/>
        <v>#VALUE!</v>
      </c>
      <c r="BN3406" t="e" vm="2">
        <f t="shared" si="297"/>
        <v>#VALUE!</v>
      </c>
    </row>
    <row r="3407" spans="55:66" x14ac:dyDescent="0.2">
      <c r="BC3407" s="21" t="e" vm="1">
        <v>#REF!</v>
      </c>
      <c r="BD3407" t="e" vm="1">
        <v>#REF!</v>
      </c>
      <c r="BF3407" t="e" vm="2">
        <f t="shared" si="294"/>
        <v>#VALUE!</v>
      </c>
      <c r="BG3407" t="e" vm="2">
        <f t="shared" si="295"/>
        <v>#VALUE!</v>
      </c>
      <c r="BJ3407" s="21" t="e" vm="1">
        <v>#REF!</v>
      </c>
      <c r="BK3407" t="e" vm="1">
        <v>#REF!</v>
      </c>
      <c r="BM3407" t="e" vm="2">
        <f t="shared" si="296"/>
        <v>#VALUE!</v>
      </c>
      <c r="BN3407" t="e" vm="2">
        <f t="shared" si="297"/>
        <v>#VALUE!</v>
      </c>
    </row>
    <row r="3408" spans="55:66" x14ac:dyDescent="0.2">
      <c r="BC3408" s="21" t="e" vm="1">
        <v>#REF!</v>
      </c>
      <c r="BD3408" t="e" vm="1">
        <v>#REF!</v>
      </c>
      <c r="BF3408" t="e" vm="2">
        <f t="shared" si="294"/>
        <v>#VALUE!</v>
      </c>
      <c r="BG3408" t="e" vm="2">
        <f t="shared" si="295"/>
        <v>#VALUE!</v>
      </c>
      <c r="BJ3408" s="21" t="e" vm="1">
        <v>#REF!</v>
      </c>
      <c r="BK3408" t="e" vm="1">
        <v>#REF!</v>
      </c>
      <c r="BM3408" t="e" vm="2">
        <f t="shared" si="296"/>
        <v>#VALUE!</v>
      </c>
      <c r="BN3408" t="e" vm="2">
        <f t="shared" si="297"/>
        <v>#VALUE!</v>
      </c>
    </row>
    <row r="3409" spans="55:66" x14ac:dyDescent="0.2">
      <c r="BC3409" s="21" t="e" vm="1">
        <v>#REF!</v>
      </c>
      <c r="BD3409" t="e" vm="1">
        <v>#REF!</v>
      </c>
      <c r="BF3409" t="e" vm="2">
        <f t="shared" si="294"/>
        <v>#VALUE!</v>
      </c>
      <c r="BG3409" t="e" vm="2">
        <f t="shared" si="295"/>
        <v>#VALUE!</v>
      </c>
      <c r="BJ3409" s="21" t="e" vm="1">
        <v>#REF!</v>
      </c>
      <c r="BK3409" t="e" vm="1">
        <v>#REF!</v>
      </c>
      <c r="BM3409" t="e" vm="2">
        <f t="shared" si="296"/>
        <v>#VALUE!</v>
      </c>
      <c r="BN3409" t="e" vm="2">
        <f t="shared" si="297"/>
        <v>#VALUE!</v>
      </c>
    </row>
    <row r="3410" spans="55:66" x14ac:dyDescent="0.2">
      <c r="BC3410" s="21" t="e" vm="1">
        <v>#REF!</v>
      </c>
      <c r="BD3410" t="e" vm="1">
        <v>#REF!</v>
      </c>
      <c r="BF3410" t="e" vm="2">
        <f t="shared" si="294"/>
        <v>#VALUE!</v>
      </c>
      <c r="BG3410" t="e" vm="2">
        <f t="shared" si="295"/>
        <v>#VALUE!</v>
      </c>
      <c r="BJ3410" s="21" t="e" vm="1">
        <v>#REF!</v>
      </c>
      <c r="BK3410" t="e" vm="1">
        <v>#REF!</v>
      </c>
      <c r="BM3410" t="e" vm="2">
        <f t="shared" si="296"/>
        <v>#VALUE!</v>
      </c>
      <c r="BN3410" t="e" vm="2">
        <f t="shared" si="297"/>
        <v>#VALUE!</v>
      </c>
    </row>
    <row r="3411" spans="55:66" x14ac:dyDescent="0.2">
      <c r="BC3411" s="21" t="e" vm="1">
        <v>#REF!</v>
      </c>
      <c r="BD3411" t="e" vm="1">
        <v>#REF!</v>
      </c>
      <c r="BF3411" t="e" vm="2">
        <f t="shared" si="294"/>
        <v>#VALUE!</v>
      </c>
      <c r="BG3411" t="e" vm="2">
        <f t="shared" si="295"/>
        <v>#VALUE!</v>
      </c>
      <c r="BJ3411" s="21" t="e" vm="1">
        <v>#REF!</v>
      </c>
      <c r="BK3411" t="e" vm="1">
        <v>#REF!</v>
      </c>
      <c r="BM3411" t="e" vm="2">
        <f t="shared" si="296"/>
        <v>#VALUE!</v>
      </c>
      <c r="BN3411" t="e" vm="2">
        <f t="shared" si="297"/>
        <v>#VALUE!</v>
      </c>
    </row>
    <row r="3412" spans="55:66" x14ac:dyDescent="0.2">
      <c r="BC3412" s="21" t="e" vm="1">
        <v>#REF!</v>
      </c>
      <c r="BD3412" t="e" vm="1">
        <v>#REF!</v>
      </c>
      <c r="BF3412" t="e" vm="2">
        <f t="shared" si="294"/>
        <v>#VALUE!</v>
      </c>
      <c r="BG3412" t="e" vm="2">
        <f t="shared" si="295"/>
        <v>#VALUE!</v>
      </c>
      <c r="BJ3412" s="21" t="e" vm="1">
        <v>#REF!</v>
      </c>
      <c r="BK3412" t="e" vm="1">
        <v>#REF!</v>
      </c>
      <c r="BM3412" t="e" vm="2">
        <f t="shared" si="296"/>
        <v>#VALUE!</v>
      </c>
      <c r="BN3412" t="e" vm="2">
        <f t="shared" si="297"/>
        <v>#VALUE!</v>
      </c>
    </row>
    <row r="3413" spans="55:66" x14ac:dyDescent="0.2">
      <c r="BC3413" s="21" t="e" vm="1">
        <v>#REF!</v>
      </c>
      <c r="BD3413" t="e" vm="1">
        <v>#REF!</v>
      </c>
      <c r="BF3413" t="e" vm="2">
        <f t="shared" si="294"/>
        <v>#VALUE!</v>
      </c>
      <c r="BG3413" t="e" vm="2">
        <f t="shared" si="295"/>
        <v>#VALUE!</v>
      </c>
      <c r="BJ3413" s="21" t="e" vm="1">
        <v>#REF!</v>
      </c>
      <c r="BK3413" t="e" vm="1">
        <v>#REF!</v>
      </c>
      <c r="BM3413" t="e" vm="2">
        <f t="shared" si="296"/>
        <v>#VALUE!</v>
      </c>
      <c r="BN3413" t="e" vm="2">
        <f t="shared" si="297"/>
        <v>#VALUE!</v>
      </c>
    </row>
    <row r="3414" spans="55:66" x14ac:dyDescent="0.2">
      <c r="BC3414" s="21" t="e" vm="1">
        <v>#REF!</v>
      </c>
      <c r="BD3414" t="e" vm="1">
        <v>#REF!</v>
      </c>
      <c r="BF3414" t="e" vm="2">
        <f t="shared" si="294"/>
        <v>#VALUE!</v>
      </c>
      <c r="BG3414" t="e" vm="2">
        <f t="shared" si="295"/>
        <v>#VALUE!</v>
      </c>
      <c r="BJ3414" s="21" t="e" vm="1">
        <v>#REF!</v>
      </c>
      <c r="BK3414" t="e" vm="1">
        <v>#REF!</v>
      </c>
      <c r="BM3414" t="e" vm="2">
        <f t="shared" si="296"/>
        <v>#VALUE!</v>
      </c>
      <c r="BN3414" t="e" vm="2">
        <f t="shared" si="297"/>
        <v>#VALUE!</v>
      </c>
    </row>
    <row r="3415" spans="55:66" x14ac:dyDescent="0.2">
      <c r="BC3415" s="21" t="e" vm="1">
        <v>#REF!</v>
      </c>
      <c r="BD3415" t="e" vm="1">
        <v>#REF!</v>
      </c>
      <c r="BF3415" t="e" vm="2">
        <f t="shared" si="294"/>
        <v>#VALUE!</v>
      </c>
      <c r="BG3415" t="e" vm="2">
        <f t="shared" si="295"/>
        <v>#VALUE!</v>
      </c>
      <c r="BJ3415" s="21" t="e" vm="1">
        <v>#REF!</v>
      </c>
      <c r="BK3415" t="e" vm="1">
        <v>#REF!</v>
      </c>
      <c r="BM3415" t="e" vm="2">
        <f t="shared" si="296"/>
        <v>#VALUE!</v>
      </c>
      <c r="BN3415" t="e" vm="2">
        <f t="shared" si="297"/>
        <v>#VALUE!</v>
      </c>
    </row>
    <row r="3416" spans="55:66" x14ac:dyDescent="0.2">
      <c r="BC3416" s="21" t="e" vm="1">
        <v>#REF!</v>
      </c>
      <c r="BD3416" t="e" vm="1">
        <v>#REF!</v>
      </c>
      <c r="BF3416" t="e" vm="2">
        <f t="shared" si="294"/>
        <v>#VALUE!</v>
      </c>
      <c r="BG3416" t="e" vm="2">
        <f t="shared" si="295"/>
        <v>#VALUE!</v>
      </c>
      <c r="BJ3416" s="21" t="e" vm="1">
        <v>#REF!</v>
      </c>
      <c r="BK3416" t="e" vm="1">
        <v>#REF!</v>
      </c>
      <c r="BM3416" t="e" vm="2">
        <f t="shared" si="296"/>
        <v>#VALUE!</v>
      </c>
      <c r="BN3416" t="e" vm="2">
        <f t="shared" si="297"/>
        <v>#VALUE!</v>
      </c>
    </row>
    <row r="3417" spans="55:66" x14ac:dyDescent="0.2">
      <c r="BC3417" s="21" t="e" vm="1">
        <v>#REF!</v>
      </c>
      <c r="BD3417" t="e" vm="1">
        <v>#REF!</v>
      </c>
      <c r="BF3417" t="e" vm="2">
        <f t="shared" si="294"/>
        <v>#VALUE!</v>
      </c>
      <c r="BG3417" t="e" vm="2">
        <f t="shared" si="295"/>
        <v>#VALUE!</v>
      </c>
      <c r="BJ3417" s="21" t="e" vm="1">
        <v>#REF!</v>
      </c>
      <c r="BK3417" t="e" vm="1">
        <v>#REF!</v>
      </c>
      <c r="BM3417" t="e" vm="2">
        <f t="shared" si="296"/>
        <v>#VALUE!</v>
      </c>
      <c r="BN3417" t="e" vm="2">
        <f t="shared" si="297"/>
        <v>#VALUE!</v>
      </c>
    </row>
    <row r="3418" spans="55:66" x14ac:dyDescent="0.2">
      <c r="BC3418" s="21" t="e" vm="1">
        <v>#REF!</v>
      </c>
      <c r="BD3418" t="e" vm="1">
        <v>#REF!</v>
      </c>
      <c r="BF3418" t="e" vm="2">
        <f t="shared" si="294"/>
        <v>#VALUE!</v>
      </c>
      <c r="BG3418" t="e" vm="2">
        <f t="shared" si="295"/>
        <v>#VALUE!</v>
      </c>
      <c r="BJ3418" s="21" t="e" vm="1">
        <v>#REF!</v>
      </c>
      <c r="BK3418" t="e" vm="1">
        <v>#REF!</v>
      </c>
      <c r="BM3418" t="e" vm="2">
        <f t="shared" si="296"/>
        <v>#VALUE!</v>
      </c>
      <c r="BN3418" t="e" vm="2">
        <f t="shared" si="297"/>
        <v>#VALUE!</v>
      </c>
    </row>
    <row r="3419" spans="55:66" x14ac:dyDescent="0.2">
      <c r="BC3419" s="21" t="e" vm="1">
        <v>#REF!</v>
      </c>
      <c r="BD3419" t="e" vm="1">
        <v>#REF!</v>
      </c>
      <c r="BF3419" t="e" vm="2">
        <f t="shared" si="294"/>
        <v>#VALUE!</v>
      </c>
      <c r="BG3419" t="e" vm="2">
        <f t="shared" si="295"/>
        <v>#VALUE!</v>
      </c>
      <c r="BJ3419" s="21" t="e" vm="1">
        <v>#REF!</v>
      </c>
      <c r="BK3419" t="e" vm="1">
        <v>#REF!</v>
      </c>
      <c r="BM3419" t="e" vm="2">
        <f t="shared" si="296"/>
        <v>#VALUE!</v>
      </c>
      <c r="BN3419" t="e" vm="2">
        <f t="shared" si="297"/>
        <v>#VALUE!</v>
      </c>
    </row>
    <row r="3420" spans="55:66" x14ac:dyDescent="0.2">
      <c r="BC3420" s="21" t="e" vm="1">
        <v>#REF!</v>
      </c>
      <c r="BD3420" t="e" vm="1">
        <v>#REF!</v>
      </c>
      <c r="BF3420" t="e" vm="2">
        <f t="shared" si="294"/>
        <v>#VALUE!</v>
      </c>
      <c r="BG3420" t="e" vm="2">
        <f t="shared" si="295"/>
        <v>#VALUE!</v>
      </c>
      <c r="BJ3420" s="21" t="e" vm="1">
        <v>#REF!</v>
      </c>
      <c r="BK3420" t="e" vm="1">
        <v>#REF!</v>
      </c>
      <c r="BM3420" t="e" vm="2">
        <f t="shared" si="296"/>
        <v>#VALUE!</v>
      </c>
      <c r="BN3420" t="e" vm="2">
        <f t="shared" si="297"/>
        <v>#VALUE!</v>
      </c>
    </row>
    <row r="3421" spans="55:66" x14ac:dyDescent="0.2">
      <c r="BC3421" s="21" t="e" vm="1">
        <v>#REF!</v>
      </c>
      <c r="BD3421" t="e" vm="1">
        <v>#REF!</v>
      </c>
      <c r="BF3421" t="e" vm="2">
        <f t="shared" si="294"/>
        <v>#VALUE!</v>
      </c>
      <c r="BG3421" t="e" vm="2">
        <f t="shared" si="295"/>
        <v>#VALUE!</v>
      </c>
      <c r="BJ3421" s="21" t="e" vm="1">
        <v>#REF!</v>
      </c>
      <c r="BK3421" t="e" vm="1">
        <v>#REF!</v>
      </c>
      <c r="BM3421" t="e" vm="2">
        <f t="shared" si="296"/>
        <v>#VALUE!</v>
      </c>
      <c r="BN3421" t="e" vm="2">
        <f t="shared" si="297"/>
        <v>#VALUE!</v>
      </c>
    </row>
    <row r="3422" spans="55:66" x14ac:dyDescent="0.2">
      <c r="BC3422" s="21" t="e" vm="1">
        <v>#REF!</v>
      </c>
      <c r="BD3422" t="e" vm="1">
        <v>#REF!</v>
      </c>
      <c r="BF3422" t="e" vm="2">
        <f t="shared" si="294"/>
        <v>#VALUE!</v>
      </c>
      <c r="BG3422" t="e" vm="2">
        <f t="shared" si="295"/>
        <v>#VALUE!</v>
      </c>
      <c r="BJ3422" s="21" t="e" vm="1">
        <v>#REF!</v>
      </c>
      <c r="BK3422" t="e" vm="1">
        <v>#REF!</v>
      </c>
      <c r="BM3422" t="e" vm="2">
        <f t="shared" si="296"/>
        <v>#VALUE!</v>
      </c>
      <c r="BN3422" t="e" vm="2">
        <f t="shared" si="297"/>
        <v>#VALUE!</v>
      </c>
    </row>
    <row r="3423" spans="55:66" x14ac:dyDescent="0.2">
      <c r="BC3423" s="21" t="e" vm="1">
        <v>#REF!</v>
      </c>
      <c r="BD3423" t="e" vm="1">
        <v>#REF!</v>
      </c>
      <c r="BF3423" t="e" vm="2">
        <f t="shared" si="294"/>
        <v>#VALUE!</v>
      </c>
      <c r="BG3423" t="e" vm="2">
        <f t="shared" si="295"/>
        <v>#VALUE!</v>
      </c>
      <c r="BJ3423" s="21" t="e" vm="1">
        <v>#REF!</v>
      </c>
      <c r="BK3423" t="e" vm="1">
        <v>#REF!</v>
      </c>
      <c r="BM3423" t="e" vm="2">
        <f t="shared" si="296"/>
        <v>#VALUE!</v>
      </c>
      <c r="BN3423" t="e" vm="2">
        <f t="shared" si="297"/>
        <v>#VALUE!</v>
      </c>
    </row>
    <row r="3424" spans="55:66" x14ac:dyDescent="0.2">
      <c r="BC3424" s="21" t="e" vm="1">
        <v>#REF!</v>
      </c>
      <c r="BD3424" t="e" vm="1">
        <v>#REF!</v>
      </c>
      <c r="BF3424" t="e" vm="2">
        <f t="shared" si="294"/>
        <v>#VALUE!</v>
      </c>
      <c r="BG3424" t="e" vm="2">
        <f t="shared" si="295"/>
        <v>#VALUE!</v>
      </c>
      <c r="BJ3424" s="21" t="e" vm="1">
        <v>#REF!</v>
      </c>
      <c r="BK3424" t="e" vm="1">
        <v>#REF!</v>
      </c>
      <c r="BM3424" t="e" vm="2">
        <f t="shared" si="296"/>
        <v>#VALUE!</v>
      </c>
      <c r="BN3424" t="e" vm="2">
        <f t="shared" si="297"/>
        <v>#VALUE!</v>
      </c>
    </row>
    <row r="3425" spans="55:66" x14ac:dyDescent="0.2">
      <c r="BC3425" s="21" t="e" vm="1">
        <v>#REF!</v>
      </c>
      <c r="BD3425" t="e" vm="1">
        <v>#REF!</v>
      </c>
      <c r="BF3425" t="e" vm="2">
        <f t="shared" si="294"/>
        <v>#VALUE!</v>
      </c>
      <c r="BG3425" t="e" vm="2">
        <f t="shared" si="295"/>
        <v>#VALUE!</v>
      </c>
      <c r="BJ3425" s="21" t="e" vm="1">
        <v>#REF!</v>
      </c>
      <c r="BK3425" t="e" vm="1">
        <v>#REF!</v>
      </c>
      <c r="BM3425" t="e" vm="2">
        <f t="shared" si="296"/>
        <v>#VALUE!</v>
      </c>
      <c r="BN3425" t="e" vm="2">
        <f t="shared" si="297"/>
        <v>#VALUE!</v>
      </c>
    </row>
    <row r="3426" spans="55:66" x14ac:dyDescent="0.2">
      <c r="BC3426" s="21" t="e" vm="1">
        <v>#REF!</v>
      </c>
      <c r="BD3426" t="e" vm="1">
        <v>#REF!</v>
      </c>
      <c r="BF3426" t="e" vm="2">
        <f t="shared" si="294"/>
        <v>#VALUE!</v>
      </c>
      <c r="BG3426" t="e" vm="2">
        <f t="shared" si="295"/>
        <v>#VALUE!</v>
      </c>
      <c r="BJ3426" s="21" t="e" vm="1">
        <v>#REF!</v>
      </c>
      <c r="BK3426" t="e" vm="1">
        <v>#REF!</v>
      </c>
      <c r="BM3426" t="e" vm="2">
        <f t="shared" si="296"/>
        <v>#VALUE!</v>
      </c>
      <c r="BN3426" t="e" vm="2">
        <f t="shared" si="297"/>
        <v>#VALUE!</v>
      </c>
    </row>
    <row r="3427" spans="55:66" x14ac:dyDescent="0.2">
      <c r="BC3427" s="21" t="e" vm="1">
        <v>#REF!</v>
      </c>
      <c r="BD3427" t="e" vm="1">
        <v>#REF!</v>
      </c>
      <c r="BF3427" t="e" vm="2">
        <f t="shared" si="294"/>
        <v>#VALUE!</v>
      </c>
      <c r="BG3427" t="e" vm="2">
        <f t="shared" si="295"/>
        <v>#VALUE!</v>
      </c>
      <c r="BJ3427" s="21" t="e" vm="1">
        <v>#REF!</v>
      </c>
      <c r="BK3427" t="e" vm="1">
        <v>#REF!</v>
      </c>
      <c r="BM3427" t="e" vm="2">
        <f t="shared" si="296"/>
        <v>#VALUE!</v>
      </c>
      <c r="BN3427" t="e" vm="2">
        <f t="shared" si="297"/>
        <v>#VALUE!</v>
      </c>
    </row>
    <row r="3428" spans="55:66" x14ac:dyDescent="0.2">
      <c r="BC3428" s="21" t="e" vm="1">
        <v>#REF!</v>
      </c>
      <c r="BD3428" t="e" vm="1">
        <v>#REF!</v>
      </c>
      <c r="BF3428" t="e" vm="2">
        <f t="shared" si="294"/>
        <v>#VALUE!</v>
      </c>
      <c r="BG3428" t="e" vm="2">
        <f t="shared" si="295"/>
        <v>#VALUE!</v>
      </c>
      <c r="BJ3428" s="21" t="e" vm="1">
        <v>#REF!</v>
      </c>
      <c r="BK3428" t="e" vm="1">
        <v>#REF!</v>
      </c>
      <c r="BM3428" t="e" vm="2">
        <f t="shared" si="296"/>
        <v>#VALUE!</v>
      </c>
      <c r="BN3428" t="e" vm="2">
        <f t="shared" si="297"/>
        <v>#VALUE!</v>
      </c>
    </row>
    <row r="3429" spans="55:66" x14ac:dyDescent="0.2">
      <c r="BC3429" s="21" t="e" vm="1">
        <v>#REF!</v>
      </c>
      <c r="BD3429" t="e" vm="1">
        <v>#REF!</v>
      </c>
      <c r="BF3429" t="e" vm="2">
        <f t="shared" si="294"/>
        <v>#VALUE!</v>
      </c>
      <c r="BG3429" t="e" vm="2">
        <f t="shared" si="295"/>
        <v>#VALUE!</v>
      </c>
      <c r="BJ3429" s="21" t="e" vm="1">
        <v>#REF!</v>
      </c>
      <c r="BK3429" t="e" vm="1">
        <v>#REF!</v>
      </c>
      <c r="BM3429" t="e" vm="2">
        <f t="shared" si="296"/>
        <v>#VALUE!</v>
      </c>
      <c r="BN3429" t="e" vm="2">
        <f t="shared" si="297"/>
        <v>#VALUE!</v>
      </c>
    </row>
    <row r="3430" spans="55:66" x14ac:dyDescent="0.2">
      <c r="BC3430" s="21" t="e" vm="1">
        <v>#REF!</v>
      </c>
      <c r="BD3430" t="e" vm="1">
        <v>#REF!</v>
      </c>
      <c r="BF3430" t="e" vm="2">
        <f t="shared" si="294"/>
        <v>#VALUE!</v>
      </c>
      <c r="BG3430" t="e" vm="2">
        <f t="shared" si="295"/>
        <v>#VALUE!</v>
      </c>
      <c r="BJ3430" s="21" t="e" vm="1">
        <v>#REF!</v>
      </c>
      <c r="BK3430" t="e" vm="1">
        <v>#REF!</v>
      </c>
      <c r="BM3430" t="e" vm="2">
        <f t="shared" si="296"/>
        <v>#VALUE!</v>
      </c>
      <c r="BN3430" t="e" vm="2">
        <f t="shared" si="297"/>
        <v>#VALUE!</v>
      </c>
    </row>
    <row r="3431" spans="55:66" x14ac:dyDescent="0.2">
      <c r="BC3431" s="21" t="e" vm="1">
        <v>#REF!</v>
      </c>
      <c r="BD3431" t="e" vm="1">
        <v>#REF!</v>
      </c>
      <c r="BF3431" t="e" vm="2">
        <f t="shared" si="294"/>
        <v>#VALUE!</v>
      </c>
      <c r="BG3431" t="e" vm="2">
        <f t="shared" si="295"/>
        <v>#VALUE!</v>
      </c>
      <c r="BJ3431" s="21" t="e" vm="1">
        <v>#REF!</v>
      </c>
      <c r="BK3431" t="e" vm="1">
        <v>#REF!</v>
      </c>
      <c r="BM3431" t="e" vm="2">
        <f t="shared" si="296"/>
        <v>#VALUE!</v>
      </c>
      <c r="BN3431" t="e" vm="2">
        <f t="shared" si="297"/>
        <v>#VALUE!</v>
      </c>
    </row>
    <row r="3432" spans="55:66" x14ac:dyDescent="0.2">
      <c r="BC3432" s="21" t="e" vm="1">
        <v>#REF!</v>
      </c>
      <c r="BD3432" t="e" vm="1">
        <v>#REF!</v>
      </c>
      <c r="BF3432" t="e" vm="2">
        <f t="shared" si="294"/>
        <v>#VALUE!</v>
      </c>
      <c r="BG3432" t="e" vm="2">
        <f t="shared" si="295"/>
        <v>#VALUE!</v>
      </c>
      <c r="BJ3432" s="21" t="e" vm="1">
        <v>#REF!</v>
      </c>
      <c r="BK3432" t="e" vm="1">
        <v>#REF!</v>
      </c>
      <c r="BM3432" t="e" vm="2">
        <f t="shared" si="296"/>
        <v>#VALUE!</v>
      </c>
      <c r="BN3432" t="e" vm="2">
        <f t="shared" si="297"/>
        <v>#VALUE!</v>
      </c>
    </row>
    <row r="3433" spans="55:66" x14ac:dyDescent="0.2">
      <c r="BC3433" s="21" t="e" vm="1">
        <v>#REF!</v>
      </c>
      <c r="BD3433" t="e" vm="1">
        <v>#REF!</v>
      </c>
      <c r="BF3433" t="e" vm="2">
        <f t="shared" si="294"/>
        <v>#VALUE!</v>
      </c>
      <c r="BG3433" t="e" vm="2">
        <f t="shared" si="295"/>
        <v>#VALUE!</v>
      </c>
      <c r="BJ3433" s="21" t="e" vm="1">
        <v>#REF!</v>
      </c>
      <c r="BK3433" t="e" vm="1">
        <v>#REF!</v>
      </c>
      <c r="BM3433" t="e" vm="2">
        <f t="shared" si="296"/>
        <v>#VALUE!</v>
      </c>
      <c r="BN3433" t="e" vm="2">
        <f t="shared" si="297"/>
        <v>#VALUE!</v>
      </c>
    </row>
    <row r="3434" spans="55:66" x14ac:dyDescent="0.2">
      <c r="BC3434" s="21" t="e" vm="1">
        <v>#REF!</v>
      </c>
      <c r="BD3434" t="e" vm="1">
        <v>#REF!</v>
      </c>
      <c r="BF3434" t="e" vm="2">
        <f t="shared" si="294"/>
        <v>#VALUE!</v>
      </c>
      <c r="BG3434" t="e" vm="2">
        <f t="shared" si="295"/>
        <v>#VALUE!</v>
      </c>
      <c r="BJ3434" s="21" t="e" vm="1">
        <v>#REF!</v>
      </c>
      <c r="BK3434" t="e" vm="1">
        <v>#REF!</v>
      </c>
      <c r="BM3434" t="e" vm="2">
        <f t="shared" si="296"/>
        <v>#VALUE!</v>
      </c>
      <c r="BN3434" t="e" vm="2">
        <f t="shared" si="297"/>
        <v>#VALUE!</v>
      </c>
    </row>
    <row r="3435" spans="55:66" x14ac:dyDescent="0.2">
      <c r="BC3435" s="21" t="e" vm="1">
        <v>#REF!</v>
      </c>
      <c r="BD3435" t="e" vm="1">
        <v>#REF!</v>
      </c>
      <c r="BF3435" t="e" vm="2">
        <f t="shared" si="294"/>
        <v>#VALUE!</v>
      </c>
      <c r="BG3435" t="e" vm="2">
        <f t="shared" si="295"/>
        <v>#VALUE!</v>
      </c>
      <c r="BJ3435" s="21" t="e" vm="1">
        <v>#REF!</v>
      </c>
      <c r="BK3435" t="e" vm="1">
        <v>#REF!</v>
      </c>
      <c r="BM3435" t="e" vm="2">
        <f t="shared" si="296"/>
        <v>#VALUE!</v>
      </c>
      <c r="BN3435" t="e" vm="2">
        <f t="shared" si="297"/>
        <v>#VALUE!</v>
      </c>
    </row>
    <row r="3436" spans="55:66" x14ac:dyDescent="0.2">
      <c r="BC3436" s="21" t="e" vm="1">
        <v>#REF!</v>
      </c>
      <c r="BD3436" t="e" vm="1">
        <v>#REF!</v>
      </c>
      <c r="BF3436" t="e" vm="2">
        <f t="shared" si="294"/>
        <v>#VALUE!</v>
      </c>
      <c r="BG3436" t="e" vm="2">
        <f t="shared" si="295"/>
        <v>#VALUE!</v>
      </c>
      <c r="BJ3436" s="21" t="e" vm="1">
        <v>#REF!</v>
      </c>
      <c r="BK3436" t="e" vm="1">
        <v>#REF!</v>
      </c>
      <c r="BM3436" t="e" vm="2">
        <f t="shared" si="296"/>
        <v>#VALUE!</v>
      </c>
      <c r="BN3436" t="e" vm="2">
        <f t="shared" si="297"/>
        <v>#VALUE!</v>
      </c>
    </row>
    <row r="3437" spans="55:66" x14ac:dyDescent="0.2">
      <c r="BC3437" s="21" t="e" vm="1">
        <v>#REF!</v>
      </c>
      <c r="BD3437" t="e" vm="1">
        <v>#REF!</v>
      </c>
      <c r="BF3437" t="e" vm="2">
        <f t="shared" si="294"/>
        <v>#VALUE!</v>
      </c>
      <c r="BG3437" t="e" vm="2">
        <f t="shared" si="295"/>
        <v>#VALUE!</v>
      </c>
      <c r="BJ3437" s="21" t="e" vm="1">
        <v>#REF!</v>
      </c>
      <c r="BK3437" t="e" vm="1">
        <v>#REF!</v>
      </c>
      <c r="BM3437" t="e" vm="2">
        <f t="shared" si="296"/>
        <v>#VALUE!</v>
      </c>
      <c r="BN3437" t="e" vm="2">
        <f t="shared" si="297"/>
        <v>#VALUE!</v>
      </c>
    </row>
    <row r="3438" spans="55:66" x14ac:dyDescent="0.2">
      <c r="BC3438" s="21" t="e" vm="1">
        <v>#REF!</v>
      </c>
      <c r="BD3438" t="e" vm="1">
        <v>#REF!</v>
      </c>
      <c r="BF3438" t="e" vm="2">
        <f t="shared" si="294"/>
        <v>#VALUE!</v>
      </c>
      <c r="BG3438" t="e" vm="2">
        <f t="shared" si="295"/>
        <v>#VALUE!</v>
      </c>
      <c r="BJ3438" s="21" t="e" vm="1">
        <v>#REF!</v>
      </c>
      <c r="BK3438" t="e" vm="1">
        <v>#REF!</v>
      </c>
      <c r="BM3438" t="e" vm="2">
        <f t="shared" si="296"/>
        <v>#VALUE!</v>
      </c>
      <c r="BN3438" t="e" vm="2">
        <f t="shared" si="297"/>
        <v>#VALUE!</v>
      </c>
    </row>
    <row r="3439" spans="55:66" x14ac:dyDescent="0.2">
      <c r="BC3439" s="21" t="e" vm="1">
        <v>#REF!</v>
      </c>
      <c r="BD3439" t="e" vm="1">
        <v>#REF!</v>
      </c>
      <c r="BF3439" t="e" vm="2">
        <f t="shared" si="294"/>
        <v>#VALUE!</v>
      </c>
      <c r="BG3439" t="e" vm="2">
        <f t="shared" si="295"/>
        <v>#VALUE!</v>
      </c>
      <c r="BJ3439" s="21" t="e" vm="1">
        <v>#REF!</v>
      </c>
      <c r="BK3439" t="e" vm="1">
        <v>#REF!</v>
      </c>
      <c r="BM3439" t="e" vm="2">
        <f t="shared" si="296"/>
        <v>#VALUE!</v>
      </c>
      <c r="BN3439" t="e" vm="2">
        <f t="shared" si="297"/>
        <v>#VALUE!</v>
      </c>
    </row>
    <row r="3440" spans="55:66" x14ac:dyDescent="0.2">
      <c r="BC3440" s="21" t="e" vm="1">
        <v>#REF!</v>
      </c>
      <c r="BD3440" t="e" vm="1">
        <v>#REF!</v>
      </c>
      <c r="BF3440" t="e" vm="2">
        <f t="shared" si="294"/>
        <v>#VALUE!</v>
      </c>
      <c r="BG3440" t="e" vm="2">
        <f t="shared" si="295"/>
        <v>#VALUE!</v>
      </c>
      <c r="BJ3440" s="21" t="e" vm="1">
        <v>#REF!</v>
      </c>
      <c r="BK3440" t="e" vm="1">
        <v>#REF!</v>
      </c>
      <c r="BM3440" t="e" vm="2">
        <f t="shared" si="296"/>
        <v>#VALUE!</v>
      </c>
      <c r="BN3440" t="e" vm="2">
        <f t="shared" si="297"/>
        <v>#VALUE!</v>
      </c>
    </row>
    <row r="3441" spans="55:66" x14ac:dyDescent="0.2">
      <c r="BC3441" s="21" t="e" vm="1">
        <v>#REF!</v>
      </c>
      <c r="BD3441" t="e" vm="1">
        <v>#REF!</v>
      </c>
      <c r="BF3441" t="e" vm="2">
        <f t="shared" si="294"/>
        <v>#VALUE!</v>
      </c>
      <c r="BG3441" t="e" vm="2">
        <f t="shared" si="295"/>
        <v>#VALUE!</v>
      </c>
      <c r="BJ3441" s="21" t="e" vm="1">
        <v>#REF!</v>
      </c>
      <c r="BK3441" t="e" vm="1">
        <v>#REF!</v>
      </c>
      <c r="BM3441" t="e" vm="2">
        <f t="shared" si="296"/>
        <v>#VALUE!</v>
      </c>
      <c r="BN3441" t="e" vm="2">
        <f t="shared" si="297"/>
        <v>#VALUE!</v>
      </c>
    </row>
    <row r="3442" spans="55:66" x14ac:dyDescent="0.2">
      <c r="BC3442" s="21" t="e" vm="1">
        <v>#REF!</v>
      </c>
      <c r="BD3442" t="e" vm="1">
        <v>#REF!</v>
      </c>
      <c r="BF3442" t="e" vm="2">
        <f t="shared" si="294"/>
        <v>#VALUE!</v>
      </c>
      <c r="BG3442" t="e" vm="2">
        <f t="shared" si="295"/>
        <v>#VALUE!</v>
      </c>
      <c r="BJ3442" s="21" t="e" vm="1">
        <v>#REF!</v>
      </c>
      <c r="BK3442" t="e" vm="1">
        <v>#REF!</v>
      </c>
      <c r="BM3442" t="e" vm="2">
        <f t="shared" si="296"/>
        <v>#VALUE!</v>
      </c>
      <c r="BN3442" t="e" vm="2">
        <f t="shared" si="297"/>
        <v>#VALUE!</v>
      </c>
    </row>
    <row r="3443" spans="55:66" x14ac:dyDescent="0.2">
      <c r="BC3443" s="21" t="e" vm="1">
        <v>#REF!</v>
      </c>
      <c r="BD3443" t="e" vm="1">
        <v>#REF!</v>
      </c>
      <c r="BF3443" t="e" vm="2">
        <f t="shared" si="294"/>
        <v>#VALUE!</v>
      </c>
      <c r="BG3443" t="e" vm="2">
        <f t="shared" si="295"/>
        <v>#VALUE!</v>
      </c>
      <c r="BJ3443" s="21" t="e" vm="1">
        <v>#REF!</v>
      </c>
      <c r="BK3443" t="e" vm="1">
        <v>#REF!</v>
      </c>
      <c r="BM3443" t="e" vm="2">
        <f t="shared" si="296"/>
        <v>#VALUE!</v>
      </c>
      <c r="BN3443" t="e" vm="2">
        <f t="shared" si="297"/>
        <v>#VALUE!</v>
      </c>
    </row>
    <row r="3444" spans="55:66" x14ac:dyDescent="0.2">
      <c r="BC3444" s="21" t="e" vm="1">
        <v>#REF!</v>
      </c>
      <c r="BD3444" t="e" vm="1">
        <v>#REF!</v>
      </c>
      <c r="BF3444" t="e" vm="2">
        <f t="shared" si="294"/>
        <v>#VALUE!</v>
      </c>
      <c r="BG3444" t="e" vm="2">
        <f t="shared" si="295"/>
        <v>#VALUE!</v>
      </c>
      <c r="BJ3444" s="21" t="e" vm="1">
        <v>#REF!</v>
      </c>
      <c r="BK3444" t="e" vm="1">
        <v>#REF!</v>
      </c>
      <c r="BM3444" t="e" vm="2">
        <f t="shared" si="296"/>
        <v>#VALUE!</v>
      </c>
      <c r="BN3444" t="e" vm="2">
        <f t="shared" si="297"/>
        <v>#VALUE!</v>
      </c>
    </row>
    <row r="3445" spans="55:66" x14ac:dyDescent="0.2">
      <c r="BC3445" s="21" t="e" vm="1">
        <v>#REF!</v>
      </c>
      <c r="BD3445" t="e" vm="1">
        <v>#REF!</v>
      </c>
      <c r="BF3445" t="e" vm="2">
        <f t="shared" si="294"/>
        <v>#VALUE!</v>
      </c>
      <c r="BG3445" t="e" vm="2">
        <f t="shared" si="295"/>
        <v>#VALUE!</v>
      </c>
      <c r="BJ3445" s="21" t="e" vm="1">
        <v>#REF!</v>
      </c>
      <c r="BK3445" t="e" vm="1">
        <v>#REF!</v>
      </c>
      <c r="BM3445" t="e" vm="2">
        <f t="shared" si="296"/>
        <v>#VALUE!</v>
      </c>
      <c r="BN3445" t="e" vm="2">
        <f t="shared" si="297"/>
        <v>#VALUE!</v>
      </c>
    </row>
    <row r="3446" spans="55:66" x14ac:dyDescent="0.2">
      <c r="BC3446" s="21" t="e" vm="1">
        <v>#REF!</v>
      </c>
      <c r="BD3446" t="e" vm="1">
        <v>#REF!</v>
      </c>
      <c r="BF3446" t="e" vm="2">
        <f t="shared" si="294"/>
        <v>#VALUE!</v>
      </c>
      <c r="BG3446" t="e" vm="2">
        <f t="shared" si="295"/>
        <v>#VALUE!</v>
      </c>
      <c r="BJ3446" s="21" t="e" vm="1">
        <v>#REF!</v>
      </c>
      <c r="BK3446" t="e" vm="1">
        <v>#REF!</v>
      </c>
      <c r="BM3446" t="e" vm="2">
        <f t="shared" si="296"/>
        <v>#VALUE!</v>
      </c>
      <c r="BN3446" t="e" vm="2">
        <f t="shared" si="297"/>
        <v>#VALUE!</v>
      </c>
    </row>
    <row r="3447" spans="55:66" x14ac:dyDescent="0.2">
      <c r="BC3447" s="21" t="e" vm="1">
        <v>#REF!</v>
      </c>
      <c r="BD3447" t="e" vm="1">
        <v>#REF!</v>
      </c>
      <c r="BF3447" t="e" vm="2">
        <f t="shared" si="294"/>
        <v>#VALUE!</v>
      </c>
      <c r="BG3447" t="e" vm="2">
        <f t="shared" si="295"/>
        <v>#VALUE!</v>
      </c>
      <c r="BJ3447" s="21" t="e" vm="1">
        <v>#REF!</v>
      </c>
      <c r="BK3447" t="e" vm="1">
        <v>#REF!</v>
      </c>
      <c r="BM3447" t="e" vm="2">
        <f t="shared" si="296"/>
        <v>#VALUE!</v>
      </c>
      <c r="BN3447" t="e" vm="2">
        <f t="shared" si="297"/>
        <v>#VALUE!</v>
      </c>
    </row>
    <row r="3448" spans="55:66" x14ac:dyDescent="0.2">
      <c r="BC3448" s="21" t="e" vm="1">
        <v>#REF!</v>
      </c>
      <c r="BD3448" t="e" vm="1">
        <v>#REF!</v>
      </c>
      <c r="BF3448" t="e" vm="2">
        <f t="shared" si="294"/>
        <v>#VALUE!</v>
      </c>
      <c r="BG3448" t="e" vm="2">
        <f t="shared" si="295"/>
        <v>#VALUE!</v>
      </c>
      <c r="BJ3448" s="21" t="e" vm="1">
        <v>#REF!</v>
      </c>
      <c r="BK3448" t="e" vm="1">
        <v>#REF!</v>
      </c>
      <c r="BM3448" t="e" vm="2">
        <f t="shared" si="296"/>
        <v>#VALUE!</v>
      </c>
      <c r="BN3448" t="e" vm="2">
        <f t="shared" si="297"/>
        <v>#VALUE!</v>
      </c>
    </row>
    <row r="3449" spans="55:66" x14ac:dyDescent="0.2">
      <c r="BC3449" s="21" t="e" vm="1">
        <v>#REF!</v>
      </c>
      <c r="BD3449" t="e" vm="1">
        <v>#REF!</v>
      </c>
      <c r="BF3449" t="e" vm="2">
        <f t="shared" si="294"/>
        <v>#VALUE!</v>
      </c>
      <c r="BG3449" t="e" vm="2">
        <f t="shared" si="295"/>
        <v>#VALUE!</v>
      </c>
      <c r="BJ3449" s="21" t="e" vm="1">
        <v>#REF!</v>
      </c>
      <c r="BK3449" t="e" vm="1">
        <v>#REF!</v>
      </c>
      <c r="BM3449" t="e" vm="2">
        <f t="shared" si="296"/>
        <v>#VALUE!</v>
      </c>
      <c r="BN3449" t="e" vm="2">
        <f t="shared" si="297"/>
        <v>#VALUE!</v>
      </c>
    </row>
    <row r="3450" spans="55:66" x14ac:dyDescent="0.2">
      <c r="BC3450" s="21" t="e" vm="1">
        <v>#REF!</v>
      </c>
      <c r="BD3450" t="e" vm="1">
        <v>#REF!</v>
      </c>
      <c r="BF3450" t="e" vm="2">
        <f t="shared" si="294"/>
        <v>#VALUE!</v>
      </c>
      <c r="BG3450" t="e" vm="2">
        <f t="shared" si="295"/>
        <v>#VALUE!</v>
      </c>
      <c r="BJ3450" s="21" t="e" vm="1">
        <v>#REF!</v>
      </c>
      <c r="BK3450" t="e" vm="1">
        <v>#REF!</v>
      </c>
      <c r="BM3450" t="e" vm="2">
        <f t="shared" si="296"/>
        <v>#VALUE!</v>
      </c>
      <c r="BN3450" t="e" vm="2">
        <f t="shared" si="297"/>
        <v>#VALUE!</v>
      </c>
    </row>
    <row r="3451" spans="55:66" x14ac:dyDescent="0.2">
      <c r="BC3451" s="21" t="e" vm="1">
        <v>#REF!</v>
      </c>
      <c r="BD3451" t="e" vm="1">
        <v>#REF!</v>
      </c>
      <c r="BF3451" t="e" vm="2">
        <f t="shared" si="294"/>
        <v>#VALUE!</v>
      </c>
      <c r="BG3451" t="e" vm="2">
        <f t="shared" si="295"/>
        <v>#VALUE!</v>
      </c>
      <c r="BJ3451" s="21" t="e" vm="1">
        <v>#REF!</v>
      </c>
      <c r="BK3451" t="e" vm="1">
        <v>#REF!</v>
      </c>
      <c r="BM3451" t="e" vm="2">
        <f t="shared" si="296"/>
        <v>#VALUE!</v>
      </c>
      <c r="BN3451" t="e" vm="2">
        <f t="shared" si="297"/>
        <v>#VALUE!</v>
      </c>
    </row>
    <row r="3452" spans="55:66" x14ac:dyDescent="0.2">
      <c r="BC3452" s="21" t="e" vm="1">
        <v>#REF!</v>
      </c>
      <c r="BD3452" t="e" vm="1">
        <v>#REF!</v>
      </c>
      <c r="BF3452" t="e" vm="2">
        <f t="shared" si="294"/>
        <v>#VALUE!</v>
      </c>
      <c r="BG3452" t="e" vm="2">
        <f t="shared" si="295"/>
        <v>#VALUE!</v>
      </c>
      <c r="BJ3452" s="21" t="e" vm="1">
        <v>#REF!</v>
      </c>
      <c r="BK3452" t="e" vm="1">
        <v>#REF!</v>
      </c>
      <c r="BM3452" t="e" vm="2">
        <f t="shared" si="296"/>
        <v>#VALUE!</v>
      </c>
      <c r="BN3452" t="e" vm="2">
        <f t="shared" si="297"/>
        <v>#VALUE!</v>
      </c>
    </row>
    <row r="3453" spans="55:66" x14ac:dyDescent="0.2">
      <c r="BC3453" s="21" t="e" vm="1">
        <v>#REF!</v>
      </c>
      <c r="BD3453" t="e" vm="1">
        <v>#REF!</v>
      </c>
      <c r="BF3453" t="e" vm="2">
        <f t="shared" si="294"/>
        <v>#VALUE!</v>
      </c>
      <c r="BG3453" t="e" vm="2">
        <f t="shared" si="295"/>
        <v>#VALUE!</v>
      </c>
      <c r="BJ3453" s="21" t="e" vm="1">
        <v>#REF!</v>
      </c>
      <c r="BK3453" t="e" vm="1">
        <v>#REF!</v>
      </c>
      <c r="BM3453" t="e" vm="2">
        <f t="shared" si="296"/>
        <v>#VALUE!</v>
      </c>
      <c r="BN3453" t="e" vm="2">
        <f t="shared" si="297"/>
        <v>#VALUE!</v>
      </c>
    </row>
    <row r="3454" spans="55:66" x14ac:dyDescent="0.2">
      <c r="BC3454" s="21" t="e" vm="1">
        <v>#REF!</v>
      </c>
      <c r="BD3454" t="e" vm="1">
        <v>#REF!</v>
      </c>
      <c r="BF3454" t="e" vm="2">
        <f t="shared" si="294"/>
        <v>#VALUE!</v>
      </c>
      <c r="BG3454" t="e" vm="2">
        <f t="shared" si="295"/>
        <v>#VALUE!</v>
      </c>
      <c r="BJ3454" s="21" t="e" vm="1">
        <v>#REF!</v>
      </c>
      <c r="BK3454" t="e" vm="1">
        <v>#REF!</v>
      </c>
      <c r="BM3454" t="e" vm="2">
        <f t="shared" si="296"/>
        <v>#VALUE!</v>
      </c>
      <c r="BN3454" t="e" vm="2">
        <f t="shared" si="297"/>
        <v>#VALUE!</v>
      </c>
    </row>
    <row r="3455" spans="55:66" x14ac:dyDescent="0.2">
      <c r="BC3455" s="21" t="e" vm="1">
        <v>#REF!</v>
      </c>
      <c r="BD3455" t="e" vm="1">
        <v>#REF!</v>
      </c>
      <c r="BF3455" t="e" vm="2">
        <f t="shared" si="294"/>
        <v>#VALUE!</v>
      </c>
      <c r="BG3455" t="e" vm="2">
        <f t="shared" si="295"/>
        <v>#VALUE!</v>
      </c>
      <c r="BJ3455" s="21" t="e" vm="1">
        <v>#REF!</v>
      </c>
      <c r="BK3455" t="e" vm="1">
        <v>#REF!</v>
      </c>
      <c r="BM3455" t="e" vm="2">
        <f t="shared" si="296"/>
        <v>#VALUE!</v>
      </c>
      <c r="BN3455" t="e" vm="2">
        <f t="shared" si="297"/>
        <v>#VALUE!</v>
      </c>
    </row>
    <row r="3456" spans="55:66" x14ac:dyDescent="0.2">
      <c r="BC3456" s="21" t="e" vm="1">
        <v>#REF!</v>
      </c>
      <c r="BD3456" t="e" vm="1">
        <v>#REF!</v>
      </c>
      <c r="BF3456" t="e" vm="2">
        <f t="shared" si="294"/>
        <v>#VALUE!</v>
      </c>
      <c r="BG3456" t="e" vm="2">
        <f t="shared" si="295"/>
        <v>#VALUE!</v>
      </c>
      <c r="BJ3456" s="21" t="e" vm="1">
        <v>#REF!</v>
      </c>
      <c r="BK3456" t="e" vm="1">
        <v>#REF!</v>
      </c>
      <c r="BM3456" t="e" vm="2">
        <f t="shared" si="296"/>
        <v>#VALUE!</v>
      </c>
      <c r="BN3456" t="e" vm="2">
        <f t="shared" si="297"/>
        <v>#VALUE!</v>
      </c>
    </row>
    <row r="3457" spans="55:66" x14ac:dyDescent="0.2">
      <c r="BC3457" s="21" t="e" vm="1">
        <v>#REF!</v>
      </c>
      <c r="BD3457" t="e" vm="1">
        <v>#REF!</v>
      </c>
      <c r="BF3457" t="e" vm="2">
        <f t="shared" si="294"/>
        <v>#VALUE!</v>
      </c>
      <c r="BG3457" t="e" vm="2">
        <f t="shared" si="295"/>
        <v>#VALUE!</v>
      </c>
      <c r="BJ3457" s="21" t="e" vm="1">
        <v>#REF!</v>
      </c>
      <c r="BK3457" t="e" vm="1">
        <v>#REF!</v>
      </c>
      <c r="BM3457" t="e" vm="2">
        <f t="shared" si="296"/>
        <v>#VALUE!</v>
      </c>
      <c r="BN3457" t="e" vm="2">
        <f t="shared" si="297"/>
        <v>#VALUE!</v>
      </c>
    </row>
    <row r="3458" spans="55:66" x14ac:dyDescent="0.2">
      <c r="BC3458" s="21" t="e" vm="1">
        <v>#REF!</v>
      </c>
      <c r="BD3458" t="e" vm="1">
        <v>#REF!</v>
      </c>
      <c r="BF3458" t="e" vm="2">
        <f t="shared" si="294"/>
        <v>#VALUE!</v>
      </c>
      <c r="BG3458" t="e" vm="2">
        <f t="shared" si="295"/>
        <v>#VALUE!</v>
      </c>
      <c r="BJ3458" s="21" t="e" vm="1">
        <v>#REF!</v>
      </c>
      <c r="BK3458" t="e" vm="1">
        <v>#REF!</v>
      </c>
      <c r="BM3458" t="e" vm="2">
        <f t="shared" si="296"/>
        <v>#VALUE!</v>
      </c>
      <c r="BN3458" t="e" vm="2">
        <f t="shared" si="297"/>
        <v>#VALUE!</v>
      </c>
    </row>
    <row r="3459" spans="55:66" x14ac:dyDescent="0.2">
      <c r="BC3459" s="21" t="e" vm="1">
        <v>#REF!</v>
      </c>
      <c r="BD3459" t="e" vm="1">
        <v>#REF!</v>
      </c>
      <c r="BF3459" t="e" vm="2">
        <f t="shared" ref="BF3459:BF3522" si="298">MONTH(BC3459)</f>
        <v>#VALUE!</v>
      </c>
      <c r="BG3459" t="e" vm="2">
        <f t="shared" ref="BG3459:BG3522" si="299">YEAR(BC3459)</f>
        <v>#VALUE!</v>
      </c>
      <c r="BJ3459" s="21" t="e" vm="1">
        <v>#REF!</v>
      </c>
      <c r="BK3459" t="e" vm="1">
        <v>#REF!</v>
      </c>
      <c r="BM3459" t="e" vm="2">
        <f t="shared" si="296"/>
        <v>#VALUE!</v>
      </c>
      <c r="BN3459" t="e" vm="2">
        <f t="shared" si="297"/>
        <v>#VALUE!</v>
      </c>
    </row>
    <row r="3460" spans="55:66" x14ac:dyDescent="0.2">
      <c r="BC3460" s="21" t="e" vm="1">
        <v>#REF!</v>
      </c>
      <c r="BD3460" t="e" vm="1">
        <v>#REF!</v>
      </c>
      <c r="BF3460" t="e" vm="2">
        <f t="shared" si="298"/>
        <v>#VALUE!</v>
      </c>
      <c r="BG3460" t="e" vm="2">
        <f t="shared" si="299"/>
        <v>#VALUE!</v>
      </c>
      <c r="BJ3460" s="21" t="e" vm="1">
        <v>#REF!</v>
      </c>
      <c r="BK3460" t="e" vm="1">
        <v>#REF!</v>
      </c>
      <c r="BM3460" t="e" vm="2">
        <f t="shared" ref="BM3460:BM3523" si="300">MONTH(BJ3460)</f>
        <v>#VALUE!</v>
      </c>
      <c r="BN3460" t="e" vm="2">
        <f t="shared" ref="BN3460:BN3523" si="301">YEAR(BJ3460)</f>
        <v>#VALUE!</v>
      </c>
    </row>
    <row r="3461" spans="55:66" x14ac:dyDescent="0.2">
      <c r="BC3461" s="21" t="e" vm="1">
        <v>#REF!</v>
      </c>
      <c r="BD3461" t="e" vm="1">
        <v>#REF!</v>
      </c>
      <c r="BF3461" t="e" vm="2">
        <f t="shared" si="298"/>
        <v>#VALUE!</v>
      </c>
      <c r="BG3461" t="e" vm="2">
        <f t="shared" si="299"/>
        <v>#VALUE!</v>
      </c>
      <c r="BJ3461" s="21" t="e" vm="1">
        <v>#REF!</v>
      </c>
      <c r="BK3461" t="e" vm="1">
        <v>#REF!</v>
      </c>
      <c r="BM3461" t="e" vm="2">
        <f t="shared" si="300"/>
        <v>#VALUE!</v>
      </c>
      <c r="BN3461" t="e" vm="2">
        <f t="shared" si="301"/>
        <v>#VALUE!</v>
      </c>
    </row>
    <row r="3462" spans="55:66" x14ac:dyDescent="0.2">
      <c r="BC3462" s="21" t="e" vm="1">
        <v>#REF!</v>
      </c>
      <c r="BD3462" t="e" vm="1">
        <v>#REF!</v>
      </c>
      <c r="BF3462" t="e" vm="2">
        <f t="shared" si="298"/>
        <v>#VALUE!</v>
      </c>
      <c r="BG3462" t="e" vm="2">
        <f t="shared" si="299"/>
        <v>#VALUE!</v>
      </c>
      <c r="BJ3462" s="21" t="e" vm="1">
        <v>#REF!</v>
      </c>
      <c r="BK3462" t="e" vm="1">
        <v>#REF!</v>
      </c>
      <c r="BM3462" t="e" vm="2">
        <f t="shared" si="300"/>
        <v>#VALUE!</v>
      </c>
      <c r="BN3462" t="e" vm="2">
        <f t="shared" si="301"/>
        <v>#VALUE!</v>
      </c>
    </row>
    <row r="3463" spans="55:66" x14ac:dyDescent="0.2">
      <c r="BC3463" s="21" t="e" vm="1">
        <v>#REF!</v>
      </c>
      <c r="BD3463" t="e" vm="1">
        <v>#REF!</v>
      </c>
      <c r="BF3463" t="e" vm="2">
        <f t="shared" si="298"/>
        <v>#VALUE!</v>
      </c>
      <c r="BG3463" t="e" vm="2">
        <f t="shared" si="299"/>
        <v>#VALUE!</v>
      </c>
      <c r="BJ3463" s="21" t="e" vm="1">
        <v>#REF!</v>
      </c>
      <c r="BK3463" t="e" vm="1">
        <v>#REF!</v>
      </c>
      <c r="BM3463" t="e" vm="2">
        <f t="shared" si="300"/>
        <v>#VALUE!</v>
      </c>
      <c r="BN3463" t="e" vm="2">
        <f t="shared" si="301"/>
        <v>#VALUE!</v>
      </c>
    </row>
    <row r="3464" spans="55:66" x14ac:dyDescent="0.2">
      <c r="BC3464" s="21" t="e" vm="1">
        <v>#REF!</v>
      </c>
      <c r="BD3464" t="e" vm="1">
        <v>#REF!</v>
      </c>
      <c r="BF3464" t="e" vm="2">
        <f t="shared" si="298"/>
        <v>#VALUE!</v>
      </c>
      <c r="BG3464" t="e" vm="2">
        <f t="shared" si="299"/>
        <v>#VALUE!</v>
      </c>
      <c r="BJ3464" s="21" t="e" vm="1">
        <v>#REF!</v>
      </c>
      <c r="BK3464" t="e" vm="1">
        <v>#REF!</v>
      </c>
      <c r="BM3464" t="e" vm="2">
        <f t="shared" si="300"/>
        <v>#VALUE!</v>
      </c>
      <c r="BN3464" t="e" vm="2">
        <f t="shared" si="301"/>
        <v>#VALUE!</v>
      </c>
    </row>
    <row r="3465" spans="55:66" x14ac:dyDescent="0.2">
      <c r="BC3465" s="21" t="e" vm="1">
        <v>#REF!</v>
      </c>
      <c r="BD3465" t="e" vm="1">
        <v>#REF!</v>
      </c>
      <c r="BF3465" t="e" vm="2">
        <f t="shared" si="298"/>
        <v>#VALUE!</v>
      </c>
      <c r="BG3465" t="e" vm="2">
        <f t="shared" si="299"/>
        <v>#VALUE!</v>
      </c>
      <c r="BJ3465" s="21" t="e" vm="1">
        <v>#REF!</v>
      </c>
      <c r="BK3465" t="e" vm="1">
        <v>#REF!</v>
      </c>
      <c r="BM3465" t="e" vm="2">
        <f t="shared" si="300"/>
        <v>#VALUE!</v>
      </c>
      <c r="BN3465" t="e" vm="2">
        <f t="shared" si="301"/>
        <v>#VALUE!</v>
      </c>
    </row>
    <row r="3466" spans="55:66" x14ac:dyDescent="0.2">
      <c r="BC3466" s="21" t="e" vm="1">
        <v>#REF!</v>
      </c>
      <c r="BD3466" t="e" vm="1">
        <v>#REF!</v>
      </c>
      <c r="BF3466" t="e" vm="2">
        <f t="shared" si="298"/>
        <v>#VALUE!</v>
      </c>
      <c r="BG3466" t="e" vm="2">
        <f t="shared" si="299"/>
        <v>#VALUE!</v>
      </c>
      <c r="BJ3466" s="21" t="e" vm="1">
        <v>#REF!</v>
      </c>
      <c r="BK3466" t="e" vm="1">
        <v>#REF!</v>
      </c>
      <c r="BM3466" t="e" vm="2">
        <f t="shared" si="300"/>
        <v>#VALUE!</v>
      </c>
      <c r="BN3466" t="e" vm="2">
        <f t="shared" si="301"/>
        <v>#VALUE!</v>
      </c>
    </row>
    <row r="3467" spans="55:66" x14ac:dyDescent="0.2">
      <c r="BC3467" s="21" t="e" vm="1">
        <v>#REF!</v>
      </c>
      <c r="BD3467" t="e" vm="1">
        <v>#REF!</v>
      </c>
      <c r="BF3467" t="e" vm="2">
        <f t="shared" si="298"/>
        <v>#VALUE!</v>
      </c>
      <c r="BG3467" t="e" vm="2">
        <f t="shared" si="299"/>
        <v>#VALUE!</v>
      </c>
      <c r="BJ3467" s="21" t="e" vm="1">
        <v>#REF!</v>
      </c>
      <c r="BK3467" t="e" vm="1">
        <v>#REF!</v>
      </c>
      <c r="BM3467" t="e" vm="2">
        <f t="shared" si="300"/>
        <v>#VALUE!</v>
      </c>
      <c r="BN3467" t="e" vm="2">
        <f t="shared" si="301"/>
        <v>#VALUE!</v>
      </c>
    </row>
    <row r="3468" spans="55:66" x14ac:dyDescent="0.2">
      <c r="BC3468" s="21" t="e" vm="1">
        <v>#REF!</v>
      </c>
      <c r="BD3468" t="e" vm="1">
        <v>#REF!</v>
      </c>
      <c r="BF3468" t="e" vm="2">
        <f t="shared" si="298"/>
        <v>#VALUE!</v>
      </c>
      <c r="BG3468" t="e" vm="2">
        <f t="shared" si="299"/>
        <v>#VALUE!</v>
      </c>
      <c r="BJ3468" s="21" t="e" vm="1">
        <v>#REF!</v>
      </c>
      <c r="BK3468" t="e" vm="1">
        <v>#REF!</v>
      </c>
      <c r="BM3468" t="e" vm="2">
        <f t="shared" si="300"/>
        <v>#VALUE!</v>
      </c>
      <c r="BN3468" t="e" vm="2">
        <f t="shared" si="301"/>
        <v>#VALUE!</v>
      </c>
    </row>
    <row r="3469" spans="55:66" x14ac:dyDescent="0.2">
      <c r="BC3469" s="21" t="e" vm="1">
        <v>#REF!</v>
      </c>
      <c r="BD3469" t="e" vm="1">
        <v>#REF!</v>
      </c>
      <c r="BF3469" t="e" vm="2">
        <f t="shared" si="298"/>
        <v>#VALUE!</v>
      </c>
      <c r="BG3469" t="e" vm="2">
        <f t="shared" si="299"/>
        <v>#VALUE!</v>
      </c>
      <c r="BJ3469" s="21" t="e" vm="1">
        <v>#REF!</v>
      </c>
      <c r="BK3469" t="e" vm="1">
        <v>#REF!</v>
      </c>
      <c r="BM3469" t="e" vm="2">
        <f t="shared" si="300"/>
        <v>#VALUE!</v>
      </c>
      <c r="BN3469" t="e" vm="2">
        <f t="shared" si="301"/>
        <v>#VALUE!</v>
      </c>
    </row>
    <row r="3470" spans="55:66" x14ac:dyDescent="0.2">
      <c r="BC3470" s="21" t="e" vm="1">
        <v>#REF!</v>
      </c>
      <c r="BD3470" t="e" vm="1">
        <v>#REF!</v>
      </c>
      <c r="BF3470" t="e" vm="2">
        <f t="shared" si="298"/>
        <v>#VALUE!</v>
      </c>
      <c r="BG3470" t="e" vm="2">
        <f t="shared" si="299"/>
        <v>#VALUE!</v>
      </c>
      <c r="BJ3470" s="21" t="e" vm="1">
        <v>#REF!</v>
      </c>
      <c r="BK3470" t="e" vm="1">
        <v>#REF!</v>
      </c>
      <c r="BM3470" t="e" vm="2">
        <f t="shared" si="300"/>
        <v>#VALUE!</v>
      </c>
      <c r="BN3470" t="e" vm="2">
        <f t="shared" si="301"/>
        <v>#VALUE!</v>
      </c>
    </row>
    <row r="3471" spans="55:66" x14ac:dyDescent="0.2">
      <c r="BC3471" s="21" t="e" vm="1">
        <v>#REF!</v>
      </c>
      <c r="BD3471" t="e" vm="1">
        <v>#REF!</v>
      </c>
      <c r="BF3471" t="e" vm="2">
        <f t="shared" si="298"/>
        <v>#VALUE!</v>
      </c>
      <c r="BG3471" t="e" vm="2">
        <f t="shared" si="299"/>
        <v>#VALUE!</v>
      </c>
      <c r="BJ3471" s="21" t="e" vm="1">
        <v>#REF!</v>
      </c>
      <c r="BK3471" t="e" vm="1">
        <v>#REF!</v>
      </c>
      <c r="BM3471" t="e" vm="2">
        <f t="shared" si="300"/>
        <v>#VALUE!</v>
      </c>
      <c r="BN3471" t="e" vm="2">
        <f t="shared" si="301"/>
        <v>#VALUE!</v>
      </c>
    </row>
    <row r="3472" spans="55:66" x14ac:dyDescent="0.2">
      <c r="BC3472" s="21" t="e" vm="1">
        <v>#REF!</v>
      </c>
      <c r="BD3472" t="e" vm="1">
        <v>#REF!</v>
      </c>
      <c r="BF3472" t="e" vm="2">
        <f t="shared" si="298"/>
        <v>#VALUE!</v>
      </c>
      <c r="BG3472" t="e" vm="2">
        <f t="shared" si="299"/>
        <v>#VALUE!</v>
      </c>
      <c r="BJ3472" s="21" t="e" vm="1">
        <v>#REF!</v>
      </c>
      <c r="BK3472" t="e" vm="1">
        <v>#REF!</v>
      </c>
      <c r="BM3472" t="e" vm="2">
        <f t="shared" si="300"/>
        <v>#VALUE!</v>
      </c>
      <c r="BN3472" t="e" vm="2">
        <f t="shared" si="301"/>
        <v>#VALUE!</v>
      </c>
    </row>
    <row r="3473" spans="55:66" x14ac:dyDescent="0.2">
      <c r="BC3473" s="21" t="e" vm="1">
        <v>#REF!</v>
      </c>
      <c r="BD3473" t="e" vm="1">
        <v>#REF!</v>
      </c>
      <c r="BF3473" t="e" vm="2">
        <f t="shared" si="298"/>
        <v>#VALUE!</v>
      </c>
      <c r="BG3473" t="e" vm="2">
        <f t="shared" si="299"/>
        <v>#VALUE!</v>
      </c>
      <c r="BJ3473" s="21" t="e" vm="1">
        <v>#REF!</v>
      </c>
      <c r="BK3473" t="e" vm="1">
        <v>#REF!</v>
      </c>
      <c r="BM3473" t="e" vm="2">
        <f t="shared" si="300"/>
        <v>#VALUE!</v>
      </c>
      <c r="BN3473" t="e" vm="2">
        <f t="shared" si="301"/>
        <v>#VALUE!</v>
      </c>
    </row>
    <row r="3474" spans="55:66" x14ac:dyDescent="0.2">
      <c r="BC3474" s="21" t="e" vm="1">
        <v>#REF!</v>
      </c>
      <c r="BD3474" t="e" vm="1">
        <v>#REF!</v>
      </c>
      <c r="BF3474" t="e" vm="2">
        <f t="shared" si="298"/>
        <v>#VALUE!</v>
      </c>
      <c r="BG3474" t="e" vm="2">
        <f t="shared" si="299"/>
        <v>#VALUE!</v>
      </c>
      <c r="BJ3474" s="21" t="e" vm="1">
        <v>#REF!</v>
      </c>
      <c r="BK3474" t="e" vm="1">
        <v>#REF!</v>
      </c>
      <c r="BM3474" t="e" vm="2">
        <f t="shared" si="300"/>
        <v>#VALUE!</v>
      </c>
      <c r="BN3474" t="e" vm="2">
        <f t="shared" si="301"/>
        <v>#VALUE!</v>
      </c>
    </row>
    <row r="3475" spans="55:66" x14ac:dyDescent="0.2">
      <c r="BC3475" s="21" t="e" vm="1">
        <v>#REF!</v>
      </c>
      <c r="BD3475" t="e" vm="1">
        <v>#REF!</v>
      </c>
      <c r="BF3475" t="e" vm="2">
        <f t="shared" si="298"/>
        <v>#VALUE!</v>
      </c>
      <c r="BG3475" t="e" vm="2">
        <f t="shared" si="299"/>
        <v>#VALUE!</v>
      </c>
      <c r="BJ3475" s="21" t="e" vm="1">
        <v>#REF!</v>
      </c>
      <c r="BK3475" t="e" vm="1">
        <v>#REF!</v>
      </c>
      <c r="BM3475" t="e" vm="2">
        <f t="shared" si="300"/>
        <v>#VALUE!</v>
      </c>
      <c r="BN3475" t="e" vm="2">
        <f t="shared" si="301"/>
        <v>#VALUE!</v>
      </c>
    </row>
    <row r="3476" spans="55:66" x14ac:dyDescent="0.2">
      <c r="BC3476" s="21" t="e" vm="1">
        <v>#REF!</v>
      </c>
      <c r="BD3476" t="e" vm="1">
        <v>#REF!</v>
      </c>
      <c r="BF3476" t="e" vm="2">
        <f t="shared" si="298"/>
        <v>#VALUE!</v>
      </c>
      <c r="BG3476" t="e" vm="2">
        <f t="shared" si="299"/>
        <v>#VALUE!</v>
      </c>
      <c r="BJ3476" s="21" t="e" vm="1">
        <v>#REF!</v>
      </c>
      <c r="BK3476" t="e" vm="1">
        <v>#REF!</v>
      </c>
      <c r="BM3476" t="e" vm="2">
        <f t="shared" si="300"/>
        <v>#VALUE!</v>
      </c>
      <c r="BN3476" t="e" vm="2">
        <f t="shared" si="301"/>
        <v>#VALUE!</v>
      </c>
    </row>
    <row r="3477" spans="55:66" x14ac:dyDescent="0.2">
      <c r="BC3477" s="21" t="e" vm="1">
        <v>#REF!</v>
      </c>
      <c r="BD3477" t="e" vm="1">
        <v>#REF!</v>
      </c>
      <c r="BF3477" t="e" vm="2">
        <f t="shared" si="298"/>
        <v>#VALUE!</v>
      </c>
      <c r="BG3477" t="e" vm="2">
        <f t="shared" si="299"/>
        <v>#VALUE!</v>
      </c>
      <c r="BJ3477" s="21" t="e" vm="1">
        <v>#REF!</v>
      </c>
      <c r="BK3477" t="e" vm="1">
        <v>#REF!</v>
      </c>
      <c r="BM3477" t="e" vm="2">
        <f t="shared" si="300"/>
        <v>#VALUE!</v>
      </c>
      <c r="BN3477" t="e" vm="2">
        <f t="shared" si="301"/>
        <v>#VALUE!</v>
      </c>
    </row>
    <row r="3478" spans="55:66" x14ac:dyDescent="0.2">
      <c r="BC3478" s="21" t="e" vm="1">
        <v>#REF!</v>
      </c>
      <c r="BD3478" t="e" vm="1">
        <v>#REF!</v>
      </c>
      <c r="BF3478" t="e" vm="2">
        <f t="shared" si="298"/>
        <v>#VALUE!</v>
      </c>
      <c r="BG3478" t="e" vm="2">
        <f t="shared" si="299"/>
        <v>#VALUE!</v>
      </c>
      <c r="BJ3478" s="21" t="e" vm="1">
        <v>#REF!</v>
      </c>
      <c r="BK3478" t="e" vm="1">
        <v>#REF!</v>
      </c>
      <c r="BM3478" t="e" vm="2">
        <f t="shared" si="300"/>
        <v>#VALUE!</v>
      </c>
      <c r="BN3478" t="e" vm="2">
        <f t="shared" si="301"/>
        <v>#VALUE!</v>
      </c>
    </row>
    <row r="3479" spans="55:66" x14ac:dyDescent="0.2">
      <c r="BC3479" s="21" t="e" vm="1">
        <v>#REF!</v>
      </c>
      <c r="BD3479" t="e" vm="1">
        <v>#REF!</v>
      </c>
      <c r="BF3479" t="e" vm="2">
        <f t="shared" si="298"/>
        <v>#VALUE!</v>
      </c>
      <c r="BG3479" t="e" vm="2">
        <f t="shared" si="299"/>
        <v>#VALUE!</v>
      </c>
      <c r="BJ3479" s="21" t="e" vm="1">
        <v>#REF!</v>
      </c>
      <c r="BK3479" t="e" vm="1">
        <v>#REF!</v>
      </c>
      <c r="BM3479" t="e" vm="2">
        <f t="shared" si="300"/>
        <v>#VALUE!</v>
      </c>
      <c r="BN3479" t="e" vm="2">
        <f t="shared" si="301"/>
        <v>#VALUE!</v>
      </c>
    </row>
    <row r="3480" spans="55:66" x14ac:dyDescent="0.2">
      <c r="BC3480" s="21" t="e" vm="1">
        <v>#REF!</v>
      </c>
      <c r="BD3480" t="e" vm="1">
        <v>#REF!</v>
      </c>
      <c r="BF3480" t="e" vm="2">
        <f t="shared" si="298"/>
        <v>#VALUE!</v>
      </c>
      <c r="BG3480" t="e" vm="2">
        <f t="shared" si="299"/>
        <v>#VALUE!</v>
      </c>
      <c r="BJ3480" s="21" t="e" vm="1">
        <v>#REF!</v>
      </c>
      <c r="BK3480" t="e" vm="1">
        <v>#REF!</v>
      </c>
      <c r="BM3480" t="e" vm="2">
        <f t="shared" si="300"/>
        <v>#VALUE!</v>
      </c>
      <c r="BN3480" t="e" vm="2">
        <f t="shared" si="301"/>
        <v>#VALUE!</v>
      </c>
    </row>
    <row r="3481" spans="55:66" x14ac:dyDescent="0.2">
      <c r="BC3481" s="21" t="e" vm="1">
        <v>#REF!</v>
      </c>
      <c r="BD3481" t="e" vm="1">
        <v>#REF!</v>
      </c>
      <c r="BF3481" t="e" vm="2">
        <f t="shared" si="298"/>
        <v>#VALUE!</v>
      </c>
      <c r="BG3481" t="e" vm="2">
        <f t="shared" si="299"/>
        <v>#VALUE!</v>
      </c>
      <c r="BJ3481" s="21" t="e" vm="1">
        <v>#REF!</v>
      </c>
      <c r="BK3481" t="e" vm="1">
        <v>#REF!</v>
      </c>
      <c r="BM3481" t="e" vm="2">
        <f t="shared" si="300"/>
        <v>#VALUE!</v>
      </c>
      <c r="BN3481" t="e" vm="2">
        <f t="shared" si="301"/>
        <v>#VALUE!</v>
      </c>
    </row>
    <row r="3482" spans="55:66" x14ac:dyDescent="0.2">
      <c r="BC3482" s="21" t="e" vm="1">
        <v>#REF!</v>
      </c>
      <c r="BD3482" t="e" vm="1">
        <v>#REF!</v>
      </c>
      <c r="BF3482" t="e" vm="2">
        <f t="shared" si="298"/>
        <v>#VALUE!</v>
      </c>
      <c r="BG3482" t="e" vm="2">
        <f t="shared" si="299"/>
        <v>#VALUE!</v>
      </c>
      <c r="BJ3482" s="21" t="e" vm="1">
        <v>#REF!</v>
      </c>
      <c r="BK3482" t="e" vm="1">
        <v>#REF!</v>
      </c>
      <c r="BM3482" t="e" vm="2">
        <f t="shared" si="300"/>
        <v>#VALUE!</v>
      </c>
      <c r="BN3482" t="e" vm="2">
        <f t="shared" si="301"/>
        <v>#VALUE!</v>
      </c>
    </row>
    <row r="3483" spans="55:66" x14ac:dyDescent="0.2">
      <c r="BC3483" s="21" t="e" vm="1">
        <v>#REF!</v>
      </c>
      <c r="BD3483" t="e" vm="1">
        <v>#REF!</v>
      </c>
      <c r="BF3483" t="e" vm="2">
        <f t="shared" si="298"/>
        <v>#VALUE!</v>
      </c>
      <c r="BG3483" t="e" vm="2">
        <f t="shared" si="299"/>
        <v>#VALUE!</v>
      </c>
      <c r="BJ3483" s="21" t="e" vm="1">
        <v>#REF!</v>
      </c>
      <c r="BK3483" t="e" vm="1">
        <v>#REF!</v>
      </c>
      <c r="BM3483" t="e" vm="2">
        <f t="shared" si="300"/>
        <v>#VALUE!</v>
      </c>
      <c r="BN3483" t="e" vm="2">
        <f t="shared" si="301"/>
        <v>#VALUE!</v>
      </c>
    </row>
    <row r="3484" spans="55:66" x14ac:dyDescent="0.2">
      <c r="BC3484" s="21" t="e" vm="1">
        <v>#REF!</v>
      </c>
      <c r="BD3484" t="e" vm="1">
        <v>#REF!</v>
      </c>
      <c r="BF3484" t="e" vm="2">
        <f t="shared" si="298"/>
        <v>#VALUE!</v>
      </c>
      <c r="BG3484" t="e" vm="2">
        <f t="shared" si="299"/>
        <v>#VALUE!</v>
      </c>
      <c r="BJ3484" s="21" t="e" vm="1">
        <v>#REF!</v>
      </c>
      <c r="BK3484" t="e" vm="1">
        <v>#REF!</v>
      </c>
      <c r="BM3484" t="e" vm="2">
        <f t="shared" si="300"/>
        <v>#VALUE!</v>
      </c>
      <c r="BN3484" t="e" vm="2">
        <f t="shared" si="301"/>
        <v>#VALUE!</v>
      </c>
    </row>
    <row r="3485" spans="55:66" x14ac:dyDescent="0.2">
      <c r="BC3485" s="21" t="e" vm="1">
        <v>#REF!</v>
      </c>
      <c r="BD3485" t="e" vm="1">
        <v>#REF!</v>
      </c>
      <c r="BF3485" t="e" vm="2">
        <f t="shared" si="298"/>
        <v>#VALUE!</v>
      </c>
      <c r="BG3485" t="e" vm="2">
        <f t="shared" si="299"/>
        <v>#VALUE!</v>
      </c>
      <c r="BJ3485" s="21" t="e" vm="1">
        <v>#REF!</v>
      </c>
      <c r="BK3485" t="e" vm="1">
        <v>#REF!</v>
      </c>
      <c r="BM3485" t="e" vm="2">
        <f t="shared" si="300"/>
        <v>#VALUE!</v>
      </c>
      <c r="BN3485" t="e" vm="2">
        <f t="shared" si="301"/>
        <v>#VALUE!</v>
      </c>
    </row>
    <row r="3486" spans="55:66" x14ac:dyDescent="0.2">
      <c r="BC3486" s="21" t="e" vm="1">
        <v>#REF!</v>
      </c>
      <c r="BD3486" t="e" vm="1">
        <v>#REF!</v>
      </c>
      <c r="BF3486" t="e" vm="2">
        <f t="shared" si="298"/>
        <v>#VALUE!</v>
      </c>
      <c r="BG3486" t="e" vm="2">
        <f t="shared" si="299"/>
        <v>#VALUE!</v>
      </c>
      <c r="BJ3486" s="21" t="e" vm="1">
        <v>#REF!</v>
      </c>
      <c r="BK3486" t="e" vm="1">
        <v>#REF!</v>
      </c>
      <c r="BM3486" t="e" vm="2">
        <f t="shared" si="300"/>
        <v>#VALUE!</v>
      </c>
      <c r="BN3486" t="e" vm="2">
        <f t="shared" si="301"/>
        <v>#VALUE!</v>
      </c>
    </row>
    <row r="3487" spans="55:66" x14ac:dyDescent="0.2">
      <c r="BC3487" s="21" t="e" vm="1">
        <v>#REF!</v>
      </c>
      <c r="BD3487" t="e" vm="1">
        <v>#REF!</v>
      </c>
      <c r="BF3487" t="e" vm="2">
        <f t="shared" si="298"/>
        <v>#VALUE!</v>
      </c>
      <c r="BG3487" t="e" vm="2">
        <f t="shared" si="299"/>
        <v>#VALUE!</v>
      </c>
      <c r="BJ3487" s="21" t="e" vm="1">
        <v>#REF!</v>
      </c>
      <c r="BK3487" t="e" vm="1">
        <v>#REF!</v>
      </c>
      <c r="BM3487" t="e" vm="2">
        <f t="shared" si="300"/>
        <v>#VALUE!</v>
      </c>
      <c r="BN3487" t="e" vm="2">
        <f t="shared" si="301"/>
        <v>#VALUE!</v>
      </c>
    </row>
    <row r="3488" spans="55:66" x14ac:dyDescent="0.2">
      <c r="BC3488" s="21" t="e" vm="1">
        <v>#REF!</v>
      </c>
      <c r="BD3488" t="e" vm="1">
        <v>#REF!</v>
      </c>
      <c r="BF3488" t="e" vm="2">
        <f t="shared" si="298"/>
        <v>#VALUE!</v>
      </c>
      <c r="BG3488" t="e" vm="2">
        <f t="shared" si="299"/>
        <v>#VALUE!</v>
      </c>
      <c r="BJ3488" s="21" t="e" vm="1">
        <v>#REF!</v>
      </c>
      <c r="BK3488" t="e" vm="1">
        <v>#REF!</v>
      </c>
      <c r="BM3488" t="e" vm="2">
        <f t="shared" si="300"/>
        <v>#VALUE!</v>
      </c>
      <c r="BN3488" t="e" vm="2">
        <f t="shared" si="301"/>
        <v>#VALUE!</v>
      </c>
    </row>
    <row r="3489" spans="55:66" x14ac:dyDescent="0.2">
      <c r="BC3489" s="21" t="e" vm="1">
        <v>#REF!</v>
      </c>
      <c r="BD3489" t="e" vm="1">
        <v>#REF!</v>
      </c>
      <c r="BF3489" t="e" vm="2">
        <f t="shared" si="298"/>
        <v>#VALUE!</v>
      </c>
      <c r="BG3489" t="e" vm="2">
        <f t="shared" si="299"/>
        <v>#VALUE!</v>
      </c>
      <c r="BJ3489" s="21" t="e" vm="1">
        <v>#REF!</v>
      </c>
      <c r="BK3489" t="e" vm="1">
        <v>#REF!</v>
      </c>
      <c r="BM3489" t="e" vm="2">
        <f t="shared" si="300"/>
        <v>#VALUE!</v>
      </c>
      <c r="BN3489" t="e" vm="2">
        <f t="shared" si="301"/>
        <v>#VALUE!</v>
      </c>
    </row>
    <row r="3490" spans="55:66" x14ac:dyDescent="0.2">
      <c r="BC3490" s="21" t="e" vm="1">
        <v>#REF!</v>
      </c>
      <c r="BD3490" t="e" vm="1">
        <v>#REF!</v>
      </c>
      <c r="BF3490" t="e" vm="2">
        <f t="shared" si="298"/>
        <v>#VALUE!</v>
      </c>
      <c r="BG3490" t="e" vm="2">
        <f t="shared" si="299"/>
        <v>#VALUE!</v>
      </c>
      <c r="BJ3490" s="21" t="e" vm="1">
        <v>#REF!</v>
      </c>
      <c r="BK3490" t="e" vm="1">
        <v>#REF!</v>
      </c>
      <c r="BM3490" t="e" vm="2">
        <f t="shared" si="300"/>
        <v>#VALUE!</v>
      </c>
      <c r="BN3490" t="e" vm="2">
        <f t="shared" si="301"/>
        <v>#VALUE!</v>
      </c>
    </row>
    <row r="3491" spans="55:66" x14ac:dyDescent="0.2">
      <c r="BC3491" s="21" t="e" vm="1">
        <v>#REF!</v>
      </c>
      <c r="BD3491" t="e" vm="1">
        <v>#REF!</v>
      </c>
      <c r="BF3491" t="e" vm="2">
        <f t="shared" si="298"/>
        <v>#VALUE!</v>
      </c>
      <c r="BG3491" t="e" vm="2">
        <f t="shared" si="299"/>
        <v>#VALUE!</v>
      </c>
      <c r="BJ3491" s="21" t="e" vm="1">
        <v>#REF!</v>
      </c>
      <c r="BK3491" t="e" vm="1">
        <v>#REF!</v>
      </c>
      <c r="BM3491" t="e" vm="2">
        <f t="shared" si="300"/>
        <v>#VALUE!</v>
      </c>
      <c r="BN3491" t="e" vm="2">
        <f t="shared" si="301"/>
        <v>#VALUE!</v>
      </c>
    </row>
    <row r="3492" spans="55:66" x14ac:dyDescent="0.2">
      <c r="BC3492" s="21" t="e" vm="1">
        <v>#REF!</v>
      </c>
      <c r="BD3492" t="e" vm="1">
        <v>#REF!</v>
      </c>
      <c r="BF3492" t="e" vm="2">
        <f t="shared" si="298"/>
        <v>#VALUE!</v>
      </c>
      <c r="BG3492" t="e" vm="2">
        <f t="shared" si="299"/>
        <v>#VALUE!</v>
      </c>
      <c r="BJ3492" s="21" t="e" vm="1">
        <v>#REF!</v>
      </c>
      <c r="BK3492" t="e" vm="1">
        <v>#REF!</v>
      </c>
      <c r="BM3492" t="e" vm="2">
        <f t="shared" si="300"/>
        <v>#VALUE!</v>
      </c>
      <c r="BN3492" t="e" vm="2">
        <f t="shared" si="301"/>
        <v>#VALUE!</v>
      </c>
    </row>
    <row r="3493" spans="55:66" x14ac:dyDescent="0.2">
      <c r="BC3493" s="21" t="e" vm="1">
        <v>#REF!</v>
      </c>
      <c r="BD3493" t="e" vm="1">
        <v>#REF!</v>
      </c>
      <c r="BF3493" t="e" vm="2">
        <f t="shared" si="298"/>
        <v>#VALUE!</v>
      </c>
      <c r="BG3493" t="e" vm="2">
        <f t="shared" si="299"/>
        <v>#VALUE!</v>
      </c>
      <c r="BJ3493" s="21" t="e" vm="1">
        <v>#REF!</v>
      </c>
      <c r="BK3493" t="e" vm="1">
        <v>#REF!</v>
      </c>
      <c r="BM3493" t="e" vm="2">
        <f t="shared" si="300"/>
        <v>#VALUE!</v>
      </c>
      <c r="BN3493" t="e" vm="2">
        <f t="shared" si="301"/>
        <v>#VALUE!</v>
      </c>
    </row>
    <row r="3494" spans="55:66" x14ac:dyDescent="0.2">
      <c r="BC3494" s="21" t="e" vm="1">
        <v>#REF!</v>
      </c>
      <c r="BD3494" t="e" vm="1">
        <v>#REF!</v>
      </c>
      <c r="BF3494" t="e" vm="2">
        <f t="shared" si="298"/>
        <v>#VALUE!</v>
      </c>
      <c r="BG3494" t="e" vm="2">
        <f t="shared" si="299"/>
        <v>#VALUE!</v>
      </c>
      <c r="BJ3494" s="21" t="e" vm="1">
        <v>#REF!</v>
      </c>
      <c r="BK3494" t="e" vm="1">
        <v>#REF!</v>
      </c>
      <c r="BM3494" t="e" vm="2">
        <f t="shared" si="300"/>
        <v>#VALUE!</v>
      </c>
      <c r="BN3494" t="e" vm="2">
        <f t="shared" si="301"/>
        <v>#VALUE!</v>
      </c>
    </row>
    <row r="3495" spans="55:66" x14ac:dyDescent="0.2">
      <c r="BC3495" s="21" t="e" vm="1">
        <v>#REF!</v>
      </c>
      <c r="BD3495" t="e" vm="1">
        <v>#REF!</v>
      </c>
      <c r="BF3495" t="e" vm="2">
        <f t="shared" si="298"/>
        <v>#VALUE!</v>
      </c>
      <c r="BG3495" t="e" vm="2">
        <f t="shared" si="299"/>
        <v>#VALUE!</v>
      </c>
      <c r="BJ3495" s="21" t="e" vm="1">
        <v>#REF!</v>
      </c>
      <c r="BK3495" t="e" vm="1">
        <v>#REF!</v>
      </c>
      <c r="BM3495" t="e" vm="2">
        <f t="shared" si="300"/>
        <v>#VALUE!</v>
      </c>
      <c r="BN3495" t="e" vm="2">
        <f t="shared" si="301"/>
        <v>#VALUE!</v>
      </c>
    </row>
    <row r="3496" spans="55:66" x14ac:dyDescent="0.2">
      <c r="BC3496" s="21" t="e" vm="1">
        <v>#REF!</v>
      </c>
      <c r="BD3496" t="e" vm="1">
        <v>#REF!</v>
      </c>
      <c r="BF3496" t="e" vm="2">
        <f t="shared" si="298"/>
        <v>#VALUE!</v>
      </c>
      <c r="BG3496" t="e" vm="2">
        <f t="shared" si="299"/>
        <v>#VALUE!</v>
      </c>
      <c r="BJ3496" s="21" t="e" vm="1">
        <v>#REF!</v>
      </c>
      <c r="BK3496" t="e" vm="1">
        <v>#REF!</v>
      </c>
      <c r="BM3496" t="e" vm="2">
        <f t="shared" si="300"/>
        <v>#VALUE!</v>
      </c>
      <c r="BN3496" t="e" vm="2">
        <f t="shared" si="301"/>
        <v>#VALUE!</v>
      </c>
    </row>
    <row r="3497" spans="55:66" x14ac:dyDescent="0.2">
      <c r="BC3497" s="21" t="e" vm="1">
        <v>#REF!</v>
      </c>
      <c r="BD3497" t="e" vm="1">
        <v>#REF!</v>
      </c>
      <c r="BF3497" t="e" vm="2">
        <f t="shared" si="298"/>
        <v>#VALUE!</v>
      </c>
      <c r="BG3497" t="e" vm="2">
        <f t="shared" si="299"/>
        <v>#VALUE!</v>
      </c>
      <c r="BJ3497" s="21" t="e" vm="1">
        <v>#REF!</v>
      </c>
      <c r="BK3497" t="e" vm="1">
        <v>#REF!</v>
      </c>
      <c r="BM3497" t="e" vm="2">
        <f t="shared" si="300"/>
        <v>#VALUE!</v>
      </c>
      <c r="BN3497" t="e" vm="2">
        <f t="shared" si="301"/>
        <v>#VALUE!</v>
      </c>
    </row>
    <row r="3498" spans="55:66" x14ac:dyDescent="0.2">
      <c r="BC3498" s="21" t="e" vm="1">
        <v>#REF!</v>
      </c>
      <c r="BD3498" t="e" vm="1">
        <v>#REF!</v>
      </c>
      <c r="BF3498" t="e" vm="2">
        <f t="shared" si="298"/>
        <v>#VALUE!</v>
      </c>
      <c r="BG3498" t="e" vm="2">
        <f t="shared" si="299"/>
        <v>#VALUE!</v>
      </c>
      <c r="BJ3498" s="21" t="e" vm="1">
        <v>#REF!</v>
      </c>
      <c r="BK3498" t="e" vm="1">
        <v>#REF!</v>
      </c>
      <c r="BM3498" t="e" vm="2">
        <f t="shared" si="300"/>
        <v>#VALUE!</v>
      </c>
      <c r="BN3498" t="e" vm="2">
        <f t="shared" si="301"/>
        <v>#VALUE!</v>
      </c>
    </row>
    <row r="3499" spans="55:66" x14ac:dyDescent="0.2">
      <c r="BC3499" s="21" t="e" vm="1">
        <v>#REF!</v>
      </c>
      <c r="BD3499" t="e" vm="1">
        <v>#REF!</v>
      </c>
      <c r="BF3499" t="e" vm="2">
        <f t="shared" si="298"/>
        <v>#VALUE!</v>
      </c>
      <c r="BG3499" t="e" vm="2">
        <f t="shared" si="299"/>
        <v>#VALUE!</v>
      </c>
      <c r="BJ3499" s="21" t="e" vm="1">
        <v>#REF!</v>
      </c>
      <c r="BK3499" t="e" vm="1">
        <v>#REF!</v>
      </c>
      <c r="BM3499" t="e" vm="2">
        <f t="shared" si="300"/>
        <v>#VALUE!</v>
      </c>
      <c r="BN3499" t="e" vm="2">
        <f t="shared" si="301"/>
        <v>#VALUE!</v>
      </c>
    </row>
    <row r="3500" spans="55:66" x14ac:dyDescent="0.2">
      <c r="BC3500" s="21" t="e" vm="1">
        <v>#REF!</v>
      </c>
      <c r="BD3500" t="e" vm="1">
        <v>#REF!</v>
      </c>
      <c r="BF3500" t="e" vm="2">
        <f t="shared" si="298"/>
        <v>#VALUE!</v>
      </c>
      <c r="BG3500" t="e" vm="2">
        <f t="shared" si="299"/>
        <v>#VALUE!</v>
      </c>
      <c r="BJ3500" s="21" t="e" vm="1">
        <v>#REF!</v>
      </c>
      <c r="BK3500" t="e" vm="1">
        <v>#REF!</v>
      </c>
      <c r="BM3500" t="e" vm="2">
        <f t="shared" si="300"/>
        <v>#VALUE!</v>
      </c>
      <c r="BN3500" t="e" vm="2">
        <f t="shared" si="301"/>
        <v>#VALUE!</v>
      </c>
    </row>
    <row r="3501" spans="55:66" x14ac:dyDescent="0.2">
      <c r="BC3501" s="21" t="e" vm="1">
        <v>#REF!</v>
      </c>
      <c r="BD3501" t="e" vm="1">
        <v>#REF!</v>
      </c>
      <c r="BF3501" t="e" vm="2">
        <f t="shared" si="298"/>
        <v>#VALUE!</v>
      </c>
      <c r="BG3501" t="e" vm="2">
        <f t="shared" si="299"/>
        <v>#VALUE!</v>
      </c>
      <c r="BJ3501" s="21" t="e" vm="1">
        <v>#REF!</v>
      </c>
      <c r="BK3501" t="e" vm="1">
        <v>#REF!</v>
      </c>
      <c r="BM3501" t="e" vm="2">
        <f t="shared" si="300"/>
        <v>#VALUE!</v>
      </c>
      <c r="BN3501" t="e" vm="2">
        <f t="shared" si="301"/>
        <v>#VALUE!</v>
      </c>
    </row>
    <row r="3502" spans="55:66" x14ac:dyDescent="0.2">
      <c r="BC3502" s="21" t="e" vm="1">
        <v>#REF!</v>
      </c>
      <c r="BD3502" t="e" vm="1">
        <v>#REF!</v>
      </c>
      <c r="BF3502" t="e" vm="2">
        <f t="shared" si="298"/>
        <v>#VALUE!</v>
      </c>
      <c r="BG3502" t="e" vm="2">
        <f t="shared" si="299"/>
        <v>#VALUE!</v>
      </c>
      <c r="BJ3502" s="21" t="e" vm="1">
        <v>#REF!</v>
      </c>
      <c r="BK3502" t="e" vm="1">
        <v>#REF!</v>
      </c>
      <c r="BM3502" t="e" vm="2">
        <f t="shared" si="300"/>
        <v>#VALUE!</v>
      </c>
      <c r="BN3502" t="e" vm="2">
        <f t="shared" si="301"/>
        <v>#VALUE!</v>
      </c>
    </row>
    <row r="3503" spans="55:66" x14ac:dyDescent="0.2">
      <c r="BC3503" s="21" t="e" vm="1">
        <v>#REF!</v>
      </c>
      <c r="BD3503" t="e" vm="1">
        <v>#REF!</v>
      </c>
      <c r="BF3503" t="e" vm="2">
        <f t="shared" si="298"/>
        <v>#VALUE!</v>
      </c>
      <c r="BG3503" t="e" vm="2">
        <f t="shared" si="299"/>
        <v>#VALUE!</v>
      </c>
      <c r="BJ3503" s="21" t="e" vm="1">
        <v>#REF!</v>
      </c>
      <c r="BK3503" t="e" vm="1">
        <v>#REF!</v>
      </c>
      <c r="BM3503" t="e" vm="2">
        <f t="shared" si="300"/>
        <v>#VALUE!</v>
      </c>
      <c r="BN3503" t="e" vm="2">
        <f t="shared" si="301"/>
        <v>#VALUE!</v>
      </c>
    </row>
    <row r="3504" spans="55:66" x14ac:dyDescent="0.2">
      <c r="BC3504" s="21" t="e" vm="1">
        <v>#REF!</v>
      </c>
      <c r="BD3504" t="e" vm="1">
        <v>#REF!</v>
      </c>
      <c r="BF3504" t="e" vm="2">
        <f t="shared" si="298"/>
        <v>#VALUE!</v>
      </c>
      <c r="BG3504" t="e" vm="2">
        <f t="shared" si="299"/>
        <v>#VALUE!</v>
      </c>
      <c r="BJ3504" s="21" t="e" vm="1">
        <v>#REF!</v>
      </c>
      <c r="BK3504" t="e" vm="1">
        <v>#REF!</v>
      </c>
      <c r="BM3504" t="e" vm="2">
        <f t="shared" si="300"/>
        <v>#VALUE!</v>
      </c>
      <c r="BN3504" t="e" vm="2">
        <f t="shared" si="301"/>
        <v>#VALUE!</v>
      </c>
    </row>
    <row r="3505" spans="55:66" x14ac:dyDescent="0.2">
      <c r="BC3505" s="21" t="e" vm="1">
        <v>#REF!</v>
      </c>
      <c r="BD3505" t="e" vm="1">
        <v>#REF!</v>
      </c>
      <c r="BF3505" t="e" vm="2">
        <f t="shared" si="298"/>
        <v>#VALUE!</v>
      </c>
      <c r="BG3505" t="e" vm="2">
        <f t="shared" si="299"/>
        <v>#VALUE!</v>
      </c>
      <c r="BJ3505" s="21" t="e" vm="1">
        <v>#REF!</v>
      </c>
      <c r="BK3505" t="e" vm="1">
        <v>#REF!</v>
      </c>
      <c r="BM3505" t="e" vm="2">
        <f t="shared" si="300"/>
        <v>#VALUE!</v>
      </c>
      <c r="BN3505" t="e" vm="2">
        <f t="shared" si="301"/>
        <v>#VALUE!</v>
      </c>
    </row>
    <row r="3506" spans="55:66" x14ac:dyDescent="0.2">
      <c r="BC3506" s="21" t="e" vm="1">
        <v>#REF!</v>
      </c>
      <c r="BD3506" t="e" vm="1">
        <v>#REF!</v>
      </c>
      <c r="BF3506" t="e" vm="2">
        <f t="shared" si="298"/>
        <v>#VALUE!</v>
      </c>
      <c r="BG3506" t="e" vm="2">
        <f t="shared" si="299"/>
        <v>#VALUE!</v>
      </c>
      <c r="BJ3506" s="21" t="e" vm="1">
        <v>#REF!</v>
      </c>
      <c r="BK3506" t="e" vm="1">
        <v>#REF!</v>
      </c>
      <c r="BM3506" t="e" vm="2">
        <f t="shared" si="300"/>
        <v>#VALUE!</v>
      </c>
      <c r="BN3506" t="e" vm="2">
        <f t="shared" si="301"/>
        <v>#VALUE!</v>
      </c>
    </row>
    <row r="3507" spans="55:66" x14ac:dyDescent="0.2">
      <c r="BC3507" s="21" t="e" vm="1">
        <v>#REF!</v>
      </c>
      <c r="BD3507" t="e" vm="1">
        <v>#REF!</v>
      </c>
      <c r="BF3507" t="e" vm="2">
        <f t="shared" si="298"/>
        <v>#VALUE!</v>
      </c>
      <c r="BG3507" t="e" vm="2">
        <f t="shared" si="299"/>
        <v>#VALUE!</v>
      </c>
      <c r="BJ3507" s="21" t="e" vm="1">
        <v>#REF!</v>
      </c>
      <c r="BK3507" t="e" vm="1">
        <v>#REF!</v>
      </c>
      <c r="BM3507" t="e" vm="2">
        <f t="shared" si="300"/>
        <v>#VALUE!</v>
      </c>
      <c r="BN3507" t="e" vm="2">
        <f t="shared" si="301"/>
        <v>#VALUE!</v>
      </c>
    </row>
    <row r="3508" spans="55:66" x14ac:dyDescent="0.2">
      <c r="BC3508" s="21" t="e" vm="1">
        <v>#REF!</v>
      </c>
      <c r="BD3508" t="e" vm="1">
        <v>#REF!</v>
      </c>
      <c r="BF3508" t="e" vm="2">
        <f t="shared" si="298"/>
        <v>#VALUE!</v>
      </c>
      <c r="BG3508" t="e" vm="2">
        <f t="shared" si="299"/>
        <v>#VALUE!</v>
      </c>
      <c r="BJ3508" s="21" t="e" vm="1">
        <v>#REF!</v>
      </c>
      <c r="BK3508" t="e" vm="1">
        <v>#REF!</v>
      </c>
      <c r="BM3508" t="e" vm="2">
        <f t="shared" si="300"/>
        <v>#VALUE!</v>
      </c>
      <c r="BN3508" t="e" vm="2">
        <f t="shared" si="301"/>
        <v>#VALUE!</v>
      </c>
    </row>
    <row r="3509" spans="55:66" x14ac:dyDescent="0.2">
      <c r="BC3509" s="21" t="e" vm="1">
        <v>#REF!</v>
      </c>
      <c r="BD3509" t="e" vm="1">
        <v>#REF!</v>
      </c>
      <c r="BF3509" t="e" vm="2">
        <f t="shared" si="298"/>
        <v>#VALUE!</v>
      </c>
      <c r="BG3509" t="e" vm="2">
        <f t="shared" si="299"/>
        <v>#VALUE!</v>
      </c>
      <c r="BJ3509" s="21" t="e" vm="1">
        <v>#REF!</v>
      </c>
      <c r="BK3509" t="e" vm="1">
        <v>#REF!</v>
      </c>
      <c r="BM3509" t="e" vm="2">
        <f t="shared" si="300"/>
        <v>#VALUE!</v>
      </c>
      <c r="BN3509" t="e" vm="2">
        <f t="shared" si="301"/>
        <v>#VALUE!</v>
      </c>
    </row>
    <row r="3510" spans="55:66" x14ac:dyDescent="0.2">
      <c r="BC3510" s="21" t="e" vm="1">
        <v>#REF!</v>
      </c>
      <c r="BD3510" t="e" vm="1">
        <v>#REF!</v>
      </c>
      <c r="BF3510" t="e" vm="2">
        <f t="shared" si="298"/>
        <v>#VALUE!</v>
      </c>
      <c r="BG3510" t="e" vm="2">
        <f t="shared" si="299"/>
        <v>#VALUE!</v>
      </c>
      <c r="BJ3510" s="21" t="e" vm="1">
        <v>#REF!</v>
      </c>
      <c r="BK3510" t="e" vm="1">
        <v>#REF!</v>
      </c>
      <c r="BM3510" t="e" vm="2">
        <f t="shared" si="300"/>
        <v>#VALUE!</v>
      </c>
      <c r="BN3510" t="e" vm="2">
        <f t="shared" si="301"/>
        <v>#VALUE!</v>
      </c>
    </row>
    <row r="3511" spans="55:66" x14ac:dyDescent="0.2">
      <c r="BC3511" s="21" t="e" vm="1">
        <v>#REF!</v>
      </c>
      <c r="BD3511" t="e" vm="1">
        <v>#REF!</v>
      </c>
      <c r="BF3511" t="e" vm="2">
        <f t="shared" si="298"/>
        <v>#VALUE!</v>
      </c>
      <c r="BG3511" t="e" vm="2">
        <f t="shared" si="299"/>
        <v>#VALUE!</v>
      </c>
      <c r="BJ3511" s="21" t="e" vm="1">
        <v>#REF!</v>
      </c>
      <c r="BK3511" t="e" vm="1">
        <v>#REF!</v>
      </c>
      <c r="BM3511" t="e" vm="2">
        <f t="shared" si="300"/>
        <v>#VALUE!</v>
      </c>
      <c r="BN3511" t="e" vm="2">
        <f t="shared" si="301"/>
        <v>#VALUE!</v>
      </c>
    </row>
    <row r="3512" spans="55:66" x14ac:dyDescent="0.2">
      <c r="BC3512" s="21" t="e" vm="1">
        <v>#REF!</v>
      </c>
      <c r="BD3512" t="e" vm="1">
        <v>#REF!</v>
      </c>
      <c r="BF3512" t="e" vm="2">
        <f t="shared" si="298"/>
        <v>#VALUE!</v>
      </c>
      <c r="BG3512" t="e" vm="2">
        <f t="shared" si="299"/>
        <v>#VALUE!</v>
      </c>
      <c r="BJ3512" s="21" t="e" vm="1">
        <v>#REF!</v>
      </c>
      <c r="BK3512" t="e" vm="1">
        <v>#REF!</v>
      </c>
      <c r="BM3512" t="e" vm="2">
        <f t="shared" si="300"/>
        <v>#VALUE!</v>
      </c>
      <c r="BN3512" t="e" vm="2">
        <f t="shared" si="301"/>
        <v>#VALUE!</v>
      </c>
    </row>
    <row r="3513" spans="55:66" x14ac:dyDescent="0.2">
      <c r="BC3513" s="21" t="e" vm="1">
        <v>#REF!</v>
      </c>
      <c r="BD3513" t="e" vm="1">
        <v>#REF!</v>
      </c>
      <c r="BF3513" t="e" vm="2">
        <f t="shared" si="298"/>
        <v>#VALUE!</v>
      </c>
      <c r="BG3513" t="e" vm="2">
        <f t="shared" si="299"/>
        <v>#VALUE!</v>
      </c>
      <c r="BJ3513" s="21" t="e" vm="1">
        <v>#REF!</v>
      </c>
      <c r="BK3513" t="e" vm="1">
        <v>#REF!</v>
      </c>
      <c r="BM3513" t="e" vm="2">
        <f t="shared" si="300"/>
        <v>#VALUE!</v>
      </c>
      <c r="BN3513" t="e" vm="2">
        <f t="shared" si="301"/>
        <v>#VALUE!</v>
      </c>
    </row>
    <row r="3514" spans="55:66" x14ac:dyDescent="0.2">
      <c r="BC3514" s="21" t="e" vm="1">
        <v>#REF!</v>
      </c>
      <c r="BD3514" t="e" vm="1">
        <v>#REF!</v>
      </c>
      <c r="BF3514" t="e" vm="2">
        <f t="shared" si="298"/>
        <v>#VALUE!</v>
      </c>
      <c r="BG3514" t="e" vm="2">
        <f t="shared" si="299"/>
        <v>#VALUE!</v>
      </c>
      <c r="BJ3514" s="21" t="e" vm="1">
        <v>#REF!</v>
      </c>
      <c r="BK3514" t="e" vm="1">
        <v>#REF!</v>
      </c>
      <c r="BM3514" t="e" vm="2">
        <f t="shared" si="300"/>
        <v>#VALUE!</v>
      </c>
      <c r="BN3514" t="e" vm="2">
        <f t="shared" si="301"/>
        <v>#VALUE!</v>
      </c>
    </row>
    <row r="3515" spans="55:66" x14ac:dyDescent="0.2">
      <c r="BC3515" s="21" t="e" vm="1">
        <v>#REF!</v>
      </c>
      <c r="BD3515" t="e" vm="1">
        <v>#REF!</v>
      </c>
      <c r="BF3515" t="e" vm="2">
        <f t="shared" si="298"/>
        <v>#VALUE!</v>
      </c>
      <c r="BG3515" t="e" vm="2">
        <f t="shared" si="299"/>
        <v>#VALUE!</v>
      </c>
      <c r="BJ3515" s="21" t="e" vm="1">
        <v>#REF!</v>
      </c>
      <c r="BK3515" t="e" vm="1">
        <v>#REF!</v>
      </c>
      <c r="BM3515" t="e" vm="2">
        <f t="shared" si="300"/>
        <v>#VALUE!</v>
      </c>
      <c r="BN3515" t="e" vm="2">
        <f t="shared" si="301"/>
        <v>#VALUE!</v>
      </c>
    </row>
    <row r="3516" spans="55:66" x14ac:dyDescent="0.2">
      <c r="BC3516" s="21" t="e" vm="1">
        <v>#REF!</v>
      </c>
      <c r="BD3516" t="e" vm="1">
        <v>#REF!</v>
      </c>
      <c r="BF3516" t="e" vm="2">
        <f t="shared" si="298"/>
        <v>#VALUE!</v>
      </c>
      <c r="BG3516" t="e" vm="2">
        <f t="shared" si="299"/>
        <v>#VALUE!</v>
      </c>
      <c r="BJ3516" s="21" t="e" vm="1">
        <v>#REF!</v>
      </c>
      <c r="BK3516" t="e" vm="1">
        <v>#REF!</v>
      </c>
      <c r="BM3516" t="e" vm="2">
        <f t="shared" si="300"/>
        <v>#VALUE!</v>
      </c>
      <c r="BN3516" t="e" vm="2">
        <f t="shared" si="301"/>
        <v>#VALUE!</v>
      </c>
    </row>
    <row r="3517" spans="55:66" x14ac:dyDescent="0.2">
      <c r="BC3517" s="21" t="e" vm="1">
        <v>#REF!</v>
      </c>
      <c r="BD3517" t="e" vm="1">
        <v>#REF!</v>
      </c>
      <c r="BF3517" t="e" vm="2">
        <f t="shared" si="298"/>
        <v>#VALUE!</v>
      </c>
      <c r="BG3517" t="e" vm="2">
        <f t="shared" si="299"/>
        <v>#VALUE!</v>
      </c>
      <c r="BJ3517" s="21" t="e" vm="1">
        <v>#REF!</v>
      </c>
      <c r="BK3517" t="e" vm="1">
        <v>#REF!</v>
      </c>
      <c r="BM3517" t="e" vm="2">
        <f t="shared" si="300"/>
        <v>#VALUE!</v>
      </c>
      <c r="BN3517" t="e" vm="2">
        <f t="shared" si="301"/>
        <v>#VALUE!</v>
      </c>
    </row>
    <row r="3518" spans="55:66" x14ac:dyDescent="0.2">
      <c r="BC3518" s="21" t="e" vm="1">
        <v>#REF!</v>
      </c>
      <c r="BD3518" t="e" vm="1">
        <v>#REF!</v>
      </c>
      <c r="BF3518" t="e" vm="2">
        <f t="shared" si="298"/>
        <v>#VALUE!</v>
      </c>
      <c r="BG3518" t="e" vm="2">
        <f t="shared" si="299"/>
        <v>#VALUE!</v>
      </c>
      <c r="BJ3518" s="21" t="e" vm="1">
        <v>#REF!</v>
      </c>
      <c r="BK3518" t="e" vm="1">
        <v>#REF!</v>
      </c>
      <c r="BM3518" t="e" vm="2">
        <f t="shared" si="300"/>
        <v>#VALUE!</v>
      </c>
      <c r="BN3518" t="e" vm="2">
        <f t="shared" si="301"/>
        <v>#VALUE!</v>
      </c>
    </row>
    <row r="3519" spans="55:66" x14ac:dyDescent="0.2">
      <c r="BC3519" s="21" t="e" vm="1">
        <v>#REF!</v>
      </c>
      <c r="BD3519" t="e" vm="1">
        <v>#REF!</v>
      </c>
      <c r="BF3519" t="e" vm="2">
        <f t="shared" si="298"/>
        <v>#VALUE!</v>
      </c>
      <c r="BG3519" t="e" vm="2">
        <f t="shared" si="299"/>
        <v>#VALUE!</v>
      </c>
      <c r="BJ3519" s="21" t="e" vm="1">
        <v>#REF!</v>
      </c>
      <c r="BK3519" t="e" vm="1">
        <v>#REF!</v>
      </c>
      <c r="BM3519" t="e" vm="2">
        <f t="shared" si="300"/>
        <v>#VALUE!</v>
      </c>
      <c r="BN3519" t="e" vm="2">
        <f t="shared" si="301"/>
        <v>#VALUE!</v>
      </c>
    </row>
    <row r="3520" spans="55:66" x14ac:dyDescent="0.2">
      <c r="BC3520" s="21" t="e" vm="1">
        <v>#REF!</v>
      </c>
      <c r="BD3520" t="e" vm="1">
        <v>#REF!</v>
      </c>
      <c r="BF3520" t="e" vm="2">
        <f t="shared" si="298"/>
        <v>#VALUE!</v>
      </c>
      <c r="BG3520" t="e" vm="2">
        <f t="shared" si="299"/>
        <v>#VALUE!</v>
      </c>
      <c r="BJ3520" s="21" t="e" vm="1">
        <v>#REF!</v>
      </c>
      <c r="BK3520" t="e" vm="1">
        <v>#REF!</v>
      </c>
      <c r="BM3520" t="e" vm="2">
        <f t="shared" si="300"/>
        <v>#VALUE!</v>
      </c>
      <c r="BN3520" t="e" vm="2">
        <f t="shared" si="301"/>
        <v>#VALUE!</v>
      </c>
    </row>
    <row r="3521" spans="55:66" x14ac:dyDescent="0.2">
      <c r="BC3521" s="21" t="e" vm="1">
        <v>#REF!</v>
      </c>
      <c r="BD3521" t="e" vm="1">
        <v>#REF!</v>
      </c>
      <c r="BF3521" t="e" vm="2">
        <f t="shared" si="298"/>
        <v>#VALUE!</v>
      </c>
      <c r="BG3521" t="e" vm="2">
        <f t="shared" si="299"/>
        <v>#VALUE!</v>
      </c>
      <c r="BJ3521" s="21" t="e" vm="1">
        <v>#REF!</v>
      </c>
      <c r="BK3521" t="e" vm="1">
        <v>#REF!</v>
      </c>
      <c r="BM3521" t="e" vm="2">
        <f t="shared" si="300"/>
        <v>#VALUE!</v>
      </c>
      <c r="BN3521" t="e" vm="2">
        <f t="shared" si="301"/>
        <v>#VALUE!</v>
      </c>
    </row>
    <row r="3522" spans="55:66" x14ac:dyDescent="0.2">
      <c r="BC3522" s="21" t="e" vm="1">
        <v>#REF!</v>
      </c>
      <c r="BD3522" t="e" vm="1">
        <v>#REF!</v>
      </c>
      <c r="BF3522" t="e" vm="2">
        <f t="shared" si="298"/>
        <v>#VALUE!</v>
      </c>
      <c r="BG3522" t="e" vm="2">
        <f t="shared" si="299"/>
        <v>#VALUE!</v>
      </c>
      <c r="BJ3522" s="21" t="e" vm="1">
        <v>#REF!</v>
      </c>
      <c r="BK3522" t="e" vm="1">
        <v>#REF!</v>
      </c>
      <c r="BM3522" t="e" vm="2">
        <f t="shared" si="300"/>
        <v>#VALUE!</v>
      </c>
      <c r="BN3522" t="e" vm="2">
        <f t="shared" si="301"/>
        <v>#VALUE!</v>
      </c>
    </row>
    <row r="3523" spans="55:66" x14ac:dyDescent="0.2">
      <c r="BC3523" s="21" t="e" vm="1">
        <v>#REF!</v>
      </c>
      <c r="BD3523" t="e" vm="1">
        <v>#REF!</v>
      </c>
      <c r="BF3523" t="e" vm="2">
        <f t="shared" ref="BF3523:BF3586" si="302">MONTH(BC3523)</f>
        <v>#VALUE!</v>
      </c>
      <c r="BG3523" t="e" vm="2">
        <f t="shared" ref="BG3523:BG3586" si="303">YEAR(BC3523)</f>
        <v>#VALUE!</v>
      </c>
      <c r="BJ3523" s="21" t="e" vm="1">
        <v>#REF!</v>
      </c>
      <c r="BK3523" t="e" vm="1">
        <v>#REF!</v>
      </c>
      <c r="BM3523" t="e" vm="2">
        <f t="shared" si="300"/>
        <v>#VALUE!</v>
      </c>
      <c r="BN3523" t="e" vm="2">
        <f t="shared" si="301"/>
        <v>#VALUE!</v>
      </c>
    </row>
    <row r="3524" spans="55:66" x14ac:dyDescent="0.2">
      <c r="BC3524" s="21" t="e" vm="1">
        <v>#REF!</v>
      </c>
      <c r="BD3524" t="e" vm="1">
        <v>#REF!</v>
      </c>
      <c r="BF3524" t="e" vm="2">
        <f t="shared" si="302"/>
        <v>#VALUE!</v>
      </c>
      <c r="BG3524" t="e" vm="2">
        <f t="shared" si="303"/>
        <v>#VALUE!</v>
      </c>
      <c r="BJ3524" s="21" t="e" vm="1">
        <v>#REF!</v>
      </c>
      <c r="BK3524" t="e" vm="1">
        <v>#REF!</v>
      </c>
      <c r="BM3524" t="e" vm="2">
        <f t="shared" ref="BM3524:BM3587" si="304">MONTH(BJ3524)</f>
        <v>#VALUE!</v>
      </c>
      <c r="BN3524" t="e" vm="2">
        <f t="shared" ref="BN3524:BN3587" si="305">YEAR(BJ3524)</f>
        <v>#VALUE!</v>
      </c>
    </row>
    <row r="3525" spans="55:66" x14ac:dyDescent="0.2">
      <c r="BC3525" s="21" t="e" vm="1">
        <v>#REF!</v>
      </c>
      <c r="BD3525" t="e" vm="1">
        <v>#REF!</v>
      </c>
      <c r="BF3525" t="e" vm="2">
        <f t="shared" si="302"/>
        <v>#VALUE!</v>
      </c>
      <c r="BG3525" t="e" vm="2">
        <f t="shared" si="303"/>
        <v>#VALUE!</v>
      </c>
      <c r="BJ3525" s="21" t="e" vm="1">
        <v>#REF!</v>
      </c>
      <c r="BK3525" t="e" vm="1">
        <v>#REF!</v>
      </c>
      <c r="BM3525" t="e" vm="2">
        <f t="shared" si="304"/>
        <v>#VALUE!</v>
      </c>
      <c r="BN3525" t="e" vm="2">
        <f t="shared" si="305"/>
        <v>#VALUE!</v>
      </c>
    </row>
    <row r="3526" spans="55:66" x14ac:dyDescent="0.2">
      <c r="BC3526" s="21" t="e" vm="1">
        <v>#REF!</v>
      </c>
      <c r="BD3526" t="e" vm="1">
        <v>#REF!</v>
      </c>
      <c r="BF3526" t="e" vm="2">
        <f t="shared" si="302"/>
        <v>#VALUE!</v>
      </c>
      <c r="BG3526" t="e" vm="2">
        <f t="shared" si="303"/>
        <v>#VALUE!</v>
      </c>
      <c r="BJ3526" s="21" t="e" vm="1">
        <v>#REF!</v>
      </c>
      <c r="BK3526" t="e" vm="1">
        <v>#REF!</v>
      </c>
      <c r="BM3526" t="e" vm="2">
        <f t="shared" si="304"/>
        <v>#VALUE!</v>
      </c>
      <c r="BN3526" t="e" vm="2">
        <f t="shared" si="305"/>
        <v>#VALUE!</v>
      </c>
    </row>
    <row r="3527" spans="55:66" x14ac:dyDescent="0.2">
      <c r="BC3527" s="21" t="e" vm="1">
        <v>#REF!</v>
      </c>
      <c r="BD3527" t="e" vm="1">
        <v>#REF!</v>
      </c>
      <c r="BF3527" t="e" vm="2">
        <f t="shared" si="302"/>
        <v>#VALUE!</v>
      </c>
      <c r="BG3527" t="e" vm="2">
        <f t="shared" si="303"/>
        <v>#VALUE!</v>
      </c>
      <c r="BJ3527" s="21" t="e" vm="1">
        <v>#REF!</v>
      </c>
      <c r="BK3527" t="e" vm="1">
        <v>#REF!</v>
      </c>
      <c r="BM3527" t="e" vm="2">
        <f t="shared" si="304"/>
        <v>#VALUE!</v>
      </c>
      <c r="BN3527" t="e" vm="2">
        <f t="shared" si="305"/>
        <v>#VALUE!</v>
      </c>
    </row>
    <row r="3528" spans="55:66" x14ac:dyDescent="0.2">
      <c r="BC3528" s="21" t="e" vm="1">
        <v>#REF!</v>
      </c>
      <c r="BD3528" t="e" vm="1">
        <v>#REF!</v>
      </c>
      <c r="BF3528" t="e" vm="2">
        <f t="shared" si="302"/>
        <v>#VALUE!</v>
      </c>
      <c r="BG3528" t="e" vm="2">
        <f t="shared" si="303"/>
        <v>#VALUE!</v>
      </c>
      <c r="BJ3528" s="21" t="e" vm="1">
        <v>#REF!</v>
      </c>
      <c r="BK3528" t="e" vm="1">
        <v>#REF!</v>
      </c>
      <c r="BM3528" t="e" vm="2">
        <f t="shared" si="304"/>
        <v>#VALUE!</v>
      </c>
      <c r="BN3528" t="e" vm="2">
        <f t="shared" si="305"/>
        <v>#VALUE!</v>
      </c>
    </row>
    <row r="3529" spans="55:66" x14ac:dyDescent="0.2">
      <c r="BC3529" s="21" t="e" vm="1">
        <v>#REF!</v>
      </c>
      <c r="BD3529" t="e" vm="1">
        <v>#REF!</v>
      </c>
      <c r="BF3529" t="e" vm="2">
        <f t="shared" si="302"/>
        <v>#VALUE!</v>
      </c>
      <c r="BG3529" t="e" vm="2">
        <f t="shared" si="303"/>
        <v>#VALUE!</v>
      </c>
      <c r="BJ3529" s="21" t="e" vm="1">
        <v>#REF!</v>
      </c>
      <c r="BK3529" t="e" vm="1">
        <v>#REF!</v>
      </c>
      <c r="BM3529" t="e" vm="2">
        <f t="shared" si="304"/>
        <v>#VALUE!</v>
      </c>
      <c r="BN3529" t="e" vm="2">
        <f t="shared" si="305"/>
        <v>#VALUE!</v>
      </c>
    </row>
    <row r="3530" spans="55:66" x14ac:dyDescent="0.2">
      <c r="BC3530" s="21" t="e" vm="1">
        <v>#REF!</v>
      </c>
      <c r="BD3530" t="e" vm="1">
        <v>#REF!</v>
      </c>
      <c r="BF3530" t="e" vm="2">
        <f t="shared" si="302"/>
        <v>#VALUE!</v>
      </c>
      <c r="BG3530" t="e" vm="2">
        <f t="shared" si="303"/>
        <v>#VALUE!</v>
      </c>
      <c r="BJ3530" s="21" t="e" vm="1">
        <v>#REF!</v>
      </c>
      <c r="BK3530" t="e" vm="1">
        <v>#REF!</v>
      </c>
      <c r="BM3530" t="e" vm="2">
        <f t="shared" si="304"/>
        <v>#VALUE!</v>
      </c>
      <c r="BN3530" t="e" vm="2">
        <f t="shared" si="305"/>
        <v>#VALUE!</v>
      </c>
    </row>
    <row r="3531" spans="55:66" x14ac:dyDescent="0.2">
      <c r="BC3531" s="21" t="e" vm="1">
        <v>#REF!</v>
      </c>
      <c r="BD3531" t="e" vm="1">
        <v>#REF!</v>
      </c>
      <c r="BF3531" t="e" vm="2">
        <f t="shared" si="302"/>
        <v>#VALUE!</v>
      </c>
      <c r="BG3531" t="e" vm="2">
        <f t="shared" si="303"/>
        <v>#VALUE!</v>
      </c>
      <c r="BJ3531" s="21" t="e" vm="1">
        <v>#REF!</v>
      </c>
      <c r="BK3531" t="e" vm="1">
        <v>#REF!</v>
      </c>
      <c r="BM3531" t="e" vm="2">
        <f t="shared" si="304"/>
        <v>#VALUE!</v>
      </c>
      <c r="BN3531" t="e" vm="2">
        <f t="shared" si="305"/>
        <v>#VALUE!</v>
      </c>
    </row>
    <row r="3532" spans="55:66" x14ac:dyDescent="0.2">
      <c r="BC3532" s="21" t="e" vm="1">
        <v>#REF!</v>
      </c>
      <c r="BD3532" t="e" vm="1">
        <v>#REF!</v>
      </c>
      <c r="BF3532" t="e" vm="2">
        <f t="shared" si="302"/>
        <v>#VALUE!</v>
      </c>
      <c r="BG3532" t="e" vm="2">
        <f t="shared" si="303"/>
        <v>#VALUE!</v>
      </c>
      <c r="BJ3532" s="21" t="e" vm="1">
        <v>#REF!</v>
      </c>
      <c r="BK3532" t="e" vm="1">
        <v>#REF!</v>
      </c>
      <c r="BM3532" t="e" vm="2">
        <f t="shared" si="304"/>
        <v>#VALUE!</v>
      </c>
      <c r="BN3532" t="e" vm="2">
        <f t="shared" si="305"/>
        <v>#VALUE!</v>
      </c>
    </row>
    <row r="3533" spans="55:66" x14ac:dyDescent="0.2">
      <c r="BC3533" s="21" t="e" vm="1">
        <v>#REF!</v>
      </c>
      <c r="BD3533" t="e" vm="1">
        <v>#REF!</v>
      </c>
      <c r="BF3533" t="e" vm="2">
        <f t="shared" si="302"/>
        <v>#VALUE!</v>
      </c>
      <c r="BG3533" t="e" vm="2">
        <f t="shared" si="303"/>
        <v>#VALUE!</v>
      </c>
      <c r="BJ3533" s="21" t="e" vm="1">
        <v>#REF!</v>
      </c>
      <c r="BK3533" t="e" vm="1">
        <v>#REF!</v>
      </c>
      <c r="BM3533" t="e" vm="2">
        <f t="shared" si="304"/>
        <v>#VALUE!</v>
      </c>
      <c r="BN3533" t="e" vm="2">
        <f t="shared" si="305"/>
        <v>#VALUE!</v>
      </c>
    </row>
    <row r="3534" spans="55:66" x14ac:dyDescent="0.2">
      <c r="BC3534" s="21" t="e" vm="1">
        <v>#REF!</v>
      </c>
      <c r="BD3534" t="e" vm="1">
        <v>#REF!</v>
      </c>
      <c r="BF3534" t="e" vm="2">
        <f t="shared" si="302"/>
        <v>#VALUE!</v>
      </c>
      <c r="BG3534" t="e" vm="2">
        <f t="shared" si="303"/>
        <v>#VALUE!</v>
      </c>
      <c r="BJ3534" s="21" t="e" vm="1">
        <v>#REF!</v>
      </c>
      <c r="BK3534" t="e" vm="1">
        <v>#REF!</v>
      </c>
      <c r="BM3534" t="e" vm="2">
        <f t="shared" si="304"/>
        <v>#VALUE!</v>
      </c>
      <c r="BN3534" t="e" vm="2">
        <f t="shared" si="305"/>
        <v>#VALUE!</v>
      </c>
    </row>
    <row r="3535" spans="55:66" x14ac:dyDescent="0.2">
      <c r="BC3535" s="21" t="e" vm="1">
        <v>#REF!</v>
      </c>
      <c r="BD3535" t="e" vm="1">
        <v>#REF!</v>
      </c>
      <c r="BF3535" t="e" vm="2">
        <f t="shared" si="302"/>
        <v>#VALUE!</v>
      </c>
      <c r="BG3535" t="e" vm="2">
        <f t="shared" si="303"/>
        <v>#VALUE!</v>
      </c>
      <c r="BJ3535" s="21" t="e" vm="1">
        <v>#REF!</v>
      </c>
      <c r="BK3535" t="e" vm="1">
        <v>#REF!</v>
      </c>
      <c r="BM3535" t="e" vm="2">
        <f t="shared" si="304"/>
        <v>#VALUE!</v>
      </c>
      <c r="BN3535" t="e" vm="2">
        <f t="shared" si="305"/>
        <v>#VALUE!</v>
      </c>
    </row>
    <row r="3536" spans="55:66" x14ac:dyDescent="0.2">
      <c r="BC3536" s="21" t="e" vm="1">
        <v>#REF!</v>
      </c>
      <c r="BD3536" t="e" vm="1">
        <v>#REF!</v>
      </c>
      <c r="BF3536" t="e" vm="2">
        <f t="shared" si="302"/>
        <v>#VALUE!</v>
      </c>
      <c r="BG3536" t="e" vm="2">
        <f t="shared" si="303"/>
        <v>#VALUE!</v>
      </c>
      <c r="BJ3536" s="21" t="e" vm="1">
        <v>#REF!</v>
      </c>
      <c r="BK3536" t="e" vm="1">
        <v>#REF!</v>
      </c>
      <c r="BM3536" t="e" vm="2">
        <f t="shared" si="304"/>
        <v>#VALUE!</v>
      </c>
      <c r="BN3536" t="e" vm="2">
        <f t="shared" si="305"/>
        <v>#VALUE!</v>
      </c>
    </row>
    <row r="3537" spans="55:66" x14ac:dyDescent="0.2">
      <c r="BC3537" s="21" t="e" vm="1">
        <v>#REF!</v>
      </c>
      <c r="BD3537" t="e" vm="1">
        <v>#REF!</v>
      </c>
      <c r="BF3537" t="e" vm="2">
        <f t="shared" si="302"/>
        <v>#VALUE!</v>
      </c>
      <c r="BG3537" t="e" vm="2">
        <f t="shared" si="303"/>
        <v>#VALUE!</v>
      </c>
      <c r="BJ3537" s="21" t="e" vm="1">
        <v>#REF!</v>
      </c>
      <c r="BK3537" t="e" vm="1">
        <v>#REF!</v>
      </c>
      <c r="BM3537" t="e" vm="2">
        <f t="shared" si="304"/>
        <v>#VALUE!</v>
      </c>
      <c r="BN3537" t="e" vm="2">
        <f t="shared" si="305"/>
        <v>#VALUE!</v>
      </c>
    </row>
    <row r="3538" spans="55:66" x14ac:dyDescent="0.2">
      <c r="BC3538" s="21" t="e" vm="1">
        <v>#REF!</v>
      </c>
      <c r="BD3538" t="e" vm="1">
        <v>#REF!</v>
      </c>
      <c r="BF3538" t="e" vm="2">
        <f t="shared" si="302"/>
        <v>#VALUE!</v>
      </c>
      <c r="BG3538" t="e" vm="2">
        <f t="shared" si="303"/>
        <v>#VALUE!</v>
      </c>
      <c r="BJ3538" s="21" t="e" vm="1">
        <v>#REF!</v>
      </c>
      <c r="BK3538" t="e" vm="1">
        <v>#REF!</v>
      </c>
      <c r="BM3538" t="e" vm="2">
        <f t="shared" si="304"/>
        <v>#VALUE!</v>
      </c>
      <c r="BN3538" t="e" vm="2">
        <f t="shared" si="305"/>
        <v>#VALUE!</v>
      </c>
    </row>
    <row r="3539" spans="55:66" x14ac:dyDescent="0.2">
      <c r="BC3539" s="21" t="e" vm="1">
        <v>#REF!</v>
      </c>
      <c r="BD3539" t="e" vm="1">
        <v>#REF!</v>
      </c>
      <c r="BF3539" t="e" vm="2">
        <f t="shared" si="302"/>
        <v>#VALUE!</v>
      </c>
      <c r="BG3539" t="e" vm="2">
        <f t="shared" si="303"/>
        <v>#VALUE!</v>
      </c>
      <c r="BJ3539" s="21" t="e" vm="1">
        <v>#REF!</v>
      </c>
      <c r="BK3539" t="e" vm="1">
        <v>#REF!</v>
      </c>
      <c r="BM3539" t="e" vm="2">
        <f t="shared" si="304"/>
        <v>#VALUE!</v>
      </c>
      <c r="BN3539" t="e" vm="2">
        <f t="shared" si="305"/>
        <v>#VALUE!</v>
      </c>
    </row>
    <row r="3540" spans="55:66" x14ac:dyDescent="0.2">
      <c r="BC3540" s="21" t="e" vm="1">
        <v>#REF!</v>
      </c>
      <c r="BD3540" t="e" vm="1">
        <v>#REF!</v>
      </c>
      <c r="BF3540" t="e" vm="2">
        <f t="shared" si="302"/>
        <v>#VALUE!</v>
      </c>
      <c r="BG3540" t="e" vm="2">
        <f t="shared" si="303"/>
        <v>#VALUE!</v>
      </c>
      <c r="BJ3540" s="21" t="e" vm="1">
        <v>#REF!</v>
      </c>
      <c r="BK3540" t="e" vm="1">
        <v>#REF!</v>
      </c>
      <c r="BM3540" t="e" vm="2">
        <f t="shared" si="304"/>
        <v>#VALUE!</v>
      </c>
      <c r="BN3540" t="e" vm="2">
        <f t="shared" si="305"/>
        <v>#VALUE!</v>
      </c>
    </row>
    <row r="3541" spans="55:66" x14ac:dyDescent="0.2">
      <c r="BC3541" s="21" t="e" vm="1">
        <v>#REF!</v>
      </c>
      <c r="BD3541" t="e" vm="1">
        <v>#REF!</v>
      </c>
      <c r="BF3541" t="e" vm="2">
        <f t="shared" si="302"/>
        <v>#VALUE!</v>
      </c>
      <c r="BG3541" t="e" vm="2">
        <f t="shared" si="303"/>
        <v>#VALUE!</v>
      </c>
      <c r="BJ3541" s="21" t="e" vm="1">
        <v>#REF!</v>
      </c>
      <c r="BK3541" t="e" vm="1">
        <v>#REF!</v>
      </c>
      <c r="BM3541" t="e" vm="2">
        <f t="shared" si="304"/>
        <v>#VALUE!</v>
      </c>
      <c r="BN3541" t="e" vm="2">
        <f t="shared" si="305"/>
        <v>#VALUE!</v>
      </c>
    </row>
    <row r="3542" spans="55:66" x14ac:dyDescent="0.2">
      <c r="BC3542" s="21" t="e" vm="1">
        <v>#REF!</v>
      </c>
      <c r="BD3542" t="e" vm="1">
        <v>#REF!</v>
      </c>
      <c r="BF3542" t="e" vm="2">
        <f t="shared" si="302"/>
        <v>#VALUE!</v>
      </c>
      <c r="BG3542" t="e" vm="2">
        <f t="shared" si="303"/>
        <v>#VALUE!</v>
      </c>
      <c r="BJ3542" s="21" t="e" vm="1">
        <v>#REF!</v>
      </c>
      <c r="BK3542" t="e" vm="1">
        <v>#REF!</v>
      </c>
      <c r="BM3542" t="e" vm="2">
        <f t="shared" si="304"/>
        <v>#VALUE!</v>
      </c>
      <c r="BN3542" t="e" vm="2">
        <f t="shared" si="305"/>
        <v>#VALUE!</v>
      </c>
    </row>
    <row r="3543" spans="55:66" x14ac:dyDescent="0.2">
      <c r="BC3543" s="21" t="e" vm="1">
        <v>#REF!</v>
      </c>
      <c r="BD3543" t="e" vm="1">
        <v>#REF!</v>
      </c>
      <c r="BF3543" t="e" vm="2">
        <f t="shared" si="302"/>
        <v>#VALUE!</v>
      </c>
      <c r="BG3543" t="e" vm="2">
        <f t="shared" si="303"/>
        <v>#VALUE!</v>
      </c>
      <c r="BJ3543" s="21" t="e" vm="1">
        <v>#REF!</v>
      </c>
      <c r="BK3543" t="e" vm="1">
        <v>#REF!</v>
      </c>
      <c r="BM3543" t="e" vm="2">
        <f t="shared" si="304"/>
        <v>#VALUE!</v>
      </c>
      <c r="BN3543" t="e" vm="2">
        <f t="shared" si="305"/>
        <v>#VALUE!</v>
      </c>
    </row>
    <row r="3544" spans="55:66" x14ac:dyDescent="0.2">
      <c r="BC3544" s="21" t="e" vm="1">
        <v>#REF!</v>
      </c>
      <c r="BD3544" t="e" vm="1">
        <v>#REF!</v>
      </c>
      <c r="BF3544" t="e" vm="2">
        <f t="shared" si="302"/>
        <v>#VALUE!</v>
      </c>
      <c r="BG3544" t="e" vm="2">
        <f t="shared" si="303"/>
        <v>#VALUE!</v>
      </c>
      <c r="BJ3544" s="21" t="e" vm="1">
        <v>#REF!</v>
      </c>
      <c r="BK3544" t="e" vm="1">
        <v>#REF!</v>
      </c>
      <c r="BM3544" t="e" vm="2">
        <f t="shared" si="304"/>
        <v>#VALUE!</v>
      </c>
      <c r="BN3544" t="e" vm="2">
        <f t="shared" si="305"/>
        <v>#VALUE!</v>
      </c>
    </row>
    <row r="3545" spans="55:66" x14ac:dyDescent="0.2">
      <c r="BC3545" s="21" t="e" vm="1">
        <v>#REF!</v>
      </c>
      <c r="BD3545" t="e" vm="1">
        <v>#REF!</v>
      </c>
      <c r="BF3545" t="e" vm="2">
        <f t="shared" si="302"/>
        <v>#VALUE!</v>
      </c>
      <c r="BG3545" t="e" vm="2">
        <f t="shared" si="303"/>
        <v>#VALUE!</v>
      </c>
      <c r="BJ3545" s="21" t="e" vm="1">
        <v>#REF!</v>
      </c>
      <c r="BK3545" t="e" vm="1">
        <v>#REF!</v>
      </c>
      <c r="BM3545" t="e" vm="2">
        <f t="shared" si="304"/>
        <v>#VALUE!</v>
      </c>
      <c r="BN3545" t="e" vm="2">
        <f t="shared" si="305"/>
        <v>#VALUE!</v>
      </c>
    </row>
    <row r="3546" spans="55:66" x14ac:dyDescent="0.2">
      <c r="BC3546" s="21" t="e" vm="1">
        <v>#REF!</v>
      </c>
      <c r="BD3546" t="e" vm="1">
        <v>#REF!</v>
      </c>
      <c r="BF3546" t="e" vm="2">
        <f t="shared" si="302"/>
        <v>#VALUE!</v>
      </c>
      <c r="BG3546" t="e" vm="2">
        <f t="shared" si="303"/>
        <v>#VALUE!</v>
      </c>
      <c r="BJ3546" s="21" t="e" vm="1">
        <v>#REF!</v>
      </c>
      <c r="BK3546" t="e" vm="1">
        <v>#REF!</v>
      </c>
      <c r="BM3546" t="e" vm="2">
        <f t="shared" si="304"/>
        <v>#VALUE!</v>
      </c>
      <c r="BN3546" t="e" vm="2">
        <f t="shared" si="305"/>
        <v>#VALUE!</v>
      </c>
    </row>
    <row r="3547" spans="55:66" x14ac:dyDescent="0.2">
      <c r="BC3547" s="21" t="e" vm="1">
        <v>#REF!</v>
      </c>
      <c r="BD3547" t="e" vm="1">
        <v>#REF!</v>
      </c>
      <c r="BF3547" t="e" vm="2">
        <f t="shared" si="302"/>
        <v>#VALUE!</v>
      </c>
      <c r="BG3547" t="e" vm="2">
        <f t="shared" si="303"/>
        <v>#VALUE!</v>
      </c>
      <c r="BJ3547" s="21" t="e" vm="1">
        <v>#REF!</v>
      </c>
      <c r="BK3547" t="e" vm="1">
        <v>#REF!</v>
      </c>
      <c r="BM3547" t="e" vm="2">
        <f t="shared" si="304"/>
        <v>#VALUE!</v>
      </c>
      <c r="BN3547" t="e" vm="2">
        <f t="shared" si="305"/>
        <v>#VALUE!</v>
      </c>
    </row>
    <row r="3548" spans="55:66" x14ac:dyDescent="0.2">
      <c r="BC3548" s="21" t="e" vm="1">
        <v>#REF!</v>
      </c>
      <c r="BD3548" t="e" vm="1">
        <v>#REF!</v>
      </c>
      <c r="BF3548" t="e" vm="2">
        <f t="shared" si="302"/>
        <v>#VALUE!</v>
      </c>
      <c r="BG3548" t="e" vm="2">
        <f t="shared" si="303"/>
        <v>#VALUE!</v>
      </c>
      <c r="BJ3548" s="21" t="e" vm="1">
        <v>#REF!</v>
      </c>
      <c r="BK3548" t="e" vm="1">
        <v>#REF!</v>
      </c>
      <c r="BM3548" t="e" vm="2">
        <f t="shared" si="304"/>
        <v>#VALUE!</v>
      </c>
      <c r="BN3548" t="e" vm="2">
        <f t="shared" si="305"/>
        <v>#VALUE!</v>
      </c>
    </row>
    <row r="3549" spans="55:66" x14ac:dyDescent="0.2">
      <c r="BC3549" s="21" t="e" vm="1">
        <v>#REF!</v>
      </c>
      <c r="BD3549" t="e" vm="1">
        <v>#REF!</v>
      </c>
      <c r="BF3549" t="e" vm="2">
        <f t="shared" si="302"/>
        <v>#VALUE!</v>
      </c>
      <c r="BG3549" t="e" vm="2">
        <f t="shared" si="303"/>
        <v>#VALUE!</v>
      </c>
      <c r="BJ3549" s="21" t="e" vm="1">
        <v>#REF!</v>
      </c>
      <c r="BK3549" t="e" vm="1">
        <v>#REF!</v>
      </c>
      <c r="BM3549" t="e" vm="2">
        <f t="shared" si="304"/>
        <v>#VALUE!</v>
      </c>
      <c r="BN3549" t="e" vm="2">
        <f t="shared" si="305"/>
        <v>#VALUE!</v>
      </c>
    </row>
    <row r="3550" spans="55:66" x14ac:dyDescent="0.2">
      <c r="BC3550" s="21" t="e" vm="1">
        <v>#REF!</v>
      </c>
      <c r="BD3550" t="e" vm="1">
        <v>#REF!</v>
      </c>
      <c r="BF3550" t="e" vm="2">
        <f t="shared" si="302"/>
        <v>#VALUE!</v>
      </c>
      <c r="BG3550" t="e" vm="2">
        <f t="shared" si="303"/>
        <v>#VALUE!</v>
      </c>
      <c r="BJ3550" s="21" t="e" vm="1">
        <v>#REF!</v>
      </c>
      <c r="BK3550" t="e" vm="1">
        <v>#REF!</v>
      </c>
      <c r="BM3550" t="e" vm="2">
        <f t="shared" si="304"/>
        <v>#VALUE!</v>
      </c>
      <c r="BN3550" t="e" vm="2">
        <f t="shared" si="305"/>
        <v>#VALUE!</v>
      </c>
    </row>
    <row r="3551" spans="55:66" x14ac:dyDescent="0.2">
      <c r="BC3551" s="21" t="e" vm="1">
        <v>#REF!</v>
      </c>
      <c r="BD3551" t="e" vm="1">
        <v>#REF!</v>
      </c>
      <c r="BF3551" t="e" vm="2">
        <f t="shared" si="302"/>
        <v>#VALUE!</v>
      </c>
      <c r="BG3551" t="e" vm="2">
        <f t="shared" si="303"/>
        <v>#VALUE!</v>
      </c>
      <c r="BJ3551" s="21" t="e" vm="1">
        <v>#REF!</v>
      </c>
      <c r="BK3551" t="e" vm="1">
        <v>#REF!</v>
      </c>
      <c r="BM3551" t="e" vm="2">
        <f t="shared" si="304"/>
        <v>#VALUE!</v>
      </c>
      <c r="BN3551" t="e" vm="2">
        <f t="shared" si="305"/>
        <v>#VALUE!</v>
      </c>
    </row>
    <row r="3552" spans="55:66" x14ac:dyDescent="0.2">
      <c r="BC3552" s="21" t="e" vm="1">
        <v>#REF!</v>
      </c>
      <c r="BD3552" t="e" vm="1">
        <v>#REF!</v>
      </c>
      <c r="BF3552" t="e" vm="2">
        <f t="shared" si="302"/>
        <v>#VALUE!</v>
      </c>
      <c r="BG3552" t="e" vm="2">
        <f t="shared" si="303"/>
        <v>#VALUE!</v>
      </c>
      <c r="BJ3552" s="21" t="e" vm="1">
        <v>#REF!</v>
      </c>
      <c r="BK3552" t="e" vm="1">
        <v>#REF!</v>
      </c>
      <c r="BM3552" t="e" vm="2">
        <f t="shared" si="304"/>
        <v>#VALUE!</v>
      </c>
      <c r="BN3552" t="e" vm="2">
        <f t="shared" si="305"/>
        <v>#VALUE!</v>
      </c>
    </row>
    <row r="3553" spans="55:66" x14ac:dyDescent="0.2">
      <c r="BC3553" s="21" t="e" vm="1">
        <v>#REF!</v>
      </c>
      <c r="BD3553" t="e" vm="1">
        <v>#REF!</v>
      </c>
      <c r="BF3553" t="e" vm="2">
        <f t="shared" si="302"/>
        <v>#VALUE!</v>
      </c>
      <c r="BG3553" t="e" vm="2">
        <f t="shared" si="303"/>
        <v>#VALUE!</v>
      </c>
      <c r="BJ3553" s="21" t="e" vm="1">
        <v>#REF!</v>
      </c>
      <c r="BK3553" t="e" vm="1">
        <v>#REF!</v>
      </c>
      <c r="BM3553" t="e" vm="2">
        <f t="shared" si="304"/>
        <v>#VALUE!</v>
      </c>
      <c r="BN3553" t="e" vm="2">
        <f t="shared" si="305"/>
        <v>#VALUE!</v>
      </c>
    </row>
    <row r="3554" spans="55:66" x14ac:dyDescent="0.2">
      <c r="BC3554" s="21" t="e" vm="1">
        <v>#REF!</v>
      </c>
      <c r="BD3554" t="e" vm="1">
        <v>#REF!</v>
      </c>
      <c r="BF3554" t="e" vm="2">
        <f t="shared" si="302"/>
        <v>#VALUE!</v>
      </c>
      <c r="BG3554" t="e" vm="2">
        <f t="shared" si="303"/>
        <v>#VALUE!</v>
      </c>
      <c r="BJ3554" s="21" t="e" vm="1">
        <v>#REF!</v>
      </c>
      <c r="BK3554" t="e" vm="1">
        <v>#REF!</v>
      </c>
      <c r="BM3554" t="e" vm="2">
        <f t="shared" si="304"/>
        <v>#VALUE!</v>
      </c>
      <c r="BN3554" t="e" vm="2">
        <f t="shared" si="305"/>
        <v>#VALUE!</v>
      </c>
    </row>
    <row r="3555" spans="55:66" x14ac:dyDescent="0.2">
      <c r="BC3555" s="21" t="e" vm="1">
        <v>#REF!</v>
      </c>
      <c r="BD3555" t="e" vm="1">
        <v>#REF!</v>
      </c>
      <c r="BF3555" t="e" vm="2">
        <f t="shared" si="302"/>
        <v>#VALUE!</v>
      </c>
      <c r="BG3555" t="e" vm="2">
        <f t="shared" si="303"/>
        <v>#VALUE!</v>
      </c>
      <c r="BJ3555" s="21" t="e" vm="1">
        <v>#REF!</v>
      </c>
      <c r="BK3555" t="e" vm="1">
        <v>#REF!</v>
      </c>
      <c r="BM3555" t="e" vm="2">
        <f t="shared" si="304"/>
        <v>#VALUE!</v>
      </c>
      <c r="BN3555" t="e" vm="2">
        <f t="shared" si="305"/>
        <v>#VALUE!</v>
      </c>
    </row>
    <row r="3556" spans="55:66" x14ac:dyDescent="0.2">
      <c r="BC3556" s="21" t="e" vm="1">
        <v>#REF!</v>
      </c>
      <c r="BD3556" t="e" vm="1">
        <v>#REF!</v>
      </c>
      <c r="BF3556" t="e" vm="2">
        <f t="shared" si="302"/>
        <v>#VALUE!</v>
      </c>
      <c r="BG3556" t="e" vm="2">
        <f t="shared" si="303"/>
        <v>#VALUE!</v>
      </c>
      <c r="BJ3556" s="21" t="e" vm="1">
        <v>#REF!</v>
      </c>
      <c r="BK3556" t="e" vm="1">
        <v>#REF!</v>
      </c>
      <c r="BM3556" t="e" vm="2">
        <f t="shared" si="304"/>
        <v>#VALUE!</v>
      </c>
      <c r="BN3556" t="e" vm="2">
        <f t="shared" si="305"/>
        <v>#VALUE!</v>
      </c>
    </row>
    <row r="3557" spans="55:66" x14ac:dyDescent="0.2">
      <c r="BC3557" s="21" t="e" vm="1">
        <v>#REF!</v>
      </c>
      <c r="BD3557" t="e" vm="1">
        <v>#REF!</v>
      </c>
      <c r="BF3557" t="e" vm="2">
        <f t="shared" si="302"/>
        <v>#VALUE!</v>
      </c>
      <c r="BG3557" t="e" vm="2">
        <f t="shared" si="303"/>
        <v>#VALUE!</v>
      </c>
      <c r="BJ3557" s="21" t="e" vm="1">
        <v>#REF!</v>
      </c>
      <c r="BK3557" t="e" vm="1">
        <v>#REF!</v>
      </c>
      <c r="BM3557" t="e" vm="2">
        <f t="shared" si="304"/>
        <v>#VALUE!</v>
      </c>
      <c r="BN3557" t="e" vm="2">
        <f t="shared" si="305"/>
        <v>#VALUE!</v>
      </c>
    </row>
    <row r="3558" spans="55:66" x14ac:dyDescent="0.2">
      <c r="BC3558" s="21" t="e" vm="1">
        <v>#REF!</v>
      </c>
      <c r="BD3558" t="e" vm="1">
        <v>#REF!</v>
      </c>
      <c r="BF3558" t="e" vm="2">
        <f t="shared" si="302"/>
        <v>#VALUE!</v>
      </c>
      <c r="BG3558" t="e" vm="2">
        <f t="shared" si="303"/>
        <v>#VALUE!</v>
      </c>
      <c r="BJ3558" s="21" t="e" vm="1">
        <v>#REF!</v>
      </c>
      <c r="BK3558" t="e" vm="1">
        <v>#REF!</v>
      </c>
      <c r="BM3558" t="e" vm="2">
        <f t="shared" si="304"/>
        <v>#VALUE!</v>
      </c>
      <c r="BN3558" t="e" vm="2">
        <f t="shared" si="305"/>
        <v>#VALUE!</v>
      </c>
    </row>
    <row r="3559" spans="55:66" x14ac:dyDescent="0.2">
      <c r="BC3559" s="21" t="e" vm="1">
        <v>#REF!</v>
      </c>
      <c r="BD3559" t="e" vm="1">
        <v>#REF!</v>
      </c>
      <c r="BF3559" t="e" vm="2">
        <f t="shared" si="302"/>
        <v>#VALUE!</v>
      </c>
      <c r="BG3559" t="e" vm="2">
        <f t="shared" si="303"/>
        <v>#VALUE!</v>
      </c>
      <c r="BJ3559" s="21" t="e" vm="1">
        <v>#REF!</v>
      </c>
      <c r="BK3559" t="e" vm="1">
        <v>#REF!</v>
      </c>
      <c r="BM3559" t="e" vm="2">
        <f t="shared" si="304"/>
        <v>#VALUE!</v>
      </c>
      <c r="BN3559" t="e" vm="2">
        <f t="shared" si="305"/>
        <v>#VALUE!</v>
      </c>
    </row>
    <row r="3560" spans="55:66" x14ac:dyDescent="0.2">
      <c r="BC3560" s="21" t="e" vm="1">
        <v>#REF!</v>
      </c>
      <c r="BD3560" t="e" vm="1">
        <v>#REF!</v>
      </c>
      <c r="BF3560" t="e" vm="2">
        <f t="shared" si="302"/>
        <v>#VALUE!</v>
      </c>
      <c r="BG3560" t="e" vm="2">
        <f t="shared" si="303"/>
        <v>#VALUE!</v>
      </c>
      <c r="BJ3560" s="21" t="e" vm="1">
        <v>#REF!</v>
      </c>
      <c r="BK3560" t="e" vm="1">
        <v>#REF!</v>
      </c>
      <c r="BM3560" t="e" vm="2">
        <f t="shared" si="304"/>
        <v>#VALUE!</v>
      </c>
      <c r="BN3560" t="e" vm="2">
        <f t="shared" si="305"/>
        <v>#VALUE!</v>
      </c>
    </row>
    <row r="3561" spans="55:66" x14ac:dyDescent="0.2">
      <c r="BC3561" s="21" t="e" vm="1">
        <v>#REF!</v>
      </c>
      <c r="BD3561" t="e" vm="1">
        <v>#REF!</v>
      </c>
      <c r="BF3561" t="e" vm="2">
        <f t="shared" si="302"/>
        <v>#VALUE!</v>
      </c>
      <c r="BG3561" t="e" vm="2">
        <f t="shared" si="303"/>
        <v>#VALUE!</v>
      </c>
      <c r="BJ3561" s="21" t="e" vm="1">
        <v>#REF!</v>
      </c>
      <c r="BK3561" t="e" vm="1">
        <v>#REF!</v>
      </c>
      <c r="BM3561" t="e" vm="2">
        <f t="shared" si="304"/>
        <v>#VALUE!</v>
      </c>
      <c r="BN3561" t="e" vm="2">
        <f t="shared" si="305"/>
        <v>#VALUE!</v>
      </c>
    </row>
    <row r="3562" spans="55:66" x14ac:dyDescent="0.2">
      <c r="BC3562" s="21" t="e" vm="1">
        <v>#REF!</v>
      </c>
      <c r="BD3562" t="e" vm="1">
        <v>#REF!</v>
      </c>
      <c r="BF3562" t="e" vm="2">
        <f t="shared" si="302"/>
        <v>#VALUE!</v>
      </c>
      <c r="BG3562" t="e" vm="2">
        <f t="shared" si="303"/>
        <v>#VALUE!</v>
      </c>
      <c r="BJ3562" s="21" t="e" vm="1">
        <v>#REF!</v>
      </c>
      <c r="BK3562" t="e" vm="1">
        <v>#REF!</v>
      </c>
      <c r="BM3562" t="e" vm="2">
        <f t="shared" si="304"/>
        <v>#VALUE!</v>
      </c>
      <c r="BN3562" t="e" vm="2">
        <f t="shared" si="305"/>
        <v>#VALUE!</v>
      </c>
    </row>
    <row r="3563" spans="55:66" x14ac:dyDescent="0.2">
      <c r="BC3563" s="21" t="e" vm="1">
        <v>#REF!</v>
      </c>
      <c r="BD3563" t="e" vm="1">
        <v>#REF!</v>
      </c>
      <c r="BF3563" t="e" vm="2">
        <f t="shared" si="302"/>
        <v>#VALUE!</v>
      </c>
      <c r="BG3563" t="e" vm="2">
        <f t="shared" si="303"/>
        <v>#VALUE!</v>
      </c>
      <c r="BJ3563" s="21" t="e" vm="1">
        <v>#REF!</v>
      </c>
      <c r="BK3563" t="e" vm="1">
        <v>#REF!</v>
      </c>
      <c r="BM3563" t="e" vm="2">
        <f t="shared" si="304"/>
        <v>#VALUE!</v>
      </c>
      <c r="BN3563" t="e" vm="2">
        <f t="shared" si="305"/>
        <v>#VALUE!</v>
      </c>
    </row>
    <row r="3564" spans="55:66" x14ac:dyDescent="0.2">
      <c r="BC3564" s="21" t="e" vm="1">
        <v>#REF!</v>
      </c>
      <c r="BD3564" t="e" vm="1">
        <v>#REF!</v>
      </c>
      <c r="BF3564" t="e" vm="2">
        <f t="shared" si="302"/>
        <v>#VALUE!</v>
      </c>
      <c r="BG3564" t="e" vm="2">
        <f t="shared" si="303"/>
        <v>#VALUE!</v>
      </c>
      <c r="BJ3564" s="21" t="e" vm="1">
        <v>#REF!</v>
      </c>
      <c r="BK3564" t="e" vm="1">
        <v>#REF!</v>
      </c>
      <c r="BM3564" t="e" vm="2">
        <f t="shared" si="304"/>
        <v>#VALUE!</v>
      </c>
      <c r="BN3564" t="e" vm="2">
        <f t="shared" si="305"/>
        <v>#VALUE!</v>
      </c>
    </row>
    <row r="3565" spans="55:66" x14ac:dyDescent="0.2">
      <c r="BC3565" s="21" t="e" vm="1">
        <v>#REF!</v>
      </c>
      <c r="BD3565" t="e" vm="1">
        <v>#REF!</v>
      </c>
      <c r="BF3565" t="e" vm="2">
        <f t="shared" si="302"/>
        <v>#VALUE!</v>
      </c>
      <c r="BG3565" t="e" vm="2">
        <f t="shared" si="303"/>
        <v>#VALUE!</v>
      </c>
      <c r="BJ3565" s="21" t="e" vm="1">
        <v>#REF!</v>
      </c>
      <c r="BK3565" t="e" vm="1">
        <v>#REF!</v>
      </c>
      <c r="BM3565" t="e" vm="2">
        <f t="shared" si="304"/>
        <v>#VALUE!</v>
      </c>
      <c r="BN3565" t="e" vm="2">
        <f t="shared" si="305"/>
        <v>#VALUE!</v>
      </c>
    </row>
    <row r="3566" spans="55:66" x14ac:dyDescent="0.2">
      <c r="BC3566" s="21" t="e" vm="1">
        <v>#REF!</v>
      </c>
      <c r="BD3566" t="e" vm="1">
        <v>#REF!</v>
      </c>
      <c r="BF3566" t="e" vm="2">
        <f t="shared" si="302"/>
        <v>#VALUE!</v>
      </c>
      <c r="BG3566" t="e" vm="2">
        <f t="shared" si="303"/>
        <v>#VALUE!</v>
      </c>
      <c r="BJ3566" s="21" t="e" vm="1">
        <v>#REF!</v>
      </c>
      <c r="BK3566" t="e" vm="1">
        <v>#REF!</v>
      </c>
      <c r="BM3566" t="e" vm="2">
        <f t="shared" si="304"/>
        <v>#VALUE!</v>
      </c>
      <c r="BN3566" t="e" vm="2">
        <f t="shared" si="305"/>
        <v>#VALUE!</v>
      </c>
    </row>
    <row r="3567" spans="55:66" x14ac:dyDescent="0.2">
      <c r="BC3567" s="21" t="e" vm="1">
        <v>#REF!</v>
      </c>
      <c r="BD3567" t="e" vm="1">
        <v>#REF!</v>
      </c>
      <c r="BF3567" t="e" vm="2">
        <f t="shared" si="302"/>
        <v>#VALUE!</v>
      </c>
      <c r="BG3567" t="e" vm="2">
        <f t="shared" si="303"/>
        <v>#VALUE!</v>
      </c>
      <c r="BJ3567" s="21" t="e" vm="1">
        <v>#REF!</v>
      </c>
      <c r="BK3567" t="e" vm="1">
        <v>#REF!</v>
      </c>
      <c r="BM3567" t="e" vm="2">
        <f t="shared" si="304"/>
        <v>#VALUE!</v>
      </c>
      <c r="BN3567" t="e" vm="2">
        <f t="shared" si="305"/>
        <v>#VALUE!</v>
      </c>
    </row>
    <row r="3568" spans="55:66" x14ac:dyDescent="0.2">
      <c r="BC3568" s="21" t="e" vm="1">
        <v>#REF!</v>
      </c>
      <c r="BD3568" t="e" vm="1">
        <v>#REF!</v>
      </c>
      <c r="BF3568" t="e" vm="2">
        <f t="shared" si="302"/>
        <v>#VALUE!</v>
      </c>
      <c r="BG3568" t="e" vm="2">
        <f t="shared" si="303"/>
        <v>#VALUE!</v>
      </c>
      <c r="BJ3568" s="21" t="e" vm="1">
        <v>#REF!</v>
      </c>
      <c r="BK3568" t="e" vm="1">
        <v>#REF!</v>
      </c>
      <c r="BM3568" t="e" vm="2">
        <f t="shared" si="304"/>
        <v>#VALUE!</v>
      </c>
      <c r="BN3568" t="e" vm="2">
        <f t="shared" si="305"/>
        <v>#VALUE!</v>
      </c>
    </row>
    <row r="3569" spans="55:66" x14ac:dyDescent="0.2">
      <c r="BC3569" s="21" t="e" vm="1">
        <v>#REF!</v>
      </c>
      <c r="BD3569" t="e" vm="1">
        <v>#REF!</v>
      </c>
      <c r="BF3569" t="e" vm="2">
        <f t="shared" si="302"/>
        <v>#VALUE!</v>
      </c>
      <c r="BG3569" t="e" vm="2">
        <f t="shared" si="303"/>
        <v>#VALUE!</v>
      </c>
      <c r="BJ3569" s="21" t="e" vm="1">
        <v>#REF!</v>
      </c>
      <c r="BK3569" t="e" vm="1">
        <v>#REF!</v>
      </c>
      <c r="BM3569" t="e" vm="2">
        <f t="shared" si="304"/>
        <v>#VALUE!</v>
      </c>
      <c r="BN3569" t="e" vm="2">
        <f t="shared" si="305"/>
        <v>#VALUE!</v>
      </c>
    </row>
    <row r="3570" spans="55:66" x14ac:dyDescent="0.2">
      <c r="BC3570" s="21" t="e" vm="1">
        <v>#REF!</v>
      </c>
      <c r="BD3570" t="e" vm="1">
        <v>#REF!</v>
      </c>
      <c r="BF3570" t="e" vm="2">
        <f t="shared" si="302"/>
        <v>#VALUE!</v>
      </c>
      <c r="BG3570" t="e" vm="2">
        <f t="shared" si="303"/>
        <v>#VALUE!</v>
      </c>
      <c r="BJ3570" s="21" t="e" vm="1">
        <v>#REF!</v>
      </c>
      <c r="BK3570" t="e" vm="1">
        <v>#REF!</v>
      </c>
      <c r="BM3570" t="e" vm="2">
        <f t="shared" si="304"/>
        <v>#VALUE!</v>
      </c>
      <c r="BN3570" t="e" vm="2">
        <f t="shared" si="305"/>
        <v>#VALUE!</v>
      </c>
    </row>
    <row r="3571" spans="55:66" x14ac:dyDescent="0.2">
      <c r="BC3571" s="21" t="e" vm="1">
        <v>#REF!</v>
      </c>
      <c r="BD3571" t="e" vm="1">
        <v>#REF!</v>
      </c>
      <c r="BF3571" t="e" vm="2">
        <f t="shared" si="302"/>
        <v>#VALUE!</v>
      </c>
      <c r="BG3571" t="e" vm="2">
        <f t="shared" si="303"/>
        <v>#VALUE!</v>
      </c>
      <c r="BJ3571" s="21" t="e" vm="1">
        <v>#REF!</v>
      </c>
      <c r="BK3571" t="e" vm="1">
        <v>#REF!</v>
      </c>
      <c r="BM3571" t="e" vm="2">
        <f t="shared" si="304"/>
        <v>#VALUE!</v>
      </c>
      <c r="BN3571" t="e" vm="2">
        <f t="shared" si="305"/>
        <v>#VALUE!</v>
      </c>
    </row>
    <row r="3572" spans="55:66" x14ac:dyDescent="0.2">
      <c r="BC3572" s="21" t="e" vm="1">
        <v>#REF!</v>
      </c>
      <c r="BD3572" t="e" vm="1">
        <v>#REF!</v>
      </c>
      <c r="BF3572" t="e" vm="2">
        <f t="shared" si="302"/>
        <v>#VALUE!</v>
      </c>
      <c r="BG3572" t="e" vm="2">
        <f t="shared" si="303"/>
        <v>#VALUE!</v>
      </c>
      <c r="BJ3572" s="21" t="e" vm="1">
        <v>#REF!</v>
      </c>
      <c r="BK3572" t="e" vm="1">
        <v>#REF!</v>
      </c>
      <c r="BM3572" t="e" vm="2">
        <f t="shared" si="304"/>
        <v>#VALUE!</v>
      </c>
      <c r="BN3572" t="e" vm="2">
        <f t="shared" si="305"/>
        <v>#VALUE!</v>
      </c>
    </row>
    <row r="3573" spans="55:66" x14ac:dyDescent="0.2">
      <c r="BC3573" s="21" t="e" vm="1">
        <v>#REF!</v>
      </c>
      <c r="BD3573" t="e" vm="1">
        <v>#REF!</v>
      </c>
      <c r="BF3573" t="e" vm="2">
        <f t="shared" si="302"/>
        <v>#VALUE!</v>
      </c>
      <c r="BG3573" t="e" vm="2">
        <f t="shared" si="303"/>
        <v>#VALUE!</v>
      </c>
      <c r="BJ3573" s="21" t="e" vm="1">
        <v>#REF!</v>
      </c>
      <c r="BK3573" t="e" vm="1">
        <v>#REF!</v>
      </c>
      <c r="BM3573" t="e" vm="2">
        <f t="shared" si="304"/>
        <v>#VALUE!</v>
      </c>
      <c r="BN3573" t="e" vm="2">
        <f t="shared" si="305"/>
        <v>#VALUE!</v>
      </c>
    </row>
    <row r="3574" spans="55:66" x14ac:dyDescent="0.2">
      <c r="BC3574" s="21" t="e" vm="1">
        <v>#REF!</v>
      </c>
      <c r="BD3574" t="e" vm="1">
        <v>#REF!</v>
      </c>
      <c r="BF3574" t="e" vm="2">
        <f t="shared" si="302"/>
        <v>#VALUE!</v>
      </c>
      <c r="BG3574" t="e" vm="2">
        <f t="shared" si="303"/>
        <v>#VALUE!</v>
      </c>
      <c r="BJ3574" s="21" t="e" vm="1">
        <v>#REF!</v>
      </c>
      <c r="BK3574" t="e" vm="1">
        <v>#REF!</v>
      </c>
      <c r="BM3574" t="e" vm="2">
        <f t="shared" si="304"/>
        <v>#VALUE!</v>
      </c>
      <c r="BN3574" t="e" vm="2">
        <f t="shared" si="305"/>
        <v>#VALUE!</v>
      </c>
    </row>
    <row r="3575" spans="55:66" x14ac:dyDescent="0.2">
      <c r="BC3575" s="21" t="e" vm="1">
        <v>#REF!</v>
      </c>
      <c r="BD3575" t="e" vm="1">
        <v>#REF!</v>
      </c>
      <c r="BF3575" t="e" vm="2">
        <f t="shared" si="302"/>
        <v>#VALUE!</v>
      </c>
      <c r="BG3575" t="e" vm="2">
        <f t="shared" si="303"/>
        <v>#VALUE!</v>
      </c>
      <c r="BJ3575" s="21" t="e" vm="1">
        <v>#REF!</v>
      </c>
      <c r="BK3575" t="e" vm="1">
        <v>#REF!</v>
      </c>
      <c r="BM3575" t="e" vm="2">
        <f t="shared" si="304"/>
        <v>#VALUE!</v>
      </c>
      <c r="BN3575" t="e" vm="2">
        <f t="shared" si="305"/>
        <v>#VALUE!</v>
      </c>
    </row>
    <row r="3576" spans="55:66" x14ac:dyDescent="0.2">
      <c r="BC3576" s="21" t="e" vm="1">
        <v>#REF!</v>
      </c>
      <c r="BD3576" t="e" vm="1">
        <v>#REF!</v>
      </c>
      <c r="BF3576" t="e" vm="2">
        <f t="shared" si="302"/>
        <v>#VALUE!</v>
      </c>
      <c r="BG3576" t="e" vm="2">
        <f t="shared" si="303"/>
        <v>#VALUE!</v>
      </c>
      <c r="BJ3576" s="21" t="e" vm="1">
        <v>#REF!</v>
      </c>
      <c r="BK3576" t="e" vm="1">
        <v>#REF!</v>
      </c>
      <c r="BM3576" t="e" vm="2">
        <f t="shared" si="304"/>
        <v>#VALUE!</v>
      </c>
      <c r="BN3576" t="e" vm="2">
        <f t="shared" si="305"/>
        <v>#VALUE!</v>
      </c>
    </row>
    <row r="3577" spans="55:66" x14ac:dyDescent="0.2">
      <c r="BC3577" s="21" t="e" vm="1">
        <v>#REF!</v>
      </c>
      <c r="BD3577" t="e" vm="1">
        <v>#REF!</v>
      </c>
      <c r="BF3577" t="e" vm="2">
        <f t="shared" si="302"/>
        <v>#VALUE!</v>
      </c>
      <c r="BG3577" t="e" vm="2">
        <f t="shared" si="303"/>
        <v>#VALUE!</v>
      </c>
      <c r="BJ3577" s="21" t="e" vm="1">
        <v>#REF!</v>
      </c>
      <c r="BK3577" t="e" vm="1">
        <v>#REF!</v>
      </c>
      <c r="BM3577" t="e" vm="2">
        <f t="shared" si="304"/>
        <v>#VALUE!</v>
      </c>
      <c r="BN3577" t="e" vm="2">
        <f t="shared" si="305"/>
        <v>#VALUE!</v>
      </c>
    </row>
    <row r="3578" spans="55:66" x14ac:dyDescent="0.2">
      <c r="BC3578" s="21" t="e" vm="1">
        <v>#REF!</v>
      </c>
      <c r="BD3578" t="e" vm="1">
        <v>#REF!</v>
      </c>
      <c r="BF3578" t="e" vm="2">
        <f t="shared" si="302"/>
        <v>#VALUE!</v>
      </c>
      <c r="BG3578" t="e" vm="2">
        <f t="shared" si="303"/>
        <v>#VALUE!</v>
      </c>
      <c r="BJ3578" s="21" t="e" vm="1">
        <v>#REF!</v>
      </c>
      <c r="BK3578" t="e" vm="1">
        <v>#REF!</v>
      </c>
      <c r="BM3578" t="e" vm="2">
        <f t="shared" si="304"/>
        <v>#VALUE!</v>
      </c>
      <c r="BN3578" t="e" vm="2">
        <f t="shared" si="305"/>
        <v>#VALUE!</v>
      </c>
    </row>
    <row r="3579" spans="55:66" x14ac:dyDescent="0.2">
      <c r="BC3579" s="21" t="e" vm="1">
        <v>#REF!</v>
      </c>
      <c r="BD3579" t="e" vm="1">
        <v>#REF!</v>
      </c>
      <c r="BF3579" t="e" vm="2">
        <f t="shared" si="302"/>
        <v>#VALUE!</v>
      </c>
      <c r="BG3579" t="e" vm="2">
        <f t="shared" si="303"/>
        <v>#VALUE!</v>
      </c>
      <c r="BJ3579" s="21" t="e" vm="1">
        <v>#REF!</v>
      </c>
      <c r="BK3579" t="e" vm="1">
        <v>#REF!</v>
      </c>
      <c r="BM3579" t="e" vm="2">
        <f t="shared" si="304"/>
        <v>#VALUE!</v>
      </c>
      <c r="BN3579" t="e" vm="2">
        <f t="shared" si="305"/>
        <v>#VALUE!</v>
      </c>
    </row>
    <row r="3580" spans="55:66" x14ac:dyDescent="0.2">
      <c r="BC3580" s="21" t="e" vm="1">
        <v>#REF!</v>
      </c>
      <c r="BD3580" t="e" vm="1">
        <v>#REF!</v>
      </c>
      <c r="BF3580" t="e" vm="2">
        <f t="shared" si="302"/>
        <v>#VALUE!</v>
      </c>
      <c r="BG3580" t="e" vm="2">
        <f t="shared" si="303"/>
        <v>#VALUE!</v>
      </c>
      <c r="BJ3580" s="21" t="e" vm="1">
        <v>#REF!</v>
      </c>
      <c r="BK3580" t="e" vm="1">
        <v>#REF!</v>
      </c>
      <c r="BM3580" t="e" vm="2">
        <f t="shared" si="304"/>
        <v>#VALUE!</v>
      </c>
      <c r="BN3580" t="e" vm="2">
        <f t="shared" si="305"/>
        <v>#VALUE!</v>
      </c>
    </row>
    <row r="3581" spans="55:66" x14ac:dyDescent="0.2">
      <c r="BC3581" s="21" t="e" vm="1">
        <v>#REF!</v>
      </c>
      <c r="BD3581" t="e" vm="1">
        <v>#REF!</v>
      </c>
      <c r="BF3581" t="e" vm="2">
        <f t="shared" si="302"/>
        <v>#VALUE!</v>
      </c>
      <c r="BG3581" t="e" vm="2">
        <f t="shared" si="303"/>
        <v>#VALUE!</v>
      </c>
      <c r="BJ3581" s="21" t="e" vm="1">
        <v>#REF!</v>
      </c>
      <c r="BK3581" t="e" vm="1">
        <v>#REF!</v>
      </c>
      <c r="BM3581" t="e" vm="2">
        <f t="shared" si="304"/>
        <v>#VALUE!</v>
      </c>
      <c r="BN3581" t="e" vm="2">
        <f t="shared" si="305"/>
        <v>#VALUE!</v>
      </c>
    </row>
    <row r="3582" spans="55:66" x14ac:dyDescent="0.2">
      <c r="BC3582" s="21" t="e" vm="1">
        <v>#REF!</v>
      </c>
      <c r="BD3582" t="e" vm="1">
        <v>#REF!</v>
      </c>
      <c r="BF3582" t="e" vm="2">
        <f t="shared" si="302"/>
        <v>#VALUE!</v>
      </c>
      <c r="BG3582" t="e" vm="2">
        <f t="shared" si="303"/>
        <v>#VALUE!</v>
      </c>
      <c r="BJ3582" s="21" t="e" vm="1">
        <v>#REF!</v>
      </c>
      <c r="BK3582" t="e" vm="1">
        <v>#REF!</v>
      </c>
      <c r="BM3582" t="e" vm="2">
        <f t="shared" si="304"/>
        <v>#VALUE!</v>
      </c>
      <c r="BN3582" t="e" vm="2">
        <f t="shared" si="305"/>
        <v>#VALUE!</v>
      </c>
    </row>
    <row r="3583" spans="55:66" x14ac:dyDescent="0.2">
      <c r="BC3583" s="21" t="e" vm="1">
        <v>#REF!</v>
      </c>
      <c r="BD3583" t="e" vm="1">
        <v>#REF!</v>
      </c>
      <c r="BF3583" t="e" vm="2">
        <f t="shared" si="302"/>
        <v>#VALUE!</v>
      </c>
      <c r="BG3583" t="e" vm="2">
        <f t="shared" si="303"/>
        <v>#VALUE!</v>
      </c>
      <c r="BJ3583" s="21" t="e" vm="1">
        <v>#REF!</v>
      </c>
      <c r="BK3583" t="e" vm="1">
        <v>#REF!</v>
      </c>
      <c r="BM3583" t="e" vm="2">
        <f t="shared" si="304"/>
        <v>#VALUE!</v>
      </c>
      <c r="BN3583" t="e" vm="2">
        <f t="shared" si="305"/>
        <v>#VALUE!</v>
      </c>
    </row>
    <row r="3584" spans="55:66" x14ac:dyDescent="0.2">
      <c r="BC3584" s="21" t="e" vm="1">
        <v>#REF!</v>
      </c>
      <c r="BD3584" t="e" vm="1">
        <v>#REF!</v>
      </c>
      <c r="BF3584" t="e" vm="2">
        <f t="shared" si="302"/>
        <v>#VALUE!</v>
      </c>
      <c r="BG3584" t="e" vm="2">
        <f t="shared" si="303"/>
        <v>#VALUE!</v>
      </c>
      <c r="BJ3584" s="21" t="e" vm="1">
        <v>#REF!</v>
      </c>
      <c r="BK3584" t="e" vm="1">
        <v>#REF!</v>
      </c>
      <c r="BM3584" t="e" vm="2">
        <f t="shared" si="304"/>
        <v>#VALUE!</v>
      </c>
      <c r="BN3584" t="e" vm="2">
        <f t="shared" si="305"/>
        <v>#VALUE!</v>
      </c>
    </row>
    <row r="3585" spans="55:66" x14ac:dyDescent="0.2">
      <c r="BC3585" s="21" t="e" vm="1">
        <v>#REF!</v>
      </c>
      <c r="BD3585" t="e" vm="1">
        <v>#REF!</v>
      </c>
      <c r="BF3585" t="e" vm="2">
        <f t="shared" si="302"/>
        <v>#VALUE!</v>
      </c>
      <c r="BG3585" t="e" vm="2">
        <f t="shared" si="303"/>
        <v>#VALUE!</v>
      </c>
      <c r="BM3585">
        <f t="shared" si="304"/>
        <v>1</v>
      </c>
      <c r="BN3585">
        <f t="shared" si="305"/>
        <v>1900</v>
      </c>
    </row>
    <row r="3586" spans="55:66" x14ac:dyDescent="0.2">
      <c r="BC3586" s="21" t="e" vm="1">
        <v>#REF!</v>
      </c>
      <c r="BD3586" t="e" vm="1">
        <v>#REF!</v>
      </c>
      <c r="BF3586" t="e" vm="2">
        <f t="shared" si="302"/>
        <v>#VALUE!</v>
      </c>
      <c r="BG3586" t="e" vm="2">
        <f t="shared" si="303"/>
        <v>#VALUE!</v>
      </c>
      <c r="BM3586">
        <f t="shared" si="304"/>
        <v>1</v>
      </c>
      <c r="BN3586">
        <f t="shared" si="305"/>
        <v>1900</v>
      </c>
    </row>
    <row r="3587" spans="55:66" x14ac:dyDescent="0.2">
      <c r="BC3587" s="21" t="e" vm="1">
        <v>#REF!</v>
      </c>
      <c r="BD3587" t="e" vm="1">
        <v>#REF!</v>
      </c>
      <c r="BF3587" t="e" vm="2">
        <f t="shared" ref="BF3587:BF3650" si="306">MONTH(BC3587)</f>
        <v>#VALUE!</v>
      </c>
      <c r="BG3587" t="e" vm="2">
        <f t="shared" ref="BG3587:BG3650" si="307">YEAR(BC3587)</f>
        <v>#VALUE!</v>
      </c>
      <c r="BM3587">
        <f t="shared" si="304"/>
        <v>1</v>
      </c>
      <c r="BN3587">
        <f t="shared" si="305"/>
        <v>1900</v>
      </c>
    </row>
    <row r="3588" spans="55:66" x14ac:dyDescent="0.2">
      <c r="BC3588" s="21" t="e" vm="1">
        <v>#REF!</v>
      </c>
      <c r="BD3588" t="e" vm="1">
        <v>#REF!</v>
      </c>
      <c r="BF3588" t="e" vm="2">
        <f t="shared" si="306"/>
        <v>#VALUE!</v>
      </c>
      <c r="BG3588" t="e" vm="2">
        <f t="shared" si="307"/>
        <v>#VALUE!</v>
      </c>
      <c r="BM3588">
        <f t="shared" ref="BM3588:BM3651" si="308">MONTH(BJ3588)</f>
        <v>1</v>
      </c>
      <c r="BN3588">
        <f t="shared" ref="BN3588:BN3651" si="309">YEAR(BJ3588)</f>
        <v>1900</v>
      </c>
    </row>
    <row r="3589" spans="55:66" x14ac:dyDescent="0.2">
      <c r="BC3589" s="21" t="e" vm="1">
        <v>#REF!</v>
      </c>
      <c r="BD3589" t="e" vm="1">
        <v>#REF!</v>
      </c>
      <c r="BF3589" t="e" vm="2">
        <f t="shared" si="306"/>
        <v>#VALUE!</v>
      </c>
      <c r="BG3589" t="e" vm="2">
        <f t="shared" si="307"/>
        <v>#VALUE!</v>
      </c>
      <c r="BM3589">
        <f t="shared" si="308"/>
        <v>1</v>
      </c>
      <c r="BN3589">
        <f t="shared" si="309"/>
        <v>1900</v>
      </c>
    </row>
    <row r="3590" spans="55:66" x14ac:dyDescent="0.2">
      <c r="BC3590" s="21" t="e" vm="1">
        <v>#REF!</v>
      </c>
      <c r="BD3590" t="e" vm="1">
        <v>#REF!</v>
      </c>
      <c r="BF3590" t="e" vm="2">
        <f t="shared" si="306"/>
        <v>#VALUE!</v>
      </c>
      <c r="BG3590" t="e" vm="2">
        <f t="shared" si="307"/>
        <v>#VALUE!</v>
      </c>
      <c r="BM3590">
        <f t="shared" si="308"/>
        <v>1</v>
      </c>
      <c r="BN3590">
        <f t="shared" si="309"/>
        <v>1900</v>
      </c>
    </row>
    <row r="3591" spans="55:66" x14ac:dyDescent="0.2">
      <c r="BC3591" s="21" t="e" vm="1">
        <v>#REF!</v>
      </c>
      <c r="BD3591" t="e" vm="1">
        <v>#REF!</v>
      </c>
      <c r="BF3591" t="e" vm="2">
        <f t="shared" si="306"/>
        <v>#VALUE!</v>
      </c>
      <c r="BG3591" t="e" vm="2">
        <f t="shared" si="307"/>
        <v>#VALUE!</v>
      </c>
      <c r="BM3591">
        <f t="shared" si="308"/>
        <v>1</v>
      </c>
      <c r="BN3591">
        <f t="shared" si="309"/>
        <v>1900</v>
      </c>
    </row>
    <row r="3592" spans="55:66" x14ac:dyDescent="0.2">
      <c r="BC3592" s="21" t="e" vm="1">
        <v>#REF!</v>
      </c>
      <c r="BD3592" t="e" vm="1">
        <v>#REF!</v>
      </c>
      <c r="BF3592" t="e" vm="2">
        <f t="shared" si="306"/>
        <v>#VALUE!</v>
      </c>
      <c r="BG3592" t="e" vm="2">
        <f t="shared" si="307"/>
        <v>#VALUE!</v>
      </c>
      <c r="BM3592">
        <f t="shared" si="308"/>
        <v>1</v>
      </c>
      <c r="BN3592">
        <f t="shared" si="309"/>
        <v>1900</v>
      </c>
    </row>
    <row r="3593" spans="55:66" x14ac:dyDescent="0.2">
      <c r="BC3593" s="21" t="e" vm="1">
        <v>#REF!</v>
      </c>
      <c r="BD3593" t="e" vm="1">
        <v>#REF!</v>
      </c>
      <c r="BF3593" t="e" vm="2">
        <f t="shared" si="306"/>
        <v>#VALUE!</v>
      </c>
      <c r="BG3593" t="e" vm="2">
        <f t="shared" si="307"/>
        <v>#VALUE!</v>
      </c>
      <c r="BM3593">
        <f t="shared" si="308"/>
        <v>1</v>
      </c>
      <c r="BN3593">
        <f t="shared" si="309"/>
        <v>1900</v>
      </c>
    </row>
    <row r="3594" spans="55:66" x14ac:dyDescent="0.2">
      <c r="BC3594" s="21" t="e" vm="1">
        <v>#REF!</v>
      </c>
      <c r="BD3594" t="e" vm="1">
        <v>#REF!</v>
      </c>
      <c r="BF3594" t="e" vm="2">
        <f t="shared" si="306"/>
        <v>#VALUE!</v>
      </c>
      <c r="BG3594" t="e" vm="2">
        <f t="shared" si="307"/>
        <v>#VALUE!</v>
      </c>
      <c r="BM3594">
        <f t="shared" si="308"/>
        <v>1</v>
      </c>
      <c r="BN3594">
        <f t="shared" si="309"/>
        <v>1900</v>
      </c>
    </row>
    <row r="3595" spans="55:66" x14ac:dyDescent="0.2">
      <c r="BC3595" s="21" t="e" vm="1">
        <v>#REF!</v>
      </c>
      <c r="BD3595" t="e" vm="1">
        <v>#REF!</v>
      </c>
      <c r="BF3595" t="e" vm="2">
        <f t="shared" si="306"/>
        <v>#VALUE!</v>
      </c>
      <c r="BG3595" t="e" vm="2">
        <f t="shared" si="307"/>
        <v>#VALUE!</v>
      </c>
      <c r="BM3595">
        <f t="shared" si="308"/>
        <v>1</v>
      </c>
      <c r="BN3595">
        <f t="shared" si="309"/>
        <v>1900</v>
      </c>
    </row>
    <row r="3596" spans="55:66" x14ac:dyDescent="0.2">
      <c r="BC3596" s="21" t="e" vm="1">
        <v>#REF!</v>
      </c>
      <c r="BD3596" t="e" vm="1">
        <v>#REF!</v>
      </c>
      <c r="BF3596" t="e" vm="2">
        <f t="shared" si="306"/>
        <v>#VALUE!</v>
      </c>
      <c r="BG3596" t="e" vm="2">
        <f t="shared" si="307"/>
        <v>#VALUE!</v>
      </c>
      <c r="BM3596">
        <f t="shared" si="308"/>
        <v>1</v>
      </c>
      <c r="BN3596">
        <f t="shared" si="309"/>
        <v>1900</v>
      </c>
    </row>
    <row r="3597" spans="55:66" x14ac:dyDescent="0.2">
      <c r="BC3597" s="21" t="e" vm="1">
        <v>#REF!</v>
      </c>
      <c r="BD3597" t="e" vm="1">
        <v>#REF!</v>
      </c>
      <c r="BF3597" t="e" vm="2">
        <f t="shared" si="306"/>
        <v>#VALUE!</v>
      </c>
      <c r="BG3597" t="e" vm="2">
        <f t="shared" si="307"/>
        <v>#VALUE!</v>
      </c>
      <c r="BM3597">
        <f t="shared" si="308"/>
        <v>1</v>
      </c>
      <c r="BN3597">
        <f t="shared" si="309"/>
        <v>1900</v>
      </c>
    </row>
    <row r="3598" spans="55:66" x14ac:dyDescent="0.2">
      <c r="BC3598" s="21" t="e" vm="1">
        <v>#REF!</v>
      </c>
      <c r="BD3598" t="e" vm="1">
        <v>#REF!</v>
      </c>
      <c r="BF3598" t="e" vm="2">
        <f t="shared" si="306"/>
        <v>#VALUE!</v>
      </c>
      <c r="BG3598" t="e" vm="2">
        <f t="shared" si="307"/>
        <v>#VALUE!</v>
      </c>
      <c r="BM3598">
        <f t="shared" si="308"/>
        <v>1</v>
      </c>
      <c r="BN3598">
        <f t="shared" si="309"/>
        <v>1900</v>
      </c>
    </row>
    <row r="3599" spans="55:66" x14ac:dyDescent="0.2">
      <c r="BC3599" s="21" t="e" vm="1">
        <v>#REF!</v>
      </c>
      <c r="BD3599" t="e" vm="1">
        <v>#REF!</v>
      </c>
      <c r="BF3599" t="e" vm="2">
        <f t="shared" si="306"/>
        <v>#VALUE!</v>
      </c>
      <c r="BG3599" t="e" vm="2">
        <f t="shared" si="307"/>
        <v>#VALUE!</v>
      </c>
      <c r="BM3599">
        <f t="shared" si="308"/>
        <v>1</v>
      </c>
      <c r="BN3599">
        <f t="shared" si="309"/>
        <v>1900</v>
      </c>
    </row>
    <row r="3600" spans="55:66" x14ac:dyDescent="0.2">
      <c r="BC3600" s="21" t="e" vm="1">
        <v>#REF!</v>
      </c>
      <c r="BD3600" t="e" vm="1">
        <v>#REF!</v>
      </c>
      <c r="BF3600" t="e" vm="2">
        <f t="shared" si="306"/>
        <v>#VALUE!</v>
      </c>
      <c r="BG3600" t="e" vm="2">
        <f t="shared" si="307"/>
        <v>#VALUE!</v>
      </c>
      <c r="BM3600">
        <f t="shared" si="308"/>
        <v>1</v>
      </c>
      <c r="BN3600">
        <f t="shared" si="309"/>
        <v>1900</v>
      </c>
    </row>
    <row r="3601" spans="55:66" x14ac:dyDescent="0.2">
      <c r="BC3601" s="21" t="e" vm="1">
        <v>#REF!</v>
      </c>
      <c r="BD3601" t="e" vm="1">
        <v>#REF!</v>
      </c>
      <c r="BF3601" t="e" vm="2">
        <f t="shared" si="306"/>
        <v>#VALUE!</v>
      </c>
      <c r="BG3601" t="e" vm="2">
        <f t="shared" si="307"/>
        <v>#VALUE!</v>
      </c>
      <c r="BM3601">
        <f t="shared" si="308"/>
        <v>1</v>
      </c>
      <c r="BN3601">
        <f t="shared" si="309"/>
        <v>1900</v>
      </c>
    </row>
    <row r="3602" spans="55:66" x14ac:dyDescent="0.2">
      <c r="BC3602" s="21" t="e" vm="1">
        <v>#REF!</v>
      </c>
      <c r="BD3602" t="e" vm="1">
        <v>#REF!</v>
      </c>
      <c r="BF3602" t="e" vm="2">
        <f t="shared" si="306"/>
        <v>#VALUE!</v>
      </c>
      <c r="BG3602" t="e" vm="2">
        <f t="shared" si="307"/>
        <v>#VALUE!</v>
      </c>
      <c r="BM3602">
        <f t="shared" si="308"/>
        <v>1</v>
      </c>
      <c r="BN3602">
        <f t="shared" si="309"/>
        <v>1900</v>
      </c>
    </row>
    <row r="3603" spans="55:66" x14ac:dyDescent="0.2">
      <c r="BC3603" s="21" t="e" vm="1">
        <v>#REF!</v>
      </c>
      <c r="BD3603" t="e" vm="1">
        <v>#REF!</v>
      </c>
      <c r="BF3603" t="e" vm="2">
        <f t="shared" si="306"/>
        <v>#VALUE!</v>
      </c>
      <c r="BG3603" t="e" vm="2">
        <f t="shared" si="307"/>
        <v>#VALUE!</v>
      </c>
      <c r="BM3603">
        <f t="shared" si="308"/>
        <v>1</v>
      </c>
      <c r="BN3603">
        <f t="shared" si="309"/>
        <v>1900</v>
      </c>
    </row>
    <row r="3604" spans="55:66" x14ac:dyDescent="0.2">
      <c r="BC3604" s="21" t="e" vm="1">
        <v>#REF!</v>
      </c>
      <c r="BD3604" t="e" vm="1">
        <v>#REF!</v>
      </c>
      <c r="BF3604" t="e" vm="2">
        <f t="shared" si="306"/>
        <v>#VALUE!</v>
      </c>
      <c r="BG3604" t="e" vm="2">
        <f t="shared" si="307"/>
        <v>#VALUE!</v>
      </c>
      <c r="BM3604">
        <f t="shared" si="308"/>
        <v>1</v>
      </c>
      <c r="BN3604">
        <f t="shared" si="309"/>
        <v>1900</v>
      </c>
    </row>
    <row r="3605" spans="55:66" x14ac:dyDescent="0.2">
      <c r="BC3605" s="21" t="e" vm="1">
        <v>#REF!</v>
      </c>
      <c r="BD3605" t="e" vm="1">
        <v>#REF!</v>
      </c>
      <c r="BF3605" t="e" vm="2">
        <f t="shared" si="306"/>
        <v>#VALUE!</v>
      </c>
      <c r="BG3605" t="e" vm="2">
        <f t="shared" si="307"/>
        <v>#VALUE!</v>
      </c>
      <c r="BM3605">
        <f t="shared" si="308"/>
        <v>1</v>
      </c>
      <c r="BN3605">
        <f t="shared" si="309"/>
        <v>1900</v>
      </c>
    </row>
    <row r="3606" spans="55:66" x14ac:dyDescent="0.2">
      <c r="BC3606" s="21" t="e" vm="1">
        <v>#REF!</v>
      </c>
      <c r="BD3606" t="e" vm="1">
        <v>#REF!</v>
      </c>
      <c r="BF3606" t="e" vm="2">
        <f t="shared" si="306"/>
        <v>#VALUE!</v>
      </c>
      <c r="BG3606" t="e" vm="2">
        <f t="shared" si="307"/>
        <v>#VALUE!</v>
      </c>
      <c r="BM3606">
        <f t="shared" si="308"/>
        <v>1</v>
      </c>
      <c r="BN3606">
        <f t="shared" si="309"/>
        <v>1900</v>
      </c>
    </row>
    <row r="3607" spans="55:66" x14ac:dyDescent="0.2">
      <c r="BC3607" s="21" t="e" vm="1">
        <v>#REF!</v>
      </c>
      <c r="BD3607" t="e" vm="1">
        <v>#REF!</v>
      </c>
      <c r="BF3607" t="e" vm="2">
        <f t="shared" si="306"/>
        <v>#VALUE!</v>
      </c>
      <c r="BG3607" t="e" vm="2">
        <f t="shared" si="307"/>
        <v>#VALUE!</v>
      </c>
      <c r="BM3607">
        <f t="shared" si="308"/>
        <v>1</v>
      </c>
      <c r="BN3607">
        <f t="shared" si="309"/>
        <v>1900</v>
      </c>
    </row>
    <row r="3608" spans="55:66" x14ac:dyDescent="0.2">
      <c r="BC3608" s="21" t="e" vm="1">
        <v>#REF!</v>
      </c>
      <c r="BD3608" t="e" vm="1">
        <v>#REF!</v>
      </c>
      <c r="BF3608" t="e" vm="2">
        <f t="shared" si="306"/>
        <v>#VALUE!</v>
      </c>
      <c r="BG3608" t="e" vm="2">
        <f t="shared" si="307"/>
        <v>#VALUE!</v>
      </c>
      <c r="BM3608">
        <f t="shared" si="308"/>
        <v>1</v>
      </c>
      <c r="BN3608">
        <f t="shared" si="309"/>
        <v>1900</v>
      </c>
    </row>
    <row r="3609" spans="55:66" x14ac:dyDescent="0.2">
      <c r="BC3609" s="21" t="e" vm="1">
        <v>#REF!</v>
      </c>
      <c r="BD3609" t="e" vm="1">
        <v>#REF!</v>
      </c>
      <c r="BF3609" t="e" vm="2">
        <f t="shared" si="306"/>
        <v>#VALUE!</v>
      </c>
      <c r="BG3609" t="e" vm="2">
        <f t="shared" si="307"/>
        <v>#VALUE!</v>
      </c>
      <c r="BM3609">
        <f t="shared" si="308"/>
        <v>1</v>
      </c>
      <c r="BN3609">
        <f t="shared" si="309"/>
        <v>1900</v>
      </c>
    </row>
    <row r="3610" spans="55:66" x14ac:dyDescent="0.2">
      <c r="BC3610" s="21" t="e" vm="1">
        <v>#REF!</v>
      </c>
      <c r="BD3610" t="e" vm="1">
        <v>#REF!</v>
      </c>
      <c r="BF3610" t="e" vm="2">
        <f t="shared" si="306"/>
        <v>#VALUE!</v>
      </c>
      <c r="BG3610" t="e" vm="2">
        <f t="shared" si="307"/>
        <v>#VALUE!</v>
      </c>
      <c r="BM3610">
        <f t="shared" si="308"/>
        <v>1</v>
      </c>
      <c r="BN3610">
        <f t="shared" si="309"/>
        <v>1900</v>
      </c>
    </row>
    <row r="3611" spans="55:66" x14ac:dyDescent="0.2">
      <c r="BC3611" s="21" t="e" vm="1">
        <v>#REF!</v>
      </c>
      <c r="BD3611" t="e" vm="1">
        <v>#REF!</v>
      </c>
      <c r="BF3611" t="e" vm="2">
        <f t="shared" si="306"/>
        <v>#VALUE!</v>
      </c>
      <c r="BG3611" t="e" vm="2">
        <f t="shared" si="307"/>
        <v>#VALUE!</v>
      </c>
      <c r="BM3611">
        <f t="shared" si="308"/>
        <v>1</v>
      </c>
      <c r="BN3611">
        <f t="shared" si="309"/>
        <v>1900</v>
      </c>
    </row>
    <row r="3612" spans="55:66" x14ac:dyDescent="0.2">
      <c r="BC3612" s="21" t="e" vm="1">
        <v>#REF!</v>
      </c>
      <c r="BD3612" t="e" vm="1">
        <v>#REF!</v>
      </c>
      <c r="BF3612" t="e" vm="2">
        <f t="shared" si="306"/>
        <v>#VALUE!</v>
      </c>
      <c r="BG3612" t="e" vm="2">
        <f t="shared" si="307"/>
        <v>#VALUE!</v>
      </c>
      <c r="BM3612">
        <f t="shared" si="308"/>
        <v>1</v>
      </c>
      <c r="BN3612">
        <f t="shared" si="309"/>
        <v>1900</v>
      </c>
    </row>
    <row r="3613" spans="55:66" x14ac:dyDescent="0.2">
      <c r="BC3613" s="21" t="e" vm="1">
        <v>#REF!</v>
      </c>
      <c r="BD3613" t="e" vm="1">
        <v>#REF!</v>
      </c>
      <c r="BF3613" t="e" vm="2">
        <f t="shared" si="306"/>
        <v>#VALUE!</v>
      </c>
      <c r="BG3613" t="e" vm="2">
        <f t="shared" si="307"/>
        <v>#VALUE!</v>
      </c>
      <c r="BM3613">
        <f t="shared" si="308"/>
        <v>1</v>
      </c>
      <c r="BN3613">
        <f t="shared" si="309"/>
        <v>1900</v>
      </c>
    </row>
    <row r="3614" spans="55:66" x14ac:dyDescent="0.2">
      <c r="BC3614" s="21" t="e" vm="1">
        <v>#REF!</v>
      </c>
      <c r="BD3614" t="e" vm="1">
        <v>#REF!</v>
      </c>
      <c r="BF3614" t="e" vm="2">
        <f t="shared" si="306"/>
        <v>#VALUE!</v>
      </c>
      <c r="BG3614" t="e" vm="2">
        <f t="shared" si="307"/>
        <v>#VALUE!</v>
      </c>
      <c r="BM3614">
        <f t="shared" si="308"/>
        <v>1</v>
      </c>
      <c r="BN3614">
        <f t="shared" si="309"/>
        <v>1900</v>
      </c>
    </row>
    <row r="3615" spans="55:66" x14ac:dyDescent="0.2">
      <c r="BC3615" s="21" t="e" vm="1">
        <v>#REF!</v>
      </c>
      <c r="BD3615" t="e" vm="1">
        <v>#REF!</v>
      </c>
      <c r="BF3615" t="e" vm="2">
        <f t="shared" si="306"/>
        <v>#VALUE!</v>
      </c>
      <c r="BG3615" t="e" vm="2">
        <f t="shared" si="307"/>
        <v>#VALUE!</v>
      </c>
      <c r="BM3615">
        <f t="shared" si="308"/>
        <v>1</v>
      </c>
      <c r="BN3615">
        <f t="shared" si="309"/>
        <v>1900</v>
      </c>
    </row>
    <row r="3616" spans="55:66" x14ac:dyDescent="0.2">
      <c r="BC3616" s="21" t="e" vm="1">
        <v>#REF!</v>
      </c>
      <c r="BD3616" t="e" vm="1">
        <v>#REF!</v>
      </c>
      <c r="BF3616" t="e" vm="2">
        <f t="shared" si="306"/>
        <v>#VALUE!</v>
      </c>
      <c r="BG3616" t="e" vm="2">
        <f t="shared" si="307"/>
        <v>#VALUE!</v>
      </c>
      <c r="BM3616">
        <f t="shared" si="308"/>
        <v>1</v>
      </c>
      <c r="BN3616">
        <f t="shared" si="309"/>
        <v>1900</v>
      </c>
    </row>
    <row r="3617" spans="55:66" x14ac:dyDescent="0.2">
      <c r="BC3617" s="21" t="e" vm="1">
        <v>#REF!</v>
      </c>
      <c r="BD3617" t="e" vm="1">
        <v>#REF!</v>
      </c>
      <c r="BF3617" t="e" vm="2">
        <f t="shared" si="306"/>
        <v>#VALUE!</v>
      </c>
      <c r="BG3617" t="e" vm="2">
        <f t="shared" si="307"/>
        <v>#VALUE!</v>
      </c>
      <c r="BM3617">
        <f t="shared" si="308"/>
        <v>1</v>
      </c>
      <c r="BN3617">
        <f t="shared" si="309"/>
        <v>1900</v>
      </c>
    </row>
    <row r="3618" spans="55:66" x14ac:dyDescent="0.2">
      <c r="BC3618" s="21" t="e" vm="1">
        <v>#REF!</v>
      </c>
      <c r="BD3618" t="e" vm="1">
        <v>#REF!</v>
      </c>
      <c r="BF3618" t="e" vm="2">
        <f t="shared" si="306"/>
        <v>#VALUE!</v>
      </c>
      <c r="BG3618" t="e" vm="2">
        <f t="shared" si="307"/>
        <v>#VALUE!</v>
      </c>
      <c r="BM3618">
        <f t="shared" si="308"/>
        <v>1</v>
      </c>
      <c r="BN3618">
        <f t="shared" si="309"/>
        <v>1900</v>
      </c>
    </row>
    <row r="3619" spans="55:66" x14ac:dyDescent="0.2">
      <c r="BC3619" s="21" t="e" vm="1">
        <v>#REF!</v>
      </c>
      <c r="BD3619" t="e" vm="1">
        <v>#REF!</v>
      </c>
      <c r="BF3619" t="e" vm="2">
        <f t="shared" si="306"/>
        <v>#VALUE!</v>
      </c>
      <c r="BG3619" t="e" vm="2">
        <f t="shared" si="307"/>
        <v>#VALUE!</v>
      </c>
      <c r="BM3619">
        <f t="shared" si="308"/>
        <v>1</v>
      </c>
      <c r="BN3619">
        <f t="shared" si="309"/>
        <v>1900</v>
      </c>
    </row>
    <row r="3620" spans="55:66" x14ac:dyDescent="0.2">
      <c r="BC3620" s="21" t="e" vm="1">
        <v>#REF!</v>
      </c>
      <c r="BD3620" t="e" vm="1">
        <v>#REF!</v>
      </c>
      <c r="BF3620" t="e" vm="2">
        <f t="shared" si="306"/>
        <v>#VALUE!</v>
      </c>
      <c r="BG3620" t="e" vm="2">
        <f t="shared" si="307"/>
        <v>#VALUE!</v>
      </c>
      <c r="BM3620">
        <f t="shared" si="308"/>
        <v>1</v>
      </c>
      <c r="BN3620">
        <f t="shared" si="309"/>
        <v>1900</v>
      </c>
    </row>
    <row r="3621" spans="55:66" x14ac:dyDescent="0.2">
      <c r="BC3621" s="21" t="e" vm="1">
        <v>#REF!</v>
      </c>
      <c r="BD3621" t="e" vm="1">
        <v>#REF!</v>
      </c>
      <c r="BF3621" t="e" vm="2">
        <f t="shared" si="306"/>
        <v>#VALUE!</v>
      </c>
      <c r="BG3621" t="e" vm="2">
        <f t="shared" si="307"/>
        <v>#VALUE!</v>
      </c>
      <c r="BM3621">
        <f t="shared" si="308"/>
        <v>1</v>
      </c>
      <c r="BN3621">
        <f t="shared" si="309"/>
        <v>1900</v>
      </c>
    </row>
    <row r="3622" spans="55:66" x14ac:dyDescent="0.2">
      <c r="BC3622" s="21" t="e" vm="1">
        <v>#REF!</v>
      </c>
      <c r="BD3622" t="e" vm="1">
        <v>#REF!</v>
      </c>
      <c r="BF3622" t="e" vm="2">
        <f t="shared" si="306"/>
        <v>#VALUE!</v>
      </c>
      <c r="BG3622" t="e" vm="2">
        <f t="shared" si="307"/>
        <v>#VALUE!</v>
      </c>
      <c r="BM3622">
        <f t="shared" si="308"/>
        <v>1</v>
      </c>
      <c r="BN3622">
        <f t="shared" si="309"/>
        <v>1900</v>
      </c>
    </row>
    <row r="3623" spans="55:66" x14ac:dyDescent="0.2">
      <c r="BC3623" s="21" t="e" vm="1">
        <v>#REF!</v>
      </c>
      <c r="BD3623" t="e" vm="1">
        <v>#REF!</v>
      </c>
      <c r="BF3623" t="e" vm="2">
        <f t="shared" si="306"/>
        <v>#VALUE!</v>
      </c>
      <c r="BG3623" t="e" vm="2">
        <f t="shared" si="307"/>
        <v>#VALUE!</v>
      </c>
      <c r="BM3623">
        <f t="shared" si="308"/>
        <v>1</v>
      </c>
      <c r="BN3623">
        <f t="shared" si="309"/>
        <v>1900</v>
      </c>
    </row>
    <row r="3624" spans="55:66" x14ac:dyDescent="0.2">
      <c r="BC3624" s="21" t="e" vm="1">
        <v>#REF!</v>
      </c>
      <c r="BD3624" t="e" vm="1">
        <v>#REF!</v>
      </c>
      <c r="BF3624" t="e" vm="2">
        <f t="shared" si="306"/>
        <v>#VALUE!</v>
      </c>
      <c r="BG3624" t="e" vm="2">
        <f t="shared" si="307"/>
        <v>#VALUE!</v>
      </c>
      <c r="BM3624">
        <f t="shared" si="308"/>
        <v>1</v>
      </c>
      <c r="BN3624">
        <f t="shared" si="309"/>
        <v>1900</v>
      </c>
    </row>
    <row r="3625" spans="55:66" x14ac:dyDescent="0.2">
      <c r="BC3625" s="21" t="e" vm="1">
        <v>#REF!</v>
      </c>
      <c r="BD3625" t="e" vm="1">
        <v>#REF!</v>
      </c>
      <c r="BF3625" t="e" vm="2">
        <f t="shared" si="306"/>
        <v>#VALUE!</v>
      </c>
      <c r="BG3625" t="e" vm="2">
        <f t="shared" si="307"/>
        <v>#VALUE!</v>
      </c>
      <c r="BM3625">
        <f t="shared" si="308"/>
        <v>1</v>
      </c>
      <c r="BN3625">
        <f t="shared" si="309"/>
        <v>1900</v>
      </c>
    </row>
    <row r="3626" spans="55:66" x14ac:dyDescent="0.2">
      <c r="BC3626" s="21" t="e" vm="1">
        <v>#REF!</v>
      </c>
      <c r="BD3626" t="e" vm="1">
        <v>#REF!</v>
      </c>
      <c r="BF3626" t="e" vm="2">
        <f t="shared" si="306"/>
        <v>#VALUE!</v>
      </c>
      <c r="BG3626" t="e" vm="2">
        <f t="shared" si="307"/>
        <v>#VALUE!</v>
      </c>
      <c r="BM3626">
        <f t="shared" si="308"/>
        <v>1</v>
      </c>
      <c r="BN3626">
        <f t="shared" si="309"/>
        <v>1900</v>
      </c>
    </row>
    <row r="3627" spans="55:66" x14ac:dyDescent="0.2">
      <c r="BC3627" s="21" t="e" vm="1">
        <v>#REF!</v>
      </c>
      <c r="BD3627" t="e" vm="1">
        <v>#REF!</v>
      </c>
      <c r="BF3627" t="e" vm="2">
        <f t="shared" si="306"/>
        <v>#VALUE!</v>
      </c>
      <c r="BG3627" t="e" vm="2">
        <f t="shared" si="307"/>
        <v>#VALUE!</v>
      </c>
      <c r="BM3627">
        <f t="shared" si="308"/>
        <v>1</v>
      </c>
      <c r="BN3627">
        <f t="shared" si="309"/>
        <v>1900</v>
      </c>
    </row>
    <row r="3628" spans="55:66" x14ac:dyDescent="0.2">
      <c r="BC3628" s="21" t="e" vm="1">
        <v>#REF!</v>
      </c>
      <c r="BD3628" t="e" vm="1">
        <v>#REF!</v>
      </c>
      <c r="BF3628" t="e" vm="2">
        <f t="shared" si="306"/>
        <v>#VALUE!</v>
      </c>
      <c r="BG3628" t="e" vm="2">
        <f t="shared" si="307"/>
        <v>#VALUE!</v>
      </c>
      <c r="BM3628">
        <f t="shared" si="308"/>
        <v>1</v>
      </c>
      <c r="BN3628">
        <f t="shared" si="309"/>
        <v>1900</v>
      </c>
    </row>
    <row r="3629" spans="55:66" x14ac:dyDescent="0.2">
      <c r="BC3629" s="21" t="e" vm="1">
        <v>#REF!</v>
      </c>
      <c r="BD3629" t="e" vm="1">
        <v>#REF!</v>
      </c>
      <c r="BF3629" t="e" vm="2">
        <f t="shared" si="306"/>
        <v>#VALUE!</v>
      </c>
      <c r="BG3629" t="e" vm="2">
        <f t="shared" si="307"/>
        <v>#VALUE!</v>
      </c>
      <c r="BM3629">
        <f t="shared" si="308"/>
        <v>1</v>
      </c>
      <c r="BN3629">
        <f t="shared" si="309"/>
        <v>1900</v>
      </c>
    </row>
    <row r="3630" spans="55:66" x14ac:dyDescent="0.2">
      <c r="BC3630" s="21" t="e" vm="1">
        <v>#REF!</v>
      </c>
      <c r="BD3630" t="e" vm="1">
        <v>#REF!</v>
      </c>
      <c r="BF3630" t="e" vm="2">
        <f t="shared" si="306"/>
        <v>#VALUE!</v>
      </c>
      <c r="BG3630" t="e" vm="2">
        <f t="shared" si="307"/>
        <v>#VALUE!</v>
      </c>
      <c r="BM3630">
        <f t="shared" si="308"/>
        <v>1</v>
      </c>
      <c r="BN3630">
        <f t="shared" si="309"/>
        <v>1900</v>
      </c>
    </row>
    <row r="3631" spans="55:66" x14ac:dyDescent="0.2">
      <c r="BC3631" s="21" t="e" vm="1">
        <v>#REF!</v>
      </c>
      <c r="BD3631" t="e" vm="1">
        <v>#REF!</v>
      </c>
      <c r="BF3631" t="e" vm="2">
        <f t="shared" si="306"/>
        <v>#VALUE!</v>
      </c>
      <c r="BG3631" t="e" vm="2">
        <f t="shared" si="307"/>
        <v>#VALUE!</v>
      </c>
      <c r="BM3631">
        <f t="shared" si="308"/>
        <v>1</v>
      </c>
      <c r="BN3631">
        <f t="shared" si="309"/>
        <v>1900</v>
      </c>
    </row>
    <row r="3632" spans="55:66" x14ac:dyDescent="0.2">
      <c r="BC3632" s="21" t="e" vm="1">
        <v>#REF!</v>
      </c>
      <c r="BD3632" t="e" vm="1">
        <v>#REF!</v>
      </c>
      <c r="BF3632" t="e" vm="2">
        <f t="shared" si="306"/>
        <v>#VALUE!</v>
      </c>
      <c r="BG3632" t="e" vm="2">
        <f t="shared" si="307"/>
        <v>#VALUE!</v>
      </c>
      <c r="BM3632">
        <f t="shared" si="308"/>
        <v>1</v>
      </c>
      <c r="BN3632">
        <f t="shared" si="309"/>
        <v>1900</v>
      </c>
    </row>
    <row r="3633" spans="55:66" x14ac:dyDescent="0.2">
      <c r="BC3633" s="21" t="e" vm="1">
        <v>#REF!</v>
      </c>
      <c r="BD3633" t="e" vm="1">
        <v>#REF!</v>
      </c>
      <c r="BF3633" t="e" vm="2">
        <f t="shared" si="306"/>
        <v>#VALUE!</v>
      </c>
      <c r="BG3633" t="e" vm="2">
        <f t="shared" si="307"/>
        <v>#VALUE!</v>
      </c>
      <c r="BM3633">
        <f t="shared" si="308"/>
        <v>1</v>
      </c>
      <c r="BN3633">
        <f t="shared" si="309"/>
        <v>1900</v>
      </c>
    </row>
    <row r="3634" spans="55:66" x14ac:dyDescent="0.2">
      <c r="BC3634" s="21" t="e" vm="1">
        <v>#REF!</v>
      </c>
      <c r="BD3634" t="e" vm="1">
        <v>#REF!</v>
      </c>
      <c r="BF3634" t="e" vm="2">
        <f t="shared" si="306"/>
        <v>#VALUE!</v>
      </c>
      <c r="BG3634" t="e" vm="2">
        <f t="shared" si="307"/>
        <v>#VALUE!</v>
      </c>
      <c r="BM3634">
        <f t="shared" si="308"/>
        <v>1</v>
      </c>
      <c r="BN3634">
        <f t="shared" si="309"/>
        <v>1900</v>
      </c>
    </row>
    <row r="3635" spans="55:66" x14ac:dyDescent="0.2">
      <c r="BC3635" s="21" t="e" vm="1">
        <v>#REF!</v>
      </c>
      <c r="BD3635" t="e" vm="1">
        <v>#REF!</v>
      </c>
      <c r="BF3635" t="e" vm="2">
        <f t="shared" si="306"/>
        <v>#VALUE!</v>
      </c>
      <c r="BG3635" t="e" vm="2">
        <f t="shared" si="307"/>
        <v>#VALUE!</v>
      </c>
      <c r="BM3635">
        <f t="shared" si="308"/>
        <v>1</v>
      </c>
      <c r="BN3635">
        <f t="shared" si="309"/>
        <v>1900</v>
      </c>
    </row>
    <row r="3636" spans="55:66" x14ac:dyDescent="0.2">
      <c r="BC3636" s="21" t="e" vm="1">
        <v>#REF!</v>
      </c>
      <c r="BD3636" t="e" vm="1">
        <v>#REF!</v>
      </c>
      <c r="BF3636" t="e" vm="2">
        <f t="shared" si="306"/>
        <v>#VALUE!</v>
      </c>
      <c r="BG3636" t="e" vm="2">
        <f t="shared" si="307"/>
        <v>#VALUE!</v>
      </c>
      <c r="BM3636">
        <f t="shared" si="308"/>
        <v>1</v>
      </c>
      <c r="BN3636">
        <f t="shared" si="309"/>
        <v>1900</v>
      </c>
    </row>
    <row r="3637" spans="55:66" x14ac:dyDescent="0.2">
      <c r="BC3637" s="21" t="e" vm="1">
        <v>#REF!</v>
      </c>
      <c r="BD3637" t="e" vm="1">
        <v>#REF!</v>
      </c>
      <c r="BF3637" t="e" vm="2">
        <f t="shared" si="306"/>
        <v>#VALUE!</v>
      </c>
      <c r="BG3637" t="e" vm="2">
        <f t="shared" si="307"/>
        <v>#VALUE!</v>
      </c>
      <c r="BM3637">
        <f t="shared" si="308"/>
        <v>1</v>
      </c>
      <c r="BN3637">
        <f t="shared" si="309"/>
        <v>1900</v>
      </c>
    </row>
    <row r="3638" spans="55:66" x14ac:dyDescent="0.2">
      <c r="BC3638" s="21" t="e" vm="1">
        <v>#REF!</v>
      </c>
      <c r="BD3638" t="e" vm="1">
        <v>#REF!</v>
      </c>
      <c r="BF3638" t="e" vm="2">
        <f t="shared" si="306"/>
        <v>#VALUE!</v>
      </c>
      <c r="BG3638" t="e" vm="2">
        <f t="shared" si="307"/>
        <v>#VALUE!</v>
      </c>
      <c r="BM3638">
        <f t="shared" si="308"/>
        <v>1</v>
      </c>
      <c r="BN3638">
        <f t="shared" si="309"/>
        <v>1900</v>
      </c>
    </row>
    <row r="3639" spans="55:66" x14ac:dyDescent="0.2">
      <c r="BC3639" s="21" t="e" vm="1">
        <v>#REF!</v>
      </c>
      <c r="BD3639" t="e" vm="1">
        <v>#REF!</v>
      </c>
      <c r="BF3639" t="e" vm="2">
        <f t="shared" si="306"/>
        <v>#VALUE!</v>
      </c>
      <c r="BG3639" t="e" vm="2">
        <f t="shared" si="307"/>
        <v>#VALUE!</v>
      </c>
      <c r="BM3639">
        <f t="shared" si="308"/>
        <v>1</v>
      </c>
      <c r="BN3639">
        <f t="shared" si="309"/>
        <v>1900</v>
      </c>
    </row>
    <row r="3640" spans="55:66" x14ac:dyDescent="0.2">
      <c r="BC3640" s="21" t="e" vm="1">
        <v>#REF!</v>
      </c>
      <c r="BD3640" t="e" vm="1">
        <v>#REF!</v>
      </c>
      <c r="BF3640" t="e" vm="2">
        <f t="shared" si="306"/>
        <v>#VALUE!</v>
      </c>
      <c r="BG3640" t="e" vm="2">
        <f t="shared" si="307"/>
        <v>#VALUE!</v>
      </c>
      <c r="BM3640">
        <f t="shared" si="308"/>
        <v>1</v>
      </c>
      <c r="BN3640">
        <f t="shared" si="309"/>
        <v>1900</v>
      </c>
    </row>
    <row r="3641" spans="55:66" x14ac:dyDescent="0.2">
      <c r="BC3641" s="21" t="e" vm="1">
        <v>#REF!</v>
      </c>
      <c r="BD3641" t="e" vm="1">
        <v>#REF!</v>
      </c>
      <c r="BF3641" t="e" vm="2">
        <f t="shared" si="306"/>
        <v>#VALUE!</v>
      </c>
      <c r="BG3641" t="e" vm="2">
        <f t="shared" si="307"/>
        <v>#VALUE!</v>
      </c>
      <c r="BM3641">
        <f t="shared" si="308"/>
        <v>1</v>
      </c>
      <c r="BN3641">
        <f t="shared" si="309"/>
        <v>1900</v>
      </c>
    </row>
    <row r="3642" spans="55:66" x14ac:dyDescent="0.2">
      <c r="BC3642" s="21" t="e" vm="1">
        <v>#REF!</v>
      </c>
      <c r="BD3642" t="e" vm="1">
        <v>#REF!</v>
      </c>
      <c r="BF3642" t="e" vm="2">
        <f t="shared" si="306"/>
        <v>#VALUE!</v>
      </c>
      <c r="BG3642" t="e" vm="2">
        <f t="shared" si="307"/>
        <v>#VALUE!</v>
      </c>
      <c r="BM3642">
        <f t="shared" si="308"/>
        <v>1</v>
      </c>
      <c r="BN3642">
        <f t="shared" si="309"/>
        <v>1900</v>
      </c>
    </row>
    <row r="3643" spans="55:66" x14ac:dyDescent="0.2">
      <c r="BC3643" s="21" t="e" vm="1">
        <v>#REF!</v>
      </c>
      <c r="BD3643" t="e" vm="1">
        <v>#REF!</v>
      </c>
      <c r="BF3643" t="e" vm="2">
        <f t="shared" si="306"/>
        <v>#VALUE!</v>
      </c>
      <c r="BG3643" t="e" vm="2">
        <f t="shared" si="307"/>
        <v>#VALUE!</v>
      </c>
      <c r="BM3643">
        <f t="shared" si="308"/>
        <v>1</v>
      </c>
      <c r="BN3643">
        <f t="shared" si="309"/>
        <v>1900</v>
      </c>
    </row>
    <row r="3644" spans="55:66" x14ac:dyDescent="0.2">
      <c r="BC3644" s="21" t="e" vm="1">
        <v>#REF!</v>
      </c>
      <c r="BD3644" t="e" vm="1">
        <v>#REF!</v>
      </c>
      <c r="BF3644" t="e" vm="2">
        <f t="shared" si="306"/>
        <v>#VALUE!</v>
      </c>
      <c r="BG3644" t="e" vm="2">
        <f t="shared" si="307"/>
        <v>#VALUE!</v>
      </c>
      <c r="BM3644">
        <f t="shared" si="308"/>
        <v>1</v>
      </c>
      <c r="BN3644">
        <f t="shared" si="309"/>
        <v>1900</v>
      </c>
    </row>
    <row r="3645" spans="55:66" x14ac:dyDescent="0.2">
      <c r="BC3645" s="21" t="e" vm="1">
        <v>#REF!</v>
      </c>
      <c r="BD3645" t="e" vm="1">
        <v>#REF!</v>
      </c>
      <c r="BF3645" t="e" vm="2">
        <f t="shared" si="306"/>
        <v>#VALUE!</v>
      </c>
      <c r="BG3645" t="e" vm="2">
        <f t="shared" si="307"/>
        <v>#VALUE!</v>
      </c>
      <c r="BM3645">
        <f t="shared" si="308"/>
        <v>1</v>
      </c>
      <c r="BN3645">
        <f t="shared" si="309"/>
        <v>1900</v>
      </c>
    </row>
    <row r="3646" spans="55:66" x14ac:dyDescent="0.2">
      <c r="BC3646" s="21" t="e" vm="1">
        <v>#REF!</v>
      </c>
      <c r="BD3646" t="e" vm="1">
        <v>#REF!</v>
      </c>
      <c r="BF3646" t="e" vm="2">
        <f t="shared" si="306"/>
        <v>#VALUE!</v>
      </c>
      <c r="BG3646" t="e" vm="2">
        <f t="shared" si="307"/>
        <v>#VALUE!</v>
      </c>
      <c r="BM3646">
        <f t="shared" si="308"/>
        <v>1</v>
      </c>
      <c r="BN3646">
        <f t="shared" si="309"/>
        <v>1900</v>
      </c>
    </row>
    <row r="3647" spans="55:66" x14ac:dyDescent="0.2">
      <c r="BC3647" s="21" t="e" vm="1">
        <v>#REF!</v>
      </c>
      <c r="BD3647" t="e" vm="1">
        <v>#REF!</v>
      </c>
      <c r="BF3647" t="e" vm="2">
        <f t="shared" si="306"/>
        <v>#VALUE!</v>
      </c>
      <c r="BG3647" t="e" vm="2">
        <f t="shared" si="307"/>
        <v>#VALUE!</v>
      </c>
      <c r="BM3647">
        <f t="shared" si="308"/>
        <v>1</v>
      </c>
      <c r="BN3647">
        <f t="shared" si="309"/>
        <v>1900</v>
      </c>
    </row>
    <row r="3648" spans="55:66" x14ac:dyDescent="0.2">
      <c r="BC3648" s="21" t="e" vm="1">
        <v>#REF!</v>
      </c>
      <c r="BD3648" t="e" vm="1">
        <v>#REF!</v>
      </c>
      <c r="BF3648" t="e" vm="2">
        <f t="shared" si="306"/>
        <v>#VALUE!</v>
      </c>
      <c r="BG3648" t="e" vm="2">
        <f t="shared" si="307"/>
        <v>#VALUE!</v>
      </c>
      <c r="BM3648">
        <f t="shared" si="308"/>
        <v>1</v>
      </c>
      <c r="BN3648">
        <f t="shared" si="309"/>
        <v>1900</v>
      </c>
    </row>
    <row r="3649" spans="55:66" x14ac:dyDescent="0.2">
      <c r="BC3649" s="21" t="e" vm="1">
        <v>#REF!</v>
      </c>
      <c r="BD3649" t="e" vm="1">
        <v>#REF!</v>
      </c>
      <c r="BF3649" t="e" vm="2">
        <f t="shared" si="306"/>
        <v>#VALUE!</v>
      </c>
      <c r="BG3649" t="e" vm="2">
        <f t="shared" si="307"/>
        <v>#VALUE!</v>
      </c>
      <c r="BM3649">
        <f t="shared" si="308"/>
        <v>1</v>
      </c>
      <c r="BN3649">
        <f t="shared" si="309"/>
        <v>1900</v>
      </c>
    </row>
    <row r="3650" spans="55:66" x14ac:dyDescent="0.2">
      <c r="BC3650" s="21" t="e" vm="1">
        <v>#REF!</v>
      </c>
      <c r="BD3650" t="e" vm="1">
        <v>#REF!</v>
      </c>
      <c r="BF3650" t="e" vm="2">
        <f t="shared" si="306"/>
        <v>#VALUE!</v>
      </c>
      <c r="BG3650" t="e" vm="2">
        <f t="shared" si="307"/>
        <v>#VALUE!</v>
      </c>
      <c r="BM3650">
        <f t="shared" si="308"/>
        <v>1</v>
      </c>
      <c r="BN3650">
        <f t="shared" si="309"/>
        <v>1900</v>
      </c>
    </row>
    <row r="3651" spans="55:66" x14ac:dyDescent="0.2">
      <c r="BC3651" s="21" t="e" vm="1">
        <v>#REF!</v>
      </c>
      <c r="BD3651" t="e" vm="1">
        <v>#REF!</v>
      </c>
      <c r="BF3651" t="e" vm="2">
        <f t="shared" ref="BF3651:BF3714" si="310">MONTH(BC3651)</f>
        <v>#VALUE!</v>
      </c>
      <c r="BG3651" t="e" vm="2">
        <f t="shared" ref="BG3651:BG3714" si="311">YEAR(BC3651)</f>
        <v>#VALUE!</v>
      </c>
      <c r="BM3651">
        <f t="shared" si="308"/>
        <v>1</v>
      </c>
      <c r="BN3651">
        <f t="shared" si="309"/>
        <v>1900</v>
      </c>
    </row>
    <row r="3652" spans="55:66" x14ac:dyDescent="0.2">
      <c r="BC3652" s="21" t="e" vm="1">
        <v>#REF!</v>
      </c>
      <c r="BD3652" t="e" vm="1">
        <v>#REF!</v>
      </c>
      <c r="BF3652" t="e" vm="2">
        <f t="shared" si="310"/>
        <v>#VALUE!</v>
      </c>
      <c r="BG3652" t="e" vm="2">
        <f t="shared" si="311"/>
        <v>#VALUE!</v>
      </c>
      <c r="BM3652">
        <f t="shared" ref="BM3652:BM3715" si="312">MONTH(BJ3652)</f>
        <v>1</v>
      </c>
      <c r="BN3652">
        <f t="shared" ref="BN3652:BN3715" si="313">YEAR(BJ3652)</f>
        <v>1900</v>
      </c>
    </row>
    <row r="3653" spans="55:66" x14ac:dyDescent="0.2">
      <c r="BC3653" s="21" t="e" vm="1">
        <v>#REF!</v>
      </c>
      <c r="BD3653" t="e" vm="1">
        <v>#REF!</v>
      </c>
      <c r="BF3653" t="e" vm="2">
        <f t="shared" si="310"/>
        <v>#VALUE!</v>
      </c>
      <c r="BG3653" t="e" vm="2">
        <f t="shared" si="311"/>
        <v>#VALUE!</v>
      </c>
      <c r="BM3653">
        <f t="shared" si="312"/>
        <v>1</v>
      </c>
      <c r="BN3653">
        <f t="shared" si="313"/>
        <v>1900</v>
      </c>
    </row>
    <row r="3654" spans="55:66" x14ac:dyDescent="0.2">
      <c r="BC3654" s="21" t="e" vm="1">
        <v>#REF!</v>
      </c>
      <c r="BD3654" t="e" vm="1">
        <v>#REF!</v>
      </c>
      <c r="BF3654" t="e" vm="2">
        <f t="shared" si="310"/>
        <v>#VALUE!</v>
      </c>
      <c r="BG3654" t="e" vm="2">
        <f t="shared" si="311"/>
        <v>#VALUE!</v>
      </c>
      <c r="BM3654">
        <f t="shared" si="312"/>
        <v>1</v>
      </c>
      <c r="BN3654">
        <f t="shared" si="313"/>
        <v>1900</v>
      </c>
    </row>
    <row r="3655" spans="55:66" x14ac:dyDescent="0.2">
      <c r="BC3655" s="21" t="e" vm="1">
        <v>#REF!</v>
      </c>
      <c r="BD3655" t="e" vm="1">
        <v>#REF!</v>
      </c>
      <c r="BF3655" t="e" vm="2">
        <f t="shared" si="310"/>
        <v>#VALUE!</v>
      </c>
      <c r="BG3655" t="e" vm="2">
        <f t="shared" si="311"/>
        <v>#VALUE!</v>
      </c>
      <c r="BM3655">
        <f t="shared" si="312"/>
        <v>1</v>
      </c>
      <c r="BN3655">
        <f t="shared" si="313"/>
        <v>1900</v>
      </c>
    </row>
    <row r="3656" spans="55:66" x14ac:dyDescent="0.2">
      <c r="BC3656" s="21" t="e" vm="1">
        <v>#REF!</v>
      </c>
      <c r="BD3656" t="e" vm="1">
        <v>#REF!</v>
      </c>
      <c r="BF3656" t="e" vm="2">
        <f t="shared" si="310"/>
        <v>#VALUE!</v>
      </c>
      <c r="BG3656" t="e" vm="2">
        <f t="shared" si="311"/>
        <v>#VALUE!</v>
      </c>
      <c r="BM3656">
        <f t="shared" si="312"/>
        <v>1</v>
      </c>
      <c r="BN3656">
        <f t="shared" si="313"/>
        <v>1900</v>
      </c>
    </row>
    <row r="3657" spans="55:66" x14ac:dyDescent="0.2">
      <c r="BC3657" s="21" t="e" vm="1">
        <v>#REF!</v>
      </c>
      <c r="BD3657" t="e" vm="1">
        <v>#REF!</v>
      </c>
      <c r="BF3657" t="e" vm="2">
        <f t="shared" si="310"/>
        <v>#VALUE!</v>
      </c>
      <c r="BG3657" t="e" vm="2">
        <f t="shared" si="311"/>
        <v>#VALUE!</v>
      </c>
      <c r="BM3657">
        <f t="shared" si="312"/>
        <v>1</v>
      </c>
      <c r="BN3657">
        <f t="shared" si="313"/>
        <v>1900</v>
      </c>
    </row>
    <row r="3658" spans="55:66" x14ac:dyDescent="0.2">
      <c r="BC3658" s="21" t="e" vm="1">
        <v>#REF!</v>
      </c>
      <c r="BD3658" t="e" vm="1">
        <v>#REF!</v>
      </c>
      <c r="BF3658" t="e" vm="2">
        <f t="shared" si="310"/>
        <v>#VALUE!</v>
      </c>
      <c r="BG3658" t="e" vm="2">
        <f t="shared" si="311"/>
        <v>#VALUE!</v>
      </c>
      <c r="BM3658">
        <f t="shared" si="312"/>
        <v>1</v>
      </c>
      <c r="BN3658">
        <f t="shared" si="313"/>
        <v>1900</v>
      </c>
    </row>
    <row r="3659" spans="55:66" x14ac:dyDescent="0.2">
      <c r="BC3659" s="21" t="e" vm="1">
        <v>#REF!</v>
      </c>
      <c r="BD3659" t="e" vm="1">
        <v>#REF!</v>
      </c>
      <c r="BF3659" t="e" vm="2">
        <f t="shared" si="310"/>
        <v>#VALUE!</v>
      </c>
      <c r="BG3659" t="e" vm="2">
        <f t="shared" si="311"/>
        <v>#VALUE!</v>
      </c>
      <c r="BM3659">
        <f t="shared" si="312"/>
        <v>1</v>
      </c>
      <c r="BN3659">
        <f t="shared" si="313"/>
        <v>1900</v>
      </c>
    </row>
    <row r="3660" spans="55:66" x14ac:dyDescent="0.2">
      <c r="BC3660" s="21" t="e" vm="1">
        <v>#REF!</v>
      </c>
      <c r="BD3660" t="e" vm="1">
        <v>#REF!</v>
      </c>
      <c r="BF3660" t="e" vm="2">
        <f t="shared" si="310"/>
        <v>#VALUE!</v>
      </c>
      <c r="BG3660" t="e" vm="2">
        <f t="shared" si="311"/>
        <v>#VALUE!</v>
      </c>
      <c r="BM3660">
        <f t="shared" si="312"/>
        <v>1</v>
      </c>
      <c r="BN3660">
        <f t="shared" si="313"/>
        <v>1900</v>
      </c>
    </row>
    <row r="3661" spans="55:66" x14ac:dyDescent="0.2">
      <c r="BC3661" s="21" t="e" vm="1">
        <v>#REF!</v>
      </c>
      <c r="BD3661" t="e" vm="1">
        <v>#REF!</v>
      </c>
      <c r="BF3661" t="e" vm="2">
        <f t="shared" si="310"/>
        <v>#VALUE!</v>
      </c>
      <c r="BG3661" t="e" vm="2">
        <f t="shared" si="311"/>
        <v>#VALUE!</v>
      </c>
      <c r="BM3661">
        <f t="shared" si="312"/>
        <v>1</v>
      </c>
      <c r="BN3661">
        <f t="shared" si="313"/>
        <v>1900</v>
      </c>
    </row>
    <row r="3662" spans="55:66" x14ac:dyDescent="0.2">
      <c r="BC3662" s="21" t="e" vm="1">
        <v>#REF!</v>
      </c>
      <c r="BD3662" t="e" vm="1">
        <v>#REF!</v>
      </c>
      <c r="BF3662" t="e" vm="2">
        <f t="shared" si="310"/>
        <v>#VALUE!</v>
      </c>
      <c r="BG3662" t="e" vm="2">
        <f t="shared" si="311"/>
        <v>#VALUE!</v>
      </c>
      <c r="BM3662">
        <f t="shared" si="312"/>
        <v>1</v>
      </c>
      <c r="BN3662">
        <f t="shared" si="313"/>
        <v>1900</v>
      </c>
    </row>
    <row r="3663" spans="55:66" x14ac:dyDescent="0.2">
      <c r="BC3663" s="21" t="e" vm="1">
        <v>#REF!</v>
      </c>
      <c r="BD3663" t="e" vm="1">
        <v>#REF!</v>
      </c>
      <c r="BF3663" t="e" vm="2">
        <f t="shared" si="310"/>
        <v>#VALUE!</v>
      </c>
      <c r="BG3663" t="e" vm="2">
        <f t="shared" si="311"/>
        <v>#VALUE!</v>
      </c>
      <c r="BM3663">
        <f t="shared" si="312"/>
        <v>1</v>
      </c>
      <c r="BN3663">
        <f t="shared" si="313"/>
        <v>1900</v>
      </c>
    </row>
    <row r="3664" spans="55:66" x14ac:dyDescent="0.2">
      <c r="BC3664" s="21" t="e" vm="1">
        <v>#REF!</v>
      </c>
      <c r="BD3664" t="e" vm="1">
        <v>#REF!</v>
      </c>
      <c r="BF3664" t="e" vm="2">
        <f t="shared" si="310"/>
        <v>#VALUE!</v>
      </c>
      <c r="BG3664" t="e" vm="2">
        <f t="shared" si="311"/>
        <v>#VALUE!</v>
      </c>
      <c r="BM3664">
        <f t="shared" si="312"/>
        <v>1</v>
      </c>
      <c r="BN3664">
        <f t="shared" si="313"/>
        <v>1900</v>
      </c>
    </row>
    <row r="3665" spans="55:66" x14ac:dyDescent="0.2">
      <c r="BC3665" s="21" t="e" vm="1">
        <v>#REF!</v>
      </c>
      <c r="BD3665" t="e" vm="1">
        <v>#REF!</v>
      </c>
      <c r="BF3665" t="e" vm="2">
        <f t="shared" si="310"/>
        <v>#VALUE!</v>
      </c>
      <c r="BG3665" t="e" vm="2">
        <f t="shared" si="311"/>
        <v>#VALUE!</v>
      </c>
      <c r="BM3665">
        <f t="shared" si="312"/>
        <v>1</v>
      </c>
      <c r="BN3665">
        <f t="shared" si="313"/>
        <v>1900</v>
      </c>
    </row>
    <row r="3666" spans="55:66" x14ac:dyDescent="0.2">
      <c r="BC3666" s="21" t="e" vm="1">
        <v>#REF!</v>
      </c>
      <c r="BD3666" t="e" vm="1">
        <v>#REF!</v>
      </c>
      <c r="BF3666" t="e" vm="2">
        <f t="shared" si="310"/>
        <v>#VALUE!</v>
      </c>
      <c r="BG3666" t="e" vm="2">
        <f t="shared" si="311"/>
        <v>#VALUE!</v>
      </c>
      <c r="BM3666">
        <f t="shared" si="312"/>
        <v>1</v>
      </c>
      <c r="BN3666">
        <f t="shared" si="313"/>
        <v>1900</v>
      </c>
    </row>
    <row r="3667" spans="55:66" x14ac:dyDescent="0.2">
      <c r="BC3667" s="21" t="e" vm="1">
        <v>#REF!</v>
      </c>
      <c r="BD3667" t="e" vm="1">
        <v>#REF!</v>
      </c>
      <c r="BF3667" t="e" vm="2">
        <f t="shared" si="310"/>
        <v>#VALUE!</v>
      </c>
      <c r="BG3667" t="e" vm="2">
        <f t="shared" si="311"/>
        <v>#VALUE!</v>
      </c>
      <c r="BM3667">
        <f t="shared" si="312"/>
        <v>1</v>
      </c>
      <c r="BN3667">
        <f t="shared" si="313"/>
        <v>1900</v>
      </c>
    </row>
    <row r="3668" spans="55:66" x14ac:dyDescent="0.2">
      <c r="BC3668" s="21" t="e" vm="1">
        <v>#REF!</v>
      </c>
      <c r="BD3668" t="e" vm="1">
        <v>#REF!</v>
      </c>
      <c r="BF3668" t="e" vm="2">
        <f t="shared" si="310"/>
        <v>#VALUE!</v>
      </c>
      <c r="BG3668" t="e" vm="2">
        <f t="shared" si="311"/>
        <v>#VALUE!</v>
      </c>
      <c r="BM3668">
        <f t="shared" si="312"/>
        <v>1</v>
      </c>
      <c r="BN3668">
        <f t="shared" si="313"/>
        <v>1900</v>
      </c>
    </row>
    <row r="3669" spans="55:66" x14ac:dyDescent="0.2">
      <c r="BC3669" s="21" t="e" vm="1">
        <v>#REF!</v>
      </c>
      <c r="BD3669" t="e" vm="1">
        <v>#REF!</v>
      </c>
      <c r="BF3669" t="e" vm="2">
        <f t="shared" si="310"/>
        <v>#VALUE!</v>
      </c>
      <c r="BG3669" t="e" vm="2">
        <f t="shared" si="311"/>
        <v>#VALUE!</v>
      </c>
      <c r="BM3669">
        <f t="shared" si="312"/>
        <v>1</v>
      </c>
      <c r="BN3669">
        <f t="shared" si="313"/>
        <v>1900</v>
      </c>
    </row>
    <row r="3670" spans="55:66" x14ac:dyDescent="0.2">
      <c r="BC3670" s="21" t="e" vm="1">
        <v>#REF!</v>
      </c>
      <c r="BD3670" t="e" vm="1">
        <v>#REF!</v>
      </c>
      <c r="BF3670" t="e" vm="2">
        <f t="shared" si="310"/>
        <v>#VALUE!</v>
      </c>
      <c r="BG3670" t="e" vm="2">
        <f t="shared" si="311"/>
        <v>#VALUE!</v>
      </c>
      <c r="BM3670">
        <f t="shared" si="312"/>
        <v>1</v>
      </c>
      <c r="BN3670">
        <f t="shared" si="313"/>
        <v>1900</v>
      </c>
    </row>
    <row r="3671" spans="55:66" x14ac:dyDescent="0.2">
      <c r="BC3671" s="21" t="e" vm="1">
        <v>#REF!</v>
      </c>
      <c r="BD3671" t="e" vm="1">
        <v>#REF!</v>
      </c>
      <c r="BF3671" t="e" vm="2">
        <f t="shared" si="310"/>
        <v>#VALUE!</v>
      </c>
      <c r="BG3671" t="e" vm="2">
        <f t="shared" si="311"/>
        <v>#VALUE!</v>
      </c>
      <c r="BM3671">
        <f t="shared" si="312"/>
        <v>1</v>
      </c>
      <c r="BN3671">
        <f t="shared" si="313"/>
        <v>1900</v>
      </c>
    </row>
    <row r="3672" spans="55:66" x14ac:dyDescent="0.2">
      <c r="BC3672" s="21" t="e" vm="1">
        <v>#REF!</v>
      </c>
      <c r="BD3672" t="e" vm="1">
        <v>#REF!</v>
      </c>
      <c r="BF3672" t="e" vm="2">
        <f t="shared" si="310"/>
        <v>#VALUE!</v>
      </c>
      <c r="BG3672" t="e" vm="2">
        <f t="shared" si="311"/>
        <v>#VALUE!</v>
      </c>
      <c r="BM3672">
        <f t="shared" si="312"/>
        <v>1</v>
      </c>
      <c r="BN3672">
        <f t="shared" si="313"/>
        <v>1900</v>
      </c>
    </row>
    <row r="3673" spans="55:66" x14ac:dyDescent="0.2">
      <c r="BC3673" s="21" t="e" vm="1">
        <v>#REF!</v>
      </c>
      <c r="BD3673" t="e" vm="1">
        <v>#REF!</v>
      </c>
      <c r="BF3673" t="e" vm="2">
        <f t="shared" si="310"/>
        <v>#VALUE!</v>
      </c>
      <c r="BG3673" t="e" vm="2">
        <f t="shared" si="311"/>
        <v>#VALUE!</v>
      </c>
      <c r="BM3673">
        <f t="shared" si="312"/>
        <v>1</v>
      </c>
      <c r="BN3673">
        <f t="shared" si="313"/>
        <v>1900</v>
      </c>
    </row>
    <row r="3674" spans="55:66" x14ac:dyDescent="0.2">
      <c r="BC3674" s="21" t="e" vm="1">
        <v>#REF!</v>
      </c>
      <c r="BD3674" t="e" vm="1">
        <v>#REF!</v>
      </c>
      <c r="BF3674" t="e" vm="2">
        <f t="shared" si="310"/>
        <v>#VALUE!</v>
      </c>
      <c r="BG3674" t="e" vm="2">
        <f t="shared" si="311"/>
        <v>#VALUE!</v>
      </c>
      <c r="BM3674">
        <f t="shared" si="312"/>
        <v>1</v>
      </c>
      <c r="BN3674">
        <f t="shared" si="313"/>
        <v>1900</v>
      </c>
    </row>
    <row r="3675" spans="55:66" x14ac:dyDescent="0.2">
      <c r="BC3675" s="21" t="e" vm="1">
        <v>#REF!</v>
      </c>
      <c r="BD3675" t="e" vm="1">
        <v>#REF!</v>
      </c>
      <c r="BF3675" t="e" vm="2">
        <f t="shared" si="310"/>
        <v>#VALUE!</v>
      </c>
      <c r="BG3675" t="e" vm="2">
        <f t="shared" si="311"/>
        <v>#VALUE!</v>
      </c>
      <c r="BM3675">
        <f t="shared" si="312"/>
        <v>1</v>
      </c>
      <c r="BN3675">
        <f t="shared" si="313"/>
        <v>1900</v>
      </c>
    </row>
    <row r="3676" spans="55:66" x14ac:dyDescent="0.2">
      <c r="BC3676" s="21" t="e" vm="1">
        <v>#REF!</v>
      </c>
      <c r="BD3676" t="e" vm="1">
        <v>#REF!</v>
      </c>
      <c r="BF3676" t="e" vm="2">
        <f t="shared" si="310"/>
        <v>#VALUE!</v>
      </c>
      <c r="BG3676" t="e" vm="2">
        <f t="shared" si="311"/>
        <v>#VALUE!</v>
      </c>
      <c r="BM3676">
        <f t="shared" si="312"/>
        <v>1</v>
      </c>
      <c r="BN3676">
        <f t="shared" si="313"/>
        <v>1900</v>
      </c>
    </row>
    <row r="3677" spans="55:66" x14ac:dyDescent="0.2">
      <c r="BC3677" s="21" t="e" vm="1">
        <v>#REF!</v>
      </c>
      <c r="BD3677" t="e" vm="1">
        <v>#REF!</v>
      </c>
      <c r="BF3677" t="e" vm="2">
        <f t="shared" si="310"/>
        <v>#VALUE!</v>
      </c>
      <c r="BG3677" t="e" vm="2">
        <f t="shared" si="311"/>
        <v>#VALUE!</v>
      </c>
      <c r="BM3677">
        <f t="shared" si="312"/>
        <v>1</v>
      </c>
      <c r="BN3677">
        <f t="shared" si="313"/>
        <v>1900</v>
      </c>
    </row>
    <row r="3678" spans="55:66" x14ac:dyDescent="0.2">
      <c r="BC3678" s="21" t="e" vm="1">
        <v>#REF!</v>
      </c>
      <c r="BD3678" t="e" vm="1">
        <v>#REF!</v>
      </c>
      <c r="BF3678" t="e" vm="2">
        <f t="shared" si="310"/>
        <v>#VALUE!</v>
      </c>
      <c r="BG3678" t="e" vm="2">
        <f t="shared" si="311"/>
        <v>#VALUE!</v>
      </c>
      <c r="BM3678">
        <f t="shared" si="312"/>
        <v>1</v>
      </c>
      <c r="BN3678">
        <f t="shared" si="313"/>
        <v>1900</v>
      </c>
    </row>
    <row r="3679" spans="55:66" x14ac:dyDescent="0.2">
      <c r="BC3679" s="21" t="e" vm="1">
        <v>#REF!</v>
      </c>
      <c r="BD3679" t="e" vm="1">
        <v>#REF!</v>
      </c>
      <c r="BF3679" t="e" vm="2">
        <f t="shared" si="310"/>
        <v>#VALUE!</v>
      </c>
      <c r="BG3679" t="e" vm="2">
        <f t="shared" si="311"/>
        <v>#VALUE!</v>
      </c>
      <c r="BM3679">
        <f t="shared" si="312"/>
        <v>1</v>
      </c>
      <c r="BN3679">
        <f t="shared" si="313"/>
        <v>1900</v>
      </c>
    </row>
    <row r="3680" spans="55:66" x14ac:dyDescent="0.2">
      <c r="BC3680" s="21" t="e" vm="1">
        <v>#REF!</v>
      </c>
      <c r="BD3680" t="e" vm="1">
        <v>#REF!</v>
      </c>
      <c r="BF3680" t="e" vm="2">
        <f t="shared" si="310"/>
        <v>#VALUE!</v>
      </c>
      <c r="BG3680" t="e" vm="2">
        <f t="shared" si="311"/>
        <v>#VALUE!</v>
      </c>
      <c r="BM3680">
        <f t="shared" si="312"/>
        <v>1</v>
      </c>
      <c r="BN3680">
        <f t="shared" si="313"/>
        <v>1900</v>
      </c>
    </row>
    <row r="3681" spans="55:66" x14ac:dyDescent="0.2">
      <c r="BC3681" s="21" t="e" vm="1">
        <v>#REF!</v>
      </c>
      <c r="BD3681" t="e" vm="1">
        <v>#REF!</v>
      </c>
      <c r="BF3681" t="e" vm="2">
        <f t="shared" si="310"/>
        <v>#VALUE!</v>
      </c>
      <c r="BG3681" t="e" vm="2">
        <f t="shared" si="311"/>
        <v>#VALUE!</v>
      </c>
      <c r="BM3681">
        <f t="shared" si="312"/>
        <v>1</v>
      </c>
      <c r="BN3681">
        <f t="shared" si="313"/>
        <v>1900</v>
      </c>
    </row>
    <row r="3682" spans="55:66" x14ac:dyDescent="0.2">
      <c r="BC3682" s="21" t="e" vm="1">
        <v>#REF!</v>
      </c>
      <c r="BD3682" t="e" vm="1">
        <v>#REF!</v>
      </c>
      <c r="BF3682" t="e" vm="2">
        <f t="shared" si="310"/>
        <v>#VALUE!</v>
      </c>
      <c r="BG3682" t="e" vm="2">
        <f t="shared" si="311"/>
        <v>#VALUE!</v>
      </c>
      <c r="BM3682">
        <f t="shared" si="312"/>
        <v>1</v>
      </c>
      <c r="BN3682">
        <f t="shared" si="313"/>
        <v>1900</v>
      </c>
    </row>
    <row r="3683" spans="55:66" x14ac:dyDescent="0.2">
      <c r="BC3683" s="21" t="e" vm="1">
        <v>#REF!</v>
      </c>
      <c r="BD3683" t="e" vm="1">
        <v>#REF!</v>
      </c>
      <c r="BF3683" t="e" vm="2">
        <f t="shared" si="310"/>
        <v>#VALUE!</v>
      </c>
      <c r="BG3683" t="e" vm="2">
        <f t="shared" si="311"/>
        <v>#VALUE!</v>
      </c>
      <c r="BM3683">
        <f t="shared" si="312"/>
        <v>1</v>
      </c>
      <c r="BN3683">
        <f t="shared" si="313"/>
        <v>1900</v>
      </c>
    </row>
    <row r="3684" spans="55:66" x14ac:dyDescent="0.2">
      <c r="BC3684" s="21" t="e" vm="1">
        <v>#REF!</v>
      </c>
      <c r="BD3684" t="e" vm="1">
        <v>#REF!</v>
      </c>
      <c r="BF3684" t="e" vm="2">
        <f t="shared" si="310"/>
        <v>#VALUE!</v>
      </c>
      <c r="BG3684" t="e" vm="2">
        <f t="shared" si="311"/>
        <v>#VALUE!</v>
      </c>
      <c r="BM3684">
        <f t="shared" si="312"/>
        <v>1</v>
      </c>
      <c r="BN3684">
        <f t="shared" si="313"/>
        <v>1900</v>
      </c>
    </row>
    <row r="3685" spans="55:66" x14ac:dyDescent="0.2">
      <c r="BC3685" s="21" t="e" vm="1">
        <v>#REF!</v>
      </c>
      <c r="BD3685" t="e" vm="1">
        <v>#REF!</v>
      </c>
      <c r="BF3685" t="e" vm="2">
        <f t="shared" si="310"/>
        <v>#VALUE!</v>
      </c>
      <c r="BG3685" t="e" vm="2">
        <f t="shared" si="311"/>
        <v>#VALUE!</v>
      </c>
      <c r="BM3685">
        <f t="shared" si="312"/>
        <v>1</v>
      </c>
      <c r="BN3685">
        <f t="shared" si="313"/>
        <v>1900</v>
      </c>
    </row>
    <row r="3686" spans="55:66" x14ac:dyDescent="0.2">
      <c r="BC3686" s="21" t="e" vm="1">
        <v>#REF!</v>
      </c>
      <c r="BD3686" t="e" vm="1">
        <v>#REF!</v>
      </c>
      <c r="BF3686" t="e" vm="2">
        <f t="shared" si="310"/>
        <v>#VALUE!</v>
      </c>
      <c r="BG3686" t="e" vm="2">
        <f t="shared" si="311"/>
        <v>#VALUE!</v>
      </c>
      <c r="BM3686">
        <f t="shared" si="312"/>
        <v>1</v>
      </c>
      <c r="BN3686">
        <f t="shared" si="313"/>
        <v>1900</v>
      </c>
    </row>
    <row r="3687" spans="55:66" x14ac:dyDescent="0.2">
      <c r="BC3687" s="21" t="e" vm="1">
        <v>#REF!</v>
      </c>
      <c r="BD3687" t="e" vm="1">
        <v>#REF!</v>
      </c>
      <c r="BF3687" t="e" vm="2">
        <f t="shared" si="310"/>
        <v>#VALUE!</v>
      </c>
      <c r="BG3687" t="e" vm="2">
        <f t="shared" si="311"/>
        <v>#VALUE!</v>
      </c>
      <c r="BM3687">
        <f t="shared" si="312"/>
        <v>1</v>
      </c>
      <c r="BN3687">
        <f t="shared" si="313"/>
        <v>1900</v>
      </c>
    </row>
    <row r="3688" spans="55:66" x14ac:dyDescent="0.2">
      <c r="BC3688" s="21" t="e" vm="1">
        <v>#REF!</v>
      </c>
      <c r="BD3688" t="e" vm="1">
        <v>#REF!</v>
      </c>
      <c r="BF3688" t="e" vm="2">
        <f t="shared" si="310"/>
        <v>#VALUE!</v>
      </c>
      <c r="BG3688" t="e" vm="2">
        <f t="shared" si="311"/>
        <v>#VALUE!</v>
      </c>
      <c r="BM3688">
        <f t="shared" si="312"/>
        <v>1</v>
      </c>
      <c r="BN3688">
        <f t="shared" si="313"/>
        <v>1900</v>
      </c>
    </row>
    <row r="3689" spans="55:66" x14ac:dyDescent="0.2">
      <c r="BC3689" s="21" t="e" vm="1">
        <v>#REF!</v>
      </c>
      <c r="BD3689" t="e" vm="1">
        <v>#REF!</v>
      </c>
      <c r="BF3689" t="e" vm="2">
        <f t="shared" si="310"/>
        <v>#VALUE!</v>
      </c>
      <c r="BG3689" t="e" vm="2">
        <f t="shared" si="311"/>
        <v>#VALUE!</v>
      </c>
      <c r="BM3689">
        <f t="shared" si="312"/>
        <v>1</v>
      </c>
      <c r="BN3689">
        <f t="shared" si="313"/>
        <v>1900</v>
      </c>
    </row>
    <row r="3690" spans="55:66" x14ac:dyDescent="0.2">
      <c r="BC3690" s="21" t="e" vm="1">
        <v>#REF!</v>
      </c>
      <c r="BD3690" t="e" vm="1">
        <v>#REF!</v>
      </c>
      <c r="BF3690" t="e" vm="2">
        <f t="shared" si="310"/>
        <v>#VALUE!</v>
      </c>
      <c r="BG3690" t="e" vm="2">
        <f t="shared" si="311"/>
        <v>#VALUE!</v>
      </c>
      <c r="BM3690">
        <f t="shared" si="312"/>
        <v>1</v>
      </c>
      <c r="BN3690">
        <f t="shared" si="313"/>
        <v>1900</v>
      </c>
    </row>
    <row r="3691" spans="55:66" x14ac:dyDescent="0.2">
      <c r="BC3691" s="21" t="e" vm="1">
        <v>#REF!</v>
      </c>
      <c r="BD3691" t="e" vm="1">
        <v>#REF!</v>
      </c>
      <c r="BF3691" t="e" vm="2">
        <f t="shared" si="310"/>
        <v>#VALUE!</v>
      </c>
      <c r="BG3691" t="e" vm="2">
        <f t="shared" si="311"/>
        <v>#VALUE!</v>
      </c>
      <c r="BM3691">
        <f t="shared" si="312"/>
        <v>1</v>
      </c>
      <c r="BN3691">
        <f t="shared" si="313"/>
        <v>1900</v>
      </c>
    </row>
    <row r="3692" spans="55:66" x14ac:dyDescent="0.2">
      <c r="BC3692" s="21" t="e" vm="1">
        <v>#REF!</v>
      </c>
      <c r="BD3692" t="e" vm="1">
        <v>#REF!</v>
      </c>
      <c r="BF3692" t="e" vm="2">
        <f t="shared" si="310"/>
        <v>#VALUE!</v>
      </c>
      <c r="BG3692" t="e" vm="2">
        <f t="shared" si="311"/>
        <v>#VALUE!</v>
      </c>
      <c r="BM3692">
        <f t="shared" si="312"/>
        <v>1</v>
      </c>
      <c r="BN3692">
        <f t="shared" si="313"/>
        <v>1900</v>
      </c>
    </row>
    <row r="3693" spans="55:66" x14ac:dyDescent="0.2">
      <c r="BC3693" s="21" t="e" vm="1">
        <v>#REF!</v>
      </c>
      <c r="BD3693" t="e" vm="1">
        <v>#REF!</v>
      </c>
      <c r="BF3693" t="e" vm="2">
        <f t="shared" si="310"/>
        <v>#VALUE!</v>
      </c>
      <c r="BG3693" t="e" vm="2">
        <f t="shared" si="311"/>
        <v>#VALUE!</v>
      </c>
      <c r="BM3693">
        <f t="shared" si="312"/>
        <v>1</v>
      </c>
      <c r="BN3693">
        <f t="shared" si="313"/>
        <v>1900</v>
      </c>
    </row>
    <row r="3694" spans="55:66" x14ac:dyDescent="0.2">
      <c r="BC3694" s="21" t="e" vm="1">
        <v>#REF!</v>
      </c>
      <c r="BD3694" t="e" vm="1">
        <v>#REF!</v>
      </c>
      <c r="BF3694" t="e" vm="2">
        <f t="shared" si="310"/>
        <v>#VALUE!</v>
      </c>
      <c r="BG3694" t="e" vm="2">
        <f t="shared" si="311"/>
        <v>#VALUE!</v>
      </c>
      <c r="BM3694">
        <f t="shared" si="312"/>
        <v>1</v>
      </c>
      <c r="BN3694">
        <f t="shared" si="313"/>
        <v>1900</v>
      </c>
    </row>
    <row r="3695" spans="55:66" x14ac:dyDescent="0.2">
      <c r="BC3695" s="21" t="e" vm="1">
        <v>#REF!</v>
      </c>
      <c r="BD3695" t="e" vm="1">
        <v>#REF!</v>
      </c>
      <c r="BF3695" t="e" vm="2">
        <f t="shared" si="310"/>
        <v>#VALUE!</v>
      </c>
      <c r="BG3695" t="e" vm="2">
        <f t="shared" si="311"/>
        <v>#VALUE!</v>
      </c>
      <c r="BM3695">
        <f t="shared" si="312"/>
        <v>1</v>
      </c>
      <c r="BN3695">
        <f t="shared" si="313"/>
        <v>1900</v>
      </c>
    </row>
    <row r="3696" spans="55:66" x14ac:dyDescent="0.2">
      <c r="BC3696" s="21" t="e" vm="1">
        <v>#REF!</v>
      </c>
      <c r="BD3696" t="e" vm="1">
        <v>#REF!</v>
      </c>
      <c r="BF3696" t="e" vm="2">
        <f t="shared" si="310"/>
        <v>#VALUE!</v>
      </c>
      <c r="BG3696" t="e" vm="2">
        <f t="shared" si="311"/>
        <v>#VALUE!</v>
      </c>
      <c r="BM3696">
        <f t="shared" si="312"/>
        <v>1</v>
      </c>
      <c r="BN3696">
        <f t="shared" si="313"/>
        <v>1900</v>
      </c>
    </row>
    <row r="3697" spans="55:66" x14ac:dyDescent="0.2">
      <c r="BC3697" s="21" t="e" vm="1">
        <v>#REF!</v>
      </c>
      <c r="BD3697" t="e" vm="1">
        <v>#REF!</v>
      </c>
      <c r="BF3697" t="e" vm="2">
        <f t="shared" si="310"/>
        <v>#VALUE!</v>
      </c>
      <c r="BG3697" t="e" vm="2">
        <f t="shared" si="311"/>
        <v>#VALUE!</v>
      </c>
      <c r="BM3697">
        <f t="shared" si="312"/>
        <v>1</v>
      </c>
      <c r="BN3697">
        <f t="shared" si="313"/>
        <v>1900</v>
      </c>
    </row>
    <row r="3698" spans="55:66" x14ac:dyDescent="0.2">
      <c r="BC3698" s="21" t="e" vm="1">
        <v>#REF!</v>
      </c>
      <c r="BD3698" t="e" vm="1">
        <v>#REF!</v>
      </c>
      <c r="BF3698" t="e" vm="2">
        <f t="shared" si="310"/>
        <v>#VALUE!</v>
      </c>
      <c r="BG3698" t="e" vm="2">
        <f t="shared" si="311"/>
        <v>#VALUE!</v>
      </c>
      <c r="BM3698">
        <f t="shared" si="312"/>
        <v>1</v>
      </c>
      <c r="BN3698">
        <f t="shared" si="313"/>
        <v>1900</v>
      </c>
    </row>
    <row r="3699" spans="55:66" x14ac:dyDescent="0.2">
      <c r="BC3699" s="21" t="e" vm="1">
        <v>#REF!</v>
      </c>
      <c r="BD3699" t="e" vm="1">
        <v>#REF!</v>
      </c>
      <c r="BF3699" t="e" vm="2">
        <f t="shared" si="310"/>
        <v>#VALUE!</v>
      </c>
      <c r="BG3699" t="e" vm="2">
        <f t="shared" si="311"/>
        <v>#VALUE!</v>
      </c>
      <c r="BM3699">
        <f t="shared" si="312"/>
        <v>1</v>
      </c>
      <c r="BN3699">
        <f t="shared" si="313"/>
        <v>1900</v>
      </c>
    </row>
    <row r="3700" spans="55:66" x14ac:dyDescent="0.2">
      <c r="BC3700" s="21" t="e" vm="1">
        <v>#REF!</v>
      </c>
      <c r="BD3700" t="e" vm="1">
        <v>#REF!</v>
      </c>
      <c r="BF3700" t="e" vm="2">
        <f t="shared" si="310"/>
        <v>#VALUE!</v>
      </c>
      <c r="BG3700" t="e" vm="2">
        <f t="shared" si="311"/>
        <v>#VALUE!</v>
      </c>
      <c r="BM3700">
        <f t="shared" si="312"/>
        <v>1</v>
      </c>
      <c r="BN3700">
        <f t="shared" si="313"/>
        <v>1900</v>
      </c>
    </row>
    <row r="3701" spans="55:66" x14ac:dyDescent="0.2">
      <c r="BC3701" s="21" t="e" vm="1">
        <v>#REF!</v>
      </c>
      <c r="BD3701" t="e" vm="1">
        <v>#REF!</v>
      </c>
      <c r="BF3701" t="e" vm="2">
        <f t="shared" si="310"/>
        <v>#VALUE!</v>
      </c>
      <c r="BG3701" t="e" vm="2">
        <f t="shared" si="311"/>
        <v>#VALUE!</v>
      </c>
      <c r="BM3701">
        <f t="shared" si="312"/>
        <v>1</v>
      </c>
      <c r="BN3701">
        <f t="shared" si="313"/>
        <v>1900</v>
      </c>
    </row>
    <row r="3702" spans="55:66" x14ac:dyDescent="0.2">
      <c r="BC3702" s="21" t="e" vm="1">
        <v>#REF!</v>
      </c>
      <c r="BD3702" t="e" vm="1">
        <v>#REF!</v>
      </c>
      <c r="BF3702" t="e" vm="2">
        <f t="shared" si="310"/>
        <v>#VALUE!</v>
      </c>
      <c r="BG3702" t="e" vm="2">
        <f t="shared" si="311"/>
        <v>#VALUE!</v>
      </c>
      <c r="BM3702">
        <f t="shared" si="312"/>
        <v>1</v>
      </c>
      <c r="BN3702">
        <f t="shared" si="313"/>
        <v>1900</v>
      </c>
    </row>
    <row r="3703" spans="55:66" x14ac:dyDescent="0.2">
      <c r="BC3703" s="21" t="e" vm="1">
        <v>#REF!</v>
      </c>
      <c r="BD3703" t="e" vm="1">
        <v>#REF!</v>
      </c>
      <c r="BF3703" t="e" vm="2">
        <f t="shared" si="310"/>
        <v>#VALUE!</v>
      </c>
      <c r="BG3703" t="e" vm="2">
        <f t="shared" si="311"/>
        <v>#VALUE!</v>
      </c>
      <c r="BM3703">
        <f t="shared" si="312"/>
        <v>1</v>
      </c>
      <c r="BN3703">
        <f t="shared" si="313"/>
        <v>1900</v>
      </c>
    </row>
    <row r="3704" spans="55:66" x14ac:dyDescent="0.2">
      <c r="BC3704" s="21" t="e" vm="1">
        <v>#REF!</v>
      </c>
      <c r="BD3704" t="e" vm="1">
        <v>#REF!</v>
      </c>
      <c r="BF3704" t="e" vm="2">
        <f t="shared" si="310"/>
        <v>#VALUE!</v>
      </c>
      <c r="BG3704" t="e" vm="2">
        <f t="shared" si="311"/>
        <v>#VALUE!</v>
      </c>
      <c r="BM3704">
        <f t="shared" si="312"/>
        <v>1</v>
      </c>
      <c r="BN3704">
        <f t="shared" si="313"/>
        <v>1900</v>
      </c>
    </row>
    <row r="3705" spans="55:66" x14ac:dyDescent="0.2">
      <c r="BC3705" s="21" t="e" vm="1">
        <v>#REF!</v>
      </c>
      <c r="BD3705" t="e" vm="1">
        <v>#REF!</v>
      </c>
      <c r="BF3705" t="e" vm="2">
        <f t="shared" si="310"/>
        <v>#VALUE!</v>
      </c>
      <c r="BG3705" t="e" vm="2">
        <f t="shared" si="311"/>
        <v>#VALUE!</v>
      </c>
      <c r="BM3705">
        <f t="shared" si="312"/>
        <v>1</v>
      </c>
      <c r="BN3705">
        <f t="shared" si="313"/>
        <v>1900</v>
      </c>
    </row>
    <row r="3706" spans="55:66" x14ac:dyDescent="0.2">
      <c r="BC3706" s="21" t="e" vm="1">
        <v>#REF!</v>
      </c>
      <c r="BD3706" t="e" vm="1">
        <v>#REF!</v>
      </c>
      <c r="BF3706" t="e" vm="2">
        <f t="shared" si="310"/>
        <v>#VALUE!</v>
      </c>
      <c r="BG3706" t="e" vm="2">
        <f t="shared" si="311"/>
        <v>#VALUE!</v>
      </c>
      <c r="BM3706">
        <f t="shared" si="312"/>
        <v>1</v>
      </c>
      <c r="BN3706">
        <f t="shared" si="313"/>
        <v>1900</v>
      </c>
    </row>
    <row r="3707" spans="55:66" x14ac:dyDescent="0.2">
      <c r="BC3707" s="21" t="e" vm="1">
        <v>#REF!</v>
      </c>
      <c r="BD3707" t="e" vm="1">
        <v>#REF!</v>
      </c>
      <c r="BF3707" t="e" vm="2">
        <f t="shared" si="310"/>
        <v>#VALUE!</v>
      </c>
      <c r="BG3707" t="e" vm="2">
        <f t="shared" si="311"/>
        <v>#VALUE!</v>
      </c>
      <c r="BM3707">
        <f t="shared" si="312"/>
        <v>1</v>
      </c>
      <c r="BN3707">
        <f t="shared" si="313"/>
        <v>1900</v>
      </c>
    </row>
    <row r="3708" spans="55:66" x14ac:dyDescent="0.2">
      <c r="BC3708" s="21" t="e" vm="1">
        <v>#REF!</v>
      </c>
      <c r="BD3708" t="e" vm="1">
        <v>#REF!</v>
      </c>
      <c r="BF3708" t="e" vm="2">
        <f t="shared" si="310"/>
        <v>#VALUE!</v>
      </c>
      <c r="BG3708" t="e" vm="2">
        <f t="shared" si="311"/>
        <v>#VALUE!</v>
      </c>
      <c r="BM3708">
        <f t="shared" si="312"/>
        <v>1</v>
      </c>
      <c r="BN3708">
        <f t="shared" si="313"/>
        <v>1900</v>
      </c>
    </row>
    <row r="3709" spans="55:66" x14ac:dyDescent="0.2">
      <c r="BC3709" s="21" t="e" vm="1">
        <v>#REF!</v>
      </c>
      <c r="BD3709" t="e" vm="1">
        <v>#REF!</v>
      </c>
      <c r="BF3709" t="e" vm="2">
        <f t="shared" si="310"/>
        <v>#VALUE!</v>
      </c>
      <c r="BG3709" t="e" vm="2">
        <f t="shared" si="311"/>
        <v>#VALUE!</v>
      </c>
      <c r="BM3709">
        <f t="shared" si="312"/>
        <v>1</v>
      </c>
      <c r="BN3709">
        <f t="shared" si="313"/>
        <v>1900</v>
      </c>
    </row>
    <row r="3710" spans="55:66" x14ac:dyDescent="0.2">
      <c r="BC3710" s="21" t="e" vm="1">
        <v>#REF!</v>
      </c>
      <c r="BD3710" t="e" vm="1">
        <v>#REF!</v>
      </c>
      <c r="BF3710" t="e" vm="2">
        <f t="shared" si="310"/>
        <v>#VALUE!</v>
      </c>
      <c r="BG3710" t="e" vm="2">
        <f t="shared" si="311"/>
        <v>#VALUE!</v>
      </c>
      <c r="BM3710">
        <f t="shared" si="312"/>
        <v>1</v>
      </c>
      <c r="BN3710">
        <f t="shared" si="313"/>
        <v>1900</v>
      </c>
    </row>
    <row r="3711" spans="55:66" x14ac:dyDescent="0.2">
      <c r="BC3711" s="21" t="e" vm="1">
        <v>#REF!</v>
      </c>
      <c r="BD3711" t="e" vm="1">
        <v>#REF!</v>
      </c>
      <c r="BF3711" t="e" vm="2">
        <f t="shared" si="310"/>
        <v>#VALUE!</v>
      </c>
      <c r="BG3711" t="e" vm="2">
        <f t="shared" si="311"/>
        <v>#VALUE!</v>
      </c>
      <c r="BM3711">
        <f t="shared" si="312"/>
        <v>1</v>
      </c>
      <c r="BN3711">
        <f t="shared" si="313"/>
        <v>1900</v>
      </c>
    </row>
    <row r="3712" spans="55:66" x14ac:dyDescent="0.2">
      <c r="BC3712" s="21" t="e" vm="1">
        <v>#REF!</v>
      </c>
      <c r="BD3712" t="e" vm="1">
        <v>#REF!</v>
      </c>
      <c r="BF3712" t="e" vm="2">
        <f t="shared" si="310"/>
        <v>#VALUE!</v>
      </c>
      <c r="BG3712" t="e" vm="2">
        <f t="shared" si="311"/>
        <v>#VALUE!</v>
      </c>
      <c r="BM3712">
        <f t="shared" si="312"/>
        <v>1</v>
      </c>
      <c r="BN3712">
        <f t="shared" si="313"/>
        <v>1900</v>
      </c>
    </row>
    <row r="3713" spans="55:66" x14ac:dyDescent="0.2">
      <c r="BC3713" s="21" t="e" vm="1">
        <v>#REF!</v>
      </c>
      <c r="BD3713" t="e" vm="1">
        <v>#REF!</v>
      </c>
      <c r="BF3713" t="e" vm="2">
        <f t="shared" si="310"/>
        <v>#VALUE!</v>
      </c>
      <c r="BG3713" t="e" vm="2">
        <f t="shared" si="311"/>
        <v>#VALUE!</v>
      </c>
      <c r="BM3713">
        <f t="shared" si="312"/>
        <v>1</v>
      </c>
      <c r="BN3713">
        <f t="shared" si="313"/>
        <v>1900</v>
      </c>
    </row>
    <row r="3714" spans="55:66" x14ac:dyDescent="0.2">
      <c r="BC3714" s="21" t="e" vm="1">
        <v>#REF!</v>
      </c>
      <c r="BD3714" t="e" vm="1">
        <v>#REF!</v>
      </c>
      <c r="BF3714" t="e" vm="2">
        <f t="shared" si="310"/>
        <v>#VALUE!</v>
      </c>
      <c r="BG3714" t="e" vm="2">
        <f t="shared" si="311"/>
        <v>#VALUE!</v>
      </c>
      <c r="BM3714">
        <f t="shared" si="312"/>
        <v>1</v>
      </c>
      <c r="BN3714">
        <f t="shared" si="313"/>
        <v>1900</v>
      </c>
    </row>
    <row r="3715" spans="55:66" x14ac:dyDescent="0.2">
      <c r="BC3715" s="21" t="e" vm="1">
        <v>#REF!</v>
      </c>
      <c r="BD3715" t="e" vm="1">
        <v>#REF!</v>
      </c>
      <c r="BF3715" t="e" vm="2">
        <f t="shared" ref="BF3715:BF3778" si="314">MONTH(BC3715)</f>
        <v>#VALUE!</v>
      </c>
      <c r="BG3715" t="e" vm="2">
        <f t="shared" ref="BG3715:BG3778" si="315">YEAR(BC3715)</f>
        <v>#VALUE!</v>
      </c>
      <c r="BM3715">
        <f t="shared" si="312"/>
        <v>1</v>
      </c>
      <c r="BN3715">
        <f t="shared" si="313"/>
        <v>1900</v>
      </c>
    </row>
    <row r="3716" spans="55:66" x14ac:dyDescent="0.2">
      <c r="BC3716" s="21" t="e" vm="1">
        <v>#REF!</v>
      </c>
      <c r="BD3716" t="e" vm="1">
        <v>#REF!</v>
      </c>
      <c r="BF3716" t="e" vm="2">
        <f t="shared" si="314"/>
        <v>#VALUE!</v>
      </c>
      <c r="BG3716" t="e" vm="2">
        <f t="shared" si="315"/>
        <v>#VALUE!</v>
      </c>
      <c r="BM3716">
        <f t="shared" ref="BM3716:BM3779" si="316">MONTH(BJ3716)</f>
        <v>1</v>
      </c>
      <c r="BN3716">
        <f t="shared" ref="BN3716:BN3779" si="317">YEAR(BJ3716)</f>
        <v>1900</v>
      </c>
    </row>
    <row r="3717" spans="55:66" x14ac:dyDescent="0.2">
      <c r="BC3717" s="21" t="e" vm="1">
        <v>#REF!</v>
      </c>
      <c r="BD3717" t="e" vm="1">
        <v>#REF!</v>
      </c>
      <c r="BF3717" t="e" vm="2">
        <f t="shared" si="314"/>
        <v>#VALUE!</v>
      </c>
      <c r="BG3717" t="e" vm="2">
        <f t="shared" si="315"/>
        <v>#VALUE!</v>
      </c>
      <c r="BM3717">
        <f t="shared" si="316"/>
        <v>1</v>
      </c>
      <c r="BN3717">
        <f t="shared" si="317"/>
        <v>1900</v>
      </c>
    </row>
    <row r="3718" spans="55:66" x14ac:dyDescent="0.2">
      <c r="BC3718" s="21" t="e" vm="1">
        <v>#REF!</v>
      </c>
      <c r="BD3718" t="e" vm="1">
        <v>#REF!</v>
      </c>
      <c r="BF3718" t="e" vm="2">
        <f t="shared" si="314"/>
        <v>#VALUE!</v>
      </c>
      <c r="BG3718" t="e" vm="2">
        <f t="shared" si="315"/>
        <v>#VALUE!</v>
      </c>
      <c r="BM3718">
        <f t="shared" si="316"/>
        <v>1</v>
      </c>
      <c r="BN3718">
        <f t="shared" si="317"/>
        <v>1900</v>
      </c>
    </row>
    <row r="3719" spans="55:66" x14ac:dyDescent="0.2">
      <c r="BC3719" s="21" t="e" vm="1">
        <v>#REF!</v>
      </c>
      <c r="BD3719" t="e" vm="1">
        <v>#REF!</v>
      </c>
      <c r="BF3719" t="e" vm="2">
        <f t="shared" si="314"/>
        <v>#VALUE!</v>
      </c>
      <c r="BG3719" t="e" vm="2">
        <f t="shared" si="315"/>
        <v>#VALUE!</v>
      </c>
      <c r="BM3719">
        <f t="shared" si="316"/>
        <v>1</v>
      </c>
      <c r="BN3719">
        <f t="shared" si="317"/>
        <v>1900</v>
      </c>
    </row>
    <row r="3720" spans="55:66" x14ac:dyDescent="0.2">
      <c r="BC3720" s="21" t="e" vm="1">
        <v>#REF!</v>
      </c>
      <c r="BD3720" t="e" vm="1">
        <v>#REF!</v>
      </c>
      <c r="BF3720" t="e" vm="2">
        <f t="shared" si="314"/>
        <v>#VALUE!</v>
      </c>
      <c r="BG3720" t="e" vm="2">
        <f t="shared" si="315"/>
        <v>#VALUE!</v>
      </c>
      <c r="BM3720">
        <f t="shared" si="316"/>
        <v>1</v>
      </c>
      <c r="BN3720">
        <f t="shared" si="317"/>
        <v>1900</v>
      </c>
    </row>
    <row r="3721" spans="55:66" x14ac:dyDescent="0.2">
      <c r="BC3721" s="21" t="e" vm="1">
        <v>#REF!</v>
      </c>
      <c r="BD3721" t="e" vm="1">
        <v>#REF!</v>
      </c>
      <c r="BF3721" t="e" vm="2">
        <f t="shared" si="314"/>
        <v>#VALUE!</v>
      </c>
      <c r="BG3721" t="e" vm="2">
        <f t="shared" si="315"/>
        <v>#VALUE!</v>
      </c>
      <c r="BM3721">
        <f t="shared" si="316"/>
        <v>1</v>
      </c>
      <c r="BN3721">
        <f t="shared" si="317"/>
        <v>1900</v>
      </c>
    </row>
    <row r="3722" spans="55:66" x14ac:dyDescent="0.2">
      <c r="BC3722" s="21" t="e" vm="1">
        <v>#REF!</v>
      </c>
      <c r="BD3722" t="e" vm="1">
        <v>#REF!</v>
      </c>
      <c r="BF3722" t="e" vm="2">
        <f t="shared" si="314"/>
        <v>#VALUE!</v>
      </c>
      <c r="BG3722" t="e" vm="2">
        <f t="shared" si="315"/>
        <v>#VALUE!</v>
      </c>
      <c r="BM3722">
        <f t="shared" si="316"/>
        <v>1</v>
      </c>
      <c r="BN3722">
        <f t="shared" si="317"/>
        <v>1900</v>
      </c>
    </row>
    <row r="3723" spans="55:66" x14ac:dyDescent="0.2">
      <c r="BC3723" s="21" t="e" vm="1">
        <v>#REF!</v>
      </c>
      <c r="BD3723" t="e" vm="1">
        <v>#REF!</v>
      </c>
      <c r="BF3723" t="e" vm="2">
        <f t="shared" si="314"/>
        <v>#VALUE!</v>
      </c>
      <c r="BG3723" t="e" vm="2">
        <f t="shared" si="315"/>
        <v>#VALUE!</v>
      </c>
      <c r="BM3723">
        <f t="shared" si="316"/>
        <v>1</v>
      </c>
      <c r="BN3723">
        <f t="shared" si="317"/>
        <v>1900</v>
      </c>
    </row>
    <row r="3724" spans="55:66" x14ac:dyDescent="0.2">
      <c r="BC3724" s="21" t="e" vm="1">
        <v>#REF!</v>
      </c>
      <c r="BD3724" t="e" vm="1">
        <v>#REF!</v>
      </c>
      <c r="BF3724" t="e" vm="2">
        <f t="shared" si="314"/>
        <v>#VALUE!</v>
      </c>
      <c r="BG3724" t="e" vm="2">
        <f t="shared" si="315"/>
        <v>#VALUE!</v>
      </c>
      <c r="BM3724">
        <f t="shared" si="316"/>
        <v>1</v>
      </c>
      <c r="BN3724">
        <f t="shared" si="317"/>
        <v>1900</v>
      </c>
    </row>
    <row r="3725" spans="55:66" x14ac:dyDescent="0.2">
      <c r="BC3725" s="21" t="e" vm="1">
        <v>#REF!</v>
      </c>
      <c r="BD3725" t="e" vm="1">
        <v>#REF!</v>
      </c>
      <c r="BF3725" t="e" vm="2">
        <f t="shared" si="314"/>
        <v>#VALUE!</v>
      </c>
      <c r="BG3725" t="e" vm="2">
        <f t="shared" si="315"/>
        <v>#VALUE!</v>
      </c>
      <c r="BM3725">
        <f t="shared" si="316"/>
        <v>1</v>
      </c>
      <c r="BN3725">
        <f t="shared" si="317"/>
        <v>1900</v>
      </c>
    </row>
    <row r="3726" spans="55:66" x14ac:dyDescent="0.2">
      <c r="BC3726" s="21" t="e" vm="1">
        <v>#REF!</v>
      </c>
      <c r="BD3726" t="e" vm="1">
        <v>#REF!</v>
      </c>
      <c r="BF3726" t="e" vm="2">
        <f t="shared" si="314"/>
        <v>#VALUE!</v>
      </c>
      <c r="BG3726" t="e" vm="2">
        <f t="shared" si="315"/>
        <v>#VALUE!</v>
      </c>
      <c r="BM3726">
        <f t="shared" si="316"/>
        <v>1</v>
      </c>
      <c r="BN3726">
        <f t="shared" si="317"/>
        <v>1900</v>
      </c>
    </row>
    <row r="3727" spans="55:66" x14ac:dyDescent="0.2">
      <c r="BC3727" s="21" t="e" vm="1">
        <v>#REF!</v>
      </c>
      <c r="BD3727" t="e" vm="1">
        <v>#REF!</v>
      </c>
      <c r="BF3727" t="e" vm="2">
        <f t="shared" si="314"/>
        <v>#VALUE!</v>
      </c>
      <c r="BG3727" t="e" vm="2">
        <f t="shared" si="315"/>
        <v>#VALUE!</v>
      </c>
      <c r="BM3727">
        <f t="shared" si="316"/>
        <v>1</v>
      </c>
      <c r="BN3727">
        <f t="shared" si="317"/>
        <v>1900</v>
      </c>
    </row>
    <row r="3728" spans="55:66" x14ac:dyDescent="0.2">
      <c r="BC3728" s="21" t="e" vm="1">
        <v>#REF!</v>
      </c>
      <c r="BD3728" t="e" vm="1">
        <v>#REF!</v>
      </c>
      <c r="BF3728" t="e" vm="2">
        <f t="shared" si="314"/>
        <v>#VALUE!</v>
      </c>
      <c r="BG3728" t="e" vm="2">
        <f t="shared" si="315"/>
        <v>#VALUE!</v>
      </c>
      <c r="BM3728">
        <f t="shared" si="316"/>
        <v>1</v>
      </c>
      <c r="BN3728">
        <f t="shared" si="317"/>
        <v>1900</v>
      </c>
    </row>
    <row r="3729" spans="55:66" x14ac:dyDescent="0.2">
      <c r="BC3729" s="21" t="e" vm="1">
        <v>#REF!</v>
      </c>
      <c r="BD3729" t="e" vm="1">
        <v>#REF!</v>
      </c>
      <c r="BF3729" t="e" vm="2">
        <f t="shared" si="314"/>
        <v>#VALUE!</v>
      </c>
      <c r="BG3729" t="e" vm="2">
        <f t="shared" si="315"/>
        <v>#VALUE!</v>
      </c>
      <c r="BM3729">
        <f t="shared" si="316"/>
        <v>1</v>
      </c>
      <c r="BN3729">
        <f t="shared" si="317"/>
        <v>1900</v>
      </c>
    </row>
    <row r="3730" spans="55:66" x14ac:dyDescent="0.2">
      <c r="BC3730" s="21" t="e" vm="1">
        <v>#REF!</v>
      </c>
      <c r="BD3730" t="e" vm="1">
        <v>#REF!</v>
      </c>
      <c r="BF3730" t="e" vm="2">
        <f t="shared" si="314"/>
        <v>#VALUE!</v>
      </c>
      <c r="BG3730" t="e" vm="2">
        <f t="shared" si="315"/>
        <v>#VALUE!</v>
      </c>
      <c r="BM3730">
        <f t="shared" si="316"/>
        <v>1</v>
      </c>
      <c r="BN3730">
        <f t="shared" si="317"/>
        <v>1900</v>
      </c>
    </row>
    <row r="3731" spans="55:66" x14ac:dyDescent="0.2">
      <c r="BC3731" s="21" t="e" vm="1">
        <v>#REF!</v>
      </c>
      <c r="BD3731" t="e" vm="1">
        <v>#REF!</v>
      </c>
      <c r="BF3731" t="e" vm="2">
        <f t="shared" si="314"/>
        <v>#VALUE!</v>
      </c>
      <c r="BG3731" t="e" vm="2">
        <f t="shared" si="315"/>
        <v>#VALUE!</v>
      </c>
      <c r="BM3731">
        <f t="shared" si="316"/>
        <v>1</v>
      </c>
      <c r="BN3731">
        <f t="shared" si="317"/>
        <v>1900</v>
      </c>
    </row>
    <row r="3732" spans="55:66" x14ac:dyDescent="0.2">
      <c r="BC3732" s="21" t="e" vm="1">
        <v>#REF!</v>
      </c>
      <c r="BD3732" t="e" vm="1">
        <v>#REF!</v>
      </c>
      <c r="BF3732" t="e" vm="2">
        <f t="shared" si="314"/>
        <v>#VALUE!</v>
      </c>
      <c r="BG3732" t="e" vm="2">
        <f t="shared" si="315"/>
        <v>#VALUE!</v>
      </c>
      <c r="BM3732">
        <f t="shared" si="316"/>
        <v>1</v>
      </c>
      <c r="BN3732">
        <f t="shared" si="317"/>
        <v>1900</v>
      </c>
    </row>
    <row r="3733" spans="55:66" x14ac:dyDescent="0.2">
      <c r="BC3733" s="21" t="e" vm="1">
        <v>#REF!</v>
      </c>
      <c r="BD3733" t="e" vm="1">
        <v>#REF!</v>
      </c>
      <c r="BF3733" t="e" vm="2">
        <f t="shared" si="314"/>
        <v>#VALUE!</v>
      </c>
      <c r="BG3733" t="e" vm="2">
        <f t="shared" si="315"/>
        <v>#VALUE!</v>
      </c>
      <c r="BM3733">
        <f t="shared" si="316"/>
        <v>1</v>
      </c>
      <c r="BN3733">
        <f t="shared" si="317"/>
        <v>1900</v>
      </c>
    </row>
    <row r="3734" spans="55:66" x14ac:dyDescent="0.2">
      <c r="BC3734" s="21" t="e" vm="1">
        <v>#REF!</v>
      </c>
      <c r="BD3734" t="e" vm="1">
        <v>#REF!</v>
      </c>
      <c r="BF3734" t="e" vm="2">
        <f t="shared" si="314"/>
        <v>#VALUE!</v>
      </c>
      <c r="BG3734" t="e" vm="2">
        <f t="shared" si="315"/>
        <v>#VALUE!</v>
      </c>
      <c r="BM3734">
        <f t="shared" si="316"/>
        <v>1</v>
      </c>
      <c r="BN3734">
        <f t="shared" si="317"/>
        <v>1900</v>
      </c>
    </row>
    <row r="3735" spans="55:66" x14ac:dyDescent="0.2">
      <c r="BC3735" s="21" t="e" vm="1">
        <v>#REF!</v>
      </c>
      <c r="BD3735" t="e" vm="1">
        <v>#REF!</v>
      </c>
      <c r="BF3735" t="e" vm="2">
        <f t="shared" si="314"/>
        <v>#VALUE!</v>
      </c>
      <c r="BG3735" t="e" vm="2">
        <f t="shared" si="315"/>
        <v>#VALUE!</v>
      </c>
      <c r="BM3735">
        <f t="shared" si="316"/>
        <v>1</v>
      </c>
      <c r="BN3735">
        <f t="shared" si="317"/>
        <v>1900</v>
      </c>
    </row>
    <row r="3736" spans="55:66" x14ac:dyDescent="0.2">
      <c r="BC3736" s="21" t="e" vm="1">
        <v>#REF!</v>
      </c>
      <c r="BD3736" t="e" vm="1">
        <v>#REF!</v>
      </c>
      <c r="BF3736" t="e" vm="2">
        <f t="shared" si="314"/>
        <v>#VALUE!</v>
      </c>
      <c r="BG3736" t="e" vm="2">
        <f t="shared" si="315"/>
        <v>#VALUE!</v>
      </c>
      <c r="BM3736">
        <f t="shared" si="316"/>
        <v>1</v>
      </c>
      <c r="BN3736">
        <f t="shared" si="317"/>
        <v>1900</v>
      </c>
    </row>
    <row r="3737" spans="55:66" x14ac:dyDescent="0.2">
      <c r="BC3737" s="21" t="e" vm="1">
        <v>#REF!</v>
      </c>
      <c r="BD3737" t="e" vm="1">
        <v>#REF!</v>
      </c>
      <c r="BF3737" t="e" vm="2">
        <f t="shared" si="314"/>
        <v>#VALUE!</v>
      </c>
      <c r="BG3737" t="e" vm="2">
        <f t="shared" si="315"/>
        <v>#VALUE!</v>
      </c>
      <c r="BM3737">
        <f t="shared" si="316"/>
        <v>1</v>
      </c>
      <c r="BN3737">
        <f t="shared" si="317"/>
        <v>1900</v>
      </c>
    </row>
    <row r="3738" spans="55:66" x14ac:dyDescent="0.2">
      <c r="BC3738" s="21" t="e" vm="1">
        <v>#REF!</v>
      </c>
      <c r="BD3738" t="e" vm="1">
        <v>#REF!</v>
      </c>
      <c r="BF3738" t="e" vm="2">
        <f t="shared" si="314"/>
        <v>#VALUE!</v>
      </c>
      <c r="BG3738" t="e" vm="2">
        <f t="shared" si="315"/>
        <v>#VALUE!</v>
      </c>
      <c r="BM3738">
        <f t="shared" si="316"/>
        <v>1</v>
      </c>
      <c r="BN3738">
        <f t="shared" si="317"/>
        <v>1900</v>
      </c>
    </row>
    <row r="3739" spans="55:66" x14ac:dyDescent="0.2">
      <c r="BC3739" s="21" t="e" vm="1">
        <v>#REF!</v>
      </c>
      <c r="BD3739" t="e" vm="1">
        <v>#REF!</v>
      </c>
      <c r="BF3739" t="e" vm="2">
        <f t="shared" si="314"/>
        <v>#VALUE!</v>
      </c>
      <c r="BG3739" t="e" vm="2">
        <f t="shared" si="315"/>
        <v>#VALUE!</v>
      </c>
      <c r="BM3739">
        <f t="shared" si="316"/>
        <v>1</v>
      </c>
      <c r="BN3739">
        <f t="shared" si="317"/>
        <v>1900</v>
      </c>
    </row>
    <row r="3740" spans="55:66" x14ac:dyDescent="0.2">
      <c r="BC3740" s="21" t="e" vm="1">
        <v>#REF!</v>
      </c>
      <c r="BD3740" t="e" vm="1">
        <v>#REF!</v>
      </c>
      <c r="BF3740" t="e" vm="2">
        <f t="shared" si="314"/>
        <v>#VALUE!</v>
      </c>
      <c r="BG3740" t="e" vm="2">
        <f t="shared" si="315"/>
        <v>#VALUE!</v>
      </c>
      <c r="BM3740">
        <f t="shared" si="316"/>
        <v>1</v>
      </c>
      <c r="BN3740">
        <f t="shared" si="317"/>
        <v>1900</v>
      </c>
    </row>
    <row r="3741" spans="55:66" x14ac:dyDescent="0.2">
      <c r="BC3741" s="21" t="e" vm="1">
        <v>#REF!</v>
      </c>
      <c r="BD3741" t="e" vm="1">
        <v>#REF!</v>
      </c>
      <c r="BF3741" t="e" vm="2">
        <f t="shared" si="314"/>
        <v>#VALUE!</v>
      </c>
      <c r="BG3741" t="e" vm="2">
        <f t="shared" si="315"/>
        <v>#VALUE!</v>
      </c>
      <c r="BM3741">
        <f t="shared" si="316"/>
        <v>1</v>
      </c>
      <c r="BN3741">
        <f t="shared" si="317"/>
        <v>1900</v>
      </c>
    </row>
    <row r="3742" spans="55:66" x14ac:dyDescent="0.2">
      <c r="BC3742" s="21" t="e" vm="1">
        <v>#REF!</v>
      </c>
      <c r="BD3742" t="e" vm="1">
        <v>#REF!</v>
      </c>
      <c r="BF3742" t="e" vm="2">
        <f t="shared" si="314"/>
        <v>#VALUE!</v>
      </c>
      <c r="BG3742" t="e" vm="2">
        <f t="shared" si="315"/>
        <v>#VALUE!</v>
      </c>
      <c r="BM3742">
        <f t="shared" si="316"/>
        <v>1</v>
      </c>
      <c r="BN3742">
        <f t="shared" si="317"/>
        <v>1900</v>
      </c>
    </row>
    <row r="3743" spans="55:66" x14ac:dyDescent="0.2">
      <c r="BC3743" s="21" t="e" vm="1">
        <v>#REF!</v>
      </c>
      <c r="BD3743" t="e" vm="1">
        <v>#REF!</v>
      </c>
      <c r="BF3743" t="e" vm="2">
        <f t="shared" si="314"/>
        <v>#VALUE!</v>
      </c>
      <c r="BG3743" t="e" vm="2">
        <f t="shared" si="315"/>
        <v>#VALUE!</v>
      </c>
      <c r="BM3743">
        <f t="shared" si="316"/>
        <v>1</v>
      </c>
      <c r="BN3743">
        <f t="shared" si="317"/>
        <v>1900</v>
      </c>
    </row>
    <row r="3744" spans="55:66" x14ac:dyDescent="0.2">
      <c r="BC3744" s="21" t="e" vm="1">
        <v>#REF!</v>
      </c>
      <c r="BD3744" t="e" vm="1">
        <v>#REF!</v>
      </c>
      <c r="BF3744" t="e" vm="2">
        <f t="shared" si="314"/>
        <v>#VALUE!</v>
      </c>
      <c r="BG3744" t="e" vm="2">
        <f t="shared" si="315"/>
        <v>#VALUE!</v>
      </c>
      <c r="BM3744">
        <f t="shared" si="316"/>
        <v>1</v>
      </c>
      <c r="BN3744">
        <f t="shared" si="317"/>
        <v>1900</v>
      </c>
    </row>
    <row r="3745" spans="55:66" x14ac:dyDescent="0.2">
      <c r="BC3745" s="21" t="e" vm="1">
        <v>#REF!</v>
      </c>
      <c r="BD3745" t="e" vm="1">
        <v>#REF!</v>
      </c>
      <c r="BF3745" t="e" vm="2">
        <f t="shared" si="314"/>
        <v>#VALUE!</v>
      </c>
      <c r="BG3745" t="e" vm="2">
        <f t="shared" si="315"/>
        <v>#VALUE!</v>
      </c>
      <c r="BM3745">
        <f t="shared" si="316"/>
        <v>1</v>
      </c>
      <c r="BN3745">
        <f t="shared" si="317"/>
        <v>1900</v>
      </c>
    </row>
    <row r="3746" spans="55:66" x14ac:dyDescent="0.2">
      <c r="BC3746" s="21" t="e" vm="1">
        <v>#REF!</v>
      </c>
      <c r="BD3746" t="e" vm="1">
        <v>#REF!</v>
      </c>
      <c r="BF3746" t="e" vm="2">
        <f t="shared" si="314"/>
        <v>#VALUE!</v>
      </c>
      <c r="BG3746" t="e" vm="2">
        <f t="shared" si="315"/>
        <v>#VALUE!</v>
      </c>
      <c r="BM3746">
        <f t="shared" si="316"/>
        <v>1</v>
      </c>
      <c r="BN3746">
        <f t="shared" si="317"/>
        <v>1900</v>
      </c>
    </row>
    <row r="3747" spans="55:66" x14ac:dyDescent="0.2">
      <c r="BC3747" s="21" t="e" vm="1">
        <v>#REF!</v>
      </c>
      <c r="BD3747" t="e" vm="1">
        <v>#REF!</v>
      </c>
      <c r="BF3747" t="e" vm="2">
        <f t="shared" si="314"/>
        <v>#VALUE!</v>
      </c>
      <c r="BG3747" t="e" vm="2">
        <f t="shared" si="315"/>
        <v>#VALUE!</v>
      </c>
      <c r="BM3747">
        <f t="shared" si="316"/>
        <v>1</v>
      </c>
      <c r="BN3747">
        <f t="shared" si="317"/>
        <v>1900</v>
      </c>
    </row>
    <row r="3748" spans="55:66" x14ac:dyDescent="0.2">
      <c r="BC3748" s="21" t="e" vm="1">
        <v>#REF!</v>
      </c>
      <c r="BD3748" t="e" vm="1">
        <v>#REF!</v>
      </c>
      <c r="BF3748" t="e" vm="2">
        <f t="shared" si="314"/>
        <v>#VALUE!</v>
      </c>
      <c r="BG3748" t="e" vm="2">
        <f t="shared" si="315"/>
        <v>#VALUE!</v>
      </c>
      <c r="BM3748">
        <f t="shared" si="316"/>
        <v>1</v>
      </c>
      <c r="BN3748">
        <f t="shared" si="317"/>
        <v>1900</v>
      </c>
    </row>
    <row r="3749" spans="55:66" x14ac:dyDescent="0.2">
      <c r="BC3749" s="21" t="e" vm="1">
        <v>#REF!</v>
      </c>
      <c r="BD3749" t="e" vm="1">
        <v>#REF!</v>
      </c>
      <c r="BF3749" t="e" vm="2">
        <f t="shared" si="314"/>
        <v>#VALUE!</v>
      </c>
      <c r="BG3749" t="e" vm="2">
        <f t="shared" si="315"/>
        <v>#VALUE!</v>
      </c>
      <c r="BM3749">
        <f t="shared" si="316"/>
        <v>1</v>
      </c>
      <c r="BN3749">
        <f t="shared" si="317"/>
        <v>1900</v>
      </c>
    </row>
    <row r="3750" spans="55:66" x14ac:dyDescent="0.2">
      <c r="BC3750" s="21" t="e" vm="1">
        <v>#REF!</v>
      </c>
      <c r="BD3750" t="e" vm="1">
        <v>#REF!</v>
      </c>
      <c r="BF3750" t="e" vm="2">
        <f t="shared" si="314"/>
        <v>#VALUE!</v>
      </c>
      <c r="BG3750" t="e" vm="2">
        <f t="shared" si="315"/>
        <v>#VALUE!</v>
      </c>
      <c r="BM3750">
        <f t="shared" si="316"/>
        <v>1</v>
      </c>
      <c r="BN3750">
        <f t="shared" si="317"/>
        <v>1900</v>
      </c>
    </row>
    <row r="3751" spans="55:66" x14ac:dyDescent="0.2">
      <c r="BC3751" s="21" t="e" vm="1">
        <v>#REF!</v>
      </c>
      <c r="BD3751" t="e" vm="1">
        <v>#REF!</v>
      </c>
      <c r="BF3751" t="e" vm="2">
        <f t="shared" si="314"/>
        <v>#VALUE!</v>
      </c>
      <c r="BG3751" t="e" vm="2">
        <f t="shared" si="315"/>
        <v>#VALUE!</v>
      </c>
      <c r="BM3751">
        <f t="shared" si="316"/>
        <v>1</v>
      </c>
      <c r="BN3751">
        <f t="shared" si="317"/>
        <v>1900</v>
      </c>
    </row>
    <row r="3752" spans="55:66" x14ac:dyDescent="0.2">
      <c r="BC3752" s="21" t="e" vm="1">
        <v>#REF!</v>
      </c>
      <c r="BD3752" t="e" vm="1">
        <v>#REF!</v>
      </c>
      <c r="BF3752" t="e" vm="2">
        <f t="shared" si="314"/>
        <v>#VALUE!</v>
      </c>
      <c r="BG3752" t="e" vm="2">
        <f t="shared" si="315"/>
        <v>#VALUE!</v>
      </c>
      <c r="BM3752">
        <f t="shared" si="316"/>
        <v>1</v>
      </c>
      <c r="BN3752">
        <f t="shared" si="317"/>
        <v>1900</v>
      </c>
    </row>
    <row r="3753" spans="55:66" x14ac:dyDescent="0.2">
      <c r="BC3753" s="21" t="e" vm="1">
        <v>#REF!</v>
      </c>
      <c r="BD3753" t="e" vm="1">
        <v>#REF!</v>
      </c>
      <c r="BF3753" t="e" vm="2">
        <f t="shared" si="314"/>
        <v>#VALUE!</v>
      </c>
      <c r="BG3753" t="e" vm="2">
        <f t="shared" si="315"/>
        <v>#VALUE!</v>
      </c>
      <c r="BM3753">
        <f t="shared" si="316"/>
        <v>1</v>
      </c>
      <c r="BN3753">
        <f t="shared" si="317"/>
        <v>1900</v>
      </c>
    </row>
    <row r="3754" spans="55:66" x14ac:dyDescent="0.2">
      <c r="BC3754" s="21" t="e" vm="1">
        <v>#REF!</v>
      </c>
      <c r="BD3754" t="e" vm="1">
        <v>#REF!</v>
      </c>
      <c r="BF3754" t="e" vm="2">
        <f t="shared" si="314"/>
        <v>#VALUE!</v>
      </c>
      <c r="BG3754" t="e" vm="2">
        <f t="shared" si="315"/>
        <v>#VALUE!</v>
      </c>
      <c r="BM3754">
        <f t="shared" si="316"/>
        <v>1</v>
      </c>
      <c r="BN3754">
        <f t="shared" si="317"/>
        <v>1900</v>
      </c>
    </row>
    <row r="3755" spans="55:66" x14ac:dyDescent="0.2">
      <c r="BC3755" s="21" t="e" vm="1">
        <v>#REF!</v>
      </c>
      <c r="BD3755" t="e" vm="1">
        <v>#REF!</v>
      </c>
      <c r="BF3755" t="e" vm="2">
        <f t="shared" si="314"/>
        <v>#VALUE!</v>
      </c>
      <c r="BG3755" t="e" vm="2">
        <f t="shared" si="315"/>
        <v>#VALUE!</v>
      </c>
      <c r="BM3755">
        <f t="shared" si="316"/>
        <v>1</v>
      </c>
      <c r="BN3755">
        <f t="shared" si="317"/>
        <v>1900</v>
      </c>
    </row>
    <row r="3756" spans="55:66" x14ac:dyDescent="0.2">
      <c r="BC3756" s="21" t="e" vm="1">
        <v>#REF!</v>
      </c>
      <c r="BD3756" t="e" vm="1">
        <v>#REF!</v>
      </c>
      <c r="BF3756" t="e" vm="2">
        <f t="shared" si="314"/>
        <v>#VALUE!</v>
      </c>
      <c r="BG3756" t="e" vm="2">
        <f t="shared" si="315"/>
        <v>#VALUE!</v>
      </c>
      <c r="BM3756">
        <f t="shared" si="316"/>
        <v>1</v>
      </c>
      <c r="BN3756">
        <f t="shared" si="317"/>
        <v>1900</v>
      </c>
    </row>
    <row r="3757" spans="55:66" x14ac:dyDescent="0.2">
      <c r="BC3757" s="21" t="e" vm="1">
        <v>#REF!</v>
      </c>
      <c r="BD3757" t="e" vm="1">
        <v>#REF!</v>
      </c>
      <c r="BF3757" t="e" vm="2">
        <f t="shared" si="314"/>
        <v>#VALUE!</v>
      </c>
      <c r="BG3757" t="e" vm="2">
        <f t="shared" si="315"/>
        <v>#VALUE!</v>
      </c>
      <c r="BM3757">
        <f t="shared" si="316"/>
        <v>1</v>
      </c>
      <c r="BN3757">
        <f t="shared" si="317"/>
        <v>1900</v>
      </c>
    </row>
    <row r="3758" spans="55:66" x14ac:dyDescent="0.2">
      <c r="BC3758" s="21" t="e" vm="1">
        <v>#REF!</v>
      </c>
      <c r="BD3758" t="e" vm="1">
        <v>#REF!</v>
      </c>
      <c r="BF3758" t="e" vm="2">
        <f t="shared" si="314"/>
        <v>#VALUE!</v>
      </c>
      <c r="BG3758" t="e" vm="2">
        <f t="shared" si="315"/>
        <v>#VALUE!</v>
      </c>
      <c r="BM3758">
        <f t="shared" si="316"/>
        <v>1</v>
      </c>
      <c r="BN3758">
        <f t="shared" si="317"/>
        <v>1900</v>
      </c>
    </row>
    <row r="3759" spans="55:66" x14ac:dyDescent="0.2">
      <c r="BC3759" s="21" t="e" vm="1">
        <v>#REF!</v>
      </c>
      <c r="BD3759" t="e" vm="1">
        <v>#REF!</v>
      </c>
      <c r="BF3759" t="e" vm="2">
        <f t="shared" si="314"/>
        <v>#VALUE!</v>
      </c>
      <c r="BG3759" t="e" vm="2">
        <f t="shared" si="315"/>
        <v>#VALUE!</v>
      </c>
      <c r="BM3759">
        <f t="shared" si="316"/>
        <v>1</v>
      </c>
      <c r="BN3759">
        <f t="shared" si="317"/>
        <v>1900</v>
      </c>
    </row>
    <row r="3760" spans="55:66" x14ac:dyDescent="0.2">
      <c r="BC3760" s="21" t="e" vm="1">
        <v>#REF!</v>
      </c>
      <c r="BD3760" t="e" vm="1">
        <v>#REF!</v>
      </c>
      <c r="BF3760" t="e" vm="2">
        <f t="shared" si="314"/>
        <v>#VALUE!</v>
      </c>
      <c r="BG3760" t="e" vm="2">
        <f t="shared" si="315"/>
        <v>#VALUE!</v>
      </c>
      <c r="BM3760">
        <f t="shared" si="316"/>
        <v>1</v>
      </c>
      <c r="BN3760">
        <f t="shared" si="317"/>
        <v>1900</v>
      </c>
    </row>
    <row r="3761" spans="55:66" x14ac:dyDescent="0.2">
      <c r="BC3761" s="21" t="e" vm="1">
        <v>#REF!</v>
      </c>
      <c r="BD3761" t="e" vm="1">
        <v>#REF!</v>
      </c>
      <c r="BF3761" t="e" vm="2">
        <f t="shared" si="314"/>
        <v>#VALUE!</v>
      </c>
      <c r="BG3761" t="e" vm="2">
        <f t="shared" si="315"/>
        <v>#VALUE!</v>
      </c>
      <c r="BM3761">
        <f t="shared" si="316"/>
        <v>1</v>
      </c>
      <c r="BN3761">
        <f t="shared" si="317"/>
        <v>1900</v>
      </c>
    </row>
    <row r="3762" spans="55:66" x14ac:dyDescent="0.2">
      <c r="BC3762" s="21" t="e" vm="1">
        <v>#REF!</v>
      </c>
      <c r="BD3762" t="e" vm="1">
        <v>#REF!</v>
      </c>
      <c r="BF3762" t="e" vm="2">
        <f t="shared" si="314"/>
        <v>#VALUE!</v>
      </c>
      <c r="BG3762" t="e" vm="2">
        <f t="shared" si="315"/>
        <v>#VALUE!</v>
      </c>
      <c r="BM3762">
        <f t="shared" si="316"/>
        <v>1</v>
      </c>
      <c r="BN3762">
        <f t="shared" si="317"/>
        <v>1900</v>
      </c>
    </row>
    <row r="3763" spans="55:66" x14ac:dyDescent="0.2">
      <c r="BC3763" s="21" t="e" vm="1">
        <v>#REF!</v>
      </c>
      <c r="BD3763" t="e" vm="1">
        <v>#REF!</v>
      </c>
      <c r="BF3763" t="e" vm="2">
        <f t="shared" si="314"/>
        <v>#VALUE!</v>
      </c>
      <c r="BG3763" t="e" vm="2">
        <f t="shared" si="315"/>
        <v>#VALUE!</v>
      </c>
      <c r="BM3763">
        <f t="shared" si="316"/>
        <v>1</v>
      </c>
      <c r="BN3763">
        <f t="shared" si="317"/>
        <v>1900</v>
      </c>
    </row>
    <row r="3764" spans="55:66" x14ac:dyDescent="0.2">
      <c r="BC3764" s="21" t="e" vm="1">
        <v>#REF!</v>
      </c>
      <c r="BD3764" t="e" vm="1">
        <v>#REF!</v>
      </c>
      <c r="BF3764" t="e" vm="2">
        <f t="shared" si="314"/>
        <v>#VALUE!</v>
      </c>
      <c r="BG3764" t="e" vm="2">
        <f t="shared" si="315"/>
        <v>#VALUE!</v>
      </c>
      <c r="BM3764">
        <f t="shared" si="316"/>
        <v>1</v>
      </c>
      <c r="BN3764">
        <f t="shared" si="317"/>
        <v>1900</v>
      </c>
    </row>
    <row r="3765" spans="55:66" x14ac:dyDescent="0.2">
      <c r="BC3765" s="21" t="e" vm="1">
        <v>#REF!</v>
      </c>
      <c r="BD3765" t="e" vm="1">
        <v>#REF!</v>
      </c>
      <c r="BF3765" t="e" vm="2">
        <f t="shared" si="314"/>
        <v>#VALUE!</v>
      </c>
      <c r="BG3765" t="e" vm="2">
        <f t="shared" si="315"/>
        <v>#VALUE!</v>
      </c>
      <c r="BM3765">
        <f t="shared" si="316"/>
        <v>1</v>
      </c>
      <c r="BN3765">
        <f t="shared" si="317"/>
        <v>1900</v>
      </c>
    </row>
    <row r="3766" spans="55:66" x14ac:dyDescent="0.2">
      <c r="BC3766" s="21" t="e" vm="1">
        <v>#REF!</v>
      </c>
      <c r="BD3766" t="e" vm="1">
        <v>#REF!</v>
      </c>
      <c r="BF3766" t="e" vm="2">
        <f t="shared" si="314"/>
        <v>#VALUE!</v>
      </c>
      <c r="BG3766" t="e" vm="2">
        <f t="shared" si="315"/>
        <v>#VALUE!</v>
      </c>
      <c r="BM3766">
        <f t="shared" si="316"/>
        <v>1</v>
      </c>
      <c r="BN3766">
        <f t="shared" si="317"/>
        <v>1900</v>
      </c>
    </row>
    <row r="3767" spans="55:66" x14ac:dyDescent="0.2">
      <c r="BC3767" s="21" t="e" vm="1">
        <v>#REF!</v>
      </c>
      <c r="BD3767" t="e" vm="1">
        <v>#REF!</v>
      </c>
      <c r="BF3767" t="e" vm="2">
        <f t="shared" si="314"/>
        <v>#VALUE!</v>
      </c>
      <c r="BG3767" t="e" vm="2">
        <f t="shared" si="315"/>
        <v>#VALUE!</v>
      </c>
      <c r="BM3767">
        <f t="shared" si="316"/>
        <v>1</v>
      </c>
      <c r="BN3767">
        <f t="shared" si="317"/>
        <v>1900</v>
      </c>
    </row>
    <row r="3768" spans="55:66" x14ac:dyDescent="0.2">
      <c r="BC3768" s="21" t="e" vm="1">
        <v>#REF!</v>
      </c>
      <c r="BD3768" t="e" vm="1">
        <v>#REF!</v>
      </c>
      <c r="BF3768" t="e" vm="2">
        <f t="shared" si="314"/>
        <v>#VALUE!</v>
      </c>
      <c r="BG3768" t="e" vm="2">
        <f t="shared" si="315"/>
        <v>#VALUE!</v>
      </c>
      <c r="BM3768">
        <f t="shared" si="316"/>
        <v>1</v>
      </c>
      <c r="BN3768">
        <f t="shared" si="317"/>
        <v>1900</v>
      </c>
    </row>
    <row r="3769" spans="55:66" x14ac:dyDescent="0.2">
      <c r="BC3769" s="21" t="e" vm="1">
        <v>#REF!</v>
      </c>
      <c r="BD3769" t="e" vm="1">
        <v>#REF!</v>
      </c>
      <c r="BF3769" t="e" vm="2">
        <f t="shared" si="314"/>
        <v>#VALUE!</v>
      </c>
      <c r="BG3769" t="e" vm="2">
        <f t="shared" si="315"/>
        <v>#VALUE!</v>
      </c>
      <c r="BM3769">
        <f t="shared" si="316"/>
        <v>1</v>
      </c>
      <c r="BN3769">
        <f t="shared" si="317"/>
        <v>1900</v>
      </c>
    </row>
    <row r="3770" spans="55:66" x14ac:dyDescent="0.2">
      <c r="BC3770" s="21" t="e" vm="1">
        <v>#REF!</v>
      </c>
      <c r="BD3770" t="e" vm="1">
        <v>#REF!</v>
      </c>
      <c r="BF3770" t="e" vm="2">
        <f t="shared" si="314"/>
        <v>#VALUE!</v>
      </c>
      <c r="BG3770" t="e" vm="2">
        <f t="shared" si="315"/>
        <v>#VALUE!</v>
      </c>
      <c r="BM3770">
        <f t="shared" si="316"/>
        <v>1</v>
      </c>
      <c r="BN3770">
        <f t="shared" si="317"/>
        <v>1900</v>
      </c>
    </row>
    <row r="3771" spans="55:66" x14ac:dyDescent="0.2">
      <c r="BC3771" s="21" t="e" vm="1">
        <v>#REF!</v>
      </c>
      <c r="BD3771" t="e" vm="1">
        <v>#REF!</v>
      </c>
      <c r="BF3771" t="e" vm="2">
        <f t="shared" si="314"/>
        <v>#VALUE!</v>
      </c>
      <c r="BG3771" t="e" vm="2">
        <f t="shared" si="315"/>
        <v>#VALUE!</v>
      </c>
      <c r="BM3771">
        <f t="shared" si="316"/>
        <v>1</v>
      </c>
      <c r="BN3771">
        <f t="shared" si="317"/>
        <v>1900</v>
      </c>
    </row>
    <row r="3772" spans="55:66" x14ac:dyDescent="0.2">
      <c r="BC3772" s="21" t="e" vm="1">
        <v>#REF!</v>
      </c>
      <c r="BD3772" t="e" vm="1">
        <v>#REF!</v>
      </c>
      <c r="BF3772" t="e" vm="2">
        <f t="shared" si="314"/>
        <v>#VALUE!</v>
      </c>
      <c r="BG3772" t="e" vm="2">
        <f t="shared" si="315"/>
        <v>#VALUE!</v>
      </c>
      <c r="BM3772">
        <f t="shared" si="316"/>
        <v>1</v>
      </c>
      <c r="BN3772">
        <f t="shared" si="317"/>
        <v>1900</v>
      </c>
    </row>
    <row r="3773" spans="55:66" x14ac:dyDescent="0.2">
      <c r="BC3773" s="21" t="e" vm="1">
        <v>#REF!</v>
      </c>
      <c r="BD3773" t="e" vm="1">
        <v>#REF!</v>
      </c>
      <c r="BF3773" t="e" vm="2">
        <f t="shared" si="314"/>
        <v>#VALUE!</v>
      </c>
      <c r="BG3773" t="e" vm="2">
        <f t="shared" si="315"/>
        <v>#VALUE!</v>
      </c>
      <c r="BM3773">
        <f t="shared" si="316"/>
        <v>1</v>
      </c>
      <c r="BN3773">
        <f t="shared" si="317"/>
        <v>1900</v>
      </c>
    </row>
    <row r="3774" spans="55:66" x14ac:dyDescent="0.2">
      <c r="BC3774" s="21" t="e" vm="1">
        <v>#REF!</v>
      </c>
      <c r="BD3774" t="e" vm="1">
        <v>#REF!</v>
      </c>
      <c r="BF3774" t="e" vm="2">
        <f t="shared" si="314"/>
        <v>#VALUE!</v>
      </c>
      <c r="BG3774" t="e" vm="2">
        <f t="shared" si="315"/>
        <v>#VALUE!</v>
      </c>
      <c r="BM3774">
        <f t="shared" si="316"/>
        <v>1</v>
      </c>
      <c r="BN3774">
        <f t="shared" si="317"/>
        <v>1900</v>
      </c>
    </row>
    <row r="3775" spans="55:66" x14ac:dyDescent="0.2">
      <c r="BC3775" s="21" t="e" vm="1">
        <v>#REF!</v>
      </c>
      <c r="BD3775" t="e" vm="1">
        <v>#REF!</v>
      </c>
      <c r="BF3775" t="e" vm="2">
        <f t="shared" si="314"/>
        <v>#VALUE!</v>
      </c>
      <c r="BG3775" t="e" vm="2">
        <f t="shared" si="315"/>
        <v>#VALUE!</v>
      </c>
      <c r="BM3775">
        <f t="shared" si="316"/>
        <v>1</v>
      </c>
      <c r="BN3775">
        <f t="shared" si="317"/>
        <v>1900</v>
      </c>
    </row>
    <row r="3776" spans="55:66" x14ac:dyDescent="0.2">
      <c r="BC3776" s="21" t="e" vm="1">
        <v>#REF!</v>
      </c>
      <c r="BD3776" t="e" vm="1">
        <v>#REF!</v>
      </c>
      <c r="BF3776" t="e" vm="2">
        <f t="shared" si="314"/>
        <v>#VALUE!</v>
      </c>
      <c r="BG3776" t="e" vm="2">
        <f t="shared" si="315"/>
        <v>#VALUE!</v>
      </c>
      <c r="BM3776">
        <f t="shared" si="316"/>
        <v>1</v>
      </c>
      <c r="BN3776">
        <f t="shared" si="317"/>
        <v>1900</v>
      </c>
    </row>
    <row r="3777" spans="55:66" x14ac:dyDescent="0.2">
      <c r="BC3777" s="21" t="e" vm="1">
        <v>#REF!</v>
      </c>
      <c r="BD3777" t="e" vm="1">
        <v>#REF!</v>
      </c>
      <c r="BF3777" t="e" vm="2">
        <f t="shared" si="314"/>
        <v>#VALUE!</v>
      </c>
      <c r="BG3777" t="e" vm="2">
        <f t="shared" si="315"/>
        <v>#VALUE!</v>
      </c>
      <c r="BM3777">
        <f t="shared" si="316"/>
        <v>1</v>
      </c>
      <c r="BN3777">
        <f t="shared" si="317"/>
        <v>1900</v>
      </c>
    </row>
    <row r="3778" spans="55:66" x14ac:dyDescent="0.2">
      <c r="BC3778" s="21" t="e" vm="1">
        <v>#REF!</v>
      </c>
      <c r="BD3778" t="e" vm="1">
        <v>#REF!</v>
      </c>
      <c r="BF3778" t="e" vm="2">
        <f t="shared" si="314"/>
        <v>#VALUE!</v>
      </c>
      <c r="BG3778" t="e" vm="2">
        <f t="shared" si="315"/>
        <v>#VALUE!</v>
      </c>
      <c r="BM3778">
        <f t="shared" si="316"/>
        <v>1</v>
      </c>
      <c r="BN3778">
        <f t="shared" si="317"/>
        <v>1900</v>
      </c>
    </row>
    <row r="3779" spans="55:66" x14ac:dyDescent="0.2">
      <c r="BC3779" s="21" t="e" vm="1">
        <v>#REF!</v>
      </c>
      <c r="BD3779" t="e" vm="1">
        <v>#REF!</v>
      </c>
      <c r="BF3779" t="e" vm="2">
        <f t="shared" ref="BF3779:BF3842" si="318">MONTH(BC3779)</f>
        <v>#VALUE!</v>
      </c>
      <c r="BG3779" t="e" vm="2">
        <f t="shared" ref="BG3779:BG3842" si="319">YEAR(BC3779)</f>
        <v>#VALUE!</v>
      </c>
      <c r="BM3779">
        <f t="shared" si="316"/>
        <v>1</v>
      </c>
      <c r="BN3779">
        <f t="shared" si="317"/>
        <v>1900</v>
      </c>
    </row>
    <row r="3780" spans="55:66" x14ac:dyDescent="0.2">
      <c r="BC3780" s="21" t="e" vm="1">
        <v>#REF!</v>
      </c>
      <c r="BD3780" t="e" vm="1">
        <v>#REF!</v>
      </c>
      <c r="BF3780" t="e" vm="2">
        <f t="shared" si="318"/>
        <v>#VALUE!</v>
      </c>
      <c r="BG3780" t="e" vm="2">
        <f t="shared" si="319"/>
        <v>#VALUE!</v>
      </c>
      <c r="BM3780">
        <f t="shared" ref="BM3780:BM3843" si="320">MONTH(BJ3780)</f>
        <v>1</v>
      </c>
      <c r="BN3780">
        <f t="shared" ref="BN3780:BN3843" si="321">YEAR(BJ3780)</f>
        <v>1900</v>
      </c>
    </row>
    <row r="3781" spans="55:66" x14ac:dyDescent="0.2">
      <c r="BC3781" s="21" t="e" vm="1">
        <v>#REF!</v>
      </c>
      <c r="BD3781" t="e" vm="1">
        <v>#REF!</v>
      </c>
      <c r="BF3781" t="e" vm="2">
        <f t="shared" si="318"/>
        <v>#VALUE!</v>
      </c>
      <c r="BG3781" t="e" vm="2">
        <f t="shared" si="319"/>
        <v>#VALUE!</v>
      </c>
      <c r="BM3781">
        <f t="shared" si="320"/>
        <v>1</v>
      </c>
      <c r="BN3781">
        <f t="shared" si="321"/>
        <v>1900</v>
      </c>
    </row>
    <row r="3782" spans="55:66" x14ac:dyDescent="0.2">
      <c r="BC3782" s="21" t="e" vm="1">
        <v>#REF!</v>
      </c>
      <c r="BD3782" t="e" vm="1">
        <v>#REF!</v>
      </c>
      <c r="BF3782" t="e" vm="2">
        <f t="shared" si="318"/>
        <v>#VALUE!</v>
      </c>
      <c r="BG3782" t="e" vm="2">
        <f t="shared" si="319"/>
        <v>#VALUE!</v>
      </c>
      <c r="BM3782">
        <f t="shared" si="320"/>
        <v>1</v>
      </c>
      <c r="BN3782">
        <f t="shared" si="321"/>
        <v>1900</v>
      </c>
    </row>
    <row r="3783" spans="55:66" x14ac:dyDescent="0.2">
      <c r="BC3783" s="21" t="e" vm="1">
        <v>#REF!</v>
      </c>
      <c r="BD3783" t="e" vm="1">
        <v>#REF!</v>
      </c>
      <c r="BF3783" t="e" vm="2">
        <f t="shared" si="318"/>
        <v>#VALUE!</v>
      </c>
      <c r="BG3783" t="e" vm="2">
        <f t="shared" si="319"/>
        <v>#VALUE!</v>
      </c>
      <c r="BM3783">
        <f t="shared" si="320"/>
        <v>1</v>
      </c>
      <c r="BN3783">
        <f t="shared" si="321"/>
        <v>1900</v>
      </c>
    </row>
    <row r="3784" spans="55:66" x14ac:dyDescent="0.2">
      <c r="BC3784" s="21" t="e" vm="1">
        <v>#REF!</v>
      </c>
      <c r="BD3784" t="e" vm="1">
        <v>#REF!</v>
      </c>
      <c r="BF3784" t="e" vm="2">
        <f t="shared" si="318"/>
        <v>#VALUE!</v>
      </c>
      <c r="BG3784" t="e" vm="2">
        <f t="shared" si="319"/>
        <v>#VALUE!</v>
      </c>
      <c r="BM3784">
        <f t="shared" si="320"/>
        <v>1</v>
      </c>
      <c r="BN3784">
        <f t="shared" si="321"/>
        <v>1900</v>
      </c>
    </row>
    <row r="3785" spans="55:66" x14ac:dyDescent="0.2">
      <c r="BC3785" s="21" t="e" vm="1">
        <v>#REF!</v>
      </c>
      <c r="BD3785" t="e" vm="1">
        <v>#REF!</v>
      </c>
      <c r="BF3785" t="e" vm="2">
        <f t="shared" si="318"/>
        <v>#VALUE!</v>
      </c>
      <c r="BG3785" t="e" vm="2">
        <f t="shared" si="319"/>
        <v>#VALUE!</v>
      </c>
      <c r="BM3785">
        <f t="shared" si="320"/>
        <v>1</v>
      </c>
      <c r="BN3785">
        <f t="shared" si="321"/>
        <v>1900</v>
      </c>
    </row>
    <row r="3786" spans="55:66" x14ac:dyDescent="0.2">
      <c r="BC3786" s="21" t="e" vm="1">
        <v>#REF!</v>
      </c>
      <c r="BD3786" t="e" vm="1">
        <v>#REF!</v>
      </c>
      <c r="BF3786" t="e" vm="2">
        <f t="shared" si="318"/>
        <v>#VALUE!</v>
      </c>
      <c r="BG3786" t="e" vm="2">
        <f t="shared" si="319"/>
        <v>#VALUE!</v>
      </c>
      <c r="BM3786">
        <f t="shared" si="320"/>
        <v>1</v>
      </c>
      <c r="BN3786">
        <f t="shared" si="321"/>
        <v>1900</v>
      </c>
    </row>
    <row r="3787" spans="55:66" x14ac:dyDescent="0.2">
      <c r="BC3787" s="21" t="e" vm="1">
        <v>#REF!</v>
      </c>
      <c r="BD3787" t="e" vm="1">
        <v>#REF!</v>
      </c>
      <c r="BF3787" t="e" vm="2">
        <f t="shared" si="318"/>
        <v>#VALUE!</v>
      </c>
      <c r="BG3787" t="e" vm="2">
        <f t="shared" si="319"/>
        <v>#VALUE!</v>
      </c>
      <c r="BM3787">
        <f t="shared" si="320"/>
        <v>1</v>
      </c>
      <c r="BN3787">
        <f t="shared" si="321"/>
        <v>1900</v>
      </c>
    </row>
    <row r="3788" spans="55:66" x14ac:dyDescent="0.2">
      <c r="BC3788" s="21" t="e" vm="1">
        <v>#REF!</v>
      </c>
      <c r="BD3788" t="e" vm="1">
        <v>#REF!</v>
      </c>
      <c r="BF3788" t="e" vm="2">
        <f t="shared" si="318"/>
        <v>#VALUE!</v>
      </c>
      <c r="BG3788" t="e" vm="2">
        <f t="shared" si="319"/>
        <v>#VALUE!</v>
      </c>
      <c r="BM3788">
        <f t="shared" si="320"/>
        <v>1</v>
      </c>
      <c r="BN3788">
        <f t="shared" si="321"/>
        <v>1900</v>
      </c>
    </row>
    <row r="3789" spans="55:66" x14ac:dyDescent="0.2">
      <c r="BC3789" s="21" t="e" vm="1">
        <v>#REF!</v>
      </c>
      <c r="BD3789" t="e" vm="1">
        <v>#REF!</v>
      </c>
      <c r="BF3789" t="e" vm="2">
        <f t="shared" si="318"/>
        <v>#VALUE!</v>
      </c>
      <c r="BG3789" t="e" vm="2">
        <f t="shared" si="319"/>
        <v>#VALUE!</v>
      </c>
      <c r="BM3789">
        <f t="shared" si="320"/>
        <v>1</v>
      </c>
      <c r="BN3789">
        <f t="shared" si="321"/>
        <v>1900</v>
      </c>
    </row>
    <row r="3790" spans="55:66" x14ac:dyDescent="0.2">
      <c r="BC3790" s="21" t="e" vm="1">
        <v>#REF!</v>
      </c>
      <c r="BD3790" t="e" vm="1">
        <v>#REF!</v>
      </c>
      <c r="BF3790" t="e" vm="2">
        <f t="shared" si="318"/>
        <v>#VALUE!</v>
      </c>
      <c r="BG3790" t="e" vm="2">
        <f t="shared" si="319"/>
        <v>#VALUE!</v>
      </c>
      <c r="BM3790">
        <f t="shared" si="320"/>
        <v>1</v>
      </c>
      <c r="BN3790">
        <f t="shared" si="321"/>
        <v>1900</v>
      </c>
    </row>
    <row r="3791" spans="55:66" x14ac:dyDescent="0.2">
      <c r="BC3791" s="21" t="e" vm="1">
        <v>#REF!</v>
      </c>
      <c r="BD3791" t="e" vm="1">
        <v>#REF!</v>
      </c>
      <c r="BF3791" t="e" vm="2">
        <f t="shared" si="318"/>
        <v>#VALUE!</v>
      </c>
      <c r="BG3791" t="e" vm="2">
        <f t="shared" si="319"/>
        <v>#VALUE!</v>
      </c>
      <c r="BM3791">
        <f t="shared" si="320"/>
        <v>1</v>
      </c>
      <c r="BN3791">
        <f t="shared" si="321"/>
        <v>1900</v>
      </c>
    </row>
    <row r="3792" spans="55:66" x14ac:dyDescent="0.2">
      <c r="BC3792" s="21" t="e" vm="1">
        <v>#REF!</v>
      </c>
      <c r="BD3792" t="e" vm="1">
        <v>#REF!</v>
      </c>
      <c r="BF3792" t="e" vm="2">
        <f t="shared" si="318"/>
        <v>#VALUE!</v>
      </c>
      <c r="BG3792" t="e" vm="2">
        <f t="shared" si="319"/>
        <v>#VALUE!</v>
      </c>
      <c r="BM3792">
        <f t="shared" si="320"/>
        <v>1</v>
      </c>
      <c r="BN3792">
        <f t="shared" si="321"/>
        <v>1900</v>
      </c>
    </row>
    <row r="3793" spans="55:66" x14ac:dyDescent="0.2">
      <c r="BC3793" s="21" t="e" vm="1">
        <v>#REF!</v>
      </c>
      <c r="BD3793" t="e" vm="1">
        <v>#REF!</v>
      </c>
      <c r="BF3793" t="e" vm="2">
        <f t="shared" si="318"/>
        <v>#VALUE!</v>
      </c>
      <c r="BG3793" t="e" vm="2">
        <f t="shared" si="319"/>
        <v>#VALUE!</v>
      </c>
      <c r="BM3793">
        <f t="shared" si="320"/>
        <v>1</v>
      </c>
      <c r="BN3793">
        <f t="shared" si="321"/>
        <v>1900</v>
      </c>
    </row>
    <row r="3794" spans="55:66" x14ac:dyDescent="0.2">
      <c r="BC3794" s="21" t="e" vm="1">
        <v>#REF!</v>
      </c>
      <c r="BD3794" t="e" vm="1">
        <v>#REF!</v>
      </c>
      <c r="BF3794" t="e" vm="2">
        <f t="shared" si="318"/>
        <v>#VALUE!</v>
      </c>
      <c r="BG3794" t="e" vm="2">
        <f t="shared" si="319"/>
        <v>#VALUE!</v>
      </c>
      <c r="BM3794">
        <f t="shared" si="320"/>
        <v>1</v>
      </c>
      <c r="BN3794">
        <f t="shared" si="321"/>
        <v>1900</v>
      </c>
    </row>
    <row r="3795" spans="55:66" x14ac:dyDescent="0.2">
      <c r="BC3795" s="21" t="e" vm="1">
        <v>#REF!</v>
      </c>
      <c r="BD3795" t="e" vm="1">
        <v>#REF!</v>
      </c>
      <c r="BF3795" t="e" vm="2">
        <f t="shared" si="318"/>
        <v>#VALUE!</v>
      </c>
      <c r="BG3795" t="e" vm="2">
        <f t="shared" si="319"/>
        <v>#VALUE!</v>
      </c>
      <c r="BM3795">
        <f t="shared" si="320"/>
        <v>1</v>
      </c>
      <c r="BN3795">
        <f t="shared" si="321"/>
        <v>1900</v>
      </c>
    </row>
    <row r="3796" spans="55:66" x14ac:dyDescent="0.2">
      <c r="BC3796" s="21" t="e" vm="1">
        <v>#REF!</v>
      </c>
      <c r="BD3796" t="e" vm="1">
        <v>#REF!</v>
      </c>
      <c r="BF3796" t="e" vm="2">
        <f t="shared" si="318"/>
        <v>#VALUE!</v>
      </c>
      <c r="BG3796" t="e" vm="2">
        <f t="shared" si="319"/>
        <v>#VALUE!</v>
      </c>
      <c r="BM3796">
        <f t="shared" si="320"/>
        <v>1</v>
      </c>
      <c r="BN3796">
        <f t="shared" si="321"/>
        <v>1900</v>
      </c>
    </row>
    <row r="3797" spans="55:66" x14ac:dyDescent="0.2">
      <c r="BC3797" s="21" t="e" vm="1">
        <v>#REF!</v>
      </c>
      <c r="BD3797" t="e" vm="1">
        <v>#REF!</v>
      </c>
      <c r="BF3797" t="e" vm="2">
        <f t="shared" si="318"/>
        <v>#VALUE!</v>
      </c>
      <c r="BG3797" t="e" vm="2">
        <f t="shared" si="319"/>
        <v>#VALUE!</v>
      </c>
      <c r="BM3797">
        <f t="shared" si="320"/>
        <v>1</v>
      </c>
      <c r="BN3797">
        <f t="shared" si="321"/>
        <v>1900</v>
      </c>
    </row>
    <row r="3798" spans="55:66" x14ac:dyDescent="0.2">
      <c r="BC3798" s="21" t="e" vm="1">
        <v>#REF!</v>
      </c>
      <c r="BD3798" t="e" vm="1">
        <v>#REF!</v>
      </c>
      <c r="BF3798" t="e" vm="2">
        <f t="shared" si="318"/>
        <v>#VALUE!</v>
      </c>
      <c r="BG3798" t="e" vm="2">
        <f t="shared" si="319"/>
        <v>#VALUE!</v>
      </c>
      <c r="BM3798">
        <f t="shared" si="320"/>
        <v>1</v>
      </c>
      <c r="BN3798">
        <f t="shared" si="321"/>
        <v>1900</v>
      </c>
    </row>
    <row r="3799" spans="55:66" x14ac:dyDescent="0.2">
      <c r="BC3799" s="21" t="e" vm="1">
        <v>#REF!</v>
      </c>
      <c r="BD3799" t="e" vm="1">
        <v>#REF!</v>
      </c>
      <c r="BF3799" t="e" vm="2">
        <f t="shared" si="318"/>
        <v>#VALUE!</v>
      </c>
      <c r="BG3799" t="e" vm="2">
        <f t="shared" si="319"/>
        <v>#VALUE!</v>
      </c>
      <c r="BM3799">
        <f t="shared" si="320"/>
        <v>1</v>
      </c>
      <c r="BN3799">
        <f t="shared" si="321"/>
        <v>1900</v>
      </c>
    </row>
    <row r="3800" spans="55:66" x14ac:dyDescent="0.2">
      <c r="BC3800" s="21" t="e" vm="1">
        <v>#REF!</v>
      </c>
      <c r="BD3800" t="e" vm="1">
        <v>#REF!</v>
      </c>
      <c r="BF3800" t="e" vm="2">
        <f t="shared" si="318"/>
        <v>#VALUE!</v>
      </c>
      <c r="BG3800" t="e" vm="2">
        <f t="shared" si="319"/>
        <v>#VALUE!</v>
      </c>
      <c r="BM3800">
        <f t="shared" si="320"/>
        <v>1</v>
      </c>
      <c r="BN3800">
        <f t="shared" si="321"/>
        <v>1900</v>
      </c>
    </row>
    <row r="3801" spans="55:66" x14ac:dyDescent="0.2">
      <c r="BC3801" s="21" t="e" vm="1">
        <v>#REF!</v>
      </c>
      <c r="BD3801" t="e" vm="1">
        <v>#REF!</v>
      </c>
      <c r="BF3801" t="e" vm="2">
        <f t="shared" si="318"/>
        <v>#VALUE!</v>
      </c>
      <c r="BG3801" t="e" vm="2">
        <f t="shared" si="319"/>
        <v>#VALUE!</v>
      </c>
      <c r="BM3801">
        <f t="shared" si="320"/>
        <v>1</v>
      </c>
      <c r="BN3801">
        <f t="shared" si="321"/>
        <v>1900</v>
      </c>
    </row>
    <row r="3802" spans="55:66" x14ac:dyDescent="0.2">
      <c r="BC3802" s="21" t="e" vm="1">
        <v>#REF!</v>
      </c>
      <c r="BD3802" t="e" vm="1">
        <v>#REF!</v>
      </c>
      <c r="BF3802" t="e" vm="2">
        <f t="shared" si="318"/>
        <v>#VALUE!</v>
      </c>
      <c r="BG3802" t="e" vm="2">
        <f t="shared" si="319"/>
        <v>#VALUE!</v>
      </c>
      <c r="BM3802">
        <f t="shared" si="320"/>
        <v>1</v>
      </c>
      <c r="BN3802">
        <f t="shared" si="321"/>
        <v>1900</v>
      </c>
    </row>
    <row r="3803" spans="55:66" x14ac:dyDescent="0.2">
      <c r="BC3803" s="21" t="e" vm="1">
        <v>#REF!</v>
      </c>
      <c r="BD3803" t="e" vm="1">
        <v>#REF!</v>
      </c>
      <c r="BF3803" t="e" vm="2">
        <f t="shared" si="318"/>
        <v>#VALUE!</v>
      </c>
      <c r="BG3803" t="e" vm="2">
        <f t="shared" si="319"/>
        <v>#VALUE!</v>
      </c>
      <c r="BM3803">
        <f t="shared" si="320"/>
        <v>1</v>
      </c>
      <c r="BN3803">
        <f t="shared" si="321"/>
        <v>1900</v>
      </c>
    </row>
    <row r="3804" spans="55:66" x14ac:dyDescent="0.2">
      <c r="BC3804" s="21" t="e" vm="1">
        <v>#REF!</v>
      </c>
      <c r="BD3804" t="e" vm="1">
        <v>#REF!</v>
      </c>
      <c r="BF3804" t="e" vm="2">
        <f t="shared" si="318"/>
        <v>#VALUE!</v>
      </c>
      <c r="BG3804" t="e" vm="2">
        <f t="shared" si="319"/>
        <v>#VALUE!</v>
      </c>
      <c r="BM3804">
        <f t="shared" si="320"/>
        <v>1</v>
      </c>
      <c r="BN3804">
        <f t="shared" si="321"/>
        <v>1900</v>
      </c>
    </row>
    <row r="3805" spans="55:66" x14ac:dyDescent="0.2">
      <c r="BC3805" s="21" t="e" vm="1">
        <v>#REF!</v>
      </c>
      <c r="BD3805" t="e" vm="1">
        <v>#REF!</v>
      </c>
      <c r="BF3805" t="e" vm="2">
        <f t="shared" si="318"/>
        <v>#VALUE!</v>
      </c>
      <c r="BG3805" t="e" vm="2">
        <f t="shared" si="319"/>
        <v>#VALUE!</v>
      </c>
      <c r="BM3805">
        <f t="shared" si="320"/>
        <v>1</v>
      </c>
      <c r="BN3805">
        <f t="shared" si="321"/>
        <v>1900</v>
      </c>
    </row>
    <row r="3806" spans="55:66" x14ac:dyDescent="0.2">
      <c r="BC3806" s="21" t="e" vm="1">
        <v>#REF!</v>
      </c>
      <c r="BD3806" t="e" vm="1">
        <v>#REF!</v>
      </c>
      <c r="BF3806" t="e" vm="2">
        <f t="shared" si="318"/>
        <v>#VALUE!</v>
      </c>
      <c r="BG3806" t="e" vm="2">
        <f t="shared" si="319"/>
        <v>#VALUE!</v>
      </c>
      <c r="BM3806">
        <f t="shared" si="320"/>
        <v>1</v>
      </c>
      <c r="BN3806">
        <f t="shared" si="321"/>
        <v>1900</v>
      </c>
    </row>
    <row r="3807" spans="55:66" x14ac:dyDescent="0.2">
      <c r="BC3807" s="21" t="e" vm="1">
        <v>#REF!</v>
      </c>
      <c r="BD3807" t="e" vm="1">
        <v>#REF!</v>
      </c>
      <c r="BF3807" t="e" vm="2">
        <f t="shared" si="318"/>
        <v>#VALUE!</v>
      </c>
      <c r="BG3807" t="e" vm="2">
        <f t="shared" si="319"/>
        <v>#VALUE!</v>
      </c>
      <c r="BM3807">
        <f t="shared" si="320"/>
        <v>1</v>
      </c>
      <c r="BN3807">
        <f t="shared" si="321"/>
        <v>1900</v>
      </c>
    </row>
    <row r="3808" spans="55:66" x14ac:dyDescent="0.2">
      <c r="BC3808" s="21" t="e" vm="1">
        <v>#REF!</v>
      </c>
      <c r="BD3808" t="e" vm="1">
        <v>#REF!</v>
      </c>
      <c r="BF3808" t="e" vm="2">
        <f t="shared" si="318"/>
        <v>#VALUE!</v>
      </c>
      <c r="BG3808" t="e" vm="2">
        <f t="shared" si="319"/>
        <v>#VALUE!</v>
      </c>
      <c r="BM3808">
        <f t="shared" si="320"/>
        <v>1</v>
      </c>
      <c r="BN3808">
        <f t="shared" si="321"/>
        <v>1900</v>
      </c>
    </row>
    <row r="3809" spans="55:66" x14ac:dyDescent="0.2">
      <c r="BC3809" s="21" t="e" vm="1">
        <v>#REF!</v>
      </c>
      <c r="BD3809" t="e" vm="1">
        <v>#REF!</v>
      </c>
      <c r="BF3809" t="e" vm="2">
        <f t="shared" si="318"/>
        <v>#VALUE!</v>
      </c>
      <c r="BG3809" t="e" vm="2">
        <f t="shared" si="319"/>
        <v>#VALUE!</v>
      </c>
      <c r="BM3809">
        <f t="shared" si="320"/>
        <v>1</v>
      </c>
      <c r="BN3809">
        <f t="shared" si="321"/>
        <v>1900</v>
      </c>
    </row>
    <row r="3810" spans="55:66" x14ac:dyDescent="0.2">
      <c r="BC3810" s="21" t="e" vm="1">
        <v>#REF!</v>
      </c>
      <c r="BD3810" t="e" vm="1">
        <v>#REF!</v>
      </c>
      <c r="BF3810" t="e" vm="2">
        <f t="shared" si="318"/>
        <v>#VALUE!</v>
      </c>
      <c r="BG3810" t="e" vm="2">
        <f t="shared" si="319"/>
        <v>#VALUE!</v>
      </c>
      <c r="BM3810">
        <f t="shared" si="320"/>
        <v>1</v>
      </c>
      <c r="BN3810">
        <f t="shared" si="321"/>
        <v>1900</v>
      </c>
    </row>
    <row r="3811" spans="55:66" x14ac:dyDescent="0.2">
      <c r="BC3811" s="21" t="e" vm="1">
        <v>#REF!</v>
      </c>
      <c r="BD3811" t="e" vm="1">
        <v>#REF!</v>
      </c>
      <c r="BF3811" t="e" vm="2">
        <f t="shared" si="318"/>
        <v>#VALUE!</v>
      </c>
      <c r="BG3811" t="e" vm="2">
        <f t="shared" si="319"/>
        <v>#VALUE!</v>
      </c>
      <c r="BM3811">
        <f t="shared" si="320"/>
        <v>1</v>
      </c>
      <c r="BN3811">
        <f t="shared" si="321"/>
        <v>1900</v>
      </c>
    </row>
    <row r="3812" spans="55:66" x14ac:dyDescent="0.2">
      <c r="BC3812" s="21" t="e" vm="1">
        <v>#REF!</v>
      </c>
      <c r="BD3812" t="e" vm="1">
        <v>#REF!</v>
      </c>
      <c r="BF3812" t="e" vm="2">
        <f t="shared" si="318"/>
        <v>#VALUE!</v>
      </c>
      <c r="BG3812" t="e" vm="2">
        <f t="shared" si="319"/>
        <v>#VALUE!</v>
      </c>
      <c r="BM3812">
        <f t="shared" si="320"/>
        <v>1</v>
      </c>
      <c r="BN3812">
        <f t="shared" si="321"/>
        <v>1900</v>
      </c>
    </row>
    <row r="3813" spans="55:66" x14ac:dyDescent="0.2">
      <c r="BC3813" s="21" t="e" vm="1">
        <v>#REF!</v>
      </c>
      <c r="BD3813" t="e" vm="1">
        <v>#REF!</v>
      </c>
      <c r="BF3813" t="e" vm="2">
        <f t="shared" si="318"/>
        <v>#VALUE!</v>
      </c>
      <c r="BG3813" t="e" vm="2">
        <f t="shared" si="319"/>
        <v>#VALUE!</v>
      </c>
      <c r="BM3813">
        <f t="shared" si="320"/>
        <v>1</v>
      </c>
      <c r="BN3813">
        <f t="shared" si="321"/>
        <v>1900</v>
      </c>
    </row>
    <row r="3814" spans="55:66" x14ac:dyDescent="0.2">
      <c r="BC3814" s="21" t="e" vm="1">
        <v>#REF!</v>
      </c>
      <c r="BD3814" t="e" vm="1">
        <v>#REF!</v>
      </c>
      <c r="BF3814" t="e" vm="2">
        <f t="shared" si="318"/>
        <v>#VALUE!</v>
      </c>
      <c r="BG3814" t="e" vm="2">
        <f t="shared" si="319"/>
        <v>#VALUE!</v>
      </c>
      <c r="BM3814">
        <f t="shared" si="320"/>
        <v>1</v>
      </c>
      <c r="BN3814">
        <f t="shared" si="321"/>
        <v>1900</v>
      </c>
    </row>
    <row r="3815" spans="55:66" x14ac:dyDescent="0.2">
      <c r="BC3815" s="21" t="e" vm="1">
        <v>#REF!</v>
      </c>
      <c r="BD3815" t="e" vm="1">
        <v>#REF!</v>
      </c>
      <c r="BF3815" t="e" vm="2">
        <f t="shared" si="318"/>
        <v>#VALUE!</v>
      </c>
      <c r="BG3815" t="e" vm="2">
        <f t="shared" si="319"/>
        <v>#VALUE!</v>
      </c>
      <c r="BM3815">
        <f t="shared" si="320"/>
        <v>1</v>
      </c>
      <c r="BN3815">
        <f t="shared" si="321"/>
        <v>1900</v>
      </c>
    </row>
    <row r="3816" spans="55:66" x14ac:dyDescent="0.2">
      <c r="BC3816" s="21" t="e" vm="1">
        <v>#REF!</v>
      </c>
      <c r="BD3816" t="e" vm="1">
        <v>#REF!</v>
      </c>
      <c r="BF3816" t="e" vm="2">
        <f t="shared" si="318"/>
        <v>#VALUE!</v>
      </c>
      <c r="BG3816" t="e" vm="2">
        <f t="shared" si="319"/>
        <v>#VALUE!</v>
      </c>
      <c r="BM3816">
        <f t="shared" si="320"/>
        <v>1</v>
      </c>
      <c r="BN3816">
        <f t="shared" si="321"/>
        <v>1900</v>
      </c>
    </row>
    <row r="3817" spans="55:66" x14ac:dyDescent="0.2">
      <c r="BC3817" s="21" t="e" vm="1">
        <v>#REF!</v>
      </c>
      <c r="BD3817" t="e" vm="1">
        <v>#REF!</v>
      </c>
      <c r="BF3817" t="e" vm="2">
        <f t="shared" si="318"/>
        <v>#VALUE!</v>
      </c>
      <c r="BG3817" t="e" vm="2">
        <f t="shared" si="319"/>
        <v>#VALUE!</v>
      </c>
      <c r="BM3817">
        <f t="shared" si="320"/>
        <v>1</v>
      </c>
      <c r="BN3817">
        <f t="shared" si="321"/>
        <v>1900</v>
      </c>
    </row>
    <row r="3818" spans="55:66" x14ac:dyDescent="0.2">
      <c r="BC3818" s="21" t="e" vm="1">
        <v>#REF!</v>
      </c>
      <c r="BD3818" t="e" vm="1">
        <v>#REF!</v>
      </c>
      <c r="BF3818" t="e" vm="2">
        <f t="shared" si="318"/>
        <v>#VALUE!</v>
      </c>
      <c r="BG3818" t="e" vm="2">
        <f t="shared" si="319"/>
        <v>#VALUE!</v>
      </c>
      <c r="BM3818">
        <f t="shared" si="320"/>
        <v>1</v>
      </c>
      <c r="BN3818">
        <f t="shared" si="321"/>
        <v>1900</v>
      </c>
    </row>
    <row r="3819" spans="55:66" x14ac:dyDescent="0.2">
      <c r="BC3819" s="21" t="e" vm="1">
        <v>#REF!</v>
      </c>
      <c r="BD3819" t="e" vm="1">
        <v>#REF!</v>
      </c>
      <c r="BF3819" t="e" vm="2">
        <f t="shared" si="318"/>
        <v>#VALUE!</v>
      </c>
      <c r="BG3819" t="e" vm="2">
        <f t="shared" si="319"/>
        <v>#VALUE!</v>
      </c>
      <c r="BM3819">
        <f t="shared" si="320"/>
        <v>1</v>
      </c>
      <c r="BN3819">
        <f t="shared" si="321"/>
        <v>1900</v>
      </c>
    </row>
    <row r="3820" spans="55:66" x14ac:dyDescent="0.2">
      <c r="BC3820" s="21" t="e" vm="1">
        <v>#REF!</v>
      </c>
      <c r="BD3820" t="e" vm="1">
        <v>#REF!</v>
      </c>
      <c r="BF3820" t="e" vm="2">
        <f t="shared" si="318"/>
        <v>#VALUE!</v>
      </c>
      <c r="BG3820" t="e" vm="2">
        <f t="shared" si="319"/>
        <v>#VALUE!</v>
      </c>
      <c r="BM3820">
        <f t="shared" si="320"/>
        <v>1</v>
      </c>
      <c r="BN3820">
        <f t="shared" si="321"/>
        <v>1900</v>
      </c>
    </row>
    <row r="3821" spans="55:66" x14ac:dyDescent="0.2">
      <c r="BC3821" s="21" t="e" vm="1">
        <v>#REF!</v>
      </c>
      <c r="BD3821" t="e" vm="1">
        <v>#REF!</v>
      </c>
      <c r="BF3821" t="e" vm="2">
        <f t="shared" si="318"/>
        <v>#VALUE!</v>
      </c>
      <c r="BG3821" t="e" vm="2">
        <f t="shared" si="319"/>
        <v>#VALUE!</v>
      </c>
      <c r="BM3821">
        <f t="shared" si="320"/>
        <v>1</v>
      </c>
      <c r="BN3821">
        <f t="shared" si="321"/>
        <v>1900</v>
      </c>
    </row>
    <row r="3822" spans="55:66" x14ac:dyDescent="0.2">
      <c r="BC3822" s="21" t="e" vm="1">
        <v>#REF!</v>
      </c>
      <c r="BD3822" t="e" vm="1">
        <v>#REF!</v>
      </c>
      <c r="BF3822" t="e" vm="2">
        <f t="shared" si="318"/>
        <v>#VALUE!</v>
      </c>
      <c r="BG3822" t="e" vm="2">
        <f t="shared" si="319"/>
        <v>#VALUE!</v>
      </c>
      <c r="BM3822">
        <f t="shared" si="320"/>
        <v>1</v>
      </c>
      <c r="BN3822">
        <f t="shared" si="321"/>
        <v>1900</v>
      </c>
    </row>
    <row r="3823" spans="55:66" x14ac:dyDescent="0.2">
      <c r="BC3823" s="21" t="e" vm="1">
        <v>#REF!</v>
      </c>
      <c r="BD3823" t="e" vm="1">
        <v>#REF!</v>
      </c>
      <c r="BF3823" t="e" vm="2">
        <f t="shared" si="318"/>
        <v>#VALUE!</v>
      </c>
      <c r="BG3823" t="e" vm="2">
        <f t="shared" si="319"/>
        <v>#VALUE!</v>
      </c>
      <c r="BM3823">
        <f t="shared" si="320"/>
        <v>1</v>
      </c>
      <c r="BN3823">
        <f t="shared" si="321"/>
        <v>1900</v>
      </c>
    </row>
    <row r="3824" spans="55:66" x14ac:dyDescent="0.2">
      <c r="BC3824" s="21" t="e" vm="1">
        <v>#REF!</v>
      </c>
      <c r="BD3824" t="e" vm="1">
        <v>#REF!</v>
      </c>
      <c r="BF3824" t="e" vm="2">
        <f t="shared" si="318"/>
        <v>#VALUE!</v>
      </c>
      <c r="BG3824" t="e" vm="2">
        <f t="shared" si="319"/>
        <v>#VALUE!</v>
      </c>
      <c r="BM3824">
        <f t="shared" si="320"/>
        <v>1</v>
      </c>
      <c r="BN3824">
        <f t="shared" si="321"/>
        <v>1900</v>
      </c>
    </row>
    <row r="3825" spans="55:66" x14ac:dyDescent="0.2">
      <c r="BC3825" s="21" t="e" vm="1">
        <v>#REF!</v>
      </c>
      <c r="BD3825" t="e" vm="1">
        <v>#REF!</v>
      </c>
      <c r="BF3825" t="e" vm="2">
        <f t="shared" si="318"/>
        <v>#VALUE!</v>
      </c>
      <c r="BG3825" t="e" vm="2">
        <f t="shared" si="319"/>
        <v>#VALUE!</v>
      </c>
      <c r="BM3825">
        <f t="shared" si="320"/>
        <v>1</v>
      </c>
      <c r="BN3825">
        <f t="shared" si="321"/>
        <v>1900</v>
      </c>
    </row>
    <row r="3826" spans="55:66" x14ac:dyDescent="0.2">
      <c r="BC3826" s="21" t="e" vm="1">
        <v>#REF!</v>
      </c>
      <c r="BD3826" t="e" vm="1">
        <v>#REF!</v>
      </c>
      <c r="BF3826" t="e" vm="2">
        <f t="shared" si="318"/>
        <v>#VALUE!</v>
      </c>
      <c r="BG3826" t="e" vm="2">
        <f t="shared" si="319"/>
        <v>#VALUE!</v>
      </c>
      <c r="BM3826">
        <f t="shared" si="320"/>
        <v>1</v>
      </c>
      <c r="BN3826">
        <f t="shared" si="321"/>
        <v>1900</v>
      </c>
    </row>
    <row r="3827" spans="55:66" x14ac:dyDescent="0.2">
      <c r="BC3827" s="21" t="e" vm="1">
        <v>#REF!</v>
      </c>
      <c r="BD3827" t="e" vm="1">
        <v>#REF!</v>
      </c>
      <c r="BF3827" t="e" vm="2">
        <f t="shared" si="318"/>
        <v>#VALUE!</v>
      </c>
      <c r="BG3827" t="e" vm="2">
        <f t="shared" si="319"/>
        <v>#VALUE!</v>
      </c>
      <c r="BM3827">
        <f t="shared" si="320"/>
        <v>1</v>
      </c>
      <c r="BN3827">
        <f t="shared" si="321"/>
        <v>1900</v>
      </c>
    </row>
    <row r="3828" spans="55:66" x14ac:dyDescent="0.2">
      <c r="BC3828" s="21" t="e" vm="1">
        <v>#REF!</v>
      </c>
      <c r="BD3828" t="e" vm="1">
        <v>#REF!</v>
      </c>
      <c r="BF3828" t="e" vm="2">
        <f t="shared" si="318"/>
        <v>#VALUE!</v>
      </c>
      <c r="BG3828" t="e" vm="2">
        <f t="shared" si="319"/>
        <v>#VALUE!</v>
      </c>
      <c r="BM3828">
        <f t="shared" si="320"/>
        <v>1</v>
      </c>
      <c r="BN3828">
        <f t="shared" si="321"/>
        <v>1900</v>
      </c>
    </row>
    <row r="3829" spans="55:66" x14ac:dyDescent="0.2">
      <c r="BC3829" s="21" t="e" vm="1">
        <v>#REF!</v>
      </c>
      <c r="BD3829" t="e" vm="1">
        <v>#REF!</v>
      </c>
      <c r="BF3829" t="e" vm="2">
        <f t="shared" si="318"/>
        <v>#VALUE!</v>
      </c>
      <c r="BG3829" t="e" vm="2">
        <f t="shared" si="319"/>
        <v>#VALUE!</v>
      </c>
      <c r="BM3829">
        <f t="shared" si="320"/>
        <v>1</v>
      </c>
      <c r="BN3829">
        <f t="shared" si="321"/>
        <v>1900</v>
      </c>
    </row>
    <row r="3830" spans="55:66" x14ac:dyDescent="0.2">
      <c r="BC3830" s="21" t="e" vm="1">
        <v>#REF!</v>
      </c>
      <c r="BD3830" t="e" vm="1">
        <v>#REF!</v>
      </c>
      <c r="BF3830" t="e" vm="2">
        <f t="shared" si="318"/>
        <v>#VALUE!</v>
      </c>
      <c r="BG3830" t="e" vm="2">
        <f t="shared" si="319"/>
        <v>#VALUE!</v>
      </c>
      <c r="BM3830">
        <f t="shared" si="320"/>
        <v>1</v>
      </c>
      <c r="BN3830">
        <f t="shared" si="321"/>
        <v>1900</v>
      </c>
    </row>
    <row r="3831" spans="55:66" x14ac:dyDescent="0.2">
      <c r="BC3831" s="21" t="e" vm="1">
        <v>#REF!</v>
      </c>
      <c r="BD3831" t="e" vm="1">
        <v>#REF!</v>
      </c>
      <c r="BF3831" t="e" vm="2">
        <f t="shared" si="318"/>
        <v>#VALUE!</v>
      </c>
      <c r="BG3831" t="e" vm="2">
        <f t="shared" si="319"/>
        <v>#VALUE!</v>
      </c>
      <c r="BM3831">
        <f t="shared" si="320"/>
        <v>1</v>
      </c>
      <c r="BN3831">
        <f t="shared" si="321"/>
        <v>1900</v>
      </c>
    </row>
    <row r="3832" spans="55:66" x14ac:dyDescent="0.2">
      <c r="BC3832" s="21" t="e" vm="1">
        <v>#REF!</v>
      </c>
      <c r="BD3832" t="e" vm="1">
        <v>#REF!</v>
      </c>
      <c r="BF3832" t="e" vm="2">
        <f t="shared" si="318"/>
        <v>#VALUE!</v>
      </c>
      <c r="BG3832" t="e" vm="2">
        <f t="shared" si="319"/>
        <v>#VALUE!</v>
      </c>
      <c r="BM3832">
        <f t="shared" si="320"/>
        <v>1</v>
      </c>
      <c r="BN3832">
        <f t="shared" si="321"/>
        <v>1900</v>
      </c>
    </row>
    <row r="3833" spans="55:66" x14ac:dyDescent="0.2">
      <c r="BC3833" s="21" t="e" vm="1">
        <v>#REF!</v>
      </c>
      <c r="BD3833" t="e" vm="1">
        <v>#REF!</v>
      </c>
      <c r="BF3833" t="e" vm="2">
        <f t="shared" si="318"/>
        <v>#VALUE!</v>
      </c>
      <c r="BG3833" t="e" vm="2">
        <f t="shared" si="319"/>
        <v>#VALUE!</v>
      </c>
      <c r="BM3833">
        <f t="shared" si="320"/>
        <v>1</v>
      </c>
      <c r="BN3833">
        <f t="shared" si="321"/>
        <v>1900</v>
      </c>
    </row>
    <row r="3834" spans="55:66" x14ac:dyDescent="0.2">
      <c r="BC3834" s="21" t="e" vm="1">
        <v>#REF!</v>
      </c>
      <c r="BD3834" t="e" vm="1">
        <v>#REF!</v>
      </c>
      <c r="BF3834" t="e" vm="2">
        <f t="shared" si="318"/>
        <v>#VALUE!</v>
      </c>
      <c r="BG3834" t="e" vm="2">
        <f t="shared" si="319"/>
        <v>#VALUE!</v>
      </c>
      <c r="BM3834">
        <f t="shared" si="320"/>
        <v>1</v>
      </c>
      <c r="BN3834">
        <f t="shared" si="321"/>
        <v>1900</v>
      </c>
    </row>
    <row r="3835" spans="55:66" x14ac:dyDescent="0.2">
      <c r="BC3835" s="21" t="e" vm="1">
        <v>#REF!</v>
      </c>
      <c r="BD3835" t="e" vm="1">
        <v>#REF!</v>
      </c>
      <c r="BF3835" t="e" vm="2">
        <f t="shared" si="318"/>
        <v>#VALUE!</v>
      </c>
      <c r="BG3835" t="e" vm="2">
        <f t="shared" si="319"/>
        <v>#VALUE!</v>
      </c>
      <c r="BM3835">
        <f t="shared" si="320"/>
        <v>1</v>
      </c>
      <c r="BN3835">
        <f t="shared" si="321"/>
        <v>1900</v>
      </c>
    </row>
    <row r="3836" spans="55:66" x14ac:dyDescent="0.2">
      <c r="BC3836" s="21" t="e" vm="1">
        <v>#REF!</v>
      </c>
      <c r="BD3836" t="e" vm="1">
        <v>#REF!</v>
      </c>
      <c r="BF3836" t="e" vm="2">
        <f t="shared" si="318"/>
        <v>#VALUE!</v>
      </c>
      <c r="BG3836" t="e" vm="2">
        <f t="shared" si="319"/>
        <v>#VALUE!</v>
      </c>
      <c r="BM3836">
        <f t="shared" si="320"/>
        <v>1</v>
      </c>
      <c r="BN3836">
        <f t="shared" si="321"/>
        <v>1900</v>
      </c>
    </row>
    <row r="3837" spans="55:66" x14ac:dyDescent="0.2">
      <c r="BC3837" s="21" t="e" vm="1">
        <v>#REF!</v>
      </c>
      <c r="BD3837" t="e" vm="1">
        <v>#REF!</v>
      </c>
      <c r="BF3837" t="e" vm="2">
        <f t="shared" si="318"/>
        <v>#VALUE!</v>
      </c>
      <c r="BG3837" t="e" vm="2">
        <f t="shared" si="319"/>
        <v>#VALUE!</v>
      </c>
      <c r="BM3837">
        <f t="shared" si="320"/>
        <v>1</v>
      </c>
      <c r="BN3837">
        <f t="shared" si="321"/>
        <v>1900</v>
      </c>
    </row>
    <row r="3838" spans="55:66" x14ac:dyDescent="0.2">
      <c r="BC3838" s="21" t="e" vm="1">
        <v>#REF!</v>
      </c>
      <c r="BD3838" t="e" vm="1">
        <v>#REF!</v>
      </c>
      <c r="BF3838" t="e" vm="2">
        <f t="shared" si="318"/>
        <v>#VALUE!</v>
      </c>
      <c r="BG3838" t="e" vm="2">
        <f t="shared" si="319"/>
        <v>#VALUE!</v>
      </c>
      <c r="BM3838">
        <f t="shared" si="320"/>
        <v>1</v>
      </c>
      <c r="BN3838">
        <f t="shared" si="321"/>
        <v>1900</v>
      </c>
    </row>
    <row r="3839" spans="55:66" x14ac:dyDescent="0.2">
      <c r="BC3839" s="21" t="e" vm="1">
        <v>#REF!</v>
      </c>
      <c r="BD3839" t="e" vm="1">
        <v>#REF!</v>
      </c>
      <c r="BF3839" t="e" vm="2">
        <f t="shared" si="318"/>
        <v>#VALUE!</v>
      </c>
      <c r="BG3839" t="e" vm="2">
        <f t="shared" si="319"/>
        <v>#VALUE!</v>
      </c>
      <c r="BM3839">
        <f t="shared" si="320"/>
        <v>1</v>
      </c>
      <c r="BN3839">
        <f t="shared" si="321"/>
        <v>1900</v>
      </c>
    </row>
    <row r="3840" spans="55:66" x14ac:dyDescent="0.2">
      <c r="BC3840" s="21" t="e" vm="1">
        <v>#REF!</v>
      </c>
      <c r="BD3840" t="e" vm="1">
        <v>#REF!</v>
      </c>
      <c r="BF3840" t="e" vm="2">
        <f t="shared" si="318"/>
        <v>#VALUE!</v>
      </c>
      <c r="BG3840" t="e" vm="2">
        <f t="shared" si="319"/>
        <v>#VALUE!</v>
      </c>
      <c r="BM3840">
        <f t="shared" si="320"/>
        <v>1</v>
      </c>
      <c r="BN3840">
        <f t="shared" si="321"/>
        <v>1900</v>
      </c>
    </row>
    <row r="3841" spans="55:66" x14ac:dyDescent="0.2">
      <c r="BC3841" s="21" t="e" vm="1">
        <v>#REF!</v>
      </c>
      <c r="BD3841" t="e" vm="1">
        <v>#REF!</v>
      </c>
      <c r="BF3841" t="e" vm="2">
        <f t="shared" si="318"/>
        <v>#VALUE!</v>
      </c>
      <c r="BG3841" t="e" vm="2">
        <f t="shared" si="319"/>
        <v>#VALUE!</v>
      </c>
      <c r="BM3841">
        <f t="shared" si="320"/>
        <v>1</v>
      </c>
      <c r="BN3841">
        <f t="shared" si="321"/>
        <v>1900</v>
      </c>
    </row>
    <row r="3842" spans="55:66" x14ac:dyDescent="0.2">
      <c r="BC3842" s="21" t="e" vm="1">
        <v>#REF!</v>
      </c>
      <c r="BD3842" t="e" vm="1">
        <v>#REF!</v>
      </c>
      <c r="BF3842" t="e" vm="2">
        <f t="shared" si="318"/>
        <v>#VALUE!</v>
      </c>
      <c r="BG3842" t="e" vm="2">
        <f t="shared" si="319"/>
        <v>#VALUE!</v>
      </c>
      <c r="BM3842">
        <f t="shared" si="320"/>
        <v>1</v>
      </c>
      <c r="BN3842">
        <f t="shared" si="321"/>
        <v>1900</v>
      </c>
    </row>
    <row r="3843" spans="55:66" x14ac:dyDescent="0.2">
      <c r="BC3843" s="21" t="e" vm="1">
        <v>#REF!</v>
      </c>
      <c r="BD3843" t="e" vm="1">
        <v>#REF!</v>
      </c>
      <c r="BF3843" t="e" vm="2">
        <f t="shared" ref="BF3843:BF3906" si="322">MONTH(BC3843)</f>
        <v>#VALUE!</v>
      </c>
      <c r="BG3843" t="e" vm="2">
        <f t="shared" ref="BG3843:BG3906" si="323">YEAR(BC3843)</f>
        <v>#VALUE!</v>
      </c>
      <c r="BM3843">
        <f t="shared" si="320"/>
        <v>1</v>
      </c>
      <c r="BN3843">
        <f t="shared" si="321"/>
        <v>1900</v>
      </c>
    </row>
    <row r="3844" spans="55:66" x14ac:dyDescent="0.2">
      <c r="BC3844" s="21" t="e" vm="1">
        <v>#REF!</v>
      </c>
      <c r="BD3844" t="e" vm="1">
        <v>#REF!</v>
      </c>
      <c r="BF3844" t="e" vm="2">
        <f t="shared" si="322"/>
        <v>#VALUE!</v>
      </c>
      <c r="BG3844" t="e" vm="2">
        <f t="shared" si="323"/>
        <v>#VALUE!</v>
      </c>
      <c r="BM3844">
        <f t="shared" ref="BM3844:BM3907" si="324">MONTH(BJ3844)</f>
        <v>1</v>
      </c>
      <c r="BN3844">
        <f t="shared" ref="BN3844:BN3907" si="325">YEAR(BJ3844)</f>
        <v>1900</v>
      </c>
    </row>
    <row r="3845" spans="55:66" x14ac:dyDescent="0.2">
      <c r="BC3845" s="21" t="e" vm="1">
        <v>#REF!</v>
      </c>
      <c r="BD3845" t="e" vm="1">
        <v>#REF!</v>
      </c>
      <c r="BF3845" t="e" vm="2">
        <f t="shared" si="322"/>
        <v>#VALUE!</v>
      </c>
      <c r="BG3845" t="e" vm="2">
        <f t="shared" si="323"/>
        <v>#VALUE!</v>
      </c>
      <c r="BM3845">
        <f t="shared" si="324"/>
        <v>1</v>
      </c>
      <c r="BN3845">
        <f t="shared" si="325"/>
        <v>1900</v>
      </c>
    </row>
    <row r="3846" spans="55:66" x14ac:dyDescent="0.2">
      <c r="BC3846" s="21" t="e" vm="1">
        <v>#REF!</v>
      </c>
      <c r="BD3846" t="e" vm="1">
        <v>#REF!</v>
      </c>
      <c r="BF3846" t="e" vm="2">
        <f t="shared" si="322"/>
        <v>#VALUE!</v>
      </c>
      <c r="BG3846" t="e" vm="2">
        <f t="shared" si="323"/>
        <v>#VALUE!</v>
      </c>
      <c r="BM3846">
        <f t="shared" si="324"/>
        <v>1</v>
      </c>
      <c r="BN3846">
        <f t="shared" si="325"/>
        <v>1900</v>
      </c>
    </row>
    <row r="3847" spans="55:66" x14ac:dyDescent="0.2">
      <c r="BC3847" s="21" t="e" vm="1">
        <v>#REF!</v>
      </c>
      <c r="BD3847" t="e" vm="1">
        <v>#REF!</v>
      </c>
      <c r="BF3847" t="e" vm="2">
        <f t="shared" si="322"/>
        <v>#VALUE!</v>
      </c>
      <c r="BG3847" t="e" vm="2">
        <f t="shared" si="323"/>
        <v>#VALUE!</v>
      </c>
      <c r="BM3847">
        <f t="shared" si="324"/>
        <v>1</v>
      </c>
      <c r="BN3847">
        <f t="shared" si="325"/>
        <v>1900</v>
      </c>
    </row>
    <row r="3848" spans="55:66" x14ac:dyDescent="0.2">
      <c r="BC3848" s="21" t="e" vm="1">
        <v>#REF!</v>
      </c>
      <c r="BD3848" t="e" vm="1">
        <v>#REF!</v>
      </c>
      <c r="BF3848" t="e" vm="2">
        <f t="shared" si="322"/>
        <v>#VALUE!</v>
      </c>
      <c r="BG3848" t="e" vm="2">
        <f t="shared" si="323"/>
        <v>#VALUE!</v>
      </c>
      <c r="BM3848">
        <f t="shared" si="324"/>
        <v>1</v>
      </c>
      <c r="BN3848">
        <f t="shared" si="325"/>
        <v>1900</v>
      </c>
    </row>
    <row r="3849" spans="55:66" x14ac:dyDescent="0.2">
      <c r="BC3849" s="21" t="e" vm="1">
        <v>#REF!</v>
      </c>
      <c r="BD3849" t="e" vm="1">
        <v>#REF!</v>
      </c>
      <c r="BF3849" t="e" vm="2">
        <f t="shared" si="322"/>
        <v>#VALUE!</v>
      </c>
      <c r="BG3849" t="e" vm="2">
        <f t="shared" si="323"/>
        <v>#VALUE!</v>
      </c>
      <c r="BM3849">
        <f t="shared" si="324"/>
        <v>1</v>
      </c>
      <c r="BN3849">
        <f t="shared" si="325"/>
        <v>1900</v>
      </c>
    </row>
    <row r="3850" spans="55:66" x14ac:dyDescent="0.2">
      <c r="BC3850" s="21" t="e" vm="1">
        <v>#REF!</v>
      </c>
      <c r="BD3850" t="e" vm="1">
        <v>#REF!</v>
      </c>
      <c r="BF3850" t="e" vm="2">
        <f t="shared" si="322"/>
        <v>#VALUE!</v>
      </c>
      <c r="BG3850" t="e" vm="2">
        <f t="shared" si="323"/>
        <v>#VALUE!</v>
      </c>
      <c r="BM3850">
        <f t="shared" si="324"/>
        <v>1</v>
      </c>
      <c r="BN3850">
        <f t="shared" si="325"/>
        <v>1900</v>
      </c>
    </row>
    <row r="3851" spans="55:66" x14ac:dyDescent="0.2">
      <c r="BC3851" s="21" t="e" vm="1">
        <v>#REF!</v>
      </c>
      <c r="BD3851" t="e" vm="1">
        <v>#REF!</v>
      </c>
      <c r="BF3851" t="e" vm="2">
        <f t="shared" si="322"/>
        <v>#VALUE!</v>
      </c>
      <c r="BG3851" t="e" vm="2">
        <f t="shared" si="323"/>
        <v>#VALUE!</v>
      </c>
      <c r="BM3851">
        <f t="shared" si="324"/>
        <v>1</v>
      </c>
      <c r="BN3851">
        <f t="shared" si="325"/>
        <v>1900</v>
      </c>
    </row>
    <row r="3852" spans="55:66" x14ac:dyDescent="0.2">
      <c r="BC3852" s="21" t="e" vm="1">
        <v>#REF!</v>
      </c>
      <c r="BD3852" t="e" vm="1">
        <v>#REF!</v>
      </c>
      <c r="BF3852" t="e" vm="2">
        <f t="shared" si="322"/>
        <v>#VALUE!</v>
      </c>
      <c r="BG3852" t="e" vm="2">
        <f t="shared" si="323"/>
        <v>#VALUE!</v>
      </c>
      <c r="BM3852">
        <f t="shared" si="324"/>
        <v>1</v>
      </c>
      <c r="BN3852">
        <f t="shared" si="325"/>
        <v>1900</v>
      </c>
    </row>
    <row r="3853" spans="55:66" x14ac:dyDescent="0.2">
      <c r="BC3853" s="21" t="e" vm="1">
        <v>#REF!</v>
      </c>
      <c r="BD3853" t="e" vm="1">
        <v>#REF!</v>
      </c>
      <c r="BF3853" t="e" vm="2">
        <f t="shared" si="322"/>
        <v>#VALUE!</v>
      </c>
      <c r="BG3853" t="e" vm="2">
        <f t="shared" si="323"/>
        <v>#VALUE!</v>
      </c>
      <c r="BM3853">
        <f t="shared" si="324"/>
        <v>1</v>
      </c>
      <c r="BN3853">
        <f t="shared" si="325"/>
        <v>1900</v>
      </c>
    </row>
    <row r="3854" spans="55:66" x14ac:dyDescent="0.2">
      <c r="BC3854" s="21" t="e" vm="1">
        <v>#REF!</v>
      </c>
      <c r="BD3854" t="e" vm="1">
        <v>#REF!</v>
      </c>
      <c r="BF3854" t="e" vm="2">
        <f t="shared" si="322"/>
        <v>#VALUE!</v>
      </c>
      <c r="BG3854" t="e" vm="2">
        <f t="shared" si="323"/>
        <v>#VALUE!</v>
      </c>
      <c r="BM3854">
        <f t="shared" si="324"/>
        <v>1</v>
      </c>
      <c r="BN3854">
        <f t="shared" si="325"/>
        <v>1900</v>
      </c>
    </row>
    <row r="3855" spans="55:66" x14ac:dyDescent="0.2">
      <c r="BC3855" s="21" t="e" vm="1">
        <v>#REF!</v>
      </c>
      <c r="BD3855" t="e" vm="1">
        <v>#REF!</v>
      </c>
      <c r="BF3855" t="e" vm="2">
        <f t="shared" si="322"/>
        <v>#VALUE!</v>
      </c>
      <c r="BG3855" t="e" vm="2">
        <f t="shared" si="323"/>
        <v>#VALUE!</v>
      </c>
      <c r="BM3855">
        <f t="shared" si="324"/>
        <v>1</v>
      </c>
      <c r="BN3855">
        <f t="shared" si="325"/>
        <v>1900</v>
      </c>
    </row>
    <row r="3856" spans="55:66" x14ac:dyDescent="0.2">
      <c r="BC3856" s="21" t="e" vm="1">
        <v>#REF!</v>
      </c>
      <c r="BD3856" t="e" vm="1">
        <v>#REF!</v>
      </c>
      <c r="BF3856" t="e" vm="2">
        <f t="shared" si="322"/>
        <v>#VALUE!</v>
      </c>
      <c r="BG3856" t="e" vm="2">
        <f t="shared" si="323"/>
        <v>#VALUE!</v>
      </c>
      <c r="BM3856">
        <f t="shared" si="324"/>
        <v>1</v>
      </c>
      <c r="BN3856">
        <f t="shared" si="325"/>
        <v>1900</v>
      </c>
    </row>
    <row r="3857" spans="55:66" x14ac:dyDescent="0.2">
      <c r="BC3857" s="21" t="e" vm="1">
        <v>#REF!</v>
      </c>
      <c r="BD3857" t="e" vm="1">
        <v>#REF!</v>
      </c>
      <c r="BF3857" t="e" vm="2">
        <f t="shared" si="322"/>
        <v>#VALUE!</v>
      </c>
      <c r="BG3857" t="e" vm="2">
        <f t="shared" si="323"/>
        <v>#VALUE!</v>
      </c>
      <c r="BM3857">
        <f t="shared" si="324"/>
        <v>1</v>
      </c>
      <c r="BN3857">
        <f t="shared" si="325"/>
        <v>1900</v>
      </c>
    </row>
    <row r="3858" spans="55:66" x14ac:dyDescent="0.2">
      <c r="BC3858" s="21" t="e" vm="1">
        <v>#REF!</v>
      </c>
      <c r="BD3858" t="e" vm="1">
        <v>#REF!</v>
      </c>
      <c r="BF3858" t="e" vm="2">
        <f t="shared" si="322"/>
        <v>#VALUE!</v>
      </c>
      <c r="BG3858" t="e" vm="2">
        <f t="shared" si="323"/>
        <v>#VALUE!</v>
      </c>
      <c r="BM3858">
        <f t="shared" si="324"/>
        <v>1</v>
      </c>
      <c r="BN3858">
        <f t="shared" si="325"/>
        <v>1900</v>
      </c>
    </row>
    <row r="3859" spans="55:66" x14ac:dyDescent="0.2">
      <c r="BC3859" s="21" t="e" vm="1">
        <v>#REF!</v>
      </c>
      <c r="BD3859" t="e" vm="1">
        <v>#REF!</v>
      </c>
      <c r="BF3859" t="e" vm="2">
        <f t="shared" si="322"/>
        <v>#VALUE!</v>
      </c>
      <c r="BG3859" t="e" vm="2">
        <f t="shared" si="323"/>
        <v>#VALUE!</v>
      </c>
      <c r="BM3859">
        <f t="shared" si="324"/>
        <v>1</v>
      </c>
      <c r="BN3859">
        <f t="shared" si="325"/>
        <v>1900</v>
      </c>
    </row>
    <row r="3860" spans="55:66" x14ac:dyDescent="0.2">
      <c r="BC3860" s="21" t="e" vm="1">
        <v>#REF!</v>
      </c>
      <c r="BD3860" t="e" vm="1">
        <v>#REF!</v>
      </c>
      <c r="BF3860" t="e" vm="2">
        <f t="shared" si="322"/>
        <v>#VALUE!</v>
      </c>
      <c r="BG3860" t="e" vm="2">
        <f t="shared" si="323"/>
        <v>#VALUE!</v>
      </c>
      <c r="BM3860">
        <f t="shared" si="324"/>
        <v>1</v>
      </c>
      <c r="BN3860">
        <f t="shared" si="325"/>
        <v>1900</v>
      </c>
    </row>
    <row r="3861" spans="55:66" x14ac:dyDescent="0.2">
      <c r="BC3861" s="21" t="e" vm="1">
        <v>#REF!</v>
      </c>
      <c r="BD3861" t="e" vm="1">
        <v>#REF!</v>
      </c>
      <c r="BF3861" t="e" vm="2">
        <f t="shared" si="322"/>
        <v>#VALUE!</v>
      </c>
      <c r="BG3861" t="e" vm="2">
        <f t="shared" si="323"/>
        <v>#VALUE!</v>
      </c>
      <c r="BM3861">
        <f t="shared" si="324"/>
        <v>1</v>
      </c>
      <c r="BN3861">
        <f t="shared" si="325"/>
        <v>1900</v>
      </c>
    </row>
    <row r="3862" spans="55:66" x14ac:dyDescent="0.2">
      <c r="BC3862" s="21" t="e" vm="1">
        <v>#REF!</v>
      </c>
      <c r="BD3862" t="e" vm="1">
        <v>#REF!</v>
      </c>
      <c r="BF3862" t="e" vm="2">
        <f t="shared" si="322"/>
        <v>#VALUE!</v>
      </c>
      <c r="BG3862" t="e" vm="2">
        <f t="shared" si="323"/>
        <v>#VALUE!</v>
      </c>
      <c r="BM3862">
        <f t="shared" si="324"/>
        <v>1</v>
      </c>
      <c r="BN3862">
        <f t="shared" si="325"/>
        <v>1900</v>
      </c>
    </row>
    <row r="3863" spans="55:66" x14ac:dyDescent="0.2">
      <c r="BC3863" s="21" t="e" vm="1">
        <v>#REF!</v>
      </c>
      <c r="BD3863" t="e" vm="1">
        <v>#REF!</v>
      </c>
      <c r="BF3863" t="e" vm="2">
        <f t="shared" si="322"/>
        <v>#VALUE!</v>
      </c>
      <c r="BG3863" t="e" vm="2">
        <f t="shared" si="323"/>
        <v>#VALUE!</v>
      </c>
      <c r="BM3863">
        <f t="shared" si="324"/>
        <v>1</v>
      </c>
      <c r="BN3863">
        <f t="shared" si="325"/>
        <v>1900</v>
      </c>
    </row>
    <row r="3864" spans="55:66" x14ac:dyDescent="0.2">
      <c r="BC3864" s="21" t="e" vm="1">
        <v>#REF!</v>
      </c>
      <c r="BD3864" t="e" vm="1">
        <v>#REF!</v>
      </c>
      <c r="BF3864" t="e" vm="2">
        <f t="shared" si="322"/>
        <v>#VALUE!</v>
      </c>
      <c r="BG3864" t="e" vm="2">
        <f t="shared" si="323"/>
        <v>#VALUE!</v>
      </c>
      <c r="BM3864">
        <f t="shared" si="324"/>
        <v>1</v>
      </c>
      <c r="BN3864">
        <f t="shared" si="325"/>
        <v>1900</v>
      </c>
    </row>
    <row r="3865" spans="55:66" x14ac:dyDescent="0.2">
      <c r="BC3865" s="21" t="e" vm="1">
        <v>#REF!</v>
      </c>
      <c r="BD3865" t="e" vm="1">
        <v>#REF!</v>
      </c>
      <c r="BF3865" t="e" vm="2">
        <f t="shared" si="322"/>
        <v>#VALUE!</v>
      </c>
      <c r="BG3865" t="e" vm="2">
        <f t="shared" si="323"/>
        <v>#VALUE!</v>
      </c>
      <c r="BM3865">
        <f t="shared" si="324"/>
        <v>1</v>
      </c>
      <c r="BN3865">
        <f t="shared" si="325"/>
        <v>1900</v>
      </c>
    </row>
    <row r="3866" spans="55:66" x14ac:dyDescent="0.2">
      <c r="BC3866" s="21" t="e" vm="1">
        <v>#REF!</v>
      </c>
      <c r="BD3866" t="e" vm="1">
        <v>#REF!</v>
      </c>
      <c r="BF3866" t="e" vm="2">
        <f t="shared" si="322"/>
        <v>#VALUE!</v>
      </c>
      <c r="BG3866" t="e" vm="2">
        <f t="shared" si="323"/>
        <v>#VALUE!</v>
      </c>
      <c r="BM3866">
        <f t="shared" si="324"/>
        <v>1</v>
      </c>
      <c r="BN3866">
        <f t="shared" si="325"/>
        <v>1900</v>
      </c>
    </row>
    <row r="3867" spans="55:66" x14ac:dyDescent="0.2">
      <c r="BC3867" s="21" t="e" vm="1">
        <v>#REF!</v>
      </c>
      <c r="BD3867" t="e" vm="1">
        <v>#REF!</v>
      </c>
      <c r="BF3867" t="e" vm="2">
        <f t="shared" si="322"/>
        <v>#VALUE!</v>
      </c>
      <c r="BG3867" t="e" vm="2">
        <f t="shared" si="323"/>
        <v>#VALUE!</v>
      </c>
      <c r="BM3867">
        <f t="shared" si="324"/>
        <v>1</v>
      </c>
      <c r="BN3867">
        <f t="shared" si="325"/>
        <v>1900</v>
      </c>
    </row>
    <row r="3868" spans="55:66" x14ac:dyDescent="0.2">
      <c r="BC3868" s="21" t="e" vm="1">
        <v>#REF!</v>
      </c>
      <c r="BD3868" t="e" vm="1">
        <v>#REF!</v>
      </c>
      <c r="BF3868" t="e" vm="2">
        <f t="shared" si="322"/>
        <v>#VALUE!</v>
      </c>
      <c r="BG3868" t="e" vm="2">
        <f t="shared" si="323"/>
        <v>#VALUE!</v>
      </c>
      <c r="BM3868">
        <f t="shared" si="324"/>
        <v>1</v>
      </c>
      <c r="BN3868">
        <f t="shared" si="325"/>
        <v>1900</v>
      </c>
    </row>
    <row r="3869" spans="55:66" x14ac:dyDescent="0.2">
      <c r="BC3869" s="21" t="e" vm="1">
        <v>#REF!</v>
      </c>
      <c r="BD3869" t="e" vm="1">
        <v>#REF!</v>
      </c>
      <c r="BF3869" t="e" vm="2">
        <f t="shared" si="322"/>
        <v>#VALUE!</v>
      </c>
      <c r="BG3869" t="e" vm="2">
        <f t="shared" si="323"/>
        <v>#VALUE!</v>
      </c>
      <c r="BM3869">
        <f t="shared" si="324"/>
        <v>1</v>
      </c>
      <c r="BN3869">
        <f t="shared" si="325"/>
        <v>1900</v>
      </c>
    </row>
    <row r="3870" spans="55:66" x14ac:dyDescent="0.2">
      <c r="BC3870" s="21" t="e" vm="1">
        <v>#REF!</v>
      </c>
      <c r="BD3870" t="e" vm="1">
        <v>#REF!</v>
      </c>
      <c r="BF3870" t="e" vm="2">
        <f t="shared" si="322"/>
        <v>#VALUE!</v>
      </c>
      <c r="BG3870" t="e" vm="2">
        <f t="shared" si="323"/>
        <v>#VALUE!</v>
      </c>
      <c r="BM3870">
        <f t="shared" si="324"/>
        <v>1</v>
      </c>
      <c r="BN3870">
        <f t="shared" si="325"/>
        <v>1900</v>
      </c>
    </row>
    <row r="3871" spans="55:66" x14ac:dyDescent="0.2">
      <c r="BC3871" s="21" t="e" vm="1">
        <v>#REF!</v>
      </c>
      <c r="BD3871" t="e" vm="1">
        <v>#REF!</v>
      </c>
      <c r="BF3871" t="e" vm="2">
        <f t="shared" si="322"/>
        <v>#VALUE!</v>
      </c>
      <c r="BG3871" t="e" vm="2">
        <f t="shared" si="323"/>
        <v>#VALUE!</v>
      </c>
      <c r="BM3871">
        <f t="shared" si="324"/>
        <v>1</v>
      </c>
      <c r="BN3871">
        <f t="shared" si="325"/>
        <v>1900</v>
      </c>
    </row>
    <row r="3872" spans="55:66" x14ac:dyDescent="0.2">
      <c r="BC3872" s="21" t="e" vm="1">
        <v>#REF!</v>
      </c>
      <c r="BD3872" t="e" vm="1">
        <v>#REF!</v>
      </c>
      <c r="BF3872" t="e" vm="2">
        <f t="shared" si="322"/>
        <v>#VALUE!</v>
      </c>
      <c r="BG3872" t="e" vm="2">
        <f t="shared" si="323"/>
        <v>#VALUE!</v>
      </c>
      <c r="BM3872">
        <f t="shared" si="324"/>
        <v>1</v>
      </c>
      <c r="BN3872">
        <f t="shared" si="325"/>
        <v>1900</v>
      </c>
    </row>
    <row r="3873" spans="55:66" x14ac:dyDescent="0.2">
      <c r="BC3873" s="21" t="e" vm="1">
        <v>#REF!</v>
      </c>
      <c r="BD3873" t="e" vm="1">
        <v>#REF!</v>
      </c>
      <c r="BF3873" t="e" vm="2">
        <f t="shared" si="322"/>
        <v>#VALUE!</v>
      </c>
      <c r="BG3873" t="e" vm="2">
        <f t="shared" si="323"/>
        <v>#VALUE!</v>
      </c>
      <c r="BM3873">
        <f t="shared" si="324"/>
        <v>1</v>
      </c>
      <c r="BN3873">
        <f t="shared" si="325"/>
        <v>1900</v>
      </c>
    </row>
    <row r="3874" spans="55:66" x14ac:dyDescent="0.2">
      <c r="BC3874" s="21" t="e" vm="1">
        <v>#REF!</v>
      </c>
      <c r="BD3874" t="e" vm="1">
        <v>#REF!</v>
      </c>
      <c r="BF3874" t="e" vm="2">
        <f t="shared" si="322"/>
        <v>#VALUE!</v>
      </c>
      <c r="BG3874" t="e" vm="2">
        <f t="shared" si="323"/>
        <v>#VALUE!</v>
      </c>
      <c r="BM3874">
        <f t="shared" si="324"/>
        <v>1</v>
      </c>
      <c r="BN3874">
        <f t="shared" si="325"/>
        <v>1900</v>
      </c>
    </row>
    <row r="3875" spans="55:66" x14ac:dyDescent="0.2">
      <c r="BC3875" s="21" t="e" vm="1">
        <v>#REF!</v>
      </c>
      <c r="BD3875" t="e" vm="1">
        <v>#REF!</v>
      </c>
      <c r="BF3875" t="e" vm="2">
        <f t="shared" si="322"/>
        <v>#VALUE!</v>
      </c>
      <c r="BG3875" t="e" vm="2">
        <f t="shared" si="323"/>
        <v>#VALUE!</v>
      </c>
      <c r="BM3875">
        <f t="shared" si="324"/>
        <v>1</v>
      </c>
      <c r="BN3875">
        <f t="shared" si="325"/>
        <v>1900</v>
      </c>
    </row>
    <row r="3876" spans="55:66" x14ac:dyDescent="0.2">
      <c r="BC3876" s="21" t="e" vm="1">
        <v>#REF!</v>
      </c>
      <c r="BD3876" t="e" vm="1">
        <v>#REF!</v>
      </c>
      <c r="BF3876" t="e" vm="2">
        <f t="shared" si="322"/>
        <v>#VALUE!</v>
      </c>
      <c r="BG3876" t="e" vm="2">
        <f t="shared" si="323"/>
        <v>#VALUE!</v>
      </c>
      <c r="BM3876">
        <f t="shared" si="324"/>
        <v>1</v>
      </c>
      <c r="BN3876">
        <f t="shared" si="325"/>
        <v>1900</v>
      </c>
    </row>
    <row r="3877" spans="55:66" x14ac:dyDescent="0.2">
      <c r="BC3877" s="21" t="e" vm="1">
        <v>#REF!</v>
      </c>
      <c r="BD3877" t="e" vm="1">
        <v>#REF!</v>
      </c>
      <c r="BF3877" t="e" vm="2">
        <f t="shared" si="322"/>
        <v>#VALUE!</v>
      </c>
      <c r="BG3877" t="e" vm="2">
        <f t="shared" si="323"/>
        <v>#VALUE!</v>
      </c>
      <c r="BM3877">
        <f t="shared" si="324"/>
        <v>1</v>
      </c>
      <c r="BN3877">
        <f t="shared" si="325"/>
        <v>1900</v>
      </c>
    </row>
    <row r="3878" spans="55:66" x14ac:dyDescent="0.2">
      <c r="BC3878" s="21" t="e" vm="1">
        <v>#REF!</v>
      </c>
      <c r="BD3878" t="e" vm="1">
        <v>#REF!</v>
      </c>
      <c r="BF3878" t="e" vm="2">
        <f t="shared" si="322"/>
        <v>#VALUE!</v>
      </c>
      <c r="BG3878" t="e" vm="2">
        <f t="shared" si="323"/>
        <v>#VALUE!</v>
      </c>
      <c r="BM3878">
        <f t="shared" si="324"/>
        <v>1</v>
      </c>
      <c r="BN3878">
        <f t="shared" si="325"/>
        <v>1900</v>
      </c>
    </row>
    <row r="3879" spans="55:66" x14ac:dyDescent="0.2">
      <c r="BC3879" s="21" t="e" vm="1">
        <v>#REF!</v>
      </c>
      <c r="BD3879" t="e" vm="1">
        <v>#REF!</v>
      </c>
      <c r="BF3879" t="e" vm="2">
        <f t="shared" si="322"/>
        <v>#VALUE!</v>
      </c>
      <c r="BG3879" t="e" vm="2">
        <f t="shared" si="323"/>
        <v>#VALUE!</v>
      </c>
      <c r="BM3879">
        <f t="shared" si="324"/>
        <v>1</v>
      </c>
      <c r="BN3879">
        <f t="shared" si="325"/>
        <v>1900</v>
      </c>
    </row>
    <row r="3880" spans="55:66" x14ac:dyDescent="0.2">
      <c r="BC3880" s="21" t="e" vm="1">
        <v>#REF!</v>
      </c>
      <c r="BD3880" t="e" vm="1">
        <v>#REF!</v>
      </c>
      <c r="BF3880" t="e" vm="2">
        <f t="shared" si="322"/>
        <v>#VALUE!</v>
      </c>
      <c r="BG3880" t="e" vm="2">
        <f t="shared" si="323"/>
        <v>#VALUE!</v>
      </c>
      <c r="BM3880">
        <f t="shared" si="324"/>
        <v>1</v>
      </c>
      <c r="BN3880">
        <f t="shared" si="325"/>
        <v>1900</v>
      </c>
    </row>
    <row r="3881" spans="55:66" x14ac:dyDescent="0.2">
      <c r="BC3881" s="21" t="e" vm="1">
        <v>#REF!</v>
      </c>
      <c r="BD3881" t="e" vm="1">
        <v>#REF!</v>
      </c>
      <c r="BF3881" t="e" vm="2">
        <f t="shared" si="322"/>
        <v>#VALUE!</v>
      </c>
      <c r="BG3881" t="e" vm="2">
        <f t="shared" si="323"/>
        <v>#VALUE!</v>
      </c>
      <c r="BM3881">
        <f t="shared" si="324"/>
        <v>1</v>
      </c>
      <c r="BN3881">
        <f t="shared" si="325"/>
        <v>1900</v>
      </c>
    </row>
    <row r="3882" spans="55:66" x14ac:dyDescent="0.2">
      <c r="BC3882" s="21" t="e" vm="1">
        <v>#REF!</v>
      </c>
      <c r="BD3882" t="e" vm="1">
        <v>#REF!</v>
      </c>
      <c r="BF3882" t="e" vm="2">
        <f t="shared" si="322"/>
        <v>#VALUE!</v>
      </c>
      <c r="BG3882" t="e" vm="2">
        <f t="shared" si="323"/>
        <v>#VALUE!</v>
      </c>
      <c r="BM3882">
        <f t="shared" si="324"/>
        <v>1</v>
      </c>
      <c r="BN3882">
        <f t="shared" si="325"/>
        <v>1900</v>
      </c>
    </row>
    <row r="3883" spans="55:66" x14ac:dyDescent="0.2">
      <c r="BC3883" s="21" t="e" vm="1">
        <v>#REF!</v>
      </c>
      <c r="BD3883" t="e" vm="1">
        <v>#REF!</v>
      </c>
      <c r="BF3883" t="e" vm="2">
        <f t="shared" si="322"/>
        <v>#VALUE!</v>
      </c>
      <c r="BG3883" t="e" vm="2">
        <f t="shared" si="323"/>
        <v>#VALUE!</v>
      </c>
      <c r="BM3883">
        <f t="shared" si="324"/>
        <v>1</v>
      </c>
      <c r="BN3883">
        <f t="shared" si="325"/>
        <v>1900</v>
      </c>
    </row>
    <row r="3884" spans="55:66" x14ac:dyDescent="0.2">
      <c r="BC3884" s="21" t="e" vm="1">
        <v>#REF!</v>
      </c>
      <c r="BD3884" t="e" vm="1">
        <v>#REF!</v>
      </c>
      <c r="BF3884" t="e" vm="2">
        <f t="shared" si="322"/>
        <v>#VALUE!</v>
      </c>
      <c r="BG3884" t="e" vm="2">
        <f t="shared" si="323"/>
        <v>#VALUE!</v>
      </c>
      <c r="BM3884">
        <f t="shared" si="324"/>
        <v>1</v>
      </c>
      <c r="BN3884">
        <f t="shared" si="325"/>
        <v>1900</v>
      </c>
    </row>
    <row r="3885" spans="55:66" x14ac:dyDescent="0.2">
      <c r="BC3885" s="21" t="e" vm="1">
        <v>#REF!</v>
      </c>
      <c r="BD3885" t="e" vm="1">
        <v>#REF!</v>
      </c>
      <c r="BF3885" t="e" vm="2">
        <f t="shared" si="322"/>
        <v>#VALUE!</v>
      </c>
      <c r="BG3885" t="e" vm="2">
        <f t="shared" si="323"/>
        <v>#VALUE!</v>
      </c>
      <c r="BM3885">
        <f t="shared" si="324"/>
        <v>1</v>
      </c>
      <c r="BN3885">
        <f t="shared" si="325"/>
        <v>1900</v>
      </c>
    </row>
    <row r="3886" spans="55:66" x14ac:dyDescent="0.2">
      <c r="BC3886" s="21" t="e" vm="1">
        <v>#REF!</v>
      </c>
      <c r="BD3886" t="e" vm="1">
        <v>#REF!</v>
      </c>
      <c r="BF3886" t="e" vm="2">
        <f t="shared" si="322"/>
        <v>#VALUE!</v>
      </c>
      <c r="BG3886" t="e" vm="2">
        <f t="shared" si="323"/>
        <v>#VALUE!</v>
      </c>
      <c r="BM3886">
        <f t="shared" si="324"/>
        <v>1</v>
      </c>
      <c r="BN3886">
        <f t="shared" si="325"/>
        <v>1900</v>
      </c>
    </row>
    <row r="3887" spans="55:66" x14ac:dyDescent="0.2">
      <c r="BC3887" s="21" t="e" vm="1">
        <v>#REF!</v>
      </c>
      <c r="BD3887" t="e" vm="1">
        <v>#REF!</v>
      </c>
      <c r="BF3887" t="e" vm="2">
        <f t="shared" si="322"/>
        <v>#VALUE!</v>
      </c>
      <c r="BG3887" t="e" vm="2">
        <f t="shared" si="323"/>
        <v>#VALUE!</v>
      </c>
      <c r="BM3887">
        <f t="shared" si="324"/>
        <v>1</v>
      </c>
      <c r="BN3887">
        <f t="shared" si="325"/>
        <v>1900</v>
      </c>
    </row>
    <row r="3888" spans="55:66" x14ac:dyDescent="0.2">
      <c r="BC3888" s="21" t="e" vm="1">
        <v>#REF!</v>
      </c>
      <c r="BD3888" t="e" vm="1">
        <v>#REF!</v>
      </c>
      <c r="BF3888" t="e" vm="2">
        <f t="shared" si="322"/>
        <v>#VALUE!</v>
      </c>
      <c r="BG3888" t="e" vm="2">
        <f t="shared" si="323"/>
        <v>#VALUE!</v>
      </c>
      <c r="BM3888">
        <f t="shared" si="324"/>
        <v>1</v>
      </c>
      <c r="BN3888">
        <f t="shared" si="325"/>
        <v>1900</v>
      </c>
    </row>
    <row r="3889" spans="55:66" x14ac:dyDescent="0.2">
      <c r="BC3889" s="21" t="e" vm="1">
        <v>#REF!</v>
      </c>
      <c r="BD3889" t="e" vm="1">
        <v>#REF!</v>
      </c>
      <c r="BF3889" t="e" vm="2">
        <f t="shared" si="322"/>
        <v>#VALUE!</v>
      </c>
      <c r="BG3889" t="e" vm="2">
        <f t="shared" si="323"/>
        <v>#VALUE!</v>
      </c>
      <c r="BM3889">
        <f t="shared" si="324"/>
        <v>1</v>
      </c>
      <c r="BN3889">
        <f t="shared" si="325"/>
        <v>1900</v>
      </c>
    </row>
    <row r="3890" spans="55:66" x14ac:dyDescent="0.2">
      <c r="BC3890" s="21" t="e" vm="1">
        <v>#REF!</v>
      </c>
      <c r="BD3890" t="e" vm="1">
        <v>#REF!</v>
      </c>
      <c r="BF3890" t="e" vm="2">
        <f t="shared" si="322"/>
        <v>#VALUE!</v>
      </c>
      <c r="BG3890" t="e" vm="2">
        <f t="shared" si="323"/>
        <v>#VALUE!</v>
      </c>
      <c r="BM3890">
        <f t="shared" si="324"/>
        <v>1</v>
      </c>
      <c r="BN3890">
        <f t="shared" si="325"/>
        <v>1900</v>
      </c>
    </row>
    <row r="3891" spans="55:66" x14ac:dyDescent="0.2">
      <c r="BC3891" s="21" t="e" vm="1">
        <v>#REF!</v>
      </c>
      <c r="BD3891" t="e" vm="1">
        <v>#REF!</v>
      </c>
      <c r="BF3891" t="e" vm="2">
        <f t="shared" si="322"/>
        <v>#VALUE!</v>
      </c>
      <c r="BG3891" t="e" vm="2">
        <f t="shared" si="323"/>
        <v>#VALUE!</v>
      </c>
      <c r="BM3891">
        <f t="shared" si="324"/>
        <v>1</v>
      </c>
      <c r="BN3891">
        <f t="shared" si="325"/>
        <v>1900</v>
      </c>
    </row>
    <row r="3892" spans="55:66" x14ac:dyDescent="0.2">
      <c r="BC3892" s="21" t="e" vm="1">
        <v>#REF!</v>
      </c>
      <c r="BD3892" t="e" vm="1">
        <v>#REF!</v>
      </c>
      <c r="BF3892" t="e" vm="2">
        <f t="shared" si="322"/>
        <v>#VALUE!</v>
      </c>
      <c r="BG3892" t="e" vm="2">
        <f t="shared" si="323"/>
        <v>#VALUE!</v>
      </c>
      <c r="BM3892">
        <f t="shared" si="324"/>
        <v>1</v>
      </c>
      <c r="BN3892">
        <f t="shared" si="325"/>
        <v>1900</v>
      </c>
    </row>
    <row r="3893" spans="55:66" x14ac:dyDescent="0.2">
      <c r="BC3893" s="21" t="e" vm="1">
        <v>#REF!</v>
      </c>
      <c r="BD3893" t="e" vm="1">
        <v>#REF!</v>
      </c>
      <c r="BF3893" t="e" vm="2">
        <f t="shared" si="322"/>
        <v>#VALUE!</v>
      </c>
      <c r="BG3893" t="e" vm="2">
        <f t="shared" si="323"/>
        <v>#VALUE!</v>
      </c>
      <c r="BM3893">
        <f t="shared" si="324"/>
        <v>1</v>
      </c>
      <c r="BN3893">
        <f t="shared" si="325"/>
        <v>1900</v>
      </c>
    </row>
    <row r="3894" spans="55:66" x14ac:dyDescent="0.2">
      <c r="BC3894" s="21" t="e" vm="1">
        <v>#REF!</v>
      </c>
      <c r="BD3894" t="e" vm="1">
        <v>#REF!</v>
      </c>
      <c r="BF3894" t="e" vm="2">
        <f t="shared" si="322"/>
        <v>#VALUE!</v>
      </c>
      <c r="BG3894" t="e" vm="2">
        <f t="shared" si="323"/>
        <v>#VALUE!</v>
      </c>
      <c r="BM3894">
        <f t="shared" si="324"/>
        <v>1</v>
      </c>
      <c r="BN3894">
        <f t="shared" si="325"/>
        <v>1900</v>
      </c>
    </row>
    <row r="3895" spans="55:66" x14ac:dyDescent="0.2">
      <c r="BC3895" s="21" t="e" vm="1">
        <v>#REF!</v>
      </c>
      <c r="BD3895" t="e" vm="1">
        <v>#REF!</v>
      </c>
      <c r="BF3895" t="e" vm="2">
        <f t="shared" si="322"/>
        <v>#VALUE!</v>
      </c>
      <c r="BG3895" t="e" vm="2">
        <f t="shared" si="323"/>
        <v>#VALUE!</v>
      </c>
      <c r="BM3895">
        <f t="shared" si="324"/>
        <v>1</v>
      </c>
      <c r="BN3895">
        <f t="shared" si="325"/>
        <v>1900</v>
      </c>
    </row>
    <row r="3896" spans="55:66" x14ac:dyDescent="0.2">
      <c r="BC3896" s="21" t="e" vm="1">
        <v>#REF!</v>
      </c>
      <c r="BD3896" t="e" vm="1">
        <v>#REF!</v>
      </c>
      <c r="BF3896" t="e" vm="2">
        <f t="shared" si="322"/>
        <v>#VALUE!</v>
      </c>
      <c r="BG3896" t="e" vm="2">
        <f t="shared" si="323"/>
        <v>#VALUE!</v>
      </c>
      <c r="BM3896">
        <f t="shared" si="324"/>
        <v>1</v>
      </c>
      <c r="BN3896">
        <f t="shared" si="325"/>
        <v>1900</v>
      </c>
    </row>
    <row r="3897" spans="55:66" x14ac:dyDescent="0.2">
      <c r="BC3897" s="21" t="e" vm="1">
        <v>#REF!</v>
      </c>
      <c r="BD3897" t="e" vm="1">
        <v>#REF!</v>
      </c>
      <c r="BF3897" t="e" vm="2">
        <f t="shared" si="322"/>
        <v>#VALUE!</v>
      </c>
      <c r="BG3897" t="e" vm="2">
        <f t="shared" si="323"/>
        <v>#VALUE!</v>
      </c>
      <c r="BM3897">
        <f t="shared" si="324"/>
        <v>1</v>
      </c>
      <c r="BN3897">
        <f t="shared" si="325"/>
        <v>1900</v>
      </c>
    </row>
    <row r="3898" spans="55:66" x14ac:dyDescent="0.2">
      <c r="BC3898" s="21" t="e" vm="1">
        <v>#REF!</v>
      </c>
      <c r="BD3898" t="e" vm="1">
        <v>#REF!</v>
      </c>
      <c r="BF3898" t="e" vm="2">
        <f t="shared" si="322"/>
        <v>#VALUE!</v>
      </c>
      <c r="BG3898" t="e" vm="2">
        <f t="shared" si="323"/>
        <v>#VALUE!</v>
      </c>
      <c r="BM3898">
        <f t="shared" si="324"/>
        <v>1</v>
      </c>
      <c r="BN3898">
        <f t="shared" si="325"/>
        <v>1900</v>
      </c>
    </row>
    <row r="3899" spans="55:66" x14ac:dyDescent="0.2">
      <c r="BC3899" s="21" t="e" vm="1">
        <v>#REF!</v>
      </c>
      <c r="BD3899" t="e" vm="1">
        <v>#REF!</v>
      </c>
      <c r="BF3899" t="e" vm="2">
        <f t="shared" si="322"/>
        <v>#VALUE!</v>
      </c>
      <c r="BG3899" t="e" vm="2">
        <f t="shared" si="323"/>
        <v>#VALUE!</v>
      </c>
      <c r="BM3899">
        <f t="shared" si="324"/>
        <v>1</v>
      </c>
      <c r="BN3899">
        <f t="shared" si="325"/>
        <v>1900</v>
      </c>
    </row>
    <row r="3900" spans="55:66" x14ac:dyDescent="0.2">
      <c r="BC3900" s="21" t="e" vm="1">
        <v>#REF!</v>
      </c>
      <c r="BD3900" t="e" vm="1">
        <v>#REF!</v>
      </c>
      <c r="BF3900" t="e" vm="2">
        <f t="shared" si="322"/>
        <v>#VALUE!</v>
      </c>
      <c r="BG3900" t="e" vm="2">
        <f t="shared" si="323"/>
        <v>#VALUE!</v>
      </c>
      <c r="BM3900">
        <f t="shared" si="324"/>
        <v>1</v>
      </c>
      <c r="BN3900">
        <f t="shared" si="325"/>
        <v>1900</v>
      </c>
    </row>
    <row r="3901" spans="55:66" x14ac:dyDescent="0.2">
      <c r="BC3901" s="21" t="e" vm="1">
        <v>#REF!</v>
      </c>
      <c r="BD3901" t="e" vm="1">
        <v>#REF!</v>
      </c>
      <c r="BF3901" t="e" vm="2">
        <f t="shared" si="322"/>
        <v>#VALUE!</v>
      </c>
      <c r="BG3901" t="e" vm="2">
        <f t="shared" si="323"/>
        <v>#VALUE!</v>
      </c>
      <c r="BM3901">
        <f t="shared" si="324"/>
        <v>1</v>
      </c>
      <c r="BN3901">
        <f t="shared" si="325"/>
        <v>1900</v>
      </c>
    </row>
    <row r="3902" spans="55:66" x14ac:dyDescent="0.2">
      <c r="BC3902" s="21" t="e" vm="1">
        <v>#REF!</v>
      </c>
      <c r="BD3902" t="e" vm="1">
        <v>#REF!</v>
      </c>
      <c r="BF3902" t="e" vm="2">
        <f t="shared" si="322"/>
        <v>#VALUE!</v>
      </c>
      <c r="BG3902" t="e" vm="2">
        <f t="shared" si="323"/>
        <v>#VALUE!</v>
      </c>
      <c r="BM3902">
        <f t="shared" si="324"/>
        <v>1</v>
      </c>
      <c r="BN3902">
        <f t="shared" si="325"/>
        <v>1900</v>
      </c>
    </row>
    <row r="3903" spans="55:66" x14ac:dyDescent="0.2">
      <c r="BC3903" s="21" t="e" vm="1">
        <v>#REF!</v>
      </c>
      <c r="BD3903" t="e" vm="1">
        <v>#REF!</v>
      </c>
      <c r="BF3903" t="e" vm="2">
        <f t="shared" si="322"/>
        <v>#VALUE!</v>
      </c>
      <c r="BG3903" t="e" vm="2">
        <f t="shared" si="323"/>
        <v>#VALUE!</v>
      </c>
      <c r="BM3903">
        <f t="shared" si="324"/>
        <v>1</v>
      </c>
      <c r="BN3903">
        <f t="shared" si="325"/>
        <v>1900</v>
      </c>
    </row>
    <row r="3904" spans="55:66" x14ac:dyDescent="0.2">
      <c r="BC3904" s="21" t="e" vm="1">
        <v>#REF!</v>
      </c>
      <c r="BD3904" t="e" vm="1">
        <v>#REF!</v>
      </c>
      <c r="BF3904" t="e" vm="2">
        <f t="shared" si="322"/>
        <v>#VALUE!</v>
      </c>
      <c r="BG3904" t="e" vm="2">
        <f t="shared" si="323"/>
        <v>#VALUE!</v>
      </c>
      <c r="BM3904">
        <f t="shared" si="324"/>
        <v>1</v>
      </c>
      <c r="BN3904">
        <f t="shared" si="325"/>
        <v>1900</v>
      </c>
    </row>
    <row r="3905" spans="55:66" x14ac:dyDescent="0.2">
      <c r="BC3905" s="21" t="e" vm="1">
        <v>#REF!</v>
      </c>
      <c r="BD3905" t="e" vm="1">
        <v>#REF!</v>
      </c>
      <c r="BF3905" t="e" vm="2">
        <f t="shared" si="322"/>
        <v>#VALUE!</v>
      </c>
      <c r="BG3905" t="e" vm="2">
        <f t="shared" si="323"/>
        <v>#VALUE!</v>
      </c>
      <c r="BM3905">
        <f t="shared" si="324"/>
        <v>1</v>
      </c>
      <c r="BN3905">
        <f t="shared" si="325"/>
        <v>1900</v>
      </c>
    </row>
    <row r="3906" spans="55:66" x14ac:dyDescent="0.2">
      <c r="BC3906" s="21" t="e" vm="1">
        <v>#REF!</v>
      </c>
      <c r="BD3906" t="e" vm="1">
        <v>#REF!</v>
      </c>
      <c r="BF3906" t="e" vm="2">
        <f t="shared" si="322"/>
        <v>#VALUE!</v>
      </c>
      <c r="BG3906" t="e" vm="2">
        <f t="shared" si="323"/>
        <v>#VALUE!</v>
      </c>
      <c r="BM3906">
        <f t="shared" si="324"/>
        <v>1</v>
      </c>
      <c r="BN3906">
        <f t="shared" si="325"/>
        <v>1900</v>
      </c>
    </row>
    <row r="3907" spans="55:66" x14ac:dyDescent="0.2">
      <c r="BC3907" s="21" t="e" vm="1">
        <v>#REF!</v>
      </c>
      <c r="BD3907" t="e" vm="1">
        <v>#REF!</v>
      </c>
      <c r="BF3907" t="e" vm="2">
        <f t="shared" ref="BF3907:BF3970" si="326">MONTH(BC3907)</f>
        <v>#VALUE!</v>
      </c>
      <c r="BG3907" t="e" vm="2">
        <f t="shared" ref="BG3907:BG3970" si="327">YEAR(BC3907)</f>
        <v>#VALUE!</v>
      </c>
      <c r="BM3907">
        <f t="shared" si="324"/>
        <v>1</v>
      </c>
      <c r="BN3907">
        <f t="shared" si="325"/>
        <v>1900</v>
      </c>
    </row>
    <row r="3908" spans="55:66" x14ac:dyDescent="0.2">
      <c r="BC3908" s="21" t="e" vm="1">
        <v>#REF!</v>
      </c>
      <c r="BD3908" t="e" vm="1">
        <v>#REF!</v>
      </c>
      <c r="BF3908" t="e" vm="2">
        <f t="shared" si="326"/>
        <v>#VALUE!</v>
      </c>
      <c r="BG3908" t="e" vm="2">
        <f t="shared" si="327"/>
        <v>#VALUE!</v>
      </c>
      <c r="BM3908">
        <f t="shared" ref="BM3908:BM3971" si="328">MONTH(BJ3908)</f>
        <v>1</v>
      </c>
      <c r="BN3908">
        <f t="shared" ref="BN3908:BN3971" si="329">YEAR(BJ3908)</f>
        <v>1900</v>
      </c>
    </row>
    <row r="3909" spans="55:66" x14ac:dyDescent="0.2">
      <c r="BC3909" s="21" t="e" vm="1">
        <v>#REF!</v>
      </c>
      <c r="BD3909" t="e" vm="1">
        <v>#REF!</v>
      </c>
      <c r="BF3909" t="e" vm="2">
        <f t="shared" si="326"/>
        <v>#VALUE!</v>
      </c>
      <c r="BG3909" t="e" vm="2">
        <f t="shared" si="327"/>
        <v>#VALUE!</v>
      </c>
      <c r="BM3909">
        <f t="shared" si="328"/>
        <v>1</v>
      </c>
      <c r="BN3909">
        <f t="shared" si="329"/>
        <v>1900</v>
      </c>
    </row>
    <row r="3910" spans="55:66" x14ac:dyDescent="0.2">
      <c r="BC3910" s="21" t="e" vm="1">
        <v>#REF!</v>
      </c>
      <c r="BD3910" t="e" vm="1">
        <v>#REF!</v>
      </c>
      <c r="BF3910" t="e" vm="2">
        <f t="shared" si="326"/>
        <v>#VALUE!</v>
      </c>
      <c r="BG3910" t="e" vm="2">
        <f t="shared" si="327"/>
        <v>#VALUE!</v>
      </c>
      <c r="BM3910">
        <f t="shared" si="328"/>
        <v>1</v>
      </c>
      <c r="BN3910">
        <f t="shared" si="329"/>
        <v>1900</v>
      </c>
    </row>
    <row r="3911" spans="55:66" x14ac:dyDescent="0.2">
      <c r="BC3911" s="21" t="e" vm="1">
        <v>#REF!</v>
      </c>
      <c r="BD3911" t="e" vm="1">
        <v>#REF!</v>
      </c>
      <c r="BF3911" t="e" vm="2">
        <f t="shared" si="326"/>
        <v>#VALUE!</v>
      </c>
      <c r="BG3911" t="e" vm="2">
        <f t="shared" si="327"/>
        <v>#VALUE!</v>
      </c>
      <c r="BM3911">
        <f t="shared" si="328"/>
        <v>1</v>
      </c>
      <c r="BN3911">
        <f t="shared" si="329"/>
        <v>1900</v>
      </c>
    </row>
    <row r="3912" spans="55:66" x14ac:dyDescent="0.2">
      <c r="BC3912" s="21" t="e" vm="1">
        <v>#REF!</v>
      </c>
      <c r="BD3912" t="e" vm="1">
        <v>#REF!</v>
      </c>
      <c r="BF3912" t="e" vm="2">
        <f t="shared" si="326"/>
        <v>#VALUE!</v>
      </c>
      <c r="BG3912" t="e" vm="2">
        <f t="shared" si="327"/>
        <v>#VALUE!</v>
      </c>
      <c r="BM3912">
        <f t="shared" si="328"/>
        <v>1</v>
      </c>
      <c r="BN3912">
        <f t="shared" si="329"/>
        <v>1900</v>
      </c>
    </row>
    <row r="3913" spans="55:66" x14ac:dyDescent="0.2">
      <c r="BC3913" s="21" t="e" vm="1">
        <v>#REF!</v>
      </c>
      <c r="BD3913" t="e" vm="1">
        <v>#REF!</v>
      </c>
      <c r="BF3913" t="e" vm="2">
        <f t="shared" si="326"/>
        <v>#VALUE!</v>
      </c>
      <c r="BG3913" t="e" vm="2">
        <f t="shared" si="327"/>
        <v>#VALUE!</v>
      </c>
      <c r="BM3913">
        <f t="shared" si="328"/>
        <v>1</v>
      </c>
      <c r="BN3913">
        <f t="shared" si="329"/>
        <v>1900</v>
      </c>
    </row>
    <row r="3914" spans="55:66" x14ac:dyDescent="0.2">
      <c r="BC3914" s="21" t="e" vm="1">
        <v>#REF!</v>
      </c>
      <c r="BD3914" t="e" vm="1">
        <v>#REF!</v>
      </c>
      <c r="BF3914" t="e" vm="2">
        <f t="shared" si="326"/>
        <v>#VALUE!</v>
      </c>
      <c r="BG3914" t="e" vm="2">
        <f t="shared" si="327"/>
        <v>#VALUE!</v>
      </c>
      <c r="BM3914">
        <f t="shared" si="328"/>
        <v>1</v>
      </c>
      <c r="BN3914">
        <f t="shared" si="329"/>
        <v>1900</v>
      </c>
    </row>
    <row r="3915" spans="55:66" x14ac:dyDescent="0.2">
      <c r="BC3915" s="21" t="e" vm="1">
        <v>#REF!</v>
      </c>
      <c r="BD3915" t="e" vm="1">
        <v>#REF!</v>
      </c>
      <c r="BF3915" t="e" vm="2">
        <f t="shared" si="326"/>
        <v>#VALUE!</v>
      </c>
      <c r="BG3915" t="e" vm="2">
        <f t="shared" si="327"/>
        <v>#VALUE!</v>
      </c>
      <c r="BM3915">
        <f t="shared" si="328"/>
        <v>1</v>
      </c>
      <c r="BN3915">
        <f t="shared" si="329"/>
        <v>1900</v>
      </c>
    </row>
    <row r="3916" spans="55:66" x14ac:dyDescent="0.2">
      <c r="BC3916" s="21" t="e" vm="1">
        <v>#REF!</v>
      </c>
      <c r="BD3916" t="e" vm="1">
        <v>#REF!</v>
      </c>
      <c r="BF3916" t="e" vm="2">
        <f t="shared" si="326"/>
        <v>#VALUE!</v>
      </c>
      <c r="BG3916" t="e" vm="2">
        <f t="shared" si="327"/>
        <v>#VALUE!</v>
      </c>
      <c r="BM3916">
        <f t="shared" si="328"/>
        <v>1</v>
      </c>
      <c r="BN3916">
        <f t="shared" si="329"/>
        <v>1900</v>
      </c>
    </row>
    <row r="3917" spans="55:66" x14ac:dyDescent="0.2">
      <c r="BC3917" s="21" t="e" vm="1">
        <v>#REF!</v>
      </c>
      <c r="BD3917" t="e" vm="1">
        <v>#REF!</v>
      </c>
      <c r="BF3917" t="e" vm="2">
        <f t="shared" si="326"/>
        <v>#VALUE!</v>
      </c>
      <c r="BG3917" t="e" vm="2">
        <f t="shared" si="327"/>
        <v>#VALUE!</v>
      </c>
      <c r="BM3917">
        <f t="shared" si="328"/>
        <v>1</v>
      </c>
      <c r="BN3917">
        <f t="shared" si="329"/>
        <v>1900</v>
      </c>
    </row>
    <row r="3918" spans="55:66" x14ac:dyDescent="0.2">
      <c r="BC3918" s="21" t="e" vm="1">
        <v>#REF!</v>
      </c>
      <c r="BD3918" t="e" vm="1">
        <v>#REF!</v>
      </c>
      <c r="BF3918" t="e" vm="2">
        <f t="shared" si="326"/>
        <v>#VALUE!</v>
      </c>
      <c r="BG3918" t="e" vm="2">
        <f t="shared" si="327"/>
        <v>#VALUE!</v>
      </c>
      <c r="BM3918">
        <f t="shared" si="328"/>
        <v>1</v>
      </c>
      <c r="BN3918">
        <f t="shared" si="329"/>
        <v>1900</v>
      </c>
    </row>
    <row r="3919" spans="55:66" x14ac:dyDescent="0.2">
      <c r="BC3919" s="21" t="e" vm="1">
        <v>#REF!</v>
      </c>
      <c r="BD3919" t="e" vm="1">
        <v>#REF!</v>
      </c>
      <c r="BF3919" t="e" vm="2">
        <f t="shared" si="326"/>
        <v>#VALUE!</v>
      </c>
      <c r="BG3919" t="e" vm="2">
        <f t="shared" si="327"/>
        <v>#VALUE!</v>
      </c>
      <c r="BM3919">
        <f t="shared" si="328"/>
        <v>1</v>
      </c>
      <c r="BN3919">
        <f t="shared" si="329"/>
        <v>1900</v>
      </c>
    </row>
    <row r="3920" spans="55:66" x14ac:dyDescent="0.2">
      <c r="BC3920" s="21" t="e" vm="1">
        <v>#REF!</v>
      </c>
      <c r="BD3920" t="e" vm="1">
        <v>#REF!</v>
      </c>
      <c r="BF3920" t="e" vm="2">
        <f t="shared" si="326"/>
        <v>#VALUE!</v>
      </c>
      <c r="BG3920" t="e" vm="2">
        <f t="shared" si="327"/>
        <v>#VALUE!</v>
      </c>
      <c r="BM3920">
        <f t="shared" si="328"/>
        <v>1</v>
      </c>
      <c r="BN3920">
        <f t="shared" si="329"/>
        <v>1900</v>
      </c>
    </row>
    <row r="3921" spans="55:66" x14ac:dyDescent="0.2">
      <c r="BC3921" s="21" t="e" vm="1">
        <v>#REF!</v>
      </c>
      <c r="BD3921" t="e" vm="1">
        <v>#REF!</v>
      </c>
      <c r="BF3921" t="e" vm="2">
        <f t="shared" si="326"/>
        <v>#VALUE!</v>
      </c>
      <c r="BG3921" t="e" vm="2">
        <f t="shared" si="327"/>
        <v>#VALUE!</v>
      </c>
      <c r="BM3921">
        <f t="shared" si="328"/>
        <v>1</v>
      </c>
      <c r="BN3921">
        <f t="shared" si="329"/>
        <v>1900</v>
      </c>
    </row>
    <row r="3922" spans="55:66" x14ac:dyDescent="0.2">
      <c r="BC3922" s="21" t="e" vm="1">
        <v>#REF!</v>
      </c>
      <c r="BD3922" t="e" vm="1">
        <v>#REF!</v>
      </c>
      <c r="BF3922" t="e" vm="2">
        <f t="shared" si="326"/>
        <v>#VALUE!</v>
      </c>
      <c r="BG3922" t="e" vm="2">
        <f t="shared" si="327"/>
        <v>#VALUE!</v>
      </c>
      <c r="BM3922">
        <f t="shared" si="328"/>
        <v>1</v>
      </c>
      <c r="BN3922">
        <f t="shared" si="329"/>
        <v>1900</v>
      </c>
    </row>
    <row r="3923" spans="55:66" x14ac:dyDescent="0.2">
      <c r="BC3923" s="21" t="e" vm="1">
        <v>#REF!</v>
      </c>
      <c r="BD3923" t="e" vm="1">
        <v>#REF!</v>
      </c>
      <c r="BF3923" t="e" vm="2">
        <f t="shared" si="326"/>
        <v>#VALUE!</v>
      </c>
      <c r="BG3923" t="e" vm="2">
        <f t="shared" si="327"/>
        <v>#VALUE!</v>
      </c>
      <c r="BM3923">
        <f t="shared" si="328"/>
        <v>1</v>
      </c>
      <c r="BN3923">
        <f t="shared" si="329"/>
        <v>1900</v>
      </c>
    </row>
    <row r="3924" spans="55:66" x14ac:dyDescent="0.2">
      <c r="BC3924" s="21" t="e" vm="1">
        <v>#REF!</v>
      </c>
      <c r="BD3924" t="e" vm="1">
        <v>#REF!</v>
      </c>
      <c r="BF3924" t="e" vm="2">
        <f t="shared" si="326"/>
        <v>#VALUE!</v>
      </c>
      <c r="BG3924" t="e" vm="2">
        <f t="shared" si="327"/>
        <v>#VALUE!</v>
      </c>
      <c r="BM3924">
        <f t="shared" si="328"/>
        <v>1</v>
      </c>
      <c r="BN3924">
        <f t="shared" si="329"/>
        <v>1900</v>
      </c>
    </row>
    <row r="3925" spans="55:66" x14ac:dyDescent="0.2">
      <c r="BC3925" s="21" t="e" vm="1">
        <v>#REF!</v>
      </c>
      <c r="BD3925" t="e" vm="1">
        <v>#REF!</v>
      </c>
      <c r="BF3925" t="e" vm="2">
        <f t="shared" si="326"/>
        <v>#VALUE!</v>
      </c>
      <c r="BG3925" t="e" vm="2">
        <f t="shared" si="327"/>
        <v>#VALUE!</v>
      </c>
      <c r="BM3925">
        <f t="shared" si="328"/>
        <v>1</v>
      </c>
      <c r="BN3925">
        <f t="shared" si="329"/>
        <v>1900</v>
      </c>
    </row>
    <row r="3926" spans="55:66" x14ac:dyDescent="0.2">
      <c r="BC3926" s="21" t="e" vm="1">
        <v>#REF!</v>
      </c>
      <c r="BD3926" t="e" vm="1">
        <v>#REF!</v>
      </c>
      <c r="BF3926" t="e" vm="2">
        <f t="shared" si="326"/>
        <v>#VALUE!</v>
      </c>
      <c r="BG3926" t="e" vm="2">
        <f t="shared" si="327"/>
        <v>#VALUE!</v>
      </c>
      <c r="BM3926">
        <f t="shared" si="328"/>
        <v>1</v>
      </c>
      <c r="BN3926">
        <f t="shared" si="329"/>
        <v>1900</v>
      </c>
    </row>
    <row r="3927" spans="55:66" x14ac:dyDescent="0.2">
      <c r="BC3927" s="21" t="e" vm="1">
        <v>#REF!</v>
      </c>
      <c r="BD3927" t="e" vm="1">
        <v>#REF!</v>
      </c>
      <c r="BF3927" t="e" vm="2">
        <f t="shared" si="326"/>
        <v>#VALUE!</v>
      </c>
      <c r="BG3927" t="e" vm="2">
        <f t="shared" si="327"/>
        <v>#VALUE!</v>
      </c>
      <c r="BM3927">
        <f t="shared" si="328"/>
        <v>1</v>
      </c>
      <c r="BN3927">
        <f t="shared" si="329"/>
        <v>1900</v>
      </c>
    </row>
    <row r="3928" spans="55:66" x14ac:dyDescent="0.2">
      <c r="BC3928" s="21" t="e" vm="1">
        <v>#REF!</v>
      </c>
      <c r="BD3928" t="e" vm="1">
        <v>#REF!</v>
      </c>
      <c r="BF3928" t="e" vm="2">
        <f t="shared" si="326"/>
        <v>#VALUE!</v>
      </c>
      <c r="BG3928" t="e" vm="2">
        <f t="shared" si="327"/>
        <v>#VALUE!</v>
      </c>
      <c r="BM3928">
        <f t="shared" si="328"/>
        <v>1</v>
      </c>
      <c r="BN3928">
        <f t="shared" si="329"/>
        <v>1900</v>
      </c>
    </row>
    <row r="3929" spans="55:66" x14ac:dyDescent="0.2">
      <c r="BC3929" s="21" t="e" vm="1">
        <v>#REF!</v>
      </c>
      <c r="BD3929" t="e" vm="1">
        <v>#REF!</v>
      </c>
      <c r="BF3929" t="e" vm="2">
        <f t="shared" si="326"/>
        <v>#VALUE!</v>
      </c>
      <c r="BG3929" t="e" vm="2">
        <f t="shared" si="327"/>
        <v>#VALUE!</v>
      </c>
      <c r="BM3929">
        <f t="shared" si="328"/>
        <v>1</v>
      </c>
      <c r="BN3929">
        <f t="shared" si="329"/>
        <v>1900</v>
      </c>
    </row>
    <row r="3930" spans="55:66" x14ac:dyDescent="0.2">
      <c r="BC3930" s="21" t="e" vm="1">
        <v>#REF!</v>
      </c>
      <c r="BD3930" t="e" vm="1">
        <v>#REF!</v>
      </c>
      <c r="BF3930" t="e" vm="2">
        <f t="shared" si="326"/>
        <v>#VALUE!</v>
      </c>
      <c r="BG3930" t="e" vm="2">
        <f t="shared" si="327"/>
        <v>#VALUE!</v>
      </c>
      <c r="BM3930">
        <f t="shared" si="328"/>
        <v>1</v>
      </c>
      <c r="BN3930">
        <f t="shared" si="329"/>
        <v>1900</v>
      </c>
    </row>
    <row r="3931" spans="55:66" x14ac:dyDescent="0.2">
      <c r="BC3931" s="21" t="e" vm="1">
        <v>#REF!</v>
      </c>
      <c r="BD3931" t="e" vm="1">
        <v>#REF!</v>
      </c>
      <c r="BF3931" t="e" vm="2">
        <f t="shared" si="326"/>
        <v>#VALUE!</v>
      </c>
      <c r="BG3931" t="e" vm="2">
        <f t="shared" si="327"/>
        <v>#VALUE!</v>
      </c>
      <c r="BM3931">
        <f t="shared" si="328"/>
        <v>1</v>
      </c>
      <c r="BN3931">
        <f t="shared" si="329"/>
        <v>1900</v>
      </c>
    </row>
    <row r="3932" spans="55:66" x14ac:dyDescent="0.2">
      <c r="BC3932" s="21" t="e" vm="1">
        <v>#REF!</v>
      </c>
      <c r="BD3932" t="e" vm="1">
        <v>#REF!</v>
      </c>
      <c r="BF3932" t="e" vm="2">
        <f t="shared" si="326"/>
        <v>#VALUE!</v>
      </c>
      <c r="BG3932" t="e" vm="2">
        <f t="shared" si="327"/>
        <v>#VALUE!</v>
      </c>
      <c r="BM3932">
        <f t="shared" si="328"/>
        <v>1</v>
      </c>
      <c r="BN3932">
        <f t="shared" si="329"/>
        <v>1900</v>
      </c>
    </row>
    <row r="3933" spans="55:66" x14ac:dyDescent="0.2">
      <c r="BC3933" s="21" t="e" vm="1">
        <v>#REF!</v>
      </c>
      <c r="BD3933" t="e" vm="1">
        <v>#REF!</v>
      </c>
      <c r="BF3933" t="e" vm="2">
        <f t="shared" si="326"/>
        <v>#VALUE!</v>
      </c>
      <c r="BG3933" t="e" vm="2">
        <f t="shared" si="327"/>
        <v>#VALUE!</v>
      </c>
      <c r="BM3933">
        <f t="shared" si="328"/>
        <v>1</v>
      </c>
      <c r="BN3933">
        <f t="shared" si="329"/>
        <v>1900</v>
      </c>
    </row>
    <row r="3934" spans="55:66" x14ac:dyDescent="0.2">
      <c r="BC3934" s="21" t="e" vm="1">
        <v>#REF!</v>
      </c>
      <c r="BD3934" t="e" vm="1">
        <v>#REF!</v>
      </c>
      <c r="BF3934" t="e" vm="2">
        <f t="shared" si="326"/>
        <v>#VALUE!</v>
      </c>
      <c r="BG3934" t="e" vm="2">
        <f t="shared" si="327"/>
        <v>#VALUE!</v>
      </c>
      <c r="BM3934">
        <f t="shared" si="328"/>
        <v>1</v>
      </c>
      <c r="BN3934">
        <f t="shared" si="329"/>
        <v>1900</v>
      </c>
    </row>
    <row r="3935" spans="55:66" x14ac:dyDescent="0.2">
      <c r="BC3935" s="21" t="e" vm="1">
        <v>#REF!</v>
      </c>
      <c r="BD3935" t="e" vm="1">
        <v>#REF!</v>
      </c>
      <c r="BF3935" t="e" vm="2">
        <f t="shared" si="326"/>
        <v>#VALUE!</v>
      </c>
      <c r="BG3935" t="e" vm="2">
        <f t="shared" si="327"/>
        <v>#VALUE!</v>
      </c>
      <c r="BM3935">
        <f t="shared" si="328"/>
        <v>1</v>
      </c>
      <c r="BN3935">
        <f t="shared" si="329"/>
        <v>1900</v>
      </c>
    </row>
    <row r="3936" spans="55:66" x14ac:dyDescent="0.2">
      <c r="BC3936" s="21" t="e" vm="1">
        <v>#REF!</v>
      </c>
      <c r="BD3936" t="e" vm="1">
        <v>#REF!</v>
      </c>
      <c r="BF3936" t="e" vm="2">
        <f t="shared" si="326"/>
        <v>#VALUE!</v>
      </c>
      <c r="BG3936" t="e" vm="2">
        <f t="shared" si="327"/>
        <v>#VALUE!</v>
      </c>
      <c r="BM3936">
        <f t="shared" si="328"/>
        <v>1</v>
      </c>
      <c r="BN3936">
        <f t="shared" si="329"/>
        <v>1900</v>
      </c>
    </row>
    <row r="3937" spans="55:66" x14ac:dyDescent="0.2">
      <c r="BC3937" s="21" t="e" vm="1">
        <v>#REF!</v>
      </c>
      <c r="BD3937" t="e" vm="1">
        <v>#REF!</v>
      </c>
      <c r="BF3937" t="e" vm="2">
        <f t="shared" si="326"/>
        <v>#VALUE!</v>
      </c>
      <c r="BG3937" t="e" vm="2">
        <f t="shared" si="327"/>
        <v>#VALUE!</v>
      </c>
      <c r="BM3937">
        <f t="shared" si="328"/>
        <v>1</v>
      </c>
      <c r="BN3937">
        <f t="shared" si="329"/>
        <v>1900</v>
      </c>
    </row>
    <row r="3938" spans="55:66" x14ac:dyDescent="0.2">
      <c r="BC3938" s="21" t="e" vm="1">
        <v>#REF!</v>
      </c>
      <c r="BD3938" t="e" vm="1">
        <v>#REF!</v>
      </c>
      <c r="BF3938" t="e" vm="2">
        <f t="shared" si="326"/>
        <v>#VALUE!</v>
      </c>
      <c r="BG3938" t="e" vm="2">
        <f t="shared" si="327"/>
        <v>#VALUE!</v>
      </c>
      <c r="BM3938">
        <f t="shared" si="328"/>
        <v>1</v>
      </c>
      <c r="BN3938">
        <f t="shared" si="329"/>
        <v>1900</v>
      </c>
    </row>
    <row r="3939" spans="55:66" x14ac:dyDescent="0.2">
      <c r="BC3939" s="21" t="e" vm="1">
        <v>#REF!</v>
      </c>
      <c r="BD3939" t="e" vm="1">
        <v>#REF!</v>
      </c>
      <c r="BF3939" t="e" vm="2">
        <f t="shared" si="326"/>
        <v>#VALUE!</v>
      </c>
      <c r="BG3939" t="e" vm="2">
        <f t="shared" si="327"/>
        <v>#VALUE!</v>
      </c>
      <c r="BM3939">
        <f t="shared" si="328"/>
        <v>1</v>
      </c>
      <c r="BN3939">
        <f t="shared" si="329"/>
        <v>1900</v>
      </c>
    </row>
    <row r="3940" spans="55:66" x14ac:dyDescent="0.2">
      <c r="BC3940" s="21" t="e" vm="1">
        <v>#REF!</v>
      </c>
      <c r="BD3940" t="e" vm="1">
        <v>#REF!</v>
      </c>
      <c r="BF3940" t="e" vm="2">
        <f t="shared" si="326"/>
        <v>#VALUE!</v>
      </c>
      <c r="BG3940" t="e" vm="2">
        <f t="shared" si="327"/>
        <v>#VALUE!</v>
      </c>
      <c r="BM3940">
        <f t="shared" si="328"/>
        <v>1</v>
      </c>
      <c r="BN3940">
        <f t="shared" si="329"/>
        <v>1900</v>
      </c>
    </row>
    <row r="3941" spans="55:66" x14ac:dyDescent="0.2">
      <c r="BC3941" s="21" t="e" vm="1">
        <v>#REF!</v>
      </c>
      <c r="BD3941" t="e" vm="1">
        <v>#REF!</v>
      </c>
      <c r="BF3941" t="e" vm="2">
        <f t="shared" si="326"/>
        <v>#VALUE!</v>
      </c>
      <c r="BG3941" t="e" vm="2">
        <f t="shared" si="327"/>
        <v>#VALUE!</v>
      </c>
      <c r="BM3941">
        <f t="shared" si="328"/>
        <v>1</v>
      </c>
      <c r="BN3941">
        <f t="shared" si="329"/>
        <v>1900</v>
      </c>
    </row>
    <row r="3942" spans="55:66" x14ac:dyDescent="0.2">
      <c r="BC3942" s="21" t="e" vm="1">
        <v>#REF!</v>
      </c>
      <c r="BD3942" t="e" vm="1">
        <v>#REF!</v>
      </c>
      <c r="BF3942" t="e" vm="2">
        <f t="shared" si="326"/>
        <v>#VALUE!</v>
      </c>
      <c r="BG3942" t="e" vm="2">
        <f t="shared" si="327"/>
        <v>#VALUE!</v>
      </c>
      <c r="BM3942">
        <f t="shared" si="328"/>
        <v>1</v>
      </c>
      <c r="BN3942">
        <f t="shared" si="329"/>
        <v>1900</v>
      </c>
    </row>
    <row r="3943" spans="55:66" x14ac:dyDescent="0.2">
      <c r="BC3943" s="21" t="e" vm="1">
        <v>#REF!</v>
      </c>
      <c r="BD3943" t="e" vm="1">
        <v>#REF!</v>
      </c>
      <c r="BF3943" t="e" vm="2">
        <f t="shared" si="326"/>
        <v>#VALUE!</v>
      </c>
      <c r="BG3943" t="e" vm="2">
        <f t="shared" si="327"/>
        <v>#VALUE!</v>
      </c>
      <c r="BM3943">
        <f t="shared" si="328"/>
        <v>1</v>
      </c>
      <c r="BN3943">
        <f t="shared" si="329"/>
        <v>1900</v>
      </c>
    </row>
    <row r="3944" spans="55:66" x14ac:dyDescent="0.2">
      <c r="BC3944" s="21" t="e" vm="1">
        <v>#REF!</v>
      </c>
      <c r="BD3944" t="e" vm="1">
        <v>#REF!</v>
      </c>
      <c r="BF3944" t="e" vm="2">
        <f t="shared" si="326"/>
        <v>#VALUE!</v>
      </c>
      <c r="BG3944" t="e" vm="2">
        <f t="shared" si="327"/>
        <v>#VALUE!</v>
      </c>
      <c r="BM3944">
        <f t="shared" si="328"/>
        <v>1</v>
      </c>
      <c r="BN3944">
        <f t="shared" si="329"/>
        <v>1900</v>
      </c>
    </row>
    <row r="3945" spans="55:66" x14ac:dyDescent="0.2">
      <c r="BC3945" s="21" t="e" vm="1">
        <v>#REF!</v>
      </c>
      <c r="BD3945" t="e" vm="1">
        <v>#REF!</v>
      </c>
      <c r="BF3945" t="e" vm="2">
        <f t="shared" si="326"/>
        <v>#VALUE!</v>
      </c>
      <c r="BG3945" t="e" vm="2">
        <f t="shared" si="327"/>
        <v>#VALUE!</v>
      </c>
      <c r="BM3945">
        <f t="shared" si="328"/>
        <v>1</v>
      </c>
      <c r="BN3945">
        <f t="shared" si="329"/>
        <v>1900</v>
      </c>
    </row>
    <row r="3946" spans="55:66" x14ac:dyDescent="0.2">
      <c r="BC3946" s="21" t="e" vm="1">
        <v>#REF!</v>
      </c>
      <c r="BD3946" t="e" vm="1">
        <v>#REF!</v>
      </c>
      <c r="BF3946" t="e" vm="2">
        <f t="shared" si="326"/>
        <v>#VALUE!</v>
      </c>
      <c r="BG3946" t="e" vm="2">
        <f t="shared" si="327"/>
        <v>#VALUE!</v>
      </c>
      <c r="BM3946">
        <f t="shared" si="328"/>
        <v>1</v>
      </c>
      <c r="BN3946">
        <f t="shared" si="329"/>
        <v>1900</v>
      </c>
    </row>
    <row r="3947" spans="55:66" x14ac:dyDescent="0.2">
      <c r="BC3947" s="21" t="e" vm="1">
        <v>#REF!</v>
      </c>
      <c r="BD3947" t="e" vm="1">
        <v>#REF!</v>
      </c>
      <c r="BF3947" t="e" vm="2">
        <f t="shared" si="326"/>
        <v>#VALUE!</v>
      </c>
      <c r="BG3947" t="e" vm="2">
        <f t="shared" si="327"/>
        <v>#VALUE!</v>
      </c>
      <c r="BM3947">
        <f t="shared" si="328"/>
        <v>1</v>
      </c>
      <c r="BN3947">
        <f t="shared" si="329"/>
        <v>1900</v>
      </c>
    </row>
    <row r="3948" spans="55:66" x14ac:dyDescent="0.2">
      <c r="BC3948" s="21" t="e" vm="1">
        <v>#REF!</v>
      </c>
      <c r="BD3948" t="e" vm="1">
        <v>#REF!</v>
      </c>
      <c r="BF3948" t="e" vm="2">
        <f t="shared" si="326"/>
        <v>#VALUE!</v>
      </c>
      <c r="BG3948" t="e" vm="2">
        <f t="shared" si="327"/>
        <v>#VALUE!</v>
      </c>
      <c r="BM3948">
        <f t="shared" si="328"/>
        <v>1</v>
      </c>
      <c r="BN3948">
        <f t="shared" si="329"/>
        <v>1900</v>
      </c>
    </row>
    <row r="3949" spans="55:66" x14ac:dyDescent="0.2">
      <c r="BC3949" s="21" t="e" vm="1">
        <v>#REF!</v>
      </c>
      <c r="BD3949" t="e" vm="1">
        <v>#REF!</v>
      </c>
      <c r="BF3949" t="e" vm="2">
        <f t="shared" si="326"/>
        <v>#VALUE!</v>
      </c>
      <c r="BG3949" t="e" vm="2">
        <f t="shared" si="327"/>
        <v>#VALUE!</v>
      </c>
      <c r="BM3949">
        <f t="shared" si="328"/>
        <v>1</v>
      </c>
      <c r="BN3949">
        <f t="shared" si="329"/>
        <v>1900</v>
      </c>
    </row>
    <row r="3950" spans="55:66" x14ac:dyDescent="0.2">
      <c r="BC3950" s="21" t="e" vm="1">
        <v>#REF!</v>
      </c>
      <c r="BD3950" t="e" vm="1">
        <v>#REF!</v>
      </c>
      <c r="BF3950" t="e" vm="2">
        <f t="shared" si="326"/>
        <v>#VALUE!</v>
      </c>
      <c r="BG3950" t="e" vm="2">
        <f t="shared" si="327"/>
        <v>#VALUE!</v>
      </c>
      <c r="BM3950">
        <f t="shared" si="328"/>
        <v>1</v>
      </c>
      <c r="BN3950">
        <f t="shared" si="329"/>
        <v>1900</v>
      </c>
    </row>
    <row r="3951" spans="55:66" x14ac:dyDescent="0.2">
      <c r="BC3951" s="21" t="e" vm="1">
        <v>#REF!</v>
      </c>
      <c r="BD3951" t="e" vm="1">
        <v>#REF!</v>
      </c>
      <c r="BF3951" t="e" vm="2">
        <f t="shared" si="326"/>
        <v>#VALUE!</v>
      </c>
      <c r="BG3951" t="e" vm="2">
        <f t="shared" si="327"/>
        <v>#VALUE!</v>
      </c>
      <c r="BM3951">
        <f t="shared" si="328"/>
        <v>1</v>
      </c>
      <c r="BN3951">
        <f t="shared" si="329"/>
        <v>1900</v>
      </c>
    </row>
    <row r="3952" spans="55:66" x14ac:dyDescent="0.2">
      <c r="BC3952" s="21" t="e" vm="1">
        <v>#REF!</v>
      </c>
      <c r="BD3952" t="e" vm="1">
        <v>#REF!</v>
      </c>
      <c r="BF3952" t="e" vm="2">
        <f t="shared" si="326"/>
        <v>#VALUE!</v>
      </c>
      <c r="BG3952" t="e" vm="2">
        <f t="shared" si="327"/>
        <v>#VALUE!</v>
      </c>
      <c r="BM3952">
        <f t="shared" si="328"/>
        <v>1</v>
      </c>
      <c r="BN3952">
        <f t="shared" si="329"/>
        <v>1900</v>
      </c>
    </row>
    <row r="3953" spans="55:66" x14ac:dyDescent="0.2">
      <c r="BC3953" s="21" t="e" vm="1">
        <v>#REF!</v>
      </c>
      <c r="BD3953" t="e" vm="1">
        <v>#REF!</v>
      </c>
      <c r="BF3953" t="e" vm="2">
        <f t="shared" si="326"/>
        <v>#VALUE!</v>
      </c>
      <c r="BG3953" t="e" vm="2">
        <f t="shared" si="327"/>
        <v>#VALUE!</v>
      </c>
      <c r="BM3953">
        <f t="shared" si="328"/>
        <v>1</v>
      </c>
      <c r="BN3953">
        <f t="shared" si="329"/>
        <v>1900</v>
      </c>
    </row>
    <row r="3954" spans="55:66" x14ac:dyDescent="0.2">
      <c r="BC3954" s="21" t="e" vm="1">
        <v>#REF!</v>
      </c>
      <c r="BD3954" t="e" vm="1">
        <v>#REF!</v>
      </c>
      <c r="BF3954" t="e" vm="2">
        <f t="shared" si="326"/>
        <v>#VALUE!</v>
      </c>
      <c r="BG3954" t="e" vm="2">
        <f t="shared" si="327"/>
        <v>#VALUE!</v>
      </c>
      <c r="BM3954">
        <f t="shared" si="328"/>
        <v>1</v>
      </c>
      <c r="BN3954">
        <f t="shared" si="329"/>
        <v>1900</v>
      </c>
    </row>
    <row r="3955" spans="55:66" x14ac:dyDescent="0.2">
      <c r="BC3955" s="21" t="e" vm="1">
        <v>#REF!</v>
      </c>
      <c r="BD3955" t="e" vm="1">
        <v>#REF!</v>
      </c>
      <c r="BF3955" t="e" vm="2">
        <f t="shared" si="326"/>
        <v>#VALUE!</v>
      </c>
      <c r="BG3955" t="e" vm="2">
        <f t="shared" si="327"/>
        <v>#VALUE!</v>
      </c>
      <c r="BM3955">
        <f t="shared" si="328"/>
        <v>1</v>
      </c>
      <c r="BN3955">
        <f t="shared" si="329"/>
        <v>1900</v>
      </c>
    </row>
    <row r="3956" spans="55:66" x14ac:dyDescent="0.2">
      <c r="BC3956" s="21" t="e" vm="1">
        <v>#REF!</v>
      </c>
      <c r="BD3956" t="e" vm="1">
        <v>#REF!</v>
      </c>
      <c r="BF3956" t="e" vm="2">
        <f t="shared" si="326"/>
        <v>#VALUE!</v>
      </c>
      <c r="BG3956" t="e" vm="2">
        <f t="shared" si="327"/>
        <v>#VALUE!</v>
      </c>
      <c r="BM3956">
        <f t="shared" si="328"/>
        <v>1</v>
      </c>
      <c r="BN3956">
        <f t="shared" si="329"/>
        <v>1900</v>
      </c>
    </row>
    <row r="3957" spans="55:66" x14ac:dyDescent="0.2">
      <c r="BC3957" s="21" t="e" vm="1">
        <v>#REF!</v>
      </c>
      <c r="BD3957" t="e" vm="1">
        <v>#REF!</v>
      </c>
      <c r="BF3957" t="e" vm="2">
        <f t="shared" si="326"/>
        <v>#VALUE!</v>
      </c>
      <c r="BG3957" t="e" vm="2">
        <f t="shared" si="327"/>
        <v>#VALUE!</v>
      </c>
      <c r="BM3957">
        <f t="shared" si="328"/>
        <v>1</v>
      </c>
      <c r="BN3957">
        <f t="shared" si="329"/>
        <v>1900</v>
      </c>
    </row>
    <row r="3958" spans="55:66" x14ac:dyDescent="0.2">
      <c r="BC3958" s="21" t="e" vm="1">
        <v>#REF!</v>
      </c>
      <c r="BD3958" t="e" vm="1">
        <v>#REF!</v>
      </c>
      <c r="BF3958" t="e" vm="2">
        <f t="shared" si="326"/>
        <v>#VALUE!</v>
      </c>
      <c r="BG3958" t="e" vm="2">
        <f t="shared" si="327"/>
        <v>#VALUE!</v>
      </c>
      <c r="BM3958">
        <f t="shared" si="328"/>
        <v>1</v>
      </c>
      <c r="BN3958">
        <f t="shared" si="329"/>
        <v>1900</v>
      </c>
    </row>
    <row r="3959" spans="55:66" x14ac:dyDescent="0.2">
      <c r="BC3959" s="21" t="e" vm="1">
        <v>#REF!</v>
      </c>
      <c r="BD3959" t="e" vm="1">
        <v>#REF!</v>
      </c>
      <c r="BF3959" t="e" vm="2">
        <f t="shared" si="326"/>
        <v>#VALUE!</v>
      </c>
      <c r="BG3959" t="e" vm="2">
        <f t="shared" si="327"/>
        <v>#VALUE!</v>
      </c>
      <c r="BM3959">
        <f t="shared" si="328"/>
        <v>1</v>
      </c>
      <c r="BN3959">
        <f t="shared" si="329"/>
        <v>1900</v>
      </c>
    </row>
    <row r="3960" spans="55:66" x14ac:dyDescent="0.2">
      <c r="BC3960" s="21" t="e" vm="1">
        <v>#REF!</v>
      </c>
      <c r="BD3960" t="e" vm="1">
        <v>#REF!</v>
      </c>
      <c r="BF3960" t="e" vm="2">
        <f t="shared" si="326"/>
        <v>#VALUE!</v>
      </c>
      <c r="BG3960" t="e" vm="2">
        <f t="shared" si="327"/>
        <v>#VALUE!</v>
      </c>
      <c r="BM3960">
        <f t="shared" si="328"/>
        <v>1</v>
      </c>
      <c r="BN3960">
        <f t="shared" si="329"/>
        <v>1900</v>
      </c>
    </row>
    <row r="3961" spans="55:66" x14ac:dyDescent="0.2">
      <c r="BC3961" s="21" t="e" vm="1">
        <v>#REF!</v>
      </c>
      <c r="BD3961" t="e" vm="1">
        <v>#REF!</v>
      </c>
      <c r="BF3961" t="e" vm="2">
        <f t="shared" si="326"/>
        <v>#VALUE!</v>
      </c>
      <c r="BG3961" t="e" vm="2">
        <f t="shared" si="327"/>
        <v>#VALUE!</v>
      </c>
      <c r="BM3961">
        <f t="shared" si="328"/>
        <v>1</v>
      </c>
      <c r="BN3961">
        <f t="shared" si="329"/>
        <v>1900</v>
      </c>
    </row>
    <row r="3962" spans="55:66" x14ac:dyDescent="0.2">
      <c r="BC3962" s="21" t="e" vm="1">
        <v>#REF!</v>
      </c>
      <c r="BD3962" t="e" vm="1">
        <v>#REF!</v>
      </c>
      <c r="BF3962" t="e" vm="2">
        <f t="shared" si="326"/>
        <v>#VALUE!</v>
      </c>
      <c r="BG3962" t="e" vm="2">
        <f t="shared" si="327"/>
        <v>#VALUE!</v>
      </c>
      <c r="BM3962">
        <f t="shared" si="328"/>
        <v>1</v>
      </c>
      <c r="BN3962">
        <f t="shared" si="329"/>
        <v>1900</v>
      </c>
    </row>
    <row r="3963" spans="55:66" x14ac:dyDescent="0.2">
      <c r="BC3963" s="21" t="e" vm="1">
        <v>#REF!</v>
      </c>
      <c r="BD3963" t="e" vm="1">
        <v>#REF!</v>
      </c>
      <c r="BF3963" t="e" vm="2">
        <f t="shared" si="326"/>
        <v>#VALUE!</v>
      </c>
      <c r="BG3963" t="e" vm="2">
        <f t="shared" si="327"/>
        <v>#VALUE!</v>
      </c>
      <c r="BM3963">
        <f t="shared" si="328"/>
        <v>1</v>
      </c>
      <c r="BN3963">
        <f t="shared" si="329"/>
        <v>1900</v>
      </c>
    </row>
    <row r="3964" spans="55:66" x14ac:dyDescent="0.2">
      <c r="BC3964" s="21" t="e" vm="1">
        <v>#REF!</v>
      </c>
      <c r="BD3964" t="e" vm="1">
        <v>#REF!</v>
      </c>
      <c r="BF3964" t="e" vm="2">
        <f t="shared" si="326"/>
        <v>#VALUE!</v>
      </c>
      <c r="BG3964" t="e" vm="2">
        <f t="shared" si="327"/>
        <v>#VALUE!</v>
      </c>
      <c r="BM3964">
        <f t="shared" si="328"/>
        <v>1</v>
      </c>
      <c r="BN3964">
        <f t="shared" si="329"/>
        <v>1900</v>
      </c>
    </row>
    <row r="3965" spans="55:66" x14ac:dyDescent="0.2">
      <c r="BC3965" s="21" t="e" vm="1">
        <v>#REF!</v>
      </c>
      <c r="BD3965" t="e" vm="1">
        <v>#REF!</v>
      </c>
      <c r="BF3965" t="e" vm="2">
        <f t="shared" si="326"/>
        <v>#VALUE!</v>
      </c>
      <c r="BG3965" t="e" vm="2">
        <f t="shared" si="327"/>
        <v>#VALUE!</v>
      </c>
      <c r="BM3965">
        <f t="shared" si="328"/>
        <v>1</v>
      </c>
      <c r="BN3965">
        <f t="shared" si="329"/>
        <v>1900</v>
      </c>
    </row>
    <row r="3966" spans="55:66" x14ac:dyDescent="0.2">
      <c r="BC3966" s="21" t="e" vm="1">
        <v>#REF!</v>
      </c>
      <c r="BD3966" t="e" vm="1">
        <v>#REF!</v>
      </c>
      <c r="BF3966" t="e" vm="2">
        <f t="shared" si="326"/>
        <v>#VALUE!</v>
      </c>
      <c r="BG3966" t="e" vm="2">
        <f t="shared" si="327"/>
        <v>#VALUE!</v>
      </c>
      <c r="BM3966">
        <f t="shared" si="328"/>
        <v>1</v>
      </c>
      <c r="BN3966">
        <f t="shared" si="329"/>
        <v>1900</v>
      </c>
    </row>
    <row r="3967" spans="55:66" x14ac:dyDescent="0.2">
      <c r="BC3967" s="21" t="e" vm="1">
        <v>#REF!</v>
      </c>
      <c r="BD3967" t="e" vm="1">
        <v>#REF!</v>
      </c>
      <c r="BF3967" t="e" vm="2">
        <f t="shared" si="326"/>
        <v>#VALUE!</v>
      </c>
      <c r="BG3967" t="e" vm="2">
        <f t="shared" si="327"/>
        <v>#VALUE!</v>
      </c>
      <c r="BM3967">
        <f t="shared" si="328"/>
        <v>1</v>
      </c>
      <c r="BN3967">
        <f t="shared" si="329"/>
        <v>1900</v>
      </c>
    </row>
    <row r="3968" spans="55:66" x14ac:dyDescent="0.2">
      <c r="BC3968" s="21" t="e" vm="1">
        <v>#REF!</v>
      </c>
      <c r="BD3968" t="e" vm="1">
        <v>#REF!</v>
      </c>
      <c r="BF3968" t="e" vm="2">
        <f t="shared" si="326"/>
        <v>#VALUE!</v>
      </c>
      <c r="BG3968" t="e" vm="2">
        <f t="shared" si="327"/>
        <v>#VALUE!</v>
      </c>
      <c r="BM3968">
        <f t="shared" si="328"/>
        <v>1</v>
      </c>
      <c r="BN3968">
        <f t="shared" si="329"/>
        <v>1900</v>
      </c>
    </row>
    <row r="3969" spans="55:66" x14ac:dyDescent="0.2">
      <c r="BC3969" s="21" t="e" vm="1">
        <v>#REF!</v>
      </c>
      <c r="BD3969" t="e" vm="1">
        <v>#REF!</v>
      </c>
      <c r="BF3969" t="e" vm="2">
        <f t="shared" si="326"/>
        <v>#VALUE!</v>
      </c>
      <c r="BG3969" t="e" vm="2">
        <f t="shared" si="327"/>
        <v>#VALUE!</v>
      </c>
      <c r="BM3969">
        <f t="shared" si="328"/>
        <v>1</v>
      </c>
      <c r="BN3969">
        <f t="shared" si="329"/>
        <v>1900</v>
      </c>
    </row>
    <row r="3970" spans="55:66" x14ac:dyDescent="0.2">
      <c r="BC3970" s="21" t="e" vm="1">
        <v>#REF!</v>
      </c>
      <c r="BD3970" t="e" vm="1">
        <v>#REF!</v>
      </c>
      <c r="BF3970" t="e" vm="2">
        <f t="shared" si="326"/>
        <v>#VALUE!</v>
      </c>
      <c r="BG3970" t="e" vm="2">
        <f t="shared" si="327"/>
        <v>#VALUE!</v>
      </c>
      <c r="BM3970">
        <f t="shared" si="328"/>
        <v>1</v>
      </c>
      <c r="BN3970">
        <f t="shared" si="329"/>
        <v>1900</v>
      </c>
    </row>
    <row r="3971" spans="55:66" x14ac:dyDescent="0.2">
      <c r="BC3971" s="21" t="e" vm="1">
        <v>#REF!</v>
      </c>
      <c r="BD3971" t="e" vm="1">
        <v>#REF!</v>
      </c>
      <c r="BF3971" t="e" vm="2">
        <f t="shared" ref="BF3971:BF4034" si="330">MONTH(BC3971)</f>
        <v>#VALUE!</v>
      </c>
      <c r="BG3971" t="e" vm="2">
        <f t="shared" ref="BG3971:BG4034" si="331">YEAR(BC3971)</f>
        <v>#VALUE!</v>
      </c>
      <c r="BM3971">
        <f t="shared" si="328"/>
        <v>1</v>
      </c>
      <c r="BN3971">
        <f t="shared" si="329"/>
        <v>1900</v>
      </c>
    </row>
    <row r="3972" spans="55:66" x14ac:dyDescent="0.2">
      <c r="BC3972" s="21" t="e" vm="1">
        <v>#REF!</v>
      </c>
      <c r="BD3972" t="e" vm="1">
        <v>#REF!</v>
      </c>
      <c r="BF3972" t="e" vm="2">
        <f t="shared" si="330"/>
        <v>#VALUE!</v>
      </c>
      <c r="BG3972" t="e" vm="2">
        <f t="shared" si="331"/>
        <v>#VALUE!</v>
      </c>
      <c r="BM3972">
        <f t="shared" ref="BM3972:BM4035" si="332">MONTH(BJ3972)</f>
        <v>1</v>
      </c>
      <c r="BN3972">
        <f t="shared" ref="BN3972:BN4035" si="333">YEAR(BJ3972)</f>
        <v>1900</v>
      </c>
    </row>
    <row r="3973" spans="55:66" x14ac:dyDescent="0.2">
      <c r="BC3973" s="21" t="e" vm="1">
        <v>#REF!</v>
      </c>
      <c r="BD3973" t="e" vm="1">
        <v>#REF!</v>
      </c>
      <c r="BF3973" t="e" vm="2">
        <f t="shared" si="330"/>
        <v>#VALUE!</v>
      </c>
      <c r="BG3973" t="e" vm="2">
        <f t="shared" si="331"/>
        <v>#VALUE!</v>
      </c>
      <c r="BM3973">
        <f t="shared" si="332"/>
        <v>1</v>
      </c>
      <c r="BN3973">
        <f t="shared" si="333"/>
        <v>1900</v>
      </c>
    </row>
    <row r="3974" spans="55:66" x14ac:dyDescent="0.2">
      <c r="BC3974" s="21" t="e" vm="1">
        <v>#REF!</v>
      </c>
      <c r="BD3974" t="e" vm="1">
        <v>#REF!</v>
      </c>
      <c r="BF3974" t="e" vm="2">
        <f t="shared" si="330"/>
        <v>#VALUE!</v>
      </c>
      <c r="BG3974" t="e" vm="2">
        <f t="shared" si="331"/>
        <v>#VALUE!</v>
      </c>
      <c r="BM3974">
        <f t="shared" si="332"/>
        <v>1</v>
      </c>
      <c r="BN3974">
        <f t="shared" si="333"/>
        <v>1900</v>
      </c>
    </row>
    <row r="3975" spans="55:66" x14ac:dyDescent="0.2">
      <c r="BC3975" s="21" t="e" vm="1">
        <v>#REF!</v>
      </c>
      <c r="BD3975" t="e" vm="1">
        <v>#REF!</v>
      </c>
      <c r="BF3975" t="e" vm="2">
        <f t="shared" si="330"/>
        <v>#VALUE!</v>
      </c>
      <c r="BG3975" t="e" vm="2">
        <f t="shared" si="331"/>
        <v>#VALUE!</v>
      </c>
      <c r="BM3975">
        <f t="shared" si="332"/>
        <v>1</v>
      </c>
      <c r="BN3975">
        <f t="shared" si="333"/>
        <v>1900</v>
      </c>
    </row>
    <row r="3976" spans="55:66" x14ac:dyDescent="0.2">
      <c r="BC3976" s="21" t="e" vm="1">
        <v>#REF!</v>
      </c>
      <c r="BD3976" t="e" vm="1">
        <v>#REF!</v>
      </c>
      <c r="BF3976" t="e" vm="2">
        <f t="shared" si="330"/>
        <v>#VALUE!</v>
      </c>
      <c r="BG3976" t="e" vm="2">
        <f t="shared" si="331"/>
        <v>#VALUE!</v>
      </c>
      <c r="BM3976">
        <f t="shared" si="332"/>
        <v>1</v>
      </c>
      <c r="BN3976">
        <f t="shared" si="333"/>
        <v>1900</v>
      </c>
    </row>
    <row r="3977" spans="55:66" x14ac:dyDescent="0.2">
      <c r="BC3977" s="21" t="e" vm="1">
        <v>#REF!</v>
      </c>
      <c r="BD3977" t="e" vm="1">
        <v>#REF!</v>
      </c>
      <c r="BF3977" t="e" vm="2">
        <f t="shared" si="330"/>
        <v>#VALUE!</v>
      </c>
      <c r="BG3977" t="e" vm="2">
        <f t="shared" si="331"/>
        <v>#VALUE!</v>
      </c>
      <c r="BM3977">
        <f t="shared" si="332"/>
        <v>1</v>
      </c>
      <c r="BN3977">
        <f t="shared" si="333"/>
        <v>1900</v>
      </c>
    </row>
    <row r="3978" spans="55:66" x14ac:dyDescent="0.2">
      <c r="BC3978" s="21" t="e" vm="1">
        <v>#REF!</v>
      </c>
      <c r="BD3978" t="e" vm="1">
        <v>#REF!</v>
      </c>
      <c r="BF3978" t="e" vm="2">
        <f t="shared" si="330"/>
        <v>#VALUE!</v>
      </c>
      <c r="BG3978" t="e" vm="2">
        <f t="shared" si="331"/>
        <v>#VALUE!</v>
      </c>
      <c r="BM3978">
        <f t="shared" si="332"/>
        <v>1</v>
      </c>
      <c r="BN3978">
        <f t="shared" si="333"/>
        <v>1900</v>
      </c>
    </row>
    <row r="3979" spans="55:66" x14ac:dyDescent="0.2">
      <c r="BC3979" s="21" t="e" vm="1">
        <v>#REF!</v>
      </c>
      <c r="BD3979" t="e" vm="1">
        <v>#REF!</v>
      </c>
      <c r="BF3979" t="e" vm="2">
        <f t="shared" si="330"/>
        <v>#VALUE!</v>
      </c>
      <c r="BG3979" t="e" vm="2">
        <f t="shared" si="331"/>
        <v>#VALUE!</v>
      </c>
      <c r="BM3979">
        <f t="shared" si="332"/>
        <v>1</v>
      </c>
      <c r="BN3979">
        <f t="shared" si="333"/>
        <v>1900</v>
      </c>
    </row>
    <row r="3980" spans="55:66" x14ac:dyDescent="0.2">
      <c r="BC3980" s="21" t="e" vm="1">
        <v>#REF!</v>
      </c>
      <c r="BD3980" t="e" vm="1">
        <v>#REF!</v>
      </c>
      <c r="BF3980" t="e" vm="2">
        <f t="shared" si="330"/>
        <v>#VALUE!</v>
      </c>
      <c r="BG3980" t="e" vm="2">
        <f t="shared" si="331"/>
        <v>#VALUE!</v>
      </c>
      <c r="BM3980">
        <f t="shared" si="332"/>
        <v>1</v>
      </c>
      <c r="BN3980">
        <f t="shared" si="333"/>
        <v>1900</v>
      </c>
    </row>
    <row r="3981" spans="55:66" x14ac:dyDescent="0.2">
      <c r="BC3981" s="21" t="e" vm="1">
        <v>#REF!</v>
      </c>
      <c r="BD3981" t="e" vm="1">
        <v>#REF!</v>
      </c>
      <c r="BF3981" t="e" vm="2">
        <f t="shared" si="330"/>
        <v>#VALUE!</v>
      </c>
      <c r="BG3981" t="e" vm="2">
        <f t="shared" si="331"/>
        <v>#VALUE!</v>
      </c>
      <c r="BM3981">
        <f t="shared" si="332"/>
        <v>1</v>
      </c>
      <c r="BN3981">
        <f t="shared" si="333"/>
        <v>1900</v>
      </c>
    </row>
    <row r="3982" spans="55:66" x14ac:dyDescent="0.2">
      <c r="BC3982" s="21" t="e" vm="1">
        <v>#REF!</v>
      </c>
      <c r="BD3982" t="e" vm="1">
        <v>#REF!</v>
      </c>
      <c r="BF3982" t="e" vm="2">
        <f t="shared" si="330"/>
        <v>#VALUE!</v>
      </c>
      <c r="BG3982" t="e" vm="2">
        <f t="shared" si="331"/>
        <v>#VALUE!</v>
      </c>
      <c r="BM3982">
        <f t="shared" si="332"/>
        <v>1</v>
      </c>
      <c r="BN3982">
        <f t="shared" si="333"/>
        <v>1900</v>
      </c>
    </row>
    <row r="3983" spans="55:66" x14ac:dyDescent="0.2">
      <c r="BC3983" s="21" t="e" vm="1">
        <v>#REF!</v>
      </c>
      <c r="BD3983" t="e" vm="1">
        <v>#REF!</v>
      </c>
      <c r="BF3983" t="e" vm="2">
        <f t="shared" si="330"/>
        <v>#VALUE!</v>
      </c>
      <c r="BG3983" t="e" vm="2">
        <f t="shared" si="331"/>
        <v>#VALUE!</v>
      </c>
      <c r="BM3983">
        <f t="shared" si="332"/>
        <v>1</v>
      </c>
      <c r="BN3983">
        <f t="shared" si="333"/>
        <v>1900</v>
      </c>
    </row>
    <row r="3984" spans="55:66" x14ac:dyDescent="0.2">
      <c r="BC3984" s="21" t="e" vm="1">
        <v>#REF!</v>
      </c>
      <c r="BD3984" t="e" vm="1">
        <v>#REF!</v>
      </c>
      <c r="BF3984" t="e" vm="2">
        <f t="shared" si="330"/>
        <v>#VALUE!</v>
      </c>
      <c r="BG3984" t="e" vm="2">
        <f t="shared" si="331"/>
        <v>#VALUE!</v>
      </c>
      <c r="BM3984">
        <f t="shared" si="332"/>
        <v>1</v>
      </c>
      <c r="BN3984">
        <f t="shared" si="333"/>
        <v>1900</v>
      </c>
    </row>
    <row r="3985" spans="55:66" x14ac:dyDescent="0.2">
      <c r="BC3985" s="21" t="e" vm="1">
        <v>#REF!</v>
      </c>
      <c r="BD3985" t="e" vm="1">
        <v>#REF!</v>
      </c>
      <c r="BF3985" t="e" vm="2">
        <f t="shared" si="330"/>
        <v>#VALUE!</v>
      </c>
      <c r="BG3985" t="e" vm="2">
        <f t="shared" si="331"/>
        <v>#VALUE!</v>
      </c>
      <c r="BM3985">
        <f t="shared" si="332"/>
        <v>1</v>
      </c>
      <c r="BN3985">
        <f t="shared" si="333"/>
        <v>1900</v>
      </c>
    </row>
    <row r="3986" spans="55:66" x14ac:dyDescent="0.2">
      <c r="BC3986" s="21" t="e" vm="1">
        <v>#REF!</v>
      </c>
      <c r="BD3986" t="e" vm="1">
        <v>#REF!</v>
      </c>
      <c r="BF3986" t="e" vm="2">
        <f t="shared" si="330"/>
        <v>#VALUE!</v>
      </c>
      <c r="BG3986" t="e" vm="2">
        <f t="shared" si="331"/>
        <v>#VALUE!</v>
      </c>
      <c r="BM3986">
        <f t="shared" si="332"/>
        <v>1</v>
      </c>
      <c r="BN3986">
        <f t="shared" si="333"/>
        <v>1900</v>
      </c>
    </row>
    <row r="3987" spans="55:66" x14ac:dyDescent="0.2">
      <c r="BC3987" s="21" t="e" vm="1">
        <v>#REF!</v>
      </c>
      <c r="BD3987" t="e" vm="1">
        <v>#REF!</v>
      </c>
      <c r="BF3987" t="e" vm="2">
        <f t="shared" si="330"/>
        <v>#VALUE!</v>
      </c>
      <c r="BG3987" t="e" vm="2">
        <f t="shared" si="331"/>
        <v>#VALUE!</v>
      </c>
      <c r="BM3987">
        <f t="shared" si="332"/>
        <v>1</v>
      </c>
      <c r="BN3987">
        <f t="shared" si="333"/>
        <v>1900</v>
      </c>
    </row>
    <row r="3988" spans="55:66" x14ac:dyDescent="0.2">
      <c r="BC3988" s="21" t="e" vm="1">
        <v>#REF!</v>
      </c>
      <c r="BD3988" t="e" vm="1">
        <v>#REF!</v>
      </c>
      <c r="BF3988" t="e" vm="2">
        <f t="shared" si="330"/>
        <v>#VALUE!</v>
      </c>
      <c r="BG3988" t="e" vm="2">
        <f t="shared" si="331"/>
        <v>#VALUE!</v>
      </c>
      <c r="BM3988">
        <f t="shared" si="332"/>
        <v>1</v>
      </c>
      <c r="BN3988">
        <f t="shared" si="333"/>
        <v>1900</v>
      </c>
    </row>
    <row r="3989" spans="55:66" x14ac:dyDescent="0.2">
      <c r="BC3989" s="21" t="e" vm="1">
        <v>#REF!</v>
      </c>
      <c r="BD3989" t="e" vm="1">
        <v>#REF!</v>
      </c>
      <c r="BF3989" t="e" vm="2">
        <f t="shared" si="330"/>
        <v>#VALUE!</v>
      </c>
      <c r="BG3989" t="e" vm="2">
        <f t="shared" si="331"/>
        <v>#VALUE!</v>
      </c>
      <c r="BM3989">
        <f t="shared" si="332"/>
        <v>1</v>
      </c>
      <c r="BN3989">
        <f t="shared" si="333"/>
        <v>1900</v>
      </c>
    </row>
    <row r="3990" spans="55:66" x14ac:dyDescent="0.2">
      <c r="BC3990" s="21" t="e" vm="1">
        <v>#REF!</v>
      </c>
      <c r="BD3990" t="e" vm="1">
        <v>#REF!</v>
      </c>
      <c r="BF3990" t="e" vm="2">
        <f t="shared" si="330"/>
        <v>#VALUE!</v>
      </c>
      <c r="BG3990" t="e" vm="2">
        <f t="shared" si="331"/>
        <v>#VALUE!</v>
      </c>
      <c r="BM3990">
        <f t="shared" si="332"/>
        <v>1</v>
      </c>
      <c r="BN3990">
        <f t="shared" si="333"/>
        <v>1900</v>
      </c>
    </row>
    <row r="3991" spans="55:66" x14ac:dyDescent="0.2">
      <c r="BC3991" s="21" t="e" vm="1">
        <v>#REF!</v>
      </c>
      <c r="BD3991" t="e" vm="1">
        <v>#REF!</v>
      </c>
      <c r="BF3991" t="e" vm="2">
        <f t="shared" si="330"/>
        <v>#VALUE!</v>
      </c>
      <c r="BG3991" t="e" vm="2">
        <f t="shared" si="331"/>
        <v>#VALUE!</v>
      </c>
      <c r="BM3991">
        <f t="shared" si="332"/>
        <v>1</v>
      </c>
      <c r="BN3991">
        <f t="shared" si="333"/>
        <v>1900</v>
      </c>
    </row>
    <row r="3992" spans="55:66" x14ac:dyDescent="0.2">
      <c r="BC3992" s="21" t="e" vm="1">
        <v>#REF!</v>
      </c>
      <c r="BD3992" t="e" vm="1">
        <v>#REF!</v>
      </c>
      <c r="BF3992" t="e" vm="2">
        <f t="shared" si="330"/>
        <v>#VALUE!</v>
      </c>
      <c r="BG3992" t="e" vm="2">
        <f t="shared" si="331"/>
        <v>#VALUE!</v>
      </c>
      <c r="BM3992">
        <f t="shared" si="332"/>
        <v>1</v>
      </c>
      <c r="BN3992">
        <f t="shared" si="333"/>
        <v>1900</v>
      </c>
    </row>
    <row r="3993" spans="55:66" x14ac:dyDescent="0.2">
      <c r="BC3993" s="21" t="e" vm="1">
        <v>#REF!</v>
      </c>
      <c r="BD3993" t="e" vm="1">
        <v>#REF!</v>
      </c>
      <c r="BF3993" t="e" vm="2">
        <f t="shared" si="330"/>
        <v>#VALUE!</v>
      </c>
      <c r="BG3993" t="e" vm="2">
        <f t="shared" si="331"/>
        <v>#VALUE!</v>
      </c>
      <c r="BM3993">
        <f t="shared" si="332"/>
        <v>1</v>
      </c>
      <c r="BN3993">
        <f t="shared" si="333"/>
        <v>1900</v>
      </c>
    </row>
    <row r="3994" spans="55:66" x14ac:dyDescent="0.2">
      <c r="BC3994" s="21" t="e" vm="1">
        <v>#REF!</v>
      </c>
      <c r="BD3994" t="e" vm="1">
        <v>#REF!</v>
      </c>
      <c r="BF3994" t="e" vm="2">
        <f t="shared" si="330"/>
        <v>#VALUE!</v>
      </c>
      <c r="BG3994" t="e" vm="2">
        <f t="shared" si="331"/>
        <v>#VALUE!</v>
      </c>
      <c r="BM3994">
        <f t="shared" si="332"/>
        <v>1</v>
      </c>
      <c r="BN3994">
        <f t="shared" si="333"/>
        <v>1900</v>
      </c>
    </row>
    <row r="3995" spans="55:66" x14ac:dyDescent="0.2">
      <c r="BC3995" s="21" t="e" vm="1">
        <v>#REF!</v>
      </c>
      <c r="BD3995" t="e" vm="1">
        <v>#REF!</v>
      </c>
      <c r="BF3995" t="e" vm="2">
        <f t="shared" si="330"/>
        <v>#VALUE!</v>
      </c>
      <c r="BG3995" t="e" vm="2">
        <f t="shared" si="331"/>
        <v>#VALUE!</v>
      </c>
      <c r="BM3995">
        <f t="shared" si="332"/>
        <v>1</v>
      </c>
      <c r="BN3995">
        <f t="shared" si="333"/>
        <v>1900</v>
      </c>
    </row>
    <row r="3996" spans="55:66" x14ac:dyDescent="0.2">
      <c r="BC3996" s="21" t="e" vm="1">
        <v>#REF!</v>
      </c>
      <c r="BD3996" t="e" vm="1">
        <v>#REF!</v>
      </c>
      <c r="BF3996" t="e" vm="2">
        <f t="shared" si="330"/>
        <v>#VALUE!</v>
      </c>
      <c r="BG3996" t="e" vm="2">
        <f t="shared" si="331"/>
        <v>#VALUE!</v>
      </c>
      <c r="BM3996">
        <f t="shared" si="332"/>
        <v>1</v>
      </c>
      <c r="BN3996">
        <f t="shared" si="333"/>
        <v>1900</v>
      </c>
    </row>
    <row r="3997" spans="55:66" x14ac:dyDescent="0.2">
      <c r="BC3997" s="21" t="e" vm="1">
        <v>#REF!</v>
      </c>
      <c r="BD3997" t="e" vm="1">
        <v>#REF!</v>
      </c>
      <c r="BF3997" t="e" vm="2">
        <f t="shared" si="330"/>
        <v>#VALUE!</v>
      </c>
      <c r="BG3997" t="e" vm="2">
        <f t="shared" si="331"/>
        <v>#VALUE!</v>
      </c>
      <c r="BM3997">
        <f t="shared" si="332"/>
        <v>1</v>
      </c>
      <c r="BN3997">
        <f t="shared" si="333"/>
        <v>1900</v>
      </c>
    </row>
    <row r="3998" spans="55:66" x14ac:dyDescent="0.2">
      <c r="BC3998" s="21" t="e" vm="1">
        <v>#REF!</v>
      </c>
      <c r="BD3998" t="e" vm="1">
        <v>#REF!</v>
      </c>
      <c r="BF3998" t="e" vm="2">
        <f t="shared" si="330"/>
        <v>#VALUE!</v>
      </c>
      <c r="BG3998" t="e" vm="2">
        <f t="shared" si="331"/>
        <v>#VALUE!</v>
      </c>
      <c r="BM3998">
        <f t="shared" si="332"/>
        <v>1</v>
      </c>
      <c r="BN3998">
        <f t="shared" si="333"/>
        <v>1900</v>
      </c>
    </row>
    <row r="3999" spans="55:66" x14ac:dyDescent="0.2">
      <c r="BC3999" s="21" t="e" vm="1">
        <v>#REF!</v>
      </c>
      <c r="BD3999" t="e" vm="1">
        <v>#REF!</v>
      </c>
      <c r="BF3999" t="e" vm="2">
        <f t="shared" si="330"/>
        <v>#VALUE!</v>
      </c>
      <c r="BG3999" t="e" vm="2">
        <f t="shared" si="331"/>
        <v>#VALUE!</v>
      </c>
      <c r="BM3999">
        <f t="shared" si="332"/>
        <v>1</v>
      </c>
      <c r="BN3999">
        <f t="shared" si="333"/>
        <v>1900</v>
      </c>
    </row>
    <row r="4000" spans="55:66" x14ac:dyDescent="0.2">
      <c r="BC4000" s="21" t="e" vm="1">
        <v>#REF!</v>
      </c>
      <c r="BD4000" t="e" vm="1">
        <v>#REF!</v>
      </c>
      <c r="BF4000" t="e" vm="2">
        <f t="shared" si="330"/>
        <v>#VALUE!</v>
      </c>
      <c r="BG4000" t="e" vm="2">
        <f t="shared" si="331"/>
        <v>#VALUE!</v>
      </c>
      <c r="BM4000">
        <f t="shared" si="332"/>
        <v>1</v>
      </c>
      <c r="BN4000">
        <f t="shared" si="333"/>
        <v>1900</v>
      </c>
    </row>
    <row r="4001" spans="55:66" x14ac:dyDescent="0.2">
      <c r="BC4001" s="21" t="e" vm="1">
        <v>#REF!</v>
      </c>
      <c r="BD4001" t="e" vm="1">
        <v>#REF!</v>
      </c>
      <c r="BF4001" t="e" vm="2">
        <f t="shared" si="330"/>
        <v>#VALUE!</v>
      </c>
      <c r="BG4001" t="e" vm="2">
        <f t="shared" si="331"/>
        <v>#VALUE!</v>
      </c>
      <c r="BM4001">
        <f t="shared" si="332"/>
        <v>1</v>
      </c>
      <c r="BN4001">
        <f t="shared" si="333"/>
        <v>1900</v>
      </c>
    </row>
    <row r="4002" spans="55:66" x14ac:dyDescent="0.2">
      <c r="BC4002" s="21" t="e" vm="1">
        <v>#REF!</v>
      </c>
      <c r="BD4002" t="e" vm="1">
        <v>#REF!</v>
      </c>
      <c r="BF4002" t="e" vm="2">
        <f t="shared" si="330"/>
        <v>#VALUE!</v>
      </c>
      <c r="BG4002" t="e" vm="2">
        <f t="shared" si="331"/>
        <v>#VALUE!</v>
      </c>
      <c r="BM4002">
        <f t="shared" si="332"/>
        <v>1</v>
      </c>
      <c r="BN4002">
        <f t="shared" si="333"/>
        <v>1900</v>
      </c>
    </row>
    <row r="4003" spans="55:66" x14ac:dyDescent="0.2">
      <c r="BC4003" s="21" t="e" vm="1">
        <v>#REF!</v>
      </c>
      <c r="BD4003" t="e" vm="1">
        <v>#REF!</v>
      </c>
      <c r="BF4003" t="e" vm="2">
        <f t="shared" si="330"/>
        <v>#VALUE!</v>
      </c>
      <c r="BG4003" t="e" vm="2">
        <f t="shared" si="331"/>
        <v>#VALUE!</v>
      </c>
      <c r="BM4003">
        <f t="shared" si="332"/>
        <v>1</v>
      </c>
      <c r="BN4003">
        <f t="shared" si="333"/>
        <v>1900</v>
      </c>
    </row>
    <row r="4004" spans="55:66" x14ac:dyDescent="0.2">
      <c r="BC4004" s="21" t="e" vm="1">
        <v>#REF!</v>
      </c>
      <c r="BD4004" t="e" vm="1">
        <v>#REF!</v>
      </c>
      <c r="BF4004" t="e" vm="2">
        <f t="shared" si="330"/>
        <v>#VALUE!</v>
      </c>
      <c r="BG4004" t="e" vm="2">
        <f t="shared" si="331"/>
        <v>#VALUE!</v>
      </c>
      <c r="BM4004">
        <f t="shared" si="332"/>
        <v>1</v>
      </c>
      <c r="BN4004">
        <f t="shared" si="333"/>
        <v>1900</v>
      </c>
    </row>
    <row r="4005" spans="55:66" x14ac:dyDescent="0.2">
      <c r="BC4005" s="21" t="e" vm="1">
        <v>#REF!</v>
      </c>
      <c r="BD4005" t="e" vm="1">
        <v>#REF!</v>
      </c>
      <c r="BF4005" t="e" vm="2">
        <f t="shared" si="330"/>
        <v>#VALUE!</v>
      </c>
      <c r="BG4005" t="e" vm="2">
        <f t="shared" si="331"/>
        <v>#VALUE!</v>
      </c>
      <c r="BM4005">
        <f t="shared" si="332"/>
        <v>1</v>
      </c>
      <c r="BN4005">
        <f t="shared" si="333"/>
        <v>1900</v>
      </c>
    </row>
    <row r="4006" spans="55:66" x14ac:dyDescent="0.2">
      <c r="BC4006" s="21" t="e" vm="1">
        <v>#REF!</v>
      </c>
      <c r="BD4006" t="e" vm="1">
        <v>#REF!</v>
      </c>
      <c r="BF4006" t="e" vm="2">
        <f t="shared" si="330"/>
        <v>#VALUE!</v>
      </c>
      <c r="BG4006" t="e" vm="2">
        <f t="shared" si="331"/>
        <v>#VALUE!</v>
      </c>
      <c r="BM4006">
        <f t="shared" si="332"/>
        <v>1</v>
      </c>
      <c r="BN4006">
        <f t="shared" si="333"/>
        <v>1900</v>
      </c>
    </row>
    <row r="4007" spans="55:66" x14ac:dyDescent="0.2">
      <c r="BC4007" s="21" t="e" vm="1">
        <v>#REF!</v>
      </c>
      <c r="BD4007" t="e" vm="1">
        <v>#REF!</v>
      </c>
      <c r="BF4007" t="e" vm="2">
        <f t="shared" si="330"/>
        <v>#VALUE!</v>
      </c>
      <c r="BG4007" t="e" vm="2">
        <f t="shared" si="331"/>
        <v>#VALUE!</v>
      </c>
      <c r="BM4007">
        <f t="shared" si="332"/>
        <v>1</v>
      </c>
      <c r="BN4007">
        <f t="shared" si="333"/>
        <v>1900</v>
      </c>
    </row>
    <row r="4008" spans="55:66" x14ac:dyDescent="0.2">
      <c r="BC4008" s="21" t="e" vm="1">
        <v>#REF!</v>
      </c>
      <c r="BD4008" t="e" vm="1">
        <v>#REF!</v>
      </c>
      <c r="BF4008" t="e" vm="2">
        <f t="shared" si="330"/>
        <v>#VALUE!</v>
      </c>
      <c r="BG4008" t="e" vm="2">
        <f t="shared" si="331"/>
        <v>#VALUE!</v>
      </c>
      <c r="BM4008">
        <f t="shared" si="332"/>
        <v>1</v>
      </c>
      <c r="BN4008">
        <f t="shared" si="333"/>
        <v>1900</v>
      </c>
    </row>
    <row r="4009" spans="55:66" x14ac:dyDescent="0.2">
      <c r="BC4009" s="21" t="e" vm="1">
        <v>#REF!</v>
      </c>
      <c r="BD4009" t="e" vm="1">
        <v>#REF!</v>
      </c>
      <c r="BF4009" t="e" vm="2">
        <f t="shared" si="330"/>
        <v>#VALUE!</v>
      </c>
      <c r="BG4009" t="e" vm="2">
        <f t="shared" si="331"/>
        <v>#VALUE!</v>
      </c>
      <c r="BM4009">
        <f t="shared" si="332"/>
        <v>1</v>
      </c>
      <c r="BN4009">
        <f t="shared" si="333"/>
        <v>1900</v>
      </c>
    </row>
    <row r="4010" spans="55:66" x14ac:dyDescent="0.2">
      <c r="BC4010" s="21" t="e" vm="1">
        <v>#REF!</v>
      </c>
      <c r="BD4010" t="e" vm="1">
        <v>#REF!</v>
      </c>
      <c r="BF4010" t="e" vm="2">
        <f t="shared" si="330"/>
        <v>#VALUE!</v>
      </c>
      <c r="BG4010" t="e" vm="2">
        <f t="shared" si="331"/>
        <v>#VALUE!</v>
      </c>
      <c r="BM4010">
        <f t="shared" si="332"/>
        <v>1</v>
      </c>
      <c r="BN4010">
        <f t="shared" si="333"/>
        <v>1900</v>
      </c>
    </row>
    <row r="4011" spans="55:66" x14ac:dyDescent="0.2">
      <c r="BC4011" s="21" t="e" vm="1">
        <v>#REF!</v>
      </c>
      <c r="BD4011" t="e" vm="1">
        <v>#REF!</v>
      </c>
      <c r="BF4011" t="e" vm="2">
        <f t="shared" si="330"/>
        <v>#VALUE!</v>
      </c>
      <c r="BG4011" t="e" vm="2">
        <f t="shared" si="331"/>
        <v>#VALUE!</v>
      </c>
      <c r="BM4011">
        <f t="shared" si="332"/>
        <v>1</v>
      </c>
      <c r="BN4011">
        <f t="shared" si="333"/>
        <v>1900</v>
      </c>
    </row>
    <row r="4012" spans="55:66" x14ac:dyDescent="0.2">
      <c r="BC4012" s="21" t="e" vm="1">
        <v>#REF!</v>
      </c>
      <c r="BD4012" t="e" vm="1">
        <v>#REF!</v>
      </c>
      <c r="BF4012" t="e" vm="2">
        <f t="shared" si="330"/>
        <v>#VALUE!</v>
      </c>
      <c r="BG4012" t="e" vm="2">
        <f t="shared" si="331"/>
        <v>#VALUE!</v>
      </c>
      <c r="BM4012">
        <f t="shared" si="332"/>
        <v>1</v>
      </c>
      <c r="BN4012">
        <f t="shared" si="333"/>
        <v>1900</v>
      </c>
    </row>
    <row r="4013" spans="55:66" x14ac:dyDescent="0.2">
      <c r="BC4013" s="21" t="e" vm="1">
        <v>#REF!</v>
      </c>
      <c r="BD4013" t="e" vm="1">
        <v>#REF!</v>
      </c>
      <c r="BF4013" t="e" vm="2">
        <f t="shared" si="330"/>
        <v>#VALUE!</v>
      </c>
      <c r="BG4013" t="e" vm="2">
        <f t="shared" si="331"/>
        <v>#VALUE!</v>
      </c>
      <c r="BM4013">
        <f t="shared" si="332"/>
        <v>1</v>
      </c>
      <c r="BN4013">
        <f t="shared" si="333"/>
        <v>1900</v>
      </c>
    </row>
    <row r="4014" spans="55:66" x14ac:dyDescent="0.2">
      <c r="BC4014" s="21" t="e" vm="1">
        <v>#REF!</v>
      </c>
      <c r="BD4014" t="e" vm="1">
        <v>#REF!</v>
      </c>
      <c r="BF4014" t="e" vm="2">
        <f t="shared" si="330"/>
        <v>#VALUE!</v>
      </c>
      <c r="BG4014" t="e" vm="2">
        <f t="shared" si="331"/>
        <v>#VALUE!</v>
      </c>
      <c r="BM4014">
        <f t="shared" si="332"/>
        <v>1</v>
      </c>
      <c r="BN4014">
        <f t="shared" si="333"/>
        <v>1900</v>
      </c>
    </row>
    <row r="4015" spans="55:66" x14ac:dyDescent="0.2">
      <c r="BC4015" s="21" t="e" vm="1">
        <v>#REF!</v>
      </c>
      <c r="BD4015" t="e" vm="1">
        <v>#REF!</v>
      </c>
      <c r="BF4015" t="e" vm="2">
        <f t="shared" si="330"/>
        <v>#VALUE!</v>
      </c>
      <c r="BG4015" t="e" vm="2">
        <f t="shared" si="331"/>
        <v>#VALUE!</v>
      </c>
      <c r="BM4015">
        <f t="shared" si="332"/>
        <v>1</v>
      </c>
      <c r="BN4015">
        <f t="shared" si="333"/>
        <v>1900</v>
      </c>
    </row>
    <row r="4016" spans="55:66" x14ac:dyDescent="0.2">
      <c r="BC4016" s="21" t="e" vm="1">
        <v>#REF!</v>
      </c>
      <c r="BD4016" t="e" vm="1">
        <v>#REF!</v>
      </c>
      <c r="BF4016" t="e" vm="2">
        <f t="shared" si="330"/>
        <v>#VALUE!</v>
      </c>
      <c r="BG4016" t="e" vm="2">
        <f t="shared" si="331"/>
        <v>#VALUE!</v>
      </c>
      <c r="BM4016">
        <f t="shared" si="332"/>
        <v>1</v>
      </c>
      <c r="BN4016">
        <f t="shared" si="333"/>
        <v>1900</v>
      </c>
    </row>
    <row r="4017" spans="55:66" x14ac:dyDescent="0.2">
      <c r="BC4017" s="21" t="e" vm="1">
        <v>#REF!</v>
      </c>
      <c r="BD4017" t="e" vm="1">
        <v>#REF!</v>
      </c>
      <c r="BF4017" t="e" vm="2">
        <f t="shared" si="330"/>
        <v>#VALUE!</v>
      </c>
      <c r="BG4017" t="e" vm="2">
        <f t="shared" si="331"/>
        <v>#VALUE!</v>
      </c>
      <c r="BM4017">
        <f t="shared" si="332"/>
        <v>1</v>
      </c>
      <c r="BN4017">
        <f t="shared" si="333"/>
        <v>1900</v>
      </c>
    </row>
    <row r="4018" spans="55:66" x14ac:dyDescent="0.2">
      <c r="BC4018" s="21" t="e" vm="1">
        <v>#REF!</v>
      </c>
      <c r="BD4018" t="e" vm="1">
        <v>#REF!</v>
      </c>
      <c r="BF4018" t="e" vm="2">
        <f t="shared" si="330"/>
        <v>#VALUE!</v>
      </c>
      <c r="BG4018" t="e" vm="2">
        <f t="shared" si="331"/>
        <v>#VALUE!</v>
      </c>
      <c r="BM4018">
        <f t="shared" si="332"/>
        <v>1</v>
      </c>
      <c r="BN4018">
        <f t="shared" si="333"/>
        <v>1900</v>
      </c>
    </row>
    <row r="4019" spans="55:66" x14ac:dyDescent="0.2">
      <c r="BC4019" s="21" t="e" vm="1">
        <v>#REF!</v>
      </c>
      <c r="BD4019" t="e" vm="1">
        <v>#REF!</v>
      </c>
      <c r="BF4019" t="e" vm="2">
        <f t="shared" si="330"/>
        <v>#VALUE!</v>
      </c>
      <c r="BG4019" t="e" vm="2">
        <f t="shared" si="331"/>
        <v>#VALUE!</v>
      </c>
      <c r="BM4019">
        <f t="shared" si="332"/>
        <v>1</v>
      </c>
      <c r="BN4019">
        <f t="shared" si="333"/>
        <v>1900</v>
      </c>
    </row>
    <row r="4020" spans="55:66" x14ac:dyDescent="0.2">
      <c r="BC4020" s="21" t="e" vm="1">
        <v>#REF!</v>
      </c>
      <c r="BD4020" t="e" vm="1">
        <v>#REF!</v>
      </c>
      <c r="BF4020" t="e" vm="2">
        <f t="shared" si="330"/>
        <v>#VALUE!</v>
      </c>
      <c r="BG4020" t="e" vm="2">
        <f t="shared" si="331"/>
        <v>#VALUE!</v>
      </c>
      <c r="BM4020">
        <f t="shared" si="332"/>
        <v>1</v>
      </c>
      <c r="BN4020">
        <f t="shared" si="333"/>
        <v>1900</v>
      </c>
    </row>
    <row r="4021" spans="55:66" x14ac:dyDescent="0.2">
      <c r="BC4021" s="21" t="e" vm="1">
        <v>#REF!</v>
      </c>
      <c r="BD4021" t="e" vm="1">
        <v>#REF!</v>
      </c>
      <c r="BF4021" t="e" vm="2">
        <f t="shared" si="330"/>
        <v>#VALUE!</v>
      </c>
      <c r="BG4021" t="e" vm="2">
        <f t="shared" si="331"/>
        <v>#VALUE!</v>
      </c>
      <c r="BM4021">
        <f t="shared" si="332"/>
        <v>1</v>
      </c>
      <c r="BN4021">
        <f t="shared" si="333"/>
        <v>1900</v>
      </c>
    </row>
    <row r="4022" spans="55:66" x14ac:dyDescent="0.2">
      <c r="BC4022" s="21" t="e" vm="1">
        <v>#REF!</v>
      </c>
      <c r="BD4022" t="e" vm="1">
        <v>#REF!</v>
      </c>
      <c r="BF4022" t="e" vm="2">
        <f t="shared" si="330"/>
        <v>#VALUE!</v>
      </c>
      <c r="BG4022" t="e" vm="2">
        <f t="shared" si="331"/>
        <v>#VALUE!</v>
      </c>
      <c r="BM4022">
        <f t="shared" si="332"/>
        <v>1</v>
      </c>
      <c r="BN4022">
        <f t="shared" si="333"/>
        <v>1900</v>
      </c>
    </row>
    <row r="4023" spans="55:66" x14ac:dyDescent="0.2">
      <c r="BC4023" s="21" t="e" vm="1">
        <v>#REF!</v>
      </c>
      <c r="BD4023" t="e" vm="1">
        <v>#REF!</v>
      </c>
      <c r="BF4023" t="e" vm="2">
        <f t="shared" si="330"/>
        <v>#VALUE!</v>
      </c>
      <c r="BG4023" t="e" vm="2">
        <f t="shared" si="331"/>
        <v>#VALUE!</v>
      </c>
      <c r="BM4023">
        <f t="shared" si="332"/>
        <v>1</v>
      </c>
      <c r="BN4023">
        <f t="shared" si="333"/>
        <v>1900</v>
      </c>
    </row>
    <row r="4024" spans="55:66" x14ac:dyDescent="0.2">
      <c r="BC4024" s="21" t="e" vm="1">
        <v>#REF!</v>
      </c>
      <c r="BD4024" t="e" vm="1">
        <v>#REF!</v>
      </c>
      <c r="BF4024" t="e" vm="2">
        <f t="shared" si="330"/>
        <v>#VALUE!</v>
      </c>
      <c r="BG4024" t="e" vm="2">
        <f t="shared" si="331"/>
        <v>#VALUE!</v>
      </c>
      <c r="BM4024">
        <f t="shared" si="332"/>
        <v>1</v>
      </c>
      <c r="BN4024">
        <f t="shared" si="333"/>
        <v>1900</v>
      </c>
    </row>
    <row r="4025" spans="55:66" x14ac:dyDescent="0.2">
      <c r="BC4025" s="21" t="e" vm="1">
        <v>#REF!</v>
      </c>
      <c r="BD4025" t="e" vm="1">
        <v>#REF!</v>
      </c>
      <c r="BF4025" t="e" vm="2">
        <f t="shared" si="330"/>
        <v>#VALUE!</v>
      </c>
      <c r="BG4025" t="e" vm="2">
        <f t="shared" si="331"/>
        <v>#VALUE!</v>
      </c>
      <c r="BM4025">
        <f t="shared" si="332"/>
        <v>1</v>
      </c>
      <c r="BN4025">
        <f t="shared" si="333"/>
        <v>1900</v>
      </c>
    </row>
    <row r="4026" spans="55:66" x14ac:dyDescent="0.2">
      <c r="BC4026" s="21" t="e" vm="1">
        <v>#REF!</v>
      </c>
      <c r="BD4026" t="e" vm="1">
        <v>#REF!</v>
      </c>
      <c r="BF4026" t="e" vm="2">
        <f t="shared" si="330"/>
        <v>#VALUE!</v>
      </c>
      <c r="BG4026" t="e" vm="2">
        <f t="shared" si="331"/>
        <v>#VALUE!</v>
      </c>
      <c r="BM4026">
        <f t="shared" si="332"/>
        <v>1</v>
      </c>
      <c r="BN4026">
        <f t="shared" si="333"/>
        <v>1900</v>
      </c>
    </row>
    <row r="4027" spans="55:66" x14ac:dyDescent="0.2">
      <c r="BC4027" s="21" t="e" vm="1">
        <v>#REF!</v>
      </c>
      <c r="BD4027" t="e" vm="1">
        <v>#REF!</v>
      </c>
      <c r="BF4027" t="e" vm="2">
        <f t="shared" si="330"/>
        <v>#VALUE!</v>
      </c>
      <c r="BG4027" t="e" vm="2">
        <f t="shared" si="331"/>
        <v>#VALUE!</v>
      </c>
      <c r="BM4027">
        <f t="shared" si="332"/>
        <v>1</v>
      </c>
      <c r="BN4027">
        <f t="shared" si="333"/>
        <v>1900</v>
      </c>
    </row>
    <row r="4028" spans="55:66" x14ac:dyDescent="0.2">
      <c r="BC4028" s="21" t="e" vm="1">
        <v>#REF!</v>
      </c>
      <c r="BD4028" t="e" vm="1">
        <v>#REF!</v>
      </c>
      <c r="BF4028" t="e" vm="2">
        <f t="shared" si="330"/>
        <v>#VALUE!</v>
      </c>
      <c r="BG4028" t="e" vm="2">
        <f t="shared" si="331"/>
        <v>#VALUE!</v>
      </c>
      <c r="BM4028">
        <f t="shared" si="332"/>
        <v>1</v>
      </c>
      <c r="BN4028">
        <f t="shared" si="333"/>
        <v>1900</v>
      </c>
    </row>
    <row r="4029" spans="55:66" x14ac:dyDescent="0.2">
      <c r="BC4029" s="21" t="e" vm="1">
        <v>#REF!</v>
      </c>
      <c r="BD4029" t="e" vm="1">
        <v>#REF!</v>
      </c>
      <c r="BF4029" t="e" vm="2">
        <f t="shared" si="330"/>
        <v>#VALUE!</v>
      </c>
      <c r="BG4029" t="e" vm="2">
        <f t="shared" si="331"/>
        <v>#VALUE!</v>
      </c>
      <c r="BM4029">
        <f t="shared" si="332"/>
        <v>1</v>
      </c>
      <c r="BN4029">
        <f t="shared" si="333"/>
        <v>1900</v>
      </c>
    </row>
    <row r="4030" spans="55:66" x14ac:dyDescent="0.2">
      <c r="BC4030" s="21" t="e" vm="1">
        <v>#REF!</v>
      </c>
      <c r="BD4030" t="e" vm="1">
        <v>#REF!</v>
      </c>
      <c r="BF4030" t="e" vm="2">
        <f t="shared" si="330"/>
        <v>#VALUE!</v>
      </c>
      <c r="BG4030" t="e" vm="2">
        <f t="shared" si="331"/>
        <v>#VALUE!</v>
      </c>
      <c r="BM4030">
        <f t="shared" si="332"/>
        <v>1</v>
      </c>
      <c r="BN4030">
        <f t="shared" si="333"/>
        <v>1900</v>
      </c>
    </row>
    <row r="4031" spans="55:66" x14ac:dyDescent="0.2">
      <c r="BC4031" s="21" t="e" vm="1">
        <v>#REF!</v>
      </c>
      <c r="BD4031" t="e" vm="1">
        <v>#REF!</v>
      </c>
      <c r="BF4031" t="e" vm="2">
        <f t="shared" si="330"/>
        <v>#VALUE!</v>
      </c>
      <c r="BG4031" t="e" vm="2">
        <f t="shared" si="331"/>
        <v>#VALUE!</v>
      </c>
      <c r="BM4031">
        <f t="shared" si="332"/>
        <v>1</v>
      </c>
      <c r="BN4031">
        <f t="shared" si="333"/>
        <v>1900</v>
      </c>
    </row>
    <row r="4032" spans="55:66" x14ac:dyDescent="0.2">
      <c r="BC4032" s="21" t="e" vm="1">
        <v>#REF!</v>
      </c>
      <c r="BD4032" t="e" vm="1">
        <v>#REF!</v>
      </c>
      <c r="BF4032" t="e" vm="2">
        <f t="shared" si="330"/>
        <v>#VALUE!</v>
      </c>
      <c r="BG4032" t="e" vm="2">
        <f t="shared" si="331"/>
        <v>#VALUE!</v>
      </c>
      <c r="BM4032">
        <f t="shared" si="332"/>
        <v>1</v>
      </c>
      <c r="BN4032">
        <f t="shared" si="333"/>
        <v>1900</v>
      </c>
    </row>
    <row r="4033" spans="55:66" x14ac:dyDescent="0.2">
      <c r="BC4033" s="21" t="e" vm="1">
        <v>#REF!</v>
      </c>
      <c r="BD4033" t="e" vm="1">
        <v>#REF!</v>
      </c>
      <c r="BF4033" t="e" vm="2">
        <f t="shared" si="330"/>
        <v>#VALUE!</v>
      </c>
      <c r="BG4033" t="e" vm="2">
        <f t="shared" si="331"/>
        <v>#VALUE!</v>
      </c>
      <c r="BM4033">
        <f t="shared" si="332"/>
        <v>1</v>
      </c>
      <c r="BN4033">
        <f t="shared" si="333"/>
        <v>1900</v>
      </c>
    </row>
    <row r="4034" spans="55:66" x14ac:dyDescent="0.2">
      <c r="BC4034" s="21" t="e" vm="1">
        <v>#REF!</v>
      </c>
      <c r="BD4034" t="e" vm="1">
        <v>#REF!</v>
      </c>
      <c r="BF4034" t="e" vm="2">
        <f t="shared" si="330"/>
        <v>#VALUE!</v>
      </c>
      <c r="BG4034" t="e" vm="2">
        <f t="shared" si="331"/>
        <v>#VALUE!</v>
      </c>
      <c r="BM4034">
        <f t="shared" si="332"/>
        <v>1</v>
      </c>
      <c r="BN4034">
        <f t="shared" si="333"/>
        <v>1900</v>
      </c>
    </row>
    <row r="4035" spans="55:66" x14ac:dyDescent="0.2">
      <c r="BC4035" s="21" t="e" vm="1">
        <v>#REF!</v>
      </c>
      <c r="BD4035" t="e" vm="1">
        <v>#REF!</v>
      </c>
      <c r="BF4035" t="e" vm="2">
        <f t="shared" ref="BF4035:BF4098" si="334">MONTH(BC4035)</f>
        <v>#VALUE!</v>
      </c>
      <c r="BG4035" t="e" vm="2">
        <f t="shared" ref="BG4035:BG4098" si="335">YEAR(BC4035)</f>
        <v>#VALUE!</v>
      </c>
      <c r="BM4035">
        <f t="shared" si="332"/>
        <v>1</v>
      </c>
      <c r="BN4035">
        <f t="shared" si="333"/>
        <v>1900</v>
      </c>
    </row>
    <row r="4036" spans="55:66" x14ac:dyDescent="0.2">
      <c r="BC4036" s="21" t="e" vm="1">
        <v>#REF!</v>
      </c>
      <c r="BD4036" t="e" vm="1">
        <v>#REF!</v>
      </c>
      <c r="BF4036" t="e" vm="2">
        <f t="shared" si="334"/>
        <v>#VALUE!</v>
      </c>
      <c r="BG4036" t="e" vm="2">
        <f t="shared" si="335"/>
        <v>#VALUE!</v>
      </c>
      <c r="BM4036">
        <f t="shared" ref="BM4036:BM4099" si="336">MONTH(BJ4036)</f>
        <v>1</v>
      </c>
      <c r="BN4036">
        <f t="shared" ref="BN4036:BN4099" si="337">YEAR(BJ4036)</f>
        <v>1900</v>
      </c>
    </row>
    <row r="4037" spans="55:66" x14ac:dyDescent="0.2">
      <c r="BC4037" s="21" t="e" vm="1">
        <v>#REF!</v>
      </c>
      <c r="BD4037" t="e" vm="1">
        <v>#REF!</v>
      </c>
      <c r="BF4037" t="e" vm="2">
        <f t="shared" si="334"/>
        <v>#VALUE!</v>
      </c>
      <c r="BG4037" t="e" vm="2">
        <f t="shared" si="335"/>
        <v>#VALUE!</v>
      </c>
      <c r="BM4037">
        <f t="shared" si="336"/>
        <v>1</v>
      </c>
      <c r="BN4037">
        <f t="shared" si="337"/>
        <v>1900</v>
      </c>
    </row>
    <row r="4038" spans="55:66" x14ac:dyDescent="0.2">
      <c r="BC4038" s="21" t="e" vm="1">
        <v>#REF!</v>
      </c>
      <c r="BD4038" t="e" vm="1">
        <v>#REF!</v>
      </c>
      <c r="BF4038" t="e" vm="2">
        <f t="shared" si="334"/>
        <v>#VALUE!</v>
      </c>
      <c r="BG4038" t="e" vm="2">
        <f t="shared" si="335"/>
        <v>#VALUE!</v>
      </c>
      <c r="BM4038">
        <f t="shared" si="336"/>
        <v>1</v>
      </c>
      <c r="BN4038">
        <f t="shared" si="337"/>
        <v>1900</v>
      </c>
    </row>
    <row r="4039" spans="55:66" x14ac:dyDescent="0.2">
      <c r="BC4039" s="21" t="e" vm="1">
        <v>#REF!</v>
      </c>
      <c r="BD4039" t="e" vm="1">
        <v>#REF!</v>
      </c>
      <c r="BF4039" t="e" vm="2">
        <f t="shared" si="334"/>
        <v>#VALUE!</v>
      </c>
      <c r="BG4039" t="e" vm="2">
        <f t="shared" si="335"/>
        <v>#VALUE!</v>
      </c>
      <c r="BM4039">
        <f t="shared" si="336"/>
        <v>1</v>
      </c>
      <c r="BN4039">
        <f t="shared" si="337"/>
        <v>1900</v>
      </c>
    </row>
    <row r="4040" spans="55:66" x14ac:dyDescent="0.2">
      <c r="BC4040" s="21" t="e" vm="1">
        <v>#REF!</v>
      </c>
      <c r="BD4040" t="e" vm="1">
        <v>#REF!</v>
      </c>
      <c r="BF4040" t="e" vm="2">
        <f t="shared" si="334"/>
        <v>#VALUE!</v>
      </c>
      <c r="BG4040" t="e" vm="2">
        <f t="shared" si="335"/>
        <v>#VALUE!</v>
      </c>
      <c r="BM4040">
        <f t="shared" si="336"/>
        <v>1</v>
      </c>
      <c r="BN4040">
        <f t="shared" si="337"/>
        <v>1900</v>
      </c>
    </row>
    <row r="4041" spans="55:66" x14ac:dyDescent="0.2">
      <c r="BC4041" s="21" t="e" vm="1">
        <v>#REF!</v>
      </c>
      <c r="BD4041" t="e" vm="1">
        <v>#REF!</v>
      </c>
      <c r="BF4041" t="e" vm="2">
        <f t="shared" si="334"/>
        <v>#VALUE!</v>
      </c>
      <c r="BG4041" t="e" vm="2">
        <f t="shared" si="335"/>
        <v>#VALUE!</v>
      </c>
      <c r="BM4041">
        <f t="shared" si="336"/>
        <v>1</v>
      </c>
      <c r="BN4041">
        <f t="shared" si="337"/>
        <v>1900</v>
      </c>
    </row>
    <row r="4042" spans="55:66" x14ac:dyDescent="0.2">
      <c r="BC4042" s="21" t="e" vm="1">
        <v>#REF!</v>
      </c>
      <c r="BD4042" t="e" vm="1">
        <v>#REF!</v>
      </c>
      <c r="BF4042" t="e" vm="2">
        <f t="shared" si="334"/>
        <v>#VALUE!</v>
      </c>
      <c r="BG4042" t="e" vm="2">
        <f t="shared" si="335"/>
        <v>#VALUE!</v>
      </c>
      <c r="BM4042">
        <f t="shared" si="336"/>
        <v>1</v>
      </c>
      <c r="BN4042">
        <f t="shared" si="337"/>
        <v>1900</v>
      </c>
    </row>
    <row r="4043" spans="55:66" x14ac:dyDescent="0.2">
      <c r="BC4043" s="21" t="e" vm="1">
        <v>#REF!</v>
      </c>
      <c r="BD4043" t="e" vm="1">
        <v>#REF!</v>
      </c>
      <c r="BF4043" t="e" vm="2">
        <f t="shared" si="334"/>
        <v>#VALUE!</v>
      </c>
      <c r="BG4043" t="e" vm="2">
        <f t="shared" si="335"/>
        <v>#VALUE!</v>
      </c>
      <c r="BM4043">
        <f t="shared" si="336"/>
        <v>1</v>
      </c>
      <c r="BN4043">
        <f t="shared" si="337"/>
        <v>1900</v>
      </c>
    </row>
    <row r="4044" spans="55:66" x14ac:dyDescent="0.2">
      <c r="BC4044" s="21" t="e" vm="1">
        <v>#REF!</v>
      </c>
      <c r="BD4044" t="e" vm="1">
        <v>#REF!</v>
      </c>
      <c r="BF4044" t="e" vm="2">
        <f t="shared" si="334"/>
        <v>#VALUE!</v>
      </c>
      <c r="BG4044" t="e" vm="2">
        <f t="shared" si="335"/>
        <v>#VALUE!</v>
      </c>
      <c r="BM4044">
        <f t="shared" si="336"/>
        <v>1</v>
      </c>
      <c r="BN4044">
        <f t="shared" si="337"/>
        <v>1900</v>
      </c>
    </row>
    <row r="4045" spans="55:66" x14ac:dyDescent="0.2">
      <c r="BC4045" s="21" t="e" vm="1">
        <v>#REF!</v>
      </c>
      <c r="BD4045" t="e" vm="1">
        <v>#REF!</v>
      </c>
      <c r="BF4045" t="e" vm="2">
        <f t="shared" si="334"/>
        <v>#VALUE!</v>
      </c>
      <c r="BG4045" t="e" vm="2">
        <f t="shared" si="335"/>
        <v>#VALUE!</v>
      </c>
      <c r="BM4045">
        <f t="shared" si="336"/>
        <v>1</v>
      </c>
      <c r="BN4045">
        <f t="shared" si="337"/>
        <v>1900</v>
      </c>
    </row>
    <row r="4046" spans="55:66" x14ac:dyDescent="0.2">
      <c r="BC4046" s="21" t="e" vm="1">
        <v>#REF!</v>
      </c>
      <c r="BD4046" t="e" vm="1">
        <v>#REF!</v>
      </c>
      <c r="BF4046" t="e" vm="2">
        <f t="shared" si="334"/>
        <v>#VALUE!</v>
      </c>
      <c r="BG4046" t="e" vm="2">
        <f t="shared" si="335"/>
        <v>#VALUE!</v>
      </c>
      <c r="BM4046">
        <f t="shared" si="336"/>
        <v>1</v>
      </c>
      <c r="BN4046">
        <f t="shared" si="337"/>
        <v>1900</v>
      </c>
    </row>
    <row r="4047" spans="55:66" x14ac:dyDescent="0.2">
      <c r="BC4047" s="21" t="e" vm="1">
        <v>#REF!</v>
      </c>
      <c r="BD4047" t="e" vm="1">
        <v>#REF!</v>
      </c>
      <c r="BF4047" t="e" vm="2">
        <f t="shared" si="334"/>
        <v>#VALUE!</v>
      </c>
      <c r="BG4047" t="e" vm="2">
        <f t="shared" si="335"/>
        <v>#VALUE!</v>
      </c>
      <c r="BM4047">
        <f t="shared" si="336"/>
        <v>1</v>
      </c>
      <c r="BN4047">
        <f t="shared" si="337"/>
        <v>1900</v>
      </c>
    </row>
    <row r="4048" spans="55:66" x14ac:dyDescent="0.2">
      <c r="BC4048" s="21" t="e" vm="1">
        <v>#REF!</v>
      </c>
      <c r="BD4048" t="e" vm="1">
        <v>#REF!</v>
      </c>
      <c r="BF4048" t="e" vm="2">
        <f t="shared" si="334"/>
        <v>#VALUE!</v>
      </c>
      <c r="BG4048" t="e" vm="2">
        <f t="shared" si="335"/>
        <v>#VALUE!</v>
      </c>
      <c r="BM4048">
        <f t="shared" si="336"/>
        <v>1</v>
      </c>
      <c r="BN4048">
        <f t="shared" si="337"/>
        <v>1900</v>
      </c>
    </row>
    <row r="4049" spans="55:66" x14ac:dyDescent="0.2">
      <c r="BC4049" s="21" t="e" vm="1">
        <v>#REF!</v>
      </c>
      <c r="BD4049" t="e" vm="1">
        <v>#REF!</v>
      </c>
      <c r="BF4049" t="e" vm="2">
        <f t="shared" si="334"/>
        <v>#VALUE!</v>
      </c>
      <c r="BG4049" t="e" vm="2">
        <f t="shared" si="335"/>
        <v>#VALUE!</v>
      </c>
      <c r="BM4049">
        <f t="shared" si="336"/>
        <v>1</v>
      </c>
      <c r="BN4049">
        <f t="shared" si="337"/>
        <v>1900</v>
      </c>
    </row>
    <row r="4050" spans="55:66" x14ac:dyDescent="0.2">
      <c r="BC4050" s="21" t="e" vm="1">
        <v>#REF!</v>
      </c>
      <c r="BD4050" t="e" vm="1">
        <v>#REF!</v>
      </c>
      <c r="BF4050" t="e" vm="2">
        <f t="shared" si="334"/>
        <v>#VALUE!</v>
      </c>
      <c r="BG4050" t="e" vm="2">
        <f t="shared" si="335"/>
        <v>#VALUE!</v>
      </c>
      <c r="BM4050">
        <f t="shared" si="336"/>
        <v>1</v>
      </c>
      <c r="BN4050">
        <f t="shared" si="337"/>
        <v>1900</v>
      </c>
    </row>
    <row r="4051" spans="55:66" x14ac:dyDescent="0.2">
      <c r="BC4051" s="21" t="e" vm="1">
        <v>#REF!</v>
      </c>
      <c r="BD4051" t="e" vm="1">
        <v>#REF!</v>
      </c>
      <c r="BF4051" t="e" vm="2">
        <f t="shared" si="334"/>
        <v>#VALUE!</v>
      </c>
      <c r="BG4051" t="e" vm="2">
        <f t="shared" si="335"/>
        <v>#VALUE!</v>
      </c>
      <c r="BM4051">
        <f t="shared" si="336"/>
        <v>1</v>
      </c>
      <c r="BN4051">
        <f t="shared" si="337"/>
        <v>1900</v>
      </c>
    </row>
    <row r="4052" spans="55:66" x14ac:dyDescent="0.2">
      <c r="BC4052" s="21" t="e" vm="1">
        <v>#REF!</v>
      </c>
      <c r="BD4052" t="e" vm="1">
        <v>#REF!</v>
      </c>
      <c r="BF4052" t="e" vm="2">
        <f t="shared" si="334"/>
        <v>#VALUE!</v>
      </c>
      <c r="BG4052" t="e" vm="2">
        <f t="shared" si="335"/>
        <v>#VALUE!</v>
      </c>
      <c r="BM4052">
        <f t="shared" si="336"/>
        <v>1</v>
      </c>
      <c r="BN4052">
        <f t="shared" si="337"/>
        <v>1900</v>
      </c>
    </row>
    <row r="4053" spans="55:66" x14ac:dyDescent="0.2">
      <c r="BC4053" s="21" t="e" vm="1">
        <v>#REF!</v>
      </c>
      <c r="BD4053" t="e" vm="1">
        <v>#REF!</v>
      </c>
      <c r="BF4053" t="e" vm="2">
        <f t="shared" si="334"/>
        <v>#VALUE!</v>
      </c>
      <c r="BG4053" t="e" vm="2">
        <f t="shared" si="335"/>
        <v>#VALUE!</v>
      </c>
      <c r="BM4053">
        <f t="shared" si="336"/>
        <v>1</v>
      </c>
      <c r="BN4053">
        <f t="shared" si="337"/>
        <v>1900</v>
      </c>
    </row>
    <row r="4054" spans="55:66" x14ac:dyDescent="0.2">
      <c r="BC4054" s="21" t="e" vm="1">
        <v>#REF!</v>
      </c>
      <c r="BD4054" t="e" vm="1">
        <v>#REF!</v>
      </c>
      <c r="BF4054" t="e" vm="2">
        <f t="shared" si="334"/>
        <v>#VALUE!</v>
      </c>
      <c r="BG4054" t="e" vm="2">
        <f t="shared" si="335"/>
        <v>#VALUE!</v>
      </c>
      <c r="BM4054">
        <f t="shared" si="336"/>
        <v>1</v>
      </c>
      <c r="BN4054">
        <f t="shared" si="337"/>
        <v>1900</v>
      </c>
    </row>
    <row r="4055" spans="55:66" x14ac:dyDescent="0.2">
      <c r="BC4055" s="21" t="e" vm="1">
        <v>#REF!</v>
      </c>
      <c r="BD4055" t="e" vm="1">
        <v>#REF!</v>
      </c>
      <c r="BF4055" t="e" vm="2">
        <f t="shared" si="334"/>
        <v>#VALUE!</v>
      </c>
      <c r="BG4055" t="e" vm="2">
        <f t="shared" si="335"/>
        <v>#VALUE!</v>
      </c>
      <c r="BM4055">
        <f t="shared" si="336"/>
        <v>1</v>
      </c>
      <c r="BN4055">
        <f t="shared" si="337"/>
        <v>1900</v>
      </c>
    </row>
    <row r="4056" spans="55:66" x14ac:dyDescent="0.2">
      <c r="BC4056" s="21" t="e" vm="1">
        <v>#REF!</v>
      </c>
      <c r="BD4056" t="e" vm="1">
        <v>#REF!</v>
      </c>
      <c r="BF4056" t="e" vm="2">
        <f t="shared" si="334"/>
        <v>#VALUE!</v>
      </c>
      <c r="BG4056" t="e" vm="2">
        <f t="shared" si="335"/>
        <v>#VALUE!</v>
      </c>
      <c r="BM4056">
        <f t="shared" si="336"/>
        <v>1</v>
      </c>
      <c r="BN4056">
        <f t="shared" si="337"/>
        <v>1900</v>
      </c>
    </row>
    <row r="4057" spans="55:66" x14ac:dyDescent="0.2">
      <c r="BC4057" s="21" t="e" vm="1">
        <v>#REF!</v>
      </c>
      <c r="BD4057" t="e" vm="1">
        <v>#REF!</v>
      </c>
      <c r="BF4057" t="e" vm="2">
        <f t="shared" si="334"/>
        <v>#VALUE!</v>
      </c>
      <c r="BG4057" t="e" vm="2">
        <f t="shared" si="335"/>
        <v>#VALUE!</v>
      </c>
      <c r="BM4057">
        <f t="shared" si="336"/>
        <v>1</v>
      </c>
      <c r="BN4057">
        <f t="shared" si="337"/>
        <v>1900</v>
      </c>
    </row>
    <row r="4058" spans="55:66" x14ac:dyDescent="0.2">
      <c r="BC4058" s="21" t="e" vm="1">
        <v>#REF!</v>
      </c>
      <c r="BD4058" t="e" vm="1">
        <v>#REF!</v>
      </c>
      <c r="BF4058" t="e" vm="2">
        <f t="shared" si="334"/>
        <v>#VALUE!</v>
      </c>
      <c r="BG4058" t="e" vm="2">
        <f t="shared" si="335"/>
        <v>#VALUE!</v>
      </c>
      <c r="BM4058">
        <f t="shared" si="336"/>
        <v>1</v>
      </c>
      <c r="BN4058">
        <f t="shared" si="337"/>
        <v>1900</v>
      </c>
    </row>
    <row r="4059" spans="55:66" x14ac:dyDescent="0.2">
      <c r="BC4059" s="21" t="e" vm="1">
        <v>#REF!</v>
      </c>
      <c r="BD4059" t="e" vm="1">
        <v>#REF!</v>
      </c>
      <c r="BF4059" t="e" vm="2">
        <f t="shared" si="334"/>
        <v>#VALUE!</v>
      </c>
      <c r="BG4059" t="e" vm="2">
        <f t="shared" si="335"/>
        <v>#VALUE!</v>
      </c>
      <c r="BM4059">
        <f t="shared" si="336"/>
        <v>1</v>
      </c>
      <c r="BN4059">
        <f t="shared" si="337"/>
        <v>1900</v>
      </c>
    </row>
    <row r="4060" spans="55:66" x14ac:dyDescent="0.2">
      <c r="BC4060" s="21" t="e" vm="1">
        <v>#REF!</v>
      </c>
      <c r="BD4060" t="e" vm="1">
        <v>#REF!</v>
      </c>
      <c r="BF4060" t="e" vm="2">
        <f t="shared" si="334"/>
        <v>#VALUE!</v>
      </c>
      <c r="BG4060" t="e" vm="2">
        <f t="shared" si="335"/>
        <v>#VALUE!</v>
      </c>
      <c r="BM4060">
        <f t="shared" si="336"/>
        <v>1</v>
      </c>
      <c r="BN4060">
        <f t="shared" si="337"/>
        <v>1900</v>
      </c>
    </row>
    <row r="4061" spans="55:66" x14ac:dyDescent="0.2">
      <c r="BC4061" s="21" t="e" vm="1">
        <v>#REF!</v>
      </c>
      <c r="BD4061" t="e" vm="1">
        <v>#REF!</v>
      </c>
      <c r="BF4061" t="e" vm="2">
        <f t="shared" si="334"/>
        <v>#VALUE!</v>
      </c>
      <c r="BG4061" t="e" vm="2">
        <f t="shared" si="335"/>
        <v>#VALUE!</v>
      </c>
      <c r="BM4061">
        <f t="shared" si="336"/>
        <v>1</v>
      </c>
      <c r="BN4061">
        <f t="shared" si="337"/>
        <v>1900</v>
      </c>
    </row>
    <row r="4062" spans="55:66" x14ac:dyDescent="0.2">
      <c r="BC4062" s="21" t="e" vm="1">
        <v>#REF!</v>
      </c>
      <c r="BD4062" t="e" vm="1">
        <v>#REF!</v>
      </c>
      <c r="BF4062" t="e" vm="2">
        <f t="shared" si="334"/>
        <v>#VALUE!</v>
      </c>
      <c r="BG4062" t="e" vm="2">
        <f t="shared" si="335"/>
        <v>#VALUE!</v>
      </c>
      <c r="BM4062">
        <f t="shared" si="336"/>
        <v>1</v>
      </c>
      <c r="BN4062">
        <f t="shared" si="337"/>
        <v>1900</v>
      </c>
    </row>
    <row r="4063" spans="55:66" x14ac:dyDescent="0.2">
      <c r="BC4063" s="21" t="e" vm="1">
        <v>#REF!</v>
      </c>
      <c r="BD4063" t="e" vm="1">
        <v>#REF!</v>
      </c>
      <c r="BF4063" t="e" vm="2">
        <f t="shared" si="334"/>
        <v>#VALUE!</v>
      </c>
      <c r="BG4063" t="e" vm="2">
        <f t="shared" si="335"/>
        <v>#VALUE!</v>
      </c>
      <c r="BM4063">
        <f t="shared" si="336"/>
        <v>1</v>
      </c>
      <c r="BN4063">
        <f t="shared" si="337"/>
        <v>1900</v>
      </c>
    </row>
    <row r="4064" spans="55:66" x14ac:dyDescent="0.2">
      <c r="BC4064" s="21" t="e" vm="1">
        <v>#REF!</v>
      </c>
      <c r="BD4064" t="e" vm="1">
        <v>#REF!</v>
      </c>
      <c r="BF4064" t="e" vm="2">
        <f t="shared" si="334"/>
        <v>#VALUE!</v>
      </c>
      <c r="BG4064" t="e" vm="2">
        <f t="shared" si="335"/>
        <v>#VALUE!</v>
      </c>
      <c r="BM4064">
        <f t="shared" si="336"/>
        <v>1</v>
      </c>
      <c r="BN4064">
        <f t="shared" si="337"/>
        <v>1900</v>
      </c>
    </row>
    <row r="4065" spans="55:66" x14ac:dyDescent="0.2">
      <c r="BC4065" s="21" t="e" vm="1">
        <v>#REF!</v>
      </c>
      <c r="BD4065" t="e" vm="1">
        <v>#REF!</v>
      </c>
      <c r="BF4065" t="e" vm="2">
        <f t="shared" si="334"/>
        <v>#VALUE!</v>
      </c>
      <c r="BG4065" t="e" vm="2">
        <f t="shared" si="335"/>
        <v>#VALUE!</v>
      </c>
      <c r="BM4065">
        <f t="shared" si="336"/>
        <v>1</v>
      </c>
      <c r="BN4065">
        <f t="shared" si="337"/>
        <v>1900</v>
      </c>
    </row>
    <row r="4066" spans="55:66" x14ac:dyDescent="0.2">
      <c r="BC4066" s="21" t="e" vm="1">
        <v>#REF!</v>
      </c>
      <c r="BD4066" t="e" vm="1">
        <v>#REF!</v>
      </c>
      <c r="BF4066" t="e" vm="2">
        <f t="shared" si="334"/>
        <v>#VALUE!</v>
      </c>
      <c r="BG4066" t="e" vm="2">
        <f t="shared" si="335"/>
        <v>#VALUE!</v>
      </c>
      <c r="BM4066">
        <f t="shared" si="336"/>
        <v>1</v>
      </c>
      <c r="BN4066">
        <f t="shared" si="337"/>
        <v>1900</v>
      </c>
    </row>
    <row r="4067" spans="55:66" x14ac:dyDescent="0.2">
      <c r="BC4067" s="21" t="e" vm="1">
        <v>#REF!</v>
      </c>
      <c r="BD4067" t="e" vm="1">
        <v>#REF!</v>
      </c>
      <c r="BF4067" t="e" vm="2">
        <f t="shared" si="334"/>
        <v>#VALUE!</v>
      </c>
      <c r="BG4067" t="e" vm="2">
        <f t="shared" si="335"/>
        <v>#VALUE!</v>
      </c>
      <c r="BM4067">
        <f t="shared" si="336"/>
        <v>1</v>
      </c>
      <c r="BN4067">
        <f t="shared" si="337"/>
        <v>1900</v>
      </c>
    </row>
    <row r="4068" spans="55:66" x14ac:dyDescent="0.2">
      <c r="BC4068" s="21" t="e" vm="1">
        <v>#REF!</v>
      </c>
      <c r="BD4068" t="e" vm="1">
        <v>#REF!</v>
      </c>
      <c r="BF4068" t="e" vm="2">
        <f t="shared" si="334"/>
        <v>#VALUE!</v>
      </c>
      <c r="BG4068" t="e" vm="2">
        <f t="shared" si="335"/>
        <v>#VALUE!</v>
      </c>
      <c r="BM4068">
        <f t="shared" si="336"/>
        <v>1</v>
      </c>
      <c r="BN4068">
        <f t="shared" si="337"/>
        <v>1900</v>
      </c>
    </row>
    <row r="4069" spans="55:66" x14ac:dyDescent="0.2">
      <c r="BC4069" s="21" t="e" vm="1">
        <v>#REF!</v>
      </c>
      <c r="BD4069" t="e" vm="1">
        <v>#REF!</v>
      </c>
      <c r="BF4069" t="e" vm="2">
        <f t="shared" si="334"/>
        <v>#VALUE!</v>
      </c>
      <c r="BG4069" t="e" vm="2">
        <f t="shared" si="335"/>
        <v>#VALUE!</v>
      </c>
      <c r="BM4069">
        <f t="shared" si="336"/>
        <v>1</v>
      </c>
      <c r="BN4069">
        <f t="shared" si="337"/>
        <v>1900</v>
      </c>
    </row>
    <row r="4070" spans="55:66" x14ac:dyDescent="0.2">
      <c r="BC4070" s="21" t="e" vm="1">
        <v>#REF!</v>
      </c>
      <c r="BD4070" t="e" vm="1">
        <v>#REF!</v>
      </c>
      <c r="BF4070" t="e" vm="2">
        <f t="shared" si="334"/>
        <v>#VALUE!</v>
      </c>
      <c r="BG4070" t="e" vm="2">
        <f t="shared" si="335"/>
        <v>#VALUE!</v>
      </c>
      <c r="BM4070">
        <f t="shared" si="336"/>
        <v>1</v>
      </c>
      <c r="BN4070">
        <f t="shared" si="337"/>
        <v>1900</v>
      </c>
    </row>
    <row r="4071" spans="55:66" x14ac:dyDescent="0.2">
      <c r="BC4071" s="21" t="e" vm="1">
        <v>#REF!</v>
      </c>
      <c r="BD4071" t="e" vm="1">
        <v>#REF!</v>
      </c>
      <c r="BF4071" t="e" vm="2">
        <f t="shared" si="334"/>
        <v>#VALUE!</v>
      </c>
      <c r="BG4071" t="e" vm="2">
        <f t="shared" si="335"/>
        <v>#VALUE!</v>
      </c>
      <c r="BM4071">
        <f t="shared" si="336"/>
        <v>1</v>
      </c>
      <c r="BN4071">
        <f t="shared" si="337"/>
        <v>1900</v>
      </c>
    </row>
    <row r="4072" spans="55:66" x14ac:dyDescent="0.2">
      <c r="BC4072" s="21" t="e" vm="1">
        <v>#REF!</v>
      </c>
      <c r="BD4072" t="e" vm="1">
        <v>#REF!</v>
      </c>
      <c r="BF4072" t="e" vm="2">
        <f t="shared" si="334"/>
        <v>#VALUE!</v>
      </c>
      <c r="BG4072" t="e" vm="2">
        <f t="shared" si="335"/>
        <v>#VALUE!</v>
      </c>
      <c r="BM4072">
        <f t="shared" si="336"/>
        <v>1</v>
      </c>
      <c r="BN4072">
        <f t="shared" si="337"/>
        <v>1900</v>
      </c>
    </row>
    <row r="4073" spans="55:66" x14ac:dyDescent="0.2">
      <c r="BC4073" s="21" t="e" vm="1">
        <v>#REF!</v>
      </c>
      <c r="BD4073" t="e" vm="1">
        <v>#REF!</v>
      </c>
      <c r="BF4073" t="e" vm="2">
        <f t="shared" si="334"/>
        <v>#VALUE!</v>
      </c>
      <c r="BG4073" t="e" vm="2">
        <f t="shared" si="335"/>
        <v>#VALUE!</v>
      </c>
      <c r="BM4073">
        <f t="shared" si="336"/>
        <v>1</v>
      </c>
      <c r="BN4073">
        <f t="shared" si="337"/>
        <v>1900</v>
      </c>
    </row>
    <row r="4074" spans="55:66" x14ac:dyDescent="0.2">
      <c r="BC4074" s="21" t="e" vm="1">
        <v>#REF!</v>
      </c>
      <c r="BD4074" t="e" vm="1">
        <v>#REF!</v>
      </c>
      <c r="BF4074" t="e" vm="2">
        <f t="shared" si="334"/>
        <v>#VALUE!</v>
      </c>
      <c r="BG4074" t="e" vm="2">
        <f t="shared" si="335"/>
        <v>#VALUE!</v>
      </c>
      <c r="BM4074">
        <f t="shared" si="336"/>
        <v>1</v>
      </c>
      <c r="BN4074">
        <f t="shared" si="337"/>
        <v>1900</v>
      </c>
    </row>
    <row r="4075" spans="55:66" x14ac:dyDescent="0.2">
      <c r="BC4075" s="21" t="e" vm="1">
        <v>#REF!</v>
      </c>
      <c r="BD4075" t="e" vm="1">
        <v>#REF!</v>
      </c>
      <c r="BF4075" t="e" vm="2">
        <f t="shared" si="334"/>
        <v>#VALUE!</v>
      </c>
      <c r="BG4075" t="e" vm="2">
        <f t="shared" si="335"/>
        <v>#VALUE!</v>
      </c>
      <c r="BM4075">
        <f t="shared" si="336"/>
        <v>1</v>
      </c>
      <c r="BN4075">
        <f t="shared" si="337"/>
        <v>1900</v>
      </c>
    </row>
    <row r="4076" spans="55:66" x14ac:dyDescent="0.2">
      <c r="BC4076" s="21" t="e" vm="1">
        <v>#REF!</v>
      </c>
      <c r="BD4076" t="e" vm="1">
        <v>#REF!</v>
      </c>
      <c r="BF4076" t="e" vm="2">
        <f t="shared" si="334"/>
        <v>#VALUE!</v>
      </c>
      <c r="BG4076" t="e" vm="2">
        <f t="shared" si="335"/>
        <v>#VALUE!</v>
      </c>
      <c r="BM4076">
        <f t="shared" si="336"/>
        <v>1</v>
      </c>
      <c r="BN4076">
        <f t="shared" si="337"/>
        <v>1900</v>
      </c>
    </row>
    <row r="4077" spans="55:66" x14ac:dyDescent="0.2">
      <c r="BC4077" s="21" t="e" vm="1">
        <v>#REF!</v>
      </c>
      <c r="BD4077" t="e" vm="1">
        <v>#REF!</v>
      </c>
      <c r="BF4077" t="e" vm="2">
        <f t="shared" si="334"/>
        <v>#VALUE!</v>
      </c>
      <c r="BG4077" t="e" vm="2">
        <f t="shared" si="335"/>
        <v>#VALUE!</v>
      </c>
      <c r="BM4077">
        <f t="shared" si="336"/>
        <v>1</v>
      </c>
      <c r="BN4077">
        <f t="shared" si="337"/>
        <v>1900</v>
      </c>
    </row>
    <row r="4078" spans="55:66" x14ac:dyDescent="0.2">
      <c r="BC4078" s="21" t="e" vm="1">
        <v>#REF!</v>
      </c>
      <c r="BD4078" t="e" vm="1">
        <v>#REF!</v>
      </c>
      <c r="BF4078" t="e" vm="2">
        <f t="shared" si="334"/>
        <v>#VALUE!</v>
      </c>
      <c r="BG4078" t="e" vm="2">
        <f t="shared" si="335"/>
        <v>#VALUE!</v>
      </c>
      <c r="BM4078">
        <f t="shared" si="336"/>
        <v>1</v>
      </c>
      <c r="BN4078">
        <f t="shared" si="337"/>
        <v>1900</v>
      </c>
    </row>
    <row r="4079" spans="55:66" x14ac:dyDescent="0.2">
      <c r="BC4079" s="21" t="e" vm="1">
        <v>#REF!</v>
      </c>
      <c r="BD4079" t="e" vm="1">
        <v>#REF!</v>
      </c>
      <c r="BF4079" t="e" vm="2">
        <f t="shared" si="334"/>
        <v>#VALUE!</v>
      </c>
      <c r="BG4079" t="e" vm="2">
        <f t="shared" si="335"/>
        <v>#VALUE!</v>
      </c>
      <c r="BM4079">
        <f t="shared" si="336"/>
        <v>1</v>
      </c>
      <c r="BN4079">
        <f t="shared" si="337"/>
        <v>1900</v>
      </c>
    </row>
    <row r="4080" spans="55:66" x14ac:dyDescent="0.2">
      <c r="BC4080" s="21" t="e" vm="1">
        <v>#REF!</v>
      </c>
      <c r="BD4080" t="e" vm="1">
        <v>#REF!</v>
      </c>
      <c r="BF4080" t="e" vm="2">
        <f t="shared" si="334"/>
        <v>#VALUE!</v>
      </c>
      <c r="BG4080" t="e" vm="2">
        <f t="shared" si="335"/>
        <v>#VALUE!</v>
      </c>
      <c r="BM4080">
        <f t="shared" si="336"/>
        <v>1</v>
      </c>
      <c r="BN4080">
        <f t="shared" si="337"/>
        <v>1900</v>
      </c>
    </row>
    <row r="4081" spans="55:66" x14ac:dyDescent="0.2">
      <c r="BC4081" s="21" t="e" vm="1">
        <v>#REF!</v>
      </c>
      <c r="BD4081" t="e" vm="1">
        <v>#REF!</v>
      </c>
      <c r="BF4081" t="e" vm="2">
        <f t="shared" si="334"/>
        <v>#VALUE!</v>
      </c>
      <c r="BG4081" t="e" vm="2">
        <f t="shared" si="335"/>
        <v>#VALUE!</v>
      </c>
      <c r="BM4081">
        <f t="shared" si="336"/>
        <v>1</v>
      </c>
      <c r="BN4081">
        <f t="shared" si="337"/>
        <v>1900</v>
      </c>
    </row>
    <row r="4082" spans="55:66" x14ac:dyDescent="0.2">
      <c r="BC4082" s="21" t="e" vm="1">
        <v>#REF!</v>
      </c>
      <c r="BD4082" t="e" vm="1">
        <v>#REF!</v>
      </c>
      <c r="BF4082" t="e" vm="2">
        <f t="shared" si="334"/>
        <v>#VALUE!</v>
      </c>
      <c r="BG4082" t="e" vm="2">
        <f t="shared" si="335"/>
        <v>#VALUE!</v>
      </c>
      <c r="BM4082">
        <f t="shared" si="336"/>
        <v>1</v>
      </c>
      <c r="BN4082">
        <f t="shared" si="337"/>
        <v>1900</v>
      </c>
    </row>
    <row r="4083" spans="55:66" x14ac:dyDescent="0.2">
      <c r="BC4083" s="21" t="e" vm="1">
        <v>#REF!</v>
      </c>
      <c r="BD4083" t="e" vm="1">
        <v>#REF!</v>
      </c>
      <c r="BF4083" t="e" vm="2">
        <f t="shared" si="334"/>
        <v>#VALUE!</v>
      </c>
      <c r="BG4083" t="e" vm="2">
        <f t="shared" si="335"/>
        <v>#VALUE!</v>
      </c>
      <c r="BM4083">
        <f t="shared" si="336"/>
        <v>1</v>
      </c>
      <c r="BN4083">
        <f t="shared" si="337"/>
        <v>1900</v>
      </c>
    </row>
    <row r="4084" spans="55:66" x14ac:dyDescent="0.2">
      <c r="BC4084" s="21" t="e" vm="1">
        <v>#REF!</v>
      </c>
      <c r="BD4084" t="e" vm="1">
        <v>#REF!</v>
      </c>
      <c r="BF4084" t="e" vm="2">
        <f t="shared" si="334"/>
        <v>#VALUE!</v>
      </c>
      <c r="BG4084" t="e" vm="2">
        <f t="shared" si="335"/>
        <v>#VALUE!</v>
      </c>
      <c r="BM4084">
        <f t="shared" si="336"/>
        <v>1</v>
      </c>
      <c r="BN4084">
        <f t="shared" si="337"/>
        <v>1900</v>
      </c>
    </row>
    <row r="4085" spans="55:66" x14ac:dyDescent="0.2">
      <c r="BC4085" s="21" t="e" vm="1">
        <v>#REF!</v>
      </c>
      <c r="BD4085" t="e" vm="1">
        <v>#REF!</v>
      </c>
      <c r="BF4085" t="e" vm="2">
        <f t="shared" si="334"/>
        <v>#VALUE!</v>
      </c>
      <c r="BG4085" t="e" vm="2">
        <f t="shared" si="335"/>
        <v>#VALUE!</v>
      </c>
      <c r="BM4085">
        <f t="shared" si="336"/>
        <v>1</v>
      </c>
      <c r="BN4085">
        <f t="shared" si="337"/>
        <v>1900</v>
      </c>
    </row>
    <row r="4086" spans="55:66" x14ac:dyDescent="0.2">
      <c r="BC4086" s="21" t="e" vm="1">
        <v>#REF!</v>
      </c>
      <c r="BD4086" t="e" vm="1">
        <v>#REF!</v>
      </c>
      <c r="BF4086" t="e" vm="2">
        <f t="shared" si="334"/>
        <v>#VALUE!</v>
      </c>
      <c r="BG4086" t="e" vm="2">
        <f t="shared" si="335"/>
        <v>#VALUE!</v>
      </c>
      <c r="BM4086">
        <f t="shared" si="336"/>
        <v>1</v>
      </c>
      <c r="BN4086">
        <f t="shared" si="337"/>
        <v>1900</v>
      </c>
    </row>
    <row r="4087" spans="55:66" x14ac:dyDescent="0.2">
      <c r="BC4087" s="21" t="e" vm="1">
        <v>#REF!</v>
      </c>
      <c r="BD4087" t="e" vm="1">
        <v>#REF!</v>
      </c>
      <c r="BF4087" t="e" vm="2">
        <f t="shared" si="334"/>
        <v>#VALUE!</v>
      </c>
      <c r="BG4087" t="e" vm="2">
        <f t="shared" si="335"/>
        <v>#VALUE!</v>
      </c>
      <c r="BM4087">
        <f t="shared" si="336"/>
        <v>1</v>
      </c>
      <c r="BN4087">
        <f t="shared" si="337"/>
        <v>1900</v>
      </c>
    </row>
    <row r="4088" spans="55:66" x14ac:dyDescent="0.2">
      <c r="BC4088" s="21" t="e" vm="1">
        <v>#REF!</v>
      </c>
      <c r="BD4088" t="e" vm="1">
        <v>#REF!</v>
      </c>
      <c r="BF4088" t="e" vm="2">
        <f t="shared" si="334"/>
        <v>#VALUE!</v>
      </c>
      <c r="BG4088" t="e" vm="2">
        <f t="shared" si="335"/>
        <v>#VALUE!</v>
      </c>
      <c r="BM4088">
        <f t="shared" si="336"/>
        <v>1</v>
      </c>
      <c r="BN4088">
        <f t="shared" si="337"/>
        <v>1900</v>
      </c>
    </row>
    <row r="4089" spans="55:66" x14ac:dyDescent="0.2">
      <c r="BC4089" s="21" t="e" vm="1">
        <v>#REF!</v>
      </c>
      <c r="BD4089" t="e" vm="1">
        <v>#REF!</v>
      </c>
      <c r="BF4089" t="e" vm="2">
        <f t="shared" si="334"/>
        <v>#VALUE!</v>
      </c>
      <c r="BG4089" t="e" vm="2">
        <f t="shared" si="335"/>
        <v>#VALUE!</v>
      </c>
      <c r="BM4089">
        <f t="shared" si="336"/>
        <v>1</v>
      </c>
      <c r="BN4089">
        <f t="shared" si="337"/>
        <v>1900</v>
      </c>
    </row>
    <row r="4090" spans="55:66" x14ac:dyDescent="0.2">
      <c r="BC4090" s="21" t="e" vm="1">
        <v>#REF!</v>
      </c>
      <c r="BD4090" t="e" vm="1">
        <v>#REF!</v>
      </c>
      <c r="BF4090" t="e" vm="2">
        <f t="shared" si="334"/>
        <v>#VALUE!</v>
      </c>
      <c r="BG4090" t="e" vm="2">
        <f t="shared" si="335"/>
        <v>#VALUE!</v>
      </c>
      <c r="BM4090">
        <f t="shared" si="336"/>
        <v>1</v>
      </c>
      <c r="BN4090">
        <f t="shared" si="337"/>
        <v>1900</v>
      </c>
    </row>
    <row r="4091" spans="55:66" x14ac:dyDescent="0.2">
      <c r="BC4091" s="21" t="e" vm="1">
        <v>#REF!</v>
      </c>
      <c r="BD4091" t="e" vm="1">
        <v>#REF!</v>
      </c>
      <c r="BF4091" t="e" vm="2">
        <f t="shared" si="334"/>
        <v>#VALUE!</v>
      </c>
      <c r="BG4091" t="e" vm="2">
        <f t="shared" si="335"/>
        <v>#VALUE!</v>
      </c>
      <c r="BM4091">
        <f t="shared" si="336"/>
        <v>1</v>
      </c>
      <c r="BN4091">
        <f t="shared" si="337"/>
        <v>1900</v>
      </c>
    </row>
    <row r="4092" spans="55:66" x14ac:dyDescent="0.2">
      <c r="BC4092" s="21" t="e" vm="1">
        <v>#REF!</v>
      </c>
      <c r="BD4092" t="e" vm="1">
        <v>#REF!</v>
      </c>
      <c r="BF4092" t="e" vm="2">
        <f t="shared" si="334"/>
        <v>#VALUE!</v>
      </c>
      <c r="BG4092" t="e" vm="2">
        <f t="shared" si="335"/>
        <v>#VALUE!</v>
      </c>
      <c r="BM4092">
        <f t="shared" si="336"/>
        <v>1</v>
      </c>
      <c r="BN4092">
        <f t="shared" si="337"/>
        <v>1900</v>
      </c>
    </row>
    <row r="4093" spans="55:66" x14ac:dyDescent="0.2">
      <c r="BC4093" s="21" t="e" vm="1">
        <v>#REF!</v>
      </c>
      <c r="BD4093" t="e" vm="1">
        <v>#REF!</v>
      </c>
      <c r="BF4093" t="e" vm="2">
        <f t="shared" si="334"/>
        <v>#VALUE!</v>
      </c>
      <c r="BG4093" t="e" vm="2">
        <f t="shared" si="335"/>
        <v>#VALUE!</v>
      </c>
      <c r="BM4093">
        <f t="shared" si="336"/>
        <v>1</v>
      </c>
      <c r="BN4093">
        <f t="shared" si="337"/>
        <v>1900</v>
      </c>
    </row>
    <row r="4094" spans="55:66" x14ac:dyDescent="0.2">
      <c r="BC4094" s="21" t="e" vm="1">
        <v>#REF!</v>
      </c>
      <c r="BD4094" t="e" vm="1">
        <v>#REF!</v>
      </c>
      <c r="BF4094" t="e" vm="2">
        <f t="shared" si="334"/>
        <v>#VALUE!</v>
      </c>
      <c r="BG4094" t="e" vm="2">
        <f t="shared" si="335"/>
        <v>#VALUE!</v>
      </c>
      <c r="BM4094">
        <f t="shared" si="336"/>
        <v>1</v>
      </c>
      <c r="BN4094">
        <f t="shared" si="337"/>
        <v>1900</v>
      </c>
    </row>
    <row r="4095" spans="55:66" x14ac:dyDescent="0.2">
      <c r="BC4095" s="21" t="e" vm="1">
        <v>#REF!</v>
      </c>
      <c r="BD4095" t="e" vm="1">
        <v>#REF!</v>
      </c>
      <c r="BF4095" t="e" vm="2">
        <f t="shared" si="334"/>
        <v>#VALUE!</v>
      </c>
      <c r="BG4095" t="e" vm="2">
        <f t="shared" si="335"/>
        <v>#VALUE!</v>
      </c>
      <c r="BM4095">
        <f t="shared" si="336"/>
        <v>1</v>
      </c>
      <c r="BN4095">
        <f t="shared" si="337"/>
        <v>1900</v>
      </c>
    </row>
    <row r="4096" spans="55:66" x14ac:dyDescent="0.2">
      <c r="BC4096" s="21" t="e" vm="1">
        <v>#REF!</v>
      </c>
      <c r="BD4096" t="e" vm="1">
        <v>#REF!</v>
      </c>
      <c r="BF4096" t="e" vm="2">
        <f t="shared" si="334"/>
        <v>#VALUE!</v>
      </c>
      <c r="BG4096" t="e" vm="2">
        <f t="shared" si="335"/>
        <v>#VALUE!</v>
      </c>
      <c r="BM4096">
        <f t="shared" si="336"/>
        <v>1</v>
      </c>
      <c r="BN4096">
        <f t="shared" si="337"/>
        <v>1900</v>
      </c>
    </row>
    <row r="4097" spans="55:66" x14ac:dyDescent="0.2">
      <c r="BC4097" s="21" t="e" vm="1">
        <v>#REF!</v>
      </c>
      <c r="BD4097" t="e" vm="1">
        <v>#REF!</v>
      </c>
      <c r="BF4097" t="e" vm="2">
        <f t="shared" si="334"/>
        <v>#VALUE!</v>
      </c>
      <c r="BG4097" t="e" vm="2">
        <f t="shared" si="335"/>
        <v>#VALUE!</v>
      </c>
      <c r="BM4097">
        <f t="shared" si="336"/>
        <v>1</v>
      </c>
      <c r="BN4097">
        <f t="shared" si="337"/>
        <v>1900</v>
      </c>
    </row>
    <row r="4098" spans="55:66" x14ac:dyDescent="0.2">
      <c r="BC4098" s="21" t="e" vm="1">
        <v>#REF!</v>
      </c>
      <c r="BD4098" t="e" vm="1">
        <v>#REF!</v>
      </c>
      <c r="BF4098" t="e" vm="2">
        <f t="shared" si="334"/>
        <v>#VALUE!</v>
      </c>
      <c r="BG4098" t="e" vm="2">
        <f t="shared" si="335"/>
        <v>#VALUE!</v>
      </c>
      <c r="BM4098">
        <f t="shared" si="336"/>
        <v>1</v>
      </c>
      <c r="BN4098">
        <f t="shared" si="337"/>
        <v>1900</v>
      </c>
    </row>
    <row r="4099" spans="55:66" x14ac:dyDescent="0.2">
      <c r="BC4099" s="21" t="e" vm="1">
        <v>#REF!</v>
      </c>
      <c r="BD4099" t="e" vm="1">
        <v>#REF!</v>
      </c>
      <c r="BF4099" t="e" vm="2">
        <f t="shared" ref="BF4099:BF4162" si="338">MONTH(BC4099)</f>
        <v>#VALUE!</v>
      </c>
      <c r="BG4099" t="e" vm="2">
        <f t="shared" ref="BG4099:BG4162" si="339">YEAR(BC4099)</f>
        <v>#VALUE!</v>
      </c>
      <c r="BM4099">
        <f t="shared" si="336"/>
        <v>1</v>
      </c>
      <c r="BN4099">
        <f t="shared" si="337"/>
        <v>1900</v>
      </c>
    </row>
    <row r="4100" spans="55:66" x14ac:dyDescent="0.2">
      <c r="BC4100" s="21" t="e" vm="1">
        <v>#REF!</v>
      </c>
      <c r="BD4100" t="e" vm="1">
        <v>#REF!</v>
      </c>
      <c r="BF4100" t="e" vm="2">
        <f t="shared" si="338"/>
        <v>#VALUE!</v>
      </c>
      <c r="BG4100" t="e" vm="2">
        <f t="shared" si="339"/>
        <v>#VALUE!</v>
      </c>
      <c r="BM4100">
        <f t="shared" ref="BM4100:BM4163" si="340">MONTH(BJ4100)</f>
        <v>1</v>
      </c>
      <c r="BN4100">
        <f t="shared" ref="BN4100:BN4163" si="341">YEAR(BJ4100)</f>
        <v>1900</v>
      </c>
    </row>
    <row r="4101" spans="55:66" x14ac:dyDescent="0.2">
      <c r="BC4101" s="21" t="e" vm="1">
        <v>#REF!</v>
      </c>
      <c r="BD4101" t="e" vm="1">
        <v>#REF!</v>
      </c>
      <c r="BF4101" t="e" vm="2">
        <f t="shared" si="338"/>
        <v>#VALUE!</v>
      </c>
      <c r="BG4101" t="e" vm="2">
        <f t="shared" si="339"/>
        <v>#VALUE!</v>
      </c>
      <c r="BM4101">
        <f t="shared" si="340"/>
        <v>1</v>
      </c>
      <c r="BN4101">
        <f t="shared" si="341"/>
        <v>1900</v>
      </c>
    </row>
    <row r="4102" spans="55:66" x14ac:dyDescent="0.2">
      <c r="BC4102" s="21" t="e" vm="1">
        <v>#REF!</v>
      </c>
      <c r="BD4102" t="e" vm="1">
        <v>#REF!</v>
      </c>
      <c r="BF4102" t="e" vm="2">
        <f t="shared" si="338"/>
        <v>#VALUE!</v>
      </c>
      <c r="BG4102" t="e" vm="2">
        <f t="shared" si="339"/>
        <v>#VALUE!</v>
      </c>
      <c r="BM4102">
        <f t="shared" si="340"/>
        <v>1</v>
      </c>
      <c r="BN4102">
        <f t="shared" si="341"/>
        <v>1900</v>
      </c>
    </row>
    <row r="4103" spans="55:66" x14ac:dyDescent="0.2">
      <c r="BC4103" s="21" t="e" vm="1">
        <v>#REF!</v>
      </c>
      <c r="BD4103" t="e" vm="1">
        <v>#REF!</v>
      </c>
      <c r="BF4103" t="e" vm="2">
        <f t="shared" si="338"/>
        <v>#VALUE!</v>
      </c>
      <c r="BG4103" t="e" vm="2">
        <f t="shared" si="339"/>
        <v>#VALUE!</v>
      </c>
      <c r="BM4103">
        <f t="shared" si="340"/>
        <v>1</v>
      </c>
      <c r="BN4103">
        <f t="shared" si="341"/>
        <v>1900</v>
      </c>
    </row>
    <row r="4104" spans="55:66" x14ac:dyDescent="0.2">
      <c r="BC4104" s="21" t="e" vm="1">
        <v>#REF!</v>
      </c>
      <c r="BD4104" t="e" vm="1">
        <v>#REF!</v>
      </c>
      <c r="BF4104" t="e" vm="2">
        <f t="shared" si="338"/>
        <v>#VALUE!</v>
      </c>
      <c r="BG4104" t="e" vm="2">
        <f t="shared" si="339"/>
        <v>#VALUE!</v>
      </c>
      <c r="BM4104">
        <f t="shared" si="340"/>
        <v>1</v>
      </c>
      <c r="BN4104">
        <f t="shared" si="341"/>
        <v>1900</v>
      </c>
    </row>
    <row r="4105" spans="55:66" x14ac:dyDescent="0.2">
      <c r="BC4105" s="21" t="e" vm="1">
        <v>#REF!</v>
      </c>
      <c r="BD4105" t="e" vm="1">
        <v>#REF!</v>
      </c>
      <c r="BF4105" t="e" vm="2">
        <f t="shared" si="338"/>
        <v>#VALUE!</v>
      </c>
      <c r="BG4105" t="e" vm="2">
        <f t="shared" si="339"/>
        <v>#VALUE!</v>
      </c>
      <c r="BM4105">
        <f t="shared" si="340"/>
        <v>1</v>
      </c>
      <c r="BN4105">
        <f t="shared" si="341"/>
        <v>1900</v>
      </c>
    </row>
    <row r="4106" spans="55:66" x14ac:dyDescent="0.2">
      <c r="BC4106" s="21" t="e" vm="1">
        <v>#REF!</v>
      </c>
      <c r="BD4106" t="e" vm="1">
        <v>#REF!</v>
      </c>
      <c r="BF4106" t="e" vm="2">
        <f t="shared" si="338"/>
        <v>#VALUE!</v>
      </c>
      <c r="BG4106" t="e" vm="2">
        <f t="shared" si="339"/>
        <v>#VALUE!</v>
      </c>
      <c r="BM4106">
        <f t="shared" si="340"/>
        <v>1</v>
      </c>
      <c r="BN4106">
        <f t="shared" si="341"/>
        <v>1900</v>
      </c>
    </row>
    <row r="4107" spans="55:66" x14ac:dyDescent="0.2">
      <c r="BC4107" s="21" t="e" vm="1">
        <v>#REF!</v>
      </c>
      <c r="BD4107" t="e" vm="1">
        <v>#REF!</v>
      </c>
      <c r="BF4107" t="e" vm="2">
        <f t="shared" si="338"/>
        <v>#VALUE!</v>
      </c>
      <c r="BG4107" t="e" vm="2">
        <f t="shared" si="339"/>
        <v>#VALUE!</v>
      </c>
      <c r="BM4107">
        <f t="shared" si="340"/>
        <v>1</v>
      </c>
      <c r="BN4107">
        <f t="shared" si="341"/>
        <v>1900</v>
      </c>
    </row>
    <row r="4108" spans="55:66" x14ac:dyDescent="0.2">
      <c r="BC4108" s="21" t="e" vm="1">
        <v>#REF!</v>
      </c>
      <c r="BD4108" t="e" vm="1">
        <v>#REF!</v>
      </c>
      <c r="BF4108" t="e" vm="2">
        <f t="shared" si="338"/>
        <v>#VALUE!</v>
      </c>
      <c r="BG4108" t="e" vm="2">
        <f t="shared" si="339"/>
        <v>#VALUE!</v>
      </c>
      <c r="BM4108">
        <f t="shared" si="340"/>
        <v>1</v>
      </c>
      <c r="BN4108">
        <f t="shared" si="341"/>
        <v>1900</v>
      </c>
    </row>
    <row r="4109" spans="55:66" x14ac:dyDescent="0.2">
      <c r="BC4109" s="21" t="e" vm="1">
        <v>#REF!</v>
      </c>
      <c r="BD4109" t="e" vm="1">
        <v>#REF!</v>
      </c>
      <c r="BF4109" t="e" vm="2">
        <f t="shared" si="338"/>
        <v>#VALUE!</v>
      </c>
      <c r="BG4109" t="e" vm="2">
        <f t="shared" si="339"/>
        <v>#VALUE!</v>
      </c>
      <c r="BM4109">
        <f t="shared" si="340"/>
        <v>1</v>
      </c>
      <c r="BN4109">
        <f t="shared" si="341"/>
        <v>1900</v>
      </c>
    </row>
    <row r="4110" spans="55:66" x14ac:dyDescent="0.2">
      <c r="BC4110" s="21" t="e" vm="1">
        <v>#REF!</v>
      </c>
      <c r="BD4110" t="e" vm="1">
        <v>#REF!</v>
      </c>
      <c r="BF4110" t="e" vm="2">
        <f t="shared" si="338"/>
        <v>#VALUE!</v>
      </c>
      <c r="BG4110" t="e" vm="2">
        <f t="shared" si="339"/>
        <v>#VALUE!</v>
      </c>
      <c r="BM4110">
        <f t="shared" si="340"/>
        <v>1</v>
      </c>
      <c r="BN4110">
        <f t="shared" si="341"/>
        <v>1900</v>
      </c>
    </row>
    <row r="4111" spans="55:66" x14ac:dyDescent="0.2">
      <c r="BC4111" s="21" t="e" vm="1">
        <v>#REF!</v>
      </c>
      <c r="BD4111" t="e" vm="1">
        <v>#REF!</v>
      </c>
      <c r="BF4111" t="e" vm="2">
        <f t="shared" si="338"/>
        <v>#VALUE!</v>
      </c>
      <c r="BG4111" t="e" vm="2">
        <f t="shared" si="339"/>
        <v>#VALUE!</v>
      </c>
      <c r="BM4111">
        <f t="shared" si="340"/>
        <v>1</v>
      </c>
      <c r="BN4111">
        <f t="shared" si="341"/>
        <v>1900</v>
      </c>
    </row>
    <row r="4112" spans="55:66" x14ac:dyDescent="0.2">
      <c r="BC4112" s="21" t="e" vm="1">
        <v>#REF!</v>
      </c>
      <c r="BD4112" t="e" vm="1">
        <v>#REF!</v>
      </c>
      <c r="BF4112" t="e" vm="2">
        <f t="shared" si="338"/>
        <v>#VALUE!</v>
      </c>
      <c r="BG4112" t="e" vm="2">
        <f t="shared" si="339"/>
        <v>#VALUE!</v>
      </c>
      <c r="BM4112">
        <f t="shared" si="340"/>
        <v>1</v>
      </c>
      <c r="BN4112">
        <f t="shared" si="341"/>
        <v>1900</v>
      </c>
    </row>
    <row r="4113" spans="55:66" x14ac:dyDescent="0.2">
      <c r="BC4113" s="21" t="e" vm="1">
        <v>#REF!</v>
      </c>
      <c r="BD4113" t="e" vm="1">
        <v>#REF!</v>
      </c>
      <c r="BF4113" t="e" vm="2">
        <f t="shared" si="338"/>
        <v>#VALUE!</v>
      </c>
      <c r="BG4113" t="e" vm="2">
        <f t="shared" si="339"/>
        <v>#VALUE!</v>
      </c>
      <c r="BM4113">
        <f t="shared" si="340"/>
        <v>1</v>
      </c>
      <c r="BN4113">
        <f t="shared" si="341"/>
        <v>1900</v>
      </c>
    </row>
    <row r="4114" spans="55:66" x14ac:dyDescent="0.2">
      <c r="BC4114" s="21" t="e" vm="1">
        <v>#REF!</v>
      </c>
      <c r="BD4114" t="e" vm="1">
        <v>#REF!</v>
      </c>
      <c r="BF4114" t="e" vm="2">
        <f t="shared" si="338"/>
        <v>#VALUE!</v>
      </c>
      <c r="BG4114" t="e" vm="2">
        <f t="shared" si="339"/>
        <v>#VALUE!</v>
      </c>
      <c r="BM4114">
        <f t="shared" si="340"/>
        <v>1</v>
      </c>
      <c r="BN4114">
        <f t="shared" si="341"/>
        <v>1900</v>
      </c>
    </row>
    <row r="4115" spans="55:66" x14ac:dyDescent="0.2">
      <c r="BC4115" s="21" t="e" vm="1">
        <v>#REF!</v>
      </c>
      <c r="BD4115" t="e" vm="1">
        <v>#REF!</v>
      </c>
      <c r="BF4115" t="e" vm="2">
        <f t="shared" si="338"/>
        <v>#VALUE!</v>
      </c>
      <c r="BG4115" t="e" vm="2">
        <f t="shared" si="339"/>
        <v>#VALUE!</v>
      </c>
      <c r="BM4115">
        <f t="shared" si="340"/>
        <v>1</v>
      </c>
      <c r="BN4115">
        <f t="shared" si="341"/>
        <v>1900</v>
      </c>
    </row>
    <row r="4116" spans="55:66" x14ac:dyDescent="0.2">
      <c r="BC4116" s="21" t="e" vm="1">
        <v>#REF!</v>
      </c>
      <c r="BD4116" t="e" vm="1">
        <v>#REF!</v>
      </c>
      <c r="BF4116" t="e" vm="2">
        <f t="shared" si="338"/>
        <v>#VALUE!</v>
      </c>
      <c r="BG4116" t="e" vm="2">
        <f t="shared" si="339"/>
        <v>#VALUE!</v>
      </c>
      <c r="BM4116">
        <f t="shared" si="340"/>
        <v>1</v>
      </c>
      <c r="BN4116">
        <f t="shared" si="341"/>
        <v>1900</v>
      </c>
    </row>
    <row r="4117" spans="55:66" x14ac:dyDescent="0.2">
      <c r="BC4117" s="21" t="e" vm="1">
        <v>#REF!</v>
      </c>
      <c r="BD4117" t="e" vm="1">
        <v>#REF!</v>
      </c>
      <c r="BF4117" t="e" vm="2">
        <f t="shared" si="338"/>
        <v>#VALUE!</v>
      </c>
      <c r="BG4117" t="e" vm="2">
        <f t="shared" si="339"/>
        <v>#VALUE!</v>
      </c>
      <c r="BM4117">
        <f t="shared" si="340"/>
        <v>1</v>
      </c>
      <c r="BN4117">
        <f t="shared" si="341"/>
        <v>1900</v>
      </c>
    </row>
    <row r="4118" spans="55:66" x14ac:dyDescent="0.2">
      <c r="BC4118" s="21" t="e" vm="1">
        <v>#REF!</v>
      </c>
      <c r="BD4118" t="e" vm="1">
        <v>#REF!</v>
      </c>
      <c r="BF4118" t="e" vm="2">
        <f t="shared" si="338"/>
        <v>#VALUE!</v>
      </c>
      <c r="BG4118" t="e" vm="2">
        <f t="shared" si="339"/>
        <v>#VALUE!</v>
      </c>
      <c r="BM4118">
        <f t="shared" si="340"/>
        <v>1</v>
      </c>
      <c r="BN4118">
        <f t="shared" si="341"/>
        <v>1900</v>
      </c>
    </row>
    <row r="4119" spans="55:66" x14ac:dyDescent="0.2">
      <c r="BC4119" s="21" t="e" vm="1">
        <v>#REF!</v>
      </c>
      <c r="BD4119" t="e" vm="1">
        <v>#REF!</v>
      </c>
      <c r="BF4119" t="e" vm="2">
        <f t="shared" si="338"/>
        <v>#VALUE!</v>
      </c>
      <c r="BG4119" t="e" vm="2">
        <f t="shared" si="339"/>
        <v>#VALUE!</v>
      </c>
      <c r="BM4119">
        <f t="shared" si="340"/>
        <v>1</v>
      </c>
      <c r="BN4119">
        <f t="shared" si="341"/>
        <v>1900</v>
      </c>
    </row>
    <row r="4120" spans="55:66" x14ac:dyDescent="0.2">
      <c r="BC4120" s="21" t="e" vm="1">
        <v>#REF!</v>
      </c>
      <c r="BD4120" t="e" vm="1">
        <v>#REF!</v>
      </c>
      <c r="BF4120" t="e" vm="2">
        <f t="shared" si="338"/>
        <v>#VALUE!</v>
      </c>
      <c r="BG4120" t="e" vm="2">
        <f t="shared" si="339"/>
        <v>#VALUE!</v>
      </c>
      <c r="BM4120">
        <f t="shared" si="340"/>
        <v>1</v>
      </c>
      <c r="BN4120">
        <f t="shared" si="341"/>
        <v>1900</v>
      </c>
    </row>
    <row r="4121" spans="55:66" x14ac:dyDescent="0.2">
      <c r="BC4121" s="21" t="e" vm="1">
        <v>#REF!</v>
      </c>
      <c r="BD4121" t="e" vm="1">
        <v>#REF!</v>
      </c>
      <c r="BF4121" t="e" vm="2">
        <f t="shared" si="338"/>
        <v>#VALUE!</v>
      </c>
      <c r="BG4121" t="e" vm="2">
        <f t="shared" si="339"/>
        <v>#VALUE!</v>
      </c>
      <c r="BM4121">
        <f t="shared" si="340"/>
        <v>1</v>
      </c>
      <c r="BN4121">
        <f t="shared" si="341"/>
        <v>1900</v>
      </c>
    </row>
    <row r="4122" spans="55:66" x14ac:dyDescent="0.2">
      <c r="BC4122" s="21" t="e" vm="1">
        <v>#REF!</v>
      </c>
      <c r="BD4122" t="e" vm="1">
        <v>#REF!</v>
      </c>
      <c r="BF4122" t="e" vm="2">
        <f t="shared" si="338"/>
        <v>#VALUE!</v>
      </c>
      <c r="BG4122" t="e" vm="2">
        <f t="shared" si="339"/>
        <v>#VALUE!</v>
      </c>
      <c r="BM4122">
        <f t="shared" si="340"/>
        <v>1</v>
      </c>
      <c r="BN4122">
        <f t="shared" si="341"/>
        <v>1900</v>
      </c>
    </row>
    <row r="4123" spans="55:66" x14ac:dyDescent="0.2">
      <c r="BC4123" s="21" t="e" vm="1">
        <v>#REF!</v>
      </c>
      <c r="BD4123" t="e" vm="1">
        <v>#REF!</v>
      </c>
      <c r="BF4123" t="e" vm="2">
        <f t="shared" si="338"/>
        <v>#VALUE!</v>
      </c>
      <c r="BG4123" t="e" vm="2">
        <f t="shared" si="339"/>
        <v>#VALUE!</v>
      </c>
      <c r="BM4123">
        <f t="shared" si="340"/>
        <v>1</v>
      </c>
      <c r="BN4123">
        <f t="shared" si="341"/>
        <v>1900</v>
      </c>
    </row>
    <row r="4124" spans="55:66" x14ac:dyDescent="0.2">
      <c r="BC4124" s="21" t="e" vm="1">
        <v>#REF!</v>
      </c>
      <c r="BD4124" t="e" vm="1">
        <v>#REF!</v>
      </c>
      <c r="BF4124" t="e" vm="2">
        <f t="shared" si="338"/>
        <v>#VALUE!</v>
      </c>
      <c r="BG4124" t="e" vm="2">
        <f t="shared" si="339"/>
        <v>#VALUE!</v>
      </c>
      <c r="BM4124">
        <f t="shared" si="340"/>
        <v>1</v>
      </c>
      <c r="BN4124">
        <f t="shared" si="341"/>
        <v>1900</v>
      </c>
    </row>
    <row r="4125" spans="55:66" x14ac:dyDescent="0.2">
      <c r="BC4125" s="21" t="e" vm="1">
        <v>#REF!</v>
      </c>
      <c r="BD4125" t="e" vm="1">
        <v>#REF!</v>
      </c>
      <c r="BF4125" t="e" vm="2">
        <f t="shared" si="338"/>
        <v>#VALUE!</v>
      </c>
      <c r="BG4125" t="e" vm="2">
        <f t="shared" si="339"/>
        <v>#VALUE!</v>
      </c>
      <c r="BM4125">
        <f t="shared" si="340"/>
        <v>1</v>
      </c>
      <c r="BN4125">
        <f t="shared" si="341"/>
        <v>1900</v>
      </c>
    </row>
    <row r="4126" spans="55:66" x14ac:dyDescent="0.2">
      <c r="BC4126" s="21" t="e" vm="1">
        <v>#REF!</v>
      </c>
      <c r="BD4126" t="e" vm="1">
        <v>#REF!</v>
      </c>
      <c r="BF4126" t="e" vm="2">
        <f t="shared" si="338"/>
        <v>#VALUE!</v>
      </c>
      <c r="BG4126" t="e" vm="2">
        <f t="shared" si="339"/>
        <v>#VALUE!</v>
      </c>
      <c r="BM4126">
        <f t="shared" si="340"/>
        <v>1</v>
      </c>
      <c r="BN4126">
        <f t="shared" si="341"/>
        <v>1900</v>
      </c>
    </row>
    <row r="4127" spans="55:66" x14ac:dyDescent="0.2">
      <c r="BC4127" s="21" t="e" vm="1">
        <v>#REF!</v>
      </c>
      <c r="BD4127" t="e" vm="1">
        <v>#REF!</v>
      </c>
      <c r="BF4127" t="e" vm="2">
        <f t="shared" si="338"/>
        <v>#VALUE!</v>
      </c>
      <c r="BG4127" t="e" vm="2">
        <f t="shared" si="339"/>
        <v>#VALUE!</v>
      </c>
      <c r="BM4127">
        <f t="shared" si="340"/>
        <v>1</v>
      </c>
      <c r="BN4127">
        <f t="shared" si="341"/>
        <v>1900</v>
      </c>
    </row>
    <row r="4128" spans="55:66" x14ac:dyDescent="0.2">
      <c r="BC4128" s="21" t="e" vm="1">
        <v>#REF!</v>
      </c>
      <c r="BD4128" t="e" vm="1">
        <v>#REF!</v>
      </c>
      <c r="BF4128" t="e" vm="2">
        <f t="shared" si="338"/>
        <v>#VALUE!</v>
      </c>
      <c r="BG4128" t="e" vm="2">
        <f t="shared" si="339"/>
        <v>#VALUE!</v>
      </c>
      <c r="BM4128">
        <f t="shared" si="340"/>
        <v>1</v>
      </c>
      <c r="BN4128">
        <f t="shared" si="341"/>
        <v>1900</v>
      </c>
    </row>
    <row r="4129" spans="55:66" x14ac:dyDescent="0.2">
      <c r="BC4129" s="21" t="e" vm="1">
        <v>#REF!</v>
      </c>
      <c r="BD4129" t="e" vm="1">
        <v>#REF!</v>
      </c>
      <c r="BF4129" t="e" vm="2">
        <f t="shared" si="338"/>
        <v>#VALUE!</v>
      </c>
      <c r="BG4129" t="e" vm="2">
        <f t="shared" si="339"/>
        <v>#VALUE!</v>
      </c>
      <c r="BM4129">
        <f t="shared" si="340"/>
        <v>1</v>
      </c>
      <c r="BN4129">
        <f t="shared" si="341"/>
        <v>1900</v>
      </c>
    </row>
    <row r="4130" spans="55:66" x14ac:dyDescent="0.2">
      <c r="BC4130" s="21" t="e" vm="1">
        <v>#REF!</v>
      </c>
      <c r="BD4130" t="e" vm="1">
        <v>#REF!</v>
      </c>
      <c r="BF4130" t="e" vm="2">
        <f t="shared" si="338"/>
        <v>#VALUE!</v>
      </c>
      <c r="BG4130" t="e" vm="2">
        <f t="shared" si="339"/>
        <v>#VALUE!</v>
      </c>
      <c r="BM4130">
        <f t="shared" si="340"/>
        <v>1</v>
      </c>
      <c r="BN4130">
        <f t="shared" si="341"/>
        <v>1900</v>
      </c>
    </row>
    <row r="4131" spans="55:66" x14ac:dyDescent="0.2">
      <c r="BC4131" s="21" t="e" vm="1">
        <v>#REF!</v>
      </c>
      <c r="BD4131" t="e" vm="1">
        <v>#REF!</v>
      </c>
      <c r="BF4131" t="e" vm="2">
        <f t="shared" si="338"/>
        <v>#VALUE!</v>
      </c>
      <c r="BG4131" t="e" vm="2">
        <f t="shared" si="339"/>
        <v>#VALUE!</v>
      </c>
      <c r="BM4131">
        <f t="shared" si="340"/>
        <v>1</v>
      </c>
      <c r="BN4131">
        <f t="shared" si="341"/>
        <v>1900</v>
      </c>
    </row>
    <row r="4132" spans="55:66" x14ac:dyDescent="0.2">
      <c r="BC4132" s="21" t="e" vm="1">
        <v>#REF!</v>
      </c>
      <c r="BD4132" t="e" vm="1">
        <v>#REF!</v>
      </c>
      <c r="BF4132" t="e" vm="2">
        <f t="shared" si="338"/>
        <v>#VALUE!</v>
      </c>
      <c r="BG4132" t="e" vm="2">
        <f t="shared" si="339"/>
        <v>#VALUE!</v>
      </c>
      <c r="BM4132">
        <f t="shared" si="340"/>
        <v>1</v>
      </c>
      <c r="BN4132">
        <f t="shared" si="341"/>
        <v>1900</v>
      </c>
    </row>
    <row r="4133" spans="55:66" x14ac:dyDescent="0.2">
      <c r="BC4133" s="21" t="e" vm="1">
        <v>#REF!</v>
      </c>
      <c r="BD4133" t="e" vm="1">
        <v>#REF!</v>
      </c>
      <c r="BF4133" t="e" vm="2">
        <f t="shared" si="338"/>
        <v>#VALUE!</v>
      </c>
      <c r="BG4133" t="e" vm="2">
        <f t="shared" si="339"/>
        <v>#VALUE!</v>
      </c>
      <c r="BM4133">
        <f t="shared" si="340"/>
        <v>1</v>
      </c>
      <c r="BN4133">
        <f t="shared" si="341"/>
        <v>1900</v>
      </c>
    </row>
    <row r="4134" spans="55:66" x14ac:dyDescent="0.2">
      <c r="BC4134" s="21" t="e" vm="1">
        <v>#REF!</v>
      </c>
      <c r="BD4134" t="e" vm="1">
        <v>#REF!</v>
      </c>
      <c r="BF4134" t="e" vm="2">
        <f t="shared" si="338"/>
        <v>#VALUE!</v>
      </c>
      <c r="BG4134" t="e" vm="2">
        <f t="shared" si="339"/>
        <v>#VALUE!</v>
      </c>
      <c r="BM4134">
        <f t="shared" si="340"/>
        <v>1</v>
      </c>
      <c r="BN4134">
        <f t="shared" si="341"/>
        <v>1900</v>
      </c>
    </row>
    <row r="4135" spans="55:66" x14ac:dyDescent="0.2">
      <c r="BC4135" s="21" t="e" vm="1">
        <v>#REF!</v>
      </c>
      <c r="BD4135" t="e" vm="1">
        <v>#REF!</v>
      </c>
      <c r="BF4135" t="e" vm="2">
        <f t="shared" si="338"/>
        <v>#VALUE!</v>
      </c>
      <c r="BG4135" t="e" vm="2">
        <f t="shared" si="339"/>
        <v>#VALUE!</v>
      </c>
      <c r="BM4135">
        <f t="shared" si="340"/>
        <v>1</v>
      </c>
      <c r="BN4135">
        <f t="shared" si="341"/>
        <v>1900</v>
      </c>
    </row>
    <row r="4136" spans="55:66" x14ac:dyDescent="0.2">
      <c r="BC4136" s="21" t="e" vm="1">
        <v>#REF!</v>
      </c>
      <c r="BD4136" t="e" vm="1">
        <v>#REF!</v>
      </c>
      <c r="BF4136" t="e" vm="2">
        <f t="shared" si="338"/>
        <v>#VALUE!</v>
      </c>
      <c r="BG4136" t="e" vm="2">
        <f t="shared" si="339"/>
        <v>#VALUE!</v>
      </c>
      <c r="BM4136">
        <f t="shared" si="340"/>
        <v>1</v>
      </c>
      <c r="BN4136">
        <f t="shared" si="341"/>
        <v>1900</v>
      </c>
    </row>
    <row r="4137" spans="55:66" x14ac:dyDescent="0.2">
      <c r="BC4137" s="21" t="e" vm="1">
        <v>#REF!</v>
      </c>
      <c r="BD4137" t="e" vm="1">
        <v>#REF!</v>
      </c>
      <c r="BF4137" t="e" vm="2">
        <f t="shared" si="338"/>
        <v>#VALUE!</v>
      </c>
      <c r="BG4137" t="e" vm="2">
        <f t="shared" si="339"/>
        <v>#VALUE!</v>
      </c>
      <c r="BM4137">
        <f t="shared" si="340"/>
        <v>1</v>
      </c>
      <c r="BN4137">
        <f t="shared" si="341"/>
        <v>1900</v>
      </c>
    </row>
    <row r="4138" spans="55:66" x14ac:dyDescent="0.2">
      <c r="BC4138" s="21" t="e" vm="1">
        <v>#REF!</v>
      </c>
      <c r="BD4138" t="e" vm="1">
        <v>#REF!</v>
      </c>
      <c r="BF4138" t="e" vm="2">
        <f t="shared" si="338"/>
        <v>#VALUE!</v>
      </c>
      <c r="BG4138" t="e" vm="2">
        <f t="shared" si="339"/>
        <v>#VALUE!</v>
      </c>
      <c r="BM4138">
        <f t="shared" si="340"/>
        <v>1</v>
      </c>
      <c r="BN4138">
        <f t="shared" si="341"/>
        <v>1900</v>
      </c>
    </row>
    <row r="4139" spans="55:66" x14ac:dyDescent="0.2">
      <c r="BC4139" s="21" t="e" vm="1">
        <v>#REF!</v>
      </c>
      <c r="BD4139" t="e" vm="1">
        <v>#REF!</v>
      </c>
      <c r="BF4139" t="e" vm="2">
        <f t="shared" si="338"/>
        <v>#VALUE!</v>
      </c>
      <c r="BG4139" t="e" vm="2">
        <f t="shared" si="339"/>
        <v>#VALUE!</v>
      </c>
      <c r="BM4139">
        <f t="shared" si="340"/>
        <v>1</v>
      </c>
      <c r="BN4139">
        <f t="shared" si="341"/>
        <v>1900</v>
      </c>
    </row>
    <row r="4140" spans="55:66" x14ac:dyDescent="0.2">
      <c r="BC4140" s="21" t="e" vm="1">
        <v>#REF!</v>
      </c>
      <c r="BD4140" t="e" vm="1">
        <v>#REF!</v>
      </c>
      <c r="BF4140" t="e" vm="2">
        <f t="shared" si="338"/>
        <v>#VALUE!</v>
      </c>
      <c r="BG4140" t="e" vm="2">
        <f t="shared" si="339"/>
        <v>#VALUE!</v>
      </c>
      <c r="BM4140">
        <f t="shared" si="340"/>
        <v>1</v>
      </c>
      <c r="BN4140">
        <f t="shared" si="341"/>
        <v>1900</v>
      </c>
    </row>
    <row r="4141" spans="55:66" x14ac:dyDescent="0.2">
      <c r="BC4141" s="21" t="e" vm="1">
        <v>#REF!</v>
      </c>
      <c r="BD4141" t="e" vm="1">
        <v>#REF!</v>
      </c>
      <c r="BF4141" t="e" vm="2">
        <f t="shared" si="338"/>
        <v>#VALUE!</v>
      </c>
      <c r="BG4141" t="e" vm="2">
        <f t="shared" si="339"/>
        <v>#VALUE!</v>
      </c>
      <c r="BM4141">
        <f t="shared" si="340"/>
        <v>1</v>
      </c>
      <c r="BN4141">
        <f t="shared" si="341"/>
        <v>1900</v>
      </c>
    </row>
    <row r="4142" spans="55:66" x14ac:dyDescent="0.2">
      <c r="BC4142" s="21" t="e" vm="1">
        <v>#REF!</v>
      </c>
      <c r="BD4142" t="e" vm="1">
        <v>#REF!</v>
      </c>
      <c r="BF4142" t="e" vm="2">
        <f t="shared" si="338"/>
        <v>#VALUE!</v>
      </c>
      <c r="BG4142" t="e" vm="2">
        <f t="shared" si="339"/>
        <v>#VALUE!</v>
      </c>
      <c r="BM4142">
        <f t="shared" si="340"/>
        <v>1</v>
      </c>
      <c r="BN4142">
        <f t="shared" si="341"/>
        <v>1900</v>
      </c>
    </row>
    <row r="4143" spans="55:66" x14ac:dyDescent="0.2">
      <c r="BC4143" s="21" t="e" vm="1">
        <v>#REF!</v>
      </c>
      <c r="BD4143" t="e" vm="1">
        <v>#REF!</v>
      </c>
      <c r="BF4143" t="e" vm="2">
        <f t="shared" si="338"/>
        <v>#VALUE!</v>
      </c>
      <c r="BG4143" t="e" vm="2">
        <f t="shared" si="339"/>
        <v>#VALUE!</v>
      </c>
      <c r="BM4143">
        <f t="shared" si="340"/>
        <v>1</v>
      </c>
      <c r="BN4143">
        <f t="shared" si="341"/>
        <v>1900</v>
      </c>
    </row>
    <row r="4144" spans="55:66" x14ac:dyDescent="0.2">
      <c r="BC4144" s="21" t="e" vm="1">
        <v>#REF!</v>
      </c>
      <c r="BD4144" t="e" vm="1">
        <v>#REF!</v>
      </c>
      <c r="BF4144" t="e" vm="2">
        <f t="shared" si="338"/>
        <v>#VALUE!</v>
      </c>
      <c r="BG4144" t="e" vm="2">
        <f t="shared" si="339"/>
        <v>#VALUE!</v>
      </c>
      <c r="BM4144">
        <f t="shared" si="340"/>
        <v>1</v>
      </c>
      <c r="BN4144">
        <f t="shared" si="341"/>
        <v>1900</v>
      </c>
    </row>
    <row r="4145" spans="55:66" x14ac:dyDescent="0.2">
      <c r="BC4145" s="21" t="e" vm="1">
        <v>#REF!</v>
      </c>
      <c r="BD4145" t="e" vm="1">
        <v>#REF!</v>
      </c>
      <c r="BF4145" t="e" vm="2">
        <f t="shared" si="338"/>
        <v>#VALUE!</v>
      </c>
      <c r="BG4145" t="e" vm="2">
        <f t="shared" si="339"/>
        <v>#VALUE!</v>
      </c>
      <c r="BM4145">
        <f t="shared" si="340"/>
        <v>1</v>
      </c>
      <c r="BN4145">
        <f t="shared" si="341"/>
        <v>1900</v>
      </c>
    </row>
    <row r="4146" spans="55:66" x14ac:dyDescent="0.2">
      <c r="BC4146" s="21" t="e" vm="1">
        <v>#REF!</v>
      </c>
      <c r="BD4146" t="e" vm="1">
        <v>#REF!</v>
      </c>
      <c r="BF4146" t="e" vm="2">
        <f t="shared" si="338"/>
        <v>#VALUE!</v>
      </c>
      <c r="BG4146" t="e" vm="2">
        <f t="shared" si="339"/>
        <v>#VALUE!</v>
      </c>
      <c r="BM4146">
        <f t="shared" si="340"/>
        <v>1</v>
      </c>
      <c r="BN4146">
        <f t="shared" si="341"/>
        <v>1900</v>
      </c>
    </row>
    <row r="4147" spans="55:66" x14ac:dyDescent="0.2">
      <c r="BC4147" s="21" t="e" vm="1">
        <v>#REF!</v>
      </c>
      <c r="BD4147" t="e" vm="1">
        <v>#REF!</v>
      </c>
      <c r="BF4147" t="e" vm="2">
        <f t="shared" si="338"/>
        <v>#VALUE!</v>
      </c>
      <c r="BG4147" t="e" vm="2">
        <f t="shared" si="339"/>
        <v>#VALUE!</v>
      </c>
      <c r="BM4147">
        <f t="shared" si="340"/>
        <v>1</v>
      </c>
      <c r="BN4147">
        <f t="shared" si="341"/>
        <v>1900</v>
      </c>
    </row>
    <row r="4148" spans="55:66" x14ac:dyDescent="0.2">
      <c r="BC4148" s="21" t="e" vm="1">
        <v>#REF!</v>
      </c>
      <c r="BD4148" t="e" vm="1">
        <v>#REF!</v>
      </c>
      <c r="BF4148" t="e" vm="2">
        <f t="shared" si="338"/>
        <v>#VALUE!</v>
      </c>
      <c r="BG4148" t="e" vm="2">
        <f t="shared" si="339"/>
        <v>#VALUE!</v>
      </c>
      <c r="BM4148">
        <f t="shared" si="340"/>
        <v>1</v>
      </c>
      <c r="BN4148">
        <f t="shared" si="341"/>
        <v>1900</v>
      </c>
    </row>
    <row r="4149" spans="55:66" x14ac:dyDescent="0.2">
      <c r="BC4149" s="21" t="e" vm="1">
        <v>#REF!</v>
      </c>
      <c r="BD4149" t="e" vm="1">
        <v>#REF!</v>
      </c>
      <c r="BF4149" t="e" vm="2">
        <f t="shared" si="338"/>
        <v>#VALUE!</v>
      </c>
      <c r="BG4149" t="e" vm="2">
        <f t="shared" si="339"/>
        <v>#VALUE!</v>
      </c>
      <c r="BM4149">
        <f t="shared" si="340"/>
        <v>1</v>
      </c>
      <c r="BN4149">
        <f t="shared" si="341"/>
        <v>1900</v>
      </c>
    </row>
    <row r="4150" spans="55:66" x14ac:dyDescent="0.2">
      <c r="BC4150" s="21" t="e" vm="1">
        <v>#REF!</v>
      </c>
      <c r="BD4150" t="e" vm="1">
        <v>#REF!</v>
      </c>
      <c r="BF4150" t="e" vm="2">
        <f t="shared" si="338"/>
        <v>#VALUE!</v>
      </c>
      <c r="BG4150" t="e" vm="2">
        <f t="shared" si="339"/>
        <v>#VALUE!</v>
      </c>
      <c r="BM4150">
        <f t="shared" si="340"/>
        <v>1</v>
      </c>
      <c r="BN4150">
        <f t="shared" si="341"/>
        <v>1900</v>
      </c>
    </row>
    <row r="4151" spans="55:66" x14ac:dyDescent="0.2">
      <c r="BC4151" s="21" t="e" vm="1">
        <v>#REF!</v>
      </c>
      <c r="BD4151" t="e" vm="1">
        <v>#REF!</v>
      </c>
      <c r="BF4151" t="e" vm="2">
        <f t="shared" si="338"/>
        <v>#VALUE!</v>
      </c>
      <c r="BG4151" t="e" vm="2">
        <f t="shared" si="339"/>
        <v>#VALUE!</v>
      </c>
      <c r="BM4151">
        <f t="shared" si="340"/>
        <v>1</v>
      </c>
      <c r="BN4151">
        <f t="shared" si="341"/>
        <v>1900</v>
      </c>
    </row>
    <row r="4152" spans="55:66" x14ac:dyDescent="0.2">
      <c r="BC4152" s="21" t="e" vm="1">
        <v>#REF!</v>
      </c>
      <c r="BD4152" t="e" vm="1">
        <v>#REF!</v>
      </c>
      <c r="BF4152" t="e" vm="2">
        <f t="shared" si="338"/>
        <v>#VALUE!</v>
      </c>
      <c r="BG4152" t="e" vm="2">
        <f t="shared" si="339"/>
        <v>#VALUE!</v>
      </c>
      <c r="BM4152">
        <f t="shared" si="340"/>
        <v>1</v>
      </c>
      <c r="BN4152">
        <f t="shared" si="341"/>
        <v>1900</v>
      </c>
    </row>
    <row r="4153" spans="55:66" x14ac:dyDescent="0.2">
      <c r="BC4153" s="21" t="e" vm="1">
        <v>#REF!</v>
      </c>
      <c r="BD4153" t="e" vm="1">
        <v>#REF!</v>
      </c>
      <c r="BF4153" t="e" vm="2">
        <f t="shared" si="338"/>
        <v>#VALUE!</v>
      </c>
      <c r="BG4153" t="e" vm="2">
        <f t="shared" si="339"/>
        <v>#VALUE!</v>
      </c>
      <c r="BM4153">
        <f t="shared" si="340"/>
        <v>1</v>
      </c>
      <c r="BN4153">
        <f t="shared" si="341"/>
        <v>1900</v>
      </c>
    </row>
    <row r="4154" spans="55:66" x14ac:dyDescent="0.2">
      <c r="BC4154" s="21" t="e" vm="1">
        <v>#REF!</v>
      </c>
      <c r="BD4154" t="e" vm="1">
        <v>#REF!</v>
      </c>
      <c r="BF4154" t="e" vm="2">
        <f t="shared" si="338"/>
        <v>#VALUE!</v>
      </c>
      <c r="BG4154" t="e" vm="2">
        <f t="shared" si="339"/>
        <v>#VALUE!</v>
      </c>
      <c r="BM4154">
        <f t="shared" si="340"/>
        <v>1</v>
      </c>
      <c r="BN4154">
        <f t="shared" si="341"/>
        <v>1900</v>
      </c>
    </row>
    <row r="4155" spans="55:66" x14ac:dyDescent="0.2">
      <c r="BC4155" s="21" t="e" vm="1">
        <v>#REF!</v>
      </c>
      <c r="BD4155" t="e" vm="1">
        <v>#REF!</v>
      </c>
      <c r="BF4155" t="e" vm="2">
        <f t="shared" si="338"/>
        <v>#VALUE!</v>
      </c>
      <c r="BG4155" t="e" vm="2">
        <f t="shared" si="339"/>
        <v>#VALUE!</v>
      </c>
      <c r="BM4155">
        <f t="shared" si="340"/>
        <v>1</v>
      </c>
      <c r="BN4155">
        <f t="shared" si="341"/>
        <v>1900</v>
      </c>
    </row>
    <row r="4156" spans="55:66" x14ac:dyDescent="0.2">
      <c r="BC4156" s="21" t="e" vm="1">
        <v>#REF!</v>
      </c>
      <c r="BD4156" t="e" vm="1">
        <v>#REF!</v>
      </c>
      <c r="BF4156" t="e" vm="2">
        <f t="shared" si="338"/>
        <v>#VALUE!</v>
      </c>
      <c r="BG4156" t="e" vm="2">
        <f t="shared" si="339"/>
        <v>#VALUE!</v>
      </c>
      <c r="BM4156">
        <f t="shared" si="340"/>
        <v>1</v>
      </c>
      <c r="BN4156">
        <f t="shared" si="341"/>
        <v>1900</v>
      </c>
    </row>
    <row r="4157" spans="55:66" x14ac:dyDescent="0.2">
      <c r="BC4157" s="21" t="e" vm="1">
        <v>#REF!</v>
      </c>
      <c r="BD4157" t="e" vm="1">
        <v>#REF!</v>
      </c>
      <c r="BF4157" t="e" vm="2">
        <f t="shared" si="338"/>
        <v>#VALUE!</v>
      </c>
      <c r="BG4157" t="e" vm="2">
        <f t="shared" si="339"/>
        <v>#VALUE!</v>
      </c>
      <c r="BM4157">
        <f t="shared" si="340"/>
        <v>1</v>
      </c>
      <c r="BN4157">
        <f t="shared" si="341"/>
        <v>1900</v>
      </c>
    </row>
    <row r="4158" spans="55:66" x14ac:dyDescent="0.2">
      <c r="BC4158" s="21" t="e" vm="1">
        <v>#REF!</v>
      </c>
      <c r="BD4158" t="e" vm="1">
        <v>#REF!</v>
      </c>
      <c r="BF4158" t="e" vm="2">
        <f t="shared" si="338"/>
        <v>#VALUE!</v>
      </c>
      <c r="BG4158" t="e" vm="2">
        <f t="shared" si="339"/>
        <v>#VALUE!</v>
      </c>
      <c r="BM4158">
        <f t="shared" si="340"/>
        <v>1</v>
      </c>
      <c r="BN4158">
        <f t="shared" si="341"/>
        <v>1900</v>
      </c>
    </row>
    <row r="4159" spans="55:66" x14ac:dyDescent="0.2">
      <c r="BC4159" s="21" t="e" vm="1">
        <v>#REF!</v>
      </c>
      <c r="BD4159" t="e" vm="1">
        <v>#REF!</v>
      </c>
      <c r="BF4159" t="e" vm="2">
        <f t="shared" si="338"/>
        <v>#VALUE!</v>
      </c>
      <c r="BG4159" t="e" vm="2">
        <f t="shared" si="339"/>
        <v>#VALUE!</v>
      </c>
      <c r="BM4159">
        <f t="shared" si="340"/>
        <v>1</v>
      </c>
      <c r="BN4159">
        <f t="shared" si="341"/>
        <v>1900</v>
      </c>
    </row>
    <row r="4160" spans="55:66" x14ac:dyDescent="0.2">
      <c r="BC4160" s="21" t="e" vm="1">
        <v>#REF!</v>
      </c>
      <c r="BD4160" t="e" vm="1">
        <v>#REF!</v>
      </c>
      <c r="BF4160" t="e" vm="2">
        <f t="shared" si="338"/>
        <v>#VALUE!</v>
      </c>
      <c r="BG4160" t="e" vm="2">
        <f t="shared" si="339"/>
        <v>#VALUE!</v>
      </c>
      <c r="BM4160">
        <f t="shared" si="340"/>
        <v>1</v>
      </c>
      <c r="BN4160">
        <f t="shared" si="341"/>
        <v>1900</v>
      </c>
    </row>
    <row r="4161" spans="55:66" x14ac:dyDescent="0.2">
      <c r="BC4161" s="21" t="e" vm="1">
        <v>#REF!</v>
      </c>
      <c r="BD4161" t="e" vm="1">
        <v>#REF!</v>
      </c>
      <c r="BF4161" t="e" vm="2">
        <f t="shared" si="338"/>
        <v>#VALUE!</v>
      </c>
      <c r="BG4161" t="e" vm="2">
        <f t="shared" si="339"/>
        <v>#VALUE!</v>
      </c>
      <c r="BM4161">
        <f t="shared" si="340"/>
        <v>1</v>
      </c>
      <c r="BN4161">
        <f t="shared" si="341"/>
        <v>1900</v>
      </c>
    </row>
    <row r="4162" spans="55:66" x14ac:dyDescent="0.2">
      <c r="BC4162" s="21" t="e" vm="1">
        <v>#REF!</v>
      </c>
      <c r="BD4162" t="e" vm="1">
        <v>#REF!</v>
      </c>
      <c r="BF4162" t="e" vm="2">
        <f t="shared" si="338"/>
        <v>#VALUE!</v>
      </c>
      <c r="BG4162" t="e" vm="2">
        <f t="shared" si="339"/>
        <v>#VALUE!</v>
      </c>
      <c r="BM4162">
        <f t="shared" si="340"/>
        <v>1</v>
      </c>
      <c r="BN4162">
        <f t="shared" si="341"/>
        <v>1900</v>
      </c>
    </row>
    <row r="4163" spans="55:66" x14ac:dyDescent="0.2">
      <c r="BC4163" s="21" t="e" vm="1">
        <v>#REF!</v>
      </c>
      <c r="BD4163" t="e" vm="1">
        <v>#REF!</v>
      </c>
      <c r="BF4163" t="e" vm="2">
        <f t="shared" ref="BF4163:BF4226" si="342">MONTH(BC4163)</f>
        <v>#VALUE!</v>
      </c>
      <c r="BG4163" t="e" vm="2">
        <f t="shared" ref="BG4163:BG4226" si="343">YEAR(BC4163)</f>
        <v>#VALUE!</v>
      </c>
      <c r="BM4163">
        <f t="shared" si="340"/>
        <v>1</v>
      </c>
      <c r="BN4163">
        <f t="shared" si="341"/>
        <v>1900</v>
      </c>
    </row>
    <row r="4164" spans="55:66" x14ac:dyDescent="0.2">
      <c r="BC4164" s="21" t="e" vm="1">
        <v>#REF!</v>
      </c>
      <c r="BD4164" t="e" vm="1">
        <v>#REF!</v>
      </c>
      <c r="BF4164" t="e" vm="2">
        <f t="shared" si="342"/>
        <v>#VALUE!</v>
      </c>
      <c r="BG4164" t="e" vm="2">
        <f t="shared" si="343"/>
        <v>#VALUE!</v>
      </c>
      <c r="BM4164">
        <f t="shared" ref="BM4164:BM4227" si="344">MONTH(BJ4164)</f>
        <v>1</v>
      </c>
      <c r="BN4164">
        <f t="shared" ref="BN4164:BN4227" si="345">YEAR(BJ4164)</f>
        <v>1900</v>
      </c>
    </row>
    <row r="4165" spans="55:66" x14ac:dyDescent="0.2">
      <c r="BC4165" s="21" t="e" vm="1">
        <v>#REF!</v>
      </c>
      <c r="BD4165" t="e" vm="1">
        <v>#REF!</v>
      </c>
      <c r="BF4165" t="e" vm="2">
        <f t="shared" si="342"/>
        <v>#VALUE!</v>
      </c>
      <c r="BG4165" t="e" vm="2">
        <f t="shared" si="343"/>
        <v>#VALUE!</v>
      </c>
      <c r="BM4165">
        <f t="shared" si="344"/>
        <v>1</v>
      </c>
      <c r="BN4165">
        <f t="shared" si="345"/>
        <v>1900</v>
      </c>
    </row>
    <row r="4166" spans="55:66" x14ac:dyDescent="0.2">
      <c r="BC4166" s="21" t="e" vm="1">
        <v>#REF!</v>
      </c>
      <c r="BD4166" t="e" vm="1">
        <v>#REF!</v>
      </c>
      <c r="BF4166" t="e" vm="2">
        <f t="shared" si="342"/>
        <v>#VALUE!</v>
      </c>
      <c r="BG4166" t="e" vm="2">
        <f t="shared" si="343"/>
        <v>#VALUE!</v>
      </c>
      <c r="BM4166">
        <f t="shared" si="344"/>
        <v>1</v>
      </c>
      <c r="BN4166">
        <f t="shared" si="345"/>
        <v>1900</v>
      </c>
    </row>
    <row r="4167" spans="55:66" x14ac:dyDescent="0.2">
      <c r="BC4167" s="21" t="e" vm="1">
        <v>#REF!</v>
      </c>
      <c r="BD4167" t="e" vm="1">
        <v>#REF!</v>
      </c>
      <c r="BF4167" t="e" vm="2">
        <f t="shared" si="342"/>
        <v>#VALUE!</v>
      </c>
      <c r="BG4167" t="e" vm="2">
        <f t="shared" si="343"/>
        <v>#VALUE!</v>
      </c>
      <c r="BM4167">
        <f t="shared" si="344"/>
        <v>1</v>
      </c>
      <c r="BN4167">
        <f t="shared" si="345"/>
        <v>1900</v>
      </c>
    </row>
    <row r="4168" spans="55:66" x14ac:dyDescent="0.2">
      <c r="BC4168" s="21" t="e" vm="1">
        <v>#REF!</v>
      </c>
      <c r="BD4168" t="e" vm="1">
        <v>#REF!</v>
      </c>
      <c r="BF4168" t="e" vm="2">
        <f t="shared" si="342"/>
        <v>#VALUE!</v>
      </c>
      <c r="BG4168" t="e" vm="2">
        <f t="shared" si="343"/>
        <v>#VALUE!</v>
      </c>
      <c r="BM4168">
        <f t="shared" si="344"/>
        <v>1</v>
      </c>
      <c r="BN4168">
        <f t="shared" si="345"/>
        <v>1900</v>
      </c>
    </row>
    <row r="4169" spans="55:66" x14ac:dyDescent="0.2">
      <c r="BC4169" s="21" t="e" vm="1">
        <v>#REF!</v>
      </c>
      <c r="BD4169" t="e" vm="1">
        <v>#REF!</v>
      </c>
      <c r="BF4169" t="e" vm="2">
        <f t="shared" si="342"/>
        <v>#VALUE!</v>
      </c>
      <c r="BG4169" t="e" vm="2">
        <f t="shared" si="343"/>
        <v>#VALUE!</v>
      </c>
      <c r="BM4169">
        <f t="shared" si="344"/>
        <v>1</v>
      </c>
      <c r="BN4169">
        <f t="shared" si="345"/>
        <v>1900</v>
      </c>
    </row>
    <row r="4170" spans="55:66" x14ac:dyDescent="0.2">
      <c r="BC4170" s="21" t="e" vm="1">
        <v>#REF!</v>
      </c>
      <c r="BD4170" t="e" vm="1">
        <v>#REF!</v>
      </c>
      <c r="BF4170" t="e" vm="2">
        <f t="shared" si="342"/>
        <v>#VALUE!</v>
      </c>
      <c r="BG4170" t="e" vm="2">
        <f t="shared" si="343"/>
        <v>#VALUE!</v>
      </c>
      <c r="BM4170">
        <f t="shared" si="344"/>
        <v>1</v>
      </c>
      <c r="BN4170">
        <f t="shared" si="345"/>
        <v>1900</v>
      </c>
    </row>
    <row r="4171" spans="55:66" x14ac:dyDescent="0.2">
      <c r="BC4171" s="21" t="e" vm="1">
        <v>#REF!</v>
      </c>
      <c r="BD4171" t="e" vm="1">
        <v>#REF!</v>
      </c>
      <c r="BF4171" t="e" vm="2">
        <f t="shared" si="342"/>
        <v>#VALUE!</v>
      </c>
      <c r="BG4171" t="e" vm="2">
        <f t="shared" si="343"/>
        <v>#VALUE!</v>
      </c>
      <c r="BM4171">
        <f t="shared" si="344"/>
        <v>1</v>
      </c>
      <c r="BN4171">
        <f t="shared" si="345"/>
        <v>1900</v>
      </c>
    </row>
    <row r="4172" spans="55:66" x14ac:dyDescent="0.2">
      <c r="BC4172" s="21" t="e" vm="1">
        <v>#REF!</v>
      </c>
      <c r="BD4172" t="e" vm="1">
        <v>#REF!</v>
      </c>
      <c r="BF4172" t="e" vm="2">
        <f t="shared" si="342"/>
        <v>#VALUE!</v>
      </c>
      <c r="BG4172" t="e" vm="2">
        <f t="shared" si="343"/>
        <v>#VALUE!</v>
      </c>
      <c r="BM4172">
        <f t="shared" si="344"/>
        <v>1</v>
      </c>
      <c r="BN4172">
        <f t="shared" si="345"/>
        <v>1900</v>
      </c>
    </row>
    <row r="4173" spans="55:66" x14ac:dyDescent="0.2">
      <c r="BC4173" s="21" t="e" vm="1">
        <v>#REF!</v>
      </c>
      <c r="BD4173" t="e" vm="1">
        <v>#REF!</v>
      </c>
      <c r="BF4173" t="e" vm="2">
        <f t="shared" si="342"/>
        <v>#VALUE!</v>
      </c>
      <c r="BG4173" t="e" vm="2">
        <f t="shared" si="343"/>
        <v>#VALUE!</v>
      </c>
      <c r="BM4173">
        <f t="shared" si="344"/>
        <v>1</v>
      </c>
      <c r="BN4173">
        <f t="shared" si="345"/>
        <v>1900</v>
      </c>
    </row>
    <row r="4174" spans="55:66" x14ac:dyDescent="0.2">
      <c r="BC4174" s="21" t="e" vm="1">
        <v>#REF!</v>
      </c>
      <c r="BD4174" t="e" vm="1">
        <v>#REF!</v>
      </c>
      <c r="BF4174" t="e" vm="2">
        <f t="shared" si="342"/>
        <v>#VALUE!</v>
      </c>
      <c r="BG4174" t="e" vm="2">
        <f t="shared" si="343"/>
        <v>#VALUE!</v>
      </c>
      <c r="BM4174">
        <f t="shared" si="344"/>
        <v>1</v>
      </c>
      <c r="BN4174">
        <f t="shared" si="345"/>
        <v>1900</v>
      </c>
    </row>
    <row r="4175" spans="55:66" x14ac:dyDescent="0.2">
      <c r="BC4175" s="21" t="e" vm="1">
        <v>#REF!</v>
      </c>
      <c r="BD4175" t="e" vm="1">
        <v>#REF!</v>
      </c>
      <c r="BF4175" t="e" vm="2">
        <f t="shared" si="342"/>
        <v>#VALUE!</v>
      </c>
      <c r="BG4175" t="e" vm="2">
        <f t="shared" si="343"/>
        <v>#VALUE!</v>
      </c>
      <c r="BM4175">
        <f t="shared" si="344"/>
        <v>1</v>
      </c>
      <c r="BN4175">
        <f t="shared" si="345"/>
        <v>1900</v>
      </c>
    </row>
    <row r="4176" spans="55:66" x14ac:dyDescent="0.2">
      <c r="BC4176" s="21" t="e" vm="1">
        <v>#REF!</v>
      </c>
      <c r="BD4176" t="e" vm="1">
        <v>#REF!</v>
      </c>
      <c r="BF4176" t="e" vm="2">
        <f t="shared" si="342"/>
        <v>#VALUE!</v>
      </c>
      <c r="BG4176" t="e" vm="2">
        <f t="shared" si="343"/>
        <v>#VALUE!</v>
      </c>
      <c r="BM4176">
        <f t="shared" si="344"/>
        <v>1</v>
      </c>
      <c r="BN4176">
        <f t="shared" si="345"/>
        <v>1900</v>
      </c>
    </row>
    <row r="4177" spans="55:66" x14ac:dyDescent="0.2">
      <c r="BC4177" s="21" t="e" vm="1">
        <v>#REF!</v>
      </c>
      <c r="BD4177" t="e" vm="1">
        <v>#REF!</v>
      </c>
      <c r="BF4177" t="e" vm="2">
        <f t="shared" si="342"/>
        <v>#VALUE!</v>
      </c>
      <c r="BG4177" t="e" vm="2">
        <f t="shared" si="343"/>
        <v>#VALUE!</v>
      </c>
      <c r="BM4177">
        <f t="shared" si="344"/>
        <v>1</v>
      </c>
      <c r="BN4177">
        <f t="shared" si="345"/>
        <v>1900</v>
      </c>
    </row>
    <row r="4178" spans="55:66" x14ac:dyDescent="0.2">
      <c r="BC4178" s="21" t="e" vm="1">
        <v>#REF!</v>
      </c>
      <c r="BD4178" t="e" vm="1">
        <v>#REF!</v>
      </c>
      <c r="BF4178" t="e" vm="2">
        <f t="shared" si="342"/>
        <v>#VALUE!</v>
      </c>
      <c r="BG4178" t="e" vm="2">
        <f t="shared" si="343"/>
        <v>#VALUE!</v>
      </c>
      <c r="BM4178">
        <f t="shared" si="344"/>
        <v>1</v>
      </c>
      <c r="BN4178">
        <f t="shared" si="345"/>
        <v>1900</v>
      </c>
    </row>
    <row r="4179" spans="55:66" x14ac:dyDescent="0.2">
      <c r="BC4179" s="21" t="e" vm="1">
        <v>#REF!</v>
      </c>
      <c r="BD4179" t="e" vm="1">
        <v>#REF!</v>
      </c>
      <c r="BF4179" t="e" vm="2">
        <f t="shared" si="342"/>
        <v>#VALUE!</v>
      </c>
      <c r="BG4179" t="e" vm="2">
        <f t="shared" si="343"/>
        <v>#VALUE!</v>
      </c>
      <c r="BM4179">
        <f t="shared" si="344"/>
        <v>1</v>
      </c>
      <c r="BN4179">
        <f t="shared" si="345"/>
        <v>1900</v>
      </c>
    </row>
    <row r="4180" spans="55:66" x14ac:dyDescent="0.2">
      <c r="BC4180" s="21" t="e" vm="1">
        <v>#REF!</v>
      </c>
      <c r="BD4180" t="e" vm="1">
        <v>#REF!</v>
      </c>
      <c r="BF4180" t="e" vm="2">
        <f t="shared" si="342"/>
        <v>#VALUE!</v>
      </c>
      <c r="BG4180" t="e" vm="2">
        <f t="shared" si="343"/>
        <v>#VALUE!</v>
      </c>
      <c r="BM4180">
        <f t="shared" si="344"/>
        <v>1</v>
      </c>
      <c r="BN4180">
        <f t="shared" si="345"/>
        <v>1900</v>
      </c>
    </row>
    <row r="4181" spans="55:66" x14ac:dyDescent="0.2">
      <c r="BC4181" s="21" t="e" vm="1">
        <v>#REF!</v>
      </c>
      <c r="BD4181" t="e" vm="1">
        <v>#REF!</v>
      </c>
      <c r="BF4181" t="e" vm="2">
        <f t="shared" si="342"/>
        <v>#VALUE!</v>
      </c>
      <c r="BG4181" t="e" vm="2">
        <f t="shared" si="343"/>
        <v>#VALUE!</v>
      </c>
      <c r="BM4181">
        <f t="shared" si="344"/>
        <v>1</v>
      </c>
      <c r="BN4181">
        <f t="shared" si="345"/>
        <v>1900</v>
      </c>
    </row>
    <row r="4182" spans="55:66" x14ac:dyDescent="0.2">
      <c r="BC4182" s="21" t="e" vm="1">
        <v>#REF!</v>
      </c>
      <c r="BD4182" t="e" vm="1">
        <v>#REF!</v>
      </c>
      <c r="BF4182" t="e" vm="2">
        <f t="shared" si="342"/>
        <v>#VALUE!</v>
      </c>
      <c r="BG4182" t="e" vm="2">
        <f t="shared" si="343"/>
        <v>#VALUE!</v>
      </c>
      <c r="BM4182">
        <f t="shared" si="344"/>
        <v>1</v>
      </c>
      <c r="BN4182">
        <f t="shared" si="345"/>
        <v>1900</v>
      </c>
    </row>
    <row r="4183" spans="55:66" x14ac:dyDescent="0.2">
      <c r="BC4183" s="21" t="e" vm="1">
        <v>#REF!</v>
      </c>
      <c r="BD4183" t="e" vm="1">
        <v>#REF!</v>
      </c>
      <c r="BF4183" t="e" vm="2">
        <f t="shared" si="342"/>
        <v>#VALUE!</v>
      </c>
      <c r="BG4183" t="e" vm="2">
        <f t="shared" si="343"/>
        <v>#VALUE!</v>
      </c>
      <c r="BM4183">
        <f t="shared" si="344"/>
        <v>1</v>
      </c>
      <c r="BN4183">
        <f t="shared" si="345"/>
        <v>1900</v>
      </c>
    </row>
    <row r="4184" spans="55:66" x14ac:dyDescent="0.2">
      <c r="BC4184" s="21" t="e" vm="1">
        <v>#REF!</v>
      </c>
      <c r="BD4184" t="e" vm="1">
        <v>#REF!</v>
      </c>
      <c r="BF4184" t="e" vm="2">
        <f t="shared" si="342"/>
        <v>#VALUE!</v>
      </c>
      <c r="BG4184" t="e" vm="2">
        <f t="shared" si="343"/>
        <v>#VALUE!</v>
      </c>
      <c r="BM4184">
        <f t="shared" si="344"/>
        <v>1</v>
      </c>
      <c r="BN4184">
        <f t="shared" si="345"/>
        <v>1900</v>
      </c>
    </row>
    <row r="4185" spans="55:66" x14ac:dyDescent="0.2">
      <c r="BC4185" s="21" t="e" vm="1">
        <v>#REF!</v>
      </c>
      <c r="BD4185" t="e" vm="1">
        <v>#REF!</v>
      </c>
      <c r="BF4185" t="e" vm="2">
        <f t="shared" si="342"/>
        <v>#VALUE!</v>
      </c>
      <c r="BG4185" t="e" vm="2">
        <f t="shared" si="343"/>
        <v>#VALUE!</v>
      </c>
      <c r="BM4185">
        <f t="shared" si="344"/>
        <v>1</v>
      </c>
      <c r="BN4185">
        <f t="shared" si="345"/>
        <v>1900</v>
      </c>
    </row>
    <row r="4186" spans="55:66" x14ac:dyDescent="0.2">
      <c r="BC4186" s="21" t="e" vm="1">
        <v>#REF!</v>
      </c>
      <c r="BD4186" t="e" vm="1">
        <v>#REF!</v>
      </c>
      <c r="BF4186" t="e" vm="2">
        <f t="shared" si="342"/>
        <v>#VALUE!</v>
      </c>
      <c r="BG4186" t="e" vm="2">
        <f t="shared" si="343"/>
        <v>#VALUE!</v>
      </c>
      <c r="BM4186">
        <f t="shared" si="344"/>
        <v>1</v>
      </c>
      <c r="BN4186">
        <f t="shared" si="345"/>
        <v>1900</v>
      </c>
    </row>
    <row r="4187" spans="55:66" x14ac:dyDescent="0.2">
      <c r="BC4187" s="21" t="e" vm="1">
        <v>#REF!</v>
      </c>
      <c r="BD4187" t="e" vm="1">
        <v>#REF!</v>
      </c>
      <c r="BF4187" t="e" vm="2">
        <f t="shared" si="342"/>
        <v>#VALUE!</v>
      </c>
      <c r="BG4187" t="e" vm="2">
        <f t="shared" si="343"/>
        <v>#VALUE!</v>
      </c>
      <c r="BM4187">
        <f t="shared" si="344"/>
        <v>1</v>
      </c>
      <c r="BN4187">
        <f t="shared" si="345"/>
        <v>1900</v>
      </c>
    </row>
    <row r="4188" spans="55:66" x14ac:dyDescent="0.2">
      <c r="BC4188" s="21" t="e" vm="1">
        <v>#REF!</v>
      </c>
      <c r="BD4188" t="e" vm="1">
        <v>#REF!</v>
      </c>
      <c r="BF4188" t="e" vm="2">
        <f t="shared" si="342"/>
        <v>#VALUE!</v>
      </c>
      <c r="BG4188" t="e" vm="2">
        <f t="shared" si="343"/>
        <v>#VALUE!</v>
      </c>
      <c r="BM4188">
        <f t="shared" si="344"/>
        <v>1</v>
      </c>
      <c r="BN4188">
        <f t="shared" si="345"/>
        <v>1900</v>
      </c>
    </row>
    <row r="4189" spans="55:66" x14ac:dyDescent="0.2">
      <c r="BC4189" s="21" t="e" vm="1">
        <v>#REF!</v>
      </c>
      <c r="BD4189" t="e" vm="1">
        <v>#REF!</v>
      </c>
      <c r="BF4189" t="e" vm="2">
        <f t="shared" si="342"/>
        <v>#VALUE!</v>
      </c>
      <c r="BG4189" t="e" vm="2">
        <f t="shared" si="343"/>
        <v>#VALUE!</v>
      </c>
      <c r="BM4189">
        <f t="shared" si="344"/>
        <v>1</v>
      </c>
      <c r="BN4189">
        <f t="shared" si="345"/>
        <v>1900</v>
      </c>
    </row>
    <row r="4190" spans="55:66" x14ac:dyDescent="0.2">
      <c r="BC4190" s="21" t="e" vm="1">
        <v>#REF!</v>
      </c>
      <c r="BD4190" t="e" vm="1">
        <v>#REF!</v>
      </c>
      <c r="BF4190" t="e" vm="2">
        <f t="shared" si="342"/>
        <v>#VALUE!</v>
      </c>
      <c r="BG4190" t="e" vm="2">
        <f t="shared" si="343"/>
        <v>#VALUE!</v>
      </c>
      <c r="BM4190">
        <f t="shared" si="344"/>
        <v>1</v>
      </c>
      <c r="BN4190">
        <f t="shared" si="345"/>
        <v>1900</v>
      </c>
    </row>
    <row r="4191" spans="55:66" x14ac:dyDescent="0.2">
      <c r="BC4191" s="21" t="e" vm="1">
        <v>#REF!</v>
      </c>
      <c r="BD4191" t="e" vm="1">
        <v>#REF!</v>
      </c>
      <c r="BF4191" t="e" vm="2">
        <f t="shared" si="342"/>
        <v>#VALUE!</v>
      </c>
      <c r="BG4191" t="e" vm="2">
        <f t="shared" si="343"/>
        <v>#VALUE!</v>
      </c>
      <c r="BM4191">
        <f t="shared" si="344"/>
        <v>1</v>
      </c>
      <c r="BN4191">
        <f t="shared" si="345"/>
        <v>1900</v>
      </c>
    </row>
    <row r="4192" spans="55:66" x14ac:dyDescent="0.2">
      <c r="BC4192" s="21" t="e" vm="1">
        <v>#REF!</v>
      </c>
      <c r="BD4192" t="e" vm="1">
        <v>#REF!</v>
      </c>
      <c r="BF4192" t="e" vm="2">
        <f t="shared" si="342"/>
        <v>#VALUE!</v>
      </c>
      <c r="BG4192" t="e" vm="2">
        <f t="shared" si="343"/>
        <v>#VALUE!</v>
      </c>
      <c r="BM4192">
        <f t="shared" si="344"/>
        <v>1</v>
      </c>
      <c r="BN4192">
        <f t="shared" si="345"/>
        <v>1900</v>
      </c>
    </row>
    <row r="4193" spans="55:66" x14ac:dyDescent="0.2">
      <c r="BC4193" s="21" t="e" vm="1">
        <v>#REF!</v>
      </c>
      <c r="BD4193" t="e" vm="1">
        <v>#REF!</v>
      </c>
      <c r="BF4193" t="e" vm="2">
        <f t="shared" si="342"/>
        <v>#VALUE!</v>
      </c>
      <c r="BG4193" t="e" vm="2">
        <f t="shared" si="343"/>
        <v>#VALUE!</v>
      </c>
      <c r="BM4193">
        <f t="shared" si="344"/>
        <v>1</v>
      </c>
      <c r="BN4193">
        <f t="shared" si="345"/>
        <v>1900</v>
      </c>
    </row>
    <row r="4194" spans="55:66" x14ac:dyDescent="0.2">
      <c r="BC4194" s="21" t="e" vm="1">
        <v>#REF!</v>
      </c>
      <c r="BD4194" t="e" vm="1">
        <v>#REF!</v>
      </c>
      <c r="BF4194" t="e" vm="2">
        <f t="shared" si="342"/>
        <v>#VALUE!</v>
      </c>
      <c r="BG4194" t="e" vm="2">
        <f t="shared" si="343"/>
        <v>#VALUE!</v>
      </c>
      <c r="BM4194">
        <f t="shared" si="344"/>
        <v>1</v>
      </c>
      <c r="BN4194">
        <f t="shared" si="345"/>
        <v>1900</v>
      </c>
    </row>
    <row r="4195" spans="55:66" x14ac:dyDescent="0.2">
      <c r="BC4195" s="21" t="e" vm="1">
        <v>#REF!</v>
      </c>
      <c r="BD4195" t="e" vm="1">
        <v>#REF!</v>
      </c>
      <c r="BF4195" t="e" vm="2">
        <f t="shared" si="342"/>
        <v>#VALUE!</v>
      </c>
      <c r="BG4195" t="e" vm="2">
        <f t="shared" si="343"/>
        <v>#VALUE!</v>
      </c>
      <c r="BM4195">
        <f t="shared" si="344"/>
        <v>1</v>
      </c>
      <c r="BN4195">
        <f t="shared" si="345"/>
        <v>1900</v>
      </c>
    </row>
    <row r="4196" spans="55:66" x14ac:dyDescent="0.2">
      <c r="BC4196" s="21" t="e" vm="1">
        <v>#REF!</v>
      </c>
      <c r="BD4196" t="e" vm="1">
        <v>#REF!</v>
      </c>
      <c r="BF4196" t="e" vm="2">
        <f t="shared" si="342"/>
        <v>#VALUE!</v>
      </c>
      <c r="BG4196" t="e" vm="2">
        <f t="shared" si="343"/>
        <v>#VALUE!</v>
      </c>
      <c r="BM4196">
        <f t="shared" si="344"/>
        <v>1</v>
      </c>
      <c r="BN4196">
        <f t="shared" si="345"/>
        <v>1900</v>
      </c>
    </row>
    <row r="4197" spans="55:66" x14ac:dyDescent="0.2">
      <c r="BC4197" s="21" t="e" vm="1">
        <v>#REF!</v>
      </c>
      <c r="BD4197" t="e" vm="1">
        <v>#REF!</v>
      </c>
      <c r="BF4197" t="e" vm="2">
        <f t="shared" si="342"/>
        <v>#VALUE!</v>
      </c>
      <c r="BG4197" t="e" vm="2">
        <f t="shared" si="343"/>
        <v>#VALUE!</v>
      </c>
      <c r="BM4197">
        <f t="shared" si="344"/>
        <v>1</v>
      </c>
      <c r="BN4197">
        <f t="shared" si="345"/>
        <v>1900</v>
      </c>
    </row>
    <row r="4198" spans="55:66" x14ac:dyDescent="0.2">
      <c r="BC4198" s="21" t="e" vm="1">
        <v>#REF!</v>
      </c>
      <c r="BD4198" t="e" vm="1">
        <v>#REF!</v>
      </c>
      <c r="BF4198" t="e" vm="2">
        <f t="shared" si="342"/>
        <v>#VALUE!</v>
      </c>
      <c r="BG4198" t="e" vm="2">
        <f t="shared" si="343"/>
        <v>#VALUE!</v>
      </c>
      <c r="BM4198">
        <f t="shared" si="344"/>
        <v>1</v>
      </c>
      <c r="BN4198">
        <f t="shared" si="345"/>
        <v>1900</v>
      </c>
    </row>
    <row r="4199" spans="55:66" x14ac:dyDescent="0.2">
      <c r="BC4199" s="21" t="e" vm="1">
        <v>#REF!</v>
      </c>
      <c r="BD4199" t="e" vm="1">
        <v>#REF!</v>
      </c>
      <c r="BF4199" t="e" vm="2">
        <f t="shared" si="342"/>
        <v>#VALUE!</v>
      </c>
      <c r="BG4199" t="e" vm="2">
        <f t="shared" si="343"/>
        <v>#VALUE!</v>
      </c>
      <c r="BM4199">
        <f t="shared" si="344"/>
        <v>1</v>
      </c>
      <c r="BN4199">
        <f t="shared" si="345"/>
        <v>1900</v>
      </c>
    </row>
    <row r="4200" spans="55:66" x14ac:dyDescent="0.2">
      <c r="BC4200" s="21" t="e" vm="1">
        <v>#REF!</v>
      </c>
      <c r="BD4200" t="e" vm="1">
        <v>#REF!</v>
      </c>
      <c r="BF4200" t="e" vm="2">
        <f t="shared" si="342"/>
        <v>#VALUE!</v>
      </c>
      <c r="BG4200" t="e" vm="2">
        <f t="shared" si="343"/>
        <v>#VALUE!</v>
      </c>
      <c r="BM4200">
        <f t="shared" si="344"/>
        <v>1</v>
      </c>
      <c r="BN4200">
        <f t="shared" si="345"/>
        <v>1900</v>
      </c>
    </row>
    <row r="4201" spans="55:66" x14ac:dyDescent="0.2">
      <c r="BC4201" s="21" t="e" vm="1">
        <v>#REF!</v>
      </c>
      <c r="BD4201" t="e" vm="1">
        <v>#REF!</v>
      </c>
      <c r="BF4201" t="e" vm="2">
        <f t="shared" si="342"/>
        <v>#VALUE!</v>
      </c>
      <c r="BG4201" t="e" vm="2">
        <f t="shared" si="343"/>
        <v>#VALUE!</v>
      </c>
      <c r="BM4201">
        <f t="shared" si="344"/>
        <v>1</v>
      </c>
      <c r="BN4201">
        <f t="shared" si="345"/>
        <v>1900</v>
      </c>
    </row>
    <row r="4202" spans="55:66" x14ac:dyDescent="0.2">
      <c r="BC4202" s="21" t="e" vm="1">
        <v>#REF!</v>
      </c>
      <c r="BD4202" t="e" vm="1">
        <v>#REF!</v>
      </c>
      <c r="BF4202" t="e" vm="2">
        <f t="shared" si="342"/>
        <v>#VALUE!</v>
      </c>
      <c r="BG4202" t="e" vm="2">
        <f t="shared" si="343"/>
        <v>#VALUE!</v>
      </c>
      <c r="BM4202">
        <f t="shared" si="344"/>
        <v>1</v>
      </c>
      <c r="BN4202">
        <f t="shared" si="345"/>
        <v>1900</v>
      </c>
    </row>
    <row r="4203" spans="55:66" x14ac:dyDescent="0.2">
      <c r="BC4203" s="21" t="e" vm="1">
        <v>#REF!</v>
      </c>
      <c r="BD4203" t="e" vm="1">
        <v>#REF!</v>
      </c>
      <c r="BF4203" t="e" vm="2">
        <f t="shared" si="342"/>
        <v>#VALUE!</v>
      </c>
      <c r="BG4203" t="e" vm="2">
        <f t="shared" si="343"/>
        <v>#VALUE!</v>
      </c>
      <c r="BM4203">
        <f t="shared" si="344"/>
        <v>1</v>
      </c>
      <c r="BN4203">
        <f t="shared" si="345"/>
        <v>1900</v>
      </c>
    </row>
    <row r="4204" spans="55:66" x14ac:dyDescent="0.2">
      <c r="BC4204" s="21" t="e" vm="1">
        <v>#REF!</v>
      </c>
      <c r="BD4204" t="e" vm="1">
        <v>#REF!</v>
      </c>
      <c r="BF4204" t="e" vm="2">
        <f t="shared" si="342"/>
        <v>#VALUE!</v>
      </c>
      <c r="BG4204" t="e" vm="2">
        <f t="shared" si="343"/>
        <v>#VALUE!</v>
      </c>
      <c r="BM4204">
        <f t="shared" si="344"/>
        <v>1</v>
      </c>
      <c r="BN4204">
        <f t="shared" si="345"/>
        <v>1900</v>
      </c>
    </row>
    <row r="4205" spans="55:66" x14ac:dyDescent="0.2">
      <c r="BC4205" s="21" t="e" vm="1">
        <v>#REF!</v>
      </c>
      <c r="BD4205" t="e" vm="1">
        <v>#REF!</v>
      </c>
      <c r="BF4205" t="e" vm="2">
        <f t="shared" si="342"/>
        <v>#VALUE!</v>
      </c>
      <c r="BG4205" t="e" vm="2">
        <f t="shared" si="343"/>
        <v>#VALUE!</v>
      </c>
      <c r="BM4205">
        <f t="shared" si="344"/>
        <v>1</v>
      </c>
      <c r="BN4205">
        <f t="shared" si="345"/>
        <v>1900</v>
      </c>
    </row>
    <row r="4206" spans="55:66" x14ac:dyDescent="0.2">
      <c r="BC4206" s="21" t="e" vm="1">
        <v>#REF!</v>
      </c>
      <c r="BD4206" t="e" vm="1">
        <v>#REF!</v>
      </c>
      <c r="BF4206" t="e" vm="2">
        <f t="shared" si="342"/>
        <v>#VALUE!</v>
      </c>
      <c r="BG4206" t="e" vm="2">
        <f t="shared" si="343"/>
        <v>#VALUE!</v>
      </c>
      <c r="BM4206">
        <f t="shared" si="344"/>
        <v>1</v>
      </c>
      <c r="BN4206">
        <f t="shared" si="345"/>
        <v>1900</v>
      </c>
    </row>
    <row r="4207" spans="55:66" x14ac:dyDescent="0.2">
      <c r="BC4207" s="21" t="e" vm="1">
        <v>#REF!</v>
      </c>
      <c r="BD4207" t="e" vm="1">
        <v>#REF!</v>
      </c>
      <c r="BF4207" t="e" vm="2">
        <f t="shared" si="342"/>
        <v>#VALUE!</v>
      </c>
      <c r="BG4207" t="e" vm="2">
        <f t="shared" si="343"/>
        <v>#VALUE!</v>
      </c>
      <c r="BM4207">
        <f t="shared" si="344"/>
        <v>1</v>
      </c>
      <c r="BN4207">
        <f t="shared" si="345"/>
        <v>1900</v>
      </c>
    </row>
    <row r="4208" spans="55:66" x14ac:dyDescent="0.2">
      <c r="BC4208" s="21" t="e" vm="1">
        <v>#REF!</v>
      </c>
      <c r="BD4208" t="e" vm="1">
        <v>#REF!</v>
      </c>
      <c r="BF4208" t="e" vm="2">
        <f t="shared" si="342"/>
        <v>#VALUE!</v>
      </c>
      <c r="BG4208" t="e" vm="2">
        <f t="shared" si="343"/>
        <v>#VALUE!</v>
      </c>
      <c r="BM4208">
        <f t="shared" si="344"/>
        <v>1</v>
      </c>
      <c r="BN4208">
        <f t="shared" si="345"/>
        <v>1900</v>
      </c>
    </row>
    <row r="4209" spans="55:66" x14ac:dyDescent="0.2">
      <c r="BC4209" s="21" t="e" vm="1">
        <v>#REF!</v>
      </c>
      <c r="BD4209" t="e" vm="1">
        <v>#REF!</v>
      </c>
      <c r="BF4209" t="e" vm="2">
        <f t="shared" si="342"/>
        <v>#VALUE!</v>
      </c>
      <c r="BG4209" t="e" vm="2">
        <f t="shared" si="343"/>
        <v>#VALUE!</v>
      </c>
      <c r="BM4209">
        <f t="shared" si="344"/>
        <v>1</v>
      </c>
      <c r="BN4209">
        <f t="shared" si="345"/>
        <v>1900</v>
      </c>
    </row>
    <row r="4210" spans="55:66" x14ac:dyDescent="0.2">
      <c r="BC4210" s="21" t="e" vm="1">
        <v>#REF!</v>
      </c>
      <c r="BD4210" t="e" vm="1">
        <v>#REF!</v>
      </c>
      <c r="BF4210" t="e" vm="2">
        <f t="shared" si="342"/>
        <v>#VALUE!</v>
      </c>
      <c r="BG4210" t="e" vm="2">
        <f t="shared" si="343"/>
        <v>#VALUE!</v>
      </c>
      <c r="BM4210">
        <f t="shared" si="344"/>
        <v>1</v>
      </c>
      <c r="BN4210">
        <f t="shared" si="345"/>
        <v>1900</v>
      </c>
    </row>
    <row r="4211" spans="55:66" x14ac:dyDescent="0.2">
      <c r="BC4211" s="21" t="e" vm="1">
        <v>#REF!</v>
      </c>
      <c r="BD4211" t="e" vm="1">
        <v>#REF!</v>
      </c>
      <c r="BF4211" t="e" vm="2">
        <f t="shared" si="342"/>
        <v>#VALUE!</v>
      </c>
      <c r="BG4211" t="e" vm="2">
        <f t="shared" si="343"/>
        <v>#VALUE!</v>
      </c>
      <c r="BM4211">
        <f t="shared" si="344"/>
        <v>1</v>
      </c>
      <c r="BN4211">
        <f t="shared" si="345"/>
        <v>1900</v>
      </c>
    </row>
    <row r="4212" spans="55:66" x14ac:dyDescent="0.2">
      <c r="BC4212" s="21" t="e" vm="1">
        <v>#REF!</v>
      </c>
      <c r="BD4212" t="e" vm="1">
        <v>#REF!</v>
      </c>
      <c r="BF4212" t="e" vm="2">
        <f t="shared" si="342"/>
        <v>#VALUE!</v>
      </c>
      <c r="BG4212" t="e" vm="2">
        <f t="shared" si="343"/>
        <v>#VALUE!</v>
      </c>
      <c r="BM4212">
        <f t="shared" si="344"/>
        <v>1</v>
      </c>
      <c r="BN4212">
        <f t="shared" si="345"/>
        <v>1900</v>
      </c>
    </row>
    <row r="4213" spans="55:66" x14ac:dyDescent="0.2">
      <c r="BC4213" s="21" t="e" vm="1">
        <v>#REF!</v>
      </c>
      <c r="BD4213" t="e" vm="1">
        <v>#REF!</v>
      </c>
      <c r="BF4213" t="e" vm="2">
        <f t="shared" si="342"/>
        <v>#VALUE!</v>
      </c>
      <c r="BG4213" t="e" vm="2">
        <f t="shared" si="343"/>
        <v>#VALUE!</v>
      </c>
      <c r="BM4213">
        <f t="shared" si="344"/>
        <v>1</v>
      </c>
      <c r="BN4213">
        <f t="shared" si="345"/>
        <v>1900</v>
      </c>
    </row>
    <row r="4214" spans="55:66" x14ac:dyDescent="0.2">
      <c r="BC4214" s="21" t="e" vm="1">
        <v>#REF!</v>
      </c>
      <c r="BD4214" t="e" vm="1">
        <v>#REF!</v>
      </c>
      <c r="BF4214" t="e" vm="2">
        <f t="shared" si="342"/>
        <v>#VALUE!</v>
      </c>
      <c r="BG4214" t="e" vm="2">
        <f t="shared" si="343"/>
        <v>#VALUE!</v>
      </c>
      <c r="BM4214">
        <f t="shared" si="344"/>
        <v>1</v>
      </c>
      <c r="BN4214">
        <f t="shared" si="345"/>
        <v>1900</v>
      </c>
    </row>
    <row r="4215" spans="55:66" x14ac:dyDescent="0.2">
      <c r="BC4215" s="21" t="e" vm="1">
        <v>#REF!</v>
      </c>
      <c r="BD4215" t="e" vm="1">
        <v>#REF!</v>
      </c>
      <c r="BF4215" t="e" vm="2">
        <f t="shared" si="342"/>
        <v>#VALUE!</v>
      </c>
      <c r="BG4215" t="e" vm="2">
        <f t="shared" si="343"/>
        <v>#VALUE!</v>
      </c>
      <c r="BM4215">
        <f t="shared" si="344"/>
        <v>1</v>
      </c>
      <c r="BN4215">
        <f t="shared" si="345"/>
        <v>1900</v>
      </c>
    </row>
    <row r="4216" spans="55:66" x14ac:dyDescent="0.2">
      <c r="BC4216" s="21" t="e" vm="1">
        <v>#REF!</v>
      </c>
      <c r="BD4216" t="e" vm="1">
        <v>#REF!</v>
      </c>
      <c r="BF4216" t="e" vm="2">
        <f t="shared" si="342"/>
        <v>#VALUE!</v>
      </c>
      <c r="BG4216" t="e" vm="2">
        <f t="shared" si="343"/>
        <v>#VALUE!</v>
      </c>
      <c r="BM4216">
        <f t="shared" si="344"/>
        <v>1</v>
      </c>
      <c r="BN4216">
        <f t="shared" si="345"/>
        <v>1900</v>
      </c>
    </row>
    <row r="4217" spans="55:66" x14ac:dyDescent="0.2">
      <c r="BC4217" s="21" t="e" vm="1">
        <v>#REF!</v>
      </c>
      <c r="BD4217" t="e" vm="1">
        <v>#REF!</v>
      </c>
      <c r="BF4217" t="e" vm="2">
        <f t="shared" si="342"/>
        <v>#VALUE!</v>
      </c>
      <c r="BG4217" t="e" vm="2">
        <f t="shared" si="343"/>
        <v>#VALUE!</v>
      </c>
      <c r="BM4217">
        <f t="shared" si="344"/>
        <v>1</v>
      </c>
      <c r="BN4217">
        <f t="shared" si="345"/>
        <v>1900</v>
      </c>
    </row>
    <row r="4218" spans="55:66" x14ac:dyDescent="0.2">
      <c r="BC4218" s="21" t="e" vm="1">
        <v>#REF!</v>
      </c>
      <c r="BD4218" t="e" vm="1">
        <v>#REF!</v>
      </c>
      <c r="BF4218" t="e" vm="2">
        <f t="shared" si="342"/>
        <v>#VALUE!</v>
      </c>
      <c r="BG4218" t="e" vm="2">
        <f t="shared" si="343"/>
        <v>#VALUE!</v>
      </c>
      <c r="BM4218">
        <f t="shared" si="344"/>
        <v>1</v>
      </c>
      <c r="BN4218">
        <f t="shared" si="345"/>
        <v>1900</v>
      </c>
    </row>
    <row r="4219" spans="55:66" x14ac:dyDescent="0.2">
      <c r="BC4219" s="21" t="e" vm="1">
        <v>#REF!</v>
      </c>
      <c r="BD4219" t="e" vm="1">
        <v>#REF!</v>
      </c>
      <c r="BF4219" t="e" vm="2">
        <f t="shared" si="342"/>
        <v>#VALUE!</v>
      </c>
      <c r="BG4219" t="e" vm="2">
        <f t="shared" si="343"/>
        <v>#VALUE!</v>
      </c>
      <c r="BM4219">
        <f t="shared" si="344"/>
        <v>1</v>
      </c>
      <c r="BN4219">
        <f t="shared" si="345"/>
        <v>1900</v>
      </c>
    </row>
    <row r="4220" spans="55:66" x14ac:dyDescent="0.2">
      <c r="BC4220" s="21" t="e" vm="1">
        <v>#REF!</v>
      </c>
      <c r="BD4220" t="e" vm="1">
        <v>#REF!</v>
      </c>
      <c r="BF4220" t="e" vm="2">
        <f t="shared" si="342"/>
        <v>#VALUE!</v>
      </c>
      <c r="BG4220" t="e" vm="2">
        <f t="shared" si="343"/>
        <v>#VALUE!</v>
      </c>
      <c r="BM4220">
        <f t="shared" si="344"/>
        <v>1</v>
      </c>
      <c r="BN4220">
        <f t="shared" si="345"/>
        <v>1900</v>
      </c>
    </row>
    <row r="4221" spans="55:66" x14ac:dyDescent="0.2">
      <c r="BC4221" s="21" t="e" vm="1">
        <v>#REF!</v>
      </c>
      <c r="BD4221" t="e" vm="1">
        <v>#REF!</v>
      </c>
      <c r="BF4221" t="e" vm="2">
        <f t="shared" si="342"/>
        <v>#VALUE!</v>
      </c>
      <c r="BG4221" t="e" vm="2">
        <f t="shared" si="343"/>
        <v>#VALUE!</v>
      </c>
      <c r="BM4221">
        <f t="shared" si="344"/>
        <v>1</v>
      </c>
      <c r="BN4221">
        <f t="shared" si="345"/>
        <v>1900</v>
      </c>
    </row>
    <row r="4222" spans="55:66" x14ac:dyDescent="0.2">
      <c r="BC4222" s="21" t="e" vm="1">
        <v>#REF!</v>
      </c>
      <c r="BD4222" t="e" vm="1">
        <v>#REF!</v>
      </c>
      <c r="BF4222" t="e" vm="2">
        <f t="shared" si="342"/>
        <v>#VALUE!</v>
      </c>
      <c r="BG4222" t="e" vm="2">
        <f t="shared" si="343"/>
        <v>#VALUE!</v>
      </c>
      <c r="BM4222">
        <f t="shared" si="344"/>
        <v>1</v>
      </c>
      <c r="BN4222">
        <f t="shared" si="345"/>
        <v>1900</v>
      </c>
    </row>
    <row r="4223" spans="55:66" x14ac:dyDescent="0.2">
      <c r="BC4223" s="21" t="e" vm="1">
        <v>#REF!</v>
      </c>
      <c r="BD4223" t="e" vm="1">
        <v>#REF!</v>
      </c>
      <c r="BF4223" t="e" vm="2">
        <f t="shared" si="342"/>
        <v>#VALUE!</v>
      </c>
      <c r="BG4223" t="e" vm="2">
        <f t="shared" si="343"/>
        <v>#VALUE!</v>
      </c>
      <c r="BM4223">
        <f t="shared" si="344"/>
        <v>1</v>
      </c>
      <c r="BN4223">
        <f t="shared" si="345"/>
        <v>1900</v>
      </c>
    </row>
    <row r="4224" spans="55:66" x14ac:dyDescent="0.2">
      <c r="BC4224" s="21" t="e" vm="1">
        <v>#REF!</v>
      </c>
      <c r="BD4224" t="e" vm="1">
        <v>#REF!</v>
      </c>
      <c r="BF4224" t="e" vm="2">
        <f t="shared" si="342"/>
        <v>#VALUE!</v>
      </c>
      <c r="BG4224" t="e" vm="2">
        <f t="shared" si="343"/>
        <v>#VALUE!</v>
      </c>
      <c r="BM4224">
        <f t="shared" si="344"/>
        <v>1</v>
      </c>
      <c r="BN4224">
        <f t="shared" si="345"/>
        <v>1900</v>
      </c>
    </row>
    <row r="4225" spans="55:66" x14ac:dyDescent="0.2">
      <c r="BC4225" s="21" t="e" vm="1">
        <v>#REF!</v>
      </c>
      <c r="BD4225" t="e" vm="1">
        <v>#REF!</v>
      </c>
      <c r="BF4225" t="e" vm="2">
        <f t="shared" si="342"/>
        <v>#VALUE!</v>
      </c>
      <c r="BG4225" t="e" vm="2">
        <f t="shared" si="343"/>
        <v>#VALUE!</v>
      </c>
      <c r="BM4225">
        <f t="shared" si="344"/>
        <v>1</v>
      </c>
      <c r="BN4225">
        <f t="shared" si="345"/>
        <v>1900</v>
      </c>
    </row>
    <row r="4226" spans="55:66" x14ac:dyDescent="0.2">
      <c r="BC4226" s="21" t="e" vm="1">
        <v>#REF!</v>
      </c>
      <c r="BD4226" t="e" vm="1">
        <v>#REF!</v>
      </c>
      <c r="BF4226" t="e" vm="2">
        <f t="shared" si="342"/>
        <v>#VALUE!</v>
      </c>
      <c r="BG4226" t="e" vm="2">
        <f t="shared" si="343"/>
        <v>#VALUE!</v>
      </c>
      <c r="BM4226">
        <f t="shared" si="344"/>
        <v>1</v>
      </c>
      <c r="BN4226">
        <f t="shared" si="345"/>
        <v>1900</v>
      </c>
    </row>
    <row r="4227" spans="55:66" x14ac:dyDescent="0.2">
      <c r="BC4227" s="21" t="e" vm="1">
        <v>#REF!</v>
      </c>
      <c r="BD4227" t="e" vm="1">
        <v>#REF!</v>
      </c>
      <c r="BF4227" t="e" vm="2">
        <f t="shared" ref="BF4227:BF4290" si="346">MONTH(BC4227)</f>
        <v>#VALUE!</v>
      </c>
      <c r="BG4227" t="e" vm="2">
        <f t="shared" ref="BG4227:BG4290" si="347">YEAR(BC4227)</f>
        <v>#VALUE!</v>
      </c>
      <c r="BM4227">
        <f t="shared" si="344"/>
        <v>1</v>
      </c>
      <c r="BN4227">
        <f t="shared" si="345"/>
        <v>1900</v>
      </c>
    </row>
    <row r="4228" spans="55:66" x14ac:dyDescent="0.2">
      <c r="BC4228" s="21" t="e" vm="1">
        <v>#REF!</v>
      </c>
      <c r="BD4228" t="e" vm="1">
        <v>#REF!</v>
      </c>
      <c r="BF4228" t="e" vm="2">
        <f t="shared" si="346"/>
        <v>#VALUE!</v>
      </c>
      <c r="BG4228" t="e" vm="2">
        <f t="shared" si="347"/>
        <v>#VALUE!</v>
      </c>
      <c r="BM4228">
        <f t="shared" ref="BM4228:BM4291" si="348">MONTH(BJ4228)</f>
        <v>1</v>
      </c>
      <c r="BN4228">
        <f t="shared" ref="BN4228:BN4291" si="349">YEAR(BJ4228)</f>
        <v>1900</v>
      </c>
    </row>
    <row r="4229" spans="55:66" x14ac:dyDescent="0.2">
      <c r="BC4229" s="21" t="e" vm="1">
        <v>#REF!</v>
      </c>
      <c r="BD4229" t="e" vm="1">
        <v>#REF!</v>
      </c>
      <c r="BF4229" t="e" vm="2">
        <f t="shared" si="346"/>
        <v>#VALUE!</v>
      </c>
      <c r="BG4229" t="e" vm="2">
        <f t="shared" si="347"/>
        <v>#VALUE!</v>
      </c>
      <c r="BM4229">
        <f t="shared" si="348"/>
        <v>1</v>
      </c>
      <c r="BN4229">
        <f t="shared" si="349"/>
        <v>1900</v>
      </c>
    </row>
    <row r="4230" spans="55:66" x14ac:dyDescent="0.2">
      <c r="BC4230" s="21" t="e" vm="1">
        <v>#REF!</v>
      </c>
      <c r="BD4230" t="e" vm="1">
        <v>#REF!</v>
      </c>
      <c r="BF4230" t="e" vm="2">
        <f t="shared" si="346"/>
        <v>#VALUE!</v>
      </c>
      <c r="BG4230" t="e" vm="2">
        <f t="shared" si="347"/>
        <v>#VALUE!</v>
      </c>
      <c r="BM4230">
        <f t="shared" si="348"/>
        <v>1</v>
      </c>
      <c r="BN4230">
        <f t="shared" si="349"/>
        <v>1900</v>
      </c>
    </row>
    <row r="4231" spans="55:66" x14ac:dyDescent="0.2">
      <c r="BC4231" s="21" t="e" vm="1">
        <v>#REF!</v>
      </c>
      <c r="BD4231" t="e" vm="1">
        <v>#REF!</v>
      </c>
      <c r="BF4231" t="e" vm="2">
        <f t="shared" si="346"/>
        <v>#VALUE!</v>
      </c>
      <c r="BG4231" t="e" vm="2">
        <f t="shared" si="347"/>
        <v>#VALUE!</v>
      </c>
      <c r="BM4231">
        <f t="shared" si="348"/>
        <v>1</v>
      </c>
      <c r="BN4231">
        <f t="shared" si="349"/>
        <v>1900</v>
      </c>
    </row>
    <row r="4232" spans="55:66" x14ac:dyDescent="0.2">
      <c r="BC4232" s="21" t="e" vm="1">
        <v>#REF!</v>
      </c>
      <c r="BD4232" t="e" vm="1">
        <v>#REF!</v>
      </c>
      <c r="BF4232" t="e" vm="2">
        <f t="shared" si="346"/>
        <v>#VALUE!</v>
      </c>
      <c r="BG4232" t="e" vm="2">
        <f t="shared" si="347"/>
        <v>#VALUE!</v>
      </c>
      <c r="BM4232">
        <f t="shared" si="348"/>
        <v>1</v>
      </c>
      <c r="BN4232">
        <f t="shared" si="349"/>
        <v>1900</v>
      </c>
    </row>
    <row r="4233" spans="55:66" x14ac:dyDescent="0.2">
      <c r="BC4233" s="21" t="e" vm="1">
        <v>#REF!</v>
      </c>
      <c r="BD4233" t="e" vm="1">
        <v>#REF!</v>
      </c>
      <c r="BF4233" t="e" vm="2">
        <f t="shared" si="346"/>
        <v>#VALUE!</v>
      </c>
      <c r="BG4233" t="e" vm="2">
        <f t="shared" si="347"/>
        <v>#VALUE!</v>
      </c>
      <c r="BM4233">
        <f t="shared" si="348"/>
        <v>1</v>
      </c>
      <c r="BN4233">
        <f t="shared" si="349"/>
        <v>1900</v>
      </c>
    </row>
    <row r="4234" spans="55:66" x14ac:dyDescent="0.2">
      <c r="BC4234" s="21" t="e" vm="1">
        <v>#REF!</v>
      </c>
      <c r="BD4234" t="e" vm="1">
        <v>#REF!</v>
      </c>
      <c r="BF4234" t="e" vm="2">
        <f t="shared" si="346"/>
        <v>#VALUE!</v>
      </c>
      <c r="BG4234" t="e" vm="2">
        <f t="shared" si="347"/>
        <v>#VALUE!</v>
      </c>
      <c r="BM4234">
        <f t="shared" si="348"/>
        <v>1</v>
      </c>
      <c r="BN4234">
        <f t="shared" si="349"/>
        <v>1900</v>
      </c>
    </row>
    <row r="4235" spans="55:66" x14ac:dyDescent="0.2">
      <c r="BC4235" s="21" t="e" vm="1">
        <v>#REF!</v>
      </c>
      <c r="BD4235" t="e" vm="1">
        <v>#REF!</v>
      </c>
      <c r="BF4235" t="e" vm="2">
        <f t="shared" si="346"/>
        <v>#VALUE!</v>
      </c>
      <c r="BG4235" t="e" vm="2">
        <f t="shared" si="347"/>
        <v>#VALUE!</v>
      </c>
      <c r="BM4235">
        <f t="shared" si="348"/>
        <v>1</v>
      </c>
      <c r="BN4235">
        <f t="shared" si="349"/>
        <v>1900</v>
      </c>
    </row>
    <row r="4236" spans="55:66" x14ac:dyDescent="0.2">
      <c r="BC4236" s="21" t="e" vm="1">
        <v>#REF!</v>
      </c>
      <c r="BD4236" t="e" vm="1">
        <v>#REF!</v>
      </c>
      <c r="BF4236" t="e" vm="2">
        <f t="shared" si="346"/>
        <v>#VALUE!</v>
      </c>
      <c r="BG4236" t="e" vm="2">
        <f t="shared" si="347"/>
        <v>#VALUE!</v>
      </c>
      <c r="BM4236">
        <f t="shared" si="348"/>
        <v>1</v>
      </c>
      <c r="BN4236">
        <f t="shared" si="349"/>
        <v>1900</v>
      </c>
    </row>
    <row r="4237" spans="55:66" x14ac:dyDescent="0.2">
      <c r="BC4237" s="21" t="e" vm="1">
        <v>#REF!</v>
      </c>
      <c r="BD4237" t="e" vm="1">
        <v>#REF!</v>
      </c>
      <c r="BF4237" t="e" vm="2">
        <f t="shared" si="346"/>
        <v>#VALUE!</v>
      </c>
      <c r="BG4237" t="e" vm="2">
        <f t="shared" si="347"/>
        <v>#VALUE!</v>
      </c>
      <c r="BM4237">
        <f t="shared" si="348"/>
        <v>1</v>
      </c>
      <c r="BN4237">
        <f t="shared" si="349"/>
        <v>1900</v>
      </c>
    </row>
    <row r="4238" spans="55:66" x14ac:dyDescent="0.2">
      <c r="BC4238" s="21" t="e" vm="1">
        <v>#REF!</v>
      </c>
      <c r="BD4238" t="e" vm="1">
        <v>#REF!</v>
      </c>
      <c r="BF4238" t="e" vm="2">
        <f t="shared" si="346"/>
        <v>#VALUE!</v>
      </c>
      <c r="BG4238" t="e" vm="2">
        <f t="shared" si="347"/>
        <v>#VALUE!</v>
      </c>
      <c r="BM4238">
        <f t="shared" si="348"/>
        <v>1</v>
      </c>
      <c r="BN4238">
        <f t="shared" si="349"/>
        <v>1900</v>
      </c>
    </row>
    <row r="4239" spans="55:66" x14ac:dyDescent="0.2">
      <c r="BC4239" s="21" t="e" vm="1">
        <v>#REF!</v>
      </c>
      <c r="BD4239" t="e" vm="1">
        <v>#REF!</v>
      </c>
      <c r="BF4239" t="e" vm="2">
        <f t="shared" si="346"/>
        <v>#VALUE!</v>
      </c>
      <c r="BG4239" t="e" vm="2">
        <f t="shared" si="347"/>
        <v>#VALUE!</v>
      </c>
      <c r="BM4239">
        <f t="shared" si="348"/>
        <v>1</v>
      </c>
      <c r="BN4239">
        <f t="shared" si="349"/>
        <v>1900</v>
      </c>
    </row>
    <row r="4240" spans="55:66" x14ac:dyDescent="0.2">
      <c r="BC4240" s="21" t="e" vm="1">
        <v>#REF!</v>
      </c>
      <c r="BD4240" t="e" vm="1">
        <v>#REF!</v>
      </c>
      <c r="BF4240" t="e" vm="2">
        <f t="shared" si="346"/>
        <v>#VALUE!</v>
      </c>
      <c r="BG4240" t="e" vm="2">
        <f t="shared" si="347"/>
        <v>#VALUE!</v>
      </c>
      <c r="BM4240">
        <f t="shared" si="348"/>
        <v>1</v>
      </c>
      <c r="BN4240">
        <f t="shared" si="349"/>
        <v>1900</v>
      </c>
    </row>
    <row r="4241" spans="55:66" x14ac:dyDescent="0.2">
      <c r="BC4241" s="21" t="e" vm="1">
        <v>#REF!</v>
      </c>
      <c r="BD4241" t="e" vm="1">
        <v>#REF!</v>
      </c>
      <c r="BF4241" t="e" vm="2">
        <f t="shared" si="346"/>
        <v>#VALUE!</v>
      </c>
      <c r="BG4241" t="e" vm="2">
        <f t="shared" si="347"/>
        <v>#VALUE!</v>
      </c>
      <c r="BM4241">
        <f t="shared" si="348"/>
        <v>1</v>
      </c>
      <c r="BN4241">
        <f t="shared" si="349"/>
        <v>1900</v>
      </c>
    </row>
    <row r="4242" spans="55:66" x14ac:dyDescent="0.2">
      <c r="BC4242" s="21" t="e" vm="1">
        <v>#REF!</v>
      </c>
      <c r="BD4242" t="e" vm="1">
        <v>#REF!</v>
      </c>
      <c r="BF4242" t="e" vm="2">
        <f t="shared" si="346"/>
        <v>#VALUE!</v>
      </c>
      <c r="BG4242" t="e" vm="2">
        <f t="shared" si="347"/>
        <v>#VALUE!</v>
      </c>
      <c r="BM4242">
        <f t="shared" si="348"/>
        <v>1</v>
      </c>
      <c r="BN4242">
        <f t="shared" si="349"/>
        <v>1900</v>
      </c>
    </row>
    <row r="4243" spans="55:66" x14ac:dyDescent="0.2">
      <c r="BC4243" s="21" t="e" vm="1">
        <v>#REF!</v>
      </c>
      <c r="BD4243" t="e" vm="1">
        <v>#REF!</v>
      </c>
      <c r="BF4243" t="e" vm="2">
        <f t="shared" si="346"/>
        <v>#VALUE!</v>
      </c>
      <c r="BG4243" t="e" vm="2">
        <f t="shared" si="347"/>
        <v>#VALUE!</v>
      </c>
      <c r="BM4243">
        <f t="shared" si="348"/>
        <v>1</v>
      </c>
      <c r="BN4243">
        <f t="shared" si="349"/>
        <v>1900</v>
      </c>
    </row>
    <row r="4244" spans="55:66" x14ac:dyDescent="0.2">
      <c r="BC4244" s="21" t="e" vm="1">
        <v>#REF!</v>
      </c>
      <c r="BD4244" t="e" vm="1">
        <v>#REF!</v>
      </c>
      <c r="BF4244" t="e" vm="2">
        <f t="shared" si="346"/>
        <v>#VALUE!</v>
      </c>
      <c r="BG4244" t="e" vm="2">
        <f t="shared" si="347"/>
        <v>#VALUE!</v>
      </c>
      <c r="BM4244">
        <f t="shared" si="348"/>
        <v>1</v>
      </c>
      <c r="BN4244">
        <f t="shared" si="349"/>
        <v>1900</v>
      </c>
    </row>
    <row r="4245" spans="55:66" x14ac:dyDescent="0.2">
      <c r="BC4245" s="21" t="e" vm="1">
        <v>#REF!</v>
      </c>
      <c r="BD4245" t="e" vm="1">
        <v>#REF!</v>
      </c>
      <c r="BF4245" t="e" vm="2">
        <f t="shared" si="346"/>
        <v>#VALUE!</v>
      </c>
      <c r="BG4245" t="e" vm="2">
        <f t="shared" si="347"/>
        <v>#VALUE!</v>
      </c>
      <c r="BM4245">
        <f t="shared" si="348"/>
        <v>1</v>
      </c>
      <c r="BN4245">
        <f t="shared" si="349"/>
        <v>1900</v>
      </c>
    </row>
    <row r="4246" spans="55:66" x14ac:dyDescent="0.2">
      <c r="BC4246" s="21" t="e" vm="1">
        <v>#REF!</v>
      </c>
      <c r="BD4246" t="e" vm="1">
        <v>#REF!</v>
      </c>
      <c r="BF4246" t="e" vm="2">
        <f t="shared" si="346"/>
        <v>#VALUE!</v>
      </c>
      <c r="BG4246" t="e" vm="2">
        <f t="shared" si="347"/>
        <v>#VALUE!</v>
      </c>
      <c r="BM4246">
        <f t="shared" si="348"/>
        <v>1</v>
      </c>
      <c r="BN4246">
        <f t="shared" si="349"/>
        <v>1900</v>
      </c>
    </row>
    <row r="4247" spans="55:66" x14ac:dyDescent="0.2">
      <c r="BC4247" s="21" t="e" vm="1">
        <v>#REF!</v>
      </c>
      <c r="BD4247" t="e" vm="1">
        <v>#REF!</v>
      </c>
      <c r="BF4247" t="e" vm="2">
        <f t="shared" si="346"/>
        <v>#VALUE!</v>
      </c>
      <c r="BG4247" t="e" vm="2">
        <f t="shared" si="347"/>
        <v>#VALUE!</v>
      </c>
      <c r="BM4247">
        <f t="shared" si="348"/>
        <v>1</v>
      </c>
      <c r="BN4247">
        <f t="shared" si="349"/>
        <v>1900</v>
      </c>
    </row>
    <row r="4248" spans="55:66" x14ac:dyDescent="0.2">
      <c r="BC4248" s="21" t="e" vm="1">
        <v>#REF!</v>
      </c>
      <c r="BD4248" t="e" vm="1">
        <v>#REF!</v>
      </c>
      <c r="BF4248" t="e" vm="2">
        <f t="shared" si="346"/>
        <v>#VALUE!</v>
      </c>
      <c r="BG4248" t="e" vm="2">
        <f t="shared" si="347"/>
        <v>#VALUE!</v>
      </c>
      <c r="BM4248">
        <f t="shared" si="348"/>
        <v>1</v>
      </c>
      <c r="BN4248">
        <f t="shared" si="349"/>
        <v>1900</v>
      </c>
    </row>
    <row r="4249" spans="55:66" x14ac:dyDescent="0.2">
      <c r="BC4249" s="21" t="e" vm="1">
        <v>#REF!</v>
      </c>
      <c r="BD4249" t="e" vm="1">
        <v>#REF!</v>
      </c>
      <c r="BF4249" t="e" vm="2">
        <f t="shared" si="346"/>
        <v>#VALUE!</v>
      </c>
      <c r="BG4249" t="e" vm="2">
        <f t="shared" si="347"/>
        <v>#VALUE!</v>
      </c>
      <c r="BM4249">
        <f t="shared" si="348"/>
        <v>1</v>
      </c>
      <c r="BN4249">
        <f t="shared" si="349"/>
        <v>1900</v>
      </c>
    </row>
    <row r="4250" spans="55:66" x14ac:dyDescent="0.2">
      <c r="BC4250" s="21" t="e" vm="1">
        <v>#REF!</v>
      </c>
      <c r="BD4250" t="e" vm="1">
        <v>#REF!</v>
      </c>
      <c r="BF4250" t="e" vm="2">
        <f t="shared" si="346"/>
        <v>#VALUE!</v>
      </c>
      <c r="BG4250" t="e" vm="2">
        <f t="shared" si="347"/>
        <v>#VALUE!</v>
      </c>
      <c r="BM4250">
        <f t="shared" si="348"/>
        <v>1</v>
      </c>
      <c r="BN4250">
        <f t="shared" si="349"/>
        <v>1900</v>
      </c>
    </row>
    <row r="4251" spans="55:66" x14ac:dyDescent="0.2">
      <c r="BC4251" s="21" t="e" vm="1">
        <v>#REF!</v>
      </c>
      <c r="BD4251" t="e" vm="1">
        <v>#REF!</v>
      </c>
      <c r="BF4251" t="e" vm="2">
        <f t="shared" si="346"/>
        <v>#VALUE!</v>
      </c>
      <c r="BG4251" t="e" vm="2">
        <f t="shared" si="347"/>
        <v>#VALUE!</v>
      </c>
      <c r="BM4251">
        <f t="shared" si="348"/>
        <v>1</v>
      </c>
      <c r="BN4251">
        <f t="shared" si="349"/>
        <v>1900</v>
      </c>
    </row>
    <row r="4252" spans="55:66" x14ac:dyDescent="0.2">
      <c r="BC4252" s="21" t="e" vm="1">
        <v>#REF!</v>
      </c>
      <c r="BD4252" t="e" vm="1">
        <v>#REF!</v>
      </c>
      <c r="BF4252" t="e" vm="2">
        <f t="shared" si="346"/>
        <v>#VALUE!</v>
      </c>
      <c r="BG4252" t="e" vm="2">
        <f t="shared" si="347"/>
        <v>#VALUE!</v>
      </c>
      <c r="BM4252">
        <f t="shared" si="348"/>
        <v>1</v>
      </c>
      <c r="BN4252">
        <f t="shared" si="349"/>
        <v>1900</v>
      </c>
    </row>
    <row r="4253" spans="55:66" x14ac:dyDescent="0.2">
      <c r="BC4253" s="21" t="e" vm="1">
        <v>#REF!</v>
      </c>
      <c r="BD4253" t="e" vm="1">
        <v>#REF!</v>
      </c>
      <c r="BF4253" t="e" vm="2">
        <f t="shared" si="346"/>
        <v>#VALUE!</v>
      </c>
      <c r="BG4253" t="e" vm="2">
        <f t="shared" si="347"/>
        <v>#VALUE!</v>
      </c>
      <c r="BM4253">
        <f t="shared" si="348"/>
        <v>1</v>
      </c>
      <c r="BN4253">
        <f t="shared" si="349"/>
        <v>1900</v>
      </c>
    </row>
    <row r="4254" spans="55:66" x14ac:dyDescent="0.2">
      <c r="BC4254" s="21" t="e" vm="1">
        <v>#REF!</v>
      </c>
      <c r="BD4254" t="e" vm="1">
        <v>#REF!</v>
      </c>
      <c r="BF4254" t="e" vm="2">
        <f t="shared" si="346"/>
        <v>#VALUE!</v>
      </c>
      <c r="BG4254" t="e" vm="2">
        <f t="shared" si="347"/>
        <v>#VALUE!</v>
      </c>
      <c r="BM4254">
        <f t="shared" si="348"/>
        <v>1</v>
      </c>
      <c r="BN4254">
        <f t="shared" si="349"/>
        <v>1900</v>
      </c>
    </row>
    <row r="4255" spans="55:66" x14ac:dyDescent="0.2">
      <c r="BC4255" s="21" t="e" vm="1">
        <v>#REF!</v>
      </c>
      <c r="BD4255" t="e" vm="1">
        <v>#REF!</v>
      </c>
      <c r="BF4255" t="e" vm="2">
        <f t="shared" si="346"/>
        <v>#VALUE!</v>
      </c>
      <c r="BG4255" t="e" vm="2">
        <f t="shared" si="347"/>
        <v>#VALUE!</v>
      </c>
      <c r="BM4255">
        <f t="shared" si="348"/>
        <v>1</v>
      </c>
      <c r="BN4255">
        <f t="shared" si="349"/>
        <v>1900</v>
      </c>
    </row>
    <row r="4256" spans="55:66" x14ac:dyDescent="0.2">
      <c r="BC4256" s="21" t="e" vm="1">
        <v>#REF!</v>
      </c>
      <c r="BD4256" t="e" vm="1">
        <v>#REF!</v>
      </c>
      <c r="BF4256" t="e" vm="2">
        <f t="shared" si="346"/>
        <v>#VALUE!</v>
      </c>
      <c r="BG4256" t="e" vm="2">
        <f t="shared" si="347"/>
        <v>#VALUE!</v>
      </c>
      <c r="BM4256">
        <f t="shared" si="348"/>
        <v>1</v>
      </c>
      <c r="BN4256">
        <f t="shared" si="349"/>
        <v>1900</v>
      </c>
    </row>
    <row r="4257" spans="55:66" x14ac:dyDescent="0.2">
      <c r="BC4257" s="21" t="e" vm="1">
        <v>#REF!</v>
      </c>
      <c r="BD4257" t="e" vm="1">
        <v>#REF!</v>
      </c>
      <c r="BF4257" t="e" vm="2">
        <f t="shared" si="346"/>
        <v>#VALUE!</v>
      </c>
      <c r="BG4257" t="e" vm="2">
        <f t="shared" si="347"/>
        <v>#VALUE!</v>
      </c>
      <c r="BM4257">
        <f t="shared" si="348"/>
        <v>1</v>
      </c>
      <c r="BN4257">
        <f t="shared" si="349"/>
        <v>1900</v>
      </c>
    </row>
    <row r="4258" spans="55:66" x14ac:dyDescent="0.2">
      <c r="BC4258" s="21" t="e" vm="1">
        <v>#REF!</v>
      </c>
      <c r="BD4258" t="e" vm="1">
        <v>#REF!</v>
      </c>
      <c r="BF4258" t="e" vm="2">
        <f t="shared" si="346"/>
        <v>#VALUE!</v>
      </c>
      <c r="BG4258" t="e" vm="2">
        <f t="shared" si="347"/>
        <v>#VALUE!</v>
      </c>
      <c r="BM4258">
        <f t="shared" si="348"/>
        <v>1</v>
      </c>
      <c r="BN4258">
        <f t="shared" si="349"/>
        <v>1900</v>
      </c>
    </row>
    <row r="4259" spans="55:66" x14ac:dyDescent="0.2">
      <c r="BC4259" s="21" t="e" vm="1">
        <v>#REF!</v>
      </c>
      <c r="BD4259" t="e" vm="1">
        <v>#REF!</v>
      </c>
      <c r="BF4259" t="e" vm="2">
        <f t="shared" si="346"/>
        <v>#VALUE!</v>
      </c>
      <c r="BG4259" t="e" vm="2">
        <f t="shared" si="347"/>
        <v>#VALUE!</v>
      </c>
      <c r="BM4259">
        <f t="shared" si="348"/>
        <v>1</v>
      </c>
      <c r="BN4259">
        <f t="shared" si="349"/>
        <v>1900</v>
      </c>
    </row>
    <row r="4260" spans="55:66" x14ac:dyDescent="0.2">
      <c r="BC4260" s="21" t="e" vm="1">
        <v>#REF!</v>
      </c>
      <c r="BD4260" t="e" vm="1">
        <v>#REF!</v>
      </c>
      <c r="BF4260" t="e" vm="2">
        <f t="shared" si="346"/>
        <v>#VALUE!</v>
      </c>
      <c r="BG4260" t="e" vm="2">
        <f t="shared" si="347"/>
        <v>#VALUE!</v>
      </c>
      <c r="BM4260">
        <f t="shared" si="348"/>
        <v>1</v>
      </c>
      <c r="BN4260">
        <f t="shared" si="349"/>
        <v>1900</v>
      </c>
    </row>
    <row r="4261" spans="55:66" x14ac:dyDescent="0.2">
      <c r="BC4261" s="21" t="e" vm="1">
        <v>#REF!</v>
      </c>
      <c r="BD4261" t="e" vm="1">
        <v>#REF!</v>
      </c>
      <c r="BF4261" t="e" vm="2">
        <f t="shared" si="346"/>
        <v>#VALUE!</v>
      </c>
      <c r="BG4261" t="e" vm="2">
        <f t="shared" si="347"/>
        <v>#VALUE!</v>
      </c>
      <c r="BM4261">
        <f t="shared" si="348"/>
        <v>1</v>
      </c>
      <c r="BN4261">
        <f t="shared" si="349"/>
        <v>1900</v>
      </c>
    </row>
    <row r="4262" spans="55:66" x14ac:dyDescent="0.2">
      <c r="BC4262" s="21" t="e" vm="1">
        <v>#REF!</v>
      </c>
      <c r="BD4262" t="e" vm="1">
        <v>#REF!</v>
      </c>
      <c r="BF4262" t="e" vm="2">
        <f t="shared" si="346"/>
        <v>#VALUE!</v>
      </c>
      <c r="BG4262" t="e" vm="2">
        <f t="shared" si="347"/>
        <v>#VALUE!</v>
      </c>
      <c r="BM4262">
        <f t="shared" si="348"/>
        <v>1</v>
      </c>
      <c r="BN4262">
        <f t="shared" si="349"/>
        <v>1900</v>
      </c>
    </row>
    <row r="4263" spans="55:66" x14ac:dyDescent="0.2">
      <c r="BC4263" s="21" t="e" vm="1">
        <v>#REF!</v>
      </c>
      <c r="BD4263" t="e" vm="1">
        <v>#REF!</v>
      </c>
      <c r="BF4263" t="e" vm="2">
        <f t="shared" si="346"/>
        <v>#VALUE!</v>
      </c>
      <c r="BG4263" t="e" vm="2">
        <f t="shared" si="347"/>
        <v>#VALUE!</v>
      </c>
      <c r="BM4263">
        <f t="shared" si="348"/>
        <v>1</v>
      </c>
      <c r="BN4263">
        <f t="shared" si="349"/>
        <v>1900</v>
      </c>
    </row>
    <row r="4264" spans="55:66" x14ac:dyDescent="0.2">
      <c r="BC4264" s="21" t="e" vm="1">
        <v>#REF!</v>
      </c>
      <c r="BD4264" t="e" vm="1">
        <v>#REF!</v>
      </c>
      <c r="BF4264" t="e" vm="2">
        <f t="shared" si="346"/>
        <v>#VALUE!</v>
      </c>
      <c r="BG4264" t="e" vm="2">
        <f t="shared" si="347"/>
        <v>#VALUE!</v>
      </c>
      <c r="BM4264">
        <f t="shared" si="348"/>
        <v>1</v>
      </c>
      <c r="BN4264">
        <f t="shared" si="349"/>
        <v>1900</v>
      </c>
    </row>
    <row r="4265" spans="55:66" x14ac:dyDescent="0.2">
      <c r="BC4265" s="21" t="e" vm="1">
        <v>#REF!</v>
      </c>
      <c r="BD4265" t="e" vm="1">
        <v>#REF!</v>
      </c>
      <c r="BF4265" t="e" vm="2">
        <f t="shared" si="346"/>
        <v>#VALUE!</v>
      </c>
      <c r="BG4265" t="e" vm="2">
        <f t="shared" si="347"/>
        <v>#VALUE!</v>
      </c>
      <c r="BM4265">
        <f t="shared" si="348"/>
        <v>1</v>
      </c>
      <c r="BN4265">
        <f t="shared" si="349"/>
        <v>1900</v>
      </c>
    </row>
    <row r="4266" spans="55:66" x14ac:dyDescent="0.2">
      <c r="BC4266" s="21" t="e" vm="1">
        <v>#REF!</v>
      </c>
      <c r="BD4266" t="e" vm="1">
        <v>#REF!</v>
      </c>
      <c r="BF4266" t="e" vm="2">
        <f t="shared" si="346"/>
        <v>#VALUE!</v>
      </c>
      <c r="BG4266" t="e" vm="2">
        <f t="shared" si="347"/>
        <v>#VALUE!</v>
      </c>
      <c r="BM4266">
        <f t="shared" si="348"/>
        <v>1</v>
      </c>
      <c r="BN4266">
        <f t="shared" si="349"/>
        <v>1900</v>
      </c>
    </row>
    <row r="4267" spans="55:66" x14ac:dyDescent="0.2">
      <c r="BC4267" s="21" t="e" vm="1">
        <v>#REF!</v>
      </c>
      <c r="BD4267" t="e" vm="1">
        <v>#REF!</v>
      </c>
      <c r="BF4267" t="e" vm="2">
        <f t="shared" si="346"/>
        <v>#VALUE!</v>
      </c>
      <c r="BG4267" t="e" vm="2">
        <f t="shared" si="347"/>
        <v>#VALUE!</v>
      </c>
      <c r="BM4267">
        <f t="shared" si="348"/>
        <v>1</v>
      </c>
      <c r="BN4267">
        <f t="shared" si="349"/>
        <v>1900</v>
      </c>
    </row>
    <row r="4268" spans="55:66" x14ac:dyDescent="0.2">
      <c r="BC4268" s="21" t="e" vm="1">
        <v>#REF!</v>
      </c>
      <c r="BD4268" t="e" vm="1">
        <v>#REF!</v>
      </c>
      <c r="BF4268" t="e" vm="2">
        <f t="shared" si="346"/>
        <v>#VALUE!</v>
      </c>
      <c r="BG4268" t="e" vm="2">
        <f t="shared" si="347"/>
        <v>#VALUE!</v>
      </c>
      <c r="BM4268">
        <f t="shared" si="348"/>
        <v>1</v>
      </c>
      <c r="BN4268">
        <f t="shared" si="349"/>
        <v>1900</v>
      </c>
    </row>
    <row r="4269" spans="55:66" x14ac:dyDescent="0.2">
      <c r="BC4269" s="21" t="e" vm="1">
        <v>#REF!</v>
      </c>
      <c r="BD4269" t="e" vm="1">
        <v>#REF!</v>
      </c>
      <c r="BF4269" t="e" vm="2">
        <f t="shared" si="346"/>
        <v>#VALUE!</v>
      </c>
      <c r="BG4269" t="e" vm="2">
        <f t="shared" si="347"/>
        <v>#VALUE!</v>
      </c>
      <c r="BM4269">
        <f t="shared" si="348"/>
        <v>1</v>
      </c>
      <c r="BN4269">
        <f t="shared" si="349"/>
        <v>1900</v>
      </c>
    </row>
    <row r="4270" spans="55:66" x14ac:dyDescent="0.2">
      <c r="BC4270" s="21" t="e" vm="1">
        <v>#REF!</v>
      </c>
      <c r="BD4270" t="e" vm="1">
        <v>#REF!</v>
      </c>
      <c r="BF4270" t="e" vm="2">
        <f t="shared" si="346"/>
        <v>#VALUE!</v>
      </c>
      <c r="BG4270" t="e" vm="2">
        <f t="shared" si="347"/>
        <v>#VALUE!</v>
      </c>
      <c r="BM4270">
        <f t="shared" si="348"/>
        <v>1</v>
      </c>
      <c r="BN4270">
        <f t="shared" si="349"/>
        <v>1900</v>
      </c>
    </row>
    <row r="4271" spans="55:66" x14ac:dyDescent="0.2">
      <c r="BC4271" s="21" t="e" vm="1">
        <v>#REF!</v>
      </c>
      <c r="BD4271" t="e" vm="1">
        <v>#REF!</v>
      </c>
      <c r="BF4271" t="e" vm="2">
        <f t="shared" si="346"/>
        <v>#VALUE!</v>
      </c>
      <c r="BG4271" t="e" vm="2">
        <f t="shared" si="347"/>
        <v>#VALUE!</v>
      </c>
      <c r="BM4271">
        <f t="shared" si="348"/>
        <v>1</v>
      </c>
      <c r="BN4271">
        <f t="shared" si="349"/>
        <v>1900</v>
      </c>
    </row>
    <row r="4272" spans="55:66" x14ac:dyDescent="0.2">
      <c r="BC4272" s="21" t="e" vm="1">
        <v>#REF!</v>
      </c>
      <c r="BD4272" t="e" vm="1">
        <v>#REF!</v>
      </c>
      <c r="BF4272" t="e" vm="2">
        <f t="shared" si="346"/>
        <v>#VALUE!</v>
      </c>
      <c r="BG4272" t="e" vm="2">
        <f t="shared" si="347"/>
        <v>#VALUE!</v>
      </c>
      <c r="BM4272">
        <f t="shared" si="348"/>
        <v>1</v>
      </c>
      <c r="BN4272">
        <f t="shared" si="349"/>
        <v>1900</v>
      </c>
    </row>
    <row r="4273" spans="55:66" x14ac:dyDescent="0.2">
      <c r="BC4273" s="21" t="e" vm="1">
        <v>#REF!</v>
      </c>
      <c r="BD4273" t="e" vm="1">
        <v>#REF!</v>
      </c>
      <c r="BF4273" t="e" vm="2">
        <f t="shared" si="346"/>
        <v>#VALUE!</v>
      </c>
      <c r="BG4273" t="e" vm="2">
        <f t="shared" si="347"/>
        <v>#VALUE!</v>
      </c>
      <c r="BM4273">
        <f t="shared" si="348"/>
        <v>1</v>
      </c>
      <c r="BN4273">
        <f t="shared" si="349"/>
        <v>1900</v>
      </c>
    </row>
    <row r="4274" spans="55:66" x14ac:dyDescent="0.2">
      <c r="BC4274" s="21" t="e" vm="1">
        <v>#REF!</v>
      </c>
      <c r="BD4274" t="e" vm="1">
        <v>#REF!</v>
      </c>
      <c r="BF4274" t="e" vm="2">
        <f t="shared" si="346"/>
        <v>#VALUE!</v>
      </c>
      <c r="BG4274" t="e" vm="2">
        <f t="shared" si="347"/>
        <v>#VALUE!</v>
      </c>
      <c r="BM4274">
        <f t="shared" si="348"/>
        <v>1</v>
      </c>
      <c r="BN4274">
        <f t="shared" si="349"/>
        <v>1900</v>
      </c>
    </row>
    <row r="4275" spans="55:66" x14ac:dyDescent="0.2">
      <c r="BC4275" s="21" t="e" vm="1">
        <v>#REF!</v>
      </c>
      <c r="BD4275" t="e" vm="1">
        <v>#REF!</v>
      </c>
      <c r="BF4275" t="e" vm="2">
        <f t="shared" si="346"/>
        <v>#VALUE!</v>
      </c>
      <c r="BG4275" t="e" vm="2">
        <f t="shared" si="347"/>
        <v>#VALUE!</v>
      </c>
      <c r="BM4275">
        <f t="shared" si="348"/>
        <v>1</v>
      </c>
      <c r="BN4275">
        <f t="shared" si="349"/>
        <v>1900</v>
      </c>
    </row>
    <row r="4276" spans="55:66" x14ac:dyDescent="0.2">
      <c r="BC4276" s="21" t="e" vm="1">
        <v>#REF!</v>
      </c>
      <c r="BD4276" t="e" vm="1">
        <v>#REF!</v>
      </c>
      <c r="BF4276" t="e" vm="2">
        <f t="shared" si="346"/>
        <v>#VALUE!</v>
      </c>
      <c r="BG4276" t="e" vm="2">
        <f t="shared" si="347"/>
        <v>#VALUE!</v>
      </c>
      <c r="BM4276">
        <f t="shared" si="348"/>
        <v>1</v>
      </c>
      <c r="BN4276">
        <f t="shared" si="349"/>
        <v>1900</v>
      </c>
    </row>
    <row r="4277" spans="55:66" x14ac:dyDescent="0.2">
      <c r="BC4277" s="21" t="e" vm="1">
        <v>#REF!</v>
      </c>
      <c r="BD4277" t="e" vm="1">
        <v>#REF!</v>
      </c>
      <c r="BF4277" t="e" vm="2">
        <f t="shared" si="346"/>
        <v>#VALUE!</v>
      </c>
      <c r="BG4277" t="e" vm="2">
        <f t="shared" si="347"/>
        <v>#VALUE!</v>
      </c>
      <c r="BM4277">
        <f t="shared" si="348"/>
        <v>1</v>
      </c>
      <c r="BN4277">
        <f t="shared" si="349"/>
        <v>1900</v>
      </c>
    </row>
    <row r="4278" spans="55:66" x14ac:dyDescent="0.2">
      <c r="BC4278" s="21" t="e" vm="1">
        <v>#REF!</v>
      </c>
      <c r="BD4278" t="e" vm="1">
        <v>#REF!</v>
      </c>
      <c r="BF4278" t="e" vm="2">
        <f t="shared" si="346"/>
        <v>#VALUE!</v>
      </c>
      <c r="BG4278" t="e" vm="2">
        <f t="shared" si="347"/>
        <v>#VALUE!</v>
      </c>
      <c r="BM4278">
        <f t="shared" si="348"/>
        <v>1</v>
      </c>
      <c r="BN4278">
        <f t="shared" si="349"/>
        <v>1900</v>
      </c>
    </row>
    <row r="4279" spans="55:66" x14ac:dyDescent="0.2">
      <c r="BC4279" s="21" t="e" vm="1">
        <v>#REF!</v>
      </c>
      <c r="BD4279" t="e" vm="1">
        <v>#REF!</v>
      </c>
      <c r="BF4279" t="e" vm="2">
        <f t="shared" si="346"/>
        <v>#VALUE!</v>
      </c>
      <c r="BG4279" t="e" vm="2">
        <f t="shared" si="347"/>
        <v>#VALUE!</v>
      </c>
      <c r="BM4279">
        <f t="shared" si="348"/>
        <v>1</v>
      </c>
      <c r="BN4279">
        <f t="shared" si="349"/>
        <v>1900</v>
      </c>
    </row>
    <row r="4280" spans="55:66" x14ac:dyDescent="0.2">
      <c r="BC4280" s="21" t="e" vm="1">
        <v>#REF!</v>
      </c>
      <c r="BD4280" t="e" vm="1">
        <v>#REF!</v>
      </c>
      <c r="BF4280" t="e" vm="2">
        <f t="shared" si="346"/>
        <v>#VALUE!</v>
      </c>
      <c r="BG4280" t="e" vm="2">
        <f t="shared" si="347"/>
        <v>#VALUE!</v>
      </c>
      <c r="BM4280">
        <f t="shared" si="348"/>
        <v>1</v>
      </c>
      <c r="BN4280">
        <f t="shared" si="349"/>
        <v>1900</v>
      </c>
    </row>
    <row r="4281" spans="55:66" x14ac:dyDescent="0.2">
      <c r="BC4281" s="21" t="e" vm="1">
        <v>#REF!</v>
      </c>
      <c r="BD4281" t="e" vm="1">
        <v>#REF!</v>
      </c>
      <c r="BF4281" t="e" vm="2">
        <f t="shared" si="346"/>
        <v>#VALUE!</v>
      </c>
      <c r="BG4281" t="e" vm="2">
        <f t="shared" si="347"/>
        <v>#VALUE!</v>
      </c>
      <c r="BM4281">
        <f t="shared" si="348"/>
        <v>1</v>
      </c>
      <c r="BN4281">
        <f t="shared" si="349"/>
        <v>1900</v>
      </c>
    </row>
    <row r="4282" spans="55:66" x14ac:dyDescent="0.2">
      <c r="BC4282" s="21" t="e" vm="1">
        <v>#REF!</v>
      </c>
      <c r="BD4282" t="e" vm="1">
        <v>#REF!</v>
      </c>
      <c r="BF4282" t="e" vm="2">
        <f t="shared" si="346"/>
        <v>#VALUE!</v>
      </c>
      <c r="BG4282" t="e" vm="2">
        <f t="shared" si="347"/>
        <v>#VALUE!</v>
      </c>
      <c r="BM4282">
        <f t="shared" si="348"/>
        <v>1</v>
      </c>
      <c r="BN4282">
        <f t="shared" si="349"/>
        <v>1900</v>
      </c>
    </row>
    <row r="4283" spans="55:66" x14ac:dyDescent="0.2">
      <c r="BC4283" s="21" t="e" vm="1">
        <v>#REF!</v>
      </c>
      <c r="BD4283" t="e" vm="1">
        <v>#REF!</v>
      </c>
      <c r="BF4283" t="e" vm="2">
        <f t="shared" si="346"/>
        <v>#VALUE!</v>
      </c>
      <c r="BG4283" t="e" vm="2">
        <f t="shared" si="347"/>
        <v>#VALUE!</v>
      </c>
      <c r="BM4283">
        <f t="shared" si="348"/>
        <v>1</v>
      </c>
      <c r="BN4283">
        <f t="shared" si="349"/>
        <v>1900</v>
      </c>
    </row>
    <row r="4284" spans="55:66" x14ac:dyDescent="0.2">
      <c r="BC4284" s="21" t="e" vm="1">
        <v>#REF!</v>
      </c>
      <c r="BD4284" t="e" vm="1">
        <v>#REF!</v>
      </c>
      <c r="BF4284" t="e" vm="2">
        <f t="shared" si="346"/>
        <v>#VALUE!</v>
      </c>
      <c r="BG4284" t="e" vm="2">
        <f t="shared" si="347"/>
        <v>#VALUE!</v>
      </c>
      <c r="BM4284">
        <f t="shared" si="348"/>
        <v>1</v>
      </c>
      <c r="BN4284">
        <f t="shared" si="349"/>
        <v>1900</v>
      </c>
    </row>
    <row r="4285" spans="55:66" x14ac:dyDescent="0.2">
      <c r="BC4285" s="21" t="e" vm="1">
        <v>#REF!</v>
      </c>
      <c r="BD4285" t="e" vm="1">
        <v>#REF!</v>
      </c>
      <c r="BF4285" t="e" vm="2">
        <f t="shared" si="346"/>
        <v>#VALUE!</v>
      </c>
      <c r="BG4285" t="e" vm="2">
        <f t="shared" si="347"/>
        <v>#VALUE!</v>
      </c>
      <c r="BM4285">
        <f t="shared" si="348"/>
        <v>1</v>
      </c>
      <c r="BN4285">
        <f t="shared" si="349"/>
        <v>1900</v>
      </c>
    </row>
    <row r="4286" spans="55:66" x14ac:dyDescent="0.2">
      <c r="BC4286" s="21" t="e" vm="1">
        <v>#REF!</v>
      </c>
      <c r="BD4286" t="e" vm="1">
        <v>#REF!</v>
      </c>
      <c r="BF4286" t="e" vm="2">
        <f t="shared" si="346"/>
        <v>#VALUE!</v>
      </c>
      <c r="BG4286" t="e" vm="2">
        <f t="shared" si="347"/>
        <v>#VALUE!</v>
      </c>
      <c r="BM4286">
        <f t="shared" si="348"/>
        <v>1</v>
      </c>
      <c r="BN4286">
        <f t="shared" si="349"/>
        <v>1900</v>
      </c>
    </row>
    <row r="4287" spans="55:66" x14ac:dyDescent="0.2">
      <c r="BC4287" s="21" t="e" vm="1">
        <v>#REF!</v>
      </c>
      <c r="BD4287" t="e" vm="1">
        <v>#REF!</v>
      </c>
      <c r="BF4287" t="e" vm="2">
        <f t="shared" si="346"/>
        <v>#VALUE!</v>
      </c>
      <c r="BG4287" t="e" vm="2">
        <f t="shared" si="347"/>
        <v>#VALUE!</v>
      </c>
      <c r="BM4287">
        <f t="shared" si="348"/>
        <v>1</v>
      </c>
      <c r="BN4287">
        <f t="shared" si="349"/>
        <v>1900</v>
      </c>
    </row>
    <row r="4288" spans="55:66" x14ac:dyDescent="0.2">
      <c r="BC4288" s="21" t="e" vm="1">
        <v>#REF!</v>
      </c>
      <c r="BD4288" t="e" vm="1">
        <v>#REF!</v>
      </c>
      <c r="BF4288" t="e" vm="2">
        <f t="shared" si="346"/>
        <v>#VALUE!</v>
      </c>
      <c r="BG4288" t="e" vm="2">
        <f t="shared" si="347"/>
        <v>#VALUE!</v>
      </c>
      <c r="BM4288">
        <f t="shared" si="348"/>
        <v>1</v>
      </c>
      <c r="BN4288">
        <f t="shared" si="349"/>
        <v>1900</v>
      </c>
    </row>
    <row r="4289" spans="55:66" x14ac:dyDescent="0.2">
      <c r="BC4289" s="21" t="e" vm="1">
        <v>#REF!</v>
      </c>
      <c r="BD4289" t="e" vm="1">
        <v>#REF!</v>
      </c>
      <c r="BF4289" t="e" vm="2">
        <f t="shared" si="346"/>
        <v>#VALUE!</v>
      </c>
      <c r="BG4289" t="e" vm="2">
        <f t="shared" si="347"/>
        <v>#VALUE!</v>
      </c>
      <c r="BM4289">
        <f t="shared" si="348"/>
        <v>1</v>
      </c>
      <c r="BN4289">
        <f t="shared" si="349"/>
        <v>1900</v>
      </c>
    </row>
    <row r="4290" spans="55:66" x14ac:dyDescent="0.2">
      <c r="BC4290" s="21" t="e" vm="1">
        <v>#REF!</v>
      </c>
      <c r="BD4290" t="e" vm="1">
        <v>#REF!</v>
      </c>
      <c r="BF4290" t="e" vm="2">
        <f t="shared" si="346"/>
        <v>#VALUE!</v>
      </c>
      <c r="BG4290" t="e" vm="2">
        <f t="shared" si="347"/>
        <v>#VALUE!</v>
      </c>
      <c r="BM4290">
        <f t="shared" si="348"/>
        <v>1</v>
      </c>
      <c r="BN4290">
        <f t="shared" si="349"/>
        <v>1900</v>
      </c>
    </row>
    <row r="4291" spans="55:66" x14ac:dyDescent="0.2">
      <c r="BC4291" s="21" t="e" vm="1">
        <v>#REF!</v>
      </c>
      <c r="BD4291" t="e" vm="1">
        <v>#REF!</v>
      </c>
      <c r="BF4291" t="e" vm="2">
        <f t="shared" ref="BF4291:BF4354" si="350">MONTH(BC4291)</f>
        <v>#VALUE!</v>
      </c>
      <c r="BG4291" t="e" vm="2">
        <f t="shared" ref="BG4291:BG4354" si="351">YEAR(BC4291)</f>
        <v>#VALUE!</v>
      </c>
      <c r="BM4291">
        <f t="shared" si="348"/>
        <v>1</v>
      </c>
      <c r="BN4291">
        <f t="shared" si="349"/>
        <v>1900</v>
      </c>
    </row>
    <row r="4292" spans="55:66" x14ac:dyDescent="0.2">
      <c r="BC4292" s="21" t="e" vm="1">
        <v>#REF!</v>
      </c>
      <c r="BD4292" t="e" vm="1">
        <v>#REF!</v>
      </c>
      <c r="BF4292" t="e" vm="2">
        <f t="shared" si="350"/>
        <v>#VALUE!</v>
      </c>
      <c r="BG4292" t="e" vm="2">
        <f t="shared" si="351"/>
        <v>#VALUE!</v>
      </c>
      <c r="BM4292">
        <f t="shared" ref="BM4292:BM4355" si="352">MONTH(BJ4292)</f>
        <v>1</v>
      </c>
      <c r="BN4292">
        <f t="shared" ref="BN4292:BN4355" si="353">YEAR(BJ4292)</f>
        <v>1900</v>
      </c>
    </row>
    <row r="4293" spans="55:66" x14ac:dyDescent="0.2">
      <c r="BC4293" s="21" t="e" vm="1">
        <v>#REF!</v>
      </c>
      <c r="BD4293" t="e" vm="1">
        <v>#REF!</v>
      </c>
      <c r="BF4293" t="e" vm="2">
        <f t="shared" si="350"/>
        <v>#VALUE!</v>
      </c>
      <c r="BG4293" t="e" vm="2">
        <f t="shared" si="351"/>
        <v>#VALUE!</v>
      </c>
      <c r="BM4293">
        <f t="shared" si="352"/>
        <v>1</v>
      </c>
      <c r="BN4293">
        <f t="shared" si="353"/>
        <v>1900</v>
      </c>
    </row>
    <row r="4294" spans="55:66" x14ac:dyDescent="0.2">
      <c r="BC4294" s="21" t="e" vm="1">
        <v>#REF!</v>
      </c>
      <c r="BD4294" t="e" vm="1">
        <v>#REF!</v>
      </c>
      <c r="BF4294" t="e" vm="2">
        <f t="shared" si="350"/>
        <v>#VALUE!</v>
      </c>
      <c r="BG4294" t="e" vm="2">
        <f t="shared" si="351"/>
        <v>#VALUE!</v>
      </c>
      <c r="BM4294">
        <f t="shared" si="352"/>
        <v>1</v>
      </c>
      <c r="BN4294">
        <f t="shared" si="353"/>
        <v>1900</v>
      </c>
    </row>
    <row r="4295" spans="55:66" x14ac:dyDescent="0.2">
      <c r="BC4295" s="21" t="e" vm="1">
        <v>#REF!</v>
      </c>
      <c r="BD4295" t="e" vm="1">
        <v>#REF!</v>
      </c>
      <c r="BF4295" t="e" vm="2">
        <f t="shared" si="350"/>
        <v>#VALUE!</v>
      </c>
      <c r="BG4295" t="e" vm="2">
        <f t="shared" si="351"/>
        <v>#VALUE!</v>
      </c>
      <c r="BM4295">
        <f t="shared" si="352"/>
        <v>1</v>
      </c>
      <c r="BN4295">
        <f t="shared" si="353"/>
        <v>1900</v>
      </c>
    </row>
    <row r="4296" spans="55:66" x14ac:dyDescent="0.2">
      <c r="BC4296" s="21" t="e" vm="1">
        <v>#REF!</v>
      </c>
      <c r="BD4296" t="e" vm="1">
        <v>#REF!</v>
      </c>
      <c r="BF4296" t="e" vm="2">
        <f t="shared" si="350"/>
        <v>#VALUE!</v>
      </c>
      <c r="BG4296" t="e" vm="2">
        <f t="shared" si="351"/>
        <v>#VALUE!</v>
      </c>
      <c r="BM4296">
        <f t="shared" si="352"/>
        <v>1</v>
      </c>
      <c r="BN4296">
        <f t="shared" si="353"/>
        <v>1900</v>
      </c>
    </row>
    <row r="4297" spans="55:66" x14ac:dyDescent="0.2">
      <c r="BC4297" s="21" t="e" vm="1">
        <v>#REF!</v>
      </c>
      <c r="BD4297" t="e" vm="1">
        <v>#REF!</v>
      </c>
      <c r="BF4297" t="e" vm="2">
        <f t="shared" si="350"/>
        <v>#VALUE!</v>
      </c>
      <c r="BG4297" t="e" vm="2">
        <f t="shared" si="351"/>
        <v>#VALUE!</v>
      </c>
      <c r="BM4297">
        <f t="shared" si="352"/>
        <v>1</v>
      </c>
      <c r="BN4297">
        <f t="shared" si="353"/>
        <v>1900</v>
      </c>
    </row>
    <row r="4298" spans="55:66" x14ac:dyDescent="0.2">
      <c r="BC4298" s="21" t="e" vm="1">
        <v>#REF!</v>
      </c>
      <c r="BD4298" t="e" vm="1">
        <v>#REF!</v>
      </c>
      <c r="BF4298" t="e" vm="2">
        <f t="shared" si="350"/>
        <v>#VALUE!</v>
      </c>
      <c r="BG4298" t="e" vm="2">
        <f t="shared" si="351"/>
        <v>#VALUE!</v>
      </c>
      <c r="BM4298">
        <f t="shared" si="352"/>
        <v>1</v>
      </c>
      <c r="BN4298">
        <f t="shared" si="353"/>
        <v>1900</v>
      </c>
    </row>
    <row r="4299" spans="55:66" x14ac:dyDescent="0.2">
      <c r="BC4299" s="21" t="e" vm="1">
        <v>#REF!</v>
      </c>
      <c r="BD4299" t="e" vm="1">
        <v>#REF!</v>
      </c>
      <c r="BF4299" t="e" vm="2">
        <f t="shared" si="350"/>
        <v>#VALUE!</v>
      </c>
      <c r="BG4299" t="e" vm="2">
        <f t="shared" si="351"/>
        <v>#VALUE!</v>
      </c>
      <c r="BM4299">
        <f t="shared" si="352"/>
        <v>1</v>
      </c>
      <c r="BN4299">
        <f t="shared" si="353"/>
        <v>1900</v>
      </c>
    </row>
    <row r="4300" spans="55:66" x14ac:dyDescent="0.2">
      <c r="BC4300" s="21" t="e" vm="1">
        <v>#REF!</v>
      </c>
      <c r="BD4300" t="e" vm="1">
        <v>#REF!</v>
      </c>
      <c r="BF4300" t="e" vm="2">
        <f t="shared" si="350"/>
        <v>#VALUE!</v>
      </c>
      <c r="BG4300" t="e" vm="2">
        <f t="shared" si="351"/>
        <v>#VALUE!</v>
      </c>
      <c r="BM4300">
        <f t="shared" si="352"/>
        <v>1</v>
      </c>
      <c r="BN4300">
        <f t="shared" si="353"/>
        <v>1900</v>
      </c>
    </row>
    <row r="4301" spans="55:66" x14ac:dyDescent="0.2">
      <c r="BC4301" s="21" t="e" vm="1">
        <v>#REF!</v>
      </c>
      <c r="BD4301" t="e" vm="1">
        <v>#REF!</v>
      </c>
      <c r="BF4301" t="e" vm="2">
        <f t="shared" si="350"/>
        <v>#VALUE!</v>
      </c>
      <c r="BG4301" t="e" vm="2">
        <f t="shared" si="351"/>
        <v>#VALUE!</v>
      </c>
      <c r="BM4301">
        <f t="shared" si="352"/>
        <v>1</v>
      </c>
      <c r="BN4301">
        <f t="shared" si="353"/>
        <v>1900</v>
      </c>
    </row>
    <row r="4302" spans="55:66" x14ac:dyDescent="0.2">
      <c r="BC4302" s="21" t="e" vm="1">
        <v>#REF!</v>
      </c>
      <c r="BD4302" t="e" vm="1">
        <v>#REF!</v>
      </c>
      <c r="BF4302" t="e" vm="2">
        <f t="shared" si="350"/>
        <v>#VALUE!</v>
      </c>
      <c r="BG4302" t="e" vm="2">
        <f t="shared" si="351"/>
        <v>#VALUE!</v>
      </c>
      <c r="BM4302">
        <f t="shared" si="352"/>
        <v>1</v>
      </c>
      <c r="BN4302">
        <f t="shared" si="353"/>
        <v>1900</v>
      </c>
    </row>
    <row r="4303" spans="55:66" x14ac:dyDescent="0.2">
      <c r="BC4303" s="21" t="e" vm="1">
        <v>#REF!</v>
      </c>
      <c r="BD4303" t="e" vm="1">
        <v>#REF!</v>
      </c>
      <c r="BF4303" t="e" vm="2">
        <f t="shared" si="350"/>
        <v>#VALUE!</v>
      </c>
      <c r="BG4303" t="e" vm="2">
        <f t="shared" si="351"/>
        <v>#VALUE!</v>
      </c>
      <c r="BM4303">
        <f t="shared" si="352"/>
        <v>1</v>
      </c>
      <c r="BN4303">
        <f t="shared" si="353"/>
        <v>1900</v>
      </c>
    </row>
    <row r="4304" spans="55:66" x14ac:dyDescent="0.2">
      <c r="BC4304" s="21" t="e" vm="1">
        <v>#REF!</v>
      </c>
      <c r="BD4304" t="e" vm="1">
        <v>#REF!</v>
      </c>
      <c r="BF4304" t="e" vm="2">
        <f t="shared" si="350"/>
        <v>#VALUE!</v>
      </c>
      <c r="BG4304" t="e" vm="2">
        <f t="shared" si="351"/>
        <v>#VALUE!</v>
      </c>
      <c r="BM4304">
        <f t="shared" si="352"/>
        <v>1</v>
      </c>
      <c r="BN4304">
        <f t="shared" si="353"/>
        <v>1900</v>
      </c>
    </row>
    <row r="4305" spans="55:66" x14ac:dyDescent="0.2">
      <c r="BC4305" s="21" t="e" vm="1">
        <v>#REF!</v>
      </c>
      <c r="BD4305" t="e" vm="1">
        <v>#REF!</v>
      </c>
      <c r="BF4305" t="e" vm="2">
        <f t="shared" si="350"/>
        <v>#VALUE!</v>
      </c>
      <c r="BG4305" t="e" vm="2">
        <f t="shared" si="351"/>
        <v>#VALUE!</v>
      </c>
      <c r="BM4305">
        <f t="shared" si="352"/>
        <v>1</v>
      </c>
      <c r="BN4305">
        <f t="shared" si="353"/>
        <v>1900</v>
      </c>
    </row>
    <row r="4306" spans="55:66" x14ac:dyDescent="0.2">
      <c r="BC4306" s="21" t="e" vm="1">
        <v>#REF!</v>
      </c>
      <c r="BD4306" t="e" vm="1">
        <v>#REF!</v>
      </c>
      <c r="BF4306" t="e" vm="2">
        <f t="shared" si="350"/>
        <v>#VALUE!</v>
      </c>
      <c r="BG4306" t="e" vm="2">
        <f t="shared" si="351"/>
        <v>#VALUE!</v>
      </c>
      <c r="BM4306">
        <f t="shared" si="352"/>
        <v>1</v>
      </c>
      <c r="BN4306">
        <f t="shared" si="353"/>
        <v>1900</v>
      </c>
    </row>
    <row r="4307" spans="55:66" x14ac:dyDescent="0.2">
      <c r="BC4307" s="21" t="e" vm="1">
        <v>#REF!</v>
      </c>
      <c r="BD4307" t="e" vm="1">
        <v>#REF!</v>
      </c>
      <c r="BF4307" t="e" vm="2">
        <f t="shared" si="350"/>
        <v>#VALUE!</v>
      </c>
      <c r="BG4307" t="e" vm="2">
        <f t="shared" si="351"/>
        <v>#VALUE!</v>
      </c>
      <c r="BM4307">
        <f t="shared" si="352"/>
        <v>1</v>
      </c>
      <c r="BN4307">
        <f t="shared" si="353"/>
        <v>1900</v>
      </c>
    </row>
    <row r="4308" spans="55:66" x14ac:dyDescent="0.2">
      <c r="BC4308" s="21" t="e" vm="1">
        <v>#REF!</v>
      </c>
      <c r="BD4308" t="e" vm="1">
        <v>#REF!</v>
      </c>
      <c r="BF4308" t="e" vm="2">
        <f t="shared" si="350"/>
        <v>#VALUE!</v>
      </c>
      <c r="BG4308" t="e" vm="2">
        <f t="shared" si="351"/>
        <v>#VALUE!</v>
      </c>
      <c r="BM4308">
        <f t="shared" si="352"/>
        <v>1</v>
      </c>
      <c r="BN4308">
        <f t="shared" si="353"/>
        <v>1900</v>
      </c>
    </row>
    <row r="4309" spans="55:66" x14ac:dyDescent="0.2">
      <c r="BC4309" s="21" t="e" vm="1">
        <v>#REF!</v>
      </c>
      <c r="BD4309" t="e" vm="1">
        <v>#REF!</v>
      </c>
      <c r="BF4309" t="e" vm="2">
        <f t="shared" si="350"/>
        <v>#VALUE!</v>
      </c>
      <c r="BG4309" t="e" vm="2">
        <f t="shared" si="351"/>
        <v>#VALUE!</v>
      </c>
      <c r="BM4309">
        <f t="shared" si="352"/>
        <v>1</v>
      </c>
      <c r="BN4309">
        <f t="shared" si="353"/>
        <v>1900</v>
      </c>
    </row>
    <row r="4310" spans="55:66" x14ac:dyDescent="0.2">
      <c r="BC4310" s="21" t="e" vm="1">
        <v>#REF!</v>
      </c>
      <c r="BD4310" t="e" vm="1">
        <v>#REF!</v>
      </c>
      <c r="BF4310" t="e" vm="2">
        <f t="shared" si="350"/>
        <v>#VALUE!</v>
      </c>
      <c r="BG4310" t="e" vm="2">
        <f t="shared" si="351"/>
        <v>#VALUE!</v>
      </c>
      <c r="BM4310">
        <f t="shared" si="352"/>
        <v>1</v>
      </c>
      <c r="BN4310">
        <f t="shared" si="353"/>
        <v>1900</v>
      </c>
    </row>
    <row r="4311" spans="55:66" x14ac:dyDescent="0.2">
      <c r="BC4311" s="21" t="e" vm="1">
        <v>#REF!</v>
      </c>
      <c r="BD4311" t="e" vm="1">
        <v>#REF!</v>
      </c>
      <c r="BF4311" t="e" vm="2">
        <f t="shared" si="350"/>
        <v>#VALUE!</v>
      </c>
      <c r="BG4311" t="e" vm="2">
        <f t="shared" si="351"/>
        <v>#VALUE!</v>
      </c>
      <c r="BM4311">
        <f t="shared" si="352"/>
        <v>1</v>
      </c>
      <c r="BN4311">
        <f t="shared" si="353"/>
        <v>1900</v>
      </c>
    </row>
    <row r="4312" spans="55:66" x14ac:dyDescent="0.2">
      <c r="BC4312" s="21" t="e" vm="1">
        <v>#REF!</v>
      </c>
      <c r="BD4312" t="e" vm="1">
        <v>#REF!</v>
      </c>
      <c r="BF4312" t="e" vm="2">
        <f t="shared" si="350"/>
        <v>#VALUE!</v>
      </c>
      <c r="BG4312" t="e" vm="2">
        <f t="shared" si="351"/>
        <v>#VALUE!</v>
      </c>
      <c r="BM4312">
        <f t="shared" si="352"/>
        <v>1</v>
      </c>
      <c r="BN4312">
        <f t="shared" si="353"/>
        <v>1900</v>
      </c>
    </row>
    <row r="4313" spans="55:66" x14ac:dyDescent="0.2">
      <c r="BC4313" s="21" t="e" vm="1">
        <v>#REF!</v>
      </c>
      <c r="BD4313" t="e" vm="1">
        <v>#REF!</v>
      </c>
      <c r="BF4313" t="e" vm="2">
        <f t="shared" si="350"/>
        <v>#VALUE!</v>
      </c>
      <c r="BG4313" t="e" vm="2">
        <f t="shared" si="351"/>
        <v>#VALUE!</v>
      </c>
      <c r="BM4313">
        <f t="shared" si="352"/>
        <v>1</v>
      </c>
      <c r="BN4313">
        <f t="shared" si="353"/>
        <v>1900</v>
      </c>
    </row>
    <row r="4314" spans="55:66" x14ac:dyDescent="0.2">
      <c r="BC4314" s="21" t="e" vm="1">
        <v>#REF!</v>
      </c>
      <c r="BD4314" t="e" vm="1">
        <v>#REF!</v>
      </c>
      <c r="BF4314" t="e" vm="2">
        <f t="shared" si="350"/>
        <v>#VALUE!</v>
      </c>
      <c r="BG4314" t="e" vm="2">
        <f t="shared" si="351"/>
        <v>#VALUE!</v>
      </c>
      <c r="BM4314">
        <f t="shared" si="352"/>
        <v>1</v>
      </c>
      <c r="BN4314">
        <f t="shared" si="353"/>
        <v>1900</v>
      </c>
    </row>
    <row r="4315" spans="55:66" x14ac:dyDescent="0.2">
      <c r="BC4315" s="21" t="e" vm="1">
        <v>#REF!</v>
      </c>
      <c r="BD4315" t="e" vm="1">
        <v>#REF!</v>
      </c>
      <c r="BF4315" t="e" vm="2">
        <f t="shared" si="350"/>
        <v>#VALUE!</v>
      </c>
      <c r="BG4315" t="e" vm="2">
        <f t="shared" si="351"/>
        <v>#VALUE!</v>
      </c>
      <c r="BM4315">
        <f t="shared" si="352"/>
        <v>1</v>
      </c>
      <c r="BN4315">
        <f t="shared" si="353"/>
        <v>1900</v>
      </c>
    </row>
    <row r="4316" spans="55:66" x14ac:dyDescent="0.2">
      <c r="BC4316" s="21" t="e" vm="1">
        <v>#REF!</v>
      </c>
      <c r="BD4316" t="e" vm="1">
        <v>#REF!</v>
      </c>
      <c r="BF4316" t="e" vm="2">
        <f t="shared" si="350"/>
        <v>#VALUE!</v>
      </c>
      <c r="BG4316" t="e" vm="2">
        <f t="shared" si="351"/>
        <v>#VALUE!</v>
      </c>
      <c r="BM4316">
        <f t="shared" si="352"/>
        <v>1</v>
      </c>
      <c r="BN4316">
        <f t="shared" si="353"/>
        <v>1900</v>
      </c>
    </row>
    <row r="4317" spans="55:66" x14ac:dyDescent="0.2">
      <c r="BC4317" s="21" t="e" vm="1">
        <v>#REF!</v>
      </c>
      <c r="BD4317" t="e" vm="1">
        <v>#REF!</v>
      </c>
      <c r="BF4317" t="e" vm="2">
        <f t="shared" si="350"/>
        <v>#VALUE!</v>
      </c>
      <c r="BG4317" t="e" vm="2">
        <f t="shared" si="351"/>
        <v>#VALUE!</v>
      </c>
      <c r="BM4317">
        <f t="shared" si="352"/>
        <v>1</v>
      </c>
      <c r="BN4317">
        <f t="shared" si="353"/>
        <v>1900</v>
      </c>
    </row>
    <row r="4318" spans="55:66" x14ac:dyDescent="0.2">
      <c r="BC4318" s="21" t="e" vm="1">
        <v>#REF!</v>
      </c>
      <c r="BD4318" t="e" vm="1">
        <v>#REF!</v>
      </c>
      <c r="BF4318" t="e" vm="2">
        <f t="shared" si="350"/>
        <v>#VALUE!</v>
      </c>
      <c r="BG4318" t="e" vm="2">
        <f t="shared" si="351"/>
        <v>#VALUE!</v>
      </c>
      <c r="BM4318">
        <f t="shared" si="352"/>
        <v>1</v>
      </c>
      <c r="BN4318">
        <f t="shared" si="353"/>
        <v>1900</v>
      </c>
    </row>
    <row r="4319" spans="55:66" x14ac:dyDescent="0.2">
      <c r="BC4319" s="21" t="e" vm="1">
        <v>#REF!</v>
      </c>
      <c r="BD4319" t="e" vm="1">
        <v>#REF!</v>
      </c>
      <c r="BF4319" t="e" vm="2">
        <f t="shared" si="350"/>
        <v>#VALUE!</v>
      </c>
      <c r="BG4319" t="e" vm="2">
        <f t="shared" si="351"/>
        <v>#VALUE!</v>
      </c>
      <c r="BM4319">
        <f t="shared" si="352"/>
        <v>1</v>
      </c>
      <c r="BN4319">
        <f t="shared" si="353"/>
        <v>1900</v>
      </c>
    </row>
    <row r="4320" spans="55:66" x14ac:dyDescent="0.2">
      <c r="BC4320" s="21" t="e" vm="1">
        <v>#REF!</v>
      </c>
      <c r="BD4320" t="e" vm="1">
        <v>#REF!</v>
      </c>
      <c r="BF4320" t="e" vm="2">
        <f t="shared" si="350"/>
        <v>#VALUE!</v>
      </c>
      <c r="BG4320" t="e" vm="2">
        <f t="shared" si="351"/>
        <v>#VALUE!</v>
      </c>
      <c r="BM4320">
        <f t="shared" si="352"/>
        <v>1</v>
      </c>
      <c r="BN4320">
        <f t="shared" si="353"/>
        <v>1900</v>
      </c>
    </row>
    <row r="4321" spans="55:66" x14ac:dyDescent="0.2">
      <c r="BC4321" s="21" t="e" vm="1">
        <v>#REF!</v>
      </c>
      <c r="BD4321" t="e" vm="1">
        <v>#REF!</v>
      </c>
      <c r="BF4321" t="e" vm="2">
        <f t="shared" si="350"/>
        <v>#VALUE!</v>
      </c>
      <c r="BG4321" t="e" vm="2">
        <f t="shared" si="351"/>
        <v>#VALUE!</v>
      </c>
      <c r="BM4321">
        <f t="shared" si="352"/>
        <v>1</v>
      </c>
      <c r="BN4321">
        <f t="shared" si="353"/>
        <v>1900</v>
      </c>
    </row>
    <row r="4322" spans="55:66" x14ac:dyDescent="0.2">
      <c r="BC4322" s="21" t="e" vm="1">
        <v>#REF!</v>
      </c>
      <c r="BD4322" t="e" vm="1">
        <v>#REF!</v>
      </c>
      <c r="BF4322" t="e" vm="2">
        <f t="shared" si="350"/>
        <v>#VALUE!</v>
      </c>
      <c r="BG4322" t="e" vm="2">
        <f t="shared" si="351"/>
        <v>#VALUE!</v>
      </c>
      <c r="BM4322">
        <f t="shared" si="352"/>
        <v>1</v>
      </c>
      <c r="BN4322">
        <f t="shared" si="353"/>
        <v>1900</v>
      </c>
    </row>
    <row r="4323" spans="55:66" x14ac:dyDescent="0.2">
      <c r="BC4323" s="21" t="e" vm="1">
        <v>#REF!</v>
      </c>
      <c r="BD4323" t="e" vm="1">
        <v>#REF!</v>
      </c>
      <c r="BF4323" t="e" vm="2">
        <f t="shared" si="350"/>
        <v>#VALUE!</v>
      </c>
      <c r="BG4323" t="e" vm="2">
        <f t="shared" si="351"/>
        <v>#VALUE!</v>
      </c>
      <c r="BM4323">
        <f t="shared" si="352"/>
        <v>1</v>
      </c>
      <c r="BN4323">
        <f t="shared" si="353"/>
        <v>1900</v>
      </c>
    </row>
    <row r="4324" spans="55:66" x14ac:dyDescent="0.2">
      <c r="BC4324" s="21" t="e" vm="1">
        <v>#REF!</v>
      </c>
      <c r="BD4324" t="e" vm="1">
        <v>#REF!</v>
      </c>
      <c r="BF4324" t="e" vm="2">
        <f t="shared" si="350"/>
        <v>#VALUE!</v>
      </c>
      <c r="BG4324" t="e" vm="2">
        <f t="shared" si="351"/>
        <v>#VALUE!</v>
      </c>
      <c r="BM4324">
        <f t="shared" si="352"/>
        <v>1</v>
      </c>
      <c r="BN4324">
        <f t="shared" si="353"/>
        <v>1900</v>
      </c>
    </row>
    <row r="4325" spans="55:66" x14ac:dyDescent="0.2">
      <c r="BC4325" s="21" t="e" vm="1">
        <v>#REF!</v>
      </c>
      <c r="BD4325" t="e" vm="1">
        <v>#REF!</v>
      </c>
      <c r="BF4325" t="e" vm="2">
        <f t="shared" si="350"/>
        <v>#VALUE!</v>
      </c>
      <c r="BG4325" t="e" vm="2">
        <f t="shared" si="351"/>
        <v>#VALUE!</v>
      </c>
      <c r="BM4325">
        <f t="shared" si="352"/>
        <v>1</v>
      </c>
      <c r="BN4325">
        <f t="shared" si="353"/>
        <v>1900</v>
      </c>
    </row>
    <row r="4326" spans="55:66" x14ac:dyDescent="0.2">
      <c r="BC4326" s="21" t="e" vm="1">
        <v>#REF!</v>
      </c>
      <c r="BD4326" t="e" vm="1">
        <v>#REF!</v>
      </c>
      <c r="BF4326" t="e" vm="2">
        <f t="shared" si="350"/>
        <v>#VALUE!</v>
      </c>
      <c r="BG4326" t="e" vm="2">
        <f t="shared" si="351"/>
        <v>#VALUE!</v>
      </c>
      <c r="BM4326">
        <f t="shared" si="352"/>
        <v>1</v>
      </c>
      <c r="BN4326">
        <f t="shared" si="353"/>
        <v>1900</v>
      </c>
    </row>
    <row r="4327" spans="55:66" x14ac:dyDescent="0.2">
      <c r="BC4327" s="21" t="e" vm="1">
        <v>#REF!</v>
      </c>
      <c r="BD4327" t="e" vm="1">
        <v>#REF!</v>
      </c>
      <c r="BF4327" t="e" vm="2">
        <f t="shared" si="350"/>
        <v>#VALUE!</v>
      </c>
      <c r="BG4327" t="e" vm="2">
        <f t="shared" si="351"/>
        <v>#VALUE!</v>
      </c>
      <c r="BM4327">
        <f t="shared" si="352"/>
        <v>1</v>
      </c>
      <c r="BN4327">
        <f t="shared" si="353"/>
        <v>1900</v>
      </c>
    </row>
    <row r="4328" spans="55:66" x14ac:dyDescent="0.2">
      <c r="BC4328" s="21" t="e" vm="1">
        <v>#REF!</v>
      </c>
      <c r="BD4328" t="e" vm="1">
        <v>#REF!</v>
      </c>
      <c r="BF4328" t="e" vm="2">
        <f t="shared" si="350"/>
        <v>#VALUE!</v>
      </c>
      <c r="BG4328" t="e" vm="2">
        <f t="shared" si="351"/>
        <v>#VALUE!</v>
      </c>
      <c r="BM4328">
        <f t="shared" si="352"/>
        <v>1</v>
      </c>
      <c r="BN4328">
        <f t="shared" si="353"/>
        <v>1900</v>
      </c>
    </row>
    <row r="4329" spans="55:66" x14ac:dyDescent="0.2">
      <c r="BC4329" s="21" t="e" vm="1">
        <v>#REF!</v>
      </c>
      <c r="BD4329" t="e" vm="1">
        <v>#REF!</v>
      </c>
      <c r="BF4329" t="e" vm="2">
        <f t="shared" si="350"/>
        <v>#VALUE!</v>
      </c>
      <c r="BG4329" t="e" vm="2">
        <f t="shared" si="351"/>
        <v>#VALUE!</v>
      </c>
      <c r="BM4329">
        <f t="shared" si="352"/>
        <v>1</v>
      </c>
      <c r="BN4329">
        <f t="shared" si="353"/>
        <v>1900</v>
      </c>
    </row>
    <row r="4330" spans="55:66" x14ac:dyDescent="0.2">
      <c r="BC4330" s="21" t="e" vm="1">
        <v>#REF!</v>
      </c>
      <c r="BD4330" t="e" vm="1">
        <v>#REF!</v>
      </c>
      <c r="BF4330" t="e" vm="2">
        <f t="shared" si="350"/>
        <v>#VALUE!</v>
      </c>
      <c r="BG4330" t="e" vm="2">
        <f t="shared" si="351"/>
        <v>#VALUE!</v>
      </c>
      <c r="BM4330">
        <f t="shared" si="352"/>
        <v>1</v>
      </c>
      <c r="BN4330">
        <f t="shared" si="353"/>
        <v>1900</v>
      </c>
    </row>
    <row r="4331" spans="55:66" x14ac:dyDescent="0.2">
      <c r="BC4331" s="21" t="e" vm="1">
        <v>#REF!</v>
      </c>
      <c r="BD4331" t="e" vm="1">
        <v>#REF!</v>
      </c>
      <c r="BF4331" t="e" vm="2">
        <f t="shared" si="350"/>
        <v>#VALUE!</v>
      </c>
      <c r="BG4331" t="e" vm="2">
        <f t="shared" si="351"/>
        <v>#VALUE!</v>
      </c>
      <c r="BM4331">
        <f t="shared" si="352"/>
        <v>1</v>
      </c>
      <c r="BN4331">
        <f t="shared" si="353"/>
        <v>1900</v>
      </c>
    </row>
    <row r="4332" spans="55:66" x14ac:dyDescent="0.2">
      <c r="BC4332" s="21" t="e" vm="1">
        <v>#REF!</v>
      </c>
      <c r="BD4332" t="e" vm="1">
        <v>#REF!</v>
      </c>
      <c r="BF4332" t="e" vm="2">
        <f t="shared" si="350"/>
        <v>#VALUE!</v>
      </c>
      <c r="BG4332" t="e" vm="2">
        <f t="shared" si="351"/>
        <v>#VALUE!</v>
      </c>
      <c r="BM4332">
        <f t="shared" si="352"/>
        <v>1</v>
      </c>
      <c r="BN4332">
        <f t="shared" si="353"/>
        <v>1900</v>
      </c>
    </row>
    <row r="4333" spans="55:66" x14ac:dyDescent="0.2">
      <c r="BC4333" s="21" t="e" vm="1">
        <v>#REF!</v>
      </c>
      <c r="BD4333" t="e" vm="1">
        <v>#REF!</v>
      </c>
      <c r="BF4333" t="e" vm="2">
        <f t="shared" si="350"/>
        <v>#VALUE!</v>
      </c>
      <c r="BG4333" t="e" vm="2">
        <f t="shared" si="351"/>
        <v>#VALUE!</v>
      </c>
      <c r="BM4333">
        <f t="shared" si="352"/>
        <v>1</v>
      </c>
      <c r="BN4333">
        <f t="shared" si="353"/>
        <v>1900</v>
      </c>
    </row>
    <row r="4334" spans="55:66" x14ac:dyDescent="0.2">
      <c r="BC4334" s="21" t="e" vm="1">
        <v>#REF!</v>
      </c>
      <c r="BD4334" t="e" vm="1">
        <v>#REF!</v>
      </c>
      <c r="BF4334" t="e" vm="2">
        <f t="shared" si="350"/>
        <v>#VALUE!</v>
      </c>
      <c r="BG4334" t="e" vm="2">
        <f t="shared" si="351"/>
        <v>#VALUE!</v>
      </c>
      <c r="BM4334">
        <f t="shared" si="352"/>
        <v>1</v>
      </c>
      <c r="BN4334">
        <f t="shared" si="353"/>
        <v>1900</v>
      </c>
    </row>
    <row r="4335" spans="55:66" x14ac:dyDescent="0.2">
      <c r="BC4335" s="21" t="e" vm="1">
        <v>#REF!</v>
      </c>
      <c r="BD4335" t="e" vm="1">
        <v>#REF!</v>
      </c>
      <c r="BF4335" t="e" vm="2">
        <f t="shared" si="350"/>
        <v>#VALUE!</v>
      </c>
      <c r="BG4335" t="e" vm="2">
        <f t="shared" si="351"/>
        <v>#VALUE!</v>
      </c>
      <c r="BM4335">
        <f t="shared" si="352"/>
        <v>1</v>
      </c>
      <c r="BN4335">
        <f t="shared" si="353"/>
        <v>1900</v>
      </c>
    </row>
    <row r="4336" spans="55:66" x14ac:dyDescent="0.2">
      <c r="BC4336" s="21" t="e" vm="1">
        <v>#REF!</v>
      </c>
      <c r="BD4336" t="e" vm="1">
        <v>#REF!</v>
      </c>
      <c r="BF4336" t="e" vm="2">
        <f t="shared" si="350"/>
        <v>#VALUE!</v>
      </c>
      <c r="BG4336" t="e" vm="2">
        <f t="shared" si="351"/>
        <v>#VALUE!</v>
      </c>
      <c r="BM4336">
        <f t="shared" si="352"/>
        <v>1</v>
      </c>
      <c r="BN4336">
        <f t="shared" si="353"/>
        <v>1900</v>
      </c>
    </row>
    <row r="4337" spans="55:66" x14ac:dyDescent="0.2">
      <c r="BC4337" s="21" t="e" vm="1">
        <v>#REF!</v>
      </c>
      <c r="BD4337" t="e" vm="1">
        <v>#REF!</v>
      </c>
      <c r="BF4337" t="e" vm="2">
        <f t="shared" si="350"/>
        <v>#VALUE!</v>
      </c>
      <c r="BG4337" t="e" vm="2">
        <f t="shared" si="351"/>
        <v>#VALUE!</v>
      </c>
      <c r="BM4337">
        <f t="shared" si="352"/>
        <v>1</v>
      </c>
      <c r="BN4337">
        <f t="shared" si="353"/>
        <v>1900</v>
      </c>
    </row>
    <row r="4338" spans="55:66" x14ac:dyDescent="0.2">
      <c r="BC4338" s="21" t="e" vm="1">
        <v>#REF!</v>
      </c>
      <c r="BD4338" t="e" vm="1">
        <v>#REF!</v>
      </c>
      <c r="BF4338" t="e" vm="2">
        <f t="shared" si="350"/>
        <v>#VALUE!</v>
      </c>
      <c r="BG4338" t="e" vm="2">
        <f t="shared" si="351"/>
        <v>#VALUE!</v>
      </c>
      <c r="BM4338">
        <f t="shared" si="352"/>
        <v>1</v>
      </c>
      <c r="BN4338">
        <f t="shared" si="353"/>
        <v>1900</v>
      </c>
    </row>
    <row r="4339" spans="55:66" x14ac:dyDescent="0.2">
      <c r="BC4339" s="21" t="e" vm="1">
        <v>#REF!</v>
      </c>
      <c r="BD4339" t="e" vm="1">
        <v>#REF!</v>
      </c>
      <c r="BF4339" t="e" vm="2">
        <f t="shared" si="350"/>
        <v>#VALUE!</v>
      </c>
      <c r="BG4339" t="e" vm="2">
        <f t="shared" si="351"/>
        <v>#VALUE!</v>
      </c>
      <c r="BM4339">
        <f t="shared" si="352"/>
        <v>1</v>
      </c>
      <c r="BN4339">
        <f t="shared" si="353"/>
        <v>1900</v>
      </c>
    </row>
    <row r="4340" spans="55:66" x14ac:dyDescent="0.2">
      <c r="BC4340" s="21" t="e" vm="1">
        <v>#REF!</v>
      </c>
      <c r="BD4340" t="e" vm="1">
        <v>#REF!</v>
      </c>
      <c r="BF4340" t="e" vm="2">
        <f t="shared" si="350"/>
        <v>#VALUE!</v>
      </c>
      <c r="BG4340" t="e" vm="2">
        <f t="shared" si="351"/>
        <v>#VALUE!</v>
      </c>
      <c r="BM4340">
        <f t="shared" si="352"/>
        <v>1</v>
      </c>
      <c r="BN4340">
        <f t="shared" si="353"/>
        <v>1900</v>
      </c>
    </row>
    <row r="4341" spans="55:66" x14ac:dyDescent="0.2">
      <c r="BC4341" s="21" t="e" vm="1">
        <v>#REF!</v>
      </c>
      <c r="BD4341" t="e" vm="1">
        <v>#REF!</v>
      </c>
      <c r="BF4341" t="e" vm="2">
        <f t="shared" si="350"/>
        <v>#VALUE!</v>
      </c>
      <c r="BG4341" t="e" vm="2">
        <f t="shared" si="351"/>
        <v>#VALUE!</v>
      </c>
      <c r="BM4341">
        <f t="shared" si="352"/>
        <v>1</v>
      </c>
      <c r="BN4341">
        <f t="shared" si="353"/>
        <v>1900</v>
      </c>
    </row>
    <row r="4342" spans="55:66" x14ac:dyDescent="0.2">
      <c r="BC4342" s="21" t="e" vm="1">
        <v>#REF!</v>
      </c>
      <c r="BD4342" t="e" vm="1">
        <v>#REF!</v>
      </c>
      <c r="BF4342" t="e" vm="2">
        <f t="shared" si="350"/>
        <v>#VALUE!</v>
      </c>
      <c r="BG4342" t="e" vm="2">
        <f t="shared" si="351"/>
        <v>#VALUE!</v>
      </c>
      <c r="BM4342">
        <f t="shared" si="352"/>
        <v>1</v>
      </c>
      <c r="BN4342">
        <f t="shared" si="353"/>
        <v>1900</v>
      </c>
    </row>
    <row r="4343" spans="55:66" x14ac:dyDescent="0.2">
      <c r="BC4343" s="21" t="e" vm="1">
        <v>#REF!</v>
      </c>
      <c r="BD4343" t="e" vm="1">
        <v>#REF!</v>
      </c>
      <c r="BF4343" t="e" vm="2">
        <f t="shared" si="350"/>
        <v>#VALUE!</v>
      </c>
      <c r="BG4343" t="e" vm="2">
        <f t="shared" si="351"/>
        <v>#VALUE!</v>
      </c>
      <c r="BM4343">
        <f t="shared" si="352"/>
        <v>1</v>
      </c>
      <c r="BN4343">
        <f t="shared" si="353"/>
        <v>1900</v>
      </c>
    </row>
    <row r="4344" spans="55:66" x14ac:dyDescent="0.2">
      <c r="BC4344" s="21" t="e" vm="1">
        <v>#REF!</v>
      </c>
      <c r="BD4344" t="e" vm="1">
        <v>#REF!</v>
      </c>
      <c r="BF4344" t="e" vm="2">
        <f t="shared" si="350"/>
        <v>#VALUE!</v>
      </c>
      <c r="BG4344" t="e" vm="2">
        <f t="shared" si="351"/>
        <v>#VALUE!</v>
      </c>
      <c r="BM4344">
        <f t="shared" si="352"/>
        <v>1</v>
      </c>
      <c r="BN4344">
        <f t="shared" si="353"/>
        <v>1900</v>
      </c>
    </row>
    <row r="4345" spans="55:66" x14ac:dyDescent="0.2">
      <c r="BC4345" s="21" t="e" vm="1">
        <v>#REF!</v>
      </c>
      <c r="BD4345" t="e" vm="1">
        <v>#REF!</v>
      </c>
      <c r="BF4345" t="e" vm="2">
        <f t="shared" si="350"/>
        <v>#VALUE!</v>
      </c>
      <c r="BG4345" t="e" vm="2">
        <f t="shared" si="351"/>
        <v>#VALUE!</v>
      </c>
      <c r="BM4345">
        <f t="shared" si="352"/>
        <v>1</v>
      </c>
      <c r="BN4345">
        <f t="shared" si="353"/>
        <v>1900</v>
      </c>
    </row>
    <row r="4346" spans="55:66" x14ac:dyDescent="0.2">
      <c r="BC4346" s="21" t="e" vm="1">
        <v>#REF!</v>
      </c>
      <c r="BD4346" t="e" vm="1">
        <v>#REF!</v>
      </c>
      <c r="BF4346" t="e" vm="2">
        <f t="shared" si="350"/>
        <v>#VALUE!</v>
      </c>
      <c r="BG4346" t="e" vm="2">
        <f t="shared" si="351"/>
        <v>#VALUE!</v>
      </c>
      <c r="BM4346">
        <f t="shared" si="352"/>
        <v>1</v>
      </c>
      <c r="BN4346">
        <f t="shared" si="353"/>
        <v>1900</v>
      </c>
    </row>
    <row r="4347" spans="55:66" x14ac:dyDescent="0.2">
      <c r="BC4347" s="21" t="e" vm="1">
        <v>#REF!</v>
      </c>
      <c r="BD4347" t="e" vm="1">
        <v>#REF!</v>
      </c>
      <c r="BF4347" t="e" vm="2">
        <f t="shared" si="350"/>
        <v>#VALUE!</v>
      </c>
      <c r="BG4347" t="e" vm="2">
        <f t="shared" si="351"/>
        <v>#VALUE!</v>
      </c>
      <c r="BM4347">
        <f t="shared" si="352"/>
        <v>1</v>
      </c>
      <c r="BN4347">
        <f t="shared" si="353"/>
        <v>1900</v>
      </c>
    </row>
    <row r="4348" spans="55:66" x14ac:dyDescent="0.2">
      <c r="BC4348" s="21" t="e" vm="1">
        <v>#REF!</v>
      </c>
      <c r="BD4348" t="e" vm="1">
        <v>#REF!</v>
      </c>
      <c r="BF4348" t="e" vm="2">
        <f t="shared" si="350"/>
        <v>#VALUE!</v>
      </c>
      <c r="BG4348" t="e" vm="2">
        <f t="shared" si="351"/>
        <v>#VALUE!</v>
      </c>
      <c r="BM4348">
        <f t="shared" si="352"/>
        <v>1</v>
      </c>
      <c r="BN4348">
        <f t="shared" si="353"/>
        <v>1900</v>
      </c>
    </row>
    <row r="4349" spans="55:66" x14ac:dyDescent="0.2">
      <c r="BC4349" s="21" t="e" vm="1">
        <v>#REF!</v>
      </c>
      <c r="BD4349" t="e" vm="1">
        <v>#REF!</v>
      </c>
      <c r="BF4349" t="e" vm="2">
        <f t="shared" si="350"/>
        <v>#VALUE!</v>
      </c>
      <c r="BG4349" t="e" vm="2">
        <f t="shared" si="351"/>
        <v>#VALUE!</v>
      </c>
      <c r="BM4349">
        <f t="shared" si="352"/>
        <v>1</v>
      </c>
      <c r="BN4349">
        <f t="shared" si="353"/>
        <v>1900</v>
      </c>
    </row>
    <row r="4350" spans="55:66" x14ac:dyDescent="0.2">
      <c r="BC4350" s="21" t="e" vm="1">
        <v>#REF!</v>
      </c>
      <c r="BD4350" t="e" vm="1">
        <v>#REF!</v>
      </c>
      <c r="BF4350" t="e" vm="2">
        <f t="shared" si="350"/>
        <v>#VALUE!</v>
      </c>
      <c r="BG4350" t="e" vm="2">
        <f t="shared" si="351"/>
        <v>#VALUE!</v>
      </c>
      <c r="BM4350">
        <f t="shared" si="352"/>
        <v>1</v>
      </c>
      <c r="BN4350">
        <f t="shared" si="353"/>
        <v>1900</v>
      </c>
    </row>
    <row r="4351" spans="55:66" x14ac:dyDescent="0.2">
      <c r="BC4351" s="21" t="e" vm="1">
        <v>#REF!</v>
      </c>
      <c r="BD4351" t="e" vm="1">
        <v>#REF!</v>
      </c>
      <c r="BF4351" t="e" vm="2">
        <f t="shared" si="350"/>
        <v>#VALUE!</v>
      </c>
      <c r="BG4351" t="e" vm="2">
        <f t="shared" si="351"/>
        <v>#VALUE!</v>
      </c>
      <c r="BM4351">
        <f t="shared" si="352"/>
        <v>1</v>
      </c>
      <c r="BN4351">
        <f t="shared" si="353"/>
        <v>1900</v>
      </c>
    </row>
    <row r="4352" spans="55:66" x14ac:dyDescent="0.2">
      <c r="BC4352" s="21" t="e" vm="1">
        <v>#REF!</v>
      </c>
      <c r="BD4352" t="e" vm="1">
        <v>#REF!</v>
      </c>
      <c r="BF4352" t="e" vm="2">
        <f t="shared" si="350"/>
        <v>#VALUE!</v>
      </c>
      <c r="BG4352" t="e" vm="2">
        <f t="shared" si="351"/>
        <v>#VALUE!</v>
      </c>
      <c r="BM4352">
        <f t="shared" si="352"/>
        <v>1</v>
      </c>
      <c r="BN4352">
        <f t="shared" si="353"/>
        <v>1900</v>
      </c>
    </row>
    <row r="4353" spans="55:66" x14ac:dyDescent="0.2">
      <c r="BC4353" s="21" t="e" vm="1">
        <v>#REF!</v>
      </c>
      <c r="BD4353" t="e" vm="1">
        <v>#REF!</v>
      </c>
      <c r="BF4353" t="e" vm="2">
        <f t="shared" si="350"/>
        <v>#VALUE!</v>
      </c>
      <c r="BG4353" t="e" vm="2">
        <f t="shared" si="351"/>
        <v>#VALUE!</v>
      </c>
      <c r="BM4353">
        <f t="shared" si="352"/>
        <v>1</v>
      </c>
      <c r="BN4353">
        <f t="shared" si="353"/>
        <v>1900</v>
      </c>
    </row>
    <row r="4354" spans="55:66" x14ac:dyDescent="0.2">
      <c r="BC4354" s="21" t="e" vm="1">
        <v>#REF!</v>
      </c>
      <c r="BD4354" t="e" vm="1">
        <v>#REF!</v>
      </c>
      <c r="BF4354" t="e" vm="2">
        <f t="shared" si="350"/>
        <v>#VALUE!</v>
      </c>
      <c r="BG4354" t="e" vm="2">
        <f t="shared" si="351"/>
        <v>#VALUE!</v>
      </c>
      <c r="BM4354">
        <f t="shared" si="352"/>
        <v>1</v>
      </c>
      <c r="BN4354">
        <f t="shared" si="353"/>
        <v>1900</v>
      </c>
    </row>
    <row r="4355" spans="55:66" x14ac:dyDescent="0.2">
      <c r="BC4355" s="21" t="e" vm="1">
        <v>#REF!</v>
      </c>
      <c r="BD4355" t="e" vm="1">
        <v>#REF!</v>
      </c>
      <c r="BF4355" t="e" vm="2">
        <f t="shared" ref="BF4355:BF4418" si="354">MONTH(BC4355)</f>
        <v>#VALUE!</v>
      </c>
      <c r="BG4355" t="e" vm="2">
        <f t="shared" ref="BG4355:BG4418" si="355">YEAR(BC4355)</f>
        <v>#VALUE!</v>
      </c>
      <c r="BM4355">
        <f t="shared" si="352"/>
        <v>1</v>
      </c>
      <c r="BN4355">
        <f t="shared" si="353"/>
        <v>1900</v>
      </c>
    </row>
    <row r="4356" spans="55:66" x14ac:dyDescent="0.2">
      <c r="BC4356" s="21" t="e" vm="1">
        <v>#REF!</v>
      </c>
      <c r="BD4356" t="e" vm="1">
        <v>#REF!</v>
      </c>
      <c r="BF4356" t="e" vm="2">
        <f t="shared" si="354"/>
        <v>#VALUE!</v>
      </c>
      <c r="BG4356" t="e" vm="2">
        <f t="shared" si="355"/>
        <v>#VALUE!</v>
      </c>
      <c r="BM4356">
        <f t="shared" ref="BM4356:BM4419" si="356">MONTH(BJ4356)</f>
        <v>1</v>
      </c>
      <c r="BN4356">
        <f t="shared" ref="BN4356:BN4419" si="357">YEAR(BJ4356)</f>
        <v>1900</v>
      </c>
    </row>
    <row r="4357" spans="55:66" x14ac:dyDescent="0.2">
      <c r="BC4357" s="21" t="e" vm="1">
        <v>#REF!</v>
      </c>
      <c r="BD4357" t="e" vm="1">
        <v>#REF!</v>
      </c>
      <c r="BF4357" t="e" vm="2">
        <f t="shared" si="354"/>
        <v>#VALUE!</v>
      </c>
      <c r="BG4357" t="e" vm="2">
        <f t="shared" si="355"/>
        <v>#VALUE!</v>
      </c>
      <c r="BM4357">
        <f t="shared" si="356"/>
        <v>1</v>
      </c>
      <c r="BN4357">
        <f t="shared" si="357"/>
        <v>1900</v>
      </c>
    </row>
    <row r="4358" spans="55:66" x14ac:dyDescent="0.2">
      <c r="BC4358" s="21" t="e" vm="1">
        <v>#REF!</v>
      </c>
      <c r="BD4358" t="e" vm="1">
        <v>#REF!</v>
      </c>
      <c r="BF4358" t="e" vm="2">
        <f t="shared" si="354"/>
        <v>#VALUE!</v>
      </c>
      <c r="BG4358" t="e" vm="2">
        <f t="shared" si="355"/>
        <v>#VALUE!</v>
      </c>
      <c r="BM4358">
        <f t="shared" si="356"/>
        <v>1</v>
      </c>
      <c r="BN4358">
        <f t="shared" si="357"/>
        <v>1900</v>
      </c>
    </row>
    <row r="4359" spans="55:66" x14ac:dyDescent="0.2">
      <c r="BC4359" s="21" t="e" vm="1">
        <v>#REF!</v>
      </c>
      <c r="BD4359" t="e" vm="1">
        <v>#REF!</v>
      </c>
      <c r="BF4359" t="e" vm="2">
        <f t="shared" si="354"/>
        <v>#VALUE!</v>
      </c>
      <c r="BG4359" t="e" vm="2">
        <f t="shared" si="355"/>
        <v>#VALUE!</v>
      </c>
      <c r="BM4359">
        <f t="shared" si="356"/>
        <v>1</v>
      </c>
      <c r="BN4359">
        <f t="shared" si="357"/>
        <v>1900</v>
      </c>
    </row>
    <row r="4360" spans="55:66" x14ac:dyDescent="0.2">
      <c r="BC4360" s="21" t="e" vm="1">
        <v>#REF!</v>
      </c>
      <c r="BD4360" t="e" vm="1">
        <v>#REF!</v>
      </c>
      <c r="BF4360" t="e" vm="2">
        <f t="shared" si="354"/>
        <v>#VALUE!</v>
      </c>
      <c r="BG4360" t="e" vm="2">
        <f t="shared" si="355"/>
        <v>#VALUE!</v>
      </c>
      <c r="BM4360">
        <f t="shared" si="356"/>
        <v>1</v>
      </c>
      <c r="BN4360">
        <f t="shared" si="357"/>
        <v>1900</v>
      </c>
    </row>
    <row r="4361" spans="55:66" x14ac:dyDescent="0.2">
      <c r="BC4361" s="21" t="e" vm="1">
        <v>#REF!</v>
      </c>
      <c r="BD4361" t="e" vm="1">
        <v>#REF!</v>
      </c>
      <c r="BF4361" t="e" vm="2">
        <f t="shared" si="354"/>
        <v>#VALUE!</v>
      </c>
      <c r="BG4361" t="e" vm="2">
        <f t="shared" si="355"/>
        <v>#VALUE!</v>
      </c>
      <c r="BM4361">
        <f t="shared" si="356"/>
        <v>1</v>
      </c>
      <c r="BN4361">
        <f t="shared" si="357"/>
        <v>1900</v>
      </c>
    </row>
    <row r="4362" spans="55:66" x14ac:dyDescent="0.2">
      <c r="BC4362" s="21" t="e" vm="1">
        <v>#REF!</v>
      </c>
      <c r="BD4362" t="e" vm="1">
        <v>#REF!</v>
      </c>
      <c r="BF4362" t="e" vm="2">
        <f t="shared" si="354"/>
        <v>#VALUE!</v>
      </c>
      <c r="BG4362" t="e" vm="2">
        <f t="shared" si="355"/>
        <v>#VALUE!</v>
      </c>
      <c r="BM4362">
        <f t="shared" si="356"/>
        <v>1</v>
      </c>
      <c r="BN4362">
        <f t="shared" si="357"/>
        <v>1900</v>
      </c>
    </row>
    <row r="4363" spans="55:66" x14ac:dyDescent="0.2">
      <c r="BC4363" s="21" t="e" vm="1">
        <v>#REF!</v>
      </c>
      <c r="BD4363" t="e" vm="1">
        <v>#REF!</v>
      </c>
      <c r="BF4363" t="e" vm="2">
        <f t="shared" si="354"/>
        <v>#VALUE!</v>
      </c>
      <c r="BG4363" t="e" vm="2">
        <f t="shared" si="355"/>
        <v>#VALUE!</v>
      </c>
      <c r="BM4363">
        <f t="shared" si="356"/>
        <v>1</v>
      </c>
      <c r="BN4363">
        <f t="shared" si="357"/>
        <v>1900</v>
      </c>
    </row>
    <row r="4364" spans="55:66" x14ac:dyDescent="0.2">
      <c r="BC4364" s="21" t="e" vm="1">
        <v>#REF!</v>
      </c>
      <c r="BD4364" t="e" vm="1">
        <v>#REF!</v>
      </c>
      <c r="BF4364" t="e" vm="2">
        <f t="shared" si="354"/>
        <v>#VALUE!</v>
      </c>
      <c r="BG4364" t="e" vm="2">
        <f t="shared" si="355"/>
        <v>#VALUE!</v>
      </c>
      <c r="BM4364">
        <f t="shared" si="356"/>
        <v>1</v>
      </c>
      <c r="BN4364">
        <f t="shared" si="357"/>
        <v>1900</v>
      </c>
    </row>
    <row r="4365" spans="55:66" x14ac:dyDescent="0.2">
      <c r="BC4365" s="21" t="e" vm="1">
        <v>#REF!</v>
      </c>
      <c r="BD4365" t="e" vm="1">
        <v>#REF!</v>
      </c>
      <c r="BF4365" t="e" vm="2">
        <f t="shared" si="354"/>
        <v>#VALUE!</v>
      </c>
      <c r="BG4365" t="e" vm="2">
        <f t="shared" si="355"/>
        <v>#VALUE!</v>
      </c>
      <c r="BM4365">
        <f t="shared" si="356"/>
        <v>1</v>
      </c>
      <c r="BN4365">
        <f t="shared" si="357"/>
        <v>1900</v>
      </c>
    </row>
    <row r="4366" spans="55:66" x14ac:dyDescent="0.2">
      <c r="BC4366" s="21" t="e" vm="1">
        <v>#REF!</v>
      </c>
      <c r="BD4366" t="e" vm="1">
        <v>#REF!</v>
      </c>
      <c r="BF4366" t="e" vm="2">
        <f t="shared" si="354"/>
        <v>#VALUE!</v>
      </c>
      <c r="BG4366" t="e" vm="2">
        <f t="shared" si="355"/>
        <v>#VALUE!</v>
      </c>
      <c r="BM4366">
        <f t="shared" si="356"/>
        <v>1</v>
      </c>
      <c r="BN4366">
        <f t="shared" si="357"/>
        <v>1900</v>
      </c>
    </row>
    <row r="4367" spans="55:66" x14ac:dyDescent="0.2">
      <c r="BC4367" s="21" t="e" vm="1">
        <v>#REF!</v>
      </c>
      <c r="BD4367" t="e" vm="1">
        <v>#REF!</v>
      </c>
      <c r="BF4367" t="e" vm="2">
        <f t="shared" si="354"/>
        <v>#VALUE!</v>
      </c>
      <c r="BG4367" t="e" vm="2">
        <f t="shared" si="355"/>
        <v>#VALUE!</v>
      </c>
      <c r="BM4367">
        <f t="shared" si="356"/>
        <v>1</v>
      </c>
      <c r="BN4367">
        <f t="shared" si="357"/>
        <v>1900</v>
      </c>
    </row>
    <row r="4368" spans="55:66" x14ac:dyDescent="0.2">
      <c r="BC4368" s="21" t="e" vm="1">
        <v>#REF!</v>
      </c>
      <c r="BD4368" t="e" vm="1">
        <v>#REF!</v>
      </c>
      <c r="BF4368" t="e" vm="2">
        <f t="shared" si="354"/>
        <v>#VALUE!</v>
      </c>
      <c r="BG4368" t="e" vm="2">
        <f t="shared" si="355"/>
        <v>#VALUE!</v>
      </c>
      <c r="BM4368">
        <f t="shared" si="356"/>
        <v>1</v>
      </c>
      <c r="BN4368">
        <f t="shared" si="357"/>
        <v>1900</v>
      </c>
    </row>
    <row r="4369" spans="55:66" x14ac:dyDescent="0.2">
      <c r="BC4369" s="21" t="e" vm="1">
        <v>#REF!</v>
      </c>
      <c r="BD4369" t="e" vm="1">
        <v>#REF!</v>
      </c>
      <c r="BF4369" t="e" vm="2">
        <f t="shared" si="354"/>
        <v>#VALUE!</v>
      </c>
      <c r="BG4369" t="e" vm="2">
        <f t="shared" si="355"/>
        <v>#VALUE!</v>
      </c>
      <c r="BM4369">
        <f t="shared" si="356"/>
        <v>1</v>
      </c>
      <c r="BN4369">
        <f t="shared" si="357"/>
        <v>1900</v>
      </c>
    </row>
    <row r="4370" spans="55:66" x14ac:dyDescent="0.2">
      <c r="BC4370" s="21" t="e" vm="1">
        <v>#REF!</v>
      </c>
      <c r="BD4370" t="e" vm="1">
        <v>#REF!</v>
      </c>
      <c r="BF4370" t="e" vm="2">
        <f t="shared" si="354"/>
        <v>#VALUE!</v>
      </c>
      <c r="BG4370" t="e" vm="2">
        <f t="shared" si="355"/>
        <v>#VALUE!</v>
      </c>
      <c r="BM4370">
        <f t="shared" si="356"/>
        <v>1</v>
      </c>
      <c r="BN4370">
        <f t="shared" si="357"/>
        <v>1900</v>
      </c>
    </row>
    <row r="4371" spans="55:66" x14ac:dyDescent="0.2">
      <c r="BC4371" s="21" t="e" vm="1">
        <v>#REF!</v>
      </c>
      <c r="BD4371" t="e" vm="1">
        <v>#REF!</v>
      </c>
      <c r="BF4371" t="e" vm="2">
        <f t="shared" si="354"/>
        <v>#VALUE!</v>
      </c>
      <c r="BG4371" t="e" vm="2">
        <f t="shared" si="355"/>
        <v>#VALUE!</v>
      </c>
      <c r="BM4371">
        <f t="shared" si="356"/>
        <v>1</v>
      </c>
      <c r="BN4371">
        <f t="shared" si="357"/>
        <v>1900</v>
      </c>
    </row>
    <row r="4372" spans="55:66" x14ac:dyDescent="0.2">
      <c r="BC4372" s="21" t="e" vm="1">
        <v>#REF!</v>
      </c>
      <c r="BD4372" t="e" vm="1">
        <v>#REF!</v>
      </c>
      <c r="BF4372" t="e" vm="2">
        <f t="shared" si="354"/>
        <v>#VALUE!</v>
      </c>
      <c r="BG4372" t="e" vm="2">
        <f t="shared" si="355"/>
        <v>#VALUE!</v>
      </c>
      <c r="BM4372">
        <f t="shared" si="356"/>
        <v>1</v>
      </c>
      <c r="BN4372">
        <f t="shared" si="357"/>
        <v>1900</v>
      </c>
    </row>
    <row r="4373" spans="55:66" x14ac:dyDescent="0.2">
      <c r="BC4373" s="21" t="e" vm="1">
        <v>#REF!</v>
      </c>
      <c r="BD4373" t="e" vm="1">
        <v>#REF!</v>
      </c>
      <c r="BF4373" t="e" vm="2">
        <f t="shared" si="354"/>
        <v>#VALUE!</v>
      </c>
      <c r="BG4373" t="e" vm="2">
        <f t="shared" si="355"/>
        <v>#VALUE!</v>
      </c>
      <c r="BM4373">
        <f t="shared" si="356"/>
        <v>1</v>
      </c>
      <c r="BN4373">
        <f t="shared" si="357"/>
        <v>1900</v>
      </c>
    </row>
    <row r="4374" spans="55:66" x14ac:dyDescent="0.2">
      <c r="BC4374" s="21" t="e" vm="1">
        <v>#REF!</v>
      </c>
      <c r="BD4374" t="e" vm="1">
        <v>#REF!</v>
      </c>
      <c r="BF4374" t="e" vm="2">
        <f t="shared" si="354"/>
        <v>#VALUE!</v>
      </c>
      <c r="BG4374" t="e" vm="2">
        <f t="shared" si="355"/>
        <v>#VALUE!</v>
      </c>
      <c r="BM4374">
        <f t="shared" si="356"/>
        <v>1</v>
      </c>
      <c r="BN4374">
        <f t="shared" si="357"/>
        <v>1900</v>
      </c>
    </row>
    <row r="4375" spans="55:66" x14ac:dyDescent="0.2">
      <c r="BC4375" s="21" t="e" vm="1">
        <v>#REF!</v>
      </c>
      <c r="BD4375" t="e" vm="1">
        <v>#REF!</v>
      </c>
      <c r="BF4375" t="e" vm="2">
        <f t="shared" si="354"/>
        <v>#VALUE!</v>
      </c>
      <c r="BG4375" t="e" vm="2">
        <f t="shared" si="355"/>
        <v>#VALUE!</v>
      </c>
      <c r="BM4375">
        <f t="shared" si="356"/>
        <v>1</v>
      </c>
      <c r="BN4375">
        <f t="shared" si="357"/>
        <v>1900</v>
      </c>
    </row>
    <row r="4376" spans="55:66" x14ac:dyDescent="0.2">
      <c r="BC4376" s="21" t="e" vm="1">
        <v>#REF!</v>
      </c>
      <c r="BD4376" t="e" vm="1">
        <v>#REF!</v>
      </c>
      <c r="BF4376" t="e" vm="2">
        <f t="shared" si="354"/>
        <v>#VALUE!</v>
      </c>
      <c r="BG4376" t="e" vm="2">
        <f t="shared" si="355"/>
        <v>#VALUE!</v>
      </c>
      <c r="BM4376">
        <f t="shared" si="356"/>
        <v>1</v>
      </c>
      <c r="BN4376">
        <f t="shared" si="357"/>
        <v>1900</v>
      </c>
    </row>
    <row r="4377" spans="55:66" x14ac:dyDescent="0.2">
      <c r="BC4377" s="21" t="e" vm="1">
        <v>#REF!</v>
      </c>
      <c r="BD4377" t="e" vm="1">
        <v>#REF!</v>
      </c>
      <c r="BF4377" t="e" vm="2">
        <f t="shared" si="354"/>
        <v>#VALUE!</v>
      </c>
      <c r="BG4377" t="e" vm="2">
        <f t="shared" si="355"/>
        <v>#VALUE!</v>
      </c>
      <c r="BM4377">
        <f t="shared" si="356"/>
        <v>1</v>
      </c>
      <c r="BN4377">
        <f t="shared" si="357"/>
        <v>1900</v>
      </c>
    </row>
    <row r="4378" spans="55:66" x14ac:dyDescent="0.2">
      <c r="BC4378" s="21" t="e" vm="1">
        <v>#REF!</v>
      </c>
      <c r="BD4378" t="e" vm="1">
        <v>#REF!</v>
      </c>
      <c r="BF4378" t="e" vm="2">
        <f t="shared" si="354"/>
        <v>#VALUE!</v>
      </c>
      <c r="BG4378" t="e" vm="2">
        <f t="shared" si="355"/>
        <v>#VALUE!</v>
      </c>
      <c r="BM4378">
        <f t="shared" si="356"/>
        <v>1</v>
      </c>
      <c r="BN4378">
        <f t="shared" si="357"/>
        <v>1900</v>
      </c>
    </row>
    <row r="4379" spans="55:66" x14ac:dyDescent="0.2">
      <c r="BC4379" s="21" t="e" vm="1">
        <v>#REF!</v>
      </c>
      <c r="BD4379" t="e" vm="1">
        <v>#REF!</v>
      </c>
      <c r="BF4379" t="e" vm="2">
        <f t="shared" si="354"/>
        <v>#VALUE!</v>
      </c>
      <c r="BG4379" t="e" vm="2">
        <f t="shared" si="355"/>
        <v>#VALUE!</v>
      </c>
      <c r="BM4379">
        <f t="shared" si="356"/>
        <v>1</v>
      </c>
      <c r="BN4379">
        <f t="shared" si="357"/>
        <v>1900</v>
      </c>
    </row>
    <row r="4380" spans="55:66" x14ac:dyDescent="0.2">
      <c r="BC4380" s="21" t="e" vm="1">
        <v>#REF!</v>
      </c>
      <c r="BD4380" t="e" vm="1">
        <v>#REF!</v>
      </c>
      <c r="BF4380" t="e" vm="2">
        <f t="shared" si="354"/>
        <v>#VALUE!</v>
      </c>
      <c r="BG4380" t="e" vm="2">
        <f t="shared" si="355"/>
        <v>#VALUE!</v>
      </c>
      <c r="BM4380">
        <f t="shared" si="356"/>
        <v>1</v>
      </c>
      <c r="BN4380">
        <f t="shared" si="357"/>
        <v>1900</v>
      </c>
    </row>
    <row r="4381" spans="55:66" x14ac:dyDescent="0.2">
      <c r="BC4381" s="21" t="e" vm="1">
        <v>#REF!</v>
      </c>
      <c r="BD4381" t="e" vm="1">
        <v>#REF!</v>
      </c>
      <c r="BF4381" t="e" vm="2">
        <f t="shared" si="354"/>
        <v>#VALUE!</v>
      </c>
      <c r="BG4381" t="e" vm="2">
        <f t="shared" si="355"/>
        <v>#VALUE!</v>
      </c>
      <c r="BM4381">
        <f t="shared" si="356"/>
        <v>1</v>
      </c>
      <c r="BN4381">
        <f t="shared" si="357"/>
        <v>1900</v>
      </c>
    </row>
    <row r="4382" spans="55:66" x14ac:dyDescent="0.2">
      <c r="BC4382" s="21" t="e" vm="1">
        <v>#REF!</v>
      </c>
      <c r="BD4382" t="e" vm="1">
        <v>#REF!</v>
      </c>
      <c r="BF4382" t="e" vm="2">
        <f t="shared" si="354"/>
        <v>#VALUE!</v>
      </c>
      <c r="BG4382" t="e" vm="2">
        <f t="shared" si="355"/>
        <v>#VALUE!</v>
      </c>
      <c r="BM4382">
        <f t="shared" si="356"/>
        <v>1</v>
      </c>
      <c r="BN4382">
        <f t="shared" si="357"/>
        <v>1900</v>
      </c>
    </row>
    <row r="4383" spans="55:66" x14ac:dyDescent="0.2">
      <c r="BC4383" s="21" t="e" vm="1">
        <v>#REF!</v>
      </c>
      <c r="BD4383" t="e" vm="1">
        <v>#REF!</v>
      </c>
      <c r="BF4383" t="e" vm="2">
        <f t="shared" si="354"/>
        <v>#VALUE!</v>
      </c>
      <c r="BG4383" t="e" vm="2">
        <f t="shared" si="355"/>
        <v>#VALUE!</v>
      </c>
      <c r="BM4383">
        <f t="shared" si="356"/>
        <v>1</v>
      </c>
      <c r="BN4383">
        <f t="shared" si="357"/>
        <v>1900</v>
      </c>
    </row>
    <row r="4384" spans="55:66" x14ac:dyDescent="0.2">
      <c r="BC4384" s="21" t="e" vm="1">
        <v>#REF!</v>
      </c>
      <c r="BD4384" t="e" vm="1">
        <v>#REF!</v>
      </c>
      <c r="BF4384" t="e" vm="2">
        <f t="shared" si="354"/>
        <v>#VALUE!</v>
      </c>
      <c r="BG4384" t="e" vm="2">
        <f t="shared" si="355"/>
        <v>#VALUE!</v>
      </c>
      <c r="BM4384">
        <f t="shared" si="356"/>
        <v>1</v>
      </c>
      <c r="BN4384">
        <f t="shared" si="357"/>
        <v>1900</v>
      </c>
    </row>
    <row r="4385" spans="55:66" x14ac:dyDescent="0.2">
      <c r="BC4385" s="21" t="e" vm="1">
        <v>#REF!</v>
      </c>
      <c r="BD4385" t="e" vm="1">
        <v>#REF!</v>
      </c>
      <c r="BF4385" t="e" vm="2">
        <f t="shared" si="354"/>
        <v>#VALUE!</v>
      </c>
      <c r="BG4385" t="e" vm="2">
        <f t="shared" si="355"/>
        <v>#VALUE!</v>
      </c>
      <c r="BM4385">
        <f t="shared" si="356"/>
        <v>1</v>
      </c>
      <c r="BN4385">
        <f t="shared" si="357"/>
        <v>1900</v>
      </c>
    </row>
    <row r="4386" spans="55:66" x14ac:dyDescent="0.2">
      <c r="BC4386" s="21" t="e" vm="1">
        <v>#REF!</v>
      </c>
      <c r="BD4386" t="e" vm="1">
        <v>#REF!</v>
      </c>
      <c r="BF4386" t="e" vm="2">
        <f t="shared" si="354"/>
        <v>#VALUE!</v>
      </c>
      <c r="BG4386" t="e" vm="2">
        <f t="shared" si="355"/>
        <v>#VALUE!</v>
      </c>
      <c r="BM4386">
        <f t="shared" si="356"/>
        <v>1</v>
      </c>
      <c r="BN4386">
        <f t="shared" si="357"/>
        <v>1900</v>
      </c>
    </row>
    <row r="4387" spans="55:66" x14ac:dyDescent="0.2">
      <c r="BC4387" s="21" t="e" vm="1">
        <v>#REF!</v>
      </c>
      <c r="BD4387" t="e" vm="1">
        <v>#REF!</v>
      </c>
      <c r="BF4387" t="e" vm="2">
        <f t="shared" si="354"/>
        <v>#VALUE!</v>
      </c>
      <c r="BG4387" t="e" vm="2">
        <f t="shared" si="355"/>
        <v>#VALUE!</v>
      </c>
      <c r="BM4387">
        <f t="shared" si="356"/>
        <v>1</v>
      </c>
      <c r="BN4387">
        <f t="shared" si="357"/>
        <v>1900</v>
      </c>
    </row>
    <row r="4388" spans="55:66" x14ac:dyDescent="0.2">
      <c r="BC4388" s="21" t="e" vm="1">
        <v>#REF!</v>
      </c>
      <c r="BD4388" t="e" vm="1">
        <v>#REF!</v>
      </c>
      <c r="BF4388" t="e" vm="2">
        <f t="shared" si="354"/>
        <v>#VALUE!</v>
      </c>
      <c r="BG4388" t="e" vm="2">
        <f t="shared" si="355"/>
        <v>#VALUE!</v>
      </c>
      <c r="BM4388">
        <f t="shared" si="356"/>
        <v>1</v>
      </c>
      <c r="BN4388">
        <f t="shared" si="357"/>
        <v>1900</v>
      </c>
    </row>
    <row r="4389" spans="55:66" x14ac:dyDescent="0.2">
      <c r="BC4389" s="21" t="e" vm="1">
        <v>#REF!</v>
      </c>
      <c r="BD4389" t="e" vm="1">
        <v>#REF!</v>
      </c>
      <c r="BF4389" t="e" vm="2">
        <f t="shared" si="354"/>
        <v>#VALUE!</v>
      </c>
      <c r="BG4389" t="e" vm="2">
        <f t="shared" si="355"/>
        <v>#VALUE!</v>
      </c>
      <c r="BM4389">
        <f t="shared" si="356"/>
        <v>1</v>
      </c>
      <c r="BN4389">
        <f t="shared" si="357"/>
        <v>1900</v>
      </c>
    </row>
    <row r="4390" spans="55:66" x14ac:dyDescent="0.2">
      <c r="BC4390" s="21" t="e" vm="1">
        <v>#REF!</v>
      </c>
      <c r="BD4390" t="e" vm="1">
        <v>#REF!</v>
      </c>
      <c r="BF4390" t="e" vm="2">
        <f t="shared" si="354"/>
        <v>#VALUE!</v>
      </c>
      <c r="BG4390" t="e" vm="2">
        <f t="shared" si="355"/>
        <v>#VALUE!</v>
      </c>
      <c r="BM4390">
        <f t="shared" si="356"/>
        <v>1</v>
      </c>
      <c r="BN4390">
        <f t="shared" si="357"/>
        <v>1900</v>
      </c>
    </row>
    <row r="4391" spans="55:66" x14ac:dyDescent="0.2">
      <c r="BC4391" s="21" t="e" vm="1">
        <v>#REF!</v>
      </c>
      <c r="BD4391" t="e" vm="1">
        <v>#REF!</v>
      </c>
      <c r="BF4391" t="e" vm="2">
        <f t="shared" si="354"/>
        <v>#VALUE!</v>
      </c>
      <c r="BG4391" t="e" vm="2">
        <f t="shared" si="355"/>
        <v>#VALUE!</v>
      </c>
      <c r="BM4391">
        <f t="shared" si="356"/>
        <v>1</v>
      </c>
      <c r="BN4391">
        <f t="shared" si="357"/>
        <v>1900</v>
      </c>
    </row>
    <row r="4392" spans="55:66" x14ac:dyDescent="0.2">
      <c r="BC4392" s="21" t="e" vm="1">
        <v>#REF!</v>
      </c>
      <c r="BD4392" t="e" vm="1">
        <v>#REF!</v>
      </c>
      <c r="BF4392" t="e" vm="2">
        <f t="shared" si="354"/>
        <v>#VALUE!</v>
      </c>
      <c r="BG4392" t="e" vm="2">
        <f t="shared" si="355"/>
        <v>#VALUE!</v>
      </c>
      <c r="BM4392">
        <f t="shared" si="356"/>
        <v>1</v>
      </c>
      <c r="BN4392">
        <f t="shared" si="357"/>
        <v>1900</v>
      </c>
    </row>
    <row r="4393" spans="55:66" x14ac:dyDescent="0.2">
      <c r="BC4393" s="21" t="e" vm="1">
        <v>#REF!</v>
      </c>
      <c r="BD4393" t="e" vm="1">
        <v>#REF!</v>
      </c>
      <c r="BF4393" t="e" vm="2">
        <f t="shared" si="354"/>
        <v>#VALUE!</v>
      </c>
      <c r="BG4393" t="e" vm="2">
        <f t="shared" si="355"/>
        <v>#VALUE!</v>
      </c>
      <c r="BM4393">
        <f t="shared" si="356"/>
        <v>1</v>
      </c>
      <c r="BN4393">
        <f t="shared" si="357"/>
        <v>1900</v>
      </c>
    </row>
    <row r="4394" spans="55:66" x14ac:dyDescent="0.2">
      <c r="BC4394" s="21" t="e" vm="1">
        <v>#REF!</v>
      </c>
      <c r="BD4394" t="e" vm="1">
        <v>#REF!</v>
      </c>
      <c r="BF4394" t="e" vm="2">
        <f t="shared" si="354"/>
        <v>#VALUE!</v>
      </c>
      <c r="BG4394" t="e" vm="2">
        <f t="shared" si="355"/>
        <v>#VALUE!</v>
      </c>
      <c r="BM4394">
        <f t="shared" si="356"/>
        <v>1</v>
      </c>
      <c r="BN4394">
        <f t="shared" si="357"/>
        <v>1900</v>
      </c>
    </row>
    <row r="4395" spans="55:66" x14ac:dyDescent="0.2">
      <c r="BC4395" s="21" t="e" vm="1">
        <v>#REF!</v>
      </c>
      <c r="BD4395" t="e" vm="1">
        <v>#REF!</v>
      </c>
      <c r="BF4395" t="e" vm="2">
        <f t="shared" si="354"/>
        <v>#VALUE!</v>
      </c>
      <c r="BG4395" t="e" vm="2">
        <f t="shared" si="355"/>
        <v>#VALUE!</v>
      </c>
      <c r="BM4395">
        <f t="shared" si="356"/>
        <v>1</v>
      </c>
      <c r="BN4395">
        <f t="shared" si="357"/>
        <v>1900</v>
      </c>
    </row>
    <row r="4396" spans="55:66" x14ac:dyDescent="0.2">
      <c r="BC4396" s="21" t="e" vm="1">
        <v>#REF!</v>
      </c>
      <c r="BD4396" t="e" vm="1">
        <v>#REF!</v>
      </c>
      <c r="BF4396" t="e" vm="2">
        <f t="shared" si="354"/>
        <v>#VALUE!</v>
      </c>
      <c r="BG4396" t="e" vm="2">
        <f t="shared" si="355"/>
        <v>#VALUE!</v>
      </c>
      <c r="BM4396">
        <f t="shared" si="356"/>
        <v>1</v>
      </c>
      <c r="BN4396">
        <f t="shared" si="357"/>
        <v>1900</v>
      </c>
    </row>
    <row r="4397" spans="55:66" x14ac:dyDescent="0.2">
      <c r="BC4397" s="21" t="e" vm="1">
        <v>#REF!</v>
      </c>
      <c r="BD4397" t="e" vm="1">
        <v>#REF!</v>
      </c>
      <c r="BF4397" t="e" vm="2">
        <f t="shared" si="354"/>
        <v>#VALUE!</v>
      </c>
      <c r="BG4397" t="e" vm="2">
        <f t="shared" si="355"/>
        <v>#VALUE!</v>
      </c>
      <c r="BM4397">
        <f t="shared" si="356"/>
        <v>1</v>
      </c>
      <c r="BN4397">
        <f t="shared" si="357"/>
        <v>1900</v>
      </c>
    </row>
    <row r="4398" spans="55:66" x14ac:dyDescent="0.2">
      <c r="BC4398" s="21" t="e" vm="1">
        <v>#REF!</v>
      </c>
      <c r="BD4398" t="e" vm="1">
        <v>#REF!</v>
      </c>
      <c r="BF4398" t="e" vm="2">
        <f t="shared" si="354"/>
        <v>#VALUE!</v>
      </c>
      <c r="BG4398" t="e" vm="2">
        <f t="shared" si="355"/>
        <v>#VALUE!</v>
      </c>
      <c r="BM4398">
        <f t="shared" si="356"/>
        <v>1</v>
      </c>
      <c r="BN4398">
        <f t="shared" si="357"/>
        <v>1900</v>
      </c>
    </row>
    <row r="4399" spans="55:66" x14ac:dyDescent="0.2">
      <c r="BC4399" s="21" t="e" vm="1">
        <v>#REF!</v>
      </c>
      <c r="BD4399" t="e" vm="1">
        <v>#REF!</v>
      </c>
      <c r="BF4399" t="e" vm="2">
        <f t="shared" si="354"/>
        <v>#VALUE!</v>
      </c>
      <c r="BG4399" t="e" vm="2">
        <f t="shared" si="355"/>
        <v>#VALUE!</v>
      </c>
      <c r="BM4399">
        <f t="shared" si="356"/>
        <v>1</v>
      </c>
      <c r="BN4399">
        <f t="shared" si="357"/>
        <v>1900</v>
      </c>
    </row>
    <row r="4400" spans="55:66" x14ac:dyDescent="0.2">
      <c r="BC4400" s="21" t="e" vm="1">
        <v>#REF!</v>
      </c>
      <c r="BD4400" t="e" vm="1">
        <v>#REF!</v>
      </c>
      <c r="BF4400" t="e" vm="2">
        <f t="shared" si="354"/>
        <v>#VALUE!</v>
      </c>
      <c r="BG4400" t="e" vm="2">
        <f t="shared" si="355"/>
        <v>#VALUE!</v>
      </c>
      <c r="BM4400">
        <f t="shared" si="356"/>
        <v>1</v>
      </c>
      <c r="BN4400">
        <f t="shared" si="357"/>
        <v>1900</v>
      </c>
    </row>
    <row r="4401" spans="55:66" x14ac:dyDescent="0.2">
      <c r="BC4401" s="21" t="e" vm="1">
        <v>#REF!</v>
      </c>
      <c r="BD4401" t="e" vm="1">
        <v>#REF!</v>
      </c>
      <c r="BF4401" t="e" vm="2">
        <f t="shared" si="354"/>
        <v>#VALUE!</v>
      </c>
      <c r="BG4401" t="e" vm="2">
        <f t="shared" si="355"/>
        <v>#VALUE!</v>
      </c>
      <c r="BM4401">
        <f t="shared" si="356"/>
        <v>1</v>
      </c>
      <c r="BN4401">
        <f t="shared" si="357"/>
        <v>1900</v>
      </c>
    </row>
    <row r="4402" spans="55:66" x14ac:dyDescent="0.2">
      <c r="BC4402" s="21" t="e" vm="1">
        <v>#REF!</v>
      </c>
      <c r="BD4402" t="e" vm="1">
        <v>#REF!</v>
      </c>
      <c r="BF4402" t="e" vm="2">
        <f t="shared" si="354"/>
        <v>#VALUE!</v>
      </c>
      <c r="BG4402" t="e" vm="2">
        <f t="shared" si="355"/>
        <v>#VALUE!</v>
      </c>
      <c r="BM4402">
        <f t="shared" si="356"/>
        <v>1</v>
      </c>
      <c r="BN4402">
        <f t="shared" si="357"/>
        <v>1900</v>
      </c>
    </row>
    <row r="4403" spans="55:66" x14ac:dyDescent="0.2">
      <c r="BC4403" s="21" t="e" vm="1">
        <v>#REF!</v>
      </c>
      <c r="BD4403" t="e" vm="1">
        <v>#REF!</v>
      </c>
      <c r="BF4403" t="e" vm="2">
        <f t="shared" si="354"/>
        <v>#VALUE!</v>
      </c>
      <c r="BG4403" t="e" vm="2">
        <f t="shared" si="355"/>
        <v>#VALUE!</v>
      </c>
      <c r="BM4403">
        <f t="shared" si="356"/>
        <v>1</v>
      </c>
      <c r="BN4403">
        <f t="shared" si="357"/>
        <v>1900</v>
      </c>
    </row>
    <row r="4404" spans="55:66" x14ac:dyDescent="0.2">
      <c r="BC4404" s="21" t="e" vm="1">
        <v>#REF!</v>
      </c>
      <c r="BD4404" t="e" vm="1">
        <v>#REF!</v>
      </c>
      <c r="BF4404" t="e" vm="2">
        <f t="shared" si="354"/>
        <v>#VALUE!</v>
      </c>
      <c r="BG4404" t="e" vm="2">
        <f t="shared" si="355"/>
        <v>#VALUE!</v>
      </c>
      <c r="BM4404">
        <f t="shared" si="356"/>
        <v>1</v>
      </c>
      <c r="BN4404">
        <f t="shared" si="357"/>
        <v>1900</v>
      </c>
    </row>
    <row r="4405" spans="55:66" x14ac:dyDescent="0.2">
      <c r="BC4405" s="21" t="e" vm="1">
        <v>#REF!</v>
      </c>
      <c r="BD4405" t="e" vm="1">
        <v>#REF!</v>
      </c>
      <c r="BF4405" t="e" vm="2">
        <f t="shared" si="354"/>
        <v>#VALUE!</v>
      </c>
      <c r="BG4405" t="e" vm="2">
        <f t="shared" si="355"/>
        <v>#VALUE!</v>
      </c>
      <c r="BM4405">
        <f t="shared" si="356"/>
        <v>1</v>
      </c>
      <c r="BN4405">
        <f t="shared" si="357"/>
        <v>1900</v>
      </c>
    </row>
    <row r="4406" spans="55:66" x14ac:dyDescent="0.2">
      <c r="BC4406" s="21" t="e" vm="1">
        <v>#REF!</v>
      </c>
      <c r="BD4406" t="e" vm="1">
        <v>#REF!</v>
      </c>
      <c r="BF4406" t="e" vm="2">
        <f t="shared" si="354"/>
        <v>#VALUE!</v>
      </c>
      <c r="BG4406" t="e" vm="2">
        <f t="shared" si="355"/>
        <v>#VALUE!</v>
      </c>
      <c r="BM4406">
        <f t="shared" si="356"/>
        <v>1</v>
      </c>
      <c r="BN4406">
        <f t="shared" si="357"/>
        <v>1900</v>
      </c>
    </row>
    <row r="4407" spans="55:66" x14ac:dyDescent="0.2">
      <c r="BC4407" s="21" t="e" vm="1">
        <v>#REF!</v>
      </c>
      <c r="BD4407" t="e" vm="1">
        <v>#REF!</v>
      </c>
      <c r="BF4407" t="e" vm="2">
        <f t="shared" si="354"/>
        <v>#VALUE!</v>
      </c>
      <c r="BG4407" t="e" vm="2">
        <f t="shared" si="355"/>
        <v>#VALUE!</v>
      </c>
      <c r="BM4407">
        <f t="shared" si="356"/>
        <v>1</v>
      </c>
      <c r="BN4407">
        <f t="shared" si="357"/>
        <v>1900</v>
      </c>
    </row>
    <row r="4408" spans="55:66" x14ac:dyDescent="0.2">
      <c r="BC4408" s="21" t="e" vm="1">
        <v>#REF!</v>
      </c>
      <c r="BD4408" t="e" vm="1">
        <v>#REF!</v>
      </c>
      <c r="BF4408" t="e" vm="2">
        <f t="shared" si="354"/>
        <v>#VALUE!</v>
      </c>
      <c r="BG4408" t="e" vm="2">
        <f t="shared" si="355"/>
        <v>#VALUE!</v>
      </c>
      <c r="BM4408">
        <f t="shared" si="356"/>
        <v>1</v>
      </c>
      <c r="BN4408">
        <f t="shared" si="357"/>
        <v>1900</v>
      </c>
    </row>
    <row r="4409" spans="55:66" x14ac:dyDescent="0.2">
      <c r="BC4409" s="21" t="e" vm="1">
        <v>#REF!</v>
      </c>
      <c r="BD4409" t="e" vm="1">
        <v>#REF!</v>
      </c>
      <c r="BF4409" t="e" vm="2">
        <f t="shared" si="354"/>
        <v>#VALUE!</v>
      </c>
      <c r="BG4409" t="e" vm="2">
        <f t="shared" si="355"/>
        <v>#VALUE!</v>
      </c>
      <c r="BM4409">
        <f t="shared" si="356"/>
        <v>1</v>
      </c>
      <c r="BN4409">
        <f t="shared" si="357"/>
        <v>1900</v>
      </c>
    </row>
    <row r="4410" spans="55:66" x14ac:dyDescent="0.2">
      <c r="BC4410" s="21" t="e" vm="1">
        <v>#REF!</v>
      </c>
      <c r="BD4410" t="e" vm="1">
        <v>#REF!</v>
      </c>
      <c r="BF4410" t="e" vm="2">
        <f t="shared" si="354"/>
        <v>#VALUE!</v>
      </c>
      <c r="BG4410" t="e" vm="2">
        <f t="shared" si="355"/>
        <v>#VALUE!</v>
      </c>
      <c r="BM4410">
        <f t="shared" si="356"/>
        <v>1</v>
      </c>
      <c r="BN4410">
        <f t="shared" si="357"/>
        <v>1900</v>
      </c>
    </row>
    <row r="4411" spans="55:66" x14ac:dyDescent="0.2">
      <c r="BC4411" s="21" t="e" vm="1">
        <v>#REF!</v>
      </c>
      <c r="BD4411" t="e" vm="1">
        <v>#REF!</v>
      </c>
      <c r="BF4411" t="e" vm="2">
        <f t="shared" si="354"/>
        <v>#VALUE!</v>
      </c>
      <c r="BG4411" t="e" vm="2">
        <f t="shared" si="355"/>
        <v>#VALUE!</v>
      </c>
      <c r="BM4411">
        <f t="shared" si="356"/>
        <v>1</v>
      </c>
      <c r="BN4411">
        <f t="shared" si="357"/>
        <v>1900</v>
      </c>
    </row>
    <row r="4412" spans="55:66" x14ac:dyDescent="0.2">
      <c r="BC4412" s="21" t="e" vm="1">
        <v>#REF!</v>
      </c>
      <c r="BD4412" t="e" vm="1">
        <v>#REF!</v>
      </c>
      <c r="BF4412" t="e" vm="2">
        <f t="shared" si="354"/>
        <v>#VALUE!</v>
      </c>
      <c r="BG4412" t="e" vm="2">
        <f t="shared" si="355"/>
        <v>#VALUE!</v>
      </c>
      <c r="BM4412">
        <f t="shared" si="356"/>
        <v>1</v>
      </c>
      <c r="BN4412">
        <f t="shared" si="357"/>
        <v>1900</v>
      </c>
    </row>
    <row r="4413" spans="55:66" x14ac:dyDescent="0.2">
      <c r="BC4413" s="21" t="e" vm="1">
        <v>#REF!</v>
      </c>
      <c r="BD4413" t="e" vm="1">
        <v>#REF!</v>
      </c>
      <c r="BF4413" t="e" vm="2">
        <f t="shared" si="354"/>
        <v>#VALUE!</v>
      </c>
      <c r="BG4413" t="e" vm="2">
        <f t="shared" si="355"/>
        <v>#VALUE!</v>
      </c>
      <c r="BM4413">
        <f t="shared" si="356"/>
        <v>1</v>
      </c>
      <c r="BN4413">
        <f t="shared" si="357"/>
        <v>1900</v>
      </c>
    </row>
    <row r="4414" spans="55:66" x14ac:dyDescent="0.2">
      <c r="BC4414" s="21" t="e" vm="1">
        <v>#REF!</v>
      </c>
      <c r="BD4414" t="e" vm="1">
        <v>#REF!</v>
      </c>
      <c r="BF4414" t="e" vm="2">
        <f t="shared" si="354"/>
        <v>#VALUE!</v>
      </c>
      <c r="BG4414" t="e" vm="2">
        <f t="shared" si="355"/>
        <v>#VALUE!</v>
      </c>
      <c r="BM4414">
        <f t="shared" si="356"/>
        <v>1</v>
      </c>
      <c r="BN4414">
        <f t="shared" si="357"/>
        <v>1900</v>
      </c>
    </row>
    <row r="4415" spans="55:66" x14ac:dyDescent="0.2">
      <c r="BC4415" s="21" t="e" vm="1">
        <v>#REF!</v>
      </c>
      <c r="BD4415" t="e" vm="1">
        <v>#REF!</v>
      </c>
      <c r="BF4415" t="e" vm="2">
        <f t="shared" si="354"/>
        <v>#VALUE!</v>
      </c>
      <c r="BG4415" t="e" vm="2">
        <f t="shared" si="355"/>
        <v>#VALUE!</v>
      </c>
      <c r="BM4415">
        <f t="shared" si="356"/>
        <v>1</v>
      </c>
      <c r="BN4415">
        <f t="shared" si="357"/>
        <v>1900</v>
      </c>
    </row>
    <row r="4416" spans="55:66" x14ac:dyDescent="0.2">
      <c r="BC4416" s="21" t="e" vm="1">
        <v>#REF!</v>
      </c>
      <c r="BD4416" t="e" vm="1">
        <v>#REF!</v>
      </c>
      <c r="BF4416" t="e" vm="2">
        <f t="shared" si="354"/>
        <v>#VALUE!</v>
      </c>
      <c r="BG4416" t="e" vm="2">
        <f t="shared" si="355"/>
        <v>#VALUE!</v>
      </c>
      <c r="BM4416">
        <f t="shared" si="356"/>
        <v>1</v>
      </c>
      <c r="BN4416">
        <f t="shared" si="357"/>
        <v>1900</v>
      </c>
    </row>
    <row r="4417" spans="55:66" x14ac:dyDescent="0.2">
      <c r="BC4417" s="21" t="e" vm="1">
        <v>#REF!</v>
      </c>
      <c r="BD4417" t="e" vm="1">
        <v>#REF!</v>
      </c>
      <c r="BF4417" t="e" vm="2">
        <f t="shared" si="354"/>
        <v>#VALUE!</v>
      </c>
      <c r="BG4417" t="e" vm="2">
        <f t="shared" si="355"/>
        <v>#VALUE!</v>
      </c>
      <c r="BM4417">
        <f t="shared" si="356"/>
        <v>1</v>
      </c>
      <c r="BN4417">
        <f t="shared" si="357"/>
        <v>1900</v>
      </c>
    </row>
    <row r="4418" spans="55:66" x14ac:dyDescent="0.2">
      <c r="BC4418" s="21" t="e" vm="1">
        <v>#REF!</v>
      </c>
      <c r="BD4418" t="e" vm="1">
        <v>#REF!</v>
      </c>
      <c r="BF4418" t="e" vm="2">
        <f t="shared" si="354"/>
        <v>#VALUE!</v>
      </c>
      <c r="BG4418" t="e" vm="2">
        <f t="shared" si="355"/>
        <v>#VALUE!</v>
      </c>
      <c r="BM4418">
        <f t="shared" si="356"/>
        <v>1</v>
      </c>
      <c r="BN4418">
        <f t="shared" si="357"/>
        <v>1900</v>
      </c>
    </row>
    <row r="4419" spans="55:66" x14ac:dyDescent="0.2">
      <c r="BC4419" s="21" t="e" vm="1">
        <v>#REF!</v>
      </c>
      <c r="BD4419" t="e" vm="1">
        <v>#REF!</v>
      </c>
      <c r="BF4419" t="e" vm="2">
        <f t="shared" ref="BF4419:BF4482" si="358">MONTH(BC4419)</f>
        <v>#VALUE!</v>
      </c>
      <c r="BG4419" t="e" vm="2">
        <f t="shared" ref="BG4419:BG4482" si="359">YEAR(BC4419)</f>
        <v>#VALUE!</v>
      </c>
      <c r="BM4419">
        <f t="shared" si="356"/>
        <v>1</v>
      </c>
      <c r="BN4419">
        <f t="shared" si="357"/>
        <v>1900</v>
      </c>
    </row>
    <row r="4420" spans="55:66" x14ac:dyDescent="0.2">
      <c r="BC4420" s="21" t="e" vm="1">
        <v>#REF!</v>
      </c>
      <c r="BD4420" t="e" vm="1">
        <v>#REF!</v>
      </c>
      <c r="BF4420" t="e" vm="2">
        <f t="shared" si="358"/>
        <v>#VALUE!</v>
      </c>
      <c r="BG4420" t="e" vm="2">
        <f t="shared" si="359"/>
        <v>#VALUE!</v>
      </c>
      <c r="BM4420">
        <f t="shared" ref="BM4420:BM4483" si="360">MONTH(BJ4420)</f>
        <v>1</v>
      </c>
      <c r="BN4420">
        <f t="shared" ref="BN4420:BN4483" si="361">YEAR(BJ4420)</f>
        <v>1900</v>
      </c>
    </row>
    <row r="4421" spans="55:66" x14ac:dyDescent="0.2">
      <c r="BC4421" s="21" t="e" vm="1">
        <v>#REF!</v>
      </c>
      <c r="BD4421" t="e" vm="1">
        <v>#REF!</v>
      </c>
      <c r="BF4421" t="e" vm="2">
        <f t="shared" si="358"/>
        <v>#VALUE!</v>
      </c>
      <c r="BG4421" t="e" vm="2">
        <f t="shared" si="359"/>
        <v>#VALUE!</v>
      </c>
      <c r="BM4421">
        <f t="shared" si="360"/>
        <v>1</v>
      </c>
      <c r="BN4421">
        <f t="shared" si="361"/>
        <v>1900</v>
      </c>
    </row>
    <row r="4422" spans="55:66" x14ac:dyDescent="0.2">
      <c r="BC4422" s="21" t="e" vm="1">
        <v>#REF!</v>
      </c>
      <c r="BD4422" t="e" vm="1">
        <v>#REF!</v>
      </c>
      <c r="BF4422" t="e" vm="2">
        <f t="shared" si="358"/>
        <v>#VALUE!</v>
      </c>
      <c r="BG4422" t="e" vm="2">
        <f t="shared" si="359"/>
        <v>#VALUE!</v>
      </c>
      <c r="BM4422">
        <f t="shared" si="360"/>
        <v>1</v>
      </c>
      <c r="BN4422">
        <f t="shared" si="361"/>
        <v>1900</v>
      </c>
    </row>
    <row r="4423" spans="55:66" x14ac:dyDescent="0.2">
      <c r="BC4423" s="21" t="e" vm="1">
        <v>#REF!</v>
      </c>
      <c r="BD4423" t="e" vm="1">
        <v>#REF!</v>
      </c>
      <c r="BF4423" t="e" vm="2">
        <f t="shared" si="358"/>
        <v>#VALUE!</v>
      </c>
      <c r="BG4423" t="e" vm="2">
        <f t="shared" si="359"/>
        <v>#VALUE!</v>
      </c>
      <c r="BM4423">
        <f t="shared" si="360"/>
        <v>1</v>
      </c>
      <c r="BN4423">
        <f t="shared" si="361"/>
        <v>1900</v>
      </c>
    </row>
    <row r="4424" spans="55:66" x14ac:dyDescent="0.2">
      <c r="BC4424" s="21" t="e" vm="1">
        <v>#REF!</v>
      </c>
      <c r="BD4424" t="e" vm="1">
        <v>#REF!</v>
      </c>
      <c r="BF4424" t="e" vm="2">
        <f t="shared" si="358"/>
        <v>#VALUE!</v>
      </c>
      <c r="BG4424" t="e" vm="2">
        <f t="shared" si="359"/>
        <v>#VALUE!</v>
      </c>
      <c r="BM4424">
        <f t="shared" si="360"/>
        <v>1</v>
      </c>
      <c r="BN4424">
        <f t="shared" si="361"/>
        <v>1900</v>
      </c>
    </row>
    <row r="4425" spans="55:66" x14ac:dyDescent="0.2">
      <c r="BC4425" s="21" t="e" vm="1">
        <v>#REF!</v>
      </c>
      <c r="BD4425" t="e" vm="1">
        <v>#REF!</v>
      </c>
      <c r="BF4425" t="e" vm="2">
        <f t="shared" si="358"/>
        <v>#VALUE!</v>
      </c>
      <c r="BG4425" t="e" vm="2">
        <f t="shared" si="359"/>
        <v>#VALUE!</v>
      </c>
      <c r="BM4425">
        <f t="shared" si="360"/>
        <v>1</v>
      </c>
      <c r="BN4425">
        <f t="shared" si="361"/>
        <v>1900</v>
      </c>
    </row>
    <row r="4426" spans="55:66" x14ac:dyDescent="0.2">
      <c r="BC4426" s="21" t="e" vm="1">
        <v>#REF!</v>
      </c>
      <c r="BD4426" t="e" vm="1">
        <v>#REF!</v>
      </c>
      <c r="BF4426" t="e" vm="2">
        <f t="shared" si="358"/>
        <v>#VALUE!</v>
      </c>
      <c r="BG4426" t="e" vm="2">
        <f t="shared" si="359"/>
        <v>#VALUE!</v>
      </c>
      <c r="BM4426">
        <f t="shared" si="360"/>
        <v>1</v>
      </c>
      <c r="BN4426">
        <f t="shared" si="361"/>
        <v>1900</v>
      </c>
    </row>
    <row r="4427" spans="55:66" x14ac:dyDescent="0.2">
      <c r="BC4427" s="21" t="e" vm="1">
        <v>#REF!</v>
      </c>
      <c r="BD4427" t="e" vm="1">
        <v>#REF!</v>
      </c>
      <c r="BF4427" t="e" vm="2">
        <f t="shared" si="358"/>
        <v>#VALUE!</v>
      </c>
      <c r="BG4427" t="e" vm="2">
        <f t="shared" si="359"/>
        <v>#VALUE!</v>
      </c>
      <c r="BM4427">
        <f t="shared" si="360"/>
        <v>1</v>
      </c>
      <c r="BN4427">
        <f t="shared" si="361"/>
        <v>1900</v>
      </c>
    </row>
    <row r="4428" spans="55:66" x14ac:dyDescent="0.2">
      <c r="BC4428" s="21" t="e" vm="1">
        <v>#REF!</v>
      </c>
      <c r="BD4428" t="e" vm="1">
        <v>#REF!</v>
      </c>
      <c r="BF4428" t="e" vm="2">
        <f t="shared" si="358"/>
        <v>#VALUE!</v>
      </c>
      <c r="BG4428" t="e" vm="2">
        <f t="shared" si="359"/>
        <v>#VALUE!</v>
      </c>
      <c r="BM4428">
        <f t="shared" si="360"/>
        <v>1</v>
      </c>
      <c r="BN4428">
        <f t="shared" si="361"/>
        <v>1900</v>
      </c>
    </row>
    <row r="4429" spans="55:66" x14ac:dyDescent="0.2">
      <c r="BC4429" s="21" t="e" vm="1">
        <v>#REF!</v>
      </c>
      <c r="BD4429" t="e" vm="1">
        <v>#REF!</v>
      </c>
      <c r="BF4429" t="e" vm="2">
        <f t="shared" si="358"/>
        <v>#VALUE!</v>
      </c>
      <c r="BG4429" t="e" vm="2">
        <f t="shared" si="359"/>
        <v>#VALUE!</v>
      </c>
      <c r="BM4429">
        <f t="shared" si="360"/>
        <v>1</v>
      </c>
      <c r="BN4429">
        <f t="shared" si="361"/>
        <v>1900</v>
      </c>
    </row>
    <row r="4430" spans="55:66" x14ac:dyDescent="0.2">
      <c r="BC4430" s="21" t="e" vm="1">
        <v>#REF!</v>
      </c>
      <c r="BD4430" t="e" vm="1">
        <v>#REF!</v>
      </c>
      <c r="BF4430" t="e" vm="2">
        <f t="shared" si="358"/>
        <v>#VALUE!</v>
      </c>
      <c r="BG4430" t="e" vm="2">
        <f t="shared" si="359"/>
        <v>#VALUE!</v>
      </c>
      <c r="BM4430">
        <f t="shared" si="360"/>
        <v>1</v>
      </c>
      <c r="BN4430">
        <f t="shared" si="361"/>
        <v>1900</v>
      </c>
    </row>
    <row r="4431" spans="55:66" x14ac:dyDescent="0.2">
      <c r="BC4431" s="21" t="e" vm="1">
        <v>#REF!</v>
      </c>
      <c r="BD4431" t="e" vm="1">
        <v>#REF!</v>
      </c>
      <c r="BF4431" t="e" vm="2">
        <f t="shared" si="358"/>
        <v>#VALUE!</v>
      </c>
      <c r="BG4431" t="e" vm="2">
        <f t="shared" si="359"/>
        <v>#VALUE!</v>
      </c>
      <c r="BM4431">
        <f t="shared" si="360"/>
        <v>1</v>
      </c>
      <c r="BN4431">
        <f t="shared" si="361"/>
        <v>1900</v>
      </c>
    </row>
    <row r="4432" spans="55:66" x14ac:dyDescent="0.2">
      <c r="BC4432" s="21" t="e" vm="1">
        <v>#REF!</v>
      </c>
      <c r="BD4432" t="e" vm="1">
        <v>#REF!</v>
      </c>
      <c r="BF4432" t="e" vm="2">
        <f t="shared" si="358"/>
        <v>#VALUE!</v>
      </c>
      <c r="BG4432" t="e" vm="2">
        <f t="shared" si="359"/>
        <v>#VALUE!</v>
      </c>
      <c r="BM4432">
        <f t="shared" si="360"/>
        <v>1</v>
      </c>
      <c r="BN4432">
        <f t="shared" si="361"/>
        <v>1900</v>
      </c>
    </row>
    <row r="4433" spans="55:66" x14ac:dyDescent="0.2">
      <c r="BC4433" s="21" t="e" vm="1">
        <v>#REF!</v>
      </c>
      <c r="BD4433" t="e" vm="1">
        <v>#REF!</v>
      </c>
      <c r="BF4433" t="e" vm="2">
        <f t="shared" si="358"/>
        <v>#VALUE!</v>
      </c>
      <c r="BG4433" t="e" vm="2">
        <f t="shared" si="359"/>
        <v>#VALUE!</v>
      </c>
      <c r="BM4433">
        <f t="shared" si="360"/>
        <v>1</v>
      </c>
      <c r="BN4433">
        <f t="shared" si="361"/>
        <v>1900</v>
      </c>
    </row>
    <row r="4434" spans="55:66" x14ac:dyDescent="0.2">
      <c r="BC4434" s="21" t="e" vm="1">
        <v>#REF!</v>
      </c>
      <c r="BD4434" t="e" vm="1">
        <v>#REF!</v>
      </c>
      <c r="BF4434" t="e" vm="2">
        <f t="shared" si="358"/>
        <v>#VALUE!</v>
      </c>
      <c r="BG4434" t="e" vm="2">
        <f t="shared" si="359"/>
        <v>#VALUE!</v>
      </c>
      <c r="BM4434">
        <f t="shared" si="360"/>
        <v>1</v>
      </c>
      <c r="BN4434">
        <f t="shared" si="361"/>
        <v>1900</v>
      </c>
    </row>
    <row r="4435" spans="55:66" x14ac:dyDescent="0.2">
      <c r="BC4435" s="21" t="e" vm="1">
        <v>#REF!</v>
      </c>
      <c r="BD4435" t="e" vm="1">
        <v>#REF!</v>
      </c>
      <c r="BF4435" t="e" vm="2">
        <f t="shared" si="358"/>
        <v>#VALUE!</v>
      </c>
      <c r="BG4435" t="e" vm="2">
        <f t="shared" si="359"/>
        <v>#VALUE!</v>
      </c>
      <c r="BM4435">
        <f t="shared" si="360"/>
        <v>1</v>
      </c>
      <c r="BN4435">
        <f t="shared" si="361"/>
        <v>1900</v>
      </c>
    </row>
    <row r="4436" spans="55:66" x14ac:dyDescent="0.2">
      <c r="BC4436" s="21" t="e" vm="1">
        <v>#REF!</v>
      </c>
      <c r="BD4436" t="e" vm="1">
        <v>#REF!</v>
      </c>
      <c r="BF4436" t="e" vm="2">
        <f t="shared" si="358"/>
        <v>#VALUE!</v>
      </c>
      <c r="BG4436" t="e" vm="2">
        <f t="shared" si="359"/>
        <v>#VALUE!</v>
      </c>
      <c r="BM4436">
        <f t="shared" si="360"/>
        <v>1</v>
      </c>
      <c r="BN4436">
        <f t="shared" si="361"/>
        <v>1900</v>
      </c>
    </row>
    <row r="4437" spans="55:66" x14ac:dyDescent="0.2">
      <c r="BC4437" s="21" t="e" vm="1">
        <v>#REF!</v>
      </c>
      <c r="BD4437" t="e" vm="1">
        <v>#REF!</v>
      </c>
      <c r="BF4437" t="e" vm="2">
        <f t="shared" si="358"/>
        <v>#VALUE!</v>
      </c>
      <c r="BG4437" t="e" vm="2">
        <f t="shared" si="359"/>
        <v>#VALUE!</v>
      </c>
      <c r="BM4437">
        <f t="shared" si="360"/>
        <v>1</v>
      </c>
      <c r="BN4437">
        <f t="shared" si="361"/>
        <v>1900</v>
      </c>
    </row>
    <row r="4438" spans="55:66" x14ac:dyDescent="0.2">
      <c r="BC4438" s="21" t="e" vm="1">
        <v>#REF!</v>
      </c>
      <c r="BD4438" t="e" vm="1">
        <v>#REF!</v>
      </c>
      <c r="BF4438" t="e" vm="2">
        <f t="shared" si="358"/>
        <v>#VALUE!</v>
      </c>
      <c r="BG4438" t="e" vm="2">
        <f t="shared" si="359"/>
        <v>#VALUE!</v>
      </c>
      <c r="BM4438">
        <f t="shared" si="360"/>
        <v>1</v>
      </c>
      <c r="BN4438">
        <f t="shared" si="361"/>
        <v>1900</v>
      </c>
    </row>
    <row r="4439" spans="55:66" x14ac:dyDescent="0.2">
      <c r="BC4439" s="21" t="e" vm="1">
        <v>#REF!</v>
      </c>
      <c r="BD4439" t="e" vm="1">
        <v>#REF!</v>
      </c>
      <c r="BF4439" t="e" vm="2">
        <f t="shared" si="358"/>
        <v>#VALUE!</v>
      </c>
      <c r="BG4439" t="e" vm="2">
        <f t="shared" si="359"/>
        <v>#VALUE!</v>
      </c>
      <c r="BM4439">
        <f t="shared" si="360"/>
        <v>1</v>
      </c>
      <c r="BN4439">
        <f t="shared" si="361"/>
        <v>1900</v>
      </c>
    </row>
    <row r="4440" spans="55:66" x14ac:dyDescent="0.2">
      <c r="BC4440" s="21" t="e" vm="1">
        <v>#REF!</v>
      </c>
      <c r="BD4440" t="e" vm="1">
        <v>#REF!</v>
      </c>
      <c r="BF4440" t="e" vm="2">
        <f t="shared" si="358"/>
        <v>#VALUE!</v>
      </c>
      <c r="BG4440" t="e" vm="2">
        <f t="shared" si="359"/>
        <v>#VALUE!</v>
      </c>
      <c r="BM4440">
        <f t="shared" si="360"/>
        <v>1</v>
      </c>
      <c r="BN4440">
        <f t="shared" si="361"/>
        <v>1900</v>
      </c>
    </row>
    <row r="4441" spans="55:66" x14ac:dyDescent="0.2">
      <c r="BC4441" s="21" t="e" vm="1">
        <v>#REF!</v>
      </c>
      <c r="BD4441" t="e" vm="1">
        <v>#REF!</v>
      </c>
      <c r="BF4441" t="e" vm="2">
        <f t="shared" si="358"/>
        <v>#VALUE!</v>
      </c>
      <c r="BG4441" t="e" vm="2">
        <f t="shared" si="359"/>
        <v>#VALUE!</v>
      </c>
      <c r="BM4441">
        <f t="shared" si="360"/>
        <v>1</v>
      </c>
      <c r="BN4441">
        <f t="shared" si="361"/>
        <v>1900</v>
      </c>
    </row>
    <row r="4442" spans="55:66" x14ac:dyDescent="0.2">
      <c r="BC4442" s="21" t="e" vm="1">
        <v>#REF!</v>
      </c>
      <c r="BD4442" t="e" vm="1">
        <v>#REF!</v>
      </c>
      <c r="BF4442" t="e" vm="2">
        <f t="shared" si="358"/>
        <v>#VALUE!</v>
      </c>
      <c r="BG4442" t="e" vm="2">
        <f t="shared" si="359"/>
        <v>#VALUE!</v>
      </c>
      <c r="BM4442">
        <f t="shared" si="360"/>
        <v>1</v>
      </c>
      <c r="BN4442">
        <f t="shared" si="361"/>
        <v>1900</v>
      </c>
    </row>
    <row r="4443" spans="55:66" x14ac:dyDescent="0.2">
      <c r="BC4443" s="21" t="e" vm="1">
        <v>#REF!</v>
      </c>
      <c r="BD4443" t="e" vm="1">
        <v>#REF!</v>
      </c>
      <c r="BF4443" t="e" vm="2">
        <f t="shared" si="358"/>
        <v>#VALUE!</v>
      </c>
      <c r="BG4443" t="e" vm="2">
        <f t="shared" si="359"/>
        <v>#VALUE!</v>
      </c>
      <c r="BM4443">
        <f t="shared" si="360"/>
        <v>1</v>
      </c>
      <c r="BN4443">
        <f t="shared" si="361"/>
        <v>1900</v>
      </c>
    </row>
    <row r="4444" spans="55:66" x14ac:dyDescent="0.2">
      <c r="BC4444" s="21" t="e" vm="1">
        <v>#REF!</v>
      </c>
      <c r="BD4444" t="e" vm="1">
        <v>#REF!</v>
      </c>
      <c r="BF4444" t="e" vm="2">
        <f t="shared" si="358"/>
        <v>#VALUE!</v>
      </c>
      <c r="BG4444" t="e" vm="2">
        <f t="shared" si="359"/>
        <v>#VALUE!</v>
      </c>
      <c r="BM4444">
        <f t="shared" si="360"/>
        <v>1</v>
      </c>
      <c r="BN4444">
        <f t="shared" si="361"/>
        <v>1900</v>
      </c>
    </row>
    <row r="4445" spans="55:66" x14ac:dyDescent="0.2">
      <c r="BC4445" s="21" t="e" vm="1">
        <v>#REF!</v>
      </c>
      <c r="BD4445" t="e" vm="1">
        <v>#REF!</v>
      </c>
      <c r="BF4445" t="e" vm="2">
        <f t="shared" si="358"/>
        <v>#VALUE!</v>
      </c>
      <c r="BG4445" t="e" vm="2">
        <f t="shared" si="359"/>
        <v>#VALUE!</v>
      </c>
      <c r="BM4445">
        <f t="shared" si="360"/>
        <v>1</v>
      </c>
      <c r="BN4445">
        <f t="shared" si="361"/>
        <v>1900</v>
      </c>
    </row>
    <row r="4446" spans="55:66" x14ac:dyDescent="0.2">
      <c r="BC4446" s="21" t="e" vm="1">
        <v>#REF!</v>
      </c>
      <c r="BD4446" t="e" vm="1">
        <v>#REF!</v>
      </c>
      <c r="BF4446" t="e" vm="2">
        <f t="shared" si="358"/>
        <v>#VALUE!</v>
      </c>
      <c r="BG4446" t="e" vm="2">
        <f t="shared" si="359"/>
        <v>#VALUE!</v>
      </c>
      <c r="BM4446">
        <f t="shared" si="360"/>
        <v>1</v>
      </c>
      <c r="BN4446">
        <f t="shared" si="361"/>
        <v>1900</v>
      </c>
    </row>
    <row r="4447" spans="55:66" x14ac:dyDescent="0.2">
      <c r="BC4447" s="21" t="e" vm="1">
        <v>#REF!</v>
      </c>
      <c r="BD4447" t="e" vm="1">
        <v>#REF!</v>
      </c>
      <c r="BF4447" t="e" vm="2">
        <f t="shared" si="358"/>
        <v>#VALUE!</v>
      </c>
      <c r="BG4447" t="e" vm="2">
        <f t="shared" si="359"/>
        <v>#VALUE!</v>
      </c>
      <c r="BM4447">
        <f t="shared" si="360"/>
        <v>1</v>
      </c>
      <c r="BN4447">
        <f t="shared" si="361"/>
        <v>1900</v>
      </c>
    </row>
    <row r="4448" spans="55:66" x14ac:dyDescent="0.2">
      <c r="BC4448" s="21" t="e" vm="1">
        <v>#REF!</v>
      </c>
      <c r="BD4448" t="e" vm="1">
        <v>#REF!</v>
      </c>
      <c r="BF4448" t="e" vm="2">
        <f t="shared" si="358"/>
        <v>#VALUE!</v>
      </c>
      <c r="BG4448" t="e" vm="2">
        <f t="shared" si="359"/>
        <v>#VALUE!</v>
      </c>
      <c r="BM4448">
        <f t="shared" si="360"/>
        <v>1</v>
      </c>
      <c r="BN4448">
        <f t="shared" si="361"/>
        <v>1900</v>
      </c>
    </row>
    <row r="4449" spans="55:66" x14ac:dyDescent="0.2">
      <c r="BC4449" s="21" t="e" vm="1">
        <v>#REF!</v>
      </c>
      <c r="BD4449" t="e" vm="1">
        <v>#REF!</v>
      </c>
      <c r="BF4449" t="e" vm="2">
        <f t="shared" si="358"/>
        <v>#VALUE!</v>
      </c>
      <c r="BG4449" t="e" vm="2">
        <f t="shared" si="359"/>
        <v>#VALUE!</v>
      </c>
      <c r="BM4449">
        <f t="shared" si="360"/>
        <v>1</v>
      </c>
      <c r="BN4449">
        <f t="shared" si="361"/>
        <v>1900</v>
      </c>
    </row>
    <row r="4450" spans="55:66" x14ac:dyDescent="0.2">
      <c r="BC4450" s="21" t="e" vm="1">
        <v>#REF!</v>
      </c>
      <c r="BD4450" t="e" vm="1">
        <v>#REF!</v>
      </c>
      <c r="BF4450" t="e" vm="2">
        <f t="shared" si="358"/>
        <v>#VALUE!</v>
      </c>
      <c r="BG4450" t="e" vm="2">
        <f t="shared" si="359"/>
        <v>#VALUE!</v>
      </c>
      <c r="BM4450">
        <f t="shared" si="360"/>
        <v>1</v>
      </c>
      <c r="BN4450">
        <f t="shared" si="361"/>
        <v>1900</v>
      </c>
    </row>
    <row r="4451" spans="55:66" x14ac:dyDescent="0.2">
      <c r="BC4451" s="21" t="e" vm="1">
        <v>#REF!</v>
      </c>
      <c r="BD4451" t="e" vm="1">
        <v>#REF!</v>
      </c>
      <c r="BF4451" t="e" vm="2">
        <f t="shared" si="358"/>
        <v>#VALUE!</v>
      </c>
      <c r="BG4451" t="e" vm="2">
        <f t="shared" si="359"/>
        <v>#VALUE!</v>
      </c>
      <c r="BM4451">
        <f t="shared" si="360"/>
        <v>1</v>
      </c>
      <c r="BN4451">
        <f t="shared" si="361"/>
        <v>1900</v>
      </c>
    </row>
    <row r="4452" spans="55:66" x14ac:dyDescent="0.2">
      <c r="BC4452" s="21" t="e" vm="1">
        <v>#REF!</v>
      </c>
      <c r="BD4452" t="e" vm="1">
        <v>#REF!</v>
      </c>
      <c r="BF4452" t="e" vm="2">
        <f t="shared" si="358"/>
        <v>#VALUE!</v>
      </c>
      <c r="BG4452" t="e" vm="2">
        <f t="shared" si="359"/>
        <v>#VALUE!</v>
      </c>
      <c r="BM4452">
        <f t="shared" si="360"/>
        <v>1</v>
      </c>
      <c r="BN4452">
        <f t="shared" si="361"/>
        <v>1900</v>
      </c>
    </row>
    <row r="4453" spans="55:66" x14ac:dyDescent="0.2">
      <c r="BC4453" s="21" t="e" vm="1">
        <v>#REF!</v>
      </c>
      <c r="BD4453" t="e" vm="1">
        <v>#REF!</v>
      </c>
      <c r="BF4453" t="e" vm="2">
        <f t="shared" si="358"/>
        <v>#VALUE!</v>
      </c>
      <c r="BG4453" t="e" vm="2">
        <f t="shared" si="359"/>
        <v>#VALUE!</v>
      </c>
      <c r="BM4453">
        <f t="shared" si="360"/>
        <v>1</v>
      </c>
      <c r="BN4453">
        <f t="shared" si="361"/>
        <v>1900</v>
      </c>
    </row>
    <row r="4454" spans="55:66" x14ac:dyDescent="0.2">
      <c r="BC4454" s="21" t="e" vm="1">
        <v>#REF!</v>
      </c>
      <c r="BD4454" t="e" vm="1">
        <v>#REF!</v>
      </c>
      <c r="BF4454" t="e" vm="2">
        <f t="shared" si="358"/>
        <v>#VALUE!</v>
      </c>
      <c r="BG4454" t="e" vm="2">
        <f t="shared" si="359"/>
        <v>#VALUE!</v>
      </c>
      <c r="BM4454">
        <f t="shared" si="360"/>
        <v>1</v>
      </c>
      <c r="BN4454">
        <f t="shared" si="361"/>
        <v>1900</v>
      </c>
    </row>
    <row r="4455" spans="55:66" x14ac:dyDescent="0.2">
      <c r="BC4455" s="21" t="e" vm="1">
        <v>#REF!</v>
      </c>
      <c r="BD4455" t="e" vm="1">
        <v>#REF!</v>
      </c>
      <c r="BF4455" t="e" vm="2">
        <f t="shared" si="358"/>
        <v>#VALUE!</v>
      </c>
      <c r="BG4455" t="e" vm="2">
        <f t="shared" si="359"/>
        <v>#VALUE!</v>
      </c>
      <c r="BM4455">
        <f t="shared" si="360"/>
        <v>1</v>
      </c>
      <c r="BN4455">
        <f t="shared" si="361"/>
        <v>1900</v>
      </c>
    </row>
    <row r="4456" spans="55:66" x14ac:dyDescent="0.2">
      <c r="BC4456" s="21" t="e" vm="1">
        <v>#REF!</v>
      </c>
      <c r="BD4456" t="e" vm="1">
        <v>#REF!</v>
      </c>
      <c r="BF4456" t="e" vm="2">
        <f t="shared" si="358"/>
        <v>#VALUE!</v>
      </c>
      <c r="BG4456" t="e" vm="2">
        <f t="shared" si="359"/>
        <v>#VALUE!</v>
      </c>
      <c r="BM4456">
        <f t="shared" si="360"/>
        <v>1</v>
      </c>
      <c r="BN4456">
        <f t="shared" si="361"/>
        <v>1900</v>
      </c>
    </row>
    <row r="4457" spans="55:66" x14ac:dyDescent="0.2">
      <c r="BC4457" s="21" t="e" vm="1">
        <v>#REF!</v>
      </c>
      <c r="BD4457" t="e" vm="1">
        <v>#REF!</v>
      </c>
      <c r="BF4457" t="e" vm="2">
        <f t="shared" si="358"/>
        <v>#VALUE!</v>
      </c>
      <c r="BG4457" t="e" vm="2">
        <f t="shared" si="359"/>
        <v>#VALUE!</v>
      </c>
      <c r="BM4457">
        <f t="shared" si="360"/>
        <v>1</v>
      </c>
      <c r="BN4457">
        <f t="shared" si="361"/>
        <v>1900</v>
      </c>
    </row>
    <row r="4458" spans="55:66" x14ac:dyDescent="0.2">
      <c r="BC4458" s="21" t="e" vm="1">
        <v>#REF!</v>
      </c>
      <c r="BD4458" t="e" vm="1">
        <v>#REF!</v>
      </c>
      <c r="BF4458" t="e" vm="2">
        <f t="shared" si="358"/>
        <v>#VALUE!</v>
      </c>
      <c r="BG4458" t="e" vm="2">
        <f t="shared" si="359"/>
        <v>#VALUE!</v>
      </c>
      <c r="BM4458">
        <f t="shared" si="360"/>
        <v>1</v>
      </c>
      <c r="BN4458">
        <f t="shared" si="361"/>
        <v>1900</v>
      </c>
    </row>
    <row r="4459" spans="55:66" x14ac:dyDescent="0.2">
      <c r="BC4459" s="21" t="e" vm="1">
        <v>#REF!</v>
      </c>
      <c r="BD4459" t="e" vm="1">
        <v>#REF!</v>
      </c>
      <c r="BF4459" t="e" vm="2">
        <f t="shared" si="358"/>
        <v>#VALUE!</v>
      </c>
      <c r="BG4459" t="e" vm="2">
        <f t="shared" si="359"/>
        <v>#VALUE!</v>
      </c>
      <c r="BM4459">
        <f t="shared" si="360"/>
        <v>1</v>
      </c>
      <c r="BN4459">
        <f t="shared" si="361"/>
        <v>1900</v>
      </c>
    </row>
    <row r="4460" spans="55:66" x14ac:dyDescent="0.2">
      <c r="BC4460" s="21" t="e" vm="1">
        <v>#REF!</v>
      </c>
      <c r="BD4460" t="e" vm="1">
        <v>#REF!</v>
      </c>
      <c r="BF4460" t="e" vm="2">
        <f t="shared" si="358"/>
        <v>#VALUE!</v>
      </c>
      <c r="BG4460" t="e" vm="2">
        <f t="shared" si="359"/>
        <v>#VALUE!</v>
      </c>
      <c r="BM4460">
        <f t="shared" si="360"/>
        <v>1</v>
      </c>
      <c r="BN4460">
        <f t="shared" si="361"/>
        <v>1900</v>
      </c>
    </row>
    <row r="4461" spans="55:66" x14ac:dyDescent="0.2">
      <c r="BC4461" s="21" t="e" vm="1">
        <v>#REF!</v>
      </c>
      <c r="BD4461" t="e" vm="1">
        <v>#REF!</v>
      </c>
      <c r="BF4461" t="e" vm="2">
        <f t="shared" si="358"/>
        <v>#VALUE!</v>
      </c>
      <c r="BG4461" t="e" vm="2">
        <f t="shared" si="359"/>
        <v>#VALUE!</v>
      </c>
      <c r="BM4461">
        <f t="shared" si="360"/>
        <v>1</v>
      </c>
      <c r="BN4461">
        <f t="shared" si="361"/>
        <v>1900</v>
      </c>
    </row>
    <row r="4462" spans="55:66" x14ac:dyDescent="0.2">
      <c r="BC4462" s="21" t="e" vm="1">
        <v>#REF!</v>
      </c>
      <c r="BD4462" t="e" vm="1">
        <v>#REF!</v>
      </c>
      <c r="BF4462" t="e" vm="2">
        <f t="shared" si="358"/>
        <v>#VALUE!</v>
      </c>
      <c r="BG4462" t="e" vm="2">
        <f t="shared" si="359"/>
        <v>#VALUE!</v>
      </c>
      <c r="BM4462">
        <f t="shared" si="360"/>
        <v>1</v>
      </c>
      <c r="BN4462">
        <f t="shared" si="361"/>
        <v>1900</v>
      </c>
    </row>
    <row r="4463" spans="55:66" x14ac:dyDescent="0.2">
      <c r="BC4463" s="21" t="e" vm="1">
        <v>#REF!</v>
      </c>
      <c r="BD4463" t="e" vm="1">
        <v>#REF!</v>
      </c>
      <c r="BF4463" t="e" vm="2">
        <f t="shared" si="358"/>
        <v>#VALUE!</v>
      </c>
      <c r="BG4463" t="e" vm="2">
        <f t="shared" si="359"/>
        <v>#VALUE!</v>
      </c>
      <c r="BM4463">
        <f t="shared" si="360"/>
        <v>1</v>
      </c>
      <c r="BN4463">
        <f t="shared" si="361"/>
        <v>1900</v>
      </c>
    </row>
    <row r="4464" spans="55:66" x14ac:dyDescent="0.2">
      <c r="BC4464" s="21" t="e" vm="1">
        <v>#REF!</v>
      </c>
      <c r="BD4464" t="e" vm="1">
        <v>#REF!</v>
      </c>
      <c r="BF4464" t="e" vm="2">
        <f t="shared" si="358"/>
        <v>#VALUE!</v>
      </c>
      <c r="BG4464" t="e" vm="2">
        <f t="shared" si="359"/>
        <v>#VALUE!</v>
      </c>
      <c r="BM4464">
        <f t="shared" si="360"/>
        <v>1</v>
      </c>
      <c r="BN4464">
        <f t="shared" si="361"/>
        <v>1900</v>
      </c>
    </row>
    <row r="4465" spans="55:66" x14ac:dyDescent="0.2">
      <c r="BC4465" s="21" t="e" vm="1">
        <v>#REF!</v>
      </c>
      <c r="BD4465" t="e" vm="1">
        <v>#REF!</v>
      </c>
      <c r="BF4465" t="e" vm="2">
        <f t="shared" si="358"/>
        <v>#VALUE!</v>
      </c>
      <c r="BG4465" t="e" vm="2">
        <f t="shared" si="359"/>
        <v>#VALUE!</v>
      </c>
      <c r="BM4465">
        <f t="shared" si="360"/>
        <v>1</v>
      </c>
      <c r="BN4465">
        <f t="shared" si="361"/>
        <v>1900</v>
      </c>
    </row>
    <row r="4466" spans="55:66" x14ac:dyDescent="0.2">
      <c r="BC4466" s="21" t="e" vm="1">
        <v>#REF!</v>
      </c>
      <c r="BD4466" t="e" vm="1">
        <v>#REF!</v>
      </c>
      <c r="BF4466" t="e" vm="2">
        <f t="shared" si="358"/>
        <v>#VALUE!</v>
      </c>
      <c r="BG4466" t="e" vm="2">
        <f t="shared" si="359"/>
        <v>#VALUE!</v>
      </c>
      <c r="BM4466">
        <f t="shared" si="360"/>
        <v>1</v>
      </c>
      <c r="BN4466">
        <f t="shared" si="361"/>
        <v>1900</v>
      </c>
    </row>
    <row r="4467" spans="55:66" x14ac:dyDescent="0.2">
      <c r="BC4467" s="21" t="e" vm="1">
        <v>#REF!</v>
      </c>
      <c r="BD4467" t="e" vm="1">
        <v>#REF!</v>
      </c>
      <c r="BF4467" t="e" vm="2">
        <f t="shared" si="358"/>
        <v>#VALUE!</v>
      </c>
      <c r="BG4467" t="e" vm="2">
        <f t="shared" si="359"/>
        <v>#VALUE!</v>
      </c>
      <c r="BM4467">
        <f t="shared" si="360"/>
        <v>1</v>
      </c>
      <c r="BN4467">
        <f t="shared" si="361"/>
        <v>1900</v>
      </c>
    </row>
    <row r="4468" spans="55:66" x14ac:dyDescent="0.2">
      <c r="BC4468" s="21" t="e" vm="1">
        <v>#REF!</v>
      </c>
      <c r="BD4468" t="e" vm="1">
        <v>#REF!</v>
      </c>
      <c r="BF4468" t="e" vm="2">
        <f t="shared" si="358"/>
        <v>#VALUE!</v>
      </c>
      <c r="BG4468" t="e" vm="2">
        <f t="shared" si="359"/>
        <v>#VALUE!</v>
      </c>
      <c r="BM4468">
        <f t="shared" si="360"/>
        <v>1</v>
      </c>
      <c r="BN4468">
        <f t="shared" si="361"/>
        <v>1900</v>
      </c>
    </row>
    <row r="4469" spans="55:66" x14ac:dyDescent="0.2">
      <c r="BC4469" s="21" t="e" vm="1">
        <v>#REF!</v>
      </c>
      <c r="BD4469" t="e" vm="1">
        <v>#REF!</v>
      </c>
      <c r="BF4469" t="e" vm="2">
        <f t="shared" si="358"/>
        <v>#VALUE!</v>
      </c>
      <c r="BG4469" t="e" vm="2">
        <f t="shared" si="359"/>
        <v>#VALUE!</v>
      </c>
      <c r="BM4469">
        <f t="shared" si="360"/>
        <v>1</v>
      </c>
      <c r="BN4469">
        <f t="shared" si="361"/>
        <v>1900</v>
      </c>
    </row>
    <row r="4470" spans="55:66" x14ac:dyDescent="0.2">
      <c r="BC4470" s="21" t="e" vm="1">
        <v>#REF!</v>
      </c>
      <c r="BD4470" t="e" vm="1">
        <v>#REF!</v>
      </c>
      <c r="BF4470" t="e" vm="2">
        <f t="shared" si="358"/>
        <v>#VALUE!</v>
      </c>
      <c r="BG4470" t="e" vm="2">
        <f t="shared" si="359"/>
        <v>#VALUE!</v>
      </c>
      <c r="BM4470">
        <f t="shared" si="360"/>
        <v>1</v>
      </c>
      <c r="BN4470">
        <f t="shared" si="361"/>
        <v>1900</v>
      </c>
    </row>
    <row r="4471" spans="55:66" x14ac:dyDescent="0.2">
      <c r="BC4471" s="21" t="e" vm="1">
        <v>#REF!</v>
      </c>
      <c r="BD4471" t="e" vm="1">
        <v>#REF!</v>
      </c>
      <c r="BF4471" t="e" vm="2">
        <f t="shared" si="358"/>
        <v>#VALUE!</v>
      </c>
      <c r="BG4471" t="e" vm="2">
        <f t="shared" si="359"/>
        <v>#VALUE!</v>
      </c>
      <c r="BM4471">
        <f t="shared" si="360"/>
        <v>1</v>
      </c>
      <c r="BN4471">
        <f t="shared" si="361"/>
        <v>1900</v>
      </c>
    </row>
    <row r="4472" spans="55:66" x14ac:dyDescent="0.2">
      <c r="BC4472" s="21" t="e" vm="1">
        <v>#REF!</v>
      </c>
      <c r="BD4472" t="e" vm="1">
        <v>#REF!</v>
      </c>
      <c r="BF4472" t="e" vm="2">
        <f t="shared" si="358"/>
        <v>#VALUE!</v>
      </c>
      <c r="BG4472" t="e" vm="2">
        <f t="shared" si="359"/>
        <v>#VALUE!</v>
      </c>
      <c r="BM4472">
        <f t="shared" si="360"/>
        <v>1</v>
      </c>
      <c r="BN4472">
        <f t="shared" si="361"/>
        <v>1900</v>
      </c>
    </row>
    <row r="4473" spans="55:66" x14ac:dyDescent="0.2">
      <c r="BC4473" s="21" t="e" vm="1">
        <v>#REF!</v>
      </c>
      <c r="BD4473" t="e" vm="1">
        <v>#REF!</v>
      </c>
      <c r="BF4473" t="e" vm="2">
        <f t="shared" si="358"/>
        <v>#VALUE!</v>
      </c>
      <c r="BG4473" t="e" vm="2">
        <f t="shared" si="359"/>
        <v>#VALUE!</v>
      </c>
      <c r="BM4473">
        <f t="shared" si="360"/>
        <v>1</v>
      </c>
      <c r="BN4473">
        <f t="shared" si="361"/>
        <v>1900</v>
      </c>
    </row>
    <row r="4474" spans="55:66" x14ac:dyDescent="0.2">
      <c r="BC4474" s="21" t="e" vm="1">
        <v>#REF!</v>
      </c>
      <c r="BD4474" t="e" vm="1">
        <v>#REF!</v>
      </c>
      <c r="BF4474" t="e" vm="2">
        <f t="shared" si="358"/>
        <v>#VALUE!</v>
      </c>
      <c r="BG4474" t="e" vm="2">
        <f t="shared" si="359"/>
        <v>#VALUE!</v>
      </c>
      <c r="BM4474">
        <f t="shared" si="360"/>
        <v>1</v>
      </c>
      <c r="BN4474">
        <f t="shared" si="361"/>
        <v>1900</v>
      </c>
    </row>
    <row r="4475" spans="55:66" x14ac:dyDescent="0.2">
      <c r="BC4475" s="21" t="e" vm="1">
        <v>#REF!</v>
      </c>
      <c r="BD4475" t="e" vm="1">
        <v>#REF!</v>
      </c>
      <c r="BF4475" t="e" vm="2">
        <f t="shared" si="358"/>
        <v>#VALUE!</v>
      </c>
      <c r="BG4475" t="e" vm="2">
        <f t="shared" si="359"/>
        <v>#VALUE!</v>
      </c>
      <c r="BM4475">
        <f t="shared" si="360"/>
        <v>1</v>
      </c>
      <c r="BN4475">
        <f t="shared" si="361"/>
        <v>1900</v>
      </c>
    </row>
    <row r="4476" spans="55:66" x14ac:dyDescent="0.2">
      <c r="BC4476" s="21" t="e" vm="1">
        <v>#REF!</v>
      </c>
      <c r="BD4476" t="e" vm="1">
        <v>#REF!</v>
      </c>
      <c r="BF4476" t="e" vm="2">
        <f t="shared" si="358"/>
        <v>#VALUE!</v>
      </c>
      <c r="BG4476" t="e" vm="2">
        <f t="shared" si="359"/>
        <v>#VALUE!</v>
      </c>
      <c r="BM4476">
        <f t="shared" si="360"/>
        <v>1</v>
      </c>
      <c r="BN4476">
        <f t="shared" si="361"/>
        <v>1900</v>
      </c>
    </row>
    <row r="4477" spans="55:66" x14ac:dyDescent="0.2">
      <c r="BC4477" s="21" t="e" vm="1">
        <v>#REF!</v>
      </c>
      <c r="BD4477" t="e" vm="1">
        <v>#REF!</v>
      </c>
      <c r="BF4477" t="e" vm="2">
        <f t="shared" si="358"/>
        <v>#VALUE!</v>
      </c>
      <c r="BG4477" t="e" vm="2">
        <f t="shared" si="359"/>
        <v>#VALUE!</v>
      </c>
      <c r="BM4477">
        <f t="shared" si="360"/>
        <v>1</v>
      </c>
      <c r="BN4477">
        <f t="shared" si="361"/>
        <v>1900</v>
      </c>
    </row>
    <row r="4478" spans="55:66" x14ac:dyDescent="0.2">
      <c r="BC4478" s="21" t="e" vm="1">
        <v>#REF!</v>
      </c>
      <c r="BD4478" t="e" vm="1">
        <v>#REF!</v>
      </c>
      <c r="BF4478" t="e" vm="2">
        <f t="shared" si="358"/>
        <v>#VALUE!</v>
      </c>
      <c r="BG4478" t="e" vm="2">
        <f t="shared" si="359"/>
        <v>#VALUE!</v>
      </c>
      <c r="BM4478">
        <f t="shared" si="360"/>
        <v>1</v>
      </c>
      <c r="BN4478">
        <f t="shared" si="361"/>
        <v>1900</v>
      </c>
    </row>
    <row r="4479" spans="55:66" x14ac:dyDescent="0.2">
      <c r="BC4479" s="21" t="e" vm="1">
        <v>#REF!</v>
      </c>
      <c r="BD4479" t="e" vm="1">
        <v>#REF!</v>
      </c>
      <c r="BF4479" t="e" vm="2">
        <f t="shared" si="358"/>
        <v>#VALUE!</v>
      </c>
      <c r="BG4479" t="e" vm="2">
        <f t="shared" si="359"/>
        <v>#VALUE!</v>
      </c>
      <c r="BM4479">
        <f t="shared" si="360"/>
        <v>1</v>
      </c>
      <c r="BN4479">
        <f t="shared" si="361"/>
        <v>1900</v>
      </c>
    </row>
    <row r="4480" spans="55:66" x14ac:dyDescent="0.2">
      <c r="BC4480" s="21" t="e" vm="1">
        <v>#REF!</v>
      </c>
      <c r="BD4480" t="e" vm="1">
        <v>#REF!</v>
      </c>
      <c r="BF4480" t="e" vm="2">
        <f t="shared" si="358"/>
        <v>#VALUE!</v>
      </c>
      <c r="BG4480" t="e" vm="2">
        <f t="shared" si="359"/>
        <v>#VALUE!</v>
      </c>
      <c r="BM4480">
        <f t="shared" si="360"/>
        <v>1</v>
      </c>
      <c r="BN4480">
        <f t="shared" si="361"/>
        <v>1900</v>
      </c>
    </row>
    <row r="4481" spans="55:66" x14ac:dyDescent="0.2">
      <c r="BC4481" s="21" t="e" vm="1">
        <v>#REF!</v>
      </c>
      <c r="BD4481" t="e" vm="1">
        <v>#REF!</v>
      </c>
      <c r="BF4481" t="e" vm="2">
        <f t="shared" si="358"/>
        <v>#VALUE!</v>
      </c>
      <c r="BG4481" t="e" vm="2">
        <f t="shared" si="359"/>
        <v>#VALUE!</v>
      </c>
      <c r="BM4481">
        <f t="shared" si="360"/>
        <v>1</v>
      </c>
      <c r="BN4481">
        <f t="shared" si="361"/>
        <v>1900</v>
      </c>
    </row>
    <row r="4482" spans="55:66" x14ac:dyDescent="0.2">
      <c r="BC4482" s="21" t="e" vm="1">
        <v>#REF!</v>
      </c>
      <c r="BD4482" t="e" vm="1">
        <v>#REF!</v>
      </c>
      <c r="BF4482" t="e" vm="2">
        <f t="shared" si="358"/>
        <v>#VALUE!</v>
      </c>
      <c r="BG4482" t="e" vm="2">
        <f t="shared" si="359"/>
        <v>#VALUE!</v>
      </c>
      <c r="BM4482">
        <f t="shared" si="360"/>
        <v>1</v>
      </c>
      <c r="BN4482">
        <f t="shared" si="361"/>
        <v>1900</v>
      </c>
    </row>
    <row r="4483" spans="55:66" x14ac:dyDescent="0.2">
      <c r="BC4483" s="21" t="e" vm="1">
        <v>#REF!</v>
      </c>
      <c r="BD4483" t="e" vm="1">
        <v>#REF!</v>
      </c>
      <c r="BF4483" t="e" vm="2">
        <f t="shared" ref="BF4483:BF4546" si="362">MONTH(BC4483)</f>
        <v>#VALUE!</v>
      </c>
      <c r="BG4483" t="e" vm="2">
        <f t="shared" ref="BG4483:BG4546" si="363">YEAR(BC4483)</f>
        <v>#VALUE!</v>
      </c>
      <c r="BM4483">
        <f t="shared" si="360"/>
        <v>1</v>
      </c>
      <c r="BN4483">
        <f t="shared" si="361"/>
        <v>1900</v>
      </c>
    </row>
    <row r="4484" spans="55:66" x14ac:dyDescent="0.2">
      <c r="BC4484" s="21" t="e" vm="1">
        <v>#REF!</v>
      </c>
      <c r="BD4484" t="e" vm="1">
        <v>#REF!</v>
      </c>
      <c r="BF4484" t="e" vm="2">
        <f t="shared" si="362"/>
        <v>#VALUE!</v>
      </c>
      <c r="BG4484" t="e" vm="2">
        <f t="shared" si="363"/>
        <v>#VALUE!</v>
      </c>
      <c r="BM4484">
        <f t="shared" ref="BM4484:BM4547" si="364">MONTH(BJ4484)</f>
        <v>1</v>
      </c>
      <c r="BN4484">
        <f t="shared" ref="BN4484:BN4547" si="365">YEAR(BJ4484)</f>
        <v>1900</v>
      </c>
    </row>
    <row r="4485" spans="55:66" x14ac:dyDescent="0.2">
      <c r="BC4485" s="21" t="e" vm="1">
        <v>#REF!</v>
      </c>
      <c r="BD4485" t="e" vm="1">
        <v>#REF!</v>
      </c>
      <c r="BF4485" t="e" vm="2">
        <f t="shared" si="362"/>
        <v>#VALUE!</v>
      </c>
      <c r="BG4485" t="e" vm="2">
        <f t="shared" si="363"/>
        <v>#VALUE!</v>
      </c>
      <c r="BM4485">
        <f t="shared" si="364"/>
        <v>1</v>
      </c>
      <c r="BN4485">
        <f t="shared" si="365"/>
        <v>1900</v>
      </c>
    </row>
    <row r="4486" spans="55:66" x14ac:dyDescent="0.2">
      <c r="BC4486" s="21" t="e" vm="1">
        <v>#REF!</v>
      </c>
      <c r="BD4486" t="e" vm="1">
        <v>#REF!</v>
      </c>
      <c r="BF4486" t="e" vm="2">
        <f t="shared" si="362"/>
        <v>#VALUE!</v>
      </c>
      <c r="BG4486" t="e" vm="2">
        <f t="shared" si="363"/>
        <v>#VALUE!</v>
      </c>
      <c r="BM4486">
        <f t="shared" si="364"/>
        <v>1</v>
      </c>
      <c r="BN4486">
        <f t="shared" si="365"/>
        <v>1900</v>
      </c>
    </row>
    <row r="4487" spans="55:66" x14ac:dyDescent="0.2">
      <c r="BC4487" s="21" t="e" vm="1">
        <v>#REF!</v>
      </c>
      <c r="BD4487" t="e" vm="1">
        <v>#REF!</v>
      </c>
      <c r="BF4487" t="e" vm="2">
        <f t="shared" si="362"/>
        <v>#VALUE!</v>
      </c>
      <c r="BG4487" t="e" vm="2">
        <f t="shared" si="363"/>
        <v>#VALUE!</v>
      </c>
      <c r="BM4487">
        <f t="shared" si="364"/>
        <v>1</v>
      </c>
      <c r="BN4487">
        <f t="shared" si="365"/>
        <v>1900</v>
      </c>
    </row>
    <row r="4488" spans="55:66" x14ac:dyDescent="0.2">
      <c r="BC4488" s="21" t="e" vm="1">
        <v>#REF!</v>
      </c>
      <c r="BD4488" t="e" vm="1">
        <v>#REF!</v>
      </c>
      <c r="BF4488" t="e" vm="2">
        <f t="shared" si="362"/>
        <v>#VALUE!</v>
      </c>
      <c r="BG4488" t="e" vm="2">
        <f t="shared" si="363"/>
        <v>#VALUE!</v>
      </c>
      <c r="BM4488">
        <f t="shared" si="364"/>
        <v>1</v>
      </c>
      <c r="BN4488">
        <f t="shared" si="365"/>
        <v>1900</v>
      </c>
    </row>
    <row r="4489" spans="55:66" x14ac:dyDescent="0.2">
      <c r="BC4489" s="21" t="e" vm="1">
        <v>#REF!</v>
      </c>
      <c r="BD4489" t="e" vm="1">
        <v>#REF!</v>
      </c>
      <c r="BF4489" t="e" vm="2">
        <f t="shared" si="362"/>
        <v>#VALUE!</v>
      </c>
      <c r="BG4489" t="e" vm="2">
        <f t="shared" si="363"/>
        <v>#VALUE!</v>
      </c>
      <c r="BM4489">
        <f t="shared" si="364"/>
        <v>1</v>
      </c>
      <c r="BN4489">
        <f t="shared" si="365"/>
        <v>1900</v>
      </c>
    </row>
    <row r="4490" spans="55:66" x14ac:dyDescent="0.2">
      <c r="BC4490" s="21" t="e" vm="1">
        <v>#REF!</v>
      </c>
      <c r="BD4490" t="e" vm="1">
        <v>#REF!</v>
      </c>
      <c r="BF4490" t="e" vm="2">
        <f t="shared" si="362"/>
        <v>#VALUE!</v>
      </c>
      <c r="BG4490" t="e" vm="2">
        <f t="shared" si="363"/>
        <v>#VALUE!</v>
      </c>
      <c r="BM4490">
        <f t="shared" si="364"/>
        <v>1</v>
      </c>
      <c r="BN4490">
        <f t="shared" si="365"/>
        <v>1900</v>
      </c>
    </row>
    <row r="4491" spans="55:66" x14ac:dyDescent="0.2">
      <c r="BC4491" s="21" t="e" vm="1">
        <v>#REF!</v>
      </c>
      <c r="BD4491" t="e" vm="1">
        <v>#REF!</v>
      </c>
      <c r="BF4491" t="e" vm="2">
        <f t="shared" si="362"/>
        <v>#VALUE!</v>
      </c>
      <c r="BG4491" t="e" vm="2">
        <f t="shared" si="363"/>
        <v>#VALUE!</v>
      </c>
      <c r="BM4491">
        <f t="shared" si="364"/>
        <v>1</v>
      </c>
      <c r="BN4491">
        <f t="shared" si="365"/>
        <v>1900</v>
      </c>
    </row>
    <row r="4492" spans="55:66" x14ac:dyDescent="0.2">
      <c r="BC4492" s="21" t="e" vm="1">
        <v>#REF!</v>
      </c>
      <c r="BD4492" t="e" vm="1">
        <v>#REF!</v>
      </c>
      <c r="BF4492" t="e" vm="2">
        <f t="shared" si="362"/>
        <v>#VALUE!</v>
      </c>
      <c r="BG4492" t="e" vm="2">
        <f t="shared" si="363"/>
        <v>#VALUE!</v>
      </c>
      <c r="BM4492">
        <f t="shared" si="364"/>
        <v>1</v>
      </c>
      <c r="BN4492">
        <f t="shared" si="365"/>
        <v>1900</v>
      </c>
    </row>
    <row r="4493" spans="55:66" x14ac:dyDescent="0.2">
      <c r="BC4493" s="21" t="e" vm="1">
        <v>#REF!</v>
      </c>
      <c r="BD4493" t="e" vm="1">
        <v>#REF!</v>
      </c>
      <c r="BF4493" t="e" vm="2">
        <f t="shared" si="362"/>
        <v>#VALUE!</v>
      </c>
      <c r="BG4493" t="e" vm="2">
        <f t="shared" si="363"/>
        <v>#VALUE!</v>
      </c>
      <c r="BM4493">
        <f t="shared" si="364"/>
        <v>1</v>
      </c>
      <c r="BN4493">
        <f t="shared" si="365"/>
        <v>1900</v>
      </c>
    </row>
    <row r="4494" spans="55:66" x14ac:dyDescent="0.2">
      <c r="BC4494" s="21" t="e" vm="1">
        <v>#REF!</v>
      </c>
      <c r="BD4494" t="e" vm="1">
        <v>#REF!</v>
      </c>
      <c r="BF4494" t="e" vm="2">
        <f t="shared" si="362"/>
        <v>#VALUE!</v>
      </c>
      <c r="BG4494" t="e" vm="2">
        <f t="shared" si="363"/>
        <v>#VALUE!</v>
      </c>
      <c r="BM4494">
        <f t="shared" si="364"/>
        <v>1</v>
      </c>
      <c r="BN4494">
        <f t="shared" si="365"/>
        <v>1900</v>
      </c>
    </row>
    <row r="4495" spans="55:66" x14ac:dyDescent="0.2">
      <c r="BC4495" s="21" t="e" vm="1">
        <v>#REF!</v>
      </c>
      <c r="BD4495" t="e" vm="1">
        <v>#REF!</v>
      </c>
      <c r="BF4495" t="e" vm="2">
        <f t="shared" si="362"/>
        <v>#VALUE!</v>
      </c>
      <c r="BG4495" t="e" vm="2">
        <f t="shared" si="363"/>
        <v>#VALUE!</v>
      </c>
      <c r="BM4495">
        <f t="shared" si="364"/>
        <v>1</v>
      </c>
      <c r="BN4495">
        <f t="shared" si="365"/>
        <v>1900</v>
      </c>
    </row>
    <row r="4496" spans="55:66" x14ac:dyDescent="0.2">
      <c r="BC4496" s="21" t="e" vm="1">
        <v>#REF!</v>
      </c>
      <c r="BD4496" t="e" vm="1">
        <v>#REF!</v>
      </c>
      <c r="BF4496" t="e" vm="2">
        <f t="shared" si="362"/>
        <v>#VALUE!</v>
      </c>
      <c r="BG4496" t="e" vm="2">
        <f t="shared" si="363"/>
        <v>#VALUE!</v>
      </c>
      <c r="BM4496">
        <f t="shared" si="364"/>
        <v>1</v>
      </c>
      <c r="BN4496">
        <f t="shared" si="365"/>
        <v>1900</v>
      </c>
    </row>
    <row r="4497" spans="55:66" x14ac:dyDescent="0.2">
      <c r="BC4497" s="21" t="e" vm="1">
        <v>#REF!</v>
      </c>
      <c r="BD4497" t="e" vm="1">
        <v>#REF!</v>
      </c>
      <c r="BF4497" t="e" vm="2">
        <f t="shared" si="362"/>
        <v>#VALUE!</v>
      </c>
      <c r="BG4497" t="e" vm="2">
        <f t="shared" si="363"/>
        <v>#VALUE!</v>
      </c>
      <c r="BM4497">
        <f t="shared" si="364"/>
        <v>1</v>
      </c>
      <c r="BN4497">
        <f t="shared" si="365"/>
        <v>1900</v>
      </c>
    </row>
    <row r="4498" spans="55:66" x14ac:dyDescent="0.2">
      <c r="BC4498" s="21" t="e" vm="1">
        <v>#REF!</v>
      </c>
      <c r="BD4498" t="e" vm="1">
        <v>#REF!</v>
      </c>
      <c r="BF4498" t="e" vm="2">
        <f t="shared" si="362"/>
        <v>#VALUE!</v>
      </c>
      <c r="BG4498" t="e" vm="2">
        <f t="shared" si="363"/>
        <v>#VALUE!</v>
      </c>
      <c r="BM4498">
        <f t="shared" si="364"/>
        <v>1</v>
      </c>
      <c r="BN4498">
        <f t="shared" si="365"/>
        <v>1900</v>
      </c>
    </row>
    <row r="4499" spans="55:66" x14ac:dyDescent="0.2">
      <c r="BC4499" s="21" t="e" vm="1">
        <v>#REF!</v>
      </c>
      <c r="BD4499" t="e" vm="1">
        <v>#REF!</v>
      </c>
      <c r="BF4499" t="e" vm="2">
        <f t="shared" si="362"/>
        <v>#VALUE!</v>
      </c>
      <c r="BG4499" t="e" vm="2">
        <f t="shared" si="363"/>
        <v>#VALUE!</v>
      </c>
      <c r="BM4499">
        <f t="shared" si="364"/>
        <v>1</v>
      </c>
      <c r="BN4499">
        <f t="shared" si="365"/>
        <v>1900</v>
      </c>
    </row>
    <row r="4500" spans="55:66" x14ac:dyDescent="0.2">
      <c r="BC4500" s="21" t="e" vm="1">
        <v>#REF!</v>
      </c>
      <c r="BD4500" t="e" vm="1">
        <v>#REF!</v>
      </c>
      <c r="BF4500" t="e" vm="2">
        <f t="shared" si="362"/>
        <v>#VALUE!</v>
      </c>
      <c r="BG4500" t="e" vm="2">
        <f t="shared" si="363"/>
        <v>#VALUE!</v>
      </c>
      <c r="BM4500">
        <f t="shared" si="364"/>
        <v>1</v>
      </c>
      <c r="BN4500">
        <f t="shared" si="365"/>
        <v>1900</v>
      </c>
    </row>
    <row r="4501" spans="55:66" x14ac:dyDescent="0.2">
      <c r="BC4501" s="21" t="e" vm="1">
        <v>#REF!</v>
      </c>
      <c r="BD4501" t="e" vm="1">
        <v>#REF!</v>
      </c>
      <c r="BF4501" t="e" vm="2">
        <f t="shared" si="362"/>
        <v>#VALUE!</v>
      </c>
      <c r="BG4501" t="e" vm="2">
        <f t="shared" si="363"/>
        <v>#VALUE!</v>
      </c>
      <c r="BM4501">
        <f t="shared" si="364"/>
        <v>1</v>
      </c>
      <c r="BN4501">
        <f t="shared" si="365"/>
        <v>1900</v>
      </c>
    </row>
    <row r="4502" spans="55:66" x14ac:dyDescent="0.2">
      <c r="BC4502" s="21" t="e" vm="1">
        <v>#REF!</v>
      </c>
      <c r="BD4502" t="e" vm="1">
        <v>#REF!</v>
      </c>
      <c r="BF4502" t="e" vm="2">
        <f t="shared" si="362"/>
        <v>#VALUE!</v>
      </c>
      <c r="BG4502" t="e" vm="2">
        <f t="shared" si="363"/>
        <v>#VALUE!</v>
      </c>
      <c r="BM4502">
        <f t="shared" si="364"/>
        <v>1</v>
      </c>
      <c r="BN4502">
        <f t="shared" si="365"/>
        <v>1900</v>
      </c>
    </row>
    <row r="4503" spans="55:66" x14ac:dyDescent="0.2">
      <c r="BC4503" s="21" t="e" vm="1">
        <v>#REF!</v>
      </c>
      <c r="BD4503" t="e" vm="1">
        <v>#REF!</v>
      </c>
      <c r="BF4503" t="e" vm="2">
        <f t="shared" si="362"/>
        <v>#VALUE!</v>
      </c>
      <c r="BG4503" t="e" vm="2">
        <f t="shared" si="363"/>
        <v>#VALUE!</v>
      </c>
      <c r="BM4503">
        <f t="shared" si="364"/>
        <v>1</v>
      </c>
      <c r="BN4503">
        <f t="shared" si="365"/>
        <v>1900</v>
      </c>
    </row>
    <row r="4504" spans="55:66" x14ac:dyDescent="0.2">
      <c r="BC4504" s="21" t="e" vm="1">
        <v>#REF!</v>
      </c>
      <c r="BD4504" t="e" vm="1">
        <v>#REF!</v>
      </c>
      <c r="BF4504" t="e" vm="2">
        <f t="shared" si="362"/>
        <v>#VALUE!</v>
      </c>
      <c r="BG4504" t="e" vm="2">
        <f t="shared" si="363"/>
        <v>#VALUE!</v>
      </c>
      <c r="BM4504">
        <f t="shared" si="364"/>
        <v>1</v>
      </c>
      <c r="BN4504">
        <f t="shared" si="365"/>
        <v>1900</v>
      </c>
    </row>
    <row r="4505" spans="55:66" x14ac:dyDescent="0.2">
      <c r="BC4505" s="21" t="e" vm="1">
        <v>#REF!</v>
      </c>
      <c r="BD4505" t="e" vm="1">
        <v>#REF!</v>
      </c>
      <c r="BF4505" t="e" vm="2">
        <f t="shared" si="362"/>
        <v>#VALUE!</v>
      </c>
      <c r="BG4505" t="e" vm="2">
        <f t="shared" si="363"/>
        <v>#VALUE!</v>
      </c>
      <c r="BM4505">
        <f t="shared" si="364"/>
        <v>1</v>
      </c>
      <c r="BN4505">
        <f t="shared" si="365"/>
        <v>1900</v>
      </c>
    </row>
    <row r="4506" spans="55:66" x14ac:dyDescent="0.2">
      <c r="BC4506" s="21" t="e" vm="1">
        <v>#REF!</v>
      </c>
      <c r="BD4506" t="e" vm="1">
        <v>#REF!</v>
      </c>
      <c r="BF4506" t="e" vm="2">
        <f t="shared" si="362"/>
        <v>#VALUE!</v>
      </c>
      <c r="BG4506" t="e" vm="2">
        <f t="shared" si="363"/>
        <v>#VALUE!</v>
      </c>
      <c r="BM4506">
        <f t="shared" si="364"/>
        <v>1</v>
      </c>
      <c r="BN4506">
        <f t="shared" si="365"/>
        <v>1900</v>
      </c>
    </row>
    <row r="4507" spans="55:66" x14ac:dyDescent="0.2">
      <c r="BC4507" s="21" t="e" vm="1">
        <v>#REF!</v>
      </c>
      <c r="BD4507" t="e" vm="1">
        <v>#REF!</v>
      </c>
      <c r="BF4507" t="e" vm="2">
        <f t="shared" si="362"/>
        <v>#VALUE!</v>
      </c>
      <c r="BG4507" t="e" vm="2">
        <f t="shared" si="363"/>
        <v>#VALUE!</v>
      </c>
      <c r="BM4507">
        <f t="shared" si="364"/>
        <v>1</v>
      </c>
      <c r="BN4507">
        <f t="shared" si="365"/>
        <v>1900</v>
      </c>
    </row>
    <row r="4508" spans="55:66" x14ac:dyDescent="0.2">
      <c r="BC4508" s="21" t="e" vm="1">
        <v>#REF!</v>
      </c>
      <c r="BD4508" t="e" vm="1">
        <v>#REF!</v>
      </c>
      <c r="BF4508" t="e" vm="2">
        <f t="shared" si="362"/>
        <v>#VALUE!</v>
      </c>
      <c r="BG4508" t="e" vm="2">
        <f t="shared" si="363"/>
        <v>#VALUE!</v>
      </c>
      <c r="BM4508">
        <f t="shared" si="364"/>
        <v>1</v>
      </c>
      <c r="BN4508">
        <f t="shared" si="365"/>
        <v>1900</v>
      </c>
    </row>
    <row r="4509" spans="55:66" x14ac:dyDescent="0.2">
      <c r="BC4509" s="21" t="e" vm="1">
        <v>#REF!</v>
      </c>
      <c r="BD4509" t="e" vm="1">
        <v>#REF!</v>
      </c>
      <c r="BF4509" t="e" vm="2">
        <f t="shared" si="362"/>
        <v>#VALUE!</v>
      </c>
      <c r="BG4509" t="e" vm="2">
        <f t="shared" si="363"/>
        <v>#VALUE!</v>
      </c>
      <c r="BM4509">
        <f t="shared" si="364"/>
        <v>1</v>
      </c>
      <c r="BN4509">
        <f t="shared" si="365"/>
        <v>1900</v>
      </c>
    </row>
    <row r="4510" spans="55:66" x14ac:dyDescent="0.2">
      <c r="BC4510" s="21" t="e" vm="1">
        <v>#REF!</v>
      </c>
      <c r="BD4510" t="e" vm="1">
        <v>#REF!</v>
      </c>
      <c r="BF4510" t="e" vm="2">
        <f t="shared" si="362"/>
        <v>#VALUE!</v>
      </c>
      <c r="BG4510" t="e" vm="2">
        <f t="shared" si="363"/>
        <v>#VALUE!</v>
      </c>
      <c r="BM4510">
        <f t="shared" si="364"/>
        <v>1</v>
      </c>
      <c r="BN4510">
        <f t="shared" si="365"/>
        <v>1900</v>
      </c>
    </row>
    <row r="4511" spans="55:66" x14ac:dyDescent="0.2">
      <c r="BC4511" s="21" t="e" vm="1">
        <v>#REF!</v>
      </c>
      <c r="BD4511" t="e" vm="1">
        <v>#REF!</v>
      </c>
      <c r="BF4511" t="e" vm="2">
        <f t="shared" si="362"/>
        <v>#VALUE!</v>
      </c>
      <c r="BG4511" t="e" vm="2">
        <f t="shared" si="363"/>
        <v>#VALUE!</v>
      </c>
      <c r="BM4511">
        <f t="shared" si="364"/>
        <v>1</v>
      </c>
      <c r="BN4511">
        <f t="shared" si="365"/>
        <v>1900</v>
      </c>
    </row>
    <row r="4512" spans="55:66" x14ac:dyDescent="0.2">
      <c r="BC4512" s="21" t="e" vm="1">
        <v>#REF!</v>
      </c>
      <c r="BD4512" t="e" vm="1">
        <v>#REF!</v>
      </c>
      <c r="BF4512" t="e" vm="2">
        <f t="shared" si="362"/>
        <v>#VALUE!</v>
      </c>
      <c r="BG4512" t="e" vm="2">
        <f t="shared" si="363"/>
        <v>#VALUE!</v>
      </c>
      <c r="BM4512">
        <f t="shared" si="364"/>
        <v>1</v>
      </c>
      <c r="BN4512">
        <f t="shared" si="365"/>
        <v>1900</v>
      </c>
    </row>
    <row r="4513" spans="55:66" x14ac:dyDescent="0.2">
      <c r="BC4513" s="21" t="e" vm="1">
        <v>#REF!</v>
      </c>
      <c r="BD4513" t="e" vm="1">
        <v>#REF!</v>
      </c>
      <c r="BF4513" t="e" vm="2">
        <f t="shared" si="362"/>
        <v>#VALUE!</v>
      </c>
      <c r="BG4513" t="e" vm="2">
        <f t="shared" si="363"/>
        <v>#VALUE!</v>
      </c>
      <c r="BM4513">
        <f t="shared" si="364"/>
        <v>1</v>
      </c>
      <c r="BN4513">
        <f t="shared" si="365"/>
        <v>1900</v>
      </c>
    </row>
    <row r="4514" spans="55:66" x14ac:dyDescent="0.2">
      <c r="BC4514" s="21" t="e" vm="1">
        <v>#REF!</v>
      </c>
      <c r="BD4514" t="e" vm="1">
        <v>#REF!</v>
      </c>
      <c r="BF4514" t="e" vm="2">
        <f t="shared" si="362"/>
        <v>#VALUE!</v>
      </c>
      <c r="BG4514" t="e" vm="2">
        <f t="shared" si="363"/>
        <v>#VALUE!</v>
      </c>
      <c r="BM4514">
        <f t="shared" si="364"/>
        <v>1</v>
      </c>
      <c r="BN4514">
        <f t="shared" si="365"/>
        <v>1900</v>
      </c>
    </row>
    <row r="4515" spans="55:66" x14ac:dyDescent="0.2">
      <c r="BC4515" s="21" t="e" vm="1">
        <v>#REF!</v>
      </c>
      <c r="BD4515" t="e" vm="1">
        <v>#REF!</v>
      </c>
      <c r="BF4515" t="e" vm="2">
        <f t="shared" si="362"/>
        <v>#VALUE!</v>
      </c>
      <c r="BG4515" t="e" vm="2">
        <f t="shared" si="363"/>
        <v>#VALUE!</v>
      </c>
      <c r="BM4515">
        <f t="shared" si="364"/>
        <v>1</v>
      </c>
      <c r="BN4515">
        <f t="shared" si="365"/>
        <v>1900</v>
      </c>
    </row>
    <row r="4516" spans="55:66" x14ac:dyDescent="0.2">
      <c r="BC4516" s="21" t="e" vm="1">
        <v>#REF!</v>
      </c>
      <c r="BD4516" t="e" vm="1">
        <v>#REF!</v>
      </c>
      <c r="BF4516" t="e" vm="2">
        <f t="shared" si="362"/>
        <v>#VALUE!</v>
      </c>
      <c r="BG4516" t="e" vm="2">
        <f t="shared" si="363"/>
        <v>#VALUE!</v>
      </c>
      <c r="BM4516">
        <f t="shared" si="364"/>
        <v>1</v>
      </c>
      <c r="BN4516">
        <f t="shared" si="365"/>
        <v>1900</v>
      </c>
    </row>
    <row r="4517" spans="55:66" x14ac:dyDescent="0.2">
      <c r="BC4517" s="21" t="e" vm="1">
        <v>#REF!</v>
      </c>
      <c r="BD4517" t="e" vm="1">
        <v>#REF!</v>
      </c>
      <c r="BF4517" t="e" vm="2">
        <f t="shared" si="362"/>
        <v>#VALUE!</v>
      </c>
      <c r="BG4517" t="e" vm="2">
        <f t="shared" si="363"/>
        <v>#VALUE!</v>
      </c>
      <c r="BM4517">
        <f t="shared" si="364"/>
        <v>1</v>
      </c>
      <c r="BN4517">
        <f t="shared" si="365"/>
        <v>1900</v>
      </c>
    </row>
    <row r="4518" spans="55:66" x14ac:dyDescent="0.2">
      <c r="BC4518" s="21" t="e" vm="1">
        <v>#REF!</v>
      </c>
      <c r="BD4518" t="e" vm="1">
        <v>#REF!</v>
      </c>
      <c r="BF4518" t="e" vm="2">
        <f t="shared" si="362"/>
        <v>#VALUE!</v>
      </c>
      <c r="BG4518" t="e" vm="2">
        <f t="shared" si="363"/>
        <v>#VALUE!</v>
      </c>
      <c r="BM4518">
        <f t="shared" si="364"/>
        <v>1</v>
      </c>
      <c r="BN4518">
        <f t="shared" si="365"/>
        <v>1900</v>
      </c>
    </row>
    <row r="4519" spans="55:66" x14ac:dyDescent="0.2">
      <c r="BC4519" s="21" t="e" vm="1">
        <v>#REF!</v>
      </c>
      <c r="BD4519" t="e" vm="1">
        <v>#REF!</v>
      </c>
      <c r="BF4519" t="e" vm="2">
        <f t="shared" si="362"/>
        <v>#VALUE!</v>
      </c>
      <c r="BG4519" t="e" vm="2">
        <f t="shared" si="363"/>
        <v>#VALUE!</v>
      </c>
      <c r="BM4519">
        <f t="shared" si="364"/>
        <v>1</v>
      </c>
      <c r="BN4519">
        <f t="shared" si="365"/>
        <v>1900</v>
      </c>
    </row>
    <row r="4520" spans="55:66" x14ac:dyDescent="0.2">
      <c r="BC4520" s="21" t="e" vm="1">
        <v>#REF!</v>
      </c>
      <c r="BD4520" t="e" vm="1">
        <v>#REF!</v>
      </c>
      <c r="BF4520" t="e" vm="2">
        <f t="shared" si="362"/>
        <v>#VALUE!</v>
      </c>
      <c r="BG4520" t="e" vm="2">
        <f t="shared" si="363"/>
        <v>#VALUE!</v>
      </c>
      <c r="BM4520">
        <f t="shared" si="364"/>
        <v>1</v>
      </c>
      <c r="BN4520">
        <f t="shared" si="365"/>
        <v>1900</v>
      </c>
    </row>
    <row r="4521" spans="55:66" x14ac:dyDescent="0.2">
      <c r="BC4521" s="21" t="e" vm="1">
        <v>#REF!</v>
      </c>
      <c r="BD4521" t="e" vm="1">
        <v>#REF!</v>
      </c>
      <c r="BF4521" t="e" vm="2">
        <f t="shared" si="362"/>
        <v>#VALUE!</v>
      </c>
      <c r="BG4521" t="e" vm="2">
        <f t="shared" si="363"/>
        <v>#VALUE!</v>
      </c>
      <c r="BM4521">
        <f t="shared" si="364"/>
        <v>1</v>
      </c>
      <c r="BN4521">
        <f t="shared" si="365"/>
        <v>1900</v>
      </c>
    </row>
    <row r="4522" spans="55:66" x14ac:dyDescent="0.2">
      <c r="BC4522" s="21" t="e" vm="1">
        <v>#REF!</v>
      </c>
      <c r="BD4522" t="e" vm="1">
        <v>#REF!</v>
      </c>
      <c r="BF4522" t="e" vm="2">
        <f t="shared" si="362"/>
        <v>#VALUE!</v>
      </c>
      <c r="BG4522" t="e" vm="2">
        <f t="shared" si="363"/>
        <v>#VALUE!</v>
      </c>
      <c r="BM4522">
        <f t="shared" si="364"/>
        <v>1</v>
      </c>
      <c r="BN4522">
        <f t="shared" si="365"/>
        <v>1900</v>
      </c>
    </row>
    <row r="4523" spans="55:66" x14ac:dyDescent="0.2">
      <c r="BC4523" s="21" t="e" vm="1">
        <v>#REF!</v>
      </c>
      <c r="BD4523" t="e" vm="1">
        <v>#REF!</v>
      </c>
      <c r="BF4523" t="e" vm="2">
        <f t="shared" si="362"/>
        <v>#VALUE!</v>
      </c>
      <c r="BG4523" t="e" vm="2">
        <f t="shared" si="363"/>
        <v>#VALUE!</v>
      </c>
      <c r="BM4523">
        <f t="shared" si="364"/>
        <v>1</v>
      </c>
      <c r="BN4523">
        <f t="shared" si="365"/>
        <v>1900</v>
      </c>
    </row>
    <row r="4524" spans="55:66" x14ac:dyDescent="0.2">
      <c r="BC4524" s="21" t="e" vm="1">
        <v>#REF!</v>
      </c>
      <c r="BD4524" t="e" vm="1">
        <v>#REF!</v>
      </c>
      <c r="BF4524" t="e" vm="2">
        <f t="shared" si="362"/>
        <v>#VALUE!</v>
      </c>
      <c r="BG4524" t="e" vm="2">
        <f t="shared" si="363"/>
        <v>#VALUE!</v>
      </c>
      <c r="BM4524">
        <f t="shared" si="364"/>
        <v>1</v>
      </c>
      <c r="BN4524">
        <f t="shared" si="365"/>
        <v>1900</v>
      </c>
    </row>
    <row r="4525" spans="55:66" x14ac:dyDescent="0.2">
      <c r="BC4525" s="21" t="e" vm="1">
        <v>#REF!</v>
      </c>
      <c r="BD4525" t="e" vm="1">
        <v>#REF!</v>
      </c>
      <c r="BF4525" t="e" vm="2">
        <f t="shared" si="362"/>
        <v>#VALUE!</v>
      </c>
      <c r="BG4525" t="e" vm="2">
        <f t="shared" si="363"/>
        <v>#VALUE!</v>
      </c>
      <c r="BM4525">
        <f t="shared" si="364"/>
        <v>1</v>
      </c>
      <c r="BN4525">
        <f t="shared" si="365"/>
        <v>1900</v>
      </c>
    </row>
    <row r="4526" spans="55:66" x14ac:dyDescent="0.2">
      <c r="BC4526" s="21" t="e" vm="1">
        <v>#REF!</v>
      </c>
      <c r="BD4526" t="e" vm="1">
        <v>#REF!</v>
      </c>
      <c r="BF4526" t="e" vm="2">
        <f t="shared" si="362"/>
        <v>#VALUE!</v>
      </c>
      <c r="BG4526" t="e" vm="2">
        <f t="shared" si="363"/>
        <v>#VALUE!</v>
      </c>
      <c r="BM4526">
        <f t="shared" si="364"/>
        <v>1</v>
      </c>
      <c r="BN4526">
        <f t="shared" si="365"/>
        <v>1900</v>
      </c>
    </row>
    <row r="4527" spans="55:66" x14ac:dyDescent="0.2">
      <c r="BC4527" s="21" t="e" vm="1">
        <v>#REF!</v>
      </c>
      <c r="BD4527" t="e" vm="1">
        <v>#REF!</v>
      </c>
      <c r="BF4527" t="e" vm="2">
        <f t="shared" si="362"/>
        <v>#VALUE!</v>
      </c>
      <c r="BG4527" t="e" vm="2">
        <f t="shared" si="363"/>
        <v>#VALUE!</v>
      </c>
      <c r="BM4527">
        <f t="shared" si="364"/>
        <v>1</v>
      </c>
      <c r="BN4527">
        <f t="shared" si="365"/>
        <v>1900</v>
      </c>
    </row>
    <row r="4528" spans="55:66" x14ac:dyDescent="0.2">
      <c r="BC4528" s="21" t="e" vm="1">
        <v>#REF!</v>
      </c>
      <c r="BD4528" t="e" vm="1">
        <v>#REF!</v>
      </c>
      <c r="BF4528" t="e" vm="2">
        <f t="shared" si="362"/>
        <v>#VALUE!</v>
      </c>
      <c r="BG4528" t="e" vm="2">
        <f t="shared" si="363"/>
        <v>#VALUE!</v>
      </c>
      <c r="BM4528">
        <f t="shared" si="364"/>
        <v>1</v>
      </c>
      <c r="BN4528">
        <f t="shared" si="365"/>
        <v>1900</v>
      </c>
    </row>
    <row r="4529" spans="55:66" x14ac:dyDescent="0.2">
      <c r="BC4529" s="21" t="e" vm="1">
        <v>#REF!</v>
      </c>
      <c r="BD4529" t="e" vm="1">
        <v>#REF!</v>
      </c>
      <c r="BF4529" t="e" vm="2">
        <f t="shared" si="362"/>
        <v>#VALUE!</v>
      </c>
      <c r="BG4529" t="e" vm="2">
        <f t="shared" si="363"/>
        <v>#VALUE!</v>
      </c>
      <c r="BM4529">
        <f t="shared" si="364"/>
        <v>1</v>
      </c>
      <c r="BN4529">
        <f t="shared" si="365"/>
        <v>1900</v>
      </c>
    </row>
    <row r="4530" spans="55:66" x14ac:dyDescent="0.2">
      <c r="BC4530" s="21" t="e" vm="1">
        <v>#REF!</v>
      </c>
      <c r="BD4530" t="e" vm="1">
        <v>#REF!</v>
      </c>
      <c r="BF4530" t="e" vm="2">
        <f t="shared" si="362"/>
        <v>#VALUE!</v>
      </c>
      <c r="BG4530" t="e" vm="2">
        <f t="shared" si="363"/>
        <v>#VALUE!</v>
      </c>
      <c r="BM4530">
        <f t="shared" si="364"/>
        <v>1</v>
      </c>
      <c r="BN4530">
        <f t="shared" si="365"/>
        <v>1900</v>
      </c>
    </row>
    <row r="4531" spans="55:66" x14ac:dyDescent="0.2">
      <c r="BC4531" s="21" t="e" vm="1">
        <v>#REF!</v>
      </c>
      <c r="BD4531" t="e" vm="1">
        <v>#REF!</v>
      </c>
      <c r="BF4531" t="e" vm="2">
        <f t="shared" si="362"/>
        <v>#VALUE!</v>
      </c>
      <c r="BG4531" t="e" vm="2">
        <f t="shared" si="363"/>
        <v>#VALUE!</v>
      </c>
      <c r="BM4531">
        <f t="shared" si="364"/>
        <v>1</v>
      </c>
      <c r="BN4531">
        <f t="shared" si="365"/>
        <v>1900</v>
      </c>
    </row>
    <row r="4532" spans="55:66" x14ac:dyDescent="0.2">
      <c r="BC4532" s="21" t="e" vm="1">
        <v>#REF!</v>
      </c>
      <c r="BD4532" t="e" vm="1">
        <v>#REF!</v>
      </c>
      <c r="BF4532" t="e" vm="2">
        <f t="shared" si="362"/>
        <v>#VALUE!</v>
      </c>
      <c r="BG4532" t="e" vm="2">
        <f t="shared" si="363"/>
        <v>#VALUE!</v>
      </c>
      <c r="BM4532">
        <f t="shared" si="364"/>
        <v>1</v>
      </c>
      <c r="BN4532">
        <f t="shared" si="365"/>
        <v>1900</v>
      </c>
    </row>
    <row r="4533" spans="55:66" x14ac:dyDescent="0.2">
      <c r="BC4533" s="21" t="e" vm="1">
        <v>#REF!</v>
      </c>
      <c r="BD4533" t="e" vm="1">
        <v>#REF!</v>
      </c>
      <c r="BF4533" t="e" vm="2">
        <f t="shared" si="362"/>
        <v>#VALUE!</v>
      </c>
      <c r="BG4533" t="e" vm="2">
        <f t="shared" si="363"/>
        <v>#VALUE!</v>
      </c>
      <c r="BM4533">
        <f t="shared" si="364"/>
        <v>1</v>
      </c>
      <c r="BN4533">
        <f t="shared" si="365"/>
        <v>1900</v>
      </c>
    </row>
    <row r="4534" spans="55:66" x14ac:dyDescent="0.2">
      <c r="BC4534" s="21" t="e" vm="1">
        <v>#REF!</v>
      </c>
      <c r="BD4534" t="e" vm="1">
        <v>#REF!</v>
      </c>
      <c r="BF4534" t="e" vm="2">
        <f t="shared" si="362"/>
        <v>#VALUE!</v>
      </c>
      <c r="BG4534" t="e" vm="2">
        <f t="shared" si="363"/>
        <v>#VALUE!</v>
      </c>
      <c r="BM4534">
        <f t="shared" si="364"/>
        <v>1</v>
      </c>
      <c r="BN4534">
        <f t="shared" si="365"/>
        <v>1900</v>
      </c>
    </row>
    <row r="4535" spans="55:66" x14ac:dyDescent="0.2">
      <c r="BC4535" s="21" t="e" vm="1">
        <v>#REF!</v>
      </c>
      <c r="BD4535" t="e" vm="1">
        <v>#REF!</v>
      </c>
      <c r="BF4535" t="e" vm="2">
        <f t="shared" si="362"/>
        <v>#VALUE!</v>
      </c>
      <c r="BG4535" t="e" vm="2">
        <f t="shared" si="363"/>
        <v>#VALUE!</v>
      </c>
      <c r="BM4535">
        <f t="shared" si="364"/>
        <v>1</v>
      </c>
      <c r="BN4535">
        <f t="shared" si="365"/>
        <v>1900</v>
      </c>
    </row>
    <row r="4536" spans="55:66" x14ac:dyDescent="0.2">
      <c r="BC4536" s="21" t="e" vm="1">
        <v>#REF!</v>
      </c>
      <c r="BD4536" t="e" vm="1">
        <v>#REF!</v>
      </c>
      <c r="BF4536" t="e" vm="2">
        <f t="shared" si="362"/>
        <v>#VALUE!</v>
      </c>
      <c r="BG4536" t="e" vm="2">
        <f t="shared" si="363"/>
        <v>#VALUE!</v>
      </c>
      <c r="BM4536">
        <f t="shared" si="364"/>
        <v>1</v>
      </c>
      <c r="BN4536">
        <f t="shared" si="365"/>
        <v>1900</v>
      </c>
    </row>
    <row r="4537" spans="55:66" x14ac:dyDescent="0.2">
      <c r="BC4537" s="21" t="e" vm="1">
        <v>#REF!</v>
      </c>
      <c r="BD4537" t="e" vm="1">
        <v>#REF!</v>
      </c>
      <c r="BF4537" t="e" vm="2">
        <f t="shared" si="362"/>
        <v>#VALUE!</v>
      </c>
      <c r="BG4537" t="e" vm="2">
        <f t="shared" si="363"/>
        <v>#VALUE!</v>
      </c>
      <c r="BM4537">
        <f t="shared" si="364"/>
        <v>1</v>
      </c>
      <c r="BN4537">
        <f t="shared" si="365"/>
        <v>1900</v>
      </c>
    </row>
    <row r="4538" spans="55:66" x14ac:dyDescent="0.2">
      <c r="BC4538" s="21" t="e" vm="1">
        <v>#REF!</v>
      </c>
      <c r="BD4538" t="e" vm="1">
        <v>#REF!</v>
      </c>
      <c r="BF4538" t="e" vm="2">
        <f t="shared" si="362"/>
        <v>#VALUE!</v>
      </c>
      <c r="BG4538" t="e" vm="2">
        <f t="shared" si="363"/>
        <v>#VALUE!</v>
      </c>
      <c r="BM4538">
        <f t="shared" si="364"/>
        <v>1</v>
      </c>
      <c r="BN4538">
        <f t="shared" si="365"/>
        <v>1900</v>
      </c>
    </row>
    <row r="4539" spans="55:66" x14ac:dyDescent="0.2">
      <c r="BC4539" s="21" t="e" vm="1">
        <v>#REF!</v>
      </c>
      <c r="BD4539" t="e" vm="1">
        <v>#REF!</v>
      </c>
      <c r="BF4539" t="e" vm="2">
        <f t="shared" si="362"/>
        <v>#VALUE!</v>
      </c>
      <c r="BG4539" t="e" vm="2">
        <f t="shared" si="363"/>
        <v>#VALUE!</v>
      </c>
      <c r="BM4539">
        <f t="shared" si="364"/>
        <v>1</v>
      </c>
      <c r="BN4539">
        <f t="shared" si="365"/>
        <v>1900</v>
      </c>
    </row>
    <row r="4540" spans="55:66" x14ac:dyDescent="0.2">
      <c r="BC4540" s="21" t="e" vm="1">
        <v>#REF!</v>
      </c>
      <c r="BD4540" t="e" vm="1">
        <v>#REF!</v>
      </c>
      <c r="BF4540" t="e" vm="2">
        <f t="shared" si="362"/>
        <v>#VALUE!</v>
      </c>
      <c r="BG4540" t="e" vm="2">
        <f t="shared" si="363"/>
        <v>#VALUE!</v>
      </c>
      <c r="BM4540">
        <f t="shared" si="364"/>
        <v>1</v>
      </c>
      <c r="BN4540">
        <f t="shared" si="365"/>
        <v>1900</v>
      </c>
    </row>
    <row r="4541" spans="55:66" x14ac:dyDescent="0.2">
      <c r="BC4541" s="21" t="e" vm="1">
        <v>#REF!</v>
      </c>
      <c r="BD4541" t="e" vm="1">
        <v>#REF!</v>
      </c>
      <c r="BF4541" t="e" vm="2">
        <f t="shared" si="362"/>
        <v>#VALUE!</v>
      </c>
      <c r="BG4541" t="e" vm="2">
        <f t="shared" si="363"/>
        <v>#VALUE!</v>
      </c>
      <c r="BM4541">
        <f t="shared" si="364"/>
        <v>1</v>
      </c>
      <c r="BN4541">
        <f t="shared" si="365"/>
        <v>1900</v>
      </c>
    </row>
    <row r="4542" spans="55:66" x14ac:dyDescent="0.2">
      <c r="BC4542" s="21" t="e" vm="1">
        <v>#REF!</v>
      </c>
      <c r="BD4542" t="e" vm="1">
        <v>#REF!</v>
      </c>
      <c r="BF4542" t="e" vm="2">
        <f t="shared" si="362"/>
        <v>#VALUE!</v>
      </c>
      <c r="BG4542" t="e" vm="2">
        <f t="shared" si="363"/>
        <v>#VALUE!</v>
      </c>
      <c r="BM4542">
        <f t="shared" si="364"/>
        <v>1</v>
      </c>
      <c r="BN4542">
        <f t="shared" si="365"/>
        <v>1900</v>
      </c>
    </row>
    <row r="4543" spans="55:66" x14ac:dyDescent="0.2">
      <c r="BC4543" s="21" t="e" vm="1">
        <v>#REF!</v>
      </c>
      <c r="BD4543" t="e" vm="1">
        <v>#REF!</v>
      </c>
      <c r="BF4543" t="e" vm="2">
        <f t="shared" si="362"/>
        <v>#VALUE!</v>
      </c>
      <c r="BG4543" t="e" vm="2">
        <f t="shared" si="363"/>
        <v>#VALUE!</v>
      </c>
      <c r="BM4543">
        <f t="shared" si="364"/>
        <v>1</v>
      </c>
      <c r="BN4543">
        <f t="shared" si="365"/>
        <v>1900</v>
      </c>
    </row>
    <row r="4544" spans="55:66" x14ac:dyDescent="0.2">
      <c r="BC4544" s="21" t="e" vm="1">
        <v>#REF!</v>
      </c>
      <c r="BD4544" t="e" vm="1">
        <v>#REF!</v>
      </c>
      <c r="BF4544" t="e" vm="2">
        <f t="shared" si="362"/>
        <v>#VALUE!</v>
      </c>
      <c r="BG4544" t="e" vm="2">
        <f t="shared" si="363"/>
        <v>#VALUE!</v>
      </c>
      <c r="BM4544">
        <f t="shared" si="364"/>
        <v>1</v>
      </c>
      <c r="BN4544">
        <f t="shared" si="365"/>
        <v>1900</v>
      </c>
    </row>
    <row r="4545" spans="55:66" x14ac:dyDescent="0.2">
      <c r="BC4545" s="21" t="e" vm="1">
        <v>#REF!</v>
      </c>
      <c r="BD4545" t="e" vm="1">
        <v>#REF!</v>
      </c>
      <c r="BF4545" t="e" vm="2">
        <f t="shared" si="362"/>
        <v>#VALUE!</v>
      </c>
      <c r="BG4545" t="e" vm="2">
        <f t="shared" si="363"/>
        <v>#VALUE!</v>
      </c>
      <c r="BM4545">
        <f t="shared" si="364"/>
        <v>1</v>
      </c>
      <c r="BN4545">
        <f t="shared" si="365"/>
        <v>1900</v>
      </c>
    </row>
    <row r="4546" spans="55:66" x14ac:dyDescent="0.2">
      <c r="BC4546" s="21" t="e" vm="1">
        <v>#REF!</v>
      </c>
      <c r="BD4546" t="e" vm="1">
        <v>#REF!</v>
      </c>
      <c r="BF4546" t="e" vm="2">
        <f t="shared" si="362"/>
        <v>#VALUE!</v>
      </c>
      <c r="BG4546" t="e" vm="2">
        <f t="shared" si="363"/>
        <v>#VALUE!</v>
      </c>
      <c r="BM4546">
        <f t="shared" si="364"/>
        <v>1</v>
      </c>
      <c r="BN4546">
        <f t="shared" si="365"/>
        <v>1900</v>
      </c>
    </row>
    <row r="4547" spans="55:66" x14ac:dyDescent="0.2">
      <c r="BC4547" s="21" t="e" vm="1">
        <v>#REF!</v>
      </c>
      <c r="BD4547" t="e" vm="1">
        <v>#REF!</v>
      </c>
      <c r="BF4547" t="e" vm="2">
        <f t="shared" ref="BF4547:BF4610" si="366">MONTH(BC4547)</f>
        <v>#VALUE!</v>
      </c>
      <c r="BG4547" t="e" vm="2">
        <f t="shared" ref="BG4547:BG4610" si="367">YEAR(BC4547)</f>
        <v>#VALUE!</v>
      </c>
      <c r="BM4547">
        <f t="shared" si="364"/>
        <v>1</v>
      </c>
      <c r="BN4547">
        <f t="shared" si="365"/>
        <v>1900</v>
      </c>
    </row>
    <row r="4548" spans="55:66" x14ac:dyDescent="0.2">
      <c r="BC4548" s="21" t="e" vm="1">
        <v>#REF!</v>
      </c>
      <c r="BD4548" t="e" vm="1">
        <v>#REF!</v>
      </c>
      <c r="BF4548" t="e" vm="2">
        <f t="shared" si="366"/>
        <v>#VALUE!</v>
      </c>
      <c r="BG4548" t="e" vm="2">
        <f t="shared" si="367"/>
        <v>#VALUE!</v>
      </c>
      <c r="BM4548">
        <f t="shared" ref="BM4548:BM4575" si="368">MONTH(BJ4548)</f>
        <v>1</v>
      </c>
      <c r="BN4548">
        <f t="shared" ref="BN4548:BN4575" si="369">YEAR(BJ4548)</f>
        <v>1900</v>
      </c>
    </row>
    <row r="4549" spans="55:66" x14ac:dyDescent="0.2">
      <c r="BC4549" s="21" t="e" vm="1">
        <v>#REF!</v>
      </c>
      <c r="BD4549" t="e" vm="1">
        <v>#REF!</v>
      </c>
      <c r="BF4549" t="e" vm="2">
        <f t="shared" si="366"/>
        <v>#VALUE!</v>
      </c>
      <c r="BG4549" t="e" vm="2">
        <f t="shared" si="367"/>
        <v>#VALUE!</v>
      </c>
      <c r="BM4549">
        <f t="shared" si="368"/>
        <v>1</v>
      </c>
      <c r="BN4549">
        <f t="shared" si="369"/>
        <v>1900</v>
      </c>
    </row>
    <row r="4550" spans="55:66" x14ac:dyDescent="0.2">
      <c r="BC4550" s="21" t="e" vm="1">
        <v>#REF!</v>
      </c>
      <c r="BD4550" t="e" vm="1">
        <v>#REF!</v>
      </c>
      <c r="BF4550" t="e" vm="2">
        <f t="shared" si="366"/>
        <v>#VALUE!</v>
      </c>
      <c r="BG4550" t="e" vm="2">
        <f t="shared" si="367"/>
        <v>#VALUE!</v>
      </c>
      <c r="BM4550">
        <f t="shared" si="368"/>
        <v>1</v>
      </c>
      <c r="BN4550">
        <f t="shared" si="369"/>
        <v>1900</v>
      </c>
    </row>
    <row r="4551" spans="55:66" x14ac:dyDescent="0.2">
      <c r="BC4551" s="21" t="e" vm="1">
        <v>#REF!</v>
      </c>
      <c r="BD4551" t="e" vm="1">
        <v>#REF!</v>
      </c>
      <c r="BF4551" t="e" vm="2">
        <f t="shared" si="366"/>
        <v>#VALUE!</v>
      </c>
      <c r="BG4551" t="e" vm="2">
        <f t="shared" si="367"/>
        <v>#VALUE!</v>
      </c>
      <c r="BM4551">
        <f t="shared" si="368"/>
        <v>1</v>
      </c>
      <c r="BN4551">
        <f t="shared" si="369"/>
        <v>1900</v>
      </c>
    </row>
    <row r="4552" spans="55:66" x14ac:dyDescent="0.2">
      <c r="BC4552" s="21" t="e" vm="1">
        <v>#REF!</v>
      </c>
      <c r="BD4552" t="e" vm="1">
        <v>#REF!</v>
      </c>
      <c r="BF4552" t="e" vm="2">
        <f t="shared" si="366"/>
        <v>#VALUE!</v>
      </c>
      <c r="BG4552" t="e" vm="2">
        <f t="shared" si="367"/>
        <v>#VALUE!</v>
      </c>
      <c r="BM4552">
        <f t="shared" si="368"/>
        <v>1</v>
      </c>
      <c r="BN4552">
        <f t="shared" si="369"/>
        <v>1900</v>
      </c>
    </row>
    <row r="4553" spans="55:66" x14ac:dyDescent="0.2">
      <c r="BC4553" s="21" t="e" vm="1">
        <v>#REF!</v>
      </c>
      <c r="BD4553" t="e" vm="1">
        <v>#REF!</v>
      </c>
      <c r="BF4553" t="e" vm="2">
        <f t="shared" si="366"/>
        <v>#VALUE!</v>
      </c>
      <c r="BG4553" t="e" vm="2">
        <f t="shared" si="367"/>
        <v>#VALUE!</v>
      </c>
      <c r="BM4553">
        <f t="shared" si="368"/>
        <v>1</v>
      </c>
      <c r="BN4553">
        <f t="shared" si="369"/>
        <v>1900</v>
      </c>
    </row>
    <row r="4554" spans="55:66" x14ac:dyDescent="0.2">
      <c r="BC4554" s="21" t="e" vm="1">
        <v>#REF!</v>
      </c>
      <c r="BD4554" t="e" vm="1">
        <v>#REF!</v>
      </c>
      <c r="BF4554" t="e" vm="2">
        <f t="shared" si="366"/>
        <v>#VALUE!</v>
      </c>
      <c r="BG4554" t="e" vm="2">
        <f t="shared" si="367"/>
        <v>#VALUE!</v>
      </c>
      <c r="BM4554">
        <f t="shared" si="368"/>
        <v>1</v>
      </c>
      <c r="BN4554">
        <f t="shared" si="369"/>
        <v>1900</v>
      </c>
    </row>
    <row r="4555" spans="55:66" x14ac:dyDescent="0.2">
      <c r="BC4555" s="21" t="e" vm="1">
        <v>#REF!</v>
      </c>
      <c r="BD4555" t="e" vm="1">
        <v>#REF!</v>
      </c>
      <c r="BF4555" t="e" vm="2">
        <f t="shared" si="366"/>
        <v>#VALUE!</v>
      </c>
      <c r="BG4555" t="e" vm="2">
        <f t="shared" si="367"/>
        <v>#VALUE!</v>
      </c>
      <c r="BM4555">
        <f t="shared" si="368"/>
        <v>1</v>
      </c>
      <c r="BN4555">
        <f t="shared" si="369"/>
        <v>1900</v>
      </c>
    </row>
    <row r="4556" spans="55:66" x14ac:dyDescent="0.2">
      <c r="BC4556" s="21" t="e" vm="1">
        <v>#REF!</v>
      </c>
      <c r="BD4556" t="e" vm="1">
        <v>#REF!</v>
      </c>
      <c r="BF4556" t="e" vm="2">
        <f t="shared" si="366"/>
        <v>#VALUE!</v>
      </c>
      <c r="BG4556" t="e" vm="2">
        <f t="shared" si="367"/>
        <v>#VALUE!</v>
      </c>
      <c r="BM4556">
        <f t="shared" si="368"/>
        <v>1</v>
      </c>
      <c r="BN4556">
        <f t="shared" si="369"/>
        <v>1900</v>
      </c>
    </row>
    <row r="4557" spans="55:66" x14ac:dyDescent="0.2">
      <c r="BC4557" s="21" t="e" vm="1">
        <v>#REF!</v>
      </c>
      <c r="BD4557" t="e" vm="1">
        <v>#REF!</v>
      </c>
      <c r="BF4557" t="e" vm="2">
        <f t="shared" si="366"/>
        <v>#VALUE!</v>
      </c>
      <c r="BG4557" t="e" vm="2">
        <f t="shared" si="367"/>
        <v>#VALUE!</v>
      </c>
      <c r="BM4557">
        <f t="shared" si="368"/>
        <v>1</v>
      </c>
      <c r="BN4557">
        <f t="shared" si="369"/>
        <v>1900</v>
      </c>
    </row>
    <row r="4558" spans="55:66" x14ac:dyDescent="0.2">
      <c r="BC4558" s="21" t="e" vm="1">
        <v>#REF!</v>
      </c>
      <c r="BD4558" t="e" vm="1">
        <v>#REF!</v>
      </c>
      <c r="BF4558" t="e" vm="2">
        <f t="shared" si="366"/>
        <v>#VALUE!</v>
      </c>
      <c r="BG4558" t="e" vm="2">
        <f t="shared" si="367"/>
        <v>#VALUE!</v>
      </c>
      <c r="BM4558">
        <f t="shared" si="368"/>
        <v>1</v>
      </c>
      <c r="BN4558">
        <f t="shared" si="369"/>
        <v>1900</v>
      </c>
    </row>
    <row r="4559" spans="55:66" x14ac:dyDescent="0.2">
      <c r="BC4559" s="21" t="e" vm="1">
        <v>#REF!</v>
      </c>
      <c r="BD4559" t="e" vm="1">
        <v>#REF!</v>
      </c>
      <c r="BF4559" t="e" vm="2">
        <f t="shared" si="366"/>
        <v>#VALUE!</v>
      </c>
      <c r="BG4559" t="e" vm="2">
        <f t="shared" si="367"/>
        <v>#VALUE!</v>
      </c>
      <c r="BM4559">
        <f t="shared" si="368"/>
        <v>1</v>
      </c>
      <c r="BN4559">
        <f t="shared" si="369"/>
        <v>1900</v>
      </c>
    </row>
    <row r="4560" spans="55:66" x14ac:dyDescent="0.2">
      <c r="BC4560" s="21" t="e" vm="1">
        <v>#REF!</v>
      </c>
      <c r="BD4560" t="e" vm="1">
        <v>#REF!</v>
      </c>
      <c r="BF4560" t="e" vm="2">
        <f t="shared" si="366"/>
        <v>#VALUE!</v>
      </c>
      <c r="BG4560" t="e" vm="2">
        <f t="shared" si="367"/>
        <v>#VALUE!</v>
      </c>
      <c r="BM4560">
        <f t="shared" si="368"/>
        <v>1</v>
      </c>
      <c r="BN4560">
        <f t="shared" si="369"/>
        <v>1900</v>
      </c>
    </row>
    <row r="4561" spans="55:66" x14ac:dyDescent="0.2">
      <c r="BC4561" s="21" t="e" vm="1">
        <v>#REF!</v>
      </c>
      <c r="BD4561" t="e" vm="1">
        <v>#REF!</v>
      </c>
      <c r="BF4561" t="e" vm="2">
        <f t="shared" si="366"/>
        <v>#VALUE!</v>
      </c>
      <c r="BG4561" t="e" vm="2">
        <f t="shared" si="367"/>
        <v>#VALUE!</v>
      </c>
      <c r="BM4561">
        <f t="shared" si="368"/>
        <v>1</v>
      </c>
      <c r="BN4561">
        <f t="shared" si="369"/>
        <v>1900</v>
      </c>
    </row>
    <row r="4562" spans="55:66" x14ac:dyDescent="0.2">
      <c r="BC4562" s="21" t="e" vm="1">
        <v>#REF!</v>
      </c>
      <c r="BD4562" t="e" vm="1">
        <v>#REF!</v>
      </c>
      <c r="BF4562" t="e" vm="2">
        <f t="shared" si="366"/>
        <v>#VALUE!</v>
      </c>
      <c r="BG4562" t="e" vm="2">
        <f t="shared" si="367"/>
        <v>#VALUE!</v>
      </c>
      <c r="BM4562">
        <f t="shared" si="368"/>
        <v>1</v>
      </c>
      <c r="BN4562">
        <f t="shared" si="369"/>
        <v>1900</v>
      </c>
    </row>
    <row r="4563" spans="55:66" x14ac:dyDescent="0.2">
      <c r="BC4563" s="21" t="e" vm="1">
        <v>#REF!</v>
      </c>
      <c r="BD4563" t="e" vm="1">
        <v>#REF!</v>
      </c>
      <c r="BF4563" t="e" vm="2">
        <f t="shared" si="366"/>
        <v>#VALUE!</v>
      </c>
      <c r="BG4563" t="e" vm="2">
        <f t="shared" si="367"/>
        <v>#VALUE!</v>
      </c>
      <c r="BM4563">
        <f t="shared" si="368"/>
        <v>1</v>
      </c>
      <c r="BN4563">
        <f t="shared" si="369"/>
        <v>1900</v>
      </c>
    </row>
    <row r="4564" spans="55:66" x14ac:dyDescent="0.2">
      <c r="BC4564" s="21" t="e" vm="1">
        <v>#REF!</v>
      </c>
      <c r="BD4564" t="e" vm="1">
        <v>#REF!</v>
      </c>
      <c r="BF4564" t="e" vm="2">
        <f t="shared" si="366"/>
        <v>#VALUE!</v>
      </c>
      <c r="BG4564" t="e" vm="2">
        <f t="shared" si="367"/>
        <v>#VALUE!</v>
      </c>
      <c r="BM4564">
        <f t="shared" si="368"/>
        <v>1</v>
      </c>
      <c r="BN4564">
        <f t="shared" si="369"/>
        <v>1900</v>
      </c>
    </row>
    <row r="4565" spans="55:66" x14ac:dyDescent="0.2">
      <c r="BC4565" s="21" t="e" vm="1">
        <v>#REF!</v>
      </c>
      <c r="BD4565" t="e" vm="1">
        <v>#REF!</v>
      </c>
      <c r="BF4565" t="e" vm="2">
        <f t="shared" si="366"/>
        <v>#VALUE!</v>
      </c>
      <c r="BG4565" t="e" vm="2">
        <f t="shared" si="367"/>
        <v>#VALUE!</v>
      </c>
      <c r="BM4565">
        <f t="shared" si="368"/>
        <v>1</v>
      </c>
      <c r="BN4565">
        <f t="shared" si="369"/>
        <v>1900</v>
      </c>
    </row>
    <row r="4566" spans="55:66" x14ac:dyDescent="0.2">
      <c r="BC4566" s="21" t="e" vm="1">
        <v>#REF!</v>
      </c>
      <c r="BD4566" t="e" vm="1">
        <v>#REF!</v>
      </c>
      <c r="BF4566" t="e" vm="2">
        <f t="shared" si="366"/>
        <v>#VALUE!</v>
      </c>
      <c r="BG4566" t="e" vm="2">
        <f t="shared" si="367"/>
        <v>#VALUE!</v>
      </c>
      <c r="BM4566">
        <f t="shared" si="368"/>
        <v>1</v>
      </c>
      <c r="BN4566">
        <f t="shared" si="369"/>
        <v>1900</v>
      </c>
    </row>
    <row r="4567" spans="55:66" x14ac:dyDescent="0.2">
      <c r="BC4567" s="21" t="e" vm="1">
        <v>#REF!</v>
      </c>
      <c r="BD4567" t="e" vm="1">
        <v>#REF!</v>
      </c>
      <c r="BF4567" t="e" vm="2">
        <f t="shared" si="366"/>
        <v>#VALUE!</v>
      </c>
      <c r="BG4567" t="e" vm="2">
        <f t="shared" si="367"/>
        <v>#VALUE!</v>
      </c>
      <c r="BM4567">
        <f t="shared" si="368"/>
        <v>1</v>
      </c>
      <c r="BN4567">
        <f t="shared" si="369"/>
        <v>1900</v>
      </c>
    </row>
    <row r="4568" spans="55:66" x14ac:dyDescent="0.2">
      <c r="BC4568" s="21" t="e" vm="1">
        <v>#REF!</v>
      </c>
      <c r="BD4568" t="e" vm="1">
        <v>#REF!</v>
      </c>
      <c r="BF4568" t="e" vm="2">
        <f t="shared" si="366"/>
        <v>#VALUE!</v>
      </c>
      <c r="BG4568" t="e" vm="2">
        <f t="shared" si="367"/>
        <v>#VALUE!</v>
      </c>
      <c r="BM4568">
        <f t="shared" si="368"/>
        <v>1</v>
      </c>
      <c r="BN4568">
        <f t="shared" si="369"/>
        <v>1900</v>
      </c>
    </row>
    <row r="4569" spans="55:66" x14ac:dyDescent="0.2">
      <c r="BC4569" s="21" t="e" vm="1">
        <v>#REF!</v>
      </c>
      <c r="BD4569" t="e" vm="1">
        <v>#REF!</v>
      </c>
      <c r="BF4569" t="e" vm="2">
        <f t="shared" si="366"/>
        <v>#VALUE!</v>
      </c>
      <c r="BG4569" t="e" vm="2">
        <f t="shared" si="367"/>
        <v>#VALUE!</v>
      </c>
      <c r="BM4569">
        <f t="shared" si="368"/>
        <v>1</v>
      </c>
      <c r="BN4569">
        <f t="shared" si="369"/>
        <v>1900</v>
      </c>
    </row>
    <row r="4570" spans="55:66" x14ac:dyDescent="0.2">
      <c r="BC4570" s="21" t="e" vm="1">
        <v>#REF!</v>
      </c>
      <c r="BD4570" t="e" vm="1">
        <v>#REF!</v>
      </c>
      <c r="BF4570" t="e" vm="2">
        <f t="shared" si="366"/>
        <v>#VALUE!</v>
      </c>
      <c r="BG4570" t="e" vm="2">
        <f t="shared" si="367"/>
        <v>#VALUE!</v>
      </c>
      <c r="BM4570">
        <f t="shared" si="368"/>
        <v>1</v>
      </c>
      <c r="BN4570">
        <f t="shared" si="369"/>
        <v>1900</v>
      </c>
    </row>
    <row r="4571" spans="55:66" x14ac:dyDescent="0.2">
      <c r="BC4571" s="21" t="e" vm="1">
        <v>#REF!</v>
      </c>
      <c r="BD4571" t="e" vm="1">
        <v>#REF!</v>
      </c>
      <c r="BF4571" t="e" vm="2">
        <f t="shared" si="366"/>
        <v>#VALUE!</v>
      </c>
      <c r="BG4571" t="e" vm="2">
        <f t="shared" si="367"/>
        <v>#VALUE!</v>
      </c>
      <c r="BM4571">
        <f t="shared" si="368"/>
        <v>1</v>
      </c>
      <c r="BN4571">
        <f t="shared" si="369"/>
        <v>1900</v>
      </c>
    </row>
    <row r="4572" spans="55:66" x14ac:dyDescent="0.2">
      <c r="BC4572" s="21" t="e" vm="1">
        <v>#REF!</v>
      </c>
      <c r="BD4572" t="e" vm="1">
        <v>#REF!</v>
      </c>
      <c r="BF4572" t="e" vm="2">
        <f t="shared" si="366"/>
        <v>#VALUE!</v>
      </c>
      <c r="BG4572" t="e" vm="2">
        <f t="shared" si="367"/>
        <v>#VALUE!</v>
      </c>
      <c r="BM4572">
        <f t="shared" si="368"/>
        <v>1</v>
      </c>
      <c r="BN4572">
        <f t="shared" si="369"/>
        <v>1900</v>
      </c>
    </row>
    <row r="4573" spans="55:66" x14ac:dyDescent="0.2">
      <c r="BC4573" s="21" t="e" vm="1">
        <v>#REF!</v>
      </c>
      <c r="BD4573" t="e" vm="1">
        <v>#REF!</v>
      </c>
      <c r="BF4573" t="e" vm="2">
        <f t="shared" si="366"/>
        <v>#VALUE!</v>
      </c>
      <c r="BG4573" t="e" vm="2">
        <f t="shared" si="367"/>
        <v>#VALUE!</v>
      </c>
      <c r="BM4573">
        <f t="shared" si="368"/>
        <v>1</v>
      </c>
      <c r="BN4573">
        <f t="shared" si="369"/>
        <v>1900</v>
      </c>
    </row>
    <row r="4574" spans="55:66" x14ac:dyDescent="0.2">
      <c r="BC4574" s="21" t="e" vm="1">
        <v>#REF!</v>
      </c>
      <c r="BD4574" t="e" vm="1">
        <v>#REF!</v>
      </c>
      <c r="BF4574" t="e" vm="2">
        <f t="shared" si="366"/>
        <v>#VALUE!</v>
      </c>
      <c r="BG4574" t="e" vm="2">
        <f t="shared" si="367"/>
        <v>#VALUE!</v>
      </c>
      <c r="BM4574">
        <f t="shared" si="368"/>
        <v>1</v>
      </c>
      <c r="BN4574">
        <f t="shared" si="369"/>
        <v>1900</v>
      </c>
    </row>
    <row r="4575" spans="55:66" x14ac:dyDescent="0.2">
      <c r="BC4575" s="21" t="e" vm="1">
        <v>#REF!</v>
      </c>
      <c r="BD4575" t="e" vm="1">
        <v>#REF!</v>
      </c>
      <c r="BF4575" t="e" vm="2">
        <f t="shared" si="366"/>
        <v>#VALUE!</v>
      </c>
      <c r="BG4575" t="e" vm="2">
        <f t="shared" si="367"/>
        <v>#VALUE!</v>
      </c>
      <c r="BM4575">
        <f t="shared" si="368"/>
        <v>1</v>
      </c>
      <c r="BN4575">
        <f t="shared" si="369"/>
        <v>1900</v>
      </c>
    </row>
    <row r="4576" spans="55:66" x14ac:dyDescent="0.2">
      <c r="BC4576" s="21" t="e" vm="1">
        <v>#REF!</v>
      </c>
      <c r="BD4576" t="e" vm="1">
        <v>#REF!</v>
      </c>
      <c r="BF4576" t="e" vm="2">
        <f t="shared" si="366"/>
        <v>#VALUE!</v>
      </c>
      <c r="BG4576" t="e" vm="2">
        <f t="shared" si="367"/>
        <v>#VALUE!</v>
      </c>
    </row>
    <row r="4577" spans="55:59" x14ac:dyDescent="0.2">
      <c r="BC4577" s="21" t="e" vm="1">
        <v>#REF!</v>
      </c>
      <c r="BD4577" t="e" vm="1">
        <v>#REF!</v>
      </c>
      <c r="BF4577" t="e" vm="2">
        <f t="shared" si="366"/>
        <v>#VALUE!</v>
      </c>
      <c r="BG4577" t="e" vm="2">
        <f t="shared" si="367"/>
        <v>#VALUE!</v>
      </c>
    </row>
    <row r="4578" spans="55:59" x14ac:dyDescent="0.2">
      <c r="BC4578" s="21" t="e" vm="1">
        <v>#REF!</v>
      </c>
      <c r="BD4578" t="e" vm="1">
        <v>#REF!</v>
      </c>
      <c r="BF4578" t="e" vm="2">
        <f t="shared" si="366"/>
        <v>#VALUE!</v>
      </c>
      <c r="BG4578" t="e" vm="2">
        <f t="shared" si="367"/>
        <v>#VALUE!</v>
      </c>
    </row>
    <row r="4579" spans="55:59" x14ac:dyDescent="0.2">
      <c r="BC4579" s="21" t="e" vm="1">
        <v>#REF!</v>
      </c>
      <c r="BD4579" t="e" vm="1">
        <v>#REF!</v>
      </c>
      <c r="BF4579" t="e" vm="2">
        <f t="shared" si="366"/>
        <v>#VALUE!</v>
      </c>
      <c r="BG4579" t="e" vm="2">
        <f t="shared" si="367"/>
        <v>#VALUE!</v>
      </c>
    </row>
    <row r="4580" spans="55:59" x14ac:dyDescent="0.2">
      <c r="BC4580" s="21" t="e" vm="1">
        <v>#REF!</v>
      </c>
      <c r="BD4580" t="e" vm="1">
        <v>#REF!</v>
      </c>
      <c r="BF4580" t="e" vm="2">
        <f t="shared" si="366"/>
        <v>#VALUE!</v>
      </c>
      <c r="BG4580" t="e" vm="2">
        <f t="shared" si="367"/>
        <v>#VALUE!</v>
      </c>
    </row>
    <row r="4581" spans="55:59" x14ac:dyDescent="0.2">
      <c r="BC4581" s="21" t="e" vm="1">
        <v>#REF!</v>
      </c>
      <c r="BD4581" t="e" vm="1">
        <v>#REF!</v>
      </c>
      <c r="BF4581" t="e" vm="2">
        <f t="shared" si="366"/>
        <v>#VALUE!</v>
      </c>
      <c r="BG4581" t="e" vm="2">
        <f t="shared" si="367"/>
        <v>#VALUE!</v>
      </c>
    </row>
    <row r="4582" spans="55:59" x14ac:dyDescent="0.2">
      <c r="BC4582" s="21" t="e" vm="1">
        <v>#REF!</v>
      </c>
      <c r="BD4582" t="e" vm="1">
        <v>#REF!</v>
      </c>
      <c r="BF4582" t="e" vm="2">
        <f t="shared" si="366"/>
        <v>#VALUE!</v>
      </c>
      <c r="BG4582" t="e" vm="2">
        <f t="shared" si="367"/>
        <v>#VALUE!</v>
      </c>
    </row>
    <row r="4583" spans="55:59" x14ac:dyDescent="0.2">
      <c r="BC4583" s="21" t="e" vm="1">
        <v>#REF!</v>
      </c>
      <c r="BD4583" t="e" vm="1">
        <v>#REF!</v>
      </c>
      <c r="BF4583" t="e" vm="2">
        <f t="shared" si="366"/>
        <v>#VALUE!</v>
      </c>
      <c r="BG4583" t="e" vm="2">
        <f t="shared" si="367"/>
        <v>#VALUE!</v>
      </c>
    </row>
    <row r="4584" spans="55:59" x14ac:dyDescent="0.2">
      <c r="BC4584" s="21" t="e" vm="1">
        <v>#REF!</v>
      </c>
      <c r="BD4584" t="e" vm="1">
        <v>#REF!</v>
      </c>
      <c r="BF4584" t="e" vm="2">
        <f t="shared" si="366"/>
        <v>#VALUE!</v>
      </c>
      <c r="BG4584" t="e" vm="2">
        <f t="shared" si="367"/>
        <v>#VALUE!</v>
      </c>
    </row>
    <row r="4585" spans="55:59" x14ac:dyDescent="0.2">
      <c r="BC4585" s="21" t="e" vm="1">
        <v>#REF!</v>
      </c>
      <c r="BD4585" t="e" vm="1">
        <v>#REF!</v>
      </c>
      <c r="BF4585" t="e" vm="2">
        <f t="shared" si="366"/>
        <v>#VALUE!</v>
      </c>
      <c r="BG4585" t="e" vm="2">
        <f t="shared" si="367"/>
        <v>#VALUE!</v>
      </c>
    </row>
    <row r="4586" spans="55:59" x14ac:dyDescent="0.2">
      <c r="BC4586" s="21" t="e" vm="1">
        <v>#REF!</v>
      </c>
      <c r="BD4586" t="e" vm="1">
        <v>#REF!</v>
      </c>
      <c r="BF4586" t="e" vm="2">
        <f t="shared" si="366"/>
        <v>#VALUE!</v>
      </c>
      <c r="BG4586" t="e" vm="2">
        <f t="shared" si="367"/>
        <v>#VALUE!</v>
      </c>
    </row>
    <row r="4587" spans="55:59" x14ac:dyDescent="0.2">
      <c r="BC4587" s="21" t="e" vm="1">
        <v>#REF!</v>
      </c>
      <c r="BD4587" t="e" vm="1">
        <v>#REF!</v>
      </c>
      <c r="BF4587" t="e" vm="2">
        <f t="shared" si="366"/>
        <v>#VALUE!</v>
      </c>
      <c r="BG4587" t="e" vm="2">
        <f t="shared" si="367"/>
        <v>#VALUE!</v>
      </c>
    </row>
    <row r="4588" spans="55:59" x14ac:dyDescent="0.2">
      <c r="BC4588" s="21" t="e" vm="1">
        <v>#REF!</v>
      </c>
      <c r="BD4588" t="e" vm="1">
        <v>#REF!</v>
      </c>
      <c r="BF4588" t="e" vm="2">
        <f t="shared" si="366"/>
        <v>#VALUE!</v>
      </c>
      <c r="BG4588" t="e" vm="2">
        <f t="shared" si="367"/>
        <v>#VALUE!</v>
      </c>
    </row>
    <row r="4589" spans="55:59" x14ac:dyDescent="0.2">
      <c r="BC4589" s="21" t="e" vm="1">
        <v>#REF!</v>
      </c>
      <c r="BD4589" t="e" vm="1">
        <v>#REF!</v>
      </c>
      <c r="BF4589" t="e" vm="2">
        <f t="shared" si="366"/>
        <v>#VALUE!</v>
      </c>
      <c r="BG4589" t="e" vm="2">
        <f t="shared" si="367"/>
        <v>#VALUE!</v>
      </c>
    </row>
    <row r="4590" spans="55:59" x14ac:dyDescent="0.2">
      <c r="BC4590" s="21" t="e" vm="1">
        <v>#REF!</v>
      </c>
      <c r="BD4590" t="e" vm="1">
        <v>#REF!</v>
      </c>
      <c r="BF4590" t="e" vm="2">
        <f t="shared" si="366"/>
        <v>#VALUE!</v>
      </c>
      <c r="BG4590" t="e" vm="2">
        <f t="shared" si="367"/>
        <v>#VALUE!</v>
      </c>
    </row>
    <row r="4591" spans="55:59" x14ac:dyDescent="0.2">
      <c r="BC4591" s="21" t="e" vm="1">
        <v>#REF!</v>
      </c>
      <c r="BD4591" t="e" vm="1">
        <v>#REF!</v>
      </c>
      <c r="BF4591" t="e" vm="2">
        <f t="shared" si="366"/>
        <v>#VALUE!</v>
      </c>
      <c r="BG4591" t="e" vm="2">
        <f t="shared" si="367"/>
        <v>#VALUE!</v>
      </c>
    </row>
    <row r="4592" spans="55:59" x14ac:dyDescent="0.2">
      <c r="BC4592" s="21" t="e" vm="1">
        <v>#REF!</v>
      </c>
      <c r="BD4592" t="e" vm="1">
        <v>#REF!</v>
      </c>
      <c r="BF4592" t="e" vm="2">
        <f t="shared" si="366"/>
        <v>#VALUE!</v>
      </c>
      <c r="BG4592" t="e" vm="2">
        <f t="shared" si="367"/>
        <v>#VALUE!</v>
      </c>
    </row>
    <row r="4593" spans="55:59" x14ac:dyDescent="0.2">
      <c r="BC4593" s="21" t="e" vm="1">
        <v>#REF!</v>
      </c>
      <c r="BD4593" t="e" vm="1">
        <v>#REF!</v>
      </c>
      <c r="BF4593" t="e" vm="2">
        <f t="shared" si="366"/>
        <v>#VALUE!</v>
      </c>
      <c r="BG4593" t="e" vm="2">
        <f t="shared" si="367"/>
        <v>#VALUE!</v>
      </c>
    </row>
    <row r="4594" spans="55:59" x14ac:dyDescent="0.2">
      <c r="BC4594" s="21" t="e" vm="1">
        <v>#REF!</v>
      </c>
      <c r="BD4594" t="e" vm="1">
        <v>#REF!</v>
      </c>
      <c r="BF4594" t="e" vm="2">
        <f t="shared" si="366"/>
        <v>#VALUE!</v>
      </c>
      <c r="BG4594" t="e" vm="2">
        <f t="shared" si="367"/>
        <v>#VALUE!</v>
      </c>
    </row>
    <row r="4595" spans="55:59" x14ac:dyDescent="0.2">
      <c r="BC4595" s="21" t="e" vm="1">
        <v>#REF!</v>
      </c>
      <c r="BD4595" t="e" vm="1">
        <v>#REF!</v>
      </c>
      <c r="BF4595" t="e" vm="2">
        <f t="shared" si="366"/>
        <v>#VALUE!</v>
      </c>
      <c r="BG4595" t="e" vm="2">
        <f t="shared" si="367"/>
        <v>#VALUE!</v>
      </c>
    </row>
    <row r="4596" spans="55:59" x14ac:dyDescent="0.2">
      <c r="BC4596" s="21" t="e" vm="1">
        <v>#REF!</v>
      </c>
      <c r="BD4596" t="e" vm="1">
        <v>#REF!</v>
      </c>
      <c r="BF4596" t="e" vm="2">
        <f t="shared" si="366"/>
        <v>#VALUE!</v>
      </c>
      <c r="BG4596" t="e" vm="2">
        <f t="shared" si="367"/>
        <v>#VALUE!</v>
      </c>
    </row>
    <row r="4597" spans="55:59" x14ac:dyDescent="0.2">
      <c r="BC4597" s="21" t="e" vm="1">
        <v>#REF!</v>
      </c>
      <c r="BD4597" t="e" vm="1">
        <v>#REF!</v>
      </c>
      <c r="BF4597" t="e" vm="2">
        <f t="shared" si="366"/>
        <v>#VALUE!</v>
      </c>
      <c r="BG4597" t="e" vm="2">
        <f t="shared" si="367"/>
        <v>#VALUE!</v>
      </c>
    </row>
    <row r="4598" spans="55:59" x14ac:dyDescent="0.2">
      <c r="BC4598" s="21" t="e" vm="1">
        <v>#REF!</v>
      </c>
      <c r="BD4598" t="e" vm="1">
        <v>#REF!</v>
      </c>
      <c r="BF4598" t="e" vm="2">
        <f t="shared" si="366"/>
        <v>#VALUE!</v>
      </c>
      <c r="BG4598" t="e" vm="2">
        <f t="shared" si="367"/>
        <v>#VALUE!</v>
      </c>
    </row>
    <row r="4599" spans="55:59" x14ac:dyDescent="0.2">
      <c r="BC4599" s="21" t="e" vm="1">
        <v>#REF!</v>
      </c>
      <c r="BD4599" t="e" vm="1">
        <v>#REF!</v>
      </c>
      <c r="BF4599" t="e" vm="2">
        <f t="shared" si="366"/>
        <v>#VALUE!</v>
      </c>
      <c r="BG4599" t="e" vm="2">
        <f t="shared" si="367"/>
        <v>#VALUE!</v>
      </c>
    </row>
    <row r="4600" spans="55:59" x14ac:dyDescent="0.2">
      <c r="BC4600" s="21" t="e" vm="1">
        <v>#REF!</v>
      </c>
      <c r="BD4600" t="e" vm="1">
        <v>#REF!</v>
      </c>
      <c r="BF4600" t="e" vm="2">
        <f t="shared" si="366"/>
        <v>#VALUE!</v>
      </c>
      <c r="BG4600" t="e" vm="2">
        <f t="shared" si="367"/>
        <v>#VALUE!</v>
      </c>
    </row>
    <row r="4601" spans="55:59" x14ac:dyDescent="0.2">
      <c r="BC4601" s="21" t="e" vm="1">
        <v>#REF!</v>
      </c>
      <c r="BD4601" t="e" vm="1">
        <v>#REF!</v>
      </c>
      <c r="BF4601" t="e" vm="2">
        <f t="shared" si="366"/>
        <v>#VALUE!</v>
      </c>
      <c r="BG4601" t="e" vm="2">
        <f t="shared" si="367"/>
        <v>#VALUE!</v>
      </c>
    </row>
    <row r="4602" spans="55:59" x14ac:dyDescent="0.2">
      <c r="BC4602" s="21" t="e" vm="1">
        <v>#REF!</v>
      </c>
      <c r="BD4602" t="e" vm="1">
        <v>#REF!</v>
      </c>
      <c r="BF4602" t="e" vm="2">
        <f t="shared" si="366"/>
        <v>#VALUE!</v>
      </c>
      <c r="BG4602" t="e" vm="2">
        <f t="shared" si="367"/>
        <v>#VALUE!</v>
      </c>
    </row>
    <row r="4603" spans="55:59" x14ac:dyDescent="0.2">
      <c r="BC4603" s="21" t="e" vm="1">
        <v>#REF!</v>
      </c>
      <c r="BD4603" t="e" vm="1">
        <v>#REF!</v>
      </c>
      <c r="BF4603" t="e" vm="2">
        <f t="shared" si="366"/>
        <v>#VALUE!</v>
      </c>
      <c r="BG4603" t="e" vm="2">
        <f t="shared" si="367"/>
        <v>#VALUE!</v>
      </c>
    </row>
    <row r="4604" spans="55:59" x14ac:dyDescent="0.2">
      <c r="BC4604" s="21" t="e" vm="1">
        <v>#REF!</v>
      </c>
      <c r="BD4604" t="e" vm="1">
        <v>#REF!</v>
      </c>
      <c r="BF4604" t="e" vm="2">
        <f t="shared" si="366"/>
        <v>#VALUE!</v>
      </c>
      <c r="BG4604" t="e" vm="2">
        <f t="shared" si="367"/>
        <v>#VALUE!</v>
      </c>
    </row>
    <row r="4605" spans="55:59" x14ac:dyDescent="0.2">
      <c r="BC4605" s="21" t="e" vm="1">
        <v>#REF!</v>
      </c>
      <c r="BD4605" t="e" vm="1">
        <v>#REF!</v>
      </c>
      <c r="BF4605" t="e" vm="2">
        <f t="shared" si="366"/>
        <v>#VALUE!</v>
      </c>
      <c r="BG4605" t="e" vm="2">
        <f t="shared" si="367"/>
        <v>#VALUE!</v>
      </c>
    </row>
    <row r="4606" spans="55:59" x14ac:dyDescent="0.2">
      <c r="BC4606" s="21" t="e" vm="1">
        <v>#REF!</v>
      </c>
      <c r="BD4606" t="e" vm="1">
        <v>#REF!</v>
      </c>
      <c r="BF4606" t="e" vm="2">
        <f t="shared" si="366"/>
        <v>#VALUE!</v>
      </c>
      <c r="BG4606" t="e" vm="2">
        <f t="shared" si="367"/>
        <v>#VALUE!</v>
      </c>
    </row>
    <row r="4607" spans="55:59" x14ac:dyDescent="0.2">
      <c r="BC4607" s="21" t="e" vm="1">
        <v>#REF!</v>
      </c>
      <c r="BD4607" t="e" vm="1">
        <v>#REF!</v>
      </c>
      <c r="BF4607" t="e" vm="2">
        <f t="shared" si="366"/>
        <v>#VALUE!</v>
      </c>
      <c r="BG4607" t="e" vm="2">
        <f t="shared" si="367"/>
        <v>#VALUE!</v>
      </c>
    </row>
    <row r="4608" spans="55:59" x14ac:dyDescent="0.2">
      <c r="BC4608" s="21" t="e" vm="1">
        <v>#REF!</v>
      </c>
      <c r="BD4608" t="e" vm="1">
        <v>#REF!</v>
      </c>
      <c r="BF4608" t="e" vm="2">
        <f t="shared" si="366"/>
        <v>#VALUE!</v>
      </c>
      <c r="BG4608" t="e" vm="2">
        <f t="shared" si="367"/>
        <v>#VALUE!</v>
      </c>
    </row>
    <row r="4609" spans="55:59" x14ac:dyDescent="0.2">
      <c r="BC4609" s="21" t="e" vm="1">
        <v>#REF!</v>
      </c>
      <c r="BD4609" t="e" vm="1">
        <v>#REF!</v>
      </c>
      <c r="BF4609" t="e" vm="2">
        <f t="shared" si="366"/>
        <v>#VALUE!</v>
      </c>
      <c r="BG4609" t="e" vm="2">
        <f t="shared" si="367"/>
        <v>#VALUE!</v>
      </c>
    </row>
    <row r="4610" spans="55:59" x14ac:dyDescent="0.2">
      <c r="BC4610" s="21" t="e" vm="1">
        <v>#REF!</v>
      </c>
      <c r="BD4610" t="e" vm="1">
        <v>#REF!</v>
      </c>
      <c r="BF4610" t="e" vm="2">
        <f t="shared" si="366"/>
        <v>#VALUE!</v>
      </c>
      <c r="BG4610" t="e" vm="2">
        <f t="shared" si="367"/>
        <v>#VALUE!</v>
      </c>
    </row>
    <row r="4611" spans="55:59" x14ac:dyDescent="0.2">
      <c r="BC4611" s="21" t="e" vm="1">
        <v>#REF!</v>
      </c>
      <c r="BD4611" t="e" vm="1">
        <v>#REF!</v>
      </c>
      <c r="BF4611" t="e" vm="2">
        <f t="shared" ref="BF4611:BF4674" si="370">MONTH(BC4611)</f>
        <v>#VALUE!</v>
      </c>
      <c r="BG4611" t="e" vm="2">
        <f t="shared" ref="BG4611:BG4674" si="371">YEAR(BC4611)</f>
        <v>#VALUE!</v>
      </c>
    </row>
    <row r="4612" spans="55:59" x14ac:dyDescent="0.2">
      <c r="BC4612" s="21" t="e" vm="1">
        <v>#REF!</v>
      </c>
      <c r="BD4612" t="e" vm="1">
        <v>#REF!</v>
      </c>
      <c r="BF4612" t="e" vm="2">
        <f t="shared" si="370"/>
        <v>#VALUE!</v>
      </c>
      <c r="BG4612" t="e" vm="2">
        <f t="shared" si="371"/>
        <v>#VALUE!</v>
      </c>
    </row>
    <row r="4613" spans="55:59" x14ac:dyDescent="0.2">
      <c r="BC4613" s="21" t="e" vm="1">
        <v>#REF!</v>
      </c>
      <c r="BD4613" t="e" vm="1">
        <v>#REF!</v>
      </c>
      <c r="BF4613" t="e" vm="2">
        <f t="shared" si="370"/>
        <v>#VALUE!</v>
      </c>
      <c r="BG4613" t="e" vm="2">
        <f t="shared" si="371"/>
        <v>#VALUE!</v>
      </c>
    </row>
    <row r="4614" spans="55:59" x14ac:dyDescent="0.2">
      <c r="BC4614" s="21" t="e" vm="1">
        <v>#REF!</v>
      </c>
      <c r="BD4614" t="e" vm="1">
        <v>#REF!</v>
      </c>
      <c r="BF4614" t="e" vm="2">
        <f t="shared" si="370"/>
        <v>#VALUE!</v>
      </c>
      <c r="BG4614" t="e" vm="2">
        <f t="shared" si="371"/>
        <v>#VALUE!</v>
      </c>
    </row>
    <row r="4615" spans="55:59" x14ac:dyDescent="0.2">
      <c r="BC4615" s="21" t="e" vm="1">
        <v>#REF!</v>
      </c>
      <c r="BD4615" t="e" vm="1">
        <v>#REF!</v>
      </c>
      <c r="BF4615" t="e" vm="2">
        <f t="shared" si="370"/>
        <v>#VALUE!</v>
      </c>
      <c r="BG4615" t="e" vm="2">
        <f t="shared" si="371"/>
        <v>#VALUE!</v>
      </c>
    </row>
    <row r="4616" spans="55:59" x14ac:dyDescent="0.2">
      <c r="BC4616" s="21" t="e" vm="1">
        <v>#REF!</v>
      </c>
      <c r="BD4616" t="e" vm="1">
        <v>#REF!</v>
      </c>
      <c r="BF4616" t="e" vm="2">
        <f t="shared" si="370"/>
        <v>#VALUE!</v>
      </c>
      <c r="BG4616" t="e" vm="2">
        <f t="shared" si="371"/>
        <v>#VALUE!</v>
      </c>
    </row>
    <row r="4617" spans="55:59" x14ac:dyDescent="0.2">
      <c r="BC4617" s="21" t="e" vm="1">
        <v>#REF!</v>
      </c>
      <c r="BD4617" t="e" vm="1">
        <v>#REF!</v>
      </c>
      <c r="BF4617" t="e" vm="2">
        <f t="shared" si="370"/>
        <v>#VALUE!</v>
      </c>
      <c r="BG4617" t="e" vm="2">
        <f t="shared" si="371"/>
        <v>#VALUE!</v>
      </c>
    </row>
    <row r="4618" spans="55:59" x14ac:dyDescent="0.2">
      <c r="BC4618" s="21" t="e" vm="1">
        <v>#REF!</v>
      </c>
      <c r="BD4618" t="e" vm="1">
        <v>#REF!</v>
      </c>
      <c r="BF4618" t="e" vm="2">
        <f t="shared" si="370"/>
        <v>#VALUE!</v>
      </c>
      <c r="BG4618" t="e" vm="2">
        <f t="shared" si="371"/>
        <v>#VALUE!</v>
      </c>
    </row>
    <row r="4619" spans="55:59" x14ac:dyDescent="0.2">
      <c r="BC4619" s="21" t="e" vm="1">
        <v>#REF!</v>
      </c>
      <c r="BD4619" t="e" vm="1">
        <v>#REF!</v>
      </c>
      <c r="BF4619" t="e" vm="2">
        <f t="shared" si="370"/>
        <v>#VALUE!</v>
      </c>
      <c r="BG4619" t="e" vm="2">
        <f t="shared" si="371"/>
        <v>#VALUE!</v>
      </c>
    </row>
    <row r="4620" spans="55:59" x14ac:dyDescent="0.2">
      <c r="BC4620" s="21" t="e" vm="1">
        <v>#REF!</v>
      </c>
      <c r="BD4620" t="e" vm="1">
        <v>#REF!</v>
      </c>
      <c r="BF4620" t="e" vm="2">
        <f t="shared" si="370"/>
        <v>#VALUE!</v>
      </c>
      <c r="BG4620" t="e" vm="2">
        <f t="shared" si="371"/>
        <v>#VALUE!</v>
      </c>
    </row>
    <row r="4621" spans="55:59" x14ac:dyDescent="0.2">
      <c r="BC4621" s="21" t="e" vm="1">
        <v>#REF!</v>
      </c>
      <c r="BD4621" t="e" vm="1">
        <v>#REF!</v>
      </c>
      <c r="BF4621" t="e" vm="2">
        <f t="shared" si="370"/>
        <v>#VALUE!</v>
      </c>
      <c r="BG4621" t="e" vm="2">
        <f t="shared" si="371"/>
        <v>#VALUE!</v>
      </c>
    </row>
    <row r="4622" spans="55:59" x14ac:dyDescent="0.2">
      <c r="BC4622" s="21" t="e" vm="1">
        <v>#REF!</v>
      </c>
      <c r="BD4622" t="e" vm="1">
        <v>#REF!</v>
      </c>
      <c r="BF4622" t="e" vm="2">
        <f t="shared" si="370"/>
        <v>#VALUE!</v>
      </c>
      <c r="BG4622" t="e" vm="2">
        <f t="shared" si="371"/>
        <v>#VALUE!</v>
      </c>
    </row>
    <row r="4623" spans="55:59" x14ac:dyDescent="0.2">
      <c r="BC4623" s="21" t="e" vm="1">
        <v>#REF!</v>
      </c>
      <c r="BD4623" t="e" vm="1">
        <v>#REF!</v>
      </c>
      <c r="BF4623" t="e" vm="2">
        <f t="shared" si="370"/>
        <v>#VALUE!</v>
      </c>
      <c r="BG4623" t="e" vm="2">
        <f t="shared" si="371"/>
        <v>#VALUE!</v>
      </c>
    </row>
    <row r="4624" spans="55:59" x14ac:dyDescent="0.2">
      <c r="BC4624" s="21" t="e" vm="1">
        <v>#REF!</v>
      </c>
      <c r="BD4624" t="e" vm="1">
        <v>#REF!</v>
      </c>
      <c r="BF4624" t="e" vm="2">
        <f t="shared" si="370"/>
        <v>#VALUE!</v>
      </c>
      <c r="BG4624" t="e" vm="2">
        <f t="shared" si="371"/>
        <v>#VALUE!</v>
      </c>
    </row>
    <row r="4625" spans="55:59" x14ac:dyDescent="0.2">
      <c r="BC4625" s="21" t="e" vm="1">
        <v>#REF!</v>
      </c>
      <c r="BD4625" t="e" vm="1">
        <v>#REF!</v>
      </c>
      <c r="BF4625" t="e" vm="2">
        <f t="shared" si="370"/>
        <v>#VALUE!</v>
      </c>
      <c r="BG4625" t="e" vm="2">
        <f t="shared" si="371"/>
        <v>#VALUE!</v>
      </c>
    </row>
    <row r="4626" spans="55:59" x14ac:dyDescent="0.2">
      <c r="BC4626" s="21" t="e" vm="1">
        <v>#REF!</v>
      </c>
      <c r="BD4626" t="e" vm="1">
        <v>#REF!</v>
      </c>
      <c r="BF4626" t="e" vm="2">
        <f t="shared" si="370"/>
        <v>#VALUE!</v>
      </c>
      <c r="BG4626" t="e" vm="2">
        <f t="shared" si="371"/>
        <v>#VALUE!</v>
      </c>
    </row>
    <row r="4627" spans="55:59" x14ac:dyDescent="0.2">
      <c r="BC4627" s="21" t="e" vm="1">
        <v>#REF!</v>
      </c>
      <c r="BD4627" t="e" vm="1">
        <v>#REF!</v>
      </c>
      <c r="BF4627" t="e" vm="2">
        <f t="shared" si="370"/>
        <v>#VALUE!</v>
      </c>
      <c r="BG4627" t="e" vm="2">
        <f t="shared" si="371"/>
        <v>#VALUE!</v>
      </c>
    </row>
    <row r="4628" spans="55:59" x14ac:dyDescent="0.2">
      <c r="BC4628" s="21" t="e" vm="1">
        <v>#REF!</v>
      </c>
      <c r="BD4628" t="e" vm="1">
        <v>#REF!</v>
      </c>
      <c r="BF4628" t="e" vm="2">
        <f t="shared" si="370"/>
        <v>#VALUE!</v>
      </c>
      <c r="BG4628" t="e" vm="2">
        <f t="shared" si="371"/>
        <v>#VALUE!</v>
      </c>
    </row>
    <row r="4629" spans="55:59" x14ac:dyDescent="0.2">
      <c r="BC4629" s="21" t="e" vm="1">
        <v>#REF!</v>
      </c>
      <c r="BD4629" t="e" vm="1">
        <v>#REF!</v>
      </c>
      <c r="BF4629" t="e" vm="2">
        <f t="shared" si="370"/>
        <v>#VALUE!</v>
      </c>
      <c r="BG4629" t="e" vm="2">
        <f t="shared" si="371"/>
        <v>#VALUE!</v>
      </c>
    </row>
    <row r="4630" spans="55:59" x14ac:dyDescent="0.2">
      <c r="BC4630" s="21" t="e" vm="1">
        <v>#REF!</v>
      </c>
      <c r="BD4630" t="e" vm="1">
        <v>#REF!</v>
      </c>
      <c r="BF4630" t="e" vm="2">
        <f t="shared" si="370"/>
        <v>#VALUE!</v>
      </c>
      <c r="BG4630" t="e" vm="2">
        <f t="shared" si="371"/>
        <v>#VALUE!</v>
      </c>
    </row>
    <row r="4631" spans="55:59" x14ac:dyDescent="0.2">
      <c r="BC4631" s="21" t="e" vm="1">
        <v>#REF!</v>
      </c>
      <c r="BD4631" t="e" vm="1">
        <v>#REF!</v>
      </c>
      <c r="BF4631" t="e" vm="2">
        <f t="shared" si="370"/>
        <v>#VALUE!</v>
      </c>
      <c r="BG4631" t="e" vm="2">
        <f t="shared" si="371"/>
        <v>#VALUE!</v>
      </c>
    </row>
    <row r="4632" spans="55:59" x14ac:dyDescent="0.2">
      <c r="BC4632" s="21" t="e" vm="1">
        <v>#REF!</v>
      </c>
      <c r="BD4632" t="e" vm="1">
        <v>#REF!</v>
      </c>
      <c r="BF4632" t="e" vm="2">
        <f t="shared" si="370"/>
        <v>#VALUE!</v>
      </c>
      <c r="BG4632" t="e" vm="2">
        <f t="shared" si="371"/>
        <v>#VALUE!</v>
      </c>
    </row>
    <row r="4633" spans="55:59" x14ac:dyDescent="0.2">
      <c r="BC4633" s="21" t="e" vm="1">
        <v>#REF!</v>
      </c>
      <c r="BD4633" t="e" vm="1">
        <v>#REF!</v>
      </c>
      <c r="BF4633" t="e" vm="2">
        <f t="shared" si="370"/>
        <v>#VALUE!</v>
      </c>
      <c r="BG4633" t="e" vm="2">
        <f t="shared" si="371"/>
        <v>#VALUE!</v>
      </c>
    </row>
    <row r="4634" spans="55:59" x14ac:dyDescent="0.2">
      <c r="BC4634" s="21" t="e" vm="1">
        <v>#REF!</v>
      </c>
      <c r="BD4634" t="e" vm="1">
        <v>#REF!</v>
      </c>
      <c r="BF4634" t="e" vm="2">
        <f t="shared" si="370"/>
        <v>#VALUE!</v>
      </c>
      <c r="BG4634" t="e" vm="2">
        <f t="shared" si="371"/>
        <v>#VALUE!</v>
      </c>
    </row>
    <row r="4635" spans="55:59" x14ac:dyDescent="0.2">
      <c r="BC4635" s="21" t="e" vm="1">
        <v>#REF!</v>
      </c>
      <c r="BD4635" t="e" vm="1">
        <v>#REF!</v>
      </c>
      <c r="BF4635" t="e" vm="2">
        <f t="shared" si="370"/>
        <v>#VALUE!</v>
      </c>
      <c r="BG4635" t="e" vm="2">
        <f t="shared" si="371"/>
        <v>#VALUE!</v>
      </c>
    </row>
    <row r="4636" spans="55:59" x14ac:dyDescent="0.2">
      <c r="BC4636" s="21" t="e" vm="1">
        <v>#REF!</v>
      </c>
      <c r="BD4636" t="e" vm="1">
        <v>#REF!</v>
      </c>
      <c r="BF4636" t="e" vm="2">
        <f t="shared" si="370"/>
        <v>#VALUE!</v>
      </c>
      <c r="BG4636" t="e" vm="2">
        <f t="shared" si="371"/>
        <v>#VALUE!</v>
      </c>
    </row>
    <row r="4637" spans="55:59" x14ac:dyDescent="0.2">
      <c r="BC4637" s="21" t="e" vm="1">
        <v>#REF!</v>
      </c>
      <c r="BD4637" t="e" vm="1">
        <v>#REF!</v>
      </c>
      <c r="BF4637" t="e" vm="2">
        <f t="shared" si="370"/>
        <v>#VALUE!</v>
      </c>
      <c r="BG4637" t="e" vm="2">
        <f t="shared" si="371"/>
        <v>#VALUE!</v>
      </c>
    </row>
    <row r="4638" spans="55:59" x14ac:dyDescent="0.2">
      <c r="BC4638" s="21" t="e" vm="1">
        <v>#REF!</v>
      </c>
      <c r="BD4638" t="e" vm="1">
        <v>#REF!</v>
      </c>
      <c r="BF4638" t="e" vm="2">
        <f t="shared" si="370"/>
        <v>#VALUE!</v>
      </c>
      <c r="BG4638" t="e" vm="2">
        <f t="shared" si="371"/>
        <v>#VALUE!</v>
      </c>
    </row>
    <row r="4639" spans="55:59" x14ac:dyDescent="0.2">
      <c r="BC4639" s="21" t="e" vm="1">
        <v>#REF!</v>
      </c>
      <c r="BD4639" t="e" vm="1">
        <v>#REF!</v>
      </c>
      <c r="BF4639" t="e" vm="2">
        <f t="shared" si="370"/>
        <v>#VALUE!</v>
      </c>
      <c r="BG4639" t="e" vm="2">
        <f t="shared" si="371"/>
        <v>#VALUE!</v>
      </c>
    </row>
    <row r="4640" spans="55:59" x14ac:dyDescent="0.2">
      <c r="BC4640" s="21" t="e" vm="1">
        <v>#REF!</v>
      </c>
      <c r="BD4640" t="e" vm="1">
        <v>#REF!</v>
      </c>
      <c r="BF4640" t="e" vm="2">
        <f t="shared" si="370"/>
        <v>#VALUE!</v>
      </c>
      <c r="BG4640" t="e" vm="2">
        <f t="shared" si="371"/>
        <v>#VALUE!</v>
      </c>
    </row>
    <row r="4641" spans="55:59" x14ac:dyDescent="0.2">
      <c r="BC4641" s="21" t="e" vm="1">
        <v>#REF!</v>
      </c>
      <c r="BD4641" t="e" vm="1">
        <v>#REF!</v>
      </c>
      <c r="BF4641" t="e" vm="2">
        <f t="shared" si="370"/>
        <v>#VALUE!</v>
      </c>
      <c r="BG4641" t="e" vm="2">
        <f t="shared" si="371"/>
        <v>#VALUE!</v>
      </c>
    </row>
    <row r="4642" spans="55:59" x14ac:dyDescent="0.2">
      <c r="BC4642" s="21" t="e" vm="1">
        <v>#REF!</v>
      </c>
      <c r="BD4642" t="e" vm="1">
        <v>#REF!</v>
      </c>
      <c r="BF4642" t="e" vm="2">
        <f t="shared" si="370"/>
        <v>#VALUE!</v>
      </c>
      <c r="BG4642" t="e" vm="2">
        <f t="shared" si="371"/>
        <v>#VALUE!</v>
      </c>
    </row>
    <row r="4643" spans="55:59" x14ac:dyDescent="0.2">
      <c r="BC4643" s="21" t="e" vm="1">
        <v>#REF!</v>
      </c>
      <c r="BD4643" t="e" vm="1">
        <v>#REF!</v>
      </c>
      <c r="BF4643" t="e" vm="2">
        <f t="shared" si="370"/>
        <v>#VALUE!</v>
      </c>
      <c r="BG4643" t="e" vm="2">
        <f t="shared" si="371"/>
        <v>#VALUE!</v>
      </c>
    </row>
    <row r="4644" spans="55:59" x14ac:dyDescent="0.2">
      <c r="BC4644" s="21" t="e" vm="1">
        <v>#REF!</v>
      </c>
      <c r="BD4644" t="e" vm="1">
        <v>#REF!</v>
      </c>
      <c r="BF4644" t="e" vm="2">
        <f t="shared" si="370"/>
        <v>#VALUE!</v>
      </c>
      <c r="BG4644" t="e" vm="2">
        <f t="shared" si="371"/>
        <v>#VALUE!</v>
      </c>
    </row>
    <row r="4645" spans="55:59" x14ac:dyDescent="0.2">
      <c r="BC4645" s="21" t="e" vm="1">
        <v>#REF!</v>
      </c>
      <c r="BD4645" t="e" vm="1">
        <v>#REF!</v>
      </c>
      <c r="BF4645" t="e" vm="2">
        <f t="shared" si="370"/>
        <v>#VALUE!</v>
      </c>
      <c r="BG4645" t="e" vm="2">
        <f t="shared" si="371"/>
        <v>#VALUE!</v>
      </c>
    </row>
    <row r="4646" spans="55:59" x14ac:dyDescent="0.2">
      <c r="BC4646" s="21" t="e" vm="1">
        <v>#REF!</v>
      </c>
      <c r="BD4646" t="e" vm="1">
        <v>#REF!</v>
      </c>
      <c r="BF4646" t="e" vm="2">
        <f t="shared" si="370"/>
        <v>#VALUE!</v>
      </c>
      <c r="BG4646" t="e" vm="2">
        <f t="shared" si="371"/>
        <v>#VALUE!</v>
      </c>
    </row>
    <row r="4647" spans="55:59" x14ac:dyDescent="0.2">
      <c r="BC4647" s="21" t="e" vm="1">
        <v>#REF!</v>
      </c>
      <c r="BD4647" t="e" vm="1">
        <v>#REF!</v>
      </c>
      <c r="BF4647" t="e" vm="2">
        <f t="shared" si="370"/>
        <v>#VALUE!</v>
      </c>
      <c r="BG4647" t="e" vm="2">
        <f t="shared" si="371"/>
        <v>#VALUE!</v>
      </c>
    </row>
    <row r="4648" spans="55:59" x14ac:dyDescent="0.2">
      <c r="BC4648" s="21" t="e" vm="1">
        <v>#REF!</v>
      </c>
      <c r="BD4648" t="e" vm="1">
        <v>#REF!</v>
      </c>
      <c r="BF4648" t="e" vm="2">
        <f t="shared" si="370"/>
        <v>#VALUE!</v>
      </c>
      <c r="BG4648" t="e" vm="2">
        <f t="shared" si="371"/>
        <v>#VALUE!</v>
      </c>
    </row>
    <row r="4649" spans="55:59" x14ac:dyDescent="0.2">
      <c r="BC4649" s="21" t="e" vm="1">
        <v>#REF!</v>
      </c>
      <c r="BD4649" t="e" vm="1">
        <v>#REF!</v>
      </c>
      <c r="BF4649" t="e" vm="2">
        <f t="shared" si="370"/>
        <v>#VALUE!</v>
      </c>
      <c r="BG4649" t="e" vm="2">
        <f t="shared" si="371"/>
        <v>#VALUE!</v>
      </c>
    </row>
    <row r="4650" spans="55:59" x14ac:dyDescent="0.2">
      <c r="BC4650" s="21" t="e" vm="1">
        <v>#REF!</v>
      </c>
      <c r="BD4650" t="e" vm="1">
        <v>#REF!</v>
      </c>
      <c r="BF4650" t="e" vm="2">
        <f t="shared" si="370"/>
        <v>#VALUE!</v>
      </c>
      <c r="BG4650" t="e" vm="2">
        <f t="shared" si="371"/>
        <v>#VALUE!</v>
      </c>
    </row>
    <row r="4651" spans="55:59" x14ac:dyDescent="0.2">
      <c r="BC4651" s="21" t="e" vm="1">
        <v>#REF!</v>
      </c>
      <c r="BD4651" t="e" vm="1">
        <v>#REF!</v>
      </c>
      <c r="BF4651" t="e" vm="2">
        <f t="shared" si="370"/>
        <v>#VALUE!</v>
      </c>
      <c r="BG4651" t="e" vm="2">
        <f t="shared" si="371"/>
        <v>#VALUE!</v>
      </c>
    </row>
    <row r="4652" spans="55:59" x14ac:dyDescent="0.2">
      <c r="BC4652" s="21" t="e" vm="1">
        <v>#REF!</v>
      </c>
      <c r="BD4652" t="e" vm="1">
        <v>#REF!</v>
      </c>
      <c r="BF4652" t="e" vm="2">
        <f t="shared" si="370"/>
        <v>#VALUE!</v>
      </c>
      <c r="BG4652" t="e" vm="2">
        <f t="shared" si="371"/>
        <v>#VALUE!</v>
      </c>
    </row>
    <row r="4653" spans="55:59" x14ac:dyDescent="0.2">
      <c r="BC4653" s="21" t="e" vm="1">
        <v>#REF!</v>
      </c>
      <c r="BD4653" t="e" vm="1">
        <v>#REF!</v>
      </c>
      <c r="BF4653" t="e" vm="2">
        <f t="shared" si="370"/>
        <v>#VALUE!</v>
      </c>
      <c r="BG4653" t="e" vm="2">
        <f t="shared" si="371"/>
        <v>#VALUE!</v>
      </c>
    </row>
    <row r="4654" spans="55:59" x14ac:dyDescent="0.2">
      <c r="BC4654" s="21" t="e" vm="1">
        <v>#REF!</v>
      </c>
      <c r="BD4654" t="e" vm="1">
        <v>#REF!</v>
      </c>
      <c r="BF4654" t="e" vm="2">
        <f t="shared" si="370"/>
        <v>#VALUE!</v>
      </c>
      <c r="BG4654" t="e" vm="2">
        <f t="shared" si="371"/>
        <v>#VALUE!</v>
      </c>
    </row>
    <row r="4655" spans="55:59" x14ac:dyDescent="0.2">
      <c r="BC4655" s="21" t="e" vm="1">
        <v>#REF!</v>
      </c>
      <c r="BD4655" t="e" vm="1">
        <v>#REF!</v>
      </c>
      <c r="BF4655" t="e" vm="2">
        <f t="shared" si="370"/>
        <v>#VALUE!</v>
      </c>
      <c r="BG4655" t="e" vm="2">
        <f t="shared" si="371"/>
        <v>#VALUE!</v>
      </c>
    </row>
    <row r="4656" spans="55:59" x14ac:dyDescent="0.2">
      <c r="BC4656" s="21" t="e" vm="1">
        <v>#REF!</v>
      </c>
      <c r="BD4656" t="e" vm="1">
        <v>#REF!</v>
      </c>
      <c r="BF4656" t="e" vm="2">
        <f t="shared" si="370"/>
        <v>#VALUE!</v>
      </c>
      <c r="BG4656" t="e" vm="2">
        <f t="shared" si="371"/>
        <v>#VALUE!</v>
      </c>
    </row>
    <row r="4657" spans="55:59" x14ac:dyDescent="0.2">
      <c r="BC4657" s="21" t="e" vm="1">
        <v>#REF!</v>
      </c>
      <c r="BD4657" t="e" vm="1">
        <v>#REF!</v>
      </c>
      <c r="BF4657" t="e" vm="2">
        <f t="shared" si="370"/>
        <v>#VALUE!</v>
      </c>
      <c r="BG4657" t="e" vm="2">
        <f t="shared" si="371"/>
        <v>#VALUE!</v>
      </c>
    </row>
    <row r="4658" spans="55:59" x14ac:dyDescent="0.2">
      <c r="BC4658" s="21" t="e" vm="1">
        <v>#REF!</v>
      </c>
      <c r="BD4658" t="e" vm="1">
        <v>#REF!</v>
      </c>
      <c r="BF4658" t="e" vm="2">
        <f t="shared" si="370"/>
        <v>#VALUE!</v>
      </c>
      <c r="BG4658" t="e" vm="2">
        <f t="shared" si="371"/>
        <v>#VALUE!</v>
      </c>
    </row>
    <row r="4659" spans="55:59" x14ac:dyDescent="0.2">
      <c r="BC4659" s="21" t="e" vm="1">
        <v>#REF!</v>
      </c>
      <c r="BD4659" t="e" vm="1">
        <v>#REF!</v>
      </c>
      <c r="BF4659" t="e" vm="2">
        <f t="shared" si="370"/>
        <v>#VALUE!</v>
      </c>
      <c r="BG4659" t="e" vm="2">
        <f t="shared" si="371"/>
        <v>#VALUE!</v>
      </c>
    </row>
    <row r="4660" spans="55:59" x14ac:dyDescent="0.2">
      <c r="BC4660" s="21" t="e" vm="1">
        <v>#REF!</v>
      </c>
      <c r="BD4660" t="e" vm="1">
        <v>#REF!</v>
      </c>
      <c r="BF4660" t="e" vm="2">
        <f t="shared" si="370"/>
        <v>#VALUE!</v>
      </c>
      <c r="BG4660" t="e" vm="2">
        <f t="shared" si="371"/>
        <v>#VALUE!</v>
      </c>
    </row>
    <row r="4661" spans="55:59" x14ac:dyDescent="0.2">
      <c r="BC4661" s="21" t="e" vm="1">
        <v>#REF!</v>
      </c>
      <c r="BD4661" t="e" vm="1">
        <v>#REF!</v>
      </c>
      <c r="BF4661" t="e" vm="2">
        <f t="shared" si="370"/>
        <v>#VALUE!</v>
      </c>
      <c r="BG4661" t="e" vm="2">
        <f t="shared" si="371"/>
        <v>#VALUE!</v>
      </c>
    </row>
    <row r="4662" spans="55:59" x14ac:dyDescent="0.2">
      <c r="BC4662" s="21" t="e" vm="1">
        <v>#REF!</v>
      </c>
      <c r="BD4662" t="e" vm="1">
        <v>#REF!</v>
      </c>
      <c r="BF4662" t="e" vm="2">
        <f t="shared" si="370"/>
        <v>#VALUE!</v>
      </c>
      <c r="BG4662" t="e" vm="2">
        <f t="shared" si="371"/>
        <v>#VALUE!</v>
      </c>
    </row>
    <row r="4663" spans="55:59" x14ac:dyDescent="0.2">
      <c r="BC4663" s="21" t="e" vm="1">
        <v>#REF!</v>
      </c>
      <c r="BD4663" t="e" vm="1">
        <v>#REF!</v>
      </c>
      <c r="BF4663" t="e" vm="2">
        <f t="shared" si="370"/>
        <v>#VALUE!</v>
      </c>
      <c r="BG4663" t="e" vm="2">
        <f t="shared" si="371"/>
        <v>#VALUE!</v>
      </c>
    </row>
    <row r="4664" spans="55:59" x14ac:dyDescent="0.2">
      <c r="BC4664" s="21" t="e" vm="1">
        <v>#REF!</v>
      </c>
      <c r="BD4664" t="e" vm="1">
        <v>#REF!</v>
      </c>
      <c r="BF4664" t="e" vm="2">
        <f t="shared" si="370"/>
        <v>#VALUE!</v>
      </c>
      <c r="BG4664" t="e" vm="2">
        <f t="shared" si="371"/>
        <v>#VALUE!</v>
      </c>
    </row>
    <row r="4665" spans="55:59" x14ac:dyDescent="0.2">
      <c r="BC4665" s="21" t="e" vm="1">
        <v>#REF!</v>
      </c>
      <c r="BD4665" t="e" vm="1">
        <v>#REF!</v>
      </c>
      <c r="BF4665" t="e" vm="2">
        <f t="shared" si="370"/>
        <v>#VALUE!</v>
      </c>
      <c r="BG4665" t="e" vm="2">
        <f t="shared" si="371"/>
        <v>#VALUE!</v>
      </c>
    </row>
    <row r="4666" spans="55:59" x14ac:dyDescent="0.2">
      <c r="BC4666" s="21" t="e" vm="1">
        <v>#REF!</v>
      </c>
      <c r="BD4666" t="e" vm="1">
        <v>#REF!</v>
      </c>
      <c r="BF4666" t="e" vm="2">
        <f t="shared" si="370"/>
        <v>#VALUE!</v>
      </c>
      <c r="BG4666" t="e" vm="2">
        <f t="shared" si="371"/>
        <v>#VALUE!</v>
      </c>
    </row>
    <row r="4667" spans="55:59" x14ac:dyDescent="0.2">
      <c r="BC4667" s="21" t="e" vm="1">
        <v>#REF!</v>
      </c>
      <c r="BD4667" t="e" vm="1">
        <v>#REF!</v>
      </c>
      <c r="BF4667" t="e" vm="2">
        <f t="shared" si="370"/>
        <v>#VALUE!</v>
      </c>
      <c r="BG4667" t="e" vm="2">
        <f t="shared" si="371"/>
        <v>#VALUE!</v>
      </c>
    </row>
    <row r="4668" spans="55:59" x14ac:dyDescent="0.2">
      <c r="BC4668" s="21" t="e" vm="1">
        <v>#REF!</v>
      </c>
      <c r="BD4668" t="e" vm="1">
        <v>#REF!</v>
      </c>
      <c r="BF4668" t="e" vm="2">
        <f t="shared" si="370"/>
        <v>#VALUE!</v>
      </c>
      <c r="BG4668" t="e" vm="2">
        <f t="shared" si="371"/>
        <v>#VALUE!</v>
      </c>
    </row>
    <row r="4669" spans="55:59" x14ac:dyDescent="0.2">
      <c r="BC4669" s="21" t="e" vm="1">
        <v>#REF!</v>
      </c>
      <c r="BD4669" t="e" vm="1">
        <v>#REF!</v>
      </c>
      <c r="BF4669" t="e" vm="2">
        <f t="shared" si="370"/>
        <v>#VALUE!</v>
      </c>
      <c r="BG4669" t="e" vm="2">
        <f t="shared" si="371"/>
        <v>#VALUE!</v>
      </c>
    </row>
    <row r="4670" spans="55:59" x14ac:dyDescent="0.2">
      <c r="BC4670" s="21" t="e" vm="1">
        <v>#REF!</v>
      </c>
      <c r="BD4670" t="e" vm="1">
        <v>#REF!</v>
      </c>
      <c r="BF4670" t="e" vm="2">
        <f t="shared" si="370"/>
        <v>#VALUE!</v>
      </c>
      <c r="BG4670" t="e" vm="2">
        <f t="shared" si="371"/>
        <v>#VALUE!</v>
      </c>
    </row>
    <row r="4671" spans="55:59" x14ac:dyDescent="0.2">
      <c r="BC4671" s="21" t="e" vm="1">
        <v>#REF!</v>
      </c>
      <c r="BD4671" t="e" vm="1">
        <v>#REF!</v>
      </c>
      <c r="BF4671" t="e" vm="2">
        <f t="shared" si="370"/>
        <v>#VALUE!</v>
      </c>
      <c r="BG4671" t="e" vm="2">
        <f t="shared" si="371"/>
        <v>#VALUE!</v>
      </c>
    </row>
    <row r="4672" spans="55:59" x14ac:dyDescent="0.2">
      <c r="BC4672" s="21" t="e" vm="1">
        <v>#REF!</v>
      </c>
      <c r="BD4672" t="e" vm="1">
        <v>#REF!</v>
      </c>
      <c r="BF4672" t="e" vm="2">
        <f t="shared" si="370"/>
        <v>#VALUE!</v>
      </c>
      <c r="BG4672" t="e" vm="2">
        <f t="shared" si="371"/>
        <v>#VALUE!</v>
      </c>
    </row>
    <row r="4673" spans="55:59" x14ac:dyDescent="0.2">
      <c r="BC4673" s="21" t="e" vm="1">
        <v>#REF!</v>
      </c>
      <c r="BD4673" t="e" vm="1">
        <v>#REF!</v>
      </c>
      <c r="BF4673" t="e" vm="2">
        <f t="shared" si="370"/>
        <v>#VALUE!</v>
      </c>
      <c r="BG4673" t="e" vm="2">
        <f t="shared" si="371"/>
        <v>#VALUE!</v>
      </c>
    </row>
    <row r="4674" spans="55:59" x14ac:dyDescent="0.2">
      <c r="BC4674" s="21" t="e" vm="1">
        <v>#REF!</v>
      </c>
      <c r="BD4674" t="e" vm="1">
        <v>#REF!</v>
      </c>
      <c r="BF4674" t="e" vm="2">
        <f t="shared" si="370"/>
        <v>#VALUE!</v>
      </c>
      <c r="BG4674" t="e" vm="2">
        <f t="shared" si="371"/>
        <v>#VALUE!</v>
      </c>
    </row>
    <row r="4675" spans="55:59" x14ac:dyDescent="0.2">
      <c r="BC4675" s="21" t="e" vm="1">
        <v>#REF!</v>
      </c>
      <c r="BD4675" t="e" vm="1">
        <v>#REF!</v>
      </c>
      <c r="BF4675" t="e" vm="2">
        <f t="shared" ref="BF4675:BF4738" si="372">MONTH(BC4675)</f>
        <v>#VALUE!</v>
      </c>
      <c r="BG4675" t="e" vm="2">
        <f t="shared" ref="BG4675:BG4738" si="373">YEAR(BC4675)</f>
        <v>#VALUE!</v>
      </c>
    </row>
    <row r="4676" spans="55:59" x14ac:dyDescent="0.2">
      <c r="BC4676" s="21" t="e" vm="1">
        <v>#REF!</v>
      </c>
      <c r="BD4676" t="e" vm="1">
        <v>#REF!</v>
      </c>
      <c r="BF4676" t="e" vm="2">
        <f t="shared" si="372"/>
        <v>#VALUE!</v>
      </c>
      <c r="BG4676" t="e" vm="2">
        <f t="shared" si="373"/>
        <v>#VALUE!</v>
      </c>
    </row>
    <row r="4677" spans="55:59" x14ac:dyDescent="0.2">
      <c r="BC4677" s="21" t="e" vm="1">
        <v>#REF!</v>
      </c>
      <c r="BD4677" t="e" vm="1">
        <v>#REF!</v>
      </c>
      <c r="BF4677" t="e" vm="2">
        <f t="shared" si="372"/>
        <v>#VALUE!</v>
      </c>
      <c r="BG4677" t="e" vm="2">
        <f t="shared" si="373"/>
        <v>#VALUE!</v>
      </c>
    </row>
    <row r="4678" spans="55:59" x14ac:dyDescent="0.2">
      <c r="BC4678" s="21" t="e" vm="1">
        <v>#REF!</v>
      </c>
      <c r="BD4678" t="e" vm="1">
        <v>#REF!</v>
      </c>
      <c r="BF4678" t="e" vm="2">
        <f t="shared" si="372"/>
        <v>#VALUE!</v>
      </c>
      <c r="BG4678" t="e" vm="2">
        <f t="shared" si="373"/>
        <v>#VALUE!</v>
      </c>
    </row>
    <row r="4679" spans="55:59" x14ac:dyDescent="0.2">
      <c r="BC4679" s="21" t="e" vm="1">
        <v>#REF!</v>
      </c>
      <c r="BD4679" t="e" vm="1">
        <v>#REF!</v>
      </c>
      <c r="BF4679" t="e" vm="2">
        <f t="shared" si="372"/>
        <v>#VALUE!</v>
      </c>
      <c r="BG4679" t="e" vm="2">
        <f t="shared" si="373"/>
        <v>#VALUE!</v>
      </c>
    </row>
    <row r="4680" spans="55:59" x14ac:dyDescent="0.2">
      <c r="BC4680" s="21" t="e" vm="1">
        <v>#REF!</v>
      </c>
      <c r="BD4680" t="e" vm="1">
        <v>#REF!</v>
      </c>
      <c r="BF4680" t="e" vm="2">
        <f t="shared" si="372"/>
        <v>#VALUE!</v>
      </c>
      <c r="BG4680" t="e" vm="2">
        <f t="shared" si="373"/>
        <v>#VALUE!</v>
      </c>
    </row>
    <row r="4681" spans="55:59" x14ac:dyDescent="0.2">
      <c r="BC4681" s="21" t="e" vm="1">
        <v>#REF!</v>
      </c>
      <c r="BD4681" t="e" vm="1">
        <v>#REF!</v>
      </c>
      <c r="BF4681" t="e" vm="2">
        <f t="shared" si="372"/>
        <v>#VALUE!</v>
      </c>
      <c r="BG4681" t="e" vm="2">
        <f t="shared" si="373"/>
        <v>#VALUE!</v>
      </c>
    </row>
    <row r="4682" spans="55:59" x14ac:dyDescent="0.2">
      <c r="BC4682" s="21" t="e" vm="1">
        <v>#REF!</v>
      </c>
      <c r="BD4682" t="e" vm="1">
        <v>#REF!</v>
      </c>
      <c r="BF4682" t="e" vm="2">
        <f t="shared" si="372"/>
        <v>#VALUE!</v>
      </c>
      <c r="BG4682" t="e" vm="2">
        <f t="shared" si="373"/>
        <v>#VALUE!</v>
      </c>
    </row>
    <row r="4683" spans="55:59" x14ac:dyDescent="0.2">
      <c r="BC4683" s="21" t="e" vm="1">
        <v>#REF!</v>
      </c>
      <c r="BD4683" t="e" vm="1">
        <v>#REF!</v>
      </c>
      <c r="BF4683" t="e" vm="2">
        <f t="shared" si="372"/>
        <v>#VALUE!</v>
      </c>
      <c r="BG4683" t="e" vm="2">
        <f t="shared" si="373"/>
        <v>#VALUE!</v>
      </c>
    </row>
    <row r="4684" spans="55:59" x14ac:dyDescent="0.2">
      <c r="BC4684" s="21" t="e" vm="1">
        <v>#REF!</v>
      </c>
      <c r="BD4684" t="e" vm="1">
        <v>#REF!</v>
      </c>
      <c r="BF4684" t="e" vm="2">
        <f t="shared" si="372"/>
        <v>#VALUE!</v>
      </c>
      <c r="BG4684" t="e" vm="2">
        <f t="shared" si="373"/>
        <v>#VALUE!</v>
      </c>
    </row>
    <row r="4685" spans="55:59" x14ac:dyDescent="0.2">
      <c r="BC4685" s="21" t="e" vm="1">
        <v>#REF!</v>
      </c>
      <c r="BD4685" t="e" vm="1">
        <v>#REF!</v>
      </c>
      <c r="BF4685" t="e" vm="2">
        <f t="shared" si="372"/>
        <v>#VALUE!</v>
      </c>
      <c r="BG4685" t="e" vm="2">
        <f t="shared" si="373"/>
        <v>#VALUE!</v>
      </c>
    </row>
    <row r="4686" spans="55:59" x14ac:dyDescent="0.2">
      <c r="BC4686" s="21" t="e" vm="1">
        <v>#REF!</v>
      </c>
      <c r="BD4686" t="e" vm="1">
        <v>#REF!</v>
      </c>
      <c r="BF4686" t="e" vm="2">
        <f t="shared" si="372"/>
        <v>#VALUE!</v>
      </c>
      <c r="BG4686" t="e" vm="2">
        <f t="shared" si="373"/>
        <v>#VALUE!</v>
      </c>
    </row>
    <row r="4687" spans="55:59" x14ac:dyDescent="0.2">
      <c r="BC4687" s="21" t="e" vm="1">
        <v>#REF!</v>
      </c>
      <c r="BD4687" t="e" vm="1">
        <v>#REF!</v>
      </c>
      <c r="BF4687" t="e" vm="2">
        <f t="shared" si="372"/>
        <v>#VALUE!</v>
      </c>
      <c r="BG4687" t="e" vm="2">
        <f t="shared" si="373"/>
        <v>#VALUE!</v>
      </c>
    </row>
    <row r="4688" spans="55:59" x14ac:dyDescent="0.2">
      <c r="BC4688" s="21" t="e" vm="1">
        <v>#REF!</v>
      </c>
      <c r="BD4688" t="e" vm="1">
        <v>#REF!</v>
      </c>
      <c r="BF4688" t="e" vm="2">
        <f t="shared" si="372"/>
        <v>#VALUE!</v>
      </c>
      <c r="BG4688" t="e" vm="2">
        <f t="shared" si="373"/>
        <v>#VALUE!</v>
      </c>
    </row>
    <row r="4689" spans="55:59" x14ac:dyDescent="0.2">
      <c r="BC4689" s="21" t="e" vm="1">
        <v>#REF!</v>
      </c>
      <c r="BD4689" t="e" vm="1">
        <v>#REF!</v>
      </c>
      <c r="BF4689" t="e" vm="2">
        <f t="shared" si="372"/>
        <v>#VALUE!</v>
      </c>
      <c r="BG4689" t="e" vm="2">
        <f t="shared" si="373"/>
        <v>#VALUE!</v>
      </c>
    </row>
    <row r="4690" spans="55:59" x14ac:dyDescent="0.2">
      <c r="BC4690" s="21" t="e" vm="1">
        <v>#REF!</v>
      </c>
      <c r="BD4690" t="e" vm="1">
        <v>#REF!</v>
      </c>
      <c r="BF4690" t="e" vm="2">
        <f t="shared" si="372"/>
        <v>#VALUE!</v>
      </c>
      <c r="BG4690" t="e" vm="2">
        <f t="shared" si="373"/>
        <v>#VALUE!</v>
      </c>
    </row>
    <row r="4691" spans="55:59" x14ac:dyDescent="0.2">
      <c r="BC4691" s="21" t="e" vm="1">
        <v>#REF!</v>
      </c>
      <c r="BD4691" t="e" vm="1">
        <v>#REF!</v>
      </c>
      <c r="BF4691" t="e" vm="2">
        <f t="shared" si="372"/>
        <v>#VALUE!</v>
      </c>
      <c r="BG4691" t="e" vm="2">
        <f t="shared" si="373"/>
        <v>#VALUE!</v>
      </c>
    </row>
    <row r="4692" spans="55:59" x14ac:dyDescent="0.2">
      <c r="BC4692" s="21" t="e" vm="1">
        <v>#REF!</v>
      </c>
      <c r="BD4692" t="e" vm="1">
        <v>#REF!</v>
      </c>
      <c r="BF4692" t="e" vm="2">
        <f t="shared" si="372"/>
        <v>#VALUE!</v>
      </c>
      <c r="BG4692" t="e" vm="2">
        <f t="shared" si="373"/>
        <v>#VALUE!</v>
      </c>
    </row>
    <row r="4693" spans="55:59" x14ac:dyDescent="0.2">
      <c r="BC4693" s="21" t="e" vm="1">
        <v>#REF!</v>
      </c>
      <c r="BD4693" t="e" vm="1">
        <v>#REF!</v>
      </c>
      <c r="BF4693" t="e" vm="2">
        <f t="shared" si="372"/>
        <v>#VALUE!</v>
      </c>
      <c r="BG4693" t="e" vm="2">
        <f t="shared" si="373"/>
        <v>#VALUE!</v>
      </c>
    </row>
    <row r="4694" spans="55:59" x14ac:dyDescent="0.2">
      <c r="BC4694" s="21" t="e" vm="1">
        <v>#REF!</v>
      </c>
      <c r="BD4694" t="e" vm="1">
        <v>#REF!</v>
      </c>
      <c r="BF4694" t="e" vm="2">
        <f t="shared" si="372"/>
        <v>#VALUE!</v>
      </c>
      <c r="BG4694" t="e" vm="2">
        <f t="shared" si="373"/>
        <v>#VALUE!</v>
      </c>
    </row>
    <row r="4695" spans="55:59" x14ac:dyDescent="0.2">
      <c r="BC4695" s="21" t="e" vm="1">
        <v>#REF!</v>
      </c>
      <c r="BD4695" t="e" vm="1">
        <v>#REF!</v>
      </c>
      <c r="BF4695" t="e" vm="2">
        <f t="shared" si="372"/>
        <v>#VALUE!</v>
      </c>
      <c r="BG4695" t="e" vm="2">
        <f t="shared" si="373"/>
        <v>#VALUE!</v>
      </c>
    </row>
    <row r="4696" spans="55:59" x14ac:dyDescent="0.2">
      <c r="BC4696" s="21" t="e" vm="1">
        <v>#REF!</v>
      </c>
      <c r="BD4696" t="e" vm="1">
        <v>#REF!</v>
      </c>
      <c r="BF4696" t="e" vm="2">
        <f t="shared" si="372"/>
        <v>#VALUE!</v>
      </c>
      <c r="BG4696" t="e" vm="2">
        <f t="shared" si="373"/>
        <v>#VALUE!</v>
      </c>
    </row>
    <row r="4697" spans="55:59" x14ac:dyDescent="0.2">
      <c r="BC4697" s="21" t="e" vm="1">
        <v>#REF!</v>
      </c>
      <c r="BD4697" t="e" vm="1">
        <v>#REF!</v>
      </c>
      <c r="BF4697" t="e" vm="2">
        <f t="shared" si="372"/>
        <v>#VALUE!</v>
      </c>
      <c r="BG4697" t="e" vm="2">
        <f t="shared" si="373"/>
        <v>#VALUE!</v>
      </c>
    </row>
    <row r="4698" spans="55:59" x14ac:dyDescent="0.2">
      <c r="BC4698" s="21" t="e" vm="1">
        <v>#REF!</v>
      </c>
      <c r="BD4698" t="e" vm="1">
        <v>#REF!</v>
      </c>
      <c r="BF4698" t="e" vm="2">
        <f t="shared" si="372"/>
        <v>#VALUE!</v>
      </c>
      <c r="BG4698" t="e" vm="2">
        <f t="shared" si="373"/>
        <v>#VALUE!</v>
      </c>
    </row>
    <row r="4699" spans="55:59" x14ac:dyDescent="0.2">
      <c r="BC4699" s="21" t="e" vm="1">
        <v>#REF!</v>
      </c>
      <c r="BD4699" t="e" vm="1">
        <v>#REF!</v>
      </c>
      <c r="BF4699" t="e" vm="2">
        <f t="shared" si="372"/>
        <v>#VALUE!</v>
      </c>
      <c r="BG4699" t="e" vm="2">
        <f t="shared" si="373"/>
        <v>#VALUE!</v>
      </c>
    </row>
    <row r="4700" spans="55:59" x14ac:dyDescent="0.2">
      <c r="BC4700" s="21" t="e" vm="1">
        <v>#REF!</v>
      </c>
      <c r="BD4700" t="e" vm="1">
        <v>#REF!</v>
      </c>
      <c r="BF4700" t="e" vm="2">
        <f t="shared" si="372"/>
        <v>#VALUE!</v>
      </c>
      <c r="BG4700" t="e" vm="2">
        <f t="shared" si="373"/>
        <v>#VALUE!</v>
      </c>
    </row>
    <row r="4701" spans="55:59" x14ac:dyDescent="0.2">
      <c r="BC4701" s="21" t="e" vm="1">
        <v>#REF!</v>
      </c>
      <c r="BD4701" t="e" vm="1">
        <v>#REF!</v>
      </c>
      <c r="BF4701" t="e" vm="2">
        <f t="shared" si="372"/>
        <v>#VALUE!</v>
      </c>
      <c r="BG4701" t="e" vm="2">
        <f t="shared" si="373"/>
        <v>#VALUE!</v>
      </c>
    </row>
    <row r="4702" spans="55:59" x14ac:dyDescent="0.2">
      <c r="BC4702" s="21" t="e" vm="1">
        <v>#REF!</v>
      </c>
      <c r="BD4702" t="e" vm="1">
        <v>#REF!</v>
      </c>
      <c r="BF4702" t="e" vm="2">
        <f t="shared" si="372"/>
        <v>#VALUE!</v>
      </c>
      <c r="BG4702" t="e" vm="2">
        <f t="shared" si="373"/>
        <v>#VALUE!</v>
      </c>
    </row>
    <row r="4703" spans="55:59" x14ac:dyDescent="0.2">
      <c r="BC4703" s="21" t="e" vm="1">
        <v>#REF!</v>
      </c>
      <c r="BD4703" t="e" vm="1">
        <v>#REF!</v>
      </c>
      <c r="BF4703" t="e" vm="2">
        <f t="shared" si="372"/>
        <v>#VALUE!</v>
      </c>
      <c r="BG4703" t="e" vm="2">
        <f t="shared" si="373"/>
        <v>#VALUE!</v>
      </c>
    </row>
    <row r="4704" spans="55:59" x14ac:dyDescent="0.2">
      <c r="BC4704" s="21" t="e" vm="1">
        <v>#REF!</v>
      </c>
      <c r="BD4704" t="e" vm="1">
        <v>#REF!</v>
      </c>
      <c r="BF4704" t="e" vm="2">
        <f t="shared" si="372"/>
        <v>#VALUE!</v>
      </c>
      <c r="BG4704" t="e" vm="2">
        <f t="shared" si="373"/>
        <v>#VALUE!</v>
      </c>
    </row>
    <row r="4705" spans="55:59" x14ac:dyDescent="0.2">
      <c r="BC4705" s="21" t="e" vm="1">
        <v>#REF!</v>
      </c>
      <c r="BD4705" t="e" vm="1">
        <v>#REF!</v>
      </c>
      <c r="BF4705" t="e" vm="2">
        <f t="shared" si="372"/>
        <v>#VALUE!</v>
      </c>
      <c r="BG4705" t="e" vm="2">
        <f t="shared" si="373"/>
        <v>#VALUE!</v>
      </c>
    </row>
    <row r="4706" spans="55:59" x14ac:dyDescent="0.2">
      <c r="BC4706" s="21" t="e" vm="1">
        <v>#REF!</v>
      </c>
      <c r="BD4706" t="e" vm="1">
        <v>#REF!</v>
      </c>
      <c r="BF4706" t="e" vm="2">
        <f t="shared" si="372"/>
        <v>#VALUE!</v>
      </c>
      <c r="BG4706" t="e" vm="2">
        <f t="shared" si="373"/>
        <v>#VALUE!</v>
      </c>
    </row>
    <row r="4707" spans="55:59" x14ac:dyDescent="0.2">
      <c r="BC4707" s="21" t="e" vm="1">
        <v>#REF!</v>
      </c>
      <c r="BD4707" t="e" vm="1">
        <v>#REF!</v>
      </c>
      <c r="BF4707" t="e" vm="2">
        <f t="shared" si="372"/>
        <v>#VALUE!</v>
      </c>
      <c r="BG4707" t="e" vm="2">
        <f t="shared" si="373"/>
        <v>#VALUE!</v>
      </c>
    </row>
    <row r="4708" spans="55:59" x14ac:dyDescent="0.2">
      <c r="BC4708" s="21" t="e" vm="1">
        <v>#REF!</v>
      </c>
      <c r="BD4708" t="e" vm="1">
        <v>#REF!</v>
      </c>
      <c r="BF4708" t="e" vm="2">
        <f t="shared" si="372"/>
        <v>#VALUE!</v>
      </c>
      <c r="BG4708" t="e" vm="2">
        <f t="shared" si="373"/>
        <v>#VALUE!</v>
      </c>
    </row>
    <row r="4709" spans="55:59" x14ac:dyDescent="0.2">
      <c r="BC4709" s="21" t="e" vm="1">
        <v>#REF!</v>
      </c>
      <c r="BD4709" t="e" vm="1">
        <v>#REF!</v>
      </c>
      <c r="BF4709" t="e" vm="2">
        <f t="shared" si="372"/>
        <v>#VALUE!</v>
      </c>
      <c r="BG4709" t="e" vm="2">
        <f t="shared" si="373"/>
        <v>#VALUE!</v>
      </c>
    </row>
    <row r="4710" spans="55:59" x14ac:dyDescent="0.2">
      <c r="BC4710" s="21" t="e" vm="1">
        <v>#REF!</v>
      </c>
      <c r="BD4710" t="e" vm="1">
        <v>#REF!</v>
      </c>
      <c r="BF4710" t="e" vm="2">
        <f t="shared" si="372"/>
        <v>#VALUE!</v>
      </c>
      <c r="BG4710" t="e" vm="2">
        <f t="shared" si="373"/>
        <v>#VALUE!</v>
      </c>
    </row>
    <row r="4711" spans="55:59" x14ac:dyDescent="0.2">
      <c r="BC4711" s="21" t="e" vm="1">
        <v>#REF!</v>
      </c>
      <c r="BD4711" t="e" vm="1">
        <v>#REF!</v>
      </c>
      <c r="BF4711" t="e" vm="2">
        <f t="shared" si="372"/>
        <v>#VALUE!</v>
      </c>
      <c r="BG4711" t="e" vm="2">
        <f t="shared" si="373"/>
        <v>#VALUE!</v>
      </c>
    </row>
    <row r="4712" spans="55:59" x14ac:dyDescent="0.2">
      <c r="BC4712" s="21" t="e" vm="1">
        <v>#REF!</v>
      </c>
      <c r="BD4712" t="e" vm="1">
        <v>#REF!</v>
      </c>
      <c r="BF4712" t="e" vm="2">
        <f t="shared" si="372"/>
        <v>#VALUE!</v>
      </c>
      <c r="BG4712" t="e" vm="2">
        <f t="shared" si="373"/>
        <v>#VALUE!</v>
      </c>
    </row>
    <row r="4713" spans="55:59" x14ac:dyDescent="0.2">
      <c r="BC4713" s="21" t="e" vm="1">
        <v>#REF!</v>
      </c>
      <c r="BD4713" t="e" vm="1">
        <v>#REF!</v>
      </c>
      <c r="BF4713" t="e" vm="2">
        <f t="shared" si="372"/>
        <v>#VALUE!</v>
      </c>
      <c r="BG4713" t="e" vm="2">
        <f t="shared" si="373"/>
        <v>#VALUE!</v>
      </c>
    </row>
    <row r="4714" spans="55:59" x14ac:dyDescent="0.2">
      <c r="BC4714" s="21" t="e" vm="1">
        <v>#REF!</v>
      </c>
      <c r="BD4714" t="e" vm="1">
        <v>#REF!</v>
      </c>
      <c r="BF4714" t="e" vm="2">
        <f t="shared" si="372"/>
        <v>#VALUE!</v>
      </c>
      <c r="BG4714" t="e" vm="2">
        <f t="shared" si="373"/>
        <v>#VALUE!</v>
      </c>
    </row>
    <row r="4715" spans="55:59" x14ac:dyDescent="0.2">
      <c r="BC4715" s="21" t="e" vm="1">
        <v>#REF!</v>
      </c>
      <c r="BD4715" t="e" vm="1">
        <v>#REF!</v>
      </c>
      <c r="BF4715" t="e" vm="2">
        <f t="shared" si="372"/>
        <v>#VALUE!</v>
      </c>
      <c r="BG4715" t="e" vm="2">
        <f t="shared" si="373"/>
        <v>#VALUE!</v>
      </c>
    </row>
    <row r="4716" spans="55:59" x14ac:dyDescent="0.2">
      <c r="BC4716" s="21" t="e" vm="1">
        <v>#REF!</v>
      </c>
      <c r="BD4716" t="e" vm="1">
        <v>#REF!</v>
      </c>
      <c r="BF4716" t="e" vm="2">
        <f t="shared" si="372"/>
        <v>#VALUE!</v>
      </c>
      <c r="BG4716" t="e" vm="2">
        <f t="shared" si="373"/>
        <v>#VALUE!</v>
      </c>
    </row>
    <row r="4717" spans="55:59" x14ac:dyDescent="0.2">
      <c r="BC4717" s="21" t="e" vm="1">
        <v>#REF!</v>
      </c>
      <c r="BD4717" t="e" vm="1">
        <v>#REF!</v>
      </c>
      <c r="BF4717" t="e" vm="2">
        <f t="shared" si="372"/>
        <v>#VALUE!</v>
      </c>
      <c r="BG4717" t="e" vm="2">
        <f t="shared" si="373"/>
        <v>#VALUE!</v>
      </c>
    </row>
    <row r="4718" spans="55:59" x14ac:dyDescent="0.2">
      <c r="BC4718" s="21" t="e" vm="1">
        <v>#REF!</v>
      </c>
      <c r="BD4718" t="e" vm="1">
        <v>#REF!</v>
      </c>
      <c r="BF4718" t="e" vm="2">
        <f t="shared" si="372"/>
        <v>#VALUE!</v>
      </c>
      <c r="BG4718" t="e" vm="2">
        <f t="shared" si="373"/>
        <v>#VALUE!</v>
      </c>
    </row>
    <row r="4719" spans="55:59" x14ac:dyDescent="0.2">
      <c r="BC4719" s="21" t="e" vm="1">
        <v>#REF!</v>
      </c>
      <c r="BD4719" t="e" vm="1">
        <v>#REF!</v>
      </c>
      <c r="BF4719" t="e" vm="2">
        <f t="shared" si="372"/>
        <v>#VALUE!</v>
      </c>
      <c r="BG4719" t="e" vm="2">
        <f t="shared" si="373"/>
        <v>#VALUE!</v>
      </c>
    </row>
    <row r="4720" spans="55:59" x14ac:dyDescent="0.2">
      <c r="BC4720" s="21" t="e" vm="1">
        <v>#REF!</v>
      </c>
      <c r="BD4720" t="e" vm="1">
        <v>#REF!</v>
      </c>
      <c r="BF4720" t="e" vm="2">
        <f t="shared" si="372"/>
        <v>#VALUE!</v>
      </c>
      <c r="BG4720" t="e" vm="2">
        <f t="shared" si="373"/>
        <v>#VALUE!</v>
      </c>
    </row>
    <row r="4721" spans="55:59" x14ac:dyDescent="0.2">
      <c r="BC4721" s="21" t="e" vm="1">
        <v>#REF!</v>
      </c>
      <c r="BD4721" t="e" vm="1">
        <v>#REF!</v>
      </c>
      <c r="BF4721" t="e" vm="2">
        <f t="shared" si="372"/>
        <v>#VALUE!</v>
      </c>
      <c r="BG4721" t="e" vm="2">
        <f t="shared" si="373"/>
        <v>#VALUE!</v>
      </c>
    </row>
    <row r="4722" spans="55:59" x14ac:dyDescent="0.2">
      <c r="BC4722" s="21" t="e" vm="1">
        <v>#REF!</v>
      </c>
      <c r="BD4722" t="e" vm="1">
        <v>#REF!</v>
      </c>
      <c r="BF4722" t="e" vm="2">
        <f t="shared" si="372"/>
        <v>#VALUE!</v>
      </c>
      <c r="BG4722" t="e" vm="2">
        <f t="shared" si="373"/>
        <v>#VALUE!</v>
      </c>
    </row>
    <row r="4723" spans="55:59" x14ac:dyDescent="0.2">
      <c r="BC4723" s="21" t="e" vm="1">
        <v>#REF!</v>
      </c>
      <c r="BD4723" t="e" vm="1">
        <v>#REF!</v>
      </c>
      <c r="BF4723" t="e" vm="2">
        <f t="shared" si="372"/>
        <v>#VALUE!</v>
      </c>
      <c r="BG4723" t="e" vm="2">
        <f t="shared" si="373"/>
        <v>#VALUE!</v>
      </c>
    </row>
    <row r="4724" spans="55:59" x14ac:dyDescent="0.2">
      <c r="BC4724" s="21" t="e" vm="1">
        <v>#REF!</v>
      </c>
      <c r="BD4724" t="e" vm="1">
        <v>#REF!</v>
      </c>
      <c r="BF4724" t="e" vm="2">
        <f t="shared" si="372"/>
        <v>#VALUE!</v>
      </c>
      <c r="BG4724" t="e" vm="2">
        <f t="shared" si="373"/>
        <v>#VALUE!</v>
      </c>
    </row>
    <row r="4725" spans="55:59" x14ac:dyDescent="0.2">
      <c r="BC4725" s="21" t="e" vm="1">
        <v>#REF!</v>
      </c>
      <c r="BD4725" t="e" vm="1">
        <v>#REF!</v>
      </c>
      <c r="BF4725" t="e" vm="2">
        <f t="shared" si="372"/>
        <v>#VALUE!</v>
      </c>
      <c r="BG4725" t="e" vm="2">
        <f t="shared" si="373"/>
        <v>#VALUE!</v>
      </c>
    </row>
    <row r="4726" spans="55:59" x14ac:dyDescent="0.2">
      <c r="BC4726" s="21" t="e" vm="1">
        <v>#REF!</v>
      </c>
      <c r="BD4726" t="e" vm="1">
        <v>#REF!</v>
      </c>
      <c r="BF4726" t="e" vm="2">
        <f t="shared" si="372"/>
        <v>#VALUE!</v>
      </c>
      <c r="BG4726" t="e" vm="2">
        <f t="shared" si="373"/>
        <v>#VALUE!</v>
      </c>
    </row>
    <row r="4727" spans="55:59" x14ac:dyDescent="0.2">
      <c r="BC4727" s="21" t="e" vm="1">
        <v>#REF!</v>
      </c>
      <c r="BD4727" t="e" vm="1">
        <v>#REF!</v>
      </c>
      <c r="BF4727" t="e" vm="2">
        <f t="shared" si="372"/>
        <v>#VALUE!</v>
      </c>
      <c r="BG4727" t="e" vm="2">
        <f t="shared" si="373"/>
        <v>#VALUE!</v>
      </c>
    </row>
    <row r="4728" spans="55:59" x14ac:dyDescent="0.2">
      <c r="BC4728" s="21" t="e" vm="1">
        <v>#REF!</v>
      </c>
      <c r="BD4728" t="e" vm="1">
        <v>#REF!</v>
      </c>
      <c r="BF4728" t="e" vm="2">
        <f t="shared" si="372"/>
        <v>#VALUE!</v>
      </c>
      <c r="BG4728" t="e" vm="2">
        <f t="shared" si="373"/>
        <v>#VALUE!</v>
      </c>
    </row>
    <row r="4729" spans="55:59" x14ac:dyDescent="0.2">
      <c r="BC4729" s="21" t="e" vm="1">
        <v>#REF!</v>
      </c>
      <c r="BD4729" t="e" vm="1">
        <v>#REF!</v>
      </c>
      <c r="BF4729" t="e" vm="2">
        <f t="shared" si="372"/>
        <v>#VALUE!</v>
      </c>
      <c r="BG4729" t="e" vm="2">
        <f t="shared" si="373"/>
        <v>#VALUE!</v>
      </c>
    </row>
    <row r="4730" spans="55:59" x14ac:dyDescent="0.2">
      <c r="BC4730" s="21" t="e" vm="1">
        <v>#REF!</v>
      </c>
      <c r="BD4730" t="e" vm="1">
        <v>#REF!</v>
      </c>
      <c r="BF4730" t="e" vm="2">
        <f t="shared" si="372"/>
        <v>#VALUE!</v>
      </c>
      <c r="BG4730" t="e" vm="2">
        <f t="shared" si="373"/>
        <v>#VALUE!</v>
      </c>
    </row>
    <row r="4731" spans="55:59" x14ac:dyDescent="0.2">
      <c r="BC4731" s="21" t="e" vm="1">
        <v>#REF!</v>
      </c>
      <c r="BD4731" t="e" vm="1">
        <v>#REF!</v>
      </c>
      <c r="BF4731" t="e" vm="2">
        <f t="shared" si="372"/>
        <v>#VALUE!</v>
      </c>
      <c r="BG4731" t="e" vm="2">
        <f t="shared" si="373"/>
        <v>#VALUE!</v>
      </c>
    </row>
    <row r="4732" spans="55:59" x14ac:dyDescent="0.2">
      <c r="BC4732" s="21" t="e" vm="1">
        <v>#REF!</v>
      </c>
      <c r="BD4732" t="e" vm="1">
        <v>#REF!</v>
      </c>
      <c r="BF4732" t="e" vm="2">
        <f t="shared" si="372"/>
        <v>#VALUE!</v>
      </c>
      <c r="BG4732" t="e" vm="2">
        <f t="shared" si="373"/>
        <v>#VALUE!</v>
      </c>
    </row>
    <row r="4733" spans="55:59" x14ac:dyDescent="0.2">
      <c r="BC4733" s="21" t="e" vm="1">
        <v>#REF!</v>
      </c>
      <c r="BD4733" t="e" vm="1">
        <v>#REF!</v>
      </c>
      <c r="BF4733" t="e" vm="2">
        <f t="shared" si="372"/>
        <v>#VALUE!</v>
      </c>
      <c r="BG4733" t="e" vm="2">
        <f t="shared" si="373"/>
        <v>#VALUE!</v>
      </c>
    </row>
    <row r="4734" spans="55:59" x14ac:dyDescent="0.2">
      <c r="BC4734" s="21" t="e" vm="1">
        <v>#REF!</v>
      </c>
      <c r="BD4734" t="e" vm="1">
        <v>#REF!</v>
      </c>
      <c r="BF4734" t="e" vm="2">
        <f t="shared" si="372"/>
        <v>#VALUE!</v>
      </c>
      <c r="BG4734" t="e" vm="2">
        <f t="shared" si="373"/>
        <v>#VALUE!</v>
      </c>
    </row>
    <row r="4735" spans="55:59" x14ac:dyDescent="0.2">
      <c r="BC4735" s="21" t="e" vm="1">
        <v>#REF!</v>
      </c>
      <c r="BD4735" t="e" vm="1">
        <v>#REF!</v>
      </c>
      <c r="BF4735" t="e" vm="2">
        <f t="shared" si="372"/>
        <v>#VALUE!</v>
      </c>
      <c r="BG4735" t="e" vm="2">
        <f t="shared" si="373"/>
        <v>#VALUE!</v>
      </c>
    </row>
    <row r="4736" spans="55:59" x14ac:dyDescent="0.2">
      <c r="BC4736" s="21" t="e" vm="1">
        <v>#REF!</v>
      </c>
      <c r="BD4736" t="e" vm="1">
        <v>#REF!</v>
      </c>
      <c r="BF4736" t="e" vm="2">
        <f t="shared" si="372"/>
        <v>#VALUE!</v>
      </c>
      <c r="BG4736" t="e" vm="2">
        <f t="shared" si="373"/>
        <v>#VALUE!</v>
      </c>
    </row>
    <row r="4737" spans="55:59" x14ac:dyDescent="0.2">
      <c r="BC4737" s="21" t="e" vm="1">
        <v>#REF!</v>
      </c>
      <c r="BD4737" t="e" vm="1">
        <v>#REF!</v>
      </c>
      <c r="BF4737" t="e" vm="2">
        <f t="shared" si="372"/>
        <v>#VALUE!</v>
      </c>
      <c r="BG4737" t="e" vm="2">
        <f t="shared" si="373"/>
        <v>#VALUE!</v>
      </c>
    </row>
    <row r="4738" spans="55:59" x14ac:dyDescent="0.2">
      <c r="BC4738" s="21" t="e" vm="1">
        <v>#REF!</v>
      </c>
      <c r="BD4738" t="e" vm="1">
        <v>#REF!</v>
      </c>
      <c r="BF4738" t="e" vm="2">
        <f t="shared" si="372"/>
        <v>#VALUE!</v>
      </c>
      <c r="BG4738" t="e" vm="2">
        <f t="shared" si="373"/>
        <v>#VALUE!</v>
      </c>
    </row>
    <row r="4739" spans="55:59" x14ac:dyDescent="0.2">
      <c r="BC4739" s="21" t="e" vm="1">
        <v>#REF!</v>
      </c>
      <c r="BD4739" t="e" vm="1">
        <v>#REF!</v>
      </c>
      <c r="BF4739" t="e" vm="2">
        <f t="shared" ref="BF4739:BF4802" si="374">MONTH(BC4739)</f>
        <v>#VALUE!</v>
      </c>
      <c r="BG4739" t="e" vm="2">
        <f t="shared" ref="BG4739:BG4802" si="375">YEAR(BC4739)</f>
        <v>#VALUE!</v>
      </c>
    </row>
    <row r="4740" spans="55:59" x14ac:dyDescent="0.2">
      <c r="BC4740" s="21" t="e" vm="1">
        <v>#REF!</v>
      </c>
      <c r="BD4740" t="e" vm="1">
        <v>#REF!</v>
      </c>
      <c r="BF4740" t="e" vm="2">
        <f t="shared" si="374"/>
        <v>#VALUE!</v>
      </c>
      <c r="BG4740" t="e" vm="2">
        <f t="shared" si="375"/>
        <v>#VALUE!</v>
      </c>
    </row>
    <row r="4741" spans="55:59" x14ac:dyDescent="0.2">
      <c r="BC4741" s="21" t="e" vm="1">
        <v>#REF!</v>
      </c>
      <c r="BD4741" t="e" vm="1">
        <v>#REF!</v>
      </c>
      <c r="BF4741" t="e" vm="2">
        <f t="shared" si="374"/>
        <v>#VALUE!</v>
      </c>
      <c r="BG4741" t="e" vm="2">
        <f t="shared" si="375"/>
        <v>#VALUE!</v>
      </c>
    </row>
    <row r="4742" spans="55:59" x14ac:dyDescent="0.2">
      <c r="BC4742" s="21" t="e" vm="1">
        <v>#REF!</v>
      </c>
      <c r="BD4742" t="e" vm="1">
        <v>#REF!</v>
      </c>
      <c r="BF4742" t="e" vm="2">
        <f t="shared" si="374"/>
        <v>#VALUE!</v>
      </c>
      <c r="BG4742" t="e" vm="2">
        <f t="shared" si="375"/>
        <v>#VALUE!</v>
      </c>
    </row>
    <row r="4743" spans="55:59" x14ac:dyDescent="0.2">
      <c r="BC4743" s="21" t="e" vm="1">
        <v>#REF!</v>
      </c>
      <c r="BD4743" t="e" vm="1">
        <v>#REF!</v>
      </c>
      <c r="BF4743" t="e" vm="2">
        <f t="shared" si="374"/>
        <v>#VALUE!</v>
      </c>
      <c r="BG4743" t="e" vm="2">
        <f t="shared" si="375"/>
        <v>#VALUE!</v>
      </c>
    </row>
    <row r="4744" spans="55:59" x14ac:dyDescent="0.2">
      <c r="BC4744" s="21" t="e" vm="1">
        <v>#REF!</v>
      </c>
      <c r="BD4744" t="e" vm="1">
        <v>#REF!</v>
      </c>
      <c r="BF4744" t="e" vm="2">
        <f t="shared" si="374"/>
        <v>#VALUE!</v>
      </c>
      <c r="BG4744" t="e" vm="2">
        <f t="shared" si="375"/>
        <v>#VALUE!</v>
      </c>
    </row>
    <row r="4745" spans="55:59" x14ac:dyDescent="0.2">
      <c r="BC4745" s="21" t="e" vm="1">
        <v>#REF!</v>
      </c>
      <c r="BD4745" t="e" vm="1">
        <v>#REF!</v>
      </c>
      <c r="BF4745" t="e" vm="2">
        <f t="shared" si="374"/>
        <v>#VALUE!</v>
      </c>
      <c r="BG4745" t="e" vm="2">
        <f t="shared" si="375"/>
        <v>#VALUE!</v>
      </c>
    </row>
    <row r="4746" spans="55:59" x14ac:dyDescent="0.2">
      <c r="BC4746" s="21" t="e" vm="1">
        <v>#REF!</v>
      </c>
      <c r="BD4746" t="e" vm="1">
        <v>#REF!</v>
      </c>
      <c r="BF4746" t="e" vm="2">
        <f t="shared" si="374"/>
        <v>#VALUE!</v>
      </c>
      <c r="BG4746" t="e" vm="2">
        <f t="shared" si="375"/>
        <v>#VALUE!</v>
      </c>
    </row>
    <row r="4747" spans="55:59" x14ac:dyDescent="0.2">
      <c r="BC4747" s="21" t="e" vm="1">
        <v>#REF!</v>
      </c>
      <c r="BD4747" t="e" vm="1">
        <v>#REF!</v>
      </c>
      <c r="BF4747" t="e" vm="2">
        <f t="shared" si="374"/>
        <v>#VALUE!</v>
      </c>
      <c r="BG4747" t="e" vm="2">
        <f t="shared" si="375"/>
        <v>#VALUE!</v>
      </c>
    </row>
    <row r="4748" spans="55:59" x14ac:dyDescent="0.2">
      <c r="BC4748" s="21" t="e" vm="1">
        <v>#REF!</v>
      </c>
      <c r="BD4748" t="e" vm="1">
        <v>#REF!</v>
      </c>
      <c r="BF4748" t="e" vm="2">
        <f t="shared" si="374"/>
        <v>#VALUE!</v>
      </c>
      <c r="BG4748" t="e" vm="2">
        <f t="shared" si="375"/>
        <v>#VALUE!</v>
      </c>
    </row>
    <row r="4749" spans="55:59" x14ac:dyDescent="0.2">
      <c r="BC4749" s="21" t="e" vm="1">
        <v>#REF!</v>
      </c>
      <c r="BD4749" t="e" vm="1">
        <v>#REF!</v>
      </c>
      <c r="BF4749" t="e" vm="2">
        <f t="shared" si="374"/>
        <v>#VALUE!</v>
      </c>
      <c r="BG4749" t="e" vm="2">
        <f t="shared" si="375"/>
        <v>#VALUE!</v>
      </c>
    </row>
    <row r="4750" spans="55:59" x14ac:dyDescent="0.2">
      <c r="BC4750" s="21" t="e" vm="1">
        <v>#REF!</v>
      </c>
      <c r="BD4750" t="e" vm="1">
        <v>#REF!</v>
      </c>
      <c r="BF4750" t="e" vm="2">
        <f t="shared" si="374"/>
        <v>#VALUE!</v>
      </c>
      <c r="BG4750" t="e" vm="2">
        <f t="shared" si="375"/>
        <v>#VALUE!</v>
      </c>
    </row>
    <row r="4751" spans="55:59" x14ac:dyDescent="0.2">
      <c r="BC4751" s="21" t="e" vm="1">
        <v>#REF!</v>
      </c>
      <c r="BD4751" t="e" vm="1">
        <v>#REF!</v>
      </c>
      <c r="BF4751" t="e" vm="2">
        <f t="shared" si="374"/>
        <v>#VALUE!</v>
      </c>
      <c r="BG4751" t="e" vm="2">
        <f t="shared" si="375"/>
        <v>#VALUE!</v>
      </c>
    </row>
    <row r="4752" spans="55:59" x14ac:dyDescent="0.2">
      <c r="BC4752" s="21" t="e" vm="1">
        <v>#REF!</v>
      </c>
      <c r="BD4752" t="e" vm="1">
        <v>#REF!</v>
      </c>
      <c r="BF4752" t="e" vm="2">
        <f t="shared" si="374"/>
        <v>#VALUE!</v>
      </c>
      <c r="BG4752" t="e" vm="2">
        <f t="shared" si="375"/>
        <v>#VALUE!</v>
      </c>
    </row>
    <row r="4753" spans="55:59" x14ac:dyDescent="0.2">
      <c r="BC4753" s="21" t="e" vm="1">
        <v>#REF!</v>
      </c>
      <c r="BD4753" t="e" vm="1">
        <v>#REF!</v>
      </c>
      <c r="BF4753" t="e" vm="2">
        <f t="shared" si="374"/>
        <v>#VALUE!</v>
      </c>
      <c r="BG4753" t="e" vm="2">
        <f t="shared" si="375"/>
        <v>#VALUE!</v>
      </c>
    </row>
    <row r="4754" spans="55:59" x14ac:dyDescent="0.2">
      <c r="BC4754" s="21" t="e" vm="1">
        <v>#REF!</v>
      </c>
      <c r="BD4754" t="e" vm="1">
        <v>#REF!</v>
      </c>
      <c r="BF4754" t="e" vm="2">
        <f t="shared" si="374"/>
        <v>#VALUE!</v>
      </c>
      <c r="BG4754" t="e" vm="2">
        <f t="shared" si="375"/>
        <v>#VALUE!</v>
      </c>
    </row>
    <row r="4755" spans="55:59" x14ac:dyDescent="0.2">
      <c r="BC4755" s="21" t="e" vm="1">
        <v>#REF!</v>
      </c>
      <c r="BD4755" t="e" vm="1">
        <v>#REF!</v>
      </c>
      <c r="BF4755" t="e" vm="2">
        <f t="shared" si="374"/>
        <v>#VALUE!</v>
      </c>
      <c r="BG4755" t="e" vm="2">
        <f t="shared" si="375"/>
        <v>#VALUE!</v>
      </c>
    </row>
    <row r="4756" spans="55:59" x14ac:dyDescent="0.2">
      <c r="BC4756" s="21" t="e" vm="1">
        <v>#REF!</v>
      </c>
      <c r="BD4756" t="e" vm="1">
        <v>#REF!</v>
      </c>
      <c r="BF4756" t="e" vm="2">
        <f t="shared" si="374"/>
        <v>#VALUE!</v>
      </c>
      <c r="BG4756" t="e" vm="2">
        <f t="shared" si="375"/>
        <v>#VALUE!</v>
      </c>
    </row>
    <row r="4757" spans="55:59" x14ac:dyDescent="0.2">
      <c r="BC4757" s="21" t="e" vm="1">
        <v>#REF!</v>
      </c>
      <c r="BD4757" t="e" vm="1">
        <v>#REF!</v>
      </c>
      <c r="BF4757" t="e" vm="2">
        <f t="shared" si="374"/>
        <v>#VALUE!</v>
      </c>
      <c r="BG4757" t="e" vm="2">
        <f t="shared" si="375"/>
        <v>#VALUE!</v>
      </c>
    </row>
    <row r="4758" spans="55:59" x14ac:dyDescent="0.2">
      <c r="BC4758" s="21" t="e" vm="1">
        <v>#REF!</v>
      </c>
      <c r="BD4758" t="e" vm="1">
        <v>#REF!</v>
      </c>
      <c r="BF4758" t="e" vm="2">
        <f t="shared" si="374"/>
        <v>#VALUE!</v>
      </c>
      <c r="BG4758" t="e" vm="2">
        <f t="shared" si="375"/>
        <v>#VALUE!</v>
      </c>
    </row>
    <row r="4759" spans="55:59" x14ac:dyDescent="0.2">
      <c r="BC4759" s="21" t="e" vm="1">
        <v>#REF!</v>
      </c>
      <c r="BD4759" t="e" vm="1">
        <v>#REF!</v>
      </c>
      <c r="BF4759" t="e" vm="2">
        <f t="shared" si="374"/>
        <v>#VALUE!</v>
      </c>
      <c r="BG4759" t="e" vm="2">
        <f t="shared" si="375"/>
        <v>#VALUE!</v>
      </c>
    </row>
    <row r="4760" spans="55:59" x14ac:dyDescent="0.2">
      <c r="BC4760" s="21" t="e" vm="1">
        <v>#REF!</v>
      </c>
      <c r="BD4760" t="e" vm="1">
        <v>#REF!</v>
      </c>
      <c r="BF4760" t="e" vm="2">
        <f t="shared" si="374"/>
        <v>#VALUE!</v>
      </c>
      <c r="BG4760" t="e" vm="2">
        <f t="shared" si="375"/>
        <v>#VALUE!</v>
      </c>
    </row>
    <row r="4761" spans="55:59" x14ac:dyDescent="0.2">
      <c r="BC4761" s="21" t="e" vm="1">
        <v>#REF!</v>
      </c>
      <c r="BD4761" t="e" vm="1">
        <v>#REF!</v>
      </c>
      <c r="BF4761" t="e" vm="2">
        <f t="shared" si="374"/>
        <v>#VALUE!</v>
      </c>
      <c r="BG4761" t="e" vm="2">
        <f t="shared" si="375"/>
        <v>#VALUE!</v>
      </c>
    </row>
    <row r="4762" spans="55:59" x14ac:dyDescent="0.2">
      <c r="BC4762" s="21" t="e" vm="1">
        <v>#REF!</v>
      </c>
      <c r="BD4762" t="e" vm="1">
        <v>#REF!</v>
      </c>
      <c r="BF4762" t="e" vm="2">
        <f t="shared" si="374"/>
        <v>#VALUE!</v>
      </c>
      <c r="BG4762" t="e" vm="2">
        <f t="shared" si="375"/>
        <v>#VALUE!</v>
      </c>
    </row>
    <row r="4763" spans="55:59" x14ac:dyDescent="0.2">
      <c r="BC4763" s="21" t="e" vm="1">
        <v>#REF!</v>
      </c>
      <c r="BD4763" t="e" vm="1">
        <v>#REF!</v>
      </c>
      <c r="BF4763" t="e" vm="2">
        <f t="shared" si="374"/>
        <v>#VALUE!</v>
      </c>
      <c r="BG4763" t="e" vm="2">
        <f t="shared" si="375"/>
        <v>#VALUE!</v>
      </c>
    </row>
    <row r="4764" spans="55:59" x14ac:dyDescent="0.2">
      <c r="BC4764" s="21" t="e" vm="1">
        <v>#REF!</v>
      </c>
      <c r="BD4764" t="e" vm="1">
        <v>#REF!</v>
      </c>
      <c r="BF4764" t="e" vm="2">
        <f t="shared" si="374"/>
        <v>#VALUE!</v>
      </c>
      <c r="BG4764" t="e" vm="2">
        <f t="shared" si="375"/>
        <v>#VALUE!</v>
      </c>
    </row>
    <row r="4765" spans="55:59" x14ac:dyDescent="0.2">
      <c r="BC4765" s="21" t="e" vm="1">
        <v>#REF!</v>
      </c>
      <c r="BD4765" t="e" vm="1">
        <v>#REF!</v>
      </c>
      <c r="BF4765" t="e" vm="2">
        <f t="shared" si="374"/>
        <v>#VALUE!</v>
      </c>
      <c r="BG4765" t="e" vm="2">
        <f t="shared" si="375"/>
        <v>#VALUE!</v>
      </c>
    </row>
    <row r="4766" spans="55:59" x14ac:dyDescent="0.2">
      <c r="BC4766" s="21" t="e" vm="1">
        <v>#REF!</v>
      </c>
      <c r="BD4766" t="e" vm="1">
        <v>#REF!</v>
      </c>
      <c r="BF4766" t="e" vm="2">
        <f t="shared" si="374"/>
        <v>#VALUE!</v>
      </c>
      <c r="BG4766" t="e" vm="2">
        <f t="shared" si="375"/>
        <v>#VALUE!</v>
      </c>
    </row>
    <row r="4767" spans="55:59" x14ac:dyDescent="0.2">
      <c r="BC4767" s="21" t="e" vm="1">
        <v>#REF!</v>
      </c>
      <c r="BD4767" t="e" vm="1">
        <v>#REF!</v>
      </c>
      <c r="BF4767" t="e" vm="2">
        <f t="shared" si="374"/>
        <v>#VALUE!</v>
      </c>
      <c r="BG4767" t="e" vm="2">
        <f t="shared" si="375"/>
        <v>#VALUE!</v>
      </c>
    </row>
    <row r="4768" spans="55:59" x14ac:dyDescent="0.2">
      <c r="BC4768" s="21" t="e" vm="1">
        <v>#REF!</v>
      </c>
      <c r="BD4768" t="e" vm="1">
        <v>#REF!</v>
      </c>
      <c r="BF4768" t="e" vm="2">
        <f t="shared" si="374"/>
        <v>#VALUE!</v>
      </c>
      <c r="BG4768" t="e" vm="2">
        <f t="shared" si="375"/>
        <v>#VALUE!</v>
      </c>
    </row>
    <row r="4769" spans="55:59" x14ac:dyDescent="0.2">
      <c r="BC4769" s="21" t="e" vm="1">
        <v>#REF!</v>
      </c>
      <c r="BD4769" t="e" vm="1">
        <v>#REF!</v>
      </c>
      <c r="BF4769" t="e" vm="2">
        <f t="shared" si="374"/>
        <v>#VALUE!</v>
      </c>
      <c r="BG4769" t="e" vm="2">
        <f t="shared" si="375"/>
        <v>#VALUE!</v>
      </c>
    </row>
    <row r="4770" spans="55:59" x14ac:dyDescent="0.2">
      <c r="BC4770" s="21" t="e" vm="1">
        <v>#REF!</v>
      </c>
      <c r="BD4770" t="e" vm="1">
        <v>#REF!</v>
      </c>
      <c r="BF4770" t="e" vm="2">
        <f t="shared" si="374"/>
        <v>#VALUE!</v>
      </c>
      <c r="BG4770" t="e" vm="2">
        <f t="shared" si="375"/>
        <v>#VALUE!</v>
      </c>
    </row>
    <row r="4771" spans="55:59" x14ac:dyDescent="0.2">
      <c r="BC4771" s="21" t="e" vm="1">
        <v>#REF!</v>
      </c>
      <c r="BD4771" t="e" vm="1">
        <v>#REF!</v>
      </c>
      <c r="BF4771" t="e" vm="2">
        <f t="shared" si="374"/>
        <v>#VALUE!</v>
      </c>
      <c r="BG4771" t="e" vm="2">
        <f t="shared" si="375"/>
        <v>#VALUE!</v>
      </c>
    </row>
    <row r="4772" spans="55:59" x14ac:dyDescent="0.2">
      <c r="BC4772" s="21" t="e" vm="1">
        <v>#REF!</v>
      </c>
      <c r="BD4772" t="e" vm="1">
        <v>#REF!</v>
      </c>
      <c r="BF4772" t="e" vm="2">
        <f t="shared" si="374"/>
        <v>#VALUE!</v>
      </c>
      <c r="BG4772" t="e" vm="2">
        <f t="shared" si="375"/>
        <v>#VALUE!</v>
      </c>
    </row>
    <row r="4773" spans="55:59" x14ac:dyDescent="0.2">
      <c r="BC4773" s="21" t="e" vm="1">
        <v>#REF!</v>
      </c>
      <c r="BD4773" t="e" vm="1">
        <v>#REF!</v>
      </c>
      <c r="BF4773" t="e" vm="2">
        <f t="shared" si="374"/>
        <v>#VALUE!</v>
      </c>
      <c r="BG4773" t="e" vm="2">
        <f t="shared" si="375"/>
        <v>#VALUE!</v>
      </c>
    </row>
    <row r="4774" spans="55:59" x14ac:dyDescent="0.2">
      <c r="BC4774" s="21" t="e" vm="1">
        <v>#REF!</v>
      </c>
      <c r="BD4774" t="e" vm="1">
        <v>#REF!</v>
      </c>
      <c r="BF4774" t="e" vm="2">
        <f t="shared" si="374"/>
        <v>#VALUE!</v>
      </c>
      <c r="BG4774" t="e" vm="2">
        <f t="shared" si="375"/>
        <v>#VALUE!</v>
      </c>
    </row>
    <row r="4775" spans="55:59" x14ac:dyDescent="0.2">
      <c r="BC4775" s="21" t="e" vm="1">
        <v>#REF!</v>
      </c>
      <c r="BD4775" t="e" vm="1">
        <v>#REF!</v>
      </c>
      <c r="BF4775" t="e" vm="2">
        <f t="shared" si="374"/>
        <v>#VALUE!</v>
      </c>
      <c r="BG4775" t="e" vm="2">
        <f t="shared" si="375"/>
        <v>#VALUE!</v>
      </c>
    </row>
    <row r="4776" spans="55:59" x14ac:dyDescent="0.2">
      <c r="BC4776" s="21" t="e" vm="1">
        <v>#REF!</v>
      </c>
      <c r="BD4776" t="e" vm="1">
        <v>#REF!</v>
      </c>
      <c r="BF4776" t="e" vm="2">
        <f t="shared" si="374"/>
        <v>#VALUE!</v>
      </c>
      <c r="BG4776" t="e" vm="2">
        <f t="shared" si="375"/>
        <v>#VALUE!</v>
      </c>
    </row>
    <row r="4777" spans="55:59" x14ac:dyDescent="0.2">
      <c r="BC4777" s="21" t="e" vm="1">
        <v>#REF!</v>
      </c>
      <c r="BD4777" t="e" vm="1">
        <v>#REF!</v>
      </c>
      <c r="BF4777" t="e" vm="2">
        <f t="shared" si="374"/>
        <v>#VALUE!</v>
      </c>
      <c r="BG4777" t="e" vm="2">
        <f t="shared" si="375"/>
        <v>#VALUE!</v>
      </c>
    </row>
    <row r="4778" spans="55:59" x14ac:dyDescent="0.2">
      <c r="BC4778" s="21" t="e" vm="1">
        <v>#REF!</v>
      </c>
      <c r="BD4778" t="e" vm="1">
        <v>#REF!</v>
      </c>
      <c r="BF4778" t="e" vm="2">
        <f t="shared" si="374"/>
        <v>#VALUE!</v>
      </c>
      <c r="BG4778" t="e" vm="2">
        <f t="shared" si="375"/>
        <v>#VALUE!</v>
      </c>
    </row>
    <row r="4779" spans="55:59" x14ac:dyDescent="0.2">
      <c r="BC4779" s="21" t="e" vm="1">
        <v>#REF!</v>
      </c>
      <c r="BD4779" t="e" vm="1">
        <v>#REF!</v>
      </c>
      <c r="BF4779" t="e" vm="2">
        <f t="shared" si="374"/>
        <v>#VALUE!</v>
      </c>
      <c r="BG4779" t="e" vm="2">
        <f t="shared" si="375"/>
        <v>#VALUE!</v>
      </c>
    </row>
    <row r="4780" spans="55:59" x14ac:dyDescent="0.2">
      <c r="BC4780" s="21" t="e" vm="1">
        <v>#REF!</v>
      </c>
      <c r="BD4780" t="e" vm="1">
        <v>#REF!</v>
      </c>
      <c r="BF4780" t="e" vm="2">
        <f t="shared" si="374"/>
        <v>#VALUE!</v>
      </c>
      <c r="BG4780" t="e" vm="2">
        <f t="shared" si="375"/>
        <v>#VALUE!</v>
      </c>
    </row>
    <row r="4781" spans="55:59" x14ac:dyDescent="0.2">
      <c r="BC4781" s="21" t="e" vm="1">
        <v>#REF!</v>
      </c>
      <c r="BD4781" t="e" vm="1">
        <v>#REF!</v>
      </c>
      <c r="BF4781" t="e" vm="2">
        <f t="shared" si="374"/>
        <v>#VALUE!</v>
      </c>
      <c r="BG4781" t="e" vm="2">
        <f t="shared" si="375"/>
        <v>#VALUE!</v>
      </c>
    </row>
    <row r="4782" spans="55:59" x14ac:dyDescent="0.2">
      <c r="BC4782" s="21" t="e" vm="1">
        <v>#REF!</v>
      </c>
      <c r="BD4782" t="e" vm="1">
        <v>#REF!</v>
      </c>
      <c r="BF4782" t="e" vm="2">
        <f t="shared" si="374"/>
        <v>#VALUE!</v>
      </c>
      <c r="BG4782" t="e" vm="2">
        <f t="shared" si="375"/>
        <v>#VALUE!</v>
      </c>
    </row>
    <row r="4783" spans="55:59" x14ac:dyDescent="0.2">
      <c r="BC4783" s="21" t="e" vm="1">
        <v>#REF!</v>
      </c>
      <c r="BD4783" t="e" vm="1">
        <v>#REF!</v>
      </c>
      <c r="BF4783" t="e" vm="2">
        <f t="shared" si="374"/>
        <v>#VALUE!</v>
      </c>
      <c r="BG4783" t="e" vm="2">
        <f t="shared" si="375"/>
        <v>#VALUE!</v>
      </c>
    </row>
    <row r="4784" spans="55:59" x14ac:dyDescent="0.2">
      <c r="BC4784" s="21" t="e" vm="1">
        <v>#REF!</v>
      </c>
      <c r="BD4784" t="e" vm="1">
        <v>#REF!</v>
      </c>
      <c r="BF4784" t="e" vm="2">
        <f t="shared" si="374"/>
        <v>#VALUE!</v>
      </c>
      <c r="BG4784" t="e" vm="2">
        <f t="shared" si="375"/>
        <v>#VALUE!</v>
      </c>
    </row>
    <row r="4785" spans="55:59" x14ac:dyDescent="0.2">
      <c r="BC4785" s="21" t="e" vm="1">
        <v>#REF!</v>
      </c>
      <c r="BD4785" t="e" vm="1">
        <v>#REF!</v>
      </c>
      <c r="BF4785" t="e" vm="2">
        <f t="shared" si="374"/>
        <v>#VALUE!</v>
      </c>
      <c r="BG4785" t="e" vm="2">
        <f t="shared" si="375"/>
        <v>#VALUE!</v>
      </c>
    </row>
    <row r="4786" spans="55:59" x14ac:dyDescent="0.2">
      <c r="BC4786" s="21" t="e" vm="1">
        <v>#REF!</v>
      </c>
      <c r="BD4786" t="e" vm="1">
        <v>#REF!</v>
      </c>
      <c r="BF4786" t="e" vm="2">
        <f t="shared" si="374"/>
        <v>#VALUE!</v>
      </c>
      <c r="BG4786" t="e" vm="2">
        <f t="shared" si="375"/>
        <v>#VALUE!</v>
      </c>
    </row>
    <row r="4787" spans="55:59" x14ac:dyDescent="0.2">
      <c r="BC4787" s="21" t="e" vm="1">
        <v>#REF!</v>
      </c>
      <c r="BD4787" t="e" vm="1">
        <v>#REF!</v>
      </c>
      <c r="BF4787" t="e" vm="2">
        <f t="shared" si="374"/>
        <v>#VALUE!</v>
      </c>
      <c r="BG4787" t="e" vm="2">
        <f t="shared" si="375"/>
        <v>#VALUE!</v>
      </c>
    </row>
    <row r="4788" spans="55:59" x14ac:dyDescent="0.2">
      <c r="BC4788" s="21" t="e" vm="1">
        <v>#REF!</v>
      </c>
      <c r="BD4788" t="e" vm="1">
        <v>#REF!</v>
      </c>
      <c r="BF4788" t="e" vm="2">
        <f t="shared" si="374"/>
        <v>#VALUE!</v>
      </c>
      <c r="BG4788" t="e" vm="2">
        <f t="shared" si="375"/>
        <v>#VALUE!</v>
      </c>
    </row>
    <row r="4789" spans="55:59" x14ac:dyDescent="0.2">
      <c r="BC4789" s="21" t="e" vm="1">
        <v>#REF!</v>
      </c>
      <c r="BD4789" t="e" vm="1">
        <v>#REF!</v>
      </c>
      <c r="BF4789" t="e" vm="2">
        <f t="shared" si="374"/>
        <v>#VALUE!</v>
      </c>
      <c r="BG4789" t="e" vm="2">
        <f t="shared" si="375"/>
        <v>#VALUE!</v>
      </c>
    </row>
    <row r="4790" spans="55:59" x14ac:dyDescent="0.2">
      <c r="BC4790" s="21" t="e" vm="1">
        <v>#REF!</v>
      </c>
      <c r="BD4790" t="e" vm="1">
        <v>#REF!</v>
      </c>
      <c r="BF4790" t="e" vm="2">
        <f t="shared" si="374"/>
        <v>#VALUE!</v>
      </c>
      <c r="BG4790" t="e" vm="2">
        <f t="shared" si="375"/>
        <v>#VALUE!</v>
      </c>
    </row>
    <row r="4791" spans="55:59" x14ac:dyDescent="0.2">
      <c r="BC4791" s="21" t="e" vm="1">
        <v>#REF!</v>
      </c>
      <c r="BD4791" t="e" vm="1">
        <v>#REF!</v>
      </c>
      <c r="BF4791" t="e" vm="2">
        <f t="shared" si="374"/>
        <v>#VALUE!</v>
      </c>
      <c r="BG4791" t="e" vm="2">
        <f t="shared" si="375"/>
        <v>#VALUE!</v>
      </c>
    </row>
    <row r="4792" spans="55:59" x14ac:dyDescent="0.2">
      <c r="BC4792" s="21" t="e" vm="1">
        <v>#REF!</v>
      </c>
      <c r="BD4792" t="e" vm="1">
        <v>#REF!</v>
      </c>
      <c r="BF4792" t="e" vm="2">
        <f t="shared" si="374"/>
        <v>#VALUE!</v>
      </c>
      <c r="BG4792" t="e" vm="2">
        <f t="shared" si="375"/>
        <v>#VALUE!</v>
      </c>
    </row>
    <row r="4793" spans="55:59" x14ac:dyDescent="0.2">
      <c r="BC4793" s="21" t="e" vm="1">
        <v>#REF!</v>
      </c>
      <c r="BD4793" t="e" vm="1">
        <v>#REF!</v>
      </c>
      <c r="BF4793" t="e" vm="2">
        <f t="shared" si="374"/>
        <v>#VALUE!</v>
      </c>
      <c r="BG4793" t="e" vm="2">
        <f t="shared" si="375"/>
        <v>#VALUE!</v>
      </c>
    </row>
    <row r="4794" spans="55:59" x14ac:dyDescent="0.2">
      <c r="BC4794" s="21" t="e" vm="1">
        <v>#REF!</v>
      </c>
      <c r="BD4794" t="e" vm="1">
        <v>#REF!</v>
      </c>
      <c r="BF4794" t="e" vm="2">
        <f t="shared" si="374"/>
        <v>#VALUE!</v>
      </c>
      <c r="BG4794" t="e" vm="2">
        <f t="shared" si="375"/>
        <v>#VALUE!</v>
      </c>
    </row>
    <row r="4795" spans="55:59" x14ac:dyDescent="0.2">
      <c r="BC4795" s="21" t="e" vm="1">
        <v>#REF!</v>
      </c>
      <c r="BD4795" t="e" vm="1">
        <v>#REF!</v>
      </c>
      <c r="BF4795" t="e" vm="2">
        <f t="shared" si="374"/>
        <v>#VALUE!</v>
      </c>
      <c r="BG4795" t="e" vm="2">
        <f t="shared" si="375"/>
        <v>#VALUE!</v>
      </c>
    </row>
    <row r="4796" spans="55:59" x14ac:dyDescent="0.2">
      <c r="BC4796" s="21" t="e" vm="1">
        <v>#REF!</v>
      </c>
      <c r="BD4796" t="e" vm="1">
        <v>#REF!</v>
      </c>
      <c r="BF4796" t="e" vm="2">
        <f t="shared" si="374"/>
        <v>#VALUE!</v>
      </c>
      <c r="BG4796" t="e" vm="2">
        <f t="shared" si="375"/>
        <v>#VALUE!</v>
      </c>
    </row>
    <row r="4797" spans="55:59" x14ac:dyDescent="0.2">
      <c r="BC4797" s="21" t="e" vm="1">
        <v>#REF!</v>
      </c>
      <c r="BD4797" t="e" vm="1">
        <v>#REF!</v>
      </c>
      <c r="BF4797" t="e" vm="2">
        <f t="shared" si="374"/>
        <v>#VALUE!</v>
      </c>
      <c r="BG4797" t="e" vm="2">
        <f t="shared" si="375"/>
        <v>#VALUE!</v>
      </c>
    </row>
    <row r="4798" spans="55:59" x14ac:dyDescent="0.2">
      <c r="BC4798" s="21" t="e" vm="1">
        <v>#REF!</v>
      </c>
      <c r="BD4798" t="e" vm="1">
        <v>#REF!</v>
      </c>
      <c r="BF4798" t="e" vm="2">
        <f t="shared" si="374"/>
        <v>#VALUE!</v>
      </c>
      <c r="BG4798" t="e" vm="2">
        <f t="shared" si="375"/>
        <v>#VALUE!</v>
      </c>
    </row>
    <row r="4799" spans="55:59" x14ac:dyDescent="0.2">
      <c r="BC4799" s="21" t="e" vm="1">
        <v>#REF!</v>
      </c>
      <c r="BD4799" t="e" vm="1">
        <v>#REF!</v>
      </c>
      <c r="BF4799" t="e" vm="2">
        <f t="shared" si="374"/>
        <v>#VALUE!</v>
      </c>
      <c r="BG4799" t="e" vm="2">
        <f t="shared" si="375"/>
        <v>#VALUE!</v>
      </c>
    </row>
    <row r="4800" spans="55:59" x14ac:dyDescent="0.2">
      <c r="BC4800" s="21" t="e" vm="1">
        <v>#REF!</v>
      </c>
      <c r="BD4800" t="e" vm="1">
        <v>#REF!</v>
      </c>
      <c r="BF4800" t="e" vm="2">
        <f t="shared" si="374"/>
        <v>#VALUE!</v>
      </c>
      <c r="BG4800" t="e" vm="2">
        <f t="shared" si="375"/>
        <v>#VALUE!</v>
      </c>
    </row>
    <row r="4801" spans="55:59" x14ac:dyDescent="0.2">
      <c r="BC4801" s="21" t="e" vm="1">
        <v>#REF!</v>
      </c>
      <c r="BD4801" t="e" vm="1">
        <v>#REF!</v>
      </c>
      <c r="BF4801" t="e" vm="2">
        <f t="shared" si="374"/>
        <v>#VALUE!</v>
      </c>
      <c r="BG4801" t="e" vm="2">
        <f t="shared" si="375"/>
        <v>#VALUE!</v>
      </c>
    </row>
    <row r="4802" spans="55:59" x14ac:dyDescent="0.2">
      <c r="BC4802" s="21" t="e" vm="1">
        <v>#REF!</v>
      </c>
      <c r="BD4802" t="e" vm="1">
        <v>#REF!</v>
      </c>
      <c r="BF4802" t="e" vm="2">
        <f t="shared" si="374"/>
        <v>#VALUE!</v>
      </c>
      <c r="BG4802" t="e" vm="2">
        <f t="shared" si="375"/>
        <v>#VALUE!</v>
      </c>
    </row>
    <row r="4803" spans="55:59" x14ac:dyDescent="0.2">
      <c r="BC4803" s="21" t="e" vm="1">
        <v>#REF!</v>
      </c>
      <c r="BD4803" t="e" vm="1">
        <v>#REF!</v>
      </c>
      <c r="BF4803" t="e" vm="2">
        <f t="shared" ref="BF4803:BF4866" si="376">MONTH(BC4803)</f>
        <v>#VALUE!</v>
      </c>
      <c r="BG4803" t="e" vm="2">
        <f t="shared" ref="BG4803:BG4866" si="377">YEAR(BC4803)</f>
        <v>#VALUE!</v>
      </c>
    </row>
    <row r="4804" spans="55:59" x14ac:dyDescent="0.2">
      <c r="BC4804" s="21" t="e" vm="1">
        <v>#REF!</v>
      </c>
      <c r="BD4804" t="e" vm="1">
        <v>#REF!</v>
      </c>
      <c r="BF4804" t="e" vm="2">
        <f t="shared" si="376"/>
        <v>#VALUE!</v>
      </c>
      <c r="BG4804" t="e" vm="2">
        <f t="shared" si="377"/>
        <v>#VALUE!</v>
      </c>
    </row>
    <row r="4805" spans="55:59" x14ac:dyDescent="0.2">
      <c r="BC4805" s="21" t="e" vm="1">
        <v>#REF!</v>
      </c>
      <c r="BD4805" t="e" vm="1">
        <v>#REF!</v>
      </c>
      <c r="BF4805" t="e" vm="2">
        <f t="shared" si="376"/>
        <v>#VALUE!</v>
      </c>
      <c r="BG4805" t="e" vm="2">
        <f t="shared" si="377"/>
        <v>#VALUE!</v>
      </c>
    </row>
    <row r="4806" spans="55:59" x14ac:dyDescent="0.2">
      <c r="BC4806" s="21" t="e" vm="1">
        <v>#REF!</v>
      </c>
      <c r="BD4806" t="e" vm="1">
        <v>#REF!</v>
      </c>
      <c r="BF4806" t="e" vm="2">
        <f t="shared" si="376"/>
        <v>#VALUE!</v>
      </c>
      <c r="BG4806" t="e" vm="2">
        <f t="shared" si="377"/>
        <v>#VALUE!</v>
      </c>
    </row>
    <row r="4807" spans="55:59" x14ac:dyDescent="0.2">
      <c r="BC4807" s="21" t="e" vm="1">
        <v>#REF!</v>
      </c>
      <c r="BD4807" t="e" vm="1">
        <v>#REF!</v>
      </c>
      <c r="BF4807" t="e" vm="2">
        <f t="shared" si="376"/>
        <v>#VALUE!</v>
      </c>
      <c r="BG4807" t="e" vm="2">
        <f t="shared" si="377"/>
        <v>#VALUE!</v>
      </c>
    </row>
    <row r="4808" spans="55:59" x14ac:dyDescent="0.2">
      <c r="BC4808" s="21" t="e" vm="1">
        <v>#REF!</v>
      </c>
      <c r="BD4808" t="e" vm="1">
        <v>#REF!</v>
      </c>
      <c r="BF4808" t="e" vm="2">
        <f t="shared" si="376"/>
        <v>#VALUE!</v>
      </c>
      <c r="BG4808" t="e" vm="2">
        <f t="shared" si="377"/>
        <v>#VALUE!</v>
      </c>
    </row>
    <row r="4809" spans="55:59" x14ac:dyDescent="0.2">
      <c r="BC4809" s="21" t="e" vm="1">
        <v>#REF!</v>
      </c>
      <c r="BD4809" t="e" vm="1">
        <v>#REF!</v>
      </c>
      <c r="BF4809" t="e" vm="2">
        <f t="shared" si="376"/>
        <v>#VALUE!</v>
      </c>
      <c r="BG4809" t="e" vm="2">
        <f t="shared" si="377"/>
        <v>#VALUE!</v>
      </c>
    </row>
    <row r="4810" spans="55:59" x14ac:dyDescent="0.2">
      <c r="BC4810" s="21" t="e" vm="1">
        <v>#REF!</v>
      </c>
      <c r="BD4810" t="e" vm="1">
        <v>#REF!</v>
      </c>
      <c r="BF4810" t="e" vm="2">
        <f t="shared" si="376"/>
        <v>#VALUE!</v>
      </c>
      <c r="BG4810" t="e" vm="2">
        <f t="shared" si="377"/>
        <v>#VALUE!</v>
      </c>
    </row>
    <row r="4811" spans="55:59" x14ac:dyDescent="0.2">
      <c r="BC4811" s="21" t="e" vm="1">
        <v>#REF!</v>
      </c>
      <c r="BD4811" t="e" vm="1">
        <v>#REF!</v>
      </c>
      <c r="BF4811" t="e" vm="2">
        <f t="shared" si="376"/>
        <v>#VALUE!</v>
      </c>
      <c r="BG4811" t="e" vm="2">
        <f t="shared" si="377"/>
        <v>#VALUE!</v>
      </c>
    </row>
    <row r="4812" spans="55:59" x14ac:dyDescent="0.2">
      <c r="BC4812" s="21" t="e" vm="1">
        <v>#REF!</v>
      </c>
      <c r="BD4812" t="e" vm="1">
        <v>#REF!</v>
      </c>
      <c r="BF4812" t="e" vm="2">
        <f t="shared" si="376"/>
        <v>#VALUE!</v>
      </c>
      <c r="BG4812" t="e" vm="2">
        <f t="shared" si="377"/>
        <v>#VALUE!</v>
      </c>
    </row>
    <row r="4813" spans="55:59" x14ac:dyDescent="0.2">
      <c r="BC4813" s="21" t="e" vm="1">
        <v>#REF!</v>
      </c>
      <c r="BD4813" t="e" vm="1">
        <v>#REF!</v>
      </c>
      <c r="BF4813" t="e" vm="2">
        <f t="shared" si="376"/>
        <v>#VALUE!</v>
      </c>
      <c r="BG4813" t="e" vm="2">
        <f t="shared" si="377"/>
        <v>#VALUE!</v>
      </c>
    </row>
    <row r="4814" spans="55:59" x14ac:dyDescent="0.2">
      <c r="BC4814" s="21" t="e" vm="1">
        <v>#REF!</v>
      </c>
      <c r="BD4814" t="e" vm="1">
        <v>#REF!</v>
      </c>
      <c r="BF4814" t="e" vm="2">
        <f t="shared" si="376"/>
        <v>#VALUE!</v>
      </c>
      <c r="BG4814" t="e" vm="2">
        <f t="shared" si="377"/>
        <v>#VALUE!</v>
      </c>
    </row>
    <row r="4815" spans="55:59" x14ac:dyDescent="0.2">
      <c r="BC4815" s="21" t="e" vm="1">
        <v>#REF!</v>
      </c>
      <c r="BD4815" t="e" vm="1">
        <v>#REF!</v>
      </c>
      <c r="BF4815" t="e" vm="2">
        <f t="shared" si="376"/>
        <v>#VALUE!</v>
      </c>
      <c r="BG4815" t="e" vm="2">
        <f t="shared" si="377"/>
        <v>#VALUE!</v>
      </c>
    </row>
    <row r="4816" spans="55:59" x14ac:dyDescent="0.2">
      <c r="BC4816" s="21" t="e" vm="1">
        <v>#REF!</v>
      </c>
      <c r="BD4816" t="e" vm="1">
        <v>#REF!</v>
      </c>
      <c r="BF4816" t="e" vm="2">
        <f t="shared" si="376"/>
        <v>#VALUE!</v>
      </c>
      <c r="BG4816" t="e" vm="2">
        <f t="shared" si="377"/>
        <v>#VALUE!</v>
      </c>
    </row>
    <row r="4817" spans="55:59" x14ac:dyDescent="0.2">
      <c r="BC4817" s="21" t="e" vm="1">
        <v>#REF!</v>
      </c>
      <c r="BD4817" t="e" vm="1">
        <v>#REF!</v>
      </c>
      <c r="BF4817" t="e" vm="2">
        <f t="shared" si="376"/>
        <v>#VALUE!</v>
      </c>
      <c r="BG4817" t="e" vm="2">
        <f t="shared" si="377"/>
        <v>#VALUE!</v>
      </c>
    </row>
    <row r="4818" spans="55:59" x14ac:dyDescent="0.2">
      <c r="BC4818" s="21" t="e" vm="1">
        <v>#REF!</v>
      </c>
      <c r="BD4818" t="e" vm="1">
        <v>#REF!</v>
      </c>
      <c r="BF4818" t="e" vm="2">
        <f t="shared" si="376"/>
        <v>#VALUE!</v>
      </c>
      <c r="BG4818" t="e" vm="2">
        <f t="shared" si="377"/>
        <v>#VALUE!</v>
      </c>
    </row>
    <row r="4819" spans="55:59" x14ac:dyDescent="0.2">
      <c r="BC4819" s="21" t="e" vm="1">
        <v>#REF!</v>
      </c>
      <c r="BD4819" t="e" vm="1">
        <v>#REF!</v>
      </c>
      <c r="BF4819" t="e" vm="2">
        <f t="shared" si="376"/>
        <v>#VALUE!</v>
      </c>
      <c r="BG4819" t="e" vm="2">
        <f t="shared" si="377"/>
        <v>#VALUE!</v>
      </c>
    </row>
    <row r="4820" spans="55:59" x14ac:dyDescent="0.2">
      <c r="BC4820" s="21" t="e" vm="1">
        <v>#REF!</v>
      </c>
      <c r="BD4820" t="e" vm="1">
        <v>#REF!</v>
      </c>
      <c r="BF4820" t="e" vm="2">
        <f t="shared" si="376"/>
        <v>#VALUE!</v>
      </c>
      <c r="BG4820" t="e" vm="2">
        <f t="shared" si="377"/>
        <v>#VALUE!</v>
      </c>
    </row>
    <row r="4821" spans="55:59" x14ac:dyDescent="0.2">
      <c r="BC4821" s="21" t="e" vm="1">
        <v>#REF!</v>
      </c>
      <c r="BD4821" t="e" vm="1">
        <v>#REF!</v>
      </c>
      <c r="BF4821" t="e" vm="2">
        <f t="shared" si="376"/>
        <v>#VALUE!</v>
      </c>
      <c r="BG4821" t="e" vm="2">
        <f t="shared" si="377"/>
        <v>#VALUE!</v>
      </c>
    </row>
    <row r="4822" spans="55:59" x14ac:dyDescent="0.2">
      <c r="BC4822" s="21" t="e" vm="1">
        <v>#REF!</v>
      </c>
      <c r="BD4822" t="e" vm="1">
        <v>#REF!</v>
      </c>
      <c r="BF4822" t="e" vm="2">
        <f t="shared" si="376"/>
        <v>#VALUE!</v>
      </c>
      <c r="BG4822" t="e" vm="2">
        <f t="shared" si="377"/>
        <v>#VALUE!</v>
      </c>
    </row>
    <row r="4823" spans="55:59" x14ac:dyDescent="0.2">
      <c r="BC4823" s="21" t="e" vm="1">
        <v>#REF!</v>
      </c>
      <c r="BD4823" t="e" vm="1">
        <v>#REF!</v>
      </c>
      <c r="BF4823" t="e" vm="2">
        <f t="shared" si="376"/>
        <v>#VALUE!</v>
      </c>
      <c r="BG4823" t="e" vm="2">
        <f t="shared" si="377"/>
        <v>#VALUE!</v>
      </c>
    </row>
    <row r="4824" spans="55:59" x14ac:dyDescent="0.2">
      <c r="BC4824" s="21" t="e" vm="1">
        <v>#REF!</v>
      </c>
      <c r="BD4824" t="e" vm="1">
        <v>#REF!</v>
      </c>
      <c r="BF4824" t="e" vm="2">
        <f t="shared" si="376"/>
        <v>#VALUE!</v>
      </c>
      <c r="BG4824" t="e" vm="2">
        <f t="shared" si="377"/>
        <v>#VALUE!</v>
      </c>
    </row>
    <row r="4825" spans="55:59" x14ac:dyDescent="0.2">
      <c r="BC4825" s="21" t="e" vm="1">
        <v>#REF!</v>
      </c>
      <c r="BD4825" t="e" vm="1">
        <v>#REF!</v>
      </c>
      <c r="BF4825" t="e" vm="2">
        <f t="shared" si="376"/>
        <v>#VALUE!</v>
      </c>
      <c r="BG4825" t="e" vm="2">
        <f t="shared" si="377"/>
        <v>#VALUE!</v>
      </c>
    </row>
    <row r="4826" spans="55:59" x14ac:dyDescent="0.2">
      <c r="BC4826" s="21" t="e" vm="1">
        <v>#REF!</v>
      </c>
      <c r="BD4826" t="e" vm="1">
        <v>#REF!</v>
      </c>
      <c r="BF4826" t="e" vm="2">
        <f t="shared" si="376"/>
        <v>#VALUE!</v>
      </c>
      <c r="BG4826" t="e" vm="2">
        <f t="shared" si="377"/>
        <v>#VALUE!</v>
      </c>
    </row>
    <row r="4827" spans="55:59" x14ac:dyDescent="0.2">
      <c r="BC4827" s="21" t="e" vm="1">
        <v>#REF!</v>
      </c>
      <c r="BD4827" t="e" vm="1">
        <v>#REF!</v>
      </c>
      <c r="BF4827" t="e" vm="2">
        <f t="shared" si="376"/>
        <v>#VALUE!</v>
      </c>
      <c r="BG4827" t="e" vm="2">
        <f t="shared" si="377"/>
        <v>#VALUE!</v>
      </c>
    </row>
    <row r="4828" spans="55:59" x14ac:dyDescent="0.2">
      <c r="BC4828" s="21" t="e" vm="1">
        <v>#REF!</v>
      </c>
      <c r="BD4828" t="e" vm="1">
        <v>#REF!</v>
      </c>
      <c r="BF4828" t="e" vm="2">
        <f t="shared" si="376"/>
        <v>#VALUE!</v>
      </c>
      <c r="BG4828" t="e" vm="2">
        <f t="shared" si="377"/>
        <v>#VALUE!</v>
      </c>
    </row>
    <row r="4829" spans="55:59" x14ac:dyDescent="0.2">
      <c r="BC4829" s="21" t="e" vm="1">
        <v>#REF!</v>
      </c>
      <c r="BD4829" t="e" vm="1">
        <v>#REF!</v>
      </c>
      <c r="BF4829" t="e" vm="2">
        <f t="shared" si="376"/>
        <v>#VALUE!</v>
      </c>
      <c r="BG4829" t="e" vm="2">
        <f t="shared" si="377"/>
        <v>#VALUE!</v>
      </c>
    </row>
    <row r="4830" spans="55:59" x14ac:dyDescent="0.2">
      <c r="BC4830" s="21" t="e" vm="1">
        <v>#REF!</v>
      </c>
      <c r="BD4830" t="e" vm="1">
        <v>#REF!</v>
      </c>
      <c r="BF4830" t="e" vm="2">
        <f t="shared" si="376"/>
        <v>#VALUE!</v>
      </c>
      <c r="BG4830" t="e" vm="2">
        <f t="shared" si="377"/>
        <v>#VALUE!</v>
      </c>
    </row>
    <row r="4831" spans="55:59" x14ac:dyDescent="0.2">
      <c r="BC4831" s="21" t="e" vm="1">
        <v>#REF!</v>
      </c>
      <c r="BD4831" t="e" vm="1">
        <v>#REF!</v>
      </c>
      <c r="BF4831" t="e" vm="2">
        <f t="shared" si="376"/>
        <v>#VALUE!</v>
      </c>
      <c r="BG4831" t="e" vm="2">
        <f t="shared" si="377"/>
        <v>#VALUE!</v>
      </c>
    </row>
    <row r="4832" spans="55:59" x14ac:dyDescent="0.2">
      <c r="BC4832" s="21" t="e" vm="1">
        <v>#REF!</v>
      </c>
      <c r="BD4832" t="e" vm="1">
        <v>#REF!</v>
      </c>
      <c r="BF4832" t="e" vm="2">
        <f t="shared" si="376"/>
        <v>#VALUE!</v>
      </c>
      <c r="BG4832" t="e" vm="2">
        <f t="shared" si="377"/>
        <v>#VALUE!</v>
      </c>
    </row>
    <row r="4833" spans="55:59" x14ac:dyDescent="0.2">
      <c r="BC4833" s="21" t="e" vm="1">
        <v>#REF!</v>
      </c>
      <c r="BD4833" t="e" vm="1">
        <v>#REF!</v>
      </c>
      <c r="BF4833" t="e" vm="2">
        <f t="shared" si="376"/>
        <v>#VALUE!</v>
      </c>
      <c r="BG4833" t="e" vm="2">
        <f t="shared" si="377"/>
        <v>#VALUE!</v>
      </c>
    </row>
    <row r="4834" spans="55:59" x14ac:dyDescent="0.2">
      <c r="BC4834" s="21" t="e" vm="1">
        <v>#REF!</v>
      </c>
      <c r="BD4834" t="e" vm="1">
        <v>#REF!</v>
      </c>
      <c r="BF4834" t="e" vm="2">
        <f t="shared" si="376"/>
        <v>#VALUE!</v>
      </c>
      <c r="BG4834" t="e" vm="2">
        <f t="shared" si="377"/>
        <v>#VALUE!</v>
      </c>
    </row>
    <row r="4835" spans="55:59" x14ac:dyDescent="0.2">
      <c r="BC4835" s="21" t="e" vm="1">
        <v>#REF!</v>
      </c>
      <c r="BD4835" t="e" vm="1">
        <v>#REF!</v>
      </c>
      <c r="BF4835" t="e" vm="2">
        <f t="shared" si="376"/>
        <v>#VALUE!</v>
      </c>
      <c r="BG4835" t="e" vm="2">
        <f t="shared" si="377"/>
        <v>#VALUE!</v>
      </c>
    </row>
    <row r="4836" spans="55:59" x14ac:dyDescent="0.2">
      <c r="BC4836" s="21" t="e" vm="1">
        <v>#REF!</v>
      </c>
      <c r="BD4836" t="e" vm="1">
        <v>#REF!</v>
      </c>
      <c r="BF4836" t="e" vm="2">
        <f t="shared" si="376"/>
        <v>#VALUE!</v>
      </c>
      <c r="BG4836" t="e" vm="2">
        <f t="shared" si="377"/>
        <v>#VALUE!</v>
      </c>
    </row>
    <row r="4837" spans="55:59" x14ac:dyDescent="0.2">
      <c r="BC4837" s="21" t="e" vm="1">
        <v>#REF!</v>
      </c>
      <c r="BD4837" t="e" vm="1">
        <v>#REF!</v>
      </c>
      <c r="BF4837" t="e" vm="2">
        <f t="shared" si="376"/>
        <v>#VALUE!</v>
      </c>
      <c r="BG4837" t="e" vm="2">
        <f t="shared" si="377"/>
        <v>#VALUE!</v>
      </c>
    </row>
    <row r="4838" spans="55:59" x14ac:dyDescent="0.2">
      <c r="BC4838" s="21" t="e" vm="1">
        <v>#REF!</v>
      </c>
      <c r="BD4838" t="e" vm="1">
        <v>#REF!</v>
      </c>
      <c r="BF4838" t="e" vm="2">
        <f t="shared" si="376"/>
        <v>#VALUE!</v>
      </c>
      <c r="BG4838" t="e" vm="2">
        <f t="shared" si="377"/>
        <v>#VALUE!</v>
      </c>
    </row>
    <row r="4839" spans="55:59" x14ac:dyDescent="0.2">
      <c r="BC4839" s="21" t="e" vm="1">
        <v>#REF!</v>
      </c>
      <c r="BD4839" t="e" vm="1">
        <v>#REF!</v>
      </c>
      <c r="BF4839" t="e" vm="2">
        <f t="shared" si="376"/>
        <v>#VALUE!</v>
      </c>
      <c r="BG4839" t="e" vm="2">
        <f t="shared" si="377"/>
        <v>#VALUE!</v>
      </c>
    </row>
    <row r="4840" spans="55:59" x14ac:dyDescent="0.2">
      <c r="BC4840" s="21" t="e" vm="1">
        <v>#REF!</v>
      </c>
      <c r="BD4840" t="e" vm="1">
        <v>#REF!</v>
      </c>
      <c r="BF4840" t="e" vm="2">
        <f t="shared" si="376"/>
        <v>#VALUE!</v>
      </c>
      <c r="BG4840" t="e" vm="2">
        <f t="shared" si="377"/>
        <v>#VALUE!</v>
      </c>
    </row>
    <row r="4841" spans="55:59" x14ac:dyDescent="0.2">
      <c r="BC4841" s="21" t="e" vm="1">
        <v>#REF!</v>
      </c>
      <c r="BD4841" t="e" vm="1">
        <v>#REF!</v>
      </c>
      <c r="BF4841" t="e" vm="2">
        <f t="shared" si="376"/>
        <v>#VALUE!</v>
      </c>
      <c r="BG4841" t="e" vm="2">
        <f t="shared" si="377"/>
        <v>#VALUE!</v>
      </c>
    </row>
    <row r="4842" spans="55:59" x14ac:dyDescent="0.2">
      <c r="BC4842" s="21" t="e" vm="1">
        <v>#REF!</v>
      </c>
      <c r="BD4842" t="e" vm="1">
        <v>#REF!</v>
      </c>
      <c r="BF4842" t="e" vm="2">
        <f t="shared" si="376"/>
        <v>#VALUE!</v>
      </c>
      <c r="BG4842" t="e" vm="2">
        <f t="shared" si="377"/>
        <v>#VALUE!</v>
      </c>
    </row>
    <row r="4843" spans="55:59" x14ac:dyDescent="0.2">
      <c r="BC4843" s="21" t="e" vm="1">
        <v>#REF!</v>
      </c>
      <c r="BD4843" t="e" vm="1">
        <v>#REF!</v>
      </c>
      <c r="BF4843" t="e" vm="2">
        <f t="shared" si="376"/>
        <v>#VALUE!</v>
      </c>
      <c r="BG4843" t="e" vm="2">
        <f t="shared" si="377"/>
        <v>#VALUE!</v>
      </c>
    </row>
    <row r="4844" spans="55:59" x14ac:dyDescent="0.2">
      <c r="BC4844" s="21" t="e" vm="1">
        <v>#REF!</v>
      </c>
      <c r="BD4844" t="e" vm="1">
        <v>#REF!</v>
      </c>
      <c r="BF4844" t="e" vm="2">
        <f t="shared" si="376"/>
        <v>#VALUE!</v>
      </c>
      <c r="BG4844" t="e" vm="2">
        <f t="shared" si="377"/>
        <v>#VALUE!</v>
      </c>
    </row>
    <row r="4845" spans="55:59" x14ac:dyDescent="0.2">
      <c r="BC4845" s="21" t="e" vm="1">
        <v>#REF!</v>
      </c>
      <c r="BD4845" t="e" vm="1">
        <v>#REF!</v>
      </c>
      <c r="BF4845" t="e" vm="2">
        <f t="shared" si="376"/>
        <v>#VALUE!</v>
      </c>
      <c r="BG4845" t="e" vm="2">
        <f t="shared" si="377"/>
        <v>#VALUE!</v>
      </c>
    </row>
    <row r="4846" spans="55:59" x14ac:dyDescent="0.2">
      <c r="BC4846" s="21" t="e" vm="1">
        <v>#REF!</v>
      </c>
      <c r="BD4846" t="e" vm="1">
        <v>#REF!</v>
      </c>
      <c r="BF4846" t="e" vm="2">
        <f t="shared" si="376"/>
        <v>#VALUE!</v>
      </c>
      <c r="BG4846" t="e" vm="2">
        <f t="shared" si="377"/>
        <v>#VALUE!</v>
      </c>
    </row>
    <row r="4847" spans="55:59" x14ac:dyDescent="0.2">
      <c r="BC4847" s="21" t="e" vm="1">
        <v>#REF!</v>
      </c>
      <c r="BD4847" t="e" vm="1">
        <v>#REF!</v>
      </c>
      <c r="BF4847" t="e" vm="2">
        <f t="shared" si="376"/>
        <v>#VALUE!</v>
      </c>
      <c r="BG4847" t="e" vm="2">
        <f t="shared" si="377"/>
        <v>#VALUE!</v>
      </c>
    </row>
    <row r="4848" spans="55:59" x14ac:dyDescent="0.2">
      <c r="BC4848" s="21" t="e" vm="1">
        <v>#REF!</v>
      </c>
      <c r="BD4848" t="e" vm="1">
        <v>#REF!</v>
      </c>
      <c r="BF4848" t="e" vm="2">
        <f t="shared" si="376"/>
        <v>#VALUE!</v>
      </c>
      <c r="BG4848" t="e" vm="2">
        <f t="shared" si="377"/>
        <v>#VALUE!</v>
      </c>
    </row>
    <row r="4849" spans="55:59" x14ac:dyDescent="0.2">
      <c r="BC4849" s="21" t="e" vm="1">
        <v>#REF!</v>
      </c>
      <c r="BD4849" t="e" vm="1">
        <v>#REF!</v>
      </c>
      <c r="BF4849" t="e" vm="2">
        <f t="shared" si="376"/>
        <v>#VALUE!</v>
      </c>
      <c r="BG4849" t="e" vm="2">
        <f t="shared" si="377"/>
        <v>#VALUE!</v>
      </c>
    </row>
    <row r="4850" spans="55:59" x14ac:dyDescent="0.2">
      <c r="BC4850" s="21" t="e" vm="1">
        <v>#REF!</v>
      </c>
      <c r="BD4850" t="e" vm="1">
        <v>#REF!</v>
      </c>
      <c r="BF4850" t="e" vm="2">
        <f t="shared" si="376"/>
        <v>#VALUE!</v>
      </c>
      <c r="BG4850" t="e" vm="2">
        <f t="shared" si="377"/>
        <v>#VALUE!</v>
      </c>
    </row>
    <row r="4851" spans="55:59" x14ac:dyDescent="0.2">
      <c r="BC4851" s="21" t="e" vm="1">
        <v>#REF!</v>
      </c>
      <c r="BD4851" t="e" vm="1">
        <v>#REF!</v>
      </c>
      <c r="BF4851" t="e" vm="2">
        <f t="shared" si="376"/>
        <v>#VALUE!</v>
      </c>
      <c r="BG4851" t="e" vm="2">
        <f t="shared" si="377"/>
        <v>#VALUE!</v>
      </c>
    </row>
    <row r="4852" spans="55:59" x14ac:dyDescent="0.2">
      <c r="BC4852" s="21" t="e" vm="1">
        <v>#REF!</v>
      </c>
      <c r="BD4852" t="e" vm="1">
        <v>#REF!</v>
      </c>
      <c r="BF4852" t="e" vm="2">
        <f t="shared" si="376"/>
        <v>#VALUE!</v>
      </c>
      <c r="BG4852" t="e" vm="2">
        <f t="shared" si="377"/>
        <v>#VALUE!</v>
      </c>
    </row>
    <row r="4853" spans="55:59" x14ac:dyDescent="0.2">
      <c r="BC4853" s="21" t="e" vm="1">
        <v>#REF!</v>
      </c>
      <c r="BD4853" t="e" vm="1">
        <v>#REF!</v>
      </c>
      <c r="BF4853" t="e" vm="2">
        <f t="shared" si="376"/>
        <v>#VALUE!</v>
      </c>
      <c r="BG4853" t="e" vm="2">
        <f t="shared" si="377"/>
        <v>#VALUE!</v>
      </c>
    </row>
    <row r="4854" spans="55:59" x14ac:dyDescent="0.2">
      <c r="BC4854" s="21" t="e" vm="1">
        <v>#REF!</v>
      </c>
      <c r="BD4854" t="e" vm="1">
        <v>#REF!</v>
      </c>
      <c r="BF4854" t="e" vm="2">
        <f t="shared" si="376"/>
        <v>#VALUE!</v>
      </c>
      <c r="BG4854" t="e" vm="2">
        <f t="shared" si="377"/>
        <v>#VALUE!</v>
      </c>
    </row>
    <row r="4855" spans="55:59" x14ac:dyDescent="0.2">
      <c r="BC4855" s="21" t="e" vm="1">
        <v>#REF!</v>
      </c>
      <c r="BD4855" t="e" vm="1">
        <v>#REF!</v>
      </c>
      <c r="BF4855" t="e" vm="2">
        <f t="shared" si="376"/>
        <v>#VALUE!</v>
      </c>
      <c r="BG4855" t="e" vm="2">
        <f t="shared" si="377"/>
        <v>#VALUE!</v>
      </c>
    </row>
    <row r="4856" spans="55:59" x14ac:dyDescent="0.2">
      <c r="BC4856" s="21" t="e" vm="1">
        <v>#REF!</v>
      </c>
      <c r="BD4856" t="e" vm="1">
        <v>#REF!</v>
      </c>
      <c r="BF4856" t="e" vm="2">
        <f t="shared" si="376"/>
        <v>#VALUE!</v>
      </c>
      <c r="BG4856" t="e" vm="2">
        <f t="shared" si="377"/>
        <v>#VALUE!</v>
      </c>
    </row>
    <row r="4857" spans="55:59" x14ac:dyDescent="0.2">
      <c r="BC4857" s="21" t="e" vm="1">
        <v>#REF!</v>
      </c>
      <c r="BD4857" t="e" vm="1">
        <v>#REF!</v>
      </c>
      <c r="BF4857" t="e" vm="2">
        <f t="shared" si="376"/>
        <v>#VALUE!</v>
      </c>
      <c r="BG4857" t="e" vm="2">
        <f t="shared" si="377"/>
        <v>#VALUE!</v>
      </c>
    </row>
    <row r="4858" spans="55:59" x14ac:dyDescent="0.2">
      <c r="BC4858" s="21" t="e" vm="1">
        <v>#REF!</v>
      </c>
      <c r="BD4858" t="e" vm="1">
        <v>#REF!</v>
      </c>
      <c r="BF4858" t="e" vm="2">
        <f t="shared" si="376"/>
        <v>#VALUE!</v>
      </c>
      <c r="BG4858" t="e" vm="2">
        <f t="shared" si="377"/>
        <v>#VALUE!</v>
      </c>
    </row>
    <row r="4859" spans="55:59" x14ac:dyDescent="0.2">
      <c r="BC4859" s="21" t="e" vm="1">
        <v>#REF!</v>
      </c>
      <c r="BD4859" t="e" vm="1">
        <v>#REF!</v>
      </c>
      <c r="BF4859" t="e" vm="2">
        <f t="shared" si="376"/>
        <v>#VALUE!</v>
      </c>
      <c r="BG4859" t="e" vm="2">
        <f t="shared" si="377"/>
        <v>#VALUE!</v>
      </c>
    </row>
    <row r="4860" spans="55:59" x14ac:dyDescent="0.2">
      <c r="BC4860" s="21" t="e" vm="1">
        <v>#REF!</v>
      </c>
      <c r="BD4860" t="e" vm="1">
        <v>#REF!</v>
      </c>
      <c r="BF4860" t="e" vm="2">
        <f t="shared" si="376"/>
        <v>#VALUE!</v>
      </c>
      <c r="BG4860" t="e" vm="2">
        <f t="shared" si="377"/>
        <v>#VALUE!</v>
      </c>
    </row>
    <row r="4861" spans="55:59" x14ac:dyDescent="0.2">
      <c r="BC4861" s="21" t="e" vm="1">
        <v>#REF!</v>
      </c>
      <c r="BD4861" t="e" vm="1">
        <v>#REF!</v>
      </c>
      <c r="BF4861" t="e" vm="2">
        <f t="shared" si="376"/>
        <v>#VALUE!</v>
      </c>
      <c r="BG4861" t="e" vm="2">
        <f t="shared" si="377"/>
        <v>#VALUE!</v>
      </c>
    </row>
    <row r="4862" spans="55:59" x14ac:dyDescent="0.2">
      <c r="BC4862" s="21" t="e" vm="1">
        <v>#REF!</v>
      </c>
      <c r="BD4862" t="e" vm="1">
        <v>#REF!</v>
      </c>
      <c r="BF4862" t="e" vm="2">
        <f t="shared" si="376"/>
        <v>#VALUE!</v>
      </c>
      <c r="BG4862" t="e" vm="2">
        <f t="shared" si="377"/>
        <v>#VALUE!</v>
      </c>
    </row>
    <row r="4863" spans="55:59" x14ac:dyDescent="0.2">
      <c r="BC4863" s="21" t="e" vm="1">
        <v>#REF!</v>
      </c>
      <c r="BD4863" t="e" vm="1">
        <v>#REF!</v>
      </c>
      <c r="BF4863" t="e" vm="2">
        <f t="shared" si="376"/>
        <v>#VALUE!</v>
      </c>
      <c r="BG4863" t="e" vm="2">
        <f t="shared" si="377"/>
        <v>#VALUE!</v>
      </c>
    </row>
    <row r="4864" spans="55:59" x14ac:dyDescent="0.2">
      <c r="BC4864" s="21" t="e" vm="1">
        <v>#REF!</v>
      </c>
      <c r="BD4864" t="e" vm="1">
        <v>#REF!</v>
      </c>
      <c r="BF4864" t="e" vm="2">
        <f t="shared" si="376"/>
        <v>#VALUE!</v>
      </c>
      <c r="BG4864" t="e" vm="2">
        <f t="shared" si="377"/>
        <v>#VALUE!</v>
      </c>
    </row>
    <row r="4865" spans="55:59" x14ac:dyDescent="0.2">
      <c r="BC4865" s="21" t="e" vm="1">
        <v>#REF!</v>
      </c>
      <c r="BD4865" t="e" vm="1">
        <v>#REF!</v>
      </c>
      <c r="BF4865" t="e" vm="2">
        <f t="shared" si="376"/>
        <v>#VALUE!</v>
      </c>
      <c r="BG4865" t="e" vm="2">
        <f t="shared" si="377"/>
        <v>#VALUE!</v>
      </c>
    </row>
    <row r="4866" spans="55:59" x14ac:dyDescent="0.2">
      <c r="BC4866" s="21" t="e" vm="1">
        <v>#REF!</v>
      </c>
      <c r="BD4866" t="e" vm="1">
        <v>#REF!</v>
      </c>
      <c r="BF4866" t="e" vm="2">
        <f t="shared" si="376"/>
        <v>#VALUE!</v>
      </c>
      <c r="BG4866" t="e" vm="2">
        <f t="shared" si="377"/>
        <v>#VALUE!</v>
      </c>
    </row>
    <row r="4867" spans="55:59" x14ac:dyDescent="0.2">
      <c r="BC4867" s="21" t="e" vm="1">
        <v>#REF!</v>
      </c>
      <c r="BD4867" t="e" vm="1">
        <v>#REF!</v>
      </c>
      <c r="BF4867" t="e" vm="2">
        <f t="shared" ref="BF4867:BF4930" si="378">MONTH(BC4867)</f>
        <v>#VALUE!</v>
      </c>
      <c r="BG4867" t="e" vm="2">
        <f t="shared" ref="BG4867:BG4930" si="379">YEAR(BC4867)</f>
        <v>#VALUE!</v>
      </c>
    </row>
    <row r="4868" spans="55:59" x14ac:dyDescent="0.2">
      <c r="BC4868" s="21" t="e" vm="1">
        <v>#REF!</v>
      </c>
      <c r="BD4868" t="e" vm="1">
        <v>#REF!</v>
      </c>
      <c r="BF4868" t="e" vm="2">
        <f t="shared" si="378"/>
        <v>#VALUE!</v>
      </c>
      <c r="BG4868" t="e" vm="2">
        <f t="shared" si="379"/>
        <v>#VALUE!</v>
      </c>
    </row>
    <row r="4869" spans="55:59" x14ac:dyDescent="0.2">
      <c r="BC4869" s="21" t="e" vm="1">
        <v>#REF!</v>
      </c>
      <c r="BD4869" t="e" vm="1">
        <v>#REF!</v>
      </c>
      <c r="BF4869" t="e" vm="2">
        <f t="shared" si="378"/>
        <v>#VALUE!</v>
      </c>
      <c r="BG4869" t="e" vm="2">
        <f t="shared" si="379"/>
        <v>#VALUE!</v>
      </c>
    </row>
    <row r="4870" spans="55:59" x14ac:dyDescent="0.2">
      <c r="BC4870" s="21" t="e" vm="1">
        <v>#REF!</v>
      </c>
      <c r="BD4870" t="e" vm="1">
        <v>#REF!</v>
      </c>
      <c r="BF4870" t="e" vm="2">
        <f t="shared" si="378"/>
        <v>#VALUE!</v>
      </c>
      <c r="BG4870" t="e" vm="2">
        <f t="shared" si="379"/>
        <v>#VALUE!</v>
      </c>
    </row>
    <row r="4871" spans="55:59" x14ac:dyDescent="0.2">
      <c r="BC4871" s="21" t="e" vm="1">
        <v>#REF!</v>
      </c>
      <c r="BD4871" t="e" vm="1">
        <v>#REF!</v>
      </c>
      <c r="BF4871" t="e" vm="2">
        <f t="shared" si="378"/>
        <v>#VALUE!</v>
      </c>
      <c r="BG4871" t="e" vm="2">
        <f t="shared" si="379"/>
        <v>#VALUE!</v>
      </c>
    </row>
    <row r="4872" spans="55:59" x14ac:dyDescent="0.2">
      <c r="BC4872" s="21" t="e" vm="1">
        <v>#REF!</v>
      </c>
      <c r="BD4872" t="e" vm="1">
        <v>#REF!</v>
      </c>
      <c r="BF4872" t="e" vm="2">
        <f t="shared" si="378"/>
        <v>#VALUE!</v>
      </c>
      <c r="BG4872" t="e" vm="2">
        <f t="shared" si="379"/>
        <v>#VALUE!</v>
      </c>
    </row>
    <row r="4873" spans="55:59" x14ac:dyDescent="0.2">
      <c r="BC4873" s="21" t="e" vm="1">
        <v>#REF!</v>
      </c>
      <c r="BD4873" t="e" vm="1">
        <v>#REF!</v>
      </c>
      <c r="BF4873" t="e" vm="2">
        <f t="shared" si="378"/>
        <v>#VALUE!</v>
      </c>
      <c r="BG4873" t="e" vm="2">
        <f t="shared" si="379"/>
        <v>#VALUE!</v>
      </c>
    </row>
    <row r="4874" spans="55:59" x14ac:dyDescent="0.2">
      <c r="BC4874" s="21" t="e" vm="1">
        <v>#REF!</v>
      </c>
      <c r="BD4874" t="e" vm="1">
        <v>#REF!</v>
      </c>
      <c r="BF4874" t="e" vm="2">
        <f t="shared" si="378"/>
        <v>#VALUE!</v>
      </c>
      <c r="BG4874" t="e" vm="2">
        <f t="shared" si="379"/>
        <v>#VALUE!</v>
      </c>
    </row>
    <row r="4875" spans="55:59" x14ac:dyDescent="0.2">
      <c r="BC4875" s="21" t="e" vm="1">
        <v>#REF!</v>
      </c>
      <c r="BD4875" t="e" vm="1">
        <v>#REF!</v>
      </c>
      <c r="BF4875" t="e" vm="2">
        <f t="shared" si="378"/>
        <v>#VALUE!</v>
      </c>
      <c r="BG4875" t="e" vm="2">
        <f t="shared" si="379"/>
        <v>#VALUE!</v>
      </c>
    </row>
    <row r="4876" spans="55:59" x14ac:dyDescent="0.2">
      <c r="BC4876" s="21" t="e" vm="1">
        <v>#REF!</v>
      </c>
      <c r="BD4876" t="e" vm="1">
        <v>#REF!</v>
      </c>
      <c r="BF4876" t="e" vm="2">
        <f t="shared" si="378"/>
        <v>#VALUE!</v>
      </c>
      <c r="BG4876" t="e" vm="2">
        <f t="shared" si="379"/>
        <v>#VALUE!</v>
      </c>
    </row>
    <row r="4877" spans="55:59" x14ac:dyDescent="0.2">
      <c r="BC4877" s="21" t="e" vm="1">
        <v>#REF!</v>
      </c>
      <c r="BD4877" t="e" vm="1">
        <v>#REF!</v>
      </c>
      <c r="BF4877" t="e" vm="2">
        <f t="shared" si="378"/>
        <v>#VALUE!</v>
      </c>
      <c r="BG4877" t="e" vm="2">
        <f t="shared" si="379"/>
        <v>#VALUE!</v>
      </c>
    </row>
    <row r="4878" spans="55:59" x14ac:dyDescent="0.2">
      <c r="BC4878" s="21" t="e" vm="1">
        <v>#REF!</v>
      </c>
      <c r="BD4878" t="e" vm="1">
        <v>#REF!</v>
      </c>
      <c r="BF4878" t="e" vm="2">
        <f t="shared" si="378"/>
        <v>#VALUE!</v>
      </c>
      <c r="BG4878" t="e" vm="2">
        <f t="shared" si="379"/>
        <v>#VALUE!</v>
      </c>
    </row>
    <row r="4879" spans="55:59" x14ac:dyDescent="0.2">
      <c r="BC4879" s="21" t="e" vm="1">
        <v>#REF!</v>
      </c>
      <c r="BD4879" t="e" vm="1">
        <v>#REF!</v>
      </c>
      <c r="BF4879" t="e" vm="2">
        <f t="shared" si="378"/>
        <v>#VALUE!</v>
      </c>
      <c r="BG4879" t="e" vm="2">
        <f t="shared" si="379"/>
        <v>#VALUE!</v>
      </c>
    </row>
    <row r="4880" spans="55:59" x14ac:dyDescent="0.2">
      <c r="BC4880" s="21" t="e" vm="1">
        <v>#REF!</v>
      </c>
      <c r="BD4880" t="e" vm="1">
        <v>#REF!</v>
      </c>
      <c r="BF4880" t="e" vm="2">
        <f t="shared" si="378"/>
        <v>#VALUE!</v>
      </c>
      <c r="BG4880" t="e" vm="2">
        <f t="shared" si="379"/>
        <v>#VALUE!</v>
      </c>
    </row>
    <row r="4881" spans="55:59" x14ac:dyDescent="0.2">
      <c r="BC4881" s="21" t="e" vm="1">
        <v>#REF!</v>
      </c>
      <c r="BD4881" t="e" vm="1">
        <v>#REF!</v>
      </c>
      <c r="BF4881" t="e" vm="2">
        <f t="shared" si="378"/>
        <v>#VALUE!</v>
      </c>
      <c r="BG4881" t="e" vm="2">
        <f t="shared" si="379"/>
        <v>#VALUE!</v>
      </c>
    </row>
    <row r="4882" spans="55:59" x14ac:dyDescent="0.2">
      <c r="BC4882" s="21" t="e" vm="1">
        <v>#REF!</v>
      </c>
      <c r="BD4882" t="e" vm="1">
        <v>#REF!</v>
      </c>
      <c r="BF4882" t="e" vm="2">
        <f t="shared" si="378"/>
        <v>#VALUE!</v>
      </c>
      <c r="BG4882" t="e" vm="2">
        <f t="shared" si="379"/>
        <v>#VALUE!</v>
      </c>
    </row>
    <row r="4883" spans="55:59" x14ac:dyDescent="0.2">
      <c r="BC4883" s="21" t="e" vm="1">
        <v>#REF!</v>
      </c>
      <c r="BD4883" t="e" vm="1">
        <v>#REF!</v>
      </c>
      <c r="BF4883" t="e" vm="2">
        <f t="shared" si="378"/>
        <v>#VALUE!</v>
      </c>
      <c r="BG4883" t="e" vm="2">
        <f t="shared" si="379"/>
        <v>#VALUE!</v>
      </c>
    </row>
    <row r="4884" spans="55:59" x14ac:dyDescent="0.2">
      <c r="BC4884" s="21" t="e" vm="1">
        <v>#REF!</v>
      </c>
      <c r="BD4884" t="e" vm="1">
        <v>#REF!</v>
      </c>
      <c r="BF4884" t="e" vm="2">
        <f t="shared" si="378"/>
        <v>#VALUE!</v>
      </c>
      <c r="BG4884" t="e" vm="2">
        <f t="shared" si="379"/>
        <v>#VALUE!</v>
      </c>
    </row>
    <row r="4885" spans="55:59" x14ac:dyDescent="0.2">
      <c r="BC4885" s="21" t="e" vm="1">
        <v>#REF!</v>
      </c>
      <c r="BD4885" t="e" vm="1">
        <v>#REF!</v>
      </c>
      <c r="BF4885" t="e" vm="2">
        <f t="shared" si="378"/>
        <v>#VALUE!</v>
      </c>
      <c r="BG4885" t="e" vm="2">
        <f t="shared" si="379"/>
        <v>#VALUE!</v>
      </c>
    </row>
    <row r="4886" spans="55:59" x14ac:dyDescent="0.2">
      <c r="BC4886" s="21" t="e" vm="1">
        <v>#REF!</v>
      </c>
      <c r="BD4886" t="e" vm="1">
        <v>#REF!</v>
      </c>
      <c r="BF4886" t="e" vm="2">
        <f t="shared" si="378"/>
        <v>#VALUE!</v>
      </c>
      <c r="BG4886" t="e" vm="2">
        <f t="shared" si="379"/>
        <v>#VALUE!</v>
      </c>
    </row>
    <row r="4887" spans="55:59" x14ac:dyDescent="0.2">
      <c r="BC4887" s="21" t="e" vm="1">
        <v>#REF!</v>
      </c>
      <c r="BD4887" t="e" vm="1">
        <v>#REF!</v>
      </c>
      <c r="BF4887" t="e" vm="2">
        <f t="shared" si="378"/>
        <v>#VALUE!</v>
      </c>
      <c r="BG4887" t="e" vm="2">
        <f t="shared" si="379"/>
        <v>#VALUE!</v>
      </c>
    </row>
    <row r="4888" spans="55:59" x14ac:dyDescent="0.2">
      <c r="BC4888" s="21" t="e" vm="1">
        <v>#REF!</v>
      </c>
      <c r="BD4888" t="e" vm="1">
        <v>#REF!</v>
      </c>
      <c r="BF4888" t="e" vm="2">
        <f t="shared" si="378"/>
        <v>#VALUE!</v>
      </c>
      <c r="BG4888" t="e" vm="2">
        <f t="shared" si="379"/>
        <v>#VALUE!</v>
      </c>
    </row>
    <row r="4889" spans="55:59" x14ac:dyDescent="0.2">
      <c r="BC4889" s="21" t="e" vm="1">
        <v>#REF!</v>
      </c>
      <c r="BD4889" t="e" vm="1">
        <v>#REF!</v>
      </c>
      <c r="BF4889" t="e" vm="2">
        <f t="shared" si="378"/>
        <v>#VALUE!</v>
      </c>
      <c r="BG4889" t="e" vm="2">
        <f t="shared" si="379"/>
        <v>#VALUE!</v>
      </c>
    </row>
    <row r="4890" spans="55:59" x14ac:dyDescent="0.2">
      <c r="BC4890" s="21" t="e" vm="1">
        <v>#REF!</v>
      </c>
      <c r="BD4890" t="e" vm="1">
        <v>#REF!</v>
      </c>
      <c r="BF4890" t="e" vm="2">
        <f t="shared" si="378"/>
        <v>#VALUE!</v>
      </c>
      <c r="BG4890" t="e" vm="2">
        <f t="shared" si="379"/>
        <v>#VALUE!</v>
      </c>
    </row>
    <row r="4891" spans="55:59" x14ac:dyDescent="0.2">
      <c r="BC4891" s="21" t="e" vm="1">
        <v>#REF!</v>
      </c>
      <c r="BD4891" t="e" vm="1">
        <v>#REF!</v>
      </c>
      <c r="BF4891" t="e" vm="2">
        <f t="shared" si="378"/>
        <v>#VALUE!</v>
      </c>
      <c r="BG4891" t="e" vm="2">
        <f t="shared" si="379"/>
        <v>#VALUE!</v>
      </c>
    </row>
    <row r="4892" spans="55:59" x14ac:dyDescent="0.2">
      <c r="BC4892" s="21" t="e" vm="1">
        <v>#REF!</v>
      </c>
      <c r="BD4892" t="e" vm="1">
        <v>#REF!</v>
      </c>
      <c r="BF4892" t="e" vm="2">
        <f t="shared" si="378"/>
        <v>#VALUE!</v>
      </c>
      <c r="BG4892" t="e" vm="2">
        <f t="shared" si="379"/>
        <v>#VALUE!</v>
      </c>
    </row>
    <row r="4893" spans="55:59" x14ac:dyDescent="0.2">
      <c r="BC4893" s="21" t="e" vm="1">
        <v>#REF!</v>
      </c>
      <c r="BD4893" t="e" vm="1">
        <v>#REF!</v>
      </c>
      <c r="BF4893" t="e" vm="2">
        <f t="shared" si="378"/>
        <v>#VALUE!</v>
      </c>
      <c r="BG4893" t="e" vm="2">
        <f t="shared" si="379"/>
        <v>#VALUE!</v>
      </c>
    </row>
    <row r="4894" spans="55:59" x14ac:dyDescent="0.2">
      <c r="BC4894" s="21" t="e" vm="1">
        <v>#REF!</v>
      </c>
      <c r="BD4894" t="e" vm="1">
        <v>#REF!</v>
      </c>
      <c r="BF4894" t="e" vm="2">
        <f t="shared" si="378"/>
        <v>#VALUE!</v>
      </c>
      <c r="BG4894" t="e" vm="2">
        <f t="shared" si="379"/>
        <v>#VALUE!</v>
      </c>
    </row>
    <row r="4895" spans="55:59" x14ac:dyDescent="0.2">
      <c r="BC4895" s="21" t="e" vm="1">
        <v>#REF!</v>
      </c>
      <c r="BD4895" t="e" vm="1">
        <v>#REF!</v>
      </c>
      <c r="BF4895" t="e" vm="2">
        <f t="shared" si="378"/>
        <v>#VALUE!</v>
      </c>
      <c r="BG4895" t="e" vm="2">
        <f t="shared" si="379"/>
        <v>#VALUE!</v>
      </c>
    </row>
    <row r="4896" spans="55:59" x14ac:dyDescent="0.2">
      <c r="BC4896" s="21" t="e" vm="1">
        <v>#REF!</v>
      </c>
      <c r="BD4896" t="e" vm="1">
        <v>#REF!</v>
      </c>
      <c r="BF4896" t="e" vm="2">
        <f t="shared" si="378"/>
        <v>#VALUE!</v>
      </c>
      <c r="BG4896" t="e" vm="2">
        <f t="shared" si="379"/>
        <v>#VALUE!</v>
      </c>
    </row>
    <row r="4897" spans="55:59" x14ac:dyDescent="0.2">
      <c r="BC4897" s="21" t="e" vm="1">
        <v>#REF!</v>
      </c>
      <c r="BD4897" t="e" vm="1">
        <v>#REF!</v>
      </c>
      <c r="BF4897" t="e" vm="2">
        <f t="shared" si="378"/>
        <v>#VALUE!</v>
      </c>
      <c r="BG4897" t="e" vm="2">
        <f t="shared" si="379"/>
        <v>#VALUE!</v>
      </c>
    </row>
    <row r="4898" spans="55:59" x14ac:dyDescent="0.2">
      <c r="BC4898" s="21" t="e" vm="1">
        <v>#REF!</v>
      </c>
      <c r="BD4898" t="e" vm="1">
        <v>#REF!</v>
      </c>
      <c r="BF4898" t="e" vm="2">
        <f t="shared" si="378"/>
        <v>#VALUE!</v>
      </c>
      <c r="BG4898" t="e" vm="2">
        <f t="shared" si="379"/>
        <v>#VALUE!</v>
      </c>
    </row>
    <row r="4899" spans="55:59" x14ac:dyDescent="0.2">
      <c r="BC4899" s="21" t="e" vm="1">
        <v>#REF!</v>
      </c>
      <c r="BD4899" t="e" vm="1">
        <v>#REF!</v>
      </c>
      <c r="BF4899" t="e" vm="2">
        <f t="shared" si="378"/>
        <v>#VALUE!</v>
      </c>
      <c r="BG4899" t="e" vm="2">
        <f t="shared" si="379"/>
        <v>#VALUE!</v>
      </c>
    </row>
    <row r="4900" spans="55:59" x14ac:dyDescent="0.2">
      <c r="BC4900" s="21" t="e" vm="1">
        <v>#REF!</v>
      </c>
      <c r="BD4900" t="e" vm="1">
        <v>#REF!</v>
      </c>
      <c r="BF4900" t="e" vm="2">
        <f t="shared" si="378"/>
        <v>#VALUE!</v>
      </c>
      <c r="BG4900" t="e" vm="2">
        <f t="shared" si="379"/>
        <v>#VALUE!</v>
      </c>
    </row>
    <row r="4901" spans="55:59" x14ac:dyDescent="0.2">
      <c r="BC4901" s="21" t="e" vm="1">
        <v>#REF!</v>
      </c>
      <c r="BD4901" t="e" vm="1">
        <v>#REF!</v>
      </c>
      <c r="BF4901" t="e" vm="2">
        <f t="shared" si="378"/>
        <v>#VALUE!</v>
      </c>
      <c r="BG4901" t="e" vm="2">
        <f t="shared" si="379"/>
        <v>#VALUE!</v>
      </c>
    </row>
    <row r="4902" spans="55:59" x14ac:dyDescent="0.2">
      <c r="BC4902" s="21" t="e" vm="1">
        <v>#REF!</v>
      </c>
      <c r="BD4902" t="e" vm="1">
        <v>#REF!</v>
      </c>
      <c r="BF4902" t="e" vm="2">
        <f t="shared" si="378"/>
        <v>#VALUE!</v>
      </c>
      <c r="BG4902" t="e" vm="2">
        <f t="shared" si="379"/>
        <v>#VALUE!</v>
      </c>
    </row>
    <row r="4903" spans="55:59" x14ac:dyDescent="0.2">
      <c r="BC4903" s="21" t="e" vm="1">
        <v>#REF!</v>
      </c>
      <c r="BD4903" t="e" vm="1">
        <v>#REF!</v>
      </c>
      <c r="BF4903" t="e" vm="2">
        <f t="shared" si="378"/>
        <v>#VALUE!</v>
      </c>
      <c r="BG4903" t="e" vm="2">
        <f t="shared" si="379"/>
        <v>#VALUE!</v>
      </c>
    </row>
    <row r="4904" spans="55:59" x14ac:dyDescent="0.2">
      <c r="BC4904" s="21" t="e" vm="1">
        <v>#REF!</v>
      </c>
      <c r="BD4904" t="e" vm="1">
        <v>#REF!</v>
      </c>
      <c r="BF4904" t="e" vm="2">
        <f t="shared" si="378"/>
        <v>#VALUE!</v>
      </c>
      <c r="BG4904" t="e" vm="2">
        <f t="shared" si="379"/>
        <v>#VALUE!</v>
      </c>
    </row>
    <row r="4905" spans="55:59" x14ac:dyDescent="0.2">
      <c r="BC4905" s="21" t="e" vm="1">
        <v>#REF!</v>
      </c>
      <c r="BD4905" t="e" vm="1">
        <v>#REF!</v>
      </c>
      <c r="BF4905" t="e" vm="2">
        <f t="shared" si="378"/>
        <v>#VALUE!</v>
      </c>
      <c r="BG4905" t="e" vm="2">
        <f t="shared" si="379"/>
        <v>#VALUE!</v>
      </c>
    </row>
    <row r="4906" spans="55:59" x14ac:dyDescent="0.2">
      <c r="BC4906" s="21" t="e" vm="1">
        <v>#REF!</v>
      </c>
      <c r="BD4906" t="e" vm="1">
        <v>#REF!</v>
      </c>
      <c r="BF4906" t="e" vm="2">
        <f t="shared" si="378"/>
        <v>#VALUE!</v>
      </c>
      <c r="BG4906" t="e" vm="2">
        <f t="shared" si="379"/>
        <v>#VALUE!</v>
      </c>
    </row>
    <row r="4907" spans="55:59" x14ac:dyDescent="0.2">
      <c r="BC4907" s="21" t="e" vm="1">
        <v>#REF!</v>
      </c>
      <c r="BD4907" t="e" vm="1">
        <v>#REF!</v>
      </c>
      <c r="BF4907" t="e" vm="2">
        <f t="shared" si="378"/>
        <v>#VALUE!</v>
      </c>
      <c r="BG4907" t="e" vm="2">
        <f t="shared" si="379"/>
        <v>#VALUE!</v>
      </c>
    </row>
    <row r="4908" spans="55:59" x14ac:dyDescent="0.2">
      <c r="BC4908" s="21" t="e" vm="1">
        <v>#REF!</v>
      </c>
      <c r="BD4908" t="e" vm="1">
        <v>#REF!</v>
      </c>
      <c r="BF4908" t="e" vm="2">
        <f t="shared" si="378"/>
        <v>#VALUE!</v>
      </c>
      <c r="BG4908" t="e" vm="2">
        <f t="shared" si="379"/>
        <v>#VALUE!</v>
      </c>
    </row>
    <row r="4909" spans="55:59" x14ac:dyDescent="0.2">
      <c r="BC4909" s="21" t="e" vm="1">
        <v>#REF!</v>
      </c>
      <c r="BD4909" t="e" vm="1">
        <v>#REF!</v>
      </c>
      <c r="BF4909" t="e" vm="2">
        <f t="shared" si="378"/>
        <v>#VALUE!</v>
      </c>
      <c r="BG4909" t="e" vm="2">
        <f t="shared" si="379"/>
        <v>#VALUE!</v>
      </c>
    </row>
    <row r="4910" spans="55:59" x14ac:dyDescent="0.2">
      <c r="BC4910" s="21" t="e" vm="1">
        <v>#REF!</v>
      </c>
      <c r="BD4910" t="e" vm="1">
        <v>#REF!</v>
      </c>
      <c r="BF4910" t="e" vm="2">
        <f t="shared" si="378"/>
        <v>#VALUE!</v>
      </c>
      <c r="BG4910" t="e" vm="2">
        <f t="shared" si="379"/>
        <v>#VALUE!</v>
      </c>
    </row>
    <row r="4911" spans="55:59" x14ac:dyDescent="0.2">
      <c r="BC4911" s="21" t="e" vm="1">
        <v>#REF!</v>
      </c>
      <c r="BD4911" t="e" vm="1">
        <v>#REF!</v>
      </c>
      <c r="BF4911" t="e" vm="2">
        <f t="shared" si="378"/>
        <v>#VALUE!</v>
      </c>
      <c r="BG4911" t="e" vm="2">
        <f t="shared" si="379"/>
        <v>#VALUE!</v>
      </c>
    </row>
    <row r="4912" spans="55:59" x14ac:dyDescent="0.2">
      <c r="BC4912" s="21" t="e" vm="1">
        <v>#REF!</v>
      </c>
      <c r="BD4912" t="e" vm="1">
        <v>#REF!</v>
      </c>
      <c r="BF4912" t="e" vm="2">
        <f t="shared" si="378"/>
        <v>#VALUE!</v>
      </c>
      <c r="BG4912" t="e" vm="2">
        <f t="shared" si="379"/>
        <v>#VALUE!</v>
      </c>
    </row>
    <row r="4913" spans="55:59" x14ac:dyDescent="0.2">
      <c r="BC4913" s="21" t="e" vm="1">
        <v>#REF!</v>
      </c>
      <c r="BD4913" t="e" vm="1">
        <v>#REF!</v>
      </c>
      <c r="BF4913" t="e" vm="2">
        <f t="shared" si="378"/>
        <v>#VALUE!</v>
      </c>
      <c r="BG4913" t="e" vm="2">
        <f t="shared" si="379"/>
        <v>#VALUE!</v>
      </c>
    </row>
    <row r="4914" spans="55:59" x14ac:dyDescent="0.2">
      <c r="BC4914" s="21" t="e" vm="1">
        <v>#REF!</v>
      </c>
      <c r="BD4914" t="e" vm="1">
        <v>#REF!</v>
      </c>
      <c r="BF4914" t="e" vm="2">
        <f t="shared" si="378"/>
        <v>#VALUE!</v>
      </c>
      <c r="BG4914" t="e" vm="2">
        <f t="shared" si="379"/>
        <v>#VALUE!</v>
      </c>
    </row>
    <row r="4915" spans="55:59" x14ac:dyDescent="0.2">
      <c r="BC4915" s="21" t="e" vm="1">
        <v>#REF!</v>
      </c>
      <c r="BD4915" t="e" vm="1">
        <v>#REF!</v>
      </c>
      <c r="BF4915" t="e" vm="2">
        <f t="shared" si="378"/>
        <v>#VALUE!</v>
      </c>
      <c r="BG4915" t="e" vm="2">
        <f t="shared" si="379"/>
        <v>#VALUE!</v>
      </c>
    </row>
    <row r="4916" spans="55:59" x14ac:dyDescent="0.2">
      <c r="BC4916" s="21" t="e" vm="1">
        <v>#REF!</v>
      </c>
      <c r="BD4916" t="e" vm="1">
        <v>#REF!</v>
      </c>
      <c r="BF4916" t="e" vm="2">
        <f t="shared" si="378"/>
        <v>#VALUE!</v>
      </c>
      <c r="BG4916" t="e" vm="2">
        <f t="shared" si="379"/>
        <v>#VALUE!</v>
      </c>
    </row>
    <row r="4917" spans="55:59" x14ac:dyDescent="0.2">
      <c r="BC4917" s="21" t="e" vm="1">
        <v>#REF!</v>
      </c>
      <c r="BD4917" t="e" vm="1">
        <v>#REF!</v>
      </c>
      <c r="BF4917" t="e" vm="2">
        <f t="shared" si="378"/>
        <v>#VALUE!</v>
      </c>
      <c r="BG4917" t="e" vm="2">
        <f t="shared" si="379"/>
        <v>#VALUE!</v>
      </c>
    </row>
    <row r="4918" spans="55:59" x14ac:dyDescent="0.2">
      <c r="BC4918" s="21" t="e" vm="1">
        <v>#REF!</v>
      </c>
      <c r="BD4918" t="e" vm="1">
        <v>#REF!</v>
      </c>
      <c r="BF4918" t="e" vm="2">
        <f t="shared" si="378"/>
        <v>#VALUE!</v>
      </c>
      <c r="BG4918" t="e" vm="2">
        <f t="shared" si="379"/>
        <v>#VALUE!</v>
      </c>
    </row>
    <row r="4919" spans="55:59" x14ac:dyDescent="0.2">
      <c r="BC4919" s="21" t="e" vm="1">
        <v>#REF!</v>
      </c>
      <c r="BD4919" t="e" vm="1">
        <v>#REF!</v>
      </c>
      <c r="BF4919" t="e" vm="2">
        <f t="shared" si="378"/>
        <v>#VALUE!</v>
      </c>
      <c r="BG4919" t="e" vm="2">
        <f t="shared" si="379"/>
        <v>#VALUE!</v>
      </c>
    </row>
    <row r="4920" spans="55:59" x14ac:dyDescent="0.2">
      <c r="BC4920" s="21" t="e" vm="1">
        <v>#REF!</v>
      </c>
      <c r="BD4920" t="e" vm="1">
        <v>#REF!</v>
      </c>
      <c r="BF4920" t="e" vm="2">
        <f t="shared" si="378"/>
        <v>#VALUE!</v>
      </c>
      <c r="BG4920" t="e" vm="2">
        <f t="shared" si="379"/>
        <v>#VALUE!</v>
      </c>
    </row>
    <row r="4921" spans="55:59" x14ac:dyDescent="0.2">
      <c r="BC4921" s="21" t="e" vm="1">
        <v>#REF!</v>
      </c>
      <c r="BD4921" t="e" vm="1">
        <v>#REF!</v>
      </c>
      <c r="BF4921" t="e" vm="2">
        <f t="shared" si="378"/>
        <v>#VALUE!</v>
      </c>
      <c r="BG4921" t="e" vm="2">
        <f t="shared" si="379"/>
        <v>#VALUE!</v>
      </c>
    </row>
    <row r="4922" spans="55:59" x14ac:dyDescent="0.2">
      <c r="BC4922" s="21" t="e" vm="1">
        <v>#REF!</v>
      </c>
      <c r="BD4922" t="e" vm="1">
        <v>#REF!</v>
      </c>
      <c r="BF4922" t="e" vm="2">
        <f t="shared" si="378"/>
        <v>#VALUE!</v>
      </c>
      <c r="BG4922" t="e" vm="2">
        <f t="shared" si="379"/>
        <v>#VALUE!</v>
      </c>
    </row>
    <row r="4923" spans="55:59" x14ac:dyDescent="0.2">
      <c r="BC4923" s="21" t="e" vm="1">
        <v>#REF!</v>
      </c>
      <c r="BD4923" t="e" vm="1">
        <v>#REF!</v>
      </c>
      <c r="BF4923" t="e" vm="2">
        <f t="shared" si="378"/>
        <v>#VALUE!</v>
      </c>
      <c r="BG4923" t="e" vm="2">
        <f t="shared" si="379"/>
        <v>#VALUE!</v>
      </c>
    </row>
    <row r="4924" spans="55:59" x14ac:dyDescent="0.2">
      <c r="BC4924" s="21" t="e" vm="1">
        <v>#REF!</v>
      </c>
      <c r="BD4924" t="e" vm="1">
        <v>#REF!</v>
      </c>
      <c r="BF4924" t="e" vm="2">
        <f t="shared" si="378"/>
        <v>#VALUE!</v>
      </c>
      <c r="BG4924" t="e" vm="2">
        <f t="shared" si="379"/>
        <v>#VALUE!</v>
      </c>
    </row>
    <row r="4925" spans="55:59" x14ac:dyDescent="0.2">
      <c r="BC4925" s="21" t="e" vm="1">
        <v>#REF!</v>
      </c>
      <c r="BD4925" t="e" vm="1">
        <v>#REF!</v>
      </c>
      <c r="BF4925" t="e" vm="2">
        <f t="shared" si="378"/>
        <v>#VALUE!</v>
      </c>
      <c r="BG4925" t="e" vm="2">
        <f t="shared" si="379"/>
        <v>#VALUE!</v>
      </c>
    </row>
    <row r="4926" spans="55:59" x14ac:dyDescent="0.2">
      <c r="BC4926" s="21" t="e" vm="1">
        <v>#REF!</v>
      </c>
      <c r="BD4926" t="e" vm="1">
        <v>#REF!</v>
      </c>
      <c r="BF4926" t="e" vm="2">
        <f t="shared" si="378"/>
        <v>#VALUE!</v>
      </c>
      <c r="BG4926" t="e" vm="2">
        <f t="shared" si="379"/>
        <v>#VALUE!</v>
      </c>
    </row>
    <row r="4927" spans="55:59" x14ac:dyDescent="0.2">
      <c r="BC4927" s="21" t="e" vm="1">
        <v>#REF!</v>
      </c>
      <c r="BD4927" t="e" vm="1">
        <v>#REF!</v>
      </c>
      <c r="BF4927" t="e" vm="2">
        <f t="shared" si="378"/>
        <v>#VALUE!</v>
      </c>
      <c r="BG4927" t="e" vm="2">
        <f t="shared" si="379"/>
        <v>#VALUE!</v>
      </c>
    </row>
    <row r="4928" spans="55:59" x14ac:dyDescent="0.2">
      <c r="BC4928" s="21" t="e" vm="1">
        <v>#REF!</v>
      </c>
      <c r="BD4928" t="e" vm="1">
        <v>#REF!</v>
      </c>
      <c r="BF4928" t="e" vm="2">
        <f t="shared" si="378"/>
        <v>#VALUE!</v>
      </c>
      <c r="BG4928" t="e" vm="2">
        <f t="shared" si="379"/>
        <v>#VALUE!</v>
      </c>
    </row>
    <row r="4929" spans="55:59" x14ac:dyDescent="0.2">
      <c r="BC4929" s="21" t="e" vm="1">
        <v>#REF!</v>
      </c>
      <c r="BD4929" t="e" vm="1">
        <v>#REF!</v>
      </c>
      <c r="BF4929" t="e" vm="2">
        <f t="shared" si="378"/>
        <v>#VALUE!</v>
      </c>
      <c r="BG4929" t="e" vm="2">
        <f t="shared" si="379"/>
        <v>#VALUE!</v>
      </c>
    </row>
    <row r="4930" spans="55:59" x14ac:dyDescent="0.2">
      <c r="BC4930" s="21" t="e" vm="1">
        <v>#REF!</v>
      </c>
      <c r="BD4930" t="e" vm="1">
        <v>#REF!</v>
      </c>
      <c r="BF4930" t="e" vm="2">
        <f t="shared" si="378"/>
        <v>#VALUE!</v>
      </c>
      <c r="BG4930" t="e" vm="2">
        <f t="shared" si="379"/>
        <v>#VALUE!</v>
      </c>
    </row>
    <row r="4931" spans="55:59" x14ac:dyDescent="0.2">
      <c r="BC4931" s="21" t="e" vm="1">
        <v>#REF!</v>
      </c>
      <c r="BD4931" t="e" vm="1">
        <v>#REF!</v>
      </c>
      <c r="BF4931" t="e" vm="2">
        <f t="shared" ref="BF4931:BF4994" si="380">MONTH(BC4931)</f>
        <v>#VALUE!</v>
      </c>
      <c r="BG4931" t="e" vm="2">
        <f t="shared" ref="BG4931:BG4994" si="381">YEAR(BC4931)</f>
        <v>#VALUE!</v>
      </c>
    </row>
    <row r="4932" spans="55:59" x14ac:dyDescent="0.2">
      <c r="BC4932" s="21" t="e" vm="1">
        <v>#REF!</v>
      </c>
      <c r="BD4932" t="e" vm="1">
        <v>#REF!</v>
      </c>
      <c r="BF4932" t="e" vm="2">
        <f t="shared" si="380"/>
        <v>#VALUE!</v>
      </c>
      <c r="BG4932" t="e" vm="2">
        <f t="shared" si="381"/>
        <v>#VALUE!</v>
      </c>
    </row>
    <row r="4933" spans="55:59" x14ac:dyDescent="0.2">
      <c r="BC4933" s="21" t="e" vm="1">
        <v>#REF!</v>
      </c>
      <c r="BD4933" t="e" vm="1">
        <v>#REF!</v>
      </c>
      <c r="BF4933" t="e" vm="2">
        <f t="shared" si="380"/>
        <v>#VALUE!</v>
      </c>
      <c r="BG4933" t="e" vm="2">
        <f t="shared" si="381"/>
        <v>#VALUE!</v>
      </c>
    </row>
    <row r="4934" spans="55:59" x14ac:dyDescent="0.2">
      <c r="BC4934" s="21" t="e" vm="1">
        <v>#REF!</v>
      </c>
      <c r="BD4934" t="e" vm="1">
        <v>#REF!</v>
      </c>
      <c r="BF4934" t="e" vm="2">
        <f t="shared" si="380"/>
        <v>#VALUE!</v>
      </c>
      <c r="BG4934" t="e" vm="2">
        <f t="shared" si="381"/>
        <v>#VALUE!</v>
      </c>
    </row>
    <row r="4935" spans="55:59" x14ac:dyDescent="0.2">
      <c r="BC4935" s="21" t="e" vm="1">
        <v>#REF!</v>
      </c>
      <c r="BD4935" t="e" vm="1">
        <v>#REF!</v>
      </c>
      <c r="BF4935" t="e" vm="2">
        <f t="shared" si="380"/>
        <v>#VALUE!</v>
      </c>
      <c r="BG4935" t="e" vm="2">
        <f t="shared" si="381"/>
        <v>#VALUE!</v>
      </c>
    </row>
    <row r="4936" spans="55:59" x14ac:dyDescent="0.2">
      <c r="BC4936" s="21" t="e" vm="1">
        <v>#REF!</v>
      </c>
      <c r="BD4936" t="e" vm="1">
        <v>#REF!</v>
      </c>
      <c r="BF4936" t="e" vm="2">
        <f t="shared" si="380"/>
        <v>#VALUE!</v>
      </c>
      <c r="BG4936" t="e" vm="2">
        <f t="shared" si="381"/>
        <v>#VALUE!</v>
      </c>
    </row>
    <row r="4937" spans="55:59" x14ac:dyDescent="0.2">
      <c r="BC4937" s="21" t="e" vm="1">
        <v>#REF!</v>
      </c>
      <c r="BD4937" t="e" vm="1">
        <v>#REF!</v>
      </c>
      <c r="BF4937" t="e" vm="2">
        <f t="shared" si="380"/>
        <v>#VALUE!</v>
      </c>
      <c r="BG4937" t="e" vm="2">
        <f t="shared" si="381"/>
        <v>#VALUE!</v>
      </c>
    </row>
    <row r="4938" spans="55:59" x14ac:dyDescent="0.2">
      <c r="BC4938" s="21" t="e" vm="1">
        <v>#REF!</v>
      </c>
      <c r="BD4938" t="e" vm="1">
        <v>#REF!</v>
      </c>
      <c r="BF4938" t="e" vm="2">
        <f t="shared" si="380"/>
        <v>#VALUE!</v>
      </c>
      <c r="BG4938" t="e" vm="2">
        <f t="shared" si="381"/>
        <v>#VALUE!</v>
      </c>
    </row>
    <row r="4939" spans="55:59" x14ac:dyDescent="0.2">
      <c r="BC4939" s="21" t="e" vm="1">
        <v>#REF!</v>
      </c>
      <c r="BD4939" t="e" vm="1">
        <v>#REF!</v>
      </c>
      <c r="BF4939" t="e" vm="2">
        <f t="shared" si="380"/>
        <v>#VALUE!</v>
      </c>
      <c r="BG4939" t="e" vm="2">
        <f t="shared" si="381"/>
        <v>#VALUE!</v>
      </c>
    </row>
    <row r="4940" spans="55:59" x14ac:dyDescent="0.2">
      <c r="BC4940" s="21" t="e" vm="1">
        <v>#REF!</v>
      </c>
      <c r="BD4940" t="e" vm="1">
        <v>#REF!</v>
      </c>
      <c r="BF4940" t="e" vm="2">
        <f t="shared" si="380"/>
        <v>#VALUE!</v>
      </c>
      <c r="BG4940" t="e" vm="2">
        <f t="shared" si="381"/>
        <v>#VALUE!</v>
      </c>
    </row>
    <row r="4941" spans="55:59" x14ac:dyDescent="0.2">
      <c r="BC4941" s="21" t="e" vm="1">
        <v>#REF!</v>
      </c>
      <c r="BD4941" t="e" vm="1">
        <v>#REF!</v>
      </c>
      <c r="BF4941" t="e" vm="2">
        <f t="shared" si="380"/>
        <v>#VALUE!</v>
      </c>
      <c r="BG4941" t="e" vm="2">
        <f t="shared" si="381"/>
        <v>#VALUE!</v>
      </c>
    </row>
    <row r="4942" spans="55:59" x14ac:dyDescent="0.2">
      <c r="BC4942" s="21" t="e" vm="1">
        <v>#REF!</v>
      </c>
      <c r="BD4942" t="e" vm="1">
        <v>#REF!</v>
      </c>
      <c r="BF4942" t="e" vm="2">
        <f t="shared" si="380"/>
        <v>#VALUE!</v>
      </c>
      <c r="BG4942" t="e" vm="2">
        <f t="shared" si="381"/>
        <v>#VALUE!</v>
      </c>
    </row>
    <row r="4943" spans="55:59" x14ac:dyDescent="0.2">
      <c r="BC4943" s="21" t="e" vm="1">
        <v>#REF!</v>
      </c>
      <c r="BD4943" t="e" vm="1">
        <v>#REF!</v>
      </c>
      <c r="BF4943" t="e" vm="2">
        <f t="shared" si="380"/>
        <v>#VALUE!</v>
      </c>
      <c r="BG4943" t="e" vm="2">
        <f t="shared" si="381"/>
        <v>#VALUE!</v>
      </c>
    </row>
    <row r="4944" spans="55:59" x14ac:dyDescent="0.2">
      <c r="BC4944" s="21" t="e" vm="1">
        <v>#REF!</v>
      </c>
      <c r="BD4944" t="e" vm="1">
        <v>#REF!</v>
      </c>
      <c r="BF4944" t="e" vm="2">
        <f t="shared" si="380"/>
        <v>#VALUE!</v>
      </c>
      <c r="BG4944" t="e" vm="2">
        <f t="shared" si="381"/>
        <v>#VALUE!</v>
      </c>
    </row>
    <row r="4945" spans="55:59" x14ac:dyDescent="0.2">
      <c r="BC4945" s="21" t="e" vm="1">
        <v>#REF!</v>
      </c>
      <c r="BD4945" t="e" vm="1">
        <v>#REF!</v>
      </c>
      <c r="BF4945" t="e" vm="2">
        <f t="shared" si="380"/>
        <v>#VALUE!</v>
      </c>
      <c r="BG4945" t="e" vm="2">
        <f t="shared" si="381"/>
        <v>#VALUE!</v>
      </c>
    </row>
    <row r="4946" spans="55:59" x14ac:dyDescent="0.2">
      <c r="BC4946" s="21" t="e" vm="1">
        <v>#REF!</v>
      </c>
      <c r="BD4946" t="e" vm="1">
        <v>#REF!</v>
      </c>
      <c r="BF4946" t="e" vm="2">
        <f t="shared" si="380"/>
        <v>#VALUE!</v>
      </c>
      <c r="BG4946" t="e" vm="2">
        <f t="shared" si="381"/>
        <v>#VALUE!</v>
      </c>
    </row>
    <row r="4947" spans="55:59" x14ac:dyDescent="0.2">
      <c r="BC4947" s="21" t="e" vm="1">
        <v>#REF!</v>
      </c>
      <c r="BD4947" t="e" vm="1">
        <v>#REF!</v>
      </c>
      <c r="BF4947" t="e" vm="2">
        <f t="shared" si="380"/>
        <v>#VALUE!</v>
      </c>
      <c r="BG4947" t="e" vm="2">
        <f t="shared" si="381"/>
        <v>#VALUE!</v>
      </c>
    </row>
    <row r="4948" spans="55:59" x14ac:dyDescent="0.2">
      <c r="BC4948" s="21" t="e" vm="1">
        <v>#REF!</v>
      </c>
      <c r="BD4948" t="e" vm="1">
        <v>#REF!</v>
      </c>
      <c r="BF4948" t="e" vm="2">
        <f t="shared" si="380"/>
        <v>#VALUE!</v>
      </c>
      <c r="BG4948" t="e" vm="2">
        <f t="shared" si="381"/>
        <v>#VALUE!</v>
      </c>
    </row>
    <row r="4949" spans="55:59" x14ac:dyDescent="0.2">
      <c r="BC4949" s="21" t="e" vm="1">
        <v>#REF!</v>
      </c>
      <c r="BD4949" t="e" vm="1">
        <v>#REF!</v>
      </c>
      <c r="BF4949" t="e" vm="2">
        <f t="shared" si="380"/>
        <v>#VALUE!</v>
      </c>
      <c r="BG4949" t="e" vm="2">
        <f t="shared" si="381"/>
        <v>#VALUE!</v>
      </c>
    </row>
    <row r="4950" spans="55:59" x14ac:dyDescent="0.2">
      <c r="BC4950" s="21" t="e" vm="1">
        <v>#REF!</v>
      </c>
      <c r="BD4950" t="e" vm="1">
        <v>#REF!</v>
      </c>
      <c r="BF4950" t="e" vm="2">
        <f t="shared" si="380"/>
        <v>#VALUE!</v>
      </c>
      <c r="BG4950" t="e" vm="2">
        <f t="shared" si="381"/>
        <v>#VALUE!</v>
      </c>
    </row>
    <row r="4951" spans="55:59" x14ac:dyDescent="0.2">
      <c r="BC4951" s="21" t="e" vm="1">
        <v>#REF!</v>
      </c>
      <c r="BD4951" t="e" vm="1">
        <v>#REF!</v>
      </c>
      <c r="BF4951" t="e" vm="2">
        <f t="shared" si="380"/>
        <v>#VALUE!</v>
      </c>
      <c r="BG4951" t="e" vm="2">
        <f t="shared" si="381"/>
        <v>#VALUE!</v>
      </c>
    </row>
    <row r="4952" spans="55:59" x14ac:dyDescent="0.2">
      <c r="BC4952" s="21" t="e" vm="1">
        <v>#REF!</v>
      </c>
      <c r="BD4952" t="e" vm="1">
        <v>#REF!</v>
      </c>
      <c r="BF4952" t="e" vm="2">
        <f t="shared" si="380"/>
        <v>#VALUE!</v>
      </c>
      <c r="BG4952" t="e" vm="2">
        <f t="shared" si="381"/>
        <v>#VALUE!</v>
      </c>
    </row>
    <row r="4953" spans="55:59" x14ac:dyDescent="0.2">
      <c r="BC4953" s="21" t="e" vm="1">
        <v>#REF!</v>
      </c>
      <c r="BD4953" t="e" vm="1">
        <v>#REF!</v>
      </c>
      <c r="BF4953" t="e" vm="2">
        <f t="shared" si="380"/>
        <v>#VALUE!</v>
      </c>
      <c r="BG4953" t="e" vm="2">
        <f t="shared" si="381"/>
        <v>#VALUE!</v>
      </c>
    </row>
    <row r="4954" spans="55:59" x14ac:dyDescent="0.2">
      <c r="BC4954" s="21" t="e" vm="1">
        <v>#REF!</v>
      </c>
      <c r="BD4954" t="e" vm="1">
        <v>#REF!</v>
      </c>
      <c r="BF4954" t="e" vm="2">
        <f t="shared" si="380"/>
        <v>#VALUE!</v>
      </c>
      <c r="BG4954" t="e" vm="2">
        <f t="shared" si="381"/>
        <v>#VALUE!</v>
      </c>
    </row>
    <row r="4955" spans="55:59" x14ac:dyDescent="0.2">
      <c r="BC4955" s="21" t="e" vm="1">
        <v>#REF!</v>
      </c>
      <c r="BD4955" t="e" vm="1">
        <v>#REF!</v>
      </c>
      <c r="BF4955" t="e" vm="2">
        <f t="shared" si="380"/>
        <v>#VALUE!</v>
      </c>
      <c r="BG4955" t="e" vm="2">
        <f t="shared" si="381"/>
        <v>#VALUE!</v>
      </c>
    </row>
    <row r="4956" spans="55:59" x14ac:dyDescent="0.2">
      <c r="BC4956" s="21" t="e" vm="1">
        <v>#REF!</v>
      </c>
      <c r="BD4956" t="e" vm="1">
        <v>#REF!</v>
      </c>
      <c r="BF4956" t="e" vm="2">
        <f t="shared" si="380"/>
        <v>#VALUE!</v>
      </c>
      <c r="BG4956" t="e" vm="2">
        <f t="shared" si="381"/>
        <v>#VALUE!</v>
      </c>
    </row>
    <row r="4957" spans="55:59" x14ac:dyDescent="0.2">
      <c r="BC4957" s="21" t="e" vm="1">
        <v>#REF!</v>
      </c>
      <c r="BD4957" t="e" vm="1">
        <v>#REF!</v>
      </c>
      <c r="BF4957" t="e" vm="2">
        <f t="shared" si="380"/>
        <v>#VALUE!</v>
      </c>
      <c r="BG4957" t="e" vm="2">
        <f t="shared" si="381"/>
        <v>#VALUE!</v>
      </c>
    </row>
    <row r="4958" spans="55:59" x14ac:dyDescent="0.2">
      <c r="BC4958" s="21" t="e" vm="1">
        <v>#REF!</v>
      </c>
      <c r="BD4958" t="e" vm="1">
        <v>#REF!</v>
      </c>
      <c r="BF4958" t="e" vm="2">
        <f t="shared" si="380"/>
        <v>#VALUE!</v>
      </c>
      <c r="BG4958" t="e" vm="2">
        <f t="shared" si="381"/>
        <v>#VALUE!</v>
      </c>
    </row>
    <row r="4959" spans="55:59" x14ac:dyDescent="0.2">
      <c r="BC4959" s="21" t="e" vm="1">
        <v>#REF!</v>
      </c>
      <c r="BD4959" t="e" vm="1">
        <v>#REF!</v>
      </c>
      <c r="BF4959" t="e" vm="2">
        <f t="shared" si="380"/>
        <v>#VALUE!</v>
      </c>
      <c r="BG4959" t="e" vm="2">
        <f t="shared" si="381"/>
        <v>#VALUE!</v>
      </c>
    </row>
    <row r="4960" spans="55:59" x14ac:dyDescent="0.2">
      <c r="BC4960" s="21" t="e" vm="1">
        <v>#REF!</v>
      </c>
      <c r="BD4960" t="e" vm="1">
        <v>#REF!</v>
      </c>
      <c r="BF4960" t="e" vm="2">
        <f t="shared" si="380"/>
        <v>#VALUE!</v>
      </c>
      <c r="BG4960" t="e" vm="2">
        <f t="shared" si="381"/>
        <v>#VALUE!</v>
      </c>
    </row>
    <row r="4961" spans="55:59" x14ac:dyDescent="0.2">
      <c r="BC4961" s="21" t="e" vm="1">
        <v>#REF!</v>
      </c>
      <c r="BD4961" t="e" vm="1">
        <v>#REF!</v>
      </c>
      <c r="BF4961" t="e" vm="2">
        <f t="shared" si="380"/>
        <v>#VALUE!</v>
      </c>
      <c r="BG4961" t="e" vm="2">
        <f t="shared" si="381"/>
        <v>#VALUE!</v>
      </c>
    </row>
    <row r="4962" spans="55:59" x14ac:dyDescent="0.2">
      <c r="BC4962" s="21" t="e" vm="1">
        <v>#REF!</v>
      </c>
      <c r="BD4962" t="e" vm="1">
        <v>#REF!</v>
      </c>
      <c r="BF4962" t="e" vm="2">
        <f t="shared" si="380"/>
        <v>#VALUE!</v>
      </c>
      <c r="BG4962" t="e" vm="2">
        <f t="shared" si="381"/>
        <v>#VALUE!</v>
      </c>
    </row>
    <row r="4963" spans="55:59" x14ac:dyDescent="0.2">
      <c r="BC4963" s="21" t="e" vm="1">
        <v>#REF!</v>
      </c>
      <c r="BD4963" t="e" vm="1">
        <v>#REF!</v>
      </c>
      <c r="BF4963" t="e" vm="2">
        <f t="shared" si="380"/>
        <v>#VALUE!</v>
      </c>
      <c r="BG4963" t="e" vm="2">
        <f t="shared" si="381"/>
        <v>#VALUE!</v>
      </c>
    </row>
    <row r="4964" spans="55:59" x14ac:dyDescent="0.2">
      <c r="BC4964" s="21" t="e" vm="1">
        <v>#REF!</v>
      </c>
      <c r="BD4964" t="e" vm="1">
        <v>#REF!</v>
      </c>
      <c r="BF4964" t="e" vm="2">
        <f t="shared" si="380"/>
        <v>#VALUE!</v>
      </c>
      <c r="BG4964" t="e" vm="2">
        <f t="shared" si="381"/>
        <v>#VALUE!</v>
      </c>
    </row>
    <row r="4965" spans="55:59" x14ac:dyDescent="0.2">
      <c r="BC4965" s="21" t="e" vm="1">
        <v>#REF!</v>
      </c>
      <c r="BD4965" t="e" vm="1">
        <v>#REF!</v>
      </c>
      <c r="BF4965" t="e" vm="2">
        <f t="shared" si="380"/>
        <v>#VALUE!</v>
      </c>
      <c r="BG4965" t="e" vm="2">
        <f t="shared" si="381"/>
        <v>#VALUE!</v>
      </c>
    </row>
    <row r="4966" spans="55:59" x14ac:dyDescent="0.2">
      <c r="BC4966" s="21" t="e" vm="1">
        <v>#REF!</v>
      </c>
      <c r="BD4966" t="e" vm="1">
        <v>#REF!</v>
      </c>
      <c r="BF4966" t="e" vm="2">
        <f t="shared" si="380"/>
        <v>#VALUE!</v>
      </c>
      <c r="BG4966" t="e" vm="2">
        <f t="shared" si="381"/>
        <v>#VALUE!</v>
      </c>
    </row>
    <row r="4967" spans="55:59" x14ac:dyDescent="0.2">
      <c r="BC4967" s="21" t="e" vm="1">
        <v>#REF!</v>
      </c>
      <c r="BD4967" t="e" vm="1">
        <v>#REF!</v>
      </c>
      <c r="BF4967" t="e" vm="2">
        <f t="shared" si="380"/>
        <v>#VALUE!</v>
      </c>
      <c r="BG4967" t="e" vm="2">
        <f t="shared" si="381"/>
        <v>#VALUE!</v>
      </c>
    </row>
    <row r="4968" spans="55:59" x14ac:dyDescent="0.2">
      <c r="BC4968" s="21" t="e" vm="1">
        <v>#REF!</v>
      </c>
      <c r="BD4968" t="e" vm="1">
        <v>#REF!</v>
      </c>
      <c r="BF4968" t="e" vm="2">
        <f t="shared" si="380"/>
        <v>#VALUE!</v>
      </c>
      <c r="BG4968" t="e" vm="2">
        <f t="shared" si="381"/>
        <v>#VALUE!</v>
      </c>
    </row>
    <row r="4969" spans="55:59" x14ac:dyDescent="0.2">
      <c r="BC4969" s="21" t="e" vm="1">
        <v>#REF!</v>
      </c>
      <c r="BD4969" t="e" vm="1">
        <v>#REF!</v>
      </c>
      <c r="BF4969" t="e" vm="2">
        <f t="shared" si="380"/>
        <v>#VALUE!</v>
      </c>
      <c r="BG4969" t="e" vm="2">
        <f t="shared" si="381"/>
        <v>#VALUE!</v>
      </c>
    </row>
    <row r="4970" spans="55:59" x14ac:dyDescent="0.2">
      <c r="BC4970" s="21" t="e" vm="1">
        <v>#REF!</v>
      </c>
      <c r="BD4970" t="e" vm="1">
        <v>#REF!</v>
      </c>
      <c r="BF4970" t="e" vm="2">
        <f t="shared" si="380"/>
        <v>#VALUE!</v>
      </c>
      <c r="BG4970" t="e" vm="2">
        <f t="shared" si="381"/>
        <v>#VALUE!</v>
      </c>
    </row>
    <row r="4971" spans="55:59" x14ac:dyDescent="0.2">
      <c r="BC4971" s="21" t="e" vm="1">
        <v>#REF!</v>
      </c>
      <c r="BD4971" t="e" vm="1">
        <v>#REF!</v>
      </c>
      <c r="BF4971" t="e" vm="2">
        <f t="shared" si="380"/>
        <v>#VALUE!</v>
      </c>
      <c r="BG4971" t="e" vm="2">
        <f t="shared" si="381"/>
        <v>#VALUE!</v>
      </c>
    </row>
    <row r="4972" spans="55:59" x14ac:dyDescent="0.2">
      <c r="BC4972" s="21" t="e" vm="1">
        <v>#REF!</v>
      </c>
      <c r="BD4972" t="e" vm="1">
        <v>#REF!</v>
      </c>
      <c r="BF4972" t="e" vm="2">
        <f t="shared" si="380"/>
        <v>#VALUE!</v>
      </c>
      <c r="BG4972" t="e" vm="2">
        <f t="shared" si="381"/>
        <v>#VALUE!</v>
      </c>
    </row>
    <row r="4973" spans="55:59" x14ac:dyDescent="0.2">
      <c r="BC4973" s="21" t="e" vm="1">
        <v>#REF!</v>
      </c>
      <c r="BD4973" t="e" vm="1">
        <v>#REF!</v>
      </c>
      <c r="BF4973" t="e" vm="2">
        <f t="shared" si="380"/>
        <v>#VALUE!</v>
      </c>
      <c r="BG4973" t="e" vm="2">
        <f t="shared" si="381"/>
        <v>#VALUE!</v>
      </c>
    </row>
    <row r="4974" spans="55:59" x14ac:dyDescent="0.2">
      <c r="BC4974" s="21" t="e" vm="1">
        <v>#REF!</v>
      </c>
      <c r="BD4974" t="e" vm="1">
        <v>#REF!</v>
      </c>
      <c r="BF4974" t="e" vm="2">
        <f t="shared" si="380"/>
        <v>#VALUE!</v>
      </c>
      <c r="BG4974" t="e" vm="2">
        <f t="shared" si="381"/>
        <v>#VALUE!</v>
      </c>
    </row>
    <row r="4975" spans="55:59" x14ac:dyDescent="0.2">
      <c r="BC4975" s="21" t="e" vm="1">
        <v>#REF!</v>
      </c>
      <c r="BD4975" t="e" vm="1">
        <v>#REF!</v>
      </c>
      <c r="BF4975" t="e" vm="2">
        <f t="shared" si="380"/>
        <v>#VALUE!</v>
      </c>
      <c r="BG4975" t="e" vm="2">
        <f t="shared" si="381"/>
        <v>#VALUE!</v>
      </c>
    </row>
    <row r="4976" spans="55:59" x14ac:dyDescent="0.2">
      <c r="BC4976" s="21" t="e" vm="1">
        <v>#REF!</v>
      </c>
      <c r="BD4976" t="e" vm="1">
        <v>#REF!</v>
      </c>
      <c r="BF4976" t="e" vm="2">
        <f t="shared" si="380"/>
        <v>#VALUE!</v>
      </c>
      <c r="BG4976" t="e" vm="2">
        <f t="shared" si="381"/>
        <v>#VALUE!</v>
      </c>
    </row>
    <row r="4977" spans="55:59" x14ac:dyDescent="0.2">
      <c r="BC4977" s="21" t="e" vm="1">
        <v>#REF!</v>
      </c>
      <c r="BD4977" t="e" vm="1">
        <v>#REF!</v>
      </c>
      <c r="BF4977" t="e" vm="2">
        <f t="shared" si="380"/>
        <v>#VALUE!</v>
      </c>
      <c r="BG4977" t="e" vm="2">
        <f t="shared" si="381"/>
        <v>#VALUE!</v>
      </c>
    </row>
    <row r="4978" spans="55:59" x14ac:dyDescent="0.2">
      <c r="BC4978" s="21" t="e" vm="1">
        <v>#REF!</v>
      </c>
      <c r="BD4978" t="e" vm="1">
        <v>#REF!</v>
      </c>
      <c r="BF4978" t="e" vm="2">
        <f t="shared" si="380"/>
        <v>#VALUE!</v>
      </c>
      <c r="BG4978" t="e" vm="2">
        <f t="shared" si="381"/>
        <v>#VALUE!</v>
      </c>
    </row>
    <row r="4979" spans="55:59" x14ac:dyDescent="0.2">
      <c r="BC4979" s="21" t="e" vm="1">
        <v>#REF!</v>
      </c>
      <c r="BD4979" t="e" vm="1">
        <v>#REF!</v>
      </c>
      <c r="BF4979" t="e" vm="2">
        <f t="shared" si="380"/>
        <v>#VALUE!</v>
      </c>
      <c r="BG4979" t="e" vm="2">
        <f t="shared" si="381"/>
        <v>#VALUE!</v>
      </c>
    </row>
    <row r="4980" spans="55:59" x14ac:dyDescent="0.2">
      <c r="BC4980" s="21" t="e" vm="1">
        <v>#REF!</v>
      </c>
      <c r="BD4980" t="e" vm="1">
        <v>#REF!</v>
      </c>
      <c r="BF4980" t="e" vm="2">
        <f t="shared" si="380"/>
        <v>#VALUE!</v>
      </c>
      <c r="BG4980" t="e" vm="2">
        <f t="shared" si="381"/>
        <v>#VALUE!</v>
      </c>
    </row>
    <row r="4981" spans="55:59" x14ac:dyDescent="0.2">
      <c r="BC4981" s="21" t="e" vm="1">
        <v>#REF!</v>
      </c>
      <c r="BD4981" t="e" vm="1">
        <v>#REF!</v>
      </c>
      <c r="BF4981" t="e" vm="2">
        <f t="shared" si="380"/>
        <v>#VALUE!</v>
      </c>
      <c r="BG4981" t="e" vm="2">
        <f t="shared" si="381"/>
        <v>#VALUE!</v>
      </c>
    </row>
    <row r="4982" spans="55:59" x14ac:dyDescent="0.2">
      <c r="BC4982" s="21" t="e" vm="1">
        <v>#REF!</v>
      </c>
      <c r="BD4982" t="e" vm="1">
        <v>#REF!</v>
      </c>
      <c r="BF4982" t="e" vm="2">
        <f t="shared" si="380"/>
        <v>#VALUE!</v>
      </c>
      <c r="BG4982" t="e" vm="2">
        <f t="shared" si="381"/>
        <v>#VALUE!</v>
      </c>
    </row>
    <row r="4983" spans="55:59" x14ac:dyDescent="0.2">
      <c r="BC4983" s="21" t="e" vm="1">
        <v>#REF!</v>
      </c>
      <c r="BD4983" t="e" vm="1">
        <v>#REF!</v>
      </c>
      <c r="BF4983" t="e" vm="2">
        <f t="shared" si="380"/>
        <v>#VALUE!</v>
      </c>
      <c r="BG4983" t="e" vm="2">
        <f t="shared" si="381"/>
        <v>#VALUE!</v>
      </c>
    </row>
    <row r="4984" spans="55:59" x14ac:dyDescent="0.2">
      <c r="BC4984" s="21" t="e" vm="1">
        <v>#REF!</v>
      </c>
      <c r="BD4984" t="e" vm="1">
        <v>#REF!</v>
      </c>
      <c r="BF4984" t="e" vm="2">
        <f t="shared" si="380"/>
        <v>#VALUE!</v>
      </c>
      <c r="BG4984" t="e" vm="2">
        <f t="shared" si="381"/>
        <v>#VALUE!</v>
      </c>
    </row>
    <row r="4985" spans="55:59" x14ac:dyDescent="0.2">
      <c r="BC4985" s="21" t="e" vm="1">
        <v>#REF!</v>
      </c>
      <c r="BD4985" t="e" vm="1">
        <v>#REF!</v>
      </c>
      <c r="BF4985" t="e" vm="2">
        <f t="shared" si="380"/>
        <v>#VALUE!</v>
      </c>
      <c r="BG4985" t="e" vm="2">
        <f t="shared" si="381"/>
        <v>#VALUE!</v>
      </c>
    </row>
    <row r="4986" spans="55:59" x14ac:dyDescent="0.2">
      <c r="BC4986" s="21" t="e" vm="1">
        <v>#REF!</v>
      </c>
      <c r="BD4986" t="e" vm="1">
        <v>#REF!</v>
      </c>
      <c r="BF4986" t="e" vm="2">
        <f t="shared" si="380"/>
        <v>#VALUE!</v>
      </c>
      <c r="BG4986" t="e" vm="2">
        <f t="shared" si="381"/>
        <v>#VALUE!</v>
      </c>
    </row>
    <row r="4987" spans="55:59" x14ac:dyDescent="0.2">
      <c r="BC4987" s="21" t="e" vm="1">
        <v>#REF!</v>
      </c>
      <c r="BD4987" t="e" vm="1">
        <v>#REF!</v>
      </c>
      <c r="BF4987" t="e" vm="2">
        <f t="shared" si="380"/>
        <v>#VALUE!</v>
      </c>
      <c r="BG4987" t="e" vm="2">
        <f t="shared" si="381"/>
        <v>#VALUE!</v>
      </c>
    </row>
    <row r="4988" spans="55:59" x14ac:dyDescent="0.2">
      <c r="BC4988" s="21" t="e" vm="1">
        <v>#REF!</v>
      </c>
      <c r="BD4988" t="e" vm="1">
        <v>#REF!</v>
      </c>
      <c r="BF4988" t="e" vm="2">
        <f t="shared" si="380"/>
        <v>#VALUE!</v>
      </c>
      <c r="BG4988" t="e" vm="2">
        <f t="shared" si="381"/>
        <v>#VALUE!</v>
      </c>
    </row>
    <row r="4989" spans="55:59" x14ac:dyDescent="0.2">
      <c r="BC4989" s="21" t="e" vm="1">
        <v>#REF!</v>
      </c>
      <c r="BD4989" t="e" vm="1">
        <v>#REF!</v>
      </c>
      <c r="BF4989" t="e" vm="2">
        <f t="shared" si="380"/>
        <v>#VALUE!</v>
      </c>
      <c r="BG4989" t="e" vm="2">
        <f t="shared" si="381"/>
        <v>#VALUE!</v>
      </c>
    </row>
    <row r="4990" spans="55:59" x14ac:dyDescent="0.2">
      <c r="BC4990" s="21" t="e" vm="1">
        <v>#REF!</v>
      </c>
      <c r="BD4990" t="e" vm="1">
        <v>#REF!</v>
      </c>
      <c r="BF4990" t="e" vm="2">
        <f t="shared" si="380"/>
        <v>#VALUE!</v>
      </c>
      <c r="BG4990" t="e" vm="2">
        <f t="shared" si="381"/>
        <v>#VALUE!</v>
      </c>
    </row>
    <row r="4991" spans="55:59" x14ac:dyDescent="0.2">
      <c r="BC4991" s="21" t="e" vm="1">
        <v>#REF!</v>
      </c>
      <c r="BD4991" t="e" vm="1">
        <v>#REF!</v>
      </c>
      <c r="BF4991" t="e" vm="2">
        <f t="shared" si="380"/>
        <v>#VALUE!</v>
      </c>
      <c r="BG4991" t="e" vm="2">
        <f t="shared" si="381"/>
        <v>#VALUE!</v>
      </c>
    </row>
    <row r="4992" spans="55:59" x14ac:dyDescent="0.2">
      <c r="BC4992" s="21" t="e" vm="1">
        <v>#REF!</v>
      </c>
      <c r="BD4992" t="e" vm="1">
        <v>#REF!</v>
      </c>
      <c r="BF4992" t="e" vm="2">
        <f t="shared" si="380"/>
        <v>#VALUE!</v>
      </c>
      <c r="BG4992" t="e" vm="2">
        <f t="shared" si="381"/>
        <v>#VALUE!</v>
      </c>
    </row>
    <row r="4993" spans="55:59" x14ac:dyDescent="0.2">
      <c r="BC4993" s="21" t="e" vm="1">
        <v>#REF!</v>
      </c>
      <c r="BD4993" t="e" vm="1">
        <v>#REF!</v>
      </c>
      <c r="BF4993" t="e" vm="2">
        <f t="shared" si="380"/>
        <v>#VALUE!</v>
      </c>
      <c r="BG4993" t="e" vm="2">
        <f t="shared" si="381"/>
        <v>#VALUE!</v>
      </c>
    </row>
    <row r="4994" spans="55:59" x14ac:dyDescent="0.2">
      <c r="BC4994" s="21" t="e" vm="1">
        <v>#REF!</v>
      </c>
      <c r="BD4994" t="e" vm="1">
        <v>#REF!</v>
      </c>
      <c r="BF4994" t="e" vm="2">
        <f t="shared" si="380"/>
        <v>#VALUE!</v>
      </c>
      <c r="BG4994" t="e" vm="2">
        <f t="shared" si="381"/>
        <v>#VALUE!</v>
      </c>
    </row>
    <row r="4995" spans="55:59" x14ac:dyDescent="0.2">
      <c r="BC4995" s="21" t="e" vm="1">
        <v>#REF!</v>
      </c>
      <c r="BD4995" t="e" vm="1">
        <v>#REF!</v>
      </c>
      <c r="BF4995" t="e" vm="2">
        <f t="shared" ref="BF4995:BF5058" si="382">MONTH(BC4995)</f>
        <v>#VALUE!</v>
      </c>
      <c r="BG4995" t="e" vm="2">
        <f t="shared" ref="BG4995:BG5058" si="383">YEAR(BC4995)</f>
        <v>#VALUE!</v>
      </c>
    </row>
    <row r="4996" spans="55:59" x14ac:dyDescent="0.2">
      <c r="BC4996" s="21" t="e" vm="1">
        <v>#REF!</v>
      </c>
      <c r="BD4996" t="e" vm="1">
        <v>#REF!</v>
      </c>
      <c r="BF4996" t="e" vm="2">
        <f t="shared" si="382"/>
        <v>#VALUE!</v>
      </c>
      <c r="BG4996" t="e" vm="2">
        <f t="shared" si="383"/>
        <v>#VALUE!</v>
      </c>
    </row>
    <row r="4997" spans="55:59" x14ac:dyDescent="0.2">
      <c r="BC4997" s="21" t="e" vm="1">
        <v>#REF!</v>
      </c>
      <c r="BD4997" t="e" vm="1">
        <v>#REF!</v>
      </c>
      <c r="BF4997" t="e" vm="2">
        <f t="shared" si="382"/>
        <v>#VALUE!</v>
      </c>
      <c r="BG4997" t="e" vm="2">
        <f t="shared" si="383"/>
        <v>#VALUE!</v>
      </c>
    </row>
    <row r="4998" spans="55:59" x14ac:dyDescent="0.2">
      <c r="BC4998" s="21" t="e" vm="1">
        <v>#REF!</v>
      </c>
      <c r="BD4998" t="e" vm="1">
        <v>#REF!</v>
      </c>
      <c r="BF4998" t="e" vm="2">
        <f t="shared" si="382"/>
        <v>#VALUE!</v>
      </c>
      <c r="BG4998" t="e" vm="2">
        <f t="shared" si="383"/>
        <v>#VALUE!</v>
      </c>
    </row>
    <row r="4999" spans="55:59" x14ac:dyDescent="0.2">
      <c r="BC4999" s="21" t="e" vm="1">
        <v>#REF!</v>
      </c>
      <c r="BD4999" t="e" vm="1">
        <v>#REF!</v>
      </c>
      <c r="BF4999" t="e" vm="2">
        <f t="shared" si="382"/>
        <v>#VALUE!</v>
      </c>
      <c r="BG4999" t="e" vm="2">
        <f t="shared" si="383"/>
        <v>#VALUE!</v>
      </c>
    </row>
    <row r="5000" spans="55:59" x14ac:dyDescent="0.2">
      <c r="BC5000" s="21" t="e" vm="1">
        <v>#REF!</v>
      </c>
      <c r="BD5000" t="e" vm="1">
        <v>#REF!</v>
      </c>
      <c r="BF5000" t="e" vm="2">
        <f t="shared" si="382"/>
        <v>#VALUE!</v>
      </c>
      <c r="BG5000" t="e" vm="2">
        <f t="shared" si="383"/>
        <v>#VALUE!</v>
      </c>
    </row>
    <row r="5001" spans="55:59" x14ac:dyDescent="0.2">
      <c r="BC5001" s="21" t="e" vm="1">
        <v>#REF!</v>
      </c>
      <c r="BD5001" t="e" vm="1">
        <v>#REF!</v>
      </c>
      <c r="BF5001" t="e" vm="2">
        <f t="shared" si="382"/>
        <v>#VALUE!</v>
      </c>
      <c r="BG5001" t="e" vm="2">
        <f t="shared" si="383"/>
        <v>#VALUE!</v>
      </c>
    </row>
    <row r="5002" spans="55:59" x14ac:dyDescent="0.2">
      <c r="BC5002" s="21" t="e" vm="1">
        <v>#REF!</v>
      </c>
      <c r="BD5002" t="e" vm="1">
        <v>#REF!</v>
      </c>
      <c r="BF5002" t="e" vm="2">
        <f t="shared" si="382"/>
        <v>#VALUE!</v>
      </c>
      <c r="BG5002" t="e" vm="2">
        <f t="shared" si="383"/>
        <v>#VALUE!</v>
      </c>
    </row>
    <row r="5003" spans="55:59" x14ac:dyDescent="0.2">
      <c r="BC5003" s="21" t="e" vm="1">
        <v>#REF!</v>
      </c>
      <c r="BD5003" t="e" vm="1">
        <v>#REF!</v>
      </c>
      <c r="BF5003" t="e" vm="2">
        <f t="shared" si="382"/>
        <v>#VALUE!</v>
      </c>
      <c r="BG5003" t="e" vm="2">
        <f t="shared" si="383"/>
        <v>#VALUE!</v>
      </c>
    </row>
    <row r="5004" spans="55:59" x14ac:dyDescent="0.2">
      <c r="BC5004" s="21" t="e" vm="1">
        <v>#REF!</v>
      </c>
      <c r="BD5004" t="e" vm="1">
        <v>#REF!</v>
      </c>
      <c r="BF5004" t="e" vm="2">
        <f t="shared" si="382"/>
        <v>#VALUE!</v>
      </c>
      <c r="BG5004" t="e" vm="2">
        <f t="shared" si="383"/>
        <v>#VALUE!</v>
      </c>
    </row>
    <row r="5005" spans="55:59" x14ac:dyDescent="0.2">
      <c r="BC5005" s="21" t="e" vm="1">
        <v>#REF!</v>
      </c>
      <c r="BD5005" t="e" vm="1">
        <v>#REF!</v>
      </c>
      <c r="BF5005" t="e" vm="2">
        <f t="shared" si="382"/>
        <v>#VALUE!</v>
      </c>
      <c r="BG5005" t="e" vm="2">
        <f t="shared" si="383"/>
        <v>#VALUE!</v>
      </c>
    </row>
    <row r="5006" spans="55:59" x14ac:dyDescent="0.2">
      <c r="BC5006" s="21" t="e" vm="1">
        <v>#REF!</v>
      </c>
      <c r="BD5006" t="e" vm="1">
        <v>#REF!</v>
      </c>
      <c r="BF5006" t="e" vm="2">
        <f t="shared" si="382"/>
        <v>#VALUE!</v>
      </c>
      <c r="BG5006" t="e" vm="2">
        <f t="shared" si="383"/>
        <v>#VALUE!</v>
      </c>
    </row>
    <row r="5007" spans="55:59" x14ac:dyDescent="0.2">
      <c r="BC5007" s="21" t="e" vm="1">
        <v>#REF!</v>
      </c>
      <c r="BD5007" t="e" vm="1">
        <v>#REF!</v>
      </c>
      <c r="BF5007" t="e" vm="2">
        <f t="shared" si="382"/>
        <v>#VALUE!</v>
      </c>
      <c r="BG5007" t="e" vm="2">
        <f t="shared" si="383"/>
        <v>#VALUE!</v>
      </c>
    </row>
    <row r="5008" spans="55:59" x14ac:dyDescent="0.2">
      <c r="BC5008" s="21" t="e" vm="1">
        <v>#REF!</v>
      </c>
      <c r="BD5008" t="e" vm="1">
        <v>#REF!</v>
      </c>
      <c r="BF5008" t="e" vm="2">
        <f t="shared" si="382"/>
        <v>#VALUE!</v>
      </c>
      <c r="BG5008" t="e" vm="2">
        <f t="shared" si="383"/>
        <v>#VALUE!</v>
      </c>
    </row>
    <row r="5009" spans="55:59" x14ac:dyDescent="0.2">
      <c r="BC5009" s="21" t="e" vm="1">
        <v>#REF!</v>
      </c>
      <c r="BD5009" t="e" vm="1">
        <v>#REF!</v>
      </c>
      <c r="BF5009" t="e" vm="2">
        <f t="shared" si="382"/>
        <v>#VALUE!</v>
      </c>
      <c r="BG5009" t="e" vm="2">
        <f t="shared" si="383"/>
        <v>#VALUE!</v>
      </c>
    </row>
    <row r="5010" spans="55:59" x14ac:dyDescent="0.2">
      <c r="BC5010" s="21" t="e" vm="1">
        <v>#REF!</v>
      </c>
      <c r="BD5010" t="e" vm="1">
        <v>#REF!</v>
      </c>
      <c r="BF5010" t="e" vm="2">
        <f t="shared" si="382"/>
        <v>#VALUE!</v>
      </c>
      <c r="BG5010" t="e" vm="2">
        <f t="shared" si="383"/>
        <v>#VALUE!</v>
      </c>
    </row>
    <row r="5011" spans="55:59" x14ac:dyDescent="0.2">
      <c r="BC5011" s="21" t="e" vm="1">
        <v>#REF!</v>
      </c>
      <c r="BD5011" t="e" vm="1">
        <v>#REF!</v>
      </c>
      <c r="BF5011" t="e" vm="2">
        <f t="shared" si="382"/>
        <v>#VALUE!</v>
      </c>
      <c r="BG5011" t="e" vm="2">
        <f t="shared" si="383"/>
        <v>#VALUE!</v>
      </c>
    </row>
    <row r="5012" spans="55:59" x14ac:dyDescent="0.2">
      <c r="BC5012" s="21" t="e" vm="1">
        <v>#REF!</v>
      </c>
      <c r="BD5012" t="e" vm="1">
        <v>#REF!</v>
      </c>
      <c r="BF5012" t="e" vm="2">
        <f t="shared" si="382"/>
        <v>#VALUE!</v>
      </c>
      <c r="BG5012" t="e" vm="2">
        <f t="shared" si="383"/>
        <v>#VALUE!</v>
      </c>
    </row>
    <row r="5013" spans="55:59" x14ac:dyDescent="0.2">
      <c r="BC5013" s="21" t="e" vm="1">
        <v>#REF!</v>
      </c>
      <c r="BD5013" t="e" vm="1">
        <v>#REF!</v>
      </c>
      <c r="BF5013" t="e" vm="2">
        <f t="shared" si="382"/>
        <v>#VALUE!</v>
      </c>
      <c r="BG5013" t="e" vm="2">
        <f t="shared" si="383"/>
        <v>#VALUE!</v>
      </c>
    </row>
    <row r="5014" spans="55:59" x14ac:dyDescent="0.2">
      <c r="BC5014" s="21" t="e" vm="1">
        <v>#REF!</v>
      </c>
      <c r="BD5014" t="e" vm="1">
        <v>#REF!</v>
      </c>
      <c r="BF5014" t="e" vm="2">
        <f t="shared" si="382"/>
        <v>#VALUE!</v>
      </c>
      <c r="BG5014" t="e" vm="2">
        <f t="shared" si="383"/>
        <v>#VALUE!</v>
      </c>
    </row>
    <row r="5015" spans="55:59" x14ac:dyDescent="0.2">
      <c r="BC5015" s="21" t="e" vm="1">
        <v>#REF!</v>
      </c>
      <c r="BD5015" t="e" vm="1">
        <v>#REF!</v>
      </c>
      <c r="BF5015" t="e" vm="2">
        <f t="shared" si="382"/>
        <v>#VALUE!</v>
      </c>
      <c r="BG5015" t="e" vm="2">
        <f t="shared" si="383"/>
        <v>#VALUE!</v>
      </c>
    </row>
    <row r="5016" spans="55:59" x14ac:dyDescent="0.2">
      <c r="BC5016" s="21" t="e" vm="1">
        <v>#REF!</v>
      </c>
      <c r="BD5016" t="e" vm="1">
        <v>#REF!</v>
      </c>
      <c r="BF5016" t="e" vm="2">
        <f t="shared" si="382"/>
        <v>#VALUE!</v>
      </c>
      <c r="BG5016" t="e" vm="2">
        <f t="shared" si="383"/>
        <v>#VALUE!</v>
      </c>
    </row>
    <row r="5017" spans="55:59" x14ac:dyDescent="0.2">
      <c r="BC5017" s="21" t="e" vm="1">
        <v>#REF!</v>
      </c>
      <c r="BD5017" t="e" vm="1">
        <v>#REF!</v>
      </c>
      <c r="BF5017" t="e" vm="2">
        <f t="shared" si="382"/>
        <v>#VALUE!</v>
      </c>
      <c r="BG5017" t="e" vm="2">
        <f t="shared" si="383"/>
        <v>#VALUE!</v>
      </c>
    </row>
    <row r="5018" spans="55:59" x14ac:dyDescent="0.2">
      <c r="BC5018" s="21" t="e" vm="1">
        <v>#REF!</v>
      </c>
      <c r="BD5018" t="e" vm="1">
        <v>#REF!</v>
      </c>
      <c r="BF5018" t="e" vm="2">
        <f t="shared" si="382"/>
        <v>#VALUE!</v>
      </c>
      <c r="BG5018" t="e" vm="2">
        <f t="shared" si="383"/>
        <v>#VALUE!</v>
      </c>
    </row>
    <row r="5019" spans="55:59" x14ac:dyDescent="0.2">
      <c r="BC5019" s="21" t="e" vm="1">
        <v>#REF!</v>
      </c>
      <c r="BD5019" t="e" vm="1">
        <v>#REF!</v>
      </c>
      <c r="BF5019" t="e" vm="2">
        <f t="shared" si="382"/>
        <v>#VALUE!</v>
      </c>
      <c r="BG5019" t="e" vm="2">
        <f t="shared" si="383"/>
        <v>#VALUE!</v>
      </c>
    </row>
    <row r="5020" spans="55:59" x14ac:dyDescent="0.2">
      <c r="BC5020" s="21" t="e" vm="1">
        <v>#REF!</v>
      </c>
      <c r="BD5020" t="e" vm="1">
        <v>#REF!</v>
      </c>
      <c r="BF5020" t="e" vm="2">
        <f t="shared" si="382"/>
        <v>#VALUE!</v>
      </c>
      <c r="BG5020" t="e" vm="2">
        <f t="shared" si="383"/>
        <v>#VALUE!</v>
      </c>
    </row>
    <row r="5021" spans="55:59" x14ac:dyDescent="0.2">
      <c r="BC5021" s="21" t="e" vm="1">
        <v>#REF!</v>
      </c>
      <c r="BD5021" t="e" vm="1">
        <v>#REF!</v>
      </c>
      <c r="BF5021" t="e" vm="2">
        <f t="shared" si="382"/>
        <v>#VALUE!</v>
      </c>
      <c r="BG5021" t="e" vm="2">
        <f t="shared" si="383"/>
        <v>#VALUE!</v>
      </c>
    </row>
    <row r="5022" spans="55:59" x14ac:dyDescent="0.2">
      <c r="BC5022" s="21" t="e" vm="1">
        <v>#REF!</v>
      </c>
      <c r="BD5022" t="e" vm="1">
        <v>#REF!</v>
      </c>
      <c r="BF5022" t="e" vm="2">
        <f t="shared" si="382"/>
        <v>#VALUE!</v>
      </c>
      <c r="BG5022" t="e" vm="2">
        <f t="shared" si="383"/>
        <v>#VALUE!</v>
      </c>
    </row>
    <row r="5023" spans="55:59" x14ac:dyDescent="0.2">
      <c r="BC5023" s="21" t="e" vm="1">
        <v>#REF!</v>
      </c>
      <c r="BD5023" t="e" vm="1">
        <v>#REF!</v>
      </c>
      <c r="BF5023" t="e" vm="2">
        <f t="shared" si="382"/>
        <v>#VALUE!</v>
      </c>
      <c r="BG5023" t="e" vm="2">
        <f t="shared" si="383"/>
        <v>#VALUE!</v>
      </c>
    </row>
    <row r="5024" spans="55:59" x14ac:dyDescent="0.2">
      <c r="BC5024" s="21" t="e" vm="1">
        <v>#REF!</v>
      </c>
      <c r="BD5024" t="e" vm="1">
        <v>#REF!</v>
      </c>
      <c r="BF5024" t="e" vm="2">
        <f t="shared" si="382"/>
        <v>#VALUE!</v>
      </c>
      <c r="BG5024" t="e" vm="2">
        <f t="shared" si="383"/>
        <v>#VALUE!</v>
      </c>
    </row>
    <row r="5025" spans="55:59" x14ac:dyDescent="0.2">
      <c r="BC5025" s="21" t="e" vm="1">
        <v>#REF!</v>
      </c>
      <c r="BD5025" t="e" vm="1">
        <v>#REF!</v>
      </c>
      <c r="BF5025" t="e" vm="2">
        <f t="shared" si="382"/>
        <v>#VALUE!</v>
      </c>
      <c r="BG5025" t="e" vm="2">
        <f t="shared" si="383"/>
        <v>#VALUE!</v>
      </c>
    </row>
    <row r="5026" spans="55:59" x14ac:dyDescent="0.2">
      <c r="BC5026" s="21" t="e" vm="1">
        <v>#REF!</v>
      </c>
      <c r="BD5026" t="e" vm="1">
        <v>#REF!</v>
      </c>
      <c r="BF5026" t="e" vm="2">
        <f t="shared" si="382"/>
        <v>#VALUE!</v>
      </c>
      <c r="BG5026" t="e" vm="2">
        <f t="shared" si="383"/>
        <v>#VALUE!</v>
      </c>
    </row>
    <row r="5027" spans="55:59" x14ac:dyDescent="0.2">
      <c r="BC5027" s="21" t="e" vm="1">
        <v>#REF!</v>
      </c>
      <c r="BD5027" t="e" vm="1">
        <v>#REF!</v>
      </c>
      <c r="BF5027" t="e" vm="2">
        <f t="shared" si="382"/>
        <v>#VALUE!</v>
      </c>
      <c r="BG5027" t="e" vm="2">
        <f t="shared" si="383"/>
        <v>#VALUE!</v>
      </c>
    </row>
    <row r="5028" spans="55:59" x14ac:dyDescent="0.2">
      <c r="BC5028" s="21" t="e" vm="1">
        <v>#REF!</v>
      </c>
      <c r="BD5028" t="e" vm="1">
        <v>#REF!</v>
      </c>
      <c r="BF5028" t="e" vm="2">
        <f t="shared" si="382"/>
        <v>#VALUE!</v>
      </c>
      <c r="BG5028" t="e" vm="2">
        <f t="shared" si="383"/>
        <v>#VALUE!</v>
      </c>
    </row>
    <row r="5029" spans="55:59" x14ac:dyDescent="0.2">
      <c r="BC5029" s="21" t="e" vm="1">
        <v>#REF!</v>
      </c>
      <c r="BD5029" t="e" vm="1">
        <v>#REF!</v>
      </c>
      <c r="BF5029" t="e" vm="2">
        <f t="shared" si="382"/>
        <v>#VALUE!</v>
      </c>
      <c r="BG5029" t="e" vm="2">
        <f t="shared" si="383"/>
        <v>#VALUE!</v>
      </c>
    </row>
    <row r="5030" spans="55:59" x14ac:dyDescent="0.2">
      <c r="BC5030" s="21" t="e" vm="1">
        <v>#REF!</v>
      </c>
      <c r="BD5030" t="e" vm="1">
        <v>#REF!</v>
      </c>
      <c r="BF5030" t="e" vm="2">
        <f t="shared" si="382"/>
        <v>#VALUE!</v>
      </c>
      <c r="BG5030" t="e" vm="2">
        <f t="shared" si="383"/>
        <v>#VALUE!</v>
      </c>
    </row>
    <row r="5031" spans="55:59" x14ac:dyDescent="0.2">
      <c r="BC5031" s="21" t="e" vm="1">
        <v>#REF!</v>
      </c>
      <c r="BD5031" t="e" vm="1">
        <v>#REF!</v>
      </c>
      <c r="BF5031" t="e" vm="2">
        <f t="shared" si="382"/>
        <v>#VALUE!</v>
      </c>
      <c r="BG5031" t="e" vm="2">
        <f t="shared" si="383"/>
        <v>#VALUE!</v>
      </c>
    </row>
    <row r="5032" spans="55:59" x14ac:dyDescent="0.2">
      <c r="BC5032" s="21" t="e" vm="1">
        <v>#REF!</v>
      </c>
      <c r="BD5032" t="e" vm="1">
        <v>#REF!</v>
      </c>
      <c r="BF5032" t="e" vm="2">
        <f t="shared" si="382"/>
        <v>#VALUE!</v>
      </c>
      <c r="BG5032" t="e" vm="2">
        <f t="shared" si="383"/>
        <v>#VALUE!</v>
      </c>
    </row>
    <row r="5033" spans="55:59" x14ac:dyDescent="0.2">
      <c r="BC5033" s="21" t="e" vm="1">
        <v>#REF!</v>
      </c>
      <c r="BD5033" t="e" vm="1">
        <v>#REF!</v>
      </c>
      <c r="BF5033" t="e" vm="2">
        <f t="shared" si="382"/>
        <v>#VALUE!</v>
      </c>
      <c r="BG5033" t="e" vm="2">
        <f t="shared" si="383"/>
        <v>#VALUE!</v>
      </c>
    </row>
    <row r="5034" spans="55:59" x14ac:dyDescent="0.2">
      <c r="BC5034" s="21" t="e" vm="1">
        <v>#REF!</v>
      </c>
      <c r="BD5034" t="e" vm="1">
        <v>#REF!</v>
      </c>
      <c r="BF5034" t="e" vm="2">
        <f t="shared" si="382"/>
        <v>#VALUE!</v>
      </c>
      <c r="BG5034" t="e" vm="2">
        <f t="shared" si="383"/>
        <v>#VALUE!</v>
      </c>
    </row>
    <row r="5035" spans="55:59" x14ac:dyDescent="0.2">
      <c r="BC5035" s="21" t="e" vm="1">
        <v>#REF!</v>
      </c>
      <c r="BD5035" t="e" vm="1">
        <v>#REF!</v>
      </c>
      <c r="BF5035" t="e" vm="2">
        <f t="shared" si="382"/>
        <v>#VALUE!</v>
      </c>
      <c r="BG5035" t="e" vm="2">
        <f t="shared" si="383"/>
        <v>#VALUE!</v>
      </c>
    </row>
    <row r="5036" spans="55:59" x14ac:dyDescent="0.2">
      <c r="BC5036" s="21" t="e" vm="1">
        <v>#REF!</v>
      </c>
      <c r="BD5036" t="e" vm="1">
        <v>#REF!</v>
      </c>
      <c r="BF5036" t="e" vm="2">
        <f t="shared" si="382"/>
        <v>#VALUE!</v>
      </c>
      <c r="BG5036" t="e" vm="2">
        <f t="shared" si="383"/>
        <v>#VALUE!</v>
      </c>
    </row>
    <row r="5037" spans="55:59" x14ac:dyDescent="0.2">
      <c r="BC5037" s="21" t="e" vm="1">
        <v>#REF!</v>
      </c>
      <c r="BD5037" t="e" vm="1">
        <v>#REF!</v>
      </c>
      <c r="BF5037" t="e" vm="2">
        <f t="shared" si="382"/>
        <v>#VALUE!</v>
      </c>
      <c r="BG5037" t="e" vm="2">
        <f t="shared" si="383"/>
        <v>#VALUE!</v>
      </c>
    </row>
    <row r="5038" spans="55:59" x14ac:dyDescent="0.2">
      <c r="BC5038" s="21" t="e" vm="1">
        <v>#REF!</v>
      </c>
      <c r="BD5038" t="e" vm="1">
        <v>#REF!</v>
      </c>
      <c r="BF5038" t="e" vm="2">
        <f t="shared" si="382"/>
        <v>#VALUE!</v>
      </c>
      <c r="BG5038" t="e" vm="2">
        <f t="shared" si="383"/>
        <v>#VALUE!</v>
      </c>
    </row>
    <row r="5039" spans="55:59" x14ac:dyDescent="0.2">
      <c r="BC5039" s="21" t="e" vm="1">
        <v>#REF!</v>
      </c>
      <c r="BD5039" t="e" vm="1">
        <v>#REF!</v>
      </c>
      <c r="BF5039" t="e" vm="2">
        <f t="shared" si="382"/>
        <v>#VALUE!</v>
      </c>
      <c r="BG5039" t="e" vm="2">
        <f t="shared" si="383"/>
        <v>#VALUE!</v>
      </c>
    </row>
    <row r="5040" spans="55:59" x14ac:dyDescent="0.2">
      <c r="BC5040" s="21" t="e" vm="1">
        <v>#REF!</v>
      </c>
      <c r="BD5040" t="e" vm="1">
        <v>#REF!</v>
      </c>
      <c r="BF5040" t="e" vm="2">
        <f t="shared" si="382"/>
        <v>#VALUE!</v>
      </c>
      <c r="BG5040" t="e" vm="2">
        <f t="shared" si="383"/>
        <v>#VALUE!</v>
      </c>
    </row>
    <row r="5041" spans="55:59" x14ac:dyDescent="0.2">
      <c r="BC5041" s="21" t="e" vm="1">
        <v>#REF!</v>
      </c>
      <c r="BD5041" t="e" vm="1">
        <v>#REF!</v>
      </c>
      <c r="BF5041" t="e" vm="2">
        <f t="shared" si="382"/>
        <v>#VALUE!</v>
      </c>
      <c r="BG5041" t="e" vm="2">
        <f t="shared" si="383"/>
        <v>#VALUE!</v>
      </c>
    </row>
    <row r="5042" spans="55:59" x14ac:dyDescent="0.2">
      <c r="BC5042" s="21" t="e" vm="1">
        <v>#REF!</v>
      </c>
      <c r="BD5042" t="e" vm="1">
        <v>#REF!</v>
      </c>
      <c r="BF5042" t="e" vm="2">
        <f t="shared" si="382"/>
        <v>#VALUE!</v>
      </c>
      <c r="BG5042" t="e" vm="2">
        <f t="shared" si="383"/>
        <v>#VALUE!</v>
      </c>
    </row>
    <row r="5043" spans="55:59" x14ac:dyDescent="0.2">
      <c r="BC5043" s="21" t="e" vm="1">
        <v>#REF!</v>
      </c>
      <c r="BD5043" t="e" vm="1">
        <v>#REF!</v>
      </c>
      <c r="BF5043" t="e" vm="2">
        <f t="shared" si="382"/>
        <v>#VALUE!</v>
      </c>
      <c r="BG5043" t="e" vm="2">
        <f t="shared" si="383"/>
        <v>#VALUE!</v>
      </c>
    </row>
    <row r="5044" spans="55:59" x14ac:dyDescent="0.2">
      <c r="BC5044" s="21" t="e" vm="1">
        <v>#REF!</v>
      </c>
      <c r="BD5044" t="e" vm="1">
        <v>#REF!</v>
      </c>
      <c r="BF5044" t="e" vm="2">
        <f t="shared" si="382"/>
        <v>#VALUE!</v>
      </c>
      <c r="BG5044" t="e" vm="2">
        <f t="shared" si="383"/>
        <v>#VALUE!</v>
      </c>
    </row>
    <row r="5045" spans="55:59" x14ac:dyDescent="0.2">
      <c r="BC5045" s="21" t="e" vm="1">
        <v>#REF!</v>
      </c>
      <c r="BD5045" t="e" vm="1">
        <v>#REF!</v>
      </c>
      <c r="BF5045" t="e" vm="2">
        <f t="shared" si="382"/>
        <v>#VALUE!</v>
      </c>
      <c r="BG5045" t="e" vm="2">
        <f t="shared" si="383"/>
        <v>#VALUE!</v>
      </c>
    </row>
    <row r="5046" spans="55:59" x14ac:dyDescent="0.2">
      <c r="BC5046" s="21" t="e" vm="1">
        <v>#REF!</v>
      </c>
      <c r="BD5046" t="e" vm="1">
        <v>#REF!</v>
      </c>
      <c r="BF5046" t="e" vm="2">
        <f t="shared" si="382"/>
        <v>#VALUE!</v>
      </c>
      <c r="BG5046" t="e" vm="2">
        <f t="shared" si="383"/>
        <v>#VALUE!</v>
      </c>
    </row>
    <row r="5047" spans="55:59" x14ac:dyDescent="0.2">
      <c r="BC5047" s="21" t="e" vm="1">
        <v>#REF!</v>
      </c>
      <c r="BD5047" t="e" vm="1">
        <v>#REF!</v>
      </c>
      <c r="BF5047" t="e" vm="2">
        <f t="shared" si="382"/>
        <v>#VALUE!</v>
      </c>
      <c r="BG5047" t="e" vm="2">
        <f t="shared" si="383"/>
        <v>#VALUE!</v>
      </c>
    </row>
    <row r="5048" spans="55:59" x14ac:dyDescent="0.2">
      <c r="BC5048" s="21" t="e" vm="1">
        <v>#REF!</v>
      </c>
      <c r="BD5048" t="e" vm="1">
        <v>#REF!</v>
      </c>
      <c r="BF5048" t="e" vm="2">
        <f t="shared" si="382"/>
        <v>#VALUE!</v>
      </c>
      <c r="BG5048" t="e" vm="2">
        <f t="shared" si="383"/>
        <v>#VALUE!</v>
      </c>
    </row>
    <row r="5049" spans="55:59" x14ac:dyDescent="0.2">
      <c r="BC5049" s="21" t="e" vm="1">
        <v>#REF!</v>
      </c>
      <c r="BD5049" t="e" vm="1">
        <v>#REF!</v>
      </c>
      <c r="BF5049" t="e" vm="2">
        <f t="shared" si="382"/>
        <v>#VALUE!</v>
      </c>
      <c r="BG5049" t="e" vm="2">
        <f t="shared" si="383"/>
        <v>#VALUE!</v>
      </c>
    </row>
    <row r="5050" spans="55:59" x14ac:dyDescent="0.2">
      <c r="BC5050" s="21" t="e" vm="1">
        <v>#REF!</v>
      </c>
      <c r="BD5050" t="e" vm="1">
        <v>#REF!</v>
      </c>
      <c r="BF5050" t="e" vm="2">
        <f t="shared" si="382"/>
        <v>#VALUE!</v>
      </c>
      <c r="BG5050" t="e" vm="2">
        <f t="shared" si="383"/>
        <v>#VALUE!</v>
      </c>
    </row>
    <row r="5051" spans="55:59" x14ac:dyDescent="0.2">
      <c r="BC5051" s="21" t="e" vm="1">
        <v>#REF!</v>
      </c>
      <c r="BD5051" t="e" vm="1">
        <v>#REF!</v>
      </c>
      <c r="BF5051" t="e" vm="2">
        <f t="shared" si="382"/>
        <v>#VALUE!</v>
      </c>
      <c r="BG5051" t="e" vm="2">
        <f t="shared" si="383"/>
        <v>#VALUE!</v>
      </c>
    </row>
    <row r="5052" spans="55:59" x14ac:dyDescent="0.2">
      <c r="BC5052" s="21" t="e" vm="1">
        <v>#REF!</v>
      </c>
      <c r="BD5052" t="e" vm="1">
        <v>#REF!</v>
      </c>
      <c r="BF5052" t="e" vm="2">
        <f t="shared" si="382"/>
        <v>#VALUE!</v>
      </c>
      <c r="BG5052" t="e" vm="2">
        <f t="shared" si="383"/>
        <v>#VALUE!</v>
      </c>
    </row>
    <row r="5053" spans="55:59" x14ac:dyDescent="0.2">
      <c r="BC5053" s="21" t="e" vm="1">
        <v>#REF!</v>
      </c>
      <c r="BD5053" t="e" vm="1">
        <v>#REF!</v>
      </c>
      <c r="BF5053" t="e" vm="2">
        <f t="shared" si="382"/>
        <v>#VALUE!</v>
      </c>
      <c r="BG5053" t="e" vm="2">
        <f t="shared" si="383"/>
        <v>#VALUE!</v>
      </c>
    </row>
    <row r="5054" spans="55:59" x14ac:dyDescent="0.2">
      <c r="BC5054" s="21" t="e" vm="1">
        <v>#REF!</v>
      </c>
      <c r="BD5054" t="e" vm="1">
        <v>#REF!</v>
      </c>
      <c r="BF5054" t="e" vm="2">
        <f t="shared" si="382"/>
        <v>#VALUE!</v>
      </c>
      <c r="BG5054" t="e" vm="2">
        <f t="shared" si="383"/>
        <v>#VALUE!</v>
      </c>
    </row>
    <row r="5055" spans="55:59" x14ac:dyDescent="0.2">
      <c r="BC5055" s="21" t="e" vm="1">
        <v>#REF!</v>
      </c>
      <c r="BD5055" t="e" vm="1">
        <v>#REF!</v>
      </c>
      <c r="BF5055" t="e" vm="2">
        <f t="shared" si="382"/>
        <v>#VALUE!</v>
      </c>
      <c r="BG5055" t="e" vm="2">
        <f t="shared" si="383"/>
        <v>#VALUE!</v>
      </c>
    </row>
    <row r="5056" spans="55:59" x14ac:dyDescent="0.2">
      <c r="BC5056" s="21" t="e" vm="1">
        <v>#REF!</v>
      </c>
      <c r="BD5056" t="e" vm="1">
        <v>#REF!</v>
      </c>
      <c r="BF5056" t="e" vm="2">
        <f t="shared" si="382"/>
        <v>#VALUE!</v>
      </c>
      <c r="BG5056" t="e" vm="2">
        <f t="shared" si="383"/>
        <v>#VALUE!</v>
      </c>
    </row>
    <row r="5057" spans="55:59" x14ac:dyDescent="0.2">
      <c r="BC5057" s="21" t="e" vm="1">
        <v>#REF!</v>
      </c>
      <c r="BD5057" t="e" vm="1">
        <v>#REF!</v>
      </c>
      <c r="BF5057" t="e" vm="2">
        <f t="shared" si="382"/>
        <v>#VALUE!</v>
      </c>
      <c r="BG5057" t="e" vm="2">
        <f t="shared" si="383"/>
        <v>#VALUE!</v>
      </c>
    </row>
    <row r="5058" spans="55:59" x14ac:dyDescent="0.2">
      <c r="BC5058" s="21" t="e" vm="1">
        <v>#REF!</v>
      </c>
      <c r="BD5058" t="e" vm="1">
        <v>#REF!</v>
      </c>
      <c r="BF5058" t="e" vm="2">
        <f t="shared" si="382"/>
        <v>#VALUE!</v>
      </c>
      <c r="BG5058" t="e" vm="2">
        <f t="shared" si="383"/>
        <v>#VALUE!</v>
      </c>
    </row>
    <row r="5059" spans="55:59" x14ac:dyDescent="0.2">
      <c r="BC5059" s="21" t="e" vm="1">
        <v>#REF!</v>
      </c>
      <c r="BD5059" t="e" vm="1">
        <v>#REF!</v>
      </c>
      <c r="BF5059" t="e" vm="2">
        <f t="shared" ref="BF5059:BF5122" si="384">MONTH(BC5059)</f>
        <v>#VALUE!</v>
      </c>
      <c r="BG5059" t="e" vm="2">
        <f t="shared" ref="BG5059:BG5122" si="385">YEAR(BC5059)</f>
        <v>#VALUE!</v>
      </c>
    </row>
    <row r="5060" spans="55:59" x14ac:dyDescent="0.2">
      <c r="BC5060" s="21" t="e" vm="1">
        <v>#REF!</v>
      </c>
      <c r="BD5060" t="e" vm="1">
        <v>#REF!</v>
      </c>
      <c r="BF5060" t="e" vm="2">
        <f t="shared" si="384"/>
        <v>#VALUE!</v>
      </c>
      <c r="BG5060" t="e" vm="2">
        <f t="shared" si="385"/>
        <v>#VALUE!</v>
      </c>
    </row>
    <row r="5061" spans="55:59" x14ac:dyDescent="0.2">
      <c r="BC5061" s="21" t="e" vm="1">
        <v>#REF!</v>
      </c>
      <c r="BD5061" t="e" vm="1">
        <v>#REF!</v>
      </c>
      <c r="BF5061" t="e" vm="2">
        <f t="shared" si="384"/>
        <v>#VALUE!</v>
      </c>
      <c r="BG5061" t="e" vm="2">
        <f t="shared" si="385"/>
        <v>#VALUE!</v>
      </c>
    </row>
    <row r="5062" spans="55:59" x14ac:dyDescent="0.2">
      <c r="BC5062" s="21" t="e" vm="1">
        <v>#REF!</v>
      </c>
      <c r="BD5062" t="e" vm="1">
        <v>#REF!</v>
      </c>
      <c r="BF5062" t="e" vm="2">
        <f t="shared" si="384"/>
        <v>#VALUE!</v>
      </c>
      <c r="BG5062" t="e" vm="2">
        <f t="shared" si="385"/>
        <v>#VALUE!</v>
      </c>
    </row>
    <row r="5063" spans="55:59" x14ac:dyDescent="0.2">
      <c r="BC5063" s="21" t="e" vm="1">
        <v>#REF!</v>
      </c>
      <c r="BD5063" t="e" vm="1">
        <v>#REF!</v>
      </c>
      <c r="BF5063" t="e" vm="2">
        <f t="shared" si="384"/>
        <v>#VALUE!</v>
      </c>
      <c r="BG5063" t="e" vm="2">
        <f t="shared" si="385"/>
        <v>#VALUE!</v>
      </c>
    </row>
    <row r="5064" spans="55:59" x14ac:dyDescent="0.2">
      <c r="BC5064" s="21" t="e" vm="1">
        <v>#REF!</v>
      </c>
      <c r="BD5064" t="e" vm="1">
        <v>#REF!</v>
      </c>
      <c r="BF5064" t="e" vm="2">
        <f t="shared" si="384"/>
        <v>#VALUE!</v>
      </c>
      <c r="BG5064" t="e" vm="2">
        <f t="shared" si="385"/>
        <v>#VALUE!</v>
      </c>
    </row>
    <row r="5065" spans="55:59" x14ac:dyDescent="0.2">
      <c r="BC5065" s="21" t="e" vm="1">
        <v>#REF!</v>
      </c>
      <c r="BD5065" t="e" vm="1">
        <v>#REF!</v>
      </c>
      <c r="BF5065" t="e" vm="2">
        <f t="shared" si="384"/>
        <v>#VALUE!</v>
      </c>
      <c r="BG5065" t="e" vm="2">
        <f t="shared" si="385"/>
        <v>#VALUE!</v>
      </c>
    </row>
    <row r="5066" spans="55:59" x14ac:dyDescent="0.2">
      <c r="BC5066" s="21" t="e" vm="1">
        <v>#REF!</v>
      </c>
      <c r="BD5066" t="e" vm="1">
        <v>#REF!</v>
      </c>
      <c r="BF5066" t="e" vm="2">
        <f t="shared" si="384"/>
        <v>#VALUE!</v>
      </c>
      <c r="BG5066" t="e" vm="2">
        <f t="shared" si="385"/>
        <v>#VALUE!</v>
      </c>
    </row>
    <row r="5067" spans="55:59" x14ac:dyDescent="0.2">
      <c r="BC5067" s="21" t="e" vm="1">
        <v>#REF!</v>
      </c>
      <c r="BD5067" t="e" vm="1">
        <v>#REF!</v>
      </c>
      <c r="BF5067" t="e" vm="2">
        <f t="shared" si="384"/>
        <v>#VALUE!</v>
      </c>
      <c r="BG5067" t="e" vm="2">
        <f t="shared" si="385"/>
        <v>#VALUE!</v>
      </c>
    </row>
    <row r="5068" spans="55:59" x14ac:dyDescent="0.2">
      <c r="BC5068" s="21" t="e" vm="1">
        <v>#REF!</v>
      </c>
      <c r="BD5068" t="e" vm="1">
        <v>#REF!</v>
      </c>
      <c r="BF5068" t="e" vm="2">
        <f t="shared" si="384"/>
        <v>#VALUE!</v>
      </c>
      <c r="BG5068" t="e" vm="2">
        <f t="shared" si="385"/>
        <v>#VALUE!</v>
      </c>
    </row>
    <row r="5069" spans="55:59" x14ac:dyDescent="0.2">
      <c r="BC5069" s="21" t="e" vm="1">
        <v>#REF!</v>
      </c>
      <c r="BD5069" t="e" vm="1">
        <v>#REF!</v>
      </c>
      <c r="BF5069" t="e" vm="2">
        <f t="shared" si="384"/>
        <v>#VALUE!</v>
      </c>
      <c r="BG5069" t="e" vm="2">
        <f t="shared" si="385"/>
        <v>#VALUE!</v>
      </c>
    </row>
    <row r="5070" spans="55:59" x14ac:dyDescent="0.2">
      <c r="BC5070" s="21" t="e" vm="1">
        <v>#REF!</v>
      </c>
      <c r="BD5070" t="e" vm="1">
        <v>#REF!</v>
      </c>
      <c r="BF5070" t="e" vm="2">
        <f t="shared" si="384"/>
        <v>#VALUE!</v>
      </c>
      <c r="BG5070" t="e" vm="2">
        <f t="shared" si="385"/>
        <v>#VALUE!</v>
      </c>
    </row>
    <row r="5071" spans="55:59" x14ac:dyDescent="0.2">
      <c r="BC5071" s="21" t="e" vm="1">
        <v>#REF!</v>
      </c>
      <c r="BD5071" t="e" vm="1">
        <v>#REF!</v>
      </c>
      <c r="BF5071" t="e" vm="2">
        <f t="shared" si="384"/>
        <v>#VALUE!</v>
      </c>
      <c r="BG5071" t="e" vm="2">
        <f t="shared" si="385"/>
        <v>#VALUE!</v>
      </c>
    </row>
    <row r="5072" spans="55:59" x14ac:dyDescent="0.2">
      <c r="BC5072" s="21" t="e" vm="1">
        <v>#REF!</v>
      </c>
      <c r="BD5072" t="e" vm="1">
        <v>#REF!</v>
      </c>
      <c r="BF5072" t="e" vm="2">
        <f t="shared" si="384"/>
        <v>#VALUE!</v>
      </c>
      <c r="BG5072" t="e" vm="2">
        <f t="shared" si="385"/>
        <v>#VALUE!</v>
      </c>
    </row>
    <row r="5073" spans="55:59" x14ac:dyDescent="0.2">
      <c r="BC5073" s="21" t="e" vm="1">
        <v>#REF!</v>
      </c>
      <c r="BD5073" t="e" vm="1">
        <v>#REF!</v>
      </c>
      <c r="BF5073" t="e" vm="2">
        <f t="shared" si="384"/>
        <v>#VALUE!</v>
      </c>
      <c r="BG5073" t="e" vm="2">
        <f t="shared" si="385"/>
        <v>#VALUE!</v>
      </c>
    </row>
    <row r="5074" spans="55:59" x14ac:dyDescent="0.2">
      <c r="BC5074" s="21" t="e" vm="1">
        <v>#REF!</v>
      </c>
      <c r="BD5074" t="e" vm="1">
        <v>#REF!</v>
      </c>
      <c r="BF5074" t="e" vm="2">
        <f t="shared" si="384"/>
        <v>#VALUE!</v>
      </c>
      <c r="BG5074" t="e" vm="2">
        <f t="shared" si="385"/>
        <v>#VALUE!</v>
      </c>
    </row>
    <row r="5075" spans="55:59" x14ac:dyDescent="0.2">
      <c r="BC5075" s="21" t="e" vm="1">
        <v>#REF!</v>
      </c>
      <c r="BD5075" t="e" vm="1">
        <v>#REF!</v>
      </c>
      <c r="BF5075" t="e" vm="2">
        <f t="shared" si="384"/>
        <v>#VALUE!</v>
      </c>
      <c r="BG5075" t="e" vm="2">
        <f t="shared" si="385"/>
        <v>#VALUE!</v>
      </c>
    </row>
    <row r="5076" spans="55:59" x14ac:dyDescent="0.2">
      <c r="BC5076" s="21" t="e" vm="1">
        <v>#REF!</v>
      </c>
      <c r="BD5076" t="e" vm="1">
        <v>#REF!</v>
      </c>
      <c r="BF5076" t="e" vm="2">
        <f t="shared" si="384"/>
        <v>#VALUE!</v>
      </c>
      <c r="BG5076" t="e" vm="2">
        <f t="shared" si="385"/>
        <v>#VALUE!</v>
      </c>
    </row>
    <row r="5077" spans="55:59" x14ac:dyDescent="0.2">
      <c r="BC5077" s="21" t="e" vm="1">
        <v>#REF!</v>
      </c>
      <c r="BD5077" t="e" vm="1">
        <v>#REF!</v>
      </c>
      <c r="BF5077" t="e" vm="2">
        <f t="shared" si="384"/>
        <v>#VALUE!</v>
      </c>
      <c r="BG5077" t="e" vm="2">
        <f t="shared" si="385"/>
        <v>#VALUE!</v>
      </c>
    </row>
    <row r="5078" spans="55:59" x14ac:dyDescent="0.2">
      <c r="BC5078" s="21" t="e" vm="1">
        <v>#REF!</v>
      </c>
      <c r="BD5078" t="e" vm="1">
        <v>#REF!</v>
      </c>
      <c r="BF5078" t="e" vm="2">
        <f t="shared" si="384"/>
        <v>#VALUE!</v>
      </c>
      <c r="BG5078" t="e" vm="2">
        <f t="shared" si="385"/>
        <v>#VALUE!</v>
      </c>
    </row>
    <row r="5079" spans="55:59" x14ac:dyDescent="0.2">
      <c r="BC5079" s="21" t="e" vm="1">
        <v>#REF!</v>
      </c>
      <c r="BD5079" t="e" vm="1">
        <v>#REF!</v>
      </c>
      <c r="BF5079" t="e" vm="2">
        <f t="shared" si="384"/>
        <v>#VALUE!</v>
      </c>
      <c r="BG5079" t="e" vm="2">
        <f t="shared" si="385"/>
        <v>#VALUE!</v>
      </c>
    </row>
    <row r="5080" spans="55:59" x14ac:dyDescent="0.2">
      <c r="BC5080" s="21" t="e" vm="1">
        <v>#REF!</v>
      </c>
      <c r="BD5080" t="e" vm="1">
        <v>#REF!</v>
      </c>
      <c r="BF5080" t="e" vm="2">
        <f t="shared" si="384"/>
        <v>#VALUE!</v>
      </c>
      <c r="BG5080" t="e" vm="2">
        <f t="shared" si="385"/>
        <v>#VALUE!</v>
      </c>
    </row>
    <row r="5081" spans="55:59" x14ac:dyDescent="0.2">
      <c r="BC5081" s="21" t="e" vm="1">
        <v>#REF!</v>
      </c>
      <c r="BD5081" t="e" vm="1">
        <v>#REF!</v>
      </c>
      <c r="BF5081" t="e" vm="2">
        <f t="shared" si="384"/>
        <v>#VALUE!</v>
      </c>
      <c r="BG5081" t="e" vm="2">
        <f t="shared" si="385"/>
        <v>#VALUE!</v>
      </c>
    </row>
    <row r="5082" spans="55:59" x14ac:dyDescent="0.2">
      <c r="BC5082" s="21" t="e" vm="1">
        <v>#REF!</v>
      </c>
      <c r="BD5082" t="e" vm="1">
        <v>#REF!</v>
      </c>
      <c r="BF5082" t="e" vm="2">
        <f t="shared" si="384"/>
        <v>#VALUE!</v>
      </c>
      <c r="BG5082" t="e" vm="2">
        <f t="shared" si="385"/>
        <v>#VALUE!</v>
      </c>
    </row>
    <row r="5083" spans="55:59" x14ac:dyDescent="0.2">
      <c r="BC5083" s="21" t="e" vm="1">
        <v>#REF!</v>
      </c>
      <c r="BD5083" t="e" vm="1">
        <v>#REF!</v>
      </c>
      <c r="BF5083" t="e" vm="2">
        <f t="shared" si="384"/>
        <v>#VALUE!</v>
      </c>
      <c r="BG5083" t="e" vm="2">
        <f t="shared" si="385"/>
        <v>#VALUE!</v>
      </c>
    </row>
    <row r="5084" spans="55:59" x14ac:dyDescent="0.2">
      <c r="BC5084" s="21" t="e" vm="1">
        <v>#REF!</v>
      </c>
      <c r="BD5084" t="e" vm="1">
        <v>#REF!</v>
      </c>
      <c r="BF5084" t="e" vm="2">
        <f t="shared" si="384"/>
        <v>#VALUE!</v>
      </c>
      <c r="BG5084" t="e" vm="2">
        <f t="shared" si="385"/>
        <v>#VALUE!</v>
      </c>
    </row>
    <row r="5085" spans="55:59" x14ac:dyDescent="0.2">
      <c r="BC5085" s="21" t="e" vm="1">
        <v>#REF!</v>
      </c>
      <c r="BD5085" t="e" vm="1">
        <v>#REF!</v>
      </c>
      <c r="BF5085" t="e" vm="2">
        <f t="shared" si="384"/>
        <v>#VALUE!</v>
      </c>
      <c r="BG5085" t="e" vm="2">
        <f t="shared" si="385"/>
        <v>#VALUE!</v>
      </c>
    </row>
    <row r="5086" spans="55:59" x14ac:dyDescent="0.2">
      <c r="BC5086" s="21" t="e" vm="1">
        <v>#REF!</v>
      </c>
      <c r="BD5086" t="e" vm="1">
        <v>#REF!</v>
      </c>
      <c r="BF5086" t="e" vm="2">
        <f t="shared" si="384"/>
        <v>#VALUE!</v>
      </c>
      <c r="BG5086" t="e" vm="2">
        <f t="shared" si="385"/>
        <v>#VALUE!</v>
      </c>
    </row>
    <row r="5087" spans="55:59" x14ac:dyDescent="0.2">
      <c r="BC5087" s="21" t="e" vm="1">
        <v>#REF!</v>
      </c>
      <c r="BD5087" t="e" vm="1">
        <v>#REF!</v>
      </c>
      <c r="BF5087" t="e" vm="2">
        <f t="shared" si="384"/>
        <v>#VALUE!</v>
      </c>
      <c r="BG5087" t="e" vm="2">
        <f t="shared" si="385"/>
        <v>#VALUE!</v>
      </c>
    </row>
    <row r="5088" spans="55:59" x14ac:dyDescent="0.2">
      <c r="BC5088" s="21" t="e" vm="1">
        <v>#REF!</v>
      </c>
      <c r="BD5088" t="e" vm="1">
        <v>#REF!</v>
      </c>
      <c r="BF5088" t="e" vm="2">
        <f t="shared" si="384"/>
        <v>#VALUE!</v>
      </c>
      <c r="BG5088" t="e" vm="2">
        <f t="shared" si="385"/>
        <v>#VALUE!</v>
      </c>
    </row>
    <row r="5089" spans="55:59" x14ac:dyDescent="0.2">
      <c r="BC5089" s="21" t="e" vm="1">
        <v>#REF!</v>
      </c>
      <c r="BD5089" t="e" vm="1">
        <v>#REF!</v>
      </c>
      <c r="BF5089" t="e" vm="2">
        <f t="shared" si="384"/>
        <v>#VALUE!</v>
      </c>
      <c r="BG5089" t="e" vm="2">
        <f t="shared" si="385"/>
        <v>#VALUE!</v>
      </c>
    </row>
    <row r="5090" spans="55:59" x14ac:dyDescent="0.2">
      <c r="BC5090" s="21" t="e" vm="1">
        <v>#REF!</v>
      </c>
      <c r="BD5090" t="e" vm="1">
        <v>#REF!</v>
      </c>
      <c r="BF5090" t="e" vm="2">
        <f t="shared" si="384"/>
        <v>#VALUE!</v>
      </c>
      <c r="BG5090" t="e" vm="2">
        <f t="shared" si="385"/>
        <v>#VALUE!</v>
      </c>
    </row>
    <row r="5091" spans="55:59" x14ac:dyDescent="0.2">
      <c r="BC5091" s="21" t="e" vm="1">
        <v>#REF!</v>
      </c>
      <c r="BD5091" t="e" vm="1">
        <v>#REF!</v>
      </c>
      <c r="BF5091" t="e" vm="2">
        <f t="shared" si="384"/>
        <v>#VALUE!</v>
      </c>
      <c r="BG5091" t="e" vm="2">
        <f t="shared" si="385"/>
        <v>#VALUE!</v>
      </c>
    </row>
    <row r="5092" spans="55:59" x14ac:dyDescent="0.2">
      <c r="BC5092" s="21" t="e" vm="1">
        <v>#REF!</v>
      </c>
      <c r="BD5092" t="e" vm="1">
        <v>#REF!</v>
      </c>
      <c r="BF5092" t="e" vm="2">
        <f t="shared" si="384"/>
        <v>#VALUE!</v>
      </c>
      <c r="BG5092" t="e" vm="2">
        <f t="shared" si="385"/>
        <v>#VALUE!</v>
      </c>
    </row>
    <row r="5093" spans="55:59" x14ac:dyDescent="0.2">
      <c r="BC5093" s="21" t="e" vm="1">
        <v>#REF!</v>
      </c>
      <c r="BD5093" t="e" vm="1">
        <v>#REF!</v>
      </c>
      <c r="BF5093" t="e" vm="2">
        <f t="shared" si="384"/>
        <v>#VALUE!</v>
      </c>
      <c r="BG5093" t="e" vm="2">
        <f t="shared" si="385"/>
        <v>#VALUE!</v>
      </c>
    </row>
    <row r="5094" spans="55:59" x14ac:dyDescent="0.2">
      <c r="BC5094" s="21" t="e" vm="1">
        <v>#REF!</v>
      </c>
      <c r="BD5094" t="e" vm="1">
        <v>#REF!</v>
      </c>
      <c r="BF5094" t="e" vm="2">
        <f t="shared" si="384"/>
        <v>#VALUE!</v>
      </c>
      <c r="BG5094" t="e" vm="2">
        <f t="shared" si="385"/>
        <v>#VALUE!</v>
      </c>
    </row>
    <row r="5095" spans="55:59" x14ac:dyDescent="0.2">
      <c r="BC5095" s="21" t="e" vm="1">
        <v>#REF!</v>
      </c>
      <c r="BD5095" t="e" vm="1">
        <v>#REF!</v>
      </c>
      <c r="BF5095" t="e" vm="2">
        <f t="shared" si="384"/>
        <v>#VALUE!</v>
      </c>
      <c r="BG5095" t="e" vm="2">
        <f t="shared" si="385"/>
        <v>#VALUE!</v>
      </c>
    </row>
    <row r="5096" spans="55:59" x14ac:dyDescent="0.2">
      <c r="BC5096" s="21" t="e" vm="1">
        <v>#REF!</v>
      </c>
      <c r="BD5096" t="e" vm="1">
        <v>#REF!</v>
      </c>
      <c r="BF5096" t="e" vm="2">
        <f t="shared" si="384"/>
        <v>#VALUE!</v>
      </c>
      <c r="BG5096" t="e" vm="2">
        <f t="shared" si="385"/>
        <v>#VALUE!</v>
      </c>
    </row>
    <row r="5097" spans="55:59" x14ac:dyDescent="0.2">
      <c r="BC5097" s="21" t="e" vm="1">
        <v>#REF!</v>
      </c>
      <c r="BD5097" t="e" vm="1">
        <v>#REF!</v>
      </c>
      <c r="BF5097" t="e" vm="2">
        <f t="shared" si="384"/>
        <v>#VALUE!</v>
      </c>
      <c r="BG5097" t="e" vm="2">
        <f t="shared" si="385"/>
        <v>#VALUE!</v>
      </c>
    </row>
    <row r="5098" spans="55:59" x14ac:dyDescent="0.2">
      <c r="BC5098" s="21" t="e" vm="1">
        <v>#REF!</v>
      </c>
      <c r="BD5098" t="e" vm="1">
        <v>#REF!</v>
      </c>
      <c r="BF5098" t="e" vm="2">
        <f t="shared" si="384"/>
        <v>#VALUE!</v>
      </c>
      <c r="BG5098" t="e" vm="2">
        <f t="shared" si="385"/>
        <v>#VALUE!</v>
      </c>
    </row>
    <row r="5099" spans="55:59" x14ac:dyDescent="0.2">
      <c r="BC5099" s="21" t="e" vm="1">
        <v>#REF!</v>
      </c>
      <c r="BD5099" t="e" vm="1">
        <v>#REF!</v>
      </c>
      <c r="BF5099" t="e" vm="2">
        <f t="shared" si="384"/>
        <v>#VALUE!</v>
      </c>
      <c r="BG5099" t="e" vm="2">
        <f t="shared" si="385"/>
        <v>#VALUE!</v>
      </c>
    </row>
    <row r="5100" spans="55:59" x14ac:dyDescent="0.2">
      <c r="BC5100" s="21" t="e" vm="1">
        <v>#REF!</v>
      </c>
      <c r="BD5100" t="e" vm="1">
        <v>#REF!</v>
      </c>
      <c r="BF5100" t="e" vm="2">
        <f t="shared" si="384"/>
        <v>#VALUE!</v>
      </c>
      <c r="BG5100" t="e" vm="2">
        <f t="shared" si="385"/>
        <v>#VALUE!</v>
      </c>
    </row>
    <row r="5101" spans="55:59" x14ac:dyDescent="0.2">
      <c r="BC5101" s="21" t="e" vm="1">
        <v>#REF!</v>
      </c>
      <c r="BD5101" t="e" vm="1">
        <v>#REF!</v>
      </c>
      <c r="BF5101" t="e" vm="2">
        <f t="shared" si="384"/>
        <v>#VALUE!</v>
      </c>
      <c r="BG5101" t="e" vm="2">
        <f t="shared" si="385"/>
        <v>#VALUE!</v>
      </c>
    </row>
    <row r="5102" spans="55:59" x14ac:dyDescent="0.2">
      <c r="BC5102" s="21" t="e" vm="1">
        <v>#REF!</v>
      </c>
      <c r="BD5102" t="e" vm="1">
        <v>#REF!</v>
      </c>
      <c r="BF5102" t="e" vm="2">
        <f t="shared" si="384"/>
        <v>#VALUE!</v>
      </c>
      <c r="BG5102" t="e" vm="2">
        <f t="shared" si="385"/>
        <v>#VALUE!</v>
      </c>
    </row>
    <row r="5103" spans="55:59" x14ac:dyDescent="0.2">
      <c r="BC5103" s="21" t="e" vm="1">
        <v>#REF!</v>
      </c>
      <c r="BD5103" t="e" vm="1">
        <v>#REF!</v>
      </c>
      <c r="BF5103" t="e" vm="2">
        <f t="shared" si="384"/>
        <v>#VALUE!</v>
      </c>
      <c r="BG5103" t="e" vm="2">
        <f t="shared" si="385"/>
        <v>#VALUE!</v>
      </c>
    </row>
    <row r="5104" spans="55:59" x14ac:dyDescent="0.2">
      <c r="BC5104" s="21" t="e" vm="1">
        <v>#REF!</v>
      </c>
      <c r="BD5104" t="e" vm="1">
        <v>#REF!</v>
      </c>
      <c r="BF5104" t="e" vm="2">
        <f t="shared" si="384"/>
        <v>#VALUE!</v>
      </c>
      <c r="BG5104" t="e" vm="2">
        <f t="shared" si="385"/>
        <v>#VALUE!</v>
      </c>
    </row>
    <row r="5105" spans="55:59" x14ac:dyDescent="0.2">
      <c r="BC5105" s="21" t="e" vm="1">
        <v>#REF!</v>
      </c>
      <c r="BD5105" t="e" vm="1">
        <v>#REF!</v>
      </c>
      <c r="BF5105" t="e" vm="2">
        <f t="shared" si="384"/>
        <v>#VALUE!</v>
      </c>
      <c r="BG5105" t="e" vm="2">
        <f t="shared" si="385"/>
        <v>#VALUE!</v>
      </c>
    </row>
    <row r="5106" spans="55:59" x14ac:dyDescent="0.2">
      <c r="BC5106" s="21" t="e" vm="1">
        <v>#REF!</v>
      </c>
      <c r="BD5106" t="e" vm="1">
        <v>#REF!</v>
      </c>
      <c r="BF5106" t="e" vm="2">
        <f t="shared" si="384"/>
        <v>#VALUE!</v>
      </c>
      <c r="BG5106" t="e" vm="2">
        <f t="shared" si="385"/>
        <v>#VALUE!</v>
      </c>
    </row>
    <row r="5107" spans="55:59" x14ac:dyDescent="0.2">
      <c r="BC5107" s="21" t="e" vm="1">
        <v>#REF!</v>
      </c>
      <c r="BD5107" t="e" vm="1">
        <v>#REF!</v>
      </c>
      <c r="BF5107" t="e" vm="2">
        <f t="shared" si="384"/>
        <v>#VALUE!</v>
      </c>
      <c r="BG5107" t="e" vm="2">
        <f t="shared" si="385"/>
        <v>#VALUE!</v>
      </c>
    </row>
    <row r="5108" spans="55:59" x14ac:dyDescent="0.2">
      <c r="BC5108" s="21" t="e" vm="1">
        <v>#REF!</v>
      </c>
      <c r="BD5108" t="e" vm="1">
        <v>#REF!</v>
      </c>
      <c r="BF5108" t="e" vm="2">
        <f t="shared" si="384"/>
        <v>#VALUE!</v>
      </c>
      <c r="BG5108" t="e" vm="2">
        <f t="shared" si="385"/>
        <v>#VALUE!</v>
      </c>
    </row>
    <row r="5109" spans="55:59" x14ac:dyDescent="0.2">
      <c r="BC5109" s="21" t="e" vm="1">
        <v>#REF!</v>
      </c>
      <c r="BD5109" t="e" vm="1">
        <v>#REF!</v>
      </c>
      <c r="BF5109" t="e" vm="2">
        <f t="shared" si="384"/>
        <v>#VALUE!</v>
      </c>
      <c r="BG5109" t="e" vm="2">
        <f t="shared" si="385"/>
        <v>#VALUE!</v>
      </c>
    </row>
    <row r="5110" spans="55:59" x14ac:dyDescent="0.2">
      <c r="BC5110" s="21" t="e" vm="1">
        <v>#REF!</v>
      </c>
      <c r="BD5110" t="e" vm="1">
        <v>#REF!</v>
      </c>
      <c r="BF5110" t="e" vm="2">
        <f t="shared" si="384"/>
        <v>#VALUE!</v>
      </c>
      <c r="BG5110" t="e" vm="2">
        <f t="shared" si="385"/>
        <v>#VALUE!</v>
      </c>
    </row>
    <row r="5111" spans="55:59" x14ac:dyDescent="0.2">
      <c r="BC5111" s="21" t="e" vm="1">
        <v>#REF!</v>
      </c>
      <c r="BD5111" t="e" vm="1">
        <v>#REF!</v>
      </c>
      <c r="BF5111" t="e" vm="2">
        <f t="shared" si="384"/>
        <v>#VALUE!</v>
      </c>
      <c r="BG5111" t="e" vm="2">
        <f t="shared" si="385"/>
        <v>#VALUE!</v>
      </c>
    </row>
    <row r="5112" spans="55:59" x14ac:dyDescent="0.2">
      <c r="BC5112" s="21" t="e" vm="1">
        <v>#REF!</v>
      </c>
      <c r="BD5112" t="e" vm="1">
        <v>#REF!</v>
      </c>
      <c r="BF5112" t="e" vm="2">
        <f t="shared" si="384"/>
        <v>#VALUE!</v>
      </c>
      <c r="BG5112" t="e" vm="2">
        <f t="shared" si="385"/>
        <v>#VALUE!</v>
      </c>
    </row>
    <row r="5113" spans="55:59" x14ac:dyDescent="0.2">
      <c r="BC5113" s="21" t="e" vm="1">
        <v>#REF!</v>
      </c>
      <c r="BD5113" t="e" vm="1">
        <v>#REF!</v>
      </c>
      <c r="BF5113" t="e" vm="2">
        <f t="shared" si="384"/>
        <v>#VALUE!</v>
      </c>
      <c r="BG5113" t="e" vm="2">
        <f t="shared" si="385"/>
        <v>#VALUE!</v>
      </c>
    </row>
    <row r="5114" spans="55:59" x14ac:dyDescent="0.2">
      <c r="BC5114" s="21" t="e" vm="1">
        <v>#REF!</v>
      </c>
      <c r="BD5114" t="e" vm="1">
        <v>#REF!</v>
      </c>
      <c r="BF5114" t="e" vm="2">
        <f t="shared" si="384"/>
        <v>#VALUE!</v>
      </c>
      <c r="BG5114" t="e" vm="2">
        <f t="shared" si="385"/>
        <v>#VALUE!</v>
      </c>
    </row>
    <row r="5115" spans="55:59" x14ac:dyDescent="0.2">
      <c r="BC5115" s="21" t="e" vm="1">
        <v>#REF!</v>
      </c>
      <c r="BD5115" t="e" vm="1">
        <v>#REF!</v>
      </c>
      <c r="BF5115" t="e" vm="2">
        <f t="shared" si="384"/>
        <v>#VALUE!</v>
      </c>
      <c r="BG5115" t="e" vm="2">
        <f t="shared" si="385"/>
        <v>#VALUE!</v>
      </c>
    </row>
    <row r="5116" spans="55:59" x14ac:dyDescent="0.2">
      <c r="BC5116" s="21" t="e" vm="1">
        <v>#REF!</v>
      </c>
      <c r="BD5116" t="e" vm="1">
        <v>#REF!</v>
      </c>
      <c r="BF5116" t="e" vm="2">
        <f t="shared" si="384"/>
        <v>#VALUE!</v>
      </c>
      <c r="BG5116" t="e" vm="2">
        <f t="shared" si="385"/>
        <v>#VALUE!</v>
      </c>
    </row>
    <row r="5117" spans="55:59" x14ac:dyDescent="0.2">
      <c r="BC5117" s="21" t="e" vm="1">
        <v>#REF!</v>
      </c>
      <c r="BD5117" t="e" vm="1">
        <v>#REF!</v>
      </c>
      <c r="BF5117" t="e" vm="2">
        <f t="shared" si="384"/>
        <v>#VALUE!</v>
      </c>
      <c r="BG5117" t="e" vm="2">
        <f t="shared" si="385"/>
        <v>#VALUE!</v>
      </c>
    </row>
    <row r="5118" spans="55:59" x14ac:dyDescent="0.2">
      <c r="BC5118" s="21" t="e" vm="1">
        <v>#REF!</v>
      </c>
      <c r="BD5118" t="e" vm="1">
        <v>#REF!</v>
      </c>
      <c r="BF5118" t="e" vm="2">
        <f t="shared" si="384"/>
        <v>#VALUE!</v>
      </c>
      <c r="BG5118" t="e" vm="2">
        <f t="shared" si="385"/>
        <v>#VALUE!</v>
      </c>
    </row>
    <row r="5119" spans="55:59" x14ac:dyDescent="0.2">
      <c r="BC5119" s="21" t="e" vm="1">
        <v>#REF!</v>
      </c>
      <c r="BD5119" t="e" vm="1">
        <v>#REF!</v>
      </c>
      <c r="BF5119" t="e" vm="2">
        <f t="shared" si="384"/>
        <v>#VALUE!</v>
      </c>
      <c r="BG5119" t="e" vm="2">
        <f t="shared" si="385"/>
        <v>#VALUE!</v>
      </c>
    </row>
    <row r="5120" spans="55:59" x14ac:dyDescent="0.2">
      <c r="BC5120" s="21" t="e" vm="1">
        <v>#REF!</v>
      </c>
      <c r="BD5120" t="e" vm="1">
        <v>#REF!</v>
      </c>
      <c r="BF5120" t="e" vm="2">
        <f t="shared" si="384"/>
        <v>#VALUE!</v>
      </c>
      <c r="BG5120" t="e" vm="2">
        <f t="shared" si="385"/>
        <v>#VALUE!</v>
      </c>
    </row>
    <row r="5121" spans="55:59" x14ac:dyDescent="0.2">
      <c r="BC5121" s="21" t="e" vm="1">
        <v>#REF!</v>
      </c>
      <c r="BD5121" t="e" vm="1">
        <v>#REF!</v>
      </c>
      <c r="BF5121" t="e" vm="2">
        <f t="shared" si="384"/>
        <v>#VALUE!</v>
      </c>
      <c r="BG5121" t="e" vm="2">
        <f t="shared" si="385"/>
        <v>#VALUE!</v>
      </c>
    </row>
    <row r="5122" spans="55:59" x14ac:dyDescent="0.2">
      <c r="BC5122" s="21" t="e" vm="1">
        <v>#REF!</v>
      </c>
      <c r="BD5122" t="e" vm="1">
        <v>#REF!</v>
      </c>
      <c r="BF5122" t="e" vm="2">
        <f t="shared" si="384"/>
        <v>#VALUE!</v>
      </c>
      <c r="BG5122" t="e" vm="2">
        <f t="shared" si="385"/>
        <v>#VALUE!</v>
      </c>
    </row>
    <row r="5123" spans="55:59" x14ac:dyDescent="0.2">
      <c r="BC5123" s="21" t="e" vm="1">
        <v>#REF!</v>
      </c>
      <c r="BD5123" t="e" vm="1">
        <v>#REF!</v>
      </c>
      <c r="BF5123" t="e" vm="2">
        <f t="shared" ref="BF5123:BF5186" si="386">MONTH(BC5123)</f>
        <v>#VALUE!</v>
      </c>
      <c r="BG5123" t="e" vm="2">
        <f t="shared" ref="BG5123:BG5186" si="387">YEAR(BC5123)</f>
        <v>#VALUE!</v>
      </c>
    </row>
    <row r="5124" spans="55:59" x14ac:dyDescent="0.2">
      <c r="BC5124" s="21" t="e" vm="1">
        <v>#REF!</v>
      </c>
      <c r="BD5124" t="e" vm="1">
        <v>#REF!</v>
      </c>
      <c r="BF5124" t="e" vm="2">
        <f t="shared" si="386"/>
        <v>#VALUE!</v>
      </c>
      <c r="BG5124" t="e" vm="2">
        <f t="shared" si="387"/>
        <v>#VALUE!</v>
      </c>
    </row>
    <row r="5125" spans="55:59" x14ac:dyDescent="0.2">
      <c r="BC5125" s="21" t="e" vm="1">
        <v>#REF!</v>
      </c>
      <c r="BD5125" t="e" vm="1">
        <v>#REF!</v>
      </c>
      <c r="BF5125" t="e" vm="2">
        <f t="shared" si="386"/>
        <v>#VALUE!</v>
      </c>
      <c r="BG5125" t="e" vm="2">
        <f t="shared" si="387"/>
        <v>#VALUE!</v>
      </c>
    </row>
    <row r="5126" spans="55:59" x14ac:dyDescent="0.2">
      <c r="BC5126" s="21" t="e" vm="1">
        <v>#REF!</v>
      </c>
      <c r="BD5126" t="e" vm="1">
        <v>#REF!</v>
      </c>
      <c r="BF5126" t="e" vm="2">
        <f t="shared" si="386"/>
        <v>#VALUE!</v>
      </c>
      <c r="BG5126" t="e" vm="2">
        <f t="shared" si="387"/>
        <v>#VALUE!</v>
      </c>
    </row>
    <row r="5127" spans="55:59" x14ac:dyDescent="0.2">
      <c r="BC5127" s="21" t="e" vm="1">
        <v>#REF!</v>
      </c>
      <c r="BD5127" t="e" vm="1">
        <v>#REF!</v>
      </c>
      <c r="BF5127" t="e" vm="2">
        <f t="shared" si="386"/>
        <v>#VALUE!</v>
      </c>
      <c r="BG5127" t="e" vm="2">
        <f t="shared" si="387"/>
        <v>#VALUE!</v>
      </c>
    </row>
    <row r="5128" spans="55:59" x14ac:dyDescent="0.2">
      <c r="BC5128" s="21" t="e" vm="1">
        <v>#REF!</v>
      </c>
      <c r="BD5128" t="e" vm="1">
        <v>#REF!</v>
      </c>
      <c r="BF5128" t="e" vm="2">
        <f t="shared" si="386"/>
        <v>#VALUE!</v>
      </c>
      <c r="BG5128" t="e" vm="2">
        <f t="shared" si="387"/>
        <v>#VALUE!</v>
      </c>
    </row>
    <row r="5129" spans="55:59" x14ac:dyDescent="0.2">
      <c r="BC5129" s="21" t="e" vm="1">
        <v>#REF!</v>
      </c>
      <c r="BD5129" t="e" vm="1">
        <v>#REF!</v>
      </c>
      <c r="BF5129" t="e" vm="2">
        <f t="shared" si="386"/>
        <v>#VALUE!</v>
      </c>
      <c r="BG5129" t="e" vm="2">
        <f t="shared" si="387"/>
        <v>#VALUE!</v>
      </c>
    </row>
    <row r="5130" spans="55:59" x14ac:dyDescent="0.2">
      <c r="BC5130" s="21" t="e" vm="1">
        <v>#REF!</v>
      </c>
      <c r="BD5130" t="e" vm="1">
        <v>#REF!</v>
      </c>
      <c r="BF5130" t="e" vm="2">
        <f t="shared" si="386"/>
        <v>#VALUE!</v>
      </c>
      <c r="BG5130" t="e" vm="2">
        <f t="shared" si="387"/>
        <v>#VALUE!</v>
      </c>
    </row>
    <row r="5131" spans="55:59" x14ac:dyDescent="0.2">
      <c r="BC5131" s="21" t="e" vm="1">
        <v>#REF!</v>
      </c>
      <c r="BD5131" t="e" vm="1">
        <v>#REF!</v>
      </c>
      <c r="BF5131" t="e" vm="2">
        <f t="shared" si="386"/>
        <v>#VALUE!</v>
      </c>
      <c r="BG5131" t="e" vm="2">
        <f t="shared" si="387"/>
        <v>#VALUE!</v>
      </c>
    </row>
    <row r="5132" spans="55:59" x14ac:dyDescent="0.2">
      <c r="BC5132" s="21" t="e" vm="1">
        <v>#REF!</v>
      </c>
      <c r="BD5132" t="e" vm="1">
        <v>#REF!</v>
      </c>
      <c r="BF5132" t="e" vm="2">
        <f t="shared" si="386"/>
        <v>#VALUE!</v>
      </c>
      <c r="BG5132" t="e" vm="2">
        <f t="shared" si="387"/>
        <v>#VALUE!</v>
      </c>
    </row>
    <row r="5133" spans="55:59" x14ac:dyDescent="0.2">
      <c r="BC5133" s="21" t="e" vm="1">
        <v>#REF!</v>
      </c>
      <c r="BD5133" t="e" vm="1">
        <v>#REF!</v>
      </c>
      <c r="BF5133" t="e" vm="2">
        <f t="shared" si="386"/>
        <v>#VALUE!</v>
      </c>
      <c r="BG5133" t="e" vm="2">
        <f t="shared" si="387"/>
        <v>#VALUE!</v>
      </c>
    </row>
    <row r="5134" spans="55:59" x14ac:dyDescent="0.2">
      <c r="BC5134" s="21" t="e" vm="1">
        <v>#REF!</v>
      </c>
      <c r="BD5134" t="e" vm="1">
        <v>#REF!</v>
      </c>
      <c r="BF5134" t="e" vm="2">
        <f t="shared" si="386"/>
        <v>#VALUE!</v>
      </c>
      <c r="BG5134" t="e" vm="2">
        <f t="shared" si="387"/>
        <v>#VALUE!</v>
      </c>
    </row>
    <row r="5135" spans="55:59" x14ac:dyDescent="0.2">
      <c r="BC5135" s="21" t="e" vm="1">
        <v>#REF!</v>
      </c>
      <c r="BD5135" t="e" vm="1">
        <v>#REF!</v>
      </c>
      <c r="BF5135" t="e" vm="2">
        <f t="shared" si="386"/>
        <v>#VALUE!</v>
      </c>
      <c r="BG5135" t="e" vm="2">
        <f t="shared" si="387"/>
        <v>#VALUE!</v>
      </c>
    </row>
    <row r="5136" spans="55:59" x14ac:dyDescent="0.2">
      <c r="BC5136" s="21" t="e" vm="1">
        <v>#REF!</v>
      </c>
      <c r="BD5136" t="e" vm="1">
        <v>#REF!</v>
      </c>
      <c r="BF5136" t="e" vm="2">
        <f t="shared" si="386"/>
        <v>#VALUE!</v>
      </c>
      <c r="BG5136" t="e" vm="2">
        <f t="shared" si="387"/>
        <v>#VALUE!</v>
      </c>
    </row>
    <row r="5137" spans="55:59" x14ac:dyDescent="0.2">
      <c r="BC5137" s="21" t="e" vm="1">
        <v>#REF!</v>
      </c>
      <c r="BD5137" t="e" vm="1">
        <v>#REF!</v>
      </c>
      <c r="BF5137" t="e" vm="2">
        <f t="shared" si="386"/>
        <v>#VALUE!</v>
      </c>
      <c r="BG5137" t="e" vm="2">
        <f t="shared" si="387"/>
        <v>#VALUE!</v>
      </c>
    </row>
    <row r="5138" spans="55:59" x14ac:dyDescent="0.2">
      <c r="BC5138" s="21" t="e" vm="1">
        <v>#REF!</v>
      </c>
      <c r="BD5138" t="e" vm="1">
        <v>#REF!</v>
      </c>
      <c r="BF5138" t="e" vm="2">
        <f t="shared" si="386"/>
        <v>#VALUE!</v>
      </c>
      <c r="BG5138" t="e" vm="2">
        <f t="shared" si="387"/>
        <v>#VALUE!</v>
      </c>
    </row>
    <row r="5139" spans="55:59" x14ac:dyDescent="0.2">
      <c r="BC5139" s="21" t="e" vm="1">
        <v>#REF!</v>
      </c>
      <c r="BD5139" t="e" vm="1">
        <v>#REF!</v>
      </c>
      <c r="BF5139" t="e" vm="2">
        <f t="shared" si="386"/>
        <v>#VALUE!</v>
      </c>
      <c r="BG5139" t="e" vm="2">
        <f t="shared" si="387"/>
        <v>#VALUE!</v>
      </c>
    </row>
    <row r="5140" spans="55:59" x14ac:dyDescent="0.2">
      <c r="BC5140" s="21" t="e" vm="1">
        <v>#REF!</v>
      </c>
      <c r="BD5140" t="e" vm="1">
        <v>#REF!</v>
      </c>
      <c r="BF5140" t="e" vm="2">
        <f t="shared" si="386"/>
        <v>#VALUE!</v>
      </c>
      <c r="BG5140" t="e" vm="2">
        <f t="shared" si="387"/>
        <v>#VALUE!</v>
      </c>
    </row>
    <row r="5141" spans="55:59" x14ac:dyDescent="0.2">
      <c r="BC5141" s="21" t="e" vm="1">
        <v>#REF!</v>
      </c>
      <c r="BD5141" t="e" vm="1">
        <v>#REF!</v>
      </c>
      <c r="BF5141" t="e" vm="2">
        <f t="shared" si="386"/>
        <v>#VALUE!</v>
      </c>
      <c r="BG5141" t="e" vm="2">
        <f t="shared" si="387"/>
        <v>#VALUE!</v>
      </c>
    </row>
    <row r="5142" spans="55:59" x14ac:dyDescent="0.2">
      <c r="BC5142" s="21" t="e" vm="1">
        <v>#REF!</v>
      </c>
      <c r="BD5142" t="e" vm="1">
        <v>#REF!</v>
      </c>
      <c r="BF5142" t="e" vm="2">
        <f t="shared" si="386"/>
        <v>#VALUE!</v>
      </c>
      <c r="BG5142" t="e" vm="2">
        <f t="shared" si="387"/>
        <v>#VALUE!</v>
      </c>
    </row>
    <row r="5143" spans="55:59" x14ac:dyDescent="0.2">
      <c r="BC5143" s="21" t="e" vm="1">
        <v>#REF!</v>
      </c>
      <c r="BD5143" t="e" vm="1">
        <v>#REF!</v>
      </c>
      <c r="BF5143" t="e" vm="2">
        <f t="shared" si="386"/>
        <v>#VALUE!</v>
      </c>
      <c r="BG5143" t="e" vm="2">
        <f t="shared" si="387"/>
        <v>#VALUE!</v>
      </c>
    </row>
    <row r="5144" spans="55:59" x14ac:dyDescent="0.2">
      <c r="BC5144" s="21" t="e" vm="1">
        <v>#REF!</v>
      </c>
      <c r="BD5144" t="e" vm="1">
        <v>#REF!</v>
      </c>
      <c r="BF5144" t="e" vm="2">
        <f t="shared" si="386"/>
        <v>#VALUE!</v>
      </c>
      <c r="BG5144" t="e" vm="2">
        <f t="shared" si="387"/>
        <v>#VALUE!</v>
      </c>
    </row>
    <row r="5145" spans="55:59" x14ac:dyDescent="0.2">
      <c r="BC5145" s="21" t="e" vm="1">
        <v>#REF!</v>
      </c>
      <c r="BD5145" t="e" vm="1">
        <v>#REF!</v>
      </c>
      <c r="BF5145" t="e" vm="2">
        <f t="shared" si="386"/>
        <v>#VALUE!</v>
      </c>
      <c r="BG5145" t="e" vm="2">
        <f t="shared" si="387"/>
        <v>#VALUE!</v>
      </c>
    </row>
    <row r="5146" spans="55:59" x14ac:dyDescent="0.2">
      <c r="BC5146" s="21" t="e" vm="1">
        <v>#REF!</v>
      </c>
      <c r="BD5146" t="e" vm="1">
        <v>#REF!</v>
      </c>
      <c r="BF5146" t="e" vm="2">
        <f t="shared" si="386"/>
        <v>#VALUE!</v>
      </c>
      <c r="BG5146" t="e" vm="2">
        <f t="shared" si="387"/>
        <v>#VALUE!</v>
      </c>
    </row>
    <row r="5147" spans="55:59" x14ac:dyDescent="0.2">
      <c r="BC5147" s="21" t="e" vm="1">
        <v>#REF!</v>
      </c>
      <c r="BD5147" t="e" vm="1">
        <v>#REF!</v>
      </c>
      <c r="BF5147" t="e" vm="2">
        <f t="shared" si="386"/>
        <v>#VALUE!</v>
      </c>
      <c r="BG5147" t="e" vm="2">
        <f t="shared" si="387"/>
        <v>#VALUE!</v>
      </c>
    </row>
    <row r="5148" spans="55:59" x14ac:dyDescent="0.2">
      <c r="BC5148" s="21" t="e" vm="1">
        <v>#REF!</v>
      </c>
      <c r="BD5148" t="e" vm="1">
        <v>#REF!</v>
      </c>
      <c r="BF5148" t="e" vm="2">
        <f t="shared" si="386"/>
        <v>#VALUE!</v>
      </c>
      <c r="BG5148" t="e" vm="2">
        <f t="shared" si="387"/>
        <v>#VALUE!</v>
      </c>
    </row>
    <row r="5149" spans="55:59" x14ac:dyDescent="0.2">
      <c r="BC5149" s="21" t="e" vm="1">
        <v>#REF!</v>
      </c>
      <c r="BD5149" t="e" vm="1">
        <v>#REF!</v>
      </c>
      <c r="BF5149" t="e" vm="2">
        <f t="shared" si="386"/>
        <v>#VALUE!</v>
      </c>
      <c r="BG5149" t="e" vm="2">
        <f t="shared" si="387"/>
        <v>#VALUE!</v>
      </c>
    </row>
    <row r="5150" spans="55:59" x14ac:dyDescent="0.2">
      <c r="BC5150" s="21" t="e" vm="1">
        <v>#REF!</v>
      </c>
      <c r="BD5150" t="e" vm="1">
        <v>#REF!</v>
      </c>
      <c r="BF5150" t="e" vm="2">
        <f t="shared" si="386"/>
        <v>#VALUE!</v>
      </c>
      <c r="BG5150" t="e" vm="2">
        <f t="shared" si="387"/>
        <v>#VALUE!</v>
      </c>
    </row>
    <row r="5151" spans="55:59" x14ac:dyDescent="0.2">
      <c r="BC5151" s="21" t="e" vm="1">
        <v>#REF!</v>
      </c>
      <c r="BD5151" t="e" vm="1">
        <v>#REF!</v>
      </c>
      <c r="BF5151" t="e" vm="2">
        <f t="shared" si="386"/>
        <v>#VALUE!</v>
      </c>
      <c r="BG5151" t="e" vm="2">
        <f t="shared" si="387"/>
        <v>#VALUE!</v>
      </c>
    </row>
    <row r="5152" spans="55:59" x14ac:dyDescent="0.2">
      <c r="BC5152" s="21" t="e" vm="1">
        <v>#REF!</v>
      </c>
      <c r="BD5152" t="e" vm="1">
        <v>#REF!</v>
      </c>
      <c r="BF5152" t="e" vm="2">
        <f t="shared" si="386"/>
        <v>#VALUE!</v>
      </c>
      <c r="BG5152" t="e" vm="2">
        <f t="shared" si="387"/>
        <v>#VALUE!</v>
      </c>
    </row>
    <row r="5153" spans="55:59" x14ac:dyDescent="0.2">
      <c r="BC5153" s="21" t="e" vm="1">
        <v>#REF!</v>
      </c>
      <c r="BD5153" t="e" vm="1">
        <v>#REF!</v>
      </c>
      <c r="BF5153" t="e" vm="2">
        <f t="shared" si="386"/>
        <v>#VALUE!</v>
      </c>
      <c r="BG5153" t="e" vm="2">
        <f t="shared" si="387"/>
        <v>#VALUE!</v>
      </c>
    </row>
    <row r="5154" spans="55:59" x14ac:dyDescent="0.2">
      <c r="BC5154" s="21" t="e" vm="1">
        <v>#REF!</v>
      </c>
      <c r="BD5154" t="e" vm="1">
        <v>#REF!</v>
      </c>
      <c r="BF5154" t="e" vm="2">
        <f t="shared" si="386"/>
        <v>#VALUE!</v>
      </c>
      <c r="BG5154" t="e" vm="2">
        <f t="shared" si="387"/>
        <v>#VALUE!</v>
      </c>
    </row>
    <row r="5155" spans="55:59" x14ac:dyDescent="0.2">
      <c r="BC5155" s="21" t="e" vm="1">
        <v>#REF!</v>
      </c>
      <c r="BD5155" t="e" vm="1">
        <v>#REF!</v>
      </c>
      <c r="BF5155" t="e" vm="2">
        <f t="shared" si="386"/>
        <v>#VALUE!</v>
      </c>
      <c r="BG5155" t="e" vm="2">
        <f t="shared" si="387"/>
        <v>#VALUE!</v>
      </c>
    </row>
    <row r="5156" spans="55:59" x14ac:dyDescent="0.2">
      <c r="BC5156" s="21" t="e" vm="1">
        <v>#REF!</v>
      </c>
      <c r="BD5156" t="e" vm="1">
        <v>#REF!</v>
      </c>
      <c r="BF5156" t="e" vm="2">
        <f t="shared" si="386"/>
        <v>#VALUE!</v>
      </c>
      <c r="BG5156" t="e" vm="2">
        <f t="shared" si="387"/>
        <v>#VALUE!</v>
      </c>
    </row>
    <row r="5157" spans="55:59" x14ac:dyDescent="0.2">
      <c r="BC5157" s="21" t="e" vm="1">
        <v>#REF!</v>
      </c>
      <c r="BD5157" t="e" vm="1">
        <v>#REF!</v>
      </c>
      <c r="BF5157" t="e" vm="2">
        <f t="shared" si="386"/>
        <v>#VALUE!</v>
      </c>
      <c r="BG5157" t="e" vm="2">
        <f t="shared" si="387"/>
        <v>#VALUE!</v>
      </c>
    </row>
    <row r="5158" spans="55:59" x14ac:dyDescent="0.2">
      <c r="BC5158" s="21" t="e" vm="1">
        <v>#REF!</v>
      </c>
      <c r="BD5158" t="e" vm="1">
        <v>#REF!</v>
      </c>
      <c r="BF5158" t="e" vm="2">
        <f t="shared" si="386"/>
        <v>#VALUE!</v>
      </c>
      <c r="BG5158" t="e" vm="2">
        <f t="shared" si="387"/>
        <v>#VALUE!</v>
      </c>
    </row>
    <row r="5159" spans="55:59" x14ac:dyDescent="0.2">
      <c r="BC5159" s="21" t="e" vm="1">
        <v>#REF!</v>
      </c>
      <c r="BD5159" t="e" vm="1">
        <v>#REF!</v>
      </c>
      <c r="BF5159" t="e" vm="2">
        <f t="shared" si="386"/>
        <v>#VALUE!</v>
      </c>
      <c r="BG5159" t="e" vm="2">
        <f t="shared" si="387"/>
        <v>#VALUE!</v>
      </c>
    </row>
    <row r="5160" spans="55:59" x14ac:dyDescent="0.2">
      <c r="BC5160" s="21" t="e" vm="1">
        <v>#REF!</v>
      </c>
      <c r="BD5160" t="e" vm="1">
        <v>#REF!</v>
      </c>
      <c r="BF5160" t="e" vm="2">
        <f t="shared" si="386"/>
        <v>#VALUE!</v>
      </c>
      <c r="BG5160" t="e" vm="2">
        <f t="shared" si="387"/>
        <v>#VALUE!</v>
      </c>
    </row>
    <row r="5161" spans="55:59" x14ac:dyDescent="0.2">
      <c r="BC5161" s="21" t="e" vm="1">
        <v>#REF!</v>
      </c>
      <c r="BD5161" t="e" vm="1">
        <v>#REF!</v>
      </c>
      <c r="BF5161" t="e" vm="2">
        <f t="shared" si="386"/>
        <v>#VALUE!</v>
      </c>
      <c r="BG5161" t="e" vm="2">
        <f t="shared" si="387"/>
        <v>#VALUE!</v>
      </c>
    </row>
    <row r="5162" spans="55:59" x14ac:dyDescent="0.2">
      <c r="BC5162" s="21" t="e" vm="1">
        <v>#REF!</v>
      </c>
      <c r="BD5162" t="e" vm="1">
        <v>#REF!</v>
      </c>
      <c r="BF5162" t="e" vm="2">
        <f t="shared" si="386"/>
        <v>#VALUE!</v>
      </c>
      <c r="BG5162" t="e" vm="2">
        <f t="shared" si="387"/>
        <v>#VALUE!</v>
      </c>
    </row>
    <row r="5163" spans="55:59" x14ac:dyDescent="0.2">
      <c r="BC5163" s="21" t="e" vm="1">
        <v>#REF!</v>
      </c>
      <c r="BD5163" t="e" vm="1">
        <v>#REF!</v>
      </c>
      <c r="BF5163" t="e" vm="2">
        <f t="shared" si="386"/>
        <v>#VALUE!</v>
      </c>
      <c r="BG5163" t="e" vm="2">
        <f t="shared" si="387"/>
        <v>#VALUE!</v>
      </c>
    </row>
    <row r="5164" spans="55:59" x14ac:dyDescent="0.2">
      <c r="BC5164" s="21" t="e" vm="1">
        <v>#REF!</v>
      </c>
      <c r="BD5164" t="e" vm="1">
        <v>#REF!</v>
      </c>
      <c r="BF5164" t="e" vm="2">
        <f t="shared" si="386"/>
        <v>#VALUE!</v>
      </c>
      <c r="BG5164" t="e" vm="2">
        <f t="shared" si="387"/>
        <v>#VALUE!</v>
      </c>
    </row>
    <row r="5165" spans="55:59" x14ac:dyDescent="0.2">
      <c r="BC5165" s="21" t="e" vm="1">
        <v>#REF!</v>
      </c>
      <c r="BD5165" t="e" vm="1">
        <v>#REF!</v>
      </c>
      <c r="BF5165" t="e" vm="2">
        <f t="shared" si="386"/>
        <v>#VALUE!</v>
      </c>
      <c r="BG5165" t="e" vm="2">
        <f t="shared" si="387"/>
        <v>#VALUE!</v>
      </c>
    </row>
    <row r="5166" spans="55:59" x14ac:dyDescent="0.2">
      <c r="BC5166" s="21" t="e" vm="1">
        <v>#REF!</v>
      </c>
      <c r="BD5166" t="e" vm="1">
        <v>#REF!</v>
      </c>
      <c r="BF5166" t="e" vm="2">
        <f t="shared" si="386"/>
        <v>#VALUE!</v>
      </c>
      <c r="BG5166" t="e" vm="2">
        <f t="shared" si="387"/>
        <v>#VALUE!</v>
      </c>
    </row>
    <row r="5167" spans="55:59" x14ac:dyDescent="0.2">
      <c r="BC5167" s="21" t="e" vm="1">
        <v>#REF!</v>
      </c>
      <c r="BD5167" t="e" vm="1">
        <v>#REF!</v>
      </c>
      <c r="BF5167" t="e" vm="2">
        <f t="shared" si="386"/>
        <v>#VALUE!</v>
      </c>
      <c r="BG5167" t="e" vm="2">
        <f t="shared" si="387"/>
        <v>#VALUE!</v>
      </c>
    </row>
    <row r="5168" spans="55:59" x14ac:dyDescent="0.2">
      <c r="BC5168" s="21" t="e" vm="1">
        <v>#REF!</v>
      </c>
      <c r="BD5168" t="e" vm="1">
        <v>#REF!</v>
      </c>
      <c r="BF5168" t="e" vm="2">
        <f t="shared" si="386"/>
        <v>#VALUE!</v>
      </c>
      <c r="BG5168" t="e" vm="2">
        <f t="shared" si="387"/>
        <v>#VALUE!</v>
      </c>
    </row>
    <row r="5169" spans="55:59" x14ac:dyDescent="0.2">
      <c r="BC5169" s="21" t="e" vm="1">
        <v>#REF!</v>
      </c>
      <c r="BD5169" t="e" vm="1">
        <v>#REF!</v>
      </c>
      <c r="BF5169" t="e" vm="2">
        <f t="shared" si="386"/>
        <v>#VALUE!</v>
      </c>
      <c r="BG5169" t="e" vm="2">
        <f t="shared" si="387"/>
        <v>#VALUE!</v>
      </c>
    </row>
    <row r="5170" spans="55:59" x14ac:dyDescent="0.2">
      <c r="BC5170" s="21" t="e" vm="1">
        <v>#REF!</v>
      </c>
      <c r="BD5170" t="e" vm="1">
        <v>#REF!</v>
      </c>
      <c r="BF5170" t="e" vm="2">
        <f t="shared" si="386"/>
        <v>#VALUE!</v>
      </c>
      <c r="BG5170" t="e" vm="2">
        <f t="shared" si="387"/>
        <v>#VALUE!</v>
      </c>
    </row>
    <row r="5171" spans="55:59" x14ac:dyDescent="0.2">
      <c r="BC5171" s="21" t="e" vm="1">
        <v>#REF!</v>
      </c>
      <c r="BD5171" t="e" vm="1">
        <v>#REF!</v>
      </c>
      <c r="BF5171" t="e" vm="2">
        <f t="shared" si="386"/>
        <v>#VALUE!</v>
      </c>
      <c r="BG5171" t="e" vm="2">
        <f t="shared" si="387"/>
        <v>#VALUE!</v>
      </c>
    </row>
    <row r="5172" spans="55:59" x14ac:dyDescent="0.2">
      <c r="BC5172" s="21" t="e" vm="1">
        <v>#REF!</v>
      </c>
      <c r="BD5172" t="e" vm="1">
        <v>#REF!</v>
      </c>
      <c r="BF5172" t="e" vm="2">
        <f t="shared" si="386"/>
        <v>#VALUE!</v>
      </c>
      <c r="BG5172" t="e" vm="2">
        <f t="shared" si="387"/>
        <v>#VALUE!</v>
      </c>
    </row>
    <row r="5173" spans="55:59" x14ac:dyDescent="0.2">
      <c r="BC5173" s="21" t="e" vm="1">
        <v>#REF!</v>
      </c>
      <c r="BD5173" t="e" vm="1">
        <v>#REF!</v>
      </c>
      <c r="BF5173" t="e" vm="2">
        <f t="shared" si="386"/>
        <v>#VALUE!</v>
      </c>
      <c r="BG5173" t="e" vm="2">
        <f t="shared" si="387"/>
        <v>#VALUE!</v>
      </c>
    </row>
    <row r="5174" spans="55:59" x14ac:dyDescent="0.2">
      <c r="BC5174" s="21" t="e" vm="1">
        <v>#REF!</v>
      </c>
      <c r="BD5174" t="e" vm="1">
        <v>#REF!</v>
      </c>
      <c r="BF5174" t="e" vm="2">
        <f t="shared" si="386"/>
        <v>#VALUE!</v>
      </c>
      <c r="BG5174" t="e" vm="2">
        <f t="shared" si="387"/>
        <v>#VALUE!</v>
      </c>
    </row>
    <row r="5175" spans="55:59" x14ac:dyDescent="0.2">
      <c r="BC5175" s="21" t="e" vm="1">
        <v>#REF!</v>
      </c>
      <c r="BD5175" t="e" vm="1">
        <v>#REF!</v>
      </c>
      <c r="BF5175" t="e" vm="2">
        <f t="shared" si="386"/>
        <v>#VALUE!</v>
      </c>
      <c r="BG5175" t="e" vm="2">
        <f t="shared" si="387"/>
        <v>#VALUE!</v>
      </c>
    </row>
    <row r="5176" spans="55:59" x14ac:dyDescent="0.2">
      <c r="BC5176" s="21" t="e" vm="1">
        <v>#REF!</v>
      </c>
      <c r="BD5176" t="e" vm="1">
        <v>#REF!</v>
      </c>
      <c r="BF5176" t="e" vm="2">
        <f t="shared" si="386"/>
        <v>#VALUE!</v>
      </c>
      <c r="BG5176" t="e" vm="2">
        <f t="shared" si="387"/>
        <v>#VALUE!</v>
      </c>
    </row>
    <row r="5177" spans="55:59" x14ac:dyDescent="0.2">
      <c r="BC5177" s="21" t="e" vm="1">
        <v>#REF!</v>
      </c>
      <c r="BD5177" t="e" vm="1">
        <v>#REF!</v>
      </c>
      <c r="BF5177" t="e" vm="2">
        <f t="shared" si="386"/>
        <v>#VALUE!</v>
      </c>
      <c r="BG5177" t="e" vm="2">
        <f t="shared" si="387"/>
        <v>#VALUE!</v>
      </c>
    </row>
    <row r="5178" spans="55:59" x14ac:dyDescent="0.2">
      <c r="BC5178" s="21" t="e" vm="1">
        <v>#REF!</v>
      </c>
      <c r="BD5178" t="e" vm="1">
        <v>#REF!</v>
      </c>
      <c r="BF5178" t="e" vm="2">
        <f t="shared" si="386"/>
        <v>#VALUE!</v>
      </c>
      <c r="BG5178" t="e" vm="2">
        <f t="shared" si="387"/>
        <v>#VALUE!</v>
      </c>
    </row>
    <row r="5179" spans="55:59" x14ac:dyDescent="0.2">
      <c r="BC5179" s="21" t="e" vm="1">
        <v>#REF!</v>
      </c>
      <c r="BD5179" t="e" vm="1">
        <v>#REF!</v>
      </c>
      <c r="BF5179" t="e" vm="2">
        <f t="shared" si="386"/>
        <v>#VALUE!</v>
      </c>
      <c r="BG5179" t="e" vm="2">
        <f t="shared" si="387"/>
        <v>#VALUE!</v>
      </c>
    </row>
    <row r="5180" spans="55:59" x14ac:dyDescent="0.2">
      <c r="BC5180" s="21" t="e" vm="1">
        <v>#REF!</v>
      </c>
      <c r="BD5180" t="e" vm="1">
        <v>#REF!</v>
      </c>
      <c r="BF5180" t="e" vm="2">
        <f t="shared" si="386"/>
        <v>#VALUE!</v>
      </c>
      <c r="BG5180" t="e" vm="2">
        <f t="shared" si="387"/>
        <v>#VALUE!</v>
      </c>
    </row>
    <row r="5181" spans="55:59" x14ac:dyDescent="0.2">
      <c r="BC5181" s="21" t="e" vm="1">
        <v>#REF!</v>
      </c>
      <c r="BD5181" t="e" vm="1">
        <v>#REF!</v>
      </c>
      <c r="BF5181" t="e" vm="2">
        <f t="shared" si="386"/>
        <v>#VALUE!</v>
      </c>
      <c r="BG5181" t="e" vm="2">
        <f t="shared" si="387"/>
        <v>#VALUE!</v>
      </c>
    </row>
    <row r="5182" spans="55:59" x14ac:dyDescent="0.2">
      <c r="BC5182" s="21" t="e" vm="1">
        <v>#REF!</v>
      </c>
      <c r="BD5182" t="e" vm="1">
        <v>#REF!</v>
      </c>
      <c r="BF5182" t="e" vm="2">
        <f t="shared" si="386"/>
        <v>#VALUE!</v>
      </c>
      <c r="BG5182" t="e" vm="2">
        <f t="shared" si="387"/>
        <v>#VALUE!</v>
      </c>
    </row>
    <row r="5183" spans="55:59" x14ac:dyDescent="0.2">
      <c r="BC5183" s="21" t="e" vm="1">
        <v>#REF!</v>
      </c>
      <c r="BD5183" t="e" vm="1">
        <v>#REF!</v>
      </c>
      <c r="BF5183" t="e" vm="2">
        <f t="shared" si="386"/>
        <v>#VALUE!</v>
      </c>
      <c r="BG5183" t="e" vm="2">
        <f t="shared" si="387"/>
        <v>#VALUE!</v>
      </c>
    </row>
    <row r="5184" spans="55:59" x14ac:dyDescent="0.2">
      <c r="BC5184" s="21" t="e" vm="1">
        <v>#REF!</v>
      </c>
      <c r="BD5184" t="e" vm="1">
        <v>#REF!</v>
      </c>
      <c r="BF5184" t="e" vm="2">
        <f t="shared" si="386"/>
        <v>#VALUE!</v>
      </c>
      <c r="BG5184" t="e" vm="2">
        <f t="shared" si="387"/>
        <v>#VALUE!</v>
      </c>
    </row>
    <row r="5185" spans="55:59" x14ac:dyDescent="0.2">
      <c r="BC5185" s="21" t="e" vm="1">
        <v>#REF!</v>
      </c>
      <c r="BD5185" t="e" vm="1">
        <v>#REF!</v>
      </c>
      <c r="BF5185" t="e" vm="2">
        <f t="shared" si="386"/>
        <v>#VALUE!</v>
      </c>
      <c r="BG5185" t="e" vm="2">
        <f t="shared" si="387"/>
        <v>#VALUE!</v>
      </c>
    </row>
    <row r="5186" spans="55:59" x14ac:dyDescent="0.2">
      <c r="BC5186" s="21" t="e" vm="1">
        <v>#REF!</v>
      </c>
      <c r="BD5186" t="e" vm="1">
        <v>#REF!</v>
      </c>
      <c r="BF5186" t="e" vm="2">
        <f t="shared" si="386"/>
        <v>#VALUE!</v>
      </c>
      <c r="BG5186" t="e" vm="2">
        <f t="shared" si="387"/>
        <v>#VALUE!</v>
      </c>
    </row>
    <row r="5187" spans="55:59" x14ac:dyDescent="0.2">
      <c r="BC5187" s="21" t="e" vm="1">
        <v>#REF!</v>
      </c>
      <c r="BD5187" t="e" vm="1">
        <v>#REF!</v>
      </c>
      <c r="BF5187" t="e" vm="2">
        <f t="shared" ref="BF5187:BF5250" si="388">MONTH(BC5187)</f>
        <v>#VALUE!</v>
      </c>
      <c r="BG5187" t="e" vm="2">
        <f t="shared" ref="BG5187:BG5250" si="389">YEAR(BC5187)</f>
        <v>#VALUE!</v>
      </c>
    </row>
    <row r="5188" spans="55:59" x14ac:dyDescent="0.2">
      <c r="BC5188" s="21" t="e" vm="1">
        <v>#REF!</v>
      </c>
      <c r="BD5188" t="e" vm="1">
        <v>#REF!</v>
      </c>
      <c r="BF5188" t="e" vm="2">
        <f t="shared" si="388"/>
        <v>#VALUE!</v>
      </c>
      <c r="BG5188" t="e" vm="2">
        <f t="shared" si="389"/>
        <v>#VALUE!</v>
      </c>
    </row>
    <row r="5189" spans="55:59" x14ac:dyDescent="0.2">
      <c r="BC5189" s="21" t="e" vm="1">
        <v>#REF!</v>
      </c>
      <c r="BD5189" t="e" vm="1">
        <v>#REF!</v>
      </c>
      <c r="BF5189" t="e" vm="2">
        <f t="shared" si="388"/>
        <v>#VALUE!</v>
      </c>
      <c r="BG5189" t="e" vm="2">
        <f t="shared" si="389"/>
        <v>#VALUE!</v>
      </c>
    </row>
    <row r="5190" spans="55:59" x14ac:dyDescent="0.2">
      <c r="BC5190" s="21" t="e" vm="1">
        <v>#REF!</v>
      </c>
      <c r="BD5190" t="e" vm="1">
        <v>#REF!</v>
      </c>
      <c r="BF5190" t="e" vm="2">
        <f t="shared" si="388"/>
        <v>#VALUE!</v>
      </c>
      <c r="BG5190" t="e" vm="2">
        <f t="shared" si="389"/>
        <v>#VALUE!</v>
      </c>
    </row>
    <row r="5191" spans="55:59" x14ac:dyDescent="0.2">
      <c r="BC5191" s="21" t="e" vm="1">
        <v>#REF!</v>
      </c>
      <c r="BD5191" t="e" vm="1">
        <v>#REF!</v>
      </c>
      <c r="BF5191" t="e" vm="2">
        <f t="shared" si="388"/>
        <v>#VALUE!</v>
      </c>
      <c r="BG5191" t="e" vm="2">
        <f t="shared" si="389"/>
        <v>#VALUE!</v>
      </c>
    </row>
    <row r="5192" spans="55:59" x14ac:dyDescent="0.2">
      <c r="BC5192" s="21" t="e" vm="1">
        <v>#REF!</v>
      </c>
      <c r="BD5192" t="e" vm="1">
        <v>#REF!</v>
      </c>
      <c r="BF5192" t="e" vm="2">
        <f t="shared" si="388"/>
        <v>#VALUE!</v>
      </c>
      <c r="BG5192" t="e" vm="2">
        <f t="shared" si="389"/>
        <v>#VALUE!</v>
      </c>
    </row>
    <row r="5193" spans="55:59" x14ac:dyDescent="0.2">
      <c r="BC5193" s="21" t="e" vm="1">
        <v>#REF!</v>
      </c>
      <c r="BD5193" t="e" vm="1">
        <v>#REF!</v>
      </c>
      <c r="BF5193" t="e" vm="2">
        <f t="shared" si="388"/>
        <v>#VALUE!</v>
      </c>
      <c r="BG5193" t="e" vm="2">
        <f t="shared" si="389"/>
        <v>#VALUE!</v>
      </c>
    </row>
    <row r="5194" spans="55:59" x14ac:dyDescent="0.2">
      <c r="BC5194" s="21" t="e" vm="1">
        <v>#REF!</v>
      </c>
      <c r="BD5194" t="e" vm="1">
        <v>#REF!</v>
      </c>
      <c r="BF5194" t="e" vm="2">
        <f t="shared" si="388"/>
        <v>#VALUE!</v>
      </c>
      <c r="BG5194" t="e" vm="2">
        <f t="shared" si="389"/>
        <v>#VALUE!</v>
      </c>
    </row>
    <row r="5195" spans="55:59" x14ac:dyDescent="0.2">
      <c r="BC5195" s="21" t="e" vm="1">
        <v>#REF!</v>
      </c>
      <c r="BD5195" t="e" vm="1">
        <v>#REF!</v>
      </c>
      <c r="BF5195" t="e" vm="2">
        <f t="shared" si="388"/>
        <v>#VALUE!</v>
      </c>
      <c r="BG5195" t="e" vm="2">
        <f t="shared" si="389"/>
        <v>#VALUE!</v>
      </c>
    </row>
    <row r="5196" spans="55:59" x14ac:dyDescent="0.2">
      <c r="BC5196" s="21" t="e" vm="1">
        <v>#REF!</v>
      </c>
      <c r="BD5196" t="e" vm="1">
        <v>#REF!</v>
      </c>
      <c r="BF5196" t="e" vm="2">
        <f t="shared" si="388"/>
        <v>#VALUE!</v>
      </c>
      <c r="BG5196" t="e" vm="2">
        <f t="shared" si="389"/>
        <v>#VALUE!</v>
      </c>
    </row>
    <row r="5197" spans="55:59" x14ac:dyDescent="0.2">
      <c r="BC5197" s="21" t="e" vm="1">
        <v>#REF!</v>
      </c>
      <c r="BD5197" t="e" vm="1">
        <v>#REF!</v>
      </c>
      <c r="BF5197" t="e" vm="2">
        <f t="shared" si="388"/>
        <v>#VALUE!</v>
      </c>
      <c r="BG5197" t="e" vm="2">
        <f t="shared" si="389"/>
        <v>#VALUE!</v>
      </c>
    </row>
    <row r="5198" spans="55:59" x14ac:dyDescent="0.2">
      <c r="BC5198" s="21" t="e" vm="1">
        <v>#REF!</v>
      </c>
      <c r="BD5198" t="e" vm="1">
        <v>#REF!</v>
      </c>
      <c r="BF5198" t="e" vm="2">
        <f t="shared" si="388"/>
        <v>#VALUE!</v>
      </c>
      <c r="BG5198" t="e" vm="2">
        <f t="shared" si="389"/>
        <v>#VALUE!</v>
      </c>
    </row>
    <row r="5199" spans="55:59" x14ac:dyDescent="0.2">
      <c r="BC5199" s="21" t="e" vm="1">
        <v>#REF!</v>
      </c>
      <c r="BD5199" t="e" vm="1">
        <v>#REF!</v>
      </c>
      <c r="BF5199" t="e" vm="2">
        <f t="shared" si="388"/>
        <v>#VALUE!</v>
      </c>
      <c r="BG5199" t="e" vm="2">
        <f t="shared" si="389"/>
        <v>#VALUE!</v>
      </c>
    </row>
    <row r="5200" spans="55:59" x14ac:dyDescent="0.2">
      <c r="BC5200" s="21" t="e" vm="1">
        <v>#REF!</v>
      </c>
      <c r="BD5200" t="e" vm="1">
        <v>#REF!</v>
      </c>
      <c r="BF5200" t="e" vm="2">
        <f t="shared" si="388"/>
        <v>#VALUE!</v>
      </c>
      <c r="BG5200" t="e" vm="2">
        <f t="shared" si="389"/>
        <v>#VALUE!</v>
      </c>
    </row>
    <row r="5201" spans="55:59" x14ac:dyDescent="0.2">
      <c r="BC5201" s="21" t="e" vm="1">
        <v>#REF!</v>
      </c>
      <c r="BD5201" t="e" vm="1">
        <v>#REF!</v>
      </c>
      <c r="BF5201" t="e" vm="2">
        <f t="shared" si="388"/>
        <v>#VALUE!</v>
      </c>
      <c r="BG5201" t="e" vm="2">
        <f t="shared" si="389"/>
        <v>#VALUE!</v>
      </c>
    </row>
    <row r="5202" spans="55:59" x14ac:dyDescent="0.2">
      <c r="BC5202" s="21" t="e" vm="1">
        <v>#REF!</v>
      </c>
      <c r="BD5202" t="e" vm="1">
        <v>#REF!</v>
      </c>
      <c r="BF5202" t="e" vm="2">
        <f t="shared" si="388"/>
        <v>#VALUE!</v>
      </c>
      <c r="BG5202" t="e" vm="2">
        <f t="shared" si="389"/>
        <v>#VALUE!</v>
      </c>
    </row>
    <row r="5203" spans="55:59" x14ac:dyDescent="0.2">
      <c r="BC5203" s="21" t="e" vm="1">
        <v>#REF!</v>
      </c>
      <c r="BD5203" t="e" vm="1">
        <v>#REF!</v>
      </c>
      <c r="BF5203" t="e" vm="2">
        <f t="shared" si="388"/>
        <v>#VALUE!</v>
      </c>
      <c r="BG5203" t="e" vm="2">
        <f t="shared" si="389"/>
        <v>#VALUE!</v>
      </c>
    </row>
    <row r="5204" spans="55:59" x14ac:dyDescent="0.2">
      <c r="BC5204" s="21" t="e" vm="1">
        <v>#REF!</v>
      </c>
      <c r="BD5204" t="e" vm="1">
        <v>#REF!</v>
      </c>
      <c r="BF5204" t="e" vm="2">
        <f t="shared" si="388"/>
        <v>#VALUE!</v>
      </c>
      <c r="BG5204" t="e" vm="2">
        <f t="shared" si="389"/>
        <v>#VALUE!</v>
      </c>
    </row>
    <row r="5205" spans="55:59" x14ac:dyDescent="0.2">
      <c r="BC5205" s="21" t="e" vm="1">
        <v>#REF!</v>
      </c>
      <c r="BD5205" t="e" vm="1">
        <v>#REF!</v>
      </c>
      <c r="BF5205" t="e" vm="2">
        <f t="shared" si="388"/>
        <v>#VALUE!</v>
      </c>
      <c r="BG5205" t="e" vm="2">
        <f t="shared" si="389"/>
        <v>#VALUE!</v>
      </c>
    </row>
    <row r="5206" spans="55:59" x14ac:dyDescent="0.2">
      <c r="BC5206" s="21" t="e" vm="1">
        <v>#REF!</v>
      </c>
      <c r="BD5206" t="e" vm="1">
        <v>#REF!</v>
      </c>
      <c r="BF5206" t="e" vm="2">
        <f t="shared" si="388"/>
        <v>#VALUE!</v>
      </c>
      <c r="BG5206" t="e" vm="2">
        <f t="shared" si="389"/>
        <v>#VALUE!</v>
      </c>
    </row>
    <row r="5207" spans="55:59" x14ac:dyDescent="0.2">
      <c r="BC5207" s="21" t="e" vm="1">
        <v>#REF!</v>
      </c>
      <c r="BD5207" t="e" vm="1">
        <v>#REF!</v>
      </c>
      <c r="BF5207" t="e" vm="2">
        <f t="shared" si="388"/>
        <v>#VALUE!</v>
      </c>
      <c r="BG5207" t="e" vm="2">
        <f t="shared" si="389"/>
        <v>#VALUE!</v>
      </c>
    </row>
    <row r="5208" spans="55:59" x14ac:dyDescent="0.2">
      <c r="BC5208" s="21" t="e" vm="1">
        <v>#REF!</v>
      </c>
      <c r="BD5208" t="e" vm="1">
        <v>#REF!</v>
      </c>
      <c r="BF5208" t="e" vm="2">
        <f t="shared" si="388"/>
        <v>#VALUE!</v>
      </c>
      <c r="BG5208" t="e" vm="2">
        <f t="shared" si="389"/>
        <v>#VALUE!</v>
      </c>
    </row>
    <row r="5209" spans="55:59" x14ac:dyDescent="0.2">
      <c r="BC5209" s="21" t="e" vm="1">
        <v>#REF!</v>
      </c>
      <c r="BD5209" t="e" vm="1">
        <v>#REF!</v>
      </c>
      <c r="BF5209" t="e" vm="2">
        <f t="shared" si="388"/>
        <v>#VALUE!</v>
      </c>
      <c r="BG5209" t="e" vm="2">
        <f t="shared" si="389"/>
        <v>#VALUE!</v>
      </c>
    </row>
    <row r="5210" spans="55:59" x14ac:dyDescent="0.2">
      <c r="BC5210" s="21" t="e" vm="1">
        <v>#REF!</v>
      </c>
      <c r="BD5210" t="e" vm="1">
        <v>#REF!</v>
      </c>
      <c r="BF5210" t="e" vm="2">
        <f t="shared" si="388"/>
        <v>#VALUE!</v>
      </c>
      <c r="BG5210" t="e" vm="2">
        <f t="shared" si="389"/>
        <v>#VALUE!</v>
      </c>
    </row>
    <row r="5211" spans="55:59" x14ac:dyDescent="0.2">
      <c r="BC5211" s="21" t="e" vm="1">
        <v>#REF!</v>
      </c>
      <c r="BD5211" t="e" vm="1">
        <v>#REF!</v>
      </c>
      <c r="BF5211" t="e" vm="2">
        <f t="shared" si="388"/>
        <v>#VALUE!</v>
      </c>
      <c r="BG5211" t="e" vm="2">
        <f t="shared" si="389"/>
        <v>#VALUE!</v>
      </c>
    </row>
    <row r="5212" spans="55:59" x14ac:dyDescent="0.2">
      <c r="BC5212" s="21" t="e" vm="1">
        <v>#REF!</v>
      </c>
      <c r="BD5212" t="e" vm="1">
        <v>#REF!</v>
      </c>
      <c r="BF5212" t="e" vm="2">
        <f t="shared" si="388"/>
        <v>#VALUE!</v>
      </c>
      <c r="BG5212" t="e" vm="2">
        <f t="shared" si="389"/>
        <v>#VALUE!</v>
      </c>
    </row>
    <row r="5213" spans="55:59" x14ac:dyDescent="0.2">
      <c r="BC5213" s="21" t="e" vm="1">
        <v>#REF!</v>
      </c>
      <c r="BD5213" t="e" vm="1">
        <v>#REF!</v>
      </c>
      <c r="BF5213" t="e" vm="2">
        <f t="shared" si="388"/>
        <v>#VALUE!</v>
      </c>
      <c r="BG5213" t="e" vm="2">
        <f t="shared" si="389"/>
        <v>#VALUE!</v>
      </c>
    </row>
    <row r="5214" spans="55:59" x14ac:dyDescent="0.2">
      <c r="BC5214" s="21" t="e" vm="1">
        <v>#REF!</v>
      </c>
      <c r="BD5214" t="e" vm="1">
        <v>#REF!</v>
      </c>
      <c r="BF5214" t="e" vm="2">
        <f t="shared" si="388"/>
        <v>#VALUE!</v>
      </c>
      <c r="BG5214" t="e" vm="2">
        <f t="shared" si="389"/>
        <v>#VALUE!</v>
      </c>
    </row>
    <row r="5215" spans="55:59" x14ac:dyDescent="0.2">
      <c r="BC5215" s="21" t="e" vm="1">
        <v>#REF!</v>
      </c>
      <c r="BD5215" t="e" vm="1">
        <v>#REF!</v>
      </c>
      <c r="BF5215" t="e" vm="2">
        <f t="shared" si="388"/>
        <v>#VALUE!</v>
      </c>
      <c r="BG5215" t="e" vm="2">
        <f t="shared" si="389"/>
        <v>#VALUE!</v>
      </c>
    </row>
    <row r="5216" spans="55:59" x14ac:dyDescent="0.2">
      <c r="BC5216" s="21" t="e" vm="1">
        <v>#REF!</v>
      </c>
      <c r="BD5216" t="e" vm="1">
        <v>#REF!</v>
      </c>
      <c r="BF5216" t="e" vm="2">
        <f t="shared" si="388"/>
        <v>#VALUE!</v>
      </c>
      <c r="BG5216" t="e" vm="2">
        <f t="shared" si="389"/>
        <v>#VALUE!</v>
      </c>
    </row>
    <row r="5217" spans="55:59" x14ac:dyDescent="0.2">
      <c r="BC5217" s="21" t="e" vm="1">
        <v>#REF!</v>
      </c>
      <c r="BD5217" t="e" vm="1">
        <v>#REF!</v>
      </c>
      <c r="BF5217" t="e" vm="2">
        <f t="shared" si="388"/>
        <v>#VALUE!</v>
      </c>
      <c r="BG5217" t="e" vm="2">
        <f t="shared" si="389"/>
        <v>#VALUE!</v>
      </c>
    </row>
    <row r="5218" spans="55:59" x14ac:dyDescent="0.2">
      <c r="BC5218" s="21" t="e" vm="1">
        <v>#REF!</v>
      </c>
      <c r="BD5218" t="e" vm="1">
        <v>#REF!</v>
      </c>
      <c r="BF5218" t="e" vm="2">
        <f t="shared" si="388"/>
        <v>#VALUE!</v>
      </c>
      <c r="BG5218" t="e" vm="2">
        <f t="shared" si="389"/>
        <v>#VALUE!</v>
      </c>
    </row>
    <row r="5219" spans="55:59" x14ac:dyDescent="0.2">
      <c r="BC5219" s="21" t="e" vm="1">
        <v>#REF!</v>
      </c>
      <c r="BD5219" t="e" vm="1">
        <v>#REF!</v>
      </c>
      <c r="BF5219" t="e" vm="2">
        <f t="shared" si="388"/>
        <v>#VALUE!</v>
      </c>
      <c r="BG5219" t="e" vm="2">
        <f t="shared" si="389"/>
        <v>#VALUE!</v>
      </c>
    </row>
    <row r="5220" spans="55:59" x14ac:dyDescent="0.2">
      <c r="BC5220" s="21" t="e" vm="1">
        <v>#REF!</v>
      </c>
      <c r="BD5220" t="e" vm="1">
        <v>#REF!</v>
      </c>
      <c r="BF5220" t="e" vm="2">
        <f t="shared" si="388"/>
        <v>#VALUE!</v>
      </c>
      <c r="BG5220" t="e" vm="2">
        <f t="shared" si="389"/>
        <v>#VALUE!</v>
      </c>
    </row>
    <row r="5221" spans="55:59" x14ac:dyDescent="0.2">
      <c r="BC5221" s="21" t="e" vm="1">
        <v>#REF!</v>
      </c>
      <c r="BD5221" t="e" vm="1">
        <v>#REF!</v>
      </c>
      <c r="BF5221" t="e" vm="2">
        <f t="shared" si="388"/>
        <v>#VALUE!</v>
      </c>
      <c r="BG5221" t="e" vm="2">
        <f t="shared" si="389"/>
        <v>#VALUE!</v>
      </c>
    </row>
    <row r="5222" spans="55:59" x14ac:dyDescent="0.2">
      <c r="BC5222" s="21" t="e" vm="1">
        <v>#REF!</v>
      </c>
      <c r="BD5222" t="e" vm="1">
        <v>#REF!</v>
      </c>
      <c r="BF5222" t="e" vm="2">
        <f t="shared" si="388"/>
        <v>#VALUE!</v>
      </c>
      <c r="BG5222" t="e" vm="2">
        <f t="shared" si="389"/>
        <v>#VALUE!</v>
      </c>
    </row>
    <row r="5223" spans="55:59" x14ac:dyDescent="0.2">
      <c r="BC5223" s="21" t="e" vm="1">
        <v>#REF!</v>
      </c>
      <c r="BD5223" t="e" vm="1">
        <v>#REF!</v>
      </c>
      <c r="BF5223" t="e" vm="2">
        <f t="shared" si="388"/>
        <v>#VALUE!</v>
      </c>
      <c r="BG5223" t="e" vm="2">
        <f t="shared" si="389"/>
        <v>#VALUE!</v>
      </c>
    </row>
    <row r="5224" spans="55:59" x14ac:dyDescent="0.2">
      <c r="BC5224" s="21" t="e" vm="1">
        <v>#REF!</v>
      </c>
      <c r="BD5224" t="e" vm="1">
        <v>#REF!</v>
      </c>
      <c r="BF5224" t="e" vm="2">
        <f t="shared" si="388"/>
        <v>#VALUE!</v>
      </c>
      <c r="BG5224" t="e" vm="2">
        <f t="shared" si="389"/>
        <v>#VALUE!</v>
      </c>
    </row>
    <row r="5225" spans="55:59" x14ac:dyDescent="0.2">
      <c r="BC5225" s="21" t="e" vm="1">
        <v>#REF!</v>
      </c>
      <c r="BD5225" t="e" vm="1">
        <v>#REF!</v>
      </c>
      <c r="BF5225" t="e" vm="2">
        <f t="shared" si="388"/>
        <v>#VALUE!</v>
      </c>
      <c r="BG5225" t="e" vm="2">
        <f t="shared" si="389"/>
        <v>#VALUE!</v>
      </c>
    </row>
    <row r="5226" spans="55:59" x14ac:dyDescent="0.2">
      <c r="BC5226" s="21" t="e" vm="1">
        <v>#REF!</v>
      </c>
      <c r="BD5226" t="e" vm="1">
        <v>#REF!</v>
      </c>
      <c r="BF5226" t="e" vm="2">
        <f t="shared" si="388"/>
        <v>#VALUE!</v>
      </c>
      <c r="BG5226" t="e" vm="2">
        <f t="shared" si="389"/>
        <v>#VALUE!</v>
      </c>
    </row>
    <row r="5227" spans="55:59" x14ac:dyDescent="0.2">
      <c r="BC5227" s="21" t="e" vm="1">
        <v>#REF!</v>
      </c>
      <c r="BD5227" t="e" vm="1">
        <v>#REF!</v>
      </c>
      <c r="BF5227" t="e" vm="2">
        <f t="shared" si="388"/>
        <v>#VALUE!</v>
      </c>
      <c r="BG5227" t="e" vm="2">
        <f t="shared" si="389"/>
        <v>#VALUE!</v>
      </c>
    </row>
    <row r="5228" spans="55:59" x14ac:dyDescent="0.2">
      <c r="BC5228" s="21" t="e" vm="1">
        <v>#REF!</v>
      </c>
      <c r="BD5228" t="e" vm="1">
        <v>#REF!</v>
      </c>
      <c r="BF5228" t="e" vm="2">
        <f t="shared" si="388"/>
        <v>#VALUE!</v>
      </c>
      <c r="BG5228" t="e" vm="2">
        <f t="shared" si="389"/>
        <v>#VALUE!</v>
      </c>
    </row>
    <row r="5229" spans="55:59" x14ac:dyDescent="0.2">
      <c r="BC5229" s="21" t="e" vm="1">
        <v>#REF!</v>
      </c>
      <c r="BD5229" t="e" vm="1">
        <v>#REF!</v>
      </c>
      <c r="BF5229" t="e" vm="2">
        <f t="shared" si="388"/>
        <v>#VALUE!</v>
      </c>
      <c r="BG5229" t="e" vm="2">
        <f t="shared" si="389"/>
        <v>#VALUE!</v>
      </c>
    </row>
    <row r="5230" spans="55:59" x14ac:dyDescent="0.2">
      <c r="BC5230" s="21" t="e" vm="1">
        <v>#REF!</v>
      </c>
      <c r="BD5230" t="e" vm="1">
        <v>#REF!</v>
      </c>
      <c r="BF5230" t="e" vm="2">
        <f t="shared" si="388"/>
        <v>#VALUE!</v>
      </c>
      <c r="BG5230" t="e" vm="2">
        <f t="shared" si="389"/>
        <v>#VALUE!</v>
      </c>
    </row>
    <row r="5231" spans="55:59" x14ac:dyDescent="0.2">
      <c r="BC5231" s="21" t="e" vm="1">
        <v>#REF!</v>
      </c>
      <c r="BD5231" t="e" vm="1">
        <v>#REF!</v>
      </c>
      <c r="BF5231" t="e" vm="2">
        <f t="shared" si="388"/>
        <v>#VALUE!</v>
      </c>
      <c r="BG5231" t="e" vm="2">
        <f t="shared" si="389"/>
        <v>#VALUE!</v>
      </c>
    </row>
    <row r="5232" spans="55:59" x14ac:dyDescent="0.2">
      <c r="BC5232" s="21" t="e" vm="1">
        <v>#REF!</v>
      </c>
      <c r="BD5232" t="e" vm="1">
        <v>#REF!</v>
      </c>
      <c r="BF5232" t="e" vm="2">
        <f t="shared" si="388"/>
        <v>#VALUE!</v>
      </c>
      <c r="BG5232" t="e" vm="2">
        <f t="shared" si="389"/>
        <v>#VALUE!</v>
      </c>
    </row>
    <row r="5233" spans="55:59" x14ac:dyDescent="0.2">
      <c r="BC5233" s="21" t="e" vm="1">
        <v>#REF!</v>
      </c>
      <c r="BD5233" t="e" vm="1">
        <v>#REF!</v>
      </c>
      <c r="BF5233" t="e" vm="2">
        <f t="shared" si="388"/>
        <v>#VALUE!</v>
      </c>
      <c r="BG5233" t="e" vm="2">
        <f t="shared" si="389"/>
        <v>#VALUE!</v>
      </c>
    </row>
    <row r="5234" spans="55:59" x14ac:dyDescent="0.2">
      <c r="BC5234" s="21" t="e" vm="1">
        <v>#REF!</v>
      </c>
      <c r="BD5234" t="e" vm="1">
        <v>#REF!</v>
      </c>
      <c r="BF5234" t="e" vm="2">
        <f t="shared" si="388"/>
        <v>#VALUE!</v>
      </c>
      <c r="BG5234" t="e" vm="2">
        <f t="shared" si="389"/>
        <v>#VALUE!</v>
      </c>
    </row>
    <row r="5235" spans="55:59" x14ac:dyDescent="0.2">
      <c r="BC5235" s="21" t="e" vm="1">
        <v>#REF!</v>
      </c>
      <c r="BD5235" t="e" vm="1">
        <v>#REF!</v>
      </c>
      <c r="BF5235" t="e" vm="2">
        <f t="shared" si="388"/>
        <v>#VALUE!</v>
      </c>
      <c r="BG5235" t="e" vm="2">
        <f t="shared" si="389"/>
        <v>#VALUE!</v>
      </c>
    </row>
    <row r="5236" spans="55:59" x14ac:dyDescent="0.2">
      <c r="BC5236" s="21" t="e" vm="1">
        <v>#REF!</v>
      </c>
      <c r="BD5236" t="e" vm="1">
        <v>#REF!</v>
      </c>
      <c r="BF5236" t="e" vm="2">
        <f t="shared" si="388"/>
        <v>#VALUE!</v>
      </c>
      <c r="BG5236" t="e" vm="2">
        <f t="shared" si="389"/>
        <v>#VALUE!</v>
      </c>
    </row>
    <row r="5237" spans="55:59" x14ac:dyDescent="0.2">
      <c r="BC5237" s="21" t="e" vm="1">
        <v>#REF!</v>
      </c>
      <c r="BD5237" t="e" vm="1">
        <v>#REF!</v>
      </c>
      <c r="BF5237" t="e" vm="2">
        <f t="shared" si="388"/>
        <v>#VALUE!</v>
      </c>
      <c r="BG5237" t="e" vm="2">
        <f t="shared" si="389"/>
        <v>#VALUE!</v>
      </c>
    </row>
    <row r="5238" spans="55:59" x14ac:dyDescent="0.2">
      <c r="BC5238" s="21" t="e" vm="1">
        <v>#REF!</v>
      </c>
      <c r="BD5238" t="e" vm="1">
        <v>#REF!</v>
      </c>
      <c r="BF5238" t="e" vm="2">
        <f t="shared" si="388"/>
        <v>#VALUE!</v>
      </c>
      <c r="BG5238" t="e" vm="2">
        <f t="shared" si="389"/>
        <v>#VALUE!</v>
      </c>
    </row>
    <row r="5239" spans="55:59" x14ac:dyDescent="0.2">
      <c r="BC5239" s="21" t="e" vm="1">
        <v>#REF!</v>
      </c>
      <c r="BD5239" t="e" vm="1">
        <v>#REF!</v>
      </c>
      <c r="BF5239" t="e" vm="2">
        <f t="shared" si="388"/>
        <v>#VALUE!</v>
      </c>
      <c r="BG5239" t="e" vm="2">
        <f t="shared" si="389"/>
        <v>#VALUE!</v>
      </c>
    </row>
    <row r="5240" spans="55:59" x14ac:dyDescent="0.2">
      <c r="BC5240" s="21" t="e" vm="1">
        <v>#REF!</v>
      </c>
      <c r="BD5240" t="e" vm="1">
        <v>#REF!</v>
      </c>
      <c r="BF5240" t="e" vm="2">
        <f t="shared" si="388"/>
        <v>#VALUE!</v>
      </c>
      <c r="BG5240" t="e" vm="2">
        <f t="shared" si="389"/>
        <v>#VALUE!</v>
      </c>
    </row>
    <row r="5241" spans="55:59" x14ac:dyDescent="0.2">
      <c r="BC5241" s="21" t="e" vm="1">
        <v>#REF!</v>
      </c>
      <c r="BD5241" t="e" vm="1">
        <v>#REF!</v>
      </c>
      <c r="BF5241" t="e" vm="2">
        <f t="shared" si="388"/>
        <v>#VALUE!</v>
      </c>
      <c r="BG5241" t="e" vm="2">
        <f t="shared" si="389"/>
        <v>#VALUE!</v>
      </c>
    </row>
    <row r="5242" spans="55:59" x14ac:dyDescent="0.2">
      <c r="BC5242" s="21" t="e" vm="1">
        <v>#REF!</v>
      </c>
      <c r="BD5242" t="e" vm="1">
        <v>#REF!</v>
      </c>
      <c r="BF5242" t="e" vm="2">
        <f t="shared" si="388"/>
        <v>#VALUE!</v>
      </c>
      <c r="BG5242" t="e" vm="2">
        <f t="shared" si="389"/>
        <v>#VALUE!</v>
      </c>
    </row>
    <row r="5243" spans="55:59" x14ac:dyDescent="0.2">
      <c r="BC5243" s="21" t="e" vm="1">
        <v>#REF!</v>
      </c>
      <c r="BD5243" t="e" vm="1">
        <v>#REF!</v>
      </c>
      <c r="BF5243" t="e" vm="2">
        <f t="shared" si="388"/>
        <v>#VALUE!</v>
      </c>
      <c r="BG5243" t="e" vm="2">
        <f t="shared" si="389"/>
        <v>#VALUE!</v>
      </c>
    </row>
    <row r="5244" spans="55:59" x14ac:dyDescent="0.2">
      <c r="BC5244" s="21" t="e" vm="1">
        <v>#REF!</v>
      </c>
      <c r="BD5244" t="e" vm="1">
        <v>#REF!</v>
      </c>
      <c r="BF5244" t="e" vm="2">
        <f t="shared" si="388"/>
        <v>#VALUE!</v>
      </c>
      <c r="BG5244" t="e" vm="2">
        <f t="shared" si="389"/>
        <v>#VALUE!</v>
      </c>
    </row>
    <row r="5245" spans="55:59" x14ac:dyDescent="0.2">
      <c r="BC5245" s="21" t="e" vm="1">
        <v>#REF!</v>
      </c>
      <c r="BD5245" t="e" vm="1">
        <v>#REF!</v>
      </c>
      <c r="BF5245" t="e" vm="2">
        <f t="shared" si="388"/>
        <v>#VALUE!</v>
      </c>
      <c r="BG5245" t="e" vm="2">
        <f t="shared" si="389"/>
        <v>#VALUE!</v>
      </c>
    </row>
    <row r="5246" spans="55:59" x14ac:dyDescent="0.2">
      <c r="BC5246" s="21" t="e" vm="1">
        <v>#REF!</v>
      </c>
      <c r="BD5246" t="e" vm="1">
        <v>#REF!</v>
      </c>
      <c r="BF5246" t="e" vm="2">
        <f t="shared" si="388"/>
        <v>#VALUE!</v>
      </c>
      <c r="BG5246" t="e" vm="2">
        <f t="shared" si="389"/>
        <v>#VALUE!</v>
      </c>
    </row>
    <row r="5247" spans="55:59" x14ac:dyDescent="0.2">
      <c r="BC5247" s="21" t="e" vm="1">
        <v>#REF!</v>
      </c>
      <c r="BD5247" t="e" vm="1">
        <v>#REF!</v>
      </c>
      <c r="BF5247" t="e" vm="2">
        <f t="shared" si="388"/>
        <v>#VALUE!</v>
      </c>
      <c r="BG5247" t="e" vm="2">
        <f t="shared" si="389"/>
        <v>#VALUE!</v>
      </c>
    </row>
    <row r="5248" spans="55:59" x14ac:dyDescent="0.2">
      <c r="BC5248" s="21" t="e" vm="1">
        <v>#REF!</v>
      </c>
      <c r="BD5248" t="e" vm="1">
        <v>#REF!</v>
      </c>
      <c r="BF5248" t="e" vm="2">
        <f t="shared" si="388"/>
        <v>#VALUE!</v>
      </c>
      <c r="BG5248" t="e" vm="2">
        <f t="shared" si="389"/>
        <v>#VALUE!</v>
      </c>
    </row>
    <row r="5249" spans="55:59" x14ac:dyDescent="0.2">
      <c r="BC5249" s="21" t="e" vm="1">
        <v>#REF!</v>
      </c>
      <c r="BD5249" t="e" vm="1">
        <v>#REF!</v>
      </c>
      <c r="BF5249" t="e" vm="2">
        <f t="shared" si="388"/>
        <v>#VALUE!</v>
      </c>
      <c r="BG5249" t="e" vm="2">
        <f t="shared" si="389"/>
        <v>#VALUE!</v>
      </c>
    </row>
    <row r="5250" spans="55:59" x14ac:dyDescent="0.2">
      <c r="BC5250" s="21" t="e" vm="1">
        <v>#REF!</v>
      </c>
      <c r="BD5250" t="e" vm="1">
        <v>#REF!</v>
      </c>
      <c r="BF5250" t="e" vm="2">
        <f t="shared" si="388"/>
        <v>#VALUE!</v>
      </c>
      <c r="BG5250" t="e" vm="2">
        <f t="shared" si="389"/>
        <v>#VALUE!</v>
      </c>
    </row>
    <row r="5251" spans="55:59" x14ac:dyDescent="0.2">
      <c r="BC5251" s="21" t="e" vm="1">
        <v>#REF!</v>
      </c>
      <c r="BD5251" t="e" vm="1">
        <v>#REF!</v>
      </c>
      <c r="BF5251" t="e" vm="2">
        <f t="shared" ref="BF5251:BF5314" si="390">MONTH(BC5251)</f>
        <v>#VALUE!</v>
      </c>
      <c r="BG5251" t="e" vm="2">
        <f t="shared" ref="BG5251:BG5314" si="391">YEAR(BC5251)</f>
        <v>#VALUE!</v>
      </c>
    </row>
    <row r="5252" spans="55:59" x14ac:dyDescent="0.2">
      <c r="BC5252" s="21" t="e" vm="1">
        <v>#REF!</v>
      </c>
      <c r="BD5252" t="e" vm="1">
        <v>#REF!</v>
      </c>
      <c r="BF5252" t="e" vm="2">
        <f t="shared" si="390"/>
        <v>#VALUE!</v>
      </c>
      <c r="BG5252" t="e" vm="2">
        <f t="shared" si="391"/>
        <v>#VALUE!</v>
      </c>
    </row>
    <row r="5253" spans="55:59" x14ac:dyDescent="0.2">
      <c r="BC5253" s="21" t="e" vm="1">
        <v>#REF!</v>
      </c>
      <c r="BD5253" t="e" vm="1">
        <v>#REF!</v>
      </c>
      <c r="BF5253" t="e" vm="2">
        <f t="shared" si="390"/>
        <v>#VALUE!</v>
      </c>
      <c r="BG5253" t="e" vm="2">
        <f t="shared" si="391"/>
        <v>#VALUE!</v>
      </c>
    </row>
    <row r="5254" spans="55:59" x14ac:dyDescent="0.2">
      <c r="BC5254" s="21" t="e" vm="1">
        <v>#REF!</v>
      </c>
      <c r="BD5254" t="e" vm="1">
        <v>#REF!</v>
      </c>
      <c r="BF5254" t="e" vm="2">
        <f t="shared" si="390"/>
        <v>#VALUE!</v>
      </c>
      <c r="BG5254" t="e" vm="2">
        <f t="shared" si="391"/>
        <v>#VALUE!</v>
      </c>
    </row>
    <row r="5255" spans="55:59" x14ac:dyDescent="0.2">
      <c r="BC5255" s="21" t="e" vm="1">
        <v>#REF!</v>
      </c>
      <c r="BD5255" t="e" vm="1">
        <v>#REF!</v>
      </c>
      <c r="BF5255" t="e" vm="2">
        <f t="shared" si="390"/>
        <v>#VALUE!</v>
      </c>
      <c r="BG5255" t="e" vm="2">
        <f t="shared" si="391"/>
        <v>#VALUE!</v>
      </c>
    </row>
    <row r="5256" spans="55:59" x14ac:dyDescent="0.2">
      <c r="BC5256" s="21" t="e" vm="1">
        <v>#REF!</v>
      </c>
      <c r="BD5256" t="e" vm="1">
        <v>#REF!</v>
      </c>
      <c r="BF5256" t="e" vm="2">
        <f t="shared" si="390"/>
        <v>#VALUE!</v>
      </c>
      <c r="BG5256" t="e" vm="2">
        <f t="shared" si="391"/>
        <v>#VALUE!</v>
      </c>
    </row>
    <row r="5257" spans="55:59" x14ac:dyDescent="0.2">
      <c r="BC5257" s="21" t="e" vm="1">
        <v>#REF!</v>
      </c>
      <c r="BD5257" t="e" vm="1">
        <v>#REF!</v>
      </c>
      <c r="BF5257" t="e" vm="2">
        <f t="shared" si="390"/>
        <v>#VALUE!</v>
      </c>
      <c r="BG5257" t="e" vm="2">
        <f t="shared" si="391"/>
        <v>#VALUE!</v>
      </c>
    </row>
    <row r="5258" spans="55:59" x14ac:dyDescent="0.2">
      <c r="BC5258" s="21" t="e" vm="1">
        <v>#REF!</v>
      </c>
      <c r="BD5258" t="e" vm="1">
        <v>#REF!</v>
      </c>
      <c r="BF5258" t="e" vm="2">
        <f t="shared" si="390"/>
        <v>#VALUE!</v>
      </c>
      <c r="BG5258" t="e" vm="2">
        <f t="shared" si="391"/>
        <v>#VALUE!</v>
      </c>
    </row>
    <row r="5259" spans="55:59" x14ac:dyDescent="0.2">
      <c r="BC5259" s="21" t="e" vm="1">
        <v>#REF!</v>
      </c>
      <c r="BD5259" t="e" vm="1">
        <v>#REF!</v>
      </c>
      <c r="BF5259" t="e" vm="2">
        <f t="shared" si="390"/>
        <v>#VALUE!</v>
      </c>
      <c r="BG5259" t="e" vm="2">
        <f t="shared" si="391"/>
        <v>#VALUE!</v>
      </c>
    </row>
    <row r="5260" spans="55:59" x14ac:dyDescent="0.2">
      <c r="BC5260" s="21" t="e" vm="1">
        <v>#REF!</v>
      </c>
      <c r="BD5260" t="e" vm="1">
        <v>#REF!</v>
      </c>
      <c r="BF5260" t="e" vm="2">
        <f t="shared" si="390"/>
        <v>#VALUE!</v>
      </c>
      <c r="BG5260" t="e" vm="2">
        <f t="shared" si="391"/>
        <v>#VALUE!</v>
      </c>
    </row>
    <row r="5261" spans="55:59" x14ac:dyDescent="0.2">
      <c r="BC5261" s="21" t="e" vm="1">
        <v>#REF!</v>
      </c>
      <c r="BD5261" t="e" vm="1">
        <v>#REF!</v>
      </c>
      <c r="BF5261" t="e" vm="2">
        <f t="shared" si="390"/>
        <v>#VALUE!</v>
      </c>
      <c r="BG5261" t="e" vm="2">
        <f t="shared" si="391"/>
        <v>#VALUE!</v>
      </c>
    </row>
    <row r="5262" spans="55:59" x14ac:dyDescent="0.2">
      <c r="BC5262" s="21" t="e" vm="1">
        <v>#REF!</v>
      </c>
      <c r="BD5262" t="e" vm="1">
        <v>#REF!</v>
      </c>
      <c r="BF5262" t="e" vm="2">
        <f t="shared" si="390"/>
        <v>#VALUE!</v>
      </c>
      <c r="BG5262" t="e" vm="2">
        <f t="shared" si="391"/>
        <v>#VALUE!</v>
      </c>
    </row>
    <row r="5263" spans="55:59" x14ac:dyDescent="0.2">
      <c r="BC5263" s="21" t="e" vm="1">
        <v>#REF!</v>
      </c>
      <c r="BD5263" t="e" vm="1">
        <v>#REF!</v>
      </c>
      <c r="BF5263" t="e" vm="2">
        <f t="shared" si="390"/>
        <v>#VALUE!</v>
      </c>
      <c r="BG5263" t="e" vm="2">
        <f t="shared" si="391"/>
        <v>#VALUE!</v>
      </c>
    </row>
    <row r="5264" spans="55:59" x14ac:dyDescent="0.2">
      <c r="BC5264" s="21" t="e" vm="1">
        <v>#REF!</v>
      </c>
      <c r="BD5264" t="e" vm="1">
        <v>#REF!</v>
      </c>
      <c r="BF5264" t="e" vm="2">
        <f t="shared" si="390"/>
        <v>#VALUE!</v>
      </c>
      <c r="BG5264" t="e" vm="2">
        <f t="shared" si="391"/>
        <v>#VALUE!</v>
      </c>
    </row>
    <row r="5265" spans="55:59" x14ac:dyDescent="0.2">
      <c r="BC5265" s="21" t="e" vm="1">
        <v>#REF!</v>
      </c>
      <c r="BD5265" t="e" vm="1">
        <v>#REF!</v>
      </c>
      <c r="BF5265" t="e" vm="2">
        <f t="shared" si="390"/>
        <v>#VALUE!</v>
      </c>
      <c r="BG5265" t="e" vm="2">
        <f t="shared" si="391"/>
        <v>#VALUE!</v>
      </c>
    </row>
    <row r="5266" spans="55:59" x14ac:dyDescent="0.2">
      <c r="BC5266" s="21" t="e" vm="1">
        <v>#REF!</v>
      </c>
      <c r="BD5266" t="e" vm="1">
        <v>#REF!</v>
      </c>
      <c r="BF5266" t="e" vm="2">
        <f t="shared" si="390"/>
        <v>#VALUE!</v>
      </c>
      <c r="BG5266" t="e" vm="2">
        <f t="shared" si="391"/>
        <v>#VALUE!</v>
      </c>
    </row>
    <row r="5267" spans="55:59" x14ac:dyDescent="0.2">
      <c r="BC5267" s="21" t="e" vm="1">
        <v>#REF!</v>
      </c>
      <c r="BD5267" t="e" vm="1">
        <v>#REF!</v>
      </c>
      <c r="BF5267" t="e" vm="2">
        <f t="shared" si="390"/>
        <v>#VALUE!</v>
      </c>
      <c r="BG5267" t="e" vm="2">
        <f t="shared" si="391"/>
        <v>#VALUE!</v>
      </c>
    </row>
    <row r="5268" spans="55:59" x14ac:dyDescent="0.2">
      <c r="BC5268" s="21" t="e" vm="1">
        <v>#REF!</v>
      </c>
      <c r="BD5268" t="e" vm="1">
        <v>#REF!</v>
      </c>
      <c r="BF5268" t="e" vm="2">
        <f t="shared" si="390"/>
        <v>#VALUE!</v>
      </c>
      <c r="BG5268" t="e" vm="2">
        <f t="shared" si="391"/>
        <v>#VALUE!</v>
      </c>
    </row>
    <row r="5269" spans="55:59" x14ac:dyDescent="0.2">
      <c r="BC5269" s="21" t="e" vm="1">
        <v>#REF!</v>
      </c>
      <c r="BD5269" t="e" vm="1">
        <v>#REF!</v>
      </c>
      <c r="BF5269" t="e" vm="2">
        <f t="shared" si="390"/>
        <v>#VALUE!</v>
      </c>
      <c r="BG5269" t="e" vm="2">
        <f t="shared" si="391"/>
        <v>#VALUE!</v>
      </c>
    </row>
    <row r="5270" spans="55:59" x14ac:dyDescent="0.2">
      <c r="BC5270" s="21" t="e" vm="1">
        <v>#REF!</v>
      </c>
      <c r="BD5270" t="e" vm="1">
        <v>#REF!</v>
      </c>
      <c r="BF5270" t="e" vm="2">
        <f t="shared" si="390"/>
        <v>#VALUE!</v>
      </c>
      <c r="BG5270" t="e" vm="2">
        <f t="shared" si="391"/>
        <v>#VALUE!</v>
      </c>
    </row>
    <row r="5271" spans="55:59" x14ac:dyDescent="0.2">
      <c r="BC5271" s="21" t="e" vm="1">
        <v>#REF!</v>
      </c>
      <c r="BD5271" t="e" vm="1">
        <v>#REF!</v>
      </c>
      <c r="BF5271" t="e" vm="2">
        <f t="shared" si="390"/>
        <v>#VALUE!</v>
      </c>
      <c r="BG5271" t="e" vm="2">
        <f t="shared" si="391"/>
        <v>#VALUE!</v>
      </c>
    </row>
    <row r="5272" spans="55:59" x14ac:dyDescent="0.2">
      <c r="BC5272" s="21" t="e" vm="1">
        <v>#REF!</v>
      </c>
      <c r="BD5272" t="e" vm="1">
        <v>#REF!</v>
      </c>
      <c r="BF5272" t="e" vm="2">
        <f t="shared" si="390"/>
        <v>#VALUE!</v>
      </c>
      <c r="BG5272" t="e" vm="2">
        <f t="shared" si="391"/>
        <v>#VALUE!</v>
      </c>
    </row>
    <row r="5273" spans="55:59" x14ac:dyDescent="0.2">
      <c r="BC5273" s="21" t="e" vm="1">
        <v>#REF!</v>
      </c>
      <c r="BD5273" t="e" vm="1">
        <v>#REF!</v>
      </c>
      <c r="BF5273" t="e" vm="2">
        <f t="shared" si="390"/>
        <v>#VALUE!</v>
      </c>
      <c r="BG5273" t="e" vm="2">
        <f t="shared" si="391"/>
        <v>#VALUE!</v>
      </c>
    </row>
    <row r="5274" spans="55:59" x14ac:dyDescent="0.2">
      <c r="BC5274" s="21" t="e" vm="1">
        <v>#REF!</v>
      </c>
      <c r="BD5274" t="e" vm="1">
        <v>#REF!</v>
      </c>
      <c r="BF5274" t="e" vm="2">
        <f t="shared" si="390"/>
        <v>#VALUE!</v>
      </c>
      <c r="BG5274" t="e" vm="2">
        <f t="shared" si="391"/>
        <v>#VALUE!</v>
      </c>
    </row>
    <row r="5275" spans="55:59" x14ac:dyDescent="0.2">
      <c r="BC5275" s="21" t="e" vm="1">
        <v>#REF!</v>
      </c>
      <c r="BD5275" t="e" vm="1">
        <v>#REF!</v>
      </c>
      <c r="BF5275" t="e" vm="2">
        <f t="shared" si="390"/>
        <v>#VALUE!</v>
      </c>
      <c r="BG5275" t="e" vm="2">
        <f t="shared" si="391"/>
        <v>#VALUE!</v>
      </c>
    </row>
    <row r="5276" spans="55:59" x14ac:dyDescent="0.2">
      <c r="BC5276" s="21" t="e" vm="1">
        <v>#REF!</v>
      </c>
      <c r="BD5276" t="e" vm="1">
        <v>#REF!</v>
      </c>
      <c r="BF5276" t="e" vm="2">
        <f t="shared" si="390"/>
        <v>#VALUE!</v>
      </c>
      <c r="BG5276" t="e" vm="2">
        <f t="shared" si="391"/>
        <v>#VALUE!</v>
      </c>
    </row>
    <row r="5277" spans="55:59" x14ac:dyDescent="0.2">
      <c r="BC5277" s="21" t="e" vm="1">
        <v>#REF!</v>
      </c>
      <c r="BD5277" t="e" vm="1">
        <v>#REF!</v>
      </c>
      <c r="BF5277" t="e" vm="2">
        <f t="shared" si="390"/>
        <v>#VALUE!</v>
      </c>
      <c r="BG5277" t="e" vm="2">
        <f t="shared" si="391"/>
        <v>#VALUE!</v>
      </c>
    </row>
    <row r="5278" spans="55:59" x14ac:dyDescent="0.2">
      <c r="BC5278" s="21" t="e" vm="1">
        <v>#REF!</v>
      </c>
      <c r="BD5278" t="e" vm="1">
        <v>#REF!</v>
      </c>
      <c r="BF5278" t="e" vm="2">
        <f t="shared" si="390"/>
        <v>#VALUE!</v>
      </c>
      <c r="BG5278" t="e" vm="2">
        <f t="shared" si="391"/>
        <v>#VALUE!</v>
      </c>
    </row>
    <row r="5279" spans="55:59" x14ac:dyDescent="0.2">
      <c r="BC5279" s="21" t="e" vm="1">
        <v>#REF!</v>
      </c>
      <c r="BD5279" t="e" vm="1">
        <v>#REF!</v>
      </c>
      <c r="BF5279" t="e" vm="2">
        <f t="shared" si="390"/>
        <v>#VALUE!</v>
      </c>
      <c r="BG5279" t="e" vm="2">
        <f t="shared" si="391"/>
        <v>#VALUE!</v>
      </c>
    </row>
    <row r="5280" spans="55:59" x14ac:dyDescent="0.2">
      <c r="BC5280" s="21" t="e" vm="1">
        <v>#REF!</v>
      </c>
      <c r="BD5280" t="e" vm="1">
        <v>#REF!</v>
      </c>
      <c r="BF5280" t="e" vm="2">
        <f t="shared" si="390"/>
        <v>#VALUE!</v>
      </c>
      <c r="BG5280" t="e" vm="2">
        <f t="shared" si="391"/>
        <v>#VALUE!</v>
      </c>
    </row>
    <row r="5281" spans="55:59" x14ac:dyDescent="0.2">
      <c r="BC5281" s="21" t="e" vm="1">
        <v>#REF!</v>
      </c>
      <c r="BD5281" t="e" vm="1">
        <v>#REF!</v>
      </c>
      <c r="BF5281" t="e" vm="2">
        <f t="shared" si="390"/>
        <v>#VALUE!</v>
      </c>
      <c r="BG5281" t="e" vm="2">
        <f t="shared" si="391"/>
        <v>#VALUE!</v>
      </c>
    </row>
    <row r="5282" spans="55:59" x14ac:dyDescent="0.2">
      <c r="BC5282" s="21" t="e" vm="1">
        <v>#REF!</v>
      </c>
      <c r="BD5282" t="e" vm="1">
        <v>#REF!</v>
      </c>
      <c r="BF5282" t="e" vm="2">
        <f t="shared" si="390"/>
        <v>#VALUE!</v>
      </c>
      <c r="BG5282" t="e" vm="2">
        <f t="shared" si="391"/>
        <v>#VALUE!</v>
      </c>
    </row>
    <row r="5283" spans="55:59" x14ac:dyDescent="0.2">
      <c r="BC5283" s="21" t="e" vm="1">
        <v>#REF!</v>
      </c>
      <c r="BD5283" t="e" vm="1">
        <v>#REF!</v>
      </c>
      <c r="BF5283" t="e" vm="2">
        <f t="shared" si="390"/>
        <v>#VALUE!</v>
      </c>
      <c r="BG5283" t="e" vm="2">
        <f t="shared" si="391"/>
        <v>#VALUE!</v>
      </c>
    </row>
    <row r="5284" spans="55:59" x14ac:dyDescent="0.2">
      <c r="BC5284" s="21" t="e" vm="1">
        <v>#REF!</v>
      </c>
      <c r="BD5284" t="e" vm="1">
        <v>#REF!</v>
      </c>
      <c r="BF5284" t="e" vm="2">
        <f t="shared" si="390"/>
        <v>#VALUE!</v>
      </c>
      <c r="BG5284" t="e" vm="2">
        <f t="shared" si="391"/>
        <v>#VALUE!</v>
      </c>
    </row>
    <row r="5285" spans="55:59" x14ac:dyDescent="0.2">
      <c r="BC5285" s="21" t="e" vm="1">
        <v>#REF!</v>
      </c>
      <c r="BD5285" t="e" vm="1">
        <v>#REF!</v>
      </c>
      <c r="BF5285" t="e" vm="2">
        <f t="shared" si="390"/>
        <v>#VALUE!</v>
      </c>
      <c r="BG5285" t="e" vm="2">
        <f t="shared" si="391"/>
        <v>#VALUE!</v>
      </c>
    </row>
    <row r="5286" spans="55:59" x14ac:dyDescent="0.2">
      <c r="BC5286" s="21" t="e" vm="1">
        <v>#REF!</v>
      </c>
      <c r="BD5286" t="e" vm="1">
        <v>#REF!</v>
      </c>
      <c r="BF5286" t="e" vm="2">
        <f t="shared" si="390"/>
        <v>#VALUE!</v>
      </c>
      <c r="BG5286" t="e" vm="2">
        <f t="shared" si="391"/>
        <v>#VALUE!</v>
      </c>
    </row>
    <row r="5287" spans="55:59" x14ac:dyDescent="0.2">
      <c r="BC5287" s="21" t="e" vm="1">
        <v>#REF!</v>
      </c>
      <c r="BD5287" t="e" vm="1">
        <v>#REF!</v>
      </c>
      <c r="BF5287" t="e" vm="2">
        <f t="shared" si="390"/>
        <v>#VALUE!</v>
      </c>
      <c r="BG5287" t="e" vm="2">
        <f t="shared" si="391"/>
        <v>#VALUE!</v>
      </c>
    </row>
    <row r="5288" spans="55:59" x14ac:dyDescent="0.2">
      <c r="BC5288" s="21" t="e" vm="1">
        <v>#REF!</v>
      </c>
      <c r="BD5288" t="e" vm="1">
        <v>#REF!</v>
      </c>
      <c r="BF5288" t="e" vm="2">
        <f t="shared" si="390"/>
        <v>#VALUE!</v>
      </c>
      <c r="BG5288" t="e" vm="2">
        <f t="shared" si="391"/>
        <v>#VALUE!</v>
      </c>
    </row>
    <row r="5289" spans="55:59" x14ac:dyDescent="0.2">
      <c r="BC5289" s="21" t="e" vm="1">
        <v>#REF!</v>
      </c>
      <c r="BD5289" t="e" vm="1">
        <v>#REF!</v>
      </c>
      <c r="BF5289" t="e" vm="2">
        <f t="shared" si="390"/>
        <v>#VALUE!</v>
      </c>
      <c r="BG5289" t="e" vm="2">
        <f t="shared" si="391"/>
        <v>#VALUE!</v>
      </c>
    </row>
    <row r="5290" spans="55:59" x14ac:dyDescent="0.2">
      <c r="BC5290" s="21" t="e" vm="1">
        <v>#REF!</v>
      </c>
      <c r="BD5290" t="e" vm="1">
        <v>#REF!</v>
      </c>
      <c r="BF5290" t="e" vm="2">
        <f t="shared" si="390"/>
        <v>#VALUE!</v>
      </c>
      <c r="BG5290" t="e" vm="2">
        <f t="shared" si="391"/>
        <v>#VALUE!</v>
      </c>
    </row>
    <row r="5291" spans="55:59" x14ac:dyDescent="0.2">
      <c r="BC5291" s="21" t="e" vm="1">
        <v>#REF!</v>
      </c>
      <c r="BD5291" t="e" vm="1">
        <v>#REF!</v>
      </c>
      <c r="BF5291" t="e" vm="2">
        <f t="shared" si="390"/>
        <v>#VALUE!</v>
      </c>
      <c r="BG5291" t="e" vm="2">
        <f t="shared" si="391"/>
        <v>#VALUE!</v>
      </c>
    </row>
    <row r="5292" spans="55:59" x14ac:dyDescent="0.2">
      <c r="BC5292" s="21" t="e" vm="1">
        <v>#REF!</v>
      </c>
      <c r="BD5292" t="e" vm="1">
        <v>#REF!</v>
      </c>
      <c r="BF5292" t="e" vm="2">
        <f t="shared" si="390"/>
        <v>#VALUE!</v>
      </c>
      <c r="BG5292" t="e" vm="2">
        <f t="shared" si="391"/>
        <v>#VALUE!</v>
      </c>
    </row>
    <row r="5293" spans="55:59" x14ac:dyDescent="0.2">
      <c r="BC5293" s="21" t="e" vm="1">
        <v>#REF!</v>
      </c>
      <c r="BD5293" t="e" vm="1">
        <v>#REF!</v>
      </c>
      <c r="BF5293" t="e" vm="2">
        <f t="shared" si="390"/>
        <v>#VALUE!</v>
      </c>
      <c r="BG5293" t="e" vm="2">
        <f t="shared" si="391"/>
        <v>#VALUE!</v>
      </c>
    </row>
    <row r="5294" spans="55:59" x14ac:dyDescent="0.2">
      <c r="BC5294" s="21" t="e" vm="1">
        <v>#REF!</v>
      </c>
      <c r="BD5294" t="e" vm="1">
        <v>#REF!</v>
      </c>
      <c r="BF5294" t="e" vm="2">
        <f t="shared" si="390"/>
        <v>#VALUE!</v>
      </c>
      <c r="BG5294" t="e" vm="2">
        <f t="shared" si="391"/>
        <v>#VALUE!</v>
      </c>
    </row>
    <row r="5295" spans="55:59" x14ac:dyDescent="0.2">
      <c r="BC5295" s="21" t="e" vm="1">
        <v>#REF!</v>
      </c>
      <c r="BD5295" t="e" vm="1">
        <v>#REF!</v>
      </c>
      <c r="BF5295" t="e" vm="2">
        <f t="shared" si="390"/>
        <v>#VALUE!</v>
      </c>
      <c r="BG5295" t="e" vm="2">
        <f t="shared" si="391"/>
        <v>#VALUE!</v>
      </c>
    </row>
    <row r="5296" spans="55:59" x14ac:dyDescent="0.2">
      <c r="BC5296" s="21" t="e" vm="1">
        <v>#REF!</v>
      </c>
      <c r="BD5296" t="e" vm="1">
        <v>#REF!</v>
      </c>
      <c r="BF5296" t="e" vm="2">
        <f t="shared" si="390"/>
        <v>#VALUE!</v>
      </c>
      <c r="BG5296" t="e" vm="2">
        <f t="shared" si="391"/>
        <v>#VALUE!</v>
      </c>
    </row>
    <row r="5297" spans="55:59" x14ac:dyDescent="0.2">
      <c r="BC5297" s="21" t="e" vm="1">
        <v>#REF!</v>
      </c>
      <c r="BD5297" t="e" vm="1">
        <v>#REF!</v>
      </c>
      <c r="BF5297" t="e" vm="2">
        <f t="shared" si="390"/>
        <v>#VALUE!</v>
      </c>
      <c r="BG5297" t="e" vm="2">
        <f t="shared" si="391"/>
        <v>#VALUE!</v>
      </c>
    </row>
    <row r="5298" spans="55:59" x14ac:dyDescent="0.2">
      <c r="BC5298" s="21" t="e" vm="1">
        <v>#REF!</v>
      </c>
      <c r="BD5298" t="e" vm="1">
        <v>#REF!</v>
      </c>
      <c r="BF5298" t="e" vm="2">
        <f t="shared" si="390"/>
        <v>#VALUE!</v>
      </c>
      <c r="BG5298" t="e" vm="2">
        <f t="shared" si="391"/>
        <v>#VALUE!</v>
      </c>
    </row>
    <row r="5299" spans="55:59" x14ac:dyDescent="0.2">
      <c r="BC5299" s="21" t="e" vm="1">
        <v>#REF!</v>
      </c>
      <c r="BD5299" t="e" vm="1">
        <v>#REF!</v>
      </c>
      <c r="BF5299" t="e" vm="2">
        <f t="shared" si="390"/>
        <v>#VALUE!</v>
      </c>
      <c r="BG5299" t="e" vm="2">
        <f t="shared" si="391"/>
        <v>#VALUE!</v>
      </c>
    </row>
    <row r="5300" spans="55:59" x14ac:dyDescent="0.2">
      <c r="BC5300" s="21" t="e" vm="1">
        <v>#REF!</v>
      </c>
      <c r="BD5300" t="e" vm="1">
        <v>#REF!</v>
      </c>
      <c r="BF5300" t="e" vm="2">
        <f t="shared" si="390"/>
        <v>#VALUE!</v>
      </c>
      <c r="BG5300" t="e" vm="2">
        <f t="shared" si="391"/>
        <v>#VALUE!</v>
      </c>
    </row>
    <row r="5301" spans="55:59" x14ac:dyDescent="0.2">
      <c r="BC5301" s="21" t="e" vm="1">
        <v>#REF!</v>
      </c>
      <c r="BD5301" t="e" vm="1">
        <v>#REF!</v>
      </c>
      <c r="BF5301" t="e" vm="2">
        <f t="shared" si="390"/>
        <v>#VALUE!</v>
      </c>
      <c r="BG5301" t="e" vm="2">
        <f t="shared" si="391"/>
        <v>#VALUE!</v>
      </c>
    </row>
    <row r="5302" spans="55:59" x14ac:dyDescent="0.2">
      <c r="BC5302" s="21" t="e" vm="1">
        <v>#REF!</v>
      </c>
      <c r="BD5302" t="e" vm="1">
        <v>#REF!</v>
      </c>
      <c r="BF5302" t="e" vm="2">
        <f t="shared" si="390"/>
        <v>#VALUE!</v>
      </c>
      <c r="BG5302" t="e" vm="2">
        <f t="shared" si="391"/>
        <v>#VALUE!</v>
      </c>
    </row>
    <row r="5303" spans="55:59" x14ac:dyDescent="0.2">
      <c r="BC5303" s="21" t="e" vm="1">
        <v>#REF!</v>
      </c>
      <c r="BD5303" t="e" vm="1">
        <v>#REF!</v>
      </c>
      <c r="BF5303" t="e" vm="2">
        <f t="shared" si="390"/>
        <v>#VALUE!</v>
      </c>
      <c r="BG5303" t="e" vm="2">
        <f t="shared" si="391"/>
        <v>#VALUE!</v>
      </c>
    </row>
    <row r="5304" spans="55:59" x14ac:dyDescent="0.2">
      <c r="BC5304" s="21" t="e" vm="1">
        <v>#REF!</v>
      </c>
      <c r="BD5304" t="e" vm="1">
        <v>#REF!</v>
      </c>
      <c r="BF5304" t="e" vm="2">
        <f t="shared" si="390"/>
        <v>#VALUE!</v>
      </c>
      <c r="BG5304" t="e" vm="2">
        <f t="shared" si="391"/>
        <v>#VALUE!</v>
      </c>
    </row>
    <row r="5305" spans="55:59" x14ac:dyDescent="0.2">
      <c r="BC5305" s="21" t="e" vm="1">
        <v>#REF!</v>
      </c>
      <c r="BD5305" t="e" vm="1">
        <v>#REF!</v>
      </c>
      <c r="BF5305" t="e" vm="2">
        <f t="shared" si="390"/>
        <v>#VALUE!</v>
      </c>
      <c r="BG5305" t="e" vm="2">
        <f t="shared" si="391"/>
        <v>#VALUE!</v>
      </c>
    </row>
    <row r="5306" spans="55:59" x14ac:dyDescent="0.2">
      <c r="BC5306" s="21" t="e" vm="1">
        <v>#REF!</v>
      </c>
      <c r="BD5306" t="e" vm="1">
        <v>#REF!</v>
      </c>
      <c r="BF5306" t="e" vm="2">
        <f t="shared" si="390"/>
        <v>#VALUE!</v>
      </c>
      <c r="BG5306" t="e" vm="2">
        <f t="shared" si="391"/>
        <v>#VALUE!</v>
      </c>
    </row>
    <row r="5307" spans="55:59" x14ac:dyDescent="0.2">
      <c r="BC5307" s="21" t="e" vm="1">
        <v>#REF!</v>
      </c>
      <c r="BD5307" t="e" vm="1">
        <v>#REF!</v>
      </c>
      <c r="BF5307" t="e" vm="2">
        <f t="shared" si="390"/>
        <v>#VALUE!</v>
      </c>
      <c r="BG5307" t="e" vm="2">
        <f t="shared" si="391"/>
        <v>#VALUE!</v>
      </c>
    </row>
    <row r="5308" spans="55:59" x14ac:dyDescent="0.2">
      <c r="BC5308" s="21" t="e" vm="1">
        <v>#REF!</v>
      </c>
      <c r="BD5308" t="e" vm="1">
        <v>#REF!</v>
      </c>
      <c r="BF5308" t="e" vm="2">
        <f t="shared" si="390"/>
        <v>#VALUE!</v>
      </c>
      <c r="BG5308" t="e" vm="2">
        <f t="shared" si="391"/>
        <v>#VALUE!</v>
      </c>
    </row>
    <row r="5309" spans="55:59" x14ac:dyDescent="0.2">
      <c r="BC5309" s="21" t="e" vm="1">
        <v>#REF!</v>
      </c>
      <c r="BD5309" t="e" vm="1">
        <v>#REF!</v>
      </c>
      <c r="BF5309" t="e" vm="2">
        <f t="shared" si="390"/>
        <v>#VALUE!</v>
      </c>
      <c r="BG5309" t="e" vm="2">
        <f t="shared" si="391"/>
        <v>#VALUE!</v>
      </c>
    </row>
    <row r="5310" spans="55:59" x14ac:dyDescent="0.2">
      <c r="BC5310" s="21" t="e" vm="1">
        <v>#REF!</v>
      </c>
      <c r="BD5310" t="e" vm="1">
        <v>#REF!</v>
      </c>
      <c r="BF5310" t="e" vm="2">
        <f t="shared" si="390"/>
        <v>#VALUE!</v>
      </c>
      <c r="BG5310" t="e" vm="2">
        <f t="shared" si="391"/>
        <v>#VALUE!</v>
      </c>
    </row>
    <row r="5311" spans="55:59" x14ac:dyDescent="0.2">
      <c r="BC5311" s="21" t="e" vm="1">
        <v>#REF!</v>
      </c>
      <c r="BD5311" t="e" vm="1">
        <v>#REF!</v>
      </c>
      <c r="BF5311" t="e" vm="2">
        <f t="shared" si="390"/>
        <v>#VALUE!</v>
      </c>
      <c r="BG5311" t="e" vm="2">
        <f t="shared" si="391"/>
        <v>#VALUE!</v>
      </c>
    </row>
    <row r="5312" spans="55:59" x14ac:dyDescent="0.2">
      <c r="BC5312" s="21" t="e" vm="1">
        <v>#REF!</v>
      </c>
      <c r="BD5312" t="e" vm="1">
        <v>#REF!</v>
      </c>
      <c r="BF5312" t="e" vm="2">
        <f t="shared" si="390"/>
        <v>#VALUE!</v>
      </c>
      <c r="BG5312" t="e" vm="2">
        <f t="shared" si="391"/>
        <v>#VALUE!</v>
      </c>
    </row>
    <row r="5313" spans="55:59" x14ac:dyDescent="0.2">
      <c r="BC5313" s="21" t="e" vm="1">
        <v>#REF!</v>
      </c>
      <c r="BD5313" t="e" vm="1">
        <v>#REF!</v>
      </c>
      <c r="BF5313" t="e" vm="2">
        <f t="shared" si="390"/>
        <v>#VALUE!</v>
      </c>
      <c r="BG5313" t="e" vm="2">
        <f t="shared" si="391"/>
        <v>#VALUE!</v>
      </c>
    </row>
    <row r="5314" spans="55:59" x14ac:dyDescent="0.2">
      <c r="BC5314" s="21" t="e" vm="1">
        <v>#REF!</v>
      </c>
      <c r="BD5314" t="e" vm="1">
        <v>#REF!</v>
      </c>
      <c r="BF5314" t="e" vm="2">
        <f t="shared" si="390"/>
        <v>#VALUE!</v>
      </c>
      <c r="BG5314" t="e" vm="2">
        <f t="shared" si="391"/>
        <v>#VALUE!</v>
      </c>
    </row>
    <row r="5315" spans="55:59" x14ac:dyDescent="0.2">
      <c r="BC5315" s="21" t="e" vm="1">
        <v>#REF!</v>
      </c>
      <c r="BD5315" t="e" vm="1">
        <v>#REF!</v>
      </c>
      <c r="BF5315" t="e" vm="2">
        <f t="shared" ref="BF5315:BF5378" si="392">MONTH(BC5315)</f>
        <v>#VALUE!</v>
      </c>
      <c r="BG5315" t="e" vm="2">
        <f t="shared" ref="BG5315:BG5378" si="393">YEAR(BC5315)</f>
        <v>#VALUE!</v>
      </c>
    </row>
    <row r="5316" spans="55:59" x14ac:dyDescent="0.2">
      <c r="BC5316" s="21" t="e" vm="1">
        <v>#REF!</v>
      </c>
      <c r="BD5316" t="e" vm="1">
        <v>#REF!</v>
      </c>
      <c r="BF5316" t="e" vm="2">
        <f t="shared" si="392"/>
        <v>#VALUE!</v>
      </c>
      <c r="BG5316" t="e" vm="2">
        <f t="shared" si="393"/>
        <v>#VALUE!</v>
      </c>
    </row>
    <row r="5317" spans="55:59" x14ac:dyDescent="0.2">
      <c r="BC5317" s="21" t="e" vm="1">
        <v>#REF!</v>
      </c>
      <c r="BD5317" t="e" vm="1">
        <v>#REF!</v>
      </c>
      <c r="BF5317" t="e" vm="2">
        <f t="shared" si="392"/>
        <v>#VALUE!</v>
      </c>
      <c r="BG5317" t="e" vm="2">
        <f t="shared" si="393"/>
        <v>#VALUE!</v>
      </c>
    </row>
    <row r="5318" spans="55:59" x14ac:dyDescent="0.2">
      <c r="BC5318" s="21" t="e" vm="1">
        <v>#REF!</v>
      </c>
      <c r="BD5318" t="e" vm="1">
        <v>#REF!</v>
      </c>
      <c r="BF5318" t="e" vm="2">
        <f t="shared" si="392"/>
        <v>#VALUE!</v>
      </c>
      <c r="BG5318" t="e" vm="2">
        <f t="shared" si="393"/>
        <v>#VALUE!</v>
      </c>
    </row>
    <row r="5319" spans="55:59" x14ac:dyDescent="0.2">
      <c r="BC5319" s="21" t="e" vm="1">
        <v>#REF!</v>
      </c>
      <c r="BD5319" t="e" vm="1">
        <v>#REF!</v>
      </c>
      <c r="BF5319" t="e" vm="2">
        <f t="shared" si="392"/>
        <v>#VALUE!</v>
      </c>
      <c r="BG5319" t="e" vm="2">
        <f t="shared" si="393"/>
        <v>#VALUE!</v>
      </c>
    </row>
    <row r="5320" spans="55:59" x14ac:dyDescent="0.2">
      <c r="BC5320" s="21" t="e" vm="1">
        <v>#REF!</v>
      </c>
      <c r="BD5320" t="e" vm="1">
        <v>#REF!</v>
      </c>
      <c r="BF5320" t="e" vm="2">
        <f t="shared" si="392"/>
        <v>#VALUE!</v>
      </c>
      <c r="BG5320" t="e" vm="2">
        <f t="shared" si="393"/>
        <v>#VALUE!</v>
      </c>
    </row>
    <row r="5321" spans="55:59" x14ac:dyDescent="0.2">
      <c r="BC5321" s="21" t="e" vm="1">
        <v>#REF!</v>
      </c>
      <c r="BD5321" t="e" vm="1">
        <v>#REF!</v>
      </c>
      <c r="BF5321" t="e" vm="2">
        <f t="shared" si="392"/>
        <v>#VALUE!</v>
      </c>
      <c r="BG5321" t="e" vm="2">
        <f t="shared" si="393"/>
        <v>#VALUE!</v>
      </c>
    </row>
    <row r="5322" spans="55:59" x14ac:dyDescent="0.2">
      <c r="BC5322" s="21" t="e" vm="1">
        <v>#REF!</v>
      </c>
      <c r="BD5322" t="e" vm="1">
        <v>#REF!</v>
      </c>
      <c r="BF5322" t="e" vm="2">
        <f t="shared" si="392"/>
        <v>#VALUE!</v>
      </c>
      <c r="BG5322" t="e" vm="2">
        <f t="shared" si="393"/>
        <v>#VALUE!</v>
      </c>
    </row>
    <row r="5323" spans="55:59" x14ac:dyDescent="0.2">
      <c r="BC5323" s="21" t="e" vm="1">
        <v>#REF!</v>
      </c>
      <c r="BD5323" t="e" vm="1">
        <v>#REF!</v>
      </c>
      <c r="BF5323" t="e" vm="2">
        <f t="shared" si="392"/>
        <v>#VALUE!</v>
      </c>
      <c r="BG5323" t="e" vm="2">
        <f t="shared" si="393"/>
        <v>#VALUE!</v>
      </c>
    </row>
    <row r="5324" spans="55:59" x14ac:dyDescent="0.2">
      <c r="BC5324" s="21" t="e" vm="1">
        <v>#REF!</v>
      </c>
      <c r="BD5324" t="e" vm="1">
        <v>#REF!</v>
      </c>
      <c r="BF5324" t="e" vm="2">
        <f t="shared" si="392"/>
        <v>#VALUE!</v>
      </c>
      <c r="BG5324" t="e" vm="2">
        <f t="shared" si="393"/>
        <v>#VALUE!</v>
      </c>
    </row>
    <row r="5325" spans="55:59" x14ac:dyDescent="0.2">
      <c r="BC5325" s="21" t="e" vm="1">
        <v>#REF!</v>
      </c>
      <c r="BD5325" t="e" vm="1">
        <v>#REF!</v>
      </c>
      <c r="BF5325" t="e" vm="2">
        <f t="shared" si="392"/>
        <v>#VALUE!</v>
      </c>
      <c r="BG5325" t="e" vm="2">
        <f t="shared" si="393"/>
        <v>#VALUE!</v>
      </c>
    </row>
    <row r="5326" spans="55:59" x14ac:dyDescent="0.2">
      <c r="BC5326" s="21" t="e" vm="1">
        <v>#REF!</v>
      </c>
      <c r="BD5326" t="e" vm="1">
        <v>#REF!</v>
      </c>
      <c r="BF5326" t="e" vm="2">
        <f t="shared" si="392"/>
        <v>#VALUE!</v>
      </c>
      <c r="BG5326" t="e" vm="2">
        <f t="shared" si="393"/>
        <v>#VALUE!</v>
      </c>
    </row>
    <row r="5327" spans="55:59" x14ac:dyDescent="0.2">
      <c r="BC5327" s="21" t="e" vm="1">
        <v>#REF!</v>
      </c>
      <c r="BD5327" t="e" vm="1">
        <v>#REF!</v>
      </c>
      <c r="BF5327" t="e" vm="2">
        <f t="shared" si="392"/>
        <v>#VALUE!</v>
      </c>
      <c r="BG5327" t="e" vm="2">
        <f t="shared" si="393"/>
        <v>#VALUE!</v>
      </c>
    </row>
    <row r="5328" spans="55:59" x14ac:dyDescent="0.2">
      <c r="BC5328" s="21" t="e" vm="1">
        <v>#REF!</v>
      </c>
      <c r="BD5328" t="e" vm="1">
        <v>#REF!</v>
      </c>
      <c r="BF5328" t="e" vm="2">
        <f t="shared" si="392"/>
        <v>#VALUE!</v>
      </c>
      <c r="BG5328" t="e" vm="2">
        <f t="shared" si="393"/>
        <v>#VALUE!</v>
      </c>
    </row>
    <row r="5329" spans="55:59" x14ac:dyDescent="0.2">
      <c r="BC5329" s="21" t="e" vm="1">
        <v>#REF!</v>
      </c>
      <c r="BD5329" t="e" vm="1">
        <v>#REF!</v>
      </c>
      <c r="BF5329" t="e" vm="2">
        <f t="shared" si="392"/>
        <v>#VALUE!</v>
      </c>
      <c r="BG5329" t="e" vm="2">
        <f t="shared" si="393"/>
        <v>#VALUE!</v>
      </c>
    </row>
    <row r="5330" spans="55:59" x14ac:dyDescent="0.2">
      <c r="BC5330" s="21" t="e" vm="1">
        <v>#REF!</v>
      </c>
      <c r="BD5330" t="e" vm="1">
        <v>#REF!</v>
      </c>
      <c r="BF5330" t="e" vm="2">
        <f t="shared" si="392"/>
        <v>#VALUE!</v>
      </c>
      <c r="BG5330" t="e" vm="2">
        <f t="shared" si="393"/>
        <v>#VALUE!</v>
      </c>
    </row>
    <row r="5331" spans="55:59" x14ac:dyDescent="0.2">
      <c r="BC5331" s="21" t="e" vm="1">
        <v>#REF!</v>
      </c>
      <c r="BD5331" t="e" vm="1">
        <v>#REF!</v>
      </c>
      <c r="BF5331" t="e" vm="2">
        <f t="shared" si="392"/>
        <v>#VALUE!</v>
      </c>
      <c r="BG5331" t="e" vm="2">
        <f t="shared" si="393"/>
        <v>#VALUE!</v>
      </c>
    </row>
    <row r="5332" spans="55:59" x14ac:dyDescent="0.2">
      <c r="BC5332" s="21" t="e" vm="1">
        <v>#REF!</v>
      </c>
      <c r="BD5332" t="e" vm="1">
        <v>#REF!</v>
      </c>
      <c r="BF5332" t="e" vm="2">
        <f t="shared" si="392"/>
        <v>#VALUE!</v>
      </c>
      <c r="BG5332" t="e" vm="2">
        <f t="shared" si="393"/>
        <v>#VALUE!</v>
      </c>
    </row>
    <row r="5333" spans="55:59" x14ac:dyDescent="0.2">
      <c r="BC5333" s="21" t="e" vm="1">
        <v>#REF!</v>
      </c>
      <c r="BD5333" t="e" vm="1">
        <v>#REF!</v>
      </c>
      <c r="BF5333" t="e" vm="2">
        <f t="shared" si="392"/>
        <v>#VALUE!</v>
      </c>
      <c r="BG5333" t="e" vm="2">
        <f t="shared" si="393"/>
        <v>#VALUE!</v>
      </c>
    </row>
    <row r="5334" spans="55:59" x14ac:dyDescent="0.2">
      <c r="BC5334" s="21" t="e" vm="1">
        <v>#REF!</v>
      </c>
      <c r="BD5334" t="e" vm="1">
        <v>#REF!</v>
      </c>
      <c r="BF5334" t="e" vm="2">
        <f t="shared" si="392"/>
        <v>#VALUE!</v>
      </c>
      <c r="BG5334" t="e" vm="2">
        <f t="shared" si="393"/>
        <v>#VALUE!</v>
      </c>
    </row>
    <row r="5335" spans="55:59" x14ac:dyDescent="0.2">
      <c r="BC5335" s="21" t="e" vm="1">
        <v>#REF!</v>
      </c>
      <c r="BD5335" t="e" vm="1">
        <v>#REF!</v>
      </c>
      <c r="BF5335" t="e" vm="2">
        <f t="shared" si="392"/>
        <v>#VALUE!</v>
      </c>
      <c r="BG5335" t="e" vm="2">
        <f t="shared" si="393"/>
        <v>#VALUE!</v>
      </c>
    </row>
    <row r="5336" spans="55:59" x14ac:dyDescent="0.2">
      <c r="BC5336" s="21" t="e" vm="1">
        <v>#REF!</v>
      </c>
      <c r="BD5336" t="e" vm="1">
        <v>#REF!</v>
      </c>
      <c r="BF5336" t="e" vm="2">
        <f t="shared" si="392"/>
        <v>#VALUE!</v>
      </c>
      <c r="BG5336" t="e" vm="2">
        <f t="shared" si="393"/>
        <v>#VALUE!</v>
      </c>
    </row>
    <row r="5337" spans="55:59" x14ac:dyDescent="0.2">
      <c r="BC5337" s="21" t="e" vm="1">
        <v>#REF!</v>
      </c>
      <c r="BD5337" t="e" vm="1">
        <v>#REF!</v>
      </c>
      <c r="BF5337" t="e" vm="2">
        <f t="shared" si="392"/>
        <v>#VALUE!</v>
      </c>
      <c r="BG5337" t="e" vm="2">
        <f t="shared" si="393"/>
        <v>#VALUE!</v>
      </c>
    </row>
    <row r="5338" spans="55:59" x14ac:dyDescent="0.2">
      <c r="BC5338" s="21" t="e" vm="1">
        <v>#REF!</v>
      </c>
      <c r="BD5338" t="e" vm="1">
        <v>#REF!</v>
      </c>
      <c r="BF5338" t="e" vm="2">
        <f t="shared" si="392"/>
        <v>#VALUE!</v>
      </c>
      <c r="BG5338" t="e" vm="2">
        <f t="shared" si="393"/>
        <v>#VALUE!</v>
      </c>
    </row>
    <row r="5339" spans="55:59" x14ac:dyDescent="0.2">
      <c r="BC5339" s="21" t="e" vm="1">
        <v>#REF!</v>
      </c>
      <c r="BD5339" t="e" vm="1">
        <v>#REF!</v>
      </c>
      <c r="BF5339" t="e" vm="2">
        <f t="shared" si="392"/>
        <v>#VALUE!</v>
      </c>
      <c r="BG5339" t="e" vm="2">
        <f t="shared" si="393"/>
        <v>#VALUE!</v>
      </c>
    </row>
    <row r="5340" spans="55:59" x14ac:dyDescent="0.2">
      <c r="BC5340" s="21" t="e" vm="1">
        <v>#REF!</v>
      </c>
      <c r="BD5340" t="e" vm="1">
        <v>#REF!</v>
      </c>
      <c r="BF5340" t="e" vm="2">
        <f t="shared" si="392"/>
        <v>#VALUE!</v>
      </c>
      <c r="BG5340" t="e" vm="2">
        <f t="shared" si="393"/>
        <v>#VALUE!</v>
      </c>
    </row>
    <row r="5341" spans="55:59" x14ac:dyDescent="0.2">
      <c r="BC5341" s="21" t="e" vm="1">
        <v>#REF!</v>
      </c>
      <c r="BD5341" t="e" vm="1">
        <v>#REF!</v>
      </c>
      <c r="BF5341" t="e" vm="2">
        <f t="shared" si="392"/>
        <v>#VALUE!</v>
      </c>
      <c r="BG5341" t="e" vm="2">
        <f t="shared" si="393"/>
        <v>#VALUE!</v>
      </c>
    </row>
    <row r="5342" spans="55:59" x14ac:dyDescent="0.2">
      <c r="BC5342" s="21" t="e" vm="1">
        <v>#REF!</v>
      </c>
      <c r="BD5342" t="e" vm="1">
        <v>#REF!</v>
      </c>
      <c r="BF5342" t="e" vm="2">
        <f t="shared" si="392"/>
        <v>#VALUE!</v>
      </c>
      <c r="BG5342" t="e" vm="2">
        <f t="shared" si="393"/>
        <v>#VALUE!</v>
      </c>
    </row>
    <row r="5343" spans="55:59" x14ac:dyDescent="0.2">
      <c r="BC5343" s="21" t="e" vm="1">
        <v>#REF!</v>
      </c>
      <c r="BD5343" t="e" vm="1">
        <v>#REF!</v>
      </c>
      <c r="BF5343" t="e" vm="2">
        <f t="shared" si="392"/>
        <v>#VALUE!</v>
      </c>
      <c r="BG5343" t="e" vm="2">
        <f t="shared" si="393"/>
        <v>#VALUE!</v>
      </c>
    </row>
    <row r="5344" spans="55:59" x14ac:dyDescent="0.2">
      <c r="BC5344" s="21" t="e" vm="1">
        <v>#REF!</v>
      </c>
      <c r="BD5344" t="e" vm="1">
        <v>#REF!</v>
      </c>
      <c r="BF5344" t="e" vm="2">
        <f t="shared" si="392"/>
        <v>#VALUE!</v>
      </c>
      <c r="BG5344" t="e" vm="2">
        <f t="shared" si="393"/>
        <v>#VALUE!</v>
      </c>
    </row>
    <row r="5345" spans="55:59" x14ac:dyDescent="0.2">
      <c r="BC5345" s="21" t="e" vm="1">
        <v>#REF!</v>
      </c>
      <c r="BD5345" t="e" vm="1">
        <v>#REF!</v>
      </c>
      <c r="BF5345" t="e" vm="2">
        <f t="shared" si="392"/>
        <v>#VALUE!</v>
      </c>
      <c r="BG5345" t="e" vm="2">
        <f t="shared" si="393"/>
        <v>#VALUE!</v>
      </c>
    </row>
    <row r="5346" spans="55:59" x14ac:dyDescent="0.2">
      <c r="BC5346" s="21" t="e" vm="1">
        <v>#REF!</v>
      </c>
      <c r="BD5346" t="e" vm="1">
        <v>#REF!</v>
      </c>
      <c r="BF5346" t="e" vm="2">
        <f t="shared" si="392"/>
        <v>#VALUE!</v>
      </c>
      <c r="BG5346" t="e" vm="2">
        <f t="shared" si="393"/>
        <v>#VALUE!</v>
      </c>
    </row>
    <row r="5347" spans="55:59" x14ac:dyDescent="0.2">
      <c r="BC5347" s="21" t="e" vm="1">
        <v>#REF!</v>
      </c>
      <c r="BD5347" t="e" vm="1">
        <v>#REF!</v>
      </c>
      <c r="BF5347" t="e" vm="2">
        <f t="shared" si="392"/>
        <v>#VALUE!</v>
      </c>
      <c r="BG5347" t="e" vm="2">
        <f t="shared" si="393"/>
        <v>#VALUE!</v>
      </c>
    </row>
    <row r="5348" spans="55:59" x14ac:dyDescent="0.2">
      <c r="BC5348" s="21" t="e" vm="1">
        <v>#REF!</v>
      </c>
      <c r="BD5348" t="e" vm="1">
        <v>#REF!</v>
      </c>
      <c r="BF5348" t="e" vm="2">
        <f t="shared" si="392"/>
        <v>#VALUE!</v>
      </c>
      <c r="BG5348" t="e" vm="2">
        <f t="shared" si="393"/>
        <v>#VALUE!</v>
      </c>
    </row>
    <row r="5349" spans="55:59" x14ac:dyDescent="0.2">
      <c r="BC5349" s="21" t="e" vm="1">
        <v>#REF!</v>
      </c>
      <c r="BD5349" t="e" vm="1">
        <v>#REF!</v>
      </c>
      <c r="BF5349" t="e" vm="2">
        <f t="shared" si="392"/>
        <v>#VALUE!</v>
      </c>
      <c r="BG5349" t="e" vm="2">
        <f t="shared" si="393"/>
        <v>#VALUE!</v>
      </c>
    </row>
    <row r="5350" spans="55:59" x14ac:dyDescent="0.2">
      <c r="BC5350" s="21" t="e" vm="1">
        <v>#REF!</v>
      </c>
      <c r="BD5350" t="e" vm="1">
        <v>#REF!</v>
      </c>
      <c r="BF5350" t="e" vm="2">
        <f t="shared" si="392"/>
        <v>#VALUE!</v>
      </c>
      <c r="BG5350" t="e" vm="2">
        <f t="shared" si="393"/>
        <v>#VALUE!</v>
      </c>
    </row>
    <row r="5351" spans="55:59" x14ac:dyDescent="0.2">
      <c r="BC5351" s="21" t="e" vm="1">
        <v>#REF!</v>
      </c>
      <c r="BD5351" t="e" vm="1">
        <v>#REF!</v>
      </c>
      <c r="BF5351" t="e" vm="2">
        <f t="shared" si="392"/>
        <v>#VALUE!</v>
      </c>
      <c r="BG5351" t="e" vm="2">
        <f t="shared" si="393"/>
        <v>#VALUE!</v>
      </c>
    </row>
    <row r="5352" spans="55:59" x14ac:dyDescent="0.2">
      <c r="BC5352" s="21" t="e" vm="1">
        <v>#REF!</v>
      </c>
      <c r="BD5352" t="e" vm="1">
        <v>#REF!</v>
      </c>
      <c r="BF5352" t="e" vm="2">
        <f t="shared" si="392"/>
        <v>#VALUE!</v>
      </c>
      <c r="BG5352" t="e" vm="2">
        <f t="shared" si="393"/>
        <v>#VALUE!</v>
      </c>
    </row>
    <row r="5353" spans="55:59" x14ac:dyDescent="0.2">
      <c r="BC5353" s="21" t="e" vm="1">
        <v>#REF!</v>
      </c>
      <c r="BD5353" t="e" vm="1">
        <v>#REF!</v>
      </c>
      <c r="BF5353" t="e" vm="2">
        <f t="shared" si="392"/>
        <v>#VALUE!</v>
      </c>
      <c r="BG5353" t="e" vm="2">
        <f t="shared" si="393"/>
        <v>#VALUE!</v>
      </c>
    </row>
    <row r="5354" spans="55:59" x14ac:dyDescent="0.2">
      <c r="BC5354" s="21" t="e" vm="1">
        <v>#REF!</v>
      </c>
      <c r="BD5354" t="e" vm="1">
        <v>#REF!</v>
      </c>
      <c r="BF5354" t="e" vm="2">
        <f t="shared" si="392"/>
        <v>#VALUE!</v>
      </c>
      <c r="BG5354" t="e" vm="2">
        <f t="shared" si="393"/>
        <v>#VALUE!</v>
      </c>
    </row>
    <row r="5355" spans="55:59" x14ac:dyDescent="0.2">
      <c r="BC5355" s="21" t="e" vm="1">
        <v>#REF!</v>
      </c>
      <c r="BD5355" t="e" vm="1">
        <v>#REF!</v>
      </c>
      <c r="BF5355" t="e" vm="2">
        <f t="shared" si="392"/>
        <v>#VALUE!</v>
      </c>
      <c r="BG5355" t="e" vm="2">
        <f t="shared" si="393"/>
        <v>#VALUE!</v>
      </c>
    </row>
    <row r="5356" spans="55:59" x14ac:dyDescent="0.2">
      <c r="BC5356" s="21" t="e" vm="1">
        <v>#REF!</v>
      </c>
      <c r="BD5356" t="e" vm="1">
        <v>#REF!</v>
      </c>
      <c r="BF5356" t="e" vm="2">
        <f t="shared" si="392"/>
        <v>#VALUE!</v>
      </c>
      <c r="BG5356" t="e" vm="2">
        <f t="shared" si="393"/>
        <v>#VALUE!</v>
      </c>
    </row>
    <row r="5357" spans="55:59" x14ac:dyDescent="0.2">
      <c r="BC5357" s="21" t="e" vm="1">
        <v>#REF!</v>
      </c>
      <c r="BD5357" t="e" vm="1">
        <v>#REF!</v>
      </c>
      <c r="BF5357" t="e" vm="2">
        <f t="shared" si="392"/>
        <v>#VALUE!</v>
      </c>
      <c r="BG5357" t="e" vm="2">
        <f t="shared" si="393"/>
        <v>#VALUE!</v>
      </c>
    </row>
    <row r="5358" spans="55:59" x14ac:dyDescent="0.2">
      <c r="BC5358" s="21" t="e" vm="1">
        <v>#REF!</v>
      </c>
      <c r="BD5358" t="e" vm="1">
        <v>#REF!</v>
      </c>
      <c r="BF5358" t="e" vm="2">
        <f t="shared" si="392"/>
        <v>#VALUE!</v>
      </c>
      <c r="BG5358" t="e" vm="2">
        <f t="shared" si="393"/>
        <v>#VALUE!</v>
      </c>
    </row>
    <row r="5359" spans="55:59" x14ac:dyDescent="0.2">
      <c r="BC5359" s="21" t="e" vm="1">
        <v>#REF!</v>
      </c>
      <c r="BD5359" t="e" vm="1">
        <v>#REF!</v>
      </c>
      <c r="BF5359" t="e" vm="2">
        <f t="shared" si="392"/>
        <v>#VALUE!</v>
      </c>
      <c r="BG5359" t="e" vm="2">
        <f t="shared" si="393"/>
        <v>#VALUE!</v>
      </c>
    </row>
    <row r="5360" spans="55:59" x14ac:dyDescent="0.2">
      <c r="BC5360" s="21" t="e" vm="1">
        <v>#REF!</v>
      </c>
      <c r="BD5360" t="e" vm="1">
        <v>#REF!</v>
      </c>
      <c r="BF5360" t="e" vm="2">
        <f t="shared" si="392"/>
        <v>#VALUE!</v>
      </c>
      <c r="BG5360" t="e" vm="2">
        <f t="shared" si="393"/>
        <v>#VALUE!</v>
      </c>
    </row>
    <row r="5361" spans="55:59" x14ac:dyDescent="0.2">
      <c r="BC5361" s="21" t="e" vm="1">
        <v>#REF!</v>
      </c>
      <c r="BD5361" t="e" vm="1">
        <v>#REF!</v>
      </c>
      <c r="BF5361" t="e" vm="2">
        <f t="shared" si="392"/>
        <v>#VALUE!</v>
      </c>
      <c r="BG5361" t="e" vm="2">
        <f t="shared" si="393"/>
        <v>#VALUE!</v>
      </c>
    </row>
    <row r="5362" spans="55:59" x14ac:dyDescent="0.2">
      <c r="BC5362" s="21" t="e" vm="1">
        <v>#REF!</v>
      </c>
      <c r="BD5362" t="e" vm="1">
        <v>#REF!</v>
      </c>
      <c r="BF5362" t="e" vm="2">
        <f>MONTH(BC5362)</f>
        <v>#VALUE!</v>
      </c>
      <c r="BG5362" t="e" vm="2">
        <f t="shared" si="393"/>
        <v>#VALUE!</v>
      </c>
    </row>
    <row r="5363" spans="55:59" x14ac:dyDescent="0.2">
      <c r="BC5363" s="21" t="e" vm="1">
        <v>#REF!</v>
      </c>
      <c r="BD5363" t="e" vm="1">
        <v>#REF!</v>
      </c>
      <c r="BF5363" t="e" vm="2">
        <f t="shared" si="392"/>
        <v>#VALUE!</v>
      </c>
      <c r="BG5363" t="e" vm="2">
        <f t="shared" si="393"/>
        <v>#VALUE!</v>
      </c>
    </row>
    <row r="5364" spans="55:59" x14ac:dyDescent="0.2">
      <c r="BC5364" s="21" t="e" vm="1">
        <v>#REF!</v>
      </c>
      <c r="BD5364" t="e" vm="1">
        <v>#REF!</v>
      </c>
      <c r="BF5364" t="e" vm="2">
        <f t="shared" si="392"/>
        <v>#VALUE!</v>
      </c>
      <c r="BG5364" t="e" vm="2">
        <f t="shared" si="393"/>
        <v>#VALUE!</v>
      </c>
    </row>
    <row r="5365" spans="55:59" x14ac:dyDescent="0.2">
      <c r="BC5365" s="21" t="e" vm="1">
        <v>#REF!</v>
      </c>
      <c r="BD5365" t="e" vm="1">
        <v>#REF!</v>
      </c>
      <c r="BF5365" t="e" vm="2">
        <f t="shared" si="392"/>
        <v>#VALUE!</v>
      </c>
      <c r="BG5365" t="e" vm="2">
        <f t="shared" si="393"/>
        <v>#VALUE!</v>
      </c>
    </row>
    <row r="5366" spans="55:59" x14ac:dyDescent="0.2">
      <c r="BC5366" s="21" t="e" vm="1">
        <v>#REF!</v>
      </c>
      <c r="BD5366" t="e" vm="1">
        <v>#REF!</v>
      </c>
      <c r="BF5366" t="e" vm="2">
        <f t="shared" si="392"/>
        <v>#VALUE!</v>
      </c>
      <c r="BG5366" t="e" vm="2">
        <f t="shared" si="393"/>
        <v>#VALUE!</v>
      </c>
    </row>
    <row r="5367" spans="55:59" x14ac:dyDescent="0.2">
      <c r="BC5367" s="21" t="e" vm="1">
        <v>#REF!</v>
      </c>
      <c r="BD5367" t="e" vm="1">
        <v>#REF!</v>
      </c>
      <c r="BF5367" t="e" vm="2">
        <f t="shared" si="392"/>
        <v>#VALUE!</v>
      </c>
      <c r="BG5367" t="e" vm="2">
        <f t="shared" si="393"/>
        <v>#VALUE!</v>
      </c>
    </row>
    <row r="5368" spans="55:59" x14ac:dyDescent="0.2">
      <c r="BC5368" s="21" t="e" vm="1">
        <v>#REF!</v>
      </c>
      <c r="BD5368" t="e" vm="1">
        <v>#REF!</v>
      </c>
      <c r="BF5368" t="e" vm="2">
        <f t="shared" si="392"/>
        <v>#VALUE!</v>
      </c>
      <c r="BG5368" t="e" vm="2">
        <f t="shared" si="393"/>
        <v>#VALUE!</v>
      </c>
    </row>
    <row r="5369" spans="55:59" x14ac:dyDescent="0.2">
      <c r="BC5369" s="21" t="e" vm="1">
        <v>#REF!</v>
      </c>
      <c r="BD5369" t="e" vm="1">
        <v>#REF!</v>
      </c>
      <c r="BF5369" t="e" vm="2">
        <f t="shared" si="392"/>
        <v>#VALUE!</v>
      </c>
      <c r="BG5369" t="e" vm="2">
        <f t="shared" si="393"/>
        <v>#VALUE!</v>
      </c>
    </row>
    <row r="5370" spans="55:59" x14ac:dyDescent="0.2">
      <c r="BC5370" s="21" t="e" vm="1">
        <v>#REF!</v>
      </c>
      <c r="BD5370" t="e" vm="1">
        <v>#REF!</v>
      </c>
      <c r="BF5370" t="e" vm="2">
        <f t="shared" si="392"/>
        <v>#VALUE!</v>
      </c>
      <c r="BG5370" t="e" vm="2">
        <f t="shared" si="393"/>
        <v>#VALUE!</v>
      </c>
    </row>
    <row r="5371" spans="55:59" x14ac:dyDescent="0.2">
      <c r="BC5371" s="21" t="e" vm="1">
        <v>#REF!</v>
      </c>
      <c r="BD5371" t="e" vm="1">
        <v>#REF!</v>
      </c>
      <c r="BF5371" t="e" vm="2">
        <f t="shared" si="392"/>
        <v>#VALUE!</v>
      </c>
      <c r="BG5371" t="e" vm="2">
        <f t="shared" si="393"/>
        <v>#VALUE!</v>
      </c>
    </row>
    <row r="5372" spans="55:59" x14ac:dyDescent="0.2">
      <c r="BC5372" s="21" t="e" vm="1">
        <v>#REF!</v>
      </c>
      <c r="BD5372" t="e" vm="1">
        <v>#REF!</v>
      </c>
      <c r="BF5372" t="e" vm="2">
        <f t="shared" si="392"/>
        <v>#VALUE!</v>
      </c>
      <c r="BG5372" t="e" vm="2">
        <f t="shared" si="393"/>
        <v>#VALUE!</v>
      </c>
    </row>
    <row r="5373" spans="55:59" x14ac:dyDescent="0.2">
      <c r="BC5373" s="21" t="e" vm="1">
        <v>#REF!</v>
      </c>
      <c r="BD5373" t="e" vm="1">
        <v>#REF!</v>
      </c>
      <c r="BF5373" t="e" vm="2">
        <f t="shared" si="392"/>
        <v>#VALUE!</v>
      </c>
      <c r="BG5373" t="e" vm="2">
        <f t="shared" si="393"/>
        <v>#VALUE!</v>
      </c>
    </row>
    <row r="5374" spans="55:59" x14ac:dyDescent="0.2">
      <c r="BC5374" s="21" t="e" vm="1">
        <v>#REF!</v>
      </c>
      <c r="BD5374" t="e" vm="1">
        <v>#REF!</v>
      </c>
      <c r="BF5374" t="e" vm="2">
        <f t="shared" si="392"/>
        <v>#VALUE!</v>
      </c>
      <c r="BG5374" t="e" vm="2">
        <f t="shared" si="393"/>
        <v>#VALUE!</v>
      </c>
    </row>
    <row r="5375" spans="55:59" x14ac:dyDescent="0.2">
      <c r="BC5375" s="21" t="e" vm="1">
        <v>#REF!</v>
      </c>
      <c r="BD5375" t="e" vm="1">
        <v>#REF!</v>
      </c>
      <c r="BF5375" t="e" vm="2">
        <f t="shared" si="392"/>
        <v>#VALUE!</v>
      </c>
      <c r="BG5375" t="e" vm="2">
        <f t="shared" si="393"/>
        <v>#VALUE!</v>
      </c>
    </row>
    <row r="5376" spans="55:59" x14ac:dyDescent="0.2">
      <c r="BC5376" s="21" t="e" vm="1">
        <v>#REF!</v>
      </c>
      <c r="BD5376" t="e" vm="1">
        <v>#REF!</v>
      </c>
      <c r="BF5376" t="e" vm="2">
        <f t="shared" si="392"/>
        <v>#VALUE!</v>
      </c>
      <c r="BG5376" t="e" vm="2">
        <f t="shared" si="393"/>
        <v>#VALUE!</v>
      </c>
    </row>
    <row r="5377" spans="55:59" x14ac:dyDescent="0.2">
      <c r="BC5377" s="21" t="e" vm="1">
        <v>#REF!</v>
      </c>
      <c r="BD5377" t="e" vm="1">
        <v>#REF!</v>
      </c>
      <c r="BF5377" t="e" vm="2">
        <f t="shared" si="392"/>
        <v>#VALUE!</v>
      </c>
      <c r="BG5377" t="e" vm="2">
        <f t="shared" si="393"/>
        <v>#VALUE!</v>
      </c>
    </row>
    <row r="5378" spans="55:59" x14ac:dyDescent="0.2">
      <c r="BC5378" s="21" t="e" vm="1">
        <v>#REF!</v>
      </c>
      <c r="BD5378" t="e" vm="1">
        <v>#REF!</v>
      </c>
      <c r="BF5378" t="e" vm="2">
        <f t="shared" si="392"/>
        <v>#VALUE!</v>
      </c>
      <c r="BG5378" t="e" vm="2">
        <f t="shared" si="393"/>
        <v>#VALUE!</v>
      </c>
    </row>
    <row r="5379" spans="55:59" x14ac:dyDescent="0.2">
      <c r="BC5379" s="21" t="e" vm="1">
        <v>#REF!</v>
      </c>
      <c r="BD5379" t="e" vm="1">
        <v>#REF!</v>
      </c>
      <c r="BF5379" t="e" vm="2">
        <f t="shared" ref="BF5379:BF5442" si="394">MONTH(BC5379)</f>
        <v>#VALUE!</v>
      </c>
      <c r="BG5379" t="e" vm="2">
        <f t="shared" ref="BG5379:BG5442" si="395">YEAR(BC5379)</f>
        <v>#VALUE!</v>
      </c>
    </row>
    <row r="5380" spans="55:59" x14ac:dyDescent="0.2">
      <c r="BC5380" s="21" t="e" vm="1">
        <v>#REF!</v>
      </c>
      <c r="BD5380" t="e" vm="1">
        <v>#REF!</v>
      </c>
      <c r="BF5380" t="e" vm="2">
        <f t="shared" si="394"/>
        <v>#VALUE!</v>
      </c>
      <c r="BG5380" t="e" vm="2">
        <f t="shared" si="395"/>
        <v>#VALUE!</v>
      </c>
    </row>
    <row r="5381" spans="55:59" x14ac:dyDescent="0.2">
      <c r="BC5381" s="21" t="e" vm="1">
        <v>#REF!</v>
      </c>
      <c r="BD5381" t="e" vm="1">
        <v>#REF!</v>
      </c>
      <c r="BF5381" t="e" vm="2">
        <f t="shared" si="394"/>
        <v>#VALUE!</v>
      </c>
      <c r="BG5381" t="e" vm="2">
        <f t="shared" si="395"/>
        <v>#VALUE!</v>
      </c>
    </row>
    <row r="5382" spans="55:59" x14ac:dyDescent="0.2">
      <c r="BC5382" s="21" t="e" vm="1">
        <v>#REF!</v>
      </c>
      <c r="BD5382" t="e" vm="1">
        <v>#REF!</v>
      </c>
      <c r="BF5382" t="e" vm="2">
        <f t="shared" si="394"/>
        <v>#VALUE!</v>
      </c>
      <c r="BG5382" t="e" vm="2">
        <f t="shared" si="395"/>
        <v>#VALUE!</v>
      </c>
    </row>
    <row r="5383" spans="55:59" x14ac:dyDescent="0.2">
      <c r="BC5383" s="21" t="e" vm="1">
        <v>#REF!</v>
      </c>
      <c r="BD5383" t="e" vm="1">
        <v>#REF!</v>
      </c>
      <c r="BF5383" t="e" vm="2">
        <f t="shared" si="394"/>
        <v>#VALUE!</v>
      </c>
      <c r="BG5383" t="e" vm="2">
        <f t="shared" si="395"/>
        <v>#VALUE!</v>
      </c>
    </row>
    <row r="5384" spans="55:59" x14ac:dyDescent="0.2">
      <c r="BC5384" s="21" t="e" vm="1">
        <v>#REF!</v>
      </c>
      <c r="BD5384" t="e" vm="1">
        <v>#REF!</v>
      </c>
      <c r="BF5384" t="e" vm="2">
        <f t="shared" si="394"/>
        <v>#VALUE!</v>
      </c>
      <c r="BG5384" t="e" vm="2">
        <f t="shared" si="395"/>
        <v>#VALUE!</v>
      </c>
    </row>
    <row r="5385" spans="55:59" x14ac:dyDescent="0.2">
      <c r="BC5385" s="21" t="e" vm="1">
        <v>#REF!</v>
      </c>
      <c r="BD5385" t="e" vm="1">
        <v>#REF!</v>
      </c>
      <c r="BF5385" t="e" vm="2">
        <f t="shared" si="394"/>
        <v>#VALUE!</v>
      </c>
      <c r="BG5385" t="e" vm="2">
        <f t="shared" si="395"/>
        <v>#VALUE!</v>
      </c>
    </row>
    <row r="5386" spans="55:59" x14ac:dyDescent="0.2">
      <c r="BC5386" s="21" t="e" vm="1">
        <v>#REF!</v>
      </c>
      <c r="BD5386" t="e" vm="1">
        <v>#REF!</v>
      </c>
      <c r="BF5386" t="e" vm="2">
        <f t="shared" si="394"/>
        <v>#VALUE!</v>
      </c>
      <c r="BG5386" t="e" vm="2">
        <f t="shared" si="395"/>
        <v>#VALUE!</v>
      </c>
    </row>
    <row r="5387" spans="55:59" x14ac:dyDescent="0.2">
      <c r="BC5387" s="21" t="e" vm="1">
        <v>#REF!</v>
      </c>
      <c r="BD5387" t="e" vm="1">
        <v>#REF!</v>
      </c>
      <c r="BF5387" t="e" vm="2">
        <f t="shared" si="394"/>
        <v>#VALUE!</v>
      </c>
      <c r="BG5387" t="e" vm="2">
        <f t="shared" si="395"/>
        <v>#VALUE!</v>
      </c>
    </row>
    <row r="5388" spans="55:59" x14ac:dyDescent="0.2">
      <c r="BC5388" s="21" t="e" vm="1">
        <v>#REF!</v>
      </c>
      <c r="BD5388" t="e" vm="1">
        <v>#REF!</v>
      </c>
      <c r="BF5388" t="e" vm="2">
        <f t="shared" si="394"/>
        <v>#VALUE!</v>
      </c>
      <c r="BG5388" t="e" vm="2">
        <f t="shared" si="395"/>
        <v>#VALUE!</v>
      </c>
    </row>
    <row r="5389" spans="55:59" x14ac:dyDescent="0.2">
      <c r="BC5389" s="21" t="e" vm="1">
        <v>#REF!</v>
      </c>
      <c r="BD5389" t="e" vm="1">
        <v>#REF!</v>
      </c>
      <c r="BF5389" t="e" vm="2">
        <f t="shared" si="394"/>
        <v>#VALUE!</v>
      </c>
      <c r="BG5389" t="e" vm="2">
        <f t="shared" si="395"/>
        <v>#VALUE!</v>
      </c>
    </row>
    <row r="5390" spans="55:59" x14ac:dyDescent="0.2">
      <c r="BC5390" s="21" t="e" vm="1">
        <v>#REF!</v>
      </c>
      <c r="BD5390" t="e" vm="1">
        <v>#REF!</v>
      </c>
      <c r="BF5390" t="e" vm="2">
        <f t="shared" si="394"/>
        <v>#VALUE!</v>
      </c>
      <c r="BG5390" t="e" vm="2">
        <f t="shared" si="395"/>
        <v>#VALUE!</v>
      </c>
    </row>
    <row r="5391" spans="55:59" x14ac:dyDescent="0.2">
      <c r="BC5391" s="21" t="e" vm="1">
        <v>#REF!</v>
      </c>
      <c r="BD5391" t="e" vm="1">
        <v>#REF!</v>
      </c>
      <c r="BF5391" t="e" vm="2">
        <f t="shared" si="394"/>
        <v>#VALUE!</v>
      </c>
      <c r="BG5391" t="e" vm="2">
        <f t="shared" si="395"/>
        <v>#VALUE!</v>
      </c>
    </row>
    <row r="5392" spans="55:59" x14ac:dyDescent="0.2">
      <c r="BC5392" s="21" t="e" vm="1">
        <v>#REF!</v>
      </c>
      <c r="BD5392" t="e" vm="1">
        <v>#REF!</v>
      </c>
      <c r="BF5392" t="e" vm="2">
        <f t="shared" si="394"/>
        <v>#VALUE!</v>
      </c>
      <c r="BG5392" t="e" vm="2">
        <f t="shared" si="395"/>
        <v>#VALUE!</v>
      </c>
    </row>
    <row r="5393" spans="55:59" x14ac:dyDescent="0.2">
      <c r="BC5393" s="21" t="e" vm="1">
        <v>#REF!</v>
      </c>
      <c r="BD5393" t="e" vm="1">
        <v>#REF!</v>
      </c>
      <c r="BF5393" t="e" vm="2">
        <f t="shared" si="394"/>
        <v>#VALUE!</v>
      </c>
      <c r="BG5393" t="e" vm="2">
        <f t="shared" si="395"/>
        <v>#VALUE!</v>
      </c>
    </row>
    <row r="5394" spans="55:59" x14ac:dyDescent="0.2">
      <c r="BC5394" s="21" t="e" vm="1">
        <v>#REF!</v>
      </c>
      <c r="BD5394" t="e" vm="1">
        <v>#REF!</v>
      </c>
      <c r="BF5394" t="e" vm="2">
        <f t="shared" si="394"/>
        <v>#VALUE!</v>
      </c>
      <c r="BG5394" t="e" vm="2">
        <f t="shared" si="395"/>
        <v>#VALUE!</v>
      </c>
    </row>
    <row r="5395" spans="55:59" x14ac:dyDescent="0.2">
      <c r="BC5395" s="21" t="e" vm="1">
        <v>#REF!</v>
      </c>
      <c r="BD5395" t="e" vm="1">
        <v>#REF!</v>
      </c>
      <c r="BF5395" t="e" vm="2">
        <f t="shared" si="394"/>
        <v>#VALUE!</v>
      </c>
      <c r="BG5395" t="e" vm="2">
        <f t="shared" si="395"/>
        <v>#VALUE!</v>
      </c>
    </row>
    <row r="5396" spans="55:59" x14ac:dyDescent="0.2">
      <c r="BC5396" s="21" t="e" vm="1">
        <v>#REF!</v>
      </c>
      <c r="BD5396" t="e" vm="1">
        <v>#REF!</v>
      </c>
      <c r="BF5396" t="e" vm="2">
        <f t="shared" si="394"/>
        <v>#VALUE!</v>
      </c>
      <c r="BG5396" t="e" vm="2">
        <f t="shared" si="395"/>
        <v>#VALUE!</v>
      </c>
    </row>
    <row r="5397" spans="55:59" x14ac:dyDescent="0.2">
      <c r="BC5397" s="21" t="e" vm="1">
        <v>#REF!</v>
      </c>
      <c r="BD5397" t="e" vm="1">
        <v>#REF!</v>
      </c>
      <c r="BF5397" t="e" vm="2">
        <f t="shared" si="394"/>
        <v>#VALUE!</v>
      </c>
      <c r="BG5397" t="e" vm="2">
        <f t="shared" si="395"/>
        <v>#VALUE!</v>
      </c>
    </row>
    <row r="5398" spans="55:59" x14ac:dyDescent="0.2">
      <c r="BC5398" s="21" t="e" vm="1">
        <v>#REF!</v>
      </c>
      <c r="BD5398" t="e" vm="1">
        <v>#REF!</v>
      </c>
      <c r="BF5398" t="e" vm="2">
        <f t="shared" si="394"/>
        <v>#VALUE!</v>
      </c>
      <c r="BG5398" t="e" vm="2">
        <f t="shared" si="395"/>
        <v>#VALUE!</v>
      </c>
    </row>
    <row r="5399" spans="55:59" x14ac:dyDescent="0.2">
      <c r="BC5399" s="21" t="e" vm="1">
        <v>#REF!</v>
      </c>
      <c r="BD5399" t="e" vm="1">
        <v>#REF!</v>
      </c>
      <c r="BF5399" t="e" vm="2">
        <f t="shared" si="394"/>
        <v>#VALUE!</v>
      </c>
      <c r="BG5399" t="e" vm="2">
        <f t="shared" si="395"/>
        <v>#VALUE!</v>
      </c>
    </row>
    <row r="5400" spans="55:59" x14ac:dyDescent="0.2">
      <c r="BC5400" s="21" t="e" vm="1">
        <v>#REF!</v>
      </c>
      <c r="BD5400" t="e" vm="1">
        <v>#REF!</v>
      </c>
      <c r="BF5400" t="e" vm="2">
        <f t="shared" si="394"/>
        <v>#VALUE!</v>
      </c>
      <c r="BG5400" t="e" vm="2">
        <f t="shared" si="395"/>
        <v>#VALUE!</v>
      </c>
    </row>
    <row r="5401" spans="55:59" x14ac:dyDescent="0.2">
      <c r="BC5401" s="21" t="e" vm="1">
        <v>#REF!</v>
      </c>
      <c r="BD5401" t="e" vm="1">
        <v>#REF!</v>
      </c>
      <c r="BF5401" t="e" vm="2">
        <f t="shared" si="394"/>
        <v>#VALUE!</v>
      </c>
      <c r="BG5401" t="e" vm="2">
        <f t="shared" si="395"/>
        <v>#VALUE!</v>
      </c>
    </row>
    <row r="5402" spans="55:59" x14ac:dyDescent="0.2">
      <c r="BC5402" s="21" t="e" vm="1">
        <v>#REF!</v>
      </c>
      <c r="BD5402" t="e" vm="1">
        <v>#REF!</v>
      </c>
      <c r="BF5402" t="e" vm="2">
        <f t="shared" si="394"/>
        <v>#VALUE!</v>
      </c>
      <c r="BG5402" t="e" vm="2">
        <f t="shared" si="395"/>
        <v>#VALUE!</v>
      </c>
    </row>
    <row r="5403" spans="55:59" x14ac:dyDescent="0.2">
      <c r="BC5403" s="21" t="e" vm="1">
        <v>#REF!</v>
      </c>
      <c r="BD5403" t="e" vm="1">
        <v>#REF!</v>
      </c>
      <c r="BF5403" t="e" vm="2">
        <f t="shared" si="394"/>
        <v>#VALUE!</v>
      </c>
      <c r="BG5403" t="e" vm="2">
        <f t="shared" si="395"/>
        <v>#VALUE!</v>
      </c>
    </row>
    <row r="5404" spans="55:59" x14ac:dyDescent="0.2">
      <c r="BC5404" s="21" t="e" vm="1">
        <v>#REF!</v>
      </c>
      <c r="BD5404" t="e" vm="1">
        <v>#REF!</v>
      </c>
      <c r="BF5404" t="e" vm="2">
        <f t="shared" si="394"/>
        <v>#VALUE!</v>
      </c>
      <c r="BG5404" t="e" vm="2">
        <f t="shared" si="395"/>
        <v>#VALUE!</v>
      </c>
    </row>
    <row r="5405" spans="55:59" x14ac:dyDescent="0.2">
      <c r="BC5405" s="21" t="e" vm="1">
        <v>#REF!</v>
      </c>
      <c r="BD5405" t="e" vm="1">
        <v>#REF!</v>
      </c>
      <c r="BF5405" t="e" vm="2">
        <f t="shared" si="394"/>
        <v>#VALUE!</v>
      </c>
      <c r="BG5405" t="e" vm="2">
        <f t="shared" si="395"/>
        <v>#VALUE!</v>
      </c>
    </row>
    <row r="5406" spans="55:59" x14ac:dyDescent="0.2">
      <c r="BC5406" s="21" t="e" vm="1">
        <v>#REF!</v>
      </c>
      <c r="BD5406" t="e" vm="1">
        <v>#REF!</v>
      </c>
      <c r="BF5406" t="e" vm="2">
        <f t="shared" si="394"/>
        <v>#VALUE!</v>
      </c>
      <c r="BG5406" t="e" vm="2">
        <f t="shared" si="395"/>
        <v>#VALUE!</v>
      </c>
    </row>
    <row r="5407" spans="55:59" x14ac:dyDescent="0.2">
      <c r="BC5407" s="21" t="e" vm="1">
        <v>#REF!</v>
      </c>
      <c r="BD5407" t="e" vm="1">
        <v>#REF!</v>
      </c>
      <c r="BF5407" t="e" vm="2">
        <f t="shared" si="394"/>
        <v>#VALUE!</v>
      </c>
      <c r="BG5407" t="e" vm="2">
        <f t="shared" si="395"/>
        <v>#VALUE!</v>
      </c>
    </row>
    <row r="5408" spans="55:59" x14ac:dyDescent="0.2">
      <c r="BC5408" s="21" t="e" vm="1">
        <v>#REF!</v>
      </c>
      <c r="BD5408" t="e" vm="1">
        <v>#REF!</v>
      </c>
      <c r="BF5408" t="e" vm="2">
        <f t="shared" si="394"/>
        <v>#VALUE!</v>
      </c>
      <c r="BG5408" t="e" vm="2">
        <f t="shared" si="395"/>
        <v>#VALUE!</v>
      </c>
    </row>
    <row r="5409" spans="55:59" x14ac:dyDescent="0.2">
      <c r="BC5409" s="21" t="e" vm="1">
        <v>#REF!</v>
      </c>
      <c r="BD5409" t="e" vm="1">
        <v>#REF!</v>
      </c>
      <c r="BF5409" t="e" vm="2">
        <f t="shared" si="394"/>
        <v>#VALUE!</v>
      </c>
      <c r="BG5409" t="e" vm="2">
        <f t="shared" si="395"/>
        <v>#VALUE!</v>
      </c>
    </row>
    <row r="5410" spans="55:59" x14ac:dyDescent="0.2">
      <c r="BC5410" s="21" t="e" vm="1">
        <v>#REF!</v>
      </c>
      <c r="BD5410" t="e" vm="1">
        <v>#REF!</v>
      </c>
      <c r="BF5410" t="e" vm="2">
        <f t="shared" si="394"/>
        <v>#VALUE!</v>
      </c>
      <c r="BG5410" t="e" vm="2">
        <f t="shared" si="395"/>
        <v>#VALUE!</v>
      </c>
    </row>
    <row r="5411" spans="55:59" x14ac:dyDescent="0.2">
      <c r="BC5411" s="21" t="e" vm="1">
        <v>#REF!</v>
      </c>
      <c r="BD5411" t="e" vm="1">
        <v>#REF!</v>
      </c>
      <c r="BF5411" t="e" vm="2">
        <f t="shared" si="394"/>
        <v>#VALUE!</v>
      </c>
      <c r="BG5411" t="e" vm="2">
        <f t="shared" si="395"/>
        <v>#VALUE!</v>
      </c>
    </row>
    <row r="5412" spans="55:59" x14ac:dyDescent="0.2">
      <c r="BC5412" s="21" t="e" vm="1">
        <v>#REF!</v>
      </c>
      <c r="BD5412" t="e" vm="1">
        <v>#REF!</v>
      </c>
      <c r="BF5412" t="e" vm="2">
        <f t="shared" si="394"/>
        <v>#VALUE!</v>
      </c>
      <c r="BG5412" t="e" vm="2">
        <f t="shared" si="395"/>
        <v>#VALUE!</v>
      </c>
    </row>
    <row r="5413" spans="55:59" x14ac:dyDescent="0.2">
      <c r="BC5413" s="21" t="e" vm="1">
        <v>#REF!</v>
      </c>
      <c r="BD5413" t="e" vm="1">
        <v>#REF!</v>
      </c>
      <c r="BF5413" t="e" vm="2">
        <f t="shared" si="394"/>
        <v>#VALUE!</v>
      </c>
      <c r="BG5413" t="e" vm="2">
        <f t="shared" si="395"/>
        <v>#VALUE!</v>
      </c>
    </row>
    <row r="5414" spans="55:59" x14ac:dyDescent="0.2">
      <c r="BC5414" s="21" t="e" vm="1">
        <v>#REF!</v>
      </c>
      <c r="BD5414" t="e" vm="1">
        <v>#REF!</v>
      </c>
      <c r="BF5414" t="e" vm="2">
        <f t="shared" si="394"/>
        <v>#VALUE!</v>
      </c>
      <c r="BG5414" t="e" vm="2">
        <f t="shared" si="395"/>
        <v>#VALUE!</v>
      </c>
    </row>
    <row r="5415" spans="55:59" x14ac:dyDescent="0.2">
      <c r="BC5415" s="21" t="e" vm="1">
        <v>#REF!</v>
      </c>
      <c r="BD5415" t="e" vm="1">
        <v>#REF!</v>
      </c>
      <c r="BF5415" t="e" vm="2">
        <f t="shared" si="394"/>
        <v>#VALUE!</v>
      </c>
      <c r="BG5415" t="e" vm="2">
        <f t="shared" si="395"/>
        <v>#VALUE!</v>
      </c>
    </row>
    <row r="5416" spans="55:59" x14ac:dyDescent="0.2">
      <c r="BC5416" s="21" t="e" vm="1">
        <v>#REF!</v>
      </c>
      <c r="BD5416" t="e" vm="1">
        <v>#REF!</v>
      </c>
      <c r="BF5416" t="e" vm="2">
        <f t="shared" si="394"/>
        <v>#VALUE!</v>
      </c>
      <c r="BG5416" t="e" vm="2">
        <f t="shared" si="395"/>
        <v>#VALUE!</v>
      </c>
    </row>
    <row r="5417" spans="55:59" x14ac:dyDescent="0.2">
      <c r="BC5417" s="21" t="e" vm="1">
        <v>#REF!</v>
      </c>
      <c r="BD5417" t="e" vm="1">
        <v>#REF!</v>
      </c>
      <c r="BF5417" t="e" vm="2">
        <f t="shared" si="394"/>
        <v>#VALUE!</v>
      </c>
      <c r="BG5417" t="e" vm="2">
        <f t="shared" si="395"/>
        <v>#VALUE!</v>
      </c>
    </row>
    <row r="5418" spans="55:59" x14ac:dyDescent="0.2">
      <c r="BC5418" s="21" t="e" vm="1">
        <v>#REF!</v>
      </c>
      <c r="BD5418" t="e" vm="1">
        <v>#REF!</v>
      </c>
      <c r="BF5418" t="e" vm="2">
        <f t="shared" si="394"/>
        <v>#VALUE!</v>
      </c>
      <c r="BG5418" t="e" vm="2">
        <f t="shared" si="395"/>
        <v>#VALUE!</v>
      </c>
    </row>
    <row r="5419" spans="55:59" x14ac:dyDescent="0.2">
      <c r="BC5419" s="21" t="e" vm="1">
        <v>#REF!</v>
      </c>
      <c r="BD5419" t="e" vm="1">
        <v>#REF!</v>
      </c>
      <c r="BF5419" t="e" vm="2">
        <f t="shared" si="394"/>
        <v>#VALUE!</v>
      </c>
      <c r="BG5419" t="e" vm="2">
        <f t="shared" si="395"/>
        <v>#VALUE!</v>
      </c>
    </row>
    <row r="5420" spans="55:59" x14ac:dyDescent="0.2">
      <c r="BC5420" s="21" t="e" vm="1">
        <v>#REF!</v>
      </c>
      <c r="BD5420" t="e" vm="1">
        <v>#REF!</v>
      </c>
      <c r="BF5420" t="e" vm="2">
        <f t="shared" si="394"/>
        <v>#VALUE!</v>
      </c>
      <c r="BG5420" t="e" vm="2">
        <f t="shared" si="395"/>
        <v>#VALUE!</v>
      </c>
    </row>
    <row r="5421" spans="55:59" x14ac:dyDescent="0.2">
      <c r="BC5421" s="21" t="e" vm="1">
        <v>#REF!</v>
      </c>
      <c r="BD5421" t="e" vm="1">
        <v>#REF!</v>
      </c>
      <c r="BF5421" t="e" vm="2">
        <f t="shared" si="394"/>
        <v>#VALUE!</v>
      </c>
      <c r="BG5421" t="e" vm="2">
        <f t="shared" si="395"/>
        <v>#VALUE!</v>
      </c>
    </row>
    <row r="5422" spans="55:59" x14ac:dyDescent="0.2">
      <c r="BC5422" s="21" t="e" vm="1">
        <v>#REF!</v>
      </c>
      <c r="BD5422" t="e" vm="1">
        <v>#REF!</v>
      </c>
      <c r="BF5422" t="e" vm="2">
        <f t="shared" si="394"/>
        <v>#VALUE!</v>
      </c>
      <c r="BG5422" t="e" vm="2">
        <f t="shared" si="395"/>
        <v>#VALUE!</v>
      </c>
    </row>
    <row r="5423" spans="55:59" x14ac:dyDescent="0.2">
      <c r="BC5423" s="21" t="e" vm="1">
        <v>#REF!</v>
      </c>
      <c r="BD5423" t="e" vm="1">
        <v>#REF!</v>
      </c>
      <c r="BF5423" t="e" vm="2">
        <f t="shared" si="394"/>
        <v>#VALUE!</v>
      </c>
      <c r="BG5423" t="e" vm="2">
        <f t="shared" si="395"/>
        <v>#VALUE!</v>
      </c>
    </row>
    <row r="5424" spans="55:59" x14ac:dyDescent="0.2">
      <c r="BC5424" s="21" t="e" vm="1">
        <v>#REF!</v>
      </c>
      <c r="BD5424" t="e" vm="1">
        <v>#REF!</v>
      </c>
      <c r="BF5424" t="e" vm="2">
        <f t="shared" si="394"/>
        <v>#VALUE!</v>
      </c>
      <c r="BG5424" t="e" vm="2">
        <f t="shared" si="395"/>
        <v>#VALUE!</v>
      </c>
    </row>
    <row r="5425" spans="55:59" x14ac:dyDescent="0.2">
      <c r="BC5425" s="21" t="e" vm="1">
        <v>#REF!</v>
      </c>
      <c r="BD5425" t="e" vm="1">
        <v>#REF!</v>
      </c>
      <c r="BF5425" t="e" vm="2">
        <f t="shared" si="394"/>
        <v>#VALUE!</v>
      </c>
      <c r="BG5425" t="e" vm="2">
        <f t="shared" si="395"/>
        <v>#VALUE!</v>
      </c>
    </row>
    <row r="5426" spans="55:59" x14ac:dyDescent="0.2">
      <c r="BC5426" s="21" t="e" vm="1">
        <v>#REF!</v>
      </c>
      <c r="BD5426" t="e" vm="1">
        <v>#REF!</v>
      </c>
      <c r="BF5426" t="e" vm="2">
        <f t="shared" si="394"/>
        <v>#VALUE!</v>
      </c>
      <c r="BG5426" t="e" vm="2">
        <f t="shared" si="395"/>
        <v>#VALUE!</v>
      </c>
    </row>
    <row r="5427" spans="55:59" x14ac:dyDescent="0.2">
      <c r="BC5427" s="21" t="e" vm="1">
        <v>#REF!</v>
      </c>
      <c r="BD5427" t="e" vm="1">
        <v>#REF!</v>
      </c>
      <c r="BF5427" t="e" vm="2">
        <f t="shared" si="394"/>
        <v>#VALUE!</v>
      </c>
      <c r="BG5427" t="e" vm="2">
        <f t="shared" si="395"/>
        <v>#VALUE!</v>
      </c>
    </row>
    <row r="5428" spans="55:59" x14ac:dyDescent="0.2">
      <c r="BC5428" s="21" t="e" vm="1">
        <v>#REF!</v>
      </c>
      <c r="BD5428" t="e" vm="1">
        <v>#REF!</v>
      </c>
      <c r="BF5428" t="e" vm="2">
        <f t="shared" si="394"/>
        <v>#VALUE!</v>
      </c>
      <c r="BG5428" t="e" vm="2">
        <f t="shared" si="395"/>
        <v>#VALUE!</v>
      </c>
    </row>
    <row r="5429" spans="55:59" x14ac:dyDescent="0.2">
      <c r="BC5429" s="21" t="e" vm="1">
        <v>#REF!</v>
      </c>
      <c r="BD5429" t="e" vm="1">
        <v>#REF!</v>
      </c>
      <c r="BF5429" t="e" vm="2">
        <f t="shared" si="394"/>
        <v>#VALUE!</v>
      </c>
      <c r="BG5429" t="e" vm="2">
        <f t="shared" si="395"/>
        <v>#VALUE!</v>
      </c>
    </row>
    <row r="5430" spans="55:59" x14ac:dyDescent="0.2">
      <c r="BC5430" s="21" t="e" vm="1">
        <v>#REF!</v>
      </c>
      <c r="BD5430" t="e" vm="1">
        <v>#REF!</v>
      </c>
      <c r="BF5430" t="e" vm="2">
        <f t="shared" si="394"/>
        <v>#VALUE!</v>
      </c>
      <c r="BG5430" t="e" vm="2">
        <f t="shared" si="395"/>
        <v>#VALUE!</v>
      </c>
    </row>
    <row r="5431" spans="55:59" x14ac:dyDescent="0.2">
      <c r="BC5431" s="21" t="e" vm="1">
        <v>#REF!</v>
      </c>
      <c r="BD5431" t="e" vm="1">
        <v>#REF!</v>
      </c>
      <c r="BF5431" t="e" vm="2">
        <f t="shared" si="394"/>
        <v>#VALUE!</v>
      </c>
      <c r="BG5431" t="e" vm="2">
        <f t="shared" si="395"/>
        <v>#VALUE!</v>
      </c>
    </row>
    <row r="5432" spans="55:59" x14ac:dyDescent="0.2">
      <c r="BC5432" s="21" t="e" vm="1">
        <v>#REF!</v>
      </c>
      <c r="BD5432" t="e" vm="1">
        <v>#REF!</v>
      </c>
      <c r="BF5432" t="e" vm="2">
        <f t="shared" si="394"/>
        <v>#VALUE!</v>
      </c>
      <c r="BG5432" t="e" vm="2">
        <f t="shared" si="395"/>
        <v>#VALUE!</v>
      </c>
    </row>
    <row r="5433" spans="55:59" x14ac:dyDescent="0.2">
      <c r="BC5433" s="21" t="e" vm="1">
        <v>#REF!</v>
      </c>
      <c r="BD5433" t="e" vm="1">
        <v>#REF!</v>
      </c>
      <c r="BF5433" t="e" vm="2">
        <f t="shared" si="394"/>
        <v>#VALUE!</v>
      </c>
      <c r="BG5433" t="e" vm="2">
        <f t="shared" si="395"/>
        <v>#VALUE!</v>
      </c>
    </row>
    <row r="5434" spans="55:59" x14ac:dyDescent="0.2">
      <c r="BC5434" s="21" t="e" vm="1">
        <v>#REF!</v>
      </c>
      <c r="BD5434" t="e" vm="1">
        <v>#REF!</v>
      </c>
      <c r="BF5434" t="e" vm="2">
        <f t="shared" si="394"/>
        <v>#VALUE!</v>
      </c>
      <c r="BG5434" t="e" vm="2">
        <f t="shared" si="395"/>
        <v>#VALUE!</v>
      </c>
    </row>
    <row r="5435" spans="55:59" x14ac:dyDescent="0.2">
      <c r="BC5435" s="21" t="e" vm="1">
        <v>#REF!</v>
      </c>
      <c r="BD5435" t="e" vm="1">
        <v>#REF!</v>
      </c>
      <c r="BF5435" t="e" vm="2">
        <f t="shared" si="394"/>
        <v>#VALUE!</v>
      </c>
      <c r="BG5435" t="e" vm="2">
        <f t="shared" si="395"/>
        <v>#VALUE!</v>
      </c>
    </row>
    <row r="5436" spans="55:59" x14ac:dyDescent="0.2">
      <c r="BC5436" s="21" t="e" vm="1">
        <v>#REF!</v>
      </c>
      <c r="BD5436" t="e" vm="1">
        <v>#REF!</v>
      </c>
      <c r="BF5436" t="e" vm="2">
        <f t="shared" si="394"/>
        <v>#VALUE!</v>
      </c>
      <c r="BG5436" t="e" vm="2">
        <f t="shared" si="395"/>
        <v>#VALUE!</v>
      </c>
    </row>
    <row r="5437" spans="55:59" x14ac:dyDescent="0.2">
      <c r="BC5437" s="21" t="e" vm="1">
        <v>#REF!</v>
      </c>
      <c r="BD5437" t="e" vm="1">
        <v>#REF!</v>
      </c>
      <c r="BF5437" t="e" vm="2">
        <f t="shared" si="394"/>
        <v>#VALUE!</v>
      </c>
      <c r="BG5437" t="e" vm="2">
        <f t="shared" si="395"/>
        <v>#VALUE!</v>
      </c>
    </row>
    <row r="5438" spans="55:59" x14ac:dyDescent="0.2">
      <c r="BC5438" s="21" t="e" vm="1">
        <v>#REF!</v>
      </c>
      <c r="BD5438" t="e" vm="1">
        <v>#REF!</v>
      </c>
      <c r="BF5438" t="e" vm="2">
        <f t="shared" si="394"/>
        <v>#VALUE!</v>
      </c>
      <c r="BG5438" t="e" vm="2">
        <f t="shared" si="395"/>
        <v>#VALUE!</v>
      </c>
    </row>
    <row r="5439" spans="55:59" x14ac:dyDescent="0.2">
      <c r="BC5439" s="21" t="e" vm="1">
        <v>#REF!</v>
      </c>
      <c r="BD5439" t="e" vm="1">
        <v>#REF!</v>
      </c>
      <c r="BF5439" t="e" vm="2">
        <f t="shared" si="394"/>
        <v>#VALUE!</v>
      </c>
      <c r="BG5439" t="e" vm="2">
        <f t="shared" si="395"/>
        <v>#VALUE!</v>
      </c>
    </row>
    <row r="5440" spans="55:59" x14ac:dyDescent="0.2">
      <c r="BC5440" s="21" t="e" vm="1">
        <v>#REF!</v>
      </c>
      <c r="BD5440" t="e" vm="1">
        <v>#REF!</v>
      </c>
      <c r="BF5440" t="e" vm="2">
        <f t="shared" si="394"/>
        <v>#VALUE!</v>
      </c>
      <c r="BG5440" t="e" vm="2">
        <f t="shared" si="395"/>
        <v>#VALUE!</v>
      </c>
    </row>
    <row r="5441" spans="55:59" x14ac:dyDescent="0.2">
      <c r="BC5441" s="21" t="e" vm="1">
        <v>#REF!</v>
      </c>
      <c r="BD5441" t="e" vm="1">
        <v>#REF!</v>
      </c>
      <c r="BF5441" t="e" vm="2">
        <f t="shared" si="394"/>
        <v>#VALUE!</v>
      </c>
      <c r="BG5441" t="e" vm="2">
        <f t="shared" si="395"/>
        <v>#VALUE!</v>
      </c>
    </row>
    <row r="5442" spans="55:59" x14ac:dyDescent="0.2">
      <c r="BC5442" s="21" t="e" vm="1">
        <v>#REF!</v>
      </c>
      <c r="BD5442" t="e" vm="1">
        <v>#REF!</v>
      </c>
      <c r="BF5442" t="e" vm="2">
        <f t="shared" si="394"/>
        <v>#VALUE!</v>
      </c>
      <c r="BG5442" t="e" vm="2">
        <f t="shared" si="395"/>
        <v>#VALUE!</v>
      </c>
    </row>
    <row r="5443" spans="55:59" x14ac:dyDescent="0.2">
      <c r="BC5443" s="21" t="e" vm="1">
        <v>#REF!</v>
      </c>
      <c r="BD5443" t="e" vm="1">
        <v>#REF!</v>
      </c>
      <c r="BF5443" t="e" vm="2">
        <f t="shared" ref="BF5443:BF5506" si="396">MONTH(BC5443)</f>
        <v>#VALUE!</v>
      </c>
      <c r="BG5443" t="e" vm="2">
        <f t="shared" ref="BG5443:BG5506" si="397">YEAR(BC5443)</f>
        <v>#VALUE!</v>
      </c>
    </row>
    <row r="5444" spans="55:59" x14ac:dyDescent="0.2">
      <c r="BC5444" s="21" t="e" vm="1">
        <v>#REF!</v>
      </c>
      <c r="BD5444" t="e" vm="1">
        <v>#REF!</v>
      </c>
      <c r="BF5444" t="e" vm="2">
        <f t="shared" si="396"/>
        <v>#VALUE!</v>
      </c>
      <c r="BG5444" t="e" vm="2">
        <f t="shared" si="397"/>
        <v>#VALUE!</v>
      </c>
    </row>
    <row r="5445" spans="55:59" x14ac:dyDescent="0.2">
      <c r="BC5445" s="21" t="e" vm="1">
        <v>#REF!</v>
      </c>
      <c r="BD5445" t="e" vm="1">
        <v>#REF!</v>
      </c>
      <c r="BF5445" t="e" vm="2">
        <f t="shared" si="396"/>
        <v>#VALUE!</v>
      </c>
      <c r="BG5445" t="e" vm="2">
        <f t="shared" si="397"/>
        <v>#VALUE!</v>
      </c>
    </row>
    <row r="5446" spans="55:59" x14ac:dyDescent="0.2">
      <c r="BC5446" s="21" t="e" vm="1">
        <v>#REF!</v>
      </c>
      <c r="BD5446" t="e" vm="1">
        <v>#REF!</v>
      </c>
      <c r="BF5446" t="e" vm="2">
        <f t="shared" si="396"/>
        <v>#VALUE!</v>
      </c>
      <c r="BG5446" t="e" vm="2">
        <f t="shared" si="397"/>
        <v>#VALUE!</v>
      </c>
    </row>
    <row r="5447" spans="55:59" x14ac:dyDescent="0.2">
      <c r="BC5447" s="21" t="e" vm="1">
        <v>#REF!</v>
      </c>
      <c r="BD5447" t="e" vm="1">
        <v>#REF!</v>
      </c>
      <c r="BF5447" t="e" vm="2">
        <f t="shared" si="396"/>
        <v>#VALUE!</v>
      </c>
      <c r="BG5447" t="e" vm="2">
        <f t="shared" si="397"/>
        <v>#VALUE!</v>
      </c>
    </row>
    <row r="5448" spans="55:59" x14ac:dyDescent="0.2">
      <c r="BC5448" s="21" t="e" vm="1">
        <v>#REF!</v>
      </c>
      <c r="BD5448" t="e" vm="1">
        <v>#REF!</v>
      </c>
      <c r="BF5448" t="e" vm="2">
        <f t="shared" si="396"/>
        <v>#VALUE!</v>
      </c>
      <c r="BG5448" t="e" vm="2">
        <f t="shared" si="397"/>
        <v>#VALUE!</v>
      </c>
    </row>
    <row r="5449" spans="55:59" x14ac:dyDescent="0.2">
      <c r="BC5449" s="21" t="e" vm="1">
        <v>#REF!</v>
      </c>
      <c r="BD5449" t="e" vm="1">
        <v>#REF!</v>
      </c>
      <c r="BF5449" t="e" vm="2">
        <f t="shared" si="396"/>
        <v>#VALUE!</v>
      </c>
      <c r="BG5449" t="e" vm="2">
        <f t="shared" si="397"/>
        <v>#VALUE!</v>
      </c>
    </row>
    <row r="5450" spans="55:59" x14ac:dyDescent="0.2">
      <c r="BC5450" s="21" t="e" vm="1">
        <v>#REF!</v>
      </c>
      <c r="BD5450" t="e" vm="1">
        <v>#REF!</v>
      </c>
      <c r="BF5450" t="e" vm="2">
        <f t="shared" si="396"/>
        <v>#VALUE!</v>
      </c>
      <c r="BG5450" t="e" vm="2">
        <f t="shared" si="397"/>
        <v>#VALUE!</v>
      </c>
    </row>
    <row r="5451" spans="55:59" x14ac:dyDescent="0.2">
      <c r="BC5451" s="21" t="e" vm="1">
        <v>#REF!</v>
      </c>
      <c r="BD5451" t="e" vm="1">
        <v>#REF!</v>
      </c>
      <c r="BF5451" t="e" vm="2">
        <f t="shared" si="396"/>
        <v>#VALUE!</v>
      </c>
      <c r="BG5451" t="e" vm="2">
        <f t="shared" si="397"/>
        <v>#VALUE!</v>
      </c>
    </row>
    <row r="5452" spans="55:59" x14ac:dyDescent="0.2">
      <c r="BC5452" s="21" t="e" vm="1">
        <v>#REF!</v>
      </c>
      <c r="BD5452" t="e" vm="1">
        <v>#REF!</v>
      </c>
      <c r="BF5452" t="e" vm="2">
        <f t="shared" si="396"/>
        <v>#VALUE!</v>
      </c>
      <c r="BG5452" t="e" vm="2">
        <f t="shared" si="397"/>
        <v>#VALUE!</v>
      </c>
    </row>
    <row r="5453" spans="55:59" x14ac:dyDescent="0.2">
      <c r="BC5453" s="21" t="e" vm="1">
        <v>#REF!</v>
      </c>
      <c r="BD5453" t="e" vm="1">
        <v>#REF!</v>
      </c>
      <c r="BF5453" t="e" vm="2">
        <f t="shared" si="396"/>
        <v>#VALUE!</v>
      </c>
      <c r="BG5453" t="e" vm="2">
        <f t="shared" si="397"/>
        <v>#VALUE!</v>
      </c>
    </row>
    <row r="5454" spans="55:59" x14ac:dyDescent="0.2">
      <c r="BC5454" s="21" t="e" vm="1">
        <v>#REF!</v>
      </c>
      <c r="BD5454" t="e" vm="1">
        <v>#REF!</v>
      </c>
      <c r="BF5454" t="e" vm="2">
        <f t="shared" si="396"/>
        <v>#VALUE!</v>
      </c>
      <c r="BG5454" t="e" vm="2">
        <f t="shared" si="397"/>
        <v>#VALUE!</v>
      </c>
    </row>
    <row r="5455" spans="55:59" x14ac:dyDescent="0.2">
      <c r="BC5455" s="21" t="e" vm="1">
        <v>#REF!</v>
      </c>
      <c r="BD5455" t="e" vm="1">
        <v>#REF!</v>
      </c>
      <c r="BF5455" t="e" vm="2">
        <f t="shared" si="396"/>
        <v>#VALUE!</v>
      </c>
      <c r="BG5455" t="e" vm="2">
        <f t="shared" si="397"/>
        <v>#VALUE!</v>
      </c>
    </row>
    <row r="5456" spans="55:59" x14ac:dyDescent="0.2">
      <c r="BC5456" s="21" t="e" vm="1">
        <v>#REF!</v>
      </c>
      <c r="BD5456" t="e" vm="1">
        <v>#REF!</v>
      </c>
      <c r="BF5456" t="e" vm="2">
        <f t="shared" si="396"/>
        <v>#VALUE!</v>
      </c>
      <c r="BG5456" t="e" vm="2">
        <f t="shared" si="397"/>
        <v>#VALUE!</v>
      </c>
    </row>
    <row r="5457" spans="55:59" x14ac:dyDescent="0.2">
      <c r="BC5457" s="21" t="e" vm="1">
        <v>#REF!</v>
      </c>
      <c r="BD5457" t="e" vm="1">
        <v>#REF!</v>
      </c>
      <c r="BF5457" t="e" vm="2">
        <f t="shared" si="396"/>
        <v>#VALUE!</v>
      </c>
      <c r="BG5457" t="e" vm="2">
        <f t="shared" si="397"/>
        <v>#VALUE!</v>
      </c>
    </row>
    <row r="5458" spans="55:59" x14ac:dyDescent="0.2">
      <c r="BC5458" s="21" t="e" vm="1">
        <v>#REF!</v>
      </c>
      <c r="BD5458" t="e" vm="1">
        <v>#REF!</v>
      </c>
      <c r="BF5458" t="e" vm="2">
        <f t="shared" si="396"/>
        <v>#VALUE!</v>
      </c>
      <c r="BG5458" t="e" vm="2">
        <f t="shared" si="397"/>
        <v>#VALUE!</v>
      </c>
    </row>
    <row r="5459" spans="55:59" x14ac:dyDescent="0.2">
      <c r="BC5459" s="21" t="e" vm="1">
        <v>#REF!</v>
      </c>
      <c r="BD5459" t="e" vm="1">
        <v>#REF!</v>
      </c>
      <c r="BF5459" t="e" vm="2">
        <f t="shared" si="396"/>
        <v>#VALUE!</v>
      </c>
      <c r="BG5459" t="e" vm="2">
        <f t="shared" si="397"/>
        <v>#VALUE!</v>
      </c>
    </row>
    <row r="5460" spans="55:59" x14ac:dyDescent="0.2">
      <c r="BC5460" s="21" t="e" vm="1">
        <v>#REF!</v>
      </c>
      <c r="BD5460" t="e" vm="1">
        <v>#REF!</v>
      </c>
      <c r="BF5460" t="e" vm="2">
        <f t="shared" si="396"/>
        <v>#VALUE!</v>
      </c>
      <c r="BG5460" t="e" vm="2">
        <f t="shared" si="397"/>
        <v>#VALUE!</v>
      </c>
    </row>
    <row r="5461" spans="55:59" x14ac:dyDescent="0.2">
      <c r="BC5461" s="21" t="e" vm="1">
        <v>#REF!</v>
      </c>
      <c r="BD5461" t="e" vm="1">
        <v>#REF!</v>
      </c>
      <c r="BF5461" t="e" vm="2">
        <f t="shared" si="396"/>
        <v>#VALUE!</v>
      </c>
      <c r="BG5461" t="e" vm="2">
        <f t="shared" si="397"/>
        <v>#VALUE!</v>
      </c>
    </row>
    <row r="5462" spans="55:59" x14ac:dyDescent="0.2">
      <c r="BC5462" s="21" t="e" vm="1">
        <v>#REF!</v>
      </c>
      <c r="BD5462" t="e" vm="1">
        <v>#REF!</v>
      </c>
      <c r="BF5462" t="e" vm="2">
        <f t="shared" si="396"/>
        <v>#VALUE!</v>
      </c>
      <c r="BG5462" t="e" vm="2">
        <f t="shared" si="397"/>
        <v>#VALUE!</v>
      </c>
    </row>
    <row r="5463" spans="55:59" x14ac:dyDescent="0.2">
      <c r="BC5463" s="21" t="e" vm="1">
        <v>#REF!</v>
      </c>
      <c r="BD5463" t="e" vm="1">
        <v>#REF!</v>
      </c>
      <c r="BF5463" t="e" vm="2">
        <f t="shared" si="396"/>
        <v>#VALUE!</v>
      </c>
      <c r="BG5463" t="e" vm="2">
        <f t="shared" si="397"/>
        <v>#VALUE!</v>
      </c>
    </row>
    <row r="5464" spans="55:59" x14ac:dyDescent="0.2">
      <c r="BC5464" s="21" t="e" vm="1">
        <v>#REF!</v>
      </c>
      <c r="BD5464" t="e" vm="1">
        <v>#REF!</v>
      </c>
      <c r="BF5464" t="e" vm="2">
        <f t="shared" si="396"/>
        <v>#VALUE!</v>
      </c>
      <c r="BG5464" t="e" vm="2">
        <f t="shared" si="397"/>
        <v>#VALUE!</v>
      </c>
    </row>
    <row r="5465" spans="55:59" x14ac:dyDescent="0.2">
      <c r="BC5465" s="21" t="e" vm="1">
        <v>#REF!</v>
      </c>
      <c r="BD5465" t="e" vm="1">
        <v>#REF!</v>
      </c>
      <c r="BF5465" t="e" vm="2">
        <f t="shared" si="396"/>
        <v>#VALUE!</v>
      </c>
      <c r="BG5465" t="e" vm="2">
        <f t="shared" si="397"/>
        <v>#VALUE!</v>
      </c>
    </row>
    <row r="5466" spans="55:59" x14ac:dyDescent="0.2">
      <c r="BC5466" s="21" t="e" vm="1">
        <v>#REF!</v>
      </c>
      <c r="BD5466" t="e" vm="1">
        <v>#REF!</v>
      </c>
      <c r="BF5466" t="e" vm="2">
        <f t="shared" si="396"/>
        <v>#VALUE!</v>
      </c>
      <c r="BG5466" t="e" vm="2">
        <f t="shared" si="397"/>
        <v>#VALUE!</v>
      </c>
    </row>
    <row r="5467" spans="55:59" x14ac:dyDescent="0.2">
      <c r="BC5467" s="21" t="e" vm="1">
        <v>#REF!</v>
      </c>
      <c r="BD5467" t="e" vm="1">
        <v>#REF!</v>
      </c>
      <c r="BF5467" t="e" vm="2">
        <f t="shared" si="396"/>
        <v>#VALUE!</v>
      </c>
      <c r="BG5467" t="e" vm="2">
        <f t="shared" si="397"/>
        <v>#VALUE!</v>
      </c>
    </row>
    <row r="5468" spans="55:59" x14ac:dyDescent="0.2">
      <c r="BC5468" s="21" t="e" vm="1">
        <v>#REF!</v>
      </c>
      <c r="BD5468" t="e" vm="1">
        <v>#REF!</v>
      </c>
      <c r="BF5468" t="e" vm="2">
        <f t="shared" si="396"/>
        <v>#VALUE!</v>
      </c>
      <c r="BG5468" t="e" vm="2">
        <f t="shared" si="397"/>
        <v>#VALUE!</v>
      </c>
    </row>
    <row r="5469" spans="55:59" x14ac:dyDescent="0.2">
      <c r="BC5469" s="21" t="e" vm="1">
        <v>#REF!</v>
      </c>
      <c r="BD5469" t="e" vm="1">
        <v>#REF!</v>
      </c>
      <c r="BF5469" t="e" vm="2">
        <f t="shared" si="396"/>
        <v>#VALUE!</v>
      </c>
      <c r="BG5469" t="e" vm="2">
        <f t="shared" si="397"/>
        <v>#VALUE!</v>
      </c>
    </row>
    <row r="5470" spans="55:59" x14ac:dyDescent="0.2">
      <c r="BC5470" s="21" t="e" vm="1">
        <v>#REF!</v>
      </c>
      <c r="BD5470" t="e" vm="1">
        <v>#REF!</v>
      </c>
      <c r="BF5470" t="e" vm="2">
        <f t="shared" si="396"/>
        <v>#VALUE!</v>
      </c>
      <c r="BG5470" t="e" vm="2">
        <f t="shared" si="397"/>
        <v>#VALUE!</v>
      </c>
    </row>
    <row r="5471" spans="55:59" x14ac:dyDescent="0.2">
      <c r="BC5471" s="21" t="e" vm="1">
        <v>#REF!</v>
      </c>
      <c r="BD5471" t="e" vm="1">
        <v>#REF!</v>
      </c>
      <c r="BF5471" t="e" vm="2">
        <f t="shared" si="396"/>
        <v>#VALUE!</v>
      </c>
      <c r="BG5471" t="e" vm="2">
        <f t="shared" si="397"/>
        <v>#VALUE!</v>
      </c>
    </row>
    <row r="5472" spans="55:59" x14ac:dyDescent="0.2">
      <c r="BC5472" s="21" t="e" vm="1">
        <v>#REF!</v>
      </c>
      <c r="BD5472" t="e" vm="1">
        <v>#REF!</v>
      </c>
      <c r="BF5472" t="e" vm="2">
        <f t="shared" si="396"/>
        <v>#VALUE!</v>
      </c>
      <c r="BG5472" t="e" vm="2">
        <f t="shared" si="397"/>
        <v>#VALUE!</v>
      </c>
    </row>
    <row r="5473" spans="55:59" x14ac:dyDescent="0.2">
      <c r="BC5473" s="21" t="e" vm="1">
        <v>#REF!</v>
      </c>
      <c r="BD5473" t="e" vm="1">
        <v>#REF!</v>
      </c>
      <c r="BF5473" t="e" vm="2">
        <f t="shared" si="396"/>
        <v>#VALUE!</v>
      </c>
      <c r="BG5473" t="e" vm="2">
        <f t="shared" si="397"/>
        <v>#VALUE!</v>
      </c>
    </row>
    <row r="5474" spans="55:59" x14ac:dyDescent="0.2">
      <c r="BC5474" s="21" t="e" vm="1">
        <v>#REF!</v>
      </c>
      <c r="BD5474" t="e" vm="1">
        <v>#REF!</v>
      </c>
      <c r="BF5474" t="e" vm="2">
        <f t="shared" si="396"/>
        <v>#VALUE!</v>
      </c>
      <c r="BG5474" t="e" vm="2">
        <f t="shared" si="397"/>
        <v>#VALUE!</v>
      </c>
    </row>
    <row r="5475" spans="55:59" x14ac:dyDescent="0.2">
      <c r="BC5475" s="21" t="e" vm="1">
        <v>#REF!</v>
      </c>
      <c r="BD5475" t="e" vm="1">
        <v>#REF!</v>
      </c>
      <c r="BF5475" t="e" vm="2">
        <f t="shared" si="396"/>
        <v>#VALUE!</v>
      </c>
      <c r="BG5475" t="e" vm="2">
        <f t="shared" si="397"/>
        <v>#VALUE!</v>
      </c>
    </row>
    <row r="5476" spans="55:59" x14ac:dyDescent="0.2">
      <c r="BC5476" s="21" t="e" vm="1">
        <v>#REF!</v>
      </c>
      <c r="BD5476" t="e" vm="1">
        <v>#REF!</v>
      </c>
      <c r="BF5476" t="e" vm="2">
        <f t="shared" si="396"/>
        <v>#VALUE!</v>
      </c>
      <c r="BG5476" t="e" vm="2">
        <f t="shared" si="397"/>
        <v>#VALUE!</v>
      </c>
    </row>
    <row r="5477" spans="55:59" x14ac:dyDescent="0.2">
      <c r="BC5477" s="21" t="e" vm="1">
        <v>#REF!</v>
      </c>
      <c r="BD5477" t="e" vm="1">
        <v>#REF!</v>
      </c>
      <c r="BF5477" t="e" vm="2">
        <f t="shared" si="396"/>
        <v>#VALUE!</v>
      </c>
      <c r="BG5477" t="e" vm="2">
        <f t="shared" si="397"/>
        <v>#VALUE!</v>
      </c>
    </row>
    <row r="5478" spans="55:59" x14ac:dyDescent="0.2">
      <c r="BC5478" s="21" t="e" vm="1">
        <v>#REF!</v>
      </c>
      <c r="BD5478" t="e" vm="1">
        <v>#REF!</v>
      </c>
      <c r="BF5478" t="e" vm="2">
        <f t="shared" si="396"/>
        <v>#VALUE!</v>
      </c>
      <c r="BG5478" t="e" vm="2">
        <f t="shared" si="397"/>
        <v>#VALUE!</v>
      </c>
    </row>
    <row r="5479" spans="55:59" x14ac:dyDescent="0.2">
      <c r="BC5479" s="21" t="e" vm="1">
        <v>#REF!</v>
      </c>
      <c r="BD5479" t="e" vm="1">
        <v>#REF!</v>
      </c>
      <c r="BF5479" t="e" vm="2">
        <f t="shared" si="396"/>
        <v>#VALUE!</v>
      </c>
      <c r="BG5479" t="e" vm="2">
        <f t="shared" si="397"/>
        <v>#VALUE!</v>
      </c>
    </row>
    <row r="5480" spans="55:59" x14ac:dyDescent="0.2">
      <c r="BC5480" s="21" t="e" vm="1">
        <v>#REF!</v>
      </c>
      <c r="BD5480" t="e" vm="1">
        <v>#REF!</v>
      </c>
      <c r="BF5480" t="e" vm="2">
        <f t="shared" si="396"/>
        <v>#VALUE!</v>
      </c>
      <c r="BG5480" t="e" vm="2">
        <f t="shared" si="397"/>
        <v>#VALUE!</v>
      </c>
    </row>
    <row r="5481" spans="55:59" x14ac:dyDescent="0.2">
      <c r="BC5481" s="21" t="e" vm="1">
        <v>#REF!</v>
      </c>
      <c r="BD5481" t="e" vm="1">
        <v>#REF!</v>
      </c>
      <c r="BF5481" t="e" vm="2">
        <f t="shared" si="396"/>
        <v>#VALUE!</v>
      </c>
      <c r="BG5481" t="e" vm="2">
        <f t="shared" si="397"/>
        <v>#VALUE!</v>
      </c>
    </row>
    <row r="5482" spans="55:59" x14ac:dyDescent="0.2">
      <c r="BC5482" s="21" t="e" vm="1">
        <v>#REF!</v>
      </c>
      <c r="BD5482" t="e" vm="1">
        <v>#REF!</v>
      </c>
      <c r="BF5482" t="e" vm="2">
        <f t="shared" si="396"/>
        <v>#VALUE!</v>
      </c>
      <c r="BG5482" t="e" vm="2">
        <f t="shared" si="397"/>
        <v>#VALUE!</v>
      </c>
    </row>
    <row r="5483" spans="55:59" x14ac:dyDescent="0.2">
      <c r="BC5483" s="21" t="e" vm="1">
        <v>#REF!</v>
      </c>
      <c r="BD5483" t="e" vm="1">
        <v>#REF!</v>
      </c>
      <c r="BF5483" t="e" vm="2">
        <f t="shared" si="396"/>
        <v>#VALUE!</v>
      </c>
      <c r="BG5483" t="e" vm="2">
        <f t="shared" si="397"/>
        <v>#VALUE!</v>
      </c>
    </row>
    <row r="5484" spans="55:59" x14ac:dyDescent="0.2">
      <c r="BC5484" s="21" t="e" vm="1">
        <v>#REF!</v>
      </c>
      <c r="BD5484" t="e" vm="1">
        <v>#REF!</v>
      </c>
      <c r="BF5484" t="e" vm="2">
        <f t="shared" si="396"/>
        <v>#VALUE!</v>
      </c>
      <c r="BG5484" t="e" vm="2">
        <f t="shared" si="397"/>
        <v>#VALUE!</v>
      </c>
    </row>
    <row r="5485" spans="55:59" x14ac:dyDescent="0.2">
      <c r="BC5485" s="21" t="e" vm="1">
        <v>#REF!</v>
      </c>
      <c r="BD5485" t="e" vm="1">
        <v>#REF!</v>
      </c>
      <c r="BF5485" t="e" vm="2">
        <f t="shared" si="396"/>
        <v>#VALUE!</v>
      </c>
      <c r="BG5485" t="e" vm="2">
        <f t="shared" si="397"/>
        <v>#VALUE!</v>
      </c>
    </row>
    <row r="5486" spans="55:59" x14ac:dyDescent="0.2">
      <c r="BC5486" s="21" t="e" vm="1">
        <v>#REF!</v>
      </c>
      <c r="BD5486" t="e" vm="1">
        <v>#REF!</v>
      </c>
      <c r="BF5486" t="e" vm="2">
        <f t="shared" si="396"/>
        <v>#VALUE!</v>
      </c>
      <c r="BG5486" t="e" vm="2">
        <f t="shared" si="397"/>
        <v>#VALUE!</v>
      </c>
    </row>
    <row r="5487" spans="55:59" x14ac:dyDescent="0.2">
      <c r="BC5487" s="21" t="e" vm="1">
        <v>#REF!</v>
      </c>
      <c r="BD5487" t="e" vm="1">
        <v>#REF!</v>
      </c>
      <c r="BF5487" t="e" vm="2">
        <f t="shared" si="396"/>
        <v>#VALUE!</v>
      </c>
      <c r="BG5487" t="e" vm="2">
        <f t="shared" si="397"/>
        <v>#VALUE!</v>
      </c>
    </row>
    <row r="5488" spans="55:59" x14ac:dyDescent="0.2">
      <c r="BC5488" s="21" t="e" vm="1">
        <v>#REF!</v>
      </c>
      <c r="BD5488" t="e" vm="1">
        <v>#REF!</v>
      </c>
      <c r="BF5488" t="e" vm="2">
        <f t="shared" si="396"/>
        <v>#VALUE!</v>
      </c>
      <c r="BG5488" t="e" vm="2">
        <f t="shared" si="397"/>
        <v>#VALUE!</v>
      </c>
    </row>
    <row r="5489" spans="55:59" x14ac:dyDescent="0.2">
      <c r="BC5489" s="21" t="e" vm="1">
        <v>#REF!</v>
      </c>
      <c r="BD5489" t="e" vm="1">
        <v>#REF!</v>
      </c>
      <c r="BF5489" t="e" vm="2">
        <f t="shared" si="396"/>
        <v>#VALUE!</v>
      </c>
      <c r="BG5489" t="e" vm="2">
        <f t="shared" si="397"/>
        <v>#VALUE!</v>
      </c>
    </row>
    <row r="5490" spans="55:59" x14ac:dyDescent="0.2">
      <c r="BC5490" s="21" t="e" vm="1">
        <v>#REF!</v>
      </c>
      <c r="BD5490" t="e" vm="1">
        <v>#REF!</v>
      </c>
      <c r="BF5490" t="e" vm="2">
        <f t="shared" si="396"/>
        <v>#VALUE!</v>
      </c>
      <c r="BG5490" t="e" vm="2">
        <f t="shared" si="397"/>
        <v>#VALUE!</v>
      </c>
    </row>
    <row r="5491" spans="55:59" x14ac:dyDescent="0.2">
      <c r="BC5491" s="21" t="e" vm="1">
        <v>#REF!</v>
      </c>
      <c r="BD5491" t="e" vm="1">
        <v>#REF!</v>
      </c>
      <c r="BF5491" t="e" vm="2">
        <f t="shared" si="396"/>
        <v>#VALUE!</v>
      </c>
      <c r="BG5491" t="e" vm="2">
        <f t="shared" si="397"/>
        <v>#VALUE!</v>
      </c>
    </row>
    <row r="5492" spans="55:59" x14ac:dyDescent="0.2">
      <c r="BC5492" s="21" t="e" vm="1">
        <v>#REF!</v>
      </c>
      <c r="BD5492" t="e" vm="1">
        <v>#REF!</v>
      </c>
      <c r="BF5492" t="e" vm="2">
        <f t="shared" si="396"/>
        <v>#VALUE!</v>
      </c>
      <c r="BG5492" t="e" vm="2">
        <f t="shared" si="397"/>
        <v>#VALUE!</v>
      </c>
    </row>
    <row r="5493" spans="55:59" x14ac:dyDescent="0.2">
      <c r="BC5493" s="21" t="e" vm="1">
        <v>#REF!</v>
      </c>
      <c r="BD5493" t="e" vm="1">
        <v>#REF!</v>
      </c>
      <c r="BF5493" t="e" vm="2">
        <f t="shared" si="396"/>
        <v>#VALUE!</v>
      </c>
      <c r="BG5493" t="e" vm="2">
        <f t="shared" si="397"/>
        <v>#VALUE!</v>
      </c>
    </row>
    <row r="5494" spans="55:59" x14ac:dyDescent="0.2">
      <c r="BC5494" s="21" t="e" vm="1">
        <v>#REF!</v>
      </c>
      <c r="BD5494" t="e" vm="1">
        <v>#REF!</v>
      </c>
      <c r="BF5494" t="e" vm="2">
        <f t="shared" si="396"/>
        <v>#VALUE!</v>
      </c>
      <c r="BG5494" t="e" vm="2">
        <f t="shared" si="397"/>
        <v>#VALUE!</v>
      </c>
    </row>
    <row r="5495" spans="55:59" x14ac:dyDescent="0.2">
      <c r="BC5495" s="21" t="e" vm="1">
        <v>#REF!</v>
      </c>
      <c r="BD5495" t="e" vm="1">
        <v>#REF!</v>
      </c>
      <c r="BF5495" t="e" vm="2">
        <f t="shared" si="396"/>
        <v>#VALUE!</v>
      </c>
      <c r="BG5495" t="e" vm="2">
        <f t="shared" si="397"/>
        <v>#VALUE!</v>
      </c>
    </row>
    <row r="5496" spans="55:59" x14ac:dyDescent="0.2">
      <c r="BC5496" s="21" t="e" vm="1">
        <v>#REF!</v>
      </c>
      <c r="BD5496" t="e" vm="1">
        <v>#REF!</v>
      </c>
      <c r="BF5496" t="e" vm="2">
        <f t="shared" si="396"/>
        <v>#VALUE!</v>
      </c>
      <c r="BG5496" t="e" vm="2">
        <f t="shared" si="397"/>
        <v>#VALUE!</v>
      </c>
    </row>
    <row r="5497" spans="55:59" x14ac:dyDescent="0.2">
      <c r="BC5497" s="21" t="e" vm="1">
        <v>#REF!</v>
      </c>
      <c r="BD5497" t="e" vm="1">
        <v>#REF!</v>
      </c>
      <c r="BF5497" t="e" vm="2">
        <f t="shared" si="396"/>
        <v>#VALUE!</v>
      </c>
      <c r="BG5497" t="e" vm="2">
        <f t="shared" si="397"/>
        <v>#VALUE!</v>
      </c>
    </row>
    <row r="5498" spans="55:59" x14ac:dyDescent="0.2">
      <c r="BC5498" s="21" t="e" vm="1">
        <v>#REF!</v>
      </c>
      <c r="BD5498" t="e" vm="1">
        <v>#REF!</v>
      </c>
      <c r="BF5498" t="e" vm="2">
        <f t="shared" si="396"/>
        <v>#VALUE!</v>
      </c>
      <c r="BG5498" t="e" vm="2">
        <f t="shared" si="397"/>
        <v>#VALUE!</v>
      </c>
    </row>
    <row r="5499" spans="55:59" x14ac:dyDescent="0.2">
      <c r="BC5499" s="21" t="e" vm="1">
        <v>#REF!</v>
      </c>
      <c r="BD5499" t="e" vm="1">
        <v>#REF!</v>
      </c>
      <c r="BF5499" t="e" vm="2">
        <f t="shared" si="396"/>
        <v>#VALUE!</v>
      </c>
      <c r="BG5499" t="e" vm="2">
        <f t="shared" si="397"/>
        <v>#VALUE!</v>
      </c>
    </row>
    <row r="5500" spans="55:59" x14ac:dyDescent="0.2">
      <c r="BC5500" s="21" t="e" vm="1">
        <v>#REF!</v>
      </c>
      <c r="BD5500" t="e" vm="1">
        <v>#REF!</v>
      </c>
      <c r="BF5500" t="e" vm="2">
        <f t="shared" si="396"/>
        <v>#VALUE!</v>
      </c>
      <c r="BG5500" t="e" vm="2">
        <f t="shared" si="397"/>
        <v>#VALUE!</v>
      </c>
    </row>
    <row r="5501" spans="55:59" x14ac:dyDescent="0.2">
      <c r="BC5501" s="21" t="e" vm="1">
        <v>#REF!</v>
      </c>
      <c r="BD5501" t="e" vm="1">
        <v>#REF!</v>
      </c>
      <c r="BF5501" t="e" vm="2">
        <f t="shared" si="396"/>
        <v>#VALUE!</v>
      </c>
      <c r="BG5501" t="e" vm="2">
        <f t="shared" si="397"/>
        <v>#VALUE!</v>
      </c>
    </row>
    <row r="5502" spans="55:59" x14ac:dyDescent="0.2">
      <c r="BC5502" s="21" t="e" vm="1">
        <v>#REF!</v>
      </c>
      <c r="BD5502" t="e" vm="1">
        <v>#REF!</v>
      </c>
      <c r="BF5502" t="e" vm="2">
        <f t="shared" si="396"/>
        <v>#VALUE!</v>
      </c>
      <c r="BG5502" t="e" vm="2">
        <f t="shared" si="397"/>
        <v>#VALUE!</v>
      </c>
    </row>
    <row r="5503" spans="55:59" x14ac:dyDescent="0.2">
      <c r="BC5503" s="21" t="e" vm="1">
        <v>#REF!</v>
      </c>
      <c r="BD5503" t="e" vm="1">
        <v>#REF!</v>
      </c>
      <c r="BF5503" t="e" vm="2">
        <f t="shared" si="396"/>
        <v>#VALUE!</v>
      </c>
      <c r="BG5503" t="e" vm="2">
        <f t="shared" si="397"/>
        <v>#VALUE!</v>
      </c>
    </row>
    <row r="5504" spans="55:59" x14ac:dyDescent="0.2">
      <c r="BC5504" s="21" t="e" vm="1">
        <v>#REF!</v>
      </c>
      <c r="BD5504" t="e" vm="1">
        <v>#REF!</v>
      </c>
      <c r="BF5504" t="e" vm="2">
        <f t="shared" si="396"/>
        <v>#VALUE!</v>
      </c>
      <c r="BG5504" t="e" vm="2">
        <f t="shared" si="397"/>
        <v>#VALUE!</v>
      </c>
    </row>
    <row r="5505" spans="55:59" x14ac:dyDescent="0.2">
      <c r="BC5505" s="21" t="e" vm="1">
        <v>#REF!</v>
      </c>
      <c r="BD5505" t="e" vm="1">
        <v>#REF!</v>
      </c>
      <c r="BF5505" t="e" vm="2">
        <f t="shared" si="396"/>
        <v>#VALUE!</v>
      </c>
      <c r="BG5505" t="e" vm="2">
        <f t="shared" si="397"/>
        <v>#VALUE!</v>
      </c>
    </row>
    <row r="5506" spans="55:59" x14ac:dyDescent="0.2">
      <c r="BC5506" s="21" t="e" vm="1">
        <v>#REF!</v>
      </c>
      <c r="BD5506" t="e" vm="1">
        <v>#REF!</v>
      </c>
      <c r="BF5506" t="e" vm="2">
        <f t="shared" si="396"/>
        <v>#VALUE!</v>
      </c>
      <c r="BG5506" t="e" vm="2">
        <f t="shared" si="397"/>
        <v>#VALUE!</v>
      </c>
    </row>
    <row r="5507" spans="55:59" x14ac:dyDescent="0.2">
      <c r="BC5507" s="21" t="e" vm="1">
        <v>#REF!</v>
      </c>
      <c r="BD5507" t="e" vm="1">
        <v>#REF!</v>
      </c>
      <c r="BF5507" t="e" vm="2">
        <f t="shared" ref="BF5507:BF5570" si="398">MONTH(BC5507)</f>
        <v>#VALUE!</v>
      </c>
      <c r="BG5507" t="e" vm="2">
        <f t="shared" ref="BG5507:BG5570" si="399">YEAR(BC5507)</f>
        <v>#VALUE!</v>
      </c>
    </row>
    <row r="5508" spans="55:59" x14ac:dyDescent="0.2">
      <c r="BC5508" s="21" t="e" vm="1">
        <v>#REF!</v>
      </c>
      <c r="BD5508" t="e" vm="1">
        <v>#REF!</v>
      </c>
      <c r="BF5508" t="e" vm="2">
        <f t="shared" si="398"/>
        <v>#VALUE!</v>
      </c>
      <c r="BG5508" t="e" vm="2">
        <f t="shared" si="399"/>
        <v>#VALUE!</v>
      </c>
    </row>
    <row r="5509" spans="55:59" x14ac:dyDescent="0.2">
      <c r="BC5509" s="21" t="e" vm="1">
        <v>#REF!</v>
      </c>
      <c r="BD5509" t="e" vm="1">
        <v>#REF!</v>
      </c>
      <c r="BF5509" t="e" vm="2">
        <f t="shared" si="398"/>
        <v>#VALUE!</v>
      </c>
      <c r="BG5509" t="e" vm="2">
        <f t="shared" si="399"/>
        <v>#VALUE!</v>
      </c>
    </row>
    <row r="5510" spans="55:59" x14ac:dyDescent="0.2">
      <c r="BC5510" s="21" t="e" vm="1">
        <v>#REF!</v>
      </c>
      <c r="BD5510" t="e" vm="1">
        <v>#REF!</v>
      </c>
      <c r="BF5510" t="e" vm="2">
        <f t="shared" si="398"/>
        <v>#VALUE!</v>
      </c>
      <c r="BG5510" t="e" vm="2">
        <f t="shared" si="399"/>
        <v>#VALUE!</v>
      </c>
    </row>
    <row r="5511" spans="55:59" x14ac:dyDescent="0.2">
      <c r="BC5511" s="21" t="e" vm="1">
        <v>#REF!</v>
      </c>
      <c r="BD5511" t="e" vm="1">
        <v>#REF!</v>
      </c>
      <c r="BF5511" t="e" vm="2">
        <f t="shared" si="398"/>
        <v>#VALUE!</v>
      </c>
      <c r="BG5511" t="e" vm="2">
        <f t="shared" si="399"/>
        <v>#VALUE!</v>
      </c>
    </row>
    <row r="5512" spans="55:59" x14ac:dyDescent="0.2">
      <c r="BC5512" s="21" t="e" vm="1">
        <v>#REF!</v>
      </c>
      <c r="BD5512" t="e" vm="1">
        <v>#REF!</v>
      </c>
      <c r="BF5512" t="e" vm="2">
        <f t="shared" si="398"/>
        <v>#VALUE!</v>
      </c>
      <c r="BG5512" t="e" vm="2">
        <f t="shared" si="399"/>
        <v>#VALUE!</v>
      </c>
    </row>
    <row r="5513" spans="55:59" x14ac:dyDescent="0.2">
      <c r="BC5513" s="21" t="e" vm="1">
        <v>#REF!</v>
      </c>
      <c r="BD5513" t="e" vm="1">
        <v>#REF!</v>
      </c>
      <c r="BF5513" t="e" vm="2">
        <f t="shared" si="398"/>
        <v>#VALUE!</v>
      </c>
      <c r="BG5513" t="e" vm="2">
        <f t="shared" si="399"/>
        <v>#VALUE!</v>
      </c>
    </row>
    <row r="5514" spans="55:59" x14ac:dyDescent="0.2">
      <c r="BC5514" s="21" t="e" vm="1">
        <v>#REF!</v>
      </c>
      <c r="BD5514" t="e" vm="1">
        <v>#REF!</v>
      </c>
      <c r="BF5514" t="e" vm="2">
        <f t="shared" si="398"/>
        <v>#VALUE!</v>
      </c>
      <c r="BG5514" t="e" vm="2">
        <f t="shared" si="399"/>
        <v>#VALUE!</v>
      </c>
    </row>
    <row r="5515" spans="55:59" x14ac:dyDescent="0.2">
      <c r="BC5515" s="21" t="e" vm="1">
        <v>#REF!</v>
      </c>
      <c r="BD5515" t="e" vm="1">
        <v>#REF!</v>
      </c>
      <c r="BF5515" t="e" vm="2">
        <f t="shared" si="398"/>
        <v>#VALUE!</v>
      </c>
      <c r="BG5515" t="e" vm="2">
        <f t="shared" si="399"/>
        <v>#VALUE!</v>
      </c>
    </row>
    <row r="5516" spans="55:59" x14ac:dyDescent="0.2">
      <c r="BC5516" s="21" t="e" vm="1">
        <v>#REF!</v>
      </c>
      <c r="BD5516" t="e" vm="1">
        <v>#REF!</v>
      </c>
      <c r="BF5516" t="e" vm="2">
        <f t="shared" si="398"/>
        <v>#VALUE!</v>
      </c>
      <c r="BG5516" t="e" vm="2">
        <f t="shared" si="399"/>
        <v>#VALUE!</v>
      </c>
    </row>
    <row r="5517" spans="55:59" x14ac:dyDescent="0.2">
      <c r="BC5517" s="21" t="e" vm="1">
        <v>#REF!</v>
      </c>
      <c r="BD5517" t="e" vm="1">
        <v>#REF!</v>
      </c>
      <c r="BF5517" t="e" vm="2">
        <f t="shared" si="398"/>
        <v>#VALUE!</v>
      </c>
      <c r="BG5517" t="e" vm="2">
        <f t="shared" si="399"/>
        <v>#VALUE!</v>
      </c>
    </row>
    <row r="5518" spans="55:59" x14ac:dyDescent="0.2">
      <c r="BC5518" s="21" t="e" vm="1">
        <v>#REF!</v>
      </c>
      <c r="BD5518" t="e" vm="1">
        <v>#REF!</v>
      </c>
      <c r="BF5518" t="e" vm="2">
        <f t="shared" si="398"/>
        <v>#VALUE!</v>
      </c>
      <c r="BG5518" t="e" vm="2">
        <f t="shared" si="399"/>
        <v>#VALUE!</v>
      </c>
    </row>
    <row r="5519" spans="55:59" x14ac:dyDescent="0.2">
      <c r="BC5519" s="21" t="e" vm="1">
        <v>#REF!</v>
      </c>
      <c r="BD5519" t="e" vm="1">
        <v>#REF!</v>
      </c>
      <c r="BF5519" t="e" vm="2">
        <f t="shared" si="398"/>
        <v>#VALUE!</v>
      </c>
      <c r="BG5519" t="e" vm="2">
        <f t="shared" si="399"/>
        <v>#VALUE!</v>
      </c>
    </row>
    <row r="5520" spans="55:59" x14ac:dyDescent="0.2">
      <c r="BC5520" s="21" t="e" vm="1">
        <v>#REF!</v>
      </c>
      <c r="BD5520" t="e" vm="1">
        <v>#REF!</v>
      </c>
      <c r="BF5520" t="e" vm="2">
        <f t="shared" si="398"/>
        <v>#VALUE!</v>
      </c>
      <c r="BG5520" t="e" vm="2">
        <f t="shared" si="399"/>
        <v>#VALUE!</v>
      </c>
    </row>
    <row r="5521" spans="55:59" x14ac:dyDescent="0.2">
      <c r="BC5521" s="21" t="e" vm="1">
        <v>#REF!</v>
      </c>
      <c r="BD5521" t="e" vm="1">
        <v>#REF!</v>
      </c>
      <c r="BF5521" t="e" vm="2">
        <f t="shared" si="398"/>
        <v>#VALUE!</v>
      </c>
      <c r="BG5521" t="e" vm="2">
        <f t="shared" si="399"/>
        <v>#VALUE!</v>
      </c>
    </row>
    <row r="5522" spans="55:59" x14ac:dyDescent="0.2">
      <c r="BC5522" s="21" t="e" vm="1">
        <v>#REF!</v>
      </c>
      <c r="BD5522" t="e" vm="1">
        <v>#REF!</v>
      </c>
      <c r="BF5522" t="e" vm="2">
        <f t="shared" si="398"/>
        <v>#VALUE!</v>
      </c>
      <c r="BG5522" t="e" vm="2">
        <f t="shared" si="399"/>
        <v>#VALUE!</v>
      </c>
    </row>
    <row r="5523" spans="55:59" x14ac:dyDescent="0.2">
      <c r="BC5523" s="21" t="e" vm="1">
        <v>#REF!</v>
      </c>
      <c r="BD5523" t="e" vm="1">
        <v>#REF!</v>
      </c>
      <c r="BF5523" t="e" vm="2">
        <f t="shared" si="398"/>
        <v>#VALUE!</v>
      </c>
      <c r="BG5523" t="e" vm="2">
        <f t="shared" si="399"/>
        <v>#VALUE!</v>
      </c>
    </row>
    <row r="5524" spans="55:59" x14ac:dyDescent="0.2">
      <c r="BC5524" s="21" t="e" vm="1">
        <v>#REF!</v>
      </c>
      <c r="BD5524" t="e" vm="1">
        <v>#REF!</v>
      </c>
      <c r="BF5524" t="e" vm="2">
        <f t="shared" si="398"/>
        <v>#VALUE!</v>
      </c>
      <c r="BG5524" t="e" vm="2">
        <f t="shared" si="399"/>
        <v>#VALUE!</v>
      </c>
    </row>
    <row r="5525" spans="55:59" x14ac:dyDescent="0.2">
      <c r="BC5525" s="21" t="e" vm="1">
        <v>#REF!</v>
      </c>
      <c r="BD5525" t="e" vm="1">
        <v>#REF!</v>
      </c>
      <c r="BF5525" t="e" vm="2">
        <f t="shared" si="398"/>
        <v>#VALUE!</v>
      </c>
      <c r="BG5525" t="e" vm="2">
        <f t="shared" si="399"/>
        <v>#VALUE!</v>
      </c>
    </row>
    <row r="5526" spans="55:59" x14ac:dyDescent="0.2">
      <c r="BC5526" s="21" t="e" vm="1">
        <v>#REF!</v>
      </c>
      <c r="BD5526" t="e" vm="1">
        <v>#REF!</v>
      </c>
      <c r="BF5526" t="e" vm="2">
        <f t="shared" si="398"/>
        <v>#VALUE!</v>
      </c>
      <c r="BG5526" t="e" vm="2">
        <f t="shared" si="399"/>
        <v>#VALUE!</v>
      </c>
    </row>
    <row r="5527" spans="55:59" x14ac:dyDescent="0.2">
      <c r="BC5527" s="21" t="e" vm="1">
        <v>#REF!</v>
      </c>
      <c r="BD5527" t="e" vm="1">
        <v>#REF!</v>
      </c>
      <c r="BF5527" t="e" vm="2">
        <f t="shared" si="398"/>
        <v>#VALUE!</v>
      </c>
      <c r="BG5527" t="e" vm="2">
        <f t="shared" si="399"/>
        <v>#VALUE!</v>
      </c>
    </row>
    <row r="5528" spans="55:59" x14ac:dyDescent="0.2">
      <c r="BC5528" s="21" t="e" vm="1">
        <v>#REF!</v>
      </c>
      <c r="BD5528" t="e" vm="1">
        <v>#REF!</v>
      </c>
      <c r="BF5528" t="e" vm="2">
        <f t="shared" si="398"/>
        <v>#VALUE!</v>
      </c>
      <c r="BG5528" t="e" vm="2">
        <f t="shared" si="399"/>
        <v>#VALUE!</v>
      </c>
    </row>
    <row r="5529" spans="55:59" x14ac:dyDescent="0.2">
      <c r="BC5529" s="21" t="e" vm="1">
        <v>#REF!</v>
      </c>
      <c r="BD5529" t="e" vm="1">
        <v>#REF!</v>
      </c>
      <c r="BF5529" t="e" vm="2">
        <f t="shared" si="398"/>
        <v>#VALUE!</v>
      </c>
      <c r="BG5529" t="e" vm="2">
        <f t="shared" si="399"/>
        <v>#VALUE!</v>
      </c>
    </row>
    <row r="5530" spans="55:59" x14ac:dyDescent="0.2">
      <c r="BC5530" s="21" t="e" vm="1">
        <v>#REF!</v>
      </c>
      <c r="BD5530" t="e" vm="1">
        <v>#REF!</v>
      </c>
      <c r="BF5530" t="e" vm="2">
        <f t="shared" si="398"/>
        <v>#VALUE!</v>
      </c>
      <c r="BG5530" t="e" vm="2">
        <f t="shared" si="399"/>
        <v>#VALUE!</v>
      </c>
    </row>
    <row r="5531" spans="55:59" x14ac:dyDescent="0.2">
      <c r="BC5531" s="21" t="e" vm="1">
        <v>#REF!</v>
      </c>
      <c r="BD5531" t="e" vm="1">
        <v>#REF!</v>
      </c>
      <c r="BF5531" t="e" vm="2">
        <f t="shared" si="398"/>
        <v>#VALUE!</v>
      </c>
      <c r="BG5531" t="e" vm="2">
        <f t="shared" si="399"/>
        <v>#VALUE!</v>
      </c>
    </row>
    <row r="5532" spans="55:59" x14ac:dyDescent="0.2">
      <c r="BC5532" s="21" t="e" vm="1">
        <v>#REF!</v>
      </c>
      <c r="BD5532" t="e" vm="1">
        <v>#REF!</v>
      </c>
      <c r="BF5532" t="e" vm="2">
        <f t="shared" si="398"/>
        <v>#VALUE!</v>
      </c>
      <c r="BG5532" t="e" vm="2">
        <f t="shared" si="399"/>
        <v>#VALUE!</v>
      </c>
    </row>
    <row r="5533" spans="55:59" x14ac:dyDescent="0.2">
      <c r="BC5533" s="21" t="e" vm="1">
        <v>#REF!</v>
      </c>
      <c r="BD5533" t="e" vm="1">
        <v>#REF!</v>
      </c>
      <c r="BF5533" t="e" vm="2">
        <f t="shared" si="398"/>
        <v>#VALUE!</v>
      </c>
      <c r="BG5533" t="e" vm="2">
        <f t="shared" si="399"/>
        <v>#VALUE!</v>
      </c>
    </row>
    <row r="5534" spans="55:59" x14ac:dyDescent="0.2">
      <c r="BC5534" s="21" t="e" vm="1">
        <v>#REF!</v>
      </c>
      <c r="BD5534" t="e" vm="1">
        <v>#REF!</v>
      </c>
      <c r="BF5534" t="e" vm="2">
        <f t="shared" si="398"/>
        <v>#VALUE!</v>
      </c>
      <c r="BG5534" t="e" vm="2">
        <f t="shared" si="399"/>
        <v>#VALUE!</v>
      </c>
    </row>
    <row r="5535" spans="55:59" x14ac:dyDescent="0.2">
      <c r="BC5535" s="21" t="e" vm="1">
        <v>#REF!</v>
      </c>
      <c r="BD5535" t="e" vm="1">
        <v>#REF!</v>
      </c>
      <c r="BF5535" t="e" vm="2">
        <f t="shared" si="398"/>
        <v>#VALUE!</v>
      </c>
      <c r="BG5535" t="e" vm="2">
        <f t="shared" si="399"/>
        <v>#VALUE!</v>
      </c>
    </row>
    <row r="5536" spans="55:59" x14ac:dyDescent="0.2">
      <c r="BC5536" s="21" t="e" vm="1">
        <v>#REF!</v>
      </c>
      <c r="BD5536" t="e" vm="1">
        <v>#REF!</v>
      </c>
      <c r="BF5536" t="e" vm="2">
        <f t="shared" si="398"/>
        <v>#VALUE!</v>
      </c>
      <c r="BG5536" t="e" vm="2">
        <f t="shared" si="399"/>
        <v>#VALUE!</v>
      </c>
    </row>
    <row r="5537" spans="55:59" x14ac:dyDescent="0.2">
      <c r="BC5537" s="21" t="e" vm="1">
        <v>#REF!</v>
      </c>
      <c r="BD5537" t="e" vm="1">
        <v>#REF!</v>
      </c>
      <c r="BF5537" t="e" vm="2">
        <f t="shared" si="398"/>
        <v>#VALUE!</v>
      </c>
      <c r="BG5537" t="e" vm="2">
        <f t="shared" si="399"/>
        <v>#VALUE!</v>
      </c>
    </row>
    <row r="5538" spans="55:59" x14ac:dyDescent="0.2">
      <c r="BC5538" s="21" t="e" vm="1">
        <v>#REF!</v>
      </c>
      <c r="BD5538" t="e" vm="1">
        <v>#REF!</v>
      </c>
      <c r="BF5538" t="e" vm="2">
        <f t="shared" si="398"/>
        <v>#VALUE!</v>
      </c>
      <c r="BG5538" t="e" vm="2">
        <f t="shared" si="399"/>
        <v>#VALUE!</v>
      </c>
    </row>
    <row r="5539" spans="55:59" x14ac:dyDescent="0.2">
      <c r="BC5539" s="21" t="e" vm="1">
        <v>#REF!</v>
      </c>
      <c r="BD5539" t="e" vm="1">
        <v>#REF!</v>
      </c>
      <c r="BF5539" t="e" vm="2">
        <f t="shared" si="398"/>
        <v>#VALUE!</v>
      </c>
      <c r="BG5539" t="e" vm="2">
        <f t="shared" si="399"/>
        <v>#VALUE!</v>
      </c>
    </row>
    <row r="5540" spans="55:59" x14ac:dyDescent="0.2">
      <c r="BC5540" s="21" t="e" vm="1">
        <v>#REF!</v>
      </c>
      <c r="BD5540" t="e" vm="1">
        <v>#REF!</v>
      </c>
      <c r="BF5540" t="e" vm="2">
        <f t="shared" si="398"/>
        <v>#VALUE!</v>
      </c>
      <c r="BG5540" t="e" vm="2">
        <f t="shared" si="399"/>
        <v>#VALUE!</v>
      </c>
    </row>
    <row r="5541" spans="55:59" x14ac:dyDescent="0.2">
      <c r="BC5541" s="21" t="e" vm="1">
        <v>#REF!</v>
      </c>
      <c r="BD5541" t="e" vm="1">
        <v>#REF!</v>
      </c>
      <c r="BF5541" t="e" vm="2">
        <f t="shared" si="398"/>
        <v>#VALUE!</v>
      </c>
      <c r="BG5541" t="e" vm="2">
        <f t="shared" si="399"/>
        <v>#VALUE!</v>
      </c>
    </row>
    <row r="5542" spans="55:59" x14ac:dyDescent="0.2">
      <c r="BC5542" s="21" t="e" vm="1">
        <v>#REF!</v>
      </c>
      <c r="BD5542" t="e" vm="1">
        <v>#REF!</v>
      </c>
      <c r="BF5542" t="e" vm="2">
        <f t="shared" si="398"/>
        <v>#VALUE!</v>
      </c>
      <c r="BG5542" t="e" vm="2">
        <f t="shared" si="399"/>
        <v>#VALUE!</v>
      </c>
    </row>
    <row r="5543" spans="55:59" x14ac:dyDescent="0.2">
      <c r="BC5543" s="21" t="e" vm="1">
        <v>#REF!</v>
      </c>
      <c r="BD5543" t="e" vm="1">
        <v>#REF!</v>
      </c>
      <c r="BF5543" t="e" vm="2">
        <f t="shared" si="398"/>
        <v>#VALUE!</v>
      </c>
      <c r="BG5543" t="e" vm="2">
        <f t="shared" si="399"/>
        <v>#VALUE!</v>
      </c>
    </row>
    <row r="5544" spans="55:59" x14ac:dyDescent="0.2">
      <c r="BC5544" s="21" t="e" vm="1">
        <v>#REF!</v>
      </c>
      <c r="BD5544" t="e" vm="1">
        <v>#REF!</v>
      </c>
      <c r="BF5544" t="e" vm="2">
        <f t="shared" si="398"/>
        <v>#VALUE!</v>
      </c>
      <c r="BG5544" t="e" vm="2">
        <f t="shared" si="399"/>
        <v>#VALUE!</v>
      </c>
    </row>
    <row r="5545" spans="55:59" x14ac:dyDescent="0.2">
      <c r="BC5545" s="21" t="e" vm="1">
        <v>#REF!</v>
      </c>
      <c r="BD5545" t="e" vm="1">
        <v>#REF!</v>
      </c>
      <c r="BF5545" t="e" vm="2">
        <f t="shared" si="398"/>
        <v>#VALUE!</v>
      </c>
      <c r="BG5545" t="e" vm="2">
        <f t="shared" si="399"/>
        <v>#VALUE!</v>
      </c>
    </row>
    <row r="5546" spans="55:59" x14ac:dyDescent="0.2">
      <c r="BC5546" s="21" t="e" vm="1">
        <v>#REF!</v>
      </c>
      <c r="BD5546" t="e" vm="1">
        <v>#REF!</v>
      </c>
      <c r="BF5546" t="e" vm="2">
        <f t="shared" si="398"/>
        <v>#VALUE!</v>
      </c>
      <c r="BG5546" t="e" vm="2">
        <f t="shared" si="399"/>
        <v>#VALUE!</v>
      </c>
    </row>
    <row r="5547" spans="55:59" x14ac:dyDescent="0.2">
      <c r="BC5547" s="21" t="e" vm="1">
        <v>#REF!</v>
      </c>
      <c r="BD5547" t="e" vm="1">
        <v>#REF!</v>
      </c>
      <c r="BF5547" t="e" vm="2">
        <f t="shared" si="398"/>
        <v>#VALUE!</v>
      </c>
      <c r="BG5547" t="e" vm="2">
        <f t="shared" si="399"/>
        <v>#VALUE!</v>
      </c>
    </row>
    <row r="5548" spans="55:59" x14ac:dyDescent="0.2">
      <c r="BC5548" s="21" t="e" vm="1">
        <v>#REF!</v>
      </c>
      <c r="BD5548" t="e" vm="1">
        <v>#REF!</v>
      </c>
      <c r="BF5548" t="e" vm="2">
        <f t="shared" si="398"/>
        <v>#VALUE!</v>
      </c>
      <c r="BG5548" t="e" vm="2">
        <f t="shared" si="399"/>
        <v>#VALUE!</v>
      </c>
    </row>
    <row r="5549" spans="55:59" x14ac:dyDescent="0.2">
      <c r="BC5549" s="21" t="e" vm="1">
        <v>#REF!</v>
      </c>
      <c r="BD5549" t="e" vm="1">
        <v>#REF!</v>
      </c>
      <c r="BF5549" t="e" vm="2">
        <f t="shared" si="398"/>
        <v>#VALUE!</v>
      </c>
      <c r="BG5549" t="e" vm="2">
        <f t="shared" si="399"/>
        <v>#VALUE!</v>
      </c>
    </row>
    <row r="5550" spans="55:59" x14ac:dyDescent="0.2">
      <c r="BC5550" s="21" t="e" vm="1">
        <v>#REF!</v>
      </c>
      <c r="BD5550" t="e" vm="1">
        <v>#REF!</v>
      </c>
      <c r="BF5550" t="e" vm="2">
        <f t="shared" si="398"/>
        <v>#VALUE!</v>
      </c>
      <c r="BG5550" t="e" vm="2">
        <f t="shared" si="399"/>
        <v>#VALUE!</v>
      </c>
    </row>
    <row r="5551" spans="55:59" x14ac:dyDescent="0.2">
      <c r="BC5551" s="21" t="e" vm="1">
        <v>#REF!</v>
      </c>
      <c r="BD5551" t="e" vm="1">
        <v>#REF!</v>
      </c>
      <c r="BF5551" t="e" vm="2">
        <f t="shared" si="398"/>
        <v>#VALUE!</v>
      </c>
      <c r="BG5551" t="e" vm="2">
        <f t="shared" si="399"/>
        <v>#VALUE!</v>
      </c>
    </row>
    <row r="5552" spans="55:59" x14ac:dyDescent="0.2">
      <c r="BC5552" s="21" t="e" vm="1">
        <v>#REF!</v>
      </c>
      <c r="BD5552" t="e" vm="1">
        <v>#REF!</v>
      </c>
      <c r="BF5552" t="e" vm="2">
        <f t="shared" si="398"/>
        <v>#VALUE!</v>
      </c>
      <c r="BG5552" t="e" vm="2">
        <f t="shared" si="399"/>
        <v>#VALUE!</v>
      </c>
    </row>
    <row r="5553" spans="55:59" x14ac:dyDescent="0.2">
      <c r="BC5553" s="21" t="e" vm="1">
        <v>#REF!</v>
      </c>
      <c r="BD5553" t="e" vm="1">
        <v>#REF!</v>
      </c>
      <c r="BF5553" t="e" vm="2">
        <f t="shared" si="398"/>
        <v>#VALUE!</v>
      </c>
      <c r="BG5553" t="e" vm="2">
        <f t="shared" si="399"/>
        <v>#VALUE!</v>
      </c>
    </row>
    <row r="5554" spans="55:59" x14ac:dyDescent="0.2">
      <c r="BC5554" s="21" t="e" vm="1">
        <v>#REF!</v>
      </c>
      <c r="BD5554" t="e" vm="1">
        <v>#REF!</v>
      </c>
      <c r="BF5554" t="e" vm="2">
        <f t="shared" si="398"/>
        <v>#VALUE!</v>
      </c>
      <c r="BG5554" t="e" vm="2">
        <f t="shared" si="399"/>
        <v>#VALUE!</v>
      </c>
    </row>
    <row r="5555" spans="55:59" x14ac:dyDescent="0.2">
      <c r="BC5555" s="21" t="e" vm="1">
        <v>#REF!</v>
      </c>
      <c r="BD5555" t="e" vm="1">
        <v>#REF!</v>
      </c>
      <c r="BF5555" t="e" vm="2">
        <f t="shared" si="398"/>
        <v>#VALUE!</v>
      </c>
      <c r="BG5555" t="e" vm="2">
        <f t="shared" si="399"/>
        <v>#VALUE!</v>
      </c>
    </row>
    <row r="5556" spans="55:59" x14ac:dyDescent="0.2">
      <c r="BC5556" s="21" t="e" vm="1">
        <v>#REF!</v>
      </c>
      <c r="BD5556" t="e" vm="1">
        <v>#REF!</v>
      </c>
      <c r="BF5556" t="e" vm="2">
        <f t="shared" si="398"/>
        <v>#VALUE!</v>
      </c>
      <c r="BG5556" t="e" vm="2">
        <f t="shared" si="399"/>
        <v>#VALUE!</v>
      </c>
    </row>
    <row r="5557" spans="55:59" x14ac:dyDescent="0.2">
      <c r="BC5557" s="21" t="e" vm="1">
        <v>#REF!</v>
      </c>
      <c r="BD5557" t="e" vm="1">
        <v>#REF!</v>
      </c>
      <c r="BF5557" t="e" vm="2">
        <f t="shared" si="398"/>
        <v>#VALUE!</v>
      </c>
      <c r="BG5557" t="e" vm="2">
        <f t="shared" si="399"/>
        <v>#VALUE!</v>
      </c>
    </row>
    <row r="5558" spans="55:59" x14ac:dyDescent="0.2">
      <c r="BC5558" s="21" t="e" vm="1">
        <v>#REF!</v>
      </c>
      <c r="BD5558" t="e" vm="1">
        <v>#REF!</v>
      </c>
      <c r="BF5558" t="e" vm="2">
        <f t="shared" si="398"/>
        <v>#VALUE!</v>
      </c>
      <c r="BG5558" t="e" vm="2">
        <f t="shared" si="399"/>
        <v>#VALUE!</v>
      </c>
    </row>
    <row r="5559" spans="55:59" x14ac:dyDescent="0.2">
      <c r="BC5559" s="21" t="e" vm="1">
        <v>#REF!</v>
      </c>
      <c r="BD5559" t="e" vm="1">
        <v>#REF!</v>
      </c>
      <c r="BF5559" t="e" vm="2">
        <f t="shared" si="398"/>
        <v>#VALUE!</v>
      </c>
      <c r="BG5559" t="e" vm="2">
        <f t="shared" si="399"/>
        <v>#VALUE!</v>
      </c>
    </row>
    <row r="5560" spans="55:59" x14ac:dyDescent="0.2">
      <c r="BC5560" s="21" t="e" vm="1">
        <v>#REF!</v>
      </c>
      <c r="BD5560" t="e" vm="1">
        <v>#REF!</v>
      </c>
      <c r="BF5560" t="e" vm="2">
        <f t="shared" si="398"/>
        <v>#VALUE!</v>
      </c>
      <c r="BG5560" t="e" vm="2">
        <f t="shared" si="399"/>
        <v>#VALUE!</v>
      </c>
    </row>
    <row r="5561" spans="55:59" x14ac:dyDescent="0.2">
      <c r="BC5561" s="21" t="e" vm="1">
        <v>#REF!</v>
      </c>
      <c r="BD5561" t="e" vm="1">
        <v>#REF!</v>
      </c>
      <c r="BF5561" t="e" vm="2">
        <f t="shared" si="398"/>
        <v>#VALUE!</v>
      </c>
      <c r="BG5561" t="e" vm="2">
        <f t="shared" si="399"/>
        <v>#VALUE!</v>
      </c>
    </row>
    <row r="5562" spans="55:59" x14ac:dyDescent="0.2">
      <c r="BC5562" s="21" t="e" vm="1">
        <v>#REF!</v>
      </c>
      <c r="BD5562" t="e" vm="1">
        <v>#REF!</v>
      </c>
      <c r="BF5562" t="e" vm="2">
        <f t="shared" si="398"/>
        <v>#VALUE!</v>
      </c>
      <c r="BG5562" t="e" vm="2">
        <f t="shared" si="399"/>
        <v>#VALUE!</v>
      </c>
    </row>
    <row r="5563" spans="55:59" x14ac:dyDescent="0.2">
      <c r="BC5563" s="21" t="e" vm="1">
        <v>#REF!</v>
      </c>
      <c r="BD5563" t="e" vm="1">
        <v>#REF!</v>
      </c>
      <c r="BF5563" t="e" vm="2">
        <f t="shared" si="398"/>
        <v>#VALUE!</v>
      </c>
      <c r="BG5563" t="e" vm="2">
        <f t="shared" si="399"/>
        <v>#VALUE!</v>
      </c>
    </row>
    <row r="5564" spans="55:59" x14ac:dyDescent="0.2">
      <c r="BC5564" s="21" t="e" vm="1">
        <v>#REF!</v>
      </c>
      <c r="BD5564" t="e" vm="1">
        <v>#REF!</v>
      </c>
      <c r="BF5564" t="e" vm="2">
        <f t="shared" si="398"/>
        <v>#VALUE!</v>
      </c>
      <c r="BG5564" t="e" vm="2">
        <f t="shared" si="399"/>
        <v>#VALUE!</v>
      </c>
    </row>
    <row r="5565" spans="55:59" x14ac:dyDescent="0.2">
      <c r="BC5565" s="21" t="e" vm="1">
        <v>#REF!</v>
      </c>
      <c r="BD5565" t="e" vm="1">
        <v>#REF!</v>
      </c>
      <c r="BF5565" t="e" vm="2">
        <f t="shared" si="398"/>
        <v>#VALUE!</v>
      </c>
      <c r="BG5565" t="e" vm="2">
        <f t="shared" si="399"/>
        <v>#VALUE!</v>
      </c>
    </row>
    <row r="5566" spans="55:59" x14ac:dyDescent="0.2">
      <c r="BC5566" s="21" t="e" vm="1">
        <v>#REF!</v>
      </c>
      <c r="BD5566" t="e" vm="1">
        <v>#REF!</v>
      </c>
      <c r="BF5566" t="e" vm="2">
        <f t="shared" si="398"/>
        <v>#VALUE!</v>
      </c>
      <c r="BG5566" t="e" vm="2">
        <f t="shared" si="399"/>
        <v>#VALUE!</v>
      </c>
    </row>
    <row r="5567" spans="55:59" x14ac:dyDescent="0.2">
      <c r="BC5567" s="21" t="e" vm="1">
        <v>#REF!</v>
      </c>
      <c r="BD5567" t="e" vm="1">
        <v>#REF!</v>
      </c>
      <c r="BF5567" t="e" vm="2">
        <f t="shared" si="398"/>
        <v>#VALUE!</v>
      </c>
      <c r="BG5567" t="e" vm="2">
        <f t="shared" si="399"/>
        <v>#VALUE!</v>
      </c>
    </row>
    <row r="5568" spans="55:59" x14ac:dyDescent="0.2">
      <c r="BC5568" s="21" t="e" vm="1">
        <v>#REF!</v>
      </c>
      <c r="BD5568" t="e" vm="1">
        <v>#REF!</v>
      </c>
      <c r="BF5568" t="e" vm="2">
        <f t="shared" si="398"/>
        <v>#VALUE!</v>
      </c>
      <c r="BG5568" t="e" vm="2">
        <f t="shared" si="399"/>
        <v>#VALUE!</v>
      </c>
    </row>
    <row r="5569" spans="55:59" x14ac:dyDescent="0.2">
      <c r="BC5569" s="21" t="e" vm="1">
        <v>#REF!</v>
      </c>
      <c r="BD5569" t="e" vm="1">
        <v>#REF!</v>
      </c>
      <c r="BF5569" t="e" vm="2">
        <f t="shared" si="398"/>
        <v>#VALUE!</v>
      </c>
      <c r="BG5569" t="e" vm="2">
        <f t="shared" si="399"/>
        <v>#VALUE!</v>
      </c>
    </row>
    <row r="5570" spans="55:59" x14ac:dyDescent="0.2">
      <c r="BC5570" s="21" t="e" vm="1">
        <v>#REF!</v>
      </c>
      <c r="BD5570" t="e" vm="1">
        <v>#REF!</v>
      </c>
      <c r="BF5570" t="e" vm="2">
        <f t="shared" si="398"/>
        <v>#VALUE!</v>
      </c>
      <c r="BG5570" t="e" vm="2">
        <f t="shared" si="399"/>
        <v>#VALUE!</v>
      </c>
    </row>
    <row r="5571" spans="55:59" x14ac:dyDescent="0.2">
      <c r="BC5571" s="21" t="e" vm="1">
        <v>#REF!</v>
      </c>
      <c r="BD5571" t="e" vm="1">
        <v>#REF!</v>
      </c>
      <c r="BF5571" t="e" vm="2">
        <f t="shared" ref="BF5571:BF5634" si="400">MONTH(BC5571)</f>
        <v>#VALUE!</v>
      </c>
      <c r="BG5571" t="e" vm="2">
        <f t="shared" ref="BG5571:BG5634" si="401">YEAR(BC5571)</f>
        <v>#VALUE!</v>
      </c>
    </row>
    <row r="5572" spans="55:59" x14ac:dyDescent="0.2">
      <c r="BC5572" s="21" t="e" vm="1">
        <v>#REF!</v>
      </c>
      <c r="BD5572" t="e" vm="1">
        <v>#REF!</v>
      </c>
      <c r="BF5572" t="e" vm="2">
        <f t="shared" si="400"/>
        <v>#VALUE!</v>
      </c>
      <c r="BG5572" t="e" vm="2">
        <f t="shared" si="401"/>
        <v>#VALUE!</v>
      </c>
    </row>
    <row r="5573" spans="55:59" x14ac:dyDescent="0.2">
      <c r="BC5573" s="21" t="e" vm="1">
        <v>#REF!</v>
      </c>
      <c r="BD5573" t="e" vm="1">
        <v>#REF!</v>
      </c>
      <c r="BF5573" t="e" vm="2">
        <f t="shared" si="400"/>
        <v>#VALUE!</v>
      </c>
      <c r="BG5573" t="e" vm="2">
        <f t="shared" si="401"/>
        <v>#VALUE!</v>
      </c>
    </row>
    <row r="5574" spans="55:59" x14ac:dyDescent="0.2">
      <c r="BC5574" s="21" t="e" vm="1">
        <v>#REF!</v>
      </c>
      <c r="BD5574" t="e" vm="1">
        <v>#REF!</v>
      </c>
      <c r="BF5574" t="e" vm="2">
        <f t="shared" si="400"/>
        <v>#VALUE!</v>
      </c>
      <c r="BG5574" t="e" vm="2">
        <f t="shared" si="401"/>
        <v>#VALUE!</v>
      </c>
    </row>
    <row r="5575" spans="55:59" x14ac:dyDescent="0.2">
      <c r="BC5575" s="21" t="e" vm="1">
        <v>#REF!</v>
      </c>
      <c r="BD5575" t="e" vm="1">
        <v>#REF!</v>
      </c>
      <c r="BF5575" t="e" vm="2">
        <f t="shared" si="400"/>
        <v>#VALUE!</v>
      </c>
      <c r="BG5575" t="e" vm="2">
        <f t="shared" si="401"/>
        <v>#VALUE!</v>
      </c>
    </row>
    <row r="5576" spans="55:59" x14ac:dyDescent="0.2">
      <c r="BC5576" s="21" t="e" vm="1">
        <v>#REF!</v>
      </c>
      <c r="BD5576" t="e" vm="1">
        <v>#REF!</v>
      </c>
      <c r="BF5576" t="e" vm="2">
        <f t="shared" si="400"/>
        <v>#VALUE!</v>
      </c>
      <c r="BG5576" t="e" vm="2">
        <f t="shared" si="401"/>
        <v>#VALUE!</v>
      </c>
    </row>
    <row r="5577" spans="55:59" x14ac:dyDescent="0.2">
      <c r="BC5577" s="21" t="e" vm="1">
        <v>#REF!</v>
      </c>
      <c r="BD5577" t="e" vm="1">
        <v>#REF!</v>
      </c>
      <c r="BF5577" t="e" vm="2">
        <f t="shared" si="400"/>
        <v>#VALUE!</v>
      </c>
      <c r="BG5577" t="e" vm="2">
        <f t="shared" si="401"/>
        <v>#VALUE!</v>
      </c>
    </row>
    <row r="5578" spans="55:59" x14ac:dyDescent="0.2">
      <c r="BC5578" s="21" t="e" vm="1">
        <v>#REF!</v>
      </c>
      <c r="BD5578" t="e" vm="1">
        <v>#REF!</v>
      </c>
      <c r="BF5578" t="e" vm="2">
        <f t="shared" si="400"/>
        <v>#VALUE!</v>
      </c>
      <c r="BG5578" t="e" vm="2">
        <f t="shared" si="401"/>
        <v>#VALUE!</v>
      </c>
    </row>
    <row r="5579" spans="55:59" x14ac:dyDescent="0.2">
      <c r="BC5579" s="21" t="e" vm="1">
        <v>#REF!</v>
      </c>
      <c r="BD5579" t="e" vm="1">
        <v>#REF!</v>
      </c>
      <c r="BF5579" t="e" vm="2">
        <f t="shared" si="400"/>
        <v>#VALUE!</v>
      </c>
      <c r="BG5579" t="e" vm="2">
        <f t="shared" si="401"/>
        <v>#VALUE!</v>
      </c>
    </row>
    <row r="5580" spans="55:59" x14ac:dyDescent="0.2">
      <c r="BC5580" s="21" t="e" vm="1">
        <v>#REF!</v>
      </c>
      <c r="BD5580" t="e" vm="1">
        <v>#REF!</v>
      </c>
      <c r="BF5580" t="e" vm="2">
        <f t="shared" si="400"/>
        <v>#VALUE!</v>
      </c>
      <c r="BG5580" t="e" vm="2">
        <f t="shared" si="401"/>
        <v>#VALUE!</v>
      </c>
    </row>
    <row r="5581" spans="55:59" x14ac:dyDescent="0.2">
      <c r="BC5581" s="21" t="e" vm="1">
        <v>#REF!</v>
      </c>
      <c r="BD5581" t="e" vm="1">
        <v>#REF!</v>
      </c>
      <c r="BF5581" t="e" vm="2">
        <f t="shared" si="400"/>
        <v>#VALUE!</v>
      </c>
      <c r="BG5581" t="e" vm="2">
        <f t="shared" si="401"/>
        <v>#VALUE!</v>
      </c>
    </row>
    <row r="5582" spans="55:59" x14ac:dyDescent="0.2">
      <c r="BC5582" s="21" t="e" vm="1">
        <v>#REF!</v>
      </c>
      <c r="BD5582" t="e" vm="1">
        <v>#REF!</v>
      </c>
      <c r="BF5582" t="e" vm="2">
        <f t="shared" si="400"/>
        <v>#VALUE!</v>
      </c>
      <c r="BG5582" t="e" vm="2">
        <f t="shared" si="401"/>
        <v>#VALUE!</v>
      </c>
    </row>
    <row r="5583" spans="55:59" x14ac:dyDescent="0.2">
      <c r="BC5583" s="21" t="e" vm="1">
        <v>#REF!</v>
      </c>
      <c r="BD5583" t="e" vm="1">
        <v>#REF!</v>
      </c>
      <c r="BF5583" t="e" vm="2">
        <f t="shared" si="400"/>
        <v>#VALUE!</v>
      </c>
      <c r="BG5583" t="e" vm="2">
        <f t="shared" si="401"/>
        <v>#VALUE!</v>
      </c>
    </row>
    <row r="5584" spans="55:59" x14ac:dyDescent="0.2">
      <c r="BC5584" s="21" t="e" vm="1">
        <v>#REF!</v>
      </c>
      <c r="BD5584" t="e" vm="1">
        <v>#REF!</v>
      </c>
      <c r="BF5584" t="e" vm="2">
        <f t="shared" si="400"/>
        <v>#VALUE!</v>
      </c>
      <c r="BG5584" t="e" vm="2">
        <f t="shared" si="401"/>
        <v>#VALUE!</v>
      </c>
    </row>
    <row r="5585" spans="55:59" x14ac:dyDescent="0.2">
      <c r="BC5585" s="21" t="e" vm="1">
        <v>#REF!</v>
      </c>
      <c r="BD5585" t="e" vm="1">
        <v>#REF!</v>
      </c>
      <c r="BF5585" t="e" vm="2">
        <f t="shared" si="400"/>
        <v>#VALUE!</v>
      </c>
      <c r="BG5585" t="e" vm="2">
        <f t="shared" si="401"/>
        <v>#VALUE!</v>
      </c>
    </row>
    <row r="5586" spans="55:59" x14ac:dyDescent="0.2">
      <c r="BC5586" s="21" t="e" vm="1">
        <v>#REF!</v>
      </c>
      <c r="BD5586" t="e" vm="1">
        <v>#REF!</v>
      </c>
      <c r="BF5586" t="e" vm="2">
        <f t="shared" si="400"/>
        <v>#VALUE!</v>
      </c>
      <c r="BG5586" t="e" vm="2">
        <f t="shared" si="401"/>
        <v>#VALUE!</v>
      </c>
    </row>
    <row r="5587" spans="55:59" x14ac:dyDescent="0.2">
      <c r="BC5587" s="21" t="e" vm="1">
        <v>#REF!</v>
      </c>
      <c r="BD5587" t="e" vm="1">
        <v>#REF!</v>
      </c>
      <c r="BF5587" t="e" vm="2">
        <f t="shared" si="400"/>
        <v>#VALUE!</v>
      </c>
      <c r="BG5587" t="e" vm="2">
        <f t="shared" si="401"/>
        <v>#VALUE!</v>
      </c>
    </row>
    <row r="5588" spans="55:59" x14ac:dyDescent="0.2">
      <c r="BC5588" s="21" t="e" vm="1">
        <v>#REF!</v>
      </c>
      <c r="BD5588" t="e" vm="1">
        <v>#REF!</v>
      </c>
      <c r="BF5588" t="e" vm="2">
        <f t="shared" si="400"/>
        <v>#VALUE!</v>
      </c>
      <c r="BG5588" t="e" vm="2">
        <f t="shared" si="401"/>
        <v>#VALUE!</v>
      </c>
    </row>
    <row r="5589" spans="55:59" x14ac:dyDescent="0.2">
      <c r="BC5589" s="21" t="e" vm="1">
        <v>#REF!</v>
      </c>
      <c r="BD5589" t="e" vm="1">
        <v>#REF!</v>
      </c>
      <c r="BF5589" t="e" vm="2">
        <f t="shared" si="400"/>
        <v>#VALUE!</v>
      </c>
      <c r="BG5589" t="e" vm="2">
        <f t="shared" si="401"/>
        <v>#VALUE!</v>
      </c>
    </row>
    <row r="5590" spans="55:59" x14ac:dyDescent="0.2">
      <c r="BC5590" s="21" t="e" vm="1">
        <v>#REF!</v>
      </c>
      <c r="BD5590" t="e" vm="1">
        <v>#REF!</v>
      </c>
      <c r="BF5590" t="e" vm="2">
        <f t="shared" si="400"/>
        <v>#VALUE!</v>
      </c>
      <c r="BG5590" t="e" vm="2">
        <f t="shared" si="401"/>
        <v>#VALUE!</v>
      </c>
    </row>
    <row r="5591" spans="55:59" x14ac:dyDescent="0.2">
      <c r="BC5591" s="21" t="e" vm="1">
        <v>#REF!</v>
      </c>
      <c r="BD5591" t="e" vm="1">
        <v>#REF!</v>
      </c>
      <c r="BF5591" t="e" vm="2">
        <f t="shared" si="400"/>
        <v>#VALUE!</v>
      </c>
      <c r="BG5591" t="e" vm="2">
        <f t="shared" si="401"/>
        <v>#VALUE!</v>
      </c>
    </row>
    <row r="5592" spans="55:59" x14ac:dyDescent="0.2">
      <c r="BC5592" s="21" t="e" vm="1">
        <v>#REF!</v>
      </c>
      <c r="BD5592" t="e" vm="1">
        <v>#REF!</v>
      </c>
      <c r="BF5592" t="e" vm="2">
        <f t="shared" si="400"/>
        <v>#VALUE!</v>
      </c>
      <c r="BG5592" t="e" vm="2">
        <f t="shared" si="401"/>
        <v>#VALUE!</v>
      </c>
    </row>
    <row r="5593" spans="55:59" x14ac:dyDescent="0.2">
      <c r="BC5593" s="21" t="e" vm="1">
        <v>#REF!</v>
      </c>
      <c r="BD5593" t="e" vm="1">
        <v>#REF!</v>
      </c>
      <c r="BF5593" t="e" vm="2">
        <f t="shared" si="400"/>
        <v>#VALUE!</v>
      </c>
      <c r="BG5593" t="e" vm="2">
        <f t="shared" si="401"/>
        <v>#VALUE!</v>
      </c>
    </row>
    <row r="5594" spans="55:59" x14ac:dyDescent="0.2">
      <c r="BC5594" s="21" t="e" vm="1">
        <v>#REF!</v>
      </c>
      <c r="BD5594" t="e" vm="1">
        <v>#REF!</v>
      </c>
      <c r="BF5594" t="e" vm="2">
        <f t="shared" si="400"/>
        <v>#VALUE!</v>
      </c>
      <c r="BG5594" t="e" vm="2">
        <f t="shared" si="401"/>
        <v>#VALUE!</v>
      </c>
    </row>
    <row r="5595" spans="55:59" x14ac:dyDescent="0.2">
      <c r="BC5595" s="21" t="e" vm="1">
        <v>#REF!</v>
      </c>
      <c r="BD5595" t="e" vm="1">
        <v>#REF!</v>
      </c>
      <c r="BF5595" t="e" vm="2">
        <f t="shared" si="400"/>
        <v>#VALUE!</v>
      </c>
      <c r="BG5595" t="e" vm="2">
        <f t="shared" si="401"/>
        <v>#VALUE!</v>
      </c>
    </row>
    <row r="5596" spans="55:59" x14ac:dyDescent="0.2">
      <c r="BC5596" s="21" t="e" vm="1">
        <v>#REF!</v>
      </c>
      <c r="BD5596" t="e" vm="1">
        <v>#REF!</v>
      </c>
      <c r="BF5596" t="e" vm="2">
        <f t="shared" si="400"/>
        <v>#VALUE!</v>
      </c>
      <c r="BG5596" t="e" vm="2">
        <f t="shared" si="401"/>
        <v>#VALUE!</v>
      </c>
    </row>
    <row r="5597" spans="55:59" x14ac:dyDescent="0.2">
      <c r="BC5597" s="21" t="e" vm="1">
        <v>#REF!</v>
      </c>
      <c r="BD5597" t="e" vm="1">
        <v>#REF!</v>
      </c>
      <c r="BF5597" t="e" vm="2">
        <f t="shared" si="400"/>
        <v>#VALUE!</v>
      </c>
      <c r="BG5597" t="e" vm="2">
        <f t="shared" si="401"/>
        <v>#VALUE!</v>
      </c>
    </row>
    <row r="5598" spans="55:59" x14ac:dyDescent="0.2">
      <c r="BC5598" s="21" t="e" vm="1">
        <v>#REF!</v>
      </c>
      <c r="BD5598" t="e" vm="1">
        <v>#REF!</v>
      </c>
      <c r="BF5598" t="e" vm="2">
        <f t="shared" si="400"/>
        <v>#VALUE!</v>
      </c>
      <c r="BG5598" t="e" vm="2">
        <f t="shared" si="401"/>
        <v>#VALUE!</v>
      </c>
    </row>
    <row r="5599" spans="55:59" x14ac:dyDescent="0.2">
      <c r="BC5599" s="21" t="e" vm="1">
        <v>#REF!</v>
      </c>
      <c r="BD5599" t="e" vm="1">
        <v>#REF!</v>
      </c>
      <c r="BF5599" t="e" vm="2">
        <f t="shared" si="400"/>
        <v>#VALUE!</v>
      </c>
      <c r="BG5599" t="e" vm="2">
        <f t="shared" si="401"/>
        <v>#VALUE!</v>
      </c>
    </row>
    <row r="5600" spans="55:59" x14ac:dyDescent="0.2">
      <c r="BC5600" s="21" t="e" vm="1">
        <v>#REF!</v>
      </c>
      <c r="BD5600" t="e" vm="1">
        <v>#REF!</v>
      </c>
      <c r="BF5600" t="e" vm="2">
        <f t="shared" si="400"/>
        <v>#VALUE!</v>
      </c>
      <c r="BG5600" t="e" vm="2">
        <f t="shared" si="401"/>
        <v>#VALUE!</v>
      </c>
    </row>
    <row r="5601" spans="55:59" x14ac:dyDescent="0.2">
      <c r="BC5601" s="21" t="e" vm="1">
        <v>#REF!</v>
      </c>
      <c r="BD5601" t="e" vm="1">
        <v>#REF!</v>
      </c>
      <c r="BF5601" t="e" vm="2">
        <f t="shared" si="400"/>
        <v>#VALUE!</v>
      </c>
      <c r="BG5601" t="e" vm="2">
        <f t="shared" si="401"/>
        <v>#VALUE!</v>
      </c>
    </row>
    <row r="5602" spans="55:59" x14ac:dyDescent="0.2">
      <c r="BC5602" s="21" t="e" vm="1">
        <v>#REF!</v>
      </c>
      <c r="BD5602" t="e" vm="1">
        <v>#REF!</v>
      </c>
      <c r="BF5602" t="e" vm="2">
        <f t="shared" si="400"/>
        <v>#VALUE!</v>
      </c>
      <c r="BG5602" t="e" vm="2">
        <f t="shared" si="401"/>
        <v>#VALUE!</v>
      </c>
    </row>
    <row r="5603" spans="55:59" x14ac:dyDescent="0.2">
      <c r="BC5603" s="21" t="e" vm="1">
        <v>#REF!</v>
      </c>
      <c r="BD5603" t="e" vm="1">
        <v>#REF!</v>
      </c>
      <c r="BF5603" t="e" vm="2">
        <f t="shared" si="400"/>
        <v>#VALUE!</v>
      </c>
      <c r="BG5603" t="e" vm="2">
        <f t="shared" si="401"/>
        <v>#VALUE!</v>
      </c>
    </row>
    <row r="5604" spans="55:59" x14ac:dyDescent="0.2">
      <c r="BC5604" s="21" t="e" vm="1">
        <v>#REF!</v>
      </c>
      <c r="BD5604" t="e" vm="1">
        <v>#REF!</v>
      </c>
      <c r="BF5604" t="e" vm="2">
        <f t="shared" si="400"/>
        <v>#VALUE!</v>
      </c>
      <c r="BG5604" t="e" vm="2">
        <f t="shared" si="401"/>
        <v>#VALUE!</v>
      </c>
    </row>
    <row r="5605" spans="55:59" x14ac:dyDescent="0.2">
      <c r="BC5605" s="21" t="e" vm="1">
        <v>#REF!</v>
      </c>
      <c r="BD5605" t="e" vm="1">
        <v>#REF!</v>
      </c>
      <c r="BF5605" t="e" vm="2">
        <f t="shared" si="400"/>
        <v>#VALUE!</v>
      </c>
      <c r="BG5605" t="e" vm="2">
        <f t="shared" si="401"/>
        <v>#VALUE!</v>
      </c>
    </row>
    <row r="5606" spans="55:59" x14ac:dyDescent="0.2">
      <c r="BC5606" s="21" t="e" vm="1">
        <v>#REF!</v>
      </c>
      <c r="BD5606" t="e" vm="1">
        <v>#REF!</v>
      </c>
      <c r="BF5606" t="e" vm="2">
        <f t="shared" si="400"/>
        <v>#VALUE!</v>
      </c>
      <c r="BG5606" t="e" vm="2">
        <f t="shared" si="401"/>
        <v>#VALUE!</v>
      </c>
    </row>
    <row r="5607" spans="55:59" x14ac:dyDescent="0.2">
      <c r="BC5607" s="21" t="e" vm="1">
        <v>#REF!</v>
      </c>
      <c r="BD5607" t="e" vm="1">
        <v>#REF!</v>
      </c>
      <c r="BF5607" t="e" vm="2">
        <f t="shared" si="400"/>
        <v>#VALUE!</v>
      </c>
      <c r="BG5607" t="e" vm="2">
        <f t="shared" si="401"/>
        <v>#VALUE!</v>
      </c>
    </row>
    <row r="5608" spans="55:59" x14ac:dyDescent="0.2">
      <c r="BC5608" s="21" t="e" vm="1">
        <v>#REF!</v>
      </c>
      <c r="BD5608" t="e" vm="1">
        <v>#REF!</v>
      </c>
      <c r="BF5608" t="e" vm="2">
        <f t="shared" si="400"/>
        <v>#VALUE!</v>
      </c>
      <c r="BG5608" t="e" vm="2">
        <f t="shared" si="401"/>
        <v>#VALUE!</v>
      </c>
    </row>
    <row r="5609" spans="55:59" x14ac:dyDescent="0.2">
      <c r="BC5609" s="21" t="e" vm="1">
        <v>#REF!</v>
      </c>
      <c r="BD5609" t="e" vm="1">
        <v>#REF!</v>
      </c>
      <c r="BF5609" t="e" vm="2">
        <f t="shared" si="400"/>
        <v>#VALUE!</v>
      </c>
      <c r="BG5609" t="e" vm="2">
        <f t="shared" si="401"/>
        <v>#VALUE!</v>
      </c>
    </row>
    <row r="5610" spans="55:59" x14ac:dyDescent="0.2">
      <c r="BC5610" s="21" t="e" vm="1">
        <v>#REF!</v>
      </c>
      <c r="BD5610" t="e" vm="1">
        <v>#REF!</v>
      </c>
      <c r="BF5610" t="e" vm="2">
        <f t="shared" si="400"/>
        <v>#VALUE!</v>
      </c>
      <c r="BG5610" t="e" vm="2">
        <f t="shared" si="401"/>
        <v>#VALUE!</v>
      </c>
    </row>
    <row r="5611" spans="55:59" x14ac:dyDescent="0.2">
      <c r="BC5611" s="21" t="e" vm="1">
        <v>#REF!</v>
      </c>
      <c r="BD5611" t="e" vm="1">
        <v>#REF!</v>
      </c>
      <c r="BF5611" t="e" vm="2">
        <f t="shared" si="400"/>
        <v>#VALUE!</v>
      </c>
      <c r="BG5611" t="e" vm="2">
        <f t="shared" si="401"/>
        <v>#VALUE!</v>
      </c>
    </row>
    <row r="5612" spans="55:59" x14ac:dyDescent="0.2">
      <c r="BC5612" s="21" t="e" vm="1">
        <v>#REF!</v>
      </c>
      <c r="BD5612" t="e" vm="1">
        <v>#REF!</v>
      </c>
      <c r="BF5612" t="e" vm="2">
        <f t="shared" si="400"/>
        <v>#VALUE!</v>
      </c>
      <c r="BG5612" t="e" vm="2">
        <f t="shared" si="401"/>
        <v>#VALUE!</v>
      </c>
    </row>
    <row r="5613" spans="55:59" x14ac:dyDescent="0.2">
      <c r="BC5613" s="21" t="e" vm="1">
        <v>#REF!</v>
      </c>
      <c r="BD5613" t="e" vm="1">
        <v>#REF!</v>
      </c>
      <c r="BF5613" t="e" vm="2">
        <f t="shared" si="400"/>
        <v>#VALUE!</v>
      </c>
      <c r="BG5613" t="e" vm="2">
        <f t="shared" si="401"/>
        <v>#VALUE!</v>
      </c>
    </row>
    <row r="5614" spans="55:59" x14ac:dyDescent="0.2">
      <c r="BC5614" s="21" t="e" vm="1">
        <v>#REF!</v>
      </c>
      <c r="BD5614" t="e" vm="1">
        <v>#REF!</v>
      </c>
      <c r="BF5614" t="e" vm="2">
        <f t="shared" si="400"/>
        <v>#VALUE!</v>
      </c>
      <c r="BG5614" t="e" vm="2">
        <f t="shared" si="401"/>
        <v>#VALUE!</v>
      </c>
    </row>
    <row r="5615" spans="55:59" x14ac:dyDescent="0.2">
      <c r="BC5615" s="21" t="e" vm="1">
        <v>#REF!</v>
      </c>
      <c r="BD5615" t="e" vm="1">
        <v>#REF!</v>
      </c>
      <c r="BF5615" t="e" vm="2">
        <f t="shared" si="400"/>
        <v>#VALUE!</v>
      </c>
      <c r="BG5615" t="e" vm="2">
        <f t="shared" si="401"/>
        <v>#VALUE!</v>
      </c>
    </row>
    <row r="5616" spans="55:59" x14ac:dyDescent="0.2">
      <c r="BC5616" s="21" t="e" vm="1">
        <v>#REF!</v>
      </c>
      <c r="BD5616" t="e" vm="1">
        <v>#REF!</v>
      </c>
      <c r="BF5616" t="e" vm="2">
        <f t="shared" si="400"/>
        <v>#VALUE!</v>
      </c>
      <c r="BG5616" t="e" vm="2">
        <f t="shared" si="401"/>
        <v>#VALUE!</v>
      </c>
    </row>
    <row r="5617" spans="55:59" x14ac:dyDescent="0.2">
      <c r="BC5617" s="21" t="e" vm="1">
        <v>#REF!</v>
      </c>
      <c r="BD5617" t="e" vm="1">
        <v>#REF!</v>
      </c>
      <c r="BF5617" t="e" vm="2">
        <f t="shared" si="400"/>
        <v>#VALUE!</v>
      </c>
      <c r="BG5617" t="e" vm="2">
        <f t="shared" si="401"/>
        <v>#VALUE!</v>
      </c>
    </row>
    <row r="5618" spans="55:59" x14ac:dyDescent="0.2">
      <c r="BC5618" s="21" t="e" vm="1">
        <v>#REF!</v>
      </c>
      <c r="BD5618" t="e" vm="1">
        <v>#REF!</v>
      </c>
      <c r="BF5618" t="e" vm="2">
        <f t="shared" si="400"/>
        <v>#VALUE!</v>
      </c>
      <c r="BG5618" t="e" vm="2">
        <f t="shared" si="401"/>
        <v>#VALUE!</v>
      </c>
    </row>
    <row r="5619" spans="55:59" x14ac:dyDescent="0.2">
      <c r="BC5619" s="21" t="e" vm="1">
        <v>#REF!</v>
      </c>
      <c r="BD5619" t="e" vm="1">
        <v>#REF!</v>
      </c>
      <c r="BF5619" t="e" vm="2">
        <f t="shared" si="400"/>
        <v>#VALUE!</v>
      </c>
      <c r="BG5619" t="e" vm="2">
        <f t="shared" si="401"/>
        <v>#VALUE!</v>
      </c>
    </row>
    <row r="5620" spans="55:59" x14ac:dyDescent="0.2">
      <c r="BC5620" s="21" t="e" vm="1">
        <v>#REF!</v>
      </c>
      <c r="BD5620" t="e" vm="1">
        <v>#REF!</v>
      </c>
      <c r="BF5620" t="e" vm="2">
        <f t="shared" si="400"/>
        <v>#VALUE!</v>
      </c>
      <c r="BG5620" t="e" vm="2">
        <f t="shared" si="401"/>
        <v>#VALUE!</v>
      </c>
    </row>
    <row r="5621" spans="55:59" x14ac:dyDescent="0.2">
      <c r="BC5621" s="21" t="e" vm="1">
        <v>#REF!</v>
      </c>
      <c r="BD5621" t="e" vm="1">
        <v>#REF!</v>
      </c>
      <c r="BF5621" t="e" vm="2">
        <f t="shared" si="400"/>
        <v>#VALUE!</v>
      </c>
      <c r="BG5621" t="e" vm="2">
        <f t="shared" si="401"/>
        <v>#VALUE!</v>
      </c>
    </row>
    <row r="5622" spans="55:59" x14ac:dyDescent="0.2">
      <c r="BC5622" s="21" t="e" vm="1">
        <v>#REF!</v>
      </c>
      <c r="BD5622" t="e" vm="1">
        <v>#REF!</v>
      </c>
      <c r="BF5622" t="e" vm="2">
        <f t="shared" si="400"/>
        <v>#VALUE!</v>
      </c>
      <c r="BG5622" t="e" vm="2">
        <f t="shared" si="401"/>
        <v>#VALUE!</v>
      </c>
    </row>
    <row r="5623" spans="55:59" x14ac:dyDescent="0.2">
      <c r="BC5623" s="21" t="e" vm="1">
        <v>#REF!</v>
      </c>
      <c r="BD5623" t="e" vm="1">
        <v>#REF!</v>
      </c>
      <c r="BF5623" t="e" vm="2">
        <f t="shared" si="400"/>
        <v>#VALUE!</v>
      </c>
      <c r="BG5623" t="e" vm="2">
        <f t="shared" si="401"/>
        <v>#VALUE!</v>
      </c>
    </row>
    <row r="5624" spans="55:59" x14ac:dyDescent="0.2">
      <c r="BC5624" s="21" t="e" vm="1">
        <v>#REF!</v>
      </c>
      <c r="BD5624" t="e" vm="1">
        <v>#REF!</v>
      </c>
      <c r="BF5624" t="e" vm="2">
        <f t="shared" si="400"/>
        <v>#VALUE!</v>
      </c>
      <c r="BG5624" t="e" vm="2">
        <f t="shared" si="401"/>
        <v>#VALUE!</v>
      </c>
    </row>
    <row r="5625" spans="55:59" x14ac:dyDescent="0.2">
      <c r="BC5625" s="21" t="e" vm="1">
        <v>#REF!</v>
      </c>
      <c r="BD5625" t="e" vm="1">
        <v>#REF!</v>
      </c>
      <c r="BF5625" t="e" vm="2">
        <f t="shared" si="400"/>
        <v>#VALUE!</v>
      </c>
      <c r="BG5625" t="e" vm="2">
        <f t="shared" si="401"/>
        <v>#VALUE!</v>
      </c>
    </row>
    <row r="5626" spans="55:59" x14ac:dyDescent="0.2">
      <c r="BC5626" s="21" t="e" vm="1">
        <v>#REF!</v>
      </c>
      <c r="BD5626" t="e" vm="1">
        <v>#REF!</v>
      </c>
      <c r="BF5626" t="e" vm="2">
        <f t="shared" si="400"/>
        <v>#VALUE!</v>
      </c>
      <c r="BG5626" t="e" vm="2">
        <f t="shared" si="401"/>
        <v>#VALUE!</v>
      </c>
    </row>
    <row r="5627" spans="55:59" x14ac:dyDescent="0.2">
      <c r="BC5627" s="21" t="e" vm="1">
        <v>#REF!</v>
      </c>
      <c r="BD5627" t="e" vm="1">
        <v>#REF!</v>
      </c>
      <c r="BF5627" t="e" vm="2">
        <f t="shared" si="400"/>
        <v>#VALUE!</v>
      </c>
      <c r="BG5627" t="e" vm="2">
        <f t="shared" si="401"/>
        <v>#VALUE!</v>
      </c>
    </row>
    <row r="5628" spans="55:59" x14ac:dyDescent="0.2">
      <c r="BC5628" s="21" t="e" vm="1">
        <v>#REF!</v>
      </c>
      <c r="BD5628" t="e" vm="1">
        <v>#REF!</v>
      </c>
      <c r="BF5628" t="e" vm="2">
        <f t="shared" si="400"/>
        <v>#VALUE!</v>
      </c>
      <c r="BG5628" t="e" vm="2">
        <f t="shared" si="401"/>
        <v>#VALUE!</v>
      </c>
    </row>
    <row r="5629" spans="55:59" x14ac:dyDescent="0.2">
      <c r="BC5629" s="21" t="e" vm="1">
        <v>#REF!</v>
      </c>
      <c r="BD5629" t="e" vm="1">
        <v>#REF!</v>
      </c>
      <c r="BF5629" t="e" vm="2">
        <f t="shared" si="400"/>
        <v>#VALUE!</v>
      </c>
      <c r="BG5629" t="e" vm="2">
        <f t="shared" si="401"/>
        <v>#VALUE!</v>
      </c>
    </row>
    <row r="5630" spans="55:59" x14ac:dyDescent="0.2">
      <c r="BC5630" s="21" t="e" vm="1">
        <v>#REF!</v>
      </c>
      <c r="BD5630" t="e" vm="1">
        <v>#REF!</v>
      </c>
      <c r="BF5630" t="e" vm="2">
        <f t="shared" si="400"/>
        <v>#VALUE!</v>
      </c>
      <c r="BG5630" t="e" vm="2">
        <f t="shared" si="401"/>
        <v>#VALUE!</v>
      </c>
    </row>
    <row r="5631" spans="55:59" x14ac:dyDescent="0.2">
      <c r="BC5631" s="21" t="e" vm="1">
        <v>#REF!</v>
      </c>
      <c r="BD5631" t="e" vm="1">
        <v>#REF!</v>
      </c>
      <c r="BF5631" t="e" vm="2">
        <f t="shared" si="400"/>
        <v>#VALUE!</v>
      </c>
      <c r="BG5631" t="e" vm="2">
        <f t="shared" si="401"/>
        <v>#VALUE!</v>
      </c>
    </row>
    <row r="5632" spans="55:59" x14ac:dyDescent="0.2">
      <c r="BC5632" s="21" t="e" vm="1">
        <v>#REF!</v>
      </c>
      <c r="BD5632" t="e" vm="1">
        <v>#REF!</v>
      </c>
      <c r="BF5632" t="e" vm="2">
        <f t="shared" si="400"/>
        <v>#VALUE!</v>
      </c>
      <c r="BG5632" t="e" vm="2">
        <f t="shared" si="401"/>
        <v>#VALUE!</v>
      </c>
    </row>
    <row r="5633" spans="55:59" x14ac:dyDescent="0.2">
      <c r="BC5633" s="21" t="e" vm="1">
        <v>#REF!</v>
      </c>
      <c r="BD5633" t="e" vm="1">
        <v>#REF!</v>
      </c>
      <c r="BF5633" t="e" vm="2">
        <f t="shared" si="400"/>
        <v>#VALUE!</v>
      </c>
      <c r="BG5633" t="e" vm="2">
        <f t="shared" si="401"/>
        <v>#VALUE!</v>
      </c>
    </row>
    <row r="5634" spans="55:59" x14ac:dyDescent="0.2">
      <c r="BC5634" s="21" t="e" vm="1">
        <v>#REF!</v>
      </c>
      <c r="BD5634" t="e" vm="1">
        <v>#REF!</v>
      </c>
      <c r="BF5634" t="e" vm="2">
        <f t="shared" si="400"/>
        <v>#VALUE!</v>
      </c>
      <c r="BG5634" t="e" vm="2">
        <f t="shared" si="401"/>
        <v>#VALUE!</v>
      </c>
    </row>
    <row r="5635" spans="55:59" x14ac:dyDescent="0.2">
      <c r="BC5635" s="21" t="e" vm="1">
        <v>#REF!</v>
      </c>
      <c r="BD5635" t="e" vm="1">
        <v>#REF!</v>
      </c>
      <c r="BF5635" t="e" vm="2">
        <f t="shared" ref="BF5635:BF5698" si="402">MONTH(BC5635)</f>
        <v>#VALUE!</v>
      </c>
      <c r="BG5635" t="e" vm="2">
        <f t="shared" ref="BG5635:BG5698" si="403">YEAR(BC5635)</f>
        <v>#VALUE!</v>
      </c>
    </row>
    <row r="5636" spans="55:59" x14ac:dyDescent="0.2">
      <c r="BC5636" s="21" t="e" vm="1">
        <v>#REF!</v>
      </c>
      <c r="BD5636" t="e" vm="1">
        <v>#REF!</v>
      </c>
      <c r="BF5636" t="e" vm="2">
        <f t="shared" si="402"/>
        <v>#VALUE!</v>
      </c>
      <c r="BG5636" t="e" vm="2">
        <f t="shared" si="403"/>
        <v>#VALUE!</v>
      </c>
    </row>
    <row r="5637" spans="55:59" x14ac:dyDescent="0.2">
      <c r="BC5637" s="21" t="e" vm="1">
        <v>#REF!</v>
      </c>
      <c r="BD5637" t="e" vm="1">
        <v>#REF!</v>
      </c>
      <c r="BF5637" t="e" vm="2">
        <f t="shared" si="402"/>
        <v>#VALUE!</v>
      </c>
      <c r="BG5637" t="e" vm="2">
        <f t="shared" si="403"/>
        <v>#VALUE!</v>
      </c>
    </row>
    <row r="5638" spans="55:59" x14ac:dyDescent="0.2">
      <c r="BC5638" s="21" t="e" vm="1">
        <v>#REF!</v>
      </c>
      <c r="BD5638" t="e" vm="1">
        <v>#REF!</v>
      </c>
      <c r="BF5638" t="e" vm="2">
        <f t="shared" si="402"/>
        <v>#VALUE!</v>
      </c>
      <c r="BG5638" t="e" vm="2">
        <f t="shared" si="403"/>
        <v>#VALUE!</v>
      </c>
    </row>
    <row r="5639" spans="55:59" x14ac:dyDescent="0.2">
      <c r="BC5639" s="21" t="e" vm="1">
        <v>#REF!</v>
      </c>
      <c r="BD5639" t="e" vm="1">
        <v>#REF!</v>
      </c>
      <c r="BF5639" t="e" vm="2">
        <f t="shared" si="402"/>
        <v>#VALUE!</v>
      </c>
      <c r="BG5639" t="e" vm="2">
        <f t="shared" si="403"/>
        <v>#VALUE!</v>
      </c>
    </row>
    <row r="5640" spans="55:59" x14ac:dyDescent="0.2">
      <c r="BC5640" s="21" t="e" vm="1">
        <v>#REF!</v>
      </c>
      <c r="BD5640" t="e" vm="1">
        <v>#REF!</v>
      </c>
      <c r="BF5640" t="e" vm="2">
        <f t="shared" si="402"/>
        <v>#VALUE!</v>
      </c>
      <c r="BG5640" t="e" vm="2">
        <f t="shared" si="403"/>
        <v>#VALUE!</v>
      </c>
    </row>
    <row r="5641" spans="55:59" x14ac:dyDescent="0.2">
      <c r="BC5641" s="21" t="e" vm="1">
        <v>#REF!</v>
      </c>
      <c r="BD5641" t="e" vm="1">
        <v>#REF!</v>
      </c>
      <c r="BF5641" t="e" vm="2">
        <f t="shared" si="402"/>
        <v>#VALUE!</v>
      </c>
      <c r="BG5641" t="e" vm="2">
        <f t="shared" si="403"/>
        <v>#VALUE!</v>
      </c>
    </row>
    <row r="5642" spans="55:59" x14ac:dyDescent="0.2">
      <c r="BC5642" s="21" t="e" vm="1">
        <v>#REF!</v>
      </c>
      <c r="BD5642" t="e" vm="1">
        <v>#REF!</v>
      </c>
      <c r="BF5642" t="e" vm="2">
        <f t="shared" si="402"/>
        <v>#VALUE!</v>
      </c>
      <c r="BG5642" t="e" vm="2">
        <f t="shared" si="403"/>
        <v>#VALUE!</v>
      </c>
    </row>
    <row r="5643" spans="55:59" x14ac:dyDescent="0.2">
      <c r="BC5643" s="21" t="e" vm="1">
        <v>#REF!</v>
      </c>
      <c r="BD5643" t="e" vm="1">
        <v>#REF!</v>
      </c>
      <c r="BF5643" t="e" vm="2">
        <f t="shared" si="402"/>
        <v>#VALUE!</v>
      </c>
      <c r="BG5643" t="e" vm="2">
        <f t="shared" si="403"/>
        <v>#VALUE!</v>
      </c>
    </row>
    <row r="5644" spans="55:59" x14ac:dyDescent="0.2">
      <c r="BC5644" s="21" t="e" vm="1">
        <v>#REF!</v>
      </c>
      <c r="BD5644" t="e" vm="1">
        <v>#REF!</v>
      </c>
      <c r="BF5644" t="e" vm="2">
        <f t="shared" si="402"/>
        <v>#VALUE!</v>
      </c>
      <c r="BG5644" t="e" vm="2">
        <f t="shared" si="403"/>
        <v>#VALUE!</v>
      </c>
    </row>
    <row r="5645" spans="55:59" x14ac:dyDescent="0.2">
      <c r="BC5645" s="21" t="e" vm="1">
        <v>#REF!</v>
      </c>
      <c r="BD5645" t="e" vm="1">
        <v>#REF!</v>
      </c>
      <c r="BF5645" t="e" vm="2">
        <f t="shared" si="402"/>
        <v>#VALUE!</v>
      </c>
      <c r="BG5645" t="e" vm="2">
        <f t="shared" si="403"/>
        <v>#VALUE!</v>
      </c>
    </row>
    <row r="5646" spans="55:59" x14ac:dyDescent="0.2">
      <c r="BC5646" s="21" t="e" vm="1">
        <v>#REF!</v>
      </c>
      <c r="BD5646" t="e" vm="1">
        <v>#REF!</v>
      </c>
      <c r="BF5646" t="e" vm="2">
        <f t="shared" si="402"/>
        <v>#VALUE!</v>
      </c>
      <c r="BG5646" t="e" vm="2">
        <f t="shared" si="403"/>
        <v>#VALUE!</v>
      </c>
    </row>
    <row r="5647" spans="55:59" x14ac:dyDescent="0.2">
      <c r="BC5647" s="21" t="e" vm="1">
        <v>#REF!</v>
      </c>
      <c r="BD5647" t="e" vm="1">
        <v>#REF!</v>
      </c>
      <c r="BF5647" t="e" vm="2">
        <f t="shared" si="402"/>
        <v>#VALUE!</v>
      </c>
      <c r="BG5647" t="e" vm="2">
        <f t="shared" si="403"/>
        <v>#VALUE!</v>
      </c>
    </row>
    <row r="5648" spans="55:59" x14ac:dyDescent="0.2">
      <c r="BC5648" s="21" t="e" vm="1">
        <v>#REF!</v>
      </c>
      <c r="BD5648" t="e" vm="1">
        <v>#REF!</v>
      </c>
      <c r="BF5648" t="e" vm="2">
        <f t="shared" si="402"/>
        <v>#VALUE!</v>
      </c>
      <c r="BG5648" t="e" vm="2">
        <f t="shared" si="403"/>
        <v>#VALUE!</v>
      </c>
    </row>
    <row r="5649" spans="55:59" x14ac:dyDescent="0.2">
      <c r="BC5649" s="21" t="e" vm="1">
        <v>#REF!</v>
      </c>
      <c r="BD5649" t="e" vm="1">
        <v>#REF!</v>
      </c>
      <c r="BF5649" t="e" vm="2">
        <f t="shared" si="402"/>
        <v>#VALUE!</v>
      </c>
      <c r="BG5649" t="e" vm="2">
        <f t="shared" si="403"/>
        <v>#VALUE!</v>
      </c>
    </row>
    <row r="5650" spans="55:59" x14ac:dyDescent="0.2">
      <c r="BC5650" s="21" t="e" vm="1">
        <v>#REF!</v>
      </c>
      <c r="BD5650" t="e" vm="1">
        <v>#REF!</v>
      </c>
      <c r="BF5650" t="e" vm="2">
        <f t="shared" si="402"/>
        <v>#VALUE!</v>
      </c>
      <c r="BG5650" t="e" vm="2">
        <f t="shared" si="403"/>
        <v>#VALUE!</v>
      </c>
    </row>
    <row r="5651" spans="55:59" x14ac:dyDescent="0.2">
      <c r="BC5651" s="21" t="e" vm="1">
        <v>#REF!</v>
      </c>
      <c r="BD5651" t="e" vm="1">
        <v>#REF!</v>
      </c>
      <c r="BF5651" t="e" vm="2">
        <f t="shared" si="402"/>
        <v>#VALUE!</v>
      </c>
      <c r="BG5651" t="e" vm="2">
        <f t="shared" si="403"/>
        <v>#VALUE!</v>
      </c>
    </row>
    <row r="5652" spans="55:59" x14ac:dyDescent="0.2">
      <c r="BC5652" s="21" t="e" vm="1">
        <v>#REF!</v>
      </c>
      <c r="BD5652" t="e" vm="1">
        <v>#REF!</v>
      </c>
      <c r="BF5652" t="e" vm="2">
        <f t="shared" si="402"/>
        <v>#VALUE!</v>
      </c>
      <c r="BG5652" t="e" vm="2">
        <f t="shared" si="403"/>
        <v>#VALUE!</v>
      </c>
    </row>
    <row r="5653" spans="55:59" x14ac:dyDescent="0.2">
      <c r="BC5653" s="21" t="e" vm="1">
        <v>#REF!</v>
      </c>
      <c r="BD5653" t="e" vm="1">
        <v>#REF!</v>
      </c>
      <c r="BF5653" t="e" vm="2">
        <f t="shared" si="402"/>
        <v>#VALUE!</v>
      </c>
      <c r="BG5653" t="e" vm="2">
        <f t="shared" si="403"/>
        <v>#VALUE!</v>
      </c>
    </row>
    <row r="5654" spans="55:59" x14ac:dyDescent="0.2">
      <c r="BC5654" s="21" t="e" vm="1">
        <v>#REF!</v>
      </c>
      <c r="BD5654" t="e" vm="1">
        <v>#REF!</v>
      </c>
      <c r="BF5654" t="e" vm="2">
        <f t="shared" si="402"/>
        <v>#VALUE!</v>
      </c>
      <c r="BG5654" t="e" vm="2">
        <f t="shared" si="403"/>
        <v>#VALUE!</v>
      </c>
    </row>
    <row r="5655" spans="55:59" x14ac:dyDescent="0.2">
      <c r="BC5655" s="21" t="e" vm="1">
        <v>#REF!</v>
      </c>
      <c r="BD5655" t="e" vm="1">
        <v>#REF!</v>
      </c>
      <c r="BF5655" t="e" vm="2">
        <f t="shared" si="402"/>
        <v>#VALUE!</v>
      </c>
      <c r="BG5655" t="e" vm="2">
        <f t="shared" si="403"/>
        <v>#VALUE!</v>
      </c>
    </row>
    <row r="5656" spans="55:59" x14ac:dyDescent="0.2">
      <c r="BC5656" s="21" t="e" vm="1">
        <v>#REF!</v>
      </c>
      <c r="BD5656" t="e" vm="1">
        <v>#REF!</v>
      </c>
      <c r="BF5656" t="e" vm="2">
        <f t="shared" si="402"/>
        <v>#VALUE!</v>
      </c>
      <c r="BG5656" t="e" vm="2">
        <f t="shared" si="403"/>
        <v>#VALUE!</v>
      </c>
    </row>
    <row r="5657" spans="55:59" x14ac:dyDescent="0.2">
      <c r="BC5657" s="21" t="e" vm="1">
        <v>#REF!</v>
      </c>
      <c r="BD5657" t="e" vm="1">
        <v>#REF!</v>
      </c>
      <c r="BF5657" t="e" vm="2">
        <f t="shared" si="402"/>
        <v>#VALUE!</v>
      </c>
      <c r="BG5657" t="e" vm="2">
        <f t="shared" si="403"/>
        <v>#VALUE!</v>
      </c>
    </row>
    <row r="5658" spans="55:59" x14ac:dyDescent="0.2">
      <c r="BC5658" s="21" t="e" vm="1">
        <v>#REF!</v>
      </c>
      <c r="BD5658" t="e" vm="1">
        <v>#REF!</v>
      </c>
      <c r="BF5658" t="e" vm="2">
        <f t="shared" si="402"/>
        <v>#VALUE!</v>
      </c>
      <c r="BG5658" t="e" vm="2">
        <f t="shared" si="403"/>
        <v>#VALUE!</v>
      </c>
    </row>
    <row r="5659" spans="55:59" x14ac:dyDescent="0.2">
      <c r="BC5659" s="21" t="e" vm="1">
        <v>#REF!</v>
      </c>
      <c r="BD5659" t="e" vm="1">
        <v>#REF!</v>
      </c>
      <c r="BF5659" t="e" vm="2">
        <f t="shared" si="402"/>
        <v>#VALUE!</v>
      </c>
      <c r="BG5659" t="e" vm="2">
        <f t="shared" si="403"/>
        <v>#VALUE!</v>
      </c>
    </row>
    <row r="5660" spans="55:59" x14ac:dyDescent="0.2">
      <c r="BC5660" s="21" t="e" vm="1">
        <v>#REF!</v>
      </c>
      <c r="BD5660" t="e" vm="1">
        <v>#REF!</v>
      </c>
      <c r="BF5660" t="e" vm="2">
        <f t="shared" si="402"/>
        <v>#VALUE!</v>
      </c>
      <c r="BG5660" t="e" vm="2">
        <f t="shared" si="403"/>
        <v>#VALUE!</v>
      </c>
    </row>
    <row r="5661" spans="55:59" x14ac:dyDescent="0.2">
      <c r="BC5661" s="21" t="e" vm="1">
        <v>#REF!</v>
      </c>
      <c r="BD5661" t="e" vm="1">
        <v>#REF!</v>
      </c>
      <c r="BF5661" t="e" vm="2">
        <f t="shared" si="402"/>
        <v>#VALUE!</v>
      </c>
      <c r="BG5661" t="e" vm="2">
        <f t="shared" si="403"/>
        <v>#VALUE!</v>
      </c>
    </row>
    <row r="5662" spans="55:59" x14ac:dyDescent="0.2">
      <c r="BC5662" s="21" t="e" vm="1">
        <v>#REF!</v>
      </c>
      <c r="BD5662" t="e" vm="1">
        <v>#REF!</v>
      </c>
      <c r="BF5662" t="e" vm="2">
        <f t="shared" si="402"/>
        <v>#VALUE!</v>
      </c>
      <c r="BG5662" t="e" vm="2">
        <f t="shared" si="403"/>
        <v>#VALUE!</v>
      </c>
    </row>
    <row r="5663" spans="55:59" x14ac:dyDescent="0.2">
      <c r="BC5663" s="21" t="e" vm="1">
        <v>#REF!</v>
      </c>
      <c r="BD5663" t="e" vm="1">
        <v>#REF!</v>
      </c>
      <c r="BF5663" t="e" vm="2">
        <f t="shared" si="402"/>
        <v>#VALUE!</v>
      </c>
      <c r="BG5663" t="e" vm="2">
        <f t="shared" si="403"/>
        <v>#VALUE!</v>
      </c>
    </row>
    <row r="5664" spans="55:59" x14ac:dyDescent="0.2">
      <c r="BC5664" s="21" t="e" vm="1">
        <v>#REF!</v>
      </c>
      <c r="BD5664" t="e" vm="1">
        <v>#REF!</v>
      </c>
      <c r="BF5664" t="e" vm="2">
        <f t="shared" si="402"/>
        <v>#VALUE!</v>
      </c>
      <c r="BG5664" t="e" vm="2">
        <f t="shared" si="403"/>
        <v>#VALUE!</v>
      </c>
    </row>
    <row r="5665" spans="55:59" x14ac:dyDescent="0.2">
      <c r="BC5665" s="21" t="e" vm="1">
        <v>#REF!</v>
      </c>
      <c r="BD5665" t="e" vm="1">
        <v>#REF!</v>
      </c>
      <c r="BF5665" t="e" vm="2">
        <f t="shared" si="402"/>
        <v>#VALUE!</v>
      </c>
      <c r="BG5665" t="e" vm="2">
        <f t="shared" si="403"/>
        <v>#VALUE!</v>
      </c>
    </row>
    <row r="5666" spans="55:59" x14ac:dyDescent="0.2">
      <c r="BC5666" s="21" t="e" vm="1">
        <v>#REF!</v>
      </c>
      <c r="BD5666" t="e" vm="1">
        <v>#REF!</v>
      </c>
      <c r="BF5666" t="e" vm="2">
        <f t="shared" si="402"/>
        <v>#VALUE!</v>
      </c>
      <c r="BG5666" t="e" vm="2">
        <f t="shared" si="403"/>
        <v>#VALUE!</v>
      </c>
    </row>
    <row r="5667" spans="55:59" x14ac:dyDescent="0.2">
      <c r="BC5667" s="21" t="e" vm="1">
        <v>#REF!</v>
      </c>
      <c r="BD5667" t="e" vm="1">
        <v>#REF!</v>
      </c>
      <c r="BF5667" t="e" vm="2">
        <f t="shared" si="402"/>
        <v>#VALUE!</v>
      </c>
      <c r="BG5667" t="e" vm="2">
        <f t="shared" si="403"/>
        <v>#VALUE!</v>
      </c>
    </row>
    <row r="5668" spans="55:59" x14ac:dyDescent="0.2">
      <c r="BC5668" s="21" t="e" vm="1">
        <v>#REF!</v>
      </c>
      <c r="BD5668" t="e" vm="1">
        <v>#REF!</v>
      </c>
      <c r="BF5668" t="e" vm="2">
        <f t="shared" si="402"/>
        <v>#VALUE!</v>
      </c>
      <c r="BG5668" t="e" vm="2">
        <f t="shared" si="403"/>
        <v>#VALUE!</v>
      </c>
    </row>
    <row r="5669" spans="55:59" x14ac:dyDescent="0.2">
      <c r="BC5669" s="21" t="e" vm="1">
        <v>#REF!</v>
      </c>
      <c r="BD5669" t="e" vm="1">
        <v>#REF!</v>
      </c>
      <c r="BF5669" t="e" vm="2">
        <f t="shared" si="402"/>
        <v>#VALUE!</v>
      </c>
      <c r="BG5669" t="e" vm="2">
        <f t="shared" si="403"/>
        <v>#VALUE!</v>
      </c>
    </row>
    <row r="5670" spans="55:59" x14ac:dyDescent="0.2">
      <c r="BC5670" s="21" t="e" vm="1">
        <v>#REF!</v>
      </c>
      <c r="BD5670" t="e" vm="1">
        <v>#REF!</v>
      </c>
      <c r="BF5670" t="e" vm="2">
        <f t="shared" si="402"/>
        <v>#VALUE!</v>
      </c>
      <c r="BG5670" t="e" vm="2">
        <f t="shared" si="403"/>
        <v>#VALUE!</v>
      </c>
    </row>
    <row r="5671" spans="55:59" x14ac:dyDescent="0.2">
      <c r="BC5671" s="21" t="e" vm="1">
        <v>#REF!</v>
      </c>
      <c r="BD5671" t="e" vm="1">
        <v>#REF!</v>
      </c>
      <c r="BF5671" t="e" vm="2">
        <f t="shared" si="402"/>
        <v>#VALUE!</v>
      </c>
      <c r="BG5671" t="e" vm="2">
        <f t="shared" si="403"/>
        <v>#VALUE!</v>
      </c>
    </row>
    <row r="5672" spans="55:59" x14ac:dyDescent="0.2">
      <c r="BC5672" s="21" t="e" vm="1">
        <v>#REF!</v>
      </c>
      <c r="BD5672" t="e" vm="1">
        <v>#REF!</v>
      </c>
      <c r="BF5672" t="e" vm="2">
        <f t="shared" si="402"/>
        <v>#VALUE!</v>
      </c>
      <c r="BG5672" t="e" vm="2">
        <f t="shared" si="403"/>
        <v>#VALUE!</v>
      </c>
    </row>
    <row r="5673" spans="55:59" x14ac:dyDescent="0.2">
      <c r="BC5673" s="21" t="e" vm="1">
        <v>#REF!</v>
      </c>
      <c r="BD5673" t="e" vm="1">
        <v>#REF!</v>
      </c>
      <c r="BF5673" t="e" vm="2">
        <f t="shared" si="402"/>
        <v>#VALUE!</v>
      </c>
      <c r="BG5673" t="e" vm="2">
        <f t="shared" si="403"/>
        <v>#VALUE!</v>
      </c>
    </row>
    <row r="5674" spans="55:59" x14ac:dyDescent="0.2">
      <c r="BC5674" s="21" t="e" vm="1">
        <v>#REF!</v>
      </c>
      <c r="BD5674" t="e" vm="1">
        <v>#REF!</v>
      </c>
      <c r="BF5674" t="e" vm="2">
        <f t="shared" si="402"/>
        <v>#VALUE!</v>
      </c>
      <c r="BG5674" t="e" vm="2">
        <f t="shared" si="403"/>
        <v>#VALUE!</v>
      </c>
    </row>
    <row r="5675" spans="55:59" x14ac:dyDescent="0.2">
      <c r="BC5675" s="21" t="e" vm="1">
        <v>#REF!</v>
      </c>
      <c r="BD5675" t="e" vm="1">
        <v>#REF!</v>
      </c>
      <c r="BF5675" t="e" vm="2">
        <f t="shared" si="402"/>
        <v>#VALUE!</v>
      </c>
      <c r="BG5675" t="e" vm="2">
        <f t="shared" si="403"/>
        <v>#VALUE!</v>
      </c>
    </row>
    <row r="5676" spans="55:59" x14ac:dyDescent="0.2">
      <c r="BC5676" s="21" t="e" vm="1">
        <v>#REF!</v>
      </c>
      <c r="BD5676" t="e" vm="1">
        <v>#REF!</v>
      </c>
      <c r="BF5676" t="e" vm="2">
        <f t="shared" si="402"/>
        <v>#VALUE!</v>
      </c>
      <c r="BG5676" t="e" vm="2">
        <f t="shared" si="403"/>
        <v>#VALUE!</v>
      </c>
    </row>
    <row r="5677" spans="55:59" x14ac:dyDescent="0.2">
      <c r="BC5677" s="21" t="e" vm="1">
        <v>#REF!</v>
      </c>
      <c r="BD5677" t="e" vm="1">
        <v>#REF!</v>
      </c>
      <c r="BF5677" t="e" vm="2">
        <f t="shared" si="402"/>
        <v>#VALUE!</v>
      </c>
      <c r="BG5677" t="e" vm="2">
        <f t="shared" si="403"/>
        <v>#VALUE!</v>
      </c>
    </row>
    <row r="5678" spans="55:59" x14ac:dyDescent="0.2">
      <c r="BC5678" s="21" t="e" vm="1">
        <v>#REF!</v>
      </c>
      <c r="BD5678" t="e" vm="1">
        <v>#REF!</v>
      </c>
      <c r="BF5678" t="e" vm="2">
        <f t="shared" si="402"/>
        <v>#VALUE!</v>
      </c>
      <c r="BG5678" t="e" vm="2">
        <f t="shared" si="403"/>
        <v>#VALUE!</v>
      </c>
    </row>
    <row r="5679" spans="55:59" x14ac:dyDescent="0.2">
      <c r="BC5679" s="21" t="e" vm="1">
        <v>#REF!</v>
      </c>
      <c r="BD5679" t="e" vm="1">
        <v>#REF!</v>
      </c>
      <c r="BF5679" t="e" vm="2">
        <f t="shared" si="402"/>
        <v>#VALUE!</v>
      </c>
      <c r="BG5679" t="e" vm="2">
        <f t="shared" si="403"/>
        <v>#VALUE!</v>
      </c>
    </row>
    <row r="5680" spans="55:59" x14ac:dyDescent="0.2">
      <c r="BC5680" s="21" t="e" vm="1">
        <v>#REF!</v>
      </c>
      <c r="BD5680" t="e" vm="1">
        <v>#REF!</v>
      </c>
      <c r="BF5680" t="e" vm="2">
        <f t="shared" si="402"/>
        <v>#VALUE!</v>
      </c>
      <c r="BG5680" t="e" vm="2">
        <f t="shared" si="403"/>
        <v>#VALUE!</v>
      </c>
    </row>
    <row r="5681" spans="55:59" x14ac:dyDescent="0.2">
      <c r="BC5681" s="21" t="e" vm="1">
        <v>#REF!</v>
      </c>
      <c r="BD5681" t="e" vm="1">
        <v>#REF!</v>
      </c>
      <c r="BF5681" t="e" vm="2">
        <f t="shared" si="402"/>
        <v>#VALUE!</v>
      </c>
      <c r="BG5681" t="e" vm="2">
        <f t="shared" si="403"/>
        <v>#VALUE!</v>
      </c>
    </row>
    <row r="5682" spans="55:59" x14ac:dyDescent="0.2">
      <c r="BC5682" s="21" t="e" vm="1">
        <v>#REF!</v>
      </c>
      <c r="BD5682" t="e" vm="1">
        <v>#REF!</v>
      </c>
      <c r="BF5682" t="e" vm="2">
        <f t="shared" si="402"/>
        <v>#VALUE!</v>
      </c>
      <c r="BG5682" t="e" vm="2">
        <f t="shared" si="403"/>
        <v>#VALUE!</v>
      </c>
    </row>
    <row r="5683" spans="55:59" x14ac:dyDescent="0.2">
      <c r="BC5683" s="21" t="e" vm="1">
        <v>#REF!</v>
      </c>
      <c r="BD5683" t="e" vm="1">
        <v>#REF!</v>
      </c>
      <c r="BF5683" t="e" vm="2">
        <f t="shared" si="402"/>
        <v>#VALUE!</v>
      </c>
      <c r="BG5683" t="e" vm="2">
        <f t="shared" si="403"/>
        <v>#VALUE!</v>
      </c>
    </row>
    <row r="5684" spans="55:59" x14ac:dyDescent="0.2">
      <c r="BC5684" s="21" t="e" vm="1">
        <v>#REF!</v>
      </c>
      <c r="BD5684" t="e" vm="1">
        <v>#REF!</v>
      </c>
      <c r="BF5684" t="e" vm="2">
        <f t="shared" si="402"/>
        <v>#VALUE!</v>
      </c>
      <c r="BG5684" t="e" vm="2">
        <f t="shared" si="403"/>
        <v>#VALUE!</v>
      </c>
    </row>
    <row r="5685" spans="55:59" x14ac:dyDescent="0.2">
      <c r="BC5685" s="21" t="e" vm="1">
        <v>#REF!</v>
      </c>
      <c r="BD5685" t="e" vm="1">
        <v>#REF!</v>
      </c>
      <c r="BF5685" t="e" vm="2">
        <f t="shared" si="402"/>
        <v>#VALUE!</v>
      </c>
      <c r="BG5685" t="e" vm="2">
        <f t="shared" si="403"/>
        <v>#VALUE!</v>
      </c>
    </row>
    <row r="5686" spans="55:59" x14ac:dyDescent="0.2">
      <c r="BC5686" s="21" t="e" vm="1">
        <v>#REF!</v>
      </c>
      <c r="BD5686" t="e" vm="1">
        <v>#REF!</v>
      </c>
      <c r="BF5686" t="e" vm="2">
        <f t="shared" si="402"/>
        <v>#VALUE!</v>
      </c>
      <c r="BG5686" t="e" vm="2">
        <f t="shared" si="403"/>
        <v>#VALUE!</v>
      </c>
    </row>
    <row r="5687" spans="55:59" x14ac:dyDescent="0.2">
      <c r="BC5687" s="21" t="e" vm="1">
        <v>#REF!</v>
      </c>
      <c r="BD5687" t="e" vm="1">
        <v>#REF!</v>
      </c>
      <c r="BF5687" t="e" vm="2">
        <f t="shared" si="402"/>
        <v>#VALUE!</v>
      </c>
      <c r="BG5687" t="e" vm="2">
        <f t="shared" si="403"/>
        <v>#VALUE!</v>
      </c>
    </row>
    <row r="5688" spans="55:59" x14ac:dyDescent="0.2">
      <c r="BC5688" s="21" t="e" vm="1">
        <v>#REF!</v>
      </c>
      <c r="BD5688" t="e" vm="1">
        <v>#REF!</v>
      </c>
      <c r="BF5688" t="e" vm="2">
        <f t="shared" si="402"/>
        <v>#VALUE!</v>
      </c>
      <c r="BG5688" t="e" vm="2">
        <f t="shared" si="403"/>
        <v>#VALUE!</v>
      </c>
    </row>
    <row r="5689" spans="55:59" x14ac:dyDescent="0.2">
      <c r="BC5689" s="21" t="e" vm="1">
        <v>#REF!</v>
      </c>
      <c r="BD5689" t="e" vm="1">
        <v>#REF!</v>
      </c>
      <c r="BF5689" t="e" vm="2">
        <f t="shared" si="402"/>
        <v>#VALUE!</v>
      </c>
      <c r="BG5689" t="e" vm="2">
        <f t="shared" si="403"/>
        <v>#VALUE!</v>
      </c>
    </row>
    <row r="5690" spans="55:59" x14ac:dyDescent="0.2">
      <c r="BC5690" s="21" t="e" vm="1">
        <v>#REF!</v>
      </c>
      <c r="BD5690" t="e" vm="1">
        <v>#REF!</v>
      </c>
      <c r="BF5690" t="e" vm="2">
        <f t="shared" si="402"/>
        <v>#VALUE!</v>
      </c>
      <c r="BG5690" t="e" vm="2">
        <f t="shared" si="403"/>
        <v>#VALUE!</v>
      </c>
    </row>
    <row r="5691" spans="55:59" x14ac:dyDescent="0.2">
      <c r="BC5691" s="21" t="e" vm="1">
        <v>#REF!</v>
      </c>
      <c r="BD5691" t="e" vm="1">
        <v>#REF!</v>
      </c>
      <c r="BF5691" t="e" vm="2">
        <f t="shared" si="402"/>
        <v>#VALUE!</v>
      </c>
      <c r="BG5691" t="e" vm="2">
        <f t="shared" si="403"/>
        <v>#VALUE!</v>
      </c>
    </row>
    <row r="5692" spans="55:59" x14ac:dyDescent="0.2">
      <c r="BC5692" s="21" t="e" vm="1">
        <v>#REF!</v>
      </c>
      <c r="BD5692" t="e" vm="1">
        <v>#REF!</v>
      </c>
      <c r="BF5692" t="e" vm="2">
        <f t="shared" si="402"/>
        <v>#VALUE!</v>
      </c>
      <c r="BG5692" t="e" vm="2">
        <f t="shared" si="403"/>
        <v>#VALUE!</v>
      </c>
    </row>
    <row r="5693" spans="55:59" x14ac:dyDescent="0.2">
      <c r="BC5693" s="21" t="e" vm="1">
        <v>#REF!</v>
      </c>
      <c r="BD5693" t="e" vm="1">
        <v>#REF!</v>
      </c>
      <c r="BF5693" t="e" vm="2">
        <f t="shared" si="402"/>
        <v>#VALUE!</v>
      </c>
      <c r="BG5693" t="e" vm="2">
        <f t="shared" si="403"/>
        <v>#VALUE!</v>
      </c>
    </row>
    <row r="5694" spans="55:59" x14ac:dyDescent="0.2">
      <c r="BC5694" s="21" t="e" vm="1">
        <v>#REF!</v>
      </c>
      <c r="BD5694" t="e" vm="1">
        <v>#REF!</v>
      </c>
      <c r="BF5694" t="e" vm="2">
        <f t="shared" si="402"/>
        <v>#VALUE!</v>
      </c>
      <c r="BG5694" t="e" vm="2">
        <f t="shared" si="403"/>
        <v>#VALUE!</v>
      </c>
    </row>
    <row r="5695" spans="55:59" x14ac:dyDescent="0.2">
      <c r="BC5695" s="21" t="e" vm="1">
        <v>#REF!</v>
      </c>
      <c r="BD5695" t="e" vm="1">
        <v>#REF!</v>
      </c>
      <c r="BF5695" t="e" vm="2">
        <f t="shared" si="402"/>
        <v>#VALUE!</v>
      </c>
      <c r="BG5695" t="e" vm="2">
        <f t="shared" si="403"/>
        <v>#VALUE!</v>
      </c>
    </row>
    <row r="5696" spans="55:59" x14ac:dyDescent="0.2">
      <c r="BC5696" s="21" t="e" vm="1">
        <v>#REF!</v>
      </c>
      <c r="BD5696" t="e" vm="1">
        <v>#REF!</v>
      </c>
      <c r="BF5696" t="e" vm="2">
        <f t="shared" si="402"/>
        <v>#VALUE!</v>
      </c>
      <c r="BG5696" t="e" vm="2">
        <f t="shared" si="403"/>
        <v>#VALUE!</v>
      </c>
    </row>
    <row r="5697" spans="55:59" x14ac:dyDescent="0.2">
      <c r="BC5697" s="21" t="e" vm="1">
        <v>#REF!</v>
      </c>
      <c r="BD5697" t="e" vm="1">
        <v>#REF!</v>
      </c>
      <c r="BF5697" t="e" vm="2">
        <f t="shared" si="402"/>
        <v>#VALUE!</v>
      </c>
      <c r="BG5697" t="e" vm="2">
        <f t="shared" si="403"/>
        <v>#VALUE!</v>
      </c>
    </row>
    <row r="5698" spans="55:59" x14ac:dyDescent="0.2">
      <c r="BC5698" s="21" t="e" vm="1">
        <v>#REF!</v>
      </c>
      <c r="BD5698" t="e" vm="1">
        <v>#REF!</v>
      </c>
      <c r="BF5698" t="e" vm="2">
        <f t="shared" si="402"/>
        <v>#VALUE!</v>
      </c>
      <c r="BG5698" t="e" vm="2">
        <f t="shared" si="403"/>
        <v>#VALUE!</v>
      </c>
    </row>
    <row r="5699" spans="55:59" x14ac:dyDescent="0.2">
      <c r="BC5699" s="21" t="e" vm="1">
        <v>#REF!</v>
      </c>
      <c r="BD5699" t="e" vm="1">
        <v>#REF!</v>
      </c>
      <c r="BF5699" t="e" vm="2">
        <f t="shared" ref="BF5699:BF5762" si="404">MONTH(BC5699)</f>
        <v>#VALUE!</v>
      </c>
      <c r="BG5699" t="e" vm="2">
        <f t="shared" ref="BG5699:BG5762" si="405">YEAR(BC5699)</f>
        <v>#VALUE!</v>
      </c>
    </row>
    <row r="5700" spans="55:59" x14ac:dyDescent="0.2">
      <c r="BC5700" s="21" t="e" vm="1">
        <v>#REF!</v>
      </c>
      <c r="BD5700" t="e" vm="1">
        <v>#REF!</v>
      </c>
      <c r="BF5700" t="e" vm="2">
        <f t="shared" si="404"/>
        <v>#VALUE!</v>
      </c>
      <c r="BG5700" t="e" vm="2">
        <f t="shared" si="405"/>
        <v>#VALUE!</v>
      </c>
    </row>
    <row r="5701" spans="55:59" x14ac:dyDescent="0.2">
      <c r="BC5701" s="21" t="e" vm="1">
        <v>#REF!</v>
      </c>
      <c r="BD5701" t="e" vm="1">
        <v>#REF!</v>
      </c>
      <c r="BF5701" t="e" vm="2">
        <f t="shared" si="404"/>
        <v>#VALUE!</v>
      </c>
      <c r="BG5701" t="e" vm="2">
        <f t="shared" si="405"/>
        <v>#VALUE!</v>
      </c>
    </row>
    <row r="5702" spans="55:59" x14ac:dyDescent="0.2">
      <c r="BC5702" s="21" t="e" vm="1">
        <v>#REF!</v>
      </c>
      <c r="BD5702" t="e" vm="1">
        <v>#REF!</v>
      </c>
      <c r="BF5702" t="e" vm="2">
        <f t="shared" si="404"/>
        <v>#VALUE!</v>
      </c>
      <c r="BG5702" t="e" vm="2">
        <f t="shared" si="405"/>
        <v>#VALUE!</v>
      </c>
    </row>
    <row r="5703" spans="55:59" x14ac:dyDescent="0.2">
      <c r="BC5703" s="21" t="e" vm="1">
        <v>#REF!</v>
      </c>
      <c r="BD5703" t="e" vm="1">
        <v>#REF!</v>
      </c>
      <c r="BF5703" t="e" vm="2">
        <f t="shared" si="404"/>
        <v>#VALUE!</v>
      </c>
      <c r="BG5703" t="e" vm="2">
        <f t="shared" si="405"/>
        <v>#VALUE!</v>
      </c>
    </row>
    <row r="5704" spans="55:59" x14ac:dyDescent="0.2">
      <c r="BC5704" s="21" t="e" vm="1">
        <v>#REF!</v>
      </c>
      <c r="BD5704" t="e" vm="1">
        <v>#REF!</v>
      </c>
      <c r="BF5704" t="e" vm="2">
        <f t="shared" si="404"/>
        <v>#VALUE!</v>
      </c>
      <c r="BG5704" t="e" vm="2">
        <f t="shared" si="405"/>
        <v>#VALUE!</v>
      </c>
    </row>
    <row r="5705" spans="55:59" x14ac:dyDescent="0.2">
      <c r="BC5705" s="21" t="e" vm="1">
        <v>#REF!</v>
      </c>
      <c r="BD5705" t="e" vm="1">
        <v>#REF!</v>
      </c>
      <c r="BF5705" t="e" vm="2">
        <f t="shared" si="404"/>
        <v>#VALUE!</v>
      </c>
      <c r="BG5705" t="e" vm="2">
        <f t="shared" si="405"/>
        <v>#VALUE!</v>
      </c>
    </row>
    <row r="5706" spans="55:59" x14ac:dyDescent="0.2">
      <c r="BC5706" s="21" t="e" vm="1">
        <v>#REF!</v>
      </c>
      <c r="BD5706" t="e" vm="1">
        <v>#REF!</v>
      </c>
      <c r="BF5706" t="e" vm="2">
        <f t="shared" si="404"/>
        <v>#VALUE!</v>
      </c>
      <c r="BG5706" t="e" vm="2">
        <f t="shared" si="405"/>
        <v>#VALUE!</v>
      </c>
    </row>
    <row r="5707" spans="55:59" x14ac:dyDescent="0.2">
      <c r="BC5707" s="21" t="e" vm="1">
        <v>#REF!</v>
      </c>
      <c r="BD5707" t="e" vm="1">
        <v>#REF!</v>
      </c>
      <c r="BF5707" t="e" vm="2">
        <f t="shared" si="404"/>
        <v>#VALUE!</v>
      </c>
      <c r="BG5707" t="e" vm="2">
        <f t="shared" si="405"/>
        <v>#VALUE!</v>
      </c>
    </row>
    <row r="5708" spans="55:59" x14ac:dyDescent="0.2">
      <c r="BC5708" s="21" t="e" vm="1">
        <v>#REF!</v>
      </c>
      <c r="BD5708" t="e" vm="1">
        <v>#REF!</v>
      </c>
      <c r="BF5708" t="e" vm="2">
        <f t="shared" si="404"/>
        <v>#VALUE!</v>
      </c>
      <c r="BG5708" t="e" vm="2">
        <f t="shared" si="405"/>
        <v>#VALUE!</v>
      </c>
    </row>
    <row r="5709" spans="55:59" x14ac:dyDescent="0.2">
      <c r="BC5709" s="21" t="e" vm="1">
        <v>#REF!</v>
      </c>
      <c r="BD5709" t="e" vm="1">
        <v>#REF!</v>
      </c>
      <c r="BF5709" t="e" vm="2">
        <f t="shared" si="404"/>
        <v>#VALUE!</v>
      </c>
      <c r="BG5709" t="e" vm="2">
        <f t="shared" si="405"/>
        <v>#VALUE!</v>
      </c>
    </row>
    <row r="5710" spans="55:59" x14ac:dyDescent="0.2">
      <c r="BC5710" s="21" t="e" vm="1">
        <v>#REF!</v>
      </c>
      <c r="BD5710" t="e" vm="1">
        <v>#REF!</v>
      </c>
      <c r="BF5710" t="e" vm="2">
        <f t="shared" si="404"/>
        <v>#VALUE!</v>
      </c>
      <c r="BG5710" t="e" vm="2">
        <f t="shared" si="405"/>
        <v>#VALUE!</v>
      </c>
    </row>
    <row r="5711" spans="55:59" x14ac:dyDescent="0.2">
      <c r="BC5711" s="21" t="e" vm="1">
        <v>#REF!</v>
      </c>
      <c r="BD5711" t="e" vm="1">
        <v>#REF!</v>
      </c>
      <c r="BF5711" t="e" vm="2">
        <f t="shared" si="404"/>
        <v>#VALUE!</v>
      </c>
      <c r="BG5711" t="e" vm="2">
        <f t="shared" si="405"/>
        <v>#VALUE!</v>
      </c>
    </row>
    <row r="5712" spans="55:59" x14ac:dyDescent="0.2">
      <c r="BC5712" s="21" t="e" vm="1">
        <v>#REF!</v>
      </c>
      <c r="BD5712" t="e" vm="1">
        <v>#REF!</v>
      </c>
      <c r="BF5712" t="e" vm="2">
        <f t="shared" si="404"/>
        <v>#VALUE!</v>
      </c>
      <c r="BG5712" t="e" vm="2">
        <f t="shared" si="405"/>
        <v>#VALUE!</v>
      </c>
    </row>
    <row r="5713" spans="55:59" x14ac:dyDescent="0.2">
      <c r="BC5713" s="21" t="e" vm="1">
        <v>#REF!</v>
      </c>
      <c r="BD5713" t="e" vm="1">
        <v>#REF!</v>
      </c>
      <c r="BF5713" t="e" vm="2">
        <f t="shared" si="404"/>
        <v>#VALUE!</v>
      </c>
      <c r="BG5713" t="e" vm="2">
        <f t="shared" si="405"/>
        <v>#VALUE!</v>
      </c>
    </row>
    <row r="5714" spans="55:59" x14ac:dyDescent="0.2">
      <c r="BC5714" s="21" t="e" vm="1">
        <v>#REF!</v>
      </c>
      <c r="BD5714" t="e" vm="1">
        <v>#REF!</v>
      </c>
      <c r="BF5714" t="e" vm="2">
        <f t="shared" si="404"/>
        <v>#VALUE!</v>
      </c>
      <c r="BG5714" t="e" vm="2">
        <f t="shared" si="405"/>
        <v>#VALUE!</v>
      </c>
    </row>
    <row r="5715" spans="55:59" x14ac:dyDescent="0.2">
      <c r="BC5715" s="21" t="e" vm="1">
        <v>#REF!</v>
      </c>
      <c r="BD5715" t="e" vm="1">
        <v>#REF!</v>
      </c>
      <c r="BF5715" t="e" vm="2">
        <f t="shared" si="404"/>
        <v>#VALUE!</v>
      </c>
      <c r="BG5715" t="e" vm="2">
        <f t="shared" si="405"/>
        <v>#VALUE!</v>
      </c>
    </row>
    <row r="5716" spans="55:59" x14ac:dyDescent="0.2">
      <c r="BC5716" s="21" t="e" vm="1">
        <v>#REF!</v>
      </c>
      <c r="BD5716" t="e" vm="1">
        <v>#REF!</v>
      </c>
      <c r="BF5716" t="e" vm="2">
        <f t="shared" si="404"/>
        <v>#VALUE!</v>
      </c>
      <c r="BG5716" t="e" vm="2">
        <f t="shared" si="405"/>
        <v>#VALUE!</v>
      </c>
    </row>
    <row r="5717" spans="55:59" x14ac:dyDescent="0.2">
      <c r="BC5717" s="21" t="e" vm="1">
        <v>#REF!</v>
      </c>
      <c r="BD5717" t="e" vm="1">
        <v>#REF!</v>
      </c>
      <c r="BF5717" t="e" vm="2">
        <f t="shared" si="404"/>
        <v>#VALUE!</v>
      </c>
      <c r="BG5717" t="e" vm="2">
        <f t="shared" si="405"/>
        <v>#VALUE!</v>
      </c>
    </row>
    <row r="5718" spans="55:59" x14ac:dyDescent="0.2">
      <c r="BC5718" s="21" t="e" vm="1">
        <v>#REF!</v>
      </c>
      <c r="BD5718" t="e" vm="1">
        <v>#REF!</v>
      </c>
      <c r="BF5718" t="e" vm="2">
        <f t="shared" si="404"/>
        <v>#VALUE!</v>
      </c>
      <c r="BG5718" t="e" vm="2">
        <f t="shared" si="405"/>
        <v>#VALUE!</v>
      </c>
    </row>
    <row r="5719" spans="55:59" x14ac:dyDescent="0.2">
      <c r="BC5719" s="21" t="e" vm="1">
        <v>#REF!</v>
      </c>
      <c r="BD5719" t="e" vm="1">
        <v>#REF!</v>
      </c>
      <c r="BF5719" t="e" vm="2">
        <f t="shared" si="404"/>
        <v>#VALUE!</v>
      </c>
      <c r="BG5719" t="e" vm="2">
        <f t="shared" si="405"/>
        <v>#VALUE!</v>
      </c>
    </row>
    <row r="5720" spans="55:59" x14ac:dyDescent="0.2">
      <c r="BC5720" s="21" t="e" vm="1">
        <v>#REF!</v>
      </c>
      <c r="BD5720" t="e" vm="1">
        <v>#REF!</v>
      </c>
      <c r="BF5720" t="e" vm="2">
        <f t="shared" si="404"/>
        <v>#VALUE!</v>
      </c>
      <c r="BG5720" t="e" vm="2">
        <f t="shared" si="405"/>
        <v>#VALUE!</v>
      </c>
    </row>
    <row r="5721" spans="55:59" x14ac:dyDescent="0.2">
      <c r="BC5721" s="21" t="e" vm="1">
        <v>#REF!</v>
      </c>
      <c r="BD5721" t="e" vm="1">
        <v>#REF!</v>
      </c>
      <c r="BF5721" t="e" vm="2">
        <f t="shared" si="404"/>
        <v>#VALUE!</v>
      </c>
      <c r="BG5721" t="e" vm="2">
        <f t="shared" si="405"/>
        <v>#VALUE!</v>
      </c>
    </row>
    <row r="5722" spans="55:59" x14ac:dyDescent="0.2">
      <c r="BC5722" s="21" t="e" vm="1">
        <v>#REF!</v>
      </c>
      <c r="BD5722" t="e" vm="1">
        <v>#REF!</v>
      </c>
      <c r="BF5722" t="e" vm="2">
        <f t="shared" si="404"/>
        <v>#VALUE!</v>
      </c>
      <c r="BG5722" t="e" vm="2">
        <f t="shared" si="405"/>
        <v>#VALUE!</v>
      </c>
    </row>
    <row r="5723" spans="55:59" x14ac:dyDescent="0.2">
      <c r="BC5723" s="21" t="e" vm="1">
        <v>#REF!</v>
      </c>
      <c r="BD5723" t="e" vm="1">
        <v>#REF!</v>
      </c>
      <c r="BF5723" t="e" vm="2">
        <f t="shared" si="404"/>
        <v>#VALUE!</v>
      </c>
      <c r="BG5723" t="e" vm="2">
        <f t="shared" si="405"/>
        <v>#VALUE!</v>
      </c>
    </row>
    <row r="5724" spans="55:59" x14ac:dyDescent="0.2">
      <c r="BC5724" s="21" t="e" vm="1">
        <v>#REF!</v>
      </c>
      <c r="BD5724" t="e" vm="1">
        <v>#REF!</v>
      </c>
      <c r="BF5724" t="e" vm="2">
        <f t="shared" si="404"/>
        <v>#VALUE!</v>
      </c>
      <c r="BG5724" t="e" vm="2">
        <f t="shared" si="405"/>
        <v>#VALUE!</v>
      </c>
    </row>
    <row r="5725" spans="55:59" x14ac:dyDescent="0.2">
      <c r="BC5725" s="21" t="e" vm="1">
        <v>#REF!</v>
      </c>
      <c r="BD5725" t="e" vm="1">
        <v>#REF!</v>
      </c>
      <c r="BF5725" t="e" vm="2">
        <f t="shared" si="404"/>
        <v>#VALUE!</v>
      </c>
      <c r="BG5725" t="e" vm="2">
        <f t="shared" si="405"/>
        <v>#VALUE!</v>
      </c>
    </row>
    <row r="5726" spans="55:59" x14ac:dyDescent="0.2">
      <c r="BC5726" s="21" t="e" vm="1">
        <v>#REF!</v>
      </c>
      <c r="BD5726" t="e" vm="1">
        <v>#REF!</v>
      </c>
      <c r="BF5726" t="e" vm="2">
        <f t="shared" si="404"/>
        <v>#VALUE!</v>
      </c>
      <c r="BG5726" t="e" vm="2">
        <f t="shared" si="405"/>
        <v>#VALUE!</v>
      </c>
    </row>
    <row r="5727" spans="55:59" x14ac:dyDescent="0.2">
      <c r="BC5727" s="21" t="e" vm="1">
        <v>#REF!</v>
      </c>
      <c r="BD5727" t="e" vm="1">
        <v>#REF!</v>
      </c>
      <c r="BF5727" t="e" vm="2">
        <f t="shared" si="404"/>
        <v>#VALUE!</v>
      </c>
      <c r="BG5727" t="e" vm="2">
        <f t="shared" si="405"/>
        <v>#VALUE!</v>
      </c>
    </row>
    <row r="5728" spans="55:59" x14ac:dyDescent="0.2">
      <c r="BC5728" s="21" t="e" vm="1">
        <v>#REF!</v>
      </c>
      <c r="BD5728" t="e" vm="1">
        <v>#REF!</v>
      </c>
      <c r="BF5728" t="e" vm="2">
        <f t="shared" si="404"/>
        <v>#VALUE!</v>
      </c>
      <c r="BG5728" t="e" vm="2">
        <f t="shared" si="405"/>
        <v>#VALUE!</v>
      </c>
    </row>
    <row r="5729" spans="55:59" x14ac:dyDescent="0.2">
      <c r="BC5729" s="21" t="e" vm="1">
        <v>#REF!</v>
      </c>
      <c r="BD5729" t="e" vm="1">
        <v>#REF!</v>
      </c>
      <c r="BF5729" t="e" vm="2">
        <f t="shared" si="404"/>
        <v>#VALUE!</v>
      </c>
      <c r="BG5729" t="e" vm="2">
        <f t="shared" si="405"/>
        <v>#VALUE!</v>
      </c>
    </row>
    <row r="5730" spans="55:59" x14ac:dyDescent="0.2">
      <c r="BC5730" s="21" t="e" vm="1">
        <v>#REF!</v>
      </c>
      <c r="BD5730" t="e" vm="1">
        <v>#REF!</v>
      </c>
      <c r="BF5730" t="e" vm="2">
        <f t="shared" si="404"/>
        <v>#VALUE!</v>
      </c>
      <c r="BG5730" t="e" vm="2">
        <f t="shared" si="405"/>
        <v>#VALUE!</v>
      </c>
    </row>
    <row r="5731" spans="55:59" x14ac:dyDescent="0.2">
      <c r="BC5731" s="21" t="e" vm="1">
        <v>#REF!</v>
      </c>
      <c r="BD5731" t="e" vm="1">
        <v>#REF!</v>
      </c>
      <c r="BF5731" t="e" vm="2">
        <f t="shared" si="404"/>
        <v>#VALUE!</v>
      </c>
      <c r="BG5731" t="e" vm="2">
        <f t="shared" si="405"/>
        <v>#VALUE!</v>
      </c>
    </row>
    <row r="5732" spans="55:59" x14ac:dyDescent="0.2">
      <c r="BC5732" s="21" t="e" vm="1">
        <v>#REF!</v>
      </c>
      <c r="BD5732" t="e" vm="1">
        <v>#REF!</v>
      </c>
      <c r="BF5732" t="e" vm="2">
        <f t="shared" si="404"/>
        <v>#VALUE!</v>
      </c>
      <c r="BG5732" t="e" vm="2">
        <f t="shared" si="405"/>
        <v>#VALUE!</v>
      </c>
    </row>
    <row r="5733" spans="55:59" x14ac:dyDescent="0.2">
      <c r="BC5733" s="21" t="e" vm="1">
        <v>#REF!</v>
      </c>
      <c r="BD5733" t="e" vm="1">
        <v>#REF!</v>
      </c>
      <c r="BF5733" t="e" vm="2">
        <f t="shared" si="404"/>
        <v>#VALUE!</v>
      </c>
      <c r="BG5733" t="e" vm="2">
        <f t="shared" si="405"/>
        <v>#VALUE!</v>
      </c>
    </row>
    <row r="5734" spans="55:59" x14ac:dyDescent="0.2">
      <c r="BC5734" s="21" t="e" vm="1">
        <v>#REF!</v>
      </c>
      <c r="BD5734" t="e" vm="1">
        <v>#REF!</v>
      </c>
      <c r="BF5734" t="e" vm="2">
        <f t="shared" si="404"/>
        <v>#VALUE!</v>
      </c>
      <c r="BG5734" t="e" vm="2">
        <f t="shared" si="405"/>
        <v>#VALUE!</v>
      </c>
    </row>
    <row r="5735" spans="55:59" x14ac:dyDescent="0.2">
      <c r="BC5735" s="21" t="e" vm="1">
        <v>#REF!</v>
      </c>
      <c r="BD5735" t="e" vm="1">
        <v>#REF!</v>
      </c>
      <c r="BF5735" t="e" vm="2">
        <f t="shared" si="404"/>
        <v>#VALUE!</v>
      </c>
      <c r="BG5735" t="e" vm="2">
        <f t="shared" si="405"/>
        <v>#VALUE!</v>
      </c>
    </row>
    <row r="5736" spans="55:59" x14ac:dyDescent="0.2">
      <c r="BC5736" s="21" t="e" vm="1">
        <v>#REF!</v>
      </c>
      <c r="BD5736" t="e" vm="1">
        <v>#REF!</v>
      </c>
      <c r="BF5736" t="e" vm="2">
        <f t="shared" si="404"/>
        <v>#VALUE!</v>
      </c>
      <c r="BG5736" t="e" vm="2">
        <f t="shared" si="405"/>
        <v>#VALUE!</v>
      </c>
    </row>
    <row r="5737" spans="55:59" x14ac:dyDescent="0.2">
      <c r="BC5737" s="21" t="e" vm="1">
        <v>#REF!</v>
      </c>
      <c r="BD5737" t="e" vm="1">
        <v>#REF!</v>
      </c>
      <c r="BF5737" t="e" vm="2">
        <f t="shared" si="404"/>
        <v>#VALUE!</v>
      </c>
      <c r="BG5737" t="e" vm="2">
        <f t="shared" si="405"/>
        <v>#VALUE!</v>
      </c>
    </row>
    <row r="5738" spans="55:59" x14ac:dyDescent="0.2">
      <c r="BC5738" s="21" t="e" vm="1">
        <v>#REF!</v>
      </c>
      <c r="BD5738" t="e" vm="1">
        <v>#REF!</v>
      </c>
      <c r="BF5738" t="e" vm="2">
        <f t="shared" si="404"/>
        <v>#VALUE!</v>
      </c>
      <c r="BG5738" t="e" vm="2">
        <f t="shared" si="405"/>
        <v>#VALUE!</v>
      </c>
    </row>
    <row r="5739" spans="55:59" x14ac:dyDescent="0.2">
      <c r="BC5739" s="21" t="e" vm="1">
        <v>#REF!</v>
      </c>
      <c r="BD5739" t="e" vm="1">
        <v>#REF!</v>
      </c>
      <c r="BF5739" t="e" vm="2">
        <f t="shared" si="404"/>
        <v>#VALUE!</v>
      </c>
      <c r="BG5739" t="e" vm="2">
        <f t="shared" si="405"/>
        <v>#VALUE!</v>
      </c>
    </row>
    <row r="5740" spans="55:59" x14ac:dyDescent="0.2">
      <c r="BC5740" s="21" t="e" vm="1">
        <v>#REF!</v>
      </c>
      <c r="BD5740" t="e" vm="1">
        <v>#REF!</v>
      </c>
      <c r="BF5740" t="e" vm="2">
        <f t="shared" si="404"/>
        <v>#VALUE!</v>
      </c>
      <c r="BG5740" t="e" vm="2">
        <f t="shared" si="405"/>
        <v>#VALUE!</v>
      </c>
    </row>
    <row r="5741" spans="55:59" x14ac:dyDescent="0.2">
      <c r="BC5741" s="21" t="e" vm="1">
        <v>#REF!</v>
      </c>
      <c r="BD5741" t="e" vm="1">
        <v>#REF!</v>
      </c>
      <c r="BF5741" t="e" vm="2">
        <f t="shared" si="404"/>
        <v>#VALUE!</v>
      </c>
      <c r="BG5741" t="e" vm="2">
        <f t="shared" si="405"/>
        <v>#VALUE!</v>
      </c>
    </row>
    <row r="5742" spans="55:59" x14ac:dyDescent="0.2">
      <c r="BC5742" s="21" t="e" vm="1">
        <v>#REF!</v>
      </c>
      <c r="BD5742" t="e" vm="1">
        <v>#REF!</v>
      </c>
      <c r="BF5742" t="e" vm="2">
        <f t="shared" si="404"/>
        <v>#VALUE!</v>
      </c>
      <c r="BG5742" t="e" vm="2">
        <f t="shared" si="405"/>
        <v>#VALUE!</v>
      </c>
    </row>
    <row r="5743" spans="55:59" x14ac:dyDescent="0.2">
      <c r="BC5743" s="21" t="e" vm="1">
        <v>#REF!</v>
      </c>
      <c r="BD5743" t="e" vm="1">
        <v>#REF!</v>
      </c>
      <c r="BF5743" t="e" vm="2">
        <f t="shared" si="404"/>
        <v>#VALUE!</v>
      </c>
      <c r="BG5743" t="e" vm="2">
        <f t="shared" si="405"/>
        <v>#VALUE!</v>
      </c>
    </row>
    <row r="5744" spans="55:59" x14ac:dyDescent="0.2">
      <c r="BC5744" s="21" t="e" vm="1">
        <v>#REF!</v>
      </c>
      <c r="BD5744" t="e" vm="1">
        <v>#REF!</v>
      </c>
      <c r="BF5744" t="e" vm="2">
        <f t="shared" si="404"/>
        <v>#VALUE!</v>
      </c>
      <c r="BG5744" t="e" vm="2">
        <f t="shared" si="405"/>
        <v>#VALUE!</v>
      </c>
    </row>
    <row r="5745" spans="55:59" x14ac:dyDescent="0.2">
      <c r="BC5745" s="21" t="e" vm="1">
        <v>#REF!</v>
      </c>
      <c r="BD5745" t="e" vm="1">
        <v>#REF!</v>
      </c>
      <c r="BF5745" t="e" vm="2">
        <f t="shared" si="404"/>
        <v>#VALUE!</v>
      </c>
      <c r="BG5745" t="e" vm="2">
        <f t="shared" si="405"/>
        <v>#VALUE!</v>
      </c>
    </row>
    <row r="5746" spans="55:59" x14ac:dyDescent="0.2">
      <c r="BC5746" s="21" t="e" vm="1">
        <v>#REF!</v>
      </c>
      <c r="BD5746" t="e" vm="1">
        <v>#REF!</v>
      </c>
      <c r="BF5746" t="e" vm="2">
        <f t="shared" si="404"/>
        <v>#VALUE!</v>
      </c>
      <c r="BG5746" t="e" vm="2">
        <f t="shared" si="405"/>
        <v>#VALUE!</v>
      </c>
    </row>
    <row r="5747" spans="55:59" x14ac:dyDescent="0.2">
      <c r="BC5747" s="21" t="e" vm="1">
        <v>#REF!</v>
      </c>
      <c r="BD5747" t="e" vm="1">
        <v>#REF!</v>
      </c>
      <c r="BF5747" t="e" vm="2">
        <f t="shared" si="404"/>
        <v>#VALUE!</v>
      </c>
      <c r="BG5747" t="e" vm="2">
        <f t="shared" si="405"/>
        <v>#VALUE!</v>
      </c>
    </row>
    <row r="5748" spans="55:59" x14ac:dyDescent="0.2">
      <c r="BC5748" s="21" t="e" vm="1">
        <v>#REF!</v>
      </c>
      <c r="BD5748" t="e" vm="1">
        <v>#REF!</v>
      </c>
      <c r="BF5748" t="e" vm="2">
        <f t="shared" si="404"/>
        <v>#VALUE!</v>
      </c>
      <c r="BG5748" t="e" vm="2">
        <f t="shared" si="405"/>
        <v>#VALUE!</v>
      </c>
    </row>
    <row r="5749" spans="55:59" x14ac:dyDescent="0.2">
      <c r="BC5749" s="21" t="e" vm="1">
        <v>#REF!</v>
      </c>
      <c r="BD5749" t="e" vm="1">
        <v>#REF!</v>
      </c>
      <c r="BF5749" t="e" vm="2">
        <f t="shared" si="404"/>
        <v>#VALUE!</v>
      </c>
      <c r="BG5749" t="e" vm="2">
        <f t="shared" si="405"/>
        <v>#VALUE!</v>
      </c>
    </row>
    <row r="5750" spans="55:59" x14ac:dyDescent="0.2">
      <c r="BC5750" s="21" t="e" vm="1">
        <v>#REF!</v>
      </c>
      <c r="BD5750" t="e" vm="1">
        <v>#REF!</v>
      </c>
      <c r="BF5750" t="e" vm="2">
        <f t="shared" si="404"/>
        <v>#VALUE!</v>
      </c>
      <c r="BG5750" t="e" vm="2">
        <f t="shared" si="405"/>
        <v>#VALUE!</v>
      </c>
    </row>
    <row r="5751" spans="55:59" x14ac:dyDescent="0.2">
      <c r="BC5751" s="21" t="e" vm="1">
        <v>#REF!</v>
      </c>
      <c r="BD5751" t="e" vm="1">
        <v>#REF!</v>
      </c>
      <c r="BF5751" t="e" vm="2">
        <f t="shared" si="404"/>
        <v>#VALUE!</v>
      </c>
      <c r="BG5751" t="e" vm="2">
        <f t="shared" si="405"/>
        <v>#VALUE!</v>
      </c>
    </row>
    <row r="5752" spans="55:59" x14ac:dyDescent="0.2">
      <c r="BC5752" s="21" t="e" vm="1">
        <v>#REF!</v>
      </c>
      <c r="BD5752" t="e" vm="1">
        <v>#REF!</v>
      </c>
      <c r="BF5752" t="e" vm="2">
        <f t="shared" si="404"/>
        <v>#VALUE!</v>
      </c>
      <c r="BG5752" t="e" vm="2">
        <f t="shared" si="405"/>
        <v>#VALUE!</v>
      </c>
    </row>
    <row r="5753" spans="55:59" x14ac:dyDescent="0.2">
      <c r="BC5753" s="21" t="e" vm="1">
        <v>#REF!</v>
      </c>
      <c r="BD5753" t="e" vm="1">
        <v>#REF!</v>
      </c>
      <c r="BF5753" t="e" vm="2">
        <f t="shared" si="404"/>
        <v>#VALUE!</v>
      </c>
      <c r="BG5753" t="e" vm="2">
        <f t="shared" si="405"/>
        <v>#VALUE!</v>
      </c>
    </row>
    <row r="5754" spans="55:59" x14ac:dyDescent="0.2">
      <c r="BC5754" s="21" t="e" vm="1">
        <v>#REF!</v>
      </c>
      <c r="BD5754" t="e" vm="1">
        <v>#REF!</v>
      </c>
      <c r="BF5754" t="e" vm="2">
        <f t="shared" si="404"/>
        <v>#VALUE!</v>
      </c>
      <c r="BG5754" t="e" vm="2">
        <f t="shared" si="405"/>
        <v>#VALUE!</v>
      </c>
    </row>
    <row r="5755" spans="55:59" x14ac:dyDescent="0.2">
      <c r="BC5755" s="21" t="e" vm="1">
        <v>#REF!</v>
      </c>
      <c r="BD5755" t="e" vm="1">
        <v>#REF!</v>
      </c>
      <c r="BF5755" t="e" vm="2">
        <f t="shared" si="404"/>
        <v>#VALUE!</v>
      </c>
      <c r="BG5755" t="e" vm="2">
        <f t="shared" si="405"/>
        <v>#VALUE!</v>
      </c>
    </row>
    <row r="5756" spans="55:59" x14ac:dyDescent="0.2">
      <c r="BC5756" s="21" t="e" vm="1">
        <v>#REF!</v>
      </c>
      <c r="BD5756" t="e" vm="1">
        <v>#REF!</v>
      </c>
      <c r="BF5756" t="e" vm="2">
        <f t="shared" si="404"/>
        <v>#VALUE!</v>
      </c>
      <c r="BG5756" t="e" vm="2">
        <f t="shared" si="405"/>
        <v>#VALUE!</v>
      </c>
    </row>
    <row r="5757" spans="55:59" x14ac:dyDescent="0.2">
      <c r="BC5757" s="21" t="e" vm="1">
        <v>#REF!</v>
      </c>
      <c r="BD5757" t="e" vm="1">
        <v>#REF!</v>
      </c>
      <c r="BF5757" t="e" vm="2">
        <f t="shared" si="404"/>
        <v>#VALUE!</v>
      </c>
      <c r="BG5757" t="e" vm="2">
        <f t="shared" si="405"/>
        <v>#VALUE!</v>
      </c>
    </row>
    <row r="5758" spans="55:59" x14ac:dyDescent="0.2">
      <c r="BC5758" s="21" t="e" vm="1">
        <v>#REF!</v>
      </c>
      <c r="BD5758" t="e" vm="1">
        <v>#REF!</v>
      </c>
      <c r="BF5758" t="e" vm="2">
        <f t="shared" si="404"/>
        <v>#VALUE!</v>
      </c>
      <c r="BG5758" t="e" vm="2">
        <f t="shared" si="405"/>
        <v>#VALUE!</v>
      </c>
    </row>
    <row r="5759" spans="55:59" x14ac:dyDescent="0.2">
      <c r="BC5759" s="21" t="e" vm="1">
        <v>#REF!</v>
      </c>
      <c r="BD5759" t="e" vm="1">
        <v>#REF!</v>
      </c>
      <c r="BF5759" t="e" vm="2">
        <f t="shared" si="404"/>
        <v>#VALUE!</v>
      </c>
      <c r="BG5759" t="e" vm="2">
        <f t="shared" si="405"/>
        <v>#VALUE!</v>
      </c>
    </row>
    <row r="5760" spans="55:59" x14ac:dyDescent="0.2">
      <c r="BC5760" s="21" t="e" vm="1">
        <v>#REF!</v>
      </c>
      <c r="BD5760" t="e" vm="1">
        <v>#REF!</v>
      </c>
      <c r="BF5760" t="e" vm="2">
        <f t="shared" si="404"/>
        <v>#VALUE!</v>
      </c>
      <c r="BG5760" t="e" vm="2">
        <f t="shared" si="405"/>
        <v>#VALUE!</v>
      </c>
    </row>
    <row r="5761" spans="55:59" x14ac:dyDescent="0.2">
      <c r="BC5761" s="21" t="e" vm="1">
        <v>#REF!</v>
      </c>
      <c r="BD5761" t="e" vm="1">
        <v>#REF!</v>
      </c>
      <c r="BF5761" t="e" vm="2">
        <f t="shared" si="404"/>
        <v>#VALUE!</v>
      </c>
      <c r="BG5761" t="e" vm="2">
        <f t="shared" si="405"/>
        <v>#VALUE!</v>
      </c>
    </row>
    <row r="5762" spans="55:59" x14ac:dyDescent="0.2">
      <c r="BC5762" s="21" t="e" vm="1">
        <v>#REF!</v>
      </c>
      <c r="BD5762" t="e" vm="1">
        <v>#REF!</v>
      </c>
      <c r="BF5762" t="e" vm="2">
        <f t="shared" si="404"/>
        <v>#VALUE!</v>
      </c>
      <c r="BG5762" t="e" vm="2">
        <f t="shared" si="405"/>
        <v>#VALUE!</v>
      </c>
    </row>
    <row r="5763" spans="55:59" x14ac:dyDescent="0.2">
      <c r="BC5763" s="21" t="e" vm="1">
        <v>#REF!</v>
      </c>
      <c r="BD5763" t="e" vm="1">
        <v>#REF!</v>
      </c>
      <c r="BF5763" t="e" vm="2">
        <f t="shared" ref="BF5763:BF5826" si="406">MONTH(BC5763)</f>
        <v>#VALUE!</v>
      </c>
      <c r="BG5763" t="e" vm="2">
        <f t="shared" ref="BG5763:BG5826" si="407">YEAR(BC5763)</f>
        <v>#VALUE!</v>
      </c>
    </row>
    <row r="5764" spans="55:59" x14ac:dyDescent="0.2">
      <c r="BC5764" s="21" t="e" vm="1">
        <v>#REF!</v>
      </c>
      <c r="BD5764" t="e" vm="1">
        <v>#REF!</v>
      </c>
      <c r="BF5764" t="e" vm="2">
        <f t="shared" si="406"/>
        <v>#VALUE!</v>
      </c>
      <c r="BG5764" t="e" vm="2">
        <f t="shared" si="407"/>
        <v>#VALUE!</v>
      </c>
    </row>
    <row r="5765" spans="55:59" x14ac:dyDescent="0.2">
      <c r="BC5765" s="21" t="e" vm="1">
        <v>#REF!</v>
      </c>
      <c r="BD5765" t="e" vm="1">
        <v>#REF!</v>
      </c>
      <c r="BF5765" t="e" vm="2">
        <f t="shared" si="406"/>
        <v>#VALUE!</v>
      </c>
      <c r="BG5765" t="e" vm="2">
        <f t="shared" si="407"/>
        <v>#VALUE!</v>
      </c>
    </row>
    <row r="5766" spans="55:59" x14ac:dyDescent="0.2">
      <c r="BC5766" s="21" t="e" vm="1">
        <v>#REF!</v>
      </c>
      <c r="BD5766" t="e" vm="1">
        <v>#REF!</v>
      </c>
      <c r="BF5766" t="e" vm="2">
        <f t="shared" si="406"/>
        <v>#VALUE!</v>
      </c>
      <c r="BG5766" t="e" vm="2">
        <f t="shared" si="407"/>
        <v>#VALUE!</v>
      </c>
    </row>
    <row r="5767" spans="55:59" x14ac:dyDescent="0.2">
      <c r="BC5767" s="21" t="e" vm="1">
        <v>#REF!</v>
      </c>
      <c r="BD5767" t="e" vm="1">
        <v>#REF!</v>
      </c>
      <c r="BF5767" t="e" vm="2">
        <f t="shared" si="406"/>
        <v>#VALUE!</v>
      </c>
      <c r="BG5767" t="e" vm="2">
        <f t="shared" si="407"/>
        <v>#VALUE!</v>
      </c>
    </row>
    <row r="5768" spans="55:59" x14ac:dyDescent="0.2">
      <c r="BC5768" s="21" t="e" vm="1">
        <v>#REF!</v>
      </c>
      <c r="BD5768" t="e" vm="1">
        <v>#REF!</v>
      </c>
      <c r="BF5768" t="e" vm="2">
        <f t="shared" si="406"/>
        <v>#VALUE!</v>
      </c>
      <c r="BG5768" t="e" vm="2">
        <f t="shared" si="407"/>
        <v>#VALUE!</v>
      </c>
    </row>
    <row r="5769" spans="55:59" x14ac:dyDescent="0.2">
      <c r="BC5769" s="21" t="e" vm="1">
        <v>#REF!</v>
      </c>
      <c r="BD5769" t="e" vm="1">
        <v>#REF!</v>
      </c>
      <c r="BF5769" t="e" vm="2">
        <f t="shared" si="406"/>
        <v>#VALUE!</v>
      </c>
      <c r="BG5769" t="e" vm="2">
        <f t="shared" si="407"/>
        <v>#VALUE!</v>
      </c>
    </row>
    <row r="5770" spans="55:59" x14ac:dyDescent="0.2">
      <c r="BC5770" s="21" t="e" vm="1">
        <v>#REF!</v>
      </c>
      <c r="BD5770" t="e" vm="1">
        <v>#REF!</v>
      </c>
      <c r="BF5770" t="e" vm="2">
        <f t="shared" si="406"/>
        <v>#VALUE!</v>
      </c>
      <c r="BG5770" t="e" vm="2">
        <f t="shared" si="407"/>
        <v>#VALUE!</v>
      </c>
    </row>
    <row r="5771" spans="55:59" x14ac:dyDescent="0.2">
      <c r="BC5771" s="21" t="e" vm="1">
        <v>#REF!</v>
      </c>
      <c r="BD5771" t="e" vm="1">
        <v>#REF!</v>
      </c>
      <c r="BF5771" t="e" vm="2">
        <f t="shared" si="406"/>
        <v>#VALUE!</v>
      </c>
      <c r="BG5771" t="e" vm="2">
        <f t="shared" si="407"/>
        <v>#VALUE!</v>
      </c>
    </row>
    <row r="5772" spans="55:59" x14ac:dyDescent="0.2">
      <c r="BC5772" s="21" t="e" vm="1">
        <v>#REF!</v>
      </c>
      <c r="BD5772" t="e" vm="1">
        <v>#REF!</v>
      </c>
      <c r="BF5772" t="e" vm="2">
        <f t="shared" si="406"/>
        <v>#VALUE!</v>
      </c>
      <c r="BG5772" t="e" vm="2">
        <f t="shared" si="407"/>
        <v>#VALUE!</v>
      </c>
    </row>
    <row r="5773" spans="55:59" x14ac:dyDescent="0.2">
      <c r="BC5773" s="21" t="e" vm="1">
        <v>#REF!</v>
      </c>
      <c r="BD5773" t="e" vm="1">
        <v>#REF!</v>
      </c>
      <c r="BF5773" t="e" vm="2">
        <f t="shared" si="406"/>
        <v>#VALUE!</v>
      </c>
      <c r="BG5773" t="e" vm="2">
        <f t="shared" si="407"/>
        <v>#VALUE!</v>
      </c>
    </row>
    <row r="5774" spans="55:59" x14ac:dyDescent="0.2">
      <c r="BC5774" s="21" t="e" vm="1">
        <v>#REF!</v>
      </c>
      <c r="BD5774" t="e" vm="1">
        <v>#REF!</v>
      </c>
      <c r="BF5774" t="e" vm="2">
        <f t="shared" si="406"/>
        <v>#VALUE!</v>
      </c>
      <c r="BG5774" t="e" vm="2">
        <f t="shared" si="407"/>
        <v>#VALUE!</v>
      </c>
    </row>
    <row r="5775" spans="55:59" x14ac:dyDescent="0.2">
      <c r="BC5775" s="21" t="e" vm="1">
        <v>#REF!</v>
      </c>
      <c r="BD5775" t="e" vm="1">
        <v>#REF!</v>
      </c>
      <c r="BF5775" t="e" vm="2">
        <f t="shared" si="406"/>
        <v>#VALUE!</v>
      </c>
      <c r="BG5775" t="e" vm="2">
        <f t="shared" si="407"/>
        <v>#VALUE!</v>
      </c>
    </row>
    <row r="5776" spans="55:59" x14ac:dyDescent="0.2">
      <c r="BC5776" s="21" t="e" vm="1">
        <v>#REF!</v>
      </c>
      <c r="BD5776" t="e" vm="1">
        <v>#REF!</v>
      </c>
      <c r="BF5776" t="e" vm="2">
        <f t="shared" si="406"/>
        <v>#VALUE!</v>
      </c>
      <c r="BG5776" t="e" vm="2">
        <f t="shared" si="407"/>
        <v>#VALUE!</v>
      </c>
    </row>
    <row r="5777" spans="55:59" x14ac:dyDescent="0.2">
      <c r="BC5777" s="21" t="e" vm="1">
        <v>#REF!</v>
      </c>
      <c r="BD5777" t="e" vm="1">
        <v>#REF!</v>
      </c>
      <c r="BF5777" t="e" vm="2">
        <f t="shared" si="406"/>
        <v>#VALUE!</v>
      </c>
      <c r="BG5777" t="e" vm="2">
        <f t="shared" si="407"/>
        <v>#VALUE!</v>
      </c>
    </row>
    <row r="5778" spans="55:59" x14ac:dyDescent="0.2">
      <c r="BC5778" s="21" t="e" vm="1">
        <v>#REF!</v>
      </c>
      <c r="BD5778" t="e" vm="1">
        <v>#REF!</v>
      </c>
      <c r="BF5778" t="e" vm="2">
        <f t="shared" si="406"/>
        <v>#VALUE!</v>
      </c>
      <c r="BG5778" t="e" vm="2">
        <f t="shared" si="407"/>
        <v>#VALUE!</v>
      </c>
    </row>
    <row r="5779" spans="55:59" x14ac:dyDescent="0.2">
      <c r="BC5779" s="21" t="e" vm="1">
        <v>#REF!</v>
      </c>
      <c r="BD5779" t="e" vm="1">
        <v>#REF!</v>
      </c>
      <c r="BF5779" t="e" vm="2">
        <f t="shared" si="406"/>
        <v>#VALUE!</v>
      </c>
      <c r="BG5779" t="e" vm="2">
        <f t="shared" si="407"/>
        <v>#VALUE!</v>
      </c>
    </row>
    <row r="5780" spans="55:59" x14ac:dyDescent="0.2">
      <c r="BC5780" s="21" t="e" vm="1">
        <v>#REF!</v>
      </c>
      <c r="BD5780" t="e" vm="1">
        <v>#REF!</v>
      </c>
      <c r="BF5780" t="e" vm="2">
        <f t="shared" si="406"/>
        <v>#VALUE!</v>
      </c>
      <c r="BG5780" t="e" vm="2">
        <f t="shared" si="407"/>
        <v>#VALUE!</v>
      </c>
    </row>
    <row r="5781" spans="55:59" x14ac:dyDescent="0.2">
      <c r="BC5781" s="21" t="e" vm="1">
        <v>#REF!</v>
      </c>
      <c r="BD5781" t="e" vm="1">
        <v>#REF!</v>
      </c>
      <c r="BF5781" t="e" vm="2">
        <f t="shared" si="406"/>
        <v>#VALUE!</v>
      </c>
      <c r="BG5781" t="e" vm="2">
        <f t="shared" si="407"/>
        <v>#VALUE!</v>
      </c>
    </row>
    <row r="5782" spans="55:59" x14ac:dyDescent="0.2">
      <c r="BC5782" s="21" t="e" vm="1">
        <v>#REF!</v>
      </c>
      <c r="BD5782" t="e" vm="1">
        <v>#REF!</v>
      </c>
      <c r="BF5782" t="e" vm="2">
        <f t="shared" si="406"/>
        <v>#VALUE!</v>
      </c>
      <c r="BG5782" t="e" vm="2">
        <f t="shared" si="407"/>
        <v>#VALUE!</v>
      </c>
    </row>
    <row r="5783" spans="55:59" x14ac:dyDescent="0.2">
      <c r="BC5783" s="21" t="e" vm="1">
        <v>#REF!</v>
      </c>
      <c r="BD5783" t="e" vm="1">
        <v>#REF!</v>
      </c>
      <c r="BF5783" t="e" vm="2">
        <f t="shared" si="406"/>
        <v>#VALUE!</v>
      </c>
      <c r="BG5783" t="e" vm="2">
        <f t="shared" si="407"/>
        <v>#VALUE!</v>
      </c>
    </row>
    <row r="5784" spans="55:59" x14ac:dyDescent="0.2">
      <c r="BC5784" s="21" t="e" vm="1">
        <v>#REF!</v>
      </c>
      <c r="BD5784" t="e" vm="1">
        <v>#REF!</v>
      </c>
      <c r="BF5784" t="e" vm="2">
        <f t="shared" si="406"/>
        <v>#VALUE!</v>
      </c>
      <c r="BG5784" t="e" vm="2">
        <f t="shared" si="407"/>
        <v>#VALUE!</v>
      </c>
    </row>
    <row r="5785" spans="55:59" x14ac:dyDescent="0.2">
      <c r="BC5785" s="21" t="e" vm="1">
        <v>#REF!</v>
      </c>
      <c r="BD5785" t="e" vm="1">
        <v>#REF!</v>
      </c>
      <c r="BF5785" t="e" vm="2">
        <f t="shared" si="406"/>
        <v>#VALUE!</v>
      </c>
      <c r="BG5785" t="e" vm="2">
        <f t="shared" si="407"/>
        <v>#VALUE!</v>
      </c>
    </row>
    <row r="5786" spans="55:59" x14ac:dyDescent="0.2">
      <c r="BC5786" s="21" t="e" vm="1">
        <v>#REF!</v>
      </c>
      <c r="BD5786" t="e" vm="1">
        <v>#REF!</v>
      </c>
      <c r="BF5786" t="e" vm="2">
        <f t="shared" si="406"/>
        <v>#VALUE!</v>
      </c>
      <c r="BG5786" t="e" vm="2">
        <f t="shared" si="407"/>
        <v>#VALUE!</v>
      </c>
    </row>
    <row r="5787" spans="55:59" x14ac:dyDescent="0.2">
      <c r="BC5787" s="21" t="e" vm="1">
        <v>#REF!</v>
      </c>
      <c r="BD5787" t="e" vm="1">
        <v>#REF!</v>
      </c>
      <c r="BF5787" t="e" vm="2">
        <f t="shared" si="406"/>
        <v>#VALUE!</v>
      </c>
      <c r="BG5787" t="e" vm="2">
        <f t="shared" si="407"/>
        <v>#VALUE!</v>
      </c>
    </row>
    <row r="5788" spans="55:59" x14ac:dyDescent="0.2">
      <c r="BC5788" s="21" t="e" vm="1">
        <v>#REF!</v>
      </c>
      <c r="BD5788" t="e" vm="1">
        <v>#REF!</v>
      </c>
      <c r="BF5788" t="e" vm="2">
        <f t="shared" si="406"/>
        <v>#VALUE!</v>
      </c>
      <c r="BG5788" t="e" vm="2">
        <f t="shared" si="407"/>
        <v>#VALUE!</v>
      </c>
    </row>
    <row r="5789" spans="55:59" x14ac:dyDescent="0.2">
      <c r="BC5789" s="21" t="e" vm="1">
        <v>#REF!</v>
      </c>
      <c r="BD5789" t="e" vm="1">
        <v>#REF!</v>
      </c>
      <c r="BF5789" t="e" vm="2">
        <f t="shared" si="406"/>
        <v>#VALUE!</v>
      </c>
      <c r="BG5789" t="e" vm="2">
        <f t="shared" si="407"/>
        <v>#VALUE!</v>
      </c>
    </row>
    <row r="5790" spans="55:59" x14ac:dyDescent="0.2">
      <c r="BC5790" s="21" t="e" vm="1">
        <v>#REF!</v>
      </c>
      <c r="BD5790" t="e" vm="1">
        <v>#REF!</v>
      </c>
      <c r="BF5790" t="e" vm="2">
        <f t="shared" si="406"/>
        <v>#VALUE!</v>
      </c>
      <c r="BG5790" t="e" vm="2">
        <f t="shared" si="407"/>
        <v>#VALUE!</v>
      </c>
    </row>
    <row r="5791" spans="55:59" x14ac:dyDescent="0.2">
      <c r="BC5791" s="21" t="e" vm="1">
        <v>#REF!</v>
      </c>
      <c r="BD5791" t="e" vm="1">
        <v>#REF!</v>
      </c>
      <c r="BF5791" t="e" vm="2">
        <f t="shared" si="406"/>
        <v>#VALUE!</v>
      </c>
      <c r="BG5791" t="e" vm="2">
        <f t="shared" si="407"/>
        <v>#VALUE!</v>
      </c>
    </row>
    <row r="5792" spans="55:59" x14ac:dyDescent="0.2">
      <c r="BC5792" s="21" t="e" vm="1">
        <v>#REF!</v>
      </c>
      <c r="BD5792" t="e" vm="1">
        <v>#REF!</v>
      </c>
      <c r="BF5792" t="e" vm="2">
        <f t="shared" si="406"/>
        <v>#VALUE!</v>
      </c>
      <c r="BG5792" t="e" vm="2">
        <f t="shared" si="407"/>
        <v>#VALUE!</v>
      </c>
    </row>
    <row r="5793" spans="55:59" x14ac:dyDescent="0.2">
      <c r="BC5793" s="21" t="e" vm="1">
        <v>#REF!</v>
      </c>
      <c r="BD5793" t="e" vm="1">
        <v>#REF!</v>
      </c>
      <c r="BF5793" t="e" vm="2">
        <f t="shared" si="406"/>
        <v>#VALUE!</v>
      </c>
      <c r="BG5793" t="e" vm="2">
        <f t="shared" si="407"/>
        <v>#VALUE!</v>
      </c>
    </row>
    <row r="5794" spans="55:59" x14ac:dyDescent="0.2">
      <c r="BC5794" s="21" t="e" vm="1">
        <v>#REF!</v>
      </c>
      <c r="BD5794" t="e" vm="1">
        <v>#REF!</v>
      </c>
      <c r="BF5794" t="e" vm="2">
        <f t="shared" si="406"/>
        <v>#VALUE!</v>
      </c>
      <c r="BG5794" t="e" vm="2">
        <f t="shared" si="407"/>
        <v>#VALUE!</v>
      </c>
    </row>
    <row r="5795" spans="55:59" x14ac:dyDescent="0.2">
      <c r="BC5795" s="21" t="e" vm="1">
        <v>#REF!</v>
      </c>
      <c r="BD5795" t="e" vm="1">
        <v>#REF!</v>
      </c>
      <c r="BF5795" t="e" vm="2">
        <f t="shared" si="406"/>
        <v>#VALUE!</v>
      </c>
      <c r="BG5795" t="e" vm="2">
        <f t="shared" si="407"/>
        <v>#VALUE!</v>
      </c>
    </row>
    <row r="5796" spans="55:59" x14ac:dyDescent="0.2">
      <c r="BC5796" s="21" t="e" vm="1">
        <v>#REF!</v>
      </c>
      <c r="BD5796" t="e" vm="1">
        <v>#REF!</v>
      </c>
      <c r="BF5796" t="e" vm="2">
        <f t="shared" si="406"/>
        <v>#VALUE!</v>
      </c>
      <c r="BG5796" t="e" vm="2">
        <f t="shared" si="407"/>
        <v>#VALUE!</v>
      </c>
    </row>
    <row r="5797" spans="55:59" x14ac:dyDescent="0.2">
      <c r="BC5797" s="21" t="e" vm="1">
        <v>#REF!</v>
      </c>
      <c r="BD5797" t="e" vm="1">
        <v>#REF!</v>
      </c>
      <c r="BF5797" t="e" vm="2">
        <f t="shared" si="406"/>
        <v>#VALUE!</v>
      </c>
      <c r="BG5797" t="e" vm="2">
        <f t="shared" si="407"/>
        <v>#VALUE!</v>
      </c>
    </row>
    <row r="5798" spans="55:59" x14ac:dyDescent="0.2">
      <c r="BC5798" s="21" t="e" vm="1">
        <v>#REF!</v>
      </c>
      <c r="BD5798" t="e" vm="1">
        <v>#REF!</v>
      </c>
      <c r="BF5798" t="e" vm="2">
        <f t="shared" si="406"/>
        <v>#VALUE!</v>
      </c>
      <c r="BG5798" t="e" vm="2">
        <f t="shared" si="407"/>
        <v>#VALUE!</v>
      </c>
    </row>
    <row r="5799" spans="55:59" x14ac:dyDescent="0.2">
      <c r="BC5799" s="21" t="e" vm="1">
        <v>#REF!</v>
      </c>
      <c r="BD5799" t="e" vm="1">
        <v>#REF!</v>
      </c>
      <c r="BF5799" t="e" vm="2">
        <f t="shared" si="406"/>
        <v>#VALUE!</v>
      </c>
      <c r="BG5799" t="e" vm="2">
        <f t="shared" si="407"/>
        <v>#VALUE!</v>
      </c>
    </row>
    <row r="5800" spans="55:59" x14ac:dyDescent="0.2">
      <c r="BC5800" s="21" t="e" vm="1">
        <v>#REF!</v>
      </c>
      <c r="BD5800" t="e" vm="1">
        <v>#REF!</v>
      </c>
      <c r="BF5800" t="e" vm="2">
        <f t="shared" si="406"/>
        <v>#VALUE!</v>
      </c>
      <c r="BG5800" t="e" vm="2">
        <f t="shared" si="407"/>
        <v>#VALUE!</v>
      </c>
    </row>
    <row r="5801" spans="55:59" x14ac:dyDescent="0.2">
      <c r="BC5801" s="21" t="e" vm="1">
        <v>#REF!</v>
      </c>
      <c r="BD5801" t="e" vm="1">
        <v>#REF!</v>
      </c>
      <c r="BF5801" t="e" vm="2">
        <f t="shared" si="406"/>
        <v>#VALUE!</v>
      </c>
      <c r="BG5801" t="e" vm="2">
        <f t="shared" si="407"/>
        <v>#VALUE!</v>
      </c>
    </row>
    <row r="5802" spans="55:59" x14ac:dyDescent="0.2">
      <c r="BC5802" s="21" t="e" vm="1">
        <v>#REF!</v>
      </c>
      <c r="BD5802" t="e" vm="1">
        <v>#REF!</v>
      </c>
      <c r="BF5802" t="e" vm="2">
        <f t="shared" si="406"/>
        <v>#VALUE!</v>
      </c>
      <c r="BG5802" t="e" vm="2">
        <f t="shared" si="407"/>
        <v>#VALUE!</v>
      </c>
    </row>
    <row r="5803" spans="55:59" x14ac:dyDescent="0.2">
      <c r="BC5803" s="21" t="e" vm="1">
        <v>#REF!</v>
      </c>
      <c r="BD5803" t="e" vm="1">
        <v>#REF!</v>
      </c>
      <c r="BF5803" t="e" vm="2">
        <f t="shared" si="406"/>
        <v>#VALUE!</v>
      </c>
      <c r="BG5803" t="e" vm="2">
        <f t="shared" si="407"/>
        <v>#VALUE!</v>
      </c>
    </row>
    <row r="5804" spans="55:59" x14ac:dyDescent="0.2">
      <c r="BC5804" s="21" t="e" vm="1">
        <v>#REF!</v>
      </c>
      <c r="BD5804" t="e" vm="1">
        <v>#REF!</v>
      </c>
      <c r="BF5804" t="e" vm="2">
        <f t="shared" si="406"/>
        <v>#VALUE!</v>
      </c>
      <c r="BG5804" t="e" vm="2">
        <f t="shared" si="407"/>
        <v>#VALUE!</v>
      </c>
    </row>
    <row r="5805" spans="55:59" x14ac:dyDescent="0.2">
      <c r="BC5805" s="21" t="e" vm="1">
        <v>#REF!</v>
      </c>
      <c r="BD5805" t="e" vm="1">
        <v>#REF!</v>
      </c>
      <c r="BF5805" t="e" vm="2">
        <f t="shared" si="406"/>
        <v>#VALUE!</v>
      </c>
      <c r="BG5805" t="e" vm="2">
        <f t="shared" si="407"/>
        <v>#VALUE!</v>
      </c>
    </row>
    <row r="5806" spans="55:59" x14ac:dyDescent="0.2">
      <c r="BC5806" s="21" t="e" vm="1">
        <v>#REF!</v>
      </c>
      <c r="BD5806" t="e" vm="1">
        <v>#REF!</v>
      </c>
      <c r="BF5806" t="e" vm="2">
        <f t="shared" si="406"/>
        <v>#VALUE!</v>
      </c>
      <c r="BG5806" t="e" vm="2">
        <f t="shared" si="407"/>
        <v>#VALUE!</v>
      </c>
    </row>
    <row r="5807" spans="55:59" x14ac:dyDescent="0.2">
      <c r="BC5807" s="21" t="e" vm="1">
        <v>#REF!</v>
      </c>
      <c r="BD5807" t="e" vm="1">
        <v>#REF!</v>
      </c>
      <c r="BF5807" t="e" vm="2">
        <f t="shared" si="406"/>
        <v>#VALUE!</v>
      </c>
      <c r="BG5807" t="e" vm="2">
        <f t="shared" si="407"/>
        <v>#VALUE!</v>
      </c>
    </row>
    <row r="5808" spans="55:59" x14ac:dyDescent="0.2">
      <c r="BC5808" s="21" t="e" vm="1">
        <v>#REF!</v>
      </c>
      <c r="BD5808" t="e" vm="1">
        <v>#REF!</v>
      </c>
      <c r="BF5808" t="e" vm="2">
        <f t="shared" si="406"/>
        <v>#VALUE!</v>
      </c>
      <c r="BG5808" t="e" vm="2">
        <f t="shared" si="407"/>
        <v>#VALUE!</v>
      </c>
    </row>
    <row r="5809" spans="55:59" x14ac:dyDescent="0.2">
      <c r="BC5809" s="21" t="e" vm="1">
        <v>#REF!</v>
      </c>
      <c r="BD5809" t="e" vm="1">
        <v>#REF!</v>
      </c>
      <c r="BF5809" t="e" vm="2">
        <f t="shared" si="406"/>
        <v>#VALUE!</v>
      </c>
      <c r="BG5809" t="e" vm="2">
        <f t="shared" si="407"/>
        <v>#VALUE!</v>
      </c>
    </row>
    <row r="5810" spans="55:59" x14ac:dyDescent="0.2">
      <c r="BC5810" s="21" t="e" vm="1">
        <v>#REF!</v>
      </c>
      <c r="BD5810" t="e" vm="1">
        <v>#REF!</v>
      </c>
      <c r="BF5810" t="e" vm="2">
        <f t="shared" si="406"/>
        <v>#VALUE!</v>
      </c>
      <c r="BG5810" t="e" vm="2">
        <f t="shared" si="407"/>
        <v>#VALUE!</v>
      </c>
    </row>
    <row r="5811" spans="55:59" x14ac:dyDescent="0.2">
      <c r="BC5811" s="21" t="e" vm="1">
        <v>#REF!</v>
      </c>
      <c r="BD5811" t="e" vm="1">
        <v>#REF!</v>
      </c>
      <c r="BF5811" t="e" vm="2">
        <f t="shared" si="406"/>
        <v>#VALUE!</v>
      </c>
      <c r="BG5811" t="e" vm="2">
        <f t="shared" si="407"/>
        <v>#VALUE!</v>
      </c>
    </row>
    <row r="5812" spans="55:59" x14ac:dyDescent="0.2">
      <c r="BC5812" s="21" t="e" vm="1">
        <v>#REF!</v>
      </c>
      <c r="BD5812" t="e" vm="1">
        <v>#REF!</v>
      </c>
      <c r="BF5812" t="e" vm="2">
        <f t="shared" si="406"/>
        <v>#VALUE!</v>
      </c>
      <c r="BG5812" t="e" vm="2">
        <f t="shared" si="407"/>
        <v>#VALUE!</v>
      </c>
    </row>
    <row r="5813" spans="55:59" x14ac:dyDescent="0.2">
      <c r="BC5813" s="21" t="e" vm="1">
        <v>#REF!</v>
      </c>
      <c r="BD5813" t="e" vm="1">
        <v>#REF!</v>
      </c>
      <c r="BF5813" t="e" vm="2">
        <f t="shared" si="406"/>
        <v>#VALUE!</v>
      </c>
      <c r="BG5813" t="e" vm="2">
        <f t="shared" si="407"/>
        <v>#VALUE!</v>
      </c>
    </row>
    <row r="5814" spans="55:59" x14ac:dyDescent="0.2">
      <c r="BC5814" s="21" t="e" vm="1">
        <v>#REF!</v>
      </c>
      <c r="BD5814" t="e" vm="1">
        <v>#REF!</v>
      </c>
      <c r="BF5814" t="e" vm="2">
        <f t="shared" si="406"/>
        <v>#VALUE!</v>
      </c>
      <c r="BG5814" t="e" vm="2">
        <f t="shared" si="407"/>
        <v>#VALUE!</v>
      </c>
    </row>
    <row r="5815" spans="55:59" x14ac:dyDescent="0.2">
      <c r="BC5815" s="21" t="e" vm="1">
        <v>#REF!</v>
      </c>
      <c r="BD5815" t="e" vm="1">
        <v>#REF!</v>
      </c>
      <c r="BF5815" t="e" vm="2">
        <f t="shared" si="406"/>
        <v>#VALUE!</v>
      </c>
      <c r="BG5815" t="e" vm="2">
        <f t="shared" si="407"/>
        <v>#VALUE!</v>
      </c>
    </row>
    <row r="5816" spans="55:59" x14ac:dyDescent="0.2">
      <c r="BC5816" s="21" t="e" vm="1">
        <v>#REF!</v>
      </c>
      <c r="BD5816" t="e" vm="1">
        <v>#REF!</v>
      </c>
      <c r="BF5816" t="e" vm="2">
        <f t="shared" si="406"/>
        <v>#VALUE!</v>
      </c>
      <c r="BG5816" t="e" vm="2">
        <f t="shared" si="407"/>
        <v>#VALUE!</v>
      </c>
    </row>
    <row r="5817" spans="55:59" x14ac:dyDescent="0.2">
      <c r="BC5817" s="21" t="e" vm="1">
        <v>#REF!</v>
      </c>
      <c r="BD5817" t="e" vm="1">
        <v>#REF!</v>
      </c>
      <c r="BF5817" t="e" vm="2">
        <f t="shared" si="406"/>
        <v>#VALUE!</v>
      </c>
      <c r="BG5817" t="e" vm="2">
        <f t="shared" si="407"/>
        <v>#VALUE!</v>
      </c>
    </row>
    <row r="5818" spans="55:59" x14ac:dyDescent="0.2">
      <c r="BC5818" s="21" t="e" vm="1">
        <v>#REF!</v>
      </c>
      <c r="BD5818" t="e" vm="1">
        <v>#REF!</v>
      </c>
      <c r="BF5818" t="e" vm="2">
        <f t="shared" si="406"/>
        <v>#VALUE!</v>
      </c>
      <c r="BG5818" t="e" vm="2">
        <f t="shared" si="407"/>
        <v>#VALUE!</v>
      </c>
    </row>
    <row r="5819" spans="55:59" x14ac:dyDescent="0.2">
      <c r="BC5819" s="21" t="e" vm="1">
        <v>#REF!</v>
      </c>
      <c r="BD5819" t="e" vm="1">
        <v>#REF!</v>
      </c>
      <c r="BF5819" t="e" vm="2">
        <f t="shared" si="406"/>
        <v>#VALUE!</v>
      </c>
      <c r="BG5819" t="e" vm="2">
        <f t="shared" si="407"/>
        <v>#VALUE!</v>
      </c>
    </row>
    <row r="5820" spans="55:59" x14ac:dyDescent="0.2">
      <c r="BC5820" s="21" t="e" vm="1">
        <v>#REF!</v>
      </c>
      <c r="BD5820" t="e" vm="1">
        <v>#REF!</v>
      </c>
      <c r="BF5820" t="e" vm="2">
        <f t="shared" si="406"/>
        <v>#VALUE!</v>
      </c>
      <c r="BG5820" t="e" vm="2">
        <f t="shared" si="407"/>
        <v>#VALUE!</v>
      </c>
    </row>
    <row r="5821" spans="55:59" x14ac:dyDescent="0.2">
      <c r="BC5821" s="21" t="e" vm="1">
        <v>#REF!</v>
      </c>
      <c r="BD5821" t="e" vm="1">
        <v>#REF!</v>
      </c>
      <c r="BF5821" t="e" vm="2">
        <f t="shared" si="406"/>
        <v>#VALUE!</v>
      </c>
      <c r="BG5821" t="e" vm="2">
        <f t="shared" si="407"/>
        <v>#VALUE!</v>
      </c>
    </row>
    <row r="5822" spans="55:59" x14ac:dyDescent="0.2">
      <c r="BC5822" s="21" t="e" vm="1">
        <v>#REF!</v>
      </c>
      <c r="BD5822" t="e" vm="1">
        <v>#REF!</v>
      </c>
      <c r="BF5822" t="e" vm="2">
        <f t="shared" si="406"/>
        <v>#VALUE!</v>
      </c>
      <c r="BG5822" t="e" vm="2">
        <f t="shared" si="407"/>
        <v>#VALUE!</v>
      </c>
    </row>
    <row r="5823" spans="55:59" x14ac:dyDescent="0.2">
      <c r="BC5823" s="21" t="e" vm="1">
        <v>#REF!</v>
      </c>
      <c r="BD5823" t="e" vm="1">
        <v>#REF!</v>
      </c>
      <c r="BF5823" t="e" vm="2">
        <f t="shared" si="406"/>
        <v>#VALUE!</v>
      </c>
      <c r="BG5823" t="e" vm="2">
        <f t="shared" si="407"/>
        <v>#VALUE!</v>
      </c>
    </row>
    <row r="5824" spans="55:59" x14ac:dyDescent="0.2">
      <c r="BC5824" s="21" t="e" vm="1">
        <v>#REF!</v>
      </c>
      <c r="BD5824" t="e" vm="1">
        <v>#REF!</v>
      </c>
      <c r="BF5824" t="e" vm="2">
        <f t="shared" si="406"/>
        <v>#VALUE!</v>
      </c>
      <c r="BG5824" t="e" vm="2">
        <f t="shared" si="407"/>
        <v>#VALUE!</v>
      </c>
    </row>
    <row r="5825" spans="55:59" x14ac:dyDescent="0.2">
      <c r="BC5825" s="21" t="e" vm="1">
        <v>#REF!</v>
      </c>
      <c r="BD5825" t="e" vm="1">
        <v>#REF!</v>
      </c>
      <c r="BF5825" t="e" vm="2">
        <f t="shared" si="406"/>
        <v>#VALUE!</v>
      </c>
      <c r="BG5825" t="e" vm="2">
        <f t="shared" si="407"/>
        <v>#VALUE!</v>
      </c>
    </row>
    <row r="5826" spans="55:59" x14ac:dyDescent="0.2">
      <c r="BC5826" s="21" t="e" vm="1">
        <v>#REF!</v>
      </c>
      <c r="BD5826" t="e" vm="1">
        <v>#REF!</v>
      </c>
      <c r="BF5826" t="e" vm="2">
        <f t="shared" si="406"/>
        <v>#VALUE!</v>
      </c>
      <c r="BG5826" t="e" vm="2">
        <f t="shared" si="407"/>
        <v>#VALUE!</v>
      </c>
    </row>
    <row r="5827" spans="55:59" x14ac:dyDescent="0.2">
      <c r="BC5827" s="21" t="e" vm="1">
        <v>#REF!</v>
      </c>
      <c r="BD5827" t="e" vm="1">
        <v>#REF!</v>
      </c>
      <c r="BF5827" t="e" vm="2">
        <f t="shared" ref="BF5827:BF5890" si="408">MONTH(BC5827)</f>
        <v>#VALUE!</v>
      </c>
      <c r="BG5827" t="e" vm="2">
        <f t="shared" ref="BG5827:BG5890" si="409">YEAR(BC5827)</f>
        <v>#VALUE!</v>
      </c>
    </row>
    <row r="5828" spans="55:59" x14ac:dyDescent="0.2">
      <c r="BC5828" s="21" t="e" vm="1">
        <v>#REF!</v>
      </c>
      <c r="BD5828" t="e" vm="1">
        <v>#REF!</v>
      </c>
      <c r="BF5828" t="e" vm="2">
        <f t="shared" si="408"/>
        <v>#VALUE!</v>
      </c>
      <c r="BG5828" t="e" vm="2">
        <f t="shared" si="409"/>
        <v>#VALUE!</v>
      </c>
    </row>
    <row r="5829" spans="55:59" x14ac:dyDescent="0.2">
      <c r="BC5829" s="21" t="e" vm="1">
        <v>#REF!</v>
      </c>
      <c r="BD5829" t="e" vm="1">
        <v>#REF!</v>
      </c>
      <c r="BF5829" t="e" vm="2">
        <f t="shared" si="408"/>
        <v>#VALUE!</v>
      </c>
      <c r="BG5829" t="e" vm="2">
        <f t="shared" si="409"/>
        <v>#VALUE!</v>
      </c>
    </row>
    <row r="5830" spans="55:59" x14ac:dyDescent="0.2">
      <c r="BC5830" s="21" t="e" vm="1">
        <v>#REF!</v>
      </c>
      <c r="BD5830" t="e" vm="1">
        <v>#REF!</v>
      </c>
      <c r="BF5830" t="e" vm="2">
        <f t="shared" si="408"/>
        <v>#VALUE!</v>
      </c>
      <c r="BG5830" t="e" vm="2">
        <f t="shared" si="409"/>
        <v>#VALUE!</v>
      </c>
    </row>
    <row r="5831" spans="55:59" x14ac:dyDescent="0.2">
      <c r="BC5831" s="21" t="e" vm="1">
        <v>#REF!</v>
      </c>
      <c r="BD5831" t="e" vm="1">
        <v>#REF!</v>
      </c>
      <c r="BF5831" t="e" vm="2">
        <f t="shared" si="408"/>
        <v>#VALUE!</v>
      </c>
      <c r="BG5831" t="e" vm="2">
        <f t="shared" si="409"/>
        <v>#VALUE!</v>
      </c>
    </row>
    <row r="5832" spans="55:59" x14ac:dyDescent="0.2">
      <c r="BC5832" s="21" t="e" vm="1">
        <v>#REF!</v>
      </c>
      <c r="BD5832" t="e" vm="1">
        <v>#REF!</v>
      </c>
      <c r="BF5832" t="e" vm="2">
        <f t="shared" si="408"/>
        <v>#VALUE!</v>
      </c>
      <c r="BG5832" t="e" vm="2">
        <f t="shared" si="409"/>
        <v>#VALUE!</v>
      </c>
    </row>
    <row r="5833" spans="55:59" x14ac:dyDescent="0.2">
      <c r="BC5833" s="21" t="e" vm="1">
        <v>#REF!</v>
      </c>
      <c r="BD5833" t="e" vm="1">
        <v>#REF!</v>
      </c>
      <c r="BF5833" t="e" vm="2">
        <f t="shared" si="408"/>
        <v>#VALUE!</v>
      </c>
      <c r="BG5833" t="e" vm="2">
        <f t="shared" si="409"/>
        <v>#VALUE!</v>
      </c>
    </row>
    <row r="5834" spans="55:59" x14ac:dyDescent="0.2">
      <c r="BC5834" s="21" t="e" vm="1">
        <v>#REF!</v>
      </c>
      <c r="BD5834" t="e" vm="1">
        <v>#REF!</v>
      </c>
      <c r="BF5834" t="e" vm="2">
        <f t="shared" si="408"/>
        <v>#VALUE!</v>
      </c>
      <c r="BG5834" t="e" vm="2">
        <f t="shared" si="409"/>
        <v>#VALUE!</v>
      </c>
    </row>
    <row r="5835" spans="55:59" x14ac:dyDescent="0.2">
      <c r="BC5835" s="21" t="e" vm="1">
        <v>#REF!</v>
      </c>
      <c r="BD5835" t="e" vm="1">
        <v>#REF!</v>
      </c>
      <c r="BF5835" t="e" vm="2">
        <f t="shared" si="408"/>
        <v>#VALUE!</v>
      </c>
      <c r="BG5835" t="e" vm="2">
        <f t="shared" si="409"/>
        <v>#VALUE!</v>
      </c>
    </row>
    <row r="5836" spans="55:59" x14ac:dyDescent="0.2">
      <c r="BC5836" s="21" t="e" vm="1">
        <v>#REF!</v>
      </c>
      <c r="BD5836" t="e" vm="1">
        <v>#REF!</v>
      </c>
      <c r="BF5836" t="e" vm="2">
        <f t="shared" si="408"/>
        <v>#VALUE!</v>
      </c>
      <c r="BG5836" t="e" vm="2">
        <f t="shared" si="409"/>
        <v>#VALUE!</v>
      </c>
    </row>
    <row r="5837" spans="55:59" x14ac:dyDescent="0.2">
      <c r="BC5837" s="21" t="e" vm="1">
        <v>#REF!</v>
      </c>
      <c r="BD5837" t="e" vm="1">
        <v>#REF!</v>
      </c>
      <c r="BF5837" t="e" vm="2">
        <f t="shared" si="408"/>
        <v>#VALUE!</v>
      </c>
      <c r="BG5837" t="e" vm="2">
        <f t="shared" si="409"/>
        <v>#VALUE!</v>
      </c>
    </row>
    <row r="5838" spans="55:59" x14ac:dyDescent="0.2">
      <c r="BC5838" s="21" t="e" vm="1">
        <v>#REF!</v>
      </c>
      <c r="BD5838" t="e" vm="1">
        <v>#REF!</v>
      </c>
      <c r="BF5838" t="e" vm="2">
        <f t="shared" si="408"/>
        <v>#VALUE!</v>
      </c>
      <c r="BG5838" t="e" vm="2">
        <f t="shared" si="409"/>
        <v>#VALUE!</v>
      </c>
    </row>
    <row r="5839" spans="55:59" x14ac:dyDescent="0.2">
      <c r="BC5839" s="21" t="e" vm="1">
        <v>#REF!</v>
      </c>
      <c r="BD5839" t="e" vm="1">
        <v>#REF!</v>
      </c>
      <c r="BF5839" t="e" vm="2">
        <f t="shared" si="408"/>
        <v>#VALUE!</v>
      </c>
      <c r="BG5839" t="e" vm="2">
        <f t="shared" si="409"/>
        <v>#VALUE!</v>
      </c>
    </row>
    <row r="5840" spans="55:59" x14ac:dyDescent="0.2">
      <c r="BC5840" s="21" t="e" vm="1">
        <v>#REF!</v>
      </c>
      <c r="BD5840" t="e" vm="1">
        <v>#REF!</v>
      </c>
      <c r="BF5840" t="e" vm="2">
        <f t="shared" si="408"/>
        <v>#VALUE!</v>
      </c>
      <c r="BG5840" t="e" vm="2">
        <f t="shared" si="409"/>
        <v>#VALUE!</v>
      </c>
    </row>
    <row r="5841" spans="55:59" x14ac:dyDescent="0.2">
      <c r="BC5841" s="21" t="e" vm="1">
        <v>#REF!</v>
      </c>
      <c r="BD5841" t="e" vm="1">
        <v>#REF!</v>
      </c>
      <c r="BF5841" t="e" vm="2">
        <f t="shared" si="408"/>
        <v>#VALUE!</v>
      </c>
      <c r="BG5841" t="e" vm="2">
        <f t="shared" si="409"/>
        <v>#VALUE!</v>
      </c>
    </row>
    <row r="5842" spans="55:59" x14ac:dyDescent="0.2">
      <c r="BC5842" s="21" t="e" vm="1">
        <v>#REF!</v>
      </c>
      <c r="BD5842" t="e" vm="1">
        <v>#REF!</v>
      </c>
      <c r="BF5842" t="e" vm="2">
        <f t="shared" si="408"/>
        <v>#VALUE!</v>
      </c>
      <c r="BG5842" t="e" vm="2">
        <f t="shared" si="409"/>
        <v>#VALUE!</v>
      </c>
    </row>
    <row r="5843" spans="55:59" x14ac:dyDescent="0.2">
      <c r="BC5843" s="21" t="e" vm="1">
        <v>#REF!</v>
      </c>
      <c r="BD5843" t="e" vm="1">
        <v>#REF!</v>
      </c>
      <c r="BF5843" t="e" vm="2">
        <f t="shared" si="408"/>
        <v>#VALUE!</v>
      </c>
      <c r="BG5843" t="e" vm="2">
        <f t="shared" si="409"/>
        <v>#VALUE!</v>
      </c>
    </row>
    <row r="5844" spans="55:59" x14ac:dyDescent="0.2">
      <c r="BC5844" s="21" t="e" vm="1">
        <v>#REF!</v>
      </c>
      <c r="BD5844" t="e" vm="1">
        <v>#REF!</v>
      </c>
      <c r="BF5844" t="e" vm="2">
        <f t="shared" si="408"/>
        <v>#VALUE!</v>
      </c>
      <c r="BG5844" t="e" vm="2">
        <f t="shared" si="409"/>
        <v>#VALUE!</v>
      </c>
    </row>
    <row r="5845" spans="55:59" x14ac:dyDescent="0.2">
      <c r="BC5845" s="21" t="e" vm="1">
        <v>#REF!</v>
      </c>
      <c r="BD5845" t="e" vm="1">
        <v>#REF!</v>
      </c>
      <c r="BF5845" t="e" vm="2">
        <f t="shared" si="408"/>
        <v>#VALUE!</v>
      </c>
      <c r="BG5845" t="e" vm="2">
        <f t="shared" si="409"/>
        <v>#VALUE!</v>
      </c>
    </row>
    <row r="5846" spans="55:59" x14ac:dyDescent="0.2">
      <c r="BC5846" s="21" t="e" vm="1">
        <v>#REF!</v>
      </c>
      <c r="BD5846" t="e" vm="1">
        <v>#REF!</v>
      </c>
      <c r="BF5846" t="e" vm="2">
        <f t="shared" si="408"/>
        <v>#VALUE!</v>
      </c>
      <c r="BG5846" t="e" vm="2">
        <f t="shared" si="409"/>
        <v>#VALUE!</v>
      </c>
    </row>
    <row r="5847" spans="55:59" x14ac:dyDescent="0.2">
      <c r="BC5847" s="21" t="e" vm="1">
        <v>#REF!</v>
      </c>
      <c r="BD5847" t="e" vm="1">
        <v>#REF!</v>
      </c>
      <c r="BF5847" t="e" vm="2">
        <f t="shared" si="408"/>
        <v>#VALUE!</v>
      </c>
      <c r="BG5847" t="e" vm="2">
        <f t="shared" si="409"/>
        <v>#VALUE!</v>
      </c>
    </row>
    <row r="5848" spans="55:59" x14ac:dyDescent="0.2">
      <c r="BC5848" s="21" t="e" vm="1">
        <v>#REF!</v>
      </c>
      <c r="BD5848" t="e" vm="1">
        <v>#REF!</v>
      </c>
      <c r="BF5848" t="e" vm="2">
        <f t="shared" si="408"/>
        <v>#VALUE!</v>
      </c>
      <c r="BG5848" t="e" vm="2">
        <f t="shared" si="409"/>
        <v>#VALUE!</v>
      </c>
    </row>
    <row r="5849" spans="55:59" x14ac:dyDescent="0.2">
      <c r="BC5849" s="21" t="e" vm="1">
        <v>#REF!</v>
      </c>
      <c r="BD5849" t="e" vm="1">
        <v>#REF!</v>
      </c>
      <c r="BF5849" t="e" vm="2">
        <f t="shared" si="408"/>
        <v>#VALUE!</v>
      </c>
      <c r="BG5849" t="e" vm="2">
        <f t="shared" si="409"/>
        <v>#VALUE!</v>
      </c>
    </row>
    <row r="5850" spans="55:59" x14ac:dyDescent="0.2">
      <c r="BC5850" s="21" t="e" vm="1">
        <v>#REF!</v>
      </c>
      <c r="BD5850" t="e" vm="1">
        <v>#REF!</v>
      </c>
      <c r="BF5850" t="e" vm="2">
        <f t="shared" si="408"/>
        <v>#VALUE!</v>
      </c>
      <c r="BG5850" t="e" vm="2">
        <f t="shared" si="409"/>
        <v>#VALUE!</v>
      </c>
    </row>
    <row r="5851" spans="55:59" x14ac:dyDescent="0.2">
      <c r="BC5851" s="21" t="e" vm="1">
        <v>#REF!</v>
      </c>
      <c r="BD5851" t="e" vm="1">
        <v>#REF!</v>
      </c>
      <c r="BF5851" t="e" vm="2">
        <f t="shared" si="408"/>
        <v>#VALUE!</v>
      </c>
      <c r="BG5851" t="e" vm="2">
        <f t="shared" si="409"/>
        <v>#VALUE!</v>
      </c>
    </row>
    <row r="5852" spans="55:59" x14ac:dyDescent="0.2">
      <c r="BC5852" s="21" t="e" vm="1">
        <v>#REF!</v>
      </c>
      <c r="BD5852" t="e" vm="1">
        <v>#REF!</v>
      </c>
      <c r="BF5852" t="e" vm="2">
        <f t="shared" si="408"/>
        <v>#VALUE!</v>
      </c>
      <c r="BG5852" t="e" vm="2">
        <f t="shared" si="409"/>
        <v>#VALUE!</v>
      </c>
    </row>
    <row r="5853" spans="55:59" x14ac:dyDescent="0.2">
      <c r="BC5853" s="21" t="e" vm="1">
        <v>#REF!</v>
      </c>
      <c r="BD5853" t="e" vm="1">
        <v>#REF!</v>
      </c>
      <c r="BF5853" t="e" vm="2">
        <f t="shared" si="408"/>
        <v>#VALUE!</v>
      </c>
      <c r="BG5853" t="e" vm="2">
        <f t="shared" si="409"/>
        <v>#VALUE!</v>
      </c>
    </row>
    <row r="5854" spans="55:59" x14ac:dyDescent="0.2">
      <c r="BC5854" s="21" t="e" vm="1">
        <v>#REF!</v>
      </c>
      <c r="BD5854" t="e" vm="1">
        <v>#REF!</v>
      </c>
      <c r="BF5854" t="e" vm="2">
        <f t="shared" si="408"/>
        <v>#VALUE!</v>
      </c>
      <c r="BG5854" t="e" vm="2">
        <f t="shared" si="409"/>
        <v>#VALUE!</v>
      </c>
    </row>
    <row r="5855" spans="55:59" x14ac:dyDescent="0.2">
      <c r="BC5855" s="21" t="e" vm="1">
        <v>#REF!</v>
      </c>
      <c r="BD5855" t="e" vm="1">
        <v>#REF!</v>
      </c>
      <c r="BF5855" t="e" vm="2">
        <f t="shared" si="408"/>
        <v>#VALUE!</v>
      </c>
      <c r="BG5855" t="e" vm="2">
        <f t="shared" si="409"/>
        <v>#VALUE!</v>
      </c>
    </row>
    <row r="5856" spans="55:59" x14ac:dyDescent="0.2">
      <c r="BC5856" s="21" t="e" vm="1">
        <v>#REF!</v>
      </c>
      <c r="BD5856" t="e" vm="1">
        <v>#REF!</v>
      </c>
      <c r="BF5856" t="e" vm="2">
        <f t="shared" si="408"/>
        <v>#VALUE!</v>
      </c>
      <c r="BG5856" t="e" vm="2">
        <f t="shared" si="409"/>
        <v>#VALUE!</v>
      </c>
    </row>
    <row r="5857" spans="55:59" x14ac:dyDescent="0.2">
      <c r="BC5857" s="21" t="e" vm="1">
        <v>#REF!</v>
      </c>
      <c r="BD5857" t="e" vm="1">
        <v>#REF!</v>
      </c>
      <c r="BF5857" t="e" vm="2">
        <f t="shared" si="408"/>
        <v>#VALUE!</v>
      </c>
      <c r="BG5857" t="e" vm="2">
        <f t="shared" si="409"/>
        <v>#VALUE!</v>
      </c>
    </row>
    <row r="5858" spans="55:59" x14ac:dyDescent="0.2">
      <c r="BC5858" s="21" t="e" vm="1">
        <v>#REF!</v>
      </c>
      <c r="BD5858" t="e" vm="1">
        <v>#REF!</v>
      </c>
      <c r="BF5858" t="e" vm="2">
        <f t="shared" si="408"/>
        <v>#VALUE!</v>
      </c>
      <c r="BG5858" t="e" vm="2">
        <f t="shared" si="409"/>
        <v>#VALUE!</v>
      </c>
    </row>
    <row r="5859" spans="55:59" x14ac:dyDescent="0.2">
      <c r="BC5859" s="21" t="e" vm="1">
        <v>#REF!</v>
      </c>
      <c r="BD5859" t="e" vm="1">
        <v>#REF!</v>
      </c>
      <c r="BF5859" t="e" vm="2">
        <f t="shared" si="408"/>
        <v>#VALUE!</v>
      </c>
      <c r="BG5859" t="e" vm="2">
        <f t="shared" si="409"/>
        <v>#VALUE!</v>
      </c>
    </row>
    <row r="5860" spans="55:59" x14ac:dyDescent="0.2">
      <c r="BC5860" s="21" t="e" vm="1">
        <v>#REF!</v>
      </c>
      <c r="BD5860" t="e" vm="1">
        <v>#REF!</v>
      </c>
      <c r="BF5860" t="e" vm="2">
        <f t="shared" si="408"/>
        <v>#VALUE!</v>
      </c>
      <c r="BG5860" t="e" vm="2">
        <f t="shared" si="409"/>
        <v>#VALUE!</v>
      </c>
    </row>
    <row r="5861" spans="55:59" x14ac:dyDescent="0.2">
      <c r="BC5861" s="21" t="e" vm="1">
        <v>#REF!</v>
      </c>
      <c r="BD5861" t="e" vm="1">
        <v>#REF!</v>
      </c>
      <c r="BF5861" t="e" vm="2">
        <f t="shared" si="408"/>
        <v>#VALUE!</v>
      </c>
      <c r="BG5861" t="e" vm="2">
        <f t="shared" si="409"/>
        <v>#VALUE!</v>
      </c>
    </row>
    <row r="5862" spans="55:59" x14ac:dyDescent="0.2">
      <c r="BC5862" s="21" t="e" vm="1">
        <v>#REF!</v>
      </c>
      <c r="BD5862" t="e" vm="1">
        <v>#REF!</v>
      </c>
      <c r="BF5862" t="e" vm="2">
        <f t="shared" si="408"/>
        <v>#VALUE!</v>
      </c>
      <c r="BG5862" t="e" vm="2">
        <f t="shared" si="409"/>
        <v>#VALUE!</v>
      </c>
    </row>
    <row r="5863" spans="55:59" x14ac:dyDescent="0.2">
      <c r="BC5863" s="21" t="e" vm="1">
        <v>#REF!</v>
      </c>
      <c r="BD5863" t="e" vm="1">
        <v>#REF!</v>
      </c>
      <c r="BF5863" t="e" vm="2">
        <f t="shared" si="408"/>
        <v>#VALUE!</v>
      </c>
      <c r="BG5863" t="e" vm="2">
        <f t="shared" si="409"/>
        <v>#VALUE!</v>
      </c>
    </row>
    <row r="5864" spans="55:59" x14ac:dyDescent="0.2">
      <c r="BC5864" s="21" t="e" vm="1">
        <v>#REF!</v>
      </c>
      <c r="BD5864" t="e" vm="1">
        <v>#REF!</v>
      </c>
      <c r="BF5864" t="e" vm="2">
        <f t="shared" si="408"/>
        <v>#VALUE!</v>
      </c>
      <c r="BG5864" t="e" vm="2">
        <f t="shared" si="409"/>
        <v>#VALUE!</v>
      </c>
    </row>
    <row r="5865" spans="55:59" x14ac:dyDescent="0.2">
      <c r="BC5865" s="21" t="e" vm="1">
        <v>#REF!</v>
      </c>
      <c r="BD5865" t="e" vm="1">
        <v>#REF!</v>
      </c>
      <c r="BF5865" t="e" vm="2">
        <f t="shared" si="408"/>
        <v>#VALUE!</v>
      </c>
      <c r="BG5865" t="e" vm="2">
        <f t="shared" si="409"/>
        <v>#VALUE!</v>
      </c>
    </row>
    <row r="5866" spans="55:59" x14ac:dyDescent="0.2">
      <c r="BC5866" s="21" t="e" vm="1">
        <v>#REF!</v>
      </c>
      <c r="BD5866" t="e" vm="1">
        <v>#REF!</v>
      </c>
      <c r="BF5866" t="e" vm="2">
        <f t="shared" si="408"/>
        <v>#VALUE!</v>
      </c>
      <c r="BG5866" t="e" vm="2">
        <f t="shared" si="409"/>
        <v>#VALUE!</v>
      </c>
    </row>
    <row r="5867" spans="55:59" x14ac:dyDescent="0.2">
      <c r="BC5867" s="21" t="e" vm="1">
        <v>#REF!</v>
      </c>
      <c r="BD5867" t="e" vm="1">
        <v>#REF!</v>
      </c>
      <c r="BF5867" t="e" vm="2">
        <f t="shared" si="408"/>
        <v>#VALUE!</v>
      </c>
      <c r="BG5867" t="e" vm="2">
        <f t="shared" si="409"/>
        <v>#VALUE!</v>
      </c>
    </row>
    <row r="5868" spans="55:59" x14ac:dyDescent="0.2">
      <c r="BC5868" s="21" t="e" vm="1">
        <v>#REF!</v>
      </c>
      <c r="BD5868" t="e" vm="1">
        <v>#REF!</v>
      </c>
      <c r="BF5868" t="e" vm="2">
        <f t="shared" si="408"/>
        <v>#VALUE!</v>
      </c>
      <c r="BG5868" t="e" vm="2">
        <f t="shared" si="409"/>
        <v>#VALUE!</v>
      </c>
    </row>
    <row r="5869" spans="55:59" x14ac:dyDescent="0.2">
      <c r="BC5869" s="21" t="e" vm="1">
        <v>#REF!</v>
      </c>
      <c r="BD5869" t="e" vm="1">
        <v>#REF!</v>
      </c>
      <c r="BF5869" t="e" vm="2">
        <f t="shared" si="408"/>
        <v>#VALUE!</v>
      </c>
      <c r="BG5869" t="e" vm="2">
        <f t="shared" si="409"/>
        <v>#VALUE!</v>
      </c>
    </row>
    <row r="5870" spans="55:59" x14ac:dyDescent="0.2">
      <c r="BC5870" s="21" t="e" vm="1">
        <v>#REF!</v>
      </c>
      <c r="BD5870" t="e" vm="1">
        <v>#REF!</v>
      </c>
      <c r="BF5870" t="e" vm="2">
        <f t="shared" si="408"/>
        <v>#VALUE!</v>
      </c>
      <c r="BG5870" t="e" vm="2">
        <f t="shared" si="409"/>
        <v>#VALUE!</v>
      </c>
    </row>
    <row r="5871" spans="55:59" x14ac:dyDescent="0.2">
      <c r="BC5871" s="21" t="e" vm="1">
        <v>#REF!</v>
      </c>
      <c r="BD5871" t="e" vm="1">
        <v>#REF!</v>
      </c>
      <c r="BF5871" t="e" vm="2">
        <f t="shared" si="408"/>
        <v>#VALUE!</v>
      </c>
      <c r="BG5871" t="e" vm="2">
        <f t="shared" si="409"/>
        <v>#VALUE!</v>
      </c>
    </row>
    <row r="5872" spans="55:59" x14ac:dyDescent="0.2">
      <c r="BC5872" s="21" t="e" vm="1">
        <v>#REF!</v>
      </c>
      <c r="BD5872" t="e" vm="1">
        <v>#REF!</v>
      </c>
      <c r="BF5872" t="e" vm="2">
        <f t="shared" si="408"/>
        <v>#VALUE!</v>
      </c>
      <c r="BG5872" t="e" vm="2">
        <f t="shared" si="409"/>
        <v>#VALUE!</v>
      </c>
    </row>
    <row r="5873" spans="55:59" x14ac:dyDescent="0.2">
      <c r="BC5873" s="21" t="e" vm="1">
        <v>#REF!</v>
      </c>
      <c r="BD5873" t="e" vm="1">
        <v>#REF!</v>
      </c>
      <c r="BF5873" t="e" vm="2">
        <f t="shared" si="408"/>
        <v>#VALUE!</v>
      </c>
      <c r="BG5873" t="e" vm="2">
        <f t="shared" si="409"/>
        <v>#VALUE!</v>
      </c>
    </row>
    <row r="5874" spans="55:59" x14ac:dyDescent="0.2">
      <c r="BC5874" s="21" t="e" vm="1">
        <v>#REF!</v>
      </c>
      <c r="BD5874" t="e" vm="1">
        <v>#REF!</v>
      </c>
      <c r="BF5874" t="e" vm="2">
        <f t="shared" si="408"/>
        <v>#VALUE!</v>
      </c>
      <c r="BG5874" t="e" vm="2">
        <f t="shared" si="409"/>
        <v>#VALUE!</v>
      </c>
    </row>
    <row r="5875" spans="55:59" x14ac:dyDescent="0.2">
      <c r="BC5875" s="21" t="e" vm="1">
        <v>#REF!</v>
      </c>
      <c r="BD5875" t="e" vm="1">
        <v>#REF!</v>
      </c>
      <c r="BF5875" t="e" vm="2">
        <f t="shared" si="408"/>
        <v>#VALUE!</v>
      </c>
      <c r="BG5875" t="e" vm="2">
        <f t="shared" si="409"/>
        <v>#VALUE!</v>
      </c>
    </row>
    <row r="5876" spans="55:59" x14ac:dyDescent="0.2">
      <c r="BC5876" s="21" t="e" vm="1">
        <v>#REF!</v>
      </c>
      <c r="BD5876" t="e" vm="1">
        <v>#REF!</v>
      </c>
      <c r="BF5876" t="e" vm="2">
        <f t="shared" si="408"/>
        <v>#VALUE!</v>
      </c>
      <c r="BG5876" t="e" vm="2">
        <f t="shared" si="409"/>
        <v>#VALUE!</v>
      </c>
    </row>
    <row r="5877" spans="55:59" x14ac:dyDescent="0.2">
      <c r="BC5877" s="21" t="e" vm="1">
        <v>#REF!</v>
      </c>
      <c r="BD5877" t="e" vm="1">
        <v>#REF!</v>
      </c>
      <c r="BF5877" t="e" vm="2">
        <f t="shared" si="408"/>
        <v>#VALUE!</v>
      </c>
      <c r="BG5877" t="e" vm="2">
        <f t="shared" si="409"/>
        <v>#VALUE!</v>
      </c>
    </row>
    <row r="5878" spans="55:59" x14ac:dyDescent="0.2">
      <c r="BC5878" s="21" t="e" vm="1">
        <v>#REF!</v>
      </c>
      <c r="BD5878" t="e" vm="1">
        <v>#REF!</v>
      </c>
      <c r="BF5878" t="e" vm="2">
        <f t="shared" si="408"/>
        <v>#VALUE!</v>
      </c>
      <c r="BG5878" t="e" vm="2">
        <f t="shared" si="409"/>
        <v>#VALUE!</v>
      </c>
    </row>
    <row r="5879" spans="55:59" x14ac:dyDescent="0.2">
      <c r="BC5879" s="21" t="e" vm="1">
        <v>#REF!</v>
      </c>
      <c r="BD5879" t="e" vm="1">
        <v>#REF!</v>
      </c>
      <c r="BF5879" t="e" vm="2">
        <f t="shared" si="408"/>
        <v>#VALUE!</v>
      </c>
      <c r="BG5879" t="e" vm="2">
        <f t="shared" si="409"/>
        <v>#VALUE!</v>
      </c>
    </row>
    <row r="5880" spans="55:59" x14ac:dyDescent="0.2">
      <c r="BC5880" s="21" t="e" vm="1">
        <v>#REF!</v>
      </c>
      <c r="BD5880" t="e" vm="1">
        <v>#REF!</v>
      </c>
      <c r="BF5880" t="e" vm="2">
        <f t="shared" si="408"/>
        <v>#VALUE!</v>
      </c>
      <c r="BG5880" t="e" vm="2">
        <f t="shared" si="409"/>
        <v>#VALUE!</v>
      </c>
    </row>
    <row r="5881" spans="55:59" x14ac:dyDescent="0.2">
      <c r="BC5881" s="21" t="e" vm="1">
        <v>#REF!</v>
      </c>
      <c r="BD5881" t="e" vm="1">
        <v>#REF!</v>
      </c>
      <c r="BF5881" t="e" vm="2">
        <f t="shared" si="408"/>
        <v>#VALUE!</v>
      </c>
      <c r="BG5881" t="e" vm="2">
        <f t="shared" si="409"/>
        <v>#VALUE!</v>
      </c>
    </row>
    <row r="5882" spans="55:59" x14ac:dyDescent="0.2">
      <c r="BC5882" s="21" t="e" vm="1">
        <v>#REF!</v>
      </c>
      <c r="BD5882" t="e" vm="1">
        <v>#REF!</v>
      </c>
      <c r="BF5882" t="e" vm="2">
        <f t="shared" si="408"/>
        <v>#VALUE!</v>
      </c>
      <c r="BG5882" t="e" vm="2">
        <f t="shared" si="409"/>
        <v>#VALUE!</v>
      </c>
    </row>
    <row r="5883" spans="55:59" x14ac:dyDescent="0.2">
      <c r="BC5883" s="21" t="e" vm="1">
        <v>#REF!</v>
      </c>
      <c r="BD5883" t="e" vm="1">
        <v>#REF!</v>
      </c>
      <c r="BF5883" t="e" vm="2">
        <f t="shared" si="408"/>
        <v>#VALUE!</v>
      </c>
      <c r="BG5883" t="e" vm="2">
        <f t="shared" si="409"/>
        <v>#VALUE!</v>
      </c>
    </row>
    <row r="5884" spans="55:59" x14ac:dyDescent="0.2">
      <c r="BC5884" s="21" t="e" vm="1">
        <v>#REF!</v>
      </c>
      <c r="BD5884" t="e" vm="1">
        <v>#REF!</v>
      </c>
      <c r="BF5884" t="e" vm="2">
        <f t="shared" si="408"/>
        <v>#VALUE!</v>
      </c>
      <c r="BG5884" t="e" vm="2">
        <f t="shared" si="409"/>
        <v>#VALUE!</v>
      </c>
    </row>
    <row r="5885" spans="55:59" x14ac:dyDescent="0.2">
      <c r="BC5885" s="21" t="e" vm="1">
        <v>#REF!</v>
      </c>
      <c r="BD5885" t="e" vm="1">
        <v>#REF!</v>
      </c>
      <c r="BF5885" t="e" vm="2">
        <f t="shared" si="408"/>
        <v>#VALUE!</v>
      </c>
      <c r="BG5885" t="e" vm="2">
        <f t="shared" si="409"/>
        <v>#VALUE!</v>
      </c>
    </row>
    <row r="5886" spans="55:59" x14ac:dyDescent="0.2">
      <c r="BC5886" s="21" t="e" vm="1">
        <v>#REF!</v>
      </c>
      <c r="BD5886" t="e" vm="1">
        <v>#REF!</v>
      </c>
      <c r="BF5886" t="e" vm="2">
        <f t="shared" si="408"/>
        <v>#VALUE!</v>
      </c>
      <c r="BG5886" t="e" vm="2">
        <f t="shared" si="409"/>
        <v>#VALUE!</v>
      </c>
    </row>
    <row r="5887" spans="55:59" x14ac:dyDescent="0.2">
      <c r="BC5887" s="21" t="e" vm="1">
        <v>#REF!</v>
      </c>
      <c r="BD5887" t="e" vm="1">
        <v>#REF!</v>
      </c>
      <c r="BF5887" t="e" vm="2">
        <f t="shared" si="408"/>
        <v>#VALUE!</v>
      </c>
      <c r="BG5887" t="e" vm="2">
        <f t="shared" si="409"/>
        <v>#VALUE!</v>
      </c>
    </row>
    <row r="5888" spans="55:59" x14ac:dyDescent="0.2">
      <c r="BC5888" s="21" t="e" vm="1">
        <v>#REF!</v>
      </c>
      <c r="BD5888" t="e" vm="1">
        <v>#REF!</v>
      </c>
      <c r="BF5888" t="e" vm="2">
        <f t="shared" si="408"/>
        <v>#VALUE!</v>
      </c>
      <c r="BG5888" t="e" vm="2">
        <f t="shared" si="409"/>
        <v>#VALUE!</v>
      </c>
    </row>
    <row r="5889" spans="55:59" x14ac:dyDescent="0.2">
      <c r="BC5889" s="21" t="e" vm="1">
        <v>#REF!</v>
      </c>
      <c r="BD5889" t="e" vm="1">
        <v>#REF!</v>
      </c>
      <c r="BF5889" t="e" vm="2">
        <f t="shared" si="408"/>
        <v>#VALUE!</v>
      </c>
      <c r="BG5889" t="e" vm="2">
        <f t="shared" si="409"/>
        <v>#VALUE!</v>
      </c>
    </row>
    <row r="5890" spans="55:59" x14ac:dyDescent="0.2">
      <c r="BC5890" s="21" t="e" vm="1">
        <v>#REF!</v>
      </c>
      <c r="BD5890" t="e" vm="1">
        <v>#REF!</v>
      </c>
      <c r="BF5890" t="e" vm="2">
        <f t="shared" si="408"/>
        <v>#VALUE!</v>
      </c>
      <c r="BG5890" t="e" vm="2">
        <f t="shared" si="409"/>
        <v>#VALUE!</v>
      </c>
    </row>
    <row r="5891" spans="55:59" x14ac:dyDescent="0.2">
      <c r="BC5891" s="21" t="e" vm="1">
        <v>#REF!</v>
      </c>
      <c r="BD5891" t="e" vm="1">
        <v>#REF!</v>
      </c>
      <c r="BF5891" t="e" vm="2">
        <f t="shared" ref="BF5891:BF5954" si="410">MONTH(BC5891)</f>
        <v>#VALUE!</v>
      </c>
      <c r="BG5891" t="e" vm="2">
        <f t="shared" ref="BG5891:BG5954" si="411">YEAR(BC5891)</f>
        <v>#VALUE!</v>
      </c>
    </row>
    <row r="5892" spans="55:59" x14ac:dyDescent="0.2">
      <c r="BC5892" s="21" t="e" vm="1">
        <v>#REF!</v>
      </c>
      <c r="BD5892" t="e" vm="1">
        <v>#REF!</v>
      </c>
      <c r="BF5892" t="e" vm="2">
        <f t="shared" si="410"/>
        <v>#VALUE!</v>
      </c>
      <c r="BG5892" t="e" vm="2">
        <f t="shared" si="411"/>
        <v>#VALUE!</v>
      </c>
    </row>
    <row r="5893" spans="55:59" x14ac:dyDescent="0.2">
      <c r="BC5893" s="21" t="e" vm="1">
        <v>#REF!</v>
      </c>
      <c r="BD5893" t="e" vm="1">
        <v>#REF!</v>
      </c>
      <c r="BF5893" t="e" vm="2">
        <f t="shared" si="410"/>
        <v>#VALUE!</v>
      </c>
      <c r="BG5893" t="e" vm="2">
        <f t="shared" si="411"/>
        <v>#VALUE!</v>
      </c>
    </row>
    <row r="5894" spans="55:59" x14ac:dyDescent="0.2">
      <c r="BC5894" s="21" t="e" vm="1">
        <v>#REF!</v>
      </c>
      <c r="BD5894" t="e" vm="1">
        <v>#REF!</v>
      </c>
      <c r="BF5894" t="e" vm="2">
        <f t="shared" si="410"/>
        <v>#VALUE!</v>
      </c>
      <c r="BG5894" t="e" vm="2">
        <f t="shared" si="411"/>
        <v>#VALUE!</v>
      </c>
    </row>
    <row r="5895" spans="55:59" x14ac:dyDescent="0.2">
      <c r="BC5895" s="21" t="e" vm="1">
        <v>#REF!</v>
      </c>
      <c r="BD5895" t="e" vm="1">
        <v>#REF!</v>
      </c>
      <c r="BF5895" t="e" vm="2">
        <f t="shared" si="410"/>
        <v>#VALUE!</v>
      </c>
      <c r="BG5895" t="e" vm="2">
        <f t="shared" si="411"/>
        <v>#VALUE!</v>
      </c>
    </row>
    <row r="5896" spans="55:59" x14ac:dyDescent="0.2">
      <c r="BC5896" s="21" t="e" vm="1">
        <v>#REF!</v>
      </c>
      <c r="BD5896" t="e" vm="1">
        <v>#REF!</v>
      </c>
      <c r="BF5896" t="e" vm="2">
        <f t="shared" si="410"/>
        <v>#VALUE!</v>
      </c>
      <c r="BG5896" t="e" vm="2">
        <f t="shared" si="411"/>
        <v>#VALUE!</v>
      </c>
    </row>
    <row r="5897" spans="55:59" x14ac:dyDescent="0.2">
      <c r="BC5897" s="21" t="e" vm="1">
        <v>#REF!</v>
      </c>
      <c r="BD5897" t="e" vm="1">
        <v>#REF!</v>
      </c>
      <c r="BF5897" t="e" vm="2">
        <f t="shared" si="410"/>
        <v>#VALUE!</v>
      </c>
      <c r="BG5897" t="e" vm="2">
        <f t="shared" si="411"/>
        <v>#VALUE!</v>
      </c>
    </row>
    <row r="5898" spans="55:59" x14ac:dyDescent="0.2">
      <c r="BC5898" s="21" t="e" vm="1">
        <v>#REF!</v>
      </c>
      <c r="BD5898" t="e" vm="1">
        <v>#REF!</v>
      </c>
      <c r="BF5898" t="e" vm="2">
        <f t="shared" si="410"/>
        <v>#VALUE!</v>
      </c>
      <c r="BG5898" t="e" vm="2">
        <f t="shared" si="411"/>
        <v>#VALUE!</v>
      </c>
    </row>
    <row r="5899" spans="55:59" x14ac:dyDescent="0.2">
      <c r="BC5899" s="21" t="e" vm="1">
        <v>#REF!</v>
      </c>
      <c r="BD5899" t="e" vm="1">
        <v>#REF!</v>
      </c>
      <c r="BF5899" t="e" vm="2">
        <f t="shared" si="410"/>
        <v>#VALUE!</v>
      </c>
      <c r="BG5899" t="e" vm="2">
        <f t="shared" si="411"/>
        <v>#VALUE!</v>
      </c>
    </row>
    <row r="5900" spans="55:59" x14ac:dyDescent="0.2">
      <c r="BC5900" s="21" t="e" vm="1">
        <v>#REF!</v>
      </c>
      <c r="BD5900" t="e" vm="1">
        <v>#REF!</v>
      </c>
      <c r="BF5900" t="e" vm="2">
        <f t="shared" si="410"/>
        <v>#VALUE!</v>
      </c>
      <c r="BG5900" t="e" vm="2">
        <f t="shared" si="411"/>
        <v>#VALUE!</v>
      </c>
    </row>
    <row r="5901" spans="55:59" x14ac:dyDescent="0.2">
      <c r="BC5901" s="21" t="e" vm="1">
        <v>#REF!</v>
      </c>
      <c r="BD5901" t="e" vm="1">
        <v>#REF!</v>
      </c>
      <c r="BF5901" t="e" vm="2">
        <f t="shared" si="410"/>
        <v>#VALUE!</v>
      </c>
      <c r="BG5901" t="e" vm="2">
        <f t="shared" si="411"/>
        <v>#VALUE!</v>
      </c>
    </row>
    <row r="5902" spans="55:59" x14ac:dyDescent="0.2">
      <c r="BC5902" s="21" t="e" vm="1">
        <v>#REF!</v>
      </c>
      <c r="BD5902" t="e" vm="1">
        <v>#REF!</v>
      </c>
      <c r="BF5902" t="e" vm="2">
        <f t="shared" si="410"/>
        <v>#VALUE!</v>
      </c>
      <c r="BG5902" t="e" vm="2">
        <f t="shared" si="411"/>
        <v>#VALUE!</v>
      </c>
    </row>
    <row r="5903" spans="55:59" x14ac:dyDescent="0.2">
      <c r="BC5903" s="21" t="e" vm="1">
        <v>#REF!</v>
      </c>
      <c r="BD5903" t="e" vm="1">
        <v>#REF!</v>
      </c>
      <c r="BF5903" t="e" vm="2">
        <f t="shared" si="410"/>
        <v>#VALUE!</v>
      </c>
      <c r="BG5903" t="e" vm="2">
        <f t="shared" si="411"/>
        <v>#VALUE!</v>
      </c>
    </row>
    <row r="5904" spans="55:59" x14ac:dyDescent="0.2">
      <c r="BC5904" s="21" t="e" vm="1">
        <v>#REF!</v>
      </c>
      <c r="BD5904" t="e" vm="1">
        <v>#REF!</v>
      </c>
      <c r="BF5904" t="e" vm="2">
        <f t="shared" si="410"/>
        <v>#VALUE!</v>
      </c>
      <c r="BG5904" t="e" vm="2">
        <f t="shared" si="411"/>
        <v>#VALUE!</v>
      </c>
    </row>
    <row r="5905" spans="55:59" x14ac:dyDescent="0.2">
      <c r="BC5905" s="21" t="e" vm="1">
        <v>#REF!</v>
      </c>
      <c r="BD5905" t="e" vm="1">
        <v>#REF!</v>
      </c>
      <c r="BF5905" t="e" vm="2">
        <f t="shared" si="410"/>
        <v>#VALUE!</v>
      </c>
      <c r="BG5905" t="e" vm="2">
        <f t="shared" si="411"/>
        <v>#VALUE!</v>
      </c>
    </row>
    <row r="5906" spans="55:59" x14ac:dyDescent="0.2">
      <c r="BC5906" s="21" t="e" vm="1">
        <v>#REF!</v>
      </c>
      <c r="BD5906" t="e" vm="1">
        <v>#REF!</v>
      </c>
      <c r="BF5906" t="e" vm="2">
        <f t="shared" si="410"/>
        <v>#VALUE!</v>
      </c>
      <c r="BG5906" t="e" vm="2">
        <f t="shared" si="411"/>
        <v>#VALUE!</v>
      </c>
    </row>
    <row r="5907" spans="55:59" x14ac:dyDescent="0.2">
      <c r="BC5907" s="21" t="e" vm="1">
        <v>#REF!</v>
      </c>
      <c r="BD5907" t="e" vm="1">
        <v>#REF!</v>
      </c>
      <c r="BF5907" t="e" vm="2">
        <f t="shared" si="410"/>
        <v>#VALUE!</v>
      </c>
      <c r="BG5907" t="e" vm="2">
        <f t="shared" si="411"/>
        <v>#VALUE!</v>
      </c>
    </row>
    <row r="5908" spans="55:59" x14ac:dyDescent="0.2">
      <c r="BC5908" s="21" t="e" vm="1">
        <v>#REF!</v>
      </c>
      <c r="BD5908" t="e" vm="1">
        <v>#REF!</v>
      </c>
      <c r="BF5908" t="e" vm="2">
        <f t="shared" si="410"/>
        <v>#VALUE!</v>
      </c>
      <c r="BG5908" t="e" vm="2">
        <f t="shared" si="411"/>
        <v>#VALUE!</v>
      </c>
    </row>
    <row r="5909" spans="55:59" x14ac:dyDescent="0.2">
      <c r="BC5909" s="21" t="e" vm="1">
        <v>#REF!</v>
      </c>
      <c r="BD5909" t="e" vm="1">
        <v>#REF!</v>
      </c>
      <c r="BF5909" t="e" vm="2">
        <f t="shared" si="410"/>
        <v>#VALUE!</v>
      </c>
      <c r="BG5909" t="e" vm="2">
        <f t="shared" si="411"/>
        <v>#VALUE!</v>
      </c>
    </row>
    <row r="5910" spans="55:59" x14ac:dyDescent="0.2">
      <c r="BC5910" s="21" t="e" vm="1">
        <v>#REF!</v>
      </c>
      <c r="BD5910" t="e" vm="1">
        <v>#REF!</v>
      </c>
      <c r="BF5910" t="e" vm="2">
        <f t="shared" si="410"/>
        <v>#VALUE!</v>
      </c>
      <c r="BG5910" t="e" vm="2">
        <f t="shared" si="411"/>
        <v>#VALUE!</v>
      </c>
    </row>
    <row r="5911" spans="55:59" x14ac:dyDescent="0.2">
      <c r="BC5911" s="21" t="e" vm="1">
        <v>#REF!</v>
      </c>
      <c r="BD5911" t="e" vm="1">
        <v>#REF!</v>
      </c>
      <c r="BF5911" t="e" vm="2">
        <f t="shared" si="410"/>
        <v>#VALUE!</v>
      </c>
      <c r="BG5911" t="e" vm="2">
        <f t="shared" si="411"/>
        <v>#VALUE!</v>
      </c>
    </row>
    <row r="5912" spans="55:59" x14ac:dyDescent="0.2">
      <c r="BC5912" s="21" t="e" vm="1">
        <v>#REF!</v>
      </c>
      <c r="BD5912" t="e" vm="1">
        <v>#REF!</v>
      </c>
      <c r="BF5912" t="e" vm="2">
        <f t="shared" si="410"/>
        <v>#VALUE!</v>
      </c>
      <c r="BG5912" t="e" vm="2">
        <f t="shared" si="411"/>
        <v>#VALUE!</v>
      </c>
    </row>
    <row r="5913" spans="55:59" x14ac:dyDescent="0.2">
      <c r="BC5913" s="21" t="e" vm="1">
        <v>#REF!</v>
      </c>
      <c r="BD5913" t="e" vm="1">
        <v>#REF!</v>
      </c>
      <c r="BF5913" t="e" vm="2">
        <f t="shared" si="410"/>
        <v>#VALUE!</v>
      </c>
      <c r="BG5913" t="e" vm="2">
        <f t="shared" si="411"/>
        <v>#VALUE!</v>
      </c>
    </row>
    <row r="5914" spans="55:59" x14ac:dyDescent="0.2">
      <c r="BC5914" s="21" t="e" vm="1">
        <v>#REF!</v>
      </c>
      <c r="BD5914" t="e" vm="1">
        <v>#REF!</v>
      </c>
      <c r="BF5914" t="e" vm="2">
        <f t="shared" si="410"/>
        <v>#VALUE!</v>
      </c>
      <c r="BG5914" t="e" vm="2">
        <f t="shared" si="411"/>
        <v>#VALUE!</v>
      </c>
    </row>
    <row r="5915" spans="55:59" x14ac:dyDescent="0.2">
      <c r="BC5915" s="21" t="e" vm="1">
        <v>#REF!</v>
      </c>
      <c r="BD5915" t="e" vm="1">
        <v>#REF!</v>
      </c>
      <c r="BF5915" t="e" vm="2">
        <f t="shared" si="410"/>
        <v>#VALUE!</v>
      </c>
      <c r="BG5915" t="e" vm="2">
        <f t="shared" si="411"/>
        <v>#VALUE!</v>
      </c>
    </row>
    <row r="5916" spans="55:59" x14ac:dyDescent="0.2">
      <c r="BC5916" s="21" t="e" vm="1">
        <v>#REF!</v>
      </c>
      <c r="BD5916" t="e" vm="1">
        <v>#REF!</v>
      </c>
      <c r="BF5916" t="e" vm="2">
        <f t="shared" si="410"/>
        <v>#VALUE!</v>
      </c>
      <c r="BG5916" t="e" vm="2">
        <f t="shared" si="411"/>
        <v>#VALUE!</v>
      </c>
    </row>
    <row r="5917" spans="55:59" x14ac:dyDescent="0.2">
      <c r="BC5917" s="21" t="e" vm="1">
        <v>#REF!</v>
      </c>
      <c r="BD5917" t="e" vm="1">
        <v>#REF!</v>
      </c>
      <c r="BF5917" t="e" vm="2">
        <f t="shared" si="410"/>
        <v>#VALUE!</v>
      </c>
      <c r="BG5917" t="e" vm="2">
        <f t="shared" si="411"/>
        <v>#VALUE!</v>
      </c>
    </row>
    <row r="5918" spans="55:59" x14ac:dyDescent="0.2">
      <c r="BC5918" s="21" t="e" vm="1">
        <v>#REF!</v>
      </c>
      <c r="BD5918" t="e" vm="1">
        <v>#REF!</v>
      </c>
      <c r="BF5918" t="e" vm="2">
        <f t="shared" si="410"/>
        <v>#VALUE!</v>
      </c>
      <c r="BG5918" t="e" vm="2">
        <f t="shared" si="411"/>
        <v>#VALUE!</v>
      </c>
    </row>
    <row r="5919" spans="55:59" x14ac:dyDescent="0.2">
      <c r="BC5919" s="21" t="e" vm="1">
        <v>#REF!</v>
      </c>
      <c r="BD5919" t="e" vm="1">
        <v>#REF!</v>
      </c>
      <c r="BF5919" t="e" vm="2">
        <f t="shared" si="410"/>
        <v>#VALUE!</v>
      </c>
      <c r="BG5919" t="e" vm="2">
        <f t="shared" si="411"/>
        <v>#VALUE!</v>
      </c>
    </row>
    <row r="5920" spans="55:59" x14ac:dyDescent="0.2">
      <c r="BC5920" s="21" t="e" vm="1">
        <v>#REF!</v>
      </c>
      <c r="BD5920" t="e" vm="1">
        <v>#REF!</v>
      </c>
      <c r="BF5920" t="e" vm="2">
        <f t="shared" si="410"/>
        <v>#VALUE!</v>
      </c>
      <c r="BG5920" t="e" vm="2">
        <f t="shared" si="411"/>
        <v>#VALUE!</v>
      </c>
    </row>
    <row r="5921" spans="55:59" x14ac:dyDescent="0.2">
      <c r="BC5921" s="21" t="e" vm="1">
        <v>#REF!</v>
      </c>
      <c r="BD5921" t="e" vm="1">
        <v>#REF!</v>
      </c>
      <c r="BF5921" t="e" vm="2">
        <f t="shared" si="410"/>
        <v>#VALUE!</v>
      </c>
      <c r="BG5921" t="e" vm="2">
        <f t="shared" si="411"/>
        <v>#VALUE!</v>
      </c>
    </row>
    <row r="5922" spans="55:59" x14ac:dyDescent="0.2">
      <c r="BC5922" s="21" t="e" vm="1">
        <v>#REF!</v>
      </c>
      <c r="BD5922" t="e" vm="1">
        <v>#REF!</v>
      </c>
      <c r="BF5922" t="e" vm="2">
        <f t="shared" si="410"/>
        <v>#VALUE!</v>
      </c>
      <c r="BG5922" t="e" vm="2">
        <f t="shared" si="411"/>
        <v>#VALUE!</v>
      </c>
    </row>
    <row r="5923" spans="55:59" x14ac:dyDescent="0.2">
      <c r="BC5923" s="21" t="e" vm="1">
        <v>#REF!</v>
      </c>
      <c r="BD5923" t="e" vm="1">
        <v>#REF!</v>
      </c>
      <c r="BF5923" t="e" vm="2">
        <f t="shared" si="410"/>
        <v>#VALUE!</v>
      </c>
      <c r="BG5923" t="e" vm="2">
        <f t="shared" si="411"/>
        <v>#VALUE!</v>
      </c>
    </row>
    <row r="5924" spans="55:59" x14ac:dyDescent="0.2">
      <c r="BC5924" s="21" t="e" vm="1">
        <v>#REF!</v>
      </c>
      <c r="BD5924" t="e" vm="1">
        <v>#REF!</v>
      </c>
      <c r="BF5924" t="e" vm="2">
        <f t="shared" si="410"/>
        <v>#VALUE!</v>
      </c>
      <c r="BG5924" t="e" vm="2">
        <f t="shared" si="411"/>
        <v>#VALUE!</v>
      </c>
    </row>
    <row r="5925" spans="55:59" x14ac:dyDescent="0.2">
      <c r="BC5925" s="21" t="e" vm="1">
        <v>#REF!</v>
      </c>
      <c r="BD5925" t="e" vm="1">
        <v>#REF!</v>
      </c>
      <c r="BF5925" t="e" vm="2">
        <f t="shared" si="410"/>
        <v>#VALUE!</v>
      </c>
      <c r="BG5925" t="e" vm="2">
        <f t="shared" si="411"/>
        <v>#VALUE!</v>
      </c>
    </row>
    <row r="5926" spans="55:59" x14ac:dyDescent="0.2">
      <c r="BC5926" s="21" t="e" vm="1">
        <v>#REF!</v>
      </c>
      <c r="BD5926" t="e" vm="1">
        <v>#REF!</v>
      </c>
      <c r="BF5926" t="e" vm="2">
        <f t="shared" si="410"/>
        <v>#VALUE!</v>
      </c>
      <c r="BG5926" t="e" vm="2">
        <f t="shared" si="411"/>
        <v>#VALUE!</v>
      </c>
    </row>
    <row r="5927" spans="55:59" x14ac:dyDescent="0.2">
      <c r="BC5927" s="21" t="e" vm="1">
        <v>#REF!</v>
      </c>
      <c r="BD5927" t="e" vm="1">
        <v>#REF!</v>
      </c>
      <c r="BF5927" t="e" vm="2">
        <f t="shared" si="410"/>
        <v>#VALUE!</v>
      </c>
      <c r="BG5927" t="e" vm="2">
        <f t="shared" si="411"/>
        <v>#VALUE!</v>
      </c>
    </row>
    <row r="5928" spans="55:59" x14ac:dyDescent="0.2">
      <c r="BC5928" s="21" t="e" vm="1">
        <v>#REF!</v>
      </c>
      <c r="BD5928" t="e" vm="1">
        <v>#REF!</v>
      </c>
      <c r="BF5928" t="e" vm="2">
        <f t="shared" si="410"/>
        <v>#VALUE!</v>
      </c>
      <c r="BG5928" t="e" vm="2">
        <f t="shared" si="411"/>
        <v>#VALUE!</v>
      </c>
    </row>
    <row r="5929" spans="55:59" x14ac:dyDescent="0.2">
      <c r="BC5929" s="21" t="e" vm="1">
        <v>#REF!</v>
      </c>
      <c r="BD5929" t="e" vm="1">
        <v>#REF!</v>
      </c>
      <c r="BF5929" t="e" vm="2">
        <f t="shared" si="410"/>
        <v>#VALUE!</v>
      </c>
      <c r="BG5929" t="e" vm="2">
        <f t="shared" si="411"/>
        <v>#VALUE!</v>
      </c>
    </row>
    <row r="5930" spans="55:59" x14ac:dyDescent="0.2">
      <c r="BC5930" s="21" t="e" vm="1">
        <v>#REF!</v>
      </c>
      <c r="BD5930" t="e" vm="1">
        <v>#REF!</v>
      </c>
      <c r="BF5930" t="e" vm="2">
        <f t="shared" si="410"/>
        <v>#VALUE!</v>
      </c>
      <c r="BG5930" t="e" vm="2">
        <f t="shared" si="411"/>
        <v>#VALUE!</v>
      </c>
    </row>
    <row r="5931" spans="55:59" x14ac:dyDescent="0.2">
      <c r="BC5931" s="21" t="e" vm="1">
        <v>#REF!</v>
      </c>
      <c r="BD5931" t="e" vm="1">
        <v>#REF!</v>
      </c>
      <c r="BF5931" t="e" vm="2">
        <f t="shared" si="410"/>
        <v>#VALUE!</v>
      </c>
      <c r="BG5931" t="e" vm="2">
        <f t="shared" si="411"/>
        <v>#VALUE!</v>
      </c>
    </row>
    <row r="5932" spans="55:59" x14ac:dyDescent="0.2">
      <c r="BC5932" s="21" t="e" vm="1">
        <v>#REF!</v>
      </c>
      <c r="BD5932" t="e" vm="1">
        <v>#REF!</v>
      </c>
      <c r="BF5932" t="e" vm="2">
        <f t="shared" si="410"/>
        <v>#VALUE!</v>
      </c>
      <c r="BG5932" t="e" vm="2">
        <f t="shared" si="411"/>
        <v>#VALUE!</v>
      </c>
    </row>
    <row r="5933" spans="55:59" x14ac:dyDescent="0.2">
      <c r="BC5933" s="21" t="e" vm="1">
        <v>#REF!</v>
      </c>
      <c r="BD5933" t="e" vm="1">
        <v>#REF!</v>
      </c>
      <c r="BF5933" t="e" vm="2">
        <f t="shared" si="410"/>
        <v>#VALUE!</v>
      </c>
      <c r="BG5933" t="e" vm="2">
        <f t="shared" si="411"/>
        <v>#VALUE!</v>
      </c>
    </row>
    <row r="5934" spans="55:59" x14ac:dyDescent="0.2">
      <c r="BC5934" s="21" t="e" vm="1">
        <v>#REF!</v>
      </c>
      <c r="BD5934" t="e" vm="1">
        <v>#REF!</v>
      </c>
      <c r="BF5934" t="e" vm="2">
        <f t="shared" si="410"/>
        <v>#VALUE!</v>
      </c>
      <c r="BG5934" t="e" vm="2">
        <f t="shared" si="411"/>
        <v>#VALUE!</v>
      </c>
    </row>
    <row r="5935" spans="55:59" x14ac:dyDescent="0.2">
      <c r="BC5935" s="21" t="e" vm="1">
        <v>#REF!</v>
      </c>
      <c r="BD5935" t="e" vm="1">
        <v>#REF!</v>
      </c>
      <c r="BF5935" t="e" vm="2">
        <f t="shared" si="410"/>
        <v>#VALUE!</v>
      </c>
      <c r="BG5935" t="e" vm="2">
        <f t="shared" si="411"/>
        <v>#VALUE!</v>
      </c>
    </row>
    <row r="5936" spans="55:59" x14ac:dyDescent="0.2">
      <c r="BC5936" s="21" t="e" vm="1">
        <v>#REF!</v>
      </c>
      <c r="BD5936" t="e" vm="1">
        <v>#REF!</v>
      </c>
      <c r="BF5936" t="e" vm="2">
        <f t="shared" si="410"/>
        <v>#VALUE!</v>
      </c>
      <c r="BG5936" t="e" vm="2">
        <f t="shared" si="411"/>
        <v>#VALUE!</v>
      </c>
    </row>
    <row r="5937" spans="55:59" x14ac:dyDescent="0.2">
      <c r="BC5937" s="21" t="e" vm="1">
        <v>#REF!</v>
      </c>
      <c r="BD5937" t="e" vm="1">
        <v>#REF!</v>
      </c>
      <c r="BF5937" t="e" vm="2">
        <f t="shared" si="410"/>
        <v>#VALUE!</v>
      </c>
      <c r="BG5937" t="e" vm="2">
        <f t="shared" si="411"/>
        <v>#VALUE!</v>
      </c>
    </row>
    <row r="5938" spans="55:59" x14ac:dyDescent="0.2">
      <c r="BC5938" s="21" t="e" vm="1">
        <v>#REF!</v>
      </c>
      <c r="BD5938" t="e" vm="1">
        <v>#REF!</v>
      </c>
      <c r="BF5938" t="e" vm="2">
        <f t="shared" si="410"/>
        <v>#VALUE!</v>
      </c>
      <c r="BG5938" t="e" vm="2">
        <f t="shared" si="411"/>
        <v>#VALUE!</v>
      </c>
    </row>
    <row r="5939" spans="55:59" x14ac:dyDescent="0.2">
      <c r="BC5939" s="21" t="e" vm="1">
        <v>#REF!</v>
      </c>
      <c r="BD5939" t="e" vm="1">
        <v>#REF!</v>
      </c>
      <c r="BF5939" t="e" vm="2">
        <f t="shared" si="410"/>
        <v>#VALUE!</v>
      </c>
      <c r="BG5939" t="e" vm="2">
        <f t="shared" si="411"/>
        <v>#VALUE!</v>
      </c>
    </row>
    <row r="5940" spans="55:59" x14ac:dyDescent="0.2">
      <c r="BC5940" s="21" t="e" vm="1">
        <v>#REF!</v>
      </c>
      <c r="BD5940" t="e" vm="1">
        <v>#REF!</v>
      </c>
      <c r="BF5940" t="e" vm="2">
        <f t="shared" si="410"/>
        <v>#VALUE!</v>
      </c>
      <c r="BG5940" t="e" vm="2">
        <f t="shared" si="411"/>
        <v>#VALUE!</v>
      </c>
    </row>
    <row r="5941" spans="55:59" x14ac:dyDescent="0.2">
      <c r="BC5941" s="21" t="e" vm="1">
        <v>#REF!</v>
      </c>
      <c r="BD5941" t="e" vm="1">
        <v>#REF!</v>
      </c>
      <c r="BF5941" t="e" vm="2">
        <f t="shared" si="410"/>
        <v>#VALUE!</v>
      </c>
      <c r="BG5941" t="e" vm="2">
        <f t="shared" si="411"/>
        <v>#VALUE!</v>
      </c>
    </row>
    <row r="5942" spans="55:59" x14ac:dyDescent="0.2">
      <c r="BC5942" s="21" t="e" vm="1">
        <v>#REF!</v>
      </c>
      <c r="BD5942" t="e" vm="1">
        <v>#REF!</v>
      </c>
      <c r="BF5942" t="e" vm="2">
        <f t="shared" si="410"/>
        <v>#VALUE!</v>
      </c>
      <c r="BG5942" t="e" vm="2">
        <f t="shared" si="411"/>
        <v>#VALUE!</v>
      </c>
    </row>
    <row r="5943" spans="55:59" x14ac:dyDescent="0.2">
      <c r="BC5943" s="21" t="e" vm="1">
        <v>#REF!</v>
      </c>
      <c r="BD5943" t="e" vm="1">
        <v>#REF!</v>
      </c>
      <c r="BF5943" t="e" vm="2">
        <f t="shared" si="410"/>
        <v>#VALUE!</v>
      </c>
      <c r="BG5943" t="e" vm="2">
        <f t="shared" si="411"/>
        <v>#VALUE!</v>
      </c>
    </row>
    <row r="5944" spans="55:59" x14ac:dyDescent="0.2">
      <c r="BC5944" s="21" t="e" vm="1">
        <v>#REF!</v>
      </c>
      <c r="BD5944" t="e" vm="1">
        <v>#REF!</v>
      </c>
      <c r="BF5944" t="e" vm="2">
        <f t="shared" si="410"/>
        <v>#VALUE!</v>
      </c>
      <c r="BG5944" t="e" vm="2">
        <f t="shared" si="411"/>
        <v>#VALUE!</v>
      </c>
    </row>
    <row r="5945" spans="55:59" x14ac:dyDescent="0.2">
      <c r="BC5945" s="21" t="e" vm="1">
        <v>#REF!</v>
      </c>
      <c r="BD5945" t="e" vm="1">
        <v>#REF!</v>
      </c>
      <c r="BF5945" t="e" vm="2">
        <f t="shared" si="410"/>
        <v>#VALUE!</v>
      </c>
      <c r="BG5945" t="e" vm="2">
        <f t="shared" si="411"/>
        <v>#VALUE!</v>
      </c>
    </row>
    <row r="5946" spans="55:59" x14ac:dyDescent="0.2">
      <c r="BC5946" s="21" t="e" vm="1">
        <v>#REF!</v>
      </c>
      <c r="BD5946" t="e" vm="1">
        <v>#REF!</v>
      </c>
      <c r="BF5946" t="e" vm="2">
        <f t="shared" si="410"/>
        <v>#VALUE!</v>
      </c>
      <c r="BG5946" t="e" vm="2">
        <f t="shared" si="411"/>
        <v>#VALUE!</v>
      </c>
    </row>
    <row r="5947" spans="55:59" x14ac:dyDescent="0.2">
      <c r="BC5947" s="21" t="e" vm="1">
        <v>#REF!</v>
      </c>
      <c r="BD5947" t="e" vm="1">
        <v>#REF!</v>
      </c>
      <c r="BF5947" t="e" vm="2">
        <f t="shared" si="410"/>
        <v>#VALUE!</v>
      </c>
      <c r="BG5947" t="e" vm="2">
        <f t="shared" si="411"/>
        <v>#VALUE!</v>
      </c>
    </row>
    <row r="5948" spans="55:59" x14ac:dyDescent="0.2">
      <c r="BC5948" s="21" t="e" vm="1">
        <v>#REF!</v>
      </c>
      <c r="BD5948" t="e" vm="1">
        <v>#REF!</v>
      </c>
      <c r="BF5948" t="e" vm="2">
        <f t="shared" si="410"/>
        <v>#VALUE!</v>
      </c>
      <c r="BG5948" t="e" vm="2">
        <f t="shared" si="411"/>
        <v>#VALUE!</v>
      </c>
    </row>
    <row r="5949" spans="55:59" x14ac:dyDescent="0.2">
      <c r="BC5949" s="21" t="e" vm="1">
        <v>#REF!</v>
      </c>
      <c r="BD5949" t="e" vm="1">
        <v>#REF!</v>
      </c>
      <c r="BF5949" t="e" vm="2">
        <f t="shared" si="410"/>
        <v>#VALUE!</v>
      </c>
      <c r="BG5949" t="e" vm="2">
        <f t="shared" si="411"/>
        <v>#VALUE!</v>
      </c>
    </row>
    <row r="5950" spans="55:59" x14ac:dyDescent="0.2">
      <c r="BC5950" s="21" t="e" vm="1">
        <v>#REF!</v>
      </c>
      <c r="BD5950" t="e" vm="1">
        <v>#REF!</v>
      </c>
      <c r="BF5950" t="e" vm="2">
        <f t="shared" si="410"/>
        <v>#VALUE!</v>
      </c>
      <c r="BG5950" t="e" vm="2">
        <f t="shared" si="411"/>
        <v>#VALUE!</v>
      </c>
    </row>
    <row r="5951" spans="55:59" x14ac:dyDescent="0.2">
      <c r="BC5951" s="21" t="e" vm="1">
        <v>#REF!</v>
      </c>
      <c r="BD5951" t="e" vm="1">
        <v>#REF!</v>
      </c>
      <c r="BF5951" t="e" vm="2">
        <f t="shared" si="410"/>
        <v>#VALUE!</v>
      </c>
      <c r="BG5951" t="e" vm="2">
        <f t="shared" si="411"/>
        <v>#VALUE!</v>
      </c>
    </row>
    <row r="5952" spans="55:59" x14ac:dyDescent="0.2">
      <c r="BC5952" s="21" t="e" vm="1">
        <v>#REF!</v>
      </c>
      <c r="BD5952" t="e" vm="1">
        <v>#REF!</v>
      </c>
      <c r="BF5952" t="e" vm="2">
        <f t="shared" si="410"/>
        <v>#VALUE!</v>
      </c>
      <c r="BG5952" t="e" vm="2">
        <f t="shared" si="411"/>
        <v>#VALUE!</v>
      </c>
    </row>
    <row r="5953" spans="55:59" x14ac:dyDescent="0.2">
      <c r="BC5953" s="21" t="e" vm="1">
        <v>#REF!</v>
      </c>
      <c r="BD5953" t="e" vm="1">
        <v>#REF!</v>
      </c>
      <c r="BF5953" t="e" vm="2">
        <f t="shared" si="410"/>
        <v>#VALUE!</v>
      </c>
      <c r="BG5953" t="e" vm="2">
        <f t="shared" si="411"/>
        <v>#VALUE!</v>
      </c>
    </row>
    <row r="5954" spans="55:59" x14ac:dyDescent="0.2">
      <c r="BC5954" s="21" t="e" vm="1">
        <v>#REF!</v>
      </c>
      <c r="BD5954" t="e" vm="1">
        <v>#REF!</v>
      </c>
      <c r="BF5954" t="e" vm="2">
        <f t="shared" si="410"/>
        <v>#VALUE!</v>
      </c>
      <c r="BG5954" t="e" vm="2">
        <f t="shared" si="411"/>
        <v>#VALUE!</v>
      </c>
    </row>
    <row r="5955" spans="55:59" x14ac:dyDescent="0.2">
      <c r="BC5955" s="21" t="e" vm="1">
        <v>#REF!</v>
      </c>
      <c r="BD5955" t="e" vm="1">
        <v>#REF!</v>
      </c>
      <c r="BF5955" t="e" vm="2">
        <f t="shared" ref="BF5955:BF6018" si="412">MONTH(BC5955)</f>
        <v>#VALUE!</v>
      </c>
      <c r="BG5955" t="e" vm="2">
        <f t="shared" ref="BG5955:BG6018" si="413">YEAR(BC5955)</f>
        <v>#VALUE!</v>
      </c>
    </row>
    <row r="5956" spans="55:59" x14ac:dyDescent="0.2">
      <c r="BC5956" s="21" t="e" vm="1">
        <v>#REF!</v>
      </c>
      <c r="BD5956" t="e" vm="1">
        <v>#REF!</v>
      </c>
      <c r="BF5956" t="e" vm="2">
        <f t="shared" si="412"/>
        <v>#VALUE!</v>
      </c>
      <c r="BG5956" t="e" vm="2">
        <f t="shared" si="413"/>
        <v>#VALUE!</v>
      </c>
    </row>
    <row r="5957" spans="55:59" x14ac:dyDescent="0.2">
      <c r="BC5957" s="21" t="e" vm="1">
        <v>#REF!</v>
      </c>
      <c r="BD5957" t="e" vm="1">
        <v>#REF!</v>
      </c>
      <c r="BF5957" t="e" vm="2">
        <f t="shared" si="412"/>
        <v>#VALUE!</v>
      </c>
      <c r="BG5957" t="e" vm="2">
        <f t="shared" si="413"/>
        <v>#VALUE!</v>
      </c>
    </row>
    <row r="5958" spans="55:59" x14ac:dyDescent="0.2">
      <c r="BC5958" s="21" t="e" vm="1">
        <v>#REF!</v>
      </c>
      <c r="BD5958" t="e" vm="1">
        <v>#REF!</v>
      </c>
      <c r="BF5958" t="e" vm="2">
        <f t="shared" si="412"/>
        <v>#VALUE!</v>
      </c>
      <c r="BG5958" t="e" vm="2">
        <f t="shared" si="413"/>
        <v>#VALUE!</v>
      </c>
    </row>
    <row r="5959" spans="55:59" x14ac:dyDescent="0.2">
      <c r="BC5959" s="21" t="e" vm="1">
        <v>#REF!</v>
      </c>
      <c r="BD5959" t="e" vm="1">
        <v>#REF!</v>
      </c>
      <c r="BF5959" t="e" vm="2">
        <f t="shared" si="412"/>
        <v>#VALUE!</v>
      </c>
      <c r="BG5959" t="e" vm="2">
        <f t="shared" si="413"/>
        <v>#VALUE!</v>
      </c>
    </row>
    <row r="5960" spans="55:59" x14ac:dyDescent="0.2">
      <c r="BC5960" s="21" t="e" vm="1">
        <v>#REF!</v>
      </c>
      <c r="BD5960" t="e" vm="1">
        <v>#REF!</v>
      </c>
      <c r="BF5960" t="e" vm="2">
        <f t="shared" si="412"/>
        <v>#VALUE!</v>
      </c>
      <c r="BG5960" t="e" vm="2">
        <f t="shared" si="413"/>
        <v>#VALUE!</v>
      </c>
    </row>
    <row r="5961" spans="55:59" x14ac:dyDescent="0.2">
      <c r="BC5961" s="21" t="e" vm="1">
        <v>#REF!</v>
      </c>
      <c r="BD5961" t="e" vm="1">
        <v>#REF!</v>
      </c>
      <c r="BF5961" t="e" vm="2">
        <f t="shared" si="412"/>
        <v>#VALUE!</v>
      </c>
      <c r="BG5961" t="e" vm="2">
        <f t="shared" si="413"/>
        <v>#VALUE!</v>
      </c>
    </row>
    <row r="5962" spans="55:59" x14ac:dyDescent="0.2">
      <c r="BC5962" s="21" t="e" vm="1">
        <v>#REF!</v>
      </c>
      <c r="BD5962" t="e" vm="1">
        <v>#REF!</v>
      </c>
      <c r="BF5962" t="e" vm="2">
        <f t="shared" si="412"/>
        <v>#VALUE!</v>
      </c>
      <c r="BG5962" t="e" vm="2">
        <f t="shared" si="413"/>
        <v>#VALUE!</v>
      </c>
    </row>
    <row r="5963" spans="55:59" x14ac:dyDescent="0.2">
      <c r="BC5963" s="21" t="e" vm="1">
        <v>#REF!</v>
      </c>
      <c r="BD5963" t="e" vm="1">
        <v>#REF!</v>
      </c>
      <c r="BF5963" t="e" vm="2">
        <f t="shared" si="412"/>
        <v>#VALUE!</v>
      </c>
      <c r="BG5963" t="e" vm="2">
        <f t="shared" si="413"/>
        <v>#VALUE!</v>
      </c>
    </row>
    <row r="5964" spans="55:59" x14ac:dyDescent="0.2">
      <c r="BC5964" s="21" t="e" vm="1">
        <v>#REF!</v>
      </c>
      <c r="BD5964" t="e" vm="1">
        <v>#REF!</v>
      </c>
      <c r="BF5964" t="e" vm="2">
        <f t="shared" si="412"/>
        <v>#VALUE!</v>
      </c>
      <c r="BG5964" t="e" vm="2">
        <f t="shared" si="413"/>
        <v>#VALUE!</v>
      </c>
    </row>
    <row r="5965" spans="55:59" x14ac:dyDescent="0.2">
      <c r="BC5965" s="21" t="e" vm="1">
        <v>#REF!</v>
      </c>
      <c r="BD5965" t="e" vm="1">
        <v>#REF!</v>
      </c>
      <c r="BF5965" t="e" vm="2">
        <f t="shared" si="412"/>
        <v>#VALUE!</v>
      </c>
      <c r="BG5965" t="e" vm="2">
        <f t="shared" si="413"/>
        <v>#VALUE!</v>
      </c>
    </row>
    <row r="5966" spans="55:59" x14ac:dyDescent="0.2">
      <c r="BC5966" s="21" t="e" vm="1">
        <v>#REF!</v>
      </c>
      <c r="BD5966" t="e" vm="1">
        <v>#REF!</v>
      </c>
      <c r="BF5966" t="e" vm="2">
        <f t="shared" si="412"/>
        <v>#VALUE!</v>
      </c>
      <c r="BG5966" t="e" vm="2">
        <f t="shared" si="413"/>
        <v>#VALUE!</v>
      </c>
    </row>
    <row r="5967" spans="55:59" x14ac:dyDescent="0.2">
      <c r="BC5967" s="21" t="e" vm="1">
        <v>#REF!</v>
      </c>
      <c r="BD5967" t="e" vm="1">
        <v>#REF!</v>
      </c>
      <c r="BF5967" t="e" vm="2">
        <f t="shared" si="412"/>
        <v>#VALUE!</v>
      </c>
      <c r="BG5967" t="e" vm="2">
        <f t="shared" si="413"/>
        <v>#VALUE!</v>
      </c>
    </row>
    <row r="5968" spans="55:59" x14ac:dyDescent="0.2">
      <c r="BC5968" s="21" t="e" vm="1">
        <v>#REF!</v>
      </c>
      <c r="BD5968" t="e" vm="1">
        <v>#REF!</v>
      </c>
      <c r="BF5968" t="e" vm="2">
        <f t="shared" si="412"/>
        <v>#VALUE!</v>
      </c>
      <c r="BG5968" t="e" vm="2">
        <f t="shared" si="413"/>
        <v>#VALUE!</v>
      </c>
    </row>
    <row r="5969" spans="55:59" x14ac:dyDescent="0.2">
      <c r="BC5969" s="21" t="e" vm="1">
        <v>#REF!</v>
      </c>
      <c r="BD5969" t="e" vm="1">
        <v>#REF!</v>
      </c>
      <c r="BF5969" t="e" vm="2">
        <f t="shared" si="412"/>
        <v>#VALUE!</v>
      </c>
      <c r="BG5969" t="e" vm="2">
        <f t="shared" si="413"/>
        <v>#VALUE!</v>
      </c>
    </row>
    <row r="5970" spans="55:59" x14ac:dyDescent="0.2">
      <c r="BC5970" s="21" t="e" vm="1">
        <v>#REF!</v>
      </c>
      <c r="BD5970" t="e" vm="1">
        <v>#REF!</v>
      </c>
      <c r="BF5970" t="e" vm="2">
        <f t="shared" si="412"/>
        <v>#VALUE!</v>
      </c>
      <c r="BG5970" t="e" vm="2">
        <f t="shared" si="413"/>
        <v>#VALUE!</v>
      </c>
    </row>
    <row r="5971" spans="55:59" x14ac:dyDescent="0.2">
      <c r="BC5971" s="21" t="e" vm="1">
        <v>#REF!</v>
      </c>
      <c r="BD5971" t="e" vm="1">
        <v>#REF!</v>
      </c>
      <c r="BF5971" t="e" vm="2">
        <f t="shared" si="412"/>
        <v>#VALUE!</v>
      </c>
      <c r="BG5971" t="e" vm="2">
        <f t="shared" si="413"/>
        <v>#VALUE!</v>
      </c>
    </row>
    <row r="5972" spans="55:59" x14ac:dyDescent="0.2">
      <c r="BC5972" s="21" t="e" vm="1">
        <v>#REF!</v>
      </c>
      <c r="BD5972" t="e" vm="1">
        <v>#REF!</v>
      </c>
      <c r="BF5972" t="e" vm="2">
        <f t="shared" si="412"/>
        <v>#VALUE!</v>
      </c>
      <c r="BG5972" t="e" vm="2">
        <f t="shared" si="413"/>
        <v>#VALUE!</v>
      </c>
    </row>
    <row r="5973" spans="55:59" x14ac:dyDescent="0.2">
      <c r="BC5973" s="21" t="e" vm="1">
        <v>#REF!</v>
      </c>
      <c r="BD5973" t="e" vm="1">
        <v>#REF!</v>
      </c>
      <c r="BF5973" t="e" vm="2">
        <f t="shared" si="412"/>
        <v>#VALUE!</v>
      </c>
      <c r="BG5973" t="e" vm="2">
        <f t="shared" si="413"/>
        <v>#VALUE!</v>
      </c>
    </row>
    <row r="5974" spans="55:59" x14ac:dyDescent="0.2">
      <c r="BC5974" s="21" t="e" vm="1">
        <v>#REF!</v>
      </c>
      <c r="BD5974" t="e" vm="1">
        <v>#REF!</v>
      </c>
      <c r="BF5974" t="e" vm="2">
        <f t="shared" si="412"/>
        <v>#VALUE!</v>
      </c>
      <c r="BG5974" t="e" vm="2">
        <f t="shared" si="413"/>
        <v>#VALUE!</v>
      </c>
    </row>
    <row r="5975" spans="55:59" x14ac:dyDescent="0.2">
      <c r="BC5975" s="21" t="e" vm="1">
        <v>#REF!</v>
      </c>
      <c r="BD5975" t="e" vm="1">
        <v>#REF!</v>
      </c>
      <c r="BF5975" t="e" vm="2">
        <f t="shared" si="412"/>
        <v>#VALUE!</v>
      </c>
      <c r="BG5975" t="e" vm="2">
        <f t="shared" si="413"/>
        <v>#VALUE!</v>
      </c>
    </row>
    <row r="5976" spans="55:59" x14ac:dyDescent="0.2">
      <c r="BC5976" s="21" t="e" vm="1">
        <v>#REF!</v>
      </c>
      <c r="BD5976" t="e" vm="1">
        <v>#REF!</v>
      </c>
      <c r="BF5976" t="e" vm="2">
        <f t="shared" si="412"/>
        <v>#VALUE!</v>
      </c>
      <c r="BG5976" t="e" vm="2">
        <f t="shared" si="413"/>
        <v>#VALUE!</v>
      </c>
    </row>
    <row r="5977" spans="55:59" x14ac:dyDescent="0.2">
      <c r="BC5977" s="21" t="e" vm="1">
        <v>#REF!</v>
      </c>
      <c r="BD5977" t="e" vm="1">
        <v>#REF!</v>
      </c>
      <c r="BF5977" t="e" vm="2">
        <f t="shared" si="412"/>
        <v>#VALUE!</v>
      </c>
      <c r="BG5977" t="e" vm="2">
        <f t="shared" si="413"/>
        <v>#VALUE!</v>
      </c>
    </row>
    <row r="5978" spans="55:59" x14ac:dyDescent="0.2">
      <c r="BC5978" s="21" t="e" vm="1">
        <v>#REF!</v>
      </c>
      <c r="BD5978" t="e" vm="1">
        <v>#REF!</v>
      </c>
      <c r="BF5978" t="e" vm="2">
        <f t="shared" si="412"/>
        <v>#VALUE!</v>
      </c>
      <c r="BG5978" t="e" vm="2">
        <f t="shared" si="413"/>
        <v>#VALUE!</v>
      </c>
    </row>
    <row r="5979" spans="55:59" x14ac:dyDescent="0.2">
      <c r="BC5979" s="21" t="e" vm="1">
        <v>#REF!</v>
      </c>
      <c r="BD5979" t="e" vm="1">
        <v>#REF!</v>
      </c>
      <c r="BF5979" t="e" vm="2">
        <f t="shared" si="412"/>
        <v>#VALUE!</v>
      </c>
      <c r="BG5979" t="e" vm="2">
        <f t="shared" si="413"/>
        <v>#VALUE!</v>
      </c>
    </row>
    <row r="5980" spans="55:59" x14ac:dyDescent="0.2">
      <c r="BC5980" s="21" t="e" vm="1">
        <v>#REF!</v>
      </c>
      <c r="BD5980" t="e" vm="1">
        <v>#REF!</v>
      </c>
      <c r="BF5980" t="e" vm="2">
        <f t="shared" si="412"/>
        <v>#VALUE!</v>
      </c>
      <c r="BG5980" t="e" vm="2">
        <f t="shared" si="413"/>
        <v>#VALUE!</v>
      </c>
    </row>
    <row r="5981" spans="55:59" x14ac:dyDescent="0.2">
      <c r="BC5981" s="21" t="e" vm="1">
        <v>#REF!</v>
      </c>
      <c r="BD5981" t="e" vm="1">
        <v>#REF!</v>
      </c>
      <c r="BF5981" t="e" vm="2">
        <f t="shared" si="412"/>
        <v>#VALUE!</v>
      </c>
      <c r="BG5981" t="e" vm="2">
        <f t="shared" si="413"/>
        <v>#VALUE!</v>
      </c>
    </row>
    <row r="5982" spans="55:59" x14ac:dyDescent="0.2">
      <c r="BC5982" s="21" t="e" vm="1">
        <v>#REF!</v>
      </c>
      <c r="BD5982" t="e" vm="1">
        <v>#REF!</v>
      </c>
      <c r="BF5982" t="e" vm="2">
        <f t="shared" si="412"/>
        <v>#VALUE!</v>
      </c>
      <c r="BG5982" t="e" vm="2">
        <f t="shared" si="413"/>
        <v>#VALUE!</v>
      </c>
    </row>
    <row r="5983" spans="55:59" x14ac:dyDescent="0.2">
      <c r="BC5983" s="21" t="e" vm="1">
        <v>#REF!</v>
      </c>
      <c r="BD5983" t="e" vm="1">
        <v>#REF!</v>
      </c>
      <c r="BF5983" t="e" vm="2">
        <f t="shared" si="412"/>
        <v>#VALUE!</v>
      </c>
      <c r="BG5983" t="e" vm="2">
        <f t="shared" si="413"/>
        <v>#VALUE!</v>
      </c>
    </row>
    <row r="5984" spans="55:59" x14ac:dyDescent="0.2">
      <c r="BC5984" s="21" t="e" vm="1">
        <v>#REF!</v>
      </c>
      <c r="BD5984" t="e" vm="1">
        <v>#REF!</v>
      </c>
      <c r="BF5984" t="e" vm="2">
        <f t="shared" si="412"/>
        <v>#VALUE!</v>
      </c>
      <c r="BG5984" t="e" vm="2">
        <f t="shared" si="413"/>
        <v>#VALUE!</v>
      </c>
    </row>
    <row r="5985" spans="55:59" x14ac:dyDescent="0.2">
      <c r="BC5985" s="21" t="e" vm="1">
        <v>#REF!</v>
      </c>
      <c r="BD5985" t="e" vm="1">
        <v>#REF!</v>
      </c>
      <c r="BF5985" t="e" vm="2">
        <f t="shared" si="412"/>
        <v>#VALUE!</v>
      </c>
      <c r="BG5985" t="e" vm="2">
        <f t="shared" si="413"/>
        <v>#VALUE!</v>
      </c>
    </row>
    <row r="5986" spans="55:59" x14ac:dyDescent="0.2">
      <c r="BC5986" s="21" t="e" vm="1">
        <v>#REF!</v>
      </c>
      <c r="BD5986" t="e" vm="1">
        <v>#REF!</v>
      </c>
      <c r="BF5986" t="e" vm="2">
        <f t="shared" si="412"/>
        <v>#VALUE!</v>
      </c>
      <c r="BG5986" t="e" vm="2">
        <f t="shared" si="413"/>
        <v>#VALUE!</v>
      </c>
    </row>
    <row r="5987" spans="55:59" x14ac:dyDescent="0.2">
      <c r="BC5987" s="21" t="e" vm="1">
        <v>#REF!</v>
      </c>
      <c r="BD5987" t="e" vm="1">
        <v>#REF!</v>
      </c>
      <c r="BF5987" t="e" vm="2">
        <f t="shared" si="412"/>
        <v>#VALUE!</v>
      </c>
      <c r="BG5987" t="e" vm="2">
        <f t="shared" si="413"/>
        <v>#VALUE!</v>
      </c>
    </row>
    <row r="5988" spans="55:59" x14ac:dyDescent="0.2">
      <c r="BC5988" s="21" t="e" vm="1">
        <v>#REF!</v>
      </c>
      <c r="BD5988" t="e" vm="1">
        <v>#REF!</v>
      </c>
      <c r="BF5988" t="e" vm="2">
        <f t="shared" si="412"/>
        <v>#VALUE!</v>
      </c>
      <c r="BG5988" t="e" vm="2">
        <f t="shared" si="413"/>
        <v>#VALUE!</v>
      </c>
    </row>
    <row r="5989" spans="55:59" x14ac:dyDescent="0.2">
      <c r="BC5989" s="21" t="e" vm="1">
        <v>#REF!</v>
      </c>
      <c r="BD5989" t="e" vm="1">
        <v>#REF!</v>
      </c>
      <c r="BF5989" t="e" vm="2">
        <f t="shared" si="412"/>
        <v>#VALUE!</v>
      </c>
      <c r="BG5989" t="e" vm="2">
        <f t="shared" si="413"/>
        <v>#VALUE!</v>
      </c>
    </row>
    <row r="5990" spans="55:59" x14ac:dyDescent="0.2">
      <c r="BC5990" s="21" t="e" vm="1">
        <v>#REF!</v>
      </c>
      <c r="BD5990" t="e" vm="1">
        <v>#REF!</v>
      </c>
      <c r="BF5990" t="e" vm="2">
        <f t="shared" si="412"/>
        <v>#VALUE!</v>
      </c>
      <c r="BG5990" t="e" vm="2">
        <f t="shared" si="413"/>
        <v>#VALUE!</v>
      </c>
    </row>
    <row r="5991" spans="55:59" x14ac:dyDescent="0.2">
      <c r="BC5991" s="21" t="e" vm="1">
        <v>#REF!</v>
      </c>
      <c r="BD5991" t="e" vm="1">
        <v>#REF!</v>
      </c>
      <c r="BF5991" t="e" vm="2">
        <f t="shared" si="412"/>
        <v>#VALUE!</v>
      </c>
      <c r="BG5991" t="e" vm="2">
        <f t="shared" si="413"/>
        <v>#VALUE!</v>
      </c>
    </row>
    <row r="5992" spans="55:59" x14ac:dyDescent="0.2">
      <c r="BC5992" s="21" t="e" vm="1">
        <v>#REF!</v>
      </c>
      <c r="BD5992" t="e" vm="1">
        <v>#REF!</v>
      </c>
      <c r="BF5992" t="e" vm="2">
        <f t="shared" si="412"/>
        <v>#VALUE!</v>
      </c>
      <c r="BG5992" t="e" vm="2">
        <f t="shared" si="413"/>
        <v>#VALUE!</v>
      </c>
    </row>
    <row r="5993" spans="55:59" x14ac:dyDescent="0.2">
      <c r="BC5993" s="21" t="e" vm="1">
        <v>#REF!</v>
      </c>
      <c r="BD5993" t="e" vm="1">
        <v>#REF!</v>
      </c>
      <c r="BF5993" t="e" vm="2">
        <f t="shared" si="412"/>
        <v>#VALUE!</v>
      </c>
      <c r="BG5993" t="e" vm="2">
        <f t="shared" si="413"/>
        <v>#VALUE!</v>
      </c>
    </row>
    <row r="5994" spans="55:59" x14ac:dyDescent="0.2">
      <c r="BC5994" s="21" t="e" vm="1">
        <v>#REF!</v>
      </c>
      <c r="BD5994" t="e" vm="1">
        <v>#REF!</v>
      </c>
      <c r="BF5994" t="e" vm="2">
        <f t="shared" si="412"/>
        <v>#VALUE!</v>
      </c>
      <c r="BG5994" t="e" vm="2">
        <f t="shared" si="413"/>
        <v>#VALUE!</v>
      </c>
    </row>
    <row r="5995" spans="55:59" x14ac:dyDescent="0.2">
      <c r="BC5995" s="21" t="e" vm="1">
        <v>#REF!</v>
      </c>
      <c r="BD5995" t="e" vm="1">
        <v>#REF!</v>
      </c>
      <c r="BF5995" t="e" vm="2">
        <f t="shared" si="412"/>
        <v>#VALUE!</v>
      </c>
      <c r="BG5995" t="e" vm="2">
        <f t="shared" si="413"/>
        <v>#VALUE!</v>
      </c>
    </row>
    <row r="5996" spans="55:59" x14ac:dyDescent="0.2">
      <c r="BC5996" s="21" t="e" vm="1">
        <v>#REF!</v>
      </c>
      <c r="BD5996" t="e" vm="1">
        <v>#REF!</v>
      </c>
      <c r="BF5996" t="e" vm="2">
        <f t="shared" si="412"/>
        <v>#VALUE!</v>
      </c>
      <c r="BG5996" t="e" vm="2">
        <f t="shared" si="413"/>
        <v>#VALUE!</v>
      </c>
    </row>
    <row r="5997" spans="55:59" x14ac:dyDescent="0.2">
      <c r="BC5997" s="21" t="e" vm="1">
        <v>#REF!</v>
      </c>
      <c r="BD5997" t="e" vm="1">
        <v>#REF!</v>
      </c>
      <c r="BF5997" t="e" vm="2">
        <f t="shared" si="412"/>
        <v>#VALUE!</v>
      </c>
      <c r="BG5997" t="e" vm="2">
        <f t="shared" si="413"/>
        <v>#VALUE!</v>
      </c>
    </row>
    <row r="5998" spans="55:59" x14ac:dyDescent="0.2">
      <c r="BC5998" s="21" t="e" vm="1">
        <v>#REF!</v>
      </c>
      <c r="BD5998" t="e" vm="1">
        <v>#REF!</v>
      </c>
      <c r="BF5998" t="e" vm="2">
        <f t="shared" si="412"/>
        <v>#VALUE!</v>
      </c>
      <c r="BG5998" t="e" vm="2">
        <f t="shared" si="413"/>
        <v>#VALUE!</v>
      </c>
    </row>
    <row r="5999" spans="55:59" x14ac:dyDescent="0.2">
      <c r="BC5999" s="21" t="e" vm="1">
        <v>#REF!</v>
      </c>
      <c r="BD5999" t="e" vm="1">
        <v>#REF!</v>
      </c>
      <c r="BF5999" t="e" vm="2">
        <f t="shared" si="412"/>
        <v>#VALUE!</v>
      </c>
      <c r="BG5999" t="e" vm="2">
        <f t="shared" si="413"/>
        <v>#VALUE!</v>
      </c>
    </row>
    <row r="6000" spans="55:59" x14ac:dyDescent="0.2">
      <c r="BC6000" s="21" t="e" vm="1">
        <v>#REF!</v>
      </c>
      <c r="BD6000" t="e" vm="1">
        <v>#REF!</v>
      </c>
      <c r="BF6000" t="e" vm="2">
        <f t="shared" si="412"/>
        <v>#VALUE!</v>
      </c>
      <c r="BG6000" t="e" vm="2">
        <f t="shared" si="413"/>
        <v>#VALUE!</v>
      </c>
    </row>
    <row r="6001" spans="55:59" x14ac:dyDescent="0.2">
      <c r="BC6001" s="21" t="e" vm="1">
        <v>#REF!</v>
      </c>
      <c r="BD6001" t="e" vm="1">
        <v>#REF!</v>
      </c>
      <c r="BF6001" t="e" vm="2">
        <f t="shared" si="412"/>
        <v>#VALUE!</v>
      </c>
      <c r="BG6001" t="e" vm="2">
        <f t="shared" si="413"/>
        <v>#VALUE!</v>
      </c>
    </row>
    <row r="6002" spans="55:59" x14ac:dyDescent="0.2">
      <c r="BC6002" s="21" t="e" vm="1">
        <v>#REF!</v>
      </c>
      <c r="BD6002" t="e" vm="1">
        <v>#REF!</v>
      </c>
      <c r="BF6002" t="e" vm="2">
        <f t="shared" si="412"/>
        <v>#VALUE!</v>
      </c>
      <c r="BG6002" t="e" vm="2">
        <f t="shared" si="413"/>
        <v>#VALUE!</v>
      </c>
    </row>
    <row r="6003" spans="55:59" x14ac:dyDescent="0.2">
      <c r="BC6003" s="21" t="e" vm="1">
        <v>#REF!</v>
      </c>
      <c r="BD6003" t="e" vm="1">
        <v>#REF!</v>
      </c>
      <c r="BF6003" t="e" vm="2">
        <f t="shared" si="412"/>
        <v>#VALUE!</v>
      </c>
      <c r="BG6003" t="e" vm="2">
        <f t="shared" si="413"/>
        <v>#VALUE!</v>
      </c>
    </row>
    <row r="6004" spans="55:59" x14ac:dyDescent="0.2">
      <c r="BC6004" s="21" t="e" vm="1">
        <v>#REF!</v>
      </c>
      <c r="BD6004" t="e" vm="1">
        <v>#REF!</v>
      </c>
      <c r="BF6004" t="e" vm="2">
        <f t="shared" si="412"/>
        <v>#VALUE!</v>
      </c>
      <c r="BG6004" t="e" vm="2">
        <f t="shared" si="413"/>
        <v>#VALUE!</v>
      </c>
    </row>
    <row r="6005" spans="55:59" x14ac:dyDescent="0.2">
      <c r="BC6005" s="21" t="e" vm="1">
        <v>#REF!</v>
      </c>
      <c r="BD6005" t="e" vm="1">
        <v>#REF!</v>
      </c>
      <c r="BF6005" t="e" vm="2">
        <f t="shared" si="412"/>
        <v>#VALUE!</v>
      </c>
      <c r="BG6005" t="e" vm="2">
        <f t="shared" si="413"/>
        <v>#VALUE!</v>
      </c>
    </row>
    <row r="6006" spans="55:59" x14ac:dyDescent="0.2">
      <c r="BC6006" s="21" t="e" vm="1">
        <v>#REF!</v>
      </c>
      <c r="BD6006" t="e" vm="1">
        <v>#REF!</v>
      </c>
      <c r="BF6006" t="e" vm="2">
        <f t="shared" si="412"/>
        <v>#VALUE!</v>
      </c>
      <c r="BG6006" t="e" vm="2">
        <f t="shared" si="413"/>
        <v>#VALUE!</v>
      </c>
    </row>
    <row r="6007" spans="55:59" x14ac:dyDescent="0.2">
      <c r="BC6007" s="21" t="e" vm="1">
        <v>#REF!</v>
      </c>
      <c r="BD6007" t="e" vm="1">
        <v>#REF!</v>
      </c>
      <c r="BF6007" t="e" vm="2">
        <f t="shared" si="412"/>
        <v>#VALUE!</v>
      </c>
      <c r="BG6007" t="e" vm="2">
        <f t="shared" si="413"/>
        <v>#VALUE!</v>
      </c>
    </row>
    <row r="6008" spans="55:59" x14ac:dyDescent="0.2">
      <c r="BC6008" s="21" t="e" vm="1">
        <v>#REF!</v>
      </c>
      <c r="BD6008" t="e" vm="1">
        <v>#REF!</v>
      </c>
      <c r="BF6008" t="e" vm="2">
        <f t="shared" si="412"/>
        <v>#VALUE!</v>
      </c>
      <c r="BG6008" t="e" vm="2">
        <f t="shared" si="413"/>
        <v>#VALUE!</v>
      </c>
    </row>
    <row r="6009" spans="55:59" x14ac:dyDescent="0.2">
      <c r="BC6009" s="21" t="e" vm="1">
        <v>#REF!</v>
      </c>
      <c r="BD6009" t="e" vm="1">
        <v>#REF!</v>
      </c>
      <c r="BF6009" t="e" vm="2">
        <f t="shared" si="412"/>
        <v>#VALUE!</v>
      </c>
      <c r="BG6009" t="e" vm="2">
        <f t="shared" si="413"/>
        <v>#VALUE!</v>
      </c>
    </row>
    <row r="6010" spans="55:59" x14ac:dyDescent="0.2">
      <c r="BC6010" s="21" t="e" vm="1">
        <v>#REF!</v>
      </c>
      <c r="BD6010" t="e" vm="1">
        <v>#REF!</v>
      </c>
      <c r="BF6010" t="e" vm="2">
        <f t="shared" si="412"/>
        <v>#VALUE!</v>
      </c>
      <c r="BG6010" t="e" vm="2">
        <f t="shared" si="413"/>
        <v>#VALUE!</v>
      </c>
    </row>
    <row r="6011" spans="55:59" x14ac:dyDescent="0.2">
      <c r="BC6011" s="21" t="e" vm="1">
        <v>#REF!</v>
      </c>
      <c r="BD6011" t="e" vm="1">
        <v>#REF!</v>
      </c>
      <c r="BF6011" t="e" vm="2">
        <f t="shared" si="412"/>
        <v>#VALUE!</v>
      </c>
      <c r="BG6011" t="e" vm="2">
        <f t="shared" si="413"/>
        <v>#VALUE!</v>
      </c>
    </row>
    <row r="6012" spans="55:59" x14ac:dyDescent="0.2">
      <c r="BC6012" s="21" t="e" vm="1">
        <v>#REF!</v>
      </c>
      <c r="BD6012" t="e" vm="1">
        <v>#REF!</v>
      </c>
      <c r="BF6012" t="e" vm="2">
        <f t="shared" si="412"/>
        <v>#VALUE!</v>
      </c>
      <c r="BG6012" t="e" vm="2">
        <f t="shared" si="413"/>
        <v>#VALUE!</v>
      </c>
    </row>
    <row r="6013" spans="55:59" x14ac:dyDescent="0.2">
      <c r="BC6013" s="21" t="e" vm="1">
        <v>#REF!</v>
      </c>
      <c r="BD6013" t="e" vm="1">
        <v>#REF!</v>
      </c>
      <c r="BF6013" t="e" vm="2">
        <f t="shared" si="412"/>
        <v>#VALUE!</v>
      </c>
      <c r="BG6013" t="e" vm="2">
        <f t="shared" si="413"/>
        <v>#VALUE!</v>
      </c>
    </row>
    <row r="6014" spans="55:59" x14ac:dyDescent="0.2">
      <c r="BC6014" s="21" t="e" vm="1">
        <v>#REF!</v>
      </c>
      <c r="BD6014" t="e" vm="1">
        <v>#REF!</v>
      </c>
      <c r="BF6014" t="e" vm="2">
        <f t="shared" si="412"/>
        <v>#VALUE!</v>
      </c>
      <c r="BG6014" t="e" vm="2">
        <f t="shared" si="413"/>
        <v>#VALUE!</v>
      </c>
    </row>
    <row r="6015" spans="55:59" x14ac:dyDescent="0.2">
      <c r="BC6015" s="21" t="e" vm="1">
        <v>#REF!</v>
      </c>
      <c r="BD6015" t="e" vm="1">
        <v>#REF!</v>
      </c>
      <c r="BF6015" t="e" vm="2">
        <f t="shared" si="412"/>
        <v>#VALUE!</v>
      </c>
      <c r="BG6015" t="e" vm="2">
        <f t="shared" si="413"/>
        <v>#VALUE!</v>
      </c>
    </row>
    <row r="6016" spans="55:59" x14ac:dyDescent="0.2">
      <c r="BC6016" s="21" t="e" vm="1">
        <v>#REF!</v>
      </c>
      <c r="BD6016" t="e" vm="1">
        <v>#REF!</v>
      </c>
      <c r="BF6016" t="e" vm="2">
        <f t="shared" si="412"/>
        <v>#VALUE!</v>
      </c>
      <c r="BG6016" t="e" vm="2">
        <f t="shared" si="413"/>
        <v>#VALUE!</v>
      </c>
    </row>
    <row r="6017" spans="55:59" x14ac:dyDescent="0.2">
      <c r="BC6017" s="21" t="e" vm="1">
        <v>#REF!</v>
      </c>
      <c r="BD6017" t="e" vm="1">
        <v>#REF!</v>
      </c>
      <c r="BF6017" t="e" vm="2">
        <f t="shared" si="412"/>
        <v>#VALUE!</v>
      </c>
      <c r="BG6017" t="e" vm="2">
        <f t="shared" si="413"/>
        <v>#VALUE!</v>
      </c>
    </row>
    <row r="6018" spans="55:59" x14ac:dyDescent="0.2">
      <c r="BC6018" s="21" t="e" vm="1">
        <v>#REF!</v>
      </c>
      <c r="BD6018" t="e" vm="1">
        <v>#REF!</v>
      </c>
      <c r="BF6018" t="e" vm="2">
        <f t="shared" si="412"/>
        <v>#VALUE!</v>
      </c>
      <c r="BG6018" t="e" vm="2">
        <f t="shared" si="413"/>
        <v>#VALUE!</v>
      </c>
    </row>
    <row r="6019" spans="55:59" x14ac:dyDescent="0.2">
      <c r="BC6019" s="21" t="e" vm="1">
        <v>#REF!</v>
      </c>
      <c r="BD6019" t="e" vm="1">
        <v>#REF!</v>
      </c>
      <c r="BF6019" t="e" vm="2">
        <f t="shared" ref="BF6019:BF6036" si="414">MONTH(BC6019)</f>
        <v>#VALUE!</v>
      </c>
      <c r="BG6019" t="e" vm="2">
        <f t="shared" ref="BG6019:BG6036" si="415">YEAR(BC6019)</f>
        <v>#VALUE!</v>
      </c>
    </row>
    <row r="6020" spans="55:59" x14ac:dyDescent="0.2">
      <c r="BC6020" s="21" t="e" vm="1">
        <v>#REF!</v>
      </c>
      <c r="BD6020" t="e" vm="1">
        <v>#REF!</v>
      </c>
      <c r="BF6020" t="e" vm="2">
        <f t="shared" si="414"/>
        <v>#VALUE!</v>
      </c>
      <c r="BG6020" t="e" vm="2">
        <f t="shared" si="415"/>
        <v>#VALUE!</v>
      </c>
    </row>
    <row r="6021" spans="55:59" x14ac:dyDescent="0.2">
      <c r="BC6021" s="21" t="e" vm="1">
        <v>#REF!</v>
      </c>
      <c r="BD6021" t="e" vm="1">
        <v>#REF!</v>
      </c>
      <c r="BF6021" t="e" vm="2">
        <f t="shared" si="414"/>
        <v>#VALUE!</v>
      </c>
      <c r="BG6021" t="e" vm="2">
        <f t="shared" si="415"/>
        <v>#VALUE!</v>
      </c>
    </row>
    <row r="6022" spans="55:59" x14ac:dyDescent="0.2">
      <c r="BC6022" s="21" t="e" vm="1">
        <v>#REF!</v>
      </c>
      <c r="BD6022" t="e" vm="1">
        <v>#REF!</v>
      </c>
      <c r="BF6022" t="e" vm="2">
        <f t="shared" si="414"/>
        <v>#VALUE!</v>
      </c>
      <c r="BG6022" t="e" vm="2">
        <f t="shared" si="415"/>
        <v>#VALUE!</v>
      </c>
    </row>
    <row r="6023" spans="55:59" x14ac:dyDescent="0.2">
      <c r="BC6023" s="21" t="e" vm="1">
        <v>#REF!</v>
      </c>
      <c r="BD6023" t="e" vm="1">
        <v>#REF!</v>
      </c>
      <c r="BF6023" t="e" vm="2">
        <f t="shared" si="414"/>
        <v>#VALUE!</v>
      </c>
      <c r="BG6023" t="e" vm="2">
        <f t="shared" si="415"/>
        <v>#VALUE!</v>
      </c>
    </row>
    <row r="6024" spans="55:59" x14ac:dyDescent="0.2">
      <c r="BC6024" s="21" t="e" vm="1">
        <v>#REF!</v>
      </c>
      <c r="BD6024" t="e" vm="1">
        <v>#REF!</v>
      </c>
      <c r="BF6024" t="e" vm="2">
        <f t="shared" si="414"/>
        <v>#VALUE!</v>
      </c>
      <c r="BG6024" t="e" vm="2">
        <f t="shared" si="415"/>
        <v>#VALUE!</v>
      </c>
    </row>
    <row r="6025" spans="55:59" x14ac:dyDescent="0.2">
      <c r="BC6025" s="21" t="e" vm="1">
        <v>#REF!</v>
      </c>
      <c r="BD6025" t="e" vm="1">
        <v>#REF!</v>
      </c>
      <c r="BF6025" t="e" vm="2">
        <f t="shared" si="414"/>
        <v>#VALUE!</v>
      </c>
      <c r="BG6025" t="e" vm="2">
        <f t="shared" si="415"/>
        <v>#VALUE!</v>
      </c>
    </row>
    <row r="6026" spans="55:59" x14ac:dyDescent="0.2">
      <c r="BC6026" s="21" t="e" vm="1">
        <v>#REF!</v>
      </c>
      <c r="BD6026" t="e" vm="1">
        <v>#REF!</v>
      </c>
      <c r="BF6026" t="e" vm="2">
        <f t="shared" si="414"/>
        <v>#VALUE!</v>
      </c>
      <c r="BG6026" t="e" vm="2">
        <f t="shared" si="415"/>
        <v>#VALUE!</v>
      </c>
    </row>
    <row r="6027" spans="55:59" x14ac:dyDescent="0.2">
      <c r="BC6027" s="21" t="e" vm="1">
        <v>#REF!</v>
      </c>
      <c r="BD6027" t="e" vm="1">
        <v>#REF!</v>
      </c>
      <c r="BF6027" t="e" vm="2">
        <f t="shared" si="414"/>
        <v>#VALUE!</v>
      </c>
      <c r="BG6027" t="e" vm="2">
        <f t="shared" si="415"/>
        <v>#VALUE!</v>
      </c>
    </row>
    <row r="6028" spans="55:59" x14ac:dyDescent="0.2">
      <c r="BC6028" s="21" t="e" vm="1">
        <v>#REF!</v>
      </c>
      <c r="BD6028" t="e" vm="1">
        <v>#REF!</v>
      </c>
      <c r="BF6028" t="e" vm="2">
        <f t="shared" si="414"/>
        <v>#VALUE!</v>
      </c>
      <c r="BG6028" t="e" vm="2">
        <f t="shared" si="415"/>
        <v>#VALUE!</v>
      </c>
    </row>
    <row r="6029" spans="55:59" x14ac:dyDescent="0.2">
      <c r="BC6029" s="21" t="e" vm="1">
        <v>#REF!</v>
      </c>
      <c r="BD6029" t="e" vm="1">
        <v>#REF!</v>
      </c>
      <c r="BF6029" t="e" vm="2">
        <f t="shared" si="414"/>
        <v>#VALUE!</v>
      </c>
      <c r="BG6029" t="e" vm="2">
        <f t="shared" si="415"/>
        <v>#VALUE!</v>
      </c>
    </row>
    <row r="6030" spans="55:59" x14ac:dyDescent="0.2">
      <c r="BC6030" s="21" t="e" vm="1">
        <v>#REF!</v>
      </c>
      <c r="BD6030" t="e" vm="1">
        <v>#REF!</v>
      </c>
      <c r="BF6030" t="e" vm="2">
        <f t="shared" si="414"/>
        <v>#VALUE!</v>
      </c>
      <c r="BG6030" t="e" vm="2">
        <f t="shared" si="415"/>
        <v>#VALUE!</v>
      </c>
    </row>
    <row r="6031" spans="55:59" x14ac:dyDescent="0.2">
      <c r="BC6031" s="21" t="e" vm="1">
        <v>#REF!</v>
      </c>
      <c r="BD6031" t="e" vm="1">
        <v>#REF!</v>
      </c>
      <c r="BF6031" t="e" vm="2">
        <f t="shared" si="414"/>
        <v>#VALUE!</v>
      </c>
      <c r="BG6031" t="e" vm="2">
        <f t="shared" si="415"/>
        <v>#VALUE!</v>
      </c>
    </row>
    <row r="6032" spans="55:59" x14ac:dyDescent="0.2">
      <c r="BC6032" s="21" t="e" vm="1">
        <v>#REF!</v>
      </c>
      <c r="BD6032" t="e" vm="1">
        <v>#REF!</v>
      </c>
      <c r="BF6032" t="e" vm="2">
        <f t="shared" si="414"/>
        <v>#VALUE!</v>
      </c>
      <c r="BG6032" t="e" vm="2">
        <f t="shared" si="415"/>
        <v>#VALUE!</v>
      </c>
    </row>
    <row r="6033" spans="55:59" x14ac:dyDescent="0.2">
      <c r="BC6033" s="21" t="e" vm="1">
        <v>#REF!</v>
      </c>
      <c r="BD6033" t="e" vm="1">
        <v>#REF!</v>
      </c>
      <c r="BF6033" t="e" vm="2">
        <f t="shared" si="414"/>
        <v>#VALUE!</v>
      </c>
      <c r="BG6033" t="e" vm="2">
        <f t="shared" si="415"/>
        <v>#VALUE!</v>
      </c>
    </row>
    <row r="6034" spans="55:59" x14ac:dyDescent="0.2">
      <c r="BC6034" s="21" t="e" vm="1">
        <v>#REF!</v>
      </c>
      <c r="BD6034" t="e" vm="1">
        <v>#REF!</v>
      </c>
      <c r="BF6034" t="e" vm="2">
        <f t="shared" si="414"/>
        <v>#VALUE!</v>
      </c>
      <c r="BG6034" t="e" vm="2">
        <f t="shared" si="415"/>
        <v>#VALUE!</v>
      </c>
    </row>
    <row r="6035" spans="55:59" x14ac:dyDescent="0.2">
      <c r="BC6035" s="21" t="e" vm="1">
        <v>#REF!</v>
      </c>
      <c r="BD6035" t="e" vm="1">
        <v>#REF!</v>
      </c>
      <c r="BF6035" t="e" vm="2">
        <f t="shared" si="414"/>
        <v>#VALUE!</v>
      </c>
      <c r="BG6035" t="e" vm="2">
        <f t="shared" si="415"/>
        <v>#VALUE!</v>
      </c>
    </row>
    <row r="6036" spans="55:59" x14ac:dyDescent="0.2">
      <c r="BC6036" s="21" t="e" vm="1">
        <v>#REF!</v>
      </c>
      <c r="BD6036" t="e" vm="1">
        <v>#REF!</v>
      </c>
      <c r="BF6036" t="e" vm="2">
        <f t="shared" si="414"/>
        <v>#VALUE!</v>
      </c>
      <c r="BG6036" t="e" vm="2">
        <f t="shared" si="415"/>
        <v>#VALUE!</v>
      </c>
    </row>
    <row r="6037" spans="55:59" x14ac:dyDescent="0.2">
      <c r="BC6037" s="21" t="e" vm="1">
        <v>#REF!</v>
      </c>
      <c r="BD6037" t="e" vm="1">
        <v>#REF!</v>
      </c>
    </row>
    <row r="6038" spans="55:59" x14ac:dyDescent="0.2">
      <c r="BC6038" s="21" t="e" vm="1">
        <v>#REF!</v>
      </c>
      <c r="BD6038" t="e" vm="1">
        <v>#REF!</v>
      </c>
    </row>
    <row r="6039" spans="55:59" x14ac:dyDescent="0.2">
      <c r="BC6039" s="21" t="e" vm="1">
        <v>#REF!</v>
      </c>
      <c r="BD6039" t="e" vm="1">
        <v>#REF!</v>
      </c>
    </row>
    <row r="6040" spans="55:59" x14ac:dyDescent="0.2">
      <c r="BC6040" s="21" t="e" vm="1">
        <v>#REF!</v>
      </c>
      <c r="BD6040" t="e" vm="1">
        <v>#REF!</v>
      </c>
    </row>
    <row r="6041" spans="55:59" x14ac:dyDescent="0.2">
      <c r="BC6041" s="21" t="e" vm="1">
        <v>#REF!</v>
      </c>
      <c r="BD6041" t="e" vm="1">
        <v>#REF!</v>
      </c>
    </row>
    <row r="6042" spans="55:59" x14ac:dyDescent="0.2">
      <c r="BC6042" s="21" t="e" vm="1">
        <v>#REF!</v>
      </c>
      <c r="BD6042" t="e" vm="1">
        <v>#REF!</v>
      </c>
    </row>
    <row r="6043" spans="55:59" x14ac:dyDescent="0.2">
      <c r="BC6043" s="21" t="e" vm="1">
        <v>#REF!</v>
      </c>
      <c r="BD6043" t="e" vm="1">
        <v>#REF!</v>
      </c>
    </row>
    <row r="6044" spans="55:59" x14ac:dyDescent="0.2">
      <c r="BC6044" s="21" t="e" vm="1">
        <v>#REF!</v>
      </c>
      <c r="BD6044" t="e" vm="1">
        <v>#REF!</v>
      </c>
    </row>
    <row r="6045" spans="55:59" x14ac:dyDescent="0.2">
      <c r="BC6045" s="21" t="e" vm="1">
        <v>#REF!</v>
      </c>
      <c r="BD6045" t="e" vm="1">
        <v>#REF!</v>
      </c>
    </row>
    <row r="6046" spans="55:59" x14ac:dyDescent="0.2">
      <c r="BC6046" s="21" t="e" vm="1">
        <v>#REF!</v>
      </c>
      <c r="BD6046" t="e" vm="1">
        <v>#REF!</v>
      </c>
    </row>
    <row r="6047" spans="55:59" x14ac:dyDescent="0.2">
      <c r="BC6047" s="21" t="e" vm="1">
        <v>#REF!</v>
      </c>
      <c r="BD6047" t="e" vm="1">
        <v>#REF!</v>
      </c>
    </row>
    <row r="6048" spans="55:59" x14ac:dyDescent="0.2">
      <c r="BC6048" s="21" t="e" vm="1">
        <v>#REF!</v>
      </c>
      <c r="BD6048" t="e" vm="1">
        <v>#REF!</v>
      </c>
    </row>
    <row r="6049" spans="55:56" x14ac:dyDescent="0.2">
      <c r="BC6049" s="21" t="e" vm="1">
        <v>#REF!</v>
      </c>
      <c r="BD6049" t="e" vm="1">
        <v>#REF!</v>
      </c>
    </row>
    <row r="6050" spans="55:56" x14ac:dyDescent="0.2">
      <c r="BC6050" s="21" t="e" vm="1">
        <v>#REF!</v>
      </c>
      <c r="BD6050" t="e" vm="1">
        <v>#REF!</v>
      </c>
    </row>
    <row r="6051" spans="55:56" x14ac:dyDescent="0.2">
      <c r="BC6051" s="21" t="e" vm="1">
        <v>#REF!</v>
      </c>
      <c r="BD6051" t="e" vm="1">
        <v>#REF!</v>
      </c>
    </row>
    <row r="6052" spans="55:56" x14ac:dyDescent="0.2">
      <c r="BC6052" s="21" t="e" vm="1">
        <v>#REF!</v>
      </c>
      <c r="BD6052" t="e" vm="1">
        <v>#REF!</v>
      </c>
    </row>
    <row r="6053" spans="55:56" x14ac:dyDescent="0.2">
      <c r="BC6053" s="21" t="e" vm="1">
        <v>#REF!</v>
      </c>
      <c r="BD6053" t="e" vm="1">
        <v>#REF!</v>
      </c>
    </row>
    <row r="6054" spans="55:56" x14ac:dyDescent="0.2">
      <c r="BC6054" s="21" t="e" vm="1">
        <v>#REF!</v>
      </c>
      <c r="BD6054" t="e" vm="1">
        <v>#REF!</v>
      </c>
    </row>
    <row r="6055" spans="55:56" x14ac:dyDescent="0.2">
      <c r="BC6055" s="21" t="e" vm="1">
        <v>#REF!</v>
      </c>
      <c r="BD6055" t="e" vm="1">
        <v>#REF!</v>
      </c>
    </row>
    <row r="6056" spans="55:56" x14ac:dyDescent="0.2">
      <c r="BC6056" s="21" t="e" vm="1">
        <v>#REF!</v>
      </c>
      <c r="BD6056" t="e" vm="1">
        <v>#REF!</v>
      </c>
    </row>
    <row r="6057" spans="55:56" x14ac:dyDescent="0.2">
      <c r="BC6057" s="21" t="e" vm="1">
        <v>#REF!</v>
      </c>
      <c r="BD6057" t="e" vm="1">
        <v>#REF!</v>
      </c>
    </row>
    <row r="6058" spans="55:56" x14ac:dyDescent="0.2">
      <c r="BC6058" s="21" t="e" vm="1">
        <v>#REF!</v>
      </c>
      <c r="BD6058" t="e" vm="1">
        <v>#REF!</v>
      </c>
    </row>
    <row r="6059" spans="55:56" x14ac:dyDescent="0.2">
      <c r="BC6059" s="21" t="e" vm="1">
        <v>#REF!</v>
      </c>
      <c r="BD6059" t="e" vm="1">
        <v>#REF!</v>
      </c>
    </row>
    <row r="6060" spans="55:56" x14ac:dyDescent="0.2">
      <c r="BC6060" s="21" t="e" vm="1">
        <v>#REF!</v>
      </c>
      <c r="BD6060" t="e" vm="1">
        <v>#REF!</v>
      </c>
    </row>
    <row r="6061" spans="55:56" x14ac:dyDescent="0.2">
      <c r="BC6061" s="21" t="e" vm="1">
        <v>#REF!</v>
      </c>
      <c r="BD6061" t="e" vm="1">
        <v>#REF!</v>
      </c>
    </row>
    <row r="6062" spans="55:56" x14ac:dyDescent="0.2">
      <c r="BC6062" s="21" t="e" vm="1">
        <v>#REF!</v>
      </c>
      <c r="BD6062" t="e" vm="1">
        <v>#REF!</v>
      </c>
    </row>
    <row r="6063" spans="55:56" x14ac:dyDescent="0.2">
      <c r="BC6063" s="21" t="e" vm="1">
        <v>#REF!</v>
      </c>
      <c r="BD6063" t="e" vm="1">
        <v>#REF!</v>
      </c>
    </row>
    <row r="6064" spans="55:56" x14ac:dyDescent="0.2">
      <c r="BC6064" s="21" t="e" vm="1">
        <v>#REF!</v>
      </c>
      <c r="BD6064" t="e" vm="1">
        <v>#REF!</v>
      </c>
    </row>
    <row r="6065" spans="55:56" x14ac:dyDescent="0.2">
      <c r="BC6065" s="21" t="e" vm="1">
        <v>#REF!</v>
      </c>
      <c r="BD6065" t="e" vm="1">
        <v>#REF!</v>
      </c>
    </row>
    <row r="6066" spans="55:56" x14ac:dyDescent="0.2">
      <c r="BC6066" s="21" t="e" vm="1">
        <v>#REF!</v>
      </c>
      <c r="BD6066" t="e" vm="1">
        <v>#REF!</v>
      </c>
    </row>
    <row r="6067" spans="55:56" x14ac:dyDescent="0.2">
      <c r="BC6067" s="21" t="e" vm="1">
        <v>#REF!</v>
      </c>
      <c r="BD6067" t="e" vm="1">
        <v>#REF!</v>
      </c>
    </row>
    <row r="6068" spans="55:56" x14ac:dyDescent="0.2">
      <c r="BC6068" s="21" t="e" vm="1">
        <v>#REF!</v>
      </c>
      <c r="BD6068" t="e" vm="1">
        <v>#REF!</v>
      </c>
    </row>
    <row r="6069" spans="55:56" x14ac:dyDescent="0.2">
      <c r="BC6069" s="21" t="e" vm="1">
        <v>#REF!</v>
      </c>
      <c r="BD6069" t="e" vm="1">
        <v>#REF!</v>
      </c>
    </row>
    <row r="6070" spans="55:56" x14ac:dyDescent="0.2">
      <c r="BC6070" s="21" t="e" vm="1">
        <v>#REF!</v>
      </c>
      <c r="BD6070" t="e" vm="1">
        <v>#REF!</v>
      </c>
    </row>
    <row r="6071" spans="55:56" x14ac:dyDescent="0.2">
      <c r="BC6071" s="21" t="e" vm="1">
        <v>#REF!</v>
      </c>
      <c r="BD6071" t="e" vm="1">
        <v>#REF!</v>
      </c>
    </row>
    <row r="6072" spans="55:56" x14ac:dyDescent="0.2">
      <c r="BC6072" s="21" t="e" vm="1">
        <v>#REF!</v>
      </c>
      <c r="BD6072" t="e" vm="1">
        <v>#REF!</v>
      </c>
    </row>
    <row r="6073" spans="55:56" x14ac:dyDescent="0.2">
      <c r="BC6073" s="21" t="e" vm="1">
        <v>#REF!</v>
      </c>
      <c r="BD6073" t="e" vm="1">
        <v>#REF!</v>
      </c>
    </row>
    <row r="6074" spans="55:56" x14ac:dyDescent="0.2">
      <c r="BC6074" s="21" t="e" vm="1">
        <v>#REF!</v>
      </c>
      <c r="BD6074" t="e" vm="1">
        <v>#REF!</v>
      </c>
    </row>
    <row r="6075" spans="55:56" x14ac:dyDescent="0.2">
      <c r="BC6075" s="21" t="e" vm="1">
        <v>#REF!</v>
      </c>
      <c r="BD6075" t="e" vm="1">
        <v>#REF!</v>
      </c>
    </row>
    <row r="6076" spans="55:56" x14ac:dyDescent="0.2">
      <c r="BC6076" s="21" t="e" vm="1">
        <v>#REF!</v>
      </c>
      <c r="BD6076" t="e" vm="1">
        <v>#REF!</v>
      </c>
    </row>
    <row r="6077" spans="55:56" x14ac:dyDescent="0.2">
      <c r="BC6077" s="21" t="e" vm="1">
        <v>#REF!</v>
      </c>
      <c r="BD6077" t="e" vm="1">
        <v>#REF!</v>
      </c>
    </row>
    <row r="6078" spans="55:56" x14ac:dyDescent="0.2">
      <c r="BC6078" s="21" t="e" vm="1">
        <v>#REF!</v>
      </c>
      <c r="BD6078" t="e" vm="1">
        <v>#REF!</v>
      </c>
    </row>
    <row r="6079" spans="55:56" x14ac:dyDescent="0.2">
      <c r="BC6079" s="21" t="e" vm="1">
        <v>#REF!</v>
      </c>
      <c r="BD6079" t="e" vm="1">
        <v>#REF!</v>
      </c>
    </row>
    <row r="6080" spans="55:56" x14ac:dyDescent="0.2">
      <c r="BC6080" s="21" t="e" vm="1">
        <v>#REF!</v>
      </c>
      <c r="BD6080" t="e" vm="1">
        <v>#REF!</v>
      </c>
    </row>
    <row r="6081" spans="55:56" x14ac:dyDescent="0.2">
      <c r="BC6081" s="21" t="e" vm="1">
        <v>#REF!</v>
      </c>
      <c r="BD6081" t="e" vm="1">
        <v>#REF!</v>
      </c>
    </row>
    <row r="6082" spans="55:56" x14ac:dyDescent="0.2">
      <c r="BC6082" s="21" t="e" vm="1">
        <v>#REF!</v>
      </c>
      <c r="BD6082" t="e" vm="1">
        <v>#REF!</v>
      </c>
    </row>
    <row r="6083" spans="55:56" x14ac:dyDescent="0.2">
      <c r="BC6083" s="21" t="e" vm="1">
        <v>#REF!</v>
      </c>
      <c r="BD6083" t="e" vm="1">
        <v>#REF!</v>
      </c>
    </row>
    <row r="6084" spans="55:56" x14ac:dyDescent="0.2">
      <c r="BC6084" s="21" t="e" vm="1">
        <v>#REF!</v>
      </c>
      <c r="BD6084" t="e" vm="1">
        <v>#REF!</v>
      </c>
    </row>
    <row r="6085" spans="55:56" x14ac:dyDescent="0.2">
      <c r="BC6085" s="21" t="e" vm="1">
        <v>#REF!</v>
      </c>
      <c r="BD6085" t="e" vm="1">
        <v>#REF!</v>
      </c>
    </row>
    <row r="6086" spans="55:56" x14ac:dyDescent="0.2">
      <c r="BC6086" s="21" t="e" vm="1">
        <v>#REF!</v>
      </c>
      <c r="BD6086" t="e" vm="1">
        <v>#REF!</v>
      </c>
    </row>
    <row r="6087" spans="55:56" x14ac:dyDescent="0.2">
      <c r="BC6087" s="21" t="e" vm="1">
        <v>#REF!</v>
      </c>
      <c r="BD6087" t="e" vm="1">
        <v>#REF!</v>
      </c>
    </row>
    <row r="6088" spans="55:56" x14ac:dyDescent="0.2">
      <c r="BC6088" s="21" t="e" vm="1">
        <v>#REF!</v>
      </c>
      <c r="BD6088" t="e" vm="1">
        <v>#REF!</v>
      </c>
    </row>
    <row r="6089" spans="55:56" x14ac:dyDescent="0.2">
      <c r="BC6089" s="21" t="e" vm="1">
        <v>#REF!</v>
      </c>
      <c r="BD6089" t="e" vm="1">
        <v>#REF!</v>
      </c>
    </row>
    <row r="6090" spans="55:56" x14ac:dyDescent="0.2">
      <c r="BC6090" s="21" t="e" vm="1">
        <v>#REF!</v>
      </c>
      <c r="BD6090" t="e" vm="1">
        <v>#REF!</v>
      </c>
    </row>
    <row r="6091" spans="55:56" x14ac:dyDescent="0.2">
      <c r="BC6091" s="21" t="e" vm="1">
        <v>#REF!</v>
      </c>
      <c r="BD6091" t="e" vm="1">
        <v>#REF!</v>
      </c>
    </row>
    <row r="6092" spans="55:56" x14ac:dyDescent="0.2">
      <c r="BC6092" s="21" t="e" vm="1">
        <v>#REF!</v>
      </c>
      <c r="BD6092" t="e" vm="1">
        <v>#REF!</v>
      </c>
    </row>
    <row r="6093" spans="55:56" x14ac:dyDescent="0.2">
      <c r="BC6093" s="21" t="e" vm="1">
        <v>#REF!</v>
      </c>
      <c r="BD6093" t="e" vm="1">
        <v>#REF!</v>
      </c>
    </row>
    <row r="6094" spans="55:56" x14ac:dyDescent="0.2">
      <c r="BC6094" s="21" t="e" vm="1">
        <v>#REF!</v>
      </c>
      <c r="BD6094" t="e" vm="1">
        <v>#REF!</v>
      </c>
    </row>
    <row r="6095" spans="55:56" x14ac:dyDescent="0.2">
      <c r="BC6095" s="21" t="e" vm="1">
        <v>#REF!</v>
      </c>
      <c r="BD6095" t="e" vm="1">
        <v>#REF!</v>
      </c>
    </row>
    <row r="6096" spans="55:56" x14ac:dyDescent="0.2">
      <c r="BC6096" s="21" t="e" vm="1">
        <v>#REF!</v>
      </c>
      <c r="BD6096" t="e" vm="1">
        <v>#REF!</v>
      </c>
    </row>
    <row r="6097" spans="55:56" x14ac:dyDescent="0.2">
      <c r="BC6097" s="21" t="e" vm="1">
        <v>#REF!</v>
      </c>
      <c r="BD6097" t="e" vm="1">
        <v>#REF!</v>
      </c>
    </row>
    <row r="6098" spans="55:56" x14ac:dyDescent="0.2">
      <c r="BC6098" s="21" t="e" vm="1">
        <v>#REF!</v>
      </c>
      <c r="BD6098" t="e" vm="1">
        <v>#REF!</v>
      </c>
    </row>
    <row r="6099" spans="55:56" x14ac:dyDescent="0.2">
      <c r="BC6099" s="21" t="e" vm="1">
        <v>#REF!</v>
      </c>
      <c r="BD6099" t="e" vm="1">
        <v>#REF!</v>
      </c>
    </row>
    <row r="6100" spans="55:56" x14ac:dyDescent="0.2">
      <c r="BC6100" s="21" t="e" vm="1">
        <v>#REF!</v>
      </c>
      <c r="BD6100" t="e" vm="1">
        <v>#REF!</v>
      </c>
    </row>
    <row r="6101" spans="55:56" x14ac:dyDescent="0.2">
      <c r="BC6101" s="21" t="e" vm="1">
        <v>#REF!</v>
      </c>
      <c r="BD6101" t="e" vm="1">
        <v>#REF!</v>
      </c>
    </row>
    <row r="6102" spans="55:56" x14ac:dyDescent="0.2">
      <c r="BC6102" s="21" t="e" vm="1">
        <v>#REF!</v>
      </c>
      <c r="BD6102" t="e" vm="1">
        <v>#REF!</v>
      </c>
    </row>
    <row r="6103" spans="55:56" x14ac:dyDescent="0.2">
      <c r="BC6103" s="21" t="e" vm="1">
        <v>#REF!</v>
      </c>
      <c r="BD6103" t="e" vm="1">
        <v>#REF!</v>
      </c>
    </row>
    <row r="6104" spans="55:56" x14ac:dyDescent="0.2">
      <c r="BC6104" s="21" t="e" vm="1">
        <v>#REF!</v>
      </c>
      <c r="BD6104" t="e" vm="1">
        <v>#REF!</v>
      </c>
    </row>
    <row r="6105" spans="55:56" x14ac:dyDescent="0.2">
      <c r="BC6105" s="21" t="e" vm="1">
        <v>#REF!</v>
      </c>
      <c r="BD6105" t="e" vm="1">
        <v>#REF!</v>
      </c>
    </row>
    <row r="6106" spans="55:56" x14ac:dyDescent="0.2">
      <c r="BC6106" s="21" t="e" vm="1">
        <v>#REF!</v>
      </c>
      <c r="BD6106" t="e" vm="1">
        <v>#REF!</v>
      </c>
    </row>
    <row r="6107" spans="55:56" x14ac:dyDescent="0.2">
      <c r="BC6107" s="21" t="e" vm="1">
        <v>#REF!</v>
      </c>
      <c r="BD6107" t="e" vm="1">
        <v>#REF!</v>
      </c>
    </row>
    <row r="6108" spans="55:56" x14ac:dyDescent="0.2">
      <c r="BC6108" s="21" t="e" vm="1">
        <v>#REF!</v>
      </c>
      <c r="BD6108" t="e" vm="1">
        <v>#REF!</v>
      </c>
    </row>
    <row r="6109" spans="55:56" x14ac:dyDescent="0.2">
      <c r="BC6109" s="21" t="e" vm="1">
        <v>#REF!</v>
      </c>
      <c r="BD6109" t="e" vm="1">
        <v>#REF!</v>
      </c>
    </row>
    <row r="6110" spans="55:56" x14ac:dyDescent="0.2">
      <c r="BC6110" s="21" t="e" vm="1">
        <v>#REF!</v>
      </c>
      <c r="BD6110" t="e" vm="1">
        <v>#REF!</v>
      </c>
    </row>
    <row r="6111" spans="55:56" x14ac:dyDescent="0.2">
      <c r="BC6111" s="21" t="e" vm="1">
        <v>#REF!</v>
      </c>
      <c r="BD6111" t="e" vm="1">
        <v>#REF!</v>
      </c>
    </row>
    <row r="6112" spans="55:56" x14ac:dyDescent="0.2">
      <c r="BC6112" s="21" t="e" vm="1">
        <v>#REF!</v>
      </c>
      <c r="BD6112" t="e" vm="1">
        <v>#REF!</v>
      </c>
    </row>
    <row r="6113" spans="55:56" x14ac:dyDescent="0.2">
      <c r="BC6113" s="21" t="e" vm="1">
        <v>#REF!</v>
      </c>
      <c r="BD6113" t="e" vm="1">
        <v>#REF!</v>
      </c>
    </row>
    <row r="6114" spans="55:56" x14ac:dyDescent="0.2">
      <c r="BC6114" s="21" t="e" vm="1">
        <v>#REF!</v>
      </c>
      <c r="BD6114" t="e" vm="1">
        <v>#REF!</v>
      </c>
    </row>
    <row r="6115" spans="55:56" x14ac:dyDescent="0.2">
      <c r="BC6115" s="21" t="e" vm="1">
        <v>#REF!</v>
      </c>
      <c r="BD6115" t="e" vm="1">
        <v>#REF!</v>
      </c>
    </row>
    <row r="6116" spans="55:56" x14ac:dyDescent="0.2">
      <c r="BC6116" s="21" t="e" vm="1">
        <v>#REF!</v>
      </c>
      <c r="BD6116" t="e" vm="1">
        <v>#REF!</v>
      </c>
    </row>
    <row r="6117" spans="55:56" x14ac:dyDescent="0.2">
      <c r="BC6117" s="21" t="e" vm="1">
        <v>#REF!</v>
      </c>
      <c r="BD6117" t="e" vm="1">
        <v>#REF!</v>
      </c>
    </row>
    <row r="6118" spans="55:56" x14ac:dyDescent="0.2">
      <c r="BC6118" s="21" t="e" vm="1">
        <v>#REF!</v>
      </c>
      <c r="BD6118" t="e" vm="1">
        <v>#REF!</v>
      </c>
    </row>
    <row r="6119" spans="55:56" x14ac:dyDescent="0.2">
      <c r="BC6119" s="21" t="e" vm="1">
        <v>#REF!</v>
      </c>
      <c r="BD6119" t="e" vm="1">
        <v>#REF!</v>
      </c>
    </row>
    <row r="6120" spans="55:56" x14ac:dyDescent="0.2">
      <c r="BC6120" s="21" t="e" vm="1">
        <v>#REF!</v>
      </c>
      <c r="BD6120" t="e" vm="1">
        <v>#REF!</v>
      </c>
    </row>
    <row r="6121" spans="55:56" x14ac:dyDescent="0.2">
      <c r="BC6121" s="21" t="e" vm="1">
        <v>#REF!</v>
      </c>
      <c r="BD6121" t="e" vm="1">
        <v>#REF!</v>
      </c>
    </row>
    <row r="6122" spans="55:56" x14ac:dyDescent="0.2">
      <c r="BC6122" s="21" t="e" vm="1">
        <v>#REF!</v>
      </c>
      <c r="BD6122" t="e" vm="1">
        <v>#REF!</v>
      </c>
    </row>
    <row r="6123" spans="55:56" x14ac:dyDescent="0.2">
      <c r="BC6123" s="21" t="e" vm="1">
        <v>#REF!</v>
      </c>
      <c r="BD6123" t="e" vm="1">
        <v>#REF!</v>
      </c>
    </row>
    <row r="6124" spans="55:56" x14ac:dyDescent="0.2">
      <c r="BC6124" s="21" t="e" vm="1">
        <v>#REF!</v>
      </c>
      <c r="BD6124" t="e" vm="1">
        <v>#REF!</v>
      </c>
    </row>
    <row r="6125" spans="55:56" x14ac:dyDescent="0.2">
      <c r="BC6125" s="21" t="e" vm="1">
        <v>#REF!</v>
      </c>
      <c r="BD6125" t="e" vm="1">
        <v>#REF!</v>
      </c>
    </row>
    <row r="6126" spans="55:56" x14ac:dyDescent="0.2">
      <c r="BC6126" s="21" t="e" vm="1">
        <v>#REF!</v>
      </c>
      <c r="BD6126" t="e" vm="1">
        <v>#REF!</v>
      </c>
    </row>
    <row r="6127" spans="55:56" x14ac:dyDescent="0.2">
      <c r="BC6127" s="21" t="e" vm="1">
        <v>#REF!</v>
      </c>
      <c r="BD6127" t="e" vm="1">
        <v>#REF!</v>
      </c>
    </row>
    <row r="6128" spans="55:56" x14ac:dyDescent="0.2">
      <c r="BC6128" s="21" t="e" vm="1">
        <v>#REF!</v>
      </c>
      <c r="BD6128" t="e" vm="1">
        <v>#REF!</v>
      </c>
    </row>
    <row r="6129" spans="55:56" x14ac:dyDescent="0.2">
      <c r="BC6129" s="21" t="e" vm="1">
        <v>#REF!</v>
      </c>
      <c r="BD6129" t="e" vm="1">
        <v>#REF!</v>
      </c>
    </row>
    <row r="6130" spans="55:56" x14ac:dyDescent="0.2">
      <c r="BC6130" s="21" t="e" vm="1">
        <v>#REF!</v>
      </c>
      <c r="BD6130" t="e" vm="1">
        <v>#REF!</v>
      </c>
    </row>
    <row r="6131" spans="55:56" x14ac:dyDescent="0.2">
      <c r="BC6131" s="21" t="e" vm="1">
        <v>#REF!</v>
      </c>
      <c r="BD6131" t="e" vm="1">
        <v>#REF!</v>
      </c>
    </row>
    <row r="6132" spans="55:56" x14ac:dyDescent="0.2">
      <c r="BC6132" s="21" t="e" vm="1">
        <v>#REF!</v>
      </c>
      <c r="BD6132" t="e" vm="1">
        <v>#REF!</v>
      </c>
    </row>
    <row r="6133" spans="55:56" x14ac:dyDescent="0.2">
      <c r="BC6133" s="21" t="e" vm="1">
        <v>#REF!</v>
      </c>
      <c r="BD6133" t="e" vm="1">
        <v>#REF!</v>
      </c>
    </row>
    <row r="6134" spans="55:56" x14ac:dyDescent="0.2">
      <c r="BC6134" s="21" t="e" vm="1">
        <v>#REF!</v>
      </c>
      <c r="BD6134" t="e" vm="1">
        <v>#REF!</v>
      </c>
    </row>
    <row r="6135" spans="55:56" x14ac:dyDescent="0.2">
      <c r="BC6135" s="21" t="e" vm="1">
        <v>#REF!</v>
      </c>
      <c r="BD6135" t="e" vm="1">
        <v>#REF!</v>
      </c>
    </row>
    <row r="6136" spans="55:56" x14ac:dyDescent="0.2">
      <c r="BC6136" s="21" t="e" vm="1">
        <v>#REF!</v>
      </c>
      <c r="BD6136" t="e" vm="1">
        <v>#REF!</v>
      </c>
    </row>
    <row r="6137" spans="55:56" x14ac:dyDescent="0.2">
      <c r="BC6137" s="21" t="e" vm="1">
        <v>#REF!</v>
      </c>
      <c r="BD6137" t="e" vm="1">
        <v>#REF!</v>
      </c>
    </row>
    <row r="6138" spans="55:56" x14ac:dyDescent="0.2">
      <c r="BC6138" s="21" t="e" vm="1">
        <v>#REF!</v>
      </c>
      <c r="BD6138" t="e" vm="1">
        <v>#REF!</v>
      </c>
    </row>
    <row r="6139" spans="55:56" x14ac:dyDescent="0.2">
      <c r="BC6139" s="21" t="e" vm="1">
        <v>#REF!</v>
      </c>
      <c r="BD6139" t="e" vm="1">
        <v>#REF!</v>
      </c>
    </row>
    <row r="6140" spans="55:56" x14ac:dyDescent="0.2">
      <c r="BC6140" s="21" t="e" vm="1">
        <v>#REF!</v>
      </c>
      <c r="BD6140" t="e" vm="1">
        <v>#REF!</v>
      </c>
    </row>
    <row r="6141" spans="55:56" x14ac:dyDescent="0.2">
      <c r="BC6141" s="21" t="e" vm="1">
        <v>#REF!</v>
      </c>
      <c r="BD6141" t="e" vm="1">
        <v>#REF!</v>
      </c>
    </row>
    <row r="6142" spans="55:56" x14ac:dyDescent="0.2">
      <c r="BC6142" s="21" t="e" vm="1">
        <v>#REF!</v>
      </c>
      <c r="BD6142" t="e" vm="1">
        <v>#REF!</v>
      </c>
    </row>
    <row r="6143" spans="55:56" x14ac:dyDescent="0.2">
      <c r="BC6143" s="21" t="e" vm="1">
        <v>#REF!</v>
      </c>
      <c r="BD6143" t="e" vm="1">
        <v>#REF!</v>
      </c>
    </row>
    <row r="6144" spans="55:56" x14ac:dyDescent="0.2">
      <c r="BC6144" s="21" t="e" vm="1">
        <v>#REF!</v>
      </c>
      <c r="BD6144" t="e" vm="1">
        <v>#REF!</v>
      </c>
    </row>
    <row r="6145" spans="55:56" x14ac:dyDescent="0.2">
      <c r="BC6145" s="21" t="e" vm="1">
        <v>#REF!</v>
      </c>
      <c r="BD6145" t="e" vm="1">
        <v>#REF!</v>
      </c>
    </row>
    <row r="6146" spans="55:56" x14ac:dyDescent="0.2">
      <c r="BC6146" s="21" t="e" vm="1">
        <v>#REF!</v>
      </c>
      <c r="BD6146" t="e" vm="1">
        <v>#REF!</v>
      </c>
    </row>
    <row r="6147" spans="55:56" x14ac:dyDescent="0.2">
      <c r="BC6147" s="21" t="e" vm="1">
        <v>#REF!</v>
      </c>
      <c r="BD6147" t="e" vm="1">
        <v>#REF!</v>
      </c>
    </row>
    <row r="6148" spans="55:56" x14ac:dyDescent="0.2">
      <c r="BC6148" s="21" t="e" vm="1">
        <v>#REF!</v>
      </c>
      <c r="BD6148" t="e" vm="1">
        <v>#REF!</v>
      </c>
    </row>
    <row r="6149" spans="55:56" x14ac:dyDescent="0.2">
      <c r="BC6149" s="21" t="e" vm="1">
        <v>#REF!</v>
      </c>
      <c r="BD6149" t="e" vm="1">
        <v>#REF!</v>
      </c>
    </row>
    <row r="6150" spans="55:56" x14ac:dyDescent="0.2">
      <c r="BC6150" s="21" t="e" vm="1">
        <v>#REF!</v>
      </c>
      <c r="BD6150" t="e" vm="1">
        <v>#REF!</v>
      </c>
    </row>
    <row r="6151" spans="55:56" x14ac:dyDescent="0.2">
      <c r="BC6151" s="21" t="e" vm="1">
        <v>#REF!</v>
      </c>
      <c r="BD6151" t="e" vm="1">
        <v>#REF!</v>
      </c>
    </row>
    <row r="6152" spans="55:56" x14ac:dyDescent="0.2">
      <c r="BC6152" s="21" t="e" vm="1">
        <v>#REF!</v>
      </c>
      <c r="BD6152" t="e" vm="1">
        <v>#REF!</v>
      </c>
    </row>
    <row r="6153" spans="55:56" x14ac:dyDescent="0.2">
      <c r="BC6153" s="21" t="e" vm="1">
        <v>#REF!</v>
      </c>
      <c r="BD6153" t="e" vm="1">
        <v>#REF!</v>
      </c>
    </row>
    <row r="6154" spans="55:56" x14ac:dyDescent="0.2">
      <c r="BC6154" s="21" t="e" vm="1">
        <v>#REF!</v>
      </c>
      <c r="BD6154" t="e" vm="1">
        <v>#REF!</v>
      </c>
    </row>
    <row r="6155" spans="55:56" x14ac:dyDescent="0.2">
      <c r="BC6155" s="21" t="e" vm="1">
        <v>#REF!</v>
      </c>
      <c r="BD6155" t="e" vm="1">
        <v>#REF!</v>
      </c>
    </row>
    <row r="6156" spans="55:56" x14ac:dyDescent="0.2">
      <c r="BC6156" s="21" t="e" vm="1">
        <v>#REF!</v>
      </c>
      <c r="BD6156" t="e" vm="1">
        <v>#REF!</v>
      </c>
    </row>
    <row r="6157" spans="55:56" x14ac:dyDescent="0.2">
      <c r="BC6157" s="21" t="e" vm="1">
        <v>#REF!</v>
      </c>
      <c r="BD6157" t="e" vm="1">
        <v>#REF!</v>
      </c>
    </row>
    <row r="6158" spans="55:56" x14ac:dyDescent="0.2">
      <c r="BC6158" s="21" t="e" vm="1">
        <v>#REF!</v>
      </c>
      <c r="BD6158" t="e" vm="1">
        <v>#REF!</v>
      </c>
    </row>
    <row r="6159" spans="55:56" x14ac:dyDescent="0.2">
      <c r="BC6159" s="21" t="e" vm="1">
        <v>#REF!</v>
      </c>
      <c r="BD6159" t="e" vm="1">
        <v>#REF!</v>
      </c>
    </row>
    <row r="6160" spans="55:56" x14ac:dyDescent="0.2">
      <c r="BC6160" s="21" t="e" vm="1">
        <v>#REF!</v>
      </c>
      <c r="BD6160" t="e" vm="1">
        <v>#REF!</v>
      </c>
    </row>
    <row r="6161" spans="55:56" x14ac:dyDescent="0.2">
      <c r="BC6161" s="21" t="e" vm="1">
        <v>#REF!</v>
      </c>
      <c r="BD6161" t="e" vm="1">
        <v>#REF!</v>
      </c>
    </row>
    <row r="6162" spans="55:56" x14ac:dyDescent="0.2">
      <c r="BC6162" s="21" t="e" vm="1">
        <v>#REF!</v>
      </c>
      <c r="BD6162" t="e" vm="1">
        <v>#REF!</v>
      </c>
    </row>
    <row r="6163" spans="55:56" x14ac:dyDescent="0.2">
      <c r="BC6163" s="21" t="e" vm="1">
        <v>#REF!</v>
      </c>
      <c r="BD6163" t="e" vm="1">
        <v>#REF!</v>
      </c>
    </row>
    <row r="6164" spans="55:56" x14ac:dyDescent="0.2">
      <c r="BC6164" s="21" t="e" vm="1">
        <v>#REF!</v>
      </c>
      <c r="BD6164" t="e" vm="1">
        <v>#REF!</v>
      </c>
    </row>
    <row r="6165" spans="55:56" x14ac:dyDescent="0.2">
      <c r="BC6165" s="21" t="e" vm="1">
        <v>#REF!</v>
      </c>
      <c r="BD6165" t="e" vm="1">
        <v>#REF!</v>
      </c>
    </row>
    <row r="6166" spans="55:56" x14ac:dyDescent="0.2">
      <c r="BC6166" s="21" t="e" vm="1">
        <v>#REF!</v>
      </c>
      <c r="BD6166" t="e" vm="1">
        <v>#REF!</v>
      </c>
    </row>
    <row r="6167" spans="55:56" x14ac:dyDescent="0.2">
      <c r="BC6167" s="21" t="e" vm="1">
        <v>#REF!</v>
      </c>
      <c r="BD6167" t="e" vm="1">
        <v>#REF!</v>
      </c>
    </row>
    <row r="6168" spans="55:56" x14ac:dyDescent="0.2">
      <c r="BC6168" s="21" t="e" vm="1">
        <v>#REF!</v>
      </c>
      <c r="BD6168" t="e" vm="1">
        <v>#REF!</v>
      </c>
    </row>
    <row r="6169" spans="55:56" x14ac:dyDescent="0.2">
      <c r="BC6169" s="21" t="e" vm="1">
        <v>#REF!</v>
      </c>
      <c r="BD6169" t="e" vm="1">
        <v>#REF!</v>
      </c>
    </row>
    <row r="6170" spans="55:56" x14ac:dyDescent="0.2">
      <c r="BC6170" s="21" t="e" vm="1">
        <v>#REF!</v>
      </c>
      <c r="BD6170" t="e" vm="1">
        <v>#REF!</v>
      </c>
    </row>
    <row r="6171" spans="55:56" x14ac:dyDescent="0.2">
      <c r="BC6171" s="21" t="e" vm="1">
        <v>#REF!</v>
      </c>
      <c r="BD6171" t="e" vm="1">
        <v>#REF!</v>
      </c>
    </row>
    <row r="6172" spans="55:56" x14ac:dyDescent="0.2">
      <c r="BC6172" s="21" t="e" vm="1">
        <v>#REF!</v>
      </c>
      <c r="BD6172" t="e" vm="1">
        <v>#REF!</v>
      </c>
    </row>
    <row r="6173" spans="55:56" x14ac:dyDescent="0.2">
      <c r="BC6173" s="21" t="e" vm="1">
        <v>#REF!</v>
      </c>
      <c r="BD6173" t="e" vm="1">
        <v>#REF!</v>
      </c>
    </row>
    <row r="6174" spans="55:56" x14ac:dyDescent="0.2">
      <c r="BC6174" s="21" t="e" vm="1">
        <v>#REF!</v>
      </c>
      <c r="BD6174" t="e" vm="1">
        <v>#REF!</v>
      </c>
    </row>
    <row r="6175" spans="55:56" x14ac:dyDescent="0.2">
      <c r="BC6175" s="21" t="e" vm="1">
        <v>#REF!</v>
      </c>
      <c r="BD6175" t="e" vm="1">
        <v>#REF!</v>
      </c>
    </row>
    <row r="6176" spans="55:56" x14ac:dyDescent="0.2">
      <c r="BC6176" s="21" t="e" vm="1">
        <v>#REF!</v>
      </c>
      <c r="BD6176" t="e" vm="1">
        <v>#REF!</v>
      </c>
    </row>
    <row r="6177" spans="55:56" x14ac:dyDescent="0.2">
      <c r="BC6177" s="21" t="e" vm="1">
        <v>#REF!</v>
      </c>
      <c r="BD6177" t="e" vm="1">
        <v>#REF!</v>
      </c>
    </row>
    <row r="6178" spans="55:56" x14ac:dyDescent="0.2">
      <c r="BC6178" s="21" t="e" vm="1">
        <v>#REF!</v>
      </c>
      <c r="BD6178" t="e" vm="1">
        <v>#REF!</v>
      </c>
    </row>
    <row r="6179" spans="55:56" x14ac:dyDescent="0.2">
      <c r="BC6179" s="21" t="e" vm="1">
        <v>#REF!</v>
      </c>
      <c r="BD6179" t="e" vm="1">
        <v>#REF!</v>
      </c>
    </row>
    <row r="6180" spans="55:56" x14ac:dyDescent="0.2">
      <c r="BC6180" s="21" t="e" vm="1">
        <v>#REF!</v>
      </c>
      <c r="BD6180" t="e" vm="1">
        <v>#REF!</v>
      </c>
    </row>
    <row r="6181" spans="55:56" x14ac:dyDescent="0.2">
      <c r="BC6181" s="21" t="e" vm="1">
        <v>#REF!</v>
      </c>
      <c r="BD6181" t="e" vm="1">
        <v>#REF!</v>
      </c>
    </row>
    <row r="6182" spans="55:56" x14ac:dyDescent="0.2">
      <c r="BC6182" s="21" t="e" vm="1">
        <v>#REF!</v>
      </c>
      <c r="BD6182" t="e" vm="1">
        <v>#REF!</v>
      </c>
    </row>
    <row r="6183" spans="55:56" x14ac:dyDescent="0.2">
      <c r="BC6183" s="21" t="e" vm="1">
        <v>#REF!</v>
      </c>
      <c r="BD6183" t="e" vm="1">
        <v>#REF!</v>
      </c>
    </row>
    <row r="6184" spans="55:56" x14ac:dyDescent="0.2">
      <c r="BC6184" s="21" t="e" vm="1">
        <v>#REF!</v>
      </c>
      <c r="BD6184" t="e" vm="1">
        <v>#REF!</v>
      </c>
    </row>
    <row r="6185" spans="55:56" x14ac:dyDescent="0.2">
      <c r="BC6185" s="21" t="e" vm="1">
        <v>#REF!</v>
      </c>
      <c r="BD6185" t="e" vm="1">
        <v>#REF!</v>
      </c>
    </row>
    <row r="6186" spans="55:56" x14ac:dyDescent="0.2">
      <c r="BC6186" s="21" t="e" vm="1">
        <v>#REF!</v>
      </c>
      <c r="BD6186" t="e" vm="1">
        <v>#REF!</v>
      </c>
    </row>
    <row r="6187" spans="55:56" x14ac:dyDescent="0.2">
      <c r="BC6187" s="21" t="e" vm="1">
        <v>#REF!</v>
      </c>
      <c r="BD6187" t="e" vm="1">
        <v>#REF!</v>
      </c>
    </row>
    <row r="6188" spans="55:56" x14ac:dyDescent="0.2">
      <c r="BC6188" s="21" t="e" vm="1">
        <v>#REF!</v>
      </c>
      <c r="BD6188" t="e" vm="1">
        <v>#REF!</v>
      </c>
    </row>
    <row r="6189" spans="55:56" x14ac:dyDescent="0.2">
      <c r="BC6189" s="21" t="e" vm="1">
        <v>#REF!</v>
      </c>
      <c r="BD6189" t="e" vm="1">
        <v>#REF!</v>
      </c>
    </row>
    <row r="6190" spans="55:56" x14ac:dyDescent="0.2">
      <c r="BC6190" s="21" t="e" vm="1">
        <v>#REF!</v>
      </c>
      <c r="BD6190" t="e" vm="1">
        <v>#REF!</v>
      </c>
    </row>
    <row r="6191" spans="55:56" x14ac:dyDescent="0.2">
      <c r="BC6191" s="21" t="e" vm="1">
        <v>#REF!</v>
      </c>
      <c r="BD6191" t="e" vm="1">
        <v>#REF!</v>
      </c>
    </row>
    <row r="6192" spans="55:56" x14ac:dyDescent="0.2">
      <c r="BC6192" s="21" t="e" vm="1">
        <v>#REF!</v>
      </c>
      <c r="BD6192" t="e" vm="1">
        <v>#REF!</v>
      </c>
    </row>
    <row r="6193" spans="55:56" x14ac:dyDescent="0.2">
      <c r="BC6193" s="21" t="e" vm="1">
        <v>#REF!</v>
      </c>
      <c r="BD6193" t="e" vm="1">
        <v>#REF!</v>
      </c>
    </row>
    <row r="6194" spans="55:56" x14ac:dyDescent="0.2">
      <c r="BC6194" s="21" t="e" vm="1">
        <v>#REF!</v>
      </c>
      <c r="BD6194" t="e" vm="1">
        <v>#REF!</v>
      </c>
    </row>
    <row r="6195" spans="55:56" x14ac:dyDescent="0.2">
      <c r="BC6195" s="21" t="e" vm="1">
        <v>#REF!</v>
      </c>
      <c r="BD6195" t="e" vm="1">
        <v>#REF!</v>
      </c>
    </row>
    <row r="6196" spans="55:56" x14ac:dyDescent="0.2">
      <c r="BC6196" s="21" t="e" vm="1">
        <v>#REF!</v>
      </c>
      <c r="BD6196" t="e" vm="1">
        <v>#REF!</v>
      </c>
    </row>
    <row r="6197" spans="55:56" x14ac:dyDescent="0.2">
      <c r="BC6197" s="21" t="e" vm="1">
        <v>#REF!</v>
      </c>
      <c r="BD6197" t="e" vm="1">
        <v>#REF!</v>
      </c>
    </row>
    <row r="6198" spans="55:56" x14ac:dyDescent="0.2">
      <c r="BC6198" s="21" t="e" vm="1">
        <v>#REF!</v>
      </c>
      <c r="BD6198" t="e" vm="1">
        <v>#REF!</v>
      </c>
    </row>
    <row r="6199" spans="55:56" x14ac:dyDescent="0.2">
      <c r="BC6199" s="21" t="e" vm="1">
        <v>#REF!</v>
      </c>
      <c r="BD6199" t="e" vm="1">
        <v>#REF!</v>
      </c>
    </row>
    <row r="6200" spans="55:56" x14ac:dyDescent="0.2">
      <c r="BC6200" s="21" t="e" vm="1">
        <v>#REF!</v>
      </c>
      <c r="BD6200" t="e" vm="1">
        <v>#REF!</v>
      </c>
    </row>
    <row r="6201" spans="55:56" x14ac:dyDescent="0.2">
      <c r="BC6201" s="21" t="e" vm="1">
        <v>#REF!</v>
      </c>
      <c r="BD6201" t="e" vm="1">
        <v>#REF!</v>
      </c>
    </row>
    <row r="6202" spans="55:56" x14ac:dyDescent="0.2">
      <c r="BC6202" s="21" t="e" vm="1">
        <v>#REF!</v>
      </c>
      <c r="BD6202" t="e" vm="1">
        <v>#REF!</v>
      </c>
    </row>
    <row r="6203" spans="55:56" x14ac:dyDescent="0.2">
      <c r="BC6203" s="21" t="e" vm="1">
        <v>#REF!</v>
      </c>
      <c r="BD6203" t="e" vm="1">
        <v>#REF!</v>
      </c>
    </row>
    <row r="6204" spans="55:56" x14ac:dyDescent="0.2">
      <c r="BC6204" s="21" t="e" vm="1">
        <v>#REF!</v>
      </c>
      <c r="BD6204" t="e" vm="1">
        <v>#REF!</v>
      </c>
    </row>
    <row r="6205" spans="55:56" x14ac:dyDescent="0.2">
      <c r="BC6205" s="21" t="e" vm="1">
        <v>#REF!</v>
      </c>
      <c r="BD6205" t="e" vm="1">
        <v>#REF!</v>
      </c>
    </row>
    <row r="6206" spans="55:56" x14ac:dyDescent="0.2">
      <c r="BC6206" s="21" t="e" vm="1">
        <v>#REF!</v>
      </c>
      <c r="BD6206" t="e" vm="1">
        <v>#REF!</v>
      </c>
    </row>
    <row r="6207" spans="55:56" x14ac:dyDescent="0.2">
      <c r="BC6207" s="21" t="e" vm="1">
        <v>#REF!</v>
      </c>
      <c r="BD6207" t="e" vm="1">
        <v>#REF!</v>
      </c>
    </row>
    <row r="6208" spans="55:56" x14ac:dyDescent="0.2">
      <c r="BC6208" s="21" t="e" vm="1">
        <v>#REF!</v>
      </c>
      <c r="BD6208" t="e" vm="1">
        <v>#REF!</v>
      </c>
    </row>
    <row r="6209" spans="55:56" x14ac:dyDescent="0.2">
      <c r="BC6209" s="21" t="e" vm="1">
        <v>#REF!</v>
      </c>
      <c r="BD6209" t="e" vm="1">
        <v>#REF!</v>
      </c>
    </row>
    <row r="6210" spans="55:56" x14ac:dyDescent="0.2">
      <c r="BC6210" s="21" t="e" vm="1">
        <v>#REF!</v>
      </c>
      <c r="BD6210" t="e" vm="1">
        <v>#REF!</v>
      </c>
    </row>
    <row r="6211" spans="55:56" x14ac:dyDescent="0.2">
      <c r="BC6211" s="21" t="e" vm="1">
        <v>#REF!</v>
      </c>
      <c r="BD6211" t="e" vm="1">
        <v>#REF!</v>
      </c>
    </row>
    <row r="6212" spans="55:56" x14ac:dyDescent="0.2">
      <c r="BC6212" s="21" t="e" vm="1">
        <v>#REF!</v>
      </c>
      <c r="BD6212" t="e" vm="1">
        <v>#REF!</v>
      </c>
    </row>
    <row r="6213" spans="55:56" x14ac:dyDescent="0.2">
      <c r="BC6213" s="21" t="e" vm="1">
        <v>#REF!</v>
      </c>
      <c r="BD6213" t="e" vm="1">
        <v>#REF!</v>
      </c>
    </row>
    <row r="6214" spans="55:56" x14ac:dyDescent="0.2">
      <c r="BC6214" s="21" t="e" vm="1">
        <v>#REF!</v>
      </c>
      <c r="BD6214" t="e" vm="1">
        <v>#REF!</v>
      </c>
    </row>
    <row r="6215" spans="55:56" x14ac:dyDescent="0.2">
      <c r="BC6215" s="21" t="e" vm="1">
        <v>#REF!</v>
      </c>
      <c r="BD6215" t="e" vm="1">
        <v>#REF!</v>
      </c>
    </row>
    <row r="6216" spans="55:56" x14ac:dyDescent="0.2">
      <c r="BC6216" s="21" t="e" vm="1">
        <v>#REF!</v>
      </c>
      <c r="BD6216" t="e" vm="1">
        <v>#REF!</v>
      </c>
    </row>
    <row r="6217" spans="55:56" x14ac:dyDescent="0.2">
      <c r="BC6217" s="21" t="e" vm="1">
        <v>#REF!</v>
      </c>
      <c r="BD6217" t="e" vm="1">
        <v>#REF!</v>
      </c>
    </row>
    <row r="6218" spans="55:56" x14ac:dyDescent="0.2">
      <c r="BC6218" s="21" t="e" vm="1">
        <v>#REF!</v>
      </c>
      <c r="BD6218" t="e" vm="1">
        <v>#REF!</v>
      </c>
    </row>
    <row r="6219" spans="55:56" x14ac:dyDescent="0.2">
      <c r="BC6219" s="21" t="e" vm="1">
        <v>#REF!</v>
      </c>
      <c r="BD6219" t="e" vm="1">
        <v>#REF!</v>
      </c>
    </row>
    <row r="6220" spans="55:56" x14ac:dyDescent="0.2">
      <c r="BC6220" s="21" t="e" vm="1">
        <v>#REF!</v>
      </c>
      <c r="BD6220" t="e" vm="1">
        <v>#REF!</v>
      </c>
    </row>
    <row r="6221" spans="55:56" x14ac:dyDescent="0.2">
      <c r="BC6221" s="21" t="e" vm="1">
        <v>#REF!</v>
      </c>
      <c r="BD6221" t="e" vm="1">
        <v>#REF!</v>
      </c>
    </row>
    <row r="6222" spans="55:56" x14ac:dyDescent="0.2">
      <c r="BC6222" s="21" t="e" vm="1">
        <v>#REF!</v>
      </c>
      <c r="BD6222" t="e" vm="1">
        <v>#REF!</v>
      </c>
    </row>
    <row r="6223" spans="55:56" x14ac:dyDescent="0.2">
      <c r="BC6223" s="21" t="e" vm="1">
        <v>#REF!</v>
      </c>
      <c r="BD6223" t="e" vm="1">
        <v>#REF!</v>
      </c>
    </row>
    <row r="6224" spans="55:56" x14ac:dyDescent="0.2">
      <c r="BC6224" s="21" t="e" vm="1">
        <v>#REF!</v>
      </c>
      <c r="BD6224" t="e" vm="1">
        <v>#REF!</v>
      </c>
    </row>
    <row r="6225" spans="55:56" x14ac:dyDescent="0.2">
      <c r="BC6225" s="21" t="e" vm="1">
        <v>#REF!</v>
      </c>
      <c r="BD6225" t="e" vm="1">
        <v>#REF!</v>
      </c>
    </row>
    <row r="6226" spans="55:56" x14ac:dyDescent="0.2">
      <c r="BC6226" s="21" t="e" vm="1">
        <v>#REF!</v>
      </c>
      <c r="BD6226" t="e" vm="1">
        <v>#REF!</v>
      </c>
    </row>
    <row r="6227" spans="55:56" x14ac:dyDescent="0.2">
      <c r="BC6227" s="21" t="e" vm="1">
        <v>#REF!</v>
      </c>
      <c r="BD6227" t="e" vm="1">
        <v>#REF!</v>
      </c>
    </row>
    <row r="6228" spans="55:56" x14ac:dyDescent="0.2">
      <c r="BC6228" s="21" t="e" vm="1">
        <v>#REF!</v>
      </c>
      <c r="BD6228" t="e" vm="1">
        <v>#REF!</v>
      </c>
    </row>
    <row r="6229" spans="55:56" x14ac:dyDescent="0.2">
      <c r="BC6229" s="21" t="e" vm="1">
        <v>#REF!</v>
      </c>
      <c r="BD6229" t="e" vm="1">
        <v>#REF!</v>
      </c>
    </row>
    <row r="6230" spans="55:56" x14ac:dyDescent="0.2">
      <c r="BC6230" s="21" t="e" vm="1">
        <v>#REF!</v>
      </c>
      <c r="BD6230" t="e" vm="1">
        <v>#REF!</v>
      </c>
    </row>
    <row r="6231" spans="55:56" x14ac:dyDescent="0.2">
      <c r="BC6231" s="21" t="e" vm="1">
        <v>#REF!</v>
      </c>
      <c r="BD6231" t="e" vm="1">
        <v>#REF!</v>
      </c>
    </row>
    <row r="6232" spans="55:56" x14ac:dyDescent="0.2">
      <c r="BC6232" s="21" t="e" vm="1">
        <v>#REF!</v>
      </c>
      <c r="BD6232" t="e" vm="1">
        <v>#REF!</v>
      </c>
    </row>
    <row r="6233" spans="55:56" x14ac:dyDescent="0.2">
      <c r="BC6233" s="21" t="e" vm="1">
        <v>#REF!</v>
      </c>
      <c r="BD6233" t="e" vm="1">
        <v>#REF!</v>
      </c>
    </row>
    <row r="6234" spans="55:56" x14ac:dyDescent="0.2">
      <c r="BC6234" s="21" t="e" vm="1">
        <v>#REF!</v>
      </c>
      <c r="BD6234" t="e" vm="1">
        <v>#REF!</v>
      </c>
    </row>
    <row r="6235" spans="55:56" x14ac:dyDescent="0.2">
      <c r="BC6235" s="21" t="e" vm="1">
        <v>#REF!</v>
      </c>
      <c r="BD6235" t="e" vm="1">
        <v>#REF!</v>
      </c>
    </row>
    <row r="6236" spans="55:56" x14ac:dyDescent="0.2">
      <c r="BC6236" s="21" t="e" vm="1">
        <v>#REF!</v>
      </c>
      <c r="BD6236" t="e" vm="1">
        <v>#REF!</v>
      </c>
    </row>
    <row r="6237" spans="55:56" x14ac:dyDescent="0.2">
      <c r="BC6237" s="21" t="e" vm="1">
        <v>#REF!</v>
      </c>
      <c r="BD6237" t="e" vm="1">
        <v>#REF!</v>
      </c>
    </row>
    <row r="6238" spans="55:56" x14ac:dyDescent="0.2">
      <c r="BC6238" s="21" t="e" vm="1">
        <v>#REF!</v>
      </c>
      <c r="BD6238" t="e" vm="1">
        <v>#REF!</v>
      </c>
    </row>
    <row r="6239" spans="55:56" x14ac:dyDescent="0.2">
      <c r="BC6239" s="21" t="e" vm="1">
        <v>#REF!</v>
      </c>
      <c r="BD6239" t="e" vm="1">
        <v>#REF!</v>
      </c>
    </row>
    <row r="6240" spans="55:56" x14ac:dyDescent="0.2">
      <c r="BC6240" s="21" t="e" vm="1">
        <v>#REF!</v>
      </c>
      <c r="BD6240" t="e" vm="1">
        <v>#REF!</v>
      </c>
    </row>
    <row r="6241" spans="55:56" x14ac:dyDescent="0.2">
      <c r="BC6241" s="21" t="e" vm="1">
        <v>#REF!</v>
      </c>
      <c r="BD6241" t="e" vm="1">
        <v>#REF!</v>
      </c>
    </row>
    <row r="6242" spans="55:56" x14ac:dyDescent="0.2">
      <c r="BC6242" s="21" t="e" vm="1">
        <v>#REF!</v>
      </c>
      <c r="BD6242" t="e" vm="1">
        <v>#REF!</v>
      </c>
    </row>
    <row r="6243" spans="55:56" x14ac:dyDescent="0.2">
      <c r="BC6243" s="21" t="e" vm="1">
        <v>#REF!</v>
      </c>
      <c r="BD6243" t="e" vm="1">
        <v>#REF!</v>
      </c>
    </row>
    <row r="6244" spans="55:56" x14ac:dyDescent="0.2">
      <c r="BC6244" s="21" t="e" vm="1">
        <v>#REF!</v>
      </c>
      <c r="BD6244" t="e" vm="1">
        <v>#REF!</v>
      </c>
    </row>
    <row r="6245" spans="55:56" x14ac:dyDescent="0.2">
      <c r="BC6245" s="21" t="e" vm="1">
        <v>#REF!</v>
      </c>
      <c r="BD6245" t="e" vm="1">
        <v>#REF!</v>
      </c>
    </row>
    <row r="6246" spans="55:56" x14ac:dyDescent="0.2">
      <c r="BC6246" s="21" t="e" vm="1">
        <v>#REF!</v>
      </c>
      <c r="BD6246" t="e" vm="1">
        <v>#REF!</v>
      </c>
    </row>
    <row r="6247" spans="55:56" x14ac:dyDescent="0.2">
      <c r="BC6247" s="21" t="e" vm="1">
        <v>#REF!</v>
      </c>
      <c r="BD6247" t="e" vm="1">
        <v>#REF!</v>
      </c>
    </row>
    <row r="6248" spans="55:56" x14ac:dyDescent="0.2">
      <c r="BC6248" s="21" t="e" vm="1">
        <v>#REF!</v>
      </c>
      <c r="BD6248" t="e" vm="1">
        <v>#REF!</v>
      </c>
    </row>
    <row r="6249" spans="55:56" x14ac:dyDescent="0.2">
      <c r="BC6249" s="21" t="e" vm="1">
        <v>#REF!</v>
      </c>
      <c r="BD6249" t="e" vm="1">
        <v>#REF!</v>
      </c>
    </row>
    <row r="6250" spans="55:56" x14ac:dyDescent="0.2">
      <c r="BC6250" s="21" t="e" vm="1">
        <v>#REF!</v>
      </c>
      <c r="BD6250" t="e" vm="1">
        <v>#REF!</v>
      </c>
    </row>
    <row r="6251" spans="55:56" x14ac:dyDescent="0.2">
      <c r="BC6251" s="21" t="e" vm="1">
        <v>#REF!</v>
      </c>
      <c r="BD6251" t="e" vm="1">
        <v>#REF!</v>
      </c>
    </row>
    <row r="6252" spans="55:56" x14ac:dyDescent="0.2">
      <c r="BC6252" s="21" t="e" vm="1">
        <v>#REF!</v>
      </c>
      <c r="BD6252" t="e" vm="1">
        <v>#REF!</v>
      </c>
    </row>
    <row r="6253" spans="55:56" x14ac:dyDescent="0.2">
      <c r="BC6253" s="21" t="e" vm="1">
        <v>#REF!</v>
      </c>
      <c r="BD6253" t="e" vm="1">
        <v>#REF!</v>
      </c>
    </row>
    <row r="6254" spans="55:56" x14ac:dyDescent="0.2">
      <c r="BC6254" s="21" t="e" vm="1">
        <v>#REF!</v>
      </c>
      <c r="BD6254" t="e" vm="1">
        <v>#REF!</v>
      </c>
    </row>
    <row r="6255" spans="55:56" x14ac:dyDescent="0.2">
      <c r="BC6255" s="21" t="e" vm="1">
        <v>#REF!</v>
      </c>
      <c r="BD6255" t="e" vm="1">
        <v>#REF!</v>
      </c>
    </row>
    <row r="6256" spans="55:56" x14ac:dyDescent="0.2">
      <c r="BC6256" s="21" t="e" vm="1">
        <v>#REF!</v>
      </c>
      <c r="BD6256" t="e" vm="1">
        <v>#REF!</v>
      </c>
    </row>
    <row r="6257" spans="55:56" x14ac:dyDescent="0.2">
      <c r="BC6257" s="21" t="e" vm="1">
        <v>#REF!</v>
      </c>
      <c r="BD6257" t="e" vm="1">
        <v>#REF!</v>
      </c>
    </row>
    <row r="6258" spans="55:56" x14ac:dyDescent="0.2">
      <c r="BC6258" s="21" t="e" vm="1">
        <v>#REF!</v>
      </c>
      <c r="BD6258" t="e" vm="1">
        <v>#REF!</v>
      </c>
    </row>
    <row r="6259" spans="55:56" x14ac:dyDescent="0.2">
      <c r="BC6259" s="21" t="e" vm="1">
        <v>#REF!</v>
      </c>
      <c r="BD6259" t="e" vm="1">
        <v>#REF!</v>
      </c>
    </row>
    <row r="6260" spans="55:56" x14ac:dyDescent="0.2">
      <c r="BC6260" s="21" t="e" vm="1">
        <v>#REF!</v>
      </c>
      <c r="BD6260" t="e" vm="1">
        <v>#REF!</v>
      </c>
    </row>
    <row r="6261" spans="55:56" x14ac:dyDescent="0.2">
      <c r="BC6261" s="21" t="e" vm="1">
        <v>#REF!</v>
      </c>
      <c r="BD6261" t="e" vm="1">
        <v>#REF!</v>
      </c>
    </row>
    <row r="6262" spans="55:56" x14ac:dyDescent="0.2">
      <c r="BC6262" s="21" t="e" vm="1">
        <v>#REF!</v>
      </c>
      <c r="BD6262" t="e" vm="1">
        <v>#REF!</v>
      </c>
    </row>
    <row r="6263" spans="55:56" x14ac:dyDescent="0.2">
      <c r="BC6263" s="21" t="e" vm="1">
        <v>#REF!</v>
      </c>
      <c r="BD6263" t="e" vm="1">
        <v>#REF!</v>
      </c>
    </row>
    <row r="6264" spans="55:56" x14ac:dyDescent="0.2">
      <c r="BC6264" s="21" t="e" vm="1">
        <v>#REF!</v>
      </c>
      <c r="BD6264" t="e" vm="1">
        <v>#REF!</v>
      </c>
    </row>
    <row r="6265" spans="55:56" x14ac:dyDescent="0.2">
      <c r="BC6265" s="21" t="e" vm="1">
        <v>#REF!</v>
      </c>
      <c r="BD6265" t="e" vm="1">
        <v>#REF!</v>
      </c>
    </row>
    <row r="6266" spans="55:56" x14ac:dyDescent="0.2">
      <c r="BC6266" s="21" t="e" vm="1">
        <v>#REF!</v>
      </c>
      <c r="BD6266" t="e" vm="1">
        <v>#REF!</v>
      </c>
    </row>
    <row r="6267" spans="55:56" x14ac:dyDescent="0.2">
      <c r="BC6267" s="21" t="e" vm="1">
        <v>#REF!</v>
      </c>
      <c r="BD6267" t="e" vm="1">
        <v>#REF!</v>
      </c>
    </row>
    <row r="6268" spans="55:56" x14ac:dyDescent="0.2">
      <c r="BC6268" s="21" t="e" vm="1">
        <v>#REF!</v>
      </c>
      <c r="BD6268" t="e" vm="1">
        <v>#REF!</v>
      </c>
    </row>
    <row r="6269" spans="55:56" x14ac:dyDescent="0.2">
      <c r="BC6269" s="21" t="e" vm="1">
        <v>#REF!</v>
      </c>
      <c r="BD6269" t="e" vm="1">
        <v>#REF!</v>
      </c>
    </row>
    <row r="6270" spans="55:56" x14ac:dyDescent="0.2">
      <c r="BC6270" s="21" t="e" vm="1">
        <v>#REF!</v>
      </c>
      <c r="BD6270" t="e" vm="1">
        <v>#REF!</v>
      </c>
    </row>
    <row r="6271" spans="55:56" x14ac:dyDescent="0.2">
      <c r="BC6271" s="21" t="e" vm="1">
        <v>#REF!</v>
      </c>
      <c r="BD6271" t="e" vm="1">
        <v>#REF!</v>
      </c>
    </row>
    <row r="6272" spans="55:56" x14ac:dyDescent="0.2">
      <c r="BC6272" s="21" t="e" vm="1">
        <v>#REF!</v>
      </c>
      <c r="BD6272" t="e" vm="1">
        <v>#REF!</v>
      </c>
    </row>
    <row r="6273" spans="55:56" x14ac:dyDescent="0.2">
      <c r="BC6273" s="21" t="e" vm="1">
        <v>#REF!</v>
      </c>
      <c r="BD6273" t="e" vm="1">
        <v>#REF!</v>
      </c>
    </row>
    <row r="6274" spans="55:56" x14ac:dyDescent="0.2">
      <c r="BC6274" s="21" t="e" vm="1">
        <v>#REF!</v>
      </c>
      <c r="BD6274" t="e" vm="1">
        <v>#REF!</v>
      </c>
    </row>
    <row r="6275" spans="55:56" x14ac:dyDescent="0.2">
      <c r="BC6275" s="21" t="e" vm="1">
        <v>#REF!</v>
      </c>
      <c r="BD6275" t="e" vm="1">
        <v>#REF!</v>
      </c>
    </row>
    <row r="6276" spans="55:56" x14ac:dyDescent="0.2">
      <c r="BC6276" s="21" t="e" vm="1">
        <v>#REF!</v>
      </c>
      <c r="BD6276" t="e" vm="1">
        <v>#REF!</v>
      </c>
    </row>
    <row r="6277" spans="55:56" x14ac:dyDescent="0.2">
      <c r="BC6277" s="21" t="e" vm="1">
        <v>#REF!</v>
      </c>
      <c r="BD6277" t="e" vm="1">
        <v>#REF!</v>
      </c>
    </row>
    <row r="6278" spans="55:56" x14ac:dyDescent="0.2">
      <c r="BC6278" s="21" t="e" vm="1">
        <v>#REF!</v>
      </c>
      <c r="BD6278" t="e" vm="1">
        <v>#REF!</v>
      </c>
    </row>
    <row r="6279" spans="55:56" x14ac:dyDescent="0.2">
      <c r="BC6279" s="21" t="e" vm="1">
        <v>#REF!</v>
      </c>
      <c r="BD6279" t="e" vm="1">
        <v>#REF!</v>
      </c>
    </row>
    <row r="6280" spans="55:56" x14ac:dyDescent="0.2">
      <c r="BC6280" s="21" t="e" vm="1">
        <v>#REF!</v>
      </c>
      <c r="BD6280" t="e" vm="1">
        <v>#REF!</v>
      </c>
    </row>
    <row r="6281" spans="55:56" x14ac:dyDescent="0.2">
      <c r="BC6281" s="21" t="e" vm="1">
        <v>#REF!</v>
      </c>
      <c r="BD6281" t="e" vm="1">
        <v>#REF!</v>
      </c>
    </row>
    <row r="6282" spans="55:56" x14ac:dyDescent="0.2">
      <c r="BC6282" s="21" t="e" vm="1">
        <v>#REF!</v>
      </c>
      <c r="BD6282" t="e" vm="1">
        <v>#REF!</v>
      </c>
    </row>
    <row r="6283" spans="55:56" x14ac:dyDescent="0.2">
      <c r="BC6283" s="21" t="e" vm="1">
        <v>#REF!</v>
      </c>
      <c r="BD6283" t="e" vm="1">
        <v>#REF!</v>
      </c>
    </row>
    <row r="6284" spans="55:56" x14ac:dyDescent="0.2">
      <c r="BC6284" s="21" t="e" vm="1">
        <v>#REF!</v>
      </c>
      <c r="BD6284" t="e" vm="1">
        <v>#REF!</v>
      </c>
    </row>
    <row r="6285" spans="55:56" x14ac:dyDescent="0.2">
      <c r="BC6285" s="21" t="e" vm="1">
        <v>#REF!</v>
      </c>
      <c r="BD6285" t="e" vm="1">
        <v>#REF!</v>
      </c>
    </row>
    <row r="6286" spans="55:56" x14ac:dyDescent="0.2">
      <c r="BC6286" s="21" t="e" vm="1">
        <v>#REF!</v>
      </c>
      <c r="BD6286" t="e" vm="1">
        <v>#REF!</v>
      </c>
    </row>
    <row r="6287" spans="55:56" x14ac:dyDescent="0.2">
      <c r="BC6287" s="21" t="e" vm="1">
        <v>#REF!</v>
      </c>
      <c r="BD6287" t="e" vm="1">
        <v>#REF!</v>
      </c>
    </row>
    <row r="6288" spans="55:56" x14ac:dyDescent="0.2">
      <c r="BC6288" s="21" t="e" vm="1">
        <v>#REF!</v>
      </c>
      <c r="BD6288" t="e" vm="1">
        <v>#REF!</v>
      </c>
    </row>
    <row r="6289" spans="55:56" x14ac:dyDescent="0.2">
      <c r="BC6289" s="21" t="e" vm="1">
        <v>#REF!</v>
      </c>
      <c r="BD6289" t="e" vm="1">
        <v>#REF!</v>
      </c>
    </row>
    <row r="6290" spans="55:56" x14ac:dyDescent="0.2">
      <c r="BC6290" s="21" t="e" vm="1">
        <v>#REF!</v>
      </c>
      <c r="BD6290" t="e" vm="1">
        <v>#REF!</v>
      </c>
    </row>
    <row r="6291" spans="55:56" x14ac:dyDescent="0.2">
      <c r="BC6291" s="21" t="e" vm="1">
        <v>#REF!</v>
      </c>
      <c r="BD6291" t="e" vm="1">
        <v>#REF!</v>
      </c>
    </row>
    <row r="6292" spans="55:56" x14ac:dyDescent="0.2">
      <c r="BC6292" s="21" t="e" vm="1">
        <v>#REF!</v>
      </c>
      <c r="BD6292" t="e" vm="1">
        <v>#REF!</v>
      </c>
    </row>
    <row r="6293" spans="55:56" x14ac:dyDescent="0.2">
      <c r="BC6293" s="21" t="e" vm="1">
        <v>#REF!</v>
      </c>
      <c r="BD6293" t="e" vm="1">
        <v>#REF!</v>
      </c>
    </row>
    <row r="6294" spans="55:56" x14ac:dyDescent="0.2">
      <c r="BC6294" s="21" t="e" vm="1">
        <v>#REF!</v>
      </c>
      <c r="BD6294" t="e" vm="1">
        <v>#REF!</v>
      </c>
    </row>
    <row r="6295" spans="55:56" x14ac:dyDescent="0.2">
      <c r="BC6295" s="21" t="e" vm="1">
        <v>#REF!</v>
      </c>
      <c r="BD6295" t="e" vm="1">
        <v>#REF!</v>
      </c>
    </row>
    <row r="6296" spans="55:56" x14ac:dyDescent="0.2">
      <c r="BC6296" s="21" t="e" vm="1">
        <v>#REF!</v>
      </c>
      <c r="BD6296" t="e" vm="1">
        <v>#REF!</v>
      </c>
    </row>
    <row r="6297" spans="55:56" x14ac:dyDescent="0.2">
      <c r="BC6297" s="21" t="e" vm="1">
        <v>#REF!</v>
      </c>
      <c r="BD6297" t="e" vm="1">
        <v>#REF!</v>
      </c>
    </row>
    <row r="6298" spans="55:56" x14ac:dyDescent="0.2">
      <c r="BC6298" s="21" t="e" vm="1">
        <v>#REF!</v>
      </c>
      <c r="BD6298" t="e" vm="1">
        <v>#REF!</v>
      </c>
    </row>
    <row r="6299" spans="55:56" x14ac:dyDescent="0.2">
      <c r="BC6299" s="21" t="e" vm="1">
        <v>#REF!</v>
      </c>
      <c r="BD6299" t="e" vm="1">
        <v>#REF!</v>
      </c>
    </row>
    <row r="6300" spans="55:56" x14ac:dyDescent="0.2">
      <c r="BC6300" s="21" t="e" vm="1">
        <v>#REF!</v>
      </c>
      <c r="BD6300" t="e" vm="1">
        <v>#REF!</v>
      </c>
    </row>
    <row r="6301" spans="55:56" x14ac:dyDescent="0.2">
      <c r="BC6301" s="21" t="e" vm="1">
        <v>#REF!</v>
      </c>
      <c r="BD6301" t="e" vm="1">
        <v>#REF!</v>
      </c>
    </row>
    <row r="6302" spans="55:56" x14ac:dyDescent="0.2">
      <c r="BC6302" s="21" t="e" vm="1">
        <v>#REF!</v>
      </c>
      <c r="BD6302" t="e" vm="1">
        <v>#REF!</v>
      </c>
    </row>
    <row r="6303" spans="55:56" x14ac:dyDescent="0.2">
      <c r="BC6303" s="21" t="e" vm="1">
        <v>#REF!</v>
      </c>
      <c r="BD6303" t="e" vm="1">
        <v>#REF!</v>
      </c>
    </row>
    <row r="6304" spans="55:56" x14ac:dyDescent="0.2">
      <c r="BC6304" s="21" t="e" vm="1">
        <v>#REF!</v>
      </c>
      <c r="BD6304" t="e" vm="1">
        <v>#REF!</v>
      </c>
    </row>
    <row r="6305" spans="55:56" x14ac:dyDescent="0.2">
      <c r="BC6305" s="21" t="e" vm="1">
        <v>#REF!</v>
      </c>
      <c r="BD6305" t="e" vm="1">
        <v>#REF!</v>
      </c>
    </row>
    <row r="6306" spans="55:56" x14ac:dyDescent="0.2">
      <c r="BC6306" s="21" t="e" vm="1">
        <v>#REF!</v>
      </c>
      <c r="BD6306" t="e" vm="1">
        <v>#REF!</v>
      </c>
    </row>
    <row r="6307" spans="55:56" x14ac:dyDescent="0.2">
      <c r="BC6307" s="21" t="e" vm="1">
        <v>#REF!</v>
      </c>
      <c r="BD6307" t="e" vm="1">
        <v>#REF!</v>
      </c>
    </row>
    <row r="6308" spans="55:56" x14ac:dyDescent="0.2">
      <c r="BC6308" s="21" t="e" vm="1">
        <v>#REF!</v>
      </c>
      <c r="BD6308" t="e" vm="1">
        <v>#REF!</v>
      </c>
    </row>
    <row r="6309" spans="55:56" x14ac:dyDescent="0.2">
      <c r="BC6309" s="21" t="e" vm="1">
        <v>#REF!</v>
      </c>
      <c r="BD6309" t="e" vm="1">
        <v>#REF!</v>
      </c>
    </row>
    <row r="6310" spans="55:56" x14ac:dyDescent="0.2">
      <c r="BC6310" s="21" t="e" vm="1">
        <v>#REF!</v>
      </c>
      <c r="BD6310" t="e" vm="1">
        <v>#REF!</v>
      </c>
    </row>
    <row r="6311" spans="55:56" x14ac:dyDescent="0.2">
      <c r="BC6311" s="21" t="e" vm="1">
        <v>#REF!</v>
      </c>
      <c r="BD6311" t="e" vm="1">
        <v>#REF!</v>
      </c>
    </row>
    <row r="6312" spans="55:56" x14ac:dyDescent="0.2">
      <c r="BC6312" s="21" t="e" vm="1">
        <v>#REF!</v>
      </c>
      <c r="BD6312" t="e" vm="1">
        <v>#REF!</v>
      </c>
    </row>
    <row r="6313" spans="55:56" x14ac:dyDescent="0.2">
      <c r="BC6313" s="21" t="e" vm="1">
        <v>#REF!</v>
      </c>
      <c r="BD6313" t="e" vm="1">
        <v>#REF!</v>
      </c>
    </row>
    <row r="6314" spans="55:56" x14ac:dyDescent="0.2">
      <c r="BC6314" s="21" t="e" vm="1">
        <v>#REF!</v>
      </c>
      <c r="BD6314" t="e" vm="1">
        <v>#REF!</v>
      </c>
    </row>
    <row r="6315" spans="55:56" x14ac:dyDescent="0.2">
      <c r="BC6315" s="21" t="e" vm="1">
        <v>#REF!</v>
      </c>
      <c r="BD6315" t="e" vm="1">
        <v>#REF!</v>
      </c>
    </row>
    <row r="6316" spans="55:56" x14ac:dyDescent="0.2">
      <c r="BC6316" s="21" t="e" vm="1">
        <v>#REF!</v>
      </c>
      <c r="BD6316" t="e" vm="1">
        <v>#REF!</v>
      </c>
    </row>
    <row r="6317" spans="55:56" x14ac:dyDescent="0.2">
      <c r="BC6317" s="21" t="e" vm="1">
        <v>#REF!</v>
      </c>
      <c r="BD6317" t="e" vm="1">
        <v>#REF!</v>
      </c>
    </row>
    <row r="6318" spans="55:56" x14ac:dyDescent="0.2">
      <c r="BC6318" s="21" t="e" vm="1">
        <v>#REF!</v>
      </c>
      <c r="BD6318" t="e" vm="1">
        <v>#REF!</v>
      </c>
    </row>
    <row r="6319" spans="55:56" x14ac:dyDescent="0.2">
      <c r="BC6319" s="21" t="e" vm="1">
        <v>#REF!</v>
      </c>
      <c r="BD6319" t="e" vm="1">
        <v>#REF!</v>
      </c>
    </row>
    <row r="6320" spans="55:56" x14ac:dyDescent="0.2">
      <c r="BC6320" s="21" t="e" vm="1">
        <v>#REF!</v>
      </c>
      <c r="BD6320" t="e" vm="1">
        <v>#REF!</v>
      </c>
    </row>
    <row r="6321" spans="55:56" x14ac:dyDescent="0.2">
      <c r="BC6321" s="21" t="e" vm="1">
        <v>#REF!</v>
      </c>
      <c r="BD6321" t="e" vm="1">
        <v>#REF!</v>
      </c>
    </row>
    <row r="6322" spans="55:56" x14ac:dyDescent="0.2">
      <c r="BC6322" s="21" t="e" vm="1">
        <v>#REF!</v>
      </c>
      <c r="BD6322" t="e" vm="1">
        <v>#REF!</v>
      </c>
    </row>
    <row r="6323" spans="55:56" x14ac:dyDescent="0.2">
      <c r="BC6323" s="21" t="e" vm="1">
        <v>#REF!</v>
      </c>
      <c r="BD6323" t="e" vm="1">
        <v>#REF!</v>
      </c>
    </row>
    <row r="6324" spans="55:56" x14ac:dyDescent="0.2">
      <c r="BC6324" s="21" t="e" vm="1">
        <v>#REF!</v>
      </c>
      <c r="BD6324" t="e" vm="1">
        <v>#REF!</v>
      </c>
    </row>
    <row r="6325" spans="55:56" x14ac:dyDescent="0.2">
      <c r="BC6325" s="21" t="e" vm="1">
        <v>#REF!</v>
      </c>
      <c r="BD6325" t="e" vm="1">
        <v>#REF!</v>
      </c>
    </row>
    <row r="6326" spans="55:56" x14ac:dyDescent="0.2">
      <c r="BC6326" s="21" t="e" vm="1">
        <v>#REF!</v>
      </c>
      <c r="BD6326" t="e" vm="1">
        <v>#REF!</v>
      </c>
    </row>
    <row r="6327" spans="55:56" x14ac:dyDescent="0.2">
      <c r="BC6327" s="21" t="e" vm="1">
        <v>#REF!</v>
      </c>
      <c r="BD6327" t="e" vm="1">
        <v>#REF!</v>
      </c>
    </row>
    <row r="6328" spans="55:56" x14ac:dyDescent="0.2">
      <c r="BC6328" s="21" t="e" vm="1">
        <v>#REF!</v>
      </c>
      <c r="BD6328" t="e" vm="1">
        <v>#REF!</v>
      </c>
    </row>
    <row r="6329" spans="55:56" x14ac:dyDescent="0.2">
      <c r="BC6329" s="21" t="e" vm="1">
        <v>#REF!</v>
      </c>
      <c r="BD6329" t="e" vm="1">
        <v>#REF!</v>
      </c>
    </row>
    <row r="6330" spans="55:56" x14ac:dyDescent="0.2">
      <c r="BC6330" s="21" t="e" vm="1">
        <v>#REF!</v>
      </c>
      <c r="BD6330" t="e" vm="1">
        <v>#REF!</v>
      </c>
    </row>
    <row r="6331" spans="55:56" x14ac:dyDescent="0.2">
      <c r="BC6331" s="21" t="e" vm="1">
        <v>#REF!</v>
      </c>
      <c r="BD6331" t="e" vm="1">
        <v>#REF!</v>
      </c>
    </row>
    <row r="6332" spans="55:56" x14ac:dyDescent="0.2">
      <c r="BC6332" s="21" t="e" vm="1">
        <v>#REF!</v>
      </c>
      <c r="BD6332" t="e" vm="1">
        <v>#REF!</v>
      </c>
    </row>
    <row r="6333" spans="55:56" x14ac:dyDescent="0.2">
      <c r="BC6333" s="21" t="e" vm="1">
        <v>#REF!</v>
      </c>
      <c r="BD6333" t="e" vm="1">
        <v>#REF!</v>
      </c>
    </row>
    <row r="6334" spans="55:56" x14ac:dyDescent="0.2">
      <c r="BC6334" s="21" t="e" vm="1">
        <v>#REF!</v>
      </c>
      <c r="BD6334" t="e" vm="1">
        <v>#REF!</v>
      </c>
    </row>
    <row r="6335" spans="55:56" x14ac:dyDescent="0.2">
      <c r="BC6335" s="21" t="e" vm="1">
        <v>#REF!</v>
      </c>
      <c r="BD6335" t="e" vm="1">
        <v>#REF!</v>
      </c>
    </row>
    <row r="6336" spans="55:56" x14ac:dyDescent="0.2">
      <c r="BC6336" s="21" t="e" vm="1">
        <v>#REF!</v>
      </c>
      <c r="BD6336" t="e" vm="1">
        <v>#REF!</v>
      </c>
    </row>
    <row r="6337" spans="55:56" x14ac:dyDescent="0.2">
      <c r="BC6337" s="21" t="e" vm="1">
        <v>#REF!</v>
      </c>
      <c r="BD6337" t="e" vm="1">
        <v>#REF!</v>
      </c>
    </row>
    <row r="6338" spans="55:56" x14ac:dyDescent="0.2">
      <c r="BC6338" s="21" t="e" vm="1">
        <v>#REF!</v>
      </c>
      <c r="BD6338" t="e" vm="1">
        <v>#REF!</v>
      </c>
    </row>
    <row r="6339" spans="55:56" x14ac:dyDescent="0.2">
      <c r="BC6339" s="21" t="e" vm="1">
        <v>#REF!</v>
      </c>
      <c r="BD6339" t="e" vm="1">
        <v>#REF!</v>
      </c>
    </row>
    <row r="6340" spans="55:56" x14ac:dyDescent="0.2">
      <c r="BC6340" s="21" t="e" vm="1">
        <v>#REF!</v>
      </c>
      <c r="BD6340" t="e" vm="1">
        <v>#REF!</v>
      </c>
    </row>
    <row r="6341" spans="55:56" x14ac:dyDescent="0.2">
      <c r="BC6341" s="21" t="e" vm="1">
        <v>#REF!</v>
      </c>
      <c r="BD6341" t="e" vm="1">
        <v>#REF!</v>
      </c>
    </row>
    <row r="6342" spans="55:56" x14ac:dyDescent="0.2">
      <c r="BC6342" s="21" t="e" vm="1">
        <v>#REF!</v>
      </c>
      <c r="BD6342" t="e" vm="1">
        <v>#REF!</v>
      </c>
    </row>
    <row r="6343" spans="55:56" x14ac:dyDescent="0.2">
      <c r="BC6343" s="21" t="e" vm="1">
        <v>#REF!</v>
      </c>
      <c r="BD6343" t="e" vm="1">
        <v>#REF!</v>
      </c>
    </row>
    <row r="6344" spans="55:56" x14ac:dyDescent="0.2">
      <c r="BC6344" s="21" t="e" vm="1">
        <v>#REF!</v>
      </c>
      <c r="BD6344" t="e" vm="1">
        <v>#REF!</v>
      </c>
    </row>
    <row r="6345" spans="55:56" x14ac:dyDescent="0.2">
      <c r="BC6345" s="21" t="e" vm="1">
        <v>#REF!</v>
      </c>
      <c r="BD6345" t="e" vm="1">
        <v>#REF!</v>
      </c>
    </row>
    <row r="6346" spans="55:56" x14ac:dyDescent="0.2">
      <c r="BC6346" s="21" t="e" vm="1">
        <v>#REF!</v>
      </c>
      <c r="BD6346" t="e" vm="1">
        <v>#REF!</v>
      </c>
    </row>
    <row r="6347" spans="55:56" x14ac:dyDescent="0.2">
      <c r="BC6347" s="21" t="e" vm="1">
        <v>#REF!</v>
      </c>
      <c r="BD6347" t="e" vm="1">
        <v>#REF!</v>
      </c>
    </row>
    <row r="6348" spans="55:56" x14ac:dyDescent="0.2">
      <c r="BC6348" s="21" t="e" vm="1">
        <v>#REF!</v>
      </c>
      <c r="BD6348" t="e" vm="1">
        <v>#REF!</v>
      </c>
    </row>
    <row r="6349" spans="55:56" x14ac:dyDescent="0.2">
      <c r="BC6349" s="21" t="e" vm="1">
        <v>#REF!</v>
      </c>
      <c r="BD6349" t="e" vm="1">
        <v>#REF!</v>
      </c>
    </row>
    <row r="6350" spans="55:56" x14ac:dyDescent="0.2">
      <c r="BC6350" s="21" t="e" vm="1">
        <v>#REF!</v>
      </c>
      <c r="BD6350" t="e" vm="1">
        <v>#REF!</v>
      </c>
    </row>
    <row r="6351" spans="55:56" x14ac:dyDescent="0.2">
      <c r="BC6351" s="21" t="e" vm="1">
        <v>#REF!</v>
      </c>
      <c r="BD6351" t="e" vm="1">
        <v>#REF!</v>
      </c>
    </row>
    <row r="6352" spans="55:56" x14ac:dyDescent="0.2">
      <c r="BC6352" s="21" t="e" vm="1">
        <v>#REF!</v>
      </c>
      <c r="BD6352" t="e" vm="1">
        <v>#REF!</v>
      </c>
    </row>
    <row r="6353" spans="55:56" x14ac:dyDescent="0.2">
      <c r="BC6353" s="21" t="e" vm="1">
        <v>#REF!</v>
      </c>
      <c r="BD6353" t="e" vm="1">
        <v>#REF!</v>
      </c>
    </row>
    <row r="6354" spans="55:56" x14ac:dyDescent="0.2">
      <c r="BC6354" s="21" t="e" vm="1">
        <v>#REF!</v>
      </c>
      <c r="BD6354" t="e" vm="1">
        <v>#REF!</v>
      </c>
    </row>
    <row r="6355" spans="55:56" x14ac:dyDescent="0.2">
      <c r="BC6355" s="21" t="e" vm="1">
        <v>#REF!</v>
      </c>
      <c r="BD6355" t="e" vm="1">
        <v>#REF!</v>
      </c>
    </row>
    <row r="6356" spans="55:56" x14ac:dyDescent="0.2">
      <c r="BC6356" s="21" t="e" vm="1">
        <v>#REF!</v>
      </c>
      <c r="BD6356" t="e" vm="1">
        <v>#REF!</v>
      </c>
    </row>
    <row r="6357" spans="55:56" x14ac:dyDescent="0.2">
      <c r="BC6357" s="21" t="e" vm="1">
        <v>#REF!</v>
      </c>
      <c r="BD6357" t="e" vm="1">
        <v>#REF!</v>
      </c>
    </row>
    <row r="6358" spans="55:56" x14ac:dyDescent="0.2">
      <c r="BC6358" s="21" t="e" vm="1">
        <v>#REF!</v>
      </c>
      <c r="BD6358" t="e" vm="1">
        <v>#REF!</v>
      </c>
    </row>
    <row r="6359" spans="55:56" x14ac:dyDescent="0.2">
      <c r="BC6359" s="21" t="e" vm="1">
        <v>#REF!</v>
      </c>
      <c r="BD6359" t="e" vm="1">
        <v>#REF!</v>
      </c>
    </row>
    <row r="6360" spans="55:56" x14ac:dyDescent="0.2">
      <c r="BC6360" s="21" t="e" vm="1">
        <v>#REF!</v>
      </c>
      <c r="BD6360" t="e" vm="1">
        <v>#REF!</v>
      </c>
    </row>
    <row r="6361" spans="55:56" x14ac:dyDescent="0.2">
      <c r="BC6361" s="21" t="e" vm="1">
        <v>#REF!</v>
      </c>
      <c r="BD6361" t="e" vm="1">
        <v>#REF!</v>
      </c>
    </row>
    <row r="6362" spans="55:56" x14ac:dyDescent="0.2">
      <c r="BC6362" s="21" t="e" vm="1">
        <v>#REF!</v>
      </c>
      <c r="BD6362" t="e" vm="1">
        <v>#REF!</v>
      </c>
    </row>
    <row r="6363" spans="55:56" x14ac:dyDescent="0.2">
      <c r="BC6363" s="21" t="e" vm="1">
        <v>#REF!</v>
      </c>
      <c r="BD6363" t="e" vm="1">
        <v>#REF!</v>
      </c>
    </row>
    <row r="6364" spans="55:56" x14ac:dyDescent="0.2">
      <c r="BC6364" s="21" t="e" vm="1">
        <v>#REF!</v>
      </c>
      <c r="BD6364" t="e" vm="1">
        <v>#REF!</v>
      </c>
    </row>
    <row r="6365" spans="55:56" x14ac:dyDescent="0.2">
      <c r="BC6365" s="21" t="e" vm="1">
        <v>#REF!</v>
      </c>
      <c r="BD6365" t="e" vm="1">
        <v>#REF!</v>
      </c>
    </row>
    <row r="6366" spans="55:56" x14ac:dyDescent="0.2">
      <c r="BC6366" s="21" t="e" vm="1">
        <v>#REF!</v>
      </c>
      <c r="BD6366" t="e" vm="1">
        <v>#REF!</v>
      </c>
    </row>
    <row r="6367" spans="55:56" x14ac:dyDescent="0.2">
      <c r="BC6367" s="21" t="e" vm="1">
        <v>#REF!</v>
      </c>
      <c r="BD6367" t="e" vm="1">
        <v>#REF!</v>
      </c>
    </row>
    <row r="6368" spans="55:56" x14ac:dyDescent="0.2">
      <c r="BC6368" s="21" t="e" vm="1">
        <v>#REF!</v>
      </c>
      <c r="BD6368" t="e" vm="1">
        <v>#REF!</v>
      </c>
    </row>
    <row r="6369" spans="55:56" x14ac:dyDescent="0.2">
      <c r="BC6369" s="21" t="e" vm="1">
        <v>#REF!</v>
      </c>
      <c r="BD6369" t="e" vm="1">
        <v>#REF!</v>
      </c>
    </row>
    <row r="6370" spans="55:56" x14ac:dyDescent="0.2">
      <c r="BC6370" s="21" t="e" vm="1">
        <v>#REF!</v>
      </c>
      <c r="BD6370" t="e" vm="1">
        <v>#REF!</v>
      </c>
    </row>
    <row r="6371" spans="55:56" x14ac:dyDescent="0.2">
      <c r="BC6371" s="21" t="e" vm="1">
        <v>#REF!</v>
      </c>
      <c r="BD6371" t="e" vm="1">
        <v>#REF!</v>
      </c>
    </row>
    <row r="6372" spans="55:56" x14ac:dyDescent="0.2">
      <c r="BC6372" s="21" t="e" vm="1">
        <v>#REF!</v>
      </c>
      <c r="BD6372" t="e" vm="1">
        <v>#REF!</v>
      </c>
    </row>
    <row r="6373" spans="55:56" x14ac:dyDescent="0.2">
      <c r="BC6373" s="21" t="e" vm="1">
        <v>#REF!</v>
      </c>
      <c r="BD6373" t="e" vm="1">
        <v>#REF!</v>
      </c>
    </row>
    <row r="6374" spans="55:56" x14ac:dyDescent="0.2">
      <c r="BC6374" s="21" t="e" vm="1">
        <v>#REF!</v>
      </c>
      <c r="BD6374" t="e" vm="1">
        <v>#REF!</v>
      </c>
    </row>
    <row r="6375" spans="55:56" x14ac:dyDescent="0.2">
      <c r="BC6375" s="21" t="e" vm="1">
        <v>#REF!</v>
      </c>
      <c r="BD6375" t="e" vm="1">
        <v>#REF!</v>
      </c>
    </row>
    <row r="6376" spans="55:56" x14ac:dyDescent="0.2">
      <c r="BC6376" s="21" t="e" vm="1">
        <v>#REF!</v>
      </c>
      <c r="BD6376" t="e" vm="1">
        <v>#REF!</v>
      </c>
    </row>
    <row r="6377" spans="55:56" x14ac:dyDescent="0.2">
      <c r="BC6377" s="21" t="e" vm="1">
        <v>#REF!</v>
      </c>
      <c r="BD6377" t="e" vm="1">
        <v>#REF!</v>
      </c>
    </row>
    <row r="6378" spans="55:56" x14ac:dyDescent="0.2">
      <c r="BC6378" s="21" t="e" vm="1">
        <v>#REF!</v>
      </c>
      <c r="BD6378" t="e" vm="1">
        <v>#REF!</v>
      </c>
    </row>
    <row r="6379" spans="55:56" x14ac:dyDescent="0.2">
      <c r="BC6379" s="21" t="e" vm="1">
        <v>#REF!</v>
      </c>
      <c r="BD6379" t="e" vm="1">
        <v>#REF!</v>
      </c>
    </row>
    <row r="6380" spans="55:56" x14ac:dyDescent="0.2">
      <c r="BC6380" s="21" t="e" vm="1">
        <v>#REF!</v>
      </c>
      <c r="BD6380" t="e" vm="1">
        <v>#REF!</v>
      </c>
    </row>
    <row r="6381" spans="55:56" x14ac:dyDescent="0.2">
      <c r="BC6381" s="21" t="e" vm="1">
        <v>#REF!</v>
      </c>
      <c r="BD6381" t="e" vm="1">
        <v>#REF!</v>
      </c>
    </row>
    <row r="6382" spans="55:56" x14ac:dyDescent="0.2">
      <c r="BC6382" s="21" t="e" vm="1">
        <v>#REF!</v>
      </c>
      <c r="BD6382" t="e" vm="1">
        <v>#REF!</v>
      </c>
    </row>
  </sheetData>
  <mergeCells count="9">
    <mergeCell ref="AJ1:AN1"/>
    <mergeCell ref="AP1:AQ2"/>
    <mergeCell ref="AQ398:AQ401"/>
    <mergeCell ref="B1:F1"/>
    <mergeCell ref="G1:J1"/>
    <mergeCell ref="L1:P1"/>
    <mergeCell ref="R1:V1"/>
    <mergeCell ref="X1:AB1"/>
    <mergeCell ref="AD1:A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62B5-CDF5-4921-BF50-880D81C69C77}">
  <dimension ref="A1:D14"/>
  <sheetViews>
    <sheetView workbookViewId="0">
      <selection activeCell="U16" sqref="U16"/>
    </sheetView>
  </sheetViews>
  <sheetFormatPr defaultColWidth="9.33203125" defaultRowHeight="15" x14ac:dyDescent="0.25"/>
  <cols>
    <col min="1" max="16384" width="9.33203125" style="6"/>
  </cols>
  <sheetData>
    <row r="1" spans="1:4" x14ac:dyDescent="0.25">
      <c r="B1" s="6" t="s">
        <v>64</v>
      </c>
    </row>
    <row r="2" spans="1:4" x14ac:dyDescent="0.25">
      <c r="B2" s="6">
        <v>2000</v>
      </c>
      <c r="C2" s="6">
        <v>2001</v>
      </c>
      <c r="D2" s="6">
        <v>2002</v>
      </c>
    </row>
    <row r="3" spans="1:4" x14ac:dyDescent="0.25">
      <c r="A3" s="6" t="s">
        <v>65</v>
      </c>
    </row>
    <row r="4" spans="1:4" x14ac:dyDescent="0.25">
      <c r="A4" s="6" t="s">
        <v>66</v>
      </c>
    </row>
    <row r="5" spans="1:4" x14ac:dyDescent="0.25">
      <c r="A5" s="6" t="s">
        <v>67</v>
      </c>
    </row>
    <row r="6" spans="1:4" x14ac:dyDescent="0.25">
      <c r="A6" s="6" t="s">
        <v>68</v>
      </c>
    </row>
    <row r="7" spans="1:4" x14ac:dyDescent="0.25">
      <c r="A7" s="6" t="s">
        <v>69</v>
      </c>
    </row>
    <row r="8" spans="1:4" x14ac:dyDescent="0.25">
      <c r="A8" s="6" t="s">
        <v>70</v>
      </c>
    </row>
    <row r="9" spans="1:4" x14ac:dyDescent="0.25">
      <c r="A9" s="6" t="s">
        <v>71</v>
      </c>
    </row>
    <row r="10" spans="1:4" x14ac:dyDescent="0.25">
      <c r="A10" s="6" t="s">
        <v>72</v>
      </c>
    </row>
    <row r="11" spans="1:4" x14ac:dyDescent="0.25">
      <c r="A11" s="6" t="s">
        <v>73</v>
      </c>
    </row>
    <row r="12" spans="1:4" x14ac:dyDescent="0.25">
      <c r="A12" s="6" t="s">
        <v>74</v>
      </c>
    </row>
    <row r="13" spans="1:4" x14ac:dyDescent="0.25">
      <c r="A13" s="6" t="s">
        <v>75</v>
      </c>
    </row>
    <row r="14" spans="1:4" x14ac:dyDescent="0.25">
      <c r="A14" s="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Forecasts</vt:lpstr>
      <vt:lpstr>Prices</vt:lpstr>
      <vt:lpstr>Sheet1</vt:lpstr>
      <vt:lpstr>Barley</vt:lpstr>
      <vt:lpstr>Corn and Barley Monthly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2025-07-15T09:48:50Z</dcterms:created>
  <dcterms:modified xsi:type="dcterms:W3CDTF">2026-01-15T13:05:06Z</dcterms:modified>
</cp:coreProperties>
</file>